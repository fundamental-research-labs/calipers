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2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6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7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8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9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0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1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2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3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4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5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6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bookViews>
    <workbookView xWindow="-20880" yWindow="-21100" windowWidth="38400" windowHeight="21100" tabRatio="757" activeTab="2" xr2:uid="{515137FD-E362-4441-B68C-14826082CFA7}"/>
  </bookViews>
  <sheets>
    <sheet name="Profile" sheetId="1" r:id="rId1"/>
    <sheet name="Summary" sheetId="2" r:id="rId2"/>
    <sheet name="Valuation" sheetId="6" r:id="rId3"/>
    <sheet name="Dashboard" sheetId="15" r:id="rId4"/>
    <sheet name="Revenue" sheetId="7" r:id="rId5"/>
    <sheet name="Scenario" sheetId="8" r:id="rId6"/>
    <sheet name="Actual FS" sheetId="16" r:id="rId7"/>
    <sheet name="12-Month Projection" sheetId="10" r:id="rId8"/>
    <sheet name="Variance" sheetId="11" r:id="rId9"/>
    <sheet name="Annual Forecast" sheetId="12" r:id="rId10"/>
    <sheet name="Breakeven" sheetId="13" r:id="rId11"/>
    <sheet name="Ratios" sheetId="14" r:id="rId12"/>
    <sheet name="Formulas" sheetId="3" state="hidden" r:id="rId13"/>
  </sheets>
  <definedNames>
    <definedName name="_xlnm._FilterDatabase" localSheetId="12" hidden="1">Formulas!$C$30:$L$37</definedName>
    <definedName name="_xlchart.v1.0" hidden="1">Formulas!$B$32</definedName>
    <definedName name="_xlchart.v1.1" hidden="1">Formulas!$C$31:$L$31</definedName>
    <definedName name="_xlchart.v1.2" hidden="1">Formulas!$C$33:$L$33</definedName>
    <definedName name="_xlnm.Print_Area" localSheetId="7">'12-Month Projection'!$B$3:$T$37</definedName>
    <definedName name="_xlnm.Print_Area" localSheetId="6">'Actual FS'!$B$3:$U$36</definedName>
    <definedName name="_xlnm.Print_Area" localSheetId="3">Dashboard!$B$3:$P$62</definedName>
    <definedName name="_xlnm.Print_Area" localSheetId="11">Ratios!$B$3:$R$87</definedName>
    <definedName name="_xlnm.Print_Area" localSheetId="4">Revenue!$B$3:$T$35</definedName>
    <definedName name="_xlnm.Print_Area" localSheetId="2">Valuation!$A$2:$U$48</definedName>
    <definedName name="_xlnm.Print_Area" localSheetId="8">Variance!$B$3:$O$49</definedName>
    <definedName name="Scenarios">Formulas!$C$4:$C$6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2" l="1"/>
  <c r="K35" i="12"/>
  <c r="L35" i="12"/>
  <c r="M35" i="12"/>
  <c r="N35" i="12"/>
  <c r="O35" i="12"/>
  <c r="P35" i="12"/>
  <c r="Q35" i="12"/>
  <c r="I35" i="12"/>
  <c r="I35" i="10"/>
  <c r="J35" i="10"/>
  <c r="K35" i="10"/>
  <c r="L35" i="10"/>
  <c r="M35" i="10"/>
  <c r="N35" i="10"/>
  <c r="O35" i="10"/>
  <c r="P35" i="10"/>
  <c r="Q35" i="10"/>
  <c r="R35" i="10"/>
  <c r="S35" i="10"/>
  <c r="T35" i="10"/>
  <c r="H35" i="10"/>
  <c r="B160" i="3"/>
  <c r="B158" i="3"/>
  <c r="B159" i="3"/>
  <c r="B157" i="3"/>
  <c r="T36" i="16" l="1"/>
  <c r="S36" i="16"/>
  <c r="R36" i="16"/>
  <c r="Q36" i="16"/>
  <c r="P36" i="16"/>
  <c r="O36" i="16"/>
  <c r="N36" i="16"/>
  <c r="M36" i="16"/>
  <c r="L36" i="16"/>
  <c r="K36" i="16"/>
  <c r="J36" i="16"/>
  <c r="I36" i="16"/>
  <c r="H36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M213" i="3"/>
  <c r="N213" i="3"/>
  <c r="O213" i="3"/>
  <c r="M214" i="3"/>
  <c r="N214" i="3"/>
  <c r="O214" i="3"/>
  <c r="M215" i="3"/>
  <c r="N215" i="3"/>
  <c r="O215" i="3"/>
  <c r="M216" i="3"/>
  <c r="N216" i="3"/>
  <c r="O216" i="3"/>
  <c r="M217" i="3"/>
  <c r="N217" i="3"/>
  <c r="O217" i="3"/>
  <c r="M219" i="3"/>
  <c r="N219" i="3"/>
  <c r="O219" i="3"/>
  <c r="M222" i="3"/>
  <c r="N222" i="3"/>
  <c r="O222" i="3"/>
  <c r="O235" i="3"/>
  <c r="N235" i="3"/>
  <c r="M235" i="3"/>
  <c r="O234" i="3"/>
  <c r="N234" i="3"/>
  <c r="M234" i="3"/>
  <c r="O233" i="3"/>
  <c r="N233" i="3"/>
  <c r="M233" i="3"/>
  <c r="O229" i="3"/>
  <c r="N229" i="3"/>
  <c r="M229" i="3"/>
  <c r="O228" i="3"/>
  <c r="N228" i="3"/>
  <c r="M228" i="3"/>
  <c r="O227" i="3"/>
  <c r="N227" i="3"/>
  <c r="M227" i="3"/>
  <c r="O224" i="3"/>
  <c r="N224" i="3"/>
  <c r="M224" i="3"/>
  <c r="O223" i="3"/>
  <c r="N223" i="3"/>
  <c r="M223" i="3"/>
  <c r="A3" i="3"/>
  <c r="I76" i="16"/>
  <c r="I47" i="16"/>
  <c r="I74" i="16"/>
  <c r="T41" i="16"/>
  <c r="H73" i="16"/>
  <c r="T56" i="16"/>
  <c r="T61" i="16"/>
  <c r="H47" i="16"/>
  <c r="I57" i="16"/>
  <c r="I26" i="16"/>
  <c r="J26" i="16"/>
  <c r="K26" i="16"/>
  <c r="L26" i="16"/>
  <c r="M26" i="16"/>
  <c r="N26" i="16"/>
  <c r="O26" i="16"/>
  <c r="P26" i="16"/>
  <c r="Q26" i="16"/>
  <c r="R26" i="16"/>
  <c r="S26" i="16"/>
  <c r="I16" i="16"/>
  <c r="D147" i="3" s="1"/>
  <c r="J16" i="16"/>
  <c r="E147" i="3" s="1"/>
  <c r="K16" i="16"/>
  <c r="F147" i="3" s="1"/>
  <c r="L16" i="16"/>
  <c r="G147" i="3" s="1"/>
  <c r="M16" i="16"/>
  <c r="H147" i="3" s="1"/>
  <c r="N16" i="16"/>
  <c r="I147" i="3" s="1"/>
  <c r="O16" i="16"/>
  <c r="J147" i="3" s="1"/>
  <c r="P16" i="16"/>
  <c r="K147" i="3" s="1"/>
  <c r="Q16" i="16"/>
  <c r="R16" i="16"/>
  <c r="M147" i="3" s="1"/>
  <c r="S16" i="16"/>
  <c r="N147" i="3" s="1"/>
  <c r="I10" i="16"/>
  <c r="J10" i="16"/>
  <c r="K10" i="16"/>
  <c r="L10" i="16"/>
  <c r="M10" i="16"/>
  <c r="N10" i="16"/>
  <c r="O10" i="16"/>
  <c r="P10" i="16"/>
  <c r="Q10" i="16"/>
  <c r="R10" i="16"/>
  <c r="S10" i="16"/>
  <c r="L147" i="3"/>
  <c r="D148" i="3"/>
  <c r="E148" i="3"/>
  <c r="F148" i="3"/>
  <c r="G148" i="3"/>
  <c r="H148" i="3"/>
  <c r="I148" i="3"/>
  <c r="J148" i="3"/>
  <c r="K148" i="3"/>
  <c r="L148" i="3"/>
  <c r="M148" i="3"/>
  <c r="N148" i="3"/>
  <c r="D149" i="3"/>
  <c r="E149" i="3"/>
  <c r="F149" i="3"/>
  <c r="G149" i="3"/>
  <c r="H149" i="3"/>
  <c r="I149" i="3"/>
  <c r="J149" i="3"/>
  <c r="K149" i="3"/>
  <c r="L149" i="3"/>
  <c r="M149" i="3"/>
  <c r="N149" i="3"/>
  <c r="D150" i="3"/>
  <c r="E150" i="3"/>
  <c r="F150" i="3"/>
  <c r="G150" i="3"/>
  <c r="H150" i="3"/>
  <c r="I150" i="3"/>
  <c r="J150" i="3"/>
  <c r="K150" i="3"/>
  <c r="L150" i="3"/>
  <c r="M150" i="3"/>
  <c r="N150" i="3"/>
  <c r="D151" i="3"/>
  <c r="E151" i="3"/>
  <c r="F151" i="3"/>
  <c r="G151" i="3"/>
  <c r="H151" i="3"/>
  <c r="I151" i="3"/>
  <c r="J151" i="3"/>
  <c r="K151" i="3"/>
  <c r="L151" i="3"/>
  <c r="M151" i="3"/>
  <c r="N151" i="3"/>
  <c r="D152" i="3"/>
  <c r="E152" i="3"/>
  <c r="F152" i="3"/>
  <c r="G152" i="3"/>
  <c r="H152" i="3"/>
  <c r="I152" i="3"/>
  <c r="J152" i="3"/>
  <c r="K152" i="3"/>
  <c r="L152" i="3"/>
  <c r="M152" i="3"/>
  <c r="N152" i="3"/>
  <c r="D153" i="3"/>
  <c r="E153" i="3"/>
  <c r="F153" i="3"/>
  <c r="G153" i="3"/>
  <c r="H153" i="3"/>
  <c r="I153" i="3"/>
  <c r="J153" i="3"/>
  <c r="K153" i="3"/>
  <c r="L153" i="3"/>
  <c r="M153" i="3"/>
  <c r="N153" i="3"/>
  <c r="D154" i="3"/>
  <c r="E154" i="3"/>
  <c r="F154" i="3"/>
  <c r="G154" i="3"/>
  <c r="H154" i="3"/>
  <c r="I154" i="3"/>
  <c r="J154" i="3"/>
  <c r="K154" i="3"/>
  <c r="L154" i="3"/>
  <c r="M154" i="3"/>
  <c r="N154" i="3"/>
  <c r="C154" i="3"/>
  <c r="C153" i="3"/>
  <c r="C149" i="3"/>
  <c r="C150" i="3"/>
  <c r="C151" i="3"/>
  <c r="C152" i="3"/>
  <c r="C148" i="3"/>
  <c r="D146" i="3"/>
  <c r="E146" i="3"/>
  <c r="F146" i="3"/>
  <c r="G146" i="3"/>
  <c r="H146" i="3"/>
  <c r="I146" i="3"/>
  <c r="J146" i="3"/>
  <c r="K146" i="3"/>
  <c r="L146" i="3"/>
  <c r="M146" i="3"/>
  <c r="N146" i="3"/>
  <c r="C146" i="3"/>
  <c r="D145" i="3"/>
  <c r="E145" i="3"/>
  <c r="F145" i="3"/>
  <c r="G145" i="3"/>
  <c r="H145" i="3"/>
  <c r="I145" i="3"/>
  <c r="J145" i="3"/>
  <c r="K145" i="3"/>
  <c r="L145" i="3"/>
  <c r="M145" i="3"/>
  <c r="N145" i="3"/>
  <c r="C145" i="3"/>
  <c r="H6" i="16"/>
  <c r="T91" i="10"/>
  <c r="T85" i="16"/>
  <c r="T84" i="16"/>
  <c r="T80" i="16"/>
  <c r="T34" i="16"/>
  <c r="T31" i="16"/>
  <c r="T25" i="16"/>
  <c r="T24" i="16"/>
  <c r="T23" i="16"/>
  <c r="T22" i="16"/>
  <c r="T21" i="16"/>
  <c r="T15" i="16"/>
  <c r="T14" i="16"/>
  <c r="T13" i="16"/>
  <c r="T12" i="16"/>
  <c r="T9" i="16"/>
  <c r="T8" i="16"/>
  <c r="H76" i="16"/>
  <c r="I75" i="16"/>
  <c r="H75" i="16"/>
  <c r="H74" i="16"/>
  <c r="L81" i="16"/>
  <c r="I71" i="16"/>
  <c r="J71" i="16"/>
  <c r="K71" i="16"/>
  <c r="L71" i="16"/>
  <c r="M71" i="16"/>
  <c r="N71" i="16"/>
  <c r="O71" i="16"/>
  <c r="P71" i="16"/>
  <c r="Q71" i="16"/>
  <c r="R71" i="16"/>
  <c r="S71" i="16"/>
  <c r="H71" i="16"/>
  <c r="H57" i="16"/>
  <c r="T90" i="16"/>
  <c r="R81" i="16"/>
  <c r="N81" i="16"/>
  <c r="J81" i="16"/>
  <c r="S81" i="16"/>
  <c r="Q81" i="16"/>
  <c r="P81" i="16"/>
  <c r="O81" i="16"/>
  <c r="M81" i="16"/>
  <c r="K81" i="16"/>
  <c r="I81" i="16"/>
  <c r="H81" i="16"/>
  <c r="S7" i="16"/>
  <c r="R7" i="16"/>
  <c r="Q7" i="16"/>
  <c r="P7" i="16"/>
  <c r="O7" i="16"/>
  <c r="N7" i="16"/>
  <c r="M7" i="16"/>
  <c r="L7" i="16"/>
  <c r="K7" i="16"/>
  <c r="J7" i="16"/>
  <c r="I7" i="16"/>
  <c r="H7" i="16"/>
  <c r="B2" i="16"/>
  <c r="C8" i="3"/>
  <c r="L8" i="3"/>
  <c r="B2" i="15"/>
  <c r="D34" i="13"/>
  <c r="E33" i="11"/>
  <c r="T71" i="16" l="1"/>
  <c r="P154" i="3"/>
  <c r="K28" i="11" s="1"/>
  <c r="P150" i="3"/>
  <c r="K17" i="11" s="1"/>
  <c r="P153" i="3"/>
  <c r="K25" i="11" s="1"/>
  <c r="E38" i="11" s="1"/>
  <c r="C160" i="3" s="1"/>
  <c r="P149" i="3"/>
  <c r="K16" i="11" s="1"/>
  <c r="O230" i="3"/>
  <c r="M230" i="3"/>
  <c r="N230" i="3"/>
  <c r="P151" i="3"/>
  <c r="K18" i="11" s="1"/>
  <c r="P145" i="3"/>
  <c r="K8" i="11" s="1"/>
  <c r="P146" i="3"/>
  <c r="K9" i="11" s="1"/>
  <c r="E35" i="11" s="1"/>
  <c r="C157" i="3" s="1"/>
  <c r="P152" i="3"/>
  <c r="K19" i="11" s="1"/>
  <c r="P148" i="3"/>
  <c r="K15" i="11" s="1"/>
  <c r="O153" i="3"/>
  <c r="F25" i="11" s="1"/>
  <c r="O148" i="3"/>
  <c r="F15" i="11" s="1"/>
  <c r="O152" i="3"/>
  <c r="F19" i="11" s="1"/>
  <c r="O146" i="3"/>
  <c r="F9" i="11" s="1"/>
  <c r="O145" i="3"/>
  <c r="F8" i="11" s="1"/>
  <c r="O154" i="3"/>
  <c r="F28" i="11" s="1"/>
  <c r="O149" i="3"/>
  <c r="F16" i="11" s="1"/>
  <c r="I53" i="16"/>
  <c r="I58" i="16" s="1"/>
  <c r="J75" i="16"/>
  <c r="J74" i="16"/>
  <c r="O151" i="3"/>
  <c r="F18" i="11" s="1"/>
  <c r="O150" i="3"/>
  <c r="F17" i="11" s="1"/>
  <c r="J57" i="16"/>
  <c r="K57" i="16"/>
  <c r="K74" i="16"/>
  <c r="I73" i="16"/>
  <c r="T26" i="16"/>
  <c r="H16" i="16"/>
  <c r="C147" i="3" s="1"/>
  <c r="O147" i="3" s="1"/>
  <c r="F11" i="11" s="1"/>
  <c r="T81" i="16"/>
  <c r="G8" i="3"/>
  <c r="C12" i="3"/>
  <c r="K43" i="6"/>
  <c r="K37" i="6"/>
  <c r="E38" i="6"/>
  <c r="P147" i="3" l="1"/>
  <c r="K11" i="11" s="1"/>
  <c r="E36" i="11" s="1"/>
  <c r="C158" i="3" s="1"/>
  <c r="K10" i="11"/>
  <c r="F10" i="11"/>
  <c r="F12" i="11" s="1"/>
  <c r="K76" i="16"/>
  <c r="K53" i="16"/>
  <c r="K58" i="16" s="1"/>
  <c r="J53" i="16"/>
  <c r="J58" i="16" s="1"/>
  <c r="J76" i="16"/>
  <c r="K75" i="16"/>
  <c r="J47" i="16"/>
  <c r="F20" i="11"/>
  <c r="L57" i="16"/>
  <c r="L76" i="16"/>
  <c r="M74" i="16"/>
  <c r="L74" i="16"/>
  <c r="K73" i="16"/>
  <c r="J73" i="16"/>
  <c r="L73" i="16"/>
  <c r="H26" i="16"/>
  <c r="D13" i="3"/>
  <c r="G6" i="7"/>
  <c r="H7" i="10"/>
  <c r="F6" i="14"/>
  <c r="F6" i="13"/>
  <c r="E6" i="6"/>
  <c r="D6" i="2"/>
  <c r="F6" i="10"/>
  <c r="F6" i="12"/>
  <c r="D122" i="3"/>
  <c r="E122" i="3"/>
  <c r="F122" i="3"/>
  <c r="G122" i="3"/>
  <c r="H122" i="3"/>
  <c r="I122" i="3"/>
  <c r="J122" i="3"/>
  <c r="K122" i="3"/>
  <c r="L122" i="3"/>
  <c r="D123" i="3"/>
  <c r="E123" i="3"/>
  <c r="F123" i="3"/>
  <c r="G123" i="3"/>
  <c r="H123" i="3"/>
  <c r="I123" i="3"/>
  <c r="J123" i="3"/>
  <c r="K123" i="3"/>
  <c r="L123" i="3"/>
  <c r="D124" i="3"/>
  <c r="E124" i="3"/>
  <c r="F124" i="3"/>
  <c r="G124" i="3"/>
  <c r="H124" i="3"/>
  <c r="I124" i="3"/>
  <c r="J124" i="3"/>
  <c r="K124" i="3"/>
  <c r="L124" i="3"/>
  <c r="C126" i="3"/>
  <c r="C127" i="3"/>
  <c r="C128" i="3"/>
  <c r="C130" i="3"/>
  <c r="C131" i="3"/>
  <c r="C132" i="3"/>
  <c r="C134" i="3"/>
  <c r="C135" i="3"/>
  <c r="C136" i="3"/>
  <c r="C124" i="3"/>
  <c r="C123" i="3"/>
  <c r="C122" i="3"/>
  <c r="L75" i="16" l="1"/>
  <c r="L53" i="16"/>
  <c r="L58" i="16" s="1"/>
  <c r="K47" i="16"/>
  <c r="F22" i="11"/>
  <c r="M57" i="16"/>
  <c r="M76" i="16"/>
  <c r="M53" i="16"/>
  <c r="N74" i="16"/>
  <c r="N73" i="16"/>
  <c r="M73" i="16"/>
  <c r="T16" i="16"/>
  <c r="H53" i="16"/>
  <c r="H58" i="16" s="1"/>
  <c r="D134" i="3"/>
  <c r="E134" i="3"/>
  <c r="F134" i="3"/>
  <c r="G134" i="3"/>
  <c r="H134" i="3"/>
  <c r="I134" i="3"/>
  <c r="J134" i="3"/>
  <c r="K134" i="3"/>
  <c r="L134" i="3"/>
  <c r="D135" i="3"/>
  <c r="E135" i="3"/>
  <c r="F135" i="3"/>
  <c r="G135" i="3"/>
  <c r="H135" i="3"/>
  <c r="I135" i="3"/>
  <c r="J135" i="3"/>
  <c r="K135" i="3"/>
  <c r="L135" i="3"/>
  <c r="D136" i="3"/>
  <c r="E136" i="3"/>
  <c r="F136" i="3"/>
  <c r="G136" i="3"/>
  <c r="H136" i="3"/>
  <c r="I136" i="3"/>
  <c r="J136" i="3"/>
  <c r="K136" i="3"/>
  <c r="L136" i="3"/>
  <c r="C120" i="3"/>
  <c r="C119" i="3"/>
  <c r="C118" i="3"/>
  <c r="C100" i="3"/>
  <c r="C99" i="3"/>
  <c r="C98" i="3"/>
  <c r="B2" i="14"/>
  <c r="C175" i="3"/>
  <c r="C9" i="3"/>
  <c r="C212" i="3" s="1"/>
  <c r="H7" i="14" s="1"/>
  <c r="E8" i="3"/>
  <c r="F8" i="3"/>
  <c r="H8" i="3"/>
  <c r="I8" i="3"/>
  <c r="J8" i="3"/>
  <c r="K8" i="3"/>
  <c r="D8" i="3"/>
  <c r="H73" i="12"/>
  <c r="M75" i="16" l="1"/>
  <c r="L47" i="16"/>
  <c r="M58" i="16"/>
  <c r="N57" i="16"/>
  <c r="N76" i="16"/>
  <c r="N53" i="16"/>
  <c r="O73" i="16"/>
  <c r="D175" i="3"/>
  <c r="E175" i="3" s="1"/>
  <c r="F175" i="3" s="1"/>
  <c r="G175" i="3" s="1"/>
  <c r="H175" i="3" s="1"/>
  <c r="I175" i="3" s="1"/>
  <c r="J175" i="3" s="1"/>
  <c r="K175" i="3" s="1"/>
  <c r="L175" i="3" s="1"/>
  <c r="C31" i="3"/>
  <c r="K13" i="3"/>
  <c r="J13" i="3"/>
  <c r="I13" i="3"/>
  <c r="G13" i="3"/>
  <c r="F13" i="3"/>
  <c r="E13" i="3"/>
  <c r="H13" i="3"/>
  <c r="L13" i="3"/>
  <c r="H12" i="3"/>
  <c r="L12" i="3"/>
  <c r="D12" i="3"/>
  <c r="F12" i="3"/>
  <c r="J12" i="3"/>
  <c r="G12" i="3"/>
  <c r="E12" i="3"/>
  <c r="I12" i="3"/>
  <c r="K12" i="3"/>
  <c r="H121" i="3"/>
  <c r="L32" i="8" s="1"/>
  <c r="M62" i="12" s="1"/>
  <c r="K121" i="3"/>
  <c r="O32" i="8" s="1"/>
  <c r="P62" i="12" s="1"/>
  <c r="G121" i="3"/>
  <c r="K32" i="8" s="1"/>
  <c r="L62" i="12" s="1"/>
  <c r="L121" i="3"/>
  <c r="P32" i="8" s="1"/>
  <c r="Q62" i="12" s="1"/>
  <c r="J121" i="3"/>
  <c r="N32" i="8" s="1"/>
  <c r="O62" i="12" s="1"/>
  <c r="F121" i="3"/>
  <c r="J32" i="8" s="1"/>
  <c r="K62" i="12" s="1"/>
  <c r="D121" i="3"/>
  <c r="H32" i="8" s="1"/>
  <c r="I62" i="12" s="1"/>
  <c r="I121" i="3"/>
  <c r="M32" i="8" s="1"/>
  <c r="N62" i="12" s="1"/>
  <c r="E121" i="3"/>
  <c r="I32" i="8" s="1"/>
  <c r="J62" i="12" s="1"/>
  <c r="C121" i="3"/>
  <c r="G32" i="8" s="1"/>
  <c r="C133" i="3"/>
  <c r="G35" i="8" s="1"/>
  <c r="C129" i="3"/>
  <c r="C125" i="3"/>
  <c r="I133" i="3"/>
  <c r="M35" i="8" s="1"/>
  <c r="E133" i="3"/>
  <c r="I35" i="8" s="1"/>
  <c r="L133" i="3"/>
  <c r="P35" i="8" s="1"/>
  <c r="H133" i="3"/>
  <c r="L35" i="8" s="1"/>
  <c r="K133" i="3"/>
  <c r="O35" i="8" s="1"/>
  <c r="G133" i="3"/>
  <c r="K35" i="8" s="1"/>
  <c r="D133" i="3"/>
  <c r="H35" i="8" s="1"/>
  <c r="C117" i="3"/>
  <c r="G31" i="8" s="1"/>
  <c r="J133" i="3"/>
  <c r="N35" i="8" s="1"/>
  <c r="F133" i="3"/>
  <c r="J35" i="8" s="1"/>
  <c r="C97" i="3"/>
  <c r="B2" i="13"/>
  <c r="B2" i="12"/>
  <c r="K20" i="11"/>
  <c r="E37" i="11" s="1"/>
  <c r="C159" i="3" s="1"/>
  <c r="K12" i="11"/>
  <c r="K13" i="11" s="1"/>
  <c r="B2" i="11"/>
  <c r="C138" i="3"/>
  <c r="B2" i="10"/>
  <c r="D90" i="3"/>
  <c r="E90" i="3"/>
  <c r="F90" i="3"/>
  <c r="G90" i="3"/>
  <c r="H90" i="3"/>
  <c r="I90" i="3"/>
  <c r="J90" i="3"/>
  <c r="K90" i="3"/>
  <c r="L90" i="3"/>
  <c r="D91" i="3"/>
  <c r="E91" i="3"/>
  <c r="F91" i="3"/>
  <c r="G91" i="3"/>
  <c r="H91" i="3"/>
  <c r="I91" i="3"/>
  <c r="J91" i="3"/>
  <c r="K91" i="3"/>
  <c r="L91" i="3"/>
  <c r="D92" i="3"/>
  <c r="E92" i="3"/>
  <c r="F92" i="3"/>
  <c r="G92" i="3"/>
  <c r="H92" i="3"/>
  <c r="I92" i="3"/>
  <c r="J92" i="3"/>
  <c r="K92" i="3"/>
  <c r="L92" i="3"/>
  <c r="D94" i="3"/>
  <c r="E94" i="3"/>
  <c r="F94" i="3"/>
  <c r="G94" i="3"/>
  <c r="H94" i="3"/>
  <c r="I94" i="3"/>
  <c r="J94" i="3"/>
  <c r="K94" i="3"/>
  <c r="L94" i="3"/>
  <c r="D95" i="3"/>
  <c r="E95" i="3"/>
  <c r="F95" i="3"/>
  <c r="G95" i="3"/>
  <c r="H95" i="3"/>
  <c r="I95" i="3"/>
  <c r="J95" i="3"/>
  <c r="K95" i="3"/>
  <c r="L95" i="3"/>
  <c r="D96" i="3"/>
  <c r="E96" i="3"/>
  <c r="F96" i="3"/>
  <c r="G96" i="3"/>
  <c r="H96" i="3"/>
  <c r="I96" i="3"/>
  <c r="J96" i="3"/>
  <c r="K96" i="3"/>
  <c r="L96" i="3"/>
  <c r="D102" i="3"/>
  <c r="E102" i="3"/>
  <c r="F102" i="3"/>
  <c r="G102" i="3"/>
  <c r="H102" i="3"/>
  <c r="I102" i="3"/>
  <c r="J102" i="3"/>
  <c r="K102" i="3"/>
  <c r="L102" i="3"/>
  <c r="D103" i="3"/>
  <c r="E103" i="3"/>
  <c r="F103" i="3"/>
  <c r="G103" i="3"/>
  <c r="H103" i="3"/>
  <c r="I103" i="3"/>
  <c r="J103" i="3"/>
  <c r="K103" i="3"/>
  <c r="L103" i="3"/>
  <c r="D104" i="3"/>
  <c r="E104" i="3"/>
  <c r="F104" i="3"/>
  <c r="G104" i="3"/>
  <c r="H104" i="3"/>
  <c r="I104" i="3"/>
  <c r="J104" i="3"/>
  <c r="K104" i="3"/>
  <c r="L104" i="3"/>
  <c r="D106" i="3"/>
  <c r="E106" i="3"/>
  <c r="F106" i="3"/>
  <c r="G106" i="3"/>
  <c r="H106" i="3"/>
  <c r="I106" i="3"/>
  <c r="J106" i="3"/>
  <c r="K106" i="3"/>
  <c r="L106" i="3"/>
  <c r="D107" i="3"/>
  <c r="E107" i="3"/>
  <c r="F107" i="3"/>
  <c r="G107" i="3"/>
  <c r="H107" i="3"/>
  <c r="I107" i="3"/>
  <c r="J107" i="3"/>
  <c r="K107" i="3"/>
  <c r="L107" i="3"/>
  <c r="D108" i="3"/>
  <c r="E108" i="3"/>
  <c r="F108" i="3"/>
  <c r="G108" i="3"/>
  <c r="H108" i="3"/>
  <c r="I108" i="3"/>
  <c r="J108" i="3"/>
  <c r="K108" i="3"/>
  <c r="L108" i="3"/>
  <c r="D110" i="3"/>
  <c r="E110" i="3"/>
  <c r="F110" i="3"/>
  <c r="G110" i="3"/>
  <c r="H110" i="3"/>
  <c r="I110" i="3"/>
  <c r="J110" i="3"/>
  <c r="K110" i="3"/>
  <c r="L110" i="3"/>
  <c r="D111" i="3"/>
  <c r="E111" i="3"/>
  <c r="F111" i="3"/>
  <c r="G111" i="3"/>
  <c r="H111" i="3"/>
  <c r="I111" i="3"/>
  <c r="J111" i="3"/>
  <c r="K111" i="3"/>
  <c r="L111" i="3"/>
  <c r="D112" i="3"/>
  <c r="E112" i="3"/>
  <c r="F112" i="3"/>
  <c r="G112" i="3"/>
  <c r="H112" i="3"/>
  <c r="I112" i="3"/>
  <c r="J112" i="3"/>
  <c r="K112" i="3"/>
  <c r="L112" i="3"/>
  <c r="D114" i="3"/>
  <c r="E114" i="3"/>
  <c r="F114" i="3"/>
  <c r="G114" i="3"/>
  <c r="H114" i="3"/>
  <c r="I114" i="3"/>
  <c r="J114" i="3"/>
  <c r="K114" i="3"/>
  <c r="L114" i="3"/>
  <c r="D115" i="3"/>
  <c r="E115" i="3"/>
  <c r="F115" i="3"/>
  <c r="G115" i="3"/>
  <c r="H115" i="3"/>
  <c r="I115" i="3"/>
  <c r="J115" i="3"/>
  <c r="K115" i="3"/>
  <c r="L115" i="3"/>
  <c r="D116" i="3"/>
  <c r="E116" i="3"/>
  <c r="F116" i="3"/>
  <c r="G116" i="3"/>
  <c r="H116" i="3"/>
  <c r="I116" i="3"/>
  <c r="J116" i="3"/>
  <c r="K116" i="3"/>
  <c r="L116" i="3"/>
  <c r="D126" i="3"/>
  <c r="E126" i="3"/>
  <c r="F126" i="3"/>
  <c r="G126" i="3"/>
  <c r="H126" i="3"/>
  <c r="I126" i="3"/>
  <c r="J126" i="3"/>
  <c r="K126" i="3"/>
  <c r="L126" i="3"/>
  <c r="D127" i="3"/>
  <c r="E127" i="3"/>
  <c r="F127" i="3"/>
  <c r="G127" i="3"/>
  <c r="H127" i="3"/>
  <c r="I127" i="3"/>
  <c r="J127" i="3"/>
  <c r="K127" i="3"/>
  <c r="L127" i="3"/>
  <c r="D128" i="3"/>
  <c r="E128" i="3"/>
  <c r="F128" i="3"/>
  <c r="G128" i="3"/>
  <c r="H128" i="3"/>
  <c r="I128" i="3"/>
  <c r="J128" i="3"/>
  <c r="K128" i="3"/>
  <c r="L128" i="3"/>
  <c r="D130" i="3"/>
  <c r="E130" i="3"/>
  <c r="F130" i="3"/>
  <c r="G130" i="3"/>
  <c r="H130" i="3"/>
  <c r="I130" i="3"/>
  <c r="J130" i="3"/>
  <c r="K130" i="3"/>
  <c r="L130" i="3"/>
  <c r="D131" i="3"/>
  <c r="E131" i="3"/>
  <c r="F131" i="3"/>
  <c r="G131" i="3"/>
  <c r="H131" i="3"/>
  <c r="I131" i="3"/>
  <c r="J131" i="3"/>
  <c r="K131" i="3"/>
  <c r="L131" i="3"/>
  <c r="D132" i="3"/>
  <c r="E132" i="3"/>
  <c r="F132" i="3"/>
  <c r="G132" i="3"/>
  <c r="H132" i="3"/>
  <c r="I132" i="3"/>
  <c r="J132" i="3"/>
  <c r="K132" i="3"/>
  <c r="L132" i="3"/>
  <c r="C116" i="3"/>
  <c r="C115" i="3"/>
  <c r="C114" i="3"/>
  <c r="C112" i="3"/>
  <c r="C111" i="3"/>
  <c r="C110" i="3"/>
  <c r="C108" i="3"/>
  <c r="C107" i="3"/>
  <c r="C106" i="3"/>
  <c r="C104" i="3"/>
  <c r="C103" i="3"/>
  <c r="C102" i="3"/>
  <c r="C96" i="3"/>
  <c r="C95" i="3"/>
  <c r="C94" i="3"/>
  <c r="C92" i="3"/>
  <c r="C91" i="3"/>
  <c r="C90" i="3"/>
  <c r="D86" i="3"/>
  <c r="E86" i="3"/>
  <c r="F86" i="3"/>
  <c r="G86" i="3"/>
  <c r="H86" i="3"/>
  <c r="I86" i="3"/>
  <c r="J86" i="3"/>
  <c r="K86" i="3"/>
  <c r="L86" i="3"/>
  <c r="D87" i="3"/>
  <c r="E87" i="3"/>
  <c r="F87" i="3"/>
  <c r="G87" i="3"/>
  <c r="H87" i="3"/>
  <c r="I87" i="3"/>
  <c r="J87" i="3"/>
  <c r="K87" i="3"/>
  <c r="L87" i="3"/>
  <c r="D88" i="3"/>
  <c r="E88" i="3"/>
  <c r="F88" i="3"/>
  <c r="G88" i="3"/>
  <c r="H88" i="3"/>
  <c r="I88" i="3"/>
  <c r="J88" i="3"/>
  <c r="K88" i="3"/>
  <c r="L88" i="3"/>
  <c r="C88" i="3"/>
  <c r="C87" i="3"/>
  <c r="C86" i="3"/>
  <c r="D82" i="3"/>
  <c r="E82" i="3"/>
  <c r="F82" i="3"/>
  <c r="G82" i="3"/>
  <c r="H82" i="3"/>
  <c r="I82" i="3"/>
  <c r="J82" i="3"/>
  <c r="K82" i="3"/>
  <c r="L82" i="3"/>
  <c r="D83" i="3"/>
  <c r="E83" i="3"/>
  <c r="F83" i="3"/>
  <c r="G83" i="3"/>
  <c r="H83" i="3"/>
  <c r="I83" i="3"/>
  <c r="J83" i="3"/>
  <c r="K83" i="3"/>
  <c r="L83" i="3"/>
  <c r="D84" i="3"/>
  <c r="E84" i="3"/>
  <c r="F84" i="3"/>
  <c r="G84" i="3"/>
  <c r="H84" i="3"/>
  <c r="I84" i="3"/>
  <c r="J84" i="3"/>
  <c r="K84" i="3"/>
  <c r="L84" i="3"/>
  <c r="C84" i="3"/>
  <c r="C83" i="3"/>
  <c r="C82" i="3"/>
  <c r="D78" i="3"/>
  <c r="E78" i="3"/>
  <c r="F78" i="3"/>
  <c r="G78" i="3"/>
  <c r="H78" i="3"/>
  <c r="I78" i="3"/>
  <c r="J78" i="3"/>
  <c r="K78" i="3"/>
  <c r="L78" i="3"/>
  <c r="D79" i="3"/>
  <c r="E79" i="3"/>
  <c r="F79" i="3"/>
  <c r="G79" i="3"/>
  <c r="H79" i="3"/>
  <c r="I79" i="3"/>
  <c r="J79" i="3"/>
  <c r="K79" i="3"/>
  <c r="L79" i="3"/>
  <c r="D80" i="3"/>
  <c r="E80" i="3"/>
  <c r="F80" i="3"/>
  <c r="G80" i="3"/>
  <c r="H80" i="3"/>
  <c r="I80" i="3"/>
  <c r="J80" i="3"/>
  <c r="K80" i="3"/>
  <c r="L80" i="3"/>
  <c r="C80" i="3"/>
  <c r="C79" i="3"/>
  <c r="C78" i="3"/>
  <c r="D74" i="3"/>
  <c r="E74" i="3"/>
  <c r="F74" i="3"/>
  <c r="G74" i="3"/>
  <c r="H74" i="3"/>
  <c r="I74" i="3"/>
  <c r="J74" i="3"/>
  <c r="K74" i="3"/>
  <c r="L74" i="3"/>
  <c r="D75" i="3"/>
  <c r="E75" i="3"/>
  <c r="F75" i="3"/>
  <c r="G75" i="3"/>
  <c r="H75" i="3"/>
  <c r="I75" i="3"/>
  <c r="J75" i="3"/>
  <c r="K75" i="3"/>
  <c r="L75" i="3"/>
  <c r="D76" i="3"/>
  <c r="E76" i="3"/>
  <c r="F76" i="3"/>
  <c r="G76" i="3"/>
  <c r="H76" i="3"/>
  <c r="I76" i="3"/>
  <c r="J76" i="3"/>
  <c r="K76" i="3"/>
  <c r="L76" i="3"/>
  <c r="C76" i="3"/>
  <c r="C75" i="3"/>
  <c r="C74" i="3"/>
  <c r="D70" i="3"/>
  <c r="E70" i="3"/>
  <c r="F70" i="3"/>
  <c r="G70" i="3"/>
  <c r="H70" i="3"/>
  <c r="I70" i="3"/>
  <c r="J70" i="3"/>
  <c r="K70" i="3"/>
  <c r="L70" i="3"/>
  <c r="D71" i="3"/>
  <c r="E71" i="3"/>
  <c r="F71" i="3"/>
  <c r="G71" i="3"/>
  <c r="H71" i="3"/>
  <c r="I71" i="3"/>
  <c r="J71" i="3"/>
  <c r="K71" i="3"/>
  <c r="L71" i="3"/>
  <c r="D72" i="3"/>
  <c r="E72" i="3"/>
  <c r="F72" i="3"/>
  <c r="G72" i="3"/>
  <c r="H72" i="3"/>
  <c r="I72" i="3"/>
  <c r="J72" i="3"/>
  <c r="K72" i="3"/>
  <c r="L72" i="3"/>
  <c r="C72" i="3"/>
  <c r="C71" i="3"/>
  <c r="C70" i="3"/>
  <c r="D66" i="3"/>
  <c r="E66" i="3"/>
  <c r="F66" i="3"/>
  <c r="G66" i="3"/>
  <c r="H66" i="3"/>
  <c r="I66" i="3"/>
  <c r="J66" i="3"/>
  <c r="K66" i="3"/>
  <c r="L66" i="3"/>
  <c r="D67" i="3"/>
  <c r="E67" i="3"/>
  <c r="F67" i="3"/>
  <c r="G67" i="3"/>
  <c r="H67" i="3"/>
  <c r="I67" i="3"/>
  <c r="J67" i="3"/>
  <c r="K67" i="3"/>
  <c r="L67" i="3"/>
  <c r="D68" i="3"/>
  <c r="E68" i="3"/>
  <c r="F68" i="3"/>
  <c r="G68" i="3"/>
  <c r="H68" i="3"/>
  <c r="I68" i="3"/>
  <c r="J68" i="3"/>
  <c r="K68" i="3"/>
  <c r="L68" i="3"/>
  <c r="C68" i="3"/>
  <c r="C64" i="3"/>
  <c r="C67" i="3"/>
  <c r="C66" i="3"/>
  <c r="D62" i="3"/>
  <c r="E62" i="3"/>
  <c r="F62" i="3"/>
  <c r="G62" i="3"/>
  <c r="H62" i="3"/>
  <c r="I62" i="3"/>
  <c r="J62" i="3"/>
  <c r="K62" i="3"/>
  <c r="L62" i="3"/>
  <c r="D63" i="3"/>
  <c r="E63" i="3"/>
  <c r="F63" i="3"/>
  <c r="G63" i="3"/>
  <c r="H63" i="3"/>
  <c r="I63" i="3"/>
  <c r="J63" i="3"/>
  <c r="K63" i="3"/>
  <c r="L63" i="3"/>
  <c r="D64" i="3"/>
  <c r="E64" i="3"/>
  <c r="F64" i="3"/>
  <c r="G64" i="3"/>
  <c r="H64" i="3"/>
  <c r="I64" i="3"/>
  <c r="J64" i="3"/>
  <c r="K64" i="3"/>
  <c r="L64" i="3"/>
  <c r="C63" i="3"/>
  <c r="C62" i="3"/>
  <c r="D58" i="3"/>
  <c r="E58" i="3"/>
  <c r="F58" i="3"/>
  <c r="G58" i="3"/>
  <c r="H58" i="3"/>
  <c r="I58" i="3"/>
  <c r="J58" i="3"/>
  <c r="K58" i="3"/>
  <c r="L58" i="3"/>
  <c r="D59" i="3"/>
  <c r="E59" i="3"/>
  <c r="F59" i="3"/>
  <c r="G59" i="3"/>
  <c r="H59" i="3"/>
  <c r="I59" i="3"/>
  <c r="J59" i="3"/>
  <c r="K59" i="3"/>
  <c r="L59" i="3"/>
  <c r="D60" i="3"/>
  <c r="E60" i="3"/>
  <c r="F60" i="3"/>
  <c r="G60" i="3"/>
  <c r="H60" i="3"/>
  <c r="I60" i="3"/>
  <c r="J60" i="3"/>
  <c r="K60" i="3"/>
  <c r="L60" i="3"/>
  <c r="C60" i="3"/>
  <c r="C59" i="3"/>
  <c r="C58" i="3"/>
  <c r="D54" i="3"/>
  <c r="E54" i="3"/>
  <c r="F54" i="3"/>
  <c r="G54" i="3"/>
  <c r="H54" i="3"/>
  <c r="I54" i="3"/>
  <c r="J54" i="3"/>
  <c r="K54" i="3"/>
  <c r="L54" i="3"/>
  <c r="D55" i="3"/>
  <c r="E55" i="3"/>
  <c r="F55" i="3"/>
  <c r="G55" i="3"/>
  <c r="H55" i="3"/>
  <c r="I55" i="3"/>
  <c r="J55" i="3"/>
  <c r="K55" i="3"/>
  <c r="L55" i="3"/>
  <c r="D56" i="3"/>
  <c r="E56" i="3"/>
  <c r="F56" i="3"/>
  <c r="G56" i="3"/>
  <c r="H56" i="3"/>
  <c r="I56" i="3"/>
  <c r="J56" i="3"/>
  <c r="K56" i="3"/>
  <c r="L56" i="3"/>
  <c r="C56" i="3"/>
  <c r="C55" i="3"/>
  <c r="C54" i="3"/>
  <c r="D50" i="3"/>
  <c r="E50" i="3"/>
  <c r="F50" i="3"/>
  <c r="G50" i="3"/>
  <c r="H50" i="3"/>
  <c r="I50" i="3"/>
  <c r="J50" i="3"/>
  <c r="K50" i="3"/>
  <c r="L50" i="3"/>
  <c r="D51" i="3"/>
  <c r="E51" i="3"/>
  <c r="F51" i="3"/>
  <c r="G51" i="3"/>
  <c r="H51" i="3"/>
  <c r="I51" i="3"/>
  <c r="J51" i="3"/>
  <c r="K51" i="3"/>
  <c r="L51" i="3"/>
  <c r="D52" i="3"/>
  <c r="E52" i="3"/>
  <c r="F52" i="3"/>
  <c r="G52" i="3"/>
  <c r="H52" i="3"/>
  <c r="I52" i="3"/>
  <c r="J52" i="3"/>
  <c r="K52" i="3"/>
  <c r="L52" i="3"/>
  <c r="C52" i="3"/>
  <c r="C51" i="3"/>
  <c r="C50" i="3"/>
  <c r="L46" i="3"/>
  <c r="L47" i="3"/>
  <c r="L48" i="3"/>
  <c r="D48" i="3"/>
  <c r="E48" i="3"/>
  <c r="F48" i="3"/>
  <c r="G48" i="3"/>
  <c r="H48" i="3"/>
  <c r="I48" i="3"/>
  <c r="J48" i="3"/>
  <c r="K48" i="3"/>
  <c r="C48" i="3"/>
  <c r="D46" i="3"/>
  <c r="E46" i="3"/>
  <c r="F46" i="3"/>
  <c r="G46" i="3"/>
  <c r="H46" i="3"/>
  <c r="I46" i="3"/>
  <c r="J46" i="3"/>
  <c r="K46" i="3"/>
  <c r="C46" i="3"/>
  <c r="D47" i="3"/>
  <c r="E47" i="3"/>
  <c r="F47" i="3"/>
  <c r="G47" i="3"/>
  <c r="H47" i="3"/>
  <c r="I47" i="3"/>
  <c r="J47" i="3"/>
  <c r="K47" i="3"/>
  <c r="C47" i="3"/>
  <c r="D9" i="3"/>
  <c r="D212" i="3" s="1"/>
  <c r="I7" i="14" s="1"/>
  <c r="C44" i="3"/>
  <c r="D44" i="3" s="1"/>
  <c r="E44" i="3" s="1"/>
  <c r="F44" i="3" s="1"/>
  <c r="G44" i="3" s="1"/>
  <c r="H44" i="3" s="1"/>
  <c r="I44" i="3" s="1"/>
  <c r="J44" i="3" s="1"/>
  <c r="K44" i="3" s="1"/>
  <c r="L44" i="3" s="1"/>
  <c r="E124" i="8"/>
  <c r="E123" i="8"/>
  <c r="E117" i="8"/>
  <c r="E106" i="8"/>
  <c r="E104" i="8"/>
  <c r="F42" i="3"/>
  <c r="J24" i="7" s="1"/>
  <c r="J53" i="7" s="1"/>
  <c r="E94" i="8"/>
  <c r="E93" i="8"/>
  <c r="E87" i="8"/>
  <c r="E76" i="8"/>
  <c r="E74" i="8"/>
  <c r="E64" i="8"/>
  <c r="E63" i="8"/>
  <c r="E57" i="8"/>
  <c r="E46" i="8"/>
  <c r="E44" i="8"/>
  <c r="E34" i="8"/>
  <c r="E33" i="8"/>
  <c r="E27" i="8"/>
  <c r="E16" i="8"/>
  <c r="E14" i="8"/>
  <c r="J7" i="7"/>
  <c r="B2" i="8"/>
  <c r="C42" i="3"/>
  <c r="G13" i="7" s="1"/>
  <c r="G42" i="7" s="1"/>
  <c r="D42" i="3"/>
  <c r="H24" i="7" s="1"/>
  <c r="H53" i="7" s="1"/>
  <c r="E42" i="3"/>
  <c r="I10" i="7" s="1"/>
  <c r="I39" i="7" s="1"/>
  <c r="G42" i="3"/>
  <c r="K26" i="7" s="1"/>
  <c r="K55" i="7" s="1"/>
  <c r="H42" i="3"/>
  <c r="L23" i="7" s="1"/>
  <c r="L52" i="7" s="1"/>
  <c r="I42" i="3"/>
  <c r="M24" i="7" s="1"/>
  <c r="M53" i="7" s="1"/>
  <c r="J42" i="3"/>
  <c r="N25" i="7" s="1"/>
  <c r="N54" i="7" s="1"/>
  <c r="K42" i="3"/>
  <c r="O26" i="7" s="1"/>
  <c r="O55" i="7" s="1"/>
  <c r="L42" i="3"/>
  <c r="P23" i="7" s="1"/>
  <c r="P52" i="7" s="1"/>
  <c r="M42" i="3"/>
  <c r="Q24" i="7" s="1"/>
  <c r="Q53" i="7" s="1"/>
  <c r="N42" i="3"/>
  <c r="R25" i="7" s="1"/>
  <c r="R54" i="7" s="1"/>
  <c r="E32" i="7"/>
  <c r="E20" i="7"/>
  <c r="R7" i="7"/>
  <c r="Q7" i="7"/>
  <c r="P7" i="7"/>
  <c r="O7" i="7"/>
  <c r="N7" i="7"/>
  <c r="M7" i="7"/>
  <c r="L7" i="7"/>
  <c r="K7" i="7"/>
  <c r="I7" i="7"/>
  <c r="H7" i="7"/>
  <c r="G7" i="7"/>
  <c r="N75" i="16" l="1"/>
  <c r="M47" i="16"/>
  <c r="N58" i="16"/>
  <c r="O57" i="16"/>
  <c r="O76" i="16"/>
  <c r="O53" i="16"/>
  <c r="P74" i="16"/>
  <c r="O74" i="16"/>
  <c r="E44" i="6"/>
  <c r="H86" i="10"/>
  <c r="H62" i="10"/>
  <c r="I62" i="10" s="1"/>
  <c r="J62" i="10" s="1"/>
  <c r="K62" i="10" s="1"/>
  <c r="L62" i="10" s="1"/>
  <c r="M62" i="10" s="1"/>
  <c r="N62" i="10" s="1"/>
  <c r="O62" i="10" s="1"/>
  <c r="P62" i="10" s="1"/>
  <c r="Q62" i="10" s="1"/>
  <c r="R62" i="10" s="1"/>
  <c r="S62" i="10" s="1"/>
  <c r="T62" i="10" s="1"/>
  <c r="C5" i="15"/>
  <c r="C5" i="16"/>
  <c r="F13" i="11"/>
  <c r="D31" i="3"/>
  <c r="E43" i="6"/>
  <c r="C93" i="3"/>
  <c r="G23" i="8" s="1"/>
  <c r="C113" i="3"/>
  <c r="G30" i="8" s="1"/>
  <c r="F101" i="3"/>
  <c r="J25" i="8" s="1"/>
  <c r="I93" i="3"/>
  <c r="M23" i="8" s="1"/>
  <c r="L89" i="3"/>
  <c r="P22" i="8" s="1"/>
  <c r="D89" i="3"/>
  <c r="H22" i="8" s="1"/>
  <c r="J85" i="3"/>
  <c r="K129" i="3"/>
  <c r="O34" i="8" s="1"/>
  <c r="P86" i="12" s="1"/>
  <c r="G129" i="3"/>
  <c r="K34" i="8" s="1"/>
  <c r="L86" i="12" s="1"/>
  <c r="F125" i="3"/>
  <c r="J33" i="8" s="1"/>
  <c r="D109" i="3"/>
  <c r="H27" i="8" s="1"/>
  <c r="I81" i="12" s="1"/>
  <c r="G105" i="3"/>
  <c r="K26" i="8" s="1"/>
  <c r="E93" i="3"/>
  <c r="I23" i="8" s="1"/>
  <c r="E85" i="3"/>
  <c r="J129" i="3"/>
  <c r="N34" i="8" s="1"/>
  <c r="O86" i="12" s="1"/>
  <c r="F129" i="3"/>
  <c r="J34" i="8" s="1"/>
  <c r="K86" i="12" s="1"/>
  <c r="I125" i="3"/>
  <c r="M33" i="8" s="1"/>
  <c r="E125" i="3"/>
  <c r="I33" i="8" s="1"/>
  <c r="L113" i="3"/>
  <c r="H113" i="3"/>
  <c r="D113" i="3"/>
  <c r="K109" i="3"/>
  <c r="O27" i="8" s="1"/>
  <c r="P81" i="12" s="1"/>
  <c r="G109" i="3"/>
  <c r="K27" i="8" s="1"/>
  <c r="L81" i="12" s="1"/>
  <c r="F105" i="3"/>
  <c r="J26" i="8" s="1"/>
  <c r="I101" i="3"/>
  <c r="M25" i="8" s="1"/>
  <c r="E101" i="3"/>
  <c r="I25" i="8" s="1"/>
  <c r="L93" i="3"/>
  <c r="P23" i="8" s="1"/>
  <c r="D93" i="3"/>
  <c r="H23" i="8" s="1"/>
  <c r="K89" i="3"/>
  <c r="O22" i="8" s="1"/>
  <c r="C85" i="3"/>
  <c r="C101" i="3"/>
  <c r="G25" i="8" s="1"/>
  <c r="C81" i="3"/>
  <c r="I85" i="3"/>
  <c r="C89" i="3"/>
  <c r="G22" i="8" s="1"/>
  <c r="C109" i="3"/>
  <c r="G27" i="8" s="1"/>
  <c r="L85" i="3"/>
  <c r="H85" i="3"/>
  <c r="D85" i="3"/>
  <c r="H19" i="8" s="1"/>
  <c r="C105" i="3"/>
  <c r="G26" i="8" s="1"/>
  <c r="I129" i="3"/>
  <c r="M34" i="8" s="1"/>
  <c r="N86" i="12" s="1"/>
  <c r="E129" i="3"/>
  <c r="I34" i="8" s="1"/>
  <c r="J86" i="12" s="1"/>
  <c r="L125" i="3"/>
  <c r="P33" i="8" s="1"/>
  <c r="H125" i="3"/>
  <c r="L33" i="8" s="1"/>
  <c r="D125" i="3"/>
  <c r="H33" i="8" s="1"/>
  <c r="K113" i="3"/>
  <c r="G113" i="3"/>
  <c r="J109" i="3"/>
  <c r="N27" i="8" s="1"/>
  <c r="O81" i="12" s="1"/>
  <c r="F109" i="3"/>
  <c r="J27" i="8" s="1"/>
  <c r="K81" i="12" s="1"/>
  <c r="I105" i="3"/>
  <c r="M26" i="8" s="1"/>
  <c r="E105" i="3"/>
  <c r="I26" i="8" s="1"/>
  <c r="L101" i="3"/>
  <c r="P25" i="8" s="1"/>
  <c r="H101" i="3"/>
  <c r="L25" i="8" s="1"/>
  <c r="D101" i="3"/>
  <c r="H25" i="8" s="1"/>
  <c r="K93" i="3"/>
  <c r="O23" i="8" s="1"/>
  <c r="G93" i="3"/>
  <c r="K23" i="8" s="1"/>
  <c r="J89" i="3"/>
  <c r="N22" i="8" s="1"/>
  <c r="F89" i="3"/>
  <c r="J22" i="8" s="1"/>
  <c r="K85" i="3"/>
  <c r="G85" i="3"/>
  <c r="L129" i="3"/>
  <c r="P34" i="8" s="1"/>
  <c r="Q86" i="12" s="1"/>
  <c r="H129" i="3"/>
  <c r="L34" i="8" s="1"/>
  <c r="M86" i="12" s="1"/>
  <c r="D129" i="3"/>
  <c r="H34" i="8" s="1"/>
  <c r="I86" i="12" s="1"/>
  <c r="K125" i="3"/>
  <c r="O33" i="8" s="1"/>
  <c r="G125" i="3"/>
  <c r="K33" i="8" s="1"/>
  <c r="J113" i="3"/>
  <c r="F113" i="3"/>
  <c r="I109" i="3"/>
  <c r="M27" i="8" s="1"/>
  <c r="N81" i="12" s="1"/>
  <c r="E109" i="3"/>
  <c r="I27" i="8" s="1"/>
  <c r="J81" i="12" s="1"/>
  <c r="L105" i="3"/>
  <c r="P26" i="8" s="1"/>
  <c r="H105" i="3"/>
  <c r="L26" i="8" s="1"/>
  <c r="D105" i="3"/>
  <c r="H26" i="8" s="1"/>
  <c r="K101" i="3"/>
  <c r="O25" i="8" s="1"/>
  <c r="G101" i="3"/>
  <c r="K25" i="8" s="1"/>
  <c r="J93" i="3"/>
  <c r="N23" i="8" s="1"/>
  <c r="F93" i="3"/>
  <c r="J23" i="8" s="1"/>
  <c r="I89" i="3"/>
  <c r="M22" i="8" s="1"/>
  <c r="E89" i="3"/>
  <c r="I22" i="8" s="1"/>
  <c r="J125" i="3"/>
  <c r="N33" i="8" s="1"/>
  <c r="I113" i="3"/>
  <c r="E113" i="3"/>
  <c r="L109" i="3"/>
  <c r="P27" i="8" s="1"/>
  <c r="Q81" i="12" s="1"/>
  <c r="H109" i="3"/>
  <c r="L27" i="8" s="1"/>
  <c r="M81" i="12" s="1"/>
  <c r="K105" i="3"/>
  <c r="O26" i="8" s="1"/>
  <c r="J105" i="3"/>
  <c r="N26" i="8" s="1"/>
  <c r="J101" i="3"/>
  <c r="N25" i="8" s="1"/>
  <c r="H93" i="3"/>
  <c r="L23" i="8" s="1"/>
  <c r="H89" i="3"/>
  <c r="L22" i="8" s="1"/>
  <c r="G89" i="3"/>
  <c r="K22" i="8" s="1"/>
  <c r="F85" i="3"/>
  <c r="G24" i="8"/>
  <c r="C49" i="3"/>
  <c r="C57" i="3"/>
  <c r="G12" i="8" s="1"/>
  <c r="C73" i="3"/>
  <c r="C5" i="11"/>
  <c r="C5" i="14"/>
  <c r="C45" i="3"/>
  <c r="G9" i="8" s="1"/>
  <c r="H45" i="3"/>
  <c r="L9" i="8" s="1"/>
  <c r="D45" i="3"/>
  <c r="H9" i="8" s="1"/>
  <c r="L45" i="3"/>
  <c r="P9" i="8" s="1"/>
  <c r="J49" i="3"/>
  <c r="F49" i="3"/>
  <c r="L53" i="3"/>
  <c r="P11" i="8" s="1"/>
  <c r="H53" i="3"/>
  <c r="L11" i="8" s="1"/>
  <c r="D53" i="3"/>
  <c r="H11" i="8" s="1"/>
  <c r="J57" i="3"/>
  <c r="F57" i="3"/>
  <c r="K61" i="3"/>
  <c r="G61" i="3"/>
  <c r="J65" i="3"/>
  <c r="F65" i="3"/>
  <c r="L69" i="3"/>
  <c r="P15" i="8" s="1"/>
  <c r="H69" i="3"/>
  <c r="L15" i="8" s="1"/>
  <c r="D69" i="3"/>
  <c r="H15" i="8" s="1"/>
  <c r="J73" i="3"/>
  <c r="F73" i="3"/>
  <c r="L77" i="3"/>
  <c r="P17" i="8" s="1"/>
  <c r="H77" i="3"/>
  <c r="L17" i="8" s="1"/>
  <c r="D77" i="3"/>
  <c r="J81" i="3"/>
  <c r="F81" i="3"/>
  <c r="J18" i="8" s="1"/>
  <c r="I45" i="3"/>
  <c r="E45" i="3"/>
  <c r="I9" i="8" s="1"/>
  <c r="K49" i="3"/>
  <c r="G49" i="3"/>
  <c r="I53" i="3"/>
  <c r="M11" i="8" s="1"/>
  <c r="E53" i="3"/>
  <c r="I11" i="8" s="1"/>
  <c r="K57" i="3"/>
  <c r="G57" i="3"/>
  <c r="L61" i="3"/>
  <c r="P13" i="8" s="1"/>
  <c r="H61" i="3"/>
  <c r="D61" i="3"/>
  <c r="K65" i="3"/>
  <c r="G65" i="3"/>
  <c r="I69" i="3"/>
  <c r="M15" i="8" s="1"/>
  <c r="E69" i="3"/>
  <c r="I15" i="8" s="1"/>
  <c r="K73" i="3"/>
  <c r="G73" i="3"/>
  <c r="I77" i="3"/>
  <c r="M17" i="8" s="1"/>
  <c r="E77" i="3"/>
  <c r="I17" i="8" s="1"/>
  <c r="K81" i="3"/>
  <c r="G81" i="3"/>
  <c r="K18" i="8" s="1"/>
  <c r="C65" i="3"/>
  <c r="G14" i="8" s="1"/>
  <c r="K45" i="3"/>
  <c r="O9" i="8" s="1"/>
  <c r="E49" i="3"/>
  <c r="K53" i="3"/>
  <c r="O11" i="8" s="1"/>
  <c r="G53" i="3"/>
  <c r="K11" i="8" s="1"/>
  <c r="I57" i="3"/>
  <c r="F61" i="3"/>
  <c r="I65" i="3"/>
  <c r="K69" i="3"/>
  <c r="O15" i="8" s="1"/>
  <c r="G69" i="3"/>
  <c r="K15" i="8" s="1"/>
  <c r="I73" i="3"/>
  <c r="K77" i="3"/>
  <c r="O17" i="8" s="1"/>
  <c r="E81" i="3"/>
  <c r="I18" i="8" s="1"/>
  <c r="J45" i="3"/>
  <c r="N9" i="8" s="1"/>
  <c r="F45" i="3"/>
  <c r="L49" i="3"/>
  <c r="P10" i="8" s="1"/>
  <c r="H49" i="3"/>
  <c r="L10" i="8" s="1"/>
  <c r="D49" i="3"/>
  <c r="J53" i="3"/>
  <c r="N11" i="8" s="1"/>
  <c r="F53" i="3"/>
  <c r="J11" i="8" s="1"/>
  <c r="L57" i="3"/>
  <c r="H57" i="3"/>
  <c r="D57" i="3"/>
  <c r="I61" i="3"/>
  <c r="E61" i="3"/>
  <c r="L65" i="3"/>
  <c r="H65" i="3"/>
  <c r="D65" i="3"/>
  <c r="J69" i="3"/>
  <c r="N15" i="8" s="1"/>
  <c r="F69" i="3"/>
  <c r="J15" i="8" s="1"/>
  <c r="L73" i="3"/>
  <c r="H73" i="3"/>
  <c r="D73" i="3"/>
  <c r="J77" i="3"/>
  <c r="N17" i="8" s="1"/>
  <c r="F77" i="3"/>
  <c r="J17" i="8" s="1"/>
  <c r="L81" i="3"/>
  <c r="P18" i="8" s="1"/>
  <c r="H81" i="3"/>
  <c r="L18" i="8" s="1"/>
  <c r="D81" i="3"/>
  <c r="H18" i="8" s="1"/>
  <c r="G34" i="8"/>
  <c r="G45" i="3"/>
  <c r="K9" i="8" s="1"/>
  <c r="I49" i="3"/>
  <c r="E57" i="3"/>
  <c r="J61" i="3"/>
  <c r="E65" i="3"/>
  <c r="E73" i="3"/>
  <c r="G77" i="3"/>
  <c r="I81" i="3"/>
  <c r="C53" i="3"/>
  <c r="C61" i="3"/>
  <c r="C69" i="3"/>
  <c r="G15" i="8" s="1"/>
  <c r="C77" i="3"/>
  <c r="E9" i="3"/>
  <c r="E212" i="3" s="1"/>
  <c r="J7" i="14" s="1"/>
  <c r="H7" i="12"/>
  <c r="C5" i="12"/>
  <c r="C5" i="2"/>
  <c r="C5" i="10"/>
  <c r="C5" i="6"/>
  <c r="C5" i="13"/>
  <c r="C5" i="8"/>
  <c r="C5" i="7"/>
  <c r="G7" i="8"/>
  <c r="H7" i="13"/>
  <c r="I7" i="12"/>
  <c r="I7" i="13"/>
  <c r="K22" i="11"/>
  <c r="K23" i="11" s="1"/>
  <c r="F23" i="11"/>
  <c r="G33" i="8"/>
  <c r="H85" i="10" s="1"/>
  <c r="I8" i="10"/>
  <c r="J8" i="10"/>
  <c r="M8" i="10"/>
  <c r="R8" i="10"/>
  <c r="K8" i="10"/>
  <c r="O8" i="10"/>
  <c r="S8" i="10"/>
  <c r="Q8" i="10"/>
  <c r="N8" i="10"/>
  <c r="H8" i="10"/>
  <c r="L8" i="10"/>
  <c r="P8" i="10"/>
  <c r="J14" i="7"/>
  <c r="J43" i="7" s="1"/>
  <c r="J26" i="7"/>
  <c r="J55" i="7" s="1"/>
  <c r="J19" i="7"/>
  <c r="J48" i="7" s="1"/>
  <c r="J11" i="7"/>
  <c r="J40" i="7" s="1"/>
  <c r="J31" i="7"/>
  <c r="J60" i="7" s="1"/>
  <c r="J23" i="7"/>
  <c r="J52" i="7" s="1"/>
  <c r="J15" i="7"/>
  <c r="J44" i="7" s="1"/>
  <c r="J27" i="7"/>
  <c r="J56" i="7" s="1"/>
  <c r="J18" i="7"/>
  <c r="J47" i="7" s="1"/>
  <c r="J10" i="7"/>
  <c r="J39" i="7" s="1"/>
  <c r="J30" i="7"/>
  <c r="J59" i="7" s="1"/>
  <c r="J22" i="7"/>
  <c r="J51" i="7" s="1"/>
  <c r="J17" i="7"/>
  <c r="J46" i="7" s="1"/>
  <c r="J13" i="7"/>
  <c r="J29" i="7"/>
  <c r="J58" i="7" s="1"/>
  <c r="J25" i="7"/>
  <c r="J16" i="7"/>
  <c r="J45" i="7" s="1"/>
  <c r="J12" i="7"/>
  <c r="J41" i="7" s="1"/>
  <c r="J28" i="7"/>
  <c r="J57" i="7" s="1"/>
  <c r="E34" i="7"/>
  <c r="C176" i="3" s="1"/>
  <c r="R15" i="7"/>
  <c r="R44" i="7" s="1"/>
  <c r="G17" i="7"/>
  <c r="N11" i="7"/>
  <c r="N40" i="7" s="1"/>
  <c r="G12" i="7"/>
  <c r="I30" i="7"/>
  <c r="I59" i="7" s="1"/>
  <c r="P24" i="7"/>
  <c r="P53" i="7" s="1"/>
  <c r="K14" i="7"/>
  <c r="K43" i="7" s="1"/>
  <c r="O31" i="7"/>
  <c r="O60" i="7" s="1"/>
  <c r="R10" i="7"/>
  <c r="R39" i="7" s="1"/>
  <c r="K18" i="7"/>
  <c r="K47" i="7" s="1"/>
  <c r="N15" i="7"/>
  <c r="N44" i="7" s="1"/>
  <c r="P13" i="7"/>
  <c r="P42" i="7" s="1"/>
  <c r="I11" i="7"/>
  <c r="I40" i="7" s="1"/>
  <c r="K31" i="7"/>
  <c r="K60" i="7" s="1"/>
  <c r="P28" i="7"/>
  <c r="P57" i="7" s="1"/>
  <c r="R26" i="7"/>
  <c r="R55" i="7" s="1"/>
  <c r="L24" i="7"/>
  <c r="L53" i="7" s="1"/>
  <c r="K27" i="7"/>
  <c r="K56" i="7" s="1"/>
  <c r="N10" i="7"/>
  <c r="N39" i="7" s="1"/>
  <c r="P17" i="7"/>
  <c r="P46" i="7" s="1"/>
  <c r="I15" i="7"/>
  <c r="I44" i="7" s="1"/>
  <c r="L13" i="7"/>
  <c r="L42" i="7" s="1"/>
  <c r="O19" i="7"/>
  <c r="O48" i="7" s="1"/>
  <c r="R30" i="7"/>
  <c r="R59" i="7" s="1"/>
  <c r="L28" i="7"/>
  <c r="L57" i="7" s="1"/>
  <c r="N26" i="7"/>
  <c r="N55" i="7" s="1"/>
  <c r="O23" i="7"/>
  <c r="O52" i="7" s="1"/>
  <c r="O18" i="7"/>
  <c r="O47" i="7" s="1"/>
  <c r="L17" i="7"/>
  <c r="L46" i="7" s="1"/>
  <c r="O14" i="7"/>
  <c r="O43" i="7" s="1"/>
  <c r="R11" i="7"/>
  <c r="R40" i="7" s="1"/>
  <c r="K19" i="7"/>
  <c r="K48" i="7" s="1"/>
  <c r="N30" i="7"/>
  <c r="N59" i="7" s="1"/>
  <c r="O27" i="7"/>
  <c r="O56" i="7" s="1"/>
  <c r="I26" i="7"/>
  <c r="I55" i="7" s="1"/>
  <c r="K23" i="7"/>
  <c r="K52" i="7" s="1"/>
  <c r="H18" i="7"/>
  <c r="H47" i="7" s="1"/>
  <c r="Q16" i="7"/>
  <c r="Q45" i="7" s="1"/>
  <c r="H22" i="7"/>
  <c r="H51" i="7" s="1"/>
  <c r="M29" i="7"/>
  <c r="M58" i="7" s="1"/>
  <c r="Q25" i="7"/>
  <c r="Q54" i="7" s="1"/>
  <c r="H25" i="7"/>
  <c r="H54" i="7" s="1"/>
  <c r="G24" i="7"/>
  <c r="G10" i="7"/>
  <c r="G39" i="7" s="1"/>
  <c r="G16" i="7"/>
  <c r="G11" i="7"/>
  <c r="H17" i="7"/>
  <c r="H46" i="7" s="1"/>
  <c r="H13" i="7"/>
  <c r="Q10" i="7"/>
  <c r="Q39" i="7" s="1"/>
  <c r="M10" i="7"/>
  <c r="M39" i="7" s="1"/>
  <c r="R18" i="7"/>
  <c r="R47" i="7" s="1"/>
  <c r="N18" i="7"/>
  <c r="N47" i="7" s="1"/>
  <c r="I18" i="7"/>
  <c r="I47" i="7" s="1"/>
  <c r="O17" i="7"/>
  <c r="O46" i="7" s="1"/>
  <c r="K17" i="7"/>
  <c r="K46" i="7" s="1"/>
  <c r="P16" i="7"/>
  <c r="P45" i="7" s="1"/>
  <c r="L16" i="7"/>
  <c r="L45" i="7" s="1"/>
  <c r="Q15" i="7"/>
  <c r="Q44" i="7" s="1"/>
  <c r="M15" i="7"/>
  <c r="M44" i="7" s="1"/>
  <c r="R14" i="7"/>
  <c r="R43" i="7" s="1"/>
  <c r="N14" i="7"/>
  <c r="N43" i="7" s="1"/>
  <c r="I14" i="7"/>
  <c r="I43" i="7" s="1"/>
  <c r="O13" i="7"/>
  <c r="O42" i="7" s="1"/>
  <c r="K13" i="7"/>
  <c r="K42" i="7" s="1"/>
  <c r="P12" i="7"/>
  <c r="P41" i="7" s="1"/>
  <c r="L12" i="7"/>
  <c r="L41" i="7" s="1"/>
  <c r="Q11" i="7"/>
  <c r="Q40" i="7" s="1"/>
  <c r="M11" i="7"/>
  <c r="M40" i="7" s="1"/>
  <c r="R19" i="7"/>
  <c r="R48" i="7" s="1"/>
  <c r="N19" i="7"/>
  <c r="N48" i="7" s="1"/>
  <c r="I19" i="7"/>
  <c r="I48" i="7" s="1"/>
  <c r="P22" i="7"/>
  <c r="P51" i="7" s="1"/>
  <c r="L22" i="7"/>
  <c r="L51" i="7" s="1"/>
  <c r="R31" i="7"/>
  <c r="R60" i="7" s="1"/>
  <c r="N31" i="7"/>
  <c r="N60" i="7" s="1"/>
  <c r="I31" i="7"/>
  <c r="I60" i="7" s="1"/>
  <c r="Q30" i="7"/>
  <c r="Q59" i="7" s="1"/>
  <c r="M30" i="7"/>
  <c r="M59" i="7" s="1"/>
  <c r="H30" i="7"/>
  <c r="H59" i="7" s="1"/>
  <c r="P29" i="7"/>
  <c r="P58" i="7" s="1"/>
  <c r="L29" i="7"/>
  <c r="L58" i="7" s="1"/>
  <c r="G29" i="7"/>
  <c r="O28" i="7"/>
  <c r="O57" i="7" s="1"/>
  <c r="K28" i="7"/>
  <c r="K57" i="7" s="1"/>
  <c r="R27" i="7"/>
  <c r="R56" i="7" s="1"/>
  <c r="N27" i="7"/>
  <c r="N56" i="7" s="1"/>
  <c r="I27" i="7"/>
  <c r="I56" i="7" s="1"/>
  <c r="Q26" i="7"/>
  <c r="Q55" i="7" s="1"/>
  <c r="M26" i="7"/>
  <c r="M55" i="7" s="1"/>
  <c r="H26" i="7"/>
  <c r="H55" i="7" s="1"/>
  <c r="P25" i="7"/>
  <c r="P54" i="7" s="1"/>
  <c r="L25" i="7"/>
  <c r="L54" i="7" s="1"/>
  <c r="G25" i="7"/>
  <c r="O24" i="7"/>
  <c r="O53" i="7" s="1"/>
  <c r="K24" i="7"/>
  <c r="K53" i="7" s="1"/>
  <c r="R23" i="7"/>
  <c r="R52" i="7" s="1"/>
  <c r="N23" i="7"/>
  <c r="N52" i="7" s="1"/>
  <c r="I23" i="7"/>
  <c r="I52" i="7" s="1"/>
  <c r="H14" i="7"/>
  <c r="H43" i="7" s="1"/>
  <c r="M12" i="7"/>
  <c r="M41" i="7" s="1"/>
  <c r="M22" i="7"/>
  <c r="M51" i="7" s="1"/>
  <c r="H29" i="7"/>
  <c r="H58" i="7" s="1"/>
  <c r="M25" i="7"/>
  <c r="M54" i="7" s="1"/>
  <c r="G19" i="7"/>
  <c r="G15" i="7"/>
  <c r="H10" i="7"/>
  <c r="H39" i="7" s="1"/>
  <c r="H16" i="7"/>
  <c r="H45" i="7" s="1"/>
  <c r="H12" i="7"/>
  <c r="H41" i="7" s="1"/>
  <c r="P10" i="7"/>
  <c r="P39" i="7" s="1"/>
  <c r="L10" i="7"/>
  <c r="L39" i="7" s="1"/>
  <c r="Q18" i="7"/>
  <c r="Q47" i="7" s="1"/>
  <c r="M18" i="7"/>
  <c r="M47" i="7" s="1"/>
  <c r="R17" i="7"/>
  <c r="R46" i="7" s="1"/>
  <c r="N17" i="7"/>
  <c r="N46" i="7" s="1"/>
  <c r="I17" i="7"/>
  <c r="I46" i="7" s="1"/>
  <c r="O16" i="7"/>
  <c r="O45" i="7" s="1"/>
  <c r="K16" i="7"/>
  <c r="K45" i="7" s="1"/>
  <c r="P15" i="7"/>
  <c r="P44" i="7" s="1"/>
  <c r="L15" i="7"/>
  <c r="L44" i="7" s="1"/>
  <c r="Q14" i="7"/>
  <c r="Q43" i="7" s="1"/>
  <c r="M14" i="7"/>
  <c r="M43" i="7" s="1"/>
  <c r="R13" i="7"/>
  <c r="R42" i="7" s="1"/>
  <c r="N13" i="7"/>
  <c r="N42" i="7" s="1"/>
  <c r="I13" i="7"/>
  <c r="I42" i="7" s="1"/>
  <c r="O12" i="7"/>
  <c r="O41" i="7" s="1"/>
  <c r="K12" i="7"/>
  <c r="K41" i="7" s="1"/>
  <c r="P11" i="7"/>
  <c r="P40" i="7" s="1"/>
  <c r="L11" i="7"/>
  <c r="L40" i="7" s="1"/>
  <c r="Q19" i="7"/>
  <c r="Q48" i="7" s="1"/>
  <c r="M19" i="7"/>
  <c r="M48" i="7" s="1"/>
  <c r="G22" i="7"/>
  <c r="G51" i="7" s="1"/>
  <c r="O22" i="7"/>
  <c r="O51" i="7" s="1"/>
  <c r="K22" i="7"/>
  <c r="K51" i="7" s="1"/>
  <c r="Q31" i="7"/>
  <c r="Q60" i="7" s="1"/>
  <c r="M31" i="7"/>
  <c r="M60" i="7" s="1"/>
  <c r="H31" i="7"/>
  <c r="H60" i="7" s="1"/>
  <c r="P30" i="7"/>
  <c r="P59" i="7" s="1"/>
  <c r="L30" i="7"/>
  <c r="L59" i="7" s="1"/>
  <c r="G30" i="7"/>
  <c r="O29" i="7"/>
  <c r="O58" i="7" s="1"/>
  <c r="K29" i="7"/>
  <c r="K58" i="7" s="1"/>
  <c r="R28" i="7"/>
  <c r="R57" i="7" s="1"/>
  <c r="N28" i="7"/>
  <c r="N57" i="7" s="1"/>
  <c r="I28" i="7"/>
  <c r="I57" i="7" s="1"/>
  <c r="Q27" i="7"/>
  <c r="Q56" i="7" s="1"/>
  <c r="M27" i="7"/>
  <c r="M56" i="7" s="1"/>
  <c r="H27" i="7"/>
  <c r="H56" i="7" s="1"/>
  <c r="P26" i="7"/>
  <c r="P55" i="7" s="1"/>
  <c r="L26" i="7"/>
  <c r="L55" i="7" s="1"/>
  <c r="G26" i="7"/>
  <c r="O25" i="7"/>
  <c r="O54" i="7" s="1"/>
  <c r="K25" i="7"/>
  <c r="K54" i="7" s="1"/>
  <c r="R24" i="7"/>
  <c r="R53" i="7" s="1"/>
  <c r="N24" i="7"/>
  <c r="N53" i="7" s="1"/>
  <c r="I24" i="7"/>
  <c r="I53" i="7" s="1"/>
  <c r="Q23" i="7"/>
  <c r="Q52" i="7" s="1"/>
  <c r="M23" i="7"/>
  <c r="M52" i="7" s="1"/>
  <c r="H23" i="7"/>
  <c r="H52" i="7" s="1"/>
  <c r="M16" i="7"/>
  <c r="M45" i="7" s="1"/>
  <c r="Q12" i="7"/>
  <c r="Q41" i="7" s="1"/>
  <c r="Q22" i="7"/>
  <c r="Q51" i="7" s="1"/>
  <c r="Q29" i="7"/>
  <c r="Q58" i="7" s="1"/>
  <c r="G28" i="7"/>
  <c r="G18" i="7"/>
  <c r="G14" i="7"/>
  <c r="H19" i="7"/>
  <c r="H48" i="7" s="1"/>
  <c r="H15" i="7"/>
  <c r="H44" i="7" s="1"/>
  <c r="H11" i="7"/>
  <c r="H40" i="7" s="1"/>
  <c r="O10" i="7"/>
  <c r="O39" i="7" s="1"/>
  <c r="K10" i="7"/>
  <c r="K39" i="7" s="1"/>
  <c r="P18" i="7"/>
  <c r="P47" i="7" s="1"/>
  <c r="L18" i="7"/>
  <c r="L47" i="7" s="1"/>
  <c r="Q17" i="7"/>
  <c r="Q46" i="7" s="1"/>
  <c r="M17" i="7"/>
  <c r="M46" i="7" s="1"/>
  <c r="R16" i="7"/>
  <c r="R45" i="7" s="1"/>
  <c r="N16" i="7"/>
  <c r="N45" i="7" s="1"/>
  <c r="I16" i="7"/>
  <c r="I45" i="7" s="1"/>
  <c r="O15" i="7"/>
  <c r="O44" i="7" s="1"/>
  <c r="K15" i="7"/>
  <c r="K44" i="7" s="1"/>
  <c r="P14" i="7"/>
  <c r="P43" i="7" s="1"/>
  <c r="L14" i="7"/>
  <c r="L43" i="7" s="1"/>
  <c r="Q13" i="7"/>
  <c r="Q42" i="7" s="1"/>
  <c r="M13" i="7"/>
  <c r="M42" i="7" s="1"/>
  <c r="R12" i="7"/>
  <c r="R41" i="7" s="1"/>
  <c r="N12" i="7"/>
  <c r="N41" i="7" s="1"/>
  <c r="I12" i="7"/>
  <c r="I41" i="7" s="1"/>
  <c r="O11" i="7"/>
  <c r="O40" i="7" s="1"/>
  <c r="K11" i="7"/>
  <c r="K40" i="7" s="1"/>
  <c r="P19" i="7"/>
  <c r="P48" i="7" s="1"/>
  <c r="L19" i="7"/>
  <c r="L48" i="7" s="1"/>
  <c r="R22" i="7"/>
  <c r="R51" i="7" s="1"/>
  <c r="N22" i="7"/>
  <c r="N51" i="7" s="1"/>
  <c r="I22" i="7"/>
  <c r="I51" i="7" s="1"/>
  <c r="P31" i="7"/>
  <c r="P60" i="7" s="1"/>
  <c r="L31" i="7"/>
  <c r="L60" i="7" s="1"/>
  <c r="G31" i="7"/>
  <c r="O30" i="7"/>
  <c r="O59" i="7" s="1"/>
  <c r="K30" i="7"/>
  <c r="K59" i="7" s="1"/>
  <c r="R29" i="7"/>
  <c r="R58" i="7" s="1"/>
  <c r="N29" i="7"/>
  <c r="N58" i="7" s="1"/>
  <c r="I29" i="7"/>
  <c r="I58" i="7" s="1"/>
  <c r="Q28" i="7"/>
  <c r="Q57" i="7" s="1"/>
  <c r="M28" i="7"/>
  <c r="M57" i="7" s="1"/>
  <c r="H28" i="7"/>
  <c r="H57" i="7" s="1"/>
  <c r="P27" i="7"/>
  <c r="P56" i="7" s="1"/>
  <c r="L27" i="7"/>
  <c r="L56" i="7" s="1"/>
  <c r="G27" i="7"/>
  <c r="I25" i="7"/>
  <c r="I54" i="7" s="1"/>
  <c r="G23" i="7"/>
  <c r="B2" i="7"/>
  <c r="K7" i="6"/>
  <c r="B2" i="6"/>
  <c r="E7" i="2"/>
  <c r="B2" i="2"/>
  <c r="D176" i="3" l="1"/>
  <c r="O75" i="16"/>
  <c r="N47" i="16"/>
  <c r="M81" i="10"/>
  <c r="M82" i="10" s="1"/>
  <c r="Q81" i="10"/>
  <c r="Q82" i="10" s="1"/>
  <c r="K81" i="10"/>
  <c r="K82" i="10" s="1"/>
  <c r="O81" i="10"/>
  <c r="O82" i="10" s="1"/>
  <c r="S81" i="10"/>
  <c r="S82" i="10" s="1"/>
  <c r="L81" i="10"/>
  <c r="L82" i="10" s="1"/>
  <c r="P81" i="10"/>
  <c r="P82" i="10" s="1"/>
  <c r="I81" i="10"/>
  <c r="I82" i="10" s="1"/>
  <c r="J81" i="10"/>
  <c r="J82" i="10" s="1"/>
  <c r="N81" i="10"/>
  <c r="N82" i="10" s="1"/>
  <c r="R81" i="10"/>
  <c r="R82" i="10" s="1"/>
  <c r="H81" i="10"/>
  <c r="H57" i="10"/>
  <c r="H32" i="10" s="1"/>
  <c r="I85" i="12"/>
  <c r="J85" i="10"/>
  <c r="N85" i="10"/>
  <c r="R85" i="10"/>
  <c r="K85" i="10"/>
  <c r="O85" i="10"/>
  <c r="S85" i="10"/>
  <c r="M85" i="10"/>
  <c r="L85" i="10"/>
  <c r="P85" i="10"/>
  <c r="I85" i="10"/>
  <c r="Q85" i="10"/>
  <c r="E31" i="6"/>
  <c r="O58" i="16"/>
  <c r="P57" i="16"/>
  <c r="P76" i="16"/>
  <c r="P53" i="16"/>
  <c r="Q74" i="16"/>
  <c r="Q73" i="16"/>
  <c r="P73" i="16"/>
  <c r="E176" i="3"/>
  <c r="E31" i="3"/>
  <c r="J7" i="13"/>
  <c r="E45" i="6"/>
  <c r="E28" i="6" s="1"/>
  <c r="K38" i="6"/>
  <c r="J82" i="12"/>
  <c r="M15" i="6"/>
  <c r="N82" i="12"/>
  <c r="Q15" i="6"/>
  <c r="I82" i="12"/>
  <c r="L15" i="6"/>
  <c r="Q82" i="12"/>
  <c r="T15" i="6"/>
  <c r="K82" i="12"/>
  <c r="N15" i="6"/>
  <c r="O82" i="12"/>
  <c r="R15" i="6"/>
  <c r="L82" i="12"/>
  <c r="O15" i="6"/>
  <c r="P82" i="12"/>
  <c r="S15" i="6"/>
  <c r="M82" i="12"/>
  <c r="P15" i="6"/>
  <c r="P86" i="10"/>
  <c r="M85" i="12"/>
  <c r="Q85" i="12"/>
  <c r="P85" i="12"/>
  <c r="O85" i="12"/>
  <c r="J85" i="12"/>
  <c r="N85" i="12"/>
  <c r="L85" i="12"/>
  <c r="K85" i="12"/>
  <c r="J7" i="12"/>
  <c r="H62" i="12"/>
  <c r="L86" i="10"/>
  <c r="M86" i="10"/>
  <c r="R86" i="10"/>
  <c r="N86" i="10"/>
  <c r="O86" i="10"/>
  <c r="J86" i="10"/>
  <c r="S86" i="10"/>
  <c r="I86" i="10"/>
  <c r="K86" i="10"/>
  <c r="Q86" i="10"/>
  <c r="F9" i="3"/>
  <c r="F212" i="3" s="1"/>
  <c r="K7" i="14" s="1"/>
  <c r="I30" i="8"/>
  <c r="J16" i="8"/>
  <c r="K23" i="12" s="1"/>
  <c r="K19" i="13" s="1"/>
  <c r="M14" i="8"/>
  <c r="N21" i="12" s="1"/>
  <c r="N18" i="13" s="1"/>
  <c r="P16" i="8"/>
  <c r="Q23" i="12" s="1"/>
  <c r="Q19" i="13" s="1"/>
  <c r="L16" i="8"/>
  <c r="M23" i="12" s="1"/>
  <c r="M19" i="13" s="1"/>
  <c r="H30" i="8"/>
  <c r="M30" i="8"/>
  <c r="J30" i="8"/>
  <c r="N14" i="8"/>
  <c r="O21" i="12" s="1"/>
  <c r="O18" i="13" s="1"/>
  <c r="N30" i="8"/>
  <c r="H14" i="8"/>
  <c r="I21" i="12" s="1"/>
  <c r="I18" i="13" s="1"/>
  <c r="L30" i="8"/>
  <c r="O30" i="8"/>
  <c r="K30" i="8"/>
  <c r="K14" i="8"/>
  <c r="L21" i="12" s="1"/>
  <c r="L18" i="13" s="1"/>
  <c r="I16" i="8"/>
  <c r="J23" i="12" s="1"/>
  <c r="J19" i="13" s="1"/>
  <c r="P14" i="8"/>
  <c r="Q21" i="12" s="1"/>
  <c r="Q18" i="13" s="1"/>
  <c r="P30" i="8"/>
  <c r="O13" i="8"/>
  <c r="L13" i="8"/>
  <c r="J13" i="8"/>
  <c r="N13" i="8"/>
  <c r="M13" i="8"/>
  <c r="K13" i="8"/>
  <c r="I13" i="8"/>
  <c r="K10" i="8"/>
  <c r="M10" i="8"/>
  <c r="J10" i="8"/>
  <c r="I22" i="10"/>
  <c r="D167" i="3" s="1"/>
  <c r="M22" i="10"/>
  <c r="H167" i="3" s="1"/>
  <c r="Q22" i="10"/>
  <c r="L167" i="3" s="1"/>
  <c r="J22" i="10"/>
  <c r="E167" i="3" s="1"/>
  <c r="N22" i="10"/>
  <c r="I167" i="3" s="1"/>
  <c r="R22" i="10"/>
  <c r="M167" i="3" s="1"/>
  <c r="K22" i="10"/>
  <c r="F167" i="3" s="1"/>
  <c r="O22" i="10"/>
  <c r="J167" i="3" s="1"/>
  <c r="S22" i="10"/>
  <c r="N167" i="3" s="1"/>
  <c r="L22" i="10"/>
  <c r="G167" i="3" s="1"/>
  <c r="P22" i="10"/>
  <c r="K167" i="3" s="1"/>
  <c r="H22" i="10"/>
  <c r="C167" i="3" s="1"/>
  <c r="H10" i="8"/>
  <c r="K26" i="11"/>
  <c r="K29" i="11" s="1"/>
  <c r="F26" i="11"/>
  <c r="I19" i="8"/>
  <c r="I12" i="8"/>
  <c r="N12" i="8"/>
  <c r="P12" i="8"/>
  <c r="K12" i="8"/>
  <c r="M12" i="8"/>
  <c r="L12" i="8"/>
  <c r="N18" i="8"/>
  <c r="G13" i="8"/>
  <c r="M9" i="8"/>
  <c r="J9" i="8"/>
  <c r="H17" i="8"/>
  <c r="M18" i="8"/>
  <c r="O12" i="8"/>
  <c r="O18" i="8"/>
  <c r="K17" i="8"/>
  <c r="G19" i="8"/>
  <c r="E32" i="6" s="1"/>
  <c r="G18" i="8"/>
  <c r="H26" i="10" s="1"/>
  <c r="H47" i="10" s="1"/>
  <c r="G17" i="8"/>
  <c r="G16" i="8"/>
  <c r="S27" i="7"/>
  <c r="S30" i="7"/>
  <c r="S28" i="7"/>
  <c r="S51" i="7"/>
  <c r="G53" i="7"/>
  <c r="S53" i="7" s="1"/>
  <c r="S24" i="7"/>
  <c r="S26" i="7"/>
  <c r="S29" i="7"/>
  <c r="G40" i="7"/>
  <c r="S40" i="7" s="1"/>
  <c r="S11" i="7"/>
  <c r="G46" i="7"/>
  <c r="S46" i="7" s="1"/>
  <c r="S17" i="7"/>
  <c r="G52" i="7"/>
  <c r="S52" i="7" s="1"/>
  <c r="S23" i="7"/>
  <c r="G43" i="7"/>
  <c r="S43" i="7" s="1"/>
  <c r="S14" i="7"/>
  <c r="G44" i="7"/>
  <c r="S44" i="7" s="1"/>
  <c r="S15" i="7"/>
  <c r="G54" i="7"/>
  <c r="S25" i="7"/>
  <c r="G45" i="7"/>
  <c r="S45" i="7" s="1"/>
  <c r="S16" i="7"/>
  <c r="G60" i="7"/>
  <c r="S60" i="7" s="1"/>
  <c r="S31" i="7"/>
  <c r="G47" i="7"/>
  <c r="S47" i="7" s="1"/>
  <c r="S18" i="7"/>
  <c r="G48" i="7"/>
  <c r="S48" i="7" s="1"/>
  <c r="S19" i="7"/>
  <c r="H42" i="7"/>
  <c r="S13" i="7"/>
  <c r="S39" i="7"/>
  <c r="G41" i="7"/>
  <c r="S41" i="7" s="1"/>
  <c r="S12" i="7"/>
  <c r="J32" i="7"/>
  <c r="K10" i="10" s="1"/>
  <c r="F165" i="3" s="1"/>
  <c r="J54" i="7"/>
  <c r="J61" i="7" s="1"/>
  <c r="K14" i="10" s="1"/>
  <c r="J20" i="7"/>
  <c r="K9" i="10" s="1"/>
  <c r="F164" i="3" s="1"/>
  <c r="J42" i="7"/>
  <c r="J49" i="7" s="1"/>
  <c r="K13" i="10" s="1"/>
  <c r="H7" i="8"/>
  <c r="L49" i="7"/>
  <c r="M13" i="10" s="1"/>
  <c r="M49" i="7"/>
  <c r="N13" i="10" s="1"/>
  <c r="Q61" i="7"/>
  <c r="R14" i="10" s="1"/>
  <c r="I61" i="7"/>
  <c r="J14" i="10" s="1"/>
  <c r="K61" i="7"/>
  <c r="L14" i="10" s="1"/>
  <c r="L61" i="7"/>
  <c r="M14" i="10" s="1"/>
  <c r="P49" i="7"/>
  <c r="Q13" i="10" s="1"/>
  <c r="O61" i="7"/>
  <c r="P14" i="10" s="1"/>
  <c r="Q49" i="7"/>
  <c r="R13" i="10" s="1"/>
  <c r="G56" i="7"/>
  <c r="S56" i="7" s="1"/>
  <c r="G57" i="7"/>
  <c r="S57" i="7" s="1"/>
  <c r="G59" i="7"/>
  <c r="S59" i="7" s="1"/>
  <c r="H61" i="7"/>
  <c r="I14" i="10" s="1"/>
  <c r="K49" i="7"/>
  <c r="L13" i="10" s="1"/>
  <c r="M61" i="7"/>
  <c r="N14" i="10" s="1"/>
  <c r="N49" i="7"/>
  <c r="O13" i="10" s="1"/>
  <c r="N61" i="7"/>
  <c r="O14" i="10" s="1"/>
  <c r="P61" i="7"/>
  <c r="Q14" i="10" s="1"/>
  <c r="R49" i="7"/>
  <c r="S13" i="10" s="1"/>
  <c r="R61" i="7"/>
  <c r="S14" i="10" s="1"/>
  <c r="N20" i="7"/>
  <c r="O9" i="10" s="1"/>
  <c r="J164" i="3" s="1"/>
  <c r="G55" i="7"/>
  <c r="S55" i="7" s="1"/>
  <c r="G58" i="7"/>
  <c r="S58" i="7" s="1"/>
  <c r="I49" i="7"/>
  <c r="J13" i="10" s="1"/>
  <c r="O49" i="7"/>
  <c r="P13" i="10" s="1"/>
  <c r="O32" i="7"/>
  <c r="P10" i="10" s="1"/>
  <c r="K165" i="3" s="1"/>
  <c r="O20" i="7"/>
  <c r="P9" i="10" s="1"/>
  <c r="K164" i="3" s="1"/>
  <c r="I32" i="7"/>
  <c r="J10" i="10" s="1"/>
  <c r="E165" i="3" s="1"/>
  <c r="S22" i="7"/>
  <c r="R32" i="7"/>
  <c r="S10" i="10" s="1"/>
  <c r="N165" i="3" s="1"/>
  <c r="G32" i="7"/>
  <c r="H10" i="10" s="1"/>
  <c r="C165" i="3" s="1"/>
  <c r="Q32" i="7"/>
  <c r="R10" i="10" s="1"/>
  <c r="M165" i="3" s="1"/>
  <c r="K32" i="7"/>
  <c r="L10" i="10" s="1"/>
  <c r="G165" i="3" s="1"/>
  <c r="M32" i="7"/>
  <c r="N10" i="10" s="1"/>
  <c r="I165" i="3" s="1"/>
  <c r="L32" i="7"/>
  <c r="M10" i="10" s="1"/>
  <c r="H165" i="3" s="1"/>
  <c r="N32" i="7"/>
  <c r="O10" i="10" s="1"/>
  <c r="J165" i="3" s="1"/>
  <c r="P32" i="7"/>
  <c r="Q10" i="10" s="1"/>
  <c r="L165" i="3" s="1"/>
  <c r="H32" i="7"/>
  <c r="I10" i="10" s="1"/>
  <c r="D165" i="3" s="1"/>
  <c r="I20" i="7"/>
  <c r="J9" i="10" s="1"/>
  <c r="E164" i="3" s="1"/>
  <c r="R20" i="7"/>
  <c r="S9" i="10" s="1"/>
  <c r="N164" i="3" s="1"/>
  <c r="Q20" i="7"/>
  <c r="R9" i="10" s="1"/>
  <c r="M164" i="3" s="1"/>
  <c r="P20" i="7"/>
  <c r="Q9" i="10" s="1"/>
  <c r="L164" i="3" s="1"/>
  <c r="S10" i="7"/>
  <c r="G20" i="7"/>
  <c r="H9" i="10" s="1"/>
  <c r="C164" i="3" s="1"/>
  <c r="K20" i="7"/>
  <c r="M20" i="7"/>
  <c r="N9" i="10" s="1"/>
  <c r="I164" i="3" s="1"/>
  <c r="L20" i="7"/>
  <c r="H20" i="7"/>
  <c r="I9" i="10" s="1"/>
  <c r="D164" i="3" s="1"/>
  <c r="Q53" i="16" l="1"/>
  <c r="P75" i="16"/>
  <c r="O47" i="16"/>
  <c r="E33" i="6"/>
  <c r="T81" i="10"/>
  <c r="H81" i="12" s="1"/>
  <c r="I57" i="10"/>
  <c r="H58" i="10"/>
  <c r="H82" i="10"/>
  <c r="I26" i="10"/>
  <c r="I47" i="10" s="1"/>
  <c r="P58" i="16"/>
  <c r="Q57" i="16"/>
  <c r="Q76" i="16"/>
  <c r="R74" i="16"/>
  <c r="R73" i="16"/>
  <c r="F176" i="3"/>
  <c r="G176" i="3" s="1"/>
  <c r="K30" i="11"/>
  <c r="F31" i="3"/>
  <c r="P165" i="3"/>
  <c r="O165" i="3"/>
  <c r="E27" i="6"/>
  <c r="P167" i="3"/>
  <c r="L15" i="11" s="1"/>
  <c r="O167" i="3"/>
  <c r="G15" i="11" s="1"/>
  <c r="T86" i="10"/>
  <c r="H86" i="12" s="1"/>
  <c r="H48" i="10"/>
  <c r="G9" i="3"/>
  <c r="G212" i="3" s="1"/>
  <c r="L7" i="14" s="1"/>
  <c r="K7" i="13"/>
  <c r="K7" i="12"/>
  <c r="T85" i="10"/>
  <c r="H85" i="12" s="1"/>
  <c r="Q11" i="10"/>
  <c r="K11" i="10"/>
  <c r="R11" i="10"/>
  <c r="O11" i="10"/>
  <c r="N11" i="10"/>
  <c r="K34" i="7"/>
  <c r="L9" i="10"/>
  <c r="G164" i="3" s="1"/>
  <c r="S11" i="10"/>
  <c r="I11" i="10"/>
  <c r="H11" i="10"/>
  <c r="H42" i="10" s="1"/>
  <c r="L34" i="7"/>
  <c r="M9" i="10"/>
  <c r="H164" i="3" s="1"/>
  <c r="P164" i="3" s="1"/>
  <c r="L8" i="11" s="1"/>
  <c r="J11" i="10"/>
  <c r="T10" i="10"/>
  <c r="P11" i="10"/>
  <c r="K16" i="8"/>
  <c r="L23" i="12" s="1"/>
  <c r="L19" i="13" s="1"/>
  <c r="L14" i="8"/>
  <c r="M21" i="12" s="1"/>
  <c r="M18" i="13" s="1"/>
  <c r="O14" i="8"/>
  <c r="P21" i="12" s="1"/>
  <c r="P18" i="13" s="1"/>
  <c r="H16" i="8"/>
  <c r="I23" i="12" s="1"/>
  <c r="I19" i="13" s="1"/>
  <c r="O16" i="8"/>
  <c r="P23" i="12" s="1"/>
  <c r="P19" i="13" s="1"/>
  <c r="N16" i="8"/>
  <c r="O23" i="12" s="1"/>
  <c r="O19" i="13" s="1"/>
  <c r="M16" i="8"/>
  <c r="N23" i="12" s="1"/>
  <c r="N19" i="13" s="1"/>
  <c r="J14" i="8"/>
  <c r="K21" i="12" s="1"/>
  <c r="K18" i="13" s="1"/>
  <c r="I14" i="8"/>
  <c r="J21" i="12" s="1"/>
  <c r="J18" i="13" s="1"/>
  <c r="H13" i="8"/>
  <c r="I10" i="8"/>
  <c r="N10" i="8"/>
  <c r="O10" i="8"/>
  <c r="T22" i="10"/>
  <c r="L24" i="10"/>
  <c r="G169" i="3" s="1"/>
  <c r="P24" i="10"/>
  <c r="K169" i="3" s="1"/>
  <c r="H24" i="10"/>
  <c r="C169" i="3" s="1"/>
  <c r="Q20" i="13"/>
  <c r="I24" i="10"/>
  <c r="D169" i="3" s="1"/>
  <c r="M24" i="10"/>
  <c r="H169" i="3" s="1"/>
  <c r="Q24" i="10"/>
  <c r="L169" i="3" s="1"/>
  <c r="J24" i="10"/>
  <c r="E169" i="3" s="1"/>
  <c r="N24" i="10"/>
  <c r="I169" i="3" s="1"/>
  <c r="R24" i="10"/>
  <c r="M169" i="3" s="1"/>
  <c r="K24" i="10"/>
  <c r="F169" i="3" s="1"/>
  <c r="O24" i="10"/>
  <c r="J169" i="3" s="1"/>
  <c r="S24" i="10"/>
  <c r="N169" i="3" s="1"/>
  <c r="F29" i="11"/>
  <c r="F30" i="11" s="1"/>
  <c r="J12" i="8"/>
  <c r="H12" i="8"/>
  <c r="M34" i="7"/>
  <c r="Q34" i="7"/>
  <c r="P34" i="7"/>
  <c r="S42" i="7"/>
  <c r="S49" i="7" s="1"/>
  <c r="H49" i="7"/>
  <c r="G49" i="7"/>
  <c r="H13" i="10" s="1"/>
  <c r="J34" i="7"/>
  <c r="I34" i="7"/>
  <c r="S54" i="7"/>
  <c r="S61" i="7" s="1"/>
  <c r="J63" i="7"/>
  <c r="R34" i="7"/>
  <c r="I63" i="7"/>
  <c r="G34" i="7"/>
  <c r="K63" i="7"/>
  <c r="O63" i="7"/>
  <c r="R63" i="7"/>
  <c r="H34" i="7"/>
  <c r="L7" i="6"/>
  <c r="F7" i="2"/>
  <c r="Q63" i="7"/>
  <c r="L63" i="7"/>
  <c r="N63" i="7"/>
  <c r="M63" i="7"/>
  <c r="P63" i="7"/>
  <c r="G61" i="7"/>
  <c r="H14" i="10" s="1"/>
  <c r="T14" i="10" s="1"/>
  <c r="H13" i="12" s="1"/>
  <c r="N34" i="7"/>
  <c r="O34" i="7"/>
  <c r="S32" i="7"/>
  <c r="S20" i="7"/>
  <c r="O164" i="3" l="1"/>
  <c r="G8" i="11" s="1"/>
  <c r="R53" i="16"/>
  <c r="Q75" i="16"/>
  <c r="P47" i="16"/>
  <c r="E40" i="6"/>
  <c r="R28" i="6" s="1"/>
  <c r="A26" i="3" s="1"/>
  <c r="J57" i="10"/>
  <c r="I58" i="10"/>
  <c r="H74" i="10"/>
  <c r="I42" i="10"/>
  <c r="I74" i="10" s="1"/>
  <c r="I32" i="10"/>
  <c r="C171" i="3"/>
  <c r="J26" i="10"/>
  <c r="J47" i="10" s="1"/>
  <c r="D171" i="3"/>
  <c r="I48" i="10"/>
  <c r="Q58" i="16"/>
  <c r="R57" i="16"/>
  <c r="R76" i="16"/>
  <c r="T52" i="16"/>
  <c r="S74" i="16"/>
  <c r="T73" i="16"/>
  <c r="L9" i="11"/>
  <c r="M9" i="11" s="1"/>
  <c r="N9" i="11" s="1"/>
  <c r="G9" i="11"/>
  <c r="H9" i="11" s="1"/>
  <c r="I9" i="11" s="1"/>
  <c r="H176" i="3"/>
  <c r="I176" i="3" s="1"/>
  <c r="J176" i="3" s="1"/>
  <c r="K176" i="3" s="1"/>
  <c r="L176" i="3" s="1"/>
  <c r="L177" i="3"/>
  <c r="M15" i="11"/>
  <c r="N15" i="11" s="1"/>
  <c r="G31" i="3"/>
  <c r="M8" i="11"/>
  <c r="N8" i="11" s="1"/>
  <c r="E29" i="6"/>
  <c r="P169" i="3"/>
  <c r="L17" i="11" s="1"/>
  <c r="O169" i="3"/>
  <c r="G17" i="11" s="1"/>
  <c r="I72" i="10"/>
  <c r="M11" i="10"/>
  <c r="M25" i="10" s="1"/>
  <c r="H170" i="3" s="1"/>
  <c r="L11" i="10"/>
  <c r="H9" i="12"/>
  <c r="I9" i="12" s="1"/>
  <c r="J9" i="12" s="1"/>
  <c r="K9" i="12" s="1"/>
  <c r="H21" i="12"/>
  <c r="H18" i="13" s="1"/>
  <c r="H82" i="12"/>
  <c r="C317" i="3" s="1"/>
  <c r="O58" i="15" s="1"/>
  <c r="K15" i="6"/>
  <c r="T82" i="10"/>
  <c r="H72" i="10"/>
  <c r="J25" i="10"/>
  <c r="E170" i="3" s="1"/>
  <c r="J23" i="10"/>
  <c r="E168" i="3" s="1"/>
  <c r="J16" i="10"/>
  <c r="J15" i="10"/>
  <c r="N25" i="10"/>
  <c r="I170" i="3" s="1"/>
  <c r="N23" i="10"/>
  <c r="I168" i="3" s="1"/>
  <c r="N16" i="10"/>
  <c r="N15" i="10"/>
  <c r="Q25" i="10"/>
  <c r="L170" i="3" s="1"/>
  <c r="Q23" i="10"/>
  <c r="L168" i="3" s="1"/>
  <c r="Q16" i="10"/>
  <c r="Q15" i="10"/>
  <c r="S25" i="10"/>
  <c r="N170" i="3" s="1"/>
  <c r="S23" i="10"/>
  <c r="N168" i="3" s="1"/>
  <c r="S16" i="10"/>
  <c r="S15" i="10"/>
  <c r="O25" i="10"/>
  <c r="J170" i="3" s="1"/>
  <c r="O23" i="10"/>
  <c r="J168" i="3" s="1"/>
  <c r="O16" i="10"/>
  <c r="O15" i="10"/>
  <c r="I25" i="10"/>
  <c r="D170" i="3" s="1"/>
  <c r="I23" i="10"/>
  <c r="D168" i="3" s="1"/>
  <c r="I16" i="10"/>
  <c r="I15" i="10"/>
  <c r="P25" i="10"/>
  <c r="K170" i="3" s="1"/>
  <c r="P23" i="10"/>
  <c r="K168" i="3" s="1"/>
  <c r="P16" i="10"/>
  <c r="P15" i="10"/>
  <c r="R25" i="10"/>
  <c r="M170" i="3" s="1"/>
  <c r="R23" i="10"/>
  <c r="M168" i="3" s="1"/>
  <c r="R16" i="10"/>
  <c r="R15" i="10"/>
  <c r="H53" i="10"/>
  <c r="H25" i="10"/>
  <c r="C170" i="3" s="1"/>
  <c r="H23" i="10"/>
  <c r="C168" i="3" s="1"/>
  <c r="H16" i="10"/>
  <c r="H15" i="10"/>
  <c r="K25" i="10"/>
  <c r="F170" i="3" s="1"/>
  <c r="K23" i="10"/>
  <c r="F168" i="3" s="1"/>
  <c r="K16" i="10"/>
  <c r="K15" i="10"/>
  <c r="H9" i="3"/>
  <c r="H212" i="3" s="1"/>
  <c r="M7" i="14" s="1"/>
  <c r="L7" i="13"/>
  <c r="L7" i="12"/>
  <c r="T9" i="10"/>
  <c r="T11" i="10" s="1"/>
  <c r="H63" i="7"/>
  <c r="I13" i="10"/>
  <c r="T13" i="10" s="1"/>
  <c r="N20" i="13"/>
  <c r="I177" i="3" s="1"/>
  <c r="K20" i="13"/>
  <c r="F177" i="3" s="1"/>
  <c r="J20" i="13"/>
  <c r="E177" i="3" s="1"/>
  <c r="O20" i="13"/>
  <c r="J177" i="3" s="1"/>
  <c r="M20" i="13"/>
  <c r="H177" i="3" s="1"/>
  <c r="P20" i="13"/>
  <c r="K177" i="3" s="1"/>
  <c r="T24" i="10"/>
  <c r="I20" i="13"/>
  <c r="D177" i="3" s="1"/>
  <c r="L20" i="13"/>
  <c r="G177" i="3" s="1"/>
  <c r="G63" i="7"/>
  <c r="M7" i="6"/>
  <c r="S63" i="7"/>
  <c r="S34" i="7"/>
  <c r="M176" i="3" l="1"/>
  <c r="B203" i="3" s="1"/>
  <c r="B195" i="3" s="1"/>
  <c r="S53" i="16"/>
  <c r="R75" i="16"/>
  <c r="Q47" i="16"/>
  <c r="T42" i="16"/>
  <c r="T74" i="16" s="1"/>
  <c r="A21" i="3"/>
  <c r="T14" i="3" s="1"/>
  <c r="J72" i="10"/>
  <c r="J32" i="10"/>
  <c r="H77" i="10"/>
  <c r="I53" i="10"/>
  <c r="J53" i="10" s="1"/>
  <c r="K53" i="10" s="1"/>
  <c r="L53" i="10" s="1"/>
  <c r="M53" i="10" s="1"/>
  <c r="N53" i="10" s="1"/>
  <c r="O53" i="10" s="1"/>
  <c r="P53" i="10" s="1"/>
  <c r="Q53" i="10" s="1"/>
  <c r="R53" i="10" s="1"/>
  <c r="S53" i="10" s="1"/>
  <c r="T53" i="10" s="1"/>
  <c r="J42" i="10"/>
  <c r="K57" i="10"/>
  <c r="J58" i="10"/>
  <c r="J48" i="10"/>
  <c r="K26" i="10"/>
  <c r="K27" i="10" s="1"/>
  <c r="E171" i="3"/>
  <c r="R58" i="16"/>
  <c r="S57" i="16"/>
  <c r="T57" i="16"/>
  <c r="S76" i="16"/>
  <c r="S73" i="16"/>
  <c r="G10" i="11"/>
  <c r="H10" i="11" s="1"/>
  <c r="I10" i="11" s="1"/>
  <c r="F35" i="11"/>
  <c r="D157" i="3" s="1"/>
  <c r="L10" i="11"/>
  <c r="M10" i="11" s="1"/>
  <c r="N10" i="11" s="1"/>
  <c r="H12" i="12"/>
  <c r="M17" i="11"/>
  <c r="N17" i="11" s="1"/>
  <c r="H31" i="3"/>
  <c r="Q28" i="6"/>
  <c r="T28" i="6"/>
  <c r="P28" i="6"/>
  <c r="S28" i="6"/>
  <c r="P170" i="3"/>
  <c r="L18" i="11" s="1"/>
  <c r="M16" i="10"/>
  <c r="M15" i="10"/>
  <c r="L16" i="10"/>
  <c r="H17" i="10"/>
  <c r="M23" i="10"/>
  <c r="H168" i="3" s="1"/>
  <c r="P168" i="3" s="1"/>
  <c r="L16" i="11" s="1"/>
  <c r="L23" i="10"/>
  <c r="G168" i="3" s="1"/>
  <c r="L25" i="10"/>
  <c r="G170" i="3" s="1"/>
  <c r="O170" i="3" s="1"/>
  <c r="G18" i="11" s="1"/>
  <c r="L15" i="10"/>
  <c r="J13" i="12"/>
  <c r="I13" i="12"/>
  <c r="H15" i="11"/>
  <c r="I15" i="11" s="1"/>
  <c r="H23" i="12"/>
  <c r="H19" i="13" s="1"/>
  <c r="H20" i="13" s="1"/>
  <c r="C177" i="3" s="1"/>
  <c r="M177" i="3" s="1"/>
  <c r="H17" i="11"/>
  <c r="I17" i="11" s="1"/>
  <c r="H8" i="12"/>
  <c r="I8" i="12" s="1"/>
  <c r="J8" i="12" s="1"/>
  <c r="N17" i="10"/>
  <c r="I166" i="3" s="1"/>
  <c r="J27" i="10"/>
  <c r="L9" i="12"/>
  <c r="K13" i="12"/>
  <c r="K17" i="10"/>
  <c r="I27" i="10"/>
  <c r="S17" i="10"/>
  <c r="N166" i="3" s="1"/>
  <c r="Q17" i="10"/>
  <c r="L166" i="3" s="1"/>
  <c r="H27" i="10"/>
  <c r="I9" i="3"/>
  <c r="I212" i="3" s="1"/>
  <c r="N7" i="14" s="1"/>
  <c r="M7" i="13"/>
  <c r="M7" i="12"/>
  <c r="O17" i="10"/>
  <c r="J166" i="3" s="1"/>
  <c r="J17" i="10"/>
  <c r="R17" i="10"/>
  <c r="M166" i="3" s="1"/>
  <c r="P17" i="10"/>
  <c r="K166" i="3" s="1"/>
  <c r="I17" i="10"/>
  <c r="J19" i="8"/>
  <c r="I7" i="8"/>
  <c r="G7" i="2"/>
  <c r="F157" i="3" l="1"/>
  <c r="E157" i="3"/>
  <c r="B196" i="3"/>
  <c r="B201" i="3"/>
  <c r="F27" i="13"/>
  <c r="B199" i="3"/>
  <c r="B197" i="3"/>
  <c r="B189" i="3"/>
  <c r="B191" i="3"/>
  <c r="B194" i="3"/>
  <c r="B200" i="3"/>
  <c r="B188" i="3"/>
  <c r="B198" i="3"/>
  <c r="T17" i="3"/>
  <c r="B202" i="3"/>
  <c r="B192" i="3"/>
  <c r="B190" i="3"/>
  <c r="B193" i="3"/>
  <c r="T16" i="3"/>
  <c r="T15" i="3"/>
  <c r="T51" i="16"/>
  <c r="T75" i="16" s="1"/>
  <c r="S75" i="16"/>
  <c r="R47" i="16"/>
  <c r="T18" i="3"/>
  <c r="P77" i="10"/>
  <c r="R77" i="10"/>
  <c r="O77" i="10"/>
  <c r="K77" i="10"/>
  <c r="L77" i="10"/>
  <c r="K47" i="10"/>
  <c r="Q77" i="10"/>
  <c r="S77" i="10"/>
  <c r="M77" i="10"/>
  <c r="J77" i="10"/>
  <c r="K32" i="10"/>
  <c r="I77" i="10"/>
  <c r="K42" i="10"/>
  <c r="F166" i="3"/>
  <c r="J74" i="10"/>
  <c r="E166" i="3"/>
  <c r="D166" i="3"/>
  <c r="L57" i="10"/>
  <c r="K58" i="10"/>
  <c r="L26" i="10"/>
  <c r="L27" i="10" s="1"/>
  <c r="F171" i="3"/>
  <c r="K72" i="10"/>
  <c r="S58" i="16"/>
  <c r="T76" i="16"/>
  <c r="T53" i="16"/>
  <c r="T58" i="16" s="1"/>
  <c r="M16" i="11"/>
  <c r="N16" i="11" s="1"/>
  <c r="I31" i="3"/>
  <c r="A27" i="3"/>
  <c r="A22" i="3"/>
  <c r="A19" i="3"/>
  <c r="A24" i="3"/>
  <c r="A28" i="3"/>
  <c r="A23" i="3"/>
  <c r="A25" i="3"/>
  <c r="A20" i="3"/>
  <c r="H53" i="12"/>
  <c r="H77" i="12" s="1"/>
  <c r="O168" i="3"/>
  <c r="G16" i="11" s="1"/>
  <c r="T16" i="10"/>
  <c r="H15" i="12" s="1"/>
  <c r="N77" i="10"/>
  <c r="H52" i="10"/>
  <c r="H76" i="10" s="1"/>
  <c r="C166" i="3"/>
  <c r="L17" i="10"/>
  <c r="T15" i="10"/>
  <c r="M17" i="10"/>
  <c r="T23" i="10"/>
  <c r="T25" i="10"/>
  <c r="H24" i="12" s="1"/>
  <c r="H14" i="13" s="1"/>
  <c r="H10" i="12"/>
  <c r="I12" i="12"/>
  <c r="H8" i="11"/>
  <c r="I8" i="11" s="1"/>
  <c r="K8" i="12"/>
  <c r="J12" i="12"/>
  <c r="N19" i="10"/>
  <c r="N20" i="10" s="1"/>
  <c r="M9" i="12"/>
  <c r="L13" i="12"/>
  <c r="K19" i="10"/>
  <c r="K20" i="10" s="1"/>
  <c r="S19" i="10"/>
  <c r="S20" i="10" s="1"/>
  <c r="Q19" i="10"/>
  <c r="Q20" i="10" s="1"/>
  <c r="R19" i="10"/>
  <c r="R20" i="10" s="1"/>
  <c r="O19" i="10"/>
  <c r="O20" i="10" s="1"/>
  <c r="I19" i="10"/>
  <c r="I20" i="10" s="1"/>
  <c r="J19" i="10"/>
  <c r="J20" i="10" s="1"/>
  <c r="H19" i="10"/>
  <c r="H20" i="10" s="1"/>
  <c r="H43" i="10"/>
  <c r="I43" i="10" s="1"/>
  <c r="P19" i="10"/>
  <c r="P20" i="10" s="1"/>
  <c r="J9" i="3"/>
  <c r="J212" i="3" s="1"/>
  <c r="O7" i="14" s="1"/>
  <c r="N7" i="12"/>
  <c r="N7" i="13"/>
  <c r="I10" i="12"/>
  <c r="F9" i="2" s="1"/>
  <c r="J7" i="8"/>
  <c r="H157" i="3" l="1"/>
  <c r="G157" i="3"/>
  <c r="D34" i="3"/>
  <c r="S47" i="16"/>
  <c r="T46" i="16"/>
  <c r="T47" i="16" s="1"/>
  <c r="L47" i="10"/>
  <c r="L48" i="10" s="1"/>
  <c r="K48" i="10"/>
  <c r="L32" i="10"/>
  <c r="T77" i="10"/>
  <c r="I75" i="10"/>
  <c r="H75" i="10"/>
  <c r="M57" i="10"/>
  <c r="L58" i="10"/>
  <c r="J43" i="10"/>
  <c r="J75" i="10" s="1"/>
  <c r="L42" i="10"/>
  <c r="L74" i="10" s="1"/>
  <c r="M19" i="10"/>
  <c r="M20" i="10" s="1"/>
  <c r="I52" i="10"/>
  <c r="I76" i="10" s="1"/>
  <c r="K74" i="10"/>
  <c r="M26" i="10"/>
  <c r="G171" i="3"/>
  <c r="L72" i="10"/>
  <c r="H14" i="12"/>
  <c r="H16" i="12" s="1"/>
  <c r="T17" i="10"/>
  <c r="T19" i="10" s="1"/>
  <c r="T20" i="10" s="1"/>
  <c r="H22" i="12"/>
  <c r="H13" i="13" s="1"/>
  <c r="E9" i="2"/>
  <c r="M18" i="11"/>
  <c r="N18" i="11" s="1"/>
  <c r="D198" i="3"/>
  <c r="D202" i="3"/>
  <c r="D197" i="3"/>
  <c r="D199" i="3"/>
  <c r="D203" i="3"/>
  <c r="D200" i="3"/>
  <c r="D201" i="3"/>
  <c r="F28" i="13"/>
  <c r="D188" i="3"/>
  <c r="D189" i="3"/>
  <c r="D196" i="3"/>
  <c r="D195" i="3"/>
  <c r="D194" i="3"/>
  <c r="D192" i="3"/>
  <c r="D191" i="3"/>
  <c r="D193" i="3"/>
  <c r="D190" i="3"/>
  <c r="J31" i="3"/>
  <c r="T13" i="3"/>
  <c r="T10" i="3"/>
  <c r="T9" i="3"/>
  <c r="T11" i="3"/>
  <c r="T12" i="3"/>
  <c r="T7" i="3"/>
  <c r="T8" i="3"/>
  <c r="T6" i="3"/>
  <c r="T5" i="3"/>
  <c r="T27" i="3"/>
  <c r="T28" i="3"/>
  <c r="T26" i="3"/>
  <c r="T25" i="3"/>
  <c r="T24" i="3"/>
  <c r="T20" i="3"/>
  <c r="T21" i="3"/>
  <c r="T19" i="3"/>
  <c r="T22" i="3"/>
  <c r="T23" i="3"/>
  <c r="T4" i="3"/>
  <c r="H54" i="10"/>
  <c r="H59" i="10" s="1"/>
  <c r="P166" i="3"/>
  <c r="G166" i="3"/>
  <c r="H166" i="3"/>
  <c r="L19" i="10"/>
  <c r="L20" i="10" s="1"/>
  <c r="H18" i="11"/>
  <c r="I18" i="11" s="1"/>
  <c r="H8" i="13"/>
  <c r="C184" i="3" s="1"/>
  <c r="L8" i="12"/>
  <c r="K12" i="12"/>
  <c r="I53" i="12"/>
  <c r="I77" i="12" s="1"/>
  <c r="I42" i="12"/>
  <c r="D227" i="3" s="1"/>
  <c r="I22" i="14" s="1"/>
  <c r="I14" i="12"/>
  <c r="I22" i="12"/>
  <c r="I15" i="12"/>
  <c r="I24" i="12"/>
  <c r="I14" i="13" s="1"/>
  <c r="N9" i="12"/>
  <c r="M13" i="12"/>
  <c r="K29" i="10"/>
  <c r="K30" i="10" s="1"/>
  <c r="I29" i="10"/>
  <c r="J29" i="10"/>
  <c r="J30" i="10" s="1"/>
  <c r="H29" i="10"/>
  <c r="H30" i="10" s="1"/>
  <c r="K9" i="3"/>
  <c r="K212" i="3" s="1"/>
  <c r="P7" i="14" s="1"/>
  <c r="O7" i="13"/>
  <c r="O7" i="12"/>
  <c r="J10" i="12"/>
  <c r="G9" i="2" s="1"/>
  <c r="I8" i="13"/>
  <c r="K19" i="8"/>
  <c r="H7" i="2"/>
  <c r="O7" i="6" s="1"/>
  <c r="N7" i="6"/>
  <c r="I33" i="10" l="1"/>
  <c r="I30" i="10"/>
  <c r="C34" i="3"/>
  <c r="E34" i="3"/>
  <c r="M47" i="10"/>
  <c r="M48" i="10" s="1"/>
  <c r="N57" i="10"/>
  <c r="M58" i="10"/>
  <c r="M42" i="10"/>
  <c r="M74" i="10" s="1"/>
  <c r="J52" i="10"/>
  <c r="I54" i="10"/>
  <c r="I59" i="10" s="1"/>
  <c r="M32" i="10"/>
  <c r="K43" i="10"/>
  <c r="N26" i="10"/>
  <c r="H171" i="3"/>
  <c r="M72" i="10"/>
  <c r="M27" i="10"/>
  <c r="M29" i="10" s="1"/>
  <c r="M30" i="10" s="1"/>
  <c r="L11" i="11"/>
  <c r="L12" i="11" s="1"/>
  <c r="H18" i="12"/>
  <c r="H16" i="11"/>
  <c r="I16" i="11" s="1"/>
  <c r="C179" i="3"/>
  <c r="D179" i="3"/>
  <c r="D184" i="3"/>
  <c r="K31" i="3"/>
  <c r="H12" i="13"/>
  <c r="L29" i="10"/>
  <c r="L30" i="10" s="1"/>
  <c r="O166" i="3"/>
  <c r="G11" i="11" s="1"/>
  <c r="M8" i="12"/>
  <c r="L12" i="12"/>
  <c r="J42" i="12"/>
  <c r="J53" i="12"/>
  <c r="J77" i="12" s="1"/>
  <c r="O9" i="12"/>
  <c r="N13" i="12"/>
  <c r="J22" i="12"/>
  <c r="J14" i="12"/>
  <c r="J15" i="12"/>
  <c r="J24" i="12"/>
  <c r="J14" i="13" s="1"/>
  <c r="L9" i="3"/>
  <c r="L212" i="3" s="1"/>
  <c r="Q7" i="14" s="1"/>
  <c r="P7" i="13"/>
  <c r="P7" i="12"/>
  <c r="I13" i="13"/>
  <c r="J8" i="13"/>
  <c r="K10" i="12"/>
  <c r="K7" i="8"/>
  <c r="I7" i="2"/>
  <c r="H19" i="12" l="1"/>
  <c r="C216" i="3" s="1"/>
  <c r="J74" i="12"/>
  <c r="E227" i="3"/>
  <c r="J22" i="14" s="1"/>
  <c r="N47" i="10"/>
  <c r="N48" i="10" s="1"/>
  <c r="M11" i="11"/>
  <c r="N11" i="11" s="1"/>
  <c r="L43" i="10"/>
  <c r="J54" i="10"/>
  <c r="J59" i="10" s="1"/>
  <c r="K52" i="10"/>
  <c r="J76" i="10"/>
  <c r="O57" i="10"/>
  <c r="N58" i="10"/>
  <c r="K75" i="10"/>
  <c r="N42" i="10"/>
  <c r="N74" i="10" s="1"/>
  <c r="N32" i="10"/>
  <c r="O26" i="10"/>
  <c r="I171" i="3"/>
  <c r="N72" i="10"/>
  <c r="N27" i="10"/>
  <c r="N29" i="10" s="1"/>
  <c r="N30" i="10" s="1"/>
  <c r="F36" i="11"/>
  <c r="D158" i="3" s="1"/>
  <c r="E10" i="2"/>
  <c r="H9" i="2"/>
  <c r="H11" i="11"/>
  <c r="G12" i="11"/>
  <c r="E179" i="3"/>
  <c r="E184" i="3"/>
  <c r="L31" i="3"/>
  <c r="E14" i="2"/>
  <c r="E11" i="2"/>
  <c r="L13" i="11"/>
  <c r="M12" i="11"/>
  <c r="N12" i="11" s="1"/>
  <c r="N8" i="12"/>
  <c r="M12" i="12"/>
  <c r="K53" i="12"/>
  <c r="K77" i="12" s="1"/>
  <c r="K42" i="12"/>
  <c r="K15" i="12"/>
  <c r="K22" i="12"/>
  <c r="K14" i="12"/>
  <c r="K24" i="12"/>
  <c r="K14" i="13" s="1"/>
  <c r="P9" i="12"/>
  <c r="O13" i="12"/>
  <c r="Q7" i="13"/>
  <c r="Q7" i="12"/>
  <c r="C305" i="3" s="1"/>
  <c r="O46" i="15" s="1"/>
  <c r="J16" i="12"/>
  <c r="K8" i="13"/>
  <c r="L10" i="12"/>
  <c r="I9" i="2" s="1"/>
  <c r="J13" i="13"/>
  <c r="L19" i="8"/>
  <c r="L7" i="8"/>
  <c r="F158" i="3" l="1"/>
  <c r="E158" i="3"/>
  <c r="H11" i="14"/>
  <c r="D207" i="3"/>
  <c r="G34" i="3"/>
  <c r="F34" i="3"/>
  <c r="K74" i="12"/>
  <c r="F227" i="3"/>
  <c r="K22" i="14" s="1"/>
  <c r="O47" i="10"/>
  <c r="O48" i="10" s="1"/>
  <c r="M43" i="10"/>
  <c r="O42" i="10"/>
  <c r="L75" i="10"/>
  <c r="K54" i="10"/>
  <c r="K59" i="10" s="1"/>
  <c r="K76" i="10"/>
  <c r="L52" i="10"/>
  <c r="P57" i="10"/>
  <c r="O58" i="10"/>
  <c r="O32" i="10"/>
  <c r="P26" i="10"/>
  <c r="J171" i="3"/>
  <c r="O72" i="10"/>
  <c r="O27" i="10"/>
  <c r="O29" i="10" s="1"/>
  <c r="O30" i="10" s="1"/>
  <c r="G13" i="11"/>
  <c r="I11" i="11"/>
  <c r="F179" i="3"/>
  <c r="F184" i="3"/>
  <c r="H12" i="11"/>
  <c r="I12" i="11" s="1"/>
  <c r="O8" i="12"/>
  <c r="N12" i="12"/>
  <c r="J52" i="12"/>
  <c r="E228" i="3" s="1"/>
  <c r="J23" i="14" s="1"/>
  <c r="J43" i="12"/>
  <c r="E229" i="3" s="1"/>
  <c r="L53" i="12"/>
  <c r="L77" i="12" s="1"/>
  <c r="L42" i="12"/>
  <c r="Q9" i="12"/>
  <c r="Q13" i="12" s="1"/>
  <c r="P13" i="12"/>
  <c r="L24" i="12"/>
  <c r="L14" i="13" s="1"/>
  <c r="L15" i="12"/>
  <c r="L22" i="12"/>
  <c r="L14" i="12"/>
  <c r="J18" i="12"/>
  <c r="J12" i="13"/>
  <c r="K16" i="12"/>
  <c r="K13" i="13"/>
  <c r="L8" i="13"/>
  <c r="M10" i="12"/>
  <c r="M19" i="8"/>
  <c r="J7" i="2"/>
  <c r="P7" i="6"/>
  <c r="H158" i="3" l="1"/>
  <c r="G158" i="3"/>
  <c r="J19" i="12"/>
  <c r="E216" i="3" s="1"/>
  <c r="J11" i="14" s="1"/>
  <c r="E230" i="3"/>
  <c r="J25" i="14" s="1"/>
  <c r="J24" i="14"/>
  <c r="L74" i="12"/>
  <c r="G227" i="3"/>
  <c r="L22" i="14" s="1"/>
  <c r="P47" i="10"/>
  <c r="P48" i="10" s="1"/>
  <c r="Q57" i="10"/>
  <c r="P58" i="10"/>
  <c r="N43" i="10"/>
  <c r="M52" i="10"/>
  <c r="L54" i="10"/>
  <c r="L59" i="10" s="1"/>
  <c r="L76" i="10"/>
  <c r="M75" i="10"/>
  <c r="P42" i="10"/>
  <c r="P74" i="10" s="1"/>
  <c r="P32" i="10"/>
  <c r="Q32" i="10" s="1"/>
  <c r="O74" i="10"/>
  <c r="Q26" i="10"/>
  <c r="K171" i="3"/>
  <c r="P171" i="3" s="1"/>
  <c r="L19" i="11" s="1"/>
  <c r="P72" i="10"/>
  <c r="P27" i="10"/>
  <c r="P29" i="10" s="1"/>
  <c r="P30" i="10" s="1"/>
  <c r="J9" i="2"/>
  <c r="G179" i="3"/>
  <c r="G184" i="3"/>
  <c r="G14" i="2"/>
  <c r="G11" i="2"/>
  <c r="G10" i="2"/>
  <c r="J54" i="12"/>
  <c r="P8" i="12"/>
  <c r="O12" i="12"/>
  <c r="M53" i="12"/>
  <c r="M77" i="12" s="1"/>
  <c r="M42" i="12"/>
  <c r="K52" i="12"/>
  <c r="K43" i="12"/>
  <c r="M14" i="12"/>
  <c r="M24" i="12"/>
  <c r="M14" i="13" s="1"/>
  <c r="M22" i="12"/>
  <c r="M15" i="12"/>
  <c r="K18" i="12"/>
  <c r="K12" i="13"/>
  <c r="L16" i="12"/>
  <c r="M8" i="13"/>
  <c r="L13" i="13"/>
  <c r="N10" i="12"/>
  <c r="K9" i="2" s="1"/>
  <c r="Q7" i="6"/>
  <c r="K7" i="2"/>
  <c r="N7" i="8" s="1"/>
  <c r="N19" i="8"/>
  <c r="M7" i="8"/>
  <c r="K19" i="12" l="1"/>
  <c r="F216" i="3" s="1"/>
  <c r="K11" i="14" s="1"/>
  <c r="L20" i="11"/>
  <c r="M19" i="11"/>
  <c r="N19" i="11" s="1"/>
  <c r="O171" i="3"/>
  <c r="G19" i="11" s="1"/>
  <c r="I34" i="3"/>
  <c r="H34" i="3"/>
  <c r="K75" i="12"/>
  <c r="F229" i="3"/>
  <c r="K24" i="14" s="1"/>
  <c r="K76" i="12"/>
  <c r="F228" i="3"/>
  <c r="K23" i="14" s="1"/>
  <c r="M74" i="12"/>
  <c r="H227" i="3"/>
  <c r="M22" i="14" s="1"/>
  <c r="Q47" i="10"/>
  <c r="Q48" i="10" s="1"/>
  <c r="O43" i="10"/>
  <c r="Q42" i="10"/>
  <c r="Q74" i="10" s="1"/>
  <c r="N52" i="10"/>
  <c r="M54" i="10"/>
  <c r="M59" i="10" s="1"/>
  <c r="M76" i="10"/>
  <c r="R57" i="10"/>
  <c r="Q58" i="10"/>
  <c r="N75" i="10"/>
  <c r="R26" i="10"/>
  <c r="L171" i="3"/>
  <c r="Q72" i="10"/>
  <c r="Q27" i="10"/>
  <c r="Q29" i="10" s="1"/>
  <c r="Q30" i="10" s="1"/>
  <c r="H179" i="3"/>
  <c r="H184" i="3"/>
  <c r="H14" i="2"/>
  <c r="H11" i="2"/>
  <c r="H10" i="2"/>
  <c r="K54" i="12"/>
  <c r="Q8" i="12"/>
  <c r="Q12" i="12" s="1"/>
  <c r="P12" i="12"/>
  <c r="L43" i="12"/>
  <c r="L52" i="12"/>
  <c r="N42" i="12"/>
  <c r="N53" i="12"/>
  <c r="N77" i="12" s="1"/>
  <c r="N22" i="12"/>
  <c r="N14" i="12"/>
  <c r="N15" i="12"/>
  <c r="N24" i="12"/>
  <c r="N14" i="13" s="1"/>
  <c r="L18" i="12"/>
  <c r="L12" i="13"/>
  <c r="M16" i="12"/>
  <c r="N8" i="13"/>
  <c r="O10" i="12"/>
  <c r="L9" i="2" s="1"/>
  <c r="M13" i="13"/>
  <c r="O19" i="8"/>
  <c r="L7" i="2"/>
  <c r="S7" i="6" s="1"/>
  <c r="R7" i="6"/>
  <c r="L19" i="12" l="1"/>
  <c r="G216" i="3" s="1"/>
  <c r="L11" i="14" s="1"/>
  <c r="H19" i="11"/>
  <c r="I19" i="11" s="1"/>
  <c r="G20" i="11"/>
  <c r="L22" i="11"/>
  <c r="M20" i="11"/>
  <c r="N20" i="11" s="1"/>
  <c r="F37" i="11"/>
  <c r="D159" i="3" s="1"/>
  <c r="J34" i="3"/>
  <c r="L75" i="12"/>
  <c r="G229" i="3"/>
  <c r="L24" i="14" s="1"/>
  <c r="N74" i="12"/>
  <c r="I227" i="3"/>
  <c r="N22" i="14" s="1"/>
  <c r="F230" i="3"/>
  <c r="K25" i="14" s="1"/>
  <c r="L76" i="12"/>
  <c r="G228" i="3"/>
  <c r="L23" i="14" s="1"/>
  <c r="R47" i="10"/>
  <c r="R48" i="10" s="1"/>
  <c r="S57" i="10"/>
  <c r="R58" i="10"/>
  <c r="P43" i="10"/>
  <c r="R42" i="10"/>
  <c r="R74" i="10" s="1"/>
  <c r="R32" i="10"/>
  <c r="O52" i="10"/>
  <c r="N54" i="10"/>
  <c r="N59" i="10" s="1"/>
  <c r="N76" i="10"/>
  <c r="O75" i="10"/>
  <c r="S26" i="10"/>
  <c r="M171" i="3"/>
  <c r="R72" i="10"/>
  <c r="R27" i="10"/>
  <c r="R29" i="10" s="1"/>
  <c r="R30" i="10" s="1"/>
  <c r="I179" i="3"/>
  <c r="I184" i="3"/>
  <c r="I11" i="2"/>
  <c r="I14" i="2"/>
  <c r="N16" i="6"/>
  <c r="I10" i="2"/>
  <c r="L54" i="12"/>
  <c r="O53" i="12"/>
  <c r="O77" i="12" s="1"/>
  <c r="O42" i="12"/>
  <c r="M43" i="12"/>
  <c r="M52" i="12"/>
  <c r="H228" i="3" s="1"/>
  <c r="M23" i="14" s="1"/>
  <c r="O15" i="12"/>
  <c r="O22" i="12"/>
  <c r="O14" i="12"/>
  <c r="O24" i="12"/>
  <c r="O14" i="13" s="1"/>
  <c r="M18" i="12"/>
  <c r="M12" i="13"/>
  <c r="N16" i="12"/>
  <c r="P10" i="12"/>
  <c r="C239" i="3" s="1"/>
  <c r="N13" i="13"/>
  <c r="O8" i="13"/>
  <c r="P19" i="8"/>
  <c r="O7" i="8"/>
  <c r="M7" i="2"/>
  <c r="F159" i="3" l="1"/>
  <c r="E159" i="3"/>
  <c r="M19" i="12"/>
  <c r="H216" i="3" s="1"/>
  <c r="M11" i="14" s="1"/>
  <c r="L23" i="11"/>
  <c r="M22" i="11"/>
  <c r="N22" i="11" s="1"/>
  <c r="H20" i="11"/>
  <c r="I20" i="11" s="1"/>
  <c r="G22" i="11"/>
  <c r="M75" i="12"/>
  <c r="H229" i="3"/>
  <c r="O74" i="12"/>
  <c r="J227" i="3"/>
  <c r="O22" i="14" s="1"/>
  <c r="G230" i="3"/>
  <c r="L25" i="14" s="1"/>
  <c r="S47" i="10"/>
  <c r="T47" i="10" s="1"/>
  <c r="S32" i="10"/>
  <c r="Q43" i="10"/>
  <c r="Q75" i="10" s="1"/>
  <c r="P52" i="10"/>
  <c r="O54" i="10"/>
  <c r="O59" i="10" s="1"/>
  <c r="O76" i="10"/>
  <c r="S42" i="10"/>
  <c r="T42" i="10" s="1"/>
  <c r="H42" i="12" s="1"/>
  <c r="C227" i="3" s="1"/>
  <c r="H22" i="14" s="1"/>
  <c r="T57" i="10"/>
  <c r="S58" i="10"/>
  <c r="P75" i="10"/>
  <c r="N171" i="3"/>
  <c r="S72" i="10"/>
  <c r="T72" i="10" s="1"/>
  <c r="H72" i="12" s="1"/>
  <c r="S27" i="10"/>
  <c r="S29" i="10" s="1"/>
  <c r="S30" i="10" s="1"/>
  <c r="T26" i="10"/>
  <c r="M76" i="12"/>
  <c r="M9" i="2"/>
  <c r="J179" i="3"/>
  <c r="J184" i="3"/>
  <c r="J11" i="2"/>
  <c r="J14" i="2"/>
  <c r="J10" i="2"/>
  <c r="O16" i="6"/>
  <c r="M54" i="12"/>
  <c r="P53" i="12"/>
  <c r="P77" i="12" s="1"/>
  <c r="P42" i="12"/>
  <c r="K227" i="3" s="1"/>
  <c r="P22" i="14" s="1"/>
  <c r="N43" i="12"/>
  <c r="N52" i="12"/>
  <c r="I228" i="3" s="1"/>
  <c r="N23" i="14" s="1"/>
  <c r="P24" i="12"/>
  <c r="P14" i="13" s="1"/>
  <c r="P15" i="12"/>
  <c r="P22" i="12"/>
  <c r="P14" i="12"/>
  <c r="N12" i="13"/>
  <c r="N18" i="12"/>
  <c r="O16" i="12"/>
  <c r="Q10" i="12"/>
  <c r="P8" i="13"/>
  <c r="O13" i="13"/>
  <c r="T7" i="6"/>
  <c r="N7" i="2"/>
  <c r="P7" i="8"/>
  <c r="I16" i="12"/>
  <c r="H159" i="3" l="1"/>
  <c r="G159" i="3"/>
  <c r="N19" i="12"/>
  <c r="I216" i="3" s="1"/>
  <c r="N11" i="14" s="1"/>
  <c r="H22" i="11"/>
  <c r="I22" i="11" s="1"/>
  <c r="G23" i="11"/>
  <c r="K34" i="3"/>
  <c r="H230" i="3"/>
  <c r="M25" i="14" s="1"/>
  <c r="M24" i="14"/>
  <c r="N75" i="12"/>
  <c r="I229" i="3"/>
  <c r="S48" i="10"/>
  <c r="H74" i="12"/>
  <c r="I74" i="12"/>
  <c r="R43" i="10"/>
  <c r="R75" i="10" s="1"/>
  <c r="H57" i="12"/>
  <c r="T58" i="10"/>
  <c r="S74" i="10"/>
  <c r="T74" i="10" s="1"/>
  <c r="Q52" i="10"/>
  <c r="P54" i="10"/>
  <c r="P59" i="10" s="1"/>
  <c r="P76" i="10"/>
  <c r="T48" i="10"/>
  <c r="H47" i="12"/>
  <c r="H25" i="12"/>
  <c r="T27" i="10"/>
  <c r="T29" i="10" s="1"/>
  <c r="T30" i="10" s="1"/>
  <c r="P74" i="12"/>
  <c r="N76" i="12"/>
  <c r="C306" i="3"/>
  <c r="O47" i="15" s="1"/>
  <c r="C322" i="3" a="1"/>
  <c r="C322" i="3" s="1"/>
  <c r="N9" i="2"/>
  <c r="C238" i="3"/>
  <c r="K179" i="3"/>
  <c r="K184" i="3"/>
  <c r="K11" i="2"/>
  <c r="K14" i="2"/>
  <c r="K10" i="2"/>
  <c r="P16" i="6"/>
  <c r="N54" i="12"/>
  <c r="I52" i="12"/>
  <c r="I43" i="12"/>
  <c r="O52" i="12"/>
  <c r="O43" i="12"/>
  <c r="Q42" i="12"/>
  <c r="L227" i="3" s="1"/>
  <c r="Q22" i="14" s="1"/>
  <c r="Q53" i="12"/>
  <c r="Q77" i="12" s="1"/>
  <c r="Q24" i="12"/>
  <c r="Q14" i="13" s="1"/>
  <c r="Q22" i="12"/>
  <c r="Q15" i="12"/>
  <c r="Q14" i="12"/>
  <c r="O12" i="13"/>
  <c r="O18" i="12"/>
  <c r="P16" i="12"/>
  <c r="P13" i="13"/>
  <c r="Q8" i="13"/>
  <c r="I18" i="12"/>
  <c r="I19" i="12" s="1"/>
  <c r="I12" i="13"/>
  <c r="O19" i="12" l="1"/>
  <c r="J216" i="3" s="1"/>
  <c r="O11" i="14" s="1"/>
  <c r="L34" i="3"/>
  <c r="I230" i="3"/>
  <c r="N25" i="14" s="1"/>
  <c r="N24" i="14"/>
  <c r="J75" i="12"/>
  <c r="D229" i="3"/>
  <c r="I24" i="14" s="1"/>
  <c r="J76" i="12"/>
  <c r="D228" i="3"/>
  <c r="I23" i="14" s="1"/>
  <c r="I57" i="12"/>
  <c r="O75" i="12"/>
  <c r="J229" i="3"/>
  <c r="O76" i="12"/>
  <c r="J228" i="3"/>
  <c r="O23" i="14" s="1"/>
  <c r="C259" i="3"/>
  <c r="R52" i="10"/>
  <c r="Q54" i="10"/>
  <c r="Q59" i="10" s="1"/>
  <c r="Q76" i="10"/>
  <c r="S43" i="10"/>
  <c r="T43" i="10" s="1"/>
  <c r="H43" i="12" s="1"/>
  <c r="C229" i="3" s="1"/>
  <c r="H24" i="14" s="1"/>
  <c r="I32" i="12"/>
  <c r="L10" i="6" s="1"/>
  <c r="H58" i="12"/>
  <c r="K13" i="6"/>
  <c r="H15" i="13"/>
  <c r="H16" i="13" s="1"/>
  <c r="H26" i="12"/>
  <c r="H27" i="12" s="1"/>
  <c r="I25" i="12"/>
  <c r="H48" i="12"/>
  <c r="Q74" i="12"/>
  <c r="D9" i="15"/>
  <c r="C240" i="3"/>
  <c r="D10" i="15" s="1"/>
  <c r="L179" i="3"/>
  <c r="M179" i="3" s="1"/>
  <c r="F30" i="13" s="1"/>
  <c r="L184" i="3"/>
  <c r="M184" i="3" s="1"/>
  <c r="F10" i="2"/>
  <c r="D216" i="3"/>
  <c r="I11" i="14" s="1"/>
  <c r="L14" i="2"/>
  <c r="Q16" i="6"/>
  <c r="L10" i="2"/>
  <c r="I54" i="12"/>
  <c r="O54" i="12"/>
  <c r="P43" i="12"/>
  <c r="P52" i="12"/>
  <c r="K228" i="3" s="1"/>
  <c r="P23" i="14" s="1"/>
  <c r="P12" i="13"/>
  <c r="Q16" i="12"/>
  <c r="C307" i="3" s="1"/>
  <c r="O48" i="15" s="1"/>
  <c r="P18" i="12"/>
  <c r="Q13" i="13"/>
  <c r="L11" i="2" l="1"/>
  <c r="P19" i="12"/>
  <c r="K216" i="3" s="1"/>
  <c r="P11" i="14" s="1"/>
  <c r="J230" i="3"/>
  <c r="O25" i="14" s="1"/>
  <c r="O24" i="14"/>
  <c r="D230" i="3"/>
  <c r="I25" i="14" s="1"/>
  <c r="P75" i="12"/>
  <c r="K229" i="3"/>
  <c r="J57" i="12"/>
  <c r="C301" i="3" a="1"/>
  <c r="C301" i="3" s="1"/>
  <c r="C302" i="3" a="1"/>
  <c r="C302" i="3" s="1"/>
  <c r="C258" i="3"/>
  <c r="S75" i="10"/>
  <c r="T75" i="10" s="1"/>
  <c r="I58" i="12"/>
  <c r="J32" i="12"/>
  <c r="M10" i="6" s="1"/>
  <c r="H75" i="12"/>
  <c r="S52" i="10"/>
  <c r="R76" i="10"/>
  <c r="R54" i="10"/>
  <c r="R59" i="10" s="1"/>
  <c r="I75" i="12"/>
  <c r="H29" i="12"/>
  <c r="H30" i="12" s="1"/>
  <c r="H9" i="13"/>
  <c r="C178" i="3"/>
  <c r="C185" i="3" s="1"/>
  <c r="I47" i="12"/>
  <c r="J25" i="12" s="1"/>
  <c r="L13" i="6"/>
  <c r="I72" i="12"/>
  <c r="P76" i="12"/>
  <c r="C196" i="3"/>
  <c r="C201" i="3"/>
  <c r="C197" i="3"/>
  <c r="C188" i="3"/>
  <c r="C190" i="3"/>
  <c r="C194" i="3"/>
  <c r="C191" i="3"/>
  <c r="C203" i="3"/>
  <c r="C199" i="3"/>
  <c r="C193" i="3"/>
  <c r="C198" i="3"/>
  <c r="C195" i="3"/>
  <c r="C192" i="3"/>
  <c r="C202" i="3"/>
  <c r="C189" i="3"/>
  <c r="C200" i="3"/>
  <c r="M14" i="2"/>
  <c r="M11" i="2"/>
  <c r="F11" i="2"/>
  <c r="F14" i="2"/>
  <c r="R16" i="6"/>
  <c r="M16" i="6"/>
  <c r="M10" i="2"/>
  <c r="P54" i="12"/>
  <c r="Q52" i="12"/>
  <c r="L228" i="3" s="1"/>
  <c r="Q23" i="14" s="1"/>
  <c r="Q43" i="12"/>
  <c r="Q18" i="12"/>
  <c r="Q19" i="12" s="1"/>
  <c r="Q12" i="13"/>
  <c r="K230" i="3" l="1"/>
  <c r="P25" i="14" s="1"/>
  <c r="P24" i="14"/>
  <c r="K57" i="12"/>
  <c r="Q75" i="12"/>
  <c r="L229" i="3"/>
  <c r="I59" i="12"/>
  <c r="C303" i="3"/>
  <c r="D302" i="3"/>
  <c r="N9" i="15"/>
  <c r="C260" i="3"/>
  <c r="N10" i="15" s="1"/>
  <c r="K32" i="12"/>
  <c r="N10" i="6" s="1"/>
  <c r="J58" i="12"/>
  <c r="T52" i="10"/>
  <c r="S54" i="10"/>
  <c r="S59" i="10" s="1"/>
  <c r="S76" i="10"/>
  <c r="T76" i="10" s="1"/>
  <c r="H10" i="13"/>
  <c r="H22" i="13" s="1"/>
  <c r="C180" i="3"/>
  <c r="C181" i="3" s="1"/>
  <c r="E12" i="2"/>
  <c r="C217" i="3"/>
  <c r="H12" i="14" s="1"/>
  <c r="J47" i="12"/>
  <c r="K25" i="12" s="1"/>
  <c r="M13" i="6"/>
  <c r="J72" i="12"/>
  <c r="Q76" i="12"/>
  <c r="C308" i="3"/>
  <c r="O49" i="15" s="1"/>
  <c r="C274" i="3"/>
  <c r="D275" i="3" s="1"/>
  <c r="S16" i="6"/>
  <c r="N10" i="2"/>
  <c r="Q54" i="12"/>
  <c r="L230" i="3" l="1"/>
  <c r="Q25" i="14" s="1"/>
  <c r="Q24" i="14"/>
  <c r="C275" i="3"/>
  <c r="C276" i="3" s="1"/>
  <c r="L216" i="3"/>
  <c r="Q11" i="14" s="1"/>
  <c r="J59" i="12"/>
  <c r="L57" i="12"/>
  <c r="E302" i="3"/>
  <c r="E304" i="3" s="1"/>
  <c r="D303" i="3"/>
  <c r="N14" i="2"/>
  <c r="L32" i="12"/>
  <c r="O10" i="6" s="1"/>
  <c r="K58" i="12"/>
  <c r="T54" i="10"/>
  <c r="T59" i="10" s="1"/>
  <c r="H52" i="12"/>
  <c r="C298" i="3" s="1" a="1"/>
  <c r="C298" i="3" s="1"/>
  <c r="K47" i="12"/>
  <c r="N13" i="6"/>
  <c r="K72" i="12"/>
  <c r="C183" i="3"/>
  <c r="C182" i="3" s="1"/>
  <c r="H23" i="13"/>
  <c r="N11" i="2"/>
  <c r="D276" i="3"/>
  <c r="E275" i="3"/>
  <c r="E277" i="3" s="1"/>
  <c r="T16" i="6"/>
  <c r="K59" i="12" l="1"/>
  <c r="C297" i="3" a="1"/>
  <c r="C297" i="3" s="1"/>
  <c r="C299" i="3" s="1"/>
  <c r="C228" i="3"/>
  <c r="M57" i="12"/>
  <c r="L58" i="12"/>
  <c r="M32" i="12"/>
  <c r="P10" i="6" s="1"/>
  <c r="H76" i="12"/>
  <c r="K16" i="6" s="1"/>
  <c r="H54" i="12"/>
  <c r="H59" i="12" s="1"/>
  <c r="I76" i="12"/>
  <c r="L16" i="6" s="1"/>
  <c r="D209" i="3"/>
  <c r="C230" i="3" l="1"/>
  <c r="H25" i="14" s="1"/>
  <c r="H23" i="14"/>
  <c r="D298" i="3"/>
  <c r="D299" i="3" s="1"/>
  <c r="N57" i="12"/>
  <c r="L59" i="12"/>
  <c r="N32" i="12"/>
  <c r="M58" i="12"/>
  <c r="N30" i="6"/>
  <c r="A15" i="3" s="1"/>
  <c r="J15" i="13"/>
  <c r="J16" i="13" s="1"/>
  <c r="E178" i="3" s="1"/>
  <c r="I48" i="12"/>
  <c r="I15" i="13"/>
  <c r="I16" i="13" s="1"/>
  <c r="D178" i="3" s="1"/>
  <c r="E298" i="3" l="1"/>
  <c r="E300" i="3" s="1"/>
  <c r="M59" i="12"/>
  <c r="O57" i="12"/>
  <c r="Q10" i="6"/>
  <c r="O32" i="12"/>
  <c r="R10" i="6" s="1"/>
  <c r="N58" i="12"/>
  <c r="J9" i="13"/>
  <c r="J10" i="13" s="1"/>
  <c r="J22" i="13" s="1"/>
  <c r="E185" i="3"/>
  <c r="I9" i="13"/>
  <c r="I10" i="13" s="1"/>
  <c r="I22" i="13" s="1"/>
  <c r="D185" i="3"/>
  <c r="U20" i="3"/>
  <c r="U15" i="3"/>
  <c r="U25" i="3"/>
  <c r="U5" i="3"/>
  <c r="U10" i="3"/>
  <c r="N32" i="6"/>
  <c r="A17" i="3" s="1"/>
  <c r="N33" i="6"/>
  <c r="A18" i="3" s="1"/>
  <c r="N31" i="6"/>
  <c r="A16" i="3" s="1"/>
  <c r="N29" i="6"/>
  <c r="A14" i="3" s="1"/>
  <c r="J48" i="12"/>
  <c r="L25" i="12"/>
  <c r="I26" i="12"/>
  <c r="I27" i="12" s="1"/>
  <c r="J26" i="12"/>
  <c r="J27" i="12" s="1"/>
  <c r="N59" i="12" l="1"/>
  <c r="P57" i="12"/>
  <c r="O13" i="6"/>
  <c r="P32" i="12"/>
  <c r="S10" i="6" s="1"/>
  <c r="O58" i="12"/>
  <c r="J29" i="12"/>
  <c r="J30" i="12" s="1"/>
  <c r="I29" i="12"/>
  <c r="I30" i="12" s="1"/>
  <c r="E180" i="3"/>
  <c r="E181" i="3" s="1"/>
  <c r="D180" i="3"/>
  <c r="D181" i="3" s="1"/>
  <c r="I23" i="13"/>
  <c r="D183" i="3"/>
  <c r="D182" i="3" s="1"/>
  <c r="J23" i="13"/>
  <c r="E183" i="3"/>
  <c r="E182" i="3" s="1"/>
  <c r="U12" i="3"/>
  <c r="U7" i="3"/>
  <c r="U17" i="3"/>
  <c r="U27" i="3"/>
  <c r="U22" i="3"/>
  <c r="U28" i="3"/>
  <c r="U8" i="3"/>
  <c r="U23" i="3"/>
  <c r="U13" i="3"/>
  <c r="U18" i="3"/>
  <c r="U24" i="3"/>
  <c r="U4" i="3"/>
  <c r="U19" i="3"/>
  <c r="U9" i="3"/>
  <c r="U14" i="3"/>
  <c r="U16" i="3"/>
  <c r="U21" i="3"/>
  <c r="U11" i="3"/>
  <c r="U26" i="3"/>
  <c r="U6" i="3"/>
  <c r="L47" i="12"/>
  <c r="M25" i="12" s="1"/>
  <c r="L72" i="12"/>
  <c r="K48" i="12"/>
  <c r="O59" i="12" l="1"/>
  <c r="Q57" i="12"/>
  <c r="Q58" i="12" s="1"/>
  <c r="E217" i="3"/>
  <c r="J12" i="14" s="1"/>
  <c r="P13" i="6"/>
  <c r="P58" i="12"/>
  <c r="Q32" i="12"/>
  <c r="T10" i="6" s="1"/>
  <c r="G12" i="2"/>
  <c r="J33" i="12"/>
  <c r="M12" i="6" s="1"/>
  <c r="D217" i="3"/>
  <c r="I12" i="14" s="1"/>
  <c r="I33" i="12"/>
  <c r="L9" i="6" s="1"/>
  <c r="L11" i="6" s="1"/>
  <c r="F12" i="2"/>
  <c r="M47" i="12"/>
  <c r="N25" i="12" s="1"/>
  <c r="Q13" i="6" s="1"/>
  <c r="M72" i="12"/>
  <c r="L48" i="12"/>
  <c r="K26" i="12"/>
  <c r="K27" i="12" s="1"/>
  <c r="K15" i="13"/>
  <c r="K16" i="13" s="1"/>
  <c r="F178" i="3" s="1"/>
  <c r="Q59" i="12" l="1"/>
  <c r="P59" i="12"/>
  <c r="M9" i="6"/>
  <c r="M11" i="6" s="1"/>
  <c r="M14" i="6" s="1"/>
  <c r="E218" i="3" s="1"/>
  <c r="J13" i="14" s="1"/>
  <c r="I36" i="12"/>
  <c r="I37" i="12" s="1"/>
  <c r="K29" i="12"/>
  <c r="K30" i="12" s="1"/>
  <c r="K9" i="13"/>
  <c r="K10" i="13" s="1"/>
  <c r="K22" i="13" s="1"/>
  <c r="F185" i="3"/>
  <c r="J36" i="12"/>
  <c r="J37" i="12" s="1"/>
  <c r="N47" i="12"/>
  <c r="O25" i="12" s="1"/>
  <c r="R13" i="6" s="1"/>
  <c r="N72" i="12"/>
  <c r="M48" i="12"/>
  <c r="L26" i="12"/>
  <c r="L27" i="12" s="1"/>
  <c r="L15" i="13"/>
  <c r="L16" i="13" s="1"/>
  <c r="G178" i="3" s="1"/>
  <c r="J87" i="12" l="1"/>
  <c r="J88" i="12" s="1"/>
  <c r="K33" i="12"/>
  <c r="N12" i="6" s="1"/>
  <c r="I87" i="12"/>
  <c r="I88" i="12" s="1"/>
  <c r="L12" i="6"/>
  <c r="L14" i="6" s="1"/>
  <c r="F217" i="3"/>
  <c r="K12" i="14" s="1"/>
  <c r="H12" i="2"/>
  <c r="L29" i="12"/>
  <c r="L30" i="12" s="1"/>
  <c r="F180" i="3"/>
  <c r="F181" i="3" s="1"/>
  <c r="L9" i="13"/>
  <c r="L10" i="13" s="1"/>
  <c r="L22" i="13" s="1"/>
  <c r="G185" i="3"/>
  <c r="K23" i="13"/>
  <c r="F183" i="3"/>
  <c r="F182" i="3" s="1"/>
  <c r="E14" i="3"/>
  <c r="E19" i="3" s="1"/>
  <c r="E15" i="3"/>
  <c r="E20" i="3" s="1"/>
  <c r="E16" i="3"/>
  <c r="E21" i="3" s="1"/>
  <c r="E17" i="3"/>
  <c r="E22" i="3" s="1"/>
  <c r="E18" i="3"/>
  <c r="E23" i="3" s="1"/>
  <c r="M17" i="6"/>
  <c r="G17" i="2" s="1"/>
  <c r="M18" i="6"/>
  <c r="I71" i="12"/>
  <c r="I78" i="12" s="1"/>
  <c r="D224" i="3" s="1"/>
  <c r="I19" i="14" s="1"/>
  <c r="D219" i="3"/>
  <c r="I14" i="14" s="1"/>
  <c r="E219" i="3"/>
  <c r="J14" i="14" s="1"/>
  <c r="J71" i="12"/>
  <c r="J78" i="12" s="1"/>
  <c r="E224" i="3" s="1"/>
  <c r="J19" i="14" s="1"/>
  <c r="F13" i="2"/>
  <c r="G13" i="2"/>
  <c r="O47" i="12"/>
  <c r="P25" i="12" s="1"/>
  <c r="S13" i="6" s="1"/>
  <c r="O72" i="12"/>
  <c r="N48" i="12"/>
  <c r="M26" i="12"/>
  <c r="M27" i="12" s="1"/>
  <c r="M15" i="13"/>
  <c r="M16" i="13" s="1"/>
  <c r="H178" i="3" s="1"/>
  <c r="D14" i="3" l="1"/>
  <c r="D19" i="3" s="1"/>
  <c r="D218" i="3"/>
  <c r="I13" i="14" s="1"/>
  <c r="N9" i="6"/>
  <c r="N11" i="6" s="1"/>
  <c r="N14" i="6" s="1"/>
  <c r="F218" i="3" s="1"/>
  <c r="K13" i="14" s="1"/>
  <c r="C279" i="3" a="1"/>
  <c r="C279" i="3" s="1"/>
  <c r="G217" i="3"/>
  <c r="L12" i="14" s="1"/>
  <c r="C251" i="3" a="1"/>
  <c r="C251" i="3" s="1"/>
  <c r="L17" i="6"/>
  <c r="F17" i="2" s="1"/>
  <c r="D17" i="3"/>
  <c r="D22" i="3" s="1"/>
  <c r="L18" i="6"/>
  <c r="L21" i="6" s="1"/>
  <c r="D16" i="3"/>
  <c r="D21" i="3" s="1"/>
  <c r="L33" i="12"/>
  <c r="O12" i="6" s="1"/>
  <c r="D15" i="3"/>
  <c r="D20" i="3" s="1"/>
  <c r="D18" i="3"/>
  <c r="D23" i="3" s="1"/>
  <c r="I12" i="2"/>
  <c r="M29" i="12"/>
  <c r="M30" i="12" s="1"/>
  <c r="G180" i="3"/>
  <c r="G181" i="3" s="1"/>
  <c r="M9" i="13"/>
  <c r="H180" i="3" s="1"/>
  <c r="H181" i="3" s="1"/>
  <c r="H185" i="3"/>
  <c r="L23" i="13"/>
  <c r="G183" i="3"/>
  <c r="G182" i="3" s="1"/>
  <c r="M21" i="6"/>
  <c r="I90" i="12"/>
  <c r="M19" i="6"/>
  <c r="J90" i="12"/>
  <c r="K36" i="12"/>
  <c r="K37" i="12" s="1"/>
  <c r="P47" i="12"/>
  <c r="Q25" i="12" s="1"/>
  <c r="T13" i="6" s="1"/>
  <c r="P72" i="12"/>
  <c r="O48" i="12"/>
  <c r="N26" i="12"/>
  <c r="N27" i="12" s="1"/>
  <c r="N15" i="13"/>
  <c r="N16" i="13" s="1"/>
  <c r="I178" i="3" s="1"/>
  <c r="K87" i="12" l="1"/>
  <c r="K88" i="12" s="1"/>
  <c r="C278" i="3" a="1"/>
  <c r="C278" i="3" s="1"/>
  <c r="H217" i="3"/>
  <c r="M12" i="14" s="1"/>
  <c r="C250" i="3" a="1"/>
  <c r="C250" i="3" s="1"/>
  <c r="L19" i="6"/>
  <c r="D28" i="3" s="1"/>
  <c r="J12" i="2"/>
  <c r="O9" i="6"/>
  <c r="O11" i="6" s="1"/>
  <c r="O14" i="6" s="1"/>
  <c r="G218" i="3" s="1"/>
  <c r="L13" i="14" s="1"/>
  <c r="M33" i="12"/>
  <c r="P9" i="6" s="1"/>
  <c r="P11" i="6" s="1"/>
  <c r="N29" i="12"/>
  <c r="N30" i="12" s="1"/>
  <c r="N9" i="13"/>
  <c r="I180" i="3" s="1"/>
  <c r="I181" i="3" s="1"/>
  <c r="M10" i="13"/>
  <c r="M22" i="13" s="1"/>
  <c r="M23" i="13" s="1"/>
  <c r="I185" i="3"/>
  <c r="F14" i="3"/>
  <c r="F19" i="3" s="1"/>
  <c r="F15" i="3"/>
  <c r="F20" i="3" s="1"/>
  <c r="F16" i="3"/>
  <c r="F21" i="3" s="1"/>
  <c r="F17" i="3"/>
  <c r="F22" i="3" s="1"/>
  <c r="F18" i="3"/>
  <c r="F23" i="3" s="1"/>
  <c r="E28" i="3"/>
  <c r="E24" i="3"/>
  <c r="E25" i="3"/>
  <c r="E26" i="3"/>
  <c r="E27" i="3"/>
  <c r="M22" i="6"/>
  <c r="N17" i="6"/>
  <c r="H17" i="2" s="1"/>
  <c r="N18" i="6"/>
  <c r="F219" i="3"/>
  <c r="K14" i="14" s="1"/>
  <c r="K71" i="12"/>
  <c r="K78" i="12" s="1"/>
  <c r="F224" i="3" s="1"/>
  <c r="K19" i="14" s="1"/>
  <c r="L36" i="12"/>
  <c r="L37" i="12" s="1"/>
  <c r="H13" i="2"/>
  <c r="Q47" i="12"/>
  <c r="Q72" i="12"/>
  <c r="O26" i="12"/>
  <c r="O27" i="12" s="1"/>
  <c r="O15" i="13"/>
  <c r="O16" i="13" s="1"/>
  <c r="J178" i="3" s="1"/>
  <c r="P48" i="12"/>
  <c r="I217" i="3" l="1"/>
  <c r="N12" i="14" s="1"/>
  <c r="L87" i="12"/>
  <c r="L88" i="12" s="1"/>
  <c r="F14" i="15"/>
  <c r="C252" i="3"/>
  <c r="F15" i="15" s="1"/>
  <c r="P12" i="6"/>
  <c r="P14" i="6" s="1"/>
  <c r="H218" i="3" s="1"/>
  <c r="M13" i="14" s="1"/>
  <c r="D24" i="3"/>
  <c r="D27" i="3"/>
  <c r="L22" i="6"/>
  <c r="D25" i="3"/>
  <c r="D26" i="3"/>
  <c r="N33" i="12"/>
  <c r="Q9" i="6" s="1"/>
  <c r="Q11" i="6" s="1"/>
  <c r="K12" i="2"/>
  <c r="O29" i="12"/>
  <c r="O30" i="12" s="1"/>
  <c r="H183" i="3"/>
  <c r="H182" i="3" s="1"/>
  <c r="N10" i="13"/>
  <c r="N22" i="13" s="1"/>
  <c r="N23" i="13" s="1"/>
  <c r="O9" i="13"/>
  <c r="O10" i="13" s="1"/>
  <c r="O22" i="13" s="1"/>
  <c r="J185" i="3"/>
  <c r="G14" i="3"/>
  <c r="G19" i="3" s="1"/>
  <c r="G15" i="3"/>
  <c r="G20" i="3" s="1"/>
  <c r="G16" i="3"/>
  <c r="G21" i="3" s="1"/>
  <c r="G17" i="3"/>
  <c r="G22" i="3" s="1"/>
  <c r="G18" i="3"/>
  <c r="G23" i="3" s="1"/>
  <c r="N21" i="6"/>
  <c r="N19" i="6"/>
  <c r="O17" i="6"/>
  <c r="I17" i="2" s="1"/>
  <c r="O18" i="6"/>
  <c r="G219" i="3"/>
  <c r="L14" i="14" s="1"/>
  <c r="L71" i="12"/>
  <c r="L78" i="12" s="1"/>
  <c r="G224" i="3" s="1"/>
  <c r="L19" i="14" s="1"/>
  <c r="K90" i="12"/>
  <c r="I13" i="2"/>
  <c r="P26" i="12"/>
  <c r="P27" i="12" s="1"/>
  <c r="P15" i="13"/>
  <c r="P16" i="13" s="1"/>
  <c r="K178" i="3" s="1"/>
  <c r="Q48" i="12"/>
  <c r="J217" i="3" l="1"/>
  <c r="O12" i="14" s="1"/>
  <c r="M36" i="12"/>
  <c r="M37" i="12" s="1"/>
  <c r="Q12" i="6"/>
  <c r="Q14" i="6" s="1"/>
  <c r="I218" i="3" s="1"/>
  <c r="N13" i="14" s="1"/>
  <c r="O33" i="12"/>
  <c r="R9" i="6" s="1"/>
  <c r="R11" i="6" s="1"/>
  <c r="L12" i="2"/>
  <c r="P29" i="12"/>
  <c r="P30" i="12" s="1"/>
  <c r="C243" i="3" a="1"/>
  <c r="C243" i="3" s="1"/>
  <c r="J180" i="3"/>
  <c r="J181" i="3" s="1"/>
  <c r="I183" i="3"/>
  <c r="I182" i="3" s="1"/>
  <c r="P9" i="13"/>
  <c r="P10" i="13" s="1"/>
  <c r="P22" i="13" s="1"/>
  <c r="O23" i="13"/>
  <c r="J183" i="3"/>
  <c r="J182" i="3" s="1"/>
  <c r="H15" i="3"/>
  <c r="H20" i="3" s="1"/>
  <c r="H16" i="3"/>
  <c r="H21" i="3" s="1"/>
  <c r="H17" i="3"/>
  <c r="H22" i="3" s="1"/>
  <c r="H14" i="3"/>
  <c r="H19" i="3" s="1"/>
  <c r="H18" i="3"/>
  <c r="H23" i="3" s="1"/>
  <c r="O21" i="6"/>
  <c r="F28" i="3"/>
  <c r="F27" i="3"/>
  <c r="F25" i="3"/>
  <c r="F26" i="3"/>
  <c r="F24" i="3"/>
  <c r="N22" i="6"/>
  <c r="O19" i="6"/>
  <c r="P17" i="6"/>
  <c r="J17" i="2" s="1"/>
  <c r="P18" i="6"/>
  <c r="P21" i="6" s="1"/>
  <c r="L90" i="12"/>
  <c r="Q15" i="13"/>
  <c r="Q16" i="13" s="1"/>
  <c r="L178" i="3" s="1"/>
  <c r="Q26" i="12"/>
  <c r="Q27" i="12" s="1"/>
  <c r="K217" i="3" l="1"/>
  <c r="P12" i="14" s="1"/>
  <c r="H219" i="3"/>
  <c r="M14" i="14" s="1"/>
  <c r="M87" i="12"/>
  <c r="M88" i="12" s="1"/>
  <c r="M71" i="12"/>
  <c r="M78" i="12" s="1"/>
  <c r="H224" i="3" s="1"/>
  <c r="M19" i="14" s="1"/>
  <c r="J13" i="2"/>
  <c r="R12" i="6"/>
  <c r="R14" i="6" s="1"/>
  <c r="J218" i="3" s="1"/>
  <c r="O13" i="14" s="1"/>
  <c r="N36" i="12"/>
  <c r="N37" i="12" s="1"/>
  <c r="M12" i="2"/>
  <c r="D279" i="3"/>
  <c r="C309" i="3"/>
  <c r="O50" i="15" s="1"/>
  <c r="C323" i="3" a="1"/>
  <c r="C323" i="3" s="1"/>
  <c r="C283" i="3"/>
  <c r="P33" i="12"/>
  <c r="S12" i="6" s="1"/>
  <c r="Q29" i="12"/>
  <c r="Q30" i="12" s="1"/>
  <c r="C242" i="3" a="1"/>
  <c r="C242" i="3" s="1"/>
  <c r="F9" i="15" s="1"/>
  <c r="K180" i="3"/>
  <c r="K181" i="3" s="1"/>
  <c r="Q9" i="13"/>
  <c r="L180" i="3" s="1"/>
  <c r="M178" i="3"/>
  <c r="F29" i="13" s="1"/>
  <c r="P23" i="13"/>
  <c r="K183" i="3"/>
  <c r="K182" i="3" s="1"/>
  <c r="K185" i="3"/>
  <c r="I15" i="3"/>
  <c r="I20" i="3" s="1"/>
  <c r="I16" i="3"/>
  <c r="I21" i="3" s="1"/>
  <c r="I17" i="3"/>
  <c r="I22" i="3" s="1"/>
  <c r="I14" i="3"/>
  <c r="I19" i="3" s="1"/>
  <c r="I18" i="3"/>
  <c r="I23" i="3" s="1"/>
  <c r="G28" i="3"/>
  <c r="G25" i="3"/>
  <c r="G26" i="3"/>
  <c r="G24" i="3"/>
  <c r="G27" i="3"/>
  <c r="O22" i="6"/>
  <c r="P19" i="6"/>
  <c r="Q17" i="6"/>
  <c r="K17" i="2" s="1"/>
  <c r="Q18" i="6"/>
  <c r="Q21" i="6" s="1"/>
  <c r="I219" i="3" l="1"/>
  <c r="N14" i="14" s="1"/>
  <c r="N87" i="12"/>
  <c r="N88" i="12" s="1"/>
  <c r="Q10" i="13"/>
  <c r="Q22" i="13" s="1"/>
  <c r="L183" i="3" s="1"/>
  <c r="M90" i="12"/>
  <c r="O36" i="12"/>
  <c r="O37" i="12" s="1"/>
  <c r="N71" i="12"/>
  <c r="N78" i="12" s="1"/>
  <c r="I224" i="3" s="1"/>
  <c r="N19" i="14" s="1"/>
  <c r="K13" i="2"/>
  <c r="C280" i="3"/>
  <c r="C310" i="3"/>
  <c r="O51" i="15" s="1"/>
  <c r="C324" i="3" a="1"/>
  <c r="C324" i="3" s="1"/>
  <c r="D280" i="3"/>
  <c r="E279" i="3"/>
  <c r="E281" i="3" s="1"/>
  <c r="S9" i="6"/>
  <c r="S11" i="6" s="1"/>
  <c r="S14" i="6" s="1"/>
  <c r="K218" i="3" s="1"/>
  <c r="P13" i="14" s="1"/>
  <c r="N12" i="2"/>
  <c r="Q33" i="12"/>
  <c r="C244" i="3"/>
  <c r="F10" i="15" s="1"/>
  <c r="F207" i="3"/>
  <c r="F209" i="3" s="1"/>
  <c r="L185" i="3"/>
  <c r="M185" i="3" s="1"/>
  <c r="F203" i="3" s="1"/>
  <c r="F190" i="3" s="1"/>
  <c r="L181" i="3"/>
  <c r="M181" i="3" s="1"/>
  <c r="F32" i="13" s="1"/>
  <c r="M180" i="3"/>
  <c r="F31" i="13" s="1"/>
  <c r="J15" i="3"/>
  <c r="J20" i="3" s="1"/>
  <c r="J16" i="3"/>
  <c r="J21" i="3" s="1"/>
  <c r="J17" i="3"/>
  <c r="J22" i="3" s="1"/>
  <c r="J18" i="3"/>
  <c r="J23" i="3" s="1"/>
  <c r="J14" i="3"/>
  <c r="J19" i="3" s="1"/>
  <c r="H28" i="3"/>
  <c r="H25" i="3"/>
  <c r="H24" i="3"/>
  <c r="H26" i="3"/>
  <c r="H27" i="3"/>
  <c r="P22" i="6"/>
  <c r="Q19" i="6"/>
  <c r="R17" i="6"/>
  <c r="L17" i="2" s="1"/>
  <c r="R18" i="6"/>
  <c r="R21" i="6" s="1"/>
  <c r="P36" i="12"/>
  <c r="P37" i="12" s="1"/>
  <c r="C282" i="3" l="1"/>
  <c r="C284" i="3" s="1"/>
  <c r="L217" i="3"/>
  <c r="Q12" i="14" s="1"/>
  <c r="P87" i="12"/>
  <c r="P88" i="12" s="1"/>
  <c r="J219" i="3"/>
  <c r="O14" i="14" s="1"/>
  <c r="O87" i="12"/>
  <c r="O88" i="12" s="1"/>
  <c r="Q23" i="13"/>
  <c r="O71" i="12"/>
  <c r="O78" i="12" s="1"/>
  <c r="J224" i="3" s="1"/>
  <c r="O19" i="14" s="1"/>
  <c r="L13" i="2"/>
  <c r="N90" i="12"/>
  <c r="C35" i="3" a="1"/>
  <c r="C35" i="3" s="1"/>
  <c r="T9" i="6"/>
  <c r="T11" i="6" s="1"/>
  <c r="F197" i="3"/>
  <c r="E203" i="3"/>
  <c r="F193" i="3"/>
  <c r="F199" i="3"/>
  <c r="F188" i="3"/>
  <c r="F189" i="3"/>
  <c r="F192" i="3"/>
  <c r="F201" i="3"/>
  <c r="F196" i="3"/>
  <c r="F191" i="3"/>
  <c r="F200" i="3"/>
  <c r="F195" i="3"/>
  <c r="F202" i="3"/>
  <c r="F198" i="3"/>
  <c r="F194" i="3"/>
  <c r="L182" i="3"/>
  <c r="M182" i="3" s="1"/>
  <c r="M183" i="3"/>
  <c r="F34" i="13" s="1"/>
  <c r="K15" i="3"/>
  <c r="K20" i="3" s="1"/>
  <c r="K14" i="3"/>
  <c r="K19" i="3" s="1"/>
  <c r="K16" i="3"/>
  <c r="K21" i="3" s="1"/>
  <c r="K17" i="3"/>
  <c r="K22" i="3" s="1"/>
  <c r="K18" i="3"/>
  <c r="K23" i="3" s="1"/>
  <c r="I28" i="3"/>
  <c r="I24" i="3"/>
  <c r="I25" i="3"/>
  <c r="I26" i="3"/>
  <c r="I27" i="3"/>
  <c r="Q22" i="6"/>
  <c r="R19" i="6"/>
  <c r="S17" i="6"/>
  <c r="M17" i="2" s="1"/>
  <c r="S18" i="6"/>
  <c r="S21" i="6" s="1"/>
  <c r="P71" i="12"/>
  <c r="P78" i="12" s="1"/>
  <c r="K224" i="3" s="1"/>
  <c r="P19" i="14" s="1"/>
  <c r="K219" i="3"/>
  <c r="P14" i="14" s="1"/>
  <c r="M13" i="2"/>
  <c r="Q36" i="12"/>
  <c r="Q37" i="12" s="1"/>
  <c r="T12" i="6"/>
  <c r="D283" i="3" l="1"/>
  <c r="E283" i="3" s="1"/>
  <c r="E285" i="3" s="1"/>
  <c r="Q87" i="12"/>
  <c r="Q88" i="12" s="1"/>
  <c r="O90" i="12"/>
  <c r="T14" i="6"/>
  <c r="D284" i="3"/>
  <c r="J28" i="3"/>
  <c r="J24" i="3"/>
  <c r="J25" i="3"/>
  <c r="J26" i="3"/>
  <c r="J27" i="3"/>
  <c r="R22" i="6"/>
  <c r="S19" i="6"/>
  <c r="P90" i="12"/>
  <c r="L219" i="3"/>
  <c r="Q14" i="14" s="1"/>
  <c r="Q71" i="12"/>
  <c r="Q78" i="12" s="1"/>
  <c r="L224" i="3" s="1"/>
  <c r="Q19" i="14" s="1"/>
  <c r="N13" i="2"/>
  <c r="L16" i="3" l="1"/>
  <c r="L21" i="3" s="1"/>
  <c r="L218" i="3"/>
  <c r="Q13" i="14" s="1"/>
  <c r="T18" i="6"/>
  <c r="T21" i="6" s="1"/>
  <c r="L14" i="3"/>
  <c r="L19" i="3" s="1"/>
  <c r="L15" i="3"/>
  <c r="L20" i="3" s="1"/>
  <c r="T17" i="6"/>
  <c r="N17" i="2" s="1"/>
  <c r="L18" i="3"/>
  <c r="L23" i="3" s="1"/>
  <c r="L17" i="3"/>
  <c r="L22" i="3" s="1"/>
  <c r="K28" i="3"/>
  <c r="K25" i="3"/>
  <c r="K26" i="3"/>
  <c r="K24" i="3"/>
  <c r="K27" i="3"/>
  <c r="S22" i="6"/>
  <c r="Q90" i="12"/>
  <c r="T19" i="6" l="1"/>
  <c r="L24" i="3" l="1"/>
  <c r="L25" i="3"/>
  <c r="T22" i="6"/>
  <c r="L27" i="3"/>
  <c r="L28" i="3"/>
  <c r="L26" i="3"/>
  <c r="F33" i="13" l="1"/>
  <c r="E188" i="3" l="1"/>
  <c r="E189" i="3"/>
  <c r="E196" i="3"/>
  <c r="E201" i="3"/>
  <c r="E192" i="3"/>
  <c r="E199" i="3"/>
  <c r="E195" i="3"/>
  <c r="E198" i="3"/>
  <c r="E200" i="3"/>
  <c r="E197" i="3"/>
  <c r="E190" i="3"/>
  <c r="E193" i="3"/>
  <c r="E194" i="3"/>
  <c r="E191" i="3"/>
  <c r="E202" i="3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S18" i="16"/>
  <c r="S28" i="16" s="1"/>
  <c r="S32" i="16" s="1"/>
  <c r="S35" i="16" s="1"/>
  <c r="J18" i="16"/>
  <c r="J28" i="16" s="1"/>
  <c r="J32" i="16" s="1"/>
  <c r="J35" i="16" s="1"/>
  <c r="R18" i="16"/>
  <c r="R28" i="16" s="1"/>
  <c r="R32" i="16" s="1"/>
  <c r="R35" i="16" s="1"/>
  <c r="L18" i="16"/>
  <c r="L28" i="16" s="1"/>
  <c r="L32" i="16" s="1"/>
  <c r="L35" i="16" s="1"/>
  <c r="N18" i="16"/>
  <c r="N28" i="16" s="1"/>
  <c r="N32" i="16" s="1"/>
  <c r="N35" i="16" s="1"/>
  <c r="I18" i="16"/>
  <c r="O18" i="16"/>
  <c r="O28" i="16" s="1"/>
  <c r="O32" i="16" s="1"/>
  <c r="O35" i="16" s="1"/>
  <c r="K18" i="16"/>
  <c r="K28" i="16" s="1"/>
  <c r="K32" i="16" s="1"/>
  <c r="K35" i="16" s="1"/>
  <c r="P18" i="16"/>
  <c r="P28" i="16" s="1"/>
  <c r="P32" i="16" s="1"/>
  <c r="P35" i="16" s="1"/>
  <c r="M18" i="16"/>
  <c r="M28" i="16" s="1"/>
  <c r="M32" i="16" s="1"/>
  <c r="M35" i="16" s="1"/>
  <c r="Q18" i="16"/>
  <c r="Q28" i="16" s="1"/>
  <c r="Q32" i="16" s="1"/>
  <c r="Q35" i="16" s="1"/>
  <c r="H10" i="16"/>
  <c r="H18" i="16" s="1"/>
  <c r="H28" i="16" s="1"/>
  <c r="T10" i="16"/>
  <c r="T18" i="16" s="1"/>
  <c r="T28" i="16" s="1"/>
  <c r="I28" i="16" l="1"/>
  <c r="I32" i="16" s="1"/>
  <c r="I35" i="16" s="1"/>
  <c r="H32" i="16"/>
  <c r="H35" i="16" s="1"/>
  <c r="H62" i="16" s="1"/>
  <c r="T32" i="16"/>
  <c r="T35" i="16" s="1"/>
  <c r="L70" i="16" l="1"/>
  <c r="L77" i="16" s="1"/>
  <c r="L89" i="16" s="1"/>
  <c r="H70" i="16"/>
  <c r="Q70" i="16" l="1"/>
  <c r="Q77" i="16" s="1"/>
  <c r="Q89" i="16" s="1"/>
  <c r="H77" i="16"/>
  <c r="M70" i="16"/>
  <c r="M77" i="16" s="1"/>
  <c r="M89" i="16" s="1"/>
  <c r="I70" i="16"/>
  <c r="I77" i="16" s="1"/>
  <c r="I89" i="16" s="1"/>
  <c r="P70" i="16"/>
  <c r="P77" i="16" s="1"/>
  <c r="P89" i="16" s="1"/>
  <c r="R70" i="16"/>
  <c r="R77" i="16" s="1"/>
  <c r="R89" i="16" s="1"/>
  <c r="S70" i="16"/>
  <c r="S77" i="16" s="1"/>
  <c r="S89" i="16" s="1"/>
  <c r="O70" i="16"/>
  <c r="O77" i="16" s="1"/>
  <c r="O89" i="16" s="1"/>
  <c r="J70" i="16"/>
  <c r="J77" i="16" s="1"/>
  <c r="J89" i="16" s="1"/>
  <c r="I62" i="16"/>
  <c r="I63" i="16" s="1"/>
  <c r="I64" i="16" s="1"/>
  <c r="H63" i="16"/>
  <c r="H64" i="16" s="1"/>
  <c r="K70" i="16"/>
  <c r="K77" i="16" s="1"/>
  <c r="K89" i="16" s="1"/>
  <c r="N70" i="16"/>
  <c r="N77" i="16" s="1"/>
  <c r="N89" i="16" s="1"/>
  <c r="H89" i="16" l="1"/>
  <c r="H91" i="16" s="1"/>
  <c r="I90" i="16" s="1"/>
  <c r="I91" i="16" s="1"/>
  <c r="I40" i="16" s="1"/>
  <c r="I43" i="16" s="1"/>
  <c r="I48" i="16" s="1"/>
  <c r="J62" i="16"/>
  <c r="J63" i="16" s="1"/>
  <c r="J64" i="16" s="1"/>
  <c r="T70" i="16"/>
  <c r="T77" i="16" s="1"/>
  <c r="T89" i="16" s="1"/>
  <c r="T91" i="16" s="1"/>
  <c r="H40" i="16" l="1"/>
  <c r="H43" i="16" s="1"/>
  <c r="H48" i="16" s="1"/>
  <c r="H66" i="16" s="1"/>
  <c r="I66" i="16"/>
  <c r="J90" i="16"/>
  <c r="J91" i="16" s="1"/>
  <c r="J40" i="16" s="1"/>
  <c r="J43" i="16" s="1"/>
  <c r="J48" i="16" s="1"/>
  <c r="K62" i="16"/>
  <c r="K63" i="16" s="1"/>
  <c r="K64" i="16" s="1"/>
  <c r="J66" i="16" l="1"/>
  <c r="K90" i="16"/>
  <c r="K91" i="16" s="1"/>
  <c r="K40" i="16" s="1"/>
  <c r="K43" i="16" s="1"/>
  <c r="K48" i="16" s="1"/>
  <c r="L62" i="16"/>
  <c r="L63" i="16" s="1"/>
  <c r="L64" i="16" s="1"/>
  <c r="M62" i="16" l="1"/>
  <c r="M63" i="16" s="1"/>
  <c r="M64" i="16" s="1"/>
  <c r="K66" i="16"/>
  <c r="L90" i="16"/>
  <c r="L91" i="16" s="1"/>
  <c r="L40" i="16" s="1"/>
  <c r="L43" i="16" s="1"/>
  <c r="L48" i="16" s="1"/>
  <c r="L66" i="16" l="1"/>
  <c r="M90" i="16"/>
  <c r="M91" i="16" s="1"/>
  <c r="M40" i="16" s="1"/>
  <c r="M43" i="16" s="1"/>
  <c r="M48" i="16" s="1"/>
  <c r="N62" i="16"/>
  <c r="N63" i="16" s="1"/>
  <c r="N64" i="16" s="1"/>
  <c r="O62" i="16" l="1"/>
  <c r="O63" i="16" s="1"/>
  <c r="O64" i="16" s="1"/>
  <c r="N90" i="16"/>
  <c r="N91" i="16" s="1"/>
  <c r="N40" i="16" s="1"/>
  <c r="N43" i="16" s="1"/>
  <c r="N48" i="16" s="1"/>
  <c r="M66" i="16"/>
  <c r="N66" i="16" l="1"/>
  <c r="O90" i="16"/>
  <c r="O91" i="16" s="1"/>
  <c r="O40" i="16" s="1"/>
  <c r="O43" i="16" s="1"/>
  <c r="O48" i="16" s="1"/>
  <c r="P62" i="16"/>
  <c r="P63" i="16" s="1"/>
  <c r="P64" i="16" s="1"/>
  <c r="Q62" i="16" l="1"/>
  <c r="Q63" i="16" s="1"/>
  <c r="Q64" i="16" s="1"/>
  <c r="O66" i="16"/>
  <c r="P90" i="16"/>
  <c r="P91" i="16" s="1"/>
  <c r="P40" i="16" s="1"/>
  <c r="P43" i="16" s="1"/>
  <c r="P48" i="16" s="1"/>
  <c r="R62" i="16" l="1"/>
  <c r="R63" i="16" s="1"/>
  <c r="R64" i="16" s="1"/>
  <c r="P66" i="16"/>
  <c r="Q90" i="16"/>
  <c r="Q91" i="16" s="1"/>
  <c r="Q40" i="16" s="1"/>
  <c r="Q43" i="16" s="1"/>
  <c r="Q48" i="16" s="1"/>
  <c r="S62" i="16" l="1"/>
  <c r="S63" i="16" s="1"/>
  <c r="S64" i="16" s="1"/>
  <c r="R90" i="16"/>
  <c r="R91" i="16" s="1"/>
  <c r="R40" i="16" s="1"/>
  <c r="R43" i="16" s="1"/>
  <c r="R48" i="16" s="1"/>
  <c r="Q66" i="16"/>
  <c r="R66" i="16" l="1"/>
  <c r="S90" i="16"/>
  <c r="S91" i="16" s="1"/>
  <c r="T62" i="16"/>
  <c r="T63" i="16" s="1"/>
  <c r="T64" i="16" s="1"/>
  <c r="S40" i="16" l="1"/>
  <c r="T40" i="16" s="1"/>
  <c r="T43" i="16" s="1"/>
  <c r="T48" i="16" s="1"/>
  <c r="T66" i="16" s="1"/>
  <c r="S43" i="16" l="1"/>
  <c r="S48" i="16" s="1"/>
  <c r="S66" i="16" s="1"/>
  <c r="H33" i="10"/>
  <c r="C172" i="3"/>
  <c r="D172" i="3" l="1"/>
  <c r="C173" i="3"/>
  <c r="H36" i="10"/>
  <c r="H37" i="10" s="1"/>
  <c r="E172" i="3" l="1"/>
  <c r="J33" i="10"/>
  <c r="H87" i="10"/>
  <c r="H71" i="10"/>
  <c r="H78" i="10" l="1"/>
  <c r="F172" i="3"/>
  <c r="K33" i="10"/>
  <c r="D173" i="3"/>
  <c r="H88" i="10"/>
  <c r="I36" i="10"/>
  <c r="I37" i="10" s="1"/>
  <c r="H63" i="10"/>
  <c r="E173" i="3"/>
  <c r="F173" i="3" l="1"/>
  <c r="J36" i="10"/>
  <c r="J37" i="10" s="1"/>
  <c r="L33" i="10"/>
  <c r="G172" i="3"/>
  <c r="H64" i="10"/>
  <c r="H65" i="10" s="1"/>
  <c r="I71" i="10"/>
  <c r="I87" i="10"/>
  <c r="I63" i="10" s="1"/>
  <c r="H90" i="10"/>
  <c r="H92" i="10" s="1"/>
  <c r="H41" i="10" l="1"/>
  <c r="H44" i="10" s="1"/>
  <c r="H49" i="10" s="1"/>
  <c r="H67" i="10" s="1"/>
  <c r="I91" i="10"/>
  <c r="I78" i="10"/>
  <c r="L36" i="10"/>
  <c r="L37" i="10" s="1"/>
  <c r="I64" i="10"/>
  <c r="I65" i="10" s="1"/>
  <c r="J87" i="10"/>
  <c r="J88" i="10" s="1"/>
  <c r="J71" i="10"/>
  <c r="J78" i="10" s="1"/>
  <c r="M33" i="10"/>
  <c r="H172" i="3"/>
  <c r="I88" i="10"/>
  <c r="K36" i="10"/>
  <c r="K37" i="10" s="1"/>
  <c r="J90" i="10" l="1"/>
  <c r="J63" i="10"/>
  <c r="J64" i="10" s="1"/>
  <c r="J65" i="10" s="1"/>
  <c r="H173" i="3"/>
  <c r="L87" i="10"/>
  <c r="L88" i="10" s="1"/>
  <c r="L71" i="10"/>
  <c r="L78" i="10" s="1"/>
  <c r="K71" i="10"/>
  <c r="K87" i="10"/>
  <c r="G173" i="3"/>
  <c r="I90" i="10"/>
  <c r="I92" i="10" s="1"/>
  <c r="I172" i="3"/>
  <c r="N33" i="10"/>
  <c r="K63" i="10" l="1"/>
  <c r="K64" i="10" s="1"/>
  <c r="K65" i="10" s="1"/>
  <c r="I173" i="3"/>
  <c r="K88" i="10"/>
  <c r="I41" i="10"/>
  <c r="I44" i="10" s="1"/>
  <c r="I49" i="10" s="1"/>
  <c r="I67" i="10" s="1"/>
  <c r="J91" i="10"/>
  <c r="J92" i="10" s="1"/>
  <c r="K78" i="10"/>
  <c r="O33" i="10"/>
  <c r="J172" i="3"/>
  <c r="L90" i="10"/>
  <c r="M36" i="10"/>
  <c r="M37" i="10" s="1"/>
  <c r="L63" i="10" l="1"/>
  <c r="L64" i="10" s="1"/>
  <c r="L65" i="10" s="1"/>
  <c r="N36" i="10"/>
  <c r="N37" i="10" s="1"/>
  <c r="K90" i="10"/>
  <c r="M71" i="10"/>
  <c r="M87" i="10"/>
  <c r="J41" i="10"/>
  <c r="J44" i="10" s="1"/>
  <c r="J49" i="10" s="1"/>
  <c r="J67" i="10" s="1"/>
  <c r="K91" i="10"/>
  <c r="J173" i="3"/>
  <c r="K172" i="3"/>
  <c r="P172" i="3" s="1"/>
  <c r="L25" i="11" s="1"/>
  <c r="P33" i="10"/>
  <c r="M25" i="11" l="1"/>
  <c r="N25" i="11" s="1"/>
  <c r="L26" i="11"/>
  <c r="O172" i="3"/>
  <c r="G25" i="11" s="1"/>
  <c r="M63" i="10"/>
  <c r="M64" i="10" s="1"/>
  <c r="M65" i="10" s="1"/>
  <c r="N87" i="10"/>
  <c r="N88" i="10" s="1"/>
  <c r="N71" i="10"/>
  <c r="N78" i="10" s="1"/>
  <c r="K92" i="10"/>
  <c r="K41" i="10" s="1"/>
  <c r="K44" i="10" s="1"/>
  <c r="K49" i="10" s="1"/>
  <c r="K67" i="10" s="1"/>
  <c r="K173" i="3"/>
  <c r="P173" i="3" s="1"/>
  <c r="L28" i="11" s="1"/>
  <c r="Q33" i="10"/>
  <c r="L172" i="3"/>
  <c r="M88" i="10"/>
  <c r="O36" i="10"/>
  <c r="O37" i="10" s="1"/>
  <c r="M78" i="10"/>
  <c r="M28" i="11" l="1"/>
  <c r="N28" i="11" s="1"/>
  <c r="F38" i="11"/>
  <c r="D160" i="3" s="1"/>
  <c r="M26" i="11"/>
  <c r="N26" i="11" s="1"/>
  <c r="L29" i="11"/>
  <c r="O173" i="3"/>
  <c r="G28" i="11" s="1"/>
  <c r="H28" i="11" s="1"/>
  <c r="G26" i="11"/>
  <c r="H25" i="11"/>
  <c r="I25" i="11" s="1"/>
  <c r="N90" i="10"/>
  <c r="N63" i="10"/>
  <c r="N64" i="10" s="1"/>
  <c r="N65" i="10" s="1"/>
  <c r="L91" i="10"/>
  <c r="L92" i="10" s="1"/>
  <c r="M91" i="10" s="1"/>
  <c r="M90" i="10"/>
  <c r="L173" i="3"/>
  <c r="O87" i="10"/>
  <c r="O71" i="10"/>
  <c r="R33" i="10"/>
  <c r="M172" i="3"/>
  <c r="P36" i="10"/>
  <c r="P37" i="10" s="1"/>
  <c r="E160" i="3" l="1"/>
  <c r="F160" i="3"/>
  <c r="H26" i="11"/>
  <c r="I26" i="11" s="1"/>
  <c r="G29" i="11"/>
  <c r="G30" i="11" s="1"/>
  <c r="H29" i="11"/>
  <c r="I28" i="11"/>
  <c r="L30" i="11"/>
  <c r="M29" i="11"/>
  <c r="N29" i="11" s="1"/>
  <c r="L41" i="10"/>
  <c r="L44" i="10" s="1"/>
  <c r="L49" i="10" s="1"/>
  <c r="L67" i="10" s="1"/>
  <c r="O63" i="10"/>
  <c r="O64" i="10" s="1"/>
  <c r="O65" i="10" s="1"/>
  <c r="M92" i="10"/>
  <c r="M41" i="10" s="1"/>
  <c r="M44" i="10" s="1"/>
  <c r="M49" i="10" s="1"/>
  <c r="M67" i="10" s="1"/>
  <c r="M173" i="3"/>
  <c r="P71" i="10"/>
  <c r="P78" i="10" s="1"/>
  <c r="P87" i="10"/>
  <c r="P88" i="10" s="1"/>
  <c r="O78" i="10"/>
  <c r="Q36" i="10"/>
  <c r="Q37" i="10" s="1"/>
  <c r="N172" i="3"/>
  <c r="S33" i="10"/>
  <c r="T32" i="10"/>
  <c r="O88" i="10"/>
  <c r="G160" i="3" l="1"/>
  <c r="H160" i="3"/>
  <c r="I29" i="11"/>
  <c r="N91" i="10"/>
  <c r="N92" i="10" s="1"/>
  <c r="O91" i="10" s="1"/>
  <c r="Q87" i="10"/>
  <c r="Q88" i="10" s="1"/>
  <c r="Q71" i="10"/>
  <c r="Q78" i="10" s="1"/>
  <c r="T33" i="10"/>
  <c r="H32" i="12"/>
  <c r="C311" i="3" s="1"/>
  <c r="O52" i="15" s="1"/>
  <c r="S36" i="10"/>
  <c r="S37" i="10" s="1"/>
  <c r="O90" i="10"/>
  <c r="P63" i="10"/>
  <c r="P90" i="10"/>
  <c r="R36" i="10"/>
  <c r="R37" i="10" s="1"/>
  <c r="N41" i="10" l="1"/>
  <c r="N44" i="10" s="1"/>
  <c r="N49" i="10" s="1"/>
  <c r="N67" i="10" s="1"/>
  <c r="O92" i="10"/>
  <c r="O41" i="10" s="1"/>
  <c r="O44" i="10" s="1"/>
  <c r="O49" i="10" s="1"/>
  <c r="O67" i="10" s="1"/>
  <c r="Q90" i="10"/>
  <c r="S71" i="10"/>
  <c r="S87" i="10"/>
  <c r="Q63" i="10"/>
  <c r="P64" i="10"/>
  <c r="P65" i="10" s="1"/>
  <c r="H33" i="12"/>
  <c r="C312" i="3" s="1"/>
  <c r="O53" i="15" s="1"/>
  <c r="K10" i="6"/>
  <c r="R71" i="10"/>
  <c r="R78" i="10" s="1"/>
  <c r="R87" i="10"/>
  <c r="R88" i="10" s="1"/>
  <c r="N173" i="3"/>
  <c r="H35" i="12"/>
  <c r="K12" i="6" l="1"/>
  <c r="C313" i="3"/>
  <c r="O54" i="15" s="1"/>
  <c r="P91" i="10"/>
  <c r="P92" i="10" s="1"/>
  <c r="Q91" i="10" s="1"/>
  <c r="Q92" i="10" s="1"/>
  <c r="T36" i="10"/>
  <c r="T37" i="10" s="1"/>
  <c r="S88" i="10"/>
  <c r="T87" i="10"/>
  <c r="H36" i="12"/>
  <c r="K9" i="6"/>
  <c r="K11" i="6" s="1"/>
  <c r="S78" i="10"/>
  <c r="T71" i="10"/>
  <c r="R90" i="10"/>
  <c r="R63" i="10"/>
  <c r="Q64" i="10"/>
  <c r="Q65" i="10" s="1"/>
  <c r="C247" i="3" l="1"/>
  <c r="H37" i="12"/>
  <c r="K14" i="6"/>
  <c r="C246" i="3"/>
  <c r="C314" i="3"/>
  <c r="O55" i="15" s="1"/>
  <c r="S90" i="10"/>
  <c r="P41" i="10"/>
  <c r="P44" i="10" s="1"/>
  <c r="P49" i="10" s="1"/>
  <c r="P67" i="10" s="1"/>
  <c r="T78" i="10"/>
  <c r="H71" i="12"/>
  <c r="H78" i="12" s="1"/>
  <c r="T88" i="10"/>
  <c r="H87" i="12"/>
  <c r="H88" i="12" s="1"/>
  <c r="C318" i="3" s="1"/>
  <c r="O59" i="15" s="1"/>
  <c r="R64" i="10"/>
  <c r="R65" i="10" s="1"/>
  <c r="S63" i="10"/>
  <c r="T63" i="10" s="1"/>
  <c r="H63" i="12" s="1"/>
  <c r="Q41" i="10"/>
  <c r="Q44" i="10" s="1"/>
  <c r="Q49" i="10" s="1"/>
  <c r="Q67" i="10" s="1"/>
  <c r="R91" i="10"/>
  <c r="R92" i="10" s="1"/>
  <c r="E13" i="2"/>
  <c r="C219" i="3" l="1"/>
  <c r="H14" i="14" s="1"/>
  <c r="C271" i="3"/>
  <c r="C16" i="3"/>
  <c r="C21" i="3" s="1"/>
  <c r="M21" i="3" s="1"/>
  <c r="C218" i="3"/>
  <c r="H13" i="14" s="1"/>
  <c r="C316" i="3"/>
  <c r="O57" i="15" s="1"/>
  <c r="C224" i="3"/>
  <c r="H19" i="14" s="1"/>
  <c r="C17" i="3"/>
  <c r="C22" i="3" s="1"/>
  <c r="M22" i="3" s="1"/>
  <c r="C15" i="3"/>
  <c r="C20" i="3" s="1"/>
  <c r="M20" i="3" s="1"/>
  <c r="C14" i="3"/>
  <c r="C19" i="3" s="1"/>
  <c r="M19" i="3" s="1"/>
  <c r="C18" i="3"/>
  <c r="C23" i="3" s="1"/>
  <c r="M23" i="3" s="1"/>
  <c r="K17" i="6"/>
  <c r="E17" i="2" s="1"/>
  <c r="K18" i="6"/>
  <c r="K21" i="6" s="1"/>
  <c r="K32" i="6" s="1"/>
  <c r="H207" i="3"/>
  <c r="H209" i="3" s="1"/>
  <c r="C270" i="3"/>
  <c r="C248" i="3"/>
  <c r="D15" i="15" s="1"/>
  <c r="D14" i="15"/>
  <c r="R41" i="10"/>
  <c r="R44" i="10" s="1"/>
  <c r="R49" i="10" s="1"/>
  <c r="R67" i="10" s="1"/>
  <c r="S91" i="10"/>
  <c r="S92" i="10" s="1"/>
  <c r="S41" i="10" s="1"/>
  <c r="S64" i="10"/>
  <c r="S65" i="10" s="1"/>
  <c r="H90" i="12"/>
  <c r="H92" i="12" s="1"/>
  <c r="T90" i="10"/>
  <c r="T92" i="10" s="1"/>
  <c r="K39" i="6" s="1"/>
  <c r="N207" i="3" l="1"/>
  <c r="N209" i="3" s="1"/>
  <c r="K19" i="6"/>
  <c r="C28" i="3" s="1"/>
  <c r="M28" i="3" s="1"/>
  <c r="D271" i="3"/>
  <c r="D272" i="3" s="1"/>
  <c r="C272" i="3"/>
  <c r="J13" i="15" s="1"/>
  <c r="J11" i="15"/>
  <c r="T64" i="10"/>
  <c r="T65" i="10" s="1"/>
  <c r="S44" i="10"/>
  <c r="S49" i="10" s="1"/>
  <c r="S67" i="10" s="1"/>
  <c r="T41" i="10"/>
  <c r="K33" i="6"/>
  <c r="M18" i="3" s="1"/>
  <c r="K40" i="6"/>
  <c r="E19" i="2" s="1"/>
  <c r="E16" i="2"/>
  <c r="C32" i="3" s="1"/>
  <c r="C33" i="3" s="1"/>
  <c r="I91" i="12"/>
  <c r="I92" i="12" s="1"/>
  <c r="K22" i="6" l="1"/>
  <c r="K31" i="6" s="1"/>
  <c r="K34" i="6" s="1"/>
  <c r="K45" i="6" s="1"/>
  <c r="K44" i="6" s="1"/>
  <c r="K46" i="6" s="1"/>
  <c r="C25" i="3"/>
  <c r="M25" i="3" s="1"/>
  <c r="C26" i="3"/>
  <c r="M26" i="3" s="1"/>
  <c r="C27" i="3"/>
  <c r="M27" i="3" s="1"/>
  <c r="C24" i="3"/>
  <c r="M24" i="3" s="1"/>
  <c r="H41" i="12"/>
  <c r="C223" i="3" s="1"/>
  <c r="H18" i="14" s="1"/>
  <c r="T44" i="10"/>
  <c r="T49" i="10" s="1"/>
  <c r="T67" i="10" s="1"/>
  <c r="F16" i="2"/>
  <c r="D32" i="3" s="1"/>
  <c r="D33" i="3" s="1"/>
  <c r="J91" i="12"/>
  <c r="J92" i="12" s="1"/>
  <c r="I41" i="12"/>
  <c r="D223" i="3" s="1"/>
  <c r="I18" i="14" s="1"/>
  <c r="J19" i="6"/>
  <c r="K47" i="6" s="1"/>
  <c r="C39" i="3" s="1"/>
  <c r="C47" i="6" s="1"/>
  <c r="M19" i="2"/>
  <c r="K37" i="3" s="1"/>
  <c r="H19" i="2"/>
  <c r="F37" i="3" s="1"/>
  <c r="G18" i="2"/>
  <c r="E36" i="3" s="1"/>
  <c r="E18" i="2"/>
  <c r="C36" i="3" s="1"/>
  <c r="K18" i="2"/>
  <c r="I36" i="3" s="1"/>
  <c r="L18" i="2"/>
  <c r="J36" i="3" s="1"/>
  <c r="J19" i="2"/>
  <c r="H37" i="3" s="1"/>
  <c r="F19" i="2"/>
  <c r="D37" i="3" s="1"/>
  <c r="J18" i="2"/>
  <c r="H36" i="3" s="1"/>
  <c r="N18" i="2"/>
  <c r="L36" i="3" s="1"/>
  <c r="L19" i="2"/>
  <c r="J37" i="3" s="1"/>
  <c r="I19" i="2"/>
  <c r="G37" i="3" s="1"/>
  <c r="M18" i="2"/>
  <c r="K36" i="3" s="1"/>
  <c r="I18" i="2"/>
  <c r="G36" i="3" s="1"/>
  <c r="F18" i="2"/>
  <c r="D36" i="3" s="1"/>
  <c r="G19" i="2"/>
  <c r="E37" i="3" s="1"/>
  <c r="N19" i="2"/>
  <c r="L37" i="3" s="1"/>
  <c r="H18" i="2"/>
  <c r="F36" i="3" s="1"/>
  <c r="K19" i="2"/>
  <c r="I37" i="3" s="1"/>
  <c r="C37" i="3"/>
  <c r="I63" i="12"/>
  <c r="H64" i="12"/>
  <c r="C233" i="3" l="1"/>
  <c r="H28" i="14" s="1"/>
  <c r="C213" i="3"/>
  <c r="H8" i="14" s="1"/>
  <c r="N18" i="3" a="1"/>
  <c r="P20" i="3" s="1"/>
  <c r="I44" i="12"/>
  <c r="D222" i="3" s="1"/>
  <c r="I17" i="14" s="1"/>
  <c r="L207" i="3"/>
  <c r="L209" i="3" s="1"/>
  <c r="H44" i="12"/>
  <c r="C222" i="3" s="1"/>
  <c r="H17" i="14" s="1"/>
  <c r="I64" i="12"/>
  <c r="J63" i="12"/>
  <c r="H65" i="12"/>
  <c r="J41" i="12"/>
  <c r="E223" i="3" s="1"/>
  <c r="J18" i="14" s="1"/>
  <c r="K91" i="12"/>
  <c r="K92" i="12" s="1"/>
  <c r="G16" i="2"/>
  <c r="E32" i="3" s="1"/>
  <c r="E33" i="3" s="1"/>
  <c r="D233" i="3" l="1"/>
  <c r="I28" i="14" s="1"/>
  <c r="D213" i="3"/>
  <c r="C286" i="3" s="1"/>
  <c r="D287" i="3" s="1"/>
  <c r="P22" i="3"/>
  <c r="V17" i="3" s="1"/>
  <c r="N18" i="3"/>
  <c r="N19" i="3" s="1"/>
  <c r="Q19" i="3"/>
  <c r="V19" i="3" s="1"/>
  <c r="P21" i="3"/>
  <c r="V16" i="3" s="1"/>
  <c r="Q20" i="3"/>
  <c r="V20" i="3" s="1"/>
  <c r="Q21" i="3"/>
  <c r="S31" i="6" s="1"/>
  <c r="O22" i="3"/>
  <c r="Q32" i="6" s="1"/>
  <c r="Q23" i="3"/>
  <c r="S33" i="6" s="1"/>
  <c r="R22" i="3"/>
  <c r="T32" i="6" s="1"/>
  <c r="P19" i="3"/>
  <c r="V14" i="3" s="1"/>
  <c r="R21" i="3"/>
  <c r="T31" i="6" s="1"/>
  <c r="R20" i="3"/>
  <c r="T30" i="6" s="1"/>
  <c r="O21" i="3"/>
  <c r="Q31" i="6" s="1"/>
  <c r="Q22" i="3"/>
  <c r="S32" i="6" s="1"/>
  <c r="O20" i="3"/>
  <c r="Q30" i="6" s="1"/>
  <c r="P23" i="3"/>
  <c r="R33" i="6" s="1"/>
  <c r="O19" i="3"/>
  <c r="V9" i="3" s="1"/>
  <c r="R23" i="3"/>
  <c r="T33" i="6" s="1"/>
  <c r="R19" i="3"/>
  <c r="V24" i="3" s="1"/>
  <c r="O23" i="3"/>
  <c r="V13" i="3" s="1"/>
  <c r="E21" i="2"/>
  <c r="R30" i="6"/>
  <c r="V15" i="3"/>
  <c r="K41" i="12"/>
  <c r="F223" i="3" s="1"/>
  <c r="K18" i="14" s="1"/>
  <c r="H16" i="2"/>
  <c r="F32" i="3" s="1"/>
  <c r="F33" i="3" s="1"/>
  <c r="L91" i="12"/>
  <c r="L92" i="12" s="1"/>
  <c r="H49" i="12"/>
  <c r="J207" i="3"/>
  <c r="J209" i="3" s="1"/>
  <c r="J44" i="12"/>
  <c r="E222" i="3" s="1"/>
  <c r="J17" i="14" s="1"/>
  <c r="K63" i="12"/>
  <c r="J64" i="12"/>
  <c r="I65" i="12"/>
  <c r="I49" i="12"/>
  <c r="N21" i="3" l="1"/>
  <c r="F21" i="2"/>
  <c r="I8" i="14"/>
  <c r="D235" i="3"/>
  <c r="I30" i="14" s="1"/>
  <c r="D215" i="3"/>
  <c r="I10" i="14" s="1"/>
  <c r="D214" i="3"/>
  <c r="I9" i="14" s="1"/>
  <c r="E233" i="3"/>
  <c r="J28" i="14" s="1"/>
  <c r="E213" i="3"/>
  <c r="J8" i="14" s="1"/>
  <c r="C235" i="3"/>
  <c r="H30" i="14" s="1"/>
  <c r="C215" i="3"/>
  <c r="C214" i="3"/>
  <c r="H9" i="14" s="1"/>
  <c r="C234" i="3"/>
  <c r="H29" i="14" s="1"/>
  <c r="D234" i="3"/>
  <c r="I29" i="14" s="1"/>
  <c r="V11" i="3"/>
  <c r="V12" i="3"/>
  <c r="N23" i="3"/>
  <c r="P33" i="6" s="1"/>
  <c r="R32" i="6"/>
  <c r="R31" i="6"/>
  <c r="T29" i="6"/>
  <c r="V18" i="3"/>
  <c r="V23" i="3"/>
  <c r="S29" i="6"/>
  <c r="N20" i="3"/>
  <c r="P30" i="6" s="1"/>
  <c r="Q33" i="6"/>
  <c r="V26" i="3"/>
  <c r="N22" i="3"/>
  <c r="V7" i="3" s="1"/>
  <c r="V22" i="3"/>
  <c r="V10" i="3"/>
  <c r="S30" i="6"/>
  <c r="R29" i="6"/>
  <c r="V27" i="3"/>
  <c r="V28" i="3"/>
  <c r="V21" i="3"/>
  <c r="V25" i="3"/>
  <c r="Q29" i="6"/>
  <c r="D288" i="3"/>
  <c r="E287" i="3"/>
  <c r="E289" i="3" s="1"/>
  <c r="P29" i="6"/>
  <c r="V4" i="3"/>
  <c r="G21" i="2"/>
  <c r="J65" i="12"/>
  <c r="I16" i="2"/>
  <c r="G32" i="3" s="1"/>
  <c r="G33" i="3" s="1"/>
  <c r="L41" i="12"/>
  <c r="G223" i="3" s="1"/>
  <c r="L18" i="14" s="1"/>
  <c r="M91" i="12"/>
  <c r="L63" i="12"/>
  <c r="K64" i="12"/>
  <c r="J49" i="12"/>
  <c r="E234" i="3" s="1"/>
  <c r="J29" i="14" s="1"/>
  <c r="I67" i="12"/>
  <c r="V6" i="3"/>
  <c r="P31" i="6"/>
  <c r="K44" i="12"/>
  <c r="F222" i="3" s="1"/>
  <c r="K17" i="14" s="1"/>
  <c r="H67" i="12"/>
  <c r="F22" i="2" l="1"/>
  <c r="C290" i="3"/>
  <c r="D291" i="3" s="1"/>
  <c r="E291" i="3" s="1"/>
  <c r="E293" i="3" s="1"/>
  <c r="E22" i="2"/>
  <c r="H10" i="14"/>
  <c r="V8" i="3"/>
  <c r="E235" i="3"/>
  <c r="J30" i="14" s="1"/>
  <c r="E215" i="3"/>
  <c r="J10" i="14" s="1"/>
  <c r="E214" i="3"/>
  <c r="J9" i="14" s="1"/>
  <c r="F233" i="3"/>
  <c r="K28" i="14" s="1"/>
  <c r="F213" i="3"/>
  <c r="K8" i="14" s="1"/>
  <c r="V5" i="3"/>
  <c r="P32" i="6"/>
  <c r="M92" i="12"/>
  <c r="C320" i="3" s="1"/>
  <c r="O61" i="15" s="1"/>
  <c r="C319" i="3"/>
  <c r="O60" i="15" s="1"/>
  <c r="L44" i="12"/>
  <c r="G222" i="3" s="1"/>
  <c r="L17" i="14" s="1"/>
  <c r="K65" i="12"/>
  <c r="M63" i="12"/>
  <c r="L64" i="12"/>
  <c r="K49" i="12"/>
  <c r="F234" i="3" s="1"/>
  <c r="K29" i="14" s="1"/>
  <c r="J67" i="12"/>
  <c r="C255" i="3"/>
  <c r="G22" i="2" l="1"/>
  <c r="H21" i="2"/>
  <c r="D292" i="3"/>
  <c r="F235" i="3"/>
  <c r="K30" i="14" s="1"/>
  <c r="F215" i="3"/>
  <c r="F214" i="3"/>
  <c r="K9" i="14" s="1"/>
  <c r="G233" i="3"/>
  <c r="L28" i="14" s="1"/>
  <c r="G213" i="3"/>
  <c r="L8" i="14" s="1"/>
  <c r="N91" i="12"/>
  <c r="N92" i="12" s="1"/>
  <c r="K16" i="2" s="1"/>
  <c r="I32" i="3" s="1"/>
  <c r="M41" i="12"/>
  <c r="J16" i="2"/>
  <c r="H32" i="3" s="1"/>
  <c r="H33" i="3" s="1"/>
  <c r="L65" i="12"/>
  <c r="N63" i="12"/>
  <c r="M64" i="12"/>
  <c r="C254" i="3"/>
  <c r="L9" i="15" s="1"/>
  <c r="K67" i="12"/>
  <c r="L49" i="12"/>
  <c r="G234" i="3" s="1"/>
  <c r="L29" i="14" s="1"/>
  <c r="I21" i="2" l="1"/>
  <c r="H22" i="2"/>
  <c r="K10" i="14"/>
  <c r="C267" i="3"/>
  <c r="H223" i="3"/>
  <c r="M18" i="14" s="1"/>
  <c r="G235" i="3"/>
  <c r="L30" i="14" s="1"/>
  <c r="G215" i="3"/>
  <c r="G214" i="3"/>
  <c r="L9" i="14" s="1"/>
  <c r="N41" i="12"/>
  <c r="I223" i="3" s="1"/>
  <c r="N18" i="14" s="1"/>
  <c r="H233" i="3"/>
  <c r="M28" i="14" s="1"/>
  <c r="H213" i="3"/>
  <c r="O91" i="12"/>
  <c r="O92" i="12" s="1"/>
  <c r="O41" i="12" s="1"/>
  <c r="J223" i="3" s="1"/>
  <c r="O18" i="14" s="1"/>
  <c r="M44" i="12"/>
  <c r="I33" i="3"/>
  <c r="C256" i="3"/>
  <c r="L10" i="15" s="1"/>
  <c r="M65" i="12"/>
  <c r="O63" i="12"/>
  <c r="N64" i="12"/>
  <c r="L67" i="12"/>
  <c r="C266" i="3"/>
  <c r="L16" i="2" l="1"/>
  <c r="J32" i="3" s="1"/>
  <c r="J33" i="3" s="1"/>
  <c r="J21" i="2"/>
  <c r="M8" i="14"/>
  <c r="I22" i="2"/>
  <c r="L10" i="14"/>
  <c r="N44" i="12"/>
  <c r="I222" i="3" s="1"/>
  <c r="N17" i="14" s="1"/>
  <c r="C263" i="3"/>
  <c r="H222" i="3"/>
  <c r="M17" i="14" s="1"/>
  <c r="I233" i="3"/>
  <c r="N28" i="14" s="1"/>
  <c r="I213" i="3"/>
  <c r="N8" i="14" s="1"/>
  <c r="M49" i="12"/>
  <c r="P91" i="12"/>
  <c r="P92" i="12" s="1"/>
  <c r="P41" i="12" s="1"/>
  <c r="K223" i="3" s="1"/>
  <c r="P18" i="14" s="1"/>
  <c r="C262" i="3"/>
  <c r="O44" i="12"/>
  <c r="J222" i="3" s="1"/>
  <c r="O17" i="14" s="1"/>
  <c r="N14" i="15"/>
  <c r="C268" i="3"/>
  <c r="N15" i="15" s="1"/>
  <c r="N65" i="12"/>
  <c r="O64" i="12"/>
  <c r="P63" i="12"/>
  <c r="N49" i="12" l="1"/>
  <c r="I234" i="3" s="1"/>
  <c r="N29" i="14" s="1"/>
  <c r="K21" i="2"/>
  <c r="J233" i="3"/>
  <c r="O28" i="14" s="1"/>
  <c r="J213" i="3"/>
  <c r="H235" i="3"/>
  <c r="M30" i="14" s="1"/>
  <c r="H215" i="3"/>
  <c r="H214" i="3"/>
  <c r="M9" i="14" s="1"/>
  <c r="H234" i="3"/>
  <c r="M29" i="14" s="1"/>
  <c r="I235" i="3"/>
  <c r="N30" i="14" s="1"/>
  <c r="I215" i="3"/>
  <c r="I214" i="3"/>
  <c r="N9" i="14" s="1"/>
  <c r="Q91" i="12"/>
  <c r="Q92" i="12" s="1"/>
  <c r="Q41" i="12" s="1"/>
  <c r="L223" i="3" s="1"/>
  <c r="Q18" i="14" s="1"/>
  <c r="M67" i="12"/>
  <c r="M16" i="2"/>
  <c r="K32" i="3" s="1"/>
  <c r="K33" i="3" s="1"/>
  <c r="P64" i="12"/>
  <c r="Q63" i="12"/>
  <c r="Q64" i="12" s="1"/>
  <c r="P44" i="12"/>
  <c r="K222" i="3" s="1"/>
  <c r="P17" i="14" s="1"/>
  <c r="O65" i="12"/>
  <c r="C264" i="3"/>
  <c r="L15" i="15" s="1"/>
  <c r="L14" i="15"/>
  <c r="N67" i="12"/>
  <c r="O49" i="12"/>
  <c r="L21" i="2" l="1"/>
  <c r="O8" i="14"/>
  <c r="K22" i="2"/>
  <c r="N10" i="14"/>
  <c r="J22" i="2"/>
  <c r="M10" i="14"/>
  <c r="J235" i="3"/>
  <c r="O30" i="14" s="1"/>
  <c r="J215" i="3"/>
  <c r="O10" i="14" s="1"/>
  <c r="J214" i="3"/>
  <c r="O9" i="14" s="1"/>
  <c r="L233" i="3"/>
  <c r="Q28" i="14" s="1"/>
  <c r="L213" i="3"/>
  <c r="Q8" i="14" s="1"/>
  <c r="K233" i="3"/>
  <c r="P28" i="14" s="1"/>
  <c r="K213" i="3"/>
  <c r="P8" i="14" s="1"/>
  <c r="J234" i="3"/>
  <c r="O29" i="14" s="1"/>
  <c r="N16" i="2"/>
  <c r="L32" i="3" s="1"/>
  <c r="L33" i="3" s="1"/>
  <c r="Q65" i="12"/>
  <c r="O67" i="12"/>
  <c r="P65" i="12"/>
  <c r="P49" i="12"/>
  <c r="K234" i="3" s="1"/>
  <c r="P29" i="14" s="1"/>
  <c r="Q44" i="12"/>
  <c r="L222" i="3" s="1"/>
  <c r="Q17" i="14" s="1"/>
  <c r="M21" i="2" l="1"/>
  <c r="L22" i="2"/>
  <c r="N21" i="2"/>
  <c r="K235" i="3"/>
  <c r="P30" i="14" s="1"/>
  <c r="K215" i="3"/>
  <c r="K214" i="3"/>
  <c r="P9" i="14" s="1"/>
  <c r="Q49" i="12"/>
  <c r="P67" i="12"/>
  <c r="M22" i="2" l="1"/>
  <c r="P10" i="14"/>
  <c r="L235" i="3"/>
  <c r="Q30" i="14" s="1"/>
  <c r="L215" i="3"/>
  <c r="L214" i="3"/>
  <c r="Q9" i="14" s="1"/>
  <c r="L234" i="3"/>
  <c r="Q29" i="14" s="1"/>
  <c r="Q67" i="12"/>
  <c r="N22" i="2" l="1"/>
  <c r="Q10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8" authorId="0" shapeId="0" xr:uid="{BC25EBBB-3B25-4AD7-AB42-ABE41B83FAB0}">
      <text>
        <r>
          <rPr>
            <sz val="9"/>
            <color indexed="81"/>
            <rFont val="Tahoma"/>
            <family val="2"/>
          </rPr>
          <t>Return on Equity (ROE) = Net Income / Average Total Equity</t>
        </r>
      </text>
    </comment>
    <comment ref="F9" authorId="0" shapeId="0" xr:uid="{17B192B5-BCB5-4FD1-9EE9-5517CD9EC250}">
      <text>
        <r>
          <rPr>
            <sz val="9"/>
            <color indexed="81"/>
            <rFont val="Tahoma"/>
            <family val="2"/>
          </rPr>
          <t>Return on Assets (ROA) = Net Income / Average Total Assets</t>
        </r>
      </text>
    </comment>
    <comment ref="F10" authorId="0" shapeId="0" xr:uid="{183D258C-4677-4A8A-9059-6A9CE7571EAF}">
      <text>
        <r>
          <rPr>
            <sz val="9"/>
            <color indexed="81"/>
            <rFont val="Tahoma"/>
            <family val="2"/>
          </rPr>
          <t>ROCE = NOPAT / Average Capital Employed (ACE)
ACE = Total Assets - Current Liabilities</t>
        </r>
      </text>
    </comment>
    <comment ref="F17" authorId="0" shapeId="0" xr:uid="{F6A46E80-CA40-4EE1-A1D6-8677430BC5D3}">
      <text>
        <r>
          <rPr>
            <sz val="9"/>
            <color indexed="81"/>
            <rFont val="Tahoma"/>
            <family val="2"/>
          </rPr>
          <t>Current Ratio = Current Assets / Current Liabilities</t>
        </r>
      </text>
    </comment>
    <comment ref="F18" authorId="0" shapeId="0" xr:uid="{3A3253E4-6AE7-4A2D-97CE-801EADA5D240}">
      <text>
        <r>
          <rPr>
            <sz val="9"/>
            <color indexed="81"/>
            <rFont val="Tahoma"/>
            <family val="2"/>
          </rPr>
          <t>Quick Ratio = (Cash and Equivalents + Accounts Receivable) / Current Liabilities</t>
        </r>
      </text>
    </comment>
    <comment ref="F19" authorId="0" shapeId="0" xr:uid="{72C437DA-34F8-408E-AA7B-0CA0B40AAAAF}">
      <text>
        <r>
          <rPr>
            <sz val="9"/>
            <color indexed="81"/>
            <rFont val="Tahoma"/>
            <family val="2"/>
          </rPr>
          <t>Operating Cash Flow Ratio = Cash from Operations / Current Liabilities</t>
        </r>
      </text>
    </comment>
    <comment ref="F22" authorId="0" shapeId="0" xr:uid="{E45D9F61-05D1-4555-ACDF-937F083795CB}">
      <text>
        <r>
          <rPr>
            <sz val="9"/>
            <color indexed="81"/>
            <rFont val="Tahoma"/>
            <family val="2"/>
          </rPr>
          <t>DSO = Average Accounts Receivable / Revenue x 365 Days</t>
        </r>
      </text>
    </comment>
    <comment ref="F23" authorId="0" shapeId="0" xr:uid="{19DF708F-B811-4336-B107-2D22062E3638}">
      <text>
        <r>
          <rPr>
            <sz val="9"/>
            <color indexed="81"/>
            <rFont val="Tahoma"/>
            <family val="2"/>
          </rPr>
          <t>DPO = Average Accounts Payable / COGS x 365 Days</t>
        </r>
      </text>
    </comment>
    <comment ref="F24" authorId="0" shapeId="0" xr:uid="{D6AB2B7E-B738-4F34-8A9F-FC2905D9BEEF}">
      <text>
        <r>
          <rPr>
            <sz val="9"/>
            <color indexed="81"/>
            <rFont val="Tahoma"/>
            <family val="2"/>
          </rPr>
          <t>DIO = Average Inventory / COGS x 365 Days</t>
        </r>
      </text>
    </comment>
    <comment ref="F25" authorId="0" shapeId="0" xr:uid="{F6AD41AD-9FED-4CFF-AE34-962662150EC3}">
      <text>
        <r>
          <rPr>
            <sz val="9"/>
            <color indexed="81"/>
            <rFont val="Tahoma"/>
            <family val="2"/>
          </rPr>
          <t>Cash Conversion Cycle = DIO + DSO - DPO</t>
        </r>
      </text>
    </comment>
    <comment ref="F29" authorId="0" shapeId="0" xr:uid="{5E1A4468-C949-412A-9395-910EDC2C07A3}">
      <text>
        <r>
          <rPr>
            <sz val="9"/>
            <color indexed="81"/>
            <rFont val="Tahoma"/>
            <family val="2"/>
          </rPr>
          <t>Shareholder Equity Ratio = Shareholders' Equity / Total Assets - Intangible Assets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<sst xmlns="http://schemas.openxmlformats.org/spreadsheetml/2006/main" count="1060" uniqueCount="315">
  <si>
    <t>Business Type</t>
  </si>
  <si>
    <t>Company Name</t>
  </si>
  <si>
    <t>Country</t>
  </si>
  <si>
    <t>Financial Year</t>
  </si>
  <si>
    <t>Currency</t>
  </si>
  <si>
    <t>© Person0811. All rights reserved.</t>
  </si>
  <si>
    <t>Executive Summary</t>
  </si>
  <si>
    <t>Case Scenario</t>
  </si>
  <si>
    <t>Key Financials</t>
  </si>
  <si>
    <t>USD</t>
  </si>
  <si>
    <t>Revenue</t>
  </si>
  <si>
    <t>Gross Profit</t>
  </si>
  <si>
    <t>Gross Profit Margin</t>
  </si>
  <si>
    <t>EBITDA</t>
  </si>
  <si>
    <t>Net Income</t>
  </si>
  <si>
    <t>Net Profit Margin</t>
  </si>
  <si>
    <t>Cumulative Cash Flow</t>
  </si>
  <si>
    <t>Free Cash Flow</t>
  </si>
  <si>
    <t>EV/Revenue</t>
  </si>
  <si>
    <t>Return on Equity (ROE)</t>
  </si>
  <si>
    <t>Return on Capital Employed (ROCE)</t>
  </si>
  <si>
    <t>Base Case</t>
  </si>
  <si>
    <t>Key Financial</t>
  </si>
  <si>
    <t>Years</t>
  </si>
  <si>
    <t>Best Case</t>
  </si>
  <si>
    <t>Worst Case</t>
  </si>
  <si>
    <t>Scenarios</t>
  </si>
  <si>
    <t>Financial</t>
  </si>
  <si>
    <t>Business Valuation</t>
  </si>
  <si>
    <t>Discounted Cash Flow</t>
  </si>
  <si>
    <t>EBT</t>
  </si>
  <si>
    <t>Interest</t>
  </si>
  <si>
    <t>EBIT</t>
  </si>
  <si>
    <t>Less: Cash Taxes</t>
  </si>
  <si>
    <t>Less: Capex</t>
  </si>
  <si>
    <t>Free Cash Flow to Firm (FCFF)</t>
  </si>
  <si>
    <t>Terminal Value</t>
  </si>
  <si>
    <t>Net FCF</t>
  </si>
  <si>
    <t>WACC Calculation</t>
  </si>
  <si>
    <t>Debt / Equity</t>
  </si>
  <si>
    <t>Risk Free Rate</t>
  </si>
  <si>
    <t>Equity Risk Premium</t>
  </si>
  <si>
    <t>Levered Beta</t>
  </si>
  <si>
    <t>Cost of Equity</t>
  </si>
  <si>
    <t>Tax Rate</t>
  </si>
  <si>
    <t>After Tax Cost of Debt</t>
  </si>
  <si>
    <t>WACC (Discount Rate)</t>
  </si>
  <si>
    <t>Capital Structure (Initial Investment)</t>
  </si>
  <si>
    <t>Debt</t>
  </si>
  <si>
    <t>Equity</t>
  </si>
  <si>
    <t>Total</t>
  </si>
  <si>
    <t>Valuation Assumptions</t>
  </si>
  <si>
    <t>EV/EBITDA Multiple</t>
  </si>
  <si>
    <t>Current Price</t>
  </si>
  <si>
    <t>Shares Outstanding</t>
  </si>
  <si>
    <t>Intrinsic Value</t>
  </si>
  <si>
    <t>Equity Value</t>
  </si>
  <si>
    <t>Market Value</t>
  </si>
  <si>
    <t>Market Cap</t>
  </si>
  <si>
    <t>Plus: Debt</t>
  </si>
  <si>
    <t>Less: Cash</t>
  </si>
  <si>
    <t>Rate of Return</t>
  </si>
  <si>
    <t>Current Share Price</t>
  </si>
  <si>
    <t>Upside</t>
  </si>
  <si>
    <t>Target Share Price</t>
  </si>
  <si>
    <t>Target Price Upside %</t>
  </si>
  <si>
    <t>IRR</t>
  </si>
  <si>
    <t>Weighted Average Cost of Capital (WACC)</t>
  </si>
  <si>
    <t>Business Units Revenue</t>
  </si>
  <si>
    <t>Volume</t>
  </si>
  <si>
    <t>Sales Price</t>
  </si>
  <si>
    <t>Category</t>
  </si>
  <si>
    <t>FY</t>
  </si>
  <si>
    <t>Sales</t>
  </si>
  <si>
    <t>Total Sales</t>
  </si>
  <si>
    <t>Service 1</t>
  </si>
  <si>
    <t>Service 2</t>
  </si>
  <si>
    <t>Service 3</t>
  </si>
  <si>
    <t>Service 4</t>
  </si>
  <si>
    <t>Service 5</t>
  </si>
  <si>
    <t>(Add Service)</t>
  </si>
  <si>
    <t>Total Services</t>
  </si>
  <si>
    <t>Product 1</t>
  </si>
  <si>
    <t>Product 2</t>
  </si>
  <si>
    <t>Product 3</t>
  </si>
  <si>
    <t>Product 4</t>
  </si>
  <si>
    <t>Product 5</t>
  </si>
  <si>
    <t>(Add Product)</t>
  </si>
  <si>
    <t>Total Products</t>
  </si>
  <si>
    <t>Grand Total Revenue</t>
  </si>
  <si>
    <t>Service &amp; Product</t>
  </si>
  <si>
    <t>Cost of Goods Sold (COGS)</t>
  </si>
  <si>
    <t>% of Revenue</t>
  </si>
  <si>
    <t>Grand Total Cost</t>
  </si>
  <si>
    <t>Assumptions</t>
  </si>
  <si>
    <t>Income Statement</t>
  </si>
  <si>
    <t>Revenue Growth</t>
  </si>
  <si>
    <t>Service Cost</t>
  </si>
  <si>
    <t>Product Cost</t>
  </si>
  <si>
    <t>Direct Labor Cost</t>
  </si>
  <si>
    <t>General and Administration</t>
  </si>
  <si>
    <t>Depreciation</t>
  </si>
  <si>
    <t>Discount and Promotions</t>
  </si>
  <si>
    <t>Salaries and Benefits</t>
  </si>
  <si>
    <t>Balance Sheet</t>
  </si>
  <si>
    <t>Accounts Receivable</t>
  </si>
  <si>
    <t>Inventory</t>
  </si>
  <si>
    <t>Accounts Payable</t>
  </si>
  <si>
    <t>Accrued Expenses and Other</t>
  </si>
  <si>
    <t>Capital Expenditures</t>
  </si>
  <si>
    <t>Financing</t>
  </si>
  <si>
    <t>Interest Rate (% of Debt)</t>
  </si>
  <si>
    <t>Debt Issued/(Repaid)</t>
  </si>
  <si>
    <t>Equity Issued/(Repaid)</t>
  </si>
  <si>
    <t>% change</t>
  </si>
  <si>
    <t>% of service revenue</t>
  </si>
  <si>
    <t>% of product revenue</t>
  </si>
  <si>
    <t>% of total revenue</t>
  </si>
  <si>
    <t>% of PP&amp;E</t>
  </si>
  <si>
    <t>Sales and Marketing</t>
  </si>
  <si>
    <t>% of EBT</t>
  </si>
  <si>
    <t>days</t>
  </si>
  <si>
    <t>Scenario Analysis</t>
  </si>
  <si>
    <t>%</t>
  </si>
  <si>
    <t>Scenario</t>
  </si>
  <si>
    <t>Base Case Scenario</t>
  </si>
  <si>
    <t>Best Case Scenario</t>
  </si>
  <si>
    <t>Worst Case Scenario</t>
  </si>
  <si>
    <t>12 Month Financial Projection</t>
  </si>
  <si>
    <t>Active Case</t>
  </si>
  <si>
    <t>Projections</t>
  </si>
  <si>
    <t>Budget</t>
  </si>
  <si>
    <t>Current Month</t>
  </si>
  <si>
    <t>Service Sales</t>
  </si>
  <si>
    <t>Product Sales</t>
  </si>
  <si>
    <t>Discounts and Promotions</t>
  </si>
  <si>
    <t>Total Cost of Sales</t>
  </si>
  <si>
    <t>Prior Year</t>
  </si>
  <si>
    <t>Forecast Year</t>
  </si>
  <si>
    <t>Gross Margin %</t>
  </si>
  <si>
    <t>Credit Card Fees</t>
  </si>
  <si>
    <t>Depreciation and Amortization</t>
  </si>
  <si>
    <t>Total Operating Expenses</t>
  </si>
  <si>
    <t>Operating Profit (EBIT)</t>
  </si>
  <si>
    <t>Operating Margin %</t>
  </si>
  <si>
    <t>Income Taxes</t>
  </si>
  <si>
    <t>Net Profit Margin %</t>
  </si>
  <si>
    <t>Current Assets</t>
  </si>
  <si>
    <t>Cash and Cash Equivalents</t>
  </si>
  <si>
    <t>Total Current Assets</t>
  </si>
  <si>
    <t>Non-Current Assets</t>
  </si>
  <si>
    <t>Total Non-Current Assets</t>
  </si>
  <si>
    <t>Total Assets</t>
  </si>
  <si>
    <t>Current Liabilities</t>
  </si>
  <si>
    <t>Account Payable</t>
  </si>
  <si>
    <t>Total Current Liabilities</t>
  </si>
  <si>
    <t>Non-Current Liabilities</t>
  </si>
  <si>
    <t>Long-Term Debt</t>
  </si>
  <si>
    <t>Total Non-Current Liabilities</t>
  </si>
  <si>
    <t>Total Liabilities</t>
  </si>
  <si>
    <t>Equity Capital</t>
  </si>
  <si>
    <t>Retained Earnings</t>
  </si>
  <si>
    <t>Total Shareholders' Equity</t>
  </si>
  <si>
    <t>Shareholders' Equity</t>
  </si>
  <si>
    <t>Total Liabilities and Shareholders' Equity</t>
  </si>
  <si>
    <t>Cash Flow Statement</t>
  </si>
  <si>
    <t>(+) Depreciation and Amortization</t>
  </si>
  <si>
    <t>(-) Changes in Working Capital</t>
  </si>
  <si>
    <t>Cash from Operations</t>
  </si>
  <si>
    <t>Operating Cash Flow</t>
  </si>
  <si>
    <t>Investing Cash Flow</t>
  </si>
  <si>
    <t>Purchase of property, plant and equipment</t>
  </si>
  <si>
    <t>Cash from Investing</t>
  </si>
  <si>
    <t>Proceeds (Repayments) from Long-Term Debt and Other</t>
  </si>
  <si>
    <t>Proceeds (Repayments) from Equity</t>
  </si>
  <si>
    <t>Cash from Financing</t>
  </si>
  <si>
    <t>Net Increase (decrease) in Cash</t>
  </si>
  <si>
    <t>Opening Cash Balance</t>
  </si>
  <si>
    <t>Closing Cash Balance</t>
  </si>
  <si>
    <t>Variance Analysis</t>
  </si>
  <si>
    <t>Year to Date</t>
  </si>
  <si>
    <t>Actual</t>
  </si>
  <si>
    <t>Variance</t>
  </si>
  <si>
    <t>Curent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</si>
  <si>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</si>
  <si>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</si>
  <si>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</si>
  <si>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</si>
  <si>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</si>
  <si>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</si>
  <si>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</si>
  <si>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</si>
  <si>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</si>
  <si>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</si>
  <si>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</si>
  <si>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</si>
  <si>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Earnings Before Taxes (EBT)</t>
  </si>
  <si>
    <t>Cost of Sales</t>
  </si>
  <si>
    <t>COGS</t>
  </si>
  <si>
    <t>Opex</t>
  </si>
  <si>
    <t>Interest &amp; Taxes</t>
  </si>
  <si>
    <t>Forecast</t>
  </si>
  <si>
    <t>Financial Statements</t>
  </si>
  <si>
    <t>Breakeven Analysis</t>
  </si>
  <si>
    <t>Variable Costs</t>
  </si>
  <si>
    <t>Fixed Costs</t>
  </si>
  <si>
    <t>Year</t>
  </si>
  <si>
    <t>Sales Volume</t>
  </si>
  <si>
    <t>Sale Price</t>
  </si>
  <si>
    <t>Contribution Margin</t>
  </si>
  <si>
    <t>Contribution Margin %</t>
  </si>
  <si>
    <t>BEP Sales Volume (Units)</t>
  </si>
  <si>
    <t>BEP (USD)</t>
  </si>
  <si>
    <t>Fixed Cost</t>
  </si>
  <si>
    <t>Variable Cost</t>
  </si>
  <si>
    <t>BEP Sales Volume  (Units)</t>
  </si>
  <si>
    <t>Result</t>
  </si>
  <si>
    <t>Financial Ratios</t>
  </si>
  <si>
    <t>Profitability Ratios</t>
  </si>
  <si>
    <t>Return on Assets (ROA)</t>
  </si>
  <si>
    <t>Operating Profit Margin</t>
  </si>
  <si>
    <t>Liquidity Ratios</t>
  </si>
  <si>
    <t>Current Ratio</t>
  </si>
  <si>
    <t>Quick Ratio</t>
  </si>
  <si>
    <t>Operating Cash Flow Ratio</t>
  </si>
  <si>
    <t>Efficiency Ratios</t>
  </si>
  <si>
    <t>Cash Conversion Cycle</t>
  </si>
  <si>
    <t>Leverage Ratios</t>
  </si>
  <si>
    <t>Debt-to-Equity Ratio</t>
  </si>
  <si>
    <t>Shareholder Equity Ratio</t>
  </si>
  <si>
    <t>Debt-to-Total Assets Ratio</t>
  </si>
  <si>
    <t>Days in Period</t>
  </si>
  <si>
    <t>Property, Plant and Equipment</t>
  </si>
  <si>
    <t>USD (initial)</t>
  </si>
  <si>
    <t>USD (Initial)</t>
  </si>
  <si>
    <t>Dividends</t>
  </si>
  <si>
    <t>% of net income</t>
  </si>
  <si>
    <t>Plus: Depreciation and Amortization</t>
  </si>
  <si>
    <t>Less: Changes in Working Capital</t>
  </si>
  <si>
    <t>Cost</t>
  </si>
  <si>
    <t>Total Cost</t>
  </si>
  <si>
    <t>Yearly Breakeven</t>
  </si>
  <si>
    <t>Monthly Breakeven</t>
  </si>
  <si>
    <t>Table of Contents</t>
  </si>
  <si>
    <t>Profile</t>
  </si>
  <si>
    <t>YTD</t>
  </si>
  <si>
    <t>Advanced Financial Projection &amp; Analysis Model</t>
  </si>
  <si>
    <t>This advanced financial model offers up to 10 years of projections, providing detailed insights for strategic planning.
The template includes:
- A scenario-based approach
- 3-Statement financial model for the first year
- Up to 10-year forecast analysis
- Budget vs. actual variance analysis
- Breakeven analysis
- Financial ratios and business valuation
- Professional chart presentations</t>
  </si>
  <si>
    <t>EV/EBITDA</t>
  </si>
  <si>
    <t>Pre-Tax Cost of Debt</t>
  </si>
  <si>
    <t>Debt to Total Capital</t>
  </si>
  <si>
    <t>Equity to Total Capital</t>
  </si>
  <si>
    <t>x</t>
  </si>
  <si>
    <t>Valuation</t>
  </si>
  <si>
    <t>Enterprise Value (EV)</t>
  </si>
  <si>
    <t>Period</t>
  </si>
  <si>
    <t>PV of Terminal Value</t>
  </si>
  <si>
    <t>PV of Net FCF</t>
  </si>
  <si>
    <t>Plus: PV of Terminal Value</t>
  </si>
  <si>
    <t>Less: Net Debt</t>
  </si>
  <si>
    <t>Sum of PV of Net FCF</t>
  </si>
  <si>
    <t>Terminal Value (EBITDA Multiple Approach)</t>
  </si>
  <si>
    <t>Equity Value Sensitivity</t>
  </si>
  <si>
    <t>WACC</t>
  </si>
  <si>
    <t>Cumulative CashFlow</t>
  </si>
  <si>
    <t>difference</t>
  </si>
  <si>
    <t>F + V</t>
  </si>
  <si>
    <r>
      <rPr>
        <sz val="11"/>
        <color theme="0"/>
        <rFont val="Aptos Narrow"/>
        <family val="2"/>
      </rPr>
      <t>∆</t>
    </r>
    <r>
      <rPr>
        <sz val="11"/>
        <color theme="0"/>
        <rFont val="Aptos Narrow"/>
        <family val="2"/>
        <scheme val="minor"/>
      </rPr>
      <t>PL</t>
    </r>
  </si>
  <si>
    <r>
      <rPr>
        <sz val="11"/>
        <color theme="0"/>
        <rFont val="Aptos Narrow"/>
        <family val="2"/>
      </rPr>
      <t>∆</t>
    </r>
    <r>
      <rPr>
        <sz val="11"/>
        <color theme="0"/>
        <rFont val="Aptos Narrow"/>
        <family val="2"/>
        <scheme val="minor"/>
      </rPr>
      <t>PL (%)</t>
    </r>
  </si>
  <si>
    <t>Value</t>
  </si>
  <si>
    <t>Weak</t>
  </si>
  <si>
    <t>Good</t>
  </si>
  <si>
    <t>Strong</t>
  </si>
  <si>
    <t>Ratios</t>
  </si>
  <si>
    <t>Contribution Profit</t>
  </si>
  <si>
    <t>Days Sales Outstanding (DSO)</t>
  </si>
  <si>
    <t>Days Payable Outstanding (DPO)</t>
  </si>
  <si>
    <t>Days Inventory Outstanding (DIO)</t>
  </si>
  <si>
    <t>Dashboard</t>
  </si>
  <si>
    <t>Previous Year</t>
  </si>
  <si>
    <t>Expenses</t>
  </si>
  <si>
    <t>Total Expenses</t>
  </si>
  <si>
    <t>Total Revenue</t>
  </si>
  <si>
    <t>IRR Valuation</t>
  </si>
  <si>
    <t>Net Profit</t>
  </si>
  <si>
    <t>vs. Previous Year</t>
  </si>
  <si>
    <t>Periods</t>
  </si>
  <si>
    <t>Operating Expense %</t>
  </si>
  <si>
    <t>Total Income</t>
  </si>
  <si>
    <t>Total Expense</t>
  </si>
  <si>
    <t>Operating Profit</t>
  </si>
  <si>
    <t>Days Payable Outstanding</t>
  </si>
  <si>
    <t>Days Inventory Outstanding</t>
  </si>
  <si>
    <t>Summary</t>
  </si>
  <si>
    <t>Actual Financial Statement</t>
  </si>
  <si>
    <t>12-Month Projection</t>
  </si>
  <si>
    <t>Annual Forecast</t>
  </si>
  <si>
    <t>Ratio Analysis</t>
  </si>
  <si>
    <t>Person0811</t>
  </si>
  <si>
    <t>Switzerland</t>
  </si>
  <si>
    <t>Reconcile</t>
  </si>
  <si>
    <t>12 Month Actual Financial Statement</t>
  </si>
  <si>
    <t>Cash from Operation</t>
  </si>
  <si>
    <t>EBITDA Margin</t>
  </si>
  <si>
    <t>Return on Assets</t>
  </si>
  <si>
    <t>Return on Equity</t>
  </si>
  <si>
    <t>Seasonality Adjustment</t>
  </si>
  <si>
    <t>Financing Cash Flow</t>
  </si>
  <si>
    <t>MENU</t>
  </si>
  <si>
    <t>data</t>
  </si>
  <si>
    <t>Note:</t>
  </si>
  <si>
    <t>input data only in blue cells like this</t>
  </si>
  <si>
    <t>Base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</si>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</sst>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_-;\-* #,##0_-;_-* &quot;-&quot;_-;_-@_-"/>
    <numFmt numFmtId="165" formatCode="#,##0;\-#,##0;;@"/>
    <numFmt numFmtId="166" formatCode="0;\-0;;@"/>
    <numFmt numFmtId="167" formatCode="0.0%"/>
    <numFmt numFmtId="168" formatCode="#,##0.0%;\-#,##0.0%;;@"/>
    <numFmt numFmtId="169" formatCode="#;\-#;;@"/>
    <numFmt numFmtId="170" formatCode="_-* #,##0.00_-;\-* #,##0.00_-;_-* &quot;-&quot;_-;_-@_-"/>
    <numFmt numFmtId="171" formatCode="#,##0.00;\-#,##0.00;;@"/>
    <numFmt numFmtId="172" formatCode="#,##0.0;\-#,##0.0;;@"/>
    <numFmt numFmtId="173" formatCode="#,##0.000;\-#,##0.000;;@"/>
  </numFmts>
  <fonts count="3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857501"/>
      <name val="Aptos Narrow"/>
      <family val="2"/>
      <scheme val="minor"/>
    </font>
    <font>
      <b/>
      <sz val="11"/>
      <color rgb="FF857501"/>
      <name val="Aptos Narrow"/>
      <family val="2"/>
      <scheme val="minor"/>
    </font>
    <font>
      <sz val="10"/>
      <color rgb="FF85750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8"/>
      <color theme="0"/>
      <name val="Aptos Narrow"/>
      <family val="2"/>
    </font>
    <font>
      <b/>
      <sz val="14"/>
      <color theme="4" tint="-0.499984740745262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sz val="10"/>
      <color theme="4" tint="-0.499984740745262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9"/>
      <color theme="4" tint="-0.499984740745262"/>
      <name val="Aptos Narrow"/>
      <family val="2"/>
      <scheme val="minor"/>
    </font>
    <font>
      <i/>
      <sz val="10"/>
      <color theme="4" tint="-0.499984740745262"/>
      <name val="Aptos Narrow"/>
      <family val="2"/>
      <scheme val="minor"/>
    </font>
    <font>
      <i/>
      <sz val="10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sz val="11"/>
      <color theme="0"/>
      <name val="Aptos Narrow"/>
      <family val="2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sz val="9"/>
      <color rgb="FF00B05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u/>
      <sz val="11"/>
      <color theme="4" tint="-0.249977111117893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rgb="FF00B05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 style="thin">
        <color theme="4" tint="-0.499984740745262"/>
      </left>
      <right/>
      <top/>
      <bottom/>
      <diagonal/>
    </border>
    <border>
      <left/>
      <right/>
      <top style="medium">
        <color theme="2" tint="-0.749961851863155"/>
      </top>
      <bottom/>
      <diagonal/>
    </border>
    <border>
      <left/>
      <right style="thin">
        <color theme="2" tint="-0.749961851863155"/>
      </right>
      <top/>
      <bottom/>
      <diagonal/>
    </border>
    <border>
      <left style="thin">
        <color theme="2" tint="-0.749961851863155"/>
      </left>
      <right style="thin">
        <color theme="2" tint="-0.749961851863155"/>
      </right>
      <top/>
      <bottom/>
      <diagonal/>
    </border>
    <border>
      <left style="thin">
        <color theme="2" tint="-0.749961851863155"/>
      </left>
      <right/>
      <top/>
      <bottom/>
      <diagonal/>
    </border>
    <border>
      <left/>
      <right/>
      <top style="thin">
        <color theme="2" tint="-0.749961851863155"/>
      </top>
      <bottom/>
      <diagonal/>
    </border>
    <border>
      <left/>
      <right/>
      <top style="thin">
        <color theme="2" tint="-0.749961851863155"/>
      </top>
      <bottom style="thin">
        <color theme="2" tint="-0.749961851863155"/>
      </bottom>
      <diagonal/>
    </border>
    <border>
      <left/>
      <right/>
      <top/>
      <bottom style="thin">
        <color theme="2" tint="-0.749961851863155"/>
      </bottom>
      <diagonal/>
    </border>
    <border>
      <left/>
      <right/>
      <top/>
      <bottom style="thin">
        <color theme="3" tint="0.89996032593768116"/>
      </bottom>
      <diagonal/>
    </border>
    <border>
      <left/>
      <right/>
      <top/>
      <bottom style="medium">
        <color rgb="FF00CC99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medium">
        <color theme="2" tint="-0.749961851863155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351">
    <xf numFmtId="0" fontId="0" fillId="0" borderId="0" xfId="0"/>
    <xf numFmtId="165" fontId="9" fillId="2" borderId="0" xfId="0" applyNumberFormat="1" applyFont="1" applyFill="1"/>
    <xf numFmtId="165" fontId="9" fillId="3" borderId="0" xfId="0" applyNumberFormat="1" applyFont="1" applyFill="1"/>
    <xf numFmtId="166" fontId="9" fillId="3" borderId="0" xfId="0" applyNumberFormat="1" applyFont="1" applyFill="1"/>
    <xf numFmtId="165" fontId="14" fillId="5" borderId="0" xfId="0" applyNumberFormat="1" applyFont="1" applyFill="1"/>
    <xf numFmtId="165" fontId="8" fillId="5" borderId="0" xfId="0" applyNumberFormat="1" applyFont="1" applyFill="1"/>
    <xf numFmtId="0" fontId="9" fillId="3" borderId="0" xfId="0" applyFont="1" applyFill="1"/>
    <xf numFmtId="0" fontId="13" fillId="3" borderId="0" xfId="0" applyFont="1" applyFill="1" applyAlignment="1">
      <alignment horizontal="center" vertical="center"/>
    </xf>
    <xf numFmtId="0" fontId="9" fillId="4" borderId="0" xfId="0" applyFont="1" applyFill="1"/>
    <xf numFmtId="165" fontId="16" fillId="3" borderId="0" xfId="0" applyNumberFormat="1" applyFont="1" applyFill="1"/>
    <xf numFmtId="165" fontId="16" fillId="3" borderId="0" xfId="0" applyNumberFormat="1" applyFont="1" applyFill="1" applyAlignment="1">
      <alignment horizontal="right"/>
    </xf>
    <xf numFmtId="166" fontId="16" fillId="3" borderId="0" xfId="0" applyNumberFormat="1" applyFont="1" applyFill="1"/>
    <xf numFmtId="166" fontId="7" fillId="5" borderId="0" xfId="0" applyNumberFormat="1" applyFont="1" applyFill="1" applyAlignment="1">
      <alignment horizontal="center" vertical="center"/>
    </xf>
    <xf numFmtId="165" fontId="16" fillId="2" borderId="1" xfId="1" applyNumberFormat="1" applyFont="1" applyFill="1" applyBorder="1"/>
    <xf numFmtId="165" fontId="16" fillId="2" borderId="2" xfId="1" applyNumberFormat="1" applyFont="1" applyFill="1" applyBorder="1"/>
    <xf numFmtId="165" fontId="16" fillId="2" borderId="3" xfId="1" applyNumberFormat="1" applyFont="1" applyFill="1" applyBorder="1"/>
    <xf numFmtId="167" fontId="16" fillId="2" borderId="1" xfId="2" applyNumberFormat="1" applyFont="1" applyFill="1" applyBorder="1"/>
    <xf numFmtId="167" fontId="16" fillId="2" borderId="3" xfId="2" applyNumberFormat="1" applyFont="1" applyFill="1" applyBorder="1"/>
    <xf numFmtId="165" fontId="16" fillId="2" borderId="1" xfId="0" applyNumberFormat="1" applyFont="1" applyFill="1" applyBorder="1"/>
    <xf numFmtId="165" fontId="16" fillId="2" borderId="2" xfId="0" applyNumberFormat="1" applyFont="1" applyFill="1" applyBorder="1"/>
    <xf numFmtId="165" fontId="16" fillId="2" borderId="3" xfId="0" applyNumberFormat="1" applyFont="1" applyFill="1" applyBorder="1"/>
    <xf numFmtId="165" fontId="10" fillId="3" borderId="0" xfId="0" applyNumberFormat="1" applyFont="1" applyFill="1"/>
    <xf numFmtId="165" fontId="9" fillId="4" borderId="0" xfId="0" applyNumberFormat="1" applyFont="1" applyFill="1"/>
    <xf numFmtId="165" fontId="19" fillId="4" borderId="0" xfId="0" applyNumberFormat="1" applyFont="1" applyFill="1"/>
    <xf numFmtId="165" fontId="16" fillId="3" borderId="0" xfId="1" applyNumberFormat="1" applyFont="1" applyFill="1"/>
    <xf numFmtId="165" fontId="18" fillId="3" borderId="0" xfId="0" applyNumberFormat="1" applyFont="1" applyFill="1"/>
    <xf numFmtId="165" fontId="18" fillId="3" borderId="0" xfId="1" applyNumberFormat="1" applyFont="1" applyFill="1"/>
    <xf numFmtId="165" fontId="17" fillId="3" borderId="0" xfId="0" applyNumberFormat="1" applyFont="1" applyFill="1"/>
    <xf numFmtId="165" fontId="11" fillId="3" borderId="0" xfId="0" applyNumberFormat="1" applyFont="1" applyFill="1"/>
    <xf numFmtId="165" fontId="16" fillId="3" borderId="0" xfId="0" applyNumberFormat="1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66" fontId="8" fillId="5" borderId="0" xfId="0" applyNumberFormat="1" applyFont="1" applyFill="1" applyAlignment="1">
      <alignment horizontal="center" vertical="center"/>
    </xf>
    <xf numFmtId="165" fontId="16" fillId="2" borderId="0" xfId="1" applyNumberFormat="1" applyFont="1" applyFill="1"/>
    <xf numFmtId="165" fontId="18" fillId="2" borderId="0" xfId="0" applyNumberFormat="1" applyFont="1" applyFill="1"/>
    <xf numFmtId="165" fontId="16" fillId="2" borderId="0" xfId="0" applyNumberFormat="1" applyFont="1" applyFill="1"/>
    <xf numFmtId="165" fontId="18" fillId="2" borderId="0" xfId="1" applyNumberFormat="1" applyFont="1" applyFill="1"/>
    <xf numFmtId="165" fontId="18" fillId="2" borderId="4" xfId="0" applyNumberFormat="1" applyFont="1" applyFill="1" applyBorder="1"/>
    <xf numFmtId="165" fontId="16" fillId="2" borderId="4" xfId="0" applyNumberFormat="1" applyFont="1" applyFill="1" applyBorder="1"/>
    <xf numFmtId="166" fontId="7" fillId="5" borderId="0" xfId="0" applyNumberFormat="1" applyFont="1" applyFill="1"/>
    <xf numFmtId="165" fontId="8" fillId="5" borderId="0" xfId="0" applyNumberFormat="1" applyFont="1" applyFill="1" applyAlignment="1">
      <alignment horizontal="right"/>
    </xf>
    <xf numFmtId="166" fontId="8" fillId="5" borderId="0" xfId="0" applyNumberFormat="1" applyFont="1" applyFill="1"/>
    <xf numFmtId="165" fontId="7" fillId="5" borderId="0" xfId="0" applyNumberFormat="1" applyFont="1" applyFill="1"/>
    <xf numFmtId="165" fontId="16" fillId="3" borderId="0" xfId="0" applyNumberFormat="1" applyFont="1" applyFill="1" applyAlignment="1">
      <alignment vertical="center" textRotation="90"/>
    </xf>
    <xf numFmtId="165" fontId="0" fillId="3" borderId="0" xfId="0" applyNumberFormat="1" applyFill="1"/>
    <xf numFmtId="165" fontId="0" fillId="3" borderId="0" xfId="0" applyNumberFormat="1" applyFill="1" applyAlignment="1">
      <alignment horizontal="right"/>
    </xf>
    <xf numFmtId="165" fontId="0" fillId="3" borderId="0" xfId="0" applyNumberFormat="1" applyFill="1" applyAlignment="1">
      <alignment horizontal="center" vertical="center"/>
    </xf>
    <xf numFmtId="165" fontId="0" fillId="3" borderId="0" xfId="1" applyNumberFormat="1" applyFont="1" applyFill="1"/>
    <xf numFmtId="165" fontId="3" fillId="3" borderId="0" xfId="0" applyNumberFormat="1" applyFont="1" applyFill="1"/>
    <xf numFmtId="165" fontId="3" fillId="3" borderId="0" xfId="1" applyNumberFormat="1" applyFont="1" applyFill="1"/>
    <xf numFmtId="165" fontId="8" fillId="5" borderId="0" xfId="0" applyNumberFormat="1" applyFont="1" applyFill="1" applyAlignment="1">
      <alignment horizontal="center" vertical="center"/>
    </xf>
    <xf numFmtId="165" fontId="8" fillId="5" borderId="0" xfId="1" applyNumberFormat="1" applyFont="1" applyFill="1" applyAlignment="1">
      <alignment horizontal="center" vertical="center"/>
    </xf>
    <xf numFmtId="165" fontId="16" fillId="2" borderId="5" xfId="1" applyNumberFormat="1" applyFont="1" applyFill="1" applyBorder="1"/>
    <xf numFmtId="165" fontId="18" fillId="2" borderId="5" xfId="1" applyNumberFormat="1" applyFont="1" applyFill="1" applyBorder="1"/>
    <xf numFmtId="165" fontId="16" fillId="2" borderId="6" xfId="1" applyNumberFormat="1" applyFont="1" applyFill="1" applyBorder="1"/>
    <xf numFmtId="165" fontId="16" fillId="2" borderId="7" xfId="1" applyNumberFormat="1" applyFont="1" applyFill="1" applyBorder="1"/>
    <xf numFmtId="165" fontId="18" fillId="2" borderId="6" xfId="1" applyNumberFormat="1" applyFont="1" applyFill="1" applyBorder="1"/>
    <xf numFmtId="165" fontId="18" fillId="2" borderId="7" xfId="1" applyNumberFormat="1" applyFont="1" applyFill="1" applyBorder="1"/>
    <xf numFmtId="165" fontId="16" fillId="2" borderId="5" xfId="0" applyNumberFormat="1" applyFont="1" applyFill="1" applyBorder="1"/>
    <xf numFmtId="165" fontId="16" fillId="2" borderId="6" xfId="0" applyNumberFormat="1" applyFont="1" applyFill="1" applyBorder="1"/>
    <xf numFmtId="165" fontId="16" fillId="2" borderId="7" xfId="0" applyNumberFormat="1" applyFont="1" applyFill="1" applyBorder="1"/>
    <xf numFmtId="165" fontId="7" fillId="5" borderId="0" xfId="0" applyNumberFormat="1" applyFont="1" applyFill="1" applyAlignment="1">
      <alignment vertical="center"/>
    </xf>
    <xf numFmtId="165" fontId="8" fillId="5" borderId="0" xfId="0" applyNumberFormat="1" applyFont="1" applyFill="1" applyAlignment="1">
      <alignment vertical="center"/>
    </xf>
    <xf numFmtId="165" fontId="8" fillId="5" borderId="0" xfId="0" applyNumberFormat="1" applyFont="1" applyFill="1" applyAlignment="1">
      <alignment horizontal="right" vertical="center"/>
    </xf>
    <xf numFmtId="165" fontId="18" fillId="2" borderId="5" xfId="0" applyNumberFormat="1" applyFont="1" applyFill="1" applyBorder="1"/>
    <xf numFmtId="165" fontId="18" fillId="2" borderId="6" xfId="0" applyNumberFormat="1" applyFont="1" applyFill="1" applyBorder="1"/>
    <xf numFmtId="165" fontId="18" fillId="2" borderId="7" xfId="0" applyNumberFormat="1" applyFont="1" applyFill="1" applyBorder="1"/>
    <xf numFmtId="165" fontId="2" fillId="3" borderId="0" xfId="0" applyNumberFormat="1" applyFont="1" applyFill="1"/>
    <xf numFmtId="166" fontId="0" fillId="3" borderId="0" xfId="0" applyNumberFormat="1" applyFill="1" applyAlignment="1">
      <alignment horizontal="center" vertical="center"/>
    </xf>
    <xf numFmtId="165" fontId="17" fillId="3" borderId="0" xfId="0" applyNumberFormat="1" applyFont="1" applyFill="1" applyAlignment="1">
      <alignment horizontal="left" vertical="center"/>
    </xf>
    <xf numFmtId="165" fontId="16" fillId="2" borderId="8" xfId="0" applyNumberFormat="1" applyFont="1" applyFill="1" applyBorder="1" applyAlignment="1">
      <alignment horizontal="center" vertical="center"/>
    </xf>
    <xf numFmtId="165" fontId="7" fillId="5" borderId="0" xfId="0" applyNumberFormat="1" applyFont="1" applyFill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0" fontId="16" fillId="2" borderId="0" xfId="0" applyFont="1" applyFill="1"/>
    <xf numFmtId="168" fontId="16" fillId="2" borderId="5" xfId="1" applyNumberFormat="1" applyFont="1" applyFill="1" applyBorder="1"/>
    <xf numFmtId="168" fontId="16" fillId="2" borderId="6" xfId="1" applyNumberFormat="1" applyFont="1" applyFill="1" applyBorder="1"/>
    <xf numFmtId="168" fontId="16" fillId="2" borderId="7" xfId="1" applyNumberFormat="1" applyFont="1" applyFill="1" applyBorder="1"/>
    <xf numFmtId="168" fontId="16" fillId="2" borderId="5" xfId="0" applyNumberFormat="1" applyFont="1" applyFill="1" applyBorder="1"/>
    <xf numFmtId="168" fontId="16" fillId="2" borderId="6" xfId="0" applyNumberFormat="1" applyFont="1" applyFill="1" applyBorder="1"/>
    <xf numFmtId="168" fontId="16" fillId="2" borderId="7" xfId="0" applyNumberFormat="1" applyFont="1" applyFill="1" applyBorder="1"/>
    <xf numFmtId="165" fontId="16" fillId="2" borderId="6" xfId="0" applyNumberFormat="1" applyFont="1" applyFill="1" applyBorder="1" applyAlignment="1">
      <alignment vertical="center" textRotation="90"/>
    </xf>
    <xf numFmtId="165" fontId="2" fillId="2" borderId="5" xfId="0" applyNumberFormat="1" applyFont="1" applyFill="1" applyBorder="1"/>
    <xf numFmtId="165" fontId="2" fillId="2" borderId="6" xfId="0" applyNumberFormat="1" applyFont="1" applyFill="1" applyBorder="1"/>
    <xf numFmtId="165" fontId="2" fillId="2" borderId="7" xfId="0" applyNumberFormat="1" applyFont="1" applyFill="1" applyBorder="1"/>
    <xf numFmtId="167" fontId="6" fillId="3" borderId="0" xfId="2" applyNumberFormat="1" applyFont="1" applyFill="1"/>
    <xf numFmtId="165" fontId="6" fillId="3" borderId="0" xfId="0" applyNumberFormat="1" applyFont="1" applyFill="1"/>
    <xf numFmtId="165" fontId="1" fillId="3" borderId="0" xfId="1" applyNumberFormat="1" applyFont="1" applyFill="1"/>
    <xf numFmtId="165" fontId="6" fillId="3" borderId="0" xfId="1" applyNumberFormat="1" applyFont="1" applyFill="1"/>
    <xf numFmtId="165" fontId="0" fillId="2" borderId="0" xfId="0" applyNumberFormat="1" applyFill="1"/>
    <xf numFmtId="165" fontId="21" fillId="3" borderId="0" xfId="0" applyNumberFormat="1" applyFont="1" applyFill="1"/>
    <xf numFmtId="165" fontId="17" fillId="3" borderId="0" xfId="1" applyNumberFormat="1" applyFont="1" applyFill="1"/>
    <xf numFmtId="165" fontId="3" fillId="2" borderId="0" xfId="0" applyNumberFormat="1" applyFont="1" applyFill="1"/>
    <xf numFmtId="167" fontId="20" fillId="2" borderId="0" xfId="2" applyNumberFormat="1" applyFont="1" applyFill="1"/>
    <xf numFmtId="167" fontId="6" fillId="2" borderId="0" xfId="2" applyNumberFormat="1" applyFont="1" applyFill="1"/>
    <xf numFmtId="165" fontId="20" fillId="2" borderId="0" xfId="0" applyNumberFormat="1" applyFont="1" applyFill="1"/>
    <xf numFmtId="165" fontId="6" fillId="2" borderId="0" xfId="0" applyNumberFormat="1" applyFont="1" applyFill="1"/>
    <xf numFmtId="165" fontId="3" fillId="2" borderId="0" xfId="1" applyNumberFormat="1" applyFont="1" applyFill="1"/>
    <xf numFmtId="165" fontId="20" fillId="2" borderId="0" xfId="1" applyNumberFormat="1" applyFont="1" applyFill="1"/>
    <xf numFmtId="165" fontId="6" fillId="2" borderId="0" xfId="1" applyNumberFormat="1" applyFont="1" applyFill="1"/>
    <xf numFmtId="165" fontId="0" fillId="2" borderId="0" xfId="1" applyNumberFormat="1" applyFont="1" applyFill="1"/>
    <xf numFmtId="165" fontId="7" fillId="5" borderId="0" xfId="1" applyNumberFormat="1" applyFont="1" applyFill="1"/>
    <xf numFmtId="9" fontId="18" fillId="2" borderId="8" xfId="2" applyFont="1" applyFill="1" applyBorder="1" applyAlignment="1">
      <alignment horizontal="center" vertical="center"/>
    </xf>
    <xf numFmtId="165" fontId="22" fillId="2" borderId="0" xfId="0" applyNumberFormat="1" applyFont="1" applyFill="1"/>
    <xf numFmtId="165" fontId="22" fillId="3" borderId="0" xfId="0" applyNumberFormat="1" applyFont="1" applyFill="1"/>
    <xf numFmtId="165" fontId="3" fillId="3" borderId="0" xfId="2" applyNumberFormat="1" applyFont="1" applyFill="1"/>
    <xf numFmtId="168" fontId="12" fillId="2" borderId="5" xfId="0" applyNumberFormat="1" applyFont="1" applyFill="1" applyBorder="1" applyAlignment="1">
      <alignment horizontal="center" vertical="center"/>
    </xf>
    <xf numFmtId="165" fontId="17" fillId="2" borderId="5" xfId="0" applyNumberFormat="1" applyFont="1" applyFill="1" applyBorder="1"/>
    <xf numFmtId="165" fontId="23" fillId="2" borderId="5" xfId="0" applyNumberFormat="1" applyFont="1" applyFill="1" applyBorder="1"/>
    <xf numFmtId="165" fontId="23" fillId="2" borderId="6" xfId="0" applyNumberFormat="1" applyFont="1" applyFill="1" applyBorder="1"/>
    <xf numFmtId="165" fontId="23" fillId="2" borderId="7" xfId="0" applyNumberFormat="1" applyFont="1" applyFill="1" applyBorder="1"/>
    <xf numFmtId="165" fontId="7" fillId="3" borderId="0" xfId="0" applyNumberFormat="1" applyFont="1" applyFill="1" applyAlignment="1">
      <alignment vertical="center"/>
    </xf>
    <xf numFmtId="165" fontId="7" fillId="5" borderId="0" xfId="0" applyNumberFormat="1" applyFont="1" applyFill="1" applyAlignment="1">
      <alignment horizontal="right"/>
    </xf>
    <xf numFmtId="165" fontId="20" fillId="2" borderId="7" xfId="0" applyNumberFormat="1" applyFont="1" applyFill="1" applyBorder="1"/>
    <xf numFmtId="165" fontId="7" fillId="5" borderId="0" xfId="0" applyNumberFormat="1" applyFont="1" applyFill="1" applyAlignment="1">
      <alignment horizontal="left" vertical="center"/>
    </xf>
    <xf numFmtId="165" fontId="5" fillId="3" borderId="0" xfId="0" applyNumberFormat="1" applyFont="1" applyFill="1"/>
    <xf numFmtId="165" fontId="21" fillId="2" borderId="0" xfId="0" applyNumberFormat="1" applyFont="1" applyFill="1"/>
    <xf numFmtId="165" fontId="14" fillId="5" borderId="0" xfId="0" applyNumberFormat="1" applyFont="1" applyFill="1" applyAlignment="1">
      <alignment vertical="center"/>
    </xf>
    <xf numFmtId="165" fontId="7" fillId="4" borderId="0" xfId="0" applyNumberFormat="1" applyFont="1" applyFill="1"/>
    <xf numFmtId="0" fontId="16" fillId="3" borderId="0" xfId="0" applyFont="1" applyFill="1" applyAlignment="1">
      <alignment horizontal="center" vertical="center"/>
    </xf>
    <xf numFmtId="165" fontId="16" fillId="2" borderId="8" xfId="0" applyNumberFormat="1" applyFont="1" applyFill="1" applyBorder="1"/>
    <xf numFmtId="167" fontId="18" fillId="2" borderId="5" xfId="2" applyNumberFormat="1" applyFont="1" applyFill="1" applyBorder="1"/>
    <xf numFmtId="167" fontId="18" fillId="2" borderId="7" xfId="2" applyNumberFormat="1" applyFont="1" applyFill="1" applyBorder="1"/>
    <xf numFmtId="167" fontId="16" fillId="2" borderId="0" xfId="2" applyNumberFormat="1" applyFont="1" applyFill="1"/>
    <xf numFmtId="167" fontId="16" fillId="2" borderId="5" xfId="2" applyNumberFormat="1" applyFont="1" applyFill="1" applyBorder="1"/>
    <xf numFmtId="0" fontId="7" fillId="5" borderId="0" xfId="0" applyFont="1" applyFill="1"/>
    <xf numFmtId="166" fontId="16" fillId="2" borderId="5" xfId="0" applyNumberFormat="1" applyFont="1" applyFill="1" applyBorder="1"/>
    <xf numFmtId="166" fontId="16" fillId="2" borderId="6" xfId="0" applyNumberFormat="1" applyFont="1" applyFill="1" applyBorder="1"/>
    <xf numFmtId="166" fontId="16" fillId="2" borderId="7" xfId="0" applyNumberFormat="1" applyFont="1" applyFill="1" applyBorder="1"/>
    <xf numFmtId="167" fontId="16" fillId="2" borderId="0" xfId="2" applyNumberFormat="1" applyFont="1" applyFill="1" applyBorder="1"/>
    <xf numFmtId="165" fontId="7" fillId="5" borderId="0" xfId="0" applyNumberFormat="1" applyFont="1" applyFill="1" applyAlignment="1">
      <alignment horizontal="center"/>
    </xf>
    <xf numFmtId="165" fontId="18" fillId="2" borderId="0" xfId="0" applyNumberFormat="1" applyFont="1" applyFill="1" applyAlignment="1">
      <alignment horizontal="center" vertical="center" textRotation="90"/>
    </xf>
    <xf numFmtId="165" fontId="24" fillId="2" borderId="5" xfId="0" applyNumberFormat="1" applyFont="1" applyFill="1" applyBorder="1"/>
    <xf numFmtId="172" fontId="18" fillId="2" borderId="0" xfId="0" applyNumberFormat="1" applyFont="1" applyFill="1" applyAlignment="1">
      <alignment horizontal="center" vertical="center" textRotation="90"/>
    </xf>
    <xf numFmtId="165" fontId="24" fillId="2" borderId="0" xfId="0" applyNumberFormat="1" applyFont="1" applyFill="1"/>
    <xf numFmtId="165" fontId="25" fillId="2" borderId="0" xfId="0" applyNumberFormat="1" applyFont="1" applyFill="1"/>
    <xf numFmtId="165" fontId="25" fillId="3" borderId="0" xfId="0" applyNumberFormat="1" applyFont="1" applyFill="1"/>
    <xf numFmtId="172" fontId="16" fillId="2" borderId="1" xfId="0" applyNumberFormat="1" applyFont="1" applyFill="1" applyBorder="1"/>
    <xf numFmtId="172" fontId="16" fillId="2" borderId="3" xfId="0" applyNumberFormat="1" applyFont="1" applyFill="1" applyBorder="1"/>
    <xf numFmtId="0" fontId="14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165" fontId="7" fillId="3" borderId="0" xfId="0" applyNumberFormat="1" applyFont="1" applyFill="1"/>
    <xf numFmtId="165" fontId="16" fillId="2" borderId="6" xfId="0" applyNumberFormat="1" applyFont="1" applyFill="1" applyBorder="1" applyAlignment="1">
      <alignment horizontal="right" vertical="center"/>
    </xf>
    <xf numFmtId="167" fontId="16" fillId="2" borderId="7" xfId="2" applyNumberFormat="1" applyFont="1" applyFill="1" applyBorder="1" applyAlignment="1">
      <alignment horizontal="center" vertical="center"/>
    </xf>
    <xf numFmtId="165" fontId="18" fillId="2" borderId="6" xfId="0" applyNumberFormat="1" applyFont="1" applyFill="1" applyBorder="1" applyAlignment="1">
      <alignment horizontal="right" vertical="center"/>
    </xf>
    <xf numFmtId="167" fontId="20" fillId="2" borderId="6" xfId="2" applyNumberFormat="1" applyFont="1" applyFill="1" applyBorder="1" applyAlignment="1">
      <alignment horizontal="right"/>
    </xf>
    <xf numFmtId="165" fontId="16" fillId="2" borderId="6" xfId="1" applyNumberFormat="1" applyFont="1" applyFill="1" applyBorder="1" applyAlignment="1">
      <alignment horizontal="right"/>
    </xf>
    <xf numFmtId="165" fontId="16" fillId="2" borderId="6" xfId="0" applyNumberFormat="1" applyFont="1" applyFill="1" applyBorder="1" applyAlignment="1">
      <alignment horizontal="right"/>
    </xf>
    <xf numFmtId="165" fontId="18" fillId="2" borderId="6" xfId="0" applyNumberFormat="1" applyFont="1" applyFill="1" applyBorder="1" applyAlignment="1">
      <alignment horizontal="right"/>
    </xf>
    <xf numFmtId="165" fontId="20" fillId="2" borderId="6" xfId="0" applyNumberFormat="1" applyFont="1" applyFill="1" applyBorder="1"/>
    <xf numFmtId="167" fontId="16" fillId="3" borderId="0" xfId="2" applyNumberFormat="1" applyFont="1" applyFill="1" applyBorder="1"/>
    <xf numFmtId="165" fontId="9" fillId="5" borderId="0" xfId="0" applyNumberFormat="1" applyFont="1" applyFill="1"/>
    <xf numFmtId="172" fontId="18" fillId="2" borderId="0" xfId="0" applyNumberFormat="1" applyFont="1" applyFill="1" applyAlignment="1">
      <alignment horizontal="right" vertical="center"/>
    </xf>
    <xf numFmtId="165" fontId="16" fillId="2" borderId="9" xfId="0" applyNumberFormat="1" applyFont="1" applyFill="1" applyBorder="1" applyAlignment="1">
      <alignment horizontal="center" vertical="center"/>
    </xf>
    <xf numFmtId="165" fontId="16" fillId="4" borderId="0" xfId="0" applyNumberFormat="1" applyFont="1" applyFill="1"/>
    <xf numFmtId="165" fontId="16" fillId="5" borderId="0" xfId="0" applyNumberFormat="1" applyFont="1" applyFill="1"/>
    <xf numFmtId="165" fontId="8" fillId="4" borderId="0" xfId="0" applyNumberFormat="1" applyFont="1" applyFill="1"/>
    <xf numFmtId="0" fontId="16" fillId="2" borderId="0" xfId="0" applyFont="1" applyFill="1" applyAlignment="1">
      <alignment horizontal="center" vertical="center"/>
    </xf>
    <xf numFmtId="165" fontId="16" fillId="3" borderId="0" xfId="0" applyNumberFormat="1" applyFont="1" applyFill="1" applyAlignment="1">
      <alignment horizontal="left"/>
    </xf>
    <xf numFmtId="165" fontId="8" fillId="3" borderId="0" xfId="0" applyNumberFormat="1" applyFont="1" applyFill="1"/>
    <xf numFmtId="165" fontId="0" fillId="3" borderId="5" xfId="0" applyNumberFormat="1" applyFill="1" applyBorder="1"/>
    <xf numFmtId="171" fontId="0" fillId="3" borderId="0" xfId="0" applyNumberFormat="1" applyFill="1"/>
    <xf numFmtId="173" fontId="0" fillId="3" borderId="0" xfId="0" applyNumberFormat="1" applyFill="1"/>
    <xf numFmtId="165" fontId="12" fillId="2" borderId="5" xfId="0" applyNumberFormat="1" applyFont="1" applyFill="1" applyBorder="1"/>
    <xf numFmtId="171" fontId="16" fillId="2" borderId="5" xfId="1" applyNumberFormat="1" applyFont="1" applyFill="1" applyBorder="1"/>
    <xf numFmtId="171" fontId="16" fillId="2" borderId="0" xfId="1" applyNumberFormat="1" applyFont="1" applyFill="1" applyBorder="1"/>
    <xf numFmtId="165" fontId="16" fillId="3" borderId="0" xfId="1" applyNumberFormat="1" applyFont="1" applyFill="1" applyBorder="1"/>
    <xf numFmtId="165" fontId="18" fillId="3" borderId="0" xfId="1" applyNumberFormat="1" applyFont="1" applyFill="1" applyBorder="1"/>
    <xf numFmtId="167" fontId="29" fillId="2" borderId="5" xfId="2" applyNumberFormat="1" applyFont="1" applyFill="1" applyBorder="1"/>
    <xf numFmtId="167" fontId="29" fillId="2" borderId="6" xfId="2" applyNumberFormat="1" applyFont="1" applyFill="1" applyBorder="1"/>
    <xf numFmtId="167" fontId="29" fillId="2" borderId="7" xfId="2" applyNumberFormat="1" applyFont="1" applyFill="1" applyBorder="1"/>
    <xf numFmtId="166" fontId="18" fillId="6" borderId="0" xfId="0" applyNumberFormat="1" applyFont="1" applyFill="1"/>
    <xf numFmtId="166" fontId="16" fillId="6" borderId="0" xfId="0" applyNumberFormat="1" applyFont="1" applyFill="1"/>
    <xf numFmtId="166" fontId="18" fillId="6" borderId="0" xfId="0" applyNumberFormat="1" applyFont="1" applyFill="1" applyAlignment="1">
      <alignment horizontal="center" vertical="center"/>
    </xf>
    <xf numFmtId="165" fontId="16" fillId="6" borderId="0" xfId="0" applyNumberFormat="1" applyFont="1" applyFill="1"/>
    <xf numFmtId="165" fontId="15" fillId="2" borderId="0" xfId="0" applyNumberFormat="1" applyFont="1" applyFill="1"/>
    <xf numFmtId="165" fontId="17" fillId="2" borderId="0" xfId="0" applyNumberFormat="1" applyFont="1" applyFill="1" applyAlignment="1">
      <alignment horizontal="left"/>
    </xf>
    <xf numFmtId="165" fontId="17" fillId="2" borderId="0" xfId="0" applyNumberFormat="1" applyFont="1" applyFill="1"/>
    <xf numFmtId="166" fontId="9" fillId="6" borderId="0" xfId="0" applyNumberFormat="1" applyFont="1" applyFill="1"/>
    <xf numFmtId="165" fontId="30" fillId="6" borderId="0" xfId="0" applyNumberFormat="1" applyFont="1" applyFill="1"/>
    <xf numFmtId="165" fontId="8" fillId="6" borderId="0" xfId="0" applyNumberFormat="1" applyFont="1" applyFill="1"/>
    <xf numFmtId="165" fontId="16" fillId="2" borderId="0" xfId="0" applyNumberFormat="1" applyFont="1" applyFill="1" applyAlignment="1">
      <alignment horizontal="left"/>
    </xf>
    <xf numFmtId="165" fontId="16" fillId="2" borderId="0" xfId="0" applyNumberFormat="1" applyFont="1" applyFill="1" applyAlignment="1">
      <alignment horizontal="right"/>
    </xf>
    <xf numFmtId="165" fontId="18" fillId="2" borderId="0" xfId="0" applyNumberFormat="1" applyFont="1" applyFill="1" applyAlignment="1">
      <alignment vertical="center"/>
    </xf>
    <xf numFmtId="165" fontId="7" fillId="6" borderId="0" xfId="0" applyNumberFormat="1" applyFont="1" applyFill="1" applyAlignment="1">
      <alignment vertical="center"/>
    </xf>
    <xf numFmtId="165" fontId="8" fillId="6" borderId="0" xfId="0" applyNumberFormat="1" applyFont="1" applyFill="1" applyAlignment="1">
      <alignment vertical="center"/>
    </xf>
    <xf numFmtId="165" fontId="17" fillId="2" borderId="0" xfId="0" applyNumberFormat="1" applyFont="1" applyFill="1" applyAlignment="1">
      <alignment horizontal="left" vertical="center"/>
    </xf>
    <xf numFmtId="165" fontId="0" fillId="6" borderId="0" xfId="0" applyNumberFormat="1" applyFill="1"/>
    <xf numFmtId="165" fontId="8" fillId="5" borderId="12" xfId="0" applyNumberFormat="1" applyFont="1" applyFill="1" applyBorder="1" applyAlignment="1">
      <alignment horizontal="center" vertical="center"/>
    </xf>
    <xf numFmtId="165" fontId="16" fillId="6" borderId="0" xfId="1" applyNumberFormat="1" applyFont="1" applyFill="1"/>
    <xf numFmtId="165" fontId="7" fillId="5" borderId="12" xfId="0" applyNumberFormat="1" applyFont="1" applyFill="1" applyBorder="1" applyAlignment="1">
      <alignment vertical="center"/>
    </xf>
    <xf numFmtId="165" fontId="7" fillId="5" borderId="12" xfId="0" applyNumberFormat="1" applyFont="1" applyFill="1" applyBorder="1" applyAlignment="1">
      <alignment horizontal="right"/>
    </xf>
    <xf numFmtId="165" fontId="0" fillId="2" borderId="0" xfId="0" applyNumberFormat="1" applyFill="1" applyAlignment="1">
      <alignment horizontal="left"/>
    </xf>
    <xf numFmtId="165" fontId="16" fillId="3" borderId="12" xfId="0" applyNumberFormat="1" applyFont="1" applyFill="1" applyBorder="1"/>
    <xf numFmtId="165" fontId="16" fillId="3" borderId="12" xfId="0" applyNumberFormat="1" applyFont="1" applyFill="1" applyBorder="1" applyAlignment="1">
      <alignment horizontal="right"/>
    </xf>
    <xf numFmtId="0" fontId="31" fillId="3" borderId="0" xfId="3" applyFont="1" applyFill="1" applyAlignment="1">
      <alignment horizontal="center" vertical="center"/>
    </xf>
    <xf numFmtId="167" fontId="16" fillId="2" borderId="7" xfId="2" applyNumberFormat="1" applyFont="1" applyFill="1" applyBorder="1"/>
    <xf numFmtId="0" fontId="7" fillId="4" borderId="0" xfId="0" applyFont="1" applyFill="1" applyAlignment="1">
      <alignment horizontal="center" vertical="center"/>
    </xf>
    <xf numFmtId="166" fontId="16" fillId="4" borderId="0" xfId="0" applyNumberFormat="1" applyFont="1" applyFill="1"/>
    <xf numFmtId="165" fontId="11" fillId="4" borderId="0" xfId="0" applyNumberFormat="1" applyFont="1" applyFill="1"/>
    <xf numFmtId="166" fontId="9" fillId="4" borderId="0" xfId="0" applyNumberFormat="1" applyFont="1" applyFill="1"/>
    <xf numFmtId="165" fontId="10" fillId="4" borderId="0" xfId="0" applyNumberFormat="1" applyFont="1" applyFill="1"/>
    <xf numFmtId="165" fontId="25" fillId="4" borderId="0" xfId="0" applyNumberFormat="1" applyFont="1" applyFill="1"/>
    <xf numFmtId="165" fontId="0" fillId="4" borderId="0" xfId="0" applyNumberFormat="1" applyFill="1"/>
    <xf numFmtId="165" fontId="0" fillId="4" borderId="0" xfId="0" applyNumberFormat="1" applyFill="1" applyAlignment="1">
      <alignment horizontal="center" vertical="center"/>
    </xf>
    <xf numFmtId="165" fontId="3" fillId="4" borderId="0" xfId="0" applyNumberFormat="1" applyFont="1" applyFill="1"/>
    <xf numFmtId="165" fontId="3" fillId="4" borderId="0" xfId="1" applyNumberFormat="1" applyFont="1" applyFill="1"/>
    <xf numFmtId="165" fontId="0" fillId="4" borderId="0" xfId="1" applyNumberFormat="1" applyFont="1" applyFill="1"/>
    <xf numFmtId="167" fontId="6" fillId="4" borderId="0" xfId="2" applyNumberFormat="1" applyFont="1" applyFill="1"/>
    <xf numFmtId="165" fontId="6" fillId="4" borderId="0" xfId="0" applyNumberFormat="1" applyFont="1" applyFill="1"/>
    <xf numFmtId="165" fontId="1" fillId="4" borderId="0" xfId="1" applyNumberFormat="1" applyFont="1" applyFill="1"/>
    <xf numFmtId="165" fontId="6" fillId="4" borderId="0" xfId="1" applyNumberFormat="1" applyFont="1" applyFill="1"/>
    <xf numFmtId="165" fontId="22" fillId="4" borderId="0" xfId="0" applyNumberFormat="1" applyFont="1" applyFill="1"/>
    <xf numFmtId="165" fontId="5" fillId="4" borderId="0" xfId="0" applyNumberFormat="1" applyFont="1" applyFill="1"/>
    <xf numFmtId="0" fontId="32" fillId="7" borderId="0" xfId="0" applyFont="1" applyFill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9" fontId="32" fillId="7" borderId="5" xfId="2" applyFont="1" applyFill="1" applyBorder="1" applyAlignment="1">
      <alignment horizontal="center" vertical="center"/>
    </xf>
    <xf numFmtId="9" fontId="32" fillId="7" borderId="6" xfId="2" applyFont="1" applyFill="1" applyBorder="1" applyAlignment="1">
      <alignment horizontal="center" vertical="center"/>
    </xf>
    <xf numFmtId="9" fontId="32" fillId="7" borderId="7" xfId="2" applyFont="1" applyFill="1" applyBorder="1" applyAlignment="1">
      <alignment horizontal="center" vertical="center"/>
    </xf>
    <xf numFmtId="165" fontId="32" fillId="7" borderId="0" xfId="0" applyNumberFormat="1" applyFont="1" applyFill="1"/>
    <xf numFmtId="165" fontId="32" fillId="7" borderId="5" xfId="1" applyNumberFormat="1" applyFont="1" applyFill="1" applyBorder="1" applyAlignment="1">
      <alignment horizontal="center" vertical="center"/>
    </xf>
    <xf numFmtId="165" fontId="32" fillId="7" borderId="6" xfId="1" applyNumberFormat="1" applyFont="1" applyFill="1" applyBorder="1" applyAlignment="1">
      <alignment horizontal="center" vertical="center"/>
    </xf>
    <xf numFmtId="167" fontId="32" fillId="7" borderId="5" xfId="2" applyNumberFormat="1" applyFont="1" applyFill="1" applyBorder="1" applyAlignment="1">
      <alignment horizontal="center" vertical="center"/>
    </xf>
    <xf numFmtId="165" fontId="32" fillId="7" borderId="8" xfId="0" applyNumberFormat="1" applyFont="1" applyFill="1" applyBorder="1" applyAlignment="1">
      <alignment horizontal="center" vertical="center"/>
    </xf>
    <xf numFmtId="168" fontId="32" fillId="7" borderId="6" xfId="0" applyNumberFormat="1" applyFont="1" applyFill="1" applyBorder="1" applyAlignment="1">
      <alignment horizontal="center" vertical="center"/>
    </xf>
    <xf numFmtId="168" fontId="32" fillId="7" borderId="7" xfId="0" applyNumberFormat="1" applyFont="1" applyFill="1" applyBorder="1" applyAlignment="1">
      <alignment horizontal="center" vertical="center"/>
    </xf>
    <xf numFmtId="165" fontId="32" fillId="7" borderId="6" xfId="0" applyNumberFormat="1" applyFont="1" applyFill="1" applyBorder="1" applyAlignment="1">
      <alignment horizontal="center" vertical="center"/>
    </xf>
    <xf numFmtId="165" fontId="32" fillId="7" borderId="7" xfId="0" applyNumberFormat="1" applyFont="1" applyFill="1" applyBorder="1" applyAlignment="1">
      <alignment horizontal="center" vertical="center"/>
    </xf>
    <xf numFmtId="168" fontId="32" fillId="7" borderId="5" xfId="0" applyNumberFormat="1" applyFont="1" applyFill="1" applyBorder="1" applyAlignment="1">
      <alignment horizontal="center" vertical="center"/>
    </xf>
    <xf numFmtId="165" fontId="32" fillId="7" borderId="5" xfId="0" applyNumberFormat="1" applyFont="1" applyFill="1" applyBorder="1" applyAlignment="1">
      <alignment horizontal="center" vertical="center"/>
    </xf>
    <xf numFmtId="165" fontId="32" fillId="7" borderId="5" xfId="0" applyNumberFormat="1" applyFont="1" applyFill="1" applyBorder="1"/>
    <xf numFmtId="165" fontId="32" fillId="7" borderId="6" xfId="0" applyNumberFormat="1" applyFont="1" applyFill="1" applyBorder="1"/>
    <xf numFmtId="165" fontId="33" fillId="2" borderId="0" xfId="0" applyNumberFormat="1" applyFont="1" applyFill="1"/>
    <xf numFmtId="165" fontId="8" fillId="2" borderId="0" xfId="0" applyNumberFormat="1" applyFont="1" applyFill="1"/>
    <xf numFmtId="9" fontId="8" fillId="2" borderId="0" xfId="2" applyFont="1" applyFill="1"/>
    <xf numFmtId="165" fontId="7" fillId="2" borderId="0" xfId="0" applyNumberFormat="1" applyFont="1" applyFill="1"/>
    <xf numFmtId="169" fontId="8" fillId="2" borderId="0" xfId="1" applyNumberFormat="1" applyFont="1" applyFill="1" applyBorder="1"/>
    <xf numFmtId="9" fontId="7" fillId="2" borderId="0" xfId="2" applyFont="1" applyFill="1"/>
    <xf numFmtId="172" fontId="8" fillId="2" borderId="0" xfId="0" applyNumberFormat="1" applyFont="1" applyFill="1"/>
    <xf numFmtId="165" fontId="8" fillId="2" borderId="0" xfId="1" applyNumberFormat="1" applyFont="1" applyFill="1" applyBorder="1"/>
    <xf numFmtId="166" fontId="7" fillId="2" borderId="0" xfId="0" applyNumberFormat="1" applyFont="1" applyFill="1"/>
    <xf numFmtId="0" fontId="8" fillId="2" borderId="0" xfId="0" applyFont="1" applyFill="1"/>
    <xf numFmtId="0" fontId="8" fillId="2" borderId="0" xfId="1" applyNumberFormat="1" applyFont="1" applyFill="1" applyBorder="1"/>
    <xf numFmtId="169" fontId="7" fillId="2" borderId="0" xfId="1" applyNumberFormat="1" applyFont="1" applyFill="1" applyBorder="1"/>
    <xf numFmtId="167" fontId="8" fillId="2" borderId="0" xfId="2" applyNumberFormat="1" applyFont="1" applyFill="1" applyBorder="1"/>
    <xf numFmtId="167" fontId="8" fillId="2" borderId="0" xfId="2" applyNumberFormat="1" applyFont="1" applyFill="1"/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170" fontId="8" fillId="2" borderId="0" xfId="1" applyNumberFormat="1" applyFont="1" applyFill="1"/>
    <xf numFmtId="171" fontId="8" fillId="2" borderId="0" xfId="0" applyNumberFormat="1" applyFont="1" applyFill="1"/>
    <xf numFmtId="166" fontId="8" fillId="2" borderId="0" xfId="0" applyNumberFormat="1" applyFont="1" applyFill="1" applyAlignment="1">
      <alignment horizontal="center" vertical="center"/>
    </xf>
    <xf numFmtId="171" fontId="8" fillId="2" borderId="0" xfId="1" applyNumberFormat="1" applyFont="1" applyFill="1" applyBorder="1"/>
    <xf numFmtId="164" fontId="8" fillId="2" borderId="0" xfId="1" applyFont="1" applyFill="1"/>
    <xf numFmtId="165" fontId="7" fillId="2" borderId="0" xfId="1" applyNumberFormat="1" applyFont="1" applyFill="1"/>
    <xf numFmtId="165" fontId="32" fillId="7" borderId="12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vertical="center" wrapText="1"/>
    </xf>
    <xf numFmtId="0" fontId="32" fillId="7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/>
    </xf>
    <xf numFmtId="0" fontId="18" fillId="3" borderId="0" xfId="0" applyFont="1" applyFill="1" applyAlignment="1">
      <alignment vertical="center" wrapText="1"/>
    </xf>
    <xf numFmtId="0" fontId="32" fillId="7" borderId="13" xfId="0" applyFont="1" applyFill="1" applyBorder="1" applyAlignment="1">
      <alignment horizontal="center" vertical="center"/>
    </xf>
    <xf numFmtId="0" fontId="32" fillId="7" borderId="14" xfId="0" applyFont="1" applyFill="1" applyBorder="1" applyAlignment="1">
      <alignment horizontal="center" vertical="center"/>
    </xf>
    <xf numFmtId="0" fontId="32" fillId="7" borderId="15" xfId="0" applyFont="1" applyFill="1" applyBorder="1" applyAlignment="1">
      <alignment horizontal="center" vertical="center"/>
    </xf>
    <xf numFmtId="172" fontId="32" fillId="7" borderId="13" xfId="0" applyNumberFormat="1" applyFont="1" applyFill="1" applyBorder="1" applyAlignment="1">
      <alignment horizontal="center" vertical="center"/>
    </xf>
    <xf numFmtId="165" fontId="32" fillId="7" borderId="14" xfId="0" applyNumberFormat="1" applyFont="1" applyFill="1" applyBorder="1" applyAlignment="1">
      <alignment horizontal="center" vertical="center"/>
    </xf>
    <xf numFmtId="165" fontId="32" fillId="7" borderId="15" xfId="0" applyNumberFormat="1" applyFont="1" applyFill="1" applyBorder="1" applyAlignment="1">
      <alignment horizontal="center" vertical="center"/>
    </xf>
    <xf numFmtId="167" fontId="32" fillId="7" borderId="13" xfId="2" applyNumberFormat="1" applyFont="1" applyFill="1" applyBorder="1" applyAlignment="1">
      <alignment horizontal="center" vertical="center"/>
    </xf>
    <xf numFmtId="167" fontId="32" fillId="7" borderId="14" xfId="2" applyNumberFormat="1" applyFont="1" applyFill="1" applyBorder="1" applyAlignment="1">
      <alignment horizontal="center" vertical="center"/>
    </xf>
    <xf numFmtId="171" fontId="32" fillId="7" borderId="16" xfId="0" applyNumberFormat="1" applyFont="1" applyFill="1" applyBorder="1" applyAlignment="1">
      <alignment horizontal="center" vertical="center"/>
    </xf>
    <xf numFmtId="165" fontId="16" fillId="2" borderId="12" xfId="0" applyNumberFormat="1" applyFont="1" applyFill="1" applyBorder="1"/>
    <xf numFmtId="0" fontId="32" fillId="7" borderId="12" xfId="0" applyFont="1" applyFill="1" applyBorder="1" applyAlignment="1">
      <alignment horizontal="center" vertical="center"/>
    </xf>
    <xf numFmtId="165" fontId="0" fillId="8" borderId="0" xfId="0" applyNumberFormat="1" applyFill="1"/>
    <xf numFmtId="165" fontId="34" fillId="8" borderId="0" xfId="0" applyNumberFormat="1" applyFont="1" applyFill="1" applyAlignment="1">
      <alignment horizontal="center"/>
    </xf>
    <xf numFmtId="165" fontId="8" fillId="8" borderId="0" xfId="0" applyNumberFormat="1" applyFont="1" applyFill="1"/>
    <xf numFmtId="165" fontId="34" fillId="8" borderId="0" xfId="0" applyNumberFormat="1" applyFont="1" applyFill="1" applyAlignment="1">
      <alignment horizontal="center" vertical="center"/>
    </xf>
    <xf numFmtId="165" fontId="35" fillId="8" borderId="11" xfId="0" applyNumberFormat="1" applyFont="1" applyFill="1" applyBorder="1" applyAlignment="1">
      <alignment horizontal="center" vertical="center"/>
    </xf>
    <xf numFmtId="165" fontId="36" fillId="8" borderId="0" xfId="0" applyNumberFormat="1" applyFont="1" applyFill="1" applyAlignment="1">
      <alignment horizontal="center"/>
    </xf>
    <xf numFmtId="167" fontId="37" fillId="8" borderId="0" xfId="2" applyNumberFormat="1" applyFont="1" applyFill="1" applyAlignment="1">
      <alignment horizontal="center" vertical="center"/>
    </xf>
    <xf numFmtId="165" fontId="3" fillId="8" borderId="0" xfId="0" applyNumberFormat="1" applyFont="1" applyFill="1"/>
    <xf numFmtId="165" fontId="36" fillId="8" borderId="0" xfId="0" applyNumberFormat="1" applyFont="1" applyFill="1" applyAlignment="1">
      <alignment horizontal="center" vertical="center"/>
    </xf>
    <xf numFmtId="165" fontId="35" fillId="8" borderId="11" xfId="0" applyNumberFormat="1" applyFont="1" applyFill="1" applyBorder="1" applyAlignment="1">
      <alignment horizontal="center"/>
    </xf>
    <xf numFmtId="165" fontId="7" fillId="8" borderId="0" xfId="0" applyNumberFormat="1" applyFont="1" applyFill="1"/>
    <xf numFmtId="171" fontId="36" fillId="8" borderId="0" xfId="0" applyNumberFormat="1" applyFont="1" applyFill="1" applyAlignment="1">
      <alignment horizontal="center" vertical="center"/>
    </xf>
    <xf numFmtId="165" fontId="35" fillId="8" borderId="0" xfId="0" applyNumberFormat="1" applyFont="1" applyFill="1" applyAlignment="1">
      <alignment horizontal="center" vertical="center"/>
    </xf>
    <xf numFmtId="165" fontId="34" fillId="8" borderId="0" xfId="0" applyNumberFormat="1" applyFont="1" applyFill="1" applyAlignment="1">
      <alignment horizontal="center" vertical="top"/>
    </xf>
    <xf numFmtId="166" fontId="7" fillId="8" borderId="0" xfId="0" applyNumberFormat="1" applyFont="1" applyFill="1" applyAlignment="1">
      <alignment horizontal="center" vertical="center"/>
    </xf>
    <xf numFmtId="165" fontId="8" fillId="8" borderId="0" xfId="0" applyNumberFormat="1" applyFont="1" applyFill="1" applyAlignment="1">
      <alignment horizontal="center" vertical="center"/>
    </xf>
    <xf numFmtId="165" fontId="35" fillId="8" borderId="0" xfId="0" applyNumberFormat="1" applyFont="1" applyFill="1"/>
    <xf numFmtId="165" fontId="7" fillId="9" borderId="0" xfId="0" applyNumberFormat="1" applyFont="1" applyFill="1"/>
    <xf numFmtId="165" fontId="0" fillId="9" borderId="0" xfId="0" applyNumberFormat="1" applyFill="1"/>
    <xf numFmtId="166" fontId="7" fillId="9" borderId="0" xfId="0" applyNumberFormat="1" applyFont="1" applyFill="1" applyAlignment="1">
      <alignment horizontal="center" vertical="center"/>
    </xf>
    <xf numFmtId="165" fontId="7" fillId="9" borderId="0" xfId="1" applyNumberFormat="1" applyFont="1" applyFill="1"/>
    <xf numFmtId="165" fontId="8" fillId="9" borderId="0" xfId="0" applyNumberFormat="1" applyFont="1" applyFill="1"/>
    <xf numFmtId="165" fontId="7" fillId="8" borderId="0" xfId="0" applyNumberFormat="1" applyFont="1" applyFill="1" applyAlignment="1">
      <alignment horizontal="center" vertical="center"/>
    </xf>
    <xf numFmtId="165" fontId="8" fillId="8" borderId="13" xfId="0" applyNumberFormat="1" applyFont="1" applyFill="1" applyBorder="1" applyAlignment="1">
      <alignment horizontal="center" vertical="center"/>
    </xf>
    <xf numFmtId="165" fontId="7" fillId="9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left" vertical="top" wrapText="1"/>
    </xf>
    <xf numFmtId="0" fontId="7" fillId="4" borderId="0" xfId="0" applyFont="1" applyFill="1" applyAlignment="1">
      <alignment horizontal="center"/>
    </xf>
    <xf numFmtId="165" fontId="19" fillId="4" borderId="0" xfId="0" applyNumberFormat="1" applyFont="1" applyFill="1" applyAlignment="1">
      <alignment horizontal="center" vertical="center"/>
    </xf>
    <xf numFmtId="165" fontId="7" fillId="2" borderId="0" xfId="0" applyNumberFormat="1" applyFont="1" applyFill="1" applyAlignment="1">
      <alignment horizontal="center"/>
    </xf>
    <xf numFmtId="165" fontId="18" fillId="2" borderId="5" xfId="0" applyNumberFormat="1" applyFont="1" applyFill="1" applyBorder="1" applyAlignment="1">
      <alignment horizontal="center" vertical="center" textRotation="90"/>
    </xf>
    <xf numFmtId="165" fontId="18" fillId="2" borderId="0" xfId="0" applyNumberFormat="1" applyFont="1" applyFill="1" applyAlignment="1">
      <alignment horizontal="center" vertical="center"/>
    </xf>
    <xf numFmtId="165" fontId="18" fillId="2" borderId="10" xfId="0" applyNumberFormat="1" applyFont="1" applyFill="1" applyBorder="1" applyAlignment="1">
      <alignment horizontal="center" vertical="center"/>
    </xf>
    <xf numFmtId="165" fontId="35" fillId="8" borderId="11" xfId="0" applyNumberFormat="1" applyFont="1" applyFill="1" applyBorder="1" applyAlignment="1">
      <alignment horizontal="center" vertical="center"/>
    </xf>
    <xf numFmtId="167" fontId="36" fillId="8" borderId="0" xfId="2" applyNumberFormat="1" applyFont="1" applyFill="1" applyAlignment="1">
      <alignment horizontal="center" vertical="center"/>
    </xf>
    <xf numFmtId="165" fontId="36" fillId="8" borderId="0" xfId="0" applyNumberFormat="1" applyFont="1" applyFill="1" applyAlignment="1">
      <alignment horizontal="center" vertical="center"/>
    </xf>
    <xf numFmtId="167" fontId="37" fillId="8" borderId="0" xfId="2" applyNumberFormat="1" applyFont="1" applyFill="1" applyAlignment="1">
      <alignment horizontal="center" vertical="center"/>
    </xf>
    <xf numFmtId="165" fontId="34" fillId="8" borderId="0" xfId="0" applyNumberFormat="1" applyFont="1" applyFill="1" applyAlignment="1">
      <alignment horizontal="center" vertical="center"/>
    </xf>
    <xf numFmtId="171" fontId="36" fillId="8" borderId="0" xfId="0" applyNumberFormat="1" applyFont="1" applyFill="1" applyAlignment="1">
      <alignment horizontal="center" vertical="center"/>
    </xf>
    <xf numFmtId="165" fontId="36" fillId="8" borderId="0" xfId="0" applyNumberFormat="1" applyFont="1" applyFill="1" applyAlignment="1">
      <alignment horizontal="center"/>
    </xf>
    <xf numFmtId="165" fontId="34" fillId="8" borderId="0" xfId="0" applyNumberFormat="1" applyFont="1" applyFill="1" applyAlignment="1">
      <alignment horizontal="center"/>
    </xf>
    <xf numFmtId="165" fontId="19" fillId="4" borderId="0" xfId="0" applyNumberFormat="1" applyFont="1" applyFill="1" applyAlignment="1">
      <alignment horizontal="center"/>
    </xf>
    <xf numFmtId="165" fontId="8" fillId="5" borderId="0" xfId="0" applyNumberFormat="1" applyFont="1" applyFill="1" applyAlignment="1">
      <alignment horizontal="center" vertical="center"/>
    </xf>
    <xf numFmtId="165" fontId="8" fillId="5" borderId="0" xfId="1" applyNumberFormat="1" applyFont="1" applyFill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165" fontId="7" fillId="5" borderId="12" xfId="0" applyNumberFormat="1" applyFont="1" applyFill="1" applyBorder="1" applyAlignment="1">
      <alignment horizontal="center" vertical="center"/>
    </xf>
    <xf numFmtId="165" fontId="7" fillId="5" borderId="12" xfId="0" applyNumberFormat="1" applyFont="1" applyFill="1" applyBorder="1" applyAlignment="1">
      <alignment horizontal="center"/>
    </xf>
    <xf numFmtId="165" fontId="16" fillId="10" borderId="1" xfId="1" applyNumberFormat="1" applyFont="1" applyFill="1" applyBorder="1"/>
    <xf numFmtId="165" fontId="16" fillId="10" borderId="2" xfId="1" applyNumberFormat="1" applyFont="1" applyFill="1" applyBorder="1"/>
    <xf numFmtId="165" fontId="16" fillId="10" borderId="3" xfId="1" applyNumberFormat="1" applyFont="1" applyFill="1" applyBorder="1" applyAlignment="1">
      <alignment horizontal="right"/>
    </xf>
    <xf numFmtId="165" fontId="16" fillId="10" borderId="3" xfId="1" applyNumberFormat="1" applyFont="1" applyFill="1" applyBorder="1"/>
    <xf numFmtId="165" fontId="18" fillId="10" borderId="1" xfId="0" applyNumberFormat="1" applyFont="1" applyFill="1" applyBorder="1"/>
    <xf numFmtId="165" fontId="18" fillId="10" borderId="2" xfId="0" applyNumberFormat="1" applyFont="1" applyFill="1" applyBorder="1"/>
    <xf numFmtId="165" fontId="18" fillId="10" borderId="3" xfId="0" applyNumberFormat="1" applyFont="1" applyFill="1" applyBorder="1" applyAlignment="1">
      <alignment horizontal="right"/>
    </xf>
    <xf numFmtId="165" fontId="18" fillId="10" borderId="3" xfId="0" applyNumberFormat="1" applyFont="1" applyFill="1" applyBorder="1"/>
    <xf numFmtId="165" fontId="16" fillId="10" borderId="1" xfId="0" applyNumberFormat="1" applyFont="1" applyFill="1" applyBorder="1"/>
    <xf numFmtId="165" fontId="16" fillId="10" borderId="2" xfId="0" applyNumberFormat="1" applyFont="1" applyFill="1" applyBorder="1"/>
    <xf numFmtId="165" fontId="16" fillId="10" borderId="3" xfId="0" applyNumberFormat="1" applyFont="1" applyFill="1" applyBorder="1" applyAlignment="1">
      <alignment horizontal="right"/>
    </xf>
    <xf numFmtId="165" fontId="16" fillId="10" borderId="3" xfId="0" applyNumberFormat="1" applyFont="1" applyFill="1" applyBorder="1"/>
    <xf numFmtId="165" fontId="18" fillId="10" borderId="1" xfId="1" applyNumberFormat="1" applyFont="1" applyFill="1" applyBorder="1"/>
    <xf numFmtId="165" fontId="18" fillId="10" borderId="2" xfId="1" applyNumberFormat="1" applyFont="1" applyFill="1" applyBorder="1"/>
    <xf numFmtId="165" fontId="18" fillId="10" borderId="3" xfId="1" applyNumberFormat="1" applyFont="1" applyFill="1" applyBorder="1" applyAlignment="1">
      <alignment horizontal="right"/>
    </xf>
    <xf numFmtId="165" fontId="18" fillId="10" borderId="3" xfId="1" applyNumberFormat="1" applyFont="1" applyFill="1" applyBorder="1"/>
    <xf numFmtId="165" fontId="16" fillId="0" borderId="1" xfId="0" applyNumberFormat="1" applyFont="1" applyBorder="1"/>
    <xf numFmtId="165" fontId="16" fillId="0" borderId="3" xfId="0" applyNumberFormat="1" applyFont="1" applyBorder="1" applyAlignment="1">
      <alignment horizontal="right"/>
    </xf>
    <xf numFmtId="165" fontId="16" fillId="0" borderId="2" xfId="0" applyNumberFormat="1" applyFont="1" applyBorder="1"/>
    <xf numFmtId="165" fontId="18" fillId="0" borderId="5" xfId="0" applyNumberFormat="1" applyFont="1" applyBorder="1"/>
    <xf numFmtId="165" fontId="18" fillId="0" borderId="6" xfId="0" applyNumberFormat="1" applyFont="1" applyBorder="1"/>
    <xf numFmtId="165" fontId="18" fillId="0" borderId="7" xfId="0" applyNumberFormat="1" applyFont="1" applyBorder="1" applyAlignment="1">
      <alignment horizontal="right"/>
    </xf>
    <xf numFmtId="165" fontId="18" fillId="10" borderId="7" xfId="0" applyNumberFormat="1" applyFont="1" applyFill="1" applyBorder="1"/>
    <xf numFmtId="165" fontId="25" fillId="0" borderId="5" xfId="0" applyNumberFormat="1" applyFont="1" applyBorder="1"/>
    <xf numFmtId="165" fontId="25" fillId="0" borderId="6" xfId="0" applyNumberFormat="1" applyFont="1" applyBorder="1" applyAlignment="1">
      <alignment horizontal="right"/>
    </xf>
    <xf numFmtId="165" fontId="25" fillId="10" borderId="7" xfId="0" applyNumberFormat="1" applyFont="1" applyFill="1" applyBorder="1"/>
    <xf numFmtId="165" fontId="25" fillId="10" borderId="5" xfId="0" applyNumberFormat="1" applyFont="1" applyFill="1" applyBorder="1"/>
    <xf numFmtId="165" fontId="25" fillId="10" borderId="6" xfId="0" applyNumberFormat="1" applyFont="1" applyFill="1" applyBorder="1"/>
    <xf numFmtId="165" fontId="25" fillId="10" borderId="6" xfId="0" applyNumberFormat="1" applyFont="1" applyFill="1" applyBorder="1" applyAlignment="1">
      <alignment horizontal="right"/>
    </xf>
    <xf numFmtId="167" fontId="16" fillId="10" borderId="0" xfId="2" applyNumberFormat="1" applyFont="1" applyFill="1"/>
    <xf numFmtId="167" fontId="18" fillId="10" borderId="4" xfId="2" applyNumberFormat="1" applyFont="1" applyFill="1" applyBorder="1"/>
    <xf numFmtId="165" fontId="16" fillId="10" borderId="0" xfId="0" applyNumberFormat="1" applyFont="1" applyFill="1"/>
    <xf numFmtId="165" fontId="18" fillId="10" borderId="4" xfId="0" applyNumberFormat="1" applyFont="1" applyFill="1" applyBorder="1"/>
    <xf numFmtId="165" fontId="16" fillId="10" borderId="0" xfId="0" applyNumberFormat="1" applyFont="1" applyFill="1" applyAlignment="1">
      <alignment horizontal="right" vertical="center"/>
    </xf>
    <xf numFmtId="167" fontId="18" fillId="10" borderId="0" xfId="2" applyNumberFormat="1" applyFont="1" applyFill="1"/>
    <xf numFmtId="167" fontId="3" fillId="10" borderId="0" xfId="2" applyNumberFormat="1" applyFont="1" applyFill="1"/>
  </cellXfs>
  <cellStyles count="4">
    <cellStyle name="Comma [0]" xfId="1" builtinId="6"/>
    <cellStyle name="Hyperlink" xfId="3" builtinId="8"/>
    <cellStyle name="Normal" xfId="0" builtinId="0"/>
    <cellStyle name="Percent" xfId="2" builtinId="5"/>
  </cellStyles>
  <dxfs count="149"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ill>
        <patternFill>
          <bgColor theme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00CC99"/>
      <color rgb="FF857501"/>
      <color rgb="FFFFF0D1"/>
      <color rgb="FFAB9701"/>
      <color rgb="FFFFF6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Revenue vs EV/Revenue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Formulas!$B$34</c:f>
              <c:strCache>
                <c:ptCount val="1"/>
                <c:pt idx="0">
                  <c:v>Revenue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noFill/>
                <a:round/>
              </a:ln>
              <a:effectLst/>
            </c:spPr>
          </c:marker>
          <c:xVal>
            <c:numRef>
              <c:f>Formulas!$C$31:$L$31</c:f>
              <c:numCache>
                <c:formatCode>#;\-#;;@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Formulas!$C$34:$L$34</c:f>
              <c:numCache>
                <c:formatCode>#,##0;\-#,##0;;@</c:formatCode>
                <c:ptCount val="10"/>
                <c:pt idx="0">
                  <c:v>444500</c:v>
                </c:pt>
                <c:pt idx="1">
                  <c:v>471170</c:v>
                </c:pt>
                <c:pt idx="2">
                  <c:v>494728.5</c:v>
                </c:pt>
                <c:pt idx="3">
                  <c:v>514517.64</c:v>
                </c:pt>
                <c:pt idx="4">
                  <c:v>529953.1692</c:v>
                </c:pt>
                <c:pt idx="5">
                  <c:v>545851.76427599997</c:v>
                </c:pt>
                <c:pt idx="6">
                  <c:v>556768.79956151999</c:v>
                </c:pt>
                <c:pt idx="7">
                  <c:v>567904.17555275036</c:v>
                </c:pt>
                <c:pt idx="8">
                  <c:v>579262.25906380534</c:v>
                </c:pt>
                <c:pt idx="9">
                  <c:v>590847.50424508145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6E-4B38-B910-63915549C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540720"/>
        <c:axId val="1614544080"/>
      </c:scatterChart>
      <c:scatterChart>
        <c:scatterStyle val="smoothMarker"/>
        <c:varyColors val="0"/>
        <c:ser>
          <c:idx val="1"/>
          <c:order val="1"/>
          <c:tx>
            <c:strRef>
              <c:f>Formulas!$B$36</c:f>
              <c:strCache>
                <c:ptCount val="1"/>
                <c:pt idx="0">
                  <c:v>EV/Revenue</c:v>
                </c:pt>
              </c:strCache>
            </c:strRef>
          </c:tx>
          <c:spPr>
            <a:ln w="158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tint val="77000"/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Formulas!$C$31:$L$31</c:f>
              <c:numCache>
                <c:formatCode>#;\-#;;@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Formulas!$C$36:$L$36</c:f>
              <c:numCache>
                <c:formatCode>#,##0.0;\-#,##0.0;;@</c:formatCode>
                <c:ptCount val="10"/>
                <c:pt idx="0">
                  <c:v>0.64629786722905957</c:v>
                </c:pt>
                <c:pt idx="1">
                  <c:v>0.60971496908401845</c:v>
                </c:pt>
                <c:pt idx="2">
                  <c:v>0.58068092293716045</c:v>
                </c:pt>
                <c:pt idx="3">
                  <c:v>0.5583470412857312</c:v>
                </c:pt>
                <c:pt idx="4">
                  <c:v>0.54208450610265169</c:v>
                </c:pt>
                <c:pt idx="5">
                  <c:v>0.52629563699286575</c:v>
                </c:pt>
                <c:pt idx="6">
                  <c:v>0.51597611469888793</c:v>
                </c:pt>
                <c:pt idx="7">
                  <c:v>0.50585893597930198</c:v>
                </c:pt>
                <c:pt idx="8">
                  <c:v>0.49594013331304115</c:v>
                </c:pt>
                <c:pt idx="9">
                  <c:v>0.48621581697356975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6E-4B38-B910-63915549C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847120"/>
        <c:axId val="319845680"/>
      </c:scatterChart>
      <c:valAx>
        <c:axId val="1614540720"/>
        <c:scaling>
          <c:orientation val="minMax"/>
        </c:scaling>
        <c:delete val="1"/>
        <c:axPos val="b"/>
        <c:numFmt formatCode="#;\-#;;@" sourceLinked="1"/>
        <c:majorTickMark val="none"/>
        <c:minorTickMark val="none"/>
        <c:tickLblPos val="nextTo"/>
        <c:crossAx val="1614544080"/>
        <c:crosses val="autoZero"/>
        <c:crossBetween val="midCat"/>
      </c:valAx>
      <c:valAx>
        <c:axId val="1614544080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540720"/>
        <c:crosses val="autoZero"/>
        <c:crossBetween val="midCat"/>
      </c:valAx>
      <c:valAx>
        <c:axId val="319845680"/>
        <c:scaling>
          <c:orientation val="minMax"/>
        </c:scaling>
        <c:delete val="0"/>
        <c:axPos val="r"/>
        <c:numFmt formatCode="#,##0.0;\-#,##0.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7120"/>
        <c:crosses val="max"/>
        <c:crossBetween val="midCat"/>
      </c:valAx>
      <c:valAx>
        <c:axId val="319847120"/>
        <c:scaling>
          <c:orientation val="minMax"/>
        </c:scaling>
        <c:delete val="0"/>
        <c:axPos val="b"/>
        <c:numFmt formatCode="#;\-#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EBITDA vs EV/EBITDA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Formulas!$B$35</c:f>
              <c:strCache>
                <c:ptCount val="1"/>
                <c:pt idx="0">
                  <c:v>EBITDA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noFill/>
                <a:round/>
              </a:ln>
              <a:effectLst/>
            </c:spPr>
          </c:marker>
          <c:xVal>
            <c:numRef>
              <c:f>Formulas!$C$31:$L$31</c:f>
              <c:numCache>
                <c:formatCode>#;\-#;;@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Formulas!$C$35:$L$35</c:f>
              <c:numCache>
                <c:formatCode>#,##0;\-#,##0;;@</c:formatCode>
                <c:ptCount val="10"/>
                <c:pt idx="0">
                  <c:v>104801.5</c:v>
                </c:pt>
                <c:pt idx="1">
                  <c:v>73784.290000000008</c:v>
                </c:pt>
                <c:pt idx="2">
                  <c:v>94091.71699999999</c:v>
                </c:pt>
                <c:pt idx="3">
                  <c:v>111545.73848000003</c:v>
                </c:pt>
                <c:pt idx="4">
                  <c:v>120091.87648039995</c:v>
                </c:pt>
                <c:pt idx="5">
                  <c:v>137161.66806033198</c:v>
                </c:pt>
                <c:pt idx="6">
                  <c:v>144388.74541934626</c:v>
                </c:pt>
                <c:pt idx="7">
                  <c:v>160334.60383878814</c:v>
                </c:pt>
                <c:pt idx="8">
                  <c:v>165241.29591556388</c:v>
                </c:pt>
                <c:pt idx="9">
                  <c:v>173200.35935510058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95-418B-AB04-9A17D3405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540720"/>
        <c:axId val="1614544080"/>
      </c:scatterChart>
      <c:scatterChart>
        <c:scatterStyle val="smoothMarker"/>
        <c:varyColors val="0"/>
        <c:ser>
          <c:idx val="1"/>
          <c:order val="1"/>
          <c:tx>
            <c:strRef>
              <c:f>Formulas!$B$37</c:f>
              <c:strCache>
                <c:ptCount val="1"/>
                <c:pt idx="0">
                  <c:v>EV/EBITDA</c:v>
                </c:pt>
              </c:strCache>
            </c:strRef>
          </c:tx>
          <c:spPr>
            <a:ln w="158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tint val="77000"/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Formulas!$C$31:$L$31</c:f>
              <c:numCache>
                <c:formatCode>#;\-#;;@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Formulas!$C$37:$L$37</c:f>
              <c:numCache>
                <c:formatCode>#,##0.0;\-#,##0.0;;@</c:formatCode>
                <c:ptCount val="10"/>
                <c:pt idx="0">
                  <c:v>2.7411764333842261</c:v>
                </c:pt>
                <c:pt idx="1">
                  <c:v>3.8935036439778301</c:v>
                </c:pt>
                <c:pt idx="2">
                  <c:v>3.0531848194811562</c:v>
                </c:pt>
                <c:pt idx="3">
                  <c:v>2.5754404058638753</c:v>
                </c:pt>
                <c:pt idx="4">
                  <c:v>2.3921634868467021</c:v>
                </c:pt>
                <c:pt idx="5">
                  <c:v>2.0944583573958444</c:v>
                </c:pt>
                <c:pt idx="6">
                  <c:v>1.9896246147784951</c:v>
                </c:pt>
                <c:pt idx="7">
                  <c:v>1.7917492238429591</c:v>
                </c:pt>
                <c:pt idx="8">
                  <c:v>1.738544837666445</c:v>
                </c:pt>
                <c:pt idx="9">
                  <c:v>1.6586536139588957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95-418B-AB04-9A17D3405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847120"/>
        <c:axId val="319845680"/>
      </c:scatterChart>
      <c:valAx>
        <c:axId val="1614540720"/>
        <c:scaling>
          <c:orientation val="minMax"/>
        </c:scaling>
        <c:delete val="1"/>
        <c:axPos val="b"/>
        <c:numFmt formatCode="#;\-#;;@" sourceLinked="1"/>
        <c:majorTickMark val="none"/>
        <c:minorTickMark val="none"/>
        <c:tickLblPos val="nextTo"/>
        <c:crossAx val="1614544080"/>
        <c:crosses val="autoZero"/>
        <c:crossBetween val="midCat"/>
      </c:valAx>
      <c:valAx>
        <c:axId val="1614544080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540720"/>
        <c:crosses val="autoZero"/>
        <c:crossBetween val="midCat"/>
      </c:valAx>
      <c:valAx>
        <c:axId val="319845680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7120"/>
        <c:crosses val="max"/>
        <c:crossBetween val="midCat"/>
      </c:valAx>
      <c:valAx>
        <c:axId val="319847120"/>
        <c:scaling>
          <c:orientation val="minMax"/>
        </c:scaling>
        <c:delete val="0"/>
        <c:axPos val="b"/>
        <c:numFmt formatCode="#;\-#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Valuation!$N$29:$O$29</c:f>
              <c:strCache>
                <c:ptCount val="2"/>
                <c:pt idx="0">
                  <c:v>1.0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6.8323529411764714E-2</c:v>
                </c:pt>
                <c:pt idx="1">
                  <c:v>7.8323529411764722E-2</c:v>
                </c:pt>
                <c:pt idx="2">
                  <c:v>8.8323529411764717E-2</c:v>
                </c:pt>
                <c:pt idx="3">
                  <c:v>9.8323529411764712E-2</c:v>
                </c:pt>
                <c:pt idx="4">
                  <c:v>0.10832352941176472</c:v>
                </c:pt>
              </c:numCache>
            </c:numRef>
          </c:cat>
          <c:val>
            <c:numRef>
              <c:f>Valuation!$P$29:$T$29</c:f>
              <c:numCache>
                <c:formatCode>#,##0;\-#,##0;;@</c:formatCode>
                <c:ptCount val="5"/>
                <c:pt idx="0">
                  <c:v>969880.52703452413</c:v>
                </c:pt>
                <c:pt idx="1">
                  <c:v>926062.76799562783</c:v>
                </c:pt>
                <c:pt idx="2">
                  <c:v>885558.33755389717</c:v>
                </c:pt>
                <c:pt idx="3">
                  <c:v>848075.90862839064</c:v>
                </c:pt>
                <c:pt idx="4">
                  <c:v>813352.73654680501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A-48B5-AF4F-AB8DCE81B976}"/>
            </c:ext>
          </c:extLst>
        </c:ser>
        <c:ser>
          <c:idx val="1"/>
          <c:order val="1"/>
          <c:tx>
            <c:strRef>
              <c:f>Valuation!$N$30:$O$30</c:f>
              <c:strCache>
                <c:ptCount val="2"/>
                <c:pt idx="0">
                  <c:v>2.0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6.8323529411764714E-2</c:v>
                </c:pt>
                <c:pt idx="1">
                  <c:v>7.8323529411764722E-2</c:v>
                </c:pt>
                <c:pt idx="2">
                  <c:v>8.8323529411764717E-2</c:v>
                </c:pt>
                <c:pt idx="3">
                  <c:v>9.8323529411764712E-2</c:v>
                </c:pt>
                <c:pt idx="4">
                  <c:v>0.10832352941176472</c:v>
                </c:pt>
              </c:numCache>
            </c:numRef>
          </c:cat>
          <c:val>
            <c:numRef>
              <c:f>Valuation!$P$30:$T$30</c:f>
              <c:numCache>
                <c:formatCode>#,##0;\-#,##0;;@</c:formatCode>
                <c:ptCount val="5"/>
                <c:pt idx="0">
                  <c:v>1031361.1056126092</c:v>
                </c:pt>
                <c:pt idx="1">
                  <c:v>987543.34657371289</c:v>
                </c:pt>
                <c:pt idx="2">
                  <c:v>947038.91613198223</c:v>
                </c:pt>
                <c:pt idx="3">
                  <c:v>909556.48720647569</c:v>
                </c:pt>
                <c:pt idx="4">
                  <c:v>874833.31512489007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9A-48B5-AF4F-AB8DCE81B976}"/>
            </c:ext>
          </c:extLst>
        </c:ser>
        <c:ser>
          <c:idx val="2"/>
          <c:order val="2"/>
          <c:tx>
            <c:strRef>
              <c:f>Valuation!$N$31:$O$31</c:f>
              <c:strCache>
                <c:ptCount val="2"/>
                <c:pt idx="0">
                  <c:v>3.0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6.8323529411764714E-2</c:v>
                </c:pt>
                <c:pt idx="1">
                  <c:v>7.8323529411764722E-2</c:v>
                </c:pt>
                <c:pt idx="2">
                  <c:v>8.8323529411764717E-2</c:v>
                </c:pt>
                <c:pt idx="3">
                  <c:v>9.8323529411764712E-2</c:v>
                </c:pt>
                <c:pt idx="4">
                  <c:v>0.10832352941176472</c:v>
                </c:pt>
              </c:numCache>
            </c:numRef>
          </c:cat>
          <c:val>
            <c:numRef>
              <c:f>Valuation!$P$31:$T$31</c:f>
              <c:numCache>
                <c:formatCode>#,##0;\-#,##0;;@</c:formatCode>
                <c:ptCount val="5"/>
                <c:pt idx="0">
                  <c:v>1082621.4828956297</c:v>
                </c:pt>
                <c:pt idx="1">
                  <c:v>1038803.7238567334</c:v>
                </c:pt>
                <c:pt idx="2">
                  <c:v>998299.29341500276</c:v>
                </c:pt>
                <c:pt idx="3">
                  <c:v>960816.86448949622</c:v>
                </c:pt>
                <c:pt idx="4">
                  <c:v>926093.6924079106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9A-48B5-AF4F-AB8DCE81B976}"/>
            </c:ext>
          </c:extLst>
        </c:ser>
        <c:ser>
          <c:idx val="3"/>
          <c:order val="3"/>
          <c:tx>
            <c:strRef>
              <c:f>Valuation!$N$32:$O$32</c:f>
              <c:strCache>
                <c:ptCount val="2"/>
                <c:pt idx="0">
                  <c:v>4.0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6.8323529411764714E-2</c:v>
                </c:pt>
                <c:pt idx="1">
                  <c:v>7.8323529411764722E-2</c:v>
                </c:pt>
                <c:pt idx="2">
                  <c:v>8.8323529411764717E-2</c:v>
                </c:pt>
                <c:pt idx="3">
                  <c:v>9.8323529411764712E-2</c:v>
                </c:pt>
                <c:pt idx="4">
                  <c:v>0.10832352941176472</c:v>
                </c:pt>
              </c:numCache>
            </c:numRef>
          </c:cat>
          <c:val>
            <c:numRef>
              <c:f>Valuation!$P$32:$T$32</c:f>
              <c:numCache>
                <c:formatCode>#,##0;\-#,##0;;@</c:formatCode>
                <c:ptCount val="5"/>
                <c:pt idx="0">
                  <c:v>1125025.9397456017</c:v>
                </c:pt>
                <c:pt idx="1">
                  <c:v>1081208.1807067054</c:v>
                </c:pt>
                <c:pt idx="2">
                  <c:v>1040703.7502649747</c:v>
                </c:pt>
                <c:pt idx="3">
                  <c:v>1003221.3213394681</c:v>
                </c:pt>
                <c:pt idx="4">
                  <c:v>968498.1492578825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9A-48B5-AF4F-AB8DCE81B976}"/>
            </c:ext>
          </c:extLst>
        </c:ser>
        <c:ser>
          <c:idx val="4"/>
          <c:order val="4"/>
          <c:tx>
            <c:strRef>
              <c:f>Valuation!$N$33:$O$33</c:f>
              <c:strCache>
                <c:ptCount val="2"/>
                <c:pt idx="0">
                  <c:v>5.0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6.8323529411764714E-2</c:v>
                </c:pt>
                <c:pt idx="1">
                  <c:v>7.8323529411764722E-2</c:v>
                </c:pt>
                <c:pt idx="2">
                  <c:v>8.8323529411764717E-2</c:v>
                </c:pt>
                <c:pt idx="3">
                  <c:v>9.8323529411764712E-2</c:v>
                </c:pt>
                <c:pt idx="4">
                  <c:v>0.10832352941176472</c:v>
                </c:pt>
              </c:numCache>
            </c:numRef>
          </c:cat>
          <c:val>
            <c:numRef>
              <c:f>Valuation!$P$33:$T$33</c:f>
              <c:numCache>
                <c:formatCode>#,##0;\-#,##0;;@</c:formatCode>
                <c:ptCount val="5"/>
                <c:pt idx="0">
                  <c:v>1159763.4486123947</c:v>
                </c:pt>
                <c:pt idx="1">
                  <c:v>1115945.6895734984</c:v>
                </c:pt>
                <c:pt idx="2">
                  <c:v>1075441.2591317678</c:v>
                </c:pt>
                <c:pt idx="3">
                  <c:v>1037958.8302062612</c:v>
                </c:pt>
                <c:pt idx="4">
                  <c:v>1003235.6581246756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9A-48B5-AF4F-AB8DCE81B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587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83000">
                    <a:schemeClr val="tx2">
                      <a:lumMod val="75000"/>
                      <a:lumOff val="25000"/>
                    </a:schemeClr>
                  </a:gs>
                  <a:gs pos="100000">
                    <a:schemeClr val="accent1">
                      <a:alpha val="0"/>
                    </a:schemeClr>
                  </a:gs>
                </a:gsLst>
                <a:lin ang="5400000" scaled="1"/>
              </a:gradFill>
              <a:round/>
            </a:ln>
            <a:effectLst/>
          </c:spPr>
        </c:dropLines>
        <c:smooth val="0"/>
        <c:axId val="2051621583"/>
        <c:axId val="2051626863"/>
      </c:lineChart>
      <c:catAx>
        <c:axId val="2051621583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26863"/>
        <c:crosses val="autoZero"/>
        <c:auto val="1"/>
        <c:lblAlgn val="ctr"/>
        <c:lblOffset val="100"/>
        <c:noMultiLvlLbl val="0"/>
      </c:catAx>
      <c:valAx>
        <c:axId val="2051626863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2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5AA-4A93-82EA-59554160A12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5AA-4A93-82EA-59554160A12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5AA-4A93-82EA-59554160A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015935"/>
        <c:axId val="80013055"/>
      </c:barChart>
      <c:lineChart>
        <c:grouping val="standard"/>
        <c:varyColors val="0"/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5AA-4A93-82EA-59554160A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935"/>
        <c:axId val="80013055"/>
      </c:lineChart>
      <c:catAx>
        <c:axId val="80015935"/>
        <c:scaling>
          <c:orientation val="minMax"/>
        </c:scaling>
        <c:delete val="0"/>
        <c:axPos val="b"/>
        <c:numFmt formatCode="0;\-0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3055"/>
        <c:crosses val="autoZero"/>
        <c:auto val="1"/>
        <c:lblAlgn val="ctr"/>
        <c:lblOffset val="100"/>
        <c:noMultiLvlLbl val="0"/>
      </c:catAx>
      <c:valAx>
        <c:axId val="8001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2FC-4AEE-9E0C-CD7D0CD3F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015455"/>
        <c:axId val="57799071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2FC-4AEE-9E0C-CD7D0CD3F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455"/>
        <c:axId val="577990719"/>
      </c:lineChart>
      <c:catAx>
        <c:axId val="80015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90719"/>
        <c:crosses val="autoZero"/>
        <c:auto val="1"/>
        <c:lblAlgn val="ctr"/>
        <c:lblOffset val="100"/>
        <c:noMultiLvlLbl val="0"/>
      </c:catAx>
      <c:valAx>
        <c:axId val="57799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Operating Expense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'Annual Forecast'!$D$21</c:f>
              <c:strCache>
                <c:ptCount val="1"/>
                <c:pt idx="0">
                  <c:v>Salaries and Benefits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Forecast'!$H$21:$Q$21</c:f>
              <c:numCache>
                <c:formatCode>#,##0;\-#,##0;;@</c:formatCode>
                <c:ptCount val="10"/>
                <c:pt idx="0">
                  <c:v>49999.999999999993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  <c:pt idx="5">
                  <c:v>50000</c:v>
                </c:pt>
                <c:pt idx="6">
                  <c:v>50000</c:v>
                </c:pt>
                <c:pt idx="7">
                  <c:v>50000</c:v>
                </c:pt>
                <c:pt idx="8">
                  <c:v>50000</c:v>
                </c:pt>
                <c:pt idx="9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D-4FB2-A522-7CEAB17FC1A2}"/>
            </c:ext>
          </c:extLst>
        </c:ser>
        <c:ser>
          <c:idx val="1"/>
          <c:order val="1"/>
          <c:tx>
            <c:strRef>
              <c:f>'Annual Forecast'!$D$22</c:f>
              <c:strCache>
                <c:ptCount val="1"/>
                <c:pt idx="0">
                  <c:v>Sales and Marketing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Forecast'!$H$22:$Q$22</c:f>
              <c:numCache>
                <c:formatCode>#,##0;\-#,##0;;@</c:formatCode>
                <c:ptCount val="10"/>
                <c:pt idx="0">
                  <c:v>17780</c:v>
                </c:pt>
                <c:pt idx="1">
                  <c:v>18846.8</c:v>
                </c:pt>
                <c:pt idx="2">
                  <c:v>17315.497500000001</c:v>
                </c:pt>
                <c:pt idx="3">
                  <c:v>18008.117400000003</c:v>
                </c:pt>
                <c:pt idx="4">
                  <c:v>18548.360922000003</c:v>
                </c:pt>
                <c:pt idx="5">
                  <c:v>19104.811749660003</c:v>
                </c:pt>
                <c:pt idx="6">
                  <c:v>16703.063986845598</c:v>
                </c:pt>
                <c:pt idx="7">
                  <c:v>17037.125266582509</c:v>
                </c:pt>
                <c:pt idx="8">
                  <c:v>17377.86777191416</c:v>
                </c:pt>
                <c:pt idx="9">
                  <c:v>17725.425127352442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9D-4FB2-A522-7CEAB17FC1A2}"/>
            </c:ext>
          </c:extLst>
        </c:ser>
        <c:ser>
          <c:idx val="2"/>
          <c:order val="2"/>
          <c:tx>
            <c:strRef>
              <c:f>'Annual Forecast'!$D$23</c:f>
              <c:strCache>
                <c:ptCount val="1"/>
                <c:pt idx="0">
                  <c:v>General and Administration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Forecast'!$H$23:$Q$23</c:f>
              <c:numCache>
                <c:formatCode>#,##0;\-#,##0;;@</c:formatCode>
                <c:ptCount val="10"/>
                <c:pt idx="0">
                  <c:v>35000.000000000007</c:v>
                </c:pt>
                <c:pt idx="1">
                  <c:v>35000</c:v>
                </c:pt>
                <c:pt idx="2">
                  <c:v>35000</c:v>
                </c:pt>
                <c:pt idx="3">
                  <c:v>35000</c:v>
                </c:pt>
                <c:pt idx="4">
                  <c:v>35000</c:v>
                </c:pt>
                <c:pt idx="5">
                  <c:v>35000</c:v>
                </c:pt>
                <c:pt idx="6">
                  <c:v>35000</c:v>
                </c:pt>
                <c:pt idx="7">
                  <c:v>35000</c:v>
                </c:pt>
                <c:pt idx="8">
                  <c:v>35000</c:v>
                </c:pt>
                <c:pt idx="9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9D-4FB2-A522-7CEAB17FC1A2}"/>
            </c:ext>
          </c:extLst>
        </c:ser>
        <c:ser>
          <c:idx val="3"/>
          <c:order val="3"/>
          <c:tx>
            <c:strRef>
              <c:f>'Annual Forecast'!$D$24</c:f>
              <c:strCache>
                <c:ptCount val="1"/>
                <c:pt idx="0">
                  <c:v>Credit Card Fees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Forecast'!$H$24:$Q$24</c:f>
              <c:numCache>
                <c:formatCode>#,##0;\-#,##0;;@</c:formatCode>
                <c:ptCount val="10"/>
                <c:pt idx="0">
                  <c:v>3556.0000000000005</c:v>
                </c:pt>
                <c:pt idx="1">
                  <c:v>3769.36</c:v>
                </c:pt>
                <c:pt idx="2">
                  <c:v>3957.828</c:v>
                </c:pt>
                <c:pt idx="3">
                  <c:v>4116.1411200000002</c:v>
                </c:pt>
                <c:pt idx="4">
                  <c:v>4239.6253536000004</c:v>
                </c:pt>
                <c:pt idx="5">
                  <c:v>4366.8141142080003</c:v>
                </c:pt>
                <c:pt idx="6">
                  <c:v>4454.1503964921603</c:v>
                </c:pt>
                <c:pt idx="7">
                  <c:v>4543.2334044220033</c:v>
                </c:pt>
                <c:pt idx="8">
                  <c:v>4634.0980725104428</c:v>
                </c:pt>
                <c:pt idx="9">
                  <c:v>4726.780033960652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9D-4FB2-A522-7CEAB17FC1A2}"/>
            </c:ext>
          </c:extLst>
        </c:ser>
        <c:ser>
          <c:idx val="4"/>
          <c:order val="4"/>
          <c:tx>
            <c:strRef>
              <c:f>'Annual Forecast'!$D$25</c:f>
              <c:strCache>
                <c:ptCount val="1"/>
                <c:pt idx="0">
                  <c:v>Depreciation and Amortization</c:v>
                </c:pt>
              </c:strCache>
            </c:strRef>
          </c:tx>
          <c:spPr>
            <a:solidFill>
              <a:schemeClr val="accent4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Forecast'!$H$25:$Q$25</c:f>
              <c:numCache>
                <c:formatCode>#,##0;\-#,##0;;@</c:formatCode>
                <c:ptCount val="10"/>
                <c:pt idx="0">
                  <c:v>7524.9999999999991</c:v>
                </c:pt>
                <c:pt idx="1">
                  <c:v>8391.2500000000018</c:v>
                </c:pt>
                <c:pt idx="2">
                  <c:v>9654.3125000000018</c:v>
                </c:pt>
                <c:pt idx="3">
                  <c:v>10475.303125000002</c:v>
                </c:pt>
                <c:pt idx="4">
                  <c:v>12058.947031250002</c:v>
                </c:pt>
                <c:pt idx="5">
                  <c:v>14138.315570312501</c:v>
                </c:pt>
                <c:pt idx="6">
                  <c:v>14439.905120703124</c:v>
                </c:pt>
                <c:pt idx="7">
                  <c:v>13585.938328457032</c:v>
                </c:pt>
                <c:pt idx="8">
                  <c:v>12330.85991349707</c:v>
                </c:pt>
                <c:pt idx="9">
                  <c:v>10815.058943773094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9D-4FB2-A522-7CEAB17FC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1805471"/>
        <c:axId val="631818911"/>
      </c:barChart>
      <c:catAx>
        <c:axId val="631805471"/>
        <c:scaling>
          <c:orientation val="minMax"/>
        </c:scaling>
        <c:delete val="0"/>
        <c:axPos val="b"/>
        <c:numFmt formatCode="0;\-0;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18911"/>
        <c:crosses val="autoZero"/>
        <c:auto val="1"/>
        <c:lblAlgn val="ctr"/>
        <c:lblOffset val="100"/>
        <c:noMultiLvlLbl val="0"/>
      </c:catAx>
      <c:valAx>
        <c:axId val="631818911"/>
        <c:scaling>
          <c:orientation val="minMax"/>
        </c:scaling>
        <c:delete val="0"/>
        <c:axPos val="l"/>
        <c:numFmt formatCode="#,##0;\-#,##0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0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376625639158757"/>
          <c:y val="0.88603562101332212"/>
          <c:w val="0.84658433730251281"/>
          <c:h val="0.112246876046742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31750">
              <a:solidFill>
                <a:schemeClr val="tx2">
                  <a:lumMod val="10000"/>
                  <a:lumOff val="90000"/>
                </a:schemeClr>
              </a:solidFill>
            </a:ln>
          </c:spPr>
          <c:dPt>
            <c:idx val="0"/>
            <c:bubble3D val="0"/>
            <c:spPr>
              <a:solidFill>
                <a:schemeClr val="accent2"/>
              </a:solidFill>
              <a:ln w="31750">
                <a:solidFill>
                  <a:schemeClr val="tx2">
                    <a:lumMod val="10000"/>
                    <a:lumOff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E0A-494F-9B38-27D01A5D9F19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31750">
                <a:solidFill>
                  <a:schemeClr val="tx2">
                    <a:lumMod val="10000"/>
                    <a:lumOff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0A-494F-9B38-27D01A5D9F19}"/>
              </c:ext>
            </c:extLst>
          </c:dPt>
          <c:val>
            <c:numRef>
              <c:f>Formulas!$D$271:$D$272</c:f>
              <c:numCache>
                <c:formatCode>#,##0;\-#,##0;;@</c:formatCode>
                <c:ptCount val="2"/>
                <c:pt idx="0" formatCode="#,##0.0;\-#,##0.0;;@">
                  <c:v>15.879220938221062</c:v>
                </c:pt>
                <c:pt idx="1">
                  <c:v>84.120779061778933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A-494F-9B38-27D01A5D9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Cash Conversion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Ratios!$C$24</c:f>
              <c:strCache>
                <c:ptCount val="1"/>
                <c:pt idx="0">
                  <c:v>Days Inventory Outstanding (DIO)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Formulas!$C$229:$L$229</c:f>
              <c:numCache>
                <c:formatCode>#,##0;\-#,##0;;@</c:formatCode>
                <c:ptCount val="1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75</c:v>
                </c:pt>
                <c:pt idx="7">
                  <c:v>75</c:v>
                </c:pt>
                <c:pt idx="8">
                  <c:v>80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B-4D3E-87F1-687224B78074}"/>
            </c:ext>
          </c:extLst>
        </c:ser>
        <c:ser>
          <c:idx val="0"/>
          <c:order val="1"/>
          <c:tx>
            <c:strRef>
              <c:f>Ratios!$C$22</c:f>
              <c:strCache>
                <c:ptCount val="1"/>
                <c:pt idx="0">
                  <c:v>Days Sales Outstanding (DSO)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Formulas!$C$227:$L$227</c:f>
              <c:numCache>
                <c:formatCode>#,##0;\-#,##0;;@</c:formatCode>
                <c:ptCount val="1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0B-4D3E-87F1-687224B78074}"/>
            </c:ext>
          </c:extLst>
        </c:ser>
        <c:ser>
          <c:idx val="1"/>
          <c:order val="2"/>
          <c:tx>
            <c:strRef>
              <c:f>Ratios!$C$23</c:f>
              <c:strCache>
                <c:ptCount val="1"/>
                <c:pt idx="0">
                  <c:v>Days Payable Outstanding (DPO)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Formulas!$C$228:$L$228</c:f>
              <c:numCache>
                <c:formatCode>#,##0;\-#,##0;;@</c:formatCode>
                <c:ptCount val="10"/>
                <c:pt idx="0">
                  <c:v>50.000000000000007</c:v>
                </c:pt>
                <c:pt idx="1">
                  <c:v>50.000000000000007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0B-4D3E-87F1-687224B78074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0015935"/>
        <c:axId val="80013055"/>
      </c:barChart>
      <c:lineChart>
        <c:grouping val="standard"/>
        <c:varyColors val="0"/>
        <c:ser>
          <c:idx val="3"/>
          <c:order val="3"/>
          <c:tx>
            <c:strRef>
              <c:f>Ratios!$C$25</c:f>
              <c:strCache>
                <c:ptCount val="1"/>
                <c:pt idx="0">
                  <c:v>Cash Conversion Cycle</c:v>
                </c:pt>
              </c:strCache>
            </c:strRef>
          </c:tx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58000"/>
                </a:schemeClr>
              </a:solidFill>
              <a:ln w="9525">
                <a:solidFill>
                  <a:schemeClr val="accent4">
                    <a:tint val="58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Formulas!$C$230:$L$230</c:f>
              <c:numCache>
                <c:formatCode>#,##0;\-#,##0;;@</c:formatCode>
                <c:ptCount val="10"/>
                <c:pt idx="0">
                  <c:v>54.999999999999993</c:v>
                </c:pt>
                <c:pt idx="1">
                  <c:v>54.999999999999993</c:v>
                </c:pt>
                <c:pt idx="2">
                  <c:v>55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65</c:v>
                </c:pt>
                <c:pt idx="7">
                  <c:v>65</c:v>
                </c:pt>
                <c:pt idx="8">
                  <c:v>70</c:v>
                </c:pt>
                <c:pt idx="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0B-4D3E-87F1-687224B780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015935"/>
        <c:axId val="80013055"/>
      </c:lineChart>
      <c:catAx>
        <c:axId val="80015935"/>
        <c:scaling>
          <c:orientation val="minMax"/>
        </c:scaling>
        <c:delete val="0"/>
        <c:axPos val="b"/>
        <c:numFmt formatCode="0;\-0;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3055"/>
        <c:crosses val="autoZero"/>
        <c:auto val="1"/>
        <c:lblAlgn val="ctr"/>
        <c:lblOffset val="100"/>
        <c:noMultiLvlLbl val="0"/>
      </c:catAx>
      <c:valAx>
        <c:axId val="80013055"/>
        <c:scaling>
          <c:orientation val="minMax"/>
        </c:scaling>
        <c:delete val="1"/>
        <c:axPos val="l"/>
        <c:numFmt formatCode="#,##0;\-#,##0;;@" sourceLinked="1"/>
        <c:majorTickMark val="none"/>
        <c:minorTickMark val="none"/>
        <c:tickLblPos val="nextTo"/>
        <c:crossAx val="8001593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Formulas!$B$274</c:f>
              <c:strCache>
                <c:ptCount val="1"/>
                <c:pt idx="0">
                  <c:v>Gross Profit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63-44D0-97C3-03B880C8B7C7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63-44D0-97C3-03B880C8B7C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563-44D0-97C3-03B880C8B7C7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Formulas!$D$275:$D$277</c:f>
              <c:numCache>
                <c:formatCode>#,##0;\-#,##0;;@</c:formatCode>
                <c:ptCount val="3"/>
                <c:pt idx="0" formatCode="#,##0.0;\-#,##0.0;;@">
                  <c:v>47.5</c:v>
                </c:pt>
                <c:pt idx="1">
                  <c:v>52.5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63-44D0-97C3-03B880C8B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537728998673209"/>
          <c:y val="0.584269203441207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Formulas!$C$274</c:f>
              <c:strCache>
                <c:ptCount val="1"/>
                <c:pt idx="0">
                  <c:v>47.5%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BC-4AB7-9C71-F4CE8783BE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BC-4AB7-9C71-F4CE8783BECB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7BC-4AB7-9C71-F4CE8783BECB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Formulas!$E$275:$E$277</c:f>
              <c:numCache>
                <c:formatCode>#,##0;\-#,##0;;@</c:formatCode>
                <c:ptCount val="3"/>
                <c:pt idx="0" formatCode="#,##0.0;\-#,##0.0;;@">
                  <c:v>47.5</c:v>
                </c:pt>
                <c:pt idx="1">
                  <c:v>2</c:v>
                </c:pt>
                <c:pt idx="2">
                  <c:v>150.5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BC-4AB7-9C71-F4CE8783B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Formulas!$B$278</c:f>
              <c:strCache>
                <c:ptCount val="1"/>
                <c:pt idx="0">
                  <c:v>EBITDA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AB-45B2-A4ED-ACA8D230B579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AB-45B2-A4ED-ACA8D230B579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AB-45B2-A4ED-ACA8D230B579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Formulas!$D$279:$D$281</c:f>
              <c:numCache>
                <c:formatCode>#,##0;\-#,##0;;@</c:formatCode>
                <c:ptCount val="3"/>
                <c:pt idx="0" formatCode="#,##0.0;\-#,##0.0;;@">
                  <c:v>23.577390326209226</c:v>
                </c:pt>
                <c:pt idx="1">
                  <c:v>76.422609673790774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AB-45B2-A4ED-ACA8D230B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820420321047161"/>
          <c:y val="0.58426906860313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Formulas!$C$278</c:f>
              <c:strCache>
                <c:ptCount val="1"/>
                <c:pt idx="0">
                  <c:v>23.6%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E7-46FF-873E-406695695D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E7-46FF-873E-406695695D0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EE7-46FF-873E-406695695D07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Formulas!$E$279:$E$281</c:f>
              <c:numCache>
                <c:formatCode>#,##0;\-#,##0;;@</c:formatCode>
                <c:ptCount val="3"/>
                <c:pt idx="0" formatCode="#,##0.0;\-#,##0.0;;@">
                  <c:v>23.577390326209226</c:v>
                </c:pt>
                <c:pt idx="1">
                  <c:v>2</c:v>
                </c:pt>
                <c:pt idx="2">
                  <c:v>174.42260967379076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E7-46FF-873E-406695695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Formulas!$B$282</c:f>
              <c:strCache>
                <c:ptCount val="1"/>
                <c:pt idx="0">
                  <c:v>Operating Profit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83-4957-AC2A-FE7DEE132E64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83-4957-AC2A-FE7DEE132E64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83-4957-AC2A-FE7DEE132E64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Formulas!$D$283:$D$285</c:f>
              <c:numCache>
                <c:formatCode>#,##0;\-#,##0;;@</c:formatCode>
                <c:ptCount val="3"/>
                <c:pt idx="0" formatCode="#,##0.0;\-#,##0.0;;@">
                  <c:v>21.884476940382452</c:v>
                </c:pt>
                <c:pt idx="1">
                  <c:v>78.115523059617544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83-4957-AC2A-FE7DEE132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49934190669693"/>
          <c:y val="0.57927518104352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Formulas!$C$282</c:f>
              <c:strCache>
                <c:ptCount val="1"/>
                <c:pt idx="0">
                  <c:v>21.9%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7F-43E0-8ACA-565257C3C3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7F-43E0-8ACA-565257C3C359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A7F-43E0-8ACA-565257C3C359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Formulas!$E$283:$E$285</c:f>
              <c:numCache>
                <c:formatCode>#,##0;\-#,##0;;@</c:formatCode>
                <c:ptCount val="3"/>
                <c:pt idx="0" formatCode="#,##0.0;\-#,##0.0;;@">
                  <c:v>21.884476940382452</c:v>
                </c:pt>
                <c:pt idx="1">
                  <c:v>2</c:v>
                </c:pt>
                <c:pt idx="2">
                  <c:v>176.11552305961754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7F-43E0-8ACA-565257C3C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Income vs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Formulas!$B$322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Formulas!$C$322:$L$322</c:f>
              <c:numCache>
                <c:formatCode>#,##0;\-#,##0;;@</c:formatCode>
                <c:ptCount val="10"/>
                <c:pt idx="0">
                  <c:v>444500</c:v>
                </c:pt>
                <c:pt idx="1">
                  <c:v>471170</c:v>
                </c:pt>
                <c:pt idx="2">
                  <c:v>494728.5</c:v>
                </c:pt>
                <c:pt idx="3">
                  <c:v>514517.64</c:v>
                </c:pt>
                <c:pt idx="4">
                  <c:v>529953.1692</c:v>
                </c:pt>
                <c:pt idx="5">
                  <c:v>545851.76427599997</c:v>
                </c:pt>
                <c:pt idx="6">
                  <c:v>556768.79956151999</c:v>
                </c:pt>
                <c:pt idx="7">
                  <c:v>567904.17555275036</c:v>
                </c:pt>
                <c:pt idx="8">
                  <c:v>579262.25906380534</c:v>
                </c:pt>
                <c:pt idx="9">
                  <c:v>590847.50424508145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9-4B52-ACA6-AC6CB2FF8D9D}"/>
            </c:ext>
          </c:extLst>
        </c:ser>
        <c:ser>
          <c:idx val="1"/>
          <c:order val="1"/>
          <c:tx>
            <c:strRef>
              <c:f>Formulas!$B$323</c:f>
              <c:strCache>
                <c:ptCount val="1"/>
                <c:pt idx="0">
                  <c:v>Total Expense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Formulas!$C$323:$L$323</c:f>
              <c:numCache>
                <c:formatCode>#,##0;\-#,##0;;@</c:formatCode>
                <c:ptCount val="10"/>
                <c:pt idx="0">
                  <c:v>-347223.5</c:v>
                </c:pt>
                <c:pt idx="1">
                  <c:v>-405776.95999999996</c:v>
                </c:pt>
                <c:pt idx="2">
                  <c:v>-410291.0955</c:v>
                </c:pt>
                <c:pt idx="3">
                  <c:v>-413447.20464499999</c:v>
                </c:pt>
                <c:pt idx="4">
                  <c:v>-421920.23975085007</c:v>
                </c:pt>
                <c:pt idx="5">
                  <c:v>-422828.41178598045</c:v>
                </c:pt>
                <c:pt idx="6">
                  <c:v>-426819.95926287689</c:v>
                </c:pt>
                <c:pt idx="7">
                  <c:v>-421155.51004241925</c:v>
                </c:pt>
                <c:pt idx="8">
                  <c:v>-426351.82306173851</c:v>
                </c:pt>
                <c:pt idx="9">
                  <c:v>-428462.20383375394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F9-4B52-ACA6-AC6CB2FF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8849024"/>
        <c:axId val="1817561520"/>
      </c:barChart>
      <c:lineChart>
        <c:grouping val="standard"/>
        <c:varyColors val="0"/>
        <c:ser>
          <c:idx val="2"/>
          <c:order val="2"/>
          <c:tx>
            <c:strRef>
              <c:f>Formulas!$B$324</c:f>
              <c:strCache>
                <c:ptCount val="1"/>
                <c:pt idx="0">
                  <c:v>Operating Profit</c:v>
                </c:pt>
              </c:strCache>
            </c:strRef>
          </c:tx>
          <c:spPr>
            <a:ln w="28575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65000"/>
                </a:schemeClr>
              </a:solidFill>
              <a:ln w="9525">
                <a:solidFill>
                  <a:schemeClr val="accent4">
                    <a:tint val="65000"/>
                  </a:schemeClr>
                </a:solidFill>
              </a:ln>
              <a:effectLst/>
            </c:spPr>
          </c:marker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Formulas!$C$324:$L$324</c:f>
              <c:numCache>
                <c:formatCode>#,##0;\-#,##0;;@</c:formatCode>
                <c:ptCount val="10"/>
                <c:pt idx="0">
                  <c:v>97276.5</c:v>
                </c:pt>
                <c:pt idx="1">
                  <c:v>65393.040000000008</c:v>
                </c:pt>
                <c:pt idx="2">
                  <c:v>84437.40449999999</c:v>
                </c:pt>
                <c:pt idx="3">
                  <c:v>101070.43535500002</c:v>
                </c:pt>
                <c:pt idx="4">
                  <c:v>108032.92944914995</c:v>
                </c:pt>
                <c:pt idx="5">
                  <c:v>123023.35249001949</c:v>
                </c:pt>
                <c:pt idx="6">
                  <c:v>129948.84029864313</c:v>
                </c:pt>
                <c:pt idx="7">
                  <c:v>146748.66551033111</c:v>
                </c:pt>
                <c:pt idx="8">
                  <c:v>152910.43600206682</c:v>
                </c:pt>
                <c:pt idx="9">
                  <c:v>162385.30041132748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F9-4B52-ACA6-AC6CB2FF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849024"/>
        <c:axId val="1817561520"/>
      </c:lineChart>
      <c:catAx>
        <c:axId val="1808849024"/>
        <c:scaling>
          <c:orientation val="minMax"/>
        </c:scaling>
        <c:delete val="0"/>
        <c:axPos val="b"/>
        <c:numFmt formatCode="0;\-0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561520"/>
        <c:crosses val="autoZero"/>
        <c:auto val="1"/>
        <c:lblAlgn val="ctr"/>
        <c:lblOffset val="100"/>
        <c:noMultiLvlLbl val="0"/>
      </c:catAx>
      <c:valAx>
        <c:axId val="1817561520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84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Forecast'!$C$92</c:f>
              <c:strCache>
                <c:ptCount val="1"/>
                <c:pt idx="0">
                  <c:v>Closing Cash Balance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Forecast'!$H$92:$Q$92</c:f>
              <c:numCache>
                <c:formatCode>#,##0;\-#,##0;;@</c:formatCode>
                <c:ptCount val="10"/>
                <c:pt idx="0">
                  <c:v>172720.59801668304</c:v>
                </c:pt>
                <c:pt idx="1">
                  <c:v>201830.78584545015</c:v>
                </c:pt>
                <c:pt idx="2">
                  <c:v>244850.40707036451</c:v>
                </c:pt>
                <c:pt idx="3">
                  <c:v>295788.437294451</c:v>
                </c:pt>
                <c:pt idx="4">
                  <c:v>353977.77857619163</c:v>
                </c:pt>
                <c:pt idx="5">
                  <c:v>424755.89334532525</c:v>
                </c:pt>
                <c:pt idx="6">
                  <c:v>495824.64514436235</c:v>
                </c:pt>
                <c:pt idx="7">
                  <c:v>584949.77247521502</c:v>
                </c:pt>
                <c:pt idx="8">
                  <c:v>673781.38831109076</c:v>
                </c:pt>
                <c:pt idx="9">
                  <c:v>773696.05955033994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3-42A3-A4E7-ABDEE5C77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1278704"/>
        <c:axId val="417302864"/>
      </c:lineChart>
      <c:catAx>
        <c:axId val="61278704"/>
        <c:scaling>
          <c:orientation val="minMax"/>
        </c:scaling>
        <c:delete val="0"/>
        <c:axPos val="b"/>
        <c:numFmt formatCode="0;\-0;;@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02864"/>
        <c:crosses val="autoZero"/>
        <c:auto val="1"/>
        <c:lblAlgn val="ctr"/>
        <c:lblOffset val="100"/>
        <c:noMultiLvlLbl val="0"/>
      </c:catAx>
      <c:valAx>
        <c:axId val="41730286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Formulas!$B$286</c:f>
              <c:strCache>
                <c:ptCount val="1"/>
                <c:pt idx="0">
                  <c:v>Return on Equity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05-4586-900D-E085A7B3DF42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05-4586-900D-E085A7B3DF4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305-4586-900D-E085A7B3DF42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Formulas!$D$287:$D$289</c:f>
              <c:numCache>
                <c:formatCode>#,##0;\-#,##0;;@</c:formatCode>
                <c:ptCount val="3"/>
                <c:pt idx="0" formatCode="#,##0.0;\-#,##0.0;;@">
                  <c:v>41.520550799634421</c:v>
                </c:pt>
                <c:pt idx="1">
                  <c:v>58.479449200365579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05-4586-900D-E085A7B3D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49934190669693"/>
          <c:y val="0.57927518104352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Formulas!$C$286</c:f>
              <c:strCache>
                <c:ptCount val="1"/>
                <c:pt idx="0">
                  <c:v>41.5%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E6-47EA-BC56-92CC366EF5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E6-47EA-BC56-92CC366EF54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E6-47EA-BC56-92CC366EF542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Formulas!$E$287:$E$289</c:f>
              <c:numCache>
                <c:formatCode>#,##0;\-#,##0;;@</c:formatCode>
                <c:ptCount val="3"/>
                <c:pt idx="0" formatCode="#,##0.0;\-#,##0.0;;@">
                  <c:v>41.520550799634421</c:v>
                </c:pt>
                <c:pt idx="1">
                  <c:v>2</c:v>
                </c:pt>
                <c:pt idx="2">
                  <c:v>156.47944920036559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E6-47EA-BC56-92CC366EF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Formulas!$B$290</c:f>
              <c:strCache>
                <c:ptCount val="1"/>
                <c:pt idx="0">
                  <c:v>Return on Assets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27-4633-BDC3-C5CD6AF7FF5F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27-4633-BDC3-C5CD6AF7FF5F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27-4633-BDC3-C5CD6AF7FF5F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Formulas!$D$291:$D$293</c:f>
              <c:numCache>
                <c:formatCode>#,##0;\-#,##0;;@</c:formatCode>
                <c:ptCount val="3"/>
                <c:pt idx="0" formatCode="#,##0.0;\-#,##0.0;;@">
                  <c:v>25.484438806942912</c:v>
                </c:pt>
                <c:pt idx="1">
                  <c:v>74.515561193057096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27-4633-BDC3-C5CD6AF7F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49934190669693"/>
          <c:y val="0.57927518104352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Formulas!$C$290</c:f>
              <c:strCache>
                <c:ptCount val="1"/>
                <c:pt idx="0">
                  <c:v>25.5%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EE-4E4E-A87B-DB5F63F058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6EE-4E4E-A87B-DB5F63F0587E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6EE-4E4E-A87B-DB5F63F0587E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Formulas!$E$291:$E$293</c:f>
              <c:numCache>
                <c:formatCode>#,##0;\-#,##0;;@</c:formatCode>
                <c:ptCount val="3"/>
                <c:pt idx="0" formatCode="#,##0.0;\-#,##0.0;;@">
                  <c:v>25.484438806942912</c:v>
                </c:pt>
                <c:pt idx="1">
                  <c:v>2</c:v>
                </c:pt>
                <c:pt idx="2">
                  <c:v>172.5155611930571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EE-4E4E-A87B-DB5F63F05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Variance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Formulas!$F$156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Formulas!$F$157:$F$160</c:f>
              <c:numCache>
                <c:formatCode>#,##0;\-#,##0;;@</c:formatCode>
                <c:ptCount val="4"/>
                <c:pt idx="0">
                  <c:v>36050</c:v>
                </c:pt>
                <c:pt idx="1">
                  <c:v>18926.25</c:v>
                </c:pt>
                <c:pt idx="2">
                  <c:v>9440.8166666666675</c:v>
                </c:pt>
                <c:pt idx="3">
                  <c:v>2125.0618305121525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E-4225-83CB-1DA4C52367C7}"/>
            </c:ext>
          </c:extLst>
        </c:ser>
        <c:ser>
          <c:idx val="3"/>
          <c:order val="3"/>
          <c:tx>
            <c:strRef>
              <c:f>Formulas!$G$156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Formulas!$G$157:$G$160</c:f>
              <c:numCache>
                <c:formatCode>#,##0;\-#,##0;;@</c:formatCode>
                <c:ptCount val="4"/>
                <c:pt idx="0">
                  <c:v>8950</c:v>
                </c:pt>
                <c:pt idx="1">
                  <c:v>9073.75</c:v>
                </c:pt>
                <c:pt idx="2">
                  <c:v>1809.1833333333325</c:v>
                </c:pt>
                <c:pt idx="3">
                  <c:v>24.938169487847517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0E-4225-83CB-1DA4C52367C7}"/>
            </c:ext>
          </c:extLst>
        </c:ser>
        <c:ser>
          <c:idx val="4"/>
          <c:order val="4"/>
          <c:tx>
            <c:strRef>
              <c:f>Formulas!$H$156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Formulas!$H$157:$H$160</c:f>
              <c:numCache>
                <c:formatCode>#,##0;\-#,##0;;@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0E-4225-83CB-1DA4C5236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25917808"/>
        <c:axId val="625933648"/>
      </c:barChart>
      <c:barChart>
        <c:barDir val="col"/>
        <c:grouping val="clustered"/>
        <c:varyColors val="0"/>
        <c:ser>
          <c:idx val="0"/>
          <c:order val="0"/>
          <c:tx>
            <c:strRef>
              <c:f>Formulas!$C$156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Variance!$D$35:$D$38</c:f>
              <c:strCache>
                <c:ptCount val="4"/>
                <c:pt idx="0">
                  <c:v>Revenue</c:v>
                </c:pt>
                <c:pt idx="1">
                  <c:v>COGS</c:v>
                </c:pt>
                <c:pt idx="2">
                  <c:v>Opex</c:v>
                </c:pt>
                <c:pt idx="3">
                  <c:v>Interest &amp; Taxes</c:v>
                </c:pt>
              </c:strCache>
            </c:strRef>
          </c:cat>
          <c:val>
            <c:numRef>
              <c:f>Formulas!$C$157:$C$160</c:f>
              <c:numCache>
                <c:formatCode>#,##0;\-#,##0;;@</c:formatCode>
                <c:ptCount val="4"/>
                <c:pt idx="0">
                  <c:v>45000</c:v>
                </c:pt>
                <c:pt idx="1">
                  <c:v>28000</c:v>
                </c:pt>
                <c:pt idx="2">
                  <c:v>11250</c:v>
                </c:pt>
                <c:pt idx="3">
                  <c:v>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5-4681-94DA-41AA51A7A229}"/>
            </c:ext>
          </c:extLst>
        </c:ser>
        <c:ser>
          <c:idx val="1"/>
          <c:order val="1"/>
          <c:tx>
            <c:strRef>
              <c:f>Formulas!$D$156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Variance!$D$35:$D$38</c:f>
              <c:strCache>
                <c:ptCount val="4"/>
                <c:pt idx="0">
                  <c:v>Revenue</c:v>
                </c:pt>
                <c:pt idx="1">
                  <c:v>COGS</c:v>
                </c:pt>
                <c:pt idx="2">
                  <c:v>Opex</c:v>
                </c:pt>
                <c:pt idx="3">
                  <c:v>Interest &amp; Taxes</c:v>
                </c:pt>
              </c:strCache>
            </c:strRef>
          </c:cat>
          <c:val>
            <c:numRef>
              <c:f>Formulas!$D$157:$D$160</c:f>
              <c:numCache>
                <c:formatCode>#,##0;\-#,##0;;@</c:formatCode>
                <c:ptCount val="4"/>
                <c:pt idx="0">
                  <c:v>36050</c:v>
                </c:pt>
                <c:pt idx="1">
                  <c:v>18926.25</c:v>
                </c:pt>
                <c:pt idx="2">
                  <c:v>9440.8166666666675</c:v>
                </c:pt>
                <c:pt idx="3">
                  <c:v>2125.0618305121525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D5-4681-94DA-41AA51A7A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40440656"/>
        <c:axId val="840459376"/>
      </c:barChart>
      <c:catAx>
        <c:axId val="62591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33648"/>
        <c:crosses val="autoZero"/>
        <c:auto val="1"/>
        <c:lblAlgn val="ctr"/>
        <c:lblOffset val="100"/>
        <c:noMultiLvlLbl val="0"/>
      </c:catAx>
      <c:valAx>
        <c:axId val="625933648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17808"/>
        <c:crosses val="autoZero"/>
        <c:crossBetween val="between"/>
      </c:valAx>
      <c:valAx>
        <c:axId val="840459376"/>
        <c:scaling>
          <c:orientation val="minMax"/>
        </c:scaling>
        <c:delete val="0"/>
        <c:axPos val="r"/>
        <c:numFmt formatCode="#,##0;\-#,##0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440656"/>
        <c:crosses val="max"/>
        <c:crossBetween val="between"/>
      </c:valAx>
      <c:catAx>
        <c:axId val="840440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0459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Breakeven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Formulas!$C$187</c:f>
              <c:strCache>
                <c:ptCount val="1"/>
                <c:pt idx="0">
                  <c:v>Revenue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  <a:tailEnd type="triangle"/>
            </a:ln>
            <a:effectLst/>
          </c:spPr>
          <c:marker>
            <c:symbol val="none"/>
          </c:marker>
          <c:cat>
            <c:numRef>
              <c:f>Formulas!$B$188:$B$203</c:f>
              <c:numCache>
                <c:formatCode>#,##0;\-#,##0;;@</c:formatCode>
                <c:ptCount val="16"/>
                <c:pt idx="0">
                  <c:v>0</c:v>
                </c:pt>
                <c:pt idx="1">
                  <c:v>120</c:v>
                </c:pt>
                <c:pt idx="2">
                  <c:v>230</c:v>
                </c:pt>
                <c:pt idx="3">
                  <c:v>340</c:v>
                </c:pt>
                <c:pt idx="4">
                  <c:v>450</c:v>
                </c:pt>
                <c:pt idx="5">
                  <c:v>560</c:v>
                </c:pt>
                <c:pt idx="6">
                  <c:v>670</c:v>
                </c:pt>
                <c:pt idx="7">
                  <c:v>780</c:v>
                </c:pt>
                <c:pt idx="8">
                  <c:v>900</c:v>
                </c:pt>
                <c:pt idx="9">
                  <c:v>1010</c:v>
                </c:pt>
                <c:pt idx="10">
                  <c:v>1120</c:v>
                </c:pt>
                <c:pt idx="11">
                  <c:v>1230</c:v>
                </c:pt>
                <c:pt idx="12">
                  <c:v>1340</c:v>
                </c:pt>
                <c:pt idx="13">
                  <c:v>1450</c:v>
                </c:pt>
                <c:pt idx="14">
                  <c:v>1560</c:v>
                </c:pt>
                <c:pt idx="15">
                  <c:v>1669.5</c:v>
                </c:pt>
              </c:numCache>
            </c:numRef>
          </c:cat>
          <c:val>
            <c:numRef>
              <c:f>Formulas!$C$188:$C$203</c:f>
              <c:numCache>
                <c:formatCode>#,##0;\-#,##0;;@</c:formatCode>
                <c:ptCount val="16"/>
                <c:pt idx="0">
                  <c:v>0</c:v>
                </c:pt>
                <c:pt idx="1">
                  <c:v>35560</c:v>
                </c:pt>
                <c:pt idx="2">
                  <c:v>68156.666666666657</c:v>
                </c:pt>
                <c:pt idx="3">
                  <c:v>100753.33333333333</c:v>
                </c:pt>
                <c:pt idx="4">
                  <c:v>133350</c:v>
                </c:pt>
                <c:pt idx="5">
                  <c:v>165946.66666666666</c:v>
                </c:pt>
                <c:pt idx="6">
                  <c:v>198543.33333333331</c:v>
                </c:pt>
                <c:pt idx="7">
                  <c:v>231139.99999999997</c:v>
                </c:pt>
                <c:pt idx="8">
                  <c:v>266700</c:v>
                </c:pt>
                <c:pt idx="9">
                  <c:v>299296.66666666663</c:v>
                </c:pt>
                <c:pt idx="10">
                  <c:v>331893.33333333331</c:v>
                </c:pt>
                <c:pt idx="11">
                  <c:v>364490</c:v>
                </c:pt>
                <c:pt idx="12">
                  <c:v>397086.66666666663</c:v>
                </c:pt>
                <c:pt idx="13">
                  <c:v>429683.33333333331</c:v>
                </c:pt>
                <c:pt idx="14">
                  <c:v>462279.99999999994</c:v>
                </c:pt>
                <c:pt idx="15">
                  <c:v>494728.49999999994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49-475A-A251-420012A166B8}"/>
            </c:ext>
          </c:extLst>
        </c:ser>
        <c:ser>
          <c:idx val="3"/>
          <c:order val="1"/>
          <c:tx>
            <c:strRef>
              <c:f>Formulas!$D$187</c:f>
              <c:strCache>
                <c:ptCount val="1"/>
                <c:pt idx="0">
                  <c:v>Fixed Cost</c:v>
                </c:pt>
              </c:strCache>
            </c:strRef>
          </c:tx>
          <c:spPr>
            <a:ln w="22225" cap="rnd" cmpd="sng" algn="ctr">
              <a:solidFill>
                <a:schemeClr val="accent4">
                  <a:tint val="58000"/>
                </a:schemeClr>
              </a:solidFill>
              <a:round/>
              <a:tailEnd type="triangle"/>
            </a:ln>
            <a:effectLst/>
          </c:spPr>
          <c:marker>
            <c:symbol val="none"/>
          </c:marker>
          <c:cat>
            <c:numRef>
              <c:f>Formulas!$B$188:$B$203</c:f>
              <c:numCache>
                <c:formatCode>#,##0;\-#,##0;;@</c:formatCode>
                <c:ptCount val="16"/>
                <c:pt idx="0">
                  <c:v>0</c:v>
                </c:pt>
                <c:pt idx="1">
                  <c:v>120</c:v>
                </c:pt>
                <c:pt idx="2">
                  <c:v>230</c:v>
                </c:pt>
                <c:pt idx="3">
                  <c:v>340</c:v>
                </c:pt>
                <c:pt idx="4">
                  <c:v>450</c:v>
                </c:pt>
                <c:pt idx="5">
                  <c:v>560</c:v>
                </c:pt>
                <c:pt idx="6">
                  <c:v>670</c:v>
                </c:pt>
                <c:pt idx="7">
                  <c:v>780</c:v>
                </c:pt>
                <c:pt idx="8">
                  <c:v>900</c:v>
                </c:pt>
                <c:pt idx="9">
                  <c:v>1010</c:v>
                </c:pt>
                <c:pt idx="10">
                  <c:v>1120</c:v>
                </c:pt>
                <c:pt idx="11">
                  <c:v>1230</c:v>
                </c:pt>
                <c:pt idx="12">
                  <c:v>1340</c:v>
                </c:pt>
                <c:pt idx="13">
                  <c:v>1450</c:v>
                </c:pt>
                <c:pt idx="14">
                  <c:v>1560</c:v>
                </c:pt>
                <c:pt idx="15">
                  <c:v>1669.5</c:v>
                </c:pt>
              </c:numCache>
            </c:numRef>
          </c:cat>
          <c:val>
            <c:numRef>
              <c:f>Formulas!$D$188:$D$203</c:f>
              <c:numCache>
                <c:formatCode>#,##0;\-#,##0;;@</c:formatCode>
                <c:ptCount val="16"/>
                <c:pt idx="0">
                  <c:v>85000</c:v>
                </c:pt>
                <c:pt idx="1">
                  <c:v>85000</c:v>
                </c:pt>
                <c:pt idx="2">
                  <c:v>85000</c:v>
                </c:pt>
                <c:pt idx="3">
                  <c:v>85000</c:v>
                </c:pt>
                <c:pt idx="4">
                  <c:v>85000</c:v>
                </c:pt>
                <c:pt idx="5">
                  <c:v>85000</c:v>
                </c:pt>
                <c:pt idx="6">
                  <c:v>85000</c:v>
                </c:pt>
                <c:pt idx="7">
                  <c:v>85000</c:v>
                </c:pt>
                <c:pt idx="8">
                  <c:v>85000</c:v>
                </c:pt>
                <c:pt idx="9">
                  <c:v>85000</c:v>
                </c:pt>
                <c:pt idx="10">
                  <c:v>85000</c:v>
                </c:pt>
                <c:pt idx="11">
                  <c:v>85000</c:v>
                </c:pt>
                <c:pt idx="12">
                  <c:v>85000</c:v>
                </c:pt>
                <c:pt idx="13">
                  <c:v>85000</c:v>
                </c:pt>
                <c:pt idx="14">
                  <c:v>85000</c:v>
                </c:pt>
                <c:pt idx="15">
                  <c:v>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49-475A-A251-420012A166B8}"/>
            </c:ext>
          </c:extLst>
        </c:ser>
        <c:ser>
          <c:idx val="2"/>
          <c:order val="2"/>
          <c:tx>
            <c:strRef>
              <c:f>Formulas!$E$187</c:f>
              <c:strCache>
                <c:ptCount val="1"/>
                <c:pt idx="0">
                  <c:v>F + V</c:v>
                </c:pt>
              </c:strCache>
            </c:strRef>
          </c:tx>
          <c:spPr>
            <a:ln w="22225" cap="rnd" cmpd="sng" algn="ctr">
              <a:solidFill>
                <a:schemeClr val="accent4">
                  <a:tint val="86000"/>
                </a:schemeClr>
              </a:solidFill>
              <a:round/>
              <a:tailEnd type="triangle"/>
            </a:ln>
            <a:effectLst/>
          </c:spPr>
          <c:marker>
            <c:symbol val="none"/>
          </c:marker>
          <c:cat>
            <c:numRef>
              <c:f>Formulas!$B$188:$B$203</c:f>
              <c:numCache>
                <c:formatCode>#,##0;\-#,##0;;@</c:formatCode>
                <c:ptCount val="16"/>
                <c:pt idx="0">
                  <c:v>0</c:v>
                </c:pt>
                <c:pt idx="1">
                  <c:v>120</c:v>
                </c:pt>
                <c:pt idx="2">
                  <c:v>230</c:v>
                </c:pt>
                <c:pt idx="3">
                  <c:v>340</c:v>
                </c:pt>
                <c:pt idx="4">
                  <c:v>450</c:v>
                </c:pt>
                <c:pt idx="5">
                  <c:v>560</c:v>
                </c:pt>
                <c:pt idx="6">
                  <c:v>670</c:v>
                </c:pt>
                <c:pt idx="7">
                  <c:v>780</c:v>
                </c:pt>
                <c:pt idx="8">
                  <c:v>900</c:v>
                </c:pt>
                <c:pt idx="9">
                  <c:v>1010</c:v>
                </c:pt>
                <c:pt idx="10">
                  <c:v>1120</c:v>
                </c:pt>
                <c:pt idx="11">
                  <c:v>1230</c:v>
                </c:pt>
                <c:pt idx="12">
                  <c:v>1340</c:v>
                </c:pt>
                <c:pt idx="13">
                  <c:v>1450</c:v>
                </c:pt>
                <c:pt idx="14">
                  <c:v>1560</c:v>
                </c:pt>
                <c:pt idx="15">
                  <c:v>1669.5</c:v>
                </c:pt>
              </c:numCache>
            </c:numRef>
          </c:cat>
          <c:val>
            <c:numRef>
              <c:f>Formulas!$E$188:$E$203</c:f>
              <c:numCache>
                <c:formatCode>#,##0;\-#,##0;;@</c:formatCode>
                <c:ptCount val="16"/>
                <c:pt idx="0">
                  <c:v>85000</c:v>
                </c:pt>
                <c:pt idx="1">
                  <c:v>106690</c:v>
                </c:pt>
                <c:pt idx="2">
                  <c:v>128380</c:v>
                </c:pt>
                <c:pt idx="3">
                  <c:v>150060</c:v>
                </c:pt>
                <c:pt idx="4">
                  <c:v>171750</c:v>
                </c:pt>
                <c:pt idx="5">
                  <c:v>193440</c:v>
                </c:pt>
                <c:pt idx="6">
                  <c:v>215120</c:v>
                </c:pt>
                <c:pt idx="7">
                  <c:v>236810</c:v>
                </c:pt>
                <c:pt idx="8">
                  <c:v>258490</c:v>
                </c:pt>
                <c:pt idx="9">
                  <c:v>280180</c:v>
                </c:pt>
                <c:pt idx="10">
                  <c:v>301870</c:v>
                </c:pt>
                <c:pt idx="11">
                  <c:v>323550</c:v>
                </c:pt>
                <c:pt idx="12">
                  <c:v>345240</c:v>
                </c:pt>
                <c:pt idx="13">
                  <c:v>366920</c:v>
                </c:pt>
                <c:pt idx="14">
                  <c:v>388610</c:v>
                </c:pt>
                <c:pt idx="15">
                  <c:v>410291.0955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49-475A-A251-420012A16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3000">
                    <a:schemeClr val="accent1"/>
                  </a:gs>
                </a:gsLst>
                <a:lin ang="5400000" scaled="1"/>
              </a:gradFill>
              <a:round/>
            </a:ln>
            <a:effectLst/>
          </c:spPr>
        </c:dropLines>
        <c:smooth val="0"/>
        <c:axId val="639373216"/>
        <c:axId val="639375616"/>
      </c:lineChart>
      <c:catAx>
        <c:axId val="63937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BEP Sales Volume (Units)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-#,##0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75616"/>
        <c:crosses val="autoZero"/>
        <c:auto val="1"/>
        <c:lblAlgn val="ctr"/>
        <c:lblOffset val="100"/>
        <c:noMultiLvlLbl val="0"/>
      </c:catAx>
      <c:valAx>
        <c:axId val="639375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BEP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7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Formulas!$C$206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868-4C79-827B-0142022A78A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68-4C79-827B-0142022A78A8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AA-4160-9FA2-842559C56185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68-4C79-827B-0142022A78A8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Formulas!$C$207:$C$210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60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8-4C79-827B-0142022A7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9696272915403751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Formulas!$D$206</c:f>
              <c:strCache>
                <c:ptCount val="1"/>
                <c:pt idx="0">
                  <c:v>Gross Profit Margin</c:v>
                </c:pt>
              </c:strCache>
            </c:strRef>
          </c:tx>
          <c:spPr>
            <a:ln>
              <a:noFill/>
            </a:ln>
          </c:spPr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18-4BB1-81A5-2D3F5F18729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18-4BB1-81A5-2D3F5F18729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18-4BB1-81A5-2D3F5F18729C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18-4BB1-81A5-2D3F5F18729C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Formulas!$D$207:$D$210</c:f>
              <c:numCache>
                <c:formatCode>#,##0;\-#,##0;;@</c:formatCode>
                <c:ptCount val="4"/>
                <c:pt idx="0" formatCode="_-* #,##0.00_-;\-* #,##0.00_-;_-* &quot;-&quot;_-;_-@_-">
                  <c:v>47.5</c:v>
                </c:pt>
                <c:pt idx="1">
                  <c:v>2</c:v>
                </c:pt>
                <c:pt idx="2" formatCode="#,##0.00;\-#,##0.00;;@">
                  <c:v>50.5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18-4BB1-81A5-2D3F5F187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Formulas!$C$207:$C$210</c:f>
              <c:strCache>
                <c:ptCount val="4"/>
                <c:pt idx="0">
                  <c:v>20</c:v>
                </c:pt>
                <c:pt idx="1">
                  <c:v>20</c:v>
                </c:pt>
                <c:pt idx="2">
                  <c:v>60</c:v>
                </c:pt>
                <c:pt idx="3">
                  <c:v>100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E4-4FD4-9B6B-FA71C2D140C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E4-4FD4-9B6B-FA71C2D140C4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CE4-4FD4-9B6B-FA71C2D140C4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CE4-4FD4-9B6B-FA71C2D140C4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Formulas!$E$207:$E$210</c:f>
              <c:numCache>
                <c:formatCode>#,##0;\-#,##0;;@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80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E4-4FD4-9B6B-FA71C2D14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5319088698766634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Formulas!$F$206</c:f>
              <c:strCache>
                <c:ptCount val="1"/>
                <c:pt idx="0">
                  <c:v>Operating Profit Margin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15-41C6-91E5-317D19569E7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15-41C6-91E5-317D19569E74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815-41C6-91E5-317D19569E74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815-41C6-91E5-317D19569E74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Formulas!$F$207:$F$210</c:f>
              <c:numCache>
                <c:formatCode>#,##0;\-#,##0;;@</c:formatCode>
                <c:ptCount val="4"/>
                <c:pt idx="0">
                  <c:v>21.884476940382452</c:v>
                </c:pt>
                <c:pt idx="1">
                  <c:v>2</c:v>
                </c:pt>
                <c:pt idx="2" formatCode="#,##0.00;\-#,##0.00;;@">
                  <c:v>76.115523059617544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15-41C6-91E5-317D19569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76-4BFF-BC75-ED45ED80378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76-4BFF-BC75-ED45ED803781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76-4BFF-BC75-ED45ED803781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D76-4BFF-BC75-ED45ED803781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Formulas!$G$207:$G$210</c:f>
              <c:numCache>
                <c:formatCode>#,##0;\-#,##0;;@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85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76-4BFF-BC75-ED45ED803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928782908439074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Formulas!$H$206</c:f>
              <c:strCache>
                <c:ptCount val="1"/>
                <c:pt idx="0">
                  <c:v>Net Profit Margin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0C-4040-B05C-351C79F7AE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0C-4040-B05C-351C79F7AE6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0C-4040-B05C-351C79F7AE6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30C-4040-B05C-351C79F7AE67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Formulas!$H$207:$H$210</c:f>
              <c:numCache>
                <c:formatCode>#,##0;\-#,##0;;@</c:formatCode>
                <c:ptCount val="4"/>
                <c:pt idx="0">
                  <c:v>15.879220938221062</c:v>
                </c:pt>
                <c:pt idx="1">
                  <c:v>2</c:v>
                </c:pt>
                <c:pt idx="2" formatCode="#,##0.00;\-#,##0.00;;@">
                  <c:v>82.120779061778933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0C-4040-B05C-351C79F7A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40-47AA-AD7F-4CF5D4589E6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40-47AA-AD7F-4CF5D4589E68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40-47AA-AD7F-4CF5D4589E68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240-47AA-AD7F-4CF5D4589E68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Formulas!$I$207:$I$210</c:f>
              <c:numCache>
                <c:formatCode>#,##0;\-#,##0;;@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70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40-47AA-AD7F-4CF5D4589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635608007316369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Formulas!$J$206</c:f>
              <c:strCache>
                <c:ptCount val="1"/>
                <c:pt idx="0">
                  <c:v>Current Ratio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C5-4962-9881-16AC172052E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C5-4962-9881-16AC172052E4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C5-4962-9881-16AC172052E4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0C5-4962-9881-16AC172052E4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Formulas!$J$207:$J$210</c:f>
              <c:numCache>
                <c:formatCode>#,##0;\-#,##0;;@</c:formatCode>
                <c:ptCount val="4"/>
                <c:pt idx="0">
                  <c:v>50.604349733659021</c:v>
                </c:pt>
                <c:pt idx="1">
                  <c:v>2</c:v>
                </c:pt>
                <c:pt idx="2" formatCode="#,##0.00;\-#,##0.00;;@">
                  <c:v>47.395650266340979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C5-4962-9881-16AC17205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48-49EB-B4E4-D40772473D9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48-49EB-B4E4-D40772473D95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48-49EB-B4E4-D40772473D95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A48-49EB-B4E4-D40772473D95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Formulas!$K$207:$K$210</c:f>
              <c:numCache>
                <c:formatCode>#,##0;\-#,##0;;@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85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48-49EB-B4E4-D40772473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396521996410624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Formulas!$L$206</c:f>
              <c:strCache>
                <c:ptCount val="1"/>
                <c:pt idx="0">
                  <c:v>Quick Ratio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37-48D9-A185-D9CE23FE01B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37-48D9-A185-D9CE23FE01B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637-48D9-A185-D9CE23FE01B2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637-48D9-A185-D9CE23FE01B2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Formulas!$L$207:$L$210</c:f>
              <c:numCache>
                <c:formatCode>#,##0;\-#,##0;;@</c:formatCode>
                <c:ptCount val="4"/>
                <c:pt idx="0">
                  <c:v>42.607864672147599</c:v>
                </c:pt>
                <c:pt idx="1">
                  <c:v>2</c:v>
                </c:pt>
                <c:pt idx="2" formatCode="#,##0.00;\-#,##0.00;;@">
                  <c:v>55.392135327852401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37-48D9-A185-D9CE23FE0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32-4784-B78F-1A22FE9BABC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32-4784-B78F-1A22FE9BABC7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32-4784-B78F-1A22FE9BABC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632-4784-B78F-1A22FE9BABC7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Formulas!$M$207:$M$210</c:f>
              <c:numCache>
                <c:formatCode>#,##0;\-#,##0;;@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85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32-4784-B78F-1A22FE9BA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9512815907534531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Formulas!$N$206</c:f>
              <c:strCache>
                <c:ptCount val="1"/>
                <c:pt idx="0">
                  <c:v>Operating Cash Flow Ratio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B6-4130-AAAC-F99FB0F317D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B6-4130-AAAC-F99FB0F317D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DB6-4130-AAAC-F99FB0F317DC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DB6-4130-AAAC-F99FB0F317DC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Formulas!$N$207:$N$210</c:f>
              <c:numCache>
                <c:formatCode>#,##0;\-#,##0;;@</c:formatCode>
                <c:ptCount val="4"/>
                <c:pt idx="0">
                  <c:v>7.6598219760455954</c:v>
                </c:pt>
                <c:pt idx="1">
                  <c:v>2</c:v>
                </c:pt>
                <c:pt idx="2" formatCode="#,##0.00;\-#,##0.00;;@">
                  <c:v>90.340178023954408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DB6-4130-AAAC-F99FB0F31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Ratios!$C$24</c:f>
              <c:strCache>
                <c:ptCount val="1"/>
                <c:pt idx="0">
                  <c:v>Days Inventory Outstanding (DIO)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Formulas!$C$229:$L$229</c:f>
              <c:numCache>
                <c:formatCode>#,##0;\-#,##0;;@</c:formatCode>
                <c:ptCount val="1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75</c:v>
                </c:pt>
                <c:pt idx="7">
                  <c:v>75</c:v>
                </c:pt>
                <c:pt idx="8">
                  <c:v>80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AA-41AA-8A43-2B3135E226BF}"/>
            </c:ext>
          </c:extLst>
        </c:ser>
        <c:ser>
          <c:idx val="0"/>
          <c:order val="1"/>
          <c:tx>
            <c:strRef>
              <c:f>Ratios!$C$22</c:f>
              <c:strCache>
                <c:ptCount val="1"/>
                <c:pt idx="0">
                  <c:v>Days Sales Outstanding (DSO)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Formulas!$C$227:$L$227</c:f>
              <c:numCache>
                <c:formatCode>#,##0;\-#,##0;;@</c:formatCode>
                <c:ptCount val="1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A-41AA-8A43-2B3135E226BF}"/>
            </c:ext>
          </c:extLst>
        </c:ser>
        <c:ser>
          <c:idx val="1"/>
          <c:order val="2"/>
          <c:tx>
            <c:strRef>
              <c:f>Ratios!$C$23</c:f>
              <c:strCache>
                <c:ptCount val="1"/>
                <c:pt idx="0">
                  <c:v>Days Payable Outstanding (DPO)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Formulas!$C$228:$L$228</c:f>
              <c:numCache>
                <c:formatCode>#,##0;\-#,##0;;@</c:formatCode>
                <c:ptCount val="10"/>
                <c:pt idx="0">
                  <c:v>50.000000000000007</c:v>
                </c:pt>
                <c:pt idx="1">
                  <c:v>50.000000000000007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A-41AA-8A43-2B3135E22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015935"/>
        <c:axId val="80013055"/>
      </c:barChart>
      <c:lineChart>
        <c:grouping val="standard"/>
        <c:varyColors val="0"/>
        <c:ser>
          <c:idx val="3"/>
          <c:order val="3"/>
          <c:tx>
            <c:strRef>
              <c:f>Ratios!$C$25</c:f>
              <c:strCache>
                <c:ptCount val="1"/>
                <c:pt idx="0">
                  <c:v>Cash Conversion Cycle</c:v>
                </c:pt>
              </c:strCache>
            </c:strRef>
          </c:tx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58000"/>
                </a:schemeClr>
              </a:solidFill>
              <a:ln w="9525">
                <a:solidFill>
                  <a:schemeClr val="accent4">
                    <a:tint val="58000"/>
                  </a:schemeClr>
                </a:solidFill>
              </a:ln>
              <a:effectLst/>
            </c:spPr>
          </c:marker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Formulas!$C$230:$L$230</c:f>
              <c:numCache>
                <c:formatCode>#,##0;\-#,##0;;@</c:formatCode>
                <c:ptCount val="10"/>
                <c:pt idx="0">
                  <c:v>54.999999999999993</c:v>
                </c:pt>
                <c:pt idx="1">
                  <c:v>54.999999999999993</c:v>
                </c:pt>
                <c:pt idx="2">
                  <c:v>55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65</c:v>
                </c:pt>
                <c:pt idx="7">
                  <c:v>65</c:v>
                </c:pt>
                <c:pt idx="8">
                  <c:v>70</c:v>
                </c:pt>
                <c:pt idx="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AA-41AA-8A43-2B3135E22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935"/>
        <c:axId val="80013055"/>
      </c:lineChart>
      <c:catAx>
        <c:axId val="80015935"/>
        <c:scaling>
          <c:orientation val="minMax"/>
        </c:scaling>
        <c:delete val="0"/>
        <c:axPos val="b"/>
        <c:numFmt formatCode="0;\-0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3055"/>
        <c:crosses val="autoZero"/>
        <c:auto val="1"/>
        <c:lblAlgn val="ctr"/>
        <c:lblOffset val="100"/>
        <c:noMultiLvlLbl val="0"/>
      </c:catAx>
      <c:valAx>
        <c:axId val="80013055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Ratios!$C$29</c:f>
              <c:strCache>
                <c:ptCount val="1"/>
                <c:pt idx="0">
                  <c:v>Shareholder Equity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Formulas!$C$234:$L$234</c:f>
              <c:numCache>
                <c:formatCode>0.0%</c:formatCode>
                <c:ptCount val="10"/>
                <c:pt idx="0">
                  <c:v>0.61377891950237085</c:v>
                </c:pt>
                <c:pt idx="1">
                  <c:v>0.65415163401857035</c:v>
                </c:pt>
                <c:pt idx="2">
                  <c:v>0.70876710648542784</c:v>
                </c:pt>
                <c:pt idx="3">
                  <c:v>0.75796310795157773</c:v>
                </c:pt>
                <c:pt idx="4">
                  <c:v>0.79644296607303044</c:v>
                </c:pt>
                <c:pt idx="5">
                  <c:v>0.83674179480137689</c:v>
                </c:pt>
                <c:pt idx="6">
                  <c:v>0.86257500907876028</c:v>
                </c:pt>
                <c:pt idx="7">
                  <c:v>0.88621374424160737</c:v>
                </c:pt>
                <c:pt idx="8">
                  <c:v>0.90370274686925278</c:v>
                </c:pt>
                <c:pt idx="9">
                  <c:v>0.91852215313505781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8-442A-8C19-581F3502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015455"/>
        <c:axId val="577990719"/>
      </c:barChart>
      <c:lineChart>
        <c:grouping val="standard"/>
        <c:varyColors val="0"/>
        <c:ser>
          <c:idx val="1"/>
          <c:order val="1"/>
          <c:tx>
            <c:strRef>
              <c:f>Ratios!$C$30</c:f>
              <c:strCache>
                <c:ptCount val="1"/>
                <c:pt idx="0">
                  <c:v>Debt-to-Total Assets Ratio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Formulas!$C$235:$L$235</c:f>
              <c:numCache>
                <c:formatCode>0.0%</c:formatCode>
                <c:ptCount val="10"/>
                <c:pt idx="0">
                  <c:v>0.19858059482167817</c:v>
                </c:pt>
                <c:pt idx="1">
                  <c:v>0.15593209300004285</c:v>
                </c:pt>
                <c:pt idx="2">
                  <c:v>0.12181337688802012</c:v>
                </c:pt>
                <c:pt idx="3">
                  <c:v>9.3378098974303977E-2</c:v>
                </c:pt>
                <c:pt idx="4">
                  <c:v>7.1083036418971193E-2</c:v>
                </c:pt>
                <c:pt idx="5">
                  <c:v>5.3482527229386019E-2</c:v>
                </c:pt>
                <c:pt idx="6">
                  <c:v>3.9126514516469847E-2</c:v>
                </c:pt>
                <c:pt idx="7">
                  <c:v>2.752983854021997E-2</c:v>
                </c:pt>
                <c:pt idx="8">
                  <c:v>1.8303466435482443E-2</c:v>
                </c:pt>
                <c:pt idx="9">
                  <c:v>1.0888196922336031E-2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8-442A-8C19-581F3502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455"/>
        <c:axId val="577990719"/>
      </c:lineChart>
      <c:catAx>
        <c:axId val="80015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90719"/>
        <c:crosses val="autoZero"/>
        <c:auto val="1"/>
        <c:lblAlgn val="ctr"/>
        <c:lblOffset val="100"/>
        <c:noMultiLvlLbl val="0"/>
      </c:catAx>
      <c:valAx>
        <c:axId val="57799071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_xlchart.v1.2</cx:f>
      </cx:numDim>
    </cx:data>
  </cx:chartData>
  <cx:chart>
    <cx:title pos="t" align="ctr" overlay="0">
      <cx:tx>
        <cx:txData>
          <cx:v>Cumulative CashFlow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ptos Narrow" panose="02110004020202020204"/>
            </a:rPr>
            <a:t>Cumulative CashFlow</a:t>
          </a:r>
        </a:p>
      </cx:txPr>
    </cx:title>
    <cx:plotArea>
      <cx:plotAreaRegion>
        <cx:series layoutId="waterfall" uniqueId="{43F96A80-B05E-4C33-AEF2-767830395D58}" formatIdx="1">
          <cx:tx>
            <cx:txData>
              <cx:f>_xlchart.v1.0</cx:f>
              <cx:v>Cumulative CashFlow</cx:v>
            </cx:txData>
          </cx:tx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ID">
              <a:solidFill>
                <a:schemeClr val="bg1"/>
              </a:solidFill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ID">
              <a:solidFill>
                <a:schemeClr val="bg1"/>
              </a:solidFill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bg1"/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endParaRPr lang="en-ID">
            <a:solidFill>
              <a:schemeClr val="bg1"/>
            </a:solidFill>
          </a:endParaRPr>
        </a:p>
      </cx:txPr>
    </cx:legend>
  </cx:chart>
  <cx:spPr>
    <a:solidFill>
      <a:schemeClr val="accent1"/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8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Revenue!A1"/><Relationship Id="rId13" Type="http://schemas.openxmlformats.org/officeDocument/2006/relationships/hyperlink" Target="#Breakeven!A1"/><Relationship Id="rId3" Type="http://schemas.openxmlformats.org/officeDocument/2006/relationships/chart" Target="../charts/chart2.xml"/><Relationship Id="rId7" Type="http://schemas.openxmlformats.org/officeDocument/2006/relationships/hyperlink" Target="#Dashboard!A1"/><Relationship Id="rId12" Type="http://schemas.openxmlformats.org/officeDocument/2006/relationships/hyperlink" Target="#'Annual Forecast'!A1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hyperlink" Target="#Valuation!A1"/><Relationship Id="rId11" Type="http://schemas.openxmlformats.org/officeDocument/2006/relationships/hyperlink" Target="#Variance!A1"/><Relationship Id="rId5" Type="http://schemas.openxmlformats.org/officeDocument/2006/relationships/hyperlink" Target="#'Actual FS'!A1"/><Relationship Id="rId10" Type="http://schemas.openxmlformats.org/officeDocument/2006/relationships/hyperlink" Target="#'12-Month Projection'!A1"/><Relationship Id="rId4" Type="http://schemas.openxmlformats.org/officeDocument/2006/relationships/hyperlink" Target="#Summary!A1"/><Relationship Id="rId9" Type="http://schemas.openxmlformats.org/officeDocument/2006/relationships/hyperlink" Target="#Scenario!A1"/><Relationship Id="rId14" Type="http://schemas.openxmlformats.org/officeDocument/2006/relationships/hyperlink" Target="#Ratio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12-Month Projection'!A1"/><Relationship Id="rId3" Type="http://schemas.openxmlformats.org/officeDocument/2006/relationships/hyperlink" Target="#'Actual FS'!A1"/><Relationship Id="rId7" Type="http://schemas.openxmlformats.org/officeDocument/2006/relationships/hyperlink" Target="#Scenario!A1"/><Relationship Id="rId12" Type="http://schemas.openxmlformats.org/officeDocument/2006/relationships/hyperlink" Target="#Ratios!A1"/><Relationship Id="rId2" Type="http://schemas.openxmlformats.org/officeDocument/2006/relationships/hyperlink" Target="#Summary!A1"/><Relationship Id="rId1" Type="http://schemas.openxmlformats.org/officeDocument/2006/relationships/chart" Target="../charts/chart3.xml"/><Relationship Id="rId6" Type="http://schemas.openxmlformats.org/officeDocument/2006/relationships/hyperlink" Target="#Revenue!A1"/><Relationship Id="rId11" Type="http://schemas.openxmlformats.org/officeDocument/2006/relationships/hyperlink" Target="#Breakeven!A1"/><Relationship Id="rId5" Type="http://schemas.openxmlformats.org/officeDocument/2006/relationships/hyperlink" Target="#Dashboard!A1"/><Relationship Id="rId10" Type="http://schemas.openxmlformats.org/officeDocument/2006/relationships/hyperlink" Target="#'Annual Forecast'!A1"/><Relationship Id="rId4" Type="http://schemas.openxmlformats.org/officeDocument/2006/relationships/hyperlink" Target="#Valuation!A1"/><Relationship Id="rId9" Type="http://schemas.openxmlformats.org/officeDocument/2006/relationships/hyperlink" Target="#Variance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18" Type="http://schemas.openxmlformats.org/officeDocument/2006/relationships/hyperlink" Target="#Summary!A1"/><Relationship Id="rId26" Type="http://schemas.openxmlformats.org/officeDocument/2006/relationships/hyperlink" Target="#'Annual Forecast'!A1"/><Relationship Id="rId3" Type="http://schemas.openxmlformats.org/officeDocument/2006/relationships/chart" Target="../charts/chart6.xml"/><Relationship Id="rId21" Type="http://schemas.openxmlformats.org/officeDocument/2006/relationships/hyperlink" Target="#Dashboard!A1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5" Type="http://schemas.openxmlformats.org/officeDocument/2006/relationships/hyperlink" Target="#Variance!A1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hyperlink" Target="#Valuation!A1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24" Type="http://schemas.openxmlformats.org/officeDocument/2006/relationships/hyperlink" Target="#'12-Month Projection'!A1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23" Type="http://schemas.openxmlformats.org/officeDocument/2006/relationships/hyperlink" Target="#Scenario!A1"/><Relationship Id="rId28" Type="http://schemas.openxmlformats.org/officeDocument/2006/relationships/hyperlink" Target="#Ratios!A1"/><Relationship Id="rId10" Type="http://schemas.openxmlformats.org/officeDocument/2006/relationships/chart" Target="../charts/chart13.xml"/><Relationship Id="rId19" Type="http://schemas.openxmlformats.org/officeDocument/2006/relationships/hyperlink" Target="#'Actual FS'!A1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Relationship Id="rId22" Type="http://schemas.openxmlformats.org/officeDocument/2006/relationships/hyperlink" Target="#Revenue!A1"/><Relationship Id="rId27" Type="http://schemas.openxmlformats.org/officeDocument/2006/relationships/hyperlink" Target="#Breakeven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12-Month Projection'!A1"/><Relationship Id="rId3" Type="http://schemas.openxmlformats.org/officeDocument/2006/relationships/hyperlink" Target="#'Actual FS'!A1"/><Relationship Id="rId7" Type="http://schemas.openxmlformats.org/officeDocument/2006/relationships/hyperlink" Target="#Scenario!A1"/><Relationship Id="rId12" Type="http://schemas.openxmlformats.org/officeDocument/2006/relationships/hyperlink" Target="#Ratios!A1"/><Relationship Id="rId2" Type="http://schemas.openxmlformats.org/officeDocument/2006/relationships/hyperlink" Target="#Summary!A1"/><Relationship Id="rId1" Type="http://schemas.openxmlformats.org/officeDocument/2006/relationships/chart" Target="../charts/chart21.xml"/><Relationship Id="rId6" Type="http://schemas.openxmlformats.org/officeDocument/2006/relationships/hyperlink" Target="#Revenue!A1"/><Relationship Id="rId11" Type="http://schemas.openxmlformats.org/officeDocument/2006/relationships/hyperlink" Target="#Breakeven!A1"/><Relationship Id="rId5" Type="http://schemas.openxmlformats.org/officeDocument/2006/relationships/hyperlink" Target="#Dashboard!A1"/><Relationship Id="rId10" Type="http://schemas.openxmlformats.org/officeDocument/2006/relationships/hyperlink" Target="#'Annual Forecast'!A1"/><Relationship Id="rId4" Type="http://schemas.openxmlformats.org/officeDocument/2006/relationships/hyperlink" Target="#Valuation!A1"/><Relationship Id="rId9" Type="http://schemas.openxmlformats.org/officeDocument/2006/relationships/hyperlink" Target="#Variance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'12-Month Projection'!A1"/><Relationship Id="rId3" Type="http://schemas.openxmlformats.org/officeDocument/2006/relationships/hyperlink" Target="#'Actual FS'!A1"/><Relationship Id="rId7" Type="http://schemas.openxmlformats.org/officeDocument/2006/relationships/hyperlink" Target="#Scenario!A1"/><Relationship Id="rId12" Type="http://schemas.openxmlformats.org/officeDocument/2006/relationships/hyperlink" Target="#Ratios!A1"/><Relationship Id="rId2" Type="http://schemas.openxmlformats.org/officeDocument/2006/relationships/hyperlink" Target="#Summary!A1"/><Relationship Id="rId1" Type="http://schemas.openxmlformats.org/officeDocument/2006/relationships/chart" Target="../charts/chart22.xml"/><Relationship Id="rId6" Type="http://schemas.openxmlformats.org/officeDocument/2006/relationships/hyperlink" Target="#Revenue!A1"/><Relationship Id="rId11" Type="http://schemas.openxmlformats.org/officeDocument/2006/relationships/hyperlink" Target="#Breakeven!A1"/><Relationship Id="rId5" Type="http://schemas.openxmlformats.org/officeDocument/2006/relationships/hyperlink" Target="#Dashboard!A1"/><Relationship Id="rId10" Type="http://schemas.openxmlformats.org/officeDocument/2006/relationships/hyperlink" Target="#'Annual Forecast'!A1"/><Relationship Id="rId4" Type="http://schemas.openxmlformats.org/officeDocument/2006/relationships/hyperlink" Target="#Valuation!A1"/><Relationship Id="rId9" Type="http://schemas.openxmlformats.org/officeDocument/2006/relationships/hyperlink" Target="#Variance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13" Type="http://schemas.openxmlformats.org/officeDocument/2006/relationships/chart" Target="../charts/chart35.xml"/><Relationship Id="rId18" Type="http://schemas.openxmlformats.org/officeDocument/2006/relationships/hyperlink" Target="#Dashboard!A1"/><Relationship Id="rId3" Type="http://schemas.openxmlformats.org/officeDocument/2006/relationships/chart" Target="../charts/chart25.xml"/><Relationship Id="rId21" Type="http://schemas.openxmlformats.org/officeDocument/2006/relationships/hyperlink" Target="#'12-Month Projection'!A1"/><Relationship Id="rId7" Type="http://schemas.openxmlformats.org/officeDocument/2006/relationships/chart" Target="../charts/chart29.xml"/><Relationship Id="rId12" Type="http://schemas.openxmlformats.org/officeDocument/2006/relationships/chart" Target="../charts/chart34.xml"/><Relationship Id="rId17" Type="http://schemas.openxmlformats.org/officeDocument/2006/relationships/hyperlink" Target="#Valuation!A1"/><Relationship Id="rId25" Type="http://schemas.openxmlformats.org/officeDocument/2006/relationships/hyperlink" Target="#Ratios!A1"/><Relationship Id="rId2" Type="http://schemas.openxmlformats.org/officeDocument/2006/relationships/chart" Target="../charts/chart24.xml"/><Relationship Id="rId16" Type="http://schemas.openxmlformats.org/officeDocument/2006/relationships/hyperlink" Target="#'Actual FS'!A1"/><Relationship Id="rId20" Type="http://schemas.openxmlformats.org/officeDocument/2006/relationships/hyperlink" Target="#Scenario!A1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24" Type="http://schemas.openxmlformats.org/officeDocument/2006/relationships/hyperlink" Target="#Breakeven!A1"/><Relationship Id="rId5" Type="http://schemas.openxmlformats.org/officeDocument/2006/relationships/chart" Target="../charts/chart27.xml"/><Relationship Id="rId15" Type="http://schemas.openxmlformats.org/officeDocument/2006/relationships/hyperlink" Target="#Summary!A1"/><Relationship Id="rId23" Type="http://schemas.openxmlformats.org/officeDocument/2006/relationships/hyperlink" Target="#'Annual Forecast'!A1"/><Relationship Id="rId10" Type="http://schemas.openxmlformats.org/officeDocument/2006/relationships/chart" Target="../charts/chart32.xml"/><Relationship Id="rId19" Type="http://schemas.openxmlformats.org/officeDocument/2006/relationships/hyperlink" Target="#Revenue!A1"/><Relationship Id="rId4" Type="http://schemas.openxmlformats.org/officeDocument/2006/relationships/chart" Target="../charts/chart26.xml"/><Relationship Id="rId9" Type="http://schemas.openxmlformats.org/officeDocument/2006/relationships/chart" Target="../charts/chart31.xml"/><Relationship Id="rId14" Type="http://schemas.openxmlformats.org/officeDocument/2006/relationships/chart" Target="../charts/chart36.xml"/><Relationship Id="rId22" Type="http://schemas.openxmlformats.org/officeDocument/2006/relationships/hyperlink" Target="#Varian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76200</xdr:rowOff>
    </xdr:from>
    <xdr:to>
      <xdr:col>0</xdr:col>
      <xdr:colOff>1333500</xdr:colOff>
      <xdr:row>15</xdr:row>
      <xdr:rowOff>161925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BAB1784-B1A2-768E-913A-4F490806B7EA}"/>
            </a:ext>
          </a:extLst>
        </xdr:cNvPr>
        <xdr:cNvGrpSpPr/>
      </xdr:nvGrpSpPr>
      <xdr:grpSpPr>
        <a:xfrm>
          <a:off x="38100" y="457200"/>
          <a:ext cx="1295400" cy="4594225"/>
          <a:chOff x="28575" y="1247775"/>
          <a:chExt cx="1295400" cy="4572000"/>
        </a:xfrm>
      </xdr:grpSpPr>
      <xdr:sp macro="" textlink="">
        <xdr:nvSpPr>
          <xdr:cNvPr id="3" name="Rectangle: Rounded Corners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3BB3970-DA18-0481-45D3-A2F91ECE1F06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4" name="Rectangle: Rounded Corners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C5A14BF-A8E3-452C-962E-4086FCCDE2D0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5" name="Rectangle: Rounded Corner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18EC9720-4023-45F6-825F-45CDCBA9FB3B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6D3325F-F39E-4326-9205-8E38F5CA5A3E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4ABBBACD-C42A-40F3-9010-6C2786CCF824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3749330D-0D3C-4C98-ACB7-718FD0803004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30EF5127-9248-4BC0-9572-1D278DAFA5AF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3F4ACA50-0765-4981-A32D-6FB8D34122BD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D8D2A5E5-639B-4293-90E8-281B4921752A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65A1F6AB-5861-4808-AB30-0C0F6A4E7128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826778F1-B06C-4C62-BA11-04A34AC2FDD3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23</xdr:row>
      <xdr:rowOff>47625</xdr:rowOff>
    </xdr:from>
    <xdr:to>
      <xdr:col>5</xdr:col>
      <xdr:colOff>171450</xdr:colOff>
      <xdr:row>38</xdr:row>
      <xdr:rowOff>114299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78BB7D1-76E3-2130-1D55-D0319C37EE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1800" y="4441825"/>
              <a:ext cx="4578350" cy="29241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200026</xdr:colOff>
      <xdr:row>23</xdr:row>
      <xdr:rowOff>47625</xdr:rowOff>
    </xdr:from>
    <xdr:to>
      <xdr:col>9</xdr:col>
      <xdr:colOff>619125</xdr:colOff>
      <xdr:row>38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675729-32C1-6795-A26C-05A39516F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628650</xdr:colOff>
      <xdr:row>23</xdr:row>
      <xdr:rowOff>47626</xdr:rowOff>
    </xdr:from>
    <xdr:to>
      <xdr:col>14</xdr:col>
      <xdr:colOff>28575</xdr:colOff>
      <xdr:row>38</xdr:row>
      <xdr:rowOff>104776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BBF6C8-3BE6-4195-8745-F5C8005C8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26</xdr:row>
      <xdr:rowOff>85725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5F8B24-B225-4E36-A713-7BBDE384A6C8}"/>
            </a:ext>
          </a:extLst>
        </xdr:cNvPr>
        <xdr:cNvGrpSpPr/>
      </xdr:nvGrpSpPr>
      <xdr:grpSpPr>
        <a:xfrm>
          <a:off x="38100" y="469900"/>
          <a:ext cx="1295400" cy="4581525"/>
          <a:chOff x="28575" y="1247775"/>
          <a:chExt cx="1295400" cy="4572000"/>
        </a:xfrm>
      </xdr:grpSpPr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4330A81E-0B51-F900-8F50-D0DB8B0FCDF4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87C86205-61B8-AA37-CDBD-9E9C6516394E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66612487-2782-D458-6796-F01A2D28F5DC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D0F61383-4566-3FE3-31B7-F63DD9DB6211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F84961CD-DBCB-621B-D714-324DC855E8C5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BD2F59EA-417A-06CA-0824-8A33EC7415DC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A1852727-0EB2-4234-FB3E-7E3E9A1A0707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EECBEEAC-09E7-2286-9282-F09EBE611CF8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14A7C325-86E2-EFDB-8245-EEDD76188CD0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B0DACA27-A8EC-A62F-ACBC-751FDA49F7FF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8" name="Rectangle: Rounded Corners 17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CD94A28B-6190-94C8-A78F-C347B92C5A5C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33</xdr:row>
      <xdr:rowOff>28575</xdr:rowOff>
    </xdr:from>
    <xdr:to>
      <xdr:col>20</xdr:col>
      <xdr:colOff>9525</xdr:colOff>
      <xdr:row>47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504A80-827A-FD95-2FE7-4245EBD29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26</xdr:row>
      <xdr:rowOff>57150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E5615BC2-1556-47F1-863D-77C296E67E6F}"/>
            </a:ext>
          </a:extLst>
        </xdr:cNvPr>
        <xdr:cNvGrpSpPr/>
      </xdr:nvGrpSpPr>
      <xdr:grpSpPr>
        <a:xfrm>
          <a:off x="38100" y="469900"/>
          <a:ext cx="1295400" cy="4591050"/>
          <a:chOff x="28575" y="1247775"/>
          <a:chExt cx="1295400" cy="4572000"/>
        </a:xfrm>
      </xdr:grpSpPr>
      <xdr:sp macro="" textlink="">
        <xdr:nvSpPr>
          <xdr:cNvPr id="7" name="Rectangle: Rounded Corners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20AB6604-C59D-FE72-69AE-644C18E0D38C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FFB9B267-0D33-DBA3-2762-658D70E33225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0C47BFB-655D-62FA-D484-955F690CB5D9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3E52D469-2D83-D941-4C90-360633207F12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939CF15F-483C-DE88-CA4D-6D5E0F0B5A4F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0EB0E3BE-CA50-5E74-222E-34C71AD6A7CB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658A3600-562B-160E-1211-6E38875CD2F2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D95DAE7A-98C7-C967-44F6-4691C0DDB2B6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D9490DB0-6F47-0D8A-DE3A-EEC56B9BF9E9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2B13346E-9009-3CD5-FC5F-5F5A973862EB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B4D3A7C2-24C7-FEDC-A1C9-2581D2ADAB2E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56</xdr:row>
      <xdr:rowOff>4761</xdr:rowOff>
    </xdr:from>
    <xdr:to>
      <xdr:col>2</xdr:col>
      <xdr:colOff>1</xdr:colOff>
      <xdr:row>69</xdr:row>
      <xdr:rowOff>180975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FA393EA-718D-45FE-B2F2-0689CC4D8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71</xdr:row>
      <xdr:rowOff>4762</xdr:rowOff>
    </xdr:from>
    <xdr:to>
      <xdr:col>2</xdr:col>
      <xdr:colOff>19050</xdr:colOff>
      <xdr:row>85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B4CD90F-9C50-41A8-B3BF-1637BCE7F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30</xdr:row>
      <xdr:rowOff>44824</xdr:rowOff>
    </xdr:from>
    <xdr:to>
      <xdr:col>9</xdr:col>
      <xdr:colOff>840441</xdr:colOff>
      <xdr:row>44</xdr:row>
      <xdr:rowOff>145117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BFCDDD6-1EA6-3FB7-2B43-C28D925CB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419100</xdr:colOff>
      <xdr:row>5</xdr:row>
      <xdr:rowOff>19049</xdr:rowOff>
    </xdr:from>
    <xdr:to>
      <xdr:col>11</xdr:col>
      <xdr:colOff>971549</xdr:colOff>
      <xdr:row>17</xdr:row>
      <xdr:rowOff>161924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066168A-3C04-3855-19F3-2E7DE1459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100853</xdr:colOff>
      <xdr:row>45</xdr:row>
      <xdr:rowOff>11205</xdr:rowOff>
    </xdr:from>
    <xdr:to>
      <xdr:col>9</xdr:col>
      <xdr:colOff>840442</xdr:colOff>
      <xdr:row>60</xdr:row>
      <xdr:rowOff>134471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8582A9E-49B6-4E03-99BF-9A2302680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11128</xdr:colOff>
      <xdr:row>18</xdr:row>
      <xdr:rowOff>161922</xdr:rowOff>
    </xdr:from>
    <xdr:to>
      <xdr:col>5</xdr:col>
      <xdr:colOff>621916</xdr:colOff>
      <xdr:row>32</xdr:row>
      <xdr:rowOff>38099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5193452B-BF08-43E5-B6E3-ECFDB211FA35}"/>
            </a:ext>
          </a:extLst>
        </xdr:cNvPr>
        <xdr:cNvGrpSpPr/>
      </xdr:nvGrpSpPr>
      <xdr:grpSpPr>
        <a:xfrm>
          <a:off x="1712928" y="3895722"/>
          <a:ext cx="3963588" cy="2543177"/>
          <a:chOff x="2896930" y="5845595"/>
          <a:chExt cx="2732345" cy="1996866"/>
        </a:xfrm>
      </xdr:grpSpPr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EB701BE5-ECB9-BD70-48B0-810B8B51E480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27" name="Chart 26">
            <a:extLst>
              <a:ext uri="{FF2B5EF4-FFF2-40B4-BE49-F238E27FC236}">
                <a16:creationId xmlns:a16="http://schemas.microsoft.com/office/drawing/2014/main" id="{36AB39AF-56B9-2173-6689-0CEB81DEBAD4}"/>
              </a:ext>
            </a:extLst>
          </xdr:cNvPr>
          <xdr:cNvGraphicFramePr>
            <a:graphicFrameLocks/>
          </xdr:cNvGraphicFramePr>
        </xdr:nvGraphicFramePr>
        <xdr:xfrm>
          <a:off x="2896930" y="5845595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3</xdr:col>
      <xdr:colOff>1963414</xdr:colOff>
      <xdr:row>19</xdr:row>
      <xdr:rowOff>14576</xdr:rowOff>
    </xdr:from>
    <xdr:to>
      <xdr:col>9</xdr:col>
      <xdr:colOff>765981</xdr:colOff>
      <xdr:row>32</xdr:row>
      <xdr:rowOff>33618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44CEA9EE-268D-4E93-88CD-B1F96C4624B0}"/>
            </a:ext>
          </a:extLst>
        </xdr:cNvPr>
        <xdr:cNvGrpSpPr/>
      </xdr:nvGrpSpPr>
      <xdr:grpSpPr>
        <a:xfrm>
          <a:off x="3792214" y="3938876"/>
          <a:ext cx="5355767" cy="2495542"/>
          <a:chOff x="2893685" y="5860554"/>
          <a:chExt cx="2735590" cy="1996866"/>
        </a:xfrm>
      </xdr:grpSpPr>
      <xdr:graphicFrame macro="">
        <xdr:nvGraphicFramePr>
          <xdr:cNvPr id="29" name="Chart 28">
            <a:extLst>
              <a:ext uri="{FF2B5EF4-FFF2-40B4-BE49-F238E27FC236}">
                <a16:creationId xmlns:a16="http://schemas.microsoft.com/office/drawing/2014/main" id="{0B08ECDB-A79F-16C3-75E8-40A756B9FCF7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30" name="Chart 29">
            <a:extLst>
              <a:ext uri="{FF2B5EF4-FFF2-40B4-BE49-F238E27FC236}">
                <a16:creationId xmlns:a16="http://schemas.microsoft.com/office/drawing/2014/main" id="{3B1DDD45-7777-6260-3140-94BFE1D23E16}"/>
              </a:ext>
            </a:extLst>
          </xdr:cNvPr>
          <xdr:cNvGraphicFramePr>
            <a:graphicFrameLocks/>
          </xdr:cNvGraphicFramePr>
        </xdr:nvGraphicFramePr>
        <xdr:xfrm>
          <a:off x="2893685" y="5860554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7</xdr:col>
      <xdr:colOff>760886</xdr:colOff>
      <xdr:row>18</xdr:row>
      <xdr:rowOff>171444</xdr:rowOff>
    </xdr:from>
    <xdr:to>
      <xdr:col>11</xdr:col>
      <xdr:colOff>624154</xdr:colOff>
      <xdr:row>32</xdr:row>
      <xdr:rowOff>47617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DEA7E9EA-6ABD-44E3-B07D-D26207BA5B32}"/>
            </a:ext>
          </a:extLst>
        </xdr:cNvPr>
        <xdr:cNvGrpSpPr/>
      </xdr:nvGrpSpPr>
      <xdr:grpSpPr>
        <a:xfrm>
          <a:off x="7441086" y="3905244"/>
          <a:ext cx="3711368" cy="2543173"/>
          <a:chOff x="2888989" y="5860560"/>
          <a:chExt cx="2740286" cy="1996866"/>
        </a:xfrm>
      </xdr:grpSpPr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EA573EB9-DE64-6129-0050-E0D211F560E0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33" name="Chart 32">
            <a:extLst>
              <a:ext uri="{FF2B5EF4-FFF2-40B4-BE49-F238E27FC236}">
                <a16:creationId xmlns:a16="http://schemas.microsoft.com/office/drawing/2014/main" id="{C773D137-3D7B-EAE4-7E84-5BC662BBCA97}"/>
              </a:ext>
            </a:extLst>
          </xdr:cNvPr>
          <xdr:cNvGraphicFramePr>
            <a:graphicFrameLocks/>
          </xdr:cNvGraphicFramePr>
        </xdr:nvGraphicFramePr>
        <xdr:xfrm>
          <a:off x="2888989" y="5860560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  <xdr:twoCellAnchor>
    <xdr:from>
      <xdr:col>9</xdr:col>
      <xdr:colOff>874059</xdr:colOff>
      <xdr:row>30</xdr:row>
      <xdr:rowOff>33618</xdr:rowOff>
    </xdr:from>
    <xdr:to>
      <xdr:col>15</xdr:col>
      <xdr:colOff>0</xdr:colOff>
      <xdr:row>44</xdr:row>
      <xdr:rowOff>156881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22C094-5409-5C2D-5D8D-2E76231C1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874058</xdr:colOff>
      <xdr:row>45</xdr:row>
      <xdr:rowOff>1</xdr:rowOff>
    </xdr:from>
    <xdr:to>
      <xdr:col>11</xdr:col>
      <xdr:colOff>2700336</xdr:colOff>
      <xdr:row>60</xdr:row>
      <xdr:rowOff>145677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29C9282-DF77-ABAE-E6F9-8655553B7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1699391</xdr:colOff>
      <xdr:row>19</xdr:row>
      <xdr:rowOff>0</xdr:rowOff>
    </xdr:from>
    <xdr:to>
      <xdr:col>13</xdr:col>
      <xdr:colOff>219634</xdr:colOff>
      <xdr:row>32</xdr:row>
      <xdr:rowOff>66674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92A13967-AC14-4D4C-AA86-51A5A7FE3184}"/>
            </a:ext>
          </a:extLst>
        </xdr:cNvPr>
        <xdr:cNvGrpSpPr/>
      </xdr:nvGrpSpPr>
      <xdr:grpSpPr>
        <a:xfrm>
          <a:off x="10081391" y="3924300"/>
          <a:ext cx="3892343" cy="2543174"/>
          <a:chOff x="2897057" y="5860561"/>
          <a:chExt cx="2732218" cy="1996866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99B5CCDE-974B-6147-0EB5-675FC73AB4E9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5E220B49-B34D-6068-D65B-08DA2E39AF7E}"/>
              </a:ext>
            </a:extLst>
          </xdr:cNvPr>
          <xdr:cNvGraphicFramePr>
            <a:graphicFrameLocks/>
          </xdr:cNvGraphicFramePr>
        </xdr:nvGraphicFramePr>
        <xdr:xfrm>
          <a:off x="2897057" y="5860561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</xdr:grpSp>
    <xdr:clientData/>
  </xdr:twoCellAnchor>
  <xdr:twoCellAnchor>
    <xdr:from>
      <xdr:col>11</xdr:col>
      <xdr:colOff>2464750</xdr:colOff>
      <xdr:row>18</xdr:row>
      <xdr:rowOff>173124</xdr:rowOff>
    </xdr:from>
    <xdr:to>
      <xdr:col>15</xdr:col>
      <xdr:colOff>109253</xdr:colOff>
      <xdr:row>32</xdr:row>
      <xdr:rowOff>49298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B15489B3-22EB-44AB-884F-C2694A78E393}"/>
            </a:ext>
          </a:extLst>
        </xdr:cNvPr>
        <xdr:cNvGrpSpPr/>
      </xdr:nvGrpSpPr>
      <xdr:grpSpPr>
        <a:xfrm>
          <a:off x="12993050" y="3906924"/>
          <a:ext cx="4019903" cy="2543174"/>
          <a:chOff x="2888991" y="5860561"/>
          <a:chExt cx="2740284" cy="1996866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75230786-6059-5CFE-CBCC-68AADF49A999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62134118-0A4D-D828-ADE8-D47D4DBD9BFC}"/>
              </a:ext>
            </a:extLst>
          </xdr:cNvPr>
          <xdr:cNvGraphicFramePr>
            <a:graphicFrameLocks/>
          </xdr:cNvGraphicFramePr>
        </xdr:nvGraphicFramePr>
        <xdr:xfrm>
          <a:off x="2888991" y="5860561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</xdr:grpSp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24</xdr:row>
      <xdr:rowOff>180975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8DE98F75-E682-4610-B1B8-8B606B956DFD}"/>
            </a:ext>
          </a:extLst>
        </xdr:cNvPr>
        <xdr:cNvGrpSpPr/>
      </xdr:nvGrpSpPr>
      <xdr:grpSpPr>
        <a:xfrm>
          <a:off x="38100" y="469900"/>
          <a:ext cx="1295400" cy="4587875"/>
          <a:chOff x="28575" y="1247775"/>
          <a:chExt cx="1295400" cy="4572000"/>
        </a:xfrm>
      </xdr:grpSpPr>
      <xdr:sp macro="" textlink="">
        <xdr:nvSpPr>
          <xdr:cNvPr id="12" name="Rectangle: Rounded Corners 11">
            <a:hlinkClick xmlns:r="http://schemas.openxmlformats.org/officeDocument/2006/relationships" r:id="rId18"/>
            <a:extLst>
              <a:ext uri="{FF2B5EF4-FFF2-40B4-BE49-F238E27FC236}">
                <a16:creationId xmlns:a16="http://schemas.microsoft.com/office/drawing/2014/main" id="{25CA5B8E-A3D3-0F09-F30C-73ADD116C17F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9"/>
            <a:extLst>
              <a:ext uri="{FF2B5EF4-FFF2-40B4-BE49-F238E27FC236}">
                <a16:creationId xmlns:a16="http://schemas.microsoft.com/office/drawing/2014/main" id="{5D354E84-7738-99B7-18BC-FA264A693227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20"/>
            <a:extLst>
              <a:ext uri="{FF2B5EF4-FFF2-40B4-BE49-F238E27FC236}">
                <a16:creationId xmlns:a16="http://schemas.microsoft.com/office/drawing/2014/main" id="{C869F71D-3B44-14ED-2A88-65DAD0467D21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21"/>
            <a:extLst>
              <a:ext uri="{FF2B5EF4-FFF2-40B4-BE49-F238E27FC236}">
                <a16:creationId xmlns:a16="http://schemas.microsoft.com/office/drawing/2014/main" id="{ED18B06E-D881-0947-04C6-D0621EDF93EE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F5036C5B-F0F5-581A-5053-A7749DCED3E5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8" name="Rectangle: Rounded Corners 17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40A48EA8-F301-042F-A167-3A6720A2A16B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9" name="Rectangle: Rounded Corners 18">
            <a:hlinkClick xmlns:r="http://schemas.openxmlformats.org/officeDocument/2006/relationships" r:id="rId24"/>
            <a:extLst>
              <a:ext uri="{FF2B5EF4-FFF2-40B4-BE49-F238E27FC236}">
                <a16:creationId xmlns:a16="http://schemas.microsoft.com/office/drawing/2014/main" id="{25BAC5EF-39C9-36EA-76F2-F9A6D6DF16F6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34" name="Rectangle: Rounded Corners 33">
            <a:hlinkClick xmlns:r="http://schemas.openxmlformats.org/officeDocument/2006/relationships" r:id="rId25"/>
            <a:extLst>
              <a:ext uri="{FF2B5EF4-FFF2-40B4-BE49-F238E27FC236}">
                <a16:creationId xmlns:a16="http://schemas.microsoft.com/office/drawing/2014/main" id="{C8ED8F7C-04D0-2877-5B35-1C8524F1E3DF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35" name="Rectangle: Rounded Corners 34">
            <a:hlinkClick xmlns:r="http://schemas.openxmlformats.org/officeDocument/2006/relationships" r:id="rId26"/>
            <a:extLst>
              <a:ext uri="{FF2B5EF4-FFF2-40B4-BE49-F238E27FC236}">
                <a16:creationId xmlns:a16="http://schemas.microsoft.com/office/drawing/2014/main" id="{3B2F7AAD-C68B-DCC1-6B37-22AEE5A74239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36" name="Rectangle: Rounded Corners 35">
            <a:hlinkClick xmlns:r="http://schemas.openxmlformats.org/officeDocument/2006/relationships" r:id="rId27"/>
            <a:extLst>
              <a:ext uri="{FF2B5EF4-FFF2-40B4-BE49-F238E27FC236}">
                <a16:creationId xmlns:a16="http://schemas.microsoft.com/office/drawing/2014/main" id="{E98621A5-B4B3-A840-0A94-CF91CFC2921F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37" name="Rectangle: Rounded Corners 36">
            <a:hlinkClick xmlns:r="http://schemas.openxmlformats.org/officeDocument/2006/relationships" r:id="rId28"/>
            <a:extLst>
              <a:ext uri="{FF2B5EF4-FFF2-40B4-BE49-F238E27FC236}">
                <a16:creationId xmlns:a16="http://schemas.microsoft.com/office/drawing/2014/main" id="{6F28C4B9-78CA-1B4A-B591-0BA47D95FE4F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142875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7A4C1B6-E96C-4F29-B731-B74CCE8B5837}"/>
            </a:ext>
          </a:extLst>
        </xdr:cNvPr>
        <xdr:cNvGrpSpPr/>
      </xdr:nvGrpSpPr>
      <xdr:grpSpPr>
        <a:xfrm>
          <a:off x="38100" y="469900"/>
          <a:ext cx="1295400" cy="4587875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863B0CB2-27FF-E58C-6498-9F68AF6BE799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2E11FC00-069D-DF33-4040-04AF2E06FC00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7BD0988-1FE1-D513-B090-D43A88136EAD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ADC3DE68-7F32-D1CD-4873-E78C7F7C23A1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1C18911-B8E3-8BBD-0CAB-4435779D1F49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B537F295-48F5-0CBB-F8B7-EC210AE91FD2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589145FB-D23A-2A26-C892-ED6564E1C5F5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D7DCC034-5E0E-0E69-18EC-31889CE37397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AD811727-3BF7-51F3-7EBA-E75C78FC85C4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AB0812DE-27E7-EA1D-FE0A-80392774AFBA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6EF81C0A-7956-3FFC-BBAA-CA98CAAF43D1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133350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7D0FCA3-F362-4858-AB47-BBA9CDA7C4EF}"/>
            </a:ext>
          </a:extLst>
        </xdr:cNvPr>
        <xdr:cNvGrpSpPr/>
      </xdr:nvGrpSpPr>
      <xdr:grpSpPr>
        <a:xfrm>
          <a:off x="38100" y="469900"/>
          <a:ext cx="1295400" cy="4578350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DF53F32B-198C-6976-822E-173FD5220764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C8D9D96-0E7D-C3D1-39FD-F1DDA297DA99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8FCEE2A3-2C9D-B90E-A9D8-41F81178527F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8A91E83-37D2-B80A-4A42-2CDDD335A37B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9A60BD1-50A4-B74C-0735-7AD35F8635B4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8458A11A-35A9-68CA-3DFD-7283EA2A2FD1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11EDB517-FC6F-3C6D-7F04-FF2B440246E7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BE718089-1D34-3176-EF10-C6C488F83F61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01915BC9-2C81-BE2A-F7FE-5C5990BB1DF4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8B14772F-EE1B-5F7F-3EA4-F9319A7585F8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2ACA0B63-21A0-0A6B-2AA4-62030726D35D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171450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564C169-5009-4379-9822-544E62BF7700}"/>
            </a:ext>
          </a:extLst>
        </xdr:cNvPr>
        <xdr:cNvGrpSpPr/>
      </xdr:nvGrpSpPr>
      <xdr:grpSpPr>
        <a:xfrm>
          <a:off x="38100" y="469900"/>
          <a:ext cx="1295400" cy="4591050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A0A8A138-00FD-6FCA-7D2C-AFCF6CD2C1B1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AF4F6B5-8692-C7BB-14ED-E75CB53725EB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C44E9A0-79C6-2505-9D11-01D1B9D689B6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E47392BF-D763-5656-1C4B-9A22F11F7265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702AEDF9-5666-A360-151B-EBE312629530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535B0D02-3D33-FA34-8CF4-4AE74585EB44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CA54FDBB-684E-1CB4-A2C0-3EC9B9344D55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487FE231-24CB-4EDC-9B19-4287C1799C12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4E2D3AB6-7947-70B3-4759-C1068637F6D7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FCEEE6C8-8C51-8CA6-0BB1-099F07F2041C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A2170CAB-91CC-C38D-0312-422C89EDCD04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171450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81445DB-F789-42E9-B12B-F69199B87CDA}"/>
            </a:ext>
          </a:extLst>
        </xdr:cNvPr>
        <xdr:cNvGrpSpPr/>
      </xdr:nvGrpSpPr>
      <xdr:grpSpPr>
        <a:xfrm>
          <a:off x="38100" y="469900"/>
          <a:ext cx="1295400" cy="4591050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47BA90D7-4C25-0A36-DB73-DF76AAA5B272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5A92AD54-1D77-95D2-8350-10FCA1BC015C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84083588-6EF7-E977-76D7-1CDD1E114AF9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9C4B0AE9-2698-28D3-E232-5D1E47323F68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859D7F47-1F61-DF86-DA9E-C8FC24C1DE6A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35F49FA7-88C2-4F5D-1DAF-5CE6F71BE956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E1940B00-BC72-784E-3A9A-37741963B0B0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18D7CFBD-850E-E285-FB11-2736446E426F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8A7E1634-FA13-9890-A80C-0C12B1961AF4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53AC2FC8-18D8-6AED-8CE6-574537DA13AC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6319C189-3731-0F4F-38B5-9FFC8996BD5C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76201</xdr:colOff>
      <xdr:row>31</xdr:row>
      <xdr:rowOff>176212</xdr:rowOff>
    </xdr:from>
    <xdr:to>
      <xdr:col>14</xdr:col>
      <xdr:colOff>9525</xdr:colOff>
      <xdr:row>48</xdr:row>
      <xdr:rowOff>66676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03560D-10C9-C9C4-F7B7-C41D263D4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171450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23C07F59-9366-44FE-A8BF-3666D2C76DB5}"/>
            </a:ext>
          </a:extLst>
        </xdr:cNvPr>
        <xdr:cNvGrpSpPr/>
      </xdr:nvGrpSpPr>
      <xdr:grpSpPr>
        <a:xfrm>
          <a:off x="38100" y="469900"/>
          <a:ext cx="1295400" cy="4591050"/>
          <a:chOff x="28575" y="1247775"/>
          <a:chExt cx="1295400" cy="4572000"/>
        </a:xfrm>
      </xdr:grpSpPr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CE52192-2092-AF1B-8DB1-89571E6684CD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F8CBBDC2-732B-8E08-6F7F-8EFA99EC5BA1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5616AEC6-8773-B277-E426-E212FEC0DEAF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C49264FA-6F16-EE9F-5AD1-0B225B9758C7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AACEB8A6-4304-BDB6-FA3A-9C820F97C257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D5E19537-8F9D-86DB-3601-DBAF54EEF2F3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40F168AB-10E9-8442-9F31-3EBF0B7B6E69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3DD3F90E-6178-B4E1-BA77-B3011A3AB3B8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2ABBEEA6-FB80-02E4-F3B2-2D1565CC206E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A126A781-C0CA-D674-6857-D1FE1475401D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03206BDF-D2AC-BFD2-6770-99E08D038507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171450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252DC34-5228-4815-8BE2-2E254FA6E77F}"/>
            </a:ext>
          </a:extLst>
        </xdr:cNvPr>
        <xdr:cNvGrpSpPr/>
      </xdr:nvGrpSpPr>
      <xdr:grpSpPr>
        <a:xfrm>
          <a:off x="38100" y="469900"/>
          <a:ext cx="1295400" cy="4591050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B34243EB-2AB6-42B4-C5BF-A6116572912A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06397DA-565C-D687-EFA1-66F324630F1D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802AC70C-E53E-1034-09BB-83FA576BD82C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1EE86AF-B0C9-4419-9B5F-BA77471B8532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2431FBE-2EFA-CA62-F475-1E5581CCAA37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DC146660-7669-202E-838E-B59B87A4B31A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BA1A9EA7-400D-63FA-9AED-F05FCE59DB72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CCBCD6D1-5274-EF33-79C1-F8CBC46CC110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01435569-39C2-7FA6-1883-9BFFF614A666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0F46C52B-BF15-48FA-E081-FC4159D51B52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550B484C-1267-0EC8-9853-3167139CCAC4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57151</xdr:colOff>
      <xdr:row>24</xdr:row>
      <xdr:rowOff>176212</xdr:rowOff>
    </xdr:from>
    <xdr:to>
      <xdr:col>17</xdr:col>
      <xdr:colOff>9525</xdr:colOff>
      <xdr:row>42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D42B7-7C45-16A3-A970-301EC9E96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142875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1C0A090-8FC9-4AD2-BF0A-901536C84B6C}"/>
            </a:ext>
          </a:extLst>
        </xdr:cNvPr>
        <xdr:cNvGrpSpPr/>
      </xdr:nvGrpSpPr>
      <xdr:grpSpPr>
        <a:xfrm>
          <a:off x="38100" y="469900"/>
          <a:ext cx="1295400" cy="4575175"/>
          <a:chOff x="28575" y="1247775"/>
          <a:chExt cx="1295400" cy="4572000"/>
        </a:xfrm>
      </xdr:grpSpPr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EF12110-EA87-6BBA-3AA0-ACDDEA0610B1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190BB39-341B-080E-28AA-9A699355584C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4C72E1F2-CA73-7C85-9102-1303C439420B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56B6190-C667-330E-25DD-9D4F9700C3F4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A493E3CA-825C-7D7D-FDA2-6673F0CF16EB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D1074C8F-213B-C8C5-1A31-11F450827C7E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9695FB88-85B5-E293-C55E-7327AA163ADC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295F50D0-55F3-81C8-7455-086EC4EEDBBE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0C0F154E-705A-623E-31D1-C7D3F4C7B675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E9541995-BBA0-F61D-8D07-C48BB6012948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C56D1898-9605-8974-C56B-AD7261211E26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</xdr:colOff>
      <xdr:row>33</xdr:row>
      <xdr:rowOff>171450</xdr:rowOff>
    </xdr:from>
    <xdr:to>
      <xdr:col>6</xdr:col>
      <xdr:colOff>9525</xdr:colOff>
      <xdr:row>44</xdr:row>
      <xdr:rowOff>104775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12703206-CDAC-DC93-EEBA-57859A9FC7F3}"/>
            </a:ext>
          </a:extLst>
        </xdr:cNvPr>
        <xdr:cNvGrpSpPr/>
      </xdr:nvGrpSpPr>
      <xdr:grpSpPr>
        <a:xfrm>
          <a:off x="1706562" y="6216650"/>
          <a:ext cx="2620963" cy="2028825"/>
          <a:chOff x="119062" y="5991225"/>
          <a:chExt cx="2728913" cy="2028825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487EE4AB-57D7-3723-1CEA-F009A92B3F45}"/>
              </a:ext>
            </a:extLst>
          </xdr:cNvPr>
          <xdr:cNvGraphicFramePr/>
        </xdr:nvGraphicFramePr>
        <xdr:xfrm>
          <a:off x="119062" y="611505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CD97C151-6220-49E1-ACEB-F8D9F4FDA416}"/>
              </a:ext>
            </a:extLst>
          </xdr:cNvPr>
          <xdr:cNvGraphicFramePr>
            <a:graphicFrameLocks/>
          </xdr:cNvGraphicFramePr>
        </xdr:nvGraphicFramePr>
        <xdr:xfrm>
          <a:off x="123826" y="599122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7</xdr:col>
      <xdr:colOff>804861</xdr:colOff>
      <xdr:row>34</xdr:row>
      <xdr:rowOff>0</xdr:rowOff>
    </xdr:from>
    <xdr:to>
      <xdr:col>11</xdr:col>
      <xdr:colOff>676274</xdr:colOff>
      <xdr:row>44</xdr:row>
      <xdr:rowOff>114300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6F504910-2E7E-44C2-FC41-3617D7B08E2C}"/>
            </a:ext>
          </a:extLst>
        </xdr:cNvPr>
        <xdr:cNvGrpSpPr/>
      </xdr:nvGrpSpPr>
      <xdr:grpSpPr>
        <a:xfrm>
          <a:off x="6088061" y="6235700"/>
          <a:ext cx="3732213" cy="2019300"/>
          <a:chOff x="2900361" y="5800725"/>
          <a:chExt cx="2728913" cy="2019300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93210AF7-28E0-401D-8E6A-3F1808D68AE0}"/>
              </a:ext>
            </a:extLst>
          </xdr:cNvPr>
          <xdr:cNvGraphicFramePr>
            <a:graphicFrameLocks/>
          </xdr:cNvGraphicFramePr>
        </xdr:nvGraphicFramePr>
        <xdr:xfrm>
          <a:off x="2900361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05C37563-D5BE-4E7C-8CA0-F0FD8F1DEAEE}"/>
              </a:ext>
            </a:extLst>
          </xdr:cNvPr>
          <xdr:cNvGraphicFramePr>
            <a:graphicFrameLocks/>
          </xdr:cNvGraphicFramePr>
        </xdr:nvGraphicFramePr>
        <xdr:xfrm>
          <a:off x="2905125" y="580072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13</xdr:col>
      <xdr:colOff>123825</xdr:colOff>
      <xdr:row>33</xdr:row>
      <xdr:rowOff>171450</xdr:rowOff>
    </xdr:from>
    <xdr:to>
      <xdr:col>17</xdr:col>
      <xdr:colOff>14288</xdr:colOff>
      <xdr:row>44</xdr:row>
      <xdr:rowOff>114300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3F737386-D731-DE75-4916-A8CA398DE509}"/>
            </a:ext>
          </a:extLst>
        </xdr:cNvPr>
        <xdr:cNvGrpSpPr/>
      </xdr:nvGrpSpPr>
      <xdr:grpSpPr>
        <a:xfrm>
          <a:off x="11198225" y="6216650"/>
          <a:ext cx="3751263" cy="2038350"/>
          <a:chOff x="5695950" y="5791200"/>
          <a:chExt cx="2747963" cy="2038350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7BFB8A69-2C75-49E6-B41E-CE14CE10049B}"/>
              </a:ext>
            </a:extLst>
          </xdr:cNvPr>
          <xdr:cNvGraphicFramePr>
            <a:graphicFrameLocks/>
          </xdr:cNvGraphicFramePr>
        </xdr:nvGraphicFramePr>
        <xdr:xfrm>
          <a:off x="5695950" y="592455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86DA19AB-8792-43B0-A240-CDAB26836A13}"/>
              </a:ext>
            </a:extLst>
          </xdr:cNvPr>
          <xdr:cNvGraphicFramePr>
            <a:graphicFrameLocks/>
          </xdr:cNvGraphicFramePr>
        </xdr:nvGraphicFramePr>
        <xdr:xfrm>
          <a:off x="5719764" y="5791200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2</xdr:col>
      <xdr:colOff>66675</xdr:colOff>
      <xdr:row>46</xdr:row>
      <xdr:rowOff>0</xdr:rowOff>
    </xdr:from>
    <xdr:to>
      <xdr:col>5</xdr:col>
      <xdr:colOff>604838</xdr:colOff>
      <xdr:row>56</xdr:row>
      <xdr:rowOff>123825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D0781681-C32C-CF57-7E70-F30E85B6E61D}"/>
            </a:ext>
          </a:extLst>
        </xdr:cNvPr>
        <xdr:cNvGrpSpPr/>
      </xdr:nvGrpSpPr>
      <xdr:grpSpPr>
        <a:xfrm>
          <a:off x="1768475" y="8521700"/>
          <a:ext cx="2405063" cy="2028825"/>
          <a:chOff x="104775" y="8220075"/>
          <a:chExt cx="2728913" cy="2028825"/>
        </a:xfrm>
      </xdr:grpSpPr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7838082C-AD00-F905-44AF-B8B753EFF512}"/>
              </a:ext>
            </a:extLst>
          </xdr:cNvPr>
          <xdr:cNvGraphicFramePr/>
        </xdr:nvGraphicFramePr>
        <xdr:xfrm>
          <a:off x="104775" y="834390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71B36270-96DD-1642-5896-4679DC0E6F04}"/>
              </a:ext>
            </a:extLst>
          </xdr:cNvPr>
          <xdr:cNvGraphicFramePr>
            <a:graphicFrameLocks/>
          </xdr:cNvGraphicFramePr>
        </xdr:nvGraphicFramePr>
        <xdr:xfrm>
          <a:off x="109539" y="822007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8</xdr:col>
      <xdr:colOff>38100</xdr:colOff>
      <xdr:row>46</xdr:row>
      <xdr:rowOff>19050</xdr:rowOff>
    </xdr:from>
    <xdr:to>
      <xdr:col>11</xdr:col>
      <xdr:colOff>623888</xdr:colOff>
      <xdr:row>56</xdr:row>
      <xdr:rowOff>142875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7B112B4-A003-45DA-81CB-7E47F1263FA1}"/>
            </a:ext>
          </a:extLst>
        </xdr:cNvPr>
        <xdr:cNvGrpSpPr/>
      </xdr:nvGrpSpPr>
      <xdr:grpSpPr>
        <a:xfrm>
          <a:off x="6286500" y="8540750"/>
          <a:ext cx="3481388" cy="2028825"/>
          <a:chOff x="109537" y="5781675"/>
          <a:chExt cx="2728913" cy="2028825"/>
        </a:xfrm>
      </xdr:grpSpPr>
      <xdr:graphicFrame macro="">
        <xdr:nvGraphicFramePr>
          <xdr:cNvPr id="18" name="Chart 17">
            <a:extLst>
              <a:ext uri="{FF2B5EF4-FFF2-40B4-BE49-F238E27FC236}">
                <a16:creationId xmlns:a16="http://schemas.microsoft.com/office/drawing/2014/main" id="{82D18D5D-7783-42C3-E2C7-E2B8126A4E41}"/>
              </a:ext>
            </a:extLst>
          </xdr:cNvPr>
          <xdr:cNvGraphicFramePr/>
        </xdr:nvGraphicFramePr>
        <xdr:xfrm>
          <a:off x="109537" y="590550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8874D41B-6235-EEFB-6920-195C6380A613}"/>
              </a:ext>
            </a:extLst>
          </xdr:cNvPr>
          <xdr:cNvGraphicFramePr>
            <a:graphicFrameLocks/>
          </xdr:cNvGraphicFramePr>
        </xdr:nvGraphicFramePr>
        <xdr:xfrm>
          <a:off x="114301" y="578167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>
    <xdr:from>
      <xdr:col>13</xdr:col>
      <xdr:colOff>257175</xdr:colOff>
      <xdr:row>45</xdr:row>
      <xdr:rowOff>171450</xdr:rowOff>
    </xdr:from>
    <xdr:to>
      <xdr:col>16</xdr:col>
      <xdr:colOff>842963</xdr:colOff>
      <xdr:row>56</xdr:row>
      <xdr:rowOff>104775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3DF3B8EE-8365-4EA5-92A0-D09BBF312A1D}"/>
            </a:ext>
          </a:extLst>
        </xdr:cNvPr>
        <xdr:cNvGrpSpPr/>
      </xdr:nvGrpSpPr>
      <xdr:grpSpPr>
        <a:xfrm>
          <a:off x="11331575" y="8502650"/>
          <a:ext cx="3481388" cy="2028825"/>
          <a:chOff x="109537" y="5781675"/>
          <a:chExt cx="2728913" cy="2028825"/>
        </a:xfrm>
      </xdr:grpSpPr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9BD5E65C-A3B7-938E-A707-86D499B94CF1}"/>
              </a:ext>
            </a:extLst>
          </xdr:cNvPr>
          <xdr:cNvGraphicFramePr/>
        </xdr:nvGraphicFramePr>
        <xdr:xfrm>
          <a:off x="109537" y="590550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B579BB45-37DD-4447-8216-2C61F4728A83}"/>
              </a:ext>
            </a:extLst>
          </xdr:cNvPr>
          <xdr:cNvGraphicFramePr>
            <a:graphicFrameLocks/>
          </xdr:cNvGraphicFramePr>
        </xdr:nvGraphicFramePr>
        <xdr:xfrm>
          <a:off x="114301" y="578167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  <xdr:twoCellAnchor>
    <xdr:from>
      <xdr:col>2</xdr:col>
      <xdr:colOff>1</xdr:colOff>
      <xdr:row>57</xdr:row>
      <xdr:rowOff>4761</xdr:rowOff>
    </xdr:from>
    <xdr:to>
      <xdr:col>17</xdr:col>
      <xdr:colOff>1</xdr:colOff>
      <xdr:row>70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E169D45-91B1-2C41-574E-37A97E830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4761</xdr:colOff>
      <xdr:row>72</xdr:row>
      <xdr:rowOff>4762</xdr:rowOff>
    </xdr:from>
    <xdr:to>
      <xdr:col>17</xdr:col>
      <xdr:colOff>19050</xdr:colOff>
      <xdr:row>86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89A1994-3419-FD7B-2216-B653DA4CF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27</xdr:row>
      <xdr:rowOff>161925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30B96D3C-7FAB-45BF-B377-568713B94F6C}"/>
            </a:ext>
          </a:extLst>
        </xdr:cNvPr>
        <xdr:cNvGrpSpPr/>
      </xdr:nvGrpSpPr>
      <xdr:grpSpPr>
        <a:xfrm>
          <a:off x="38100" y="469900"/>
          <a:ext cx="1295400" cy="4594225"/>
          <a:chOff x="28575" y="1247775"/>
          <a:chExt cx="1295400" cy="4572000"/>
        </a:xfrm>
      </xdr:grpSpPr>
      <xdr:sp macro="" textlink="">
        <xdr:nvSpPr>
          <xdr:cNvPr id="24" name="Rectangle: Rounded Corners 23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6683CA7F-6652-F623-986D-2339731D46D4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25" name="Rectangle: Rounded Corners 24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E9E3BF53-FAF8-8A31-9459-3ED8C59DF265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26" name="Rectangle: Rounded Corners 25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9F14077F-DC46-F2FF-40B9-12F773358343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27" name="Rectangle: Rounded Corners 26">
            <a:hlinkClick xmlns:r="http://schemas.openxmlformats.org/officeDocument/2006/relationships" r:id="rId18"/>
            <a:extLst>
              <a:ext uri="{FF2B5EF4-FFF2-40B4-BE49-F238E27FC236}">
                <a16:creationId xmlns:a16="http://schemas.microsoft.com/office/drawing/2014/main" id="{D0F3C9A5-EFDA-F8B1-1FFA-87C385C81A00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28" name="Rectangle: Rounded Corners 27">
            <a:hlinkClick xmlns:r="http://schemas.openxmlformats.org/officeDocument/2006/relationships" r:id="rId19"/>
            <a:extLst>
              <a:ext uri="{FF2B5EF4-FFF2-40B4-BE49-F238E27FC236}">
                <a16:creationId xmlns:a16="http://schemas.microsoft.com/office/drawing/2014/main" id="{62CB00D9-43EC-26DA-373D-FFB67C5F9B73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29" name="Rectangle: Rounded Corners 28">
            <a:hlinkClick xmlns:r="http://schemas.openxmlformats.org/officeDocument/2006/relationships" r:id="rId20"/>
            <a:extLst>
              <a:ext uri="{FF2B5EF4-FFF2-40B4-BE49-F238E27FC236}">
                <a16:creationId xmlns:a16="http://schemas.microsoft.com/office/drawing/2014/main" id="{0BB2073D-54B4-F23D-BC0C-A7EBF2C1E287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30" name="Rectangle: Rounded Corners 29">
            <a:hlinkClick xmlns:r="http://schemas.openxmlformats.org/officeDocument/2006/relationships" r:id="rId21"/>
            <a:extLst>
              <a:ext uri="{FF2B5EF4-FFF2-40B4-BE49-F238E27FC236}">
                <a16:creationId xmlns:a16="http://schemas.microsoft.com/office/drawing/2014/main" id="{204CEA14-2A59-9FA4-5E80-B844B172C033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31" name="Rectangle: Rounded Corners 30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DB61541E-B6E1-4BDD-B8CB-8A6C5093771D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32" name="Rectangle: Rounded Corners 31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8E681B5E-16D7-2625-E841-485526A12441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33" name="Rectangle: Rounded Corners 32">
            <a:hlinkClick xmlns:r="http://schemas.openxmlformats.org/officeDocument/2006/relationships" r:id="rId24"/>
            <a:extLst>
              <a:ext uri="{FF2B5EF4-FFF2-40B4-BE49-F238E27FC236}">
                <a16:creationId xmlns:a16="http://schemas.microsoft.com/office/drawing/2014/main" id="{9E7D3B45-0046-799C-4D32-EA56D5FA3F36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34" name="Rectangle: Rounded Corners 33">
            <a:hlinkClick xmlns:r="http://schemas.openxmlformats.org/officeDocument/2006/relationships" r:id="rId25"/>
            <a:extLst>
              <a:ext uri="{FF2B5EF4-FFF2-40B4-BE49-F238E27FC236}">
                <a16:creationId xmlns:a16="http://schemas.microsoft.com/office/drawing/2014/main" id="{E56CB311-A077-EB67-C5C1-878F6338AA48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67AB-AF65-461D-B8EC-7E24477DF1D2}">
  <sheetPr>
    <tabColor theme="3" tint="0.499984740745262"/>
  </sheetPr>
  <dimension ref="A1:F1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8" customWidth="1"/>
    <col min="2" max="2" width="1.6640625" style="6" customWidth="1"/>
    <col min="3" max="3" width="25" style="6" customWidth="1"/>
    <col min="4" max="4" width="11.6640625" style="6" customWidth="1"/>
    <col min="5" max="5" width="17.33203125" style="7" bestFit="1" customWidth="1"/>
    <col min="6" max="6" width="14.33203125" style="6" customWidth="1"/>
    <col min="7" max="16384" width="9.1640625" style="6"/>
  </cols>
  <sheetData>
    <row r="1" spans="1:6" s="139" customFormat="1" x14ac:dyDescent="0.2">
      <c r="A1" s="138" t="s">
        <v>5</v>
      </c>
      <c r="B1" s="138"/>
      <c r="C1" s="138"/>
      <c r="E1" s="31"/>
    </row>
    <row r="2" spans="1:6" s="8" customFormat="1" x14ac:dyDescent="0.2">
      <c r="A2" s="196" t="s">
        <v>308</v>
      </c>
      <c r="B2" s="295" t="s">
        <v>246</v>
      </c>
      <c r="C2" s="295"/>
      <c r="D2" s="295"/>
      <c r="E2" s="295"/>
      <c r="F2" s="295"/>
    </row>
    <row r="3" spans="1:6" ht="173.25" customHeight="1" x14ac:dyDescent="0.2">
      <c r="C3" s="294" t="s">
        <v>247</v>
      </c>
      <c r="D3" s="294"/>
      <c r="E3" s="294"/>
      <c r="F3" s="294"/>
    </row>
    <row r="4" spans="1:6" x14ac:dyDescent="0.2">
      <c r="C4" s="124" t="s">
        <v>243</v>
      </c>
      <c r="E4" s="124" t="s">
        <v>244</v>
      </c>
    </row>
    <row r="5" spans="1:6" x14ac:dyDescent="0.2">
      <c r="C5" s="194" t="s">
        <v>293</v>
      </c>
      <c r="E5" s="73" t="s">
        <v>0</v>
      </c>
      <c r="F5" s="258" t="s">
        <v>27</v>
      </c>
    </row>
    <row r="6" spans="1:6" x14ac:dyDescent="0.2">
      <c r="C6" s="194" t="s">
        <v>253</v>
      </c>
      <c r="E6" s="73" t="s">
        <v>1</v>
      </c>
      <c r="F6" s="259" t="s">
        <v>298</v>
      </c>
    </row>
    <row r="7" spans="1:6" x14ac:dyDescent="0.2">
      <c r="C7" s="194" t="s">
        <v>278</v>
      </c>
      <c r="E7" s="73" t="s">
        <v>2</v>
      </c>
      <c r="F7" s="259" t="s">
        <v>299</v>
      </c>
    </row>
    <row r="8" spans="1:6" x14ac:dyDescent="0.2">
      <c r="C8" s="194" t="s">
        <v>10</v>
      </c>
      <c r="E8" s="73" t="s">
        <v>3</v>
      </c>
      <c r="F8" s="260">
        <v>2025</v>
      </c>
    </row>
    <row r="9" spans="1:6" x14ac:dyDescent="0.2">
      <c r="C9" s="194" t="s">
        <v>124</v>
      </c>
      <c r="E9" s="73" t="s">
        <v>286</v>
      </c>
      <c r="F9" s="156">
        <v>10</v>
      </c>
    </row>
    <row r="10" spans="1:6" x14ac:dyDescent="0.2">
      <c r="C10" s="194" t="s">
        <v>294</v>
      </c>
      <c r="E10" s="73" t="s">
        <v>4</v>
      </c>
      <c r="F10" s="213" t="s">
        <v>9</v>
      </c>
    </row>
    <row r="11" spans="1:6" x14ac:dyDescent="0.2">
      <c r="C11" s="194" t="s">
        <v>295</v>
      </c>
    </row>
    <row r="12" spans="1:6" ht="15" customHeight="1" x14ac:dyDescent="0.2">
      <c r="C12" s="194" t="s">
        <v>179</v>
      </c>
    </row>
    <row r="13" spans="1:6" x14ac:dyDescent="0.2">
      <c r="C13" s="194" t="s">
        <v>296</v>
      </c>
      <c r="E13" s="254"/>
      <c r="F13" s="254"/>
    </row>
    <row r="14" spans="1:6" ht="16" x14ac:dyDescent="0.2">
      <c r="C14" s="194" t="s">
        <v>203</v>
      </c>
      <c r="E14" s="257" t="s">
        <v>310</v>
      </c>
      <c r="F14" s="254"/>
    </row>
    <row r="15" spans="1:6" ht="16" x14ac:dyDescent="0.2">
      <c r="C15" s="194" t="s">
        <v>297</v>
      </c>
      <c r="E15" s="255" t="s">
        <v>309</v>
      </c>
      <c r="F15" s="256" t="s">
        <v>311</v>
      </c>
    </row>
  </sheetData>
  <mergeCells count="2">
    <mergeCell ref="C3:F3"/>
    <mergeCell ref="B2:F2"/>
  </mergeCells>
  <hyperlinks>
    <hyperlink ref="C5" r:id="rId1" location="Summary!A1" xr:uid="{AA1E7EEB-B74F-451A-9FC1-50CC2DF3DA64}"/>
    <hyperlink ref="C6" location="Valuation!A1" display="Valuation" xr:uid="{26B60B42-0951-44BA-B04D-0406032CC530}"/>
    <hyperlink ref="C7" location="Dashboard!A1" display="Dashboard" xr:uid="{22DA1A96-E6F1-4FC9-B7B1-FDFF75D290B5}"/>
    <hyperlink ref="C8" location="Revenue!A1" display="Revenue" xr:uid="{F27DD7D5-605B-4693-88F4-AE5EB7C6EECB}"/>
    <hyperlink ref="C9" location="Scenario!A1" display="Scenario" xr:uid="{71864F5F-A2DC-4809-A29E-4797EB4DF40A}"/>
    <hyperlink ref="C10" location="'Actual FS'!A1" display="Actual Financial Statement" xr:uid="{CFB38982-F26C-480C-BA87-173CB4E58E68}"/>
    <hyperlink ref="C11" location="'12-Month Projection'!A1" display="12-Month Projection" xr:uid="{45836ADB-3888-4C7B-8057-F76D174BCEDB}"/>
    <hyperlink ref="C12" location="Variance!A1" display="Variance Analysis" xr:uid="{33E4D721-55B1-44D8-BF54-D5F4BF34B7BB}"/>
    <hyperlink ref="C13" location="'Annual Forecast'!A1" display="Annual Forecast" xr:uid="{089C5FED-74A6-40EE-A5DD-F01A8B4954F8}"/>
    <hyperlink ref="C14" location="'Break Even'!A1" display="Breakeven Analysis" xr:uid="{AF4A2FC3-06AE-48C1-883E-A650E60BF50A}"/>
    <hyperlink ref="C15" location="Ratios!A1" display="Ratio Analysis" xr:uid="{851CA620-5095-4601-9AE5-D184122ED6EE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7584-E0FB-4BB3-ADBB-91E6E57FBEA1}">
  <dimension ref="A1:N2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2" customWidth="1"/>
    <col min="2" max="2" width="1.6640625" style="2" customWidth="1"/>
    <col min="3" max="3" width="32.5" style="2" bestFit="1" customWidth="1"/>
    <col min="4" max="14" width="12.6640625" style="2" customWidth="1"/>
    <col min="15" max="16384" width="9.1640625" style="2"/>
  </cols>
  <sheetData>
    <row r="1" spans="1:14" s="5" customFormat="1" x14ac:dyDescent="0.2">
      <c r="A1" s="116" t="s">
        <v>5</v>
      </c>
      <c r="C1" s="4"/>
    </row>
    <row r="2" spans="1:14" s="22" customFormat="1" ht="22" x14ac:dyDescent="0.2">
      <c r="A2" s="196" t="s">
        <v>308</v>
      </c>
      <c r="B2" s="296" t="str">
        <f>Profile!F6</f>
        <v>Person0811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</row>
    <row r="4" spans="1:14" s="9" customFormat="1" ht="19" x14ac:dyDescent="0.25">
      <c r="A4" s="153"/>
      <c r="C4" s="174" t="s">
        <v>6</v>
      </c>
      <c r="D4" s="35"/>
    </row>
    <row r="5" spans="1:14" s="9" customFormat="1" x14ac:dyDescent="0.2">
      <c r="A5" s="153"/>
      <c r="C5" s="175" t="str">
        <f>Formulas!A3</f>
        <v>Amounts in USD</v>
      </c>
      <c r="D5" s="35"/>
    </row>
    <row r="6" spans="1:14" s="9" customFormat="1" x14ac:dyDescent="0.2">
      <c r="A6" s="153"/>
      <c r="C6" s="10" t="s">
        <v>7</v>
      </c>
      <c r="D6" s="70" t="str">
        <f>Scenario!E6</f>
        <v>Base Case</v>
      </c>
    </row>
    <row r="7" spans="1:14" s="11" customFormat="1" x14ac:dyDescent="0.2">
      <c r="A7" s="197"/>
      <c r="C7" s="39" t="s">
        <v>8</v>
      </c>
      <c r="D7" s="41"/>
      <c r="E7" s="12">
        <f>Profile!F8</f>
        <v>2025</v>
      </c>
      <c r="F7" s="12">
        <f>Formulas!D9</f>
        <v>2026</v>
      </c>
      <c r="G7" s="12">
        <f>Formulas!E9</f>
        <v>2027</v>
      </c>
      <c r="H7" s="12">
        <f>Formulas!F9</f>
        <v>2028</v>
      </c>
      <c r="I7" s="12">
        <f>Formulas!G9</f>
        <v>2029</v>
      </c>
      <c r="J7" s="12">
        <f>Formulas!H9</f>
        <v>2030</v>
      </c>
      <c r="K7" s="12">
        <f>Formulas!I9</f>
        <v>2031</v>
      </c>
      <c r="L7" s="12">
        <f>Formulas!J9</f>
        <v>2032</v>
      </c>
      <c r="M7" s="12">
        <f>Formulas!K9</f>
        <v>2033</v>
      </c>
      <c r="N7" s="12">
        <f>Formulas!L9</f>
        <v>2034</v>
      </c>
    </row>
    <row r="8" spans="1:14" s="11" customFormat="1" ht="5" customHeight="1" x14ac:dyDescent="0.2">
      <c r="A8" s="197"/>
      <c r="C8" s="170"/>
      <c r="D8" s="171"/>
      <c r="E8" s="172"/>
      <c r="F8" s="172"/>
      <c r="G8" s="172"/>
      <c r="H8" s="172"/>
      <c r="I8" s="172"/>
      <c r="J8" s="172"/>
      <c r="K8" s="172"/>
      <c r="L8" s="172"/>
      <c r="M8" s="172"/>
      <c r="N8" s="172"/>
    </row>
    <row r="9" spans="1:14" s="9" customFormat="1" x14ac:dyDescent="0.2">
      <c r="A9" s="153"/>
      <c r="C9" s="35" t="s">
        <v>10</v>
      </c>
      <c r="D9" s="35"/>
      <c r="E9" s="13">
        <f>'Annual Forecast'!H10</f>
        <v>444500</v>
      </c>
      <c r="F9" s="14">
        <f>'Annual Forecast'!I10</f>
        <v>471170</v>
      </c>
      <c r="G9" s="14">
        <f>'Annual Forecast'!J10</f>
        <v>494728.5</v>
      </c>
      <c r="H9" s="14">
        <f>'Annual Forecast'!K10</f>
        <v>514517.64</v>
      </c>
      <c r="I9" s="14">
        <f>'Annual Forecast'!L10</f>
        <v>529953.1692</v>
      </c>
      <c r="J9" s="14">
        <f>'Annual Forecast'!M10</f>
        <v>545851.76427599997</v>
      </c>
      <c r="K9" s="14">
        <f>'Annual Forecast'!N10</f>
        <v>556768.79956151999</v>
      </c>
      <c r="L9" s="14">
        <f>'Annual Forecast'!O10</f>
        <v>567904.17555275036</v>
      </c>
      <c r="M9" s="14">
        <f>'Annual Forecast'!P10</f>
        <v>579262.25906380534</v>
      </c>
      <c r="N9" s="15">
        <f>'Annual Forecast'!Q10</f>
        <v>590847.50424508145</v>
      </c>
    </row>
    <row r="10" spans="1:14" s="9" customFormat="1" x14ac:dyDescent="0.2">
      <c r="A10" s="153"/>
      <c r="C10" s="35" t="s">
        <v>11</v>
      </c>
      <c r="D10" s="35"/>
      <c r="E10" s="13">
        <f>'Annual Forecast'!H18</f>
        <v>211137.5</v>
      </c>
      <c r="F10" s="14">
        <f>'Annual Forecast'!I18</f>
        <v>181400.45</v>
      </c>
      <c r="G10" s="14">
        <f>'Annual Forecast'!J18</f>
        <v>200365.04249999998</v>
      </c>
      <c r="H10" s="14">
        <f>'Annual Forecast'!K18</f>
        <v>218669.99700000003</v>
      </c>
      <c r="I10" s="14">
        <f>'Annual Forecast'!L18</f>
        <v>227879.86275599996</v>
      </c>
      <c r="J10" s="14">
        <f>'Annual Forecast'!M18</f>
        <v>245633.2939242</v>
      </c>
      <c r="K10" s="14">
        <f>'Annual Forecast'!N18</f>
        <v>250545.95980268402</v>
      </c>
      <c r="L10" s="14">
        <f>'Annual Forecast'!O18</f>
        <v>266914.96250979265</v>
      </c>
      <c r="M10" s="14">
        <f>'Annual Forecast'!P18</f>
        <v>272253.2617599885</v>
      </c>
      <c r="N10" s="15">
        <f>'Annual Forecast'!Q18</f>
        <v>280652.56451641367</v>
      </c>
    </row>
    <row r="11" spans="1:14" s="9" customFormat="1" x14ac:dyDescent="0.2">
      <c r="A11" s="153"/>
      <c r="C11" s="35" t="s">
        <v>12</v>
      </c>
      <c r="D11" s="35"/>
      <c r="E11" s="16">
        <f>IFERROR('Annual Forecast'!H19, "")</f>
        <v>0.47499999999999998</v>
      </c>
      <c r="F11" s="16">
        <f>IFERROR('Annual Forecast'!I19, "")</f>
        <v>0.38500000000000001</v>
      </c>
      <c r="G11" s="16">
        <f>IFERROR('Annual Forecast'!J19, "")</f>
        <v>0.40499999999999997</v>
      </c>
      <c r="H11" s="16">
        <f>IFERROR('Annual Forecast'!K19, "")</f>
        <v>0.42500000000000004</v>
      </c>
      <c r="I11" s="16">
        <f>IFERROR('Annual Forecast'!L19, "")</f>
        <v>0.42999999999999994</v>
      </c>
      <c r="J11" s="16">
        <f>IFERROR('Annual Forecast'!M19, "")</f>
        <v>0.45</v>
      </c>
      <c r="K11" s="16">
        <f>IFERROR('Annual Forecast'!N19, "")</f>
        <v>0.45000000000000007</v>
      </c>
      <c r="L11" s="16">
        <f>IFERROR('Annual Forecast'!O19, "")</f>
        <v>0.47</v>
      </c>
      <c r="M11" s="16">
        <f>IFERROR('Annual Forecast'!P19, "")</f>
        <v>0.47</v>
      </c>
      <c r="N11" s="17">
        <f>IFERROR('Annual Forecast'!Q19, "")</f>
        <v>0.47499999999999998</v>
      </c>
    </row>
    <row r="12" spans="1:14" s="9" customFormat="1" x14ac:dyDescent="0.2">
      <c r="A12" s="153"/>
      <c r="C12" s="35" t="s">
        <v>13</v>
      </c>
      <c r="D12" s="35"/>
      <c r="E12" s="13">
        <f>'Annual Forecast'!H29+'Annual Forecast'!H25</f>
        <v>104801.5</v>
      </c>
      <c r="F12" s="14">
        <f>'Annual Forecast'!I29+'Annual Forecast'!I25</f>
        <v>73784.290000000008</v>
      </c>
      <c r="G12" s="14">
        <f>'Annual Forecast'!J29+'Annual Forecast'!J25</f>
        <v>94091.71699999999</v>
      </c>
      <c r="H12" s="14">
        <f>'Annual Forecast'!K29+'Annual Forecast'!K25</f>
        <v>111545.73848000003</v>
      </c>
      <c r="I12" s="14">
        <f>'Annual Forecast'!L29+'Annual Forecast'!L25</f>
        <v>120091.87648039995</v>
      </c>
      <c r="J12" s="14">
        <f>'Annual Forecast'!M29+'Annual Forecast'!M25</f>
        <v>137161.66806033198</v>
      </c>
      <c r="K12" s="14">
        <f>'Annual Forecast'!N29+'Annual Forecast'!N25</f>
        <v>144388.74541934626</v>
      </c>
      <c r="L12" s="14">
        <f>'Annual Forecast'!O29+'Annual Forecast'!O25</f>
        <v>160334.60383878814</v>
      </c>
      <c r="M12" s="14">
        <f>'Annual Forecast'!P29+'Annual Forecast'!P25</f>
        <v>165241.29591556388</v>
      </c>
      <c r="N12" s="15">
        <f>'Annual Forecast'!Q29+'Annual Forecast'!Q25</f>
        <v>173200.35935510058</v>
      </c>
    </row>
    <row r="13" spans="1:14" s="9" customFormat="1" x14ac:dyDescent="0.2">
      <c r="A13" s="153"/>
      <c r="C13" s="35" t="s">
        <v>14</v>
      </c>
      <c r="D13" s="35"/>
      <c r="E13" s="13">
        <f>'Annual Forecast'!H36</f>
        <v>70583.137070392622</v>
      </c>
      <c r="F13" s="14">
        <f>'Annual Forecast'!I36</f>
        <v>46776.030000000006</v>
      </c>
      <c r="G13" s="14">
        <f>'Annual Forecast'!J36</f>
        <v>61265.553374999989</v>
      </c>
      <c r="H13" s="14">
        <f>'Annual Forecast'!K36</f>
        <v>73946.576516250017</v>
      </c>
      <c r="I13" s="14">
        <f>'Annual Forecast'!L36</f>
        <v>79374.697086862463</v>
      </c>
      <c r="J13" s="14">
        <f>'Annual Forecast'!M36</f>
        <v>90823.76436751461</v>
      </c>
      <c r="K13" s="14">
        <f>'Annual Forecast'!N36</f>
        <v>96224.130223982356</v>
      </c>
      <c r="L13" s="14">
        <f>'Annual Forecast'!O36</f>
        <v>109030.24913274833</v>
      </c>
      <c r="M13" s="14">
        <f>'Annual Forecast'!P36</f>
        <v>113857.82700155012</v>
      </c>
      <c r="N13" s="15">
        <f>'Annual Forecast'!Q36</f>
        <v>121170.2253084956</v>
      </c>
    </row>
    <row r="14" spans="1:14" s="9" customFormat="1" x14ac:dyDescent="0.2">
      <c r="A14" s="153"/>
      <c r="C14" s="35" t="s">
        <v>15</v>
      </c>
      <c r="D14" s="35"/>
      <c r="E14" s="16">
        <f>IFERROR('Annual Forecast'!H19,"")</f>
        <v>0.47499999999999998</v>
      </c>
      <c r="F14" s="16">
        <f>IFERROR('Annual Forecast'!I19,"")</f>
        <v>0.38500000000000001</v>
      </c>
      <c r="G14" s="16">
        <f>IFERROR('Annual Forecast'!J19,"")</f>
        <v>0.40499999999999997</v>
      </c>
      <c r="H14" s="16">
        <f>IFERROR('Annual Forecast'!K19,"")</f>
        <v>0.42500000000000004</v>
      </c>
      <c r="I14" s="16">
        <f>IFERROR('Annual Forecast'!L19,"")</f>
        <v>0.42999999999999994</v>
      </c>
      <c r="J14" s="16">
        <f>IFERROR('Annual Forecast'!M19,"")</f>
        <v>0.45</v>
      </c>
      <c r="K14" s="16">
        <f>IFERROR('Annual Forecast'!N19,"")</f>
        <v>0.45000000000000007</v>
      </c>
      <c r="L14" s="16">
        <f>IFERROR('Annual Forecast'!O19,"")</f>
        <v>0.47</v>
      </c>
      <c r="M14" s="16">
        <f>IFERROR('Annual Forecast'!P19,"")</f>
        <v>0.47</v>
      </c>
      <c r="N14" s="17">
        <f>IFERROR('Annual Forecast'!Q19,"")</f>
        <v>0.47499999999999998</v>
      </c>
    </row>
    <row r="15" spans="1:14" s="9" customFormat="1" x14ac:dyDescent="0.2">
      <c r="A15" s="153"/>
      <c r="C15" s="35"/>
      <c r="D15" s="35"/>
      <c r="E15" s="18"/>
      <c r="F15" s="19"/>
      <c r="G15" s="19"/>
      <c r="H15" s="19"/>
      <c r="I15" s="19"/>
      <c r="J15" s="19"/>
      <c r="K15" s="19"/>
      <c r="L15" s="19"/>
      <c r="M15" s="19"/>
      <c r="N15" s="20"/>
    </row>
    <row r="16" spans="1:14" s="9" customFormat="1" x14ac:dyDescent="0.2">
      <c r="A16" s="153"/>
      <c r="C16" s="35" t="s">
        <v>16</v>
      </c>
      <c r="D16" s="35"/>
      <c r="E16" s="13">
        <f>'Annual Forecast'!H92</f>
        <v>172720.59801668304</v>
      </c>
      <c r="F16" s="14">
        <f>'Annual Forecast'!I92</f>
        <v>201830.78584545015</v>
      </c>
      <c r="G16" s="14">
        <f>'Annual Forecast'!J92</f>
        <v>244850.40707036451</v>
      </c>
      <c r="H16" s="14">
        <f>'Annual Forecast'!K92</f>
        <v>295788.437294451</v>
      </c>
      <c r="I16" s="14">
        <f>'Annual Forecast'!L92</f>
        <v>353977.77857619163</v>
      </c>
      <c r="J16" s="14">
        <f>'Annual Forecast'!M92</f>
        <v>424755.89334532525</v>
      </c>
      <c r="K16" s="14">
        <f>'Annual Forecast'!N92</f>
        <v>495824.64514436235</v>
      </c>
      <c r="L16" s="14">
        <f>'Annual Forecast'!O92</f>
        <v>584949.77247521502</v>
      </c>
      <c r="M16" s="14">
        <f>'Annual Forecast'!P92</f>
        <v>673781.38831109076</v>
      </c>
      <c r="N16" s="15">
        <f>'Annual Forecast'!Q92</f>
        <v>773696.05955033994</v>
      </c>
    </row>
    <row r="17" spans="1:14" s="9" customFormat="1" x14ac:dyDescent="0.2">
      <c r="A17" s="153"/>
      <c r="C17" s="35" t="s">
        <v>17</v>
      </c>
      <c r="D17" s="35"/>
      <c r="E17" s="13">
        <f>Valuation!K17</f>
        <v>21473.719150051773</v>
      </c>
      <c r="F17" s="14">
        <f>Valuation!L17</f>
        <v>44151.592328767125</v>
      </c>
      <c r="G17" s="14">
        <f>Valuation!M17</f>
        <v>59959.454231164367</v>
      </c>
      <c r="H17" s="14">
        <f>Valuation!N17</f>
        <v>69505.016701524</v>
      </c>
      <c r="I17" s="14">
        <f>Valuation!O17</f>
        <v>77295.545844770008</v>
      </c>
      <c r="J17" s="14">
        <f>Valuation!P17</f>
        <v>91326.679424260801</v>
      </c>
      <c r="K17" s="14">
        <f>Valuation!Q17</f>
        <v>92152.371332634473</v>
      </c>
      <c r="L17" s="14">
        <f>Valuation!R17</f>
        <v>111854.66470076494</v>
      </c>
      <c r="M17" s="14">
        <f>Valuation!S17</f>
        <v>112010.28988610826</v>
      </c>
      <c r="N17" s="15">
        <f>Valuation!T17</f>
        <v>123915.20503552356</v>
      </c>
    </row>
    <row r="18" spans="1:14" s="9" customFormat="1" x14ac:dyDescent="0.2">
      <c r="A18" s="153"/>
      <c r="C18" s="35" t="s">
        <v>18</v>
      </c>
      <c r="D18" s="35"/>
      <c r="E18" s="136">
        <f>IFERROR(Valuation!$K$40/E9,0)</f>
        <v>0.64629786722905957</v>
      </c>
      <c r="F18" s="136">
        <f>IFERROR(Valuation!$K$40/F9,0)</f>
        <v>0.60971496908401845</v>
      </c>
      <c r="G18" s="136">
        <f>IFERROR(Valuation!$K$40/G9,0)</f>
        <v>0.58068092293716045</v>
      </c>
      <c r="H18" s="136">
        <f>IFERROR(Valuation!$K$40/H9,0)</f>
        <v>0.5583470412857312</v>
      </c>
      <c r="I18" s="136">
        <f>IFERROR(Valuation!$K$40/I9,0)</f>
        <v>0.54208450610265169</v>
      </c>
      <c r="J18" s="136">
        <f>IFERROR(Valuation!$K$40/J9,0)</f>
        <v>0.52629563699286575</v>
      </c>
      <c r="K18" s="136">
        <f>IFERROR(Valuation!$K$40/K9,0)</f>
        <v>0.51597611469888793</v>
      </c>
      <c r="L18" s="136">
        <f>IFERROR(Valuation!$K$40/L9,0)</f>
        <v>0.50585893597930198</v>
      </c>
      <c r="M18" s="136">
        <f>IFERROR(Valuation!$K$40/M9,0)</f>
        <v>0.49594013331304115</v>
      </c>
      <c r="N18" s="137">
        <f>IFERROR(Valuation!$K$40/N9,0)</f>
        <v>0.48621581697356975</v>
      </c>
    </row>
    <row r="19" spans="1:14" s="9" customFormat="1" x14ac:dyDescent="0.2">
      <c r="A19" s="153"/>
      <c r="C19" s="35" t="s">
        <v>248</v>
      </c>
      <c r="D19" s="35"/>
      <c r="E19" s="136">
        <f>IFERROR(Valuation!$K$40/E12,0)</f>
        <v>2.7411764333842261</v>
      </c>
      <c r="F19" s="136">
        <f>IFERROR(Valuation!$K$40/F12,0)</f>
        <v>3.8935036439778301</v>
      </c>
      <c r="G19" s="136">
        <f>IFERROR(Valuation!$K$40/G12,0)</f>
        <v>3.0531848194811562</v>
      </c>
      <c r="H19" s="136">
        <f>IFERROR(Valuation!$K$40/H12,0)</f>
        <v>2.5754404058638753</v>
      </c>
      <c r="I19" s="136">
        <f>IFERROR(Valuation!$K$40/I12,0)</f>
        <v>2.3921634868467021</v>
      </c>
      <c r="J19" s="136">
        <f>IFERROR(Valuation!$K$40/J12,0)</f>
        <v>2.0944583573958444</v>
      </c>
      <c r="K19" s="136">
        <f>IFERROR(Valuation!$K$40/K12,0)</f>
        <v>1.9896246147784951</v>
      </c>
      <c r="L19" s="136">
        <f>IFERROR(Valuation!$K$40/L12,0)</f>
        <v>1.7917492238429591</v>
      </c>
      <c r="M19" s="136">
        <f>IFERROR(Valuation!$K$40/M12,0)</f>
        <v>1.738544837666445</v>
      </c>
      <c r="N19" s="137">
        <f>IFERROR(Valuation!$K$40/N12,0)</f>
        <v>1.6586536139588957</v>
      </c>
    </row>
    <row r="20" spans="1:14" s="9" customFormat="1" x14ac:dyDescent="0.2">
      <c r="A20" s="153"/>
      <c r="C20" s="35"/>
      <c r="D20" s="35"/>
      <c r="E20" s="18"/>
      <c r="F20" s="19"/>
      <c r="G20" s="19"/>
      <c r="H20" s="19"/>
      <c r="I20" s="19"/>
      <c r="J20" s="19"/>
      <c r="K20" s="19"/>
      <c r="L20" s="19"/>
      <c r="M20" s="19"/>
      <c r="N20" s="20"/>
    </row>
    <row r="21" spans="1:14" s="9" customFormat="1" x14ac:dyDescent="0.2">
      <c r="A21" s="153"/>
      <c r="C21" s="35" t="s">
        <v>19</v>
      </c>
      <c r="D21" s="35"/>
      <c r="E21" s="16">
        <f>IFERROR(Formulas!C213,"")</f>
        <v>0.4152055079963442</v>
      </c>
      <c r="F21" s="16">
        <f>IFERROR(Formulas!D213,"")</f>
        <v>0.22300285991262167</v>
      </c>
      <c r="G21" s="16">
        <f>IFERROR(Formulas!E213,"")</f>
        <v>0.23398891070403685</v>
      </c>
      <c r="H21" s="16">
        <f>IFERROR(Formulas!F213,"")</f>
        <v>0.22774824619783651</v>
      </c>
      <c r="I21" s="16">
        <f>IFERROR(Formulas!G213,"")</f>
        <v>0.20240690613917484</v>
      </c>
      <c r="J21" s="16">
        <f>IFERROR(Formulas!H213,"")</f>
        <v>0.19350790096539439</v>
      </c>
      <c r="K21" s="16">
        <f>IFERROR(Formulas!I213,"")</f>
        <v>0.17458956210958615</v>
      </c>
      <c r="L21" s="16">
        <f>IFERROR(Formulas!J213,"")</f>
        <v>0.16934882663059878</v>
      </c>
      <c r="M21" s="16">
        <f>IFERROR(Formulas!K213,"")</f>
        <v>0.15373734502556483</v>
      </c>
      <c r="N21" s="17">
        <f>IFERROR(Formulas!L213,"")</f>
        <v>0.14363565100522191</v>
      </c>
    </row>
    <row r="22" spans="1:14" s="9" customFormat="1" x14ac:dyDescent="0.2">
      <c r="A22" s="153"/>
      <c r="C22" s="35" t="s">
        <v>20</v>
      </c>
      <c r="D22" s="35"/>
      <c r="E22" s="16">
        <f>IFERROR(Formulas!C215,"")</f>
        <v>0.32426124525741168</v>
      </c>
      <c r="F22" s="16">
        <f>IFERROR(Formulas!D215,"")</f>
        <v>0.18881147567974585</v>
      </c>
      <c r="G22" s="16">
        <f>IFERROR(Formulas!E215,"")</f>
        <v>0.20639391332732238</v>
      </c>
      <c r="H22" s="16">
        <f>IFERROR(Formulas!F215,"")</f>
        <v>0.20785801801270692</v>
      </c>
      <c r="I22" s="16">
        <f>IFERROR(Formulas!G215,"")</f>
        <v>0.18968493582628626</v>
      </c>
      <c r="J22" s="16">
        <f>IFERROR(Formulas!H215,"")</f>
        <v>0.1847736473990218</v>
      </c>
      <c r="K22" s="16">
        <f>IFERROR(Formulas!I215,"")</f>
        <v>0.16916169219956853</v>
      </c>
      <c r="L22" s="16">
        <f>IFERROR(Formulas!J215,"")</f>
        <v>0.16580008646378522</v>
      </c>
      <c r="M22" s="16">
        <f>IFERROR(Formulas!K215,"")</f>
        <v>0.15177723276761548</v>
      </c>
      <c r="N22" s="17">
        <f>IFERROR(Formulas!L215,"")</f>
        <v>0.14267781137218116</v>
      </c>
    </row>
  </sheetData>
  <mergeCells count="1">
    <mergeCell ref="B2:N2"/>
  </mergeCells>
  <dataValidations count="1">
    <dataValidation showInputMessage="1" showErrorMessage="1" sqref="D6" xr:uid="{6A12E9B2-0F86-427C-BCC5-B4867AEBC26E}"/>
  </dataValidation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57D13718-815A-44D2-827E-760E4BD43DE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Summary!E9:N9</xm:f>
              <xm:sqref>D9</xm:sqref>
            </x14:sparkline>
          </x14:sparklines>
        </x14:sparklineGroup>
        <x14:sparklineGroup type="column" displayEmptyCellsAs="gap" negative="1" xr2:uid="{36215DF1-3BB1-4E81-BE8D-280F989CB50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Summary!E10:N10</xm:f>
              <xm:sqref>D10</xm:sqref>
            </x14:sparkline>
          </x14:sparklines>
        </x14:sparklineGroup>
        <x14:sparklineGroup type="column" displayEmptyCellsAs="gap" negative="1" xr2:uid="{8D63FE09-AF20-4979-A5AB-25563E35BD1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Summary!E12:N12</xm:f>
              <xm:sqref>D12</xm:sqref>
            </x14:sparkline>
          </x14:sparklines>
        </x14:sparklineGroup>
        <x14:sparklineGroup type="column" displayEmptyCellsAs="gap" negative="1" xr2:uid="{A0B712D0-B27B-4CAC-B255-660E66871A9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Summary!E13:N13</xm:f>
              <xm:sqref>D13</xm:sqref>
            </x14:sparkline>
          </x14:sparklines>
        </x14:sparklineGroup>
        <x14:sparklineGroup type="column" displayEmptyCellsAs="gap" negative="1" xr2:uid="{D2C8A419-00C6-4BB2-9949-8803C862947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Summary!E16:N16</xm:f>
              <xm:sqref>D16</xm:sqref>
            </x14:sparkline>
          </x14:sparklines>
        </x14:sparklineGroup>
        <x14:sparklineGroup type="column" displayEmptyCellsAs="gap" negative="1" xr2:uid="{9E514C10-152E-4EA7-B83E-DA9103C9F55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Summary!E17:N17</xm:f>
              <xm:sqref>D17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B0BF-F2C5-46BC-9E5E-02DE81495AAC}">
  <sheetPr>
    <tabColor theme="3" tint="0.499984740745262"/>
    <pageSetUpPr fitToPage="1"/>
  </sheetPr>
  <dimension ref="A1:T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V19" sqref="V19"/>
    </sheetView>
  </sheetViews>
  <sheetFormatPr baseColWidth="10" defaultColWidth="9.1640625" defaultRowHeight="15" x14ac:dyDescent="0.2"/>
  <cols>
    <col min="1" max="1" width="20.6640625" style="22" customWidth="1"/>
    <col min="2" max="3" width="1.6640625" style="2" customWidth="1"/>
    <col min="4" max="4" width="26" style="2" customWidth="1"/>
    <col min="5" max="5" width="11.33203125" style="2" customWidth="1"/>
    <col min="6" max="8" width="1.6640625" style="2" customWidth="1"/>
    <col min="9" max="9" width="12.6640625" style="2" customWidth="1"/>
    <col min="10" max="10" width="10.6640625" style="2" customWidth="1"/>
    <col min="11" max="20" width="12.6640625" style="2" customWidth="1"/>
    <col min="21" max="16384" width="9.1640625" style="2"/>
  </cols>
  <sheetData>
    <row r="1" spans="1:20" s="5" customFormat="1" x14ac:dyDescent="0.2">
      <c r="A1" s="116" t="s">
        <v>5</v>
      </c>
      <c r="C1" s="4"/>
    </row>
    <row r="2" spans="1:20" s="22" customFormat="1" ht="22" x14ac:dyDescent="0.2">
      <c r="A2" s="196" t="s">
        <v>308</v>
      </c>
      <c r="B2" s="296" t="str">
        <f>Profile!F6</f>
        <v>Person0811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</row>
    <row r="4" spans="1:20" ht="19" x14ac:dyDescent="0.25">
      <c r="C4" s="174" t="s">
        <v>28</v>
      </c>
      <c r="D4" s="35"/>
      <c r="E4" s="35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s="28" customFormat="1" ht="14" x14ac:dyDescent="0.2">
      <c r="A5" s="198"/>
      <c r="C5" s="175" t="str">
        <f>Formulas!A3</f>
        <v>Amounts in USD</v>
      </c>
      <c r="D5" s="176"/>
      <c r="E5" s="17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1:20" x14ac:dyDescent="0.2">
      <c r="C6" s="9"/>
      <c r="D6" s="10" t="s">
        <v>7</v>
      </c>
      <c r="E6" s="70" t="str">
        <f>Scenario!E6</f>
        <v>Base Case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x14ac:dyDescent="0.2">
      <c r="C7" s="39" t="s">
        <v>29</v>
      </c>
      <c r="D7" s="40"/>
      <c r="E7" s="5"/>
      <c r="F7" s="5"/>
      <c r="G7" s="5"/>
      <c r="H7" s="5"/>
      <c r="I7" s="5"/>
      <c r="J7" s="5"/>
      <c r="K7" s="12">
        <f>Profile!F8</f>
        <v>2025</v>
      </c>
      <c r="L7" s="12">
        <f>Formulas!D9</f>
        <v>2026</v>
      </c>
      <c r="M7" s="12">
        <f>Formulas!E9</f>
        <v>2027</v>
      </c>
      <c r="N7" s="12">
        <f>Formulas!F9</f>
        <v>2028</v>
      </c>
      <c r="O7" s="12">
        <f>Formulas!G9</f>
        <v>2029</v>
      </c>
      <c r="P7" s="12">
        <f>Formulas!H9</f>
        <v>2030</v>
      </c>
      <c r="Q7" s="12">
        <f>Formulas!I9</f>
        <v>2031</v>
      </c>
      <c r="R7" s="12">
        <f>Formulas!J9</f>
        <v>2032</v>
      </c>
      <c r="S7" s="12">
        <f>Formulas!K9</f>
        <v>2033</v>
      </c>
      <c r="T7" s="12">
        <f>Formulas!L9</f>
        <v>2034</v>
      </c>
    </row>
    <row r="8" spans="1:20" s="3" customFormat="1" ht="5" customHeight="1" x14ac:dyDescent="0.2">
      <c r="A8" s="199"/>
      <c r="C8" s="177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</row>
    <row r="9" spans="1:20" x14ac:dyDescent="0.2">
      <c r="C9" s="35"/>
      <c r="D9" s="35" t="s">
        <v>30</v>
      </c>
      <c r="E9" s="35"/>
      <c r="F9" s="35"/>
      <c r="G9" s="35"/>
      <c r="H9" s="35"/>
      <c r="I9" s="34"/>
      <c r="J9" s="34"/>
      <c r="K9" s="315">
        <f>'Annual Forecast'!H33</f>
        <v>94110.849427190158</v>
      </c>
      <c r="L9" s="316">
        <f>'Annual Forecast'!I33</f>
        <v>62368.040000000008</v>
      </c>
      <c r="M9" s="316">
        <f>'Annual Forecast'!J33</f>
        <v>81687.40449999999</v>
      </c>
      <c r="N9" s="316">
        <f>'Annual Forecast'!K33</f>
        <v>98595.435355000023</v>
      </c>
      <c r="O9" s="317">
        <f>'Annual Forecast'!L33</f>
        <v>105832.92944914995</v>
      </c>
      <c r="P9" s="316">
        <f>'Annual Forecast'!M33</f>
        <v>121098.35249001949</v>
      </c>
      <c r="Q9" s="316">
        <f>'Annual Forecast'!N33</f>
        <v>128298.84029864313</v>
      </c>
      <c r="R9" s="316">
        <f>'Annual Forecast'!O33</f>
        <v>145373.66551033111</v>
      </c>
      <c r="S9" s="316">
        <f>'Annual Forecast'!P33</f>
        <v>151810.43600206682</v>
      </c>
      <c r="T9" s="318">
        <f>'Annual Forecast'!Q33</f>
        <v>161560.30041132748</v>
      </c>
    </row>
    <row r="10" spans="1:20" x14ac:dyDescent="0.2">
      <c r="C10" s="35"/>
      <c r="D10" s="35" t="s">
        <v>31</v>
      </c>
      <c r="E10" s="35"/>
      <c r="F10" s="35"/>
      <c r="G10" s="35"/>
      <c r="H10" s="35"/>
      <c r="I10" s="34"/>
      <c r="J10" s="34"/>
      <c r="K10" s="315">
        <f>'Annual Forecast'!H32</f>
        <v>3165.6505728098414</v>
      </c>
      <c r="L10" s="316">
        <f>'Annual Forecast'!I32</f>
        <v>3025.0000000000018</v>
      </c>
      <c r="M10" s="316">
        <f>'Annual Forecast'!J32</f>
        <v>2750.0000000000018</v>
      </c>
      <c r="N10" s="316">
        <f>'Annual Forecast'!K32</f>
        <v>2475.0000000000018</v>
      </c>
      <c r="O10" s="317">
        <f>'Annual Forecast'!L32</f>
        <v>2200.0000000000018</v>
      </c>
      <c r="P10" s="316">
        <f>'Annual Forecast'!M32</f>
        <v>1925.0000000000016</v>
      </c>
      <c r="Q10" s="316">
        <f>'Annual Forecast'!N32</f>
        <v>1650.0000000000016</v>
      </c>
      <c r="R10" s="316">
        <f>'Annual Forecast'!O32</f>
        <v>1375.0000000000016</v>
      </c>
      <c r="S10" s="316">
        <f>'Annual Forecast'!P32</f>
        <v>1100.0000000000016</v>
      </c>
      <c r="T10" s="318">
        <f>'Annual Forecast'!Q32</f>
        <v>825.00000000000159</v>
      </c>
    </row>
    <row r="11" spans="1:20" s="21" customFormat="1" x14ac:dyDescent="0.2">
      <c r="A11" s="200"/>
      <c r="C11" s="34" t="s">
        <v>32</v>
      </c>
      <c r="D11" s="34"/>
      <c r="E11" s="34"/>
      <c r="F11" s="34"/>
      <c r="G11" s="34"/>
      <c r="H11" s="34"/>
      <c r="I11" s="34"/>
      <c r="J11" s="34"/>
      <c r="K11" s="319">
        <f>SUM(K9+K10)</f>
        <v>97276.5</v>
      </c>
      <c r="L11" s="320">
        <f t="shared" ref="L11:T11" si="0">SUM(L9+L10)</f>
        <v>65393.040000000008</v>
      </c>
      <c r="M11" s="320">
        <f t="shared" si="0"/>
        <v>84437.40449999999</v>
      </c>
      <c r="N11" s="320">
        <f t="shared" si="0"/>
        <v>101070.43535500002</v>
      </c>
      <c r="O11" s="321">
        <f>SUM(O9+O10)</f>
        <v>108032.92944914995</v>
      </c>
      <c r="P11" s="320">
        <f t="shared" si="0"/>
        <v>123023.35249001949</v>
      </c>
      <c r="Q11" s="320">
        <f t="shared" si="0"/>
        <v>129948.84029864313</v>
      </c>
      <c r="R11" s="320">
        <f t="shared" si="0"/>
        <v>146748.66551033111</v>
      </c>
      <c r="S11" s="320">
        <f t="shared" si="0"/>
        <v>152910.43600206682</v>
      </c>
      <c r="T11" s="322">
        <f t="shared" si="0"/>
        <v>162385.30041132748</v>
      </c>
    </row>
    <row r="12" spans="1:20" x14ac:dyDescent="0.2">
      <c r="C12" s="35"/>
      <c r="D12" s="35" t="s">
        <v>33</v>
      </c>
      <c r="E12" s="35"/>
      <c r="F12" s="35"/>
      <c r="G12" s="35"/>
      <c r="H12" s="35"/>
      <c r="I12" s="34"/>
      <c r="J12" s="34"/>
      <c r="K12" s="315">
        <f>'Annual Forecast'!H35</f>
        <v>23527.71235679754</v>
      </c>
      <c r="L12" s="316">
        <f>'Annual Forecast'!I35</f>
        <v>15592.010000000002</v>
      </c>
      <c r="M12" s="316">
        <f>'Annual Forecast'!J35</f>
        <v>20421.851124999997</v>
      </c>
      <c r="N12" s="316">
        <f>'Annual Forecast'!K35</f>
        <v>24648.858838750006</v>
      </c>
      <c r="O12" s="317">
        <f>'Annual Forecast'!L35</f>
        <v>26458.232362287486</v>
      </c>
      <c r="P12" s="316">
        <f>'Annual Forecast'!M35</f>
        <v>30274.588122504872</v>
      </c>
      <c r="Q12" s="316">
        <f>'Annual Forecast'!N35</f>
        <v>32074.710074660783</v>
      </c>
      <c r="R12" s="316">
        <f>'Annual Forecast'!O35</f>
        <v>36343.416377582776</v>
      </c>
      <c r="S12" s="316">
        <f>'Annual Forecast'!P35</f>
        <v>37952.609000516706</v>
      </c>
      <c r="T12" s="318">
        <f>'Annual Forecast'!Q35</f>
        <v>40390.07510283187</v>
      </c>
    </row>
    <row r="13" spans="1:20" x14ac:dyDescent="0.2">
      <c r="C13" s="35"/>
      <c r="D13" s="35" t="s">
        <v>237</v>
      </c>
      <c r="E13" s="35"/>
      <c r="F13" s="35"/>
      <c r="G13" s="35"/>
      <c r="H13" s="35"/>
      <c r="I13" s="34"/>
      <c r="J13" s="34"/>
      <c r="K13" s="315">
        <f>'Annual Forecast'!H25</f>
        <v>7524.9999999999991</v>
      </c>
      <c r="L13" s="316">
        <f>'Annual Forecast'!I25</f>
        <v>8391.2500000000018</v>
      </c>
      <c r="M13" s="316">
        <f>'Annual Forecast'!J25</f>
        <v>9654.3125000000018</v>
      </c>
      <c r="N13" s="316">
        <f>'Annual Forecast'!K25</f>
        <v>10475.303125000002</v>
      </c>
      <c r="O13" s="317">
        <f>'Annual Forecast'!L25</f>
        <v>12058.947031250002</v>
      </c>
      <c r="P13" s="316">
        <f>'Annual Forecast'!M25</f>
        <v>14138.315570312501</v>
      </c>
      <c r="Q13" s="316">
        <f>'Annual Forecast'!N25</f>
        <v>14439.905120703124</v>
      </c>
      <c r="R13" s="316">
        <f>'Annual Forecast'!O25</f>
        <v>13585.938328457032</v>
      </c>
      <c r="S13" s="316">
        <f>'Annual Forecast'!P25</f>
        <v>12330.85991349707</v>
      </c>
      <c r="T13" s="318">
        <f>'Annual Forecast'!Q25</f>
        <v>10815.058943773094</v>
      </c>
    </row>
    <row r="14" spans="1:20" s="21" customFormat="1" x14ac:dyDescent="0.2">
      <c r="A14" s="200"/>
      <c r="C14" s="34" t="s">
        <v>13</v>
      </c>
      <c r="D14" s="34"/>
      <c r="E14" s="34"/>
      <c r="F14" s="34"/>
      <c r="G14" s="34"/>
      <c r="H14" s="34"/>
      <c r="I14" s="34"/>
      <c r="J14" s="34"/>
      <c r="K14" s="319">
        <f>K11-K12+K13</f>
        <v>81273.787643202464</v>
      </c>
      <c r="L14" s="320">
        <f t="shared" ref="L14:T14" si="1">L11-L12+L13</f>
        <v>58192.280000000006</v>
      </c>
      <c r="M14" s="320">
        <f t="shared" si="1"/>
        <v>73669.865874999989</v>
      </c>
      <c r="N14" s="320">
        <f t="shared" si="1"/>
        <v>86896.879641250023</v>
      </c>
      <c r="O14" s="321">
        <f>O11-O12+O13</f>
        <v>93633.644118112468</v>
      </c>
      <c r="P14" s="320">
        <f t="shared" si="1"/>
        <v>106887.0799378271</v>
      </c>
      <c r="Q14" s="320">
        <f t="shared" si="1"/>
        <v>112314.03534468549</v>
      </c>
      <c r="R14" s="320">
        <f t="shared" si="1"/>
        <v>123991.18746120537</v>
      </c>
      <c r="S14" s="320">
        <f t="shared" si="1"/>
        <v>127288.68691504719</v>
      </c>
      <c r="T14" s="322">
        <f t="shared" si="1"/>
        <v>132810.2842522687</v>
      </c>
    </row>
    <row r="15" spans="1:20" x14ac:dyDescent="0.2">
      <c r="C15" s="35"/>
      <c r="D15" s="35" t="s">
        <v>34</v>
      </c>
      <c r="E15" s="35"/>
      <c r="F15" s="35"/>
      <c r="G15" s="35"/>
      <c r="H15" s="35"/>
      <c r="I15" s="34"/>
      <c r="J15" s="34"/>
      <c r="K15" s="323">
        <f>-'Annual Forecast'!H81</f>
        <v>21500.000000000007</v>
      </c>
      <c r="L15" s="324">
        <f>-'Annual Forecast'!I81</f>
        <v>10000</v>
      </c>
      <c r="M15" s="324">
        <f>-'Annual Forecast'!J81</f>
        <v>12000</v>
      </c>
      <c r="N15" s="324">
        <f>-'Annual Forecast'!K81</f>
        <v>12000</v>
      </c>
      <c r="O15" s="325">
        <f>-'Annual Forecast'!L81</f>
        <v>15000</v>
      </c>
      <c r="P15" s="324">
        <f>-'Annual Forecast'!M81</f>
        <v>18000</v>
      </c>
      <c r="Q15" s="324">
        <f>-'Annual Forecast'!N81</f>
        <v>15000</v>
      </c>
      <c r="R15" s="324">
        <f>-'Annual Forecast'!O81</f>
        <v>12000</v>
      </c>
      <c r="S15" s="324">
        <f>-'Annual Forecast'!P81</f>
        <v>10000</v>
      </c>
      <c r="T15" s="326">
        <f>-'Annual Forecast'!Q81</f>
        <v>8000</v>
      </c>
    </row>
    <row r="16" spans="1:20" x14ac:dyDescent="0.2">
      <c r="C16" s="35"/>
      <c r="D16" s="35" t="s">
        <v>238</v>
      </c>
      <c r="E16" s="35"/>
      <c r="F16" s="35"/>
      <c r="G16" s="35"/>
      <c r="H16" s="35"/>
      <c r="I16" s="34"/>
      <c r="J16" s="34"/>
      <c r="K16" s="315">
        <f>-SUM('Annual Forecast'!H74:H77)</f>
        <v>38300.068493150684</v>
      </c>
      <c r="L16" s="316">
        <f>-SUM('Annual Forecast'!I74:I77)</f>
        <v>4040.6876712328813</v>
      </c>
      <c r="M16" s="316">
        <f>-SUM('Annual Forecast'!J74:J77)</f>
        <v>1710.4116438356214</v>
      </c>
      <c r="N16" s="316">
        <f>-SUM('Annual Forecast'!K74:K77)</f>
        <v>5391.8629397260265</v>
      </c>
      <c r="O16" s="317">
        <f>-SUM('Annual Forecast'!L74:L77)</f>
        <v>1338.0982733424571</v>
      </c>
      <c r="P16" s="316">
        <f>-SUM('Annual Forecast'!M74:M77)</f>
        <v>-2439.5994864337008</v>
      </c>
      <c r="Q16" s="316">
        <f>-SUM('Annual Forecast'!N74:N77)</f>
        <v>5161.6640120510092</v>
      </c>
      <c r="R16" s="316">
        <f>-SUM('Annual Forecast'!O74:O77)</f>
        <v>136.52276044041719</v>
      </c>
      <c r="S16" s="316">
        <f>-SUM('Annual Forecast'!P74:P77)</f>
        <v>5278.397028938929</v>
      </c>
      <c r="T16" s="318">
        <f>-SUM('Annual Forecast'!Q74:Q77)</f>
        <v>895.07921674514728</v>
      </c>
    </row>
    <row r="17" spans="1:20" s="21" customFormat="1" x14ac:dyDescent="0.2">
      <c r="A17" s="200"/>
      <c r="C17" s="34" t="s">
        <v>35</v>
      </c>
      <c r="D17" s="34"/>
      <c r="E17" s="34"/>
      <c r="F17" s="34"/>
      <c r="G17" s="34"/>
      <c r="H17" s="34"/>
      <c r="I17" s="34"/>
      <c r="J17" s="34"/>
      <c r="K17" s="327">
        <f>K14-K15-K16</f>
        <v>21473.719150051773</v>
      </c>
      <c r="L17" s="328">
        <f t="shared" ref="L17:T17" si="2">L14-L15-L16</f>
        <v>44151.592328767125</v>
      </c>
      <c r="M17" s="328">
        <f t="shared" si="2"/>
        <v>59959.454231164367</v>
      </c>
      <c r="N17" s="328">
        <f t="shared" si="2"/>
        <v>69505.016701524</v>
      </c>
      <c r="O17" s="329">
        <f>O14-O15-O16</f>
        <v>77295.545844770008</v>
      </c>
      <c r="P17" s="328">
        <f t="shared" si="2"/>
        <v>91326.679424260801</v>
      </c>
      <c r="Q17" s="328">
        <f t="shared" si="2"/>
        <v>92152.371332634473</v>
      </c>
      <c r="R17" s="328">
        <f t="shared" si="2"/>
        <v>111854.66470076494</v>
      </c>
      <c r="S17" s="328">
        <f t="shared" si="2"/>
        <v>112010.28988610826</v>
      </c>
      <c r="T17" s="330">
        <f t="shared" si="2"/>
        <v>123915.20503552356</v>
      </c>
    </row>
    <row r="18" spans="1:20" x14ac:dyDescent="0.2">
      <c r="C18" s="35"/>
      <c r="D18" s="35" t="s">
        <v>261</v>
      </c>
      <c r="E18" s="35"/>
      <c r="F18" s="35"/>
      <c r="G18" s="35"/>
      <c r="H18" s="35"/>
      <c r="I18" s="35"/>
      <c r="J18" s="35"/>
      <c r="K18" s="331">
        <f>K14*$K$26*Formulas!C12</f>
        <v>0</v>
      </c>
      <c r="L18" s="331">
        <f>L14*$K$26*Formulas!D12</f>
        <v>0</v>
      </c>
      <c r="M18" s="331">
        <f>M14*$K$26*Formulas!E12</f>
        <v>0</v>
      </c>
      <c r="N18" s="331">
        <f>N14*$K$26*Formulas!F12</f>
        <v>0</v>
      </c>
      <c r="O18" s="332">
        <f>O14*$K$26*Formulas!G12</f>
        <v>0</v>
      </c>
      <c r="P18" s="333">
        <f>P14*$K$26*Formulas!H12</f>
        <v>0</v>
      </c>
      <c r="Q18" s="333">
        <f>Q14*$K$26*Formulas!I12</f>
        <v>0</v>
      </c>
      <c r="R18" s="333">
        <f>R14*$K$26*Formulas!J12</f>
        <v>0</v>
      </c>
      <c r="S18" s="333">
        <f>S14*$K$26*Formulas!K12</f>
        <v>0</v>
      </c>
      <c r="T18" s="326">
        <f>T14*$K$26*Formulas!L12</f>
        <v>398430.85275680607</v>
      </c>
    </row>
    <row r="19" spans="1:20" s="21" customFormat="1" x14ac:dyDescent="0.2">
      <c r="A19" s="200"/>
      <c r="C19" s="34" t="s">
        <v>37</v>
      </c>
      <c r="D19" s="34"/>
      <c r="E19" s="34"/>
      <c r="F19" s="34"/>
      <c r="G19" s="34"/>
      <c r="H19" s="34"/>
      <c r="I19" s="34"/>
      <c r="J19" s="131">
        <f>-K40</f>
        <v>-287279.40198331699</v>
      </c>
      <c r="K19" s="319">
        <f>K17+K18</f>
        <v>21473.719150051773</v>
      </c>
      <c r="L19" s="319">
        <f t="shared" ref="L19:N19" si="3">L17+L18</f>
        <v>44151.592328767125</v>
      </c>
      <c r="M19" s="319">
        <f t="shared" si="3"/>
        <v>59959.454231164367</v>
      </c>
      <c r="N19" s="319">
        <f t="shared" si="3"/>
        <v>69505.016701524</v>
      </c>
      <c r="O19" s="321">
        <f>O17+O18</f>
        <v>77295.545844770008</v>
      </c>
      <c r="P19" s="320">
        <f>P17+P18</f>
        <v>91326.679424260801</v>
      </c>
      <c r="Q19" s="320">
        <f t="shared" ref="Q19:T19" si="4">Q17+Q18</f>
        <v>92152.371332634473</v>
      </c>
      <c r="R19" s="320">
        <f t="shared" si="4"/>
        <v>111854.66470076494</v>
      </c>
      <c r="S19" s="320">
        <f t="shared" si="4"/>
        <v>112010.28988610826</v>
      </c>
      <c r="T19" s="322">
        <f t="shared" si="4"/>
        <v>522346.05779232964</v>
      </c>
    </row>
    <row r="20" spans="1:20" s="21" customFormat="1" x14ac:dyDescent="0.2">
      <c r="A20" s="200"/>
      <c r="C20" s="34"/>
      <c r="D20" s="34"/>
      <c r="E20" s="34"/>
      <c r="F20" s="34"/>
      <c r="G20" s="34"/>
      <c r="H20" s="34"/>
      <c r="I20" s="133"/>
      <c r="J20" s="133"/>
      <c r="K20" s="334"/>
      <c r="L20" s="335"/>
      <c r="M20" s="335"/>
      <c r="N20" s="335"/>
      <c r="O20" s="336"/>
      <c r="P20" s="335"/>
      <c r="Q20" s="335"/>
      <c r="R20" s="335"/>
      <c r="S20" s="335"/>
      <c r="T20" s="337"/>
    </row>
    <row r="21" spans="1:20" s="21" customFormat="1" x14ac:dyDescent="0.2">
      <c r="A21" s="200"/>
      <c r="C21" s="34"/>
      <c r="D21" s="35" t="s">
        <v>256</v>
      </c>
      <c r="E21" s="34"/>
      <c r="F21" s="34"/>
      <c r="G21" s="34"/>
      <c r="H21" s="34"/>
      <c r="I21" s="34"/>
      <c r="J21" s="34"/>
      <c r="K21" s="338">
        <f>K18/(1+$E$40)^Formulas!C13</f>
        <v>0</v>
      </c>
      <c r="L21" s="338">
        <f>L18/(1+$E$40)^Formulas!D13</f>
        <v>0</v>
      </c>
      <c r="M21" s="338">
        <f>M18/(1+$E$40)^Formulas!E13</f>
        <v>0</v>
      </c>
      <c r="N21" s="338">
        <f>N18/(1+$E$40)^Formulas!F13</f>
        <v>0</v>
      </c>
      <c r="O21" s="339">
        <f>O18/(1+$E$40)^Formulas!G13</f>
        <v>0</v>
      </c>
      <c r="P21" s="338">
        <f>P18/(1+$E$40)^Formulas!H13</f>
        <v>0</v>
      </c>
      <c r="Q21" s="338">
        <f>Q18/(1+$E$40)^Formulas!I13</f>
        <v>0</v>
      </c>
      <c r="R21" s="338">
        <f>R18/(1+$E$40)^Formulas!J13</f>
        <v>0</v>
      </c>
      <c r="S21" s="338">
        <f>S18/(1+$E$40)^Formulas!K13</f>
        <v>0</v>
      </c>
      <c r="T21" s="340">
        <f>T18/(1+$E$40)^Formulas!L13</f>
        <v>186007.64443292117</v>
      </c>
    </row>
    <row r="22" spans="1:20" s="135" customFormat="1" x14ac:dyDescent="0.2">
      <c r="A22" s="201"/>
      <c r="C22" s="134"/>
      <c r="D22" s="134" t="s">
        <v>257</v>
      </c>
      <c r="E22" s="134"/>
      <c r="F22" s="134"/>
      <c r="G22" s="134"/>
      <c r="H22" s="134"/>
      <c r="I22" s="34"/>
      <c r="J22" s="34"/>
      <c r="K22" s="341">
        <f>K19/(1+$E$40)^Formulas!C13</f>
        <v>21473.719150051773</v>
      </c>
      <c r="L22" s="342">
        <f>L19/(1+$E$40)^Formulas!D13</f>
        <v>40568.444157989412</v>
      </c>
      <c r="M22" s="342">
        <f>M19/(1+$E$40)^Formulas!E13</f>
        <v>50622.272090008446</v>
      </c>
      <c r="N22" s="342">
        <f>N19/(1+$E$40)^Formulas!F13</f>
        <v>53919.033150310614</v>
      </c>
      <c r="O22" s="343">
        <f>O19/(1+$E$40)^Formulas!G13</f>
        <v>55096.29480460794</v>
      </c>
      <c r="P22" s="342">
        <f>P19/(1+$E$40)^Formulas!H13</f>
        <v>59814.651118837704</v>
      </c>
      <c r="Q22" s="342">
        <f>Q19/(1+$E$40)^Formulas!I13</f>
        <v>55457.259348860607</v>
      </c>
      <c r="R22" s="342">
        <f>R19/(1+$E$40)^Formulas!J13</f>
        <v>61851.177167684073</v>
      </c>
      <c r="S22" s="342">
        <f>S19/(1+$E$40)^Formulas!K13</f>
        <v>56910.679615595502</v>
      </c>
      <c r="T22" s="340">
        <f>T19/(1+$E$40)^Formulas!L13</f>
        <v>243857.52036145257</v>
      </c>
    </row>
    <row r="23" spans="1:20" x14ac:dyDescent="0.2"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ht="19" x14ac:dyDescent="0.25">
      <c r="C24" s="178" t="s">
        <v>28</v>
      </c>
      <c r="D24" s="179"/>
      <c r="E24" s="17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2">
      <c r="C25" s="42" t="s">
        <v>38</v>
      </c>
      <c r="D25" s="5"/>
      <c r="E25" s="5"/>
      <c r="G25" s="42" t="s">
        <v>51</v>
      </c>
      <c r="H25" s="5"/>
      <c r="I25" s="5"/>
      <c r="J25" s="5"/>
      <c r="K25" s="5"/>
      <c r="L25" s="9"/>
      <c r="M25" s="42" t="s">
        <v>262</v>
      </c>
      <c r="N25" s="42"/>
      <c r="O25" s="150"/>
      <c r="P25" s="42"/>
      <c r="Q25" s="42"/>
      <c r="R25" s="42"/>
      <c r="S25" s="42"/>
      <c r="T25" s="42"/>
    </row>
    <row r="26" spans="1:20" x14ac:dyDescent="0.2">
      <c r="C26" s="35"/>
      <c r="D26" s="1"/>
      <c r="E26" s="35"/>
      <c r="G26" s="35" t="s">
        <v>52</v>
      </c>
      <c r="H26" s="35"/>
      <c r="I26" s="35"/>
      <c r="J26" s="35"/>
      <c r="K26" s="261">
        <v>3</v>
      </c>
      <c r="L26" s="9"/>
      <c r="M26" s="1"/>
      <c r="N26" s="1"/>
      <c r="O26" s="299" t="s">
        <v>67</v>
      </c>
      <c r="P26" s="299"/>
      <c r="Q26" s="299"/>
      <c r="R26" s="299"/>
      <c r="S26" s="299"/>
      <c r="T26" s="299"/>
    </row>
    <row r="27" spans="1:20" ht="15" customHeight="1" x14ac:dyDescent="0.2">
      <c r="C27" s="35"/>
      <c r="D27" s="35" t="s">
        <v>250</v>
      </c>
      <c r="E27" s="344">
        <f>E43/E45</f>
        <v>0.35294117647058826</v>
      </c>
      <c r="G27" s="35" t="s">
        <v>53</v>
      </c>
      <c r="H27" s="35"/>
      <c r="I27" s="35"/>
      <c r="J27" s="35"/>
      <c r="K27" s="262">
        <v>10</v>
      </c>
      <c r="L27" s="9"/>
      <c r="M27" s="298" t="s">
        <v>52</v>
      </c>
      <c r="N27" s="130"/>
      <c r="O27" s="300"/>
      <c r="P27" s="300"/>
      <c r="Q27" s="300"/>
      <c r="R27" s="300"/>
      <c r="S27" s="300"/>
      <c r="T27" s="300"/>
    </row>
    <row r="28" spans="1:20" ht="16" thickBot="1" x14ac:dyDescent="0.25">
      <c r="C28" s="35"/>
      <c r="D28" s="35" t="s">
        <v>251</v>
      </c>
      <c r="E28" s="344">
        <f>E44/E45</f>
        <v>0.6470588235294118</v>
      </c>
      <c r="G28" s="35" t="s">
        <v>54</v>
      </c>
      <c r="H28" s="35"/>
      <c r="I28" s="35"/>
      <c r="J28" s="35"/>
      <c r="K28" s="263">
        <v>40000</v>
      </c>
      <c r="L28" s="9"/>
      <c r="M28" s="298"/>
      <c r="N28" s="132"/>
      <c r="O28" s="1"/>
      <c r="P28" s="101">
        <f>R28-2%</f>
        <v>6.8323529411764714E-2</v>
      </c>
      <c r="Q28" s="101">
        <f>R28-1%</f>
        <v>7.8323529411764722E-2</v>
      </c>
      <c r="R28" s="101">
        <f>E40</f>
        <v>8.8323529411764717E-2</v>
      </c>
      <c r="S28" s="101">
        <f>R28+1%</f>
        <v>9.8323529411764712E-2</v>
      </c>
      <c r="T28" s="101">
        <f>R28+2%</f>
        <v>0.10832352941176472</v>
      </c>
    </row>
    <row r="29" spans="1:20" x14ac:dyDescent="0.2">
      <c r="C29" s="37" t="s">
        <v>39</v>
      </c>
      <c r="D29" s="38"/>
      <c r="E29" s="345">
        <f>E27/E28</f>
        <v>0.54545454545454541</v>
      </c>
      <c r="G29" s="9"/>
      <c r="H29" s="9"/>
      <c r="I29" s="9"/>
      <c r="J29" s="9"/>
      <c r="K29" s="9"/>
      <c r="L29" s="9"/>
      <c r="M29" s="298"/>
      <c r="N29" s="151">
        <f>K26-2</f>
        <v>1</v>
      </c>
      <c r="O29" s="34" t="s">
        <v>252</v>
      </c>
      <c r="P29" s="35">
        <f>Formulas!N19</f>
        <v>969880.52703452413</v>
      </c>
      <c r="Q29" s="35">
        <f>Formulas!O19</f>
        <v>926062.76799562783</v>
      </c>
      <c r="R29" s="35">
        <f>Formulas!P19</f>
        <v>885558.33755389717</v>
      </c>
      <c r="S29" s="35">
        <f>Formulas!Q19</f>
        <v>848075.90862839064</v>
      </c>
      <c r="T29" s="35">
        <f>Formulas!R19</f>
        <v>813352.73654680501</v>
      </c>
    </row>
    <row r="30" spans="1:20" x14ac:dyDescent="0.2">
      <c r="C30" s="35"/>
      <c r="D30" s="35"/>
      <c r="E30" s="35"/>
      <c r="G30" s="42" t="s">
        <v>55</v>
      </c>
      <c r="H30" s="5"/>
      <c r="I30" s="5"/>
      <c r="J30" s="5"/>
      <c r="K30" s="5"/>
      <c r="L30" s="9"/>
      <c r="M30" s="298"/>
      <c r="N30" s="151">
        <f>K26-1</f>
        <v>2</v>
      </c>
      <c r="O30" s="34" t="s">
        <v>252</v>
      </c>
      <c r="P30" s="35">
        <f>Formulas!N20</f>
        <v>1031361.1056126092</v>
      </c>
      <c r="Q30" s="155">
        <f>Formulas!O20</f>
        <v>987543.34657371289</v>
      </c>
      <c r="R30" s="155">
        <f>Formulas!P20</f>
        <v>947038.91613198223</v>
      </c>
      <c r="S30" s="155">
        <f>Formulas!Q20</f>
        <v>909556.48720647569</v>
      </c>
      <c r="T30" s="35">
        <f>Formulas!R20</f>
        <v>874833.31512489007</v>
      </c>
    </row>
    <row r="31" spans="1:20" x14ac:dyDescent="0.2">
      <c r="C31" s="35"/>
      <c r="D31" s="35" t="s">
        <v>249</v>
      </c>
      <c r="E31" s="344">
        <f>Scenario!G30</f>
        <v>5.5E-2</v>
      </c>
      <c r="G31" s="35"/>
      <c r="H31" s="35" t="s">
        <v>260</v>
      </c>
      <c r="I31" s="1"/>
      <c r="J31" s="1"/>
      <c r="K31" s="346">
        <f>SUM(K22:T22)</f>
        <v>699571.05096539855</v>
      </c>
      <c r="L31" s="9"/>
      <c r="M31" s="298"/>
      <c r="N31" s="151">
        <f>K26</f>
        <v>3</v>
      </c>
      <c r="O31" s="34" t="s">
        <v>252</v>
      </c>
      <c r="P31" s="35">
        <f>Formulas!N21</f>
        <v>1082621.4828956297</v>
      </c>
      <c r="Q31" s="155">
        <f>Formulas!O21</f>
        <v>1038803.7238567334</v>
      </c>
      <c r="R31" s="179">
        <f>Formulas!P21</f>
        <v>998299.29341500276</v>
      </c>
      <c r="S31" s="155">
        <f>Formulas!Q21</f>
        <v>960816.86448949622</v>
      </c>
      <c r="T31" s="35">
        <f>Formulas!R21</f>
        <v>926093.6924079106</v>
      </c>
    </row>
    <row r="32" spans="1:20" ht="16" thickBot="1" x14ac:dyDescent="0.25">
      <c r="C32" s="35"/>
      <c r="D32" s="35" t="s">
        <v>44</v>
      </c>
      <c r="E32" s="344">
        <f>Scenario!G19</f>
        <v>0.25</v>
      </c>
      <c r="G32" s="35"/>
      <c r="H32" s="35" t="s">
        <v>258</v>
      </c>
      <c r="I32" s="1"/>
      <c r="J32" s="1"/>
      <c r="K32" s="346">
        <f>SUM(K21:T21)</f>
        <v>186007.64443292117</v>
      </c>
      <c r="L32" s="9"/>
      <c r="M32" s="298"/>
      <c r="N32" s="151">
        <f>K26+1</f>
        <v>4</v>
      </c>
      <c r="O32" s="34" t="s">
        <v>252</v>
      </c>
      <c r="P32" s="35">
        <f>Formulas!N22</f>
        <v>1125025.9397456017</v>
      </c>
      <c r="Q32" s="155">
        <f>Formulas!O22</f>
        <v>1081208.1807067054</v>
      </c>
      <c r="R32" s="155">
        <f>Formulas!P22</f>
        <v>1040703.7502649747</v>
      </c>
      <c r="S32" s="155">
        <f>Formulas!Q22</f>
        <v>1003221.3213394681</v>
      </c>
      <c r="T32" s="35">
        <f>Formulas!R22</f>
        <v>968498.1492578825</v>
      </c>
    </row>
    <row r="33" spans="3:20" ht="16" thickBot="1" x14ac:dyDescent="0.25">
      <c r="C33" s="37" t="s">
        <v>45</v>
      </c>
      <c r="D33" s="38"/>
      <c r="E33" s="345">
        <f>E31*(1-E32)</f>
        <v>4.1250000000000002E-2</v>
      </c>
      <c r="G33" s="35"/>
      <c r="H33" s="35" t="s">
        <v>259</v>
      </c>
      <c r="I33" s="1"/>
      <c r="J33" s="1"/>
      <c r="K33" s="346">
        <f>K38-K39</f>
        <v>-112720.59801668304</v>
      </c>
      <c r="L33" s="9"/>
      <c r="M33" s="298"/>
      <c r="N33" s="151">
        <f>K26+2</f>
        <v>5</v>
      </c>
      <c r="O33" s="34" t="s">
        <v>252</v>
      </c>
      <c r="P33" s="35">
        <f>Formulas!N23</f>
        <v>1159763.4486123947</v>
      </c>
      <c r="Q33" s="35">
        <f>Formulas!O23</f>
        <v>1115945.6895734984</v>
      </c>
      <c r="R33" s="35">
        <f>Formulas!P23</f>
        <v>1075441.2591317678</v>
      </c>
      <c r="S33" s="35">
        <f>Formulas!Q23</f>
        <v>1037958.8302062612</v>
      </c>
      <c r="T33" s="35">
        <f>Formulas!R23</f>
        <v>1003235.6581246756</v>
      </c>
    </row>
    <row r="34" spans="3:20" x14ac:dyDescent="0.2">
      <c r="C34" s="1"/>
      <c r="D34" s="1"/>
      <c r="E34" s="1"/>
      <c r="G34" s="34" t="s">
        <v>56</v>
      </c>
      <c r="H34" s="35"/>
      <c r="I34" s="35"/>
      <c r="J34" s="35"/>
      <c r="K34" s="347">
        <f>K31+K32-K33</f>
        <v>998299.29341500276</v>
      </c>
      <c r="L34" s="9"/>
      <c r="M34" s="9"/>
      <c r="N34" s="9"/>
      <c r="O34" s="9"/>
      <c r="P34" s="9"/>
      <c r="Q34" s="9"/>
      <c r="R34" s="9"/>
      <c r="S34" s="9"/>
    </row>
    <row r="35" spans="3:20" x14ac:dyDescent="0.2">
      <c r="C35" s="35"/>
      <c r="D35" s="35" t="s">
        <v>40</v>
      </c>
      <c r="E35" s="264">
        <v>0.03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3:20" x14ac:dyDescent="0.2">
      <c r="C36" s="35"/>
      <c r="D36" s="35" t="s">
        <v>41</v>
      </c>
      <c r="E36" s="265">
        <v>7.0000000000000007E-2</v>
      </c>
      <c r="G36" s="42" t="s">
        <v>57</v>
      </c>
      <c r="H36" s="42"/>
      <c r="I36" s="42"/>
      <c r="J36" s="42"/>
      <c r="K36" s="42"/>
      <c r="L36" s="9"/>
      <c r="M36" s="9"/>
      <c r="N36" s="9"/>
      <c r="O36" s="9"/>
      <c r="P36" s="9"/>
      <c r="Q36" s="9"/>
      <c r="R36" s="9"/>
      <c r="S36" s="9"/>
    </row>
    <row r="37" spans="3:20" ht="16" thickBot="1" x14ac:dyDescent="0.25">
      <c r="C37" s="35"/>
      <c r="D37" s="35" t="s">
        <v>42</v>
      </c>
      <c r="E37" s="266">
        <v>1.2</v>
      </c>
      <c r="G37" s="35"/>
      <c r="H37" s="35" t="s">
        <v>58</v>
      </c>
      <c r="I37" s="1"/>
      <c r="J37" s="1"/>
      <c r="K37" s="346">
        <f>K27*K28</f>
        <v>400000</v>
      </c>
      <c r="L37" s="9"/>
      <c r="M37" s="9"/>
      <c r="N37" s="9"/>
      <c r="O37" s="9"/>
      <c r="P37" s="9"/>
      <c r="Q37" s="9"/>
      <c r="R37" s="9"/>
      <c r="S37" s="9"/>
    </row>
    <row r="38" spans="3:20" x14ac:dyDescent="0.2">
      <c r="C38" s="37" t="s">
        <v>43</v>
      </c>
      <c r="D38" s="38"/>
      <c r="E38" s="345">
        <f>E35+(E36*E37)</f>
        <v>0.114</v>
      </c>
      <c r="G38" s="35"/>
      <c r="H38" s="35" t="s">
        <v>59</v>
      </c>
      <c r="I38" s="1"/>
      <c r="J38" s="1"/>
      <c r="K38" s="346">
        <f>E43</f>
        <v>60000</v>
      </c>
      <c r="L38" s="9"/>
      <c r="M38" s="9"/>
      <c r="N38" s="9"/>
      <c r="O38" s="9"/>
      <c r="P38" s="9"/>
      <c r="Q38" s="9"/>
      <c r="R38" s="9"/>
      <c r="S38" s="9"/>
    </row>
    <row r="39" spans="3:20" ht="16" thickBot="1" x14ac:dyDescent="0.25">
      <c r="C39" s="1"/>
      <c r="D39" s="1"/>
      <c r="E39" s="1"/>
      <c r="G39" s="35"/>
      <c r="H39" s="35" t="s">
        <v>60</v>
      </c>
      <c r="I39" s="1"/>
      <c r="J39" s="1"/>
      <c r="K39" s="346">
        <f>'12-Month Projection'!T92</f>
        <v>172720.59801668304</v>
      </c>
      <c r="L39" s="9"/>
      <c r="M39" s="9"/>
      <c r="N39" s="9"/>
      <c r="O39" s="9"/>
      <c r="P39" s="9"/>
      <c r="Q39" s="9"/>
      <c r="R39" s="9"/>
      <c r="S39" s="9"/>
    </row>
    <row r="40" spans="3:20" x14ac:dyDescent="0.2">
      <c r="C40" s="42" t="s">
        <v>46</v>
      </c>
      <c r="D40" s="5"/>
      <c r="E40" s="350">
        <f>(E27*E33)+(E28*E38)</f>
        <v>8.8323529411764717E-2</v>
      </c>
      <c r="G40" s="34" t="s">
        <v>254</v>
      </c>
      <c r="H40" s="35"/>
      <c r="I40" s="35"/>
      <c r="J40" s="35"/>
      <c r="K40" s="347">
        <f>K37+K38-K39</f>
        <v>287279.40198331699</v>
      </c>
      <c r="L40" s="9"/>
      <c r="M40" s="9"/>
      <c r="N40" s="9"/>
      <c r="O40" s="9"/>
      <c r="P40" s="9"/>
      <c r="Q40" s="9"/>
      <c r="R40" s="9"/>
      <c r="S40" s="9"/>
    </row>
    <row r="41" spans="3:20" x14ac:dyDescent="0.2">
      <c r="C41" s="9"/>
      <c r="D41" s="9"/>
      <c r="E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3:20" x14ac:dyDescent="0.2">
      <c r="C42" s="42" t="s">
        <v>47</v>
      </c>
      <c r="D42" s="5"/>
      <c r="E42" s="5"/>
      <c r="G42" s="42" t="s">
        <v>61</v>
      </c>
      <c r="H42" s="42"/>
      <c r="I42" s="42"/>
      <c r="J42" s="42"/>
      <c r="K42" s="42"/>
      <c r="L42" s="9"/>
      <c r="M42" s="9"/>
      <c r="N42" s="9"/>
      <c r="O42" s="9"/>
      <c r="P42" s="9"/>
      <c r="Q42" s="9"/>
      <c r="R42" s="9"/>
      <c r="S42" s="9"/>
    </row>
    <row r="43" spans="3:20" x14ac:dyDescent="0.2">
      <c r="C43" s="35"/>
      <c r="D43" s="35" t="s">
        <v>48</v>
      </c>
      <c r="E43" s="35">
        <f>Scenario!G31</f>
        <v>60000</v>
      </c>
      <c r="G43" s="35"/>
      <c r="H43" s="35" t="s">
        <v>62</v>
      </c>
      <c r="I43" s="35"/>
      <c r="J43" s="35"/>
      <c r="K43" s="346">
        <f>K27</f>
        <v>10</v>
      </c>
      <c r="L43" s="9"/>
      <c r="M43" s="9"/>
      <c r="N43" s="9"/>
      <c r="O43" s="9"/>
      <c r="P43" s="9"/>
      <c r="Q43" s="9"/>
      <c r="R43" s="9"/>
      <c r="S43" s="9"/>
    </row>
    <row r="44" spans="3:20" ht="16" thickBot="1" x14ac:dyDescent="0.25">
      <c r="C44" s="35"/>
      <c r="D44" s="35" t="s">
        <v>49</v>
      </c>
      <c r="E44" s="35">
        <f>Scenario!G32</f>
        <v>110000</v>
      </c>
      <c r="G44" s="35"/>
      <c r="H44" s="35" t="s">
        <v>63</v>
      </c>
      <c r="I44" s="35"/>
      <c r="J44" s="35"/>
      <c r="K44" s="346">
        <f>K45-K43</f>
        <v>14.957482335375069</v>
      </c>
      <c r="L44" s="9"/>
      <c r="M44" s="9"/>
      <c r="N44" s="9"/>
      <c r="O44" s="9"/>
      <c r="P44" s="9"/>
      <c r="Q44" s="9"/>
      <c r="R44" s="9"/>
      <c r="S44" s="9"/>
    </row>
    <row r="45" spans="3:20" x14ac:dyDescent="0.2">
      <c r="C45" s="37" t="s">
        <v>50</v>
      </c>
      <c r="D45" s="38"/>
      <c r="E45" s="37">
        <f>SUM(E43:E44)</f>
        <v>170000</v>
      </c>
      <c r="G45" s="35"/>
      <c r="H45" s="35" t="s">
        <v>64</v>
      </c>
      <c r="I45" s="35"/>
      <c r="J45" s="35"/>
      <c r="K45" s="348">
        <f>K34/K28</f>
        <v>24.957482335375069</v>
      </c>
      <c r="L45" s="9"/>
      <c r="M45" s="9"/>
      <c r="N45" s="9"/>
      <c r="O45" s="9"/>
      <c r="P45" s="9"/>
      <c r="Q45" s="9"/>
      <c r="R45" s="9"/>
      <c r="S45" s="9"/>
    </row>
    <row r="46" spans="3:20" x14ac:dyDescent="0.2">
      <c r="G46" s="35"/>
      <c r="H46" s="35" t="s">
        <v>65</v>
      </c>
      <c r="I46" s="35"/>
      <c r="J46" s="35"/>
      <c r="K46" s="344">
        <f>K44/K43</f>
        <v>1.495748233537507</v>
      </c>
      <c r="L46" s="9"/>
      <c r="M46" s="9"/>
      <c r="N46" s="9"/>
      <c r="O46" s="9"/>
      <c r="P46" s="9"/>
      <c r="Q46" s="9"/>
      <c r="R46" s="9"/>
      <c r="S46" s="9"/>
    </row>
    <row r="47" spans="3:20" x14ac:dyDescent="0.2">
      <c r="C47" s="297" t="str">
        <f>Formulas!C39</f>
        <v>Good Investment</v>
      </c>
      <c r="D47" s="297"/>
      <c r="E47" s="297"/>
      <c r="G47" s="34" t="s">
        <v>66</v>
      </c>
      <c r="H47" s="35"/>
      <c r="I47" s="35"/>
      <c r="J47" s="35"/>
      <c r="K47" s="349">
        <f>IFERROR(IRR(J19:T19),0)</f>
        <v>0.2314682256442524</v>
      </c>
      <c r="L47" s="9"/>
      <c r="M47" s="9"/>
      <c r="N47" s="9"/>
      <c r="O47" s="9"/>
      <c r="P47" s="9"/>
      <c r="Q47" s="9"/>
      <c r="R47" s="9"/>
      <c r="S47" s="9"/>
    </row>
  </sheetData>
  <mergeCells count="4">
    <mergeCell ref="C47:E47"/>
    <mergeCell ref="M27:M33"/>
    <mergeCell ref="O26:T27"/>
    <mergeCell ref="B2:T2"/>
  </mergeCells>
  <conditionalFormatting sqref="C47:E47">
    <cfRule type="expression" dxfId="3" priority="1">
      <formula>$K$47&lt;5%</formula>
    </cfRule>
    <cfRule type="expression" dxfId="2" priority="2">
      <formula>AND($K$47&gt;=5%, $K$47&lt;10%)</formula>
    </cfRule>
    <cfRule type="expression" dxfId="1" priority="3">
      <formula>AND($K$47&gt;=10%, $K$47&lt;15%)</formula>
    </cfRule>
    <cfRule type="expression" dxfId="0" priority="4">
      <formula>$K$47&gt;=15%</formula>
    </cfRule>
  </conditionalFormatting>
  <dataValidations count="1">
    <dataValidation showInputMessage="1" showErrorMessage="1" sqref="E6" xr:uid="{6C762AE7-DEEC-4CE3-BBB5-73EA021C83CF}"/>
  </dataValidations>
  <pageMargins left="0.25" right="0.25" top="0.75" bottom="0.75" header="0.3" footer="0.3"/>
  <pageSetup paperSize="9" scale="6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9279BDD4-018E-4E8A-B9B5-332221E4237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Valuation!K11:T11</xm:f>
              <xm:sqref>I11</xm:sqref>
            </x14:sparkline>
          </x14:sparklines>
        </x14:sparklineGroup>
        <x14:sparklineGroup type="column" displayEmptyCellsAs="gap" negative="1" xr2:uid="{B4ED9BAF-F238-41A9-9477-D54C4DF0F7E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Valuation!K9:T9</xm:f>
              <xm:sqref>I9</xm:sqref>
            </x14:sparkline>
          </x14:sparklines>
        </x14:sparklineGroup>
        <x14:sparklineGroup type="column" displayEmptyCellsAs="gap" negative="1" xr2:uid="{1A2A4B5F-27F8-4AA4-854A-4852CAD15F2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Valuation!K10:T10</xm:f>
              <xm:sqref>I10</xm:sqref>
            </x14:sparkline>
          </x14:sparklines>
        </x14:sparklineGroup>
        <x14:sparklineGroup type="column" displayEmptyCellsAs="gap" negative="1" xr2:uid="{E5974205-C440-4F19-837C-20709F92A1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Valuation!K12:T12</xm:f>
              <xm:sqref>I12</xm:sqref>
            </x14:sparkline>
          </x14:sparklines>
        </x14:sparklineGroup>
        <x14:sparklineGroup type="column" displayEmptyCellsAs="gap" negative="1" xr2:uid="{19F528DB-69F8-4381-B2AF-4592B3FF231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Valuation!K13:T13</xm:f>
              <xm:sqref>I13</xm:sqref>
            </x14:sparkline>
          </x14:sparklines>
        </x14:sparklineGroup>
        <x14:sparklineGroup type="column" displayEmptyCellsAs="gap" negative="1" xr2:uid="{57C3B450-934E-4EDE-9AC2-E276FA62145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Valuation!K14:T14</xm:f>
              <xm:sqref>I14</xm:sqref>
            </x14:sparkline>
          </x14:sparklines>
        </x14:sparklineGroup>
        <x14:sparklineGroup type="column" displayEmptyCellsAs="gap" negative="1" xr2:uid="{18D8FEF1-139E-4442-BBA3-783B2D5BF5F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Valuation!K15:T15</xm:f>
              <xm:sqref>I15</xm:sqref>
            </x14:sparkline>
          </x14:sparklines>
        </x14:sparklineGroup>
        <x14:sparklineGroup type="column" displayEmptyCellsAs="gap" negative="1" xr2:uid="{ED98ED11-499B-4144-B144-7BE171E10AF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Valuation!K16:T16</xm:f>
              <xm:sqref>I16</xm:sqref>
            </x14:sparkline>
          </x14:sparklines>
        </x14:sparklineGroup>
        <x14:sparklineGroup type="column" displayEmptyCellsAs="gap" negative="1" xr2:uid="{4F1D050D-3AFB-4EC4-81FA-84F9B260A88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Valuation!K17:T17</xm:f>
              <xm:sqref>I17</xm:sqref>
            </x14:sparkline>
          </x14:sparklines>
        </x14:sparklineGroup>
        <x14:sparklineGroup type="column" displayEmptyCellsAs="gap" negative="1" xr2:uid="{F99F666E-D67D-4648-96CD-C0DBC47C56A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Valuation!K19:T19</xm:f>
              <xm:sqref>I19</xm:sqref>
            </x14:sparkline>
          </x14:sparklines>
        </x14:sparklineGroup>
        <x14:sparklineGroup type="column" displayEmptyCellsAs="gap" negative="1" xr2:uid="{FB7CF38B-CCBC-41BE-B06C-861D47BED57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Valuation!K22:T22</xm:f>
              <xm:sqref>I22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13FF-F38E-4E4B-B1EA-B8B339E8D280}">
  <sheetPr>
    <pageSetUpPr fitToPage="1"/>
  </sheetPr>
  <dimension ref="A1:V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02" customWidth="1"/>
    <col min="2" max="3" width="1.6640625" style="44" customWidth="1"/>
    <col min="4" max="4" width="40.6640625" style="44" customWidth="1"/>
    <col min="5" max="5" width="1.6640625" style="44" customWidth="1"/>
    <col min="6" max="7" width="10.6640625" style="44" customWidth="1"/>
    <col min="8" max="8" width="20.6640625" style="44" customWidth="1"/>
    <col min="9" max="9" width="1.6640625" style="44" customWidth="1"/>
    <col min="10" max="10" width="26.5" style="44" bestFit="1" customWidth="1"/>
    <col min="11" max="11" width="1.6640625" style="44" customWidth="1"/>
    <col min="12" max="12" width="40.6640625" style="44" customWidth="1"/>
    <col min="13" max="13" width="1.6640625" style="44" customWidth="1"/>
    <col min="14" max="16" width="20.6640625" style="44" customWidth="1"/>
    <col min="17" max="22" width="12.6640625" style="44" customWidth="1"/>
    <col min="23" max="16384" width="9.1640625" style="44"/>
  </cols>
  <sheetData>
    <row r="1" spans="1:22" s="62" customFormat="1" x14ac:dyDescent="0.2">
      <c r="A1" s="116" t="s">
        <v>5</v>
      </c>
      <c r="C1" s="116"/>
    </row>
    <row r="2" spans="1:22" s="23" customFormat="1" ht="22" x14ac:dyDescent="0.3">
      <c r="A2" s="196" t="s">
        <v>308</v>
      </c>
      <c r="B2" s="309" t="str">
        <f>Profile!F6</f>
        <v>Person0811</v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</row>
    <row r="4" spans="1:22" ht="19" x14ac:dyDescent="0.25">
      <c r="C4" s="174" t="s">
        <v>278</v>
      </c>
      <c r="D4" s="35"/>
      <c r="E4" s="35"/>
      <c r="F4" s="35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x14ac:dyDescent="0.2">
      <c r="C5" s="176" t="str">
        <f>Formulas!A3</f>
        <v>Amounts in USD</v>
      </c>
      <c r="D5" s="180"/>
      <c r="E5" s="180"/>
      <c r="F5" s="180"/>
      <c r="G5" s="15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s="46" customFormat="1" x14ac:dyDescent="0.2">
      <c r="A6" s="203"/>
      <c r="E6" s="10" t="s">
        <v>206</v>
      </c>
      <c r="F6" s="214">
        <v>2025</v>
      </c>
    </row>
    <row r="8" spans="1:22" x14ac:dyDescent="0.2">
      <c r="D8" s="273" t="s">
        <v>282</v>
      </c>
      <c r="E8" s="269"/>
      <c r="F8" s="301" t="s">
        <v>281</v>
      </c>
      <c r="G8" s="301"/>
      <c r="H8" s="301"/>
      <c r="I8" s="269"/>
      <c r="J8" s="269"/>
      <c r="K8" s="269"/>
      <c r="L8" s="278" t="s">
        <v>178</v>
      </c>
      <c r="M8" s="269"/>
      <c r="N8" s="301" t="s">
        <v>157</v>
      </c>
      <c r="O8" s="301"/>
    </row>
    <row r="9" spans="1:22" ht="25" customHeight="1" x14ac:dyDescent="0.35">
      <c r="D9" s="274">
        <f>Formulas!C238</f>
        <v>444500</v>
      </c>
      <c r="E9" s="269"/>
      <c r="F9" s="307">
        <f>Formulas!C242</f>
        <v>347223.5</v>
      </c>
      <c r="G9" s="307"/>
      <c r="H9" s="307"/>
      <c r="I9" s="269"/>
      <c r="J9" s="269"/>
      <c r="K9" s="269"/>
      <c r="L9" s="277">
        <f>Formulas!C254</f>
        <v>172720.59801668304</v>
      </c>
      <c r="M9" s="269"/>
      <c r="N9" s="303">
        <f>Formulas!C258</f>
        <v>55000.000000000029</v>
      </c>
      <c r="O9" s="303"/>
    </row>
    <row r="10" spans="1:22" ht="16" x14ac:dyDescent="0.2">
      <c r="D10" s="275">
        <f>Formulas!C240</f>
        <v>0</v>
      </c>
      <c r="E10" s="269"/>
      <c r="F10" s="304">
        <f>Formulas!C244</f>
        <v>0</v>
      </c>
      <c r="G10" s="304"/>
      <c r="H10" s="304"/>
      <c r="I10" s="269"/>
      <c r="J10" s="281" t="s">
        <v>146</v>
      </c>
      <c r="K10" s="269"/>
      <c r="L10" s="275">
        <f>Formulas!C256</f>
        <v>0</v>
      </c>
      <c r="M10" s="276"/>
      <c r="N10" s="304">
        <f>Formulas!C260</f>
        <v>0</v>
      </c>
      <c r="O10" s="304"/>
    </row>
    <row r="11" spans="1:22" ht="15" customHeight="1" x14ac:dyDescent="0.2">
      <c r="D11" s="270" t="s">
        <v>285</v>
      </c>
      <c r="E11" s="269"/>
      <c r="F11" s="308" t="s">
        <v>285</v>
      </c>
      <c r="G11" s="308"/>
      <c r="H11" s="308"/>
      <c r="I11" s="269"/>
      <c r="J11" s="302">
        <f>Formulas!C270</f>
        <v>0.15879220938221061</v>
      </c>
      <c r="K11" s="269"/>
      <c r="L11" s="272" t="s">
        <v>285</v>
      </c>
      <c r="M11" s="271"/>
      <c r="N11" s="305" t="s">
        <v>285</v>
      </c>
      <c r="O11" s="305"/>
    </row>
    <row r="12" spans="1:22" ht="6" customHeight="1" x14ac:dyDescent="0.2">
      <c r="D12" s="271"/>
      <c r="E12" s="269"/>
      <c r="F12" s="271"/>
      <c r="G12" s="271"/>
      <c r="H12" s="271"/>
      <c r="I12" s="269"/>
      <c r="J12" s="302"/>
      <c r="K12" s="269"/>
      <c r="L12" s="269"/>
      <c r="M12" s="269"/>
      <c r="N12" s="269"/>
      <c r="O12" s="269"/>
    </row>
    <row r="13" spans="1:22" ht="15" customHeight="1" x14ac:dyDescent="0.2">
      <c r="D13" s="273" t="s">
        <v>284</v>
      </c>
      <c r="E13" s="276"/>
      <c r="F13" s="301" t="s">
        <v>13</v>
      </c>
      <c r="G13" s="301"/>
      <c r="H13" s="301"/>
      <c r="I13" s="269"/>
      <c r="J13" s="275">
        <f>Formulas!C272</f>
        <v>0</v>
      </c>
      <c r="K13" s="269"/>
      <c r="L13" s="273" t="s">
        <v>222</v>
      </c>
      <c r="M13" s="279"/>
      <c r="N13" s="301" t="s">
        <v>223</v>
      </c>
      <c r="O13" s="301"/>
    </row>
    <row r="14" spans="1:22" ht="25" customHeight="1" x14ac:dyDescent="0.2">
      <c r="D14" s="277">
        <f>Formulas!C246</f>
        <v>70583.137070392622</v>
      </c>
      <c r="E14" s="276"/>
      <c r="F14" s="303">
        <f>Formulas!C250</f>
        <v>104801.5</v>
      </c>
      <c r="G14" s="303"/>
      <c r="H14" s="303"/>
      <c r="I14" s="269"/>
      <c r="J14" s="282" t="s">
        <v>285</v>
      </c>
      <c r="K14" s="269"/>
      <c r="L14" s="280">
        <f>Formulas!C262</f>
        <v>5.0604349733659024</v>
      </c>
      <c r="M14" s="279"/>
      <c r="N14" s="306">
        <f>Formulas!C266</f>
        <v>4.2607864672147597</v>
      </c>
      <c r="O14" s="306"/>
    </row>
    <row r="15" spans="1:22" ht="16" x14ac:dyDescent="0.2">
      <c r="D15" s="275">
        <f>Formulas!C248</f>
        <v>0</v>
      </c>
      <c r="E15" s="276"/>
      <c r="F15" s="304">
        <f>Formulas!C252</f>
        <v>0</v>
      </c>
      <c r="G15" s="304"/>
      <c r="H15" s="304"/>
      <c r="I15" s="269"/>
      <c r="J15" s="269"/>
      <c r="K15" s="269"/>
      <c r="L15" s="275">
        <f>Formulas!C264</f>
        <v>0</v>
      </c>
      <c r="M15" s="276"/>
      <c r="N15" s="304">
        <f>Formulas!C268</f>
        <v>0</v>
      </c>
      <c r="O15" s="304"/>
    </row>
    <row r="16" spans="1:22" x14ac:dyDescent="0.2">
      <c r="D16" s="272" t="s">
        <v>285</v>
      </c>
      <c r="E16" s="269"/>
      <c r="F16" s="305" t="s">
        <v>285</v>
      </c>
      <c r="G16" s="305"/>
      <c r="H16" s="305"/>
      <c r="I16" s="269"/>
      <c r="J16" s="269"/>
      <c r="K16" s="269"/>
      <c r="L16" s="272" t="s">
        <v>285</v>
      </c>
      <c r="M16" s="271"/>
      <c r="N16" s="305" t="s">
        <v>285</v>
      </c>
      <c r="O16" s="305"/>
    </row>
    <row r="17" spans="1:15" ht="15" customHeight="1" x14ac:dyDescent="0.2"/>
    <row r="18" spans="1:15" ht="15" customHeight="1" x14ac:dyDescent="0.2"/>
    <row r="19" spans="1:15" ht="15" customHeight="1" x14ac:dyDescent="0.2">
      <c r="D19" s="269"/>
      <c r="E19" s="269"/>
      <c r="F19" s="269"/>
      <c r="G19" s="269"/>
      <c r="H19" s="269"/>
      <c r="I19" s="269"/>
      <c r="J19" s="269"/>
      <c r="K19" s="269"/>
      <c r="L19" s="269"/>
      <c r="M19" s="269"/>
      <c r="N19" s="269"/>
      <c r="O19" s="269"/>
    </row>
    <row r="20" spans="1:15" s="48" customFormat="1" ht="15" customHeight="1" x14ac:dyDescent="0.2">
      <c r="A20" s="204"/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6"/>
    </row>
    <row r="21" spans="1:15" ht="15" customHeight="1" x14ac:dyDescent="0.2">
      <c r="D21" s="269"/>
      <c r="E21" s="269"/>
      <c r="F21" s="269"/>
      <c r="G21" s="269"/>
      <c r="H21" s="269"/>
      <c r="I21" s="269"/>
      <c r="J21" s="269"/>
      <c r="K21" s="269"/>
      <c r="L21" s="269"/>
      <c r="M21" s="269"/>
      <c r="N21" s="269"/>
      <c r="O21" s="269"/>
    </row>
    <row r="22" spans="1:15" ht="15" customHeight="1" x14ac:dyDescent="0.2">
      <c r="D22" s="269"/>
      <c r="E22" s="269"/>
      <c r="F22" s="269"/>
      <c r="G22" s="269"/>
      <c r="H22" s="269"/>
      <c r="I22" s="269"/>
      <c r="J22" s="269"/>
      <c r="K22" s="269"/>
      <c r="L22" s="269"/>
      <c r="M22" s="269"/>
      <c r="N22" s="269"/>
      <c r="O22" s="269"/>
    </row>
    <row r="23" spans="1:15" ht="15" customHeight="1" x14ac:dyDescent="0.2">
      <c r="D23" s="269"/>
      <c r="E23" s="269"/>
      <c r="F23" s="269"/>
      <c r="G23" s="269"/>
      <c r="H23" s="269"/>
      <c r="I23" s="269"/>
      <c r="J23" s="269"/>
      <c r="K23" s="269"/>
      <c r="L23" s="269"/>
      <c r="M23" s="269"/>
      <c r="N23" s="269"/>
      <c r="O23" s="269"/>
    </row>
    <row r="24" spans="1:15" ht="15" customHeight="1" x14ac:dyDescent="0.2">
      <c r="D24" s="269"/>
      <c r="E24" s="269"/>
      <c r="F24" s="269"/>
      <c r="G24" s="269"/>
      <c r="H24" s="269"/>
      <c r="I24" s="269"/>
      <c r="J24" s="269"/>
      <c r="K24" s="269"/>
      <c r="L24" s="269"/>
      <c r="M24" s="269"/>
      <c r="N24" s="269"/>
      <c r="O24" s="269"/>
    </row>
    <row r="25" spans="1:15" ht="15" customHeight="1" x14ac:dyDescent="0.2">
      <c r="D25" s="269"/>
      <c r="E25" s="269"/>
      <c r="F25" s="269"/>
      <c r="G25" s="269"/>
      <c r="H25" s="269"/>
      <c r="I25" s="269"/>
      <c r="J25" s="269"/>
      <c r="K25" s="269"/>
      <c r="L25" s="269"/>
      <c r="M25" s="269"/>
      <c r="N25" s="269"/>
      <c r="O25" s="269"/>
    </row>
    <row r="26" spans="1:15" s="48" customFormat="1" ht="15" customHeight="1" x14ac:dyDescent="0.2">
      <c r="A26" s="204"/>
      <c r="D26" s="276"/>
      <c r="E26" s="276"/>
      <c r="F26" s="276"/>
      <c r="G26" s="276"/>
      <c r="H26" s="276"/>
      <c r="I26" s="276"/>
      <c r="J26" s="276"/>
      <c r="K26" s="276"/>
      <c r="L26" s="276"/>
      <c r="M26" s="276"/>
      <c r="N26" s="276"/>
      <c r="O26" s="276"/>
    </row>
    <row r="27" spans="1:15" ht="15" customHeight="1" x14ac:dyDescent="0.2">
      <c r="D27" s="269"/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</row>
    <row r="28" spans="1:15" ht="15" customHeight="1" x14ac:dyDescent="0.2">
      <c r="D28" s="269"/>
      <c r="E28" s="269"/>
      <c r="F28" s="269"/>
      <c r="G28" s="269"/>
      <c r="H28" s="269"/>
      <c r="I28" s="269"/>
      <c r="J28" s="269"/>
      <c r="K28" s="269"/>
      <c r="L28" s="269"/>
      <c r="M28" s="269"/>
      <c r="N28" s="269"/>
      <c r="O28" s="269"/>
    </row>
    <row r="29" spans="1:15" ht="15" customHeight="1" x14ac:dyDescent="0.2">
      <c r="D29" s="269"/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69"/>
    </row>
    <row r="30" spans="1:15" ht="15" customHeight="1" x14ac:dyDescent="0.2">
      <c r="D30" s="269"/>
      <c r="E30" s="269"/>
      <c r="F30" s="269"/>
      <c r="G30" s="269"/>
      <c r="H30" s="269"/>
      <c r="I30" s="269"/>
      <c r="J30" s="269"/>
      <c r="K30" s="269"/>
      <c r="L30" s="269"/>
      <c r="M30" s="269"/>
      <c r="N30" s="269"/>
      <c r="O30" s="269"/>
    </row>
    <row r="31" spans="1:15" ht="15" customHeight="1" x14ac:dyDescent="0.2"/>
    <row r="32" spans="1:15" ht="15" customHeight="1" x14ac:dyDescent="0.2"/>
    <row r="33" spans="12:18" ht="15" customHeight="1" x14ac:dyDescent="0.2"/>
    <row r="34" spans="12:18" ht="15" customHeight="1" x14ac:dyDescent="0.2"/>
    <row r="35" spans="12:18" ht="15" customHeight="1" x14ac:dyDescent="0.2"/>
    <row r="36" spans="12:18" ht="15" customHeight="1" x14ac:dyDescent="0.2"/>
    <row r="37" spans="12:18" ht="15" customHeight="1" x14ac:dyDescent="0.2"/>
    <row r="38" spans="12:18" ht="15" customHeight="1" x14ac:dyDescent="0.2"/>
    <row r="39" spans="12:18" ht="15" customHeight="1" x14ac:dyDescent="0.2"/>
    <row r="40" spans="12:18" ht="15" customHeight="1" x14ac:dyDescent="0.2"/>
    <row r="41" spans="12:18" ht="15" customHeight="1" x14ac:dyDescent="0.2"/>
    <row r="42" spans="12:18" ht="15" customHeight="1" x14ac:dyDescent="0.2"/>
    <row r="43" spans="12:18" ht="15" customHeight="1" x14ac:dyDescent="0.2"/>
    <row r="44" spans="12:18" ht="15" customHeight="1" x14ac:dyDescent="0.2"/>
    <row r="45" spans="12:18" ht="15" customHeight="1" x14ac:dyDescent="0.2"/>
    <row r="46" spans="12:18" ht="15" customHeight="1" x14ac:dyDescent="0.2">
      <c r="L46" s="159"/>
      <c r="M46" s="286" t="s">
        <v>95</v>
      </c>
      <c r="N46" s="287"/>
      <c r="O46" s="288">
        <f>Formulas!C305</f>
        <v>2025</v>
      </c>
      <c r="Q46" s="158"/>
      <c r="R46" s="158"/>
    </row>
    <row r="47" spans="12:18" ht="15" customHeight="1" x14ac:dyDescent="0.2">
      <c r="L47" s="159"/>
      <c r="M47" s="271" t="s">
        <v>74</v>
      </c>
      <c r="N47" s="271"/>
      <c r="O47" s="284">
        <f>Formulas!C306</f>
        <v>444500</v>
      </c>
      <c r="Q47" s="25"/>
      <c r="R47" s="25"/>
    </row>
    <row r="48" spans="12:18" ht="15" customHeight="1" x14ac:dyDescent="0.2">
      <c r="L48" s="159"/>
      <c r="M48" s="271" t="s">
        <v>136</v>
      </c>
      <c r="N48" s="271"/>
      <c r="O48" s="292">
        <f>Formulas!C307</f>
        <v>233362.5</v>
      </c>
    </row>
    <row r="49" spans="12:15" x14ac:dyDescent="0.2">
      <c r="L49" s="159"/>
      <c r="M49" s="279" t="s">
        <v>11</v>
      </c>
      <c r="N49" s="271"/>
      <c r="O49" s="291">
        <f>Formulas!C308</f>
        <v>211137.5</v>
      </c>
    </row>
    <row r="50" spans="12:15" x14ac:dyDescent="0.2">
      <c r="L50" s="159"/>
      <c r="M50" s="271" t="s">
        <v>142</v>
      </c>
      <c r="N50" s="271"/>
      <c r="O50" s="292">
        <f>Formulas!C309</f>
        <v>113861</v>
      </c>
    </row>
    <row r="51" spans="12:15" x14ac:dyDescent="0.2">
      <c r="L51" s="159"/>
      <c r="M51" s="279" t="s">
        <v>143</v>
      </c>
      <c r="N51" s="271"/>
      <c r="O51" s="291">
        <f>Formulas!C310</f>
        <v>97276.5</v>
      </c>
    </row>
    <row r="52" spans="12:15" x14ac:dyDescent="0.2">
      <c r="L52" s="159"/>
      <c r="M52" s="271" t="s">
        <v>31</v>
      </c>
      <c r="N52" s="271"/>
      <c r="O52" s="292">
        <f>Formulas!C311</f>
        <v>3165.6505728098414</v>
      </c>
    </row>
    <row r="53" spans="12:15" x14ac:dyDescent="0.2">
      <c r="L53" s="159"/>
      <c r="M53" s="285" t="s">
        <v>196</v>
      </c>
      <c r="N53" s="271"/>
      <c r="O53" s="291">
        <f>Formulas!C312</f>
        <v>94110.849427190158</v>
      </c>
    </row>
    <row r="54" spans="12:15" x14ac:dyDescent="0.2">
      <c r="L54" s="159"/>
      <c r="M54" s="271" t="s">
        <v>145</v>
      </c>
      <c r="N54" s="271"/>
      <c r="O54" s="292">
        <f>Formulas!C313</f>
        <v>23527.71235679754</v>
      </c>
    </row>
    <row r="55" spans="12:15" x14ac:dyDescent="0.2">
      <c r="L55" s="159"/>
      <c r="M55" s="289" t="s">
        <v>14</v>
      </c>
      <c r="N55" s="290"/>
      <c r="O55" s="293">
        <f>Formulas!C314</f>
        <v>70583.137070392622</v>
      </c>
    </row>
    <row r="56" spans="12:15" x14ac:dyDescent="0.2">
      <c r="M56" s="279" t="s">
        <v>165</v>
      </c>
      <c r="N56" s="269"/>
      <c r="O56" s="283"/>
    </row>
    <row r="57" spans="12:15" x14ac:dyDescent="0.2">
      <c r="M57" s="271" t="s">
        <v>168</v>
      </c>
      <c r="N57" s="271"/>
      <c r="O57" s="284">
        <f>Formulas!C316</f>
        <v>39808.068577241924</v>
      </c>
    </row>
    <row r="58" spans="12:15" x14ac:dyDescent="0.2">
      <c r="M58" s="271" t="s">
        <v>172</v>
      </c>
      <c r="N58" s="271"/>
      <c r="O58" s="284">
        <f>Formulas!C317</f>
        <v>-21500.000000000007</v>
      </c>
    </row>
    <row r="59" spans="12:15" x14ac:dyDescent="0.2">
      <c r="M59" s="271" t="s">
        <v>175</v>
      </c>
      <c r="N59" s="271"/>
      <c r="O59" s="284">
        <f>Formulas!C318</f>
        <v>154412.52943944113</v>
      </c>
    </row>
    <row r="60" spans="12:15" x14ac:dyDescent="0.2">
      <c r="M60" s="271" t="s">
        <v>177</v>
      </c>
      <c r="N60" s="271"/>
      <c r="O60" s="292">
        <f>Formulas!C319</f>
        <v>0</v>
      </c>
    </row>
    <row r="61" spans="12:15" x14ac:dyDescent="0.2">
      <c r="M61" s="279" t="s">
        <v>178</v>
      </c>
      <c r="N61" s="271"/>
      <c r="O61" s="284">
        <f>Formulas!C320</f>
        <v>172720.59801668304</v>
      </c>
    </row>
  </sheetData>
  <mergeCells count="18">
    <mergeCell ref="B2:O2"/>
    <mergeCell ref="N15:O15"/>
    <mergeCell ref="N16:O16"/>
    <mergeCell ref="F14:H14"/>
    <mergeCell ref="F15:H15"/>
    <mergeCell ref="F16:H16"/>
    <mergeCell ref="N14:O14"/>
    <mergeCell ref="F13:H13"/>
    <mergeCell ref="J11:J12"/>
    <mergeCell ref="N8:O8"/>
    <mergeCell ref="N9:O9"/>
    <mergeCell ref="N10:O10"/>
    <mergeCell ref="N11:O11"/>
    <mergeCell ref="N13:O13"/>
    <mergeCell ref="F8:H8"/>
    <mergeCell ref="F9:H9"/>
    <mergeCell ref="F10:H10"/>
    <mergeCell ref="F11:H11"/>
  </mergeCells>
  <conditionalFormatting sqref="D10">
    <cfRule type="expression" dxfId="144" priority="11">
      <formula>$D$10&lt;0</formula>
    </cfRule>
  </conditionalFormatting>
  <conditionalFormatting sqref="D15">
    <cfRule type="expression" dxfId="143" priority="7">
      <formula>$D$15&lt;0</formula>
    </cfRule>
  </conditionalFormatting>
  <conditionalFormatting sqref="D10:I10 L10:O10 D15:H15 L15:O15">
    <cfRule type="cellIs" dxfId="142" priority="2" operator="lessThan">
      <formula>0</formula>
    </cfRule>
  </conditionalFormatting>
  <conditionalFormatting sqref="F10">
    <cfRule type="expression" dxfId="141" priority="10">
      <formula>$F$10&lt;0</formula>
    </cfRule>
  </conditionalFormatting>
  <conditionalFormatting sqref="F15">
    <cfRule type="expression" dxfId="140" priority="6">
      <formula>$F$15&lt;0</formula>
    </cfRule>
  </conditionalFormatting>
  <conditionalFormatting sqref="J13">
    <cfRule type="cellIs" dxfId="139" priority="1" operator="lessThan">
      <formula>0</formula>
    </cfRule>
    <cfRule type="expression" dxfId="138" priority="3">
      <formula>$J$13&lt;0</formula>
    </cfRule>
  </conditionalFormatting>
  <conditionalFormatting sqref="L10">
    <cfRule type="expression" dxfId="137" priority="9">
      <formula>$L$10&lt;0</formula>
    </cfRule>
  </conditionalFormatting>
  <conditionalFormatting sqref="L15">
    <cfRule type="expression" dxfId="136" priority="5">
      <formula>$L$15&lt;0</formula>
    </cfRule>
  </conditionalFormatting>
  <conditionalFormatting sqref="N10">
    <cfRule type="expression" dxfId="135" priority="8">
      <formula>$N$10&lt;0</formula>
    </cfRule>
  </conditionalFormatting>
  <conditionalFormatting sqref="N15">
    <cfRule type="expression" dxfId="134" priority="4">
      <formula>$N$15&lt;0</formula>
    </cfRule>
  </conditionalFormatting>
  <pageMargins left="0.25" right="0.25" top="0.75" bottom="0.75" header="0.3" footer="0.3"/>
  <pageSetup paperSize="9" scale="52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FA9805-0B34-45BF-8818-DF60D074F835}">
          <x14:formula1>
            <xm:f>Formulas!$C$9:$L$9</xm:f>
          </x14:formula1>
          <xm:sqref>F6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E4D1-1D7B-4FB0-9997-42417E600344}">
  <sheetPr>
    <tabColor theme="3" tint="0.499984740745262"/>
    <pageSetUpPr fitToPage="1"/>
  </sheetPr>
  <dimension ref="A1:S6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02" customWidth="1"/>
    <col min="2" max="3" width="1.6640625" style="44" customWidth="1"/>
    <col min="4" max="4" width="26" style="44" customWidth="1"/>
    <col min="5" max="19" width="12.6640625" style="44" customWidth="1"/>
    <col min="20" max="16384" width="9.1640625" style="44"/>
  </cols>
  <sheetData>
    <row r="1" spans="1:19" s="5" customFormat="1" x14ac:dyDescent="0.2">
      <c r="A1" s="116" t="s">
        <v>5</v>
      </c>
      <c r="C1" s="116"/>
    </row>
    <row r="2" spans="1:19" s="23" customFormat="1" ht="22" x14ac:dyDescent="0.3">
      <c r="A2" s="196" t="s">
        <v>308</v>
      </c>
      <c r="B2" s="296" t="str">
        <f>Profile!F6</f>
        <v>Person0811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</row>
    <row r="4" spans="1:19" ht="19" x14ac:dyDescent="0.25">
      <c r="C4" s="174" t="s">
        <v>68</v>
      </c>
      <c r="D4" s="35"/>
      <c r="E4" s="35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x14ac:dyDescent="0.2">
      <c r="C5" s="176" t="str">
        <f>Formulas!A3</f>
        <v>Amounts in USD</v>
      </c>
      <c r="D5" s="181"/>
      <c r="E5" s="3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s="46" customFormat="1" ht="16" thickBot="1" x14ac:dyDescent="0.25">
      <c r="A6" s="203"/>
      <c r="C6" s="29"/>
      <c r="D6" s="29"/>
      <c r="E6" s="29"/>
      <c r="F6" s="29"/>
      <c r="G6" s="312">
        <f>Profile!F8</f>
        <v>2025</v>
      </c>
      <c r="H6" s="312"/>
      <c r="I6" s="312"/>
      <c r="J6" s="312"/>
      <c r="K6" s="312"/>
      <c r="L6" s="312"/>
      <c r="M6" s="312"/>
      <c r="N6" s="312"/>
      <c r="O6" s="312"/>
      <c r="P6" s="312"/>
      <c r="Q6" s="312"/>
      <c r="R6" s="312"/>
      <c r="S6" s="312"/>
    </row>
    <row r="7" spans="1:19" x14ac:dyDescent="0.2">
      <c r="C7" s="42" t="s">
        <v>10</v>
      </c>
      <c r="D7" s="5"/>
      <c r="E7" s="9"/>
      <c r="F7" s="9"/>
      <c r="G7" s="50" t="str">
        <f>Formulas!C41</f>
        <v>January</v>
      </c>
      <c r="H7" s="50" t="str">
        <f>Formulas!D41</f>
        <v>February</v>
      </c>
      <c r="I7" s="50" t="str">
        <f>Formulas!E41</f>
        <v>March</v>
      </c>
      <c r="J7" s="50" t="str">
        <f>Formulas!F41</f>
        <v>April</v>
      </c>
      <c r="K7" s="50" t="str">
        <f>Formulas!G41</f>
        <v>May</v>
      </c>
      <c r="L7" s="50" t="str">
        <f>Formulas!H41</f>
        <v>June</v>
      </c>
      <c r="M7" s="50" t="str">
        <f>Formulas!I41</f>
        <v>July</v>
      </c>
      <c r="N7" s="50" t="str">
        <f>Formulas!J41</f>
        <v>August</v>
      </c>
      <c r="O7" s="50" t="str">
        <f>Formulas!K41</f>
        <v>September</v>
      </c>
      <c r="P7" s="50" t="str">
        <f>Formulas!L41</f>
        <v>October</v>
      </c>
      <c r="Q7" s="50" t="str">
        <f>Formulas!M41</f>
        <v>November</v>
      </c>
      <c r="R7" s="50" t="str">
        <f>Formulas!N41</f>
        <v>December</v>
      </c>
      <c r="S7" s="50" t="s">
        <v>72</v>
      </c>
    </row>
    <row r="8" spans="1:19" x14ac:dyDescent="0.2">
      <c r="C8" s="182" t="s">
        <v>306</v>
      </c>
      <c r="D8" s="35"/>
      <c r="E8" s="35"/>
      <c r="F8" s="35"/>
      <c r="G8" s="215">
        <v>0.02</v>
      </c>
      <c r="H8" s="216">
        <v>0.03</v>
      </c>
      <c r="I8" s="216">
        <v>0.04</v>
      </c>
      <c r="J8" s="216">
        <v>0.05</v>
      </c>
      <c r="K8" s="216">
        <v>0.1</v>
      </c>
      <c r="L8" s="216">
        <v>0.12</v>
      </c>
      <c r="M8" s="216">
        <v>0.08</v>
      </c>
      <c r="N8" s="216">
        <v>0.05</v>
      </c>
      <c r="O8" s="216">
        <v>-0.02</v>
      </c>
      <c r="P8" s="216">
        <v>0.03</v>
      </c>
      <c r="Q8" s="216">
        <v>0.08</v>
      </c>
      <c r="R8" s="217">
        <v>0.12</v>
      </c>
      <c r="S8" s="218"/>
    </row>
    <row r="9" spans="1:19" x14ac:dyDescent="0.2">
      <c r="C9" s="5" t="s">
        <v>71</v>
      </c>
      <c r="D9" s="5"/>
      <c r="E9" s="50" t="s">
        <v>69</v>
      </c>
      <c r="F9" s="50" t="s">
        <v>70</v>
      </c>
      <c r="G9" s="311" t="s">
        <v>73</v>
      </c>
      <c r="H9" s="311"/>
      <c r="I9" s="311"/>
      <c r="J9" s="311"/>
      <c r="K9" s="311"/>
      <c r="L9" s="311"/>
      <c r="M9" s="311"/>
      <c r="N9" s="311"/>
      <c r="O9" s="311"/>
      <c r="P9" s="311"/>
      <c r="Q9" s="311"/>
      <c r="R9" s="311"/>
      <c r="S9" s="51" t="s">
        <v>74</v>
      </c>
    </row>
    <row r="10" spans="1:19" x14ac:dyDescent="0.2">
      <c r="C10" s="35"/>
      <c r="D10" s="35" t="s">
        <v>75</v>
      </c>
      <c r="E10" s="219">
        <v>250</v>
      </c>
      <c r="F10" s="220">
        <v>10</v>
      </c>
      <c r="G10" s="54">
        <f>$E10*$F10*Formulas!C$42</f>
        <v>2550</v>
      </c>
      <c r="H10" s="54">
        <f>$E10*$F10*Formulas!D$42</f>
        <v>2575</v>
      </c>
      <c r="I10" s="54">
        <f>$E10*$F10*Formulas!E$42</f>
        <v>2600</v>
      </c>
      <c r="J10" s="54">
        <f>$E10*$F10*Formulas!F$42</f>
        <v>2625</v>
      </c>
      <c r="K10" s="54">
        <f>$E10*$F10*Formulas!G$42</f>
        <v>2750</v>
      </c>
      <c r="L10" s="54">
        <f>$E10*$F10*Formulas!H$42</f>
        <v>2800.0000000000005</v>
      </c>
      <c r="M10" s="54">
        <f>$E10*$F10*Formulas!I$42</f>
        <v>2700</v>
      </c>
      <c r="N10" s="54">
        <f>$E10*$F10*Formulas!J$42</f>
        <v>2625</v>
      </c>
      <c r="O10" s="54">
        <f>$E10*$F10*Formulas!K$42</f>
        <v>2450</v>
      </c>
      <c r="P10" s="54">
        <f>$E10*$F10*Formulas!L$42</f>
        <v>2575</v>
      </c>
      <c r="Q10" s="54">
        <f>$E10*$F10*Formulas!M$42</f>
        <v>2700</v>
      </c>
      <c r="R10" s="54">
        <f>$E10*$F10*Formulas!N$42</f>
        <v>2800.0000000000005</v>
      </c>
      <c r="S10" s="55">
        <f>SUM(G10:R10)</f>
        <v>31750</v>
      </c>
    </row>
    <row r="11" spans="1:19" x14ac:dyDescent="0.2">
      <c r="C11" s="35"/>
      <c r="D11" s="35" t="s">
        <v>76</v>
      </c>
      <c r="E11" s="219">
        <v>200</v>
      </c>
      <c r="F11" s="220">
        <v>20</v>
      </c>
      <c r="G11" s="54">
        <f>$E11*$F11*Formulas!C$42</f>
        <v>4080</v>
      </c>
      <c r="H11" s="54">
        <f>$E11*$F11*Formulas!D$42</f>
        <v>4120</v>
      </c>
      <c r="I11" s="54">
        <f>$E11*$F11*Formulas!E$42</f>
        <v>4160</v>
      </c>
      <c r="J11" s="54">
        <f>$E11*$F11*Formulas!F$42</f>
        <v>4200</v>
      </c>
      <c r="K11" s="54">
        <f>$E11*$F11*Formulas!G$42</f>
        <v>4400</v>
      </c>
      <c r="L11" s="54">
        <f>$E11*$F11*Formulas!H$42</f>
        <v>4480</v>
      </c>
      <c r="M11" s="54">
        <f>$E11*$F11*Formulas!I$42</f>
        <v>4320</v>
      </c>
      <c r="N11" s="54">
        <f>$E11*$F11*Formulas!J$42</f>
        <v>4200</v>
      </c>
      <c r="O11" s="54">
        <f>$E11*$F11*Formulas!K$42</f>
        <v>3920</v>
      </c>
      <c r="P11" s="54">
        <f>$E11*$F11*Formulas!L$42</f>
        <v>4120</v>
      </c>
      <c r="Q11" s="54">
        <f>$E11*$F11*Formulas!M$42</f>
        <v>4320</v>
      </c>
      <c r="R11" s="54">
        <f>$E11*$F11*Formulas!N$42</f>
        <v>4480</v>
      </c>
      <c r="S11" s="55">
        <f t="shared" ref="S11:S19" si="0">SUM(G11:R11)</f>
        <v>50800</v>
      </c>
    </row>
    <row r="12" spans="1:19" x14ac:dyDescent="0.2">
      <c r="C12" s="35"/>
      <c r="D12" s="35" t="s">
        <v>77</v>
      </c>
      <c r="E12" s="219">
        <v>150</v>
      </c>
      <c r="F12" s="220">
        <v>30</v>
      </c>
      <c r="G12" s="54">
        <f>$E12*$F12*Formulas!C$42</f>
        <v>4590</v>
      </c>
      <c r="H12" s="54">
        <f>$E12*$F12*Formulas!D$42</f>
        <v>4635</v>
      </c>
      <c r="I12" s="54">
        <f>$E12*$F12*Formulas!E$42</f>
        <v>4680</v>
      </c>
      <c r="J12" s="54">
        <f>$E12*$F12*Formulas!F$42</f>
        <v>4725</v>
      </c>
      <c r="K12" s="54">
        <f>$E12*$F12*Formulas!G$42</f>
        <v>4950</v>
      </c>
      <c r="L12" s="54">
        <f>$E12*$F12*Formulas!H$42</f>
        <v>5040.0000000000009</v>
      </c>
      <c r="M12" s="54">
        <f>$E12*$F12*Formulas!I$42</f>
        <v>4860</v>
      </c>
      <c r="N12" s="54">
        <f>$E12*$F12*Formulas!J$42</f>
        <v>4725</v>
      </c>
      <c r="O12" s="54">
        <f>$E12*$F12*Formulas!K$42</f>
        <v>4410</v>
      </c>
      <c r="P12" s="54">
        <f>$E12*$F12*Formulas!L$42</f>
        <v>4635</v>
      </c>
      <c r="Q12" s="54">
        <f>$E12*$F12*Formulas!M$42</f>
        <v>4860</v>
      </c>
      <c r="R12" s="54">
        <f>$E12*$F12*Formulas!N$42</f>
        <v>5040.0000000000009</v>
      </c>
      <c r="S12" s="55">
        <f t="shared" si="0"/>
        <v>57150</v>
      </c>
    </row>
    <row r="13" spans="1:19" x14ac:dyDescent="0.2">
      <c r="C13" s="35"/>
      <c r="D13" s="35" t="s">
        <v>78</v>
      </c>
      <c r="E13" s="219">
        <v>100</v>
      </c>
      <c r="F13" s="220">
        <v>40</v>
      </c>
      <c r="G13" s="54">
        <f>$E13*$F13*Formulas!C$42</f>
        <v>4080</v>
      </c>
      <c r="H13" s="54">
        <f>$E13*$F13*Formulas!D$42</f>
        <v>4120</v>
      </c>
      <c r="I13" s="54">
        <f>$E13*$F13*Formulas!E$42</f>
        <v>4160</v>
      </c>
      <c r="J13" s="54">
        <f>$E13*$F13*Formulas!F$42</f>
        <v>4200</v>
      </c>
      <c r="K13" s="54">
        <f>$E13*$F13*Formulas!G$42</f>
        <v>4400</v>
      </c>
      <c r="L13" s="54">
        <f>$E13*$F13*Formulas!H$42</f>
        <v>4480</v>
      </c>
      <c r="M13" s="54">
        <f>$E13*$F13*Formulas!I$42</f>
        <v>4320</v>
      </c>
      <c r="N13" s="54">
        <f>$E13*$F13*Formulas!J$42</f>
        <v>4200</v>
      </c>
      <c r="O13" s="54">
        <f>$E13*$F13*Formulas!K$42</f>
        <v>3920</v>
      </c>
      <c r="P13" s="54">
        <f>$E13*$F13*Formulas!L$42</f>
        <v>4120</v>
      </c>
      <c r="Q13" s="54">
        <f>$E13*$F13*Formulas!M$42</f>
        <v>4320</v>
      </c>
      <c r="R13" s="54">
        <f>$E13*$F13*Formulas!N$42</f>
        <v>4480</v>
      </c>
      <c r="S13" s="55">
        <f t="shared" si="0"/>
        <v>50800</v>
      </c>
    </row>
    <row r="14" spans="1:19" x14ac:dyDescent="0.2">
      <c r="C14" s="35"/>
      <c r="D14" s="35" t="s">
        <v>79</v>
      </c>
      <c r="E14" s="219">
        <v>50</v>
      </c>
      <c r="F14" s="220">
        <v>50</v>
      </c>
      <c r="G14" s="54">
        <f>$E14*$F14*Formulas!C$42</f>
        <v>2550</v>
      </c>
      <c r="H14" s="54">
        <f>$E14*$F14*Formulas!D$42</f>
        <v>2575</v>
      </c>
      <c r="I14" s="54">
        <f>$E14*$F14*Formulas!E$42</f>
        <v>2600</v>
      </c>
      <c r="J14" s="54">
        <f>$E14*$F14*Formulas!F$42</f>
        <v>2625</v>
      </c>
      <c r="K14" s="54">
        <f>$E14*$F14*Formulas!G$42</f>
        <v>2750</v>
      </c>
      <c r="L14" s="54">
        <f>$E14*$F14*Formulas!H$42</f>
        <v>2800.0000000000005</v>
      </c>
      <c r="M14" s="54">
        <f>$E14*$F14*Formulas!I$42</f>
        <v>2700</v>
      </c>
      <c r="N14" s="54">
        <f>$E14*$F14*Formulas!J$42</f>
        <v>2625</v>
      </c>
      <c r="O14" s="54">
        <f>$E14*$F14*Formulas!K$42</f>
        <v>2450</v>
      </c>
      <c r="P14" s="54">
        <f>$E14*$F14*Formulas!L$42</f>
        <v>2575</v>
      </c>
      <c r="Q14" s="54">
        <f>$E14*$F14*Formulas!M$42</f>
        <v>2700</v>
      </c>
      <c r="R14" s="54">
        <f>$E14*$F14*Formulas!N$42</f>
        <v>2800.0000000000005</v>
      </c>
      <c r="S14" s="55">
        <f t="shared" si="0"/>
        <v>31750</v>
      </c>
    </row>
    <row r="15" spans="1:19" x14ac:dyDescent="0.2">
      <c r="C15" s="35"/>
      <c r="D15" s="35" t="s">
        <v>80</v>
      </c>
      <c r="E15" s="219"/>
      <c r="F15" s="220"/>
      <c r="G15" s="54">
        <f>$E15*$F15*Formulas!C$42</f>
        <v>0</v>
      </c>
      <c r="H15" s="54">
        <f>$E15*$F15*Formulas!D$42</f>
        <v>0</v>
      </c>
      <c r="I15" s="54">
        <f>$E15*$F15*Formulas!E$42</f>
        <v>0</v>
      </c>
      <c r="J15" s="54">
        <f>$E15*$F15*Formulas!F$42</f>
        <v>0</v>
      </c>
      <c r="K15" s="54">
        <f>$E15*$F15*Formulas!G$42</f>
        <v>0</v>
      </c>
      <c r="L15" s="54">
        <f>$E15*$F15*Formulas!H$42</f>
        <v>0</v>
      </c>
      <c r="M15" s="54">
        <f>$E15*$F15*Formulas!I$42</f>
        <v>0</v>
      </c>
      <c r="N15" s="54">
        <f>$E15*$F15*Formulas!J$42</f>
        <v>0</v>
      </c>
      <c r="O15" s="54">
        <f>$E15*$F15*Formulas!K$42</f>
        <v>0</v>
      </c>
      <c r="P15" s="54">
        <f>$E15*$F15*Formulas!L$42</f>
        <v>0</v>
      </c>
      <c r="Q15" s="54">
        <f>$E15*$F15*Formulas!M$42</f>
        <v>0</v>
      </c>
      <c r="R15" s="54">
        <f>$E15*$F15*Formulas!N$42</f>
        <v>0</v>
      </c>
      <c r="S15" s="55">
        <f t="shared" si="0"/>
        <v>0</v>
      </c>
    </row>
    <row r="16" spans="1:19" x14ac:dyDescent="0.2">
      <c r="C16" s="35"/>
      <c r="D16" s="35" t="s">
        <v>80</v>
      </c>
      <c r="E16" s="219"/>
      <c r="F16" s="220"/>
      <c r="G16" s="54">
        <f>$E16*$F16*Formulas!C$42</f>
        <v>0</v>
      </c>
      <c r="H16" s="54">
        <f>$E16*$F16*Formulas!D$42</f>
        <v>0</v>
      </c>
      <c r="I16" s="54">
        <f>$E16*$F16*Formulas!E$42</f>
        <v>0</v>
      </c>
      <c r="J16" s="54">
        <f>$E16*$F16*Formulas!F$42</f>
        <v>0</v>
      </c>
      <c r="K16" s="54">
        <f>$E16*$F16*Formulas!G$42</f>
        <v>0</v>
      </c>
      <c r="L16" s="54">
        <f>$E16*$F16*Formulas!H$42</f>
        <v>0</v>
      </c>
      <c r="M16" s="54">
        <f>$E16*$F16*Formulas!I$42</f>
        <v>0</v>
      </c>
      <c r="N16" s="54">
        <f>$E16*$F16*Formulas!J$42</f>
        <v>0</v>
      </c>
      <c r="O16" s="54">
        <f>$E16*$F16*Formulas!K$42</f>
        <v>0</v>
      </c>
      <c r="P16" s="54">
        <f>$E16*$F16*Formulas!L$42</f>
        <v>0</v>
      </c>
      <c r="Q16" s="54">
        <f>$E16*$F16*Formulas!M$42</f>
        <v>0</v>
      </c>
      <c r="R16" s="54">
        <f>$E16*$F16*Formulas!N$42</f>
        <v>0</v>
      </c>
      <c r="S16" s="55">
        <f t="shared" si="0"/>
        <v>0</v>
      </c>
    </row>
    <row r="17" spans="1:19" x14ac:dyDescent="0.2">
      <c r="C17" s="35"/>
      <c r="D17" s="35" t="s">
        <v>80</v>
      </c>
      <c r="E17" s="219"/>
      <c r="F17" s="220"/>
      <c r="G17" s="54">
        <f>$E17*$F17*Formulas!C$42</f>
        <v>0</v>
      </c>
      <c r="H17" s="54">
        <f>$E17*$F17*Formulas!D$42</f>
        <v>0</v>
      </c>
      <c r="I17" s="54">
        <f>$E17*$F17*Formulas!E$42</f>
        <v>0</v>
      </c>
      <c r="J17" s="54">
        <f>$E17*$F17*Formulas!F$42</f>
        <v>0</v>
      </c>
      <c r="K17" s="54">
        <f>$E17*$F17*Formulas!G$42</f>
        <v>0</v>
      </c>
      <c r="L17" s="54">
        <f>$E17*$F17*Formulas!H$42</f>
        <v>0</v>
      </c>
      <c r="M17" s="54">
        <f>$E17*$F17*Formulas!I$42</f>
        <v>0</v>
      </c>
      <c r="N17" s="54">
        <f>$E17*$F17*Formulas!J$42</f>
        <v>0</v>
      </c>
      <c r="O17" s="54">
        <f>$E17*$F17*Formulas!K$42</f>
        <v>0</v>
      </c>
      <c r="P17" s="54">
        <f>$E17*$F17*Formulas!L$42</f>
        <v>0</v>
      </c>
      <c r="Q17" s="54">
        <f>$E17*$F17*Formulas!M$42</f>
        <v>0</v>
      </c>
      <c r="R17" s="54">
        <f>$E17*$F17*Formulas!N$42</f>
        <v>0</v>
      </c>
      <c r="S17" s="55">
        <f t="shared" si="0"/>
        <v>0</v>
      </c>
    </row>
    <row r="18" spans="1:19" x14ac:dyDescent="0.2">
      <c r="C18" s="35"/>
      <c r="D18" s="35" t="s">
        <v>80</v>
      </c>
      <c r="E18" s="219"/>
      <c r="F18" s="220"/>
      <c r="G18" s="54">
        <f>$E18*$F18*Formulas!C$42</f>
        <v>0</v>
      </c>
      <c r="H18" s="54">
        <f>$E18*$F18*Formulas!D$42</f>
        <v>0</v>
      </c>
      <c r="I18" s="54">
        <f>$E18*$F18*Formulas!E$42</f>
        <v>0</v>
      </c>
      <c r="J18" s="54">
        <f>$E18*$F18*Formulas!F$42</f>
        <v>0</v>
      </c>
      <c r="K18" s="54">
        <f>$E18*$F18*Formulas!G$42</f>
        <v>0</v>
      </c>
      <c r="L18" s="54">
        <f>$E18*$F18*Formulas!H$42</f>
        <v>0</v>
      </c>
      <c r="M18" s="54">
        <f>$E18*$F18*Formulas!I$42</f>
        <v>0</v>
      </c>
      <c r="N18" s="54">
        <f>$E18*$F18*Formulas!J$42</f>
        <v>0</v>
      </c>
      <c r="O18" s="54">
        <f>$E18*$F18*Formulas!K$42</f>
        <v>0</v>
      </c>
      <c r="P18" s="54">
        <f>$E18*$F18*Formulas!L$42</f>
        <v>0</v>
      </c>
      <c r="Q18" s="54">
        <f>$E18*$F18*Formulas!M$42</f>
        <v>0</v>
      </c>
      <c r="R18" s="54">
        <f>$E18*$F18*Formulas!N$42</f>
        <v>0</v>
      </c>
      <c r="S18" s="55">
        <f t="shared" si="0"/>
        <v>0</v>
      </c>
    </row>
    <row r="19" spans="1:19" x14ac:dyDescent="0.2">
      <c r="C19" s="35"/>
      <c r="D19" s="35" t="s">
        <v>80</v>
      </c>
      <c r="E19" s="219"/>
      <c r="F19" s="220"/>
      <c r="G19" s="54">
        <f>$E19*$F19*Formulas!C$42</f>
        <v>0</v>
      </c>
      <c r="H19" s="54">
        <f>$E19*$F19*Formulas!D$42</f>
        <v>0</v>
      </c>
      <c r="I19" s="54">
        <f>$E19*$F19*Formulas!E$42</f>
        <v>0</v>
      </c>
      <c r="J19" s="54">
        <f>$E19*$F19*Formulas!F$42</f>
        <v>0</v>
      </c>
      <c r="K19" s="54">
        <f>$E19*$F19*Formulas!G$42</f>
        <v>0</v>
      </c>
      <c r="L19" s="54">
        <f>$E19*$F19*Formulas!H$42</f>
        <v>0</v>
      </c>
      <c r="M19" s="54">
        <f>$E19*$F19*Formulas!I$42</f>
        <v>0</v>
      </c>
      <c r="N19" s="54">
        <f>$E19*$F19*Formulas!J$42</f>
        <v>0</v>
      </c>
      <c r="O19" s="54">
        <f>$E19*$F19*Formulas!K$42</f>
        <v>0</v>
      </c>
      <c r="P19" s="54">
        <f>$E19*$F19*Formulas!L$42</f>
        <v>0</v>
      </c>
      <c r="Q19" s="54">
        <f>$E19*$F19*Formulas!M$42</f>
        <v>0</v>
      </c>
      <c r="R19" s="54">
        <f>$E19*$F19*Formulas!N$42</f>
        <v>0</v>
      </c>
      <c r="S19" s="55">
        <f t="shared" si="0"/>
        <v>0</v>
      </c>
    </row>
    <row r="20" spans="1:19" s="48" customFormat="1" x14ac:dyDescent="0.2">
      <c r="A20" s="204"/>
      <c r="C20" s="34" t="s">
        <v>81</v>
      </c>
      <c r="D20" s="34"/>
      <c r="E20" s="53">
        <f>SUM(E10:E19)</f>
        <v>750</v>
      </c>
      <c r="F20" s="56"/>
      <c r="G20" s="56">
        <f t="shared" ref="G20:R20" si="1">SUM(G10:G19)</f>
        <v>17850</v>
      </c>
      <c r="H20" s="56">
        <f t="shared" si="1"/>
        <v>18025</v>
      </c>
      <c r="I20" s="56">
        <f t="shared" si="1"/>
        <v>18200</v>
      </c>
      <c r="J20" s="56">
        <f t="shared" si="1"/>
        <v>18375</v>
      </c>
      <c r="K20" s="56">
        <f t="shared" si="1"/>
        <v>19250</v>
      </c>
      <c r="L20" s="56">
        <f t="shared" si="1"/>
        <v>19600</v>
      </c>
      <c r="M20" s="56">
        <f t="shared" si="1"/>
        <v>18900</v>
      </c>
      <c r="N20" s="56">
        <f t="shared" si="1"/>
        <v>18375</v>
      </c>
      <c r="O20" s="56">
        <f t="shared" si="1"/>
        <v>17150</v>
      </c>
      <c r="P20" s="56">
        <f t="shared" si="1"/>
        <v>18025</v>
      </c>
      <c r="Q20" s="56">
        <f t="shared" si="1"/>
        <v>18900</v>
      </c>
      <c r="R20" s="56">
        <f t="shared" si="1"/>
        <v>19600</v>
      </c>
      <c r="S20" s="57">
        <f>SUM(S10:S19)</f>
        <v>222250</v>
      </c>
    </row>
    <row r="21" spans="1:19" x14ac:dyDescent="0.2">
      <c r="C21" s="35"/>
      <c r="D21" s="35"/>
      <c r="E21" s="58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60"/>
    </row>
    <row r="22" spans="1:19" x14ac:dyDescent="0.2">
      <c r="C22" s="35"/>
      <c r="D22" s="35" t="s">
        <v>82</v>
      </c>
      <c r="E22" s="219">
        <v>250</v>
      </c>
      <c r="F22" s="220">
        <v>10</v>
      </c>
      <c r="G22" s="54">
        <f>$E22*$F22*Formulas!C$42</f>
        <v>2550</v>
      </c>
      <c r="H22" s="54">
        <f>$E22*$F22*Formulas!D$42</f>
        <v>2575</v>
      </c>
      <c r="I22" s="54">
        <f>$E22*$F22*Formulas!E$42</f>
        <v>2600</v>
      </c>
      <c r="J22" s="54">
        <f>$E22*$F22*Formulas!F$42</f>
        <v>2625</v>
      </c>
      <c r="K22" s="54">
        <f>$E22*$F22*Formulas!G$42</f>
        <v>2750</v>
      </c>
      <c r="L22" s="54">
        <f>$E22*$F22*Formulas!H$42</f>
        <v>2800.0000000000005</v>
      </c>
      <c r="M22" s="54">
        <f>$E22*$F22*Formulas!I$42</f>
        <v>2700</v>
      </c>
      <c r="N22" s="54">
        <f>$E22*$F22*Formulas!J$42</f>
        <v>2625</v>
      </c>
      <c r="O22" s="54">
        <f>$E22*$F22*Formulas!K$42</f>
        <v>2450</v>
      </c>
      <c r="P22" s="54">
        <f>$E22*$F22*Formulas!L$42</f>
        <v>2575</v>
      </c>
      <c r="Q22" s="54">
        <f>$E22*$F22*Formulas!M$42</f>
        <v>2700</v>
      </c>
      <c r="R22" s="54">
        <f>$E22*$F22*Formulas!N$42</f>
        <v>2800.0000000000005</v>
      </c>
      <c r="S22" s="55">
        <f>SUM(G22:R22)</f>
        <v>31750</v>
      </c>
    </row>
    <row r="23" spans="1:19" x14ac:dyDescent="0.2">
      <c r="C23" s="35"/>
      <c r="D23" s="35" t="s">
        <v>83</v>
      </c>
      <c r="E23" s="219">
        <v>200</v>
      </c>
      <c r="F23" s="220">
        <v>20</v>
      </c>
      <c r="G23" s="54">
        <f>$E23*$F23*Formulas!C$42</f>
        <v>4080</v>
      </c>
      <c r="H23" s="54">
        <f>$E23*$F23*Formulas!D$42</f>
        <v>4120</v>
      </c>
      <c r="I23" s="54">
        <f>$E23*$F23*Formulas!E$42</f>
        <v>4160</v>
      </c>
      <c r="J23" s="54">
        <f>$E23*$F23*Formulas!F$42</f>
        <v>4200</v>
      </c>
      <c r="K23" s="54">
        <f>$E23*$F23*Formulas!G$42</f>
        <v>4400</v>
      </c>
      <c r="L23" s="54">
        <f>$E23*$F23*Formulas!H$42</f>
        <v>4480</v>
      </c>
      <c r="M23" s="54">
        <f>$E23*$F23*Formulas!I$42</f>
        <v>4320</v>
      </c>
      <c r="N23" s="54">
        <f>$E23*$F23*Formulas!J$42</f>
        <v>4200</v>
      </c>
      <c r="O23" s="54">
        <f>$E23*$F23*Formulas!K$42</f>
        <v>3920</v>
      </c>
      <c r="P23" s="54">
        <f>$E23*$F23*Formulas!L$42</f>
        <v>4120</v>
      </c>
      <c r="Q23" s="54">
        <f>$E23*$F23*Formulas!M$42</f>
        <v>4320</v>
      </c>
      <c r="R23" s="54">
        <f>$E23*$F23*Formulas!N$42</f>
        <v>4480</v>
      </c>
      <c r="S23" s="55">
        <f t="shared" ref="S23:S31" si="2">SUM(G23:R23)</f>
        <v>50800</v>
      </c>
    </row>
    <row r="24" spans="1:19" x14ac:dyDescent="0.2">
      <c r="C24" s="35"/>
      <c r="D24" s="35" t="s">
        <v>84</v>
      </c>
      <c r="E24" s="219">
        <v>150</v>
      </c>
      <c r="F24" s="220">
        <v>30</v>
      </c>
      <c r="G24" s="54">
        <f>$E24*$F24*Formulas!C$42</f>
        <v>4590</v>
      </c>
      <c r="H24" s="54">
        <f>$E24*$F24*Formulas!D$42</f>
        <v>4635</v>
      </c>
      <c r="I24" s="54">
        <f>$E24*$F24*Formulas!E$42</f>
        <v>4680</v>
      </c>
      <c r="J24" s="54">
        <f>$E24*$F24*Formulas!F$42</f>
        <v>4725</v>
      </c>
      <c r="K24" s="54">
        <f>$E24*$F24*Formulas!G$42</f>
        <v>4950</v>
      </c>
      <c r="L24" s="54">
        <f>$E24*$F24*Formulas!H$42</f>
        <v>5040.0000000000009</v>
      </c>
      <c r="M24" s="54">
        <f>$E24*$F24*Formulas!I$42</f>
        <v>4860</v>
      </c>
      <c r="N24" s="54">
        <f>$E24*$F24*Formulas!J$42</f>
        <v>4725</v>
      </c>
      <c r="O24" s="54">
        <f>$E24*$F24*Formulas!K$42</f>
        <v>4410</v>
      </c>
      <c r="P24" s="54">
        <f>$E24*$F24*Formulas!L$42</f>
        <v>4635</v>
      </c>
      <c r="Q24" s="54">
        <f>$E24*$F24*Formulas!M$42</f>
        <v>4860</v>
      </c>
      <c r="R24" s="54">
        <f>$E24*$F24*Formulas!N$42</f>
        <v>5040.0000000000009</v>
      </c>
      <c r="S24" s="55">
        <f t="shared" si="2"/>
        <v>57150</v>
      </c>
    </row>
    <row r="25" spans="1:19" x14ac:dyDescent="0.2">
      <c r="C25" s="35"/>
      <c r="D25" s="35" t="s">
        <v>85</v>
      </c>
      <c r="E25" s="219">
        <v>100</v>
      </c>
      <c r="F25" s="220">
        <v>40</v>
      </c>
      <c r="G25" s="54">
        <f>$E25*$F25*Formulas!C$42</f>
        <v>4080</v>
      </c>
      <c r="H25" s="54">
        <f>$E25*$F25*Formulas!D$42</f>
        <v>4120</v>
      </c>
      <c r="I25" s="54">
        <f>$E25*$F25*Formulas!E$42</f>
        <v>4160</v>
      </c>
      <c r="J25" s="54">
        <f>$E25*$F25*Formulas!F$42</f>
        <v>4200</v>
      </c>
      <c r="K25" s="54">
        <f>$E25*$F25*Formulas!G$42</f>
        <v>4400</v>
      </c>
      <c r="L25" s="54">
        <f>$E25*$F25*Formulas!H$42</f>
        <v>4480</v>
      </c>
      <c r="M25" s="54">
        <f>$E25*$F25*Formulas!I$42</f>
        <v>4320</v>
      </c>
      <c r="N25" s="54">
        <f>$E25*$F25*Formulas!J$42</f>
        <v>4200</v>
      </c>
      <c r="O25" s="54">
        <f>$E25*$F25*Formulas!K$42</f>
        <v>3920</v>
      </c>
      <c r="P25" s="54">
        <f>$E25*$F25*Formulas!L$42</f>
        <v>4120</v>
      </c>
      <c r="Q25" s="54">
        <f>$E25*$F25*Formulas!M$42</f>
        <v>4320</v>
      </c>
      <c r="R25" s="54">
        <f>$E25*$F25*Formulas!N$42</f>
        <v>4480</v>
      </c>
      <c r="S25" s="55">
        <f t="shared" si="2"/>
        <v>50800</v>
      </c>
    </row>
    <row r="26" spans="1:19" x14ac:dyDescent="0.2">
      <c r="C26" s="35"/>
      <c r="D26" s="35" t="s">
        <v>86</v>
      </c>
      <c r="E26" s="219">
        <v>50</v>
      </c>
      <c r="F26" s="220">
        <v>50</v>
      </c>
      <c r="G26" s="54">
        <f>$E26*$F26*Formulas!C$42</f>
        <v>2550</v>
      </c>
      <c r="H26" s="54">
        <f>$E26*$F26*Formulas!D$42</f>
        <v>2575</v>
      </c>
      <c r="I26" s="54">
        <f>$E26*$F26*Formulas!E$42</f>
        <v>2600</v>
      </c>
      <c r="J26" s="54">
        <f>$E26*$F26*Formulas!F$42</f>
        <v>2625</v>
      </c>
      <c r="K26" s="54">
        <f>$E26*$F26*Formulas!G$42</f>
        <v>2750</v>
      </c>
      <c r="L26" s="54">
        <f>$E26*$F26*Formulas!H$42</f>
        <v>2800.0000000000005</v>
      </c>
      <c r="M26" s="54">
        <f>$E26*$F26*Formulas!I$42</f>
        <v>2700</v>
      </c>
      <c r="N26" s="54">
        <f>$E26*$F26*Formulas!J$42</f>
        <v>2625</v>
      </c>
      <c r="O26" s="54">
        <f>$E26*$F26*Formulas!K$42</f>
        <v>2450</v>
      </c>
      <c r="P26" s="54">
        <f>$E26*$F26*Formulas!L$42</f>
        <v>2575</v>
      </c>
      <c r="Q26" s="54">
        <f>$E26*$F26*Formulas!M$42</f>
        <v>2700</v>
      </c>
      <c r="R26" s="54">
        <f>$E26*$F26*Formulas!N$42</f>
        <v>2800.0000000000005</v>
      </c>
      <c r="S26" s="55">
        <f t="shared" si="2"/>
        <v>31750</v>
      </c>
    </row>
    <row r="27" spans="1:19" x14ac:dyDescent="0.2">
      <c r="C27" s="35"/>
      <c r="D27" s="35" t="s">
        <v>87</v>
      </c>
      <c r="E27" s="219"/>
      <c r="F27" s="220"/>
      <c r="G27" s="54">
        <f>$E27*$F27*Formulas!C$42</f>
        <v>0</v>
      </c>
      <c r="H27" s="54">
        <f>$E27*$F27*Formulas!D$42</f>
        <v>0</v>
      </c>
      <c r="I27" s="54">
        <f>$E27*$F27*Formulas!E$42</f>
        <v>0</v>
      </c>
      <c r="J27" s="54">
        <f>$E27*$F27*Formulas!F$42</f>
        <v>0</v>
      </c>
      <c r="K27" s="54">
        <f>$E27*$F27*Formulas!G$42</f>
        <v>0</v>
      </c>
      <c r="L27" s="54">
        <f>$E27*$F27*Formulas!H$42</f>
        <v>0</v>
      </c>
      <c r="M27" s="54">
        <f>$E27*$F27*Formulas!I$42</f>
        <v>0</v>
      </c>
      <c r="N27" s="54">
        <f>$E27*$F27*Formulas!J$42</f>
        <v>0</v>
      </c>
      <c r="O27" s="54">
        <f>$E27*$F27*Formulas!K$42</f>
        <v>0</v>
      </c>
      <c r="P27" s="54">
        <f>$E27*$F27*Formulas!L$42</f>
        <v>0</v>
      </c>
      <c r="Q27" s="54">
        <f>$E27*$F27*Formulas!M$42</f>
        <v>0</v>
      </c>
      <c r="R27" s="54">
        <f>$E27*$F27*Formulas!N$42</f>
        <v>0</v>
      </c>
      <c r="S27" s="55">
        <f t="shared" si="2"/>
        <v>0</v>
      </c>
    </row>
    <row r="28" spans="1:19" x14ac:dyDescent="0.2">
      <c r="C28" s="35"/>
      <c r="D28" s="35" t="s">
        <v>87</v>
      </c>
      <c r="E28" s="219"/>
      <c r="F28" s="220"/>
      <c r="G28" s="54">
        <f>$E28*$F28*Formulas!C$42</f>
        <v>0</v>
      </c>
      <c r="H28" s="54">
        <f>$E28*$F28*Formulas!D$42</f>
        <v>0</v>
      </c>
      <c r="I28" s="54">
        <f>$E28*$F28*Formulas!E$42</f>
        <v>0</v>
      </c>
      <c r="J28" s="54">
        <f>$E28*$F28*Formulas!F$42</f>
        <v>0</v>
      </c>
      <c r="K28" s="54">
        <f>$E28*$F28*Formulas!G$42</f>
        <v>0</v>
      </c>
      <c r="L28" s="54">
        <f>$E28*$F28*Formulas!H$42</f>
        <v>0</v>
      </c>
      <c r="M28" s="54">
        <f>$E28*$F28*Formulas!I$42</f>
        <v>0</v>
      </c>
      <c r="N28" s="54">
        <f>$E28*$F28*Formulas!J$42</f>
        <v>0</v>
      </c>
      <c r="O28" s="54">
        <f>$E28*$F28*Formulas!K$42</f>
        <v>0</v>
      </c>
      <c r="P28" s="54">
        <f>$E28*$F28*Formulas!L$42</f>
        <v>0</v>
      </c>
      <c r="Q28" s="54">
        <f>$E28*$F28*Formulas!M$42</f>
        <v>0</v>
      </c>
      <c r="R28" s="54">
        <f>$E28*$F28*Formulas!N$42</f>
        <v>0</v>
      </c>
      <c r="S28" s="55">
        <f t="shared" si="2"/>
        <v>0</v>
      </c>
    </row>
    <row r="29" spans="1:19" x14ac:dyDescent="0.2">
      <c r="C29" s="35"/>
      <c r="D29" s="35" t="s">
        <v>87</v>
      </c>
      <c r="E29" s="219"/>
      <c r="F29" s="220"/>
      <c r="G29" s="54">
        <f>$E29*$F29*Formulas!C$42</f>
        <v>0</v>
      </c>
      <c r="H29" s="54">
        <f>$E29*$F29*Formulas!D$42</f>
        <v>0</v>
      </c>
      <c r="I29" s="54">
        <f>$E29*$F29*Formulas!E$42</f>
        <v>0</v>
      </c>
      <c r="J29" s="54">
        <f>$E29*$F29*Formulas!F$42</f>
        <v>0</v>
      </c>
      <c r="K29" s="54">
        <f>$E29*$F29*Formulas!G$42</f>
        <v>0</v>
      </c>
      <c r="L29" s="54">
        <f>$E29*$F29*Formulas!H$42</f>
        <v>0</v>
      </c>
      <c r="M29" s="54">
        <f>$E29*$F29*Formulas!I$42</f>
        <v>0</v>
      </c>
      <c r="N29" s="54">
        <f>$E29*$F29*Formulas!J$42</f>
        <v>0</v>
      </c>
      <c r="O29" s="54">
        <f>$E29*$F29*Formulas!K$42</f>
        <v>0</v>
      </c>
      <c r="P29" s="54">
        <f>$E29*$F29*Formulas!L$42</f>
        <v>0</v>
      </c>
      <c r="Q29" s="54">
        <f>$E29*$F29*Formulas!M$42</f>
        <v>0</v>
      </c>
      <c r="R29" s="54">
        <f>$E29*$F29*Formulas!N$42</f>
        <v>0</v>
      </c>
      <c r="S29" s="55">
        <f t="shared" si="2"/>
        <v>0</v>
      </c>
    </row>
    <row r="30" spans="1:19" x14ac:dyDescent="0.2">
      <c r="C30" s="35"/>
      <c r="D30" s="35" t="s">
        <v>87</v>
      </c>
      <c r="E30" s="219"/>
      <c r="F30" s="220"/>
      <c r="G30" s="54">
        <f>$E30*$F30*Formulas!C$42</f>
        <v>0</v>
      </c>
      <c r="H30" s="54">
        <f>$E30*$F30*Formulas!D$42</f>
        <v>0</v>
      </c>
      <c r="I30" s="54">
        <f>$E30*$F30*Formulas!E$42</f>
        <v>0</v>
      </c>
      <c r="J30" s="54">
        <f>$E30*$F30*Formulas!F$42</f>
        <v>0</v>
      </c>
      <c r="K30" s="54">
        <f>$E30*$F30*Formulas!G$42</f>
        <v>0</v>
      </c>
      <c r="L30" s="54">
        <f>$E30*$F30*Formulas!H$42</f>
        <v>0</v>
      </c>
      <c r="M30" s="54">
        <f>$E30*$F30*Formulas!I$42</f>
        <v>0</v>
      </c>
      <c r="N30" s="54">
        <f>$E30*$F30*Formulas!J$42</f>
        <v>0</v>
      </c>
      <c r="O30" s="54">
        <f>$E30*$F30*Formulas!K$42</f>
        <v>0</v>
      </c>
      <c r="P30" s="54">
        <f>$E30*$F30*Formulas!L$42</f>
        <v>0</v>
      </c>
      <c r="Q30" s="54">
        <f>$E30*$F30*Formulas!M$42</f>
        <v>0</v>
      </c>
      <c r="R30" s="54">
        <f>$E30*$F30*Formulas!N$42</f>
        <v>0</v>
      </c>
      <c r="S30" s="55">
        <f t="shared" si="2"/>
        <v>0</v>
      </c>
    </row>
    <row r="31" spans="1:19" x14ac:dyDescent="0.2">
      <c r="C31" s="35"/>
      <c r="D31" s="35" t="s">
        <v>87</v>
      </c>
      <c r="E31" s="219"/>
      <c r="F31" s="220"/>
      <c r="G31" s="54">
        <f>$E31*$F31*Formulas!C$42</f>
        <v>0</v>
      </c>
      <c r="H31" s="54">
        <f>$E31*$F31*Formulas!D$42</f>
        <v>0</v>
      </c>
      <c r="I31" s="54">
        <f>$E31*$F31*Formulas!E$42</f>
        <v>0</v>
      </c>
      <c r="J31" s="54">
        <f>$E31*$F31*Formulas!F$42</f>
        <v>0</v>
      </c>
      <c r="K31" s="54">
        <f>$E31*$F31*Formulas!G$42</f>
        <v>0</v>
      </c>
      <c r="L31" s="54">
        <f>$E31*$F31*Formulas!H$42</f>
        <v>0</v>
      </c>
      <c r="M31" s="54">
        <f>$E31*$F31*Formulas!I$42</f>
        <v>0</v>
      </c>
      <c r="N31" s="54">
        <f>$E31*$F31*Formulas!J$42</f>
        <v>0</v>
      </c>
      <c r="O31" s="54">
        <f>$E31*$F31*Formulas!K$42</f>
        <v>0</v>
      </c>
      <c r="P31" s="54">
        <f>$E31*$F31*Formulas!L$42</f>
        <v>0</v>
      </c>
      <c r="Q31" s="54">
        <f>$E31*$F31*Formulas!M$42</f>
        <v>0</v>
      </c>
      <c r="R31" s="54">
        <f>$E31*$F31*Formulas!N$42</f>
        <v>0</v>
      </c>
      <c r="S31" s="55">
        <f t="shared" si="2"/>
        <v>0</v>
      </c>
    </row>
    <row r="32" spans="1:19" s="48" customFormat="1" x14ac:dyDescent="0.2">
      <c r="A32" s="204"/>
      <c r="C32" s="34" t="s">
        <v>88</v>
      </c>
      <c r="D32" s="34"/>
      <c r="E32" s="53">
        <f>SUM(E22:E31)</f>
        <v>750</v>
      </c>
      <c r="F32" s="56"/>
      <c r="G32" s="56">
        <f>SUM(G22:G31)</f>
        <v>17850</v>
      </c>
      <c r="H32" s="56">
        <f t="shared" ref="H32:R32" si="3">SUM(H22:H31)</f>
        <v>18025</v>
      </c>
      <c r="I32" s="56">
        <f t="shared" si="3"/>
        <v>18200</v>
      </c>
      <c r="J32" s="56">
        <f t="shared" si="3"/>
        <v>18375</v>
      </c>
      <c r="K32" s="56">
        <f t="shared" si="3"/>
        <v>19250</v>
      </c>
      <c r="L32" s="56">
        <f t="shared" si="3"/>
        <v>19600</v>
      </c>
      <c r="M32" s="56">
        <f t="shared" si="3"/>
        <v>18900</v>
      </c>
      <c r="N32" s="56">
        <f t="shared" si="3"/>
        <v>18375</v>
      </c>
      <c r="O32" s="56">
        <f t="shared" si="3"/>
        <v>17150</v>
      </c>
      <c r="P32" s="56">
        <f t="shared" si="3"/>
        <v>18025</v>
      </c>
      <c r="Q32" s="56">
        <f t="shared" si="3"/>
        <v>18900</v>
      </c>
      <c r="R32" s="56">
        <f t="shared" si="3"/>
        <v>19600</v>
      </c>
      <c r="S32" s="57">
        <f>SUM(S22:S31)</f>
        <v>222250</v>
      </c>
    </row>
    <row r="33" spans="1:19" x14ac:dyDescent="0.2">
      <c r="C33" s="35"/>
      <c r="D33" s="35"/>
      <c r="E33" s="58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60"/>
    </row>
    <row r="34" spans="1:19" s="49" customFormat="1" x14ac:dyDescent="0.2">
      <c r="A34" s="205"/>
      <c r="C34" s="36" t="s">
        <v>89</v>
      </c>
      <c r="D34" s="36"/>
      <c r="E34" s="53">
        <f>E20+E32</f>
        <v>1500</v>
      </c>
      <c r="F34" s="56"/>
      <c r="G34" s="56">
        <f t="shared" ref="G34:S34" si="4">G20+G32</f>
        <v>35700</v>
      </c>
      <c r="H34" s="56">
        <f t="shared" si="4"/>
        <v>36050</v>
      </c>
      <c r="I34" s="56">
        <f t="shared" si="4"/>
        <v>36400</v>
      </c>
      <c r="J34" s="56">
        <f t="shared" ref="J34" si="5">J20+J32</f>
        <v>36750</v>
      </c>
      <c r="K34" s="56">
        <f t="shared" si="4"/>
        <v>38500</v>
      </c>
      <c r="L34" s="56">
        <f t="shared" si="4"/>
        <v>39200</v>
      </c>
      <c r="M34" s="56">
        <f t="shared" si="4"/>
        <v>37800</v>
      </c>
      <c r="N34" s="56">
        <f t="shared" si="4"/>
        <v>36750</v>
      </c>
      <c r="O34" s="56">
        <f t="shared" si="4"/>
        <v>34300</v>
      </c>
      <c r="P34" s="56">
        <f t="shared" si="4"/>
        <v>36050</v>
      </c>
      <c r="Q34" s="56">
        <f t="shared" si="4"/>
        <v>37800</v>
      </c>
      <c r="R34" s="56">
        <f t="shared" si="4"/>
        <v>39200</v>
      </c>
      <c r="S34" s="57">
        <f t="shared" si="4"/>
        <v>444500</v>
      </c>
    </row>
    <row r="35" spans="1:19" ht="5" customHeight="1" x14ac:dyDescent="0.2">
      <c r="C35" s="173"/>
      <c r="D35" s="173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x14ac:dyDescent="0.2">
      <c r="C36" s="61" t="s">
        <v>91</v>
      </c>
      <c r="D36" s="62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ht="5" customHeight="1" x14ac:dyDescent="0.2">
      <c r="C37" s="183"/>
      <c r="D37" s="184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x14ac:dyDescent="0.2">
      <c r="C38" s="62" t="s">
        <v>71</v>
      </c>
      <c r="D38" s="62"/>
      <c r="E38" s="62"/>
      <c r="F38" s="63" t="s">
        <v>92</v>
      </c>
      <c r="G38" s="310" t="s">
        <v>239</v>
      </c>
      <c r="H38" s="310"/>
      <c r="I38" s="310"/>
      <c r="J38" s="310"/>
      <c r="K38" s="310"/>
      <c r="L38" s="310"/>
      <c r="M38" s="310"/>
      <c r="N38" s="310"/>
      <c r="O38" s="310"/>
      <c r="P38" s="310"/>
      <c r="Q38" s="310"/>
      <c r="R38" s="310"/>
      <c r="S38" s="50" t="s">
        <v>240</v>
      </c>
    </row>
    <row r="39" spans="1:19" s="47" customFormat="1" x14ac:dyDescent="0.2">
      <c r="A39" s="206"/>
      <c r="C39" s="33"/>
      <c r="D39" s="33" t="s">
        <v>75</v>
      </c>
      <c r="E39" s="33"/>
      <c r="F39" s="221">
        <v>0.15</v>
      </c>
      <c r="G39" s="54">
        <f t="shared" ref="G39:G48" si="6">$F39*G10</f>
        <v>382.5</v>
      </c>
      <c r="H39" s="54">
        <f t="shared" ref="H39:R39" si="7">$F39*H10</f>
        <v>386.25</v>
      </c>
      <c r="I39" s="54">
        <f t="shared" si="7"/>
        <v>390</v>
      </c>
      <c r="J39" s="54">
        <f t="shared" ref="J39" si="8">$F39*J10</f>
        <v>393.75</v>
      </c>
      <c r="K39" s="54">
        <f t="shared" si="7"/>
        <v>412.5</v>
      </c>
      <c r="L39" s="54">
        <f t="shared" si="7"/>
        <v>420.00000000000006</v>
      </c>
      <c r="M39" s="54">
        <f t="shared" si="7"/>
        <v>405</v>
      </c>
      <c r="N39" s="54">
        <f t="shared" si="7"/>
        <v>393.75</v>
      </c>
      <c r="O39" s="54">
        <f t="shared" si="7"/>
        <v>367.5</v>
      </c>
      <c r="P39" s="54">
        <f t="shared" si="7"/>
        <v>386.25</v>
      </c>
      <c r="Q39" s="54">
        <f t="shared" si="7"/>
        <v>405</v>
      </c>
      <c r="R39" s="54">
        <f t="shared" si="7"/>
        <v>420.00000000000006</v>
      </c>
      <c r="S39" s="55">
        <f>SUM(G39:R39)</f>
        <v>4762.5</v>
      </c>
    </row>
    <row r="40" spans="1:19" s="47" customFormat="1" x14ac:dyDescent="0.2">
      <c r="A40" s="206"/>
      <c r="C40" s="33"/>
      <c r="D40" s="33" t="s">
        <v>76</v>
      </c>
      <c r="E40" s="33"/>
      <c r="F40" s="221">
        <v>0.15</v>
      </c>
      <c r="G40" s="54">
        <f t="shared" si="6"/>
        <v>612</v>
      </c>
      <c r="H40" s="54">
        <f t="shared" ref="H40:I48" si="9">$F40*H11</f>
        <v>618</v>
      </c>
      <c r="I40" s="54">
        <f t="shared" si="9"/>
        <v>624</v>
      </c>
      <c r="J40" s="54">
        <f t="shared" ref="J40" si="10">$F40*J11</f>
        <v>630</v>
      </c>
      <c r="K40" s="54">
        <f t="shared" ref="K40:R48" si="11">$F40*K11</f>
        <v>660</v>
      </c>
      <c r="L40" s="54">
        <f t="shared" si="11"/>
        <v>672</v>
      </c>
      <c r="M40" s="54">
        <f t="shared" si="11"/>
        <v>648</v>
      </c>
      <c r="N40" s="54">
        <f t="shared" si="11"/>
        <v>630</v>
      </c>
      <c r="O40" s="54">
        <f t="shared" si="11"/>
        <v>588</v>
      </c>
      <c r="P40" s="54">
        <f t="shared" si="11"/>
        <v>618</v>
      </c>
      <c r="Q40" s="54">
        <f t="shared" si="11"/>
        <v>648</v>
      </c>
      <c r="R40" s="54">
        <f t="shared" si="11"/>
        <v>672</v>
      </c>
      <c r="S40" s="55">
        <f t="shared" ref="S40:S48" si="12">SUM(G40:R40)</f>
        <v>7620</v>
      </c>
    </row>
    <row r="41" spans="1:19" s="47" customFormat="1" x14ac:dyDescent="0.2">
      <c r="A41" s="206"/>
      <c r="C41" s="33"/>
      <c r="D41" s="33" t="s">
        <v>77</v>
      </c>
      <c r="E41" s="33"/>
      <c r="F41" s="221">
        <v>0.15</v>
      </c>
      <c r="G41" s="54">
        <f t="shared" si="6"/>
        <v>688.5</v>
      </c>
      <c r="H41" s="54">
        <f t="shared" si="9"/>
        <v>695.25</v>
      </c>
      <c r="I41" s="54">
        <f t="shared" si="9"/>
        <v>702</v>
      </c>
      <c r="J41" s="54">
        <f t="shared" ref="J41" si="13">$F41*J12</f>
        <v>708.75</v>
      </c>
      <c r="K41" s="54">
        <f t="shared" si="11"/>
        <v>742.5</v>
      </c>
      <c r="L41" s="54">
        <f t="shared" si="11"/>
        <v>756.00000000000011</v>
      </c>
      <c r="M41" s="54">
        <f t="shared" si="11"/>
        <v>729</v>
      </c>
      <c r="N41" s="54">
        <f t="shared" si="11"/>
        <v>708.75</v>
      </c>
      <c r="O41" s="54">
        <f t="shared" si="11"/>
        <v>661.5</v>
      </c>
      <c r="P41" s="54">
        <f t="shared" si="11"/>
        <v>695.25</v>
      </c>
      <c r="Q41" s="54">
        <f t="shared" si="11"/>
        <v>729</v>
      </c>
      <c r="R41" s="54">
        <f t="shared" si="11"/>
        <v>756.00000000000011</v>
      </c>
      <c r="S41" s="55">
        <f t="shared" si="12"/>
        <v>8572.5</v>
      </c>
    </row>
    <row r="42" spans="1:19" s="47" customFormat="1" x14ac:dyDescent="0.2">
      <c r="A42" s="206"/>
      <c r="C42" s="33"/>
      <c r="D42" s="33" t="s">
        <v>78</v>
      </c>
      <c r="E42" s="33"/>
      <c r="F42" s="221">
        <v>0.15</v>
      </c>
      <c r="G42" s="54">
        <f t="shared" si="6"/>
        <v>612</v>
      </c>
      <c r="H42" s="54">
        <f t="shared" si="9"/>
        <v>618</v>
      </c>
      <c r="I42" s="54">
        <f t="shared" si="9"/>
        <v>624</v>
      </c>
      <c r="J42" s="54">
        <f t="shared" ref="J42" si="14">$F42*J13</f>
        <v>630</v>
      </c>
      <c r="K42" s="54">
        <f t="shared" si="11"/>
        <v>660</v>
      </c>
      <c r="L42" s="54">
        <f t="shared" si="11"/>
        <v>672</v>
      </c>
      <c r="M42" s="54">
        <f t="shared" si="11"/>
        <v>648</v>
      </c>
      <c r="N42" s="54">
        <f t="shared" si="11"/>
        <v>630</v>
      </c>
      <c r="O42" s="54">
        <f t="shared" si="11"/>
        <v>588</v>
      </c>
      <c r="P42" s="54">
        <f t="shared" si="11"/>
        <v>618</v>
      </c>
      <c r="Q42" s="54">
        <f t="shared" si="11"/>
        <v>648</v>
      </c>
      <c r="R42" s="54">
        <f t="shared" si="11"/>
        <v>672</v>
      </c>
      <c r="S42" s="55">
        <f t="shared" si="12"/>
        <v>7620</v>
      </c>
    </row>
    <row r="43" spans="1:19" s="47" customFormat="1" x14ac:dyDescent="0.2">
      <c r="A43" s="206"/>
      <c r="C43" s="33"/>
      <c r="D43" s="33" t="s">
        <v>79</v>
      </c>
      <c r="E43" s="33"/>
      <c r="F43" s="221">
        <v>0.15</v>
      </c>
      <c r="G43" s="54">
        <f t="shared" si="6"/>
        <v>382.5</v>
      </c>
      <c r="H43" s="54">
        <f t="shared" si="9"/>
        <v>386.25</v>
      </c>
      <c r="I43" s="54">
        <f t="shared" si="9"/>
        <v>390</v>
      </c>
      <c r="J43" s="54">
        <f t="shared" ref="J43" si="15">$F43*J14</f>
        <v>393.75</v>
      </c>
      <c r="K43" s="54">
        <f t="shared" si="11"/>
        <v>412.5</v>
      </c>
      <c r="L43" s="54">
        <f t="shared" si="11"/>
        <v>420.00000000000006</v>
      </c>
      <c r="M43" s="54">
        <f t="shared" si="11"/>
        <v>405</v>
      </c>
      <c r="N43" s="54">
        <f t="shared" si="11"/>
        <v>393.75</v>
      </c>
      <c r="O43" s="54">
        <f t="shared" si="11"/>
        <v>367.5</v>
      </c>
      <c r="P43" s="54">
        <f t="shared" si="11"/>
        <v>386.25</v>
      </c>
      <c r="Q43" s="54">
        <f t="shared" si="11"/>
        <v>405</v>
      </c>
      <c r="R43" s="54">
        <f t="shared" si="11"/>
        <v>420.00000000000006</v>
      </c>
      <c r="S43" s="55">
        <f t="shared" si="12"/>
        <v>4762.5</v>
      </c>
    </row>
    <row r="44" spans="1:19" s="47" customFormat="1" x14ac:dyDescent="0.2">
      <c r="A44" s="206"/>
      <c r="C44" s="33"/>
      <c r="D44" s="33" t="s">
        <v>80</v>
      </c>
      <c r="E44" s="33"/>
      <c r="F44" s="221"/>
      <c r="G44" s="54">
        <f t="shared" si="6"/>
        <v>0</v>
      </c>
      <c r="H44" s="54">
        <f t="shared" si="9"/>
        <v>0</v>
      </c>
      <c r="I44" s="54">
        <f t="shared" si="9"/>
        <v>0</v>
      </c>
      <c r="J44" s="54">
        <f t="shared" ref="J44" si="16">$F44*J15</f>
        <v>0</v>
      </c>
      <c r="K44" s="54">
        <f t="shared" si="11"/>
        <v>0</v>
      </c>
      <c r="L44" s="54">
        <f t="shared" si="11"/>
        <v>0</v>
      </c>
      <c r="M44" s="54">
        <f t="shared" si="11"/>
        <v>0</v>
      </c>
      <c r="N44" s="54">
        <f t="shared" si="11"/>
        <v>0</v>
      </c>
      <c r="O44" s="54">
        <f t="shared" si="11"/>
        <v>0</v>
      </c>
      <c r="P44" s="54">
        <f t="shared" si="11"/>
        <v>0</v>
      </c>
      <c r="Q44" s="54">
        <f t="shared" si="11"/>
        <v>0</v>
      </c>
      <c r="R44" s="54">
        <f t="shared" si="11"/>
        <v>0</v>
      </c>
      <c r="S44" s="55">
        <f t="shared" si="12"/>
        <v>0</v>
      </c>
    </row>
    <row r="45" spans="1:19" s="47" customFormat="1" x14ac:dyDescent="0.2">
      <c r="A45" s="206"/>
      <c r="C45" s="33"/>
      <c r="D45" s="33" t="s">
        <v>80</v>
      </c>
      <c r="E45" s="33"/>
      <c r="F45" s="221"/>
      <c r="G45" s="54">
        <f t="shared" si="6"/>
        <v>0</v>
      </c>
      <c r="H45" s="54">
        <f t="shared" si="9"/>
        <v>0</v>
      </c>
      <c r="I45" s="54">
        <f t="shared" si="9"/>
        <v>0</v>
      </c>
      <c r="J45" s="54">
        <f t="shared" ref="J45" si="17">$F45*J16</f>
        <v>0</v>
      </c>
      <c r="K45" s="54">
        <f t="shared" si="11"/>
        <v>0</v>
      </c>
      <c r="L45" s="54">
        <f t="shared" si="11"/>
        <v>0</v>
      </c>
      <c r="M45" s="54">
        <f t="shared" si="11"/>
        <v>0</v>
      </c>
      <c r="N45" s="54">
        <f t="shared" si="11"/>
        <v>0</v>
      </c>
      <c r="O45" s="54">
        <f t="shared" si="11"/>
        <v>0</v>
      </c>
      <c r="P45" s="54">
        <f t="shared" si="11"/>
        <v>0</v>
      </c>
      <c r="Q45" s="54">
        <f t="shared" si="11"/>
        <v>0</v>
      </c>
      <c r="R45" s="54">
        <f t="shared" si="11"/>
        <v>0</v>
      </c>
      <c r="S45" s="55">
        <f t="shared" si="12"/>
        <v>0</v>
      </c>
    </row>
    <row r="46" spans="1:19" s="47" customFormat="1" x14ac:dyDescent="0.2">
      <c r="A46" s="206"/>
      <c r="C46" s="33"/>
      <c r="D46" s="33" t="s">
        <v>80</v>
      </c>
      <c r="E46" s="33"/>
      <c r="F46" s="221"/>
      <c r="G46" s="54">
        <f t="shared" si="6"/>
        <v>0</v>
      </c>
      <c r="H46" s="54">
        <f t="shared" si="9"/>
        <v>0</v>
      </c>
      <c r="I46" s="54">
        <f t="shared" si="9"/>
        <v>0</v>
      </c>
      <c r="J46" s="54">
        <f t="shared" ref="J46" si="18">$F46*J17</f>
        <v>0</v>
      </c>
      <c r="K46" s="54">
        <f t="shared" si="11"/>
        <v>0</v>
      </c>
      <c r="L46" s="54">
        <f t="shared" si="11"/>
        <v>0</v>
      </c>
      <c r="M46" s="54">
        <f t="shared" si="11"/>
        <v>0</v>
      </c>
      <c r="N46" s="54">
        <f t="shared" si="11"/>
        <v>0</v>
      </c>
      <c r="O46" s="54">
        <f t="shared" si="11"/>
        <v>0</v>
      </c>
      <c r="P46" s="54">
        <f t="shared" si="11"/>
        <v>0</v>
      </c>
      <c r="Q46" s="54">
        <f t="shared" si="11"/>
        <v>0</v>
      </c>
      <c r="R46" s="54">
        <f t="shared" si="11"/>
        <v>0</v>
      </c>
      <c r="S46" s="55">
        <f t="shared" si="12"/>
        <v>0</v>
      </c>
    </row>
    <row r="47" spans="1:19" s="47" customFormat="1" x14ac:dyDescent="0.2">
      <c r="A47" s="206"/>
      <c r="C47" s="33"/>
      <c r="D47" s="33" t="s">
        <v>80</v>
      </c>
      <c r="E47" s="33"/>
      <c r="F47" s="221"/>
      <c r="G47" s="54">
        <f t="shared" si="6"/>
        <v>0</v>
      </c>
      <c r="H47" s="54">
        <f t="shared" si="9"/>
        <v>0</v>
      </c>
      <c r="I47" s="54">
        <f t="shared" si="9"/>
        <v>0</v>
      </c>
      <c r="J47" s="54">
        <f t="shared" ref="J47" si="19">$F47*J18</f>
        <v>0</v>
      </c>
      <c r="K47" s="54">
        <f t="shared" si="11"/>
        <v>0</v>
      </c>
      <c r="L47" s="54">
        <f t="shared" si="11"/>
        <v>0</v>
      </c>
      <c r="M47" s="54">
        <f t="shared" si="11"/>
        <v>0</v>
      </c>
      <c r="N47" s="54">
        <f t="shared" si="11"/>
        <v>0</v>
      </c>
      <c r="O47" s="54">
        <f t="shared" si="11"/>
        <v>0</v>
      </c>
      <c r="P47" s="54">
        <f t="shared" si="11"/>
        <v>0</v>
      </c>
      <c r="Q47" s="54">
        <f t="shared" si="11"/>
        <v>0</v>
      </c>
      <c r="R47" s="54">
        <f t="shared" si="11"/>
        <v>0</v>
      </c>
      <c r="S47" s="55">
        <f t="shared" si="12"/>
        <v>0</v>
      </c>
    </row>
    <row r="48" spans="1:19" s="47" customFormat="1" x14ac:dyDescent="0.2">
      <c r="A48" s="206"/>
      <c r="C48" s="33"/>
      <c r="D48" s="33" t="s">
        <v>80</v>
      </c>
      <c r="E48" s="33"/>
      <c r="F48" s="221"/>
      <c r="G48" s="54">
        <f t="shared" si="6"/>
        <v>0</v>
      </c>
      <c r="H48" s="54">
        <f t="shared" si="9"/>
        <v>0</v>
      </c>
      <c r="I48" s="54">
        <f t="shared" si="9"/>
        <v>0</v>
      </c>
      <c r="J48" s="54">
        <f t="shared" ref="J48" si="20">$F48*J19</f>
        <v>0</v>
      </c>
      <c r="K48" s="54">
        <f t="shared" si="11"/>
        <v>0</v>
      </c>
      <c r="L48" s="54">
        <f t="shared" si="11"/>
        <v>0</v>
      </c>
      <c r="M48" s="54">
        <f t="shared" si="11"/>
        <v>0</v>
      </c>
      <c r="N48" s="54">
        <f t="shared" si="11"/>
        <v>0</v>
      </c>
      <c r="O48" s="54">
        <f t="shared" si="11"/>
        <v>0</v>
      </c>
      <c r="P48" s="54">
        <f t="shared" si="11"/>
        <v>0</v>
      </c>
      <c r="Q48" s="54">
        <f t="shared" si="11"/>
        <v>0</v>
      </c>
      <c r="R48" s="54">
        <f t="shared" si="11"/>
        <v>0</v>
      </c>
      <c r="S48" s="55">
        <f t="shared" si="12"/>
        <v>0</v>
      </c>
    </row>
    <row r="49" spans="1:19" s="49" customFormat="1" x14ac:dyDescent="0.2">
      <c r="A49" s="205"/>
      <c r="C49" s="36" t="s">
        <v>81</v>
      </c>
      <c r="D49" s="36"/>
      <c r="E49" s="36"/>
      <c r="F49" s="53"/>
      <c r="G49" s="56">
        <f>SUM(G39:G48)</f>
        <v>2677.5</v>
      </c>
      <c r="H49" s="56">
        <f t="shared" ref="H49:R49" si="21">SUM(H39:H48)</f>
        <v>2703.75</v>
      </c>
      <c r="I49" s="56">
        <f t="shared" si="21"/>
        <v>2730</v>
      </c>
      <c r="J49" s="56">
        <f t="shared" si="21"/>
        <v>2756.25</v>
      </c>
      <c r="K49" s="56">
        <f t="shared" si="21"/>
        <v>2887.5</v>
      </c>
      <c r="L49" s="56">
        <f t="shared" si="21"/>
        <v>2940</v>
      </c>
      <c r="M49" s="56">
        <f t="shared" si="21"/>
        <v>2835</v>
      </c>
      <c r="N49" s="56">
        <f t="shared" si="21"/>
        <v>2756.25</v>
      </c>
      <c r="O49" s="56">
        <f t="shared" si="21"/>
        <v>2572.5</v>
      </c>
      <c r="P49" s="56">
        <f t="shared" si="21"/>
        <v>2703.75</v>
      </c>
      <c r="Q49" s="56">
        <f t="shared" si="21"/>
        <v>2835</v>
      </c>
      <c r="R49" s="56">
        <f t="shared" si="21"/>
        <v>2940</v>
      </c>
      <c r="S49" s="57">
        <f>SUM(S39:S48)</f>
        <v>33337.5</v>
      </c>
    </row>
    <row r="50" spans="1:19" x14ac:dyDescent="0.2">
      <c r="C50" s="35"/>
      <c r="D50" s="35"/>
      <c r="E50" s="35"/>
      <c r="F50" s="58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60"/>
    </row>
    <row r="51" spans="1:19" x14ac:dyDescent="0.2">
      <c r="C51" s="35"/>
      <c r="D51" s="35" t="s">
        <v>82</v>
      </c>
      <c r="E51" s="35"/>
      <c r="F51" s="221">
        <v>0.3</v>
      </c>
      <c r="G51" s="54">
        <f>$F51*G22</f>
        <v>765</v>
      </c>
      <c r="H51" s="54">
        <f t="shared" ref="H51:R51" si="22">$F51*H22</f>
        <v>772.5</v>
      </c>
      <c r="I51" s="54">
        <f t="shared" si="22"/>
        <v>780</v>
      </c>
      <c r="J51" s="54">
        <f t="shared" ref="J51" si="23">$F51*J22</f>
        <v>787.5</v>
      </c>
      <c r="K51" s="54">
        <f t="shared" si="22"/>
        <v>825</v>
      </c>
      <c r="L51" s="54">
        <f t="shared" si="22"/>
        <v>840.00000000000011</v>
      </c>
      <c r="M51" s="54">
        <f t="shared" si="22"/>
        <v>810</v>
      </c>
      <c r="N51" s="54">
        <f t="shared" si="22"/>
        <v>787.5</v>
      </c>
      <c r="O51" s="54">
        <f t="shared" si="22"/>
        <v>735</v>
      </c>
      <c r="P51" s="54">
        <f t="shared" si="22"/>
        <v>772.5</v>
      </c>
      <c r="Q51" s="54">
        <f t="shared" si="22"/>
        <v>810</v>
      </c>
      <c r="R51" s="54">
        <f t="shared" si="22"/>
        <v>840.00000000000011</v>
      </c>
      <c r="S51" s="55">
        <f>SUM(G51:R51)</f>
        <v>9525</v>
      </c>
    </row>
    <row r="52" spans="1:19" x14ac:dyDescent="0.2">
      <c r="C52" s="35"/>
      <c r="D52" s="35" t="s">
        <v>83</v>
      </c>
      <c r="E52" s="35"/>
      <c r="F52" s="221">
        <v>0.3</v>
      </c>
      <c r="G52" s="54">
        <f t="shared" ref="G52:R52" si="24">$F52*G23</f>
        <v>1224</v>
      </c>
      <c r="H52" s="54">
        <f t="shared" si="24"/>
        <v>1236</v>
      </c>
      <c r="I52" s="54">
        <f t="shared" si="24"/>
        <v>1248</v>
      </c>
      <c r="J52" s="54">
        <f t="shared" ref="J52" si="25">$F52*J23</f>
        <v>1260</v>
      </c>
      <c r="K52" s="54">
        <f t="shared" si="24"/>
        <v>1320</v>
      </c>
      <c r="L52" s="54">
        <f t="shared" si="24"/>
        <v>1344</v>
      </c>
      <c r="M52" s="54">
        <f t="shared" si="24"/>
        <v>1296</v>
      </c>
      <c r="N52" s="54">
        <f t="shared" si="24"/>
        <v>1260</v>
      </c>
      <c r="O52" s="54">
        <f t="shared" si="24"/>
        <v>1176</v>
      </c>
      <c r="P52" s="54">
        <f t="shared" si="24"/>
        <v>1236</v>
      </c>
      <c r="Q52" s="54">
        <f t="shared" si="24"/>
        <v>1296</v>
      </c>
      <c r="R52" s="54">
        <f t="shared" si="24"/>
        <v>1344</v>
      </c>
      <c r="S52" s="55">
        <f t="shared" ref="S52:S60" si="26">SUM(G52:R52)</f>
        <v>15240</v>
      </c>
    </row>
    <row r="53" spans="1:19" x14ac:dyDescent="0.2">
      <c r="C53" s="35"/>
      <c r="D53" s="35" t="s">
        <v>84</v>
      </c>
      <c r="E53" s="35"/>
      <c r="F53" s="221">
        <v>0.3</v>
      </c>
      <c r="G53" s="54">
        <f t="shared" ref="G53:R53" si="27">$F53*G24</f>
        <v>1377</v>
      </c>
      <c r="H53" s="54">
        <f t="shared" si="27"/>
        <v>1390.5</v>
      </c>
      <c r="I53" s="54">
        <f t="shared" si="27"/>
        <v>1404</v>
      </c>
      <c r="J53" s="54">
        <f t="shared" ref="J53" si="28">$F53*J24</f>
        <v>1417.5</v>
      </c>
      <c r="K53" s="54">
        <f t="shared" si="27"/>
        <v>1485</v>
      </c>
      <c r="L53" s="54">
        <f t="shared" si="27"/>
        <v>1512.0000000000002</v>
      </c>
      <c r="M53" s="54">
        <f t="shared" si="27"/>
        <v>1458</v>
      </c>
      <c r="N53" s="54">
        <f t="shared" si="27"/>
        <v>1417.5</v>
      </c>
      <c r="O53" s="54">
        <f t="shared" si="27"/>
        <v>1323</v>
      </c>
      <c r="P53" s="54">
        <f t="shared" si="27"/>
        <v>1390.5</v>
      </c>
      <c r="Q53" s="54">
        <f t="shared" si="27"/>
        <v>1458</v>
      </c>
      <c r="R53" s="54">
        <f t="shared" si="27"/>
        <v>1512.0000000000002</v>
      </c>
      <c r="S53" s="55">
        <f t="shared" si="26"/>
        <v>17145</v>
      </c>
    </row>
    <row r="54" spans="1:19" x14ac:dyDescent="0.2">
      <c r="C54" s="35"/>
      <c r="D54" s="35" t="s">
        <v>85</v>
      </c>
      <c r="E54" s="35"/>
      <c r="F54" s="221">
        <v>0.3</v>
      </c>
      <c r="G54" s="54">
        <f t="shared" ref="G54:R54" si="29">$F54*G25</f>
        <v>1224</v>
      </c>
      <c r="H54" s="54">
        <f t="shared" si="29"/>
        <v>1236</v>
      </c>
      <c r="I54" s="54">
        <f t="shared" si="29"/>
        <v>1248</v>
      </c>
      <c r="J54" s="54">
        <f t="shared" ref="J54" si="30">$F54*J25</f>
        <v>1260</v>
      </c>
      <c r="K54" s="54">
        <f t="shared" si="29"/>
        <v>1320</v>
      </c>
      <c r="L54" s="54">
        <f t="shared" si="29"/>
        <v>1344</v>
      </c>
      <c r="M54" s="54">
        <f t="shared" si="29"/>
        <v>1296</v>
      </c>
      <c r="N54" s="54">
        <f t="shared" si="29"/>
        <v>1260</v>
      </c>
      <c r="O54" s="54">
        <f t="shared" si="29"/>
        <v>1176</v>
      </c>
      <c r="P54" s="54">
        <f t="shared" si="29"/>
        <v>1236</v>
      </c>
      <c r="Q54" s="54">
        <f t="shared" si="29"/>
        <v>1296</v>
      </c>
      <c r="R54" s="54">
        <f t="shared" si="29"/>
        <v>1344</v>
      </c>
      <c r="S54" s="55">
        <f t="shared" si="26"/>
        <v>15240</v>
      </c>
    </row>
    <row r="55" spans="1:19" x14ac:dyDescent="0.2">
      <c r="C55" s="35"/>
      <c r="D55" s="35" t="s">
        <v>86</v>
      </c>
      <c r="E55" s="35"/>
      <c r="F55" s="221">
        <v>0.3</v>
      </c>
      <c r="G55" s="54">
        <f t="shared" ref="G55:R55" si="31">$F55*G26</f>
        <v>765</v>
      </c>
      <c r="H55" s="54">
        <f t="shared" si="31"/>
        <v>772.5</v>
      </c>
      <c r="I55" s="54">
        <f t="shared" si="31"/>
        <v>780</v>
      </c>
      <c r="J55" s="54">
        <f t="shared" ref="J55" si="32">$F55*J26</f>
        <v>787.5</v>
      </c>
      <c r="K55" s="54">
        <f t="shared" si="31"/>
        <v>825</v>
      </c>
      <c r="L55" s="54">
        <f t="shared" si="31"/>
        <v>840.00000000000011</v>
      </c>
      <c r="M55" s="54">
        <f t="shared" si="31"/>
        <v>810</v>
      </c>
      <c r="N55" s="54">
        <f t="shared" si="31"/>
        <v>787.5</v>
      </c>
      <c r="O55" s="54">
        <f t="shared" si="31"/>
        <v>735</v>
      </c>
      <c r="P55" s="54">
        <f t="shared" si="31"/>
        <v>772.5</v>
      </c>
      <c r="Q55" s="54">
        <f t="shared" si="31"/>
        <v>810</v>
      </c>
      <c r="R55" s="54">
        <f t="shared" si="31"/>
        <v>840.00000000000011</v>
      </c>
      <c r="S55" s="55">
        <f t="shared" si="26"/>
        <v>9525</v>
      </c>
    </row>
    <row r="56" spans="1:19" x14ac:dyDescent="0.2">
      <c r="C56" s="35"/>
      <c r="D56" s="35" t="s">
        <v>87</v>
      </c>
      <c r="E56" s="35"/>
      <c r="F56" s="221"/>
      <c r="G56" s="54">
        <f t="shared" ref="G56:R56" si="33">$F56*G27</f>
        <v>0</v>
      </c>
      <c r="H56" s="54">
        <f t="shared" si="33"/>
        <v>0</v>
      </c>
      <c r="I56" s="54">
        <f t="shared" si="33"/>
        <v>0</v>
      </c>
      <c r="J56" s="54">
        <f t="shared" ref="J56" si="34">$F56*J27</f>
        <v>0</v>
      </c>
      <c r="K56" s="54">
        <f t="shared" si="33"/>
        <v>0</v>
      </c>
      <c r="L56" s="54">
        <f t="shared" si="33"/>
        <v>0</v>
      </c>
      <c r="M56" s="54">
        <f t="shared" si="33"/>
        <v>0</v>
      </c>
      <c r="N56" s="54">
        <f t="shared" si="33"/>
        <v>0</v>
      </c>
      <c r="O56" s="54">
        <f t="shared" si="33"/>
        <v>0</v>
      </c>
      <c r="P56" s="54">
        <f t="shared" si="33"/>
        <v>0</v>
      </c>
      <c r="Q56" s="54">
        <f t="shared" si="33"/>
        <v>0</v>
      </c>
      <c r="R56" s="54">
        <f t="shared" si="33"/>
        <v>0</v>
      </c>
      <c r="S56" s="55">
        <f t="shared" si="26"/>
        <v>0</v>
      </c>
    </row>
    <row r="57" spans="1:19" x14ac:dyDescent="0.2">
      <c r="C57" s="35"/>
      <c r="D57" s="35" t="s">
        <v>87</v>
      </c>
      <c r="E57" s="35"/>
      <c r="F57" s="221"/>
      <c r="G57" s="54">
        <f t="shared" ref="G57:R57" si="35">$F57*G28</f>
        <v>0</v>
      </c>
      <c r="H57" s="54">
        <f t="shared" si="35"/>
        <v>0</v>
      </c>
      <c r="I57" s="54">
        <f t="shared" si="35"/>
        <v>0</v>
      </c>
      <c r="J57" s="54">
        <f t="shared" ref="J57" si="36">$F57*J28</f>
        <v>0</v>
      </c>
      <c r="K57" s="54">
        <f t="shared" si="35"/>
        <v>0</v>
      </c>
      <c r="L57" s="54">
        <f t="shared" si="35"/>
        <v>0</v>
      </c>
      <c r="M57" s="54">
        <f t="shared" si="35"/>
        <v>0</v>
      </c>
      <c r="N57" s="54">
        <f t="shared" si="35"/>
        <v>0</v>
      </c>
      <c r="O57" s="54">
        <f t="shared" si="35"/>
        <v>0</v>
      </c>
      <c r="P57" s="54">
        <f t="shared" si="35"/>
        <v>0</v>
      </c>
      <c r="Q57" s="54">
        <f t="shared" si="35"/>
        <v>0</v>
      </c>
      <c r="R57" s="54">
        <f t="shared" si="35"/>
        <v>0</v>
      </c>
      <c r="S57" s="55">
        <f t="shared" si="26"/>
        <v>0</v>
      </c>
    </row>
    <row r="58" spans="1:19" x14ac:dyDescent="0.2">
      <c r="C58" s="35"/>
      <c r="D58" s="35" t="s">
        <v>87</v>
      </c>
      <c r="E58" s="35"/>
      <c r="F58" s="221"/>
      <c r="G58" s="54">
        <f t="shared" ref="G58:R58" si="37">$F58*G29</f>
        <v>0</v>
      </c>
      <c r="H58" s="54">
        <f t="shared" si="37"/>
        <v>0</v>
      </c>
      <c r="I58" s="54">
        <f t="shared" si="37"/>
        <v>0</v>
      </c>
      <c r="J58" s="54">
        <f t="shared" ref="J58" si="38">$F58*J29</f>
        <v>0</v>
      </c>
      <c r="K58" s="54">
        <f t="shared" si="37"/>
        <v>0</v>
      </c>
      <c r="L58" s="54">
        <f t="shared" si="37"/>
        <v>0</v>
      </c>
      <c r="M58" s="54">
        <f t="shared" si="37"/>
        <v>0</v>
      </c>
      <c r="N58" s="54">
        <f t="shared" si="37"/>
        <v>0</v>
      </c>
      <c r="O58" s="54">
        <f t="shared" si="37"/>
        <v>0</v>
      </c>
      <c r="P58" s="54">
        <f t="shared" si="37"/>
        <v>0</v>
      </c>
      <c r="Q58" s="54">
        <f t="shared" si="37"/>
        <v>0</v>
      </c>
      <c r="R58" s="54">
        <f t="shared" si="37"/>
        <v>0</v>
      </c>
      <c r="S58" s="55">
        <f t="shared" si="26"/>
        <v>0</v>
      </c>
    </row>
    <row r="59" spans="1:19" x14ac:dyDescent="0.2">
      <c r="C59" s="35"/>
      <c r="D59" s="35" t="s">
        <v>87</v>
      </c>
      <c r="E59" s="35"/>
      <c r="F59" s="221"/>
      <c r="G59" s="54">
        <f t="shared" ref="G59:R59" si="39">$F59*G30</f>
        <v>0</v>
      </c>
      <c r="H59" s="54">
        <f t="shared" si="39"/>
        <v>0</v>
      </c>
      <c r="I59" s="54">
        <f t="shared" si="39"/>
        <v>0</v>
      </c>
      <c r="J59" s="54">
        <f t="shared" ref="J59" si="40">$F59*J30</f>
        <v>0</v>
      </c>
      <c r="K59" s="54">
        <f t="shared" si="39"/>
        <v>0</v>
      </c>
      <c r="L59" s="54">
        <f t="shared" si="39"/>
        <v>0</v>
      </c>
      <c r="M59" s="54">
        <f t="shared" si="39"/>
        <v>0</v>
      </c>
      <c r="N59" s="54">
        <f t="shared" si="39"/>
        <v>0</v>
      </c>
      <c r="O59" s="54">
        <f t="shared" si="39"/>
        <v>0</v>
      </c>
      <c r="P59" s="54">
        <f t="shared" si="39"/>
        <v>0</v>
      </c>
      <c r="Q59" s="54">
        <f t="shared" si="39"/>
        <v>0</v>
      </c>
      <c r="R59" s="54">
        <f t="shared" si="39"/>
        <v>0</v>
      </c>
      <c r="S59" s="55">
        <f t="shared" si="26"/>
        <v>0</v>
      </c>
    </row>
    <row r="60" spans="1:19" x14ac:dyDescent="0.2">
      <c r="C60" s="35"/>
      <c r="D60" s="35" t="s">
        <v>87</v>
      </c>
      <c r="E60" s="35"/>
      <c r="F60" s="221"/>
      <c r="G60" s="54">
        <f t="shared" ref="G60:R60" si="41">$F60*G31</f>
        <v>0</v>
      </c>
      <c r="H60" s="54">
        <f t="shared" si="41"/>
        <v>0</v>
      </c>
      <c r="I60" s="54">
        <f t="shared" si="41"/>
        <v>0</v>
      </c>
      <c r="J60" s="54">
        <f t="shared" ref="J60" si="42">$F60*J31</f>
        <v>0</v>
      </c>
      <c r="K60" s="54">
        <f t="shared" si="41"/>
        <v>0</v>
      </c>
      <c r="L60" s="54">
        <f t="shared" si="41"/>
        <v>0</v>
      </c>
      <c r="M60" s="54">
        <f t="shared" si="41"/>
        <v>0</v>
      </c>
      <c r="N60" s="54">
        <f t="shared" si="41"/>
        <v>0</v>
      </c>
      <c r="O60" s="54">
        <f t="shared" si="41"/>
        <v>0</v>
      </c>
      <c r="P60" s="54">
        <f t="shared" si="41"/>
        <v>0</v>
      </c>
      <c r="Q60" s="54">
        <f t="shared" si="41"/>
        <v>0</v>
      </c>
      <c r="R60" s="54">
        <f t="shared" si="41"/>
        <v>0</v>
      </c>
      <c r="S60" s="55">
        <f t="shared" si="26"/>
        <v>0</v>
      </c>
    </row>
    <row r="61" spans="1:19" s="48" customFormat="1" x14ac:dyDescent="0.2">
      <c r="A61" s="204"/>
      <c r="C61" s="34" t="s">
        <v>88</v>
      </c>
      <c r="D61" s="34"/>
      <c r="E61" s="34"/>
      <c r="F61" s="64"/>
      <c r="G61" s="56">
        <f>SUM(G51:G60)</f>
        <v>5355</v>
      </c>
      <c r="H61" s="56">
        <f t="shared" ref="H61:R61" si="43">SUM(H51:H60)</f>
        <v>5407.5</v>
      </c>
      <c r="I61" s="56">
        <f t="shared" si="43"/>
        <v>5460</v>
      </c>
      <c r="J61" s="56">
        <f t="shared" si="43"/>
        <v>5512.5</v>
      </c>
      <c r="K61" s="56">
        <f t="shared" si="43"/>
        <v>5775</v>
      </c>
      <c r="L61" s="56">
        <f t="shared" si="43"/>
        <v>5880</v>
      </c>
      <c r="M61" s="56">
        <f t="shared" si="43"/>
        <v>5670</v>
      </c>
      <c r="N61" s="56">
        <f t="shared" si="43"/>
        <v>5512.5</v>
      </c>
      <c r="O61" s="56">
        <f t="shared" si="43"/>
        <v>5145</v>
      </c>
      <c r="P61" s="56">
        <f t="shared" si="43"/>
        <v>5407.5</v>
      </c>
      <c r="Q61" s="56">
        <f t="shared" si="43"/>
        <v>5670</v>
      </c>
      <c r="R61" s="56">
        <f t="shared" si="43"/>
        <v>5880</v>
      </c>
      <c r="S61" s="57">
        <f>SUM(S51:S60)</f>
        <v>66675</v>
      </c>
    </row>
    <row r="62" spans="1:19" x14ac:dyDescent="0.2">
      <c r="C62" s="35"/>
      <c r="D62" s="35"/>
      <c r="E62" s="35"/>
      <c r="F62" s="58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60"/>
    </row>
    <row r="63" spans="1:19" s="48" customFormat="1" x14ac:dyDescent="0.2">
      <c r="A63" s="204"/>
      <c r="C63" s="34" t="s">
        <v>93</v>
      </c>
      <c r="D63" s="34"/>
      <c r="E63" s="34"/>
      <c r="F63" s="64"/>
      <c r="G63" s="65">
        <f>G49+G61</f>
        <v>8032.5</v>
      </c>
      <c r="H63" s="65">
        <f t="shared" ref="H63:S63" si="44">H49+H61</f>
        <v>8111.25</v>
      </c>
      <c r="I63" s="65">
        <f t="shared" si="44"/>
        <v>8190</v>
      </c>
      <c r="J63" s="65">
        <f t="shared" ref="J63" si="45">J49+J61</f>
        <v>8268.75</v>
      </c>
      <c r="K63" s="65">
        <f t="shared" si="44"/>
        <v>8662.5</v>
      </c>
      <c r="L63" s="65">
        <f t="shared" si="44"/>
        <v>8820</v>
      </c>
      <c r="M63" s="65">
        <f t="shared" si="44"/>
        <v>8505</v>
      </c>
      <c r="N63" s="65">
        <f t="shared" si="44"/>
        <v>8268.75</v>
      </c>
      <c r="O63" s="65">
        <f t="shared" si="44"/>
        <v>7717.5</v>
      </c>
      <c r="P63" s="65">
        <f t="shared" si="44"/>
        <v>8111.25</v>
      </c>
      <c r="Q63" s="65">
        <f t="shared" si="44"/>
        <v>8505</v>
      </c>
      <c r="R63" s="65">
        <f t="shared" si="44"/>
        <v>8820</v>
      </c>
      <c r="S63" s="66">
        <f t="shared" si="44"/>
        <v>100012.5</v>
      </c>
    </row>
  </sheetData>
  <mergeCells count="4">
    <mergeCell ref="G38:R38"/>
    <mergeCell ref="G9:R9"/>
    <mergeCell ref="G6:S6"/>
    <mergeCell ref="B2:S2"/>
  </mergeCells>
  <phoneticPr fontId="4" type="noConversion"/>
  <pageMargins left="0.25" right="0.25" top="0.75" bottom="0.75" header="0.3" footer="0.3"/>
  <pageSetup paperSize="9" scale="6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6B7A-415A-4242-A3BB-82795196D9C4}">
  <sheetPr>
    <tabColor theme="3" tint="0.499984740745262"/>
    <pageSetUpPr fitToPage="1"/>
  </sheetPr>
  <dimension ref="A1:Q1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02" customWidth="1"/>
    <col min="2" max="3" width="1.6640625" style="44" customWidth="1"/>
    <col min="4" max="4" width="28.5" style="44" bestFit="1" customWidth="1"/>
    <col min="5" max="5" width="16.83203125" style="44" bestFit="1" customWidth="1"/>
    <col min="6" max="6" width="12.6640625" style="44" customWidth="1"/>
    <col min="7" max="16" width="12.6640625" style="67" customWidth="1"/>
    <col min="17" max="16384" width="9.1640625" style="44"/>
  </cols>
  <sheetData>
    <row r="1" spans="1:17" s="5" customFormat="1" x14ac:dyDescent="0.2">
      <c r="A1" s="116" t="s">
        <v>5</v>
      </c>
      <c r="C1" s="116"/>
    </row>
    <row r="2" spans="1:17" s="23" customFormat="1" ht="22" x14ac:dyDescent="0.3">
      <c r="A2" s="196" t="s">
        <v>308</v>
      </c>
      <c r="B2" s="309" t="str">
        <f>Profile!F6</f>
        <v>Person0811</v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</row>
    <row r="4" spans="1:17" ht="19" x14ac:dyDescent="0.25">
      <c r="C4" s="174" t="s">
        <v>122</v>
      </c>
      <c r="D4" s="35"/>
      <c r="E4" s="35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7" x14ac:dyDescent="0.2">
      <c r="C5" s="176" t="str">
        <f>Formulas!A3</f>
        <v>Amounts in USD</v>
      </c>
      <c r="D5" s="181"/>
      <c r="E5" s="185"/>
      <c r="F5" s="6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7" ht="16" thickBot="1" x14ac:dyDescent="0.25">
      <c r="C6" s="9"/>
      <c r="D6" s="10" t="s">
        <v>7</v>
      </c>
      <c r="E6" s="222" t="s">
        <v>21</v>
      </c>
      <c r="F6" s="9"/>
      <c r="G6" s="313" t="s">
        <v>94</v>
      </c>
      <c r="H6" s="313"/>
      <c r="I6" s="313"/>
      <c r="J6" s="313"/>
      <c r="K6" s="313"/>
      <c r="L6" s="313"/>
      <c r="M6" s="313"/>
      <c r="N6" s="313"/>
      <c r="O6" s="313"/>
      <c r="P6" s="313"/>
    </row>
    <row r="7" spans="1:17" x14ac:dyDescent="0.2">
      <c r="C7" s="39" t="s">
        <v>129</v>
      </c>
      <c r="D7" s="41"/>
      <c r="E7" s="41"/>
      <c r="F7" s="9"/>
      <c r="G7" s="32">
        <f>Formulas!C9</f>
        <v>2025</v>
      </c>
      <c r="H7" s="32">
        <f>Formulas!D9</f>
        <v>2026</v>
      </c>
      <c r="I7" s="32">
        <f>Formulas!E9</f>
        <v>2027</v>
      </c>
      <c r="J7" s="32">
        <f>Formulas!F9</f>
        <v>2028</v>
      </c>
      <c r="K7" s="32">
        <f>Formulas!G9</f>
        <v>2029</v>
      </c>
      <c r="L7" s="32">
        <f>Formulas!H9</f>
        <v>2030</v>
      </c>
      <c r="M7" s="32">
        <f>Formulas!I9</f>
        <v>2031</v>
      </c>
      <c r="N7" s="32">
        <f>Formulas!J9</f>
        <v>2032</v>
      </c>
      <c r="O7" s="32">
        <f>Formulas!K9</f>
        <v>2033</v>
      </c>
      <c r="P7" s="32">
        <f>Formulas!L9</f>
        <v>2034</v>
      </c>
      <c r="Q7" s="68"/>
    </row>
    <row r="8" spans="1:17" x14ac:dyDescent="0.2">
      <c r="C8" s="34" t="s">
        <v>95</v>
      </c>
      <c r="D8" s="35"/>
      <c r="E8" s="35"/>
      <c r="F8" s="35"/>
      <c r="G8" s="52"/>
      <c r="H8" s="54"/>
      <c r="I8" s="54"/>
      <c r="J8" s="54"/>
      <c r="K8" s="54"/>
      <c r="L8" s="54"/>
      <c r="M8" s="54"/>
      <c r="N8" s="54"/>
      <c r="O8" s="54"/>
      <c r="P8" s="55"/>
    </row>
    <row r="9" spans="1:17" x14ac:dyDescent="0.2">
      <c r="C9" s="35"/>
      <c r="D9" s="35" t="s">
        <v>96</v>
      </c>
      <c r="E9" s="72" t="s">
        <v>114</v>
      </c>
      <c r="F9" s="35"/>
      <c r="G9" s="74">
        <f>Formulas!C45</f>
        <v>0</v>
      </c>
      <c r="H9" s="75">
        <f>Formulas!D45</f>
        <v>0.06</v>
      </c>
      <c r="I9" s="75">
        <f>Formulas!E45</f>
        <v>0.05</v>
      </c>
      <c r="J9" s="75">
        <f>Formulas!F45</f>
        <v>0.04</v>
      </c>
      <c r="K9" s="75">
        <f>Formulas!G45</f>
        <v>0.03</v>
      </c>
      <c r="L9" s="75">
        <f>Formulas!H45</f>
        <v>0.03</v>
      </c>
      <c r="M9" s="75">
        <f>Formulas!I45</f>
        <v>0.02</v>
      </c>
      <c r="N9" s="75">
        <f>Formulas!J45</f>
        <v>0.02</v>
      </c>
      <c r="O9" s="75">
        <f>Formulas!K45</f>
        <v>0.02</v>
      </c>
      <c r="P9" s="76">
        <f>Formulas!L45</f>
        <v>0.02</v>
      </c>
    </row>
    <row r="10" spans="1:17" x14ac:dyDescent="0.2">
      <c r="C10" s="35"/>
      <c r="D10" s="35" t="s">
        <v>97</v>
      </c>
      <c r="E10" s="72" t="s">
        <v>115</v>
      </c>
      <c r="F10" s="35"/>
      <c r="G10" s="77"/>
      <c r="H10" s="78">
        <f>Formulas!D49</f>
        <v>0.25</v>
      </c>
      <c r="I10" s="78">
        <f>Formulas!E49</f>
        <v>0.25</v>
      </c>
      <c r="J10" s="78">
        <f>Formulas!F49</f>
        <v>0.24</v>
      </c>
      <c r="K10" s="78">
        <f>Formulas!G49</f>
        <v>0.24</v>
      </c>
      <c r="L10" s="78">
        <f>Formulas!H49</f>
        <v>0.23</v>
      </c>
      <c r="M10" s="78">
        <f>Formulas!I49</f>
        <v>0.23</v>
      </c>
      <c r="N10" s="78">
        <f>Formulas!J49</f>
        <v>0.22</v>
      </c>
      <c r="O10" s="78">
        <f>Formulas!K49</f>
        <v>0.22</v>
      </c>
      <c r="P10" s="79">
        <f>Formulas!L49</f>
        <v>0.21</v>
      </c>
    </row>
    <row r="11" spans="1:17" x14ac:dyDescent="0.2">
      <c r="C11" s="35"/>
      <c r="D11" s="35" t="s">
        <v>98</v>
      </c>
      <c r="E11" s="72" t="s">
        <v>116</v>
      </c>
      <c r="F11" s="35"/>
      <c r="G11" s="77"/>
      <c r="H11" s="78">
        <f>Formulas!D53</f>
        <v>0.4</v>
      </c>
      <c r="I11" s="78">
        <f>Formulas!E53</f>
        <v>0.38</v>
      </c>
      <c r="J11" s="78">
        <f>Formulas!F53</f>
        <v>0.37</v>
      </c>
      <c r="K11" s="78">
        <f>Formulas!G53</f>
        <v>0.36</v>
      </c>
      <c r="L11" s="78">
        <f>Formulas!H53</f>
        <v>0.35</v>
      </c>
      <c r="M11" s="78">
        <f>Formulas!I53</f>
        <v>0.35</v>
      </c>
      <c r="N11" s="78">
        <f>Formulas!J53</f>
        <v>0.34</v>
      </c>
      <c r="O11" s="78">
        <f>Formulas!K53</f>
        <v>0.34</v>
      </c>
      <c r="P11" s="79">
        <f>Formulas!L53</f>
        <v>0.34</v>
      </c>
    </row>
    <row r="12" spans="1:17" x14ac:dyDescent="0.2">
      <c r="C12" s="35"/>
      <c r="D12" s="35" t="s">
        <v>99</v>
      </c>
      <c r="E12" s="72" t="s">
        <v>117</v>
      </c>
      <c r="F12" s="35"/>
      <c r="G12" s="77">
        <f>Formulas!C57</f>
        <v>0.18</v>
      </c>
      <c r="H12" s="78">
        <f>Formulas!D57</f>
        <v>0.18</v>
      </c>
      <c r="I12" s="78">
        <f>Formulas!E57</f>
        <v>0.18</v>
      </c>
      <c r="J12" s="78">
        <f>Formulas!F57</f>
        <v>0.18</v>
      </c>
      <c r="K12" s="78">
        <f>Formulas!G57</f>
        <v>0.18</v>
      </c>
      <c r="L12" s="78">
        <f>Formulas!H57</f>
        <v>0.18</v>
      </c>
      <c r="M12" s="78">
        <f>Formulas!I57</f>
        <v>0.18</v>
      </c>
      <c r="N12" s="78">
        <f>Formulas!J57</f>
        <v>0.18</v>
      </c>
      <c r="O12" s="78">
        <f>Formulas!K57</f>
        <v>0.18</v>
      </c>
      <c r="P12" s="79">
        <f>Formulas!L57</f>
        <v>0.18</v>
      </c>
    </row>
    <row r="13" spans="1:17" x14ac:dyDescent="0.2">
      <c r="C13" s="35"/>
      <c r="D13" s="35" t="s">
        <v>102</v>
      </c>
      <c r="E13" s="72" t="s">
        <v>117</v>
      </c>
      <c r="F13" s="35"/>
      <c r="G13" s="77">
        <f>Formulas!C61</f>
        <v>0.12</v>
      </c>
      <c r="H13" s="78">
        <f>Formulas!D61</f>
        <v>0.11</v>
      </c>
      <c r="I13" s="78">
        <f>Formulas!E61</f>
        <v>0.1</v>
      </c>
      <c r="J13" s="78">
        <f>Formulas!F61</f>
        <v>0.09</v>
      </c>
      <c r="K13" s="78">
        <f>Formulas!G61</f>
        <v>0.09</v>
      </c>
      <c r="L13" s="78">
        <f>Formulas!H61</f>
        <v>0.08</v>
      </c>
      <c r="M13" s="78">
        <f>Formulas!I61</f>
        <v>0.08</v>
      </c>
      <c r="N13" s="78">
        <f>Formulas!J61</f>
        <v>7.0000000000000007E-2</v>
      </c>
      <c r="O13" s="78">
        <f>Formulas!K61</f>
        <v>7.0000000000000007E-2</v>
      </c>
      <c r="P13" s="79">
        <f>Formulas!L61</f>
        <v>7.0000000000000007E-2</v>
      </c>
    </row>
    <row r="14" spans="1:17" x14ac:dyDescent="0.2">
      <c r="C14" s="35"/>
      <c r="D14" s="35" t="s">
        <v>103</v>
      </c>
      <c r="E14" s="72" t="str">
        <f>Profile!$F$10</f>
        <v>USD</v>
      </c>
      <c r="F14" s="35"/>
      <c r="G14" s="52">
        <f>Formulas!C65</f>
        <v>50000</v>
      </c>
      <c r="H14" s="54">
        <f>Formulas!D65</f>
        <v>50000</v>
      </c>
      <c r="I14" s="54">
        <f>Formulas!E65</f>
        <v>50000</v>
      </c>
      <c r="J14" s="54">
        <f>Formulas!F65</f>
        <v>50000</v>
      </c>
      <c r="K14" s="54">
        <f>Formulas!G65</f>
        <v>50000</v>
      </c>
      <c r="L14" s="54">
        <f>Formulas!H65</f>
        <v>50000</v>
      </c>
      <c r="M14" s="54">
        <f>Formulas!I65</f>
        <v>50000</v>
      </c>
      <c r="N14" s="54">
        <f>Formulas!J65</f>
        <v>50000</v>
      </c>
      <c r="O14" s="54">
        <f>Formulas!K65</f>
        <v>50000</v>
      </c>
      <c r="P14" s="55">
        <f>Formulas!L65</f>
        <v>50000</v>
      </c>
    </row>
    <row r="15" spans="1:17" x14ac:dyDescent="0.2">
      <c r="C15" s="35"/>
      <c r="D15" s="35" t="s">
        <v>119</v>
      </c>
      <c r="E15" s="72" t="s">
        <v>117</v>
      </c>
      <c r="F15" s="35"/>
      <c r="G15" s="77">
        <f>Formulas!C69</f>
        <v>0.04</v>
      </c>
      <c r="H15" s="78">
        <f>Formulas!D69</f>
        <v>0.04</v>
      </c>
      <c r="I15" s="78">
        <f>Formulas!E69</f>
        <v>3.5000000000000003E-2</v>
      </c>
      <c r="J15" s="78">
        <f>Formulas!F69</f>
        <v>3.5000000000000003E-2</v>
      </c>
      <c r="K15" s="78">
        <f>Formulas!G69</f>
        <v>3.5000000000000003E-2</v>
      </c>
      <c r="L15" s="78">
        <f>Formulas!H69</f>
        <v>3.5000000000000003E-2</v>
      </c>
      <c r="M15" s="78">
        <f>Formulas!I69</f>
        <v>0.03</v>
      </c>
      <c r="N15" s="78">
        <f>Formulas!J69</f>
        <v>0.03</v>
      </c>
      <c r="O15" s="78">
        <f>Formulas!K69</f>
        <v>0.03</v>
      </c>
      <c r="P15" s="79">
        <f>Formulas!L69</f>
        <v>0.03</v>
      </c>
    </row>
    <row r="16" spans="1:17" x14ac:dyDescent="0.2">
      <c r="C16" s="35"/>
      <c r="D16" s="35" t="s">
        <v>100</v>
      </c>
      <c r="E16" s="72" t="str">
        <f>Profile!$F$10</f>
        <v>USD</v>
      </c>
      <c r="F16" s="35"/>
      <c r="G16" s="52">
        <f>Formulas!C73</f>
        <v>35000</v>
      </c>
      <c r="H16" s="54">
        <f>Formulas!D73</f>
        <v>35000</v>
      </c>
      <c r="I16" s="54">
        <f>Formulas!E73</f>
        <v>35000</v>
      </c>
      <c r="J16" s="54">
        <f>Formulas!F73</f>
        <v>35000</v>
      </c>
      <c r="K16" s="54">
        <f>Formulas!G73</f>
        <v>35000</v>
      </c>
      <c r="L16" s="54">
        <f>Formulas!H73</f>
        <v>35000</v>
      </c>
      <c r="M16" s="54">
        <f>Formulas!I73</f>
        <v>35000</v>
      </c>
      <c r="N16" s="54">
        <f>Formulas!J73</f>
        <v>35000</v>
      </c>
      <c r="O16" s="54">
        <f>Formulas!K73</f>
        <v>35000</v>
      </c>
      <c r="P16" s="55">
        <f>Formulas!L73</f>
        <v>35000</v>
      </c>
    </row>
    <row r="17" spans="3:16" x14ac:dyDescent="0.2">
      <c r="C17" s="35"/>
      <c r="D17" s="35" t="s">
        <v>140</v>
      </c>
      <c r="E17" s="72" t="s">
        <v>117</v>
      </c>
      <c r="F17" s="35"/>
      <c r="G17" s="77">
        <f>Formulas!C77</f>
        <v>8.0000000000000002E-3</v>
      </c>
      <c r="H17" s="78">
        <f>Formulas!D77</f>
        <v>8.0000000000000002E-3</v>
      </c>
      <c r="I17" s="78">
        <f>Formulas!E77</f>
        <v>8.0000000000000002E-3</v>
      </c>
      <c r="J17" s="78">
        <f>Formulas!F77</f>
        <v>8.0000000000000002E-3</v>
      </c>
      <c r="K17" s="78">
        <f>Formulas!G77</f>
        <v>8.0000000000000002E-3</v>
      </c>
      <c r="L17" s="78">
        <f>Formulas!H77</f>
        <v>8.0000000000000002E-3</v>
      </c>
      <c r="M17" s="78">
        <f>Formulas!I77</f>
        <v>8.0000000000000002E-3</v>
      </c>
      <c r="N17" s="78">
        <f>Formulas!J77</f>
        <v>8.0000000000000002E-3</v>
      </c>
      <c r="O17" s="78">
        <f>Formulas!K77</f>
        <v>8.0000000000000002E-3</v>
      </c>
      <c r="P17" s="79">
        <f>Formulas!L77</f>
        <v>8.0000000000000002E-3</v>
      </c>
    </row>
    <row r="18" spans="3:16" x14ac:dyDescent="0.2">
      <c r="C18" s="35"/>
      <c r="D18" s="35" t="s">
        <v>141</v>
      </c>
      <c r="E18" s="72" t="s">
        <v>118</v>
      </c>
      <c r="F18" s="35"/>
      <c r="G18" s="77">
        <f>Formulas!C81</f>
        <v>0.35</v>
      </c>
      <c r="H18" s="78">
        <f>Formulas!D81</f>
        <v>0.35</v>
      </c>
      <c r="I18" s="78">
        <f>Formulas!E81</f>
        <v>0.35</v>
      </c>
      <c r="J18" s="78">
        <f>Formulas!F81</f>
        <v>0.35</v>
      </c>
      <c r="K18" s="78">
        <f>Formulas!G81</f>
        <v>0.35</v>
      </c>
      <c r="L18" s="78">
        <f>Formulas!H81</f>
        <v>0.35</v>
      </c>
      <c r="M18" s="78">
        <f>Formulas!I81</f>
        <v>0.35</v>
      </c>
      <c r="N18" s="78">
        <f>Formulas!J81</f>
        <v>0.35</v>
      </c>
      <c r="O18" s="78">
        <f>Formulas!K81</f>
        <v>0.35</v>
      </c>
      <c r="P18" s="79">
        <f>Formulas!L81</f>
        <v>0.35</v>
      </c>
    </row>
    <row r="19" spans="3:16" x14ac:dyDescent="0.2">
      <c r="C19" s="35"/>
      <c r="D19" s="35" t="s">
        <v>44</v>
      </c>
      <c r="E19" s="72" t="s">
        <v>120</v>
      </c>
      <c r="F19" s="35"/>
      <c r="G19" s="77">
        <f>Formulas!C85</f>
        <v>0.25</v>
      </c>
      <c r="H19" s="78">
        <f>Formulas!D85</f>
        <v>0.25</v>
      </c>
      <c r="I19" s="78">
        <f>Formulas!E85</f>
        <v>0.25</v>
      </c>
      <c r="J19" s="78">
        <f>Formulas!F85</f>
        <v>0.25</v>
      </c>
      <c r="K19" s="78">
        <f>Formulas!G85</f>
        <v>0.25</v>
      </c>
      <c r="L19" s="78">
        <f>Formulas!H85</f>
        <v>0.25</v>
      </c>
      <c r="M19" s="78">
        <f>Formulas!I85</f>
        <v>0.25</v>
      </c>
      <c r="N19" s="78">
        <f>Formulas!J85</f>
        <v>0.25</v>
      </c>
      <c r="O19" s="78">
        <f>Formulas!K85</f>
        <v>0.25</v>
      </c>
      <c r="P19" s="79">
        <f>Formulas!L85</f>
        <v>0.25</v>
      </c>
    </row>
    <row r="20" spans="3:16" x14ac:dyDescent="0.2">
      <c r="C20" s="35"/>
      <c r="D20" s="35"/>
      <c r="E20" s="72"/>
      <c r="F20" s="35"/>
      <c r="G20" s="58"/>
      <c r="H20" s="59"/>
      <c r="I20" s="59"/>
      <c r="J20" s="59"/>
      <c r="K20" s="59"/>
      <c r="L20" s="59"/>
      <c r="M20" s="59"/>
      <c r="N20" s="59"/>
      <c r="O20" s="59"/>
      <c r="P20" s="60"/>
    </row>
    <row r="21" spans="3:16" x14ac:dyDescent="0.2">
      <c r="C21" s="34" t="s">
        <v>104</v>
      </c>
      <c r="D21" s="35"/>
      <c r="E21" s="72"/>
      <c r="F21" s="35"/>
      <c r="G21" s="58"/>
      <c r="H21" s="59"/>
      <c r="I21" s="59"/>
      <c r="J21" s="59"/>
      <c r="K21" s="59"/>
      <c r="L21" s="59"/>
      <c r="M21" s="59"/>
      <c r="N21" s="59"/>
      <c r="O21" s="59"/>
      <c r="P21" s="60"/>
    </row>
    <row r="22" spans="3:16" x14ac:dyDescent="0.2">
      <c r="C22" s="35"/>
      <c r="D22" s="35" t="s">
        <v>105</v>
      </c>
      <c r="E22" s="72" t="s">
        <v>121</v>
      </c>
      <c r="F22" s="35"/>
      <c r="G22" s="125">
        <f>Formulas!C89</f>
        <v>40</v>
      </c>
      <c r="H22" s="126">
        <f>Formulas!D89</f>
        <v>40</v>
      </c>
      <c r="I22" s="126">
        <f>Formulas!E89</f>
        <v>40</v>
      </c>
      <c r="J22" s="126">
        <f>Formulas!F89</f>
        <v>40</v>
      </c>
      <c r="K22" s="126">
        <f>Formulas!G89</f>
        <v>40</v>
      </c>
      <c r="L22" s="126">
        <f>Formulas!H89</f>
        <v>35</v>
      </c>
      <c r="M22" s="126">
        <f>Formulas!I89</f>
        <v>35</v>
      </c>
      <c r="N22" s="126">
        <f>Formulas!J89</f>
        <v>35</v>
      </c>
      <c r="O22" s="126">
        <f>Formulas!K89</f>
        <v>35</v>
      </c>
      <c r="P22" s="127">
        <f>Formulas!L89</f>
        <v>35</v>
      </c>
    </row>
    <row r="23" spans="3:16" x14ac:dyDescent="0.2">
      <c r="C23" s="35"/>
      <c r="D23" s="35" t="s">
        <v>106</v>
      </c>
      <c r="E23" s="72" t="s">
        <v>121</v>
      </c>
      <c r="F23" s="35"/>
      <c r="G23" s="125">
        <f>Formulas!C93</f>
        <v>65</v>
      </c>
      <c r="H23" s="126">
        <f>Formulas!D93</f>
        <v>65</v>
      </c>
      <c r="I23" s="126">
        <f>Formulas!E93</f>
        <v>65</v>
      </c>
      <c r="J23" s="126">
        <f>Formulas!F93</f>
        <v>70</v>
      </c>
      <c r="K23" s="126">
        <f>Formulas!G93</f>
        <v>70</v>
      </c>
      <c r="L23" s="126">
        <f>Formulas!H93</f>
        <v>70</v>
      </c>
      <c r="M23" s="126">
        <f>Formulas!I93</f>
        <v>75</v>
      </c>
      <c r="N23" s="126">
        <f>Formulas!J93</f>
        <v>75</v>
      </c>
      <c r="O23" s="126">
        <f>Formulas!K93</f>
        <v>80</v>
      </c>
      <c r="P23" s="127">
        <f>Formulas!L93</f>
        <v>80</v>
      </c>
    </row>
    <row r="24" spans="3:16" x14ac:dyDescent="0.2">
      <c r="C24" s="35"/>
      <c r="D24" s="35" t="s">
        <v>232</v>
      </c>
      <c r="E24" s="72" t="s">
        <v>233</v>
      </c>
      <c r="F24" s="35"/>
      <c r="G24" s="58">
        <f>Formulas!C97</f>
        <v>13500</v>
      </c>
      <c r="H24" s="59"/>
      <c r="I24" s="59"/>
      <c r="J24" s="59"/>
      <c r="K24" s="59"/>
      <c r="L24" s="59"/>
      <c r="M24" s="59"/>
      <c r="N24" s="59"/>
      <c r="O24" s="59"/>
      <c r="P24" s="60"/>
    </row>
    <row r="25" spans="3:16" x14ac:dyDescent="0.2">
      <c r="C25" s="35"/>
      <c r="D25" s="35" t="s">
        <v>107</v>
      </c>
      <c r="E25" s="72" t="s">
        <v>121</v>
      </c>
      <c r="F25" s="35"/>
      <c r="G25" s="125">
        <f>Formulas!C101</f>
        <v>50</v>
      </c>
      <c r="H25" s="126">
        <f>Formulas!D101</f>
        <v>50</v>
      </c>
      <c r="I25" s="126">
        <f>Formulas!E101</f>
        <v>50</v>
      </c>
      <c r="J25" s="126">
        <f>Formulas!F101</f>
        <v>50</v>
      </c>
      <c r="K25" s="126">
        <f>Formulas!G101</f>
        <v>50</v>
      </c>
      <c r="L25" s="126">
        <f>Formulas!H101</f>
        <v>45</v>
      </c>
      <c r="M25" s="126">
        <f>Formulas!I101</f>
        <v>45</v>
      </c>
      <c r="N25" s="126">
        <f>Formulas!J101</f>
        <v>45</v>
      </c>
      <c r="O25" s="126">
        <f>Formulas!K101</f>
        <v>45</v>
      </c>
      <c r="P25" s="127">
        <f>Formulas!L101</f>
        <v>45</v>
      </c>
    </row>
    <row r="26" spans="3:16" x14ac:dyDescent="0.2">
      <c r="C26" s="35"/>
      <c r="D26" s="35" t="s">
        <v>108</v>
      </c>
      <c r="E26" s="72" t="s">
        <v>117</v>
      </c>
      <c r="F26" s="35"/>
      <c r="G26" s="77">
        <f>Formulas!C105</f>
        <v>4.4999999999999998E-2</v>
      </c>
      <c r="H26" s="78">
        <f>Formulas!D105</f>
        <v>4.4999999999999998E-2</v>
      </c>
      <c r="I26" s="78">
        <f>Formulas!E105</f>
        <v>4.4999999999999998E-2</v>
      </c>
      <c r="J26" s="78">
        <f>Formulas!F105</f>
        <v>4.4999999999999998E-2</v>
      </c>
      <c r="K26" s="78">
        <f>Formulas!G105</f>
        <v>4.4999999999999998E-2</v>
      </c>
      <c r="L26" s="78">
        <f>Formulas!H105</f>
        <v>4.4999999999999998E-2</v>
      </c>
      <c r="M26" s="78">
        <f>Formulas!I105</f>
        <v>4.4999999999999998E-2</v>
      </c>
      <c r="N26" s="78">
        <f>Formulas!J105</f>
        <v>4.4999999999999998E-2</v>
      </c>
      <c r="O26" s="78">
        <f>Formulas!K105</f>
        <v>4.4999999999999998E-2</v>
      </c>
      <c r="P26" s="79">
        <f>Formulas!L105</f>
        <v>4.4999999999999998E-2</v>
      </c>
    </row>
    <row r="27" spans="3:16" x14ac:dyDescent="0.2">
      <c r="C27" s="35"/>
      <c r="D27" s="35" t="s">
        <v>109</v>
      </c>
      <c r="E27" s="72" t="str">
        <f>Profile!$F$10</f>
        <v>USD</v>
      </c>
      <c r="F27" s="35"/>
      <c r="G27" s="58">
        <f>Formulas!C109</f>
        <v>8000</v>
      </c>
      <c r="H27" s="59">
        <f>Formulas!D109</f>
        <v>10000</v>
      </c>
      <c r="I27" s="59">
        <f>Formulas!E109</f>
        <v>12000</v>
      </c>
      <c r="J27" s="59">
        <f>Formulas!F109</f>
        <v>12000</v>
      </c>
      <c r="K27" s="59">
        <f>Formulas!G109</f>
        <v>15000</v>
      </c>
      <c r="L27" s="59">
        <f>Formulas!H109</f>
        <v>18000</v>
      </c>
      <c r="M27" s="59">
        <f>Formulas!I109</f>
        <v>15000</v>
      </c>
      <c r="N27" s="59">
        <f>Formulas!J109</f>
        <v>12000</v>
      </c>
      <c r="O27" s="59">
        <f>Formulas!K109</f>
        <v>10000</v>
      </c>
      <c r="P27" s="60">
        <f>Formulas!L109</f>
        <v>8000</v>
      </c>
    </row>
    <row r="28" spans="3:16" x14ac:dyDescent="0.2">
      <c r="C28" s="35"/>
      <c r="D28" s="35"/>
      <c r="E28" s="72"/>
      <c r="F28" s="35"/>
      <c r="G28" s="58"/>
      <c r="H28" s="59"/>
      <c r="I28" s="59"/>
      <c r="J28" s="80"/>
      <c r="K28" s="59"/>
      <c r="L28" s="59"/>
      <c r="M28" s="59"/>
      <c r="N28" s="59"/>
      <c r="O28" s="59"/>
      <c r="P28" s="60"/>
    </row>
    <row r="29" spans="3:16" x14ac:dyDescent="0.2">
      <c r="C29" s="34" t="s">
        <v>110</v>
      </c>
      <c r="D29" s="35"/>
      <c r="E29" s="72"/>
      <c r="F29" s="35"/>
      <c r="G29" s="58"/>
      <c r="H29" s="59"/>
      <c r="I29" s="59"/>
      <c r="J29" s="80"/>
      <c r="K29" s="59"/>
      <c r="L29" s="59"/>
      <c r="M29" s="59"/>
      <c r="N29" s="59"/>
      <c r="O29" s="59"/>
      <c r="P29" s="60"/>
    </row>
    <row r="30" spans="3:16" x14ac:dyDescent="0.2">
      <c r="C30" s="35"/>
      <c r="D30" s="35" t="s">
        <v>111</v>
      </c>
      <c r="E30" s="72" t="s">
        <v>123</v>
      </c>
      <c r="F30" s="35"/>
      <c r="G30" s="77">
        <f>Formulas!C113</f>
        <v>5.5E-2</v>
      </c>
      <c r="H30" s="78">
        <f>Formulas!D113</f>
        <v>5.5E-2</v>
      </c>
      <c r="I30" s="78">
        <f>Formulas!E113</f>
        <v>5.5E-2</v>
      </c>
      <c r="J30" s="78">
        <f>Formulas!F113</f>
        <v>5.5E-2</v>
      </c>
      <c r="K30" s="78">
        <f>Formulas!G113</f>
        <v>5.5E-2</v>
      </c>
      <c r="L30" s="78">
        <f>Formulas!H113</f>
        <v>5.5E-2</v>
      </c>
      <c r="M30" s="78">
        <f>Formulas!I113</f>
        <v>5.5E-2</v>
      </c>
      <c r="N30" s="78">
        <f>Formulas!J113</f>
        <v>5.5E-2</v>
      </c>
      <c r="O30" s="78">
        <f>Formulas!K113</f>
        <v>5.5E-2</v>
      </c>
      <c r="P30" s="79">
        <f>Formulas!L113</f>
        <v>5.5E-2</v>
      </c>
    </row>
    <row r="31" spans="3:16" x14ac:dyDescent="0.2">
      <c r="C31" s="35"/>
      <c r="D31" s="35" t="s">
        <v>157</v>
      </c>
      <c r="E31" s="72" t="s">
        <v>234</v>
      </c>
      <c r="F31" s="35"/>
      <c r="G31" s="58">
        <f>Formulas!C117</f>
        <v>60000</v>
      </c>
      <c r="H31" s="78"/>
      <c r="I31" s="78"/>
      <c r="J31" s="78"/>
      <c r="K31" s="78"/>
      <c r="L31" s="78"/>
      <c r="M31" s="78"/>
      <c r="N31" s="78"/>
      <c r="O31" s="78"/>
      <c r="P31" s="79"/>
    </row>
    <row r="32" spans="3:16" x14ac:dyDescent="0.2">
      <c r="C32" s="35"/>
      <c r="D32" s="35" t="s">
        <v>160</v>
      </c>
      <c r="E32" s="72" t="s">
        <v>9</v>
      </c>
      <c r="F32" s="35"/>
      <c r="G32" s="58">
        <f>Formulas!C121</f>
        <v>110000</v>
      </c>
      <c r="H32" s="59">
        <f>Formulas!D121</f>
        <v>110000</v>
      </c>
      <c r="I32" s="59">
        <f>Formulas!E121</f>
        <v>110000</v>
      </c>
      <c r="J32" s="59">
        <f>Formulas!F121</f>
        <v>110000</v>
      </c>
      <c r="K32" s="59">
        <f>Formulas!G121</f>
        <v>110000</v>
      </c>
      <c r="L32" s="59">
        <f>Formulas!H121</f>
        <v>110000</v>
      </c>
      <c r="M32" s="59">
        <f>Formulas!I121</f>
        <v>110000</v>
      </c>
      <c r="N32" s="59">
        <f>Formulas!J121</f>
        <v>110000</v>
      </c>
      <c r="O32" s="59">
        <f>Formulas!K121</f>
        <v>110000</v>
      </c>
      <c r="P32" s="60">
        <f>Formulas!L121</f>
        <v>110000</v>
      </c>
    </row>
    <row r="33" spans="3:16" x14ac:dyDescent="0.2">
      <c r="C33" s="35"/>
      <c r="D33" s="35" t="s">
        <v>112</v>
      </c>
      <c r="E33" s="72" t="str">
        <f>Profile!$F$10</f>
        <v>USD</v>
      </c>
      <c r="F33" s="35"/>
      <c r="G33" s="58">
        <f>Formulas!C125</f>
        <v>-5000</v>
      </c>
      <c r="H33" s="59">
        <f>Formulas!D125</f>
        <v>-5000</v>
      </c>
      <c r="I33" s="59">
        <f>Formulas!E125</f>
        <v>-5000</v>
      </c>
      <c r="J33" s="59">
        <f>Formulas!F125</f>
        <v>-5000</v>
      </c>
      <c r="K33" s="59">
        <f>Formulas!G125</f>
        <v>-5000</v>
      </c>
      <c r="L33" s="59">
        <f>Formulas!H125</f>
        <v>-5000</v>
      </c>
      <c r="M33" s="59">
        <f>Formulas!I125</f>
        <v>-5000</v>
      </c>
      <c r="N33" s="59">
        <f>Formulas!J125</f>
        <v>-5000</v>
      </c>
      <c r="O33" s="59">
        <f>Formulas!K125</f>
        <v>-5000</v>
      </c>
      <c r="P33" s="60">
        <f>Formulas!L125</f>
        <v>-5000</v>
      </c>
    </row>
    <row r="34" spans="3:16" x14ac:dyDescent="0.2">
      <c r="C34" s="35"/>
      <c r="D34" s="35" t="s">
        <v>113</v>
      </c>
      <c r="E34" s="72" t="str">
        <f>Profile!$F$10</f>
        <v>USD</v>
      </c>
      <c r="F34" s="35"/>
      <c r="G34" s="58">
        <f>Formulas!C129</f>
        <v>0</v>
      </c>
      <c r="H34" s="59">
        <f>Formulas!D129</f>
        <v>0</v>
      </c>
      <c r="I34" s="59">
        <f>Formulas!E129</f>
        <v>0</v>
      </c>
      <c r="J34" s="59">
        <f>Formulas!F129</f>
        <v>0</v>
      </c>
      <c r="K34" s="59">
        <f>Formulas!G129</f>
        <v>0</v>
      </c>
      <c r="L34" s="59">
        <f>Formulas!H129</f>
        <v>0</v>
      </c>
      <c r="M34" s="59">
        <f>Formulas!I129</f>
        <v>0</v>
      </c>
      <c r="N34" s="59">
        <f>Formulas!J129</f>
        <v>0</v>
      </c>
      <c r="O34" s="59">
        <f>Formulas!K129</f>
        <v>0</v>
      </c>
      <c r="P34" s="60">
        <f>Formulas!L129</f>
        <v>0</v>
      </c>
    </row>
    <row r="35" spans="3:16" x14ac:dyDescent="0.2">
      <c r="C35" s="35"/>
      <c r="D35" s="35" t="s">
        <v>235</v>
      </c>
      <c r="E35" s="72" t="s">
        <v>236</v>
      </c>
      <c r="F35" s="35"/>
      <c r="G35" s="77">
        <f>Formulas!C133</f>
        <v>0.15</v>
      </c>
      <c r="H35" s="78">
        <f>Formulas!D133</f>
        <v>0.15</v>
      </c>
      <c r="I35" s="78">
        <f>Formulas!E133</f>
        <v>0.15</v>
      </c>
      <c r="J35" s="78">
        <f>Formulas!F133</f>
        <v>0.15</v>
      </c>
      <c r="K35" s="78">
        <f>Formulas!G133</f>
        <v>0.15</v>
      </c>
      <c r="L35" s="78">
        <f>Formulas!H133</f>
        <v>0.15</v>
      </c>
      <c r="M35" s="78">
        <f>Formulas!I133</f>
        <v>0.15</v>
      </c>
      <c r="N35" s="78">
        <f>Formulas!J133</f>
        <v>0.15</v>
      </c>
      <c r="O35" s="78">
        <f>Formulas!K133</f>
        <v>0.15</v>
      </c>
      <c r="P35" s="79">
        <f>Formulas!L133</f>
        <v>0.15</v>
      </c>
    </row>
    <row r="36" spans="3:16" ht="5" customHeight="1" x14ac:dyDescent="0.2">
      <c r="C36" s="186"/>
      <c r="D36" s="186"/>
      <c r="E36" s="186"/>
    </row>
    <row r="37" spans="3:16" x14ac:dyDescent="0.2">
      <c r="C37" s="39" t="s">
        <v>125</v>
      </c>
      <c r="D37" s="41"/>
      <c r="E37" s="41"/>
      <c r="F37" s="11"/>
    </row>
    <row r="38" spans="3:16" x14ac:dyDescent="0.2">
      <c r="C38" s="34" t="s">
        <v>95</v>
      </c>
      <c r="D38" s="35"/>
      <c r="E38" s="35"/>
      <c r="F38" s="88"/>
      <c r="G38" s="81"/>
      <c r="H38" s="82"/>
      <c r="I38" s="82"/>
      <c r="J38" s="82"/>
      <c r="K38" s="82"/>
      <c r="L38" s="82"/>
      <c r="M38" s="82"/>
      <c r="N38" s="82"/>
      <c r="O38" s="82"/>
      <c r="P38" s="83"/>
    </row>
    <row r="39" spans="3:16" x14ac:dyDescent="0.2">
      <c r="C39" s="35"/>
      <c r="D39" s="35" t="s">
        <v>96</v>
      </c>
      <c r="E39" s="72" t="s">
        <v>114</v>
      </c>
      <c r="F39" s="88"/>
      <c r="G39" s="105"/>
      <c r="H39" s="223">
        <v>0.06</v>
      </c>
      <c r="I39" s="223">
        <v>0.05</v>
      </c>
      <c r="J39" s="223">
        <v>0.04</v>
      </c>
      <c r="K39" s="223">
        <v>0.03</v>
      </c>
      <c r="L39" s="223">
        <v>0.03</v>
      </c>
      <c r="M39" s="223">
        <v>0.02</v>
      </c>
      <c r="N39" s="223">
        <v>0.02</v>
      </c>
      <c r="O39" s="223">
        <v>0.02</v>
      </c>
      <c r="P39" s="224">
        <v>0.02</v>
      </c>
    </row>
    <row r="40" spans="3:16" x14ac:dyDescent="0.2">
      <c r="C40" s="35"/>
      <c r="D40" s="35" t="s">
        <v>97</v>
      </c>
      <c r="E40" s="72" t="s">
        <v>115</v>
      </c>
      <c r="F40" s="88"/>
      <c r="G40" s="105"/>
      <c r="H40" s="223">
        <v>0.25</v>
      </c>
      <c r="I40" s="223">
        <v>0.25</v>
      </c>
      <c r="J40" s="223">
        <v>0.24</v>
      </c>
      <c r="K40" s="223">
        <v>0.24</v>
      </c>
      <c r="L40" s="223">
        <v>0.23</v>
      </c>
      <c r="M40" s="223">
        <v>0.23</v>
      </c>
      <c r="N40" s="223">
        <v>0.22</v>
      </c>
      <c r="O40" s="223">
        <v>0.22</v>
      </c>
      <c r="P40" s="224">
        <v>0.21</v>
      </c>
    </row>
    <row r="41" spans="3:16" x14ac:dyDescent="0.2">
      <c r="C41" s="35"/>
      <c r="D41" s="35" t="s">
        <v>98</v>
      </c>
      <c r="E41" s="72" t="s">
        <v>116</v>
      </c>
      <c r="F41" s="88"/>
      <c r="G41" s="105"/>
      <c r="H41" s="223">
        <v>0.4</v>
      </c>
      <c r="I41" s="223">
        <v>0.38</v>
      </c>
      <c r="J41" s="223">
        <v>0.37</v>
      </c>
      <c r="K41" s="223">
        <v>0.36</v>
      </c>
      <c r="L41" s="223">
        <v>0.35</v>
      </c>
      <c r="M41" s="223">
        <v>0.35</v>
      </c>
      <c r="N41" s="223">
        <v>0.34</v>
      </c>
      <c r="O41" s="223">
        <v>0.34</v>
      </c>
      <c r="P41" s="224">
        <v>0.34</v>
      </c>
    </row>
    <row r="42" spans="3:16" x14ac:dyDescent="0.2">
      <c r="C42" s="35"/>
      <c r="D42" s="35" t="s">
        <v>99</v>
      </c>
      <c r="E42" s="72" t="s">
        <v>117</v>
      </c>
      <c r="F42" s="88"/>
      <c r="G42" s="227">
        <v>0.18</v>
      </c>
      <c r="H42" s="223">
        <v>0.18</v>
      </c>
      <c r="I42" s="223">
        <v>0.18</v>
      </c>
      <c r="J42" s="223">
        <v>0.18</v>
      </c>
      <c r="K42" s="223">
        <v>0.18</v>
      </c>
      <c r="L42" s="223">
        <v>0.18</v>
      </c>
      <c r="M42" s="223">
        <v>0.18</v>
      </c>
      <c r="N42" s="223">
        <v>0.18</v>
      </c>
      <c r="O42" s="223">
        <v>0.18</v>
      </c>
      <c r="P42" s="224">
        <v>0.18</v>
      </c>
    </row>
    <row r="43" spans="3:16" x14ac:dyDescent="0.2">
      <c r="C43" s="35"/>
      <c r="D43" s="35" t="s">
        <v>102</v>
      </c>
      <c r="E43" s="72" t="s">
        <v>117</v>
      </c>
      <c r="F43" s="88"/>
      <c r="G43" s="227">
        <v>0.12</v>
      </c>
      <c r="H43" s="223">
        <v>0.11</v>
      </c>
      <c r="I43" s="223">
        <v>0.1</v>
      </c>
      <c r="J43" s="223">
        <v>0.09</v>
      </c>
      <c r="K43" s="223">
        <v>0.09</v>
      </c>
      <c r="L43" s="223">
        <v>0.08</v>
      </c>
      <c r="M43" s="223">
        <v>0.08</v>
      </c>
      <c r="N43" s="223">
        <v>7.0000000000000007E-2</v>
      </c>
      <c r="O43" s="223">
        <v>7.0000000000000007E-2</v>
      </c>
      <c r="P43" s="224">
        <v>7.0000000000000007E-2</v>
      </c>
    </row>
    <row r="44" spans="3:16" x14ac:dyDescent="0.2">
      <c r="C44" s="35"/>
      <c r="D44" s="35" t="s">
        <v>103</v>
      </c>
      <c r="E44" s="72" t="str">
        <f>Profile!$F$10</f>
        <v>USD</v>
      </c>
      <c r="F44" s="88"/>
      <c r="G44" s="228">
        <v>50000</v>
      </c>
      <c r="H44" s="225">
        <v>50000</v>
      </c>
      <c r="I44" s="225">
        <v>50000</v>
      </c>
      <c r="J44" s="225">
        <v>50000</v>
      </c>
      <c r="K44" s="225">
        <v>50000</v>
      </c>
      <c r="L44" s="225">
        <v>50000</v>
      </c>
      <c r="M44" s="225">
        <v>50000</v>
      </c>
      <c r="N44" s="225">
        <v>50000</v>
      </c>
      <c r="O44" s="225">
        <v>50000</v>
      </c>
      <c r="P44" s="226">
        <v>50000</v>
      </c>
    </row>
    <row r="45" spans="3:16" x14ac:dyDescent="0.2">
      <c r="C45" s="35"/>
      <c r="D45" s="35" t="s">
        <v>119</v>
      </c>
      <c r="E45" s="72" t="s">
        <v>117</v>
      </c>
      <c r="F45" s="88"/>
      <c r="G45" s="227">
        <v>0.04</v>
      </c>
      <c r="H45" s="223">
        <v>0.04</v>
      </c>
      <c r="I45" s="223">
        <v>3.5000000000000003E-2</v>
      </c>
      <c r="J45" s="223">
        <v>3.5000000000000003E-2</v>
      </c>
      <c r="K45" s="223">
        <v>3.5000000000000003E-2</v>
      </c>
      <c r="L45" s="223">
        <v>3.5000000000000003E-2</v>
      </c>
      <c r="M45" s="223">
        <v>0.03</v>
      </c>
      <c r="N45" s="223">
        <v>0.03</v>
      </c>
      <c r="O45" s="223">
        <v>0.03</v>
      </c>
      <c r="P45" s="224">
        <v>0.03</v>
      </c>
    </row>
    <row r="46" spans="3:16" x14ac:dyDescent="0.2">
      <c r="C46" s="35"/>
      <c r="D46" s="35" t="s">
        <v>100</v>
      </c>
      <c r="E46" s="72" t="str">
        <f>Profile!$F$10</f>
        <v>USD</v>
      </c>
      <c r="F46" s="88"/>
      <c r="G46" s="228">
        <v>35000</v>
      </c>
      <c r="H46" s="225">
        <v>35000</v>
      </c>
      <c r="I46" s="225">
        <v>35000</v>
      </c>
      <c r="J46" s="225">
        <v>35000</v>
      </c>
      <c r="K46" s="225">
        <v>35000</v>
      </c>
      <c r="L46" s="225">
        <v>35000</v>
      </c>
      <c r="M46" s="225">
        <v>35000</v>
      </c>
      <c r="N46" s="225">
        <v>35000</v>
      </c>
      <c r="O46" s="225">
        <v>35000</v>
      </c>
      <c r="P46" s="226">
        <v>35000</v>
      </c>
    </row>
    <row r="47" spans="3:16" x14ac:dyDescent="0.2">
      <c r="C47" s="35"/>
      <c r="D47" s="35" t="s">
        <v>140</v>
      </c>
      <c r="E47" s="72" t="s">
        <v>117</v>
      </c>
      <c r="F47" s="88"/>
      <c r="G47" s="227">
        <v>8.0000000000000002E-3</v>
      </c>
      <c r="H47" s="223">
        <v>8.0000000000000002E-3</v>
      </c>
      <c r="I47" s="223">
        <v>8.0000000000000002E-3</v>
      </c>
      <c r="J47" s="223">
        <v>8.0000000000000002E-3</v>
      </c>
      <c r="K47" s="223">
        <v>8.0000000000000002E-3</v>
      </c>
      <c r="L47" s="223">
        <v>8.0000000000000002E-3</v>
      </c>
      <c r="M47" s="223">
        <v>8.0000000000000002E-3</v>
      </c>
      <c r="N47" s="223">
        <v>8.0000000000000002E-3</v>
      </c>
      <c r="O47" s="223">
        <v>8.0000000000000002E-3</v>
      </c>
      <c r="P47" s="224">
        <v>8.0000000000000002E-3</v>
      </c>
    </row>
    <row r="48" spans="3:16" x14ac:dyDescent="0.2">
      <c r="C48" s="35"/>
      <c r="D48" s="35" t="s">
        <v>141</v>
      </c>
      <c r="E48" s="72" t="s">
        <v>118</v>
      </c>
      <c r="F48" s="88"/>
      <c r="G48" s="227">
        <v>0.35</v>
      </c>
      <c r="H48" s="223">
        <v>0.35</v>
      </c>
      <c r="I48" s="223">
        <v>0.35</v>
      </c>
      <c r="J48" s="223">
        <v>0.35</v>
      </c>
      <c r="K48" s="223">
        <v>0.35</v>
      </c>
      <c r="L48" s="223">
        <v>0.35</v>
      </c>
      <c r="M48" s="223">
        <v>0.35</v>
      </c>
      <c r="N48" s="223">
        <v>0.35</v>
      </c>
      <c r="O48" s="223">
        <v>0.35</v>
      </c>
      <c r="P48" s="224">
        <v>0.35</v>
      </c>
    </row>
    <row r="49" spans="3:16" x14ac:dyDescent="0.2">
      <c r="C49" s="35"/>
      <c r="D49" s="35" t="s">
        <v>44</v>
      </c>
      <c r="E49" s="72" t="s">
        <v>120</v>
      </c>
      <c r="F49" s="88"/>
      <c r="G49" s="227">
        <v>0.25</v>
      </c>
      <c r="H49" s="223">
        <v>0.25</v>
      </c>
      <c r="I49" s="223">
        <v>0.25</v>
      </c>
      <c r="J49" s="223">
        <v>0.25</v>
      </c>
      <c r="K49" s="223">
        <v>0.25</v>
      </c>
      <c r="L49" s="223">
        <v>0.25</v>
      </c>
      <c r="M49" s="223">
        <v>0.25</v>
      </c>
      <c r="N49" s="223">
        <v>0.25</v>
      </c>
      <c r="O49" s="223">
        <v>0.25</v>
      </c>
      <c r="P49" s="224">
        <v>0.25</v>
      </c>
    </row>
    <row r="50" spans="3:16" x14ac:dyDescent="0.2">
      <c r="C50" s="35"/>
      <c r="D50" s="35"/>
      <c r="E50" s="72"/>
      <c r="F50" s="88"/>
      <c r="G50" s="81"/>
      <c r="H50" s="82"/>
      <c r="I50" s="82"/>
      <c r="J50" s="82"/>
      <c r="K50" s="82"/>
      <c r="L50" s="82"/>
      <c r="M50" s="82"/>
      <c r="N50" s="82"/>
      <c r="O50" s="82"/>
      <c r="P50" s="83"/>
    </row>
    <row r="51" spans="3:16" x14ac:dyDescent="0.2">
      <c r="C51" s="34" t="s">
        <v>104</v>
      </c>
      <c r="D51" s="35"/>
      <c r="E51" s="72"/>
      <c r="F51" s="88"/>
      <c r="G51" s="81"/>
      <c r="H51" s="82"/>
      <c r="I51" s="82"/>
      <c r="J51" s="82"/>
      <c r="K51" s="82"/>
      <c r="L51" s="82"/>
      <c r="M51" s="82"/>
      <c r="N51" s="82"/>
      <c r="O51" s="82"/>
      <c r="P51" s="83"/>
    </row>
    <row r="52" spans="3:16" x14ac:dyDescent="0.2">
      <c r="C52" s="35"/>
      <c r="D52" s="35" t="s">
        <v>105</v>
      </c>
      <c r="E52" s="72" t="s">
        <v>121</v>
      </c>
      <c r="F52" s="88"/>
      <c r="G52" s="228">
        <v>40</v>
      </c>
      <c r="H52" s="225">
        <v>40</v>
      </c>
      <c r="I52" s="225">
        <v>40</v>
      </c>
      <c r="J52" s="225">
        <v>40</v>
      </c>
      <c r="K52" s="225">
        <v>40</v>
      </c>
      <c r="L52" s="225">
        <v>35</v>
      </c>
      <c r="M52" s="225">
        <v>35</v>
      </c>
      <c r="N52" s="225">
        <v>35</v>
      </c>
      <c r="O52" s="225">
        <v>35</v>
      </c>
      <c r="P52" s="226">
        <v>35</v>
      </c>
    </row>
    <row r="53" spans="3:16" x14ac:dyDescent="0.2">
      <c r="C53" s="35"/>
      <c r="D53" s="35" t="s">
        <v>106</v>
      </c>
      <c r="E53" s="72" t="s">
        <v>121</v>
      </c>
      <c r="F53" s="88"/>
      <c r="G53" s="228">
        <v>65</v>
      </c>
      <c r="H53" s="225">
        <v>65</v>
      </c>
      <c r="I53" s="225">
        <v>65</v>
      </c>
      <c r="J53" s="225">
        <v>70</v>
      </c>
      <c r="K53" s="225">
        <v>70</v>
      </c>
      <c r="L53" s="225">
        <v>70</v>
      </c>
      <c r="M53" s="225">
        <v>75</v>
      </c>
      <c r="N53" s="225">
        <v>75</v>
      </c>
      <c r="O53" s="225">
        <v>80</v>
      </c>
      <c r="P53" s="226">
        <v>80</v>
      </c>
    </row>
    <row r="54" spans="3:16" x14ac:dyDescent="0.2">
      <c r="C54" s="35"/>
      <c r="D54" s="35" t="s">
        <v>232</v>
      </c>
      <c r="E54" s="72" t="s">
        <v>233</v>
      </c>
      <c r="F54" s="88"/>
      <c r="G54" s="228">
        <v>13500</v>
      </c>
      <c r="H54" s="225"/>
      <c r="I54" s="225"/>
      <c r="J54" s="225"/>
      <c r="K54" s="225"/>
      <c r="L54" s="225"/>
      <c r="M54" s="225"/>
      <c r="N54" s="225"/>
      <c r="O54" s="225"/>
      <c r="P54" s="226"/>
    </row>
    <row r="55" spans="3:16" x14ac:dyDescent="0.2">
      <c r="C55" s="35"/>
      <c r="D55" s="35" t="s">
        <v>107</v>
      </c>
      <c r="E55" s="72" t="s">
        <v>121</v>
      </c>
      <c r="F55" s="88"/>
      <c r="G55" s="228">
        <v>50</v>
      </c>
      <c r="H55" s="225">
        <v>50</v>
      </c>
      <c r="I55" s="225">
        <v>50</v>
      </c>
      <c r="J55" s="225">
        <v>50</v>
      </c>
      <c r="K55" s="225">
        <v>50</v>
      </c>
      <c r="L55" s="225">
        <v>45</v>
      </c>
      <c r="M55" s="225">
        <v>45</v>
      </c>
      <c r="N55" s="225">
        <v>45</v>
      </c>
      <c r="O55" s="225">
        <v>45</v>
      </c>
      <c r="P55" s="226">
        <v>45</v>
      </c>
    </row>
    <row r="56" spans="3:16" x14ac:dyDescent="0.2">
      <c r="C56" s="35"/>
      <c r="D56" s="35" t="s">
        <v>108</v>
      </c>
      <c r="E56" s="72" t="s">
        <v>117</v>
      </c>
      <c r="F56" s="88"/>
      <c r="G56" s="227">
        <v>4.4999999999999998E-2</v>
      </c>
      <c r="H56" s="223">
        <v>4.4999999999999998E-2</v>
      </c>
      <c r="I56" s="223">
        <v>4.4999999999999998E-2</v>
      </c>
      <c r="J56" s="223">
        <v>4.4999999999999998E-2</v>
      </c>
      <c r="K56" s="223">
        <v>4.4999999999999998E-2</v>
      </c>
      <c r="L56" s="223">
        <v>4.4999999999999998E-2</v>
      </c>
      <c r="M56" s="223">
        <v>4.4999999999999998E-2</v>
      </c>
      <c r="N56" s="223">
        <v>4.4999999999999998E-2</v>
      </c>
      <c r="O56" s="223">
        <v>4.4999999999999998E-2</v>
      </c>
      <c r="P56" s="224">
        <v>4.4999999999999998E-2</v>
      </c>
    </row>
    <row r="57" spans="3:16" x14ac:dyDescent="0.2">
      <c r="C57" s="35"/>
      <c r="D57" s="35" t="s">
        <v>109</v>
      </c>
      <c r="E57" s="72" t="str">
        <f>Profile!$F$10</f>
        <v>USD</v>
      </c>
      <c r="F57" s="88"/>
      <c r="G57" s="228">
        <v>8000</v>
      </c>
      <c r="H57" s="225">
        <v>10000</v>
      </c>
      <c r="I57" s="225">
        <v>12000</v>
      </c>
      <c r="J57" s="225">
        <v>12000</v>
      </c>
      <c r="K57" s="225">
        <v>15000</v>
      </c>
      <c r="L57" s="225">
        <v>18000</v>
      </c>
      <c r="M57" s="225">
        <v>15000</v>
      </c>
      <c r="N57" s="225">
        <v>12000</v>
      </c>
      <c r="O57" s="225">
        <v>10000</v>
      </c>
      <c r="P57" s="226">
        <v>8000</v>
      </c>
    </row>
    <row r="58" spans="3:16" x14ac:dyDescent="0.2">
      <c r="C58" s="35"/>
      <c r="D58" s="35"/>
      <c r="E58" s="72"/>
      <c r="F58" s="88"/>
      <c r="G58" s="81"/>
      <c r="H58" s="82"/>
      <c r="I58" s="82"/>
      <c r="J58" s="82"/>
      <c r="K58" s="82"/>
      <c r="L58" s="82"/>
      <c r="M58" s="82"/>
      <c r="N58" s="82"/>
      <c r="O58" s="82"/>
      <c r="P58" s="83"/>
    </row>
    <row r="59" spans="3:16" x14ac:dyDescent="0.2">
      <c r="C59" s="34" t="s">
        <v>110</v>
      </c>
      <c r="D59" s="35"/>
      <c r="E59" s="72"/>
      <c r="F59" s="88"/>
      <c r="G59" s="81"/>
      <c r="H59" s="82"/>
      <c r="I59" s="82"/>
      <c r="J59" s="82"/>
      <c r="K59" s="82"/>
      <c r="L59" s="82"/>
      <c r="M59" s="82"/>
      <c r="N59" s="82"/>
      <c r="O59" s="82"/>
      <c r="P59" s="83"/>
    </row>
    <row r="60" spans="3:16" x14ac:dyDescent="0.2">
      <c r="C60" s="35"/>
      <c r="D60" s="35" t="s">
        <v>111</v>
      </c>
      <c r="E60" s="72" t="s">
        <v>123</v>
      </c>
      <c r="F60" s="88"/>
      <c r="G60" s="227">
        <v>5.5E-2</v>
      </c>
      <c r="H60" s="223">
        <v>5.5E-2</v>
      </c>
      <c r="I60" s="223">
        <v>5.5E-2</v>
      </c>
      <c r="J60" s="223">
        <v>5.5E-2</v>
      </c>
      <c r="K60" s="223">
        <v>5.5E-2</v>
      </c>
      <c r="L60" s="223">
        <v>5.5E-2</v>
      </c>
      <c r="M60" s="223">
        <v>5.5E-2</v>
      </c>
      <c r="N60" s="223">
        <v>5.5E-2</v>
      </c>
      <c r="O60" s="223">
        <v>5.5E-2</v>
      </c>
      <c r="P60" s="224">
        <v>5.5E-2</v>
      </c>
    </row>
    <row r="61" spans="3:16" x14ac:dyDescent="0.2">
      <c r="C61" s="35"/>
      <c r="D61" s="35" t="s">
        <v>157</v>
      </c>
      <c r="E61" s="72" t="s">
        <v>234</v>
      </c>
      <c r="F61" s="88"/>
      <c r="G61" s="228">
        <v>60000</v>
      </c>
      <c r="H61" s="223"/>
      <c r="I61" s="223"/>
      <c r="J61" s="223"/>
      <c r="K61" s="223"/>
      <c r="L61" s="223"/>
      <c r="M61" s="223"/>
      <c r="N61" s="223"/>
      <c r="O61" s="223"/>
      <c r="P61" s="224"/>
    </row>
    <row r="62" spans="3:16" x14ac:dyDescent="0.2">
      <c r="C62" s="35"/>
      <c r="D62" s="35" t="s">
        <v>160</v>
      </c>
      <c r="E62" s="72" t="s">
        <v>9</v>
      </c>
      <c r="F62" s="88"/>
      <c r="G62" s="228">
        <v>110000</v>
      </c>
      <c r="H62" s="225">
        <v>110000</v>
      </c>
      <c r="I62" s="225">
        <v>110000</v>
      </c>
      <c r="J62" s="225">
        <v>110000</v>
      </c>
      <c r="K62" s="225">
        <v>110000</v>
      </c>
      <c r="L62" s="225">
        <v>110000</v>
      </c>
      <c r="M62" s="225">
        <v>110000</v>
      </c>
      <c r="N62" s="225">
        <v>110000</v>
      </c>
      <c r="O62" s="225">
        <v>110000</v>
      </c>
      <c r="P62" s="226">
        <v>110000</v>
      </c>
    </row>
    <row r="63" spans="3:16" x14ac:dyDescent="0.2">
      <c r="C63" s="35"/>
      <c r="D63" s="35" t="s">
        <v>112</v>
      </c>
      <c r="E63" s="72" t="str">
        <f>Profile!$F$10</f>
        <v>USD</v>
      </c>
      <c r="F63" s="88"/>
      <c r="G63" s="228">
        <v>-5000</v>
      </c>
      <c r="H63" s="225">
        <v>-5000</v>
      </c>
      <c r="I63" s="225">
        <v>-5000</v>
      </c>
      <c r="J63" s="225">
        <v>-5000</v>
      </c>
      <c r="K63" s="225">
        <v>-5000</v>
      </c>
      <c r="L63" s="225">
        <v>-5000</v>
      </c>
      <c r="M63" s="225">
        <v>-5000</v>
      </c>
      <c r="N63" s="225">
        <v>-5000</v>
      </c>
      <c r="O63" s="225">
        <v>-5000</v>
      </c>
      <c r="P63" s="226">
        <v>-5000</v>
      </c>
    </row>
    <row r="64" spans="3:16" x14ac:dyDescent="0.2">
      <c r="C64" s="35"/>
      <c r="D64" s="35" t="s">
        <v>113</v>
      </c>
      <c r="E64" s="72" t="str">
        <f>Profile!$F$10</f>
        <v>USD</v>
      </c>
      <c r="F64" s="88"/>
      <c r="G64" s="228"/>
      <c r="H64" s="225">
        <v>0</v>
      </c>
      <c r="I64" s="225"/>
      <c r="J64" s="225"/>
      <c r="K64" s="225"/>
      <c r="L64" s="225"/>
      <c r="M64" s="225"/>
      <c r="N64" s="225"/>
      <c r="O64" s="225"/>
      <c r="P64" s="226"/>
    </row>
    <row r="65" spans="3:16" x14ac:dyDescent="0.2">
      <c r="C65" s="35"/>
      <c r="D65" s="35" t="s">
        <v>235</v>
      </c>
      <c r="E65" s="72" t="s">
        <v>236</v>
      </c>
      <c r="F65" s="88"/>
      <c r="G65" s="227">
        <v>0.15</v>
      </c>
      <c r="H65" s="223">
        <v>0.15</v>
      </c>
      <c r="I65" s="223">
        <v>0.15</v>
      </c>
      <c r="J65" s="223">
        <v>0.15</v>
      </c>
      <c r="K65" s="223">
        <v>0.15</v>
      </c>
      <c r="L65" s="223">
        <v>0.15</v>
      </c>
      <c r="M65" s="223">
        <v>0.15</v>
      </c>
      <c r="N65" s="223">
        <v>0.15</v>
      </c>
      <c r="O65" s="223">
        <v>0.15</v>
      </c>
      <c r="P65" s="224">
        <v>0.15</v>
      </c>
    </row>
    <row r="66" spans="3:16" ht="5" customHeight="1" x14ac:dyDescent="0.2">
      <c r="C66" s="173"/>
      <c r="D66" s="173"/>
      <c r="E66" s="173"/>
      <c r="F66" s="9"/>
    </row>
    <row r="67" spans="3:16" x14ac:dyDescent="0.2">
      <c r="C67" s="39" t="s">
        <v>126</v>
      </c>
      <c r="D67" s="41"/>
      <c r="E67" s="41"/>
      <c r="F67" s="11"/>
    </row>
    <row r="68" spans="3:16" x14ac:dyDescent="0.2">
      <c r="C68" s="34" t="s">
        <v>95</v>
      </c>
      <c r="D68" s="35"/>
      <c r="E68" s="35"/>
      <c r="F68" s="88"/>
      <c r="G68" s="81"/>
      <c r="H68" s="82"/>
      <c r="I68" s="82"/>
      <c r="J68" s="82"/>
      <c r="K68" s="82"/>
      <c r="L68" s="82"/>
      <c r="M68" s="82"/>
      <c r="N68" s="82"/>
      <c r="O68" s="82"/>
      <c r="P68" s="83"/>
    </row>
    <row r="69" spans="3:16" x14ac:dyDescent="0.2">
      <c r="C69" s="35"/>
      <c r="D69" s="35" t="s">
        <v>96</v>
      </c>
      <c r="E69" s="72" t="s">
        <v>114</v>
      </c>
      <c r="F69" s="88"/>
      <c r="G69" s="105"/>
      <c r="H69" s="223">
        <v>0.08</v>
      </c>
      <c r="I69" s="223">
        <v>7.0000000000000007E-2</v>
      </c>
      <c r="J69" s="223">
        <v>0.06</v>
      </c>
      <c r="K69" s="223">
        <v>0.05</v>
      </c>
      <c r="L69" s="223">
        <v>0.05</v>
      </c>
      <c r="M69" s="223">
        <v>0.04</v>
      </c>
      <c r="N69" s="223">
        <v>0.04</v>
      </c>
      <c r="O69" s="223">
        <v>0.03</v>
      </c>
      <c r="P69" s="224">
        <v>0.03</v>
      </c>
    </row>
    <row r="70" spans="3:16" x14ac:dyDescent="0.2">
      <c r="C70" s="35"/>
      <c r="D70" s="35" t="s">
        <v>97</v>
      </c>
      <c r="E70" s="72" t="s">
        <v>115</v>
      </c>
      <c r="F70" s="88"/>
      <c r="G70" s="105"/>
      <c r="H70" s="223">
        <v>0.18</v>
      </c>
      <c r="I70" s="223">
        <v>0.18</v>
      </c>
      <c r="J70" s="223">
        <v>0.17</v>
      </c>
      <c r="K70" s="223">
        <v>0.17</v>
      </c>
      <c r="L70" s="223">
        <v>0.17</v>
      </c>
      <c r="M70" s="223">
        <v>0.16</v>
      </c>
      <c r="N70" s="223">
        <v>0.16</v>
      </c>
      <c r="O70" s="223">
        <v>0.16</v>
      </c>
      <c r="P70" s="224">
        <v>0.15</v>
      </c>
    </row>
    <row r="71" spans="3:16" x14ac:dyDescent="0.2">
      <c r="C71" s="35"/>
      <c r="D71" s="35" t="s">
        <v>98</v>
      </c>
      <c r="E71" s="72" t="s">
        <v>116</v>
      </c>
      <c r="F71" s="88"/>
      <c r="G71" s="105"/>
      <c r="H71" s="223">
        <v>0.4</v>
      </c>
      <c r="I71" s="223">
        <v>0.38</v>
      </c>
      <c r="J71" s="223">
        <v>0.37</v>
      </c>
      <c r="K71" s="223">
        <v>0.36</v>
      </c>
      <c r="L71" s="223">
        <v>0.35</v>
      </c>
      <c r="M71" s="223">
        <v>0.35</v>
      </c>
      <c r="N71" s="223">
        <v>0.34</v>
      </c>
      <c r="O71" s="223">
        <v>0.34</v>
      </c>
      <c r="P71" s="224">
        <v>0.33</v>
      </c>
    </row>
    <row r="72" spans="3:16" x14ac:dyDescent="0.2">
      <c r="C72" s="35"/>
      <c r="D72" s="35" t="s">
        <v>99</v>
      </c>
      <c r="E72" s="72" t="s">
        <v>117</v>
      </c>
      <c r="F72" s="88"/>
      <c r="G72" s="227">
        <v>0.17</v>
      </c>
      <c r="H72" s="223">
        <v>0.17</v>
      </c>
      <c r="I72" s="223">
        <v>0.17</v>
      </c>
      <c r="J72" s="223">
        <v>0.17</v>
      </c>
      <c r="K72" s="223">
        <v>0.17</v>
      </c>
      <c r="L72" s="223">
        <v>0.17</v>
      </c>
      <c r="M72" s="223">
        <v>0.17</v>
      </c>
      <c r="N72" s="223">
        <v>0.17</v>
      </c>
      <c r="O72" s="223">
        <v>0.17</v>
      </c>
      <c r="P72" s="224">
        <v>0.17</v>
      </c>
    </row>
    <row r="73" spans="3:16" x14ac:dyDescent="0.2">
      <c r="C73" s="35"/>
      <c r="D73" s="35" t="s">
        <v>102</v>
      </c>
      <c r="E73" s="72" t="s">
        <v>117</v>
      </c>
      <c r="F73" s="88"/>
      <c r="G73" s="227">
        <v>0.12</v>
      </c>
      <c r="H73" s="223">
        <v>0.11</v>
      </c>
      <c r="I73" s="223">
        <v>0.1</v>
      </c>
      <c r="J73" s="223">
        <v>0.1</v>
      </c>
      <c r="K73" s="223">
        <v>0.09</v>
      </c>
      <c r="L73" s="223">
        <v>0.09</v>
      </c>
      <c r="M73" s="223">
        <v>0.08</v>
      </c>
      <c r="N73" s="223">
        <v>0.08</v>
      </c>
      <c r="O73" s="223">
        <v>0.08</v>
      </c>
      <c r="P73" s="224">
        <v>7.0000000000000007E-2</v>
      </c>
    </row>
    <row r="74" spans="3:16" x14ac:dyDescent="0.2">
      <c r="C74" s="35"/>
      <c r="D74" s="35" t="s">
        <v>103</v>
      </c>
      <c r="E74" s="72" t="str">
        <f>Profile!$F$10</f>
        <v>USD</v>
      </c>
      <c r="F74" s="88"/>
      <c r="G74" s="228">
        <v>50000</v>
      </c>
      <c r="H74" s="225">
        <v>50000</v>
      </c>
      <c r="I74" s="225">
        <v>50000</v>
      </c>
      <c r="J74" s="225">
        <v>50000</v>
      </c>
      <c r="K74" s="225">
        <v>50000</v>
      </c>
      <c r="L74" s="225">
        <v>50000</v>
      </c>
      <c r="M74" s="225">
        <v>50000</v>
      </c>
      <c r="N74" s="225">
        <v>50000</v>
      </c>
      <c r="O74" s="225">
        <v>50000</v>
      </c>
      <c r="P74" s="226">
        <v>50000</v>
      </c>
    </row>
    <row r="75" spans="3:16" x14ac:dyDescent="0.2">
      <c r="C75" s="35"/>
      <c r="D75" s="35" t="s">
        <v>119</v>
      </c>
      <c r="E75" s="72" t="s">
        <v>117</v>
      </c>
      <c r="F75" s="88"/>
      <c r="G75" s="227">
        <v>0.04</v>
      </c>
      <c r="H75" s="223">
        <v>0.04</v>
      </c>
      <c r="I75" s="223">
        <v>3.5000000000000003E-2</v>
      </c>
      <c r="J75" s="223">
        <v>3.5000000000000003E-2</v>
      </c>
      <c r="K75" s="223">
        <v>3.5000000000000003E-2</v>
      </c>
      <c r="L75" s="223">
        <v>0.03</v>
      </c>
      <c r="M75" s="223">
        <v>0.03</v>
      </c>
      <c r="N75" s="223">
        <v>0.03</v>
      </c>
      <c r="O75" s="223">
        <v>0.03</v>
      </c>
      <c r="P75" s="224">
        <v>2.5000000000000001E-2</v>
      </c>
    </row>
    <row r="76" spans="3:16" x14ac:dyDescent="0.2">
      <c r="C76" s="35"/>
      <c r="D76" s="35" t="s">
        <v>100</v>
      </c>
      <c r="E76" s="72" t="str">
        <f>Profile!$F$10</f>
        <v>USD</v>
      </c>
      <c r="F76" s="88"/>
      <c r="G76" s="228">
        <v>38000</v>
      </c>
      <c r="H76" s="225">
        <v>38000</v>
      </c>
      <c r="I76" s="225">
        <v>38000</v>
      </c>
      <c r="J76" s="225">
        <v>38000</v>
      </c>
      <c r="K76" s="225">
        <v>38000</v>
      </c>
      <c r="L76" s="225">
        <v>38000</v>
      </c>
      <c r="M76" s="225">
        <v>38000</v>
      </c>
      <c r="N76" s="225">
        <v>38000</v>
      </c>
      <c r="O76" s="225">
        <v>38000</v>
      </c>
      <c r="P76" s="226">
        <v>38000</v>
      </c>
    </row>
    <row r="77" spans="3:16" x14ac:dyDescent="0.2">
      <c r="C77" s="35"/>
      <c r="D77" s="35" t="s">
        <v>140</v>
      </c>
      <c r="E77" s="72" t="s">
        <v>117</v>
      </c>
      <c r="F77" s="88"/>
      <c r="G77" s="227">
        <v>8.0000000000000002E-3</v>
      </c>
      <c r="H77" s="223">
        <v>8.0000000000000002E-3</v>
      </c>
      <c r="I77" s="223">
        <v>8.0000000000000002E-3</v>
      </c>
      <c r="J77" s="223">
        <v>8.0000000000000002E-3</v>
      </c>
      <c r="K77" s="223">
        <v>8.0000000000000002E-3</v>
      </c>
      <c r="L77" s="223">
        <v>8.0000000000000002E-3</v>
      </c>
      <c r="M77" s="223">
        <v>8.0000000000000002E-3</v>
      </c>
      <c r="N77" s="223">
        <v>8.0000000000000002E-3</v>
      </c>
      <c r="O77" s="223">
        <v>8.0000000000000002E-3</v>
      </c>
      <c r="P77" s="224">
        <v>8.0000000000000002E-3</v>
      </c>
    </row>
    <row r="78" spans="3:16" x14ac:dyDescent="0.2">
      <c r="C78" s="35"/>
      <c r="D78" s="35" t="s">
        <v>141</v>
      </c>
      <c r="E78" s="72" t="s">
        <v>118</v>
      </c>
      <c r="F78" s="88"/>
      <c r="G78" s="227">
        <v>0.35</v>
      </c>
      <c r="H78" s="223">
        <v>0.35</v>
      </c>
      <c r="I78" s="223">
        <v>0.35</v>
      </c>
      <c r="J78" s="223">
        <v>0.35</v>
      </c>
      <c r="K78" s="223">
        <v>0.35</v>
      </c>
      <c r="L78" s="223">
        <v>0.35</v>
      </c>
      <c r="M78" s="223">
        <v>0.35</v>
      </c>
      <c r="N78" s="223">
        <v>0.35</v>
      </c>
      <c r="O78" s="223">
        <v>0.35</v>
      </c>
      <c r="P78" s="224">
        <v>0.35</v>
      </c>
    </row>
    <row r="79" spans="3:16" x14ac:dyDescent="0.2">
      <c r="C79" s="35"/>
      <c r="D79" s="35" t="s">
        <v>44</v>
      </c>
      <c r="E79" s="72" t="s">
        <v>120</v>
      </c>
      <c r="F79" s="88"/>
      <c r="G79" s="227">
        <v>0.25</v>
      </c>
      <c r="H79" s="223">
        <v>0.25</v>
      </c>
      <c r="I79" s="223">
        <v>0.25</v>
      </c>
      <c r="J79" s="223">
        <v>0.25</v>
      </c>
      <c r="K79" s="223">
        <v>0.25</v>
      </c>
      <c r="L79" s="223">
        <v>0.25</v>
      </c>
      <c r="M79" s="223">
        <v>0.25</v>
      </c>
      <c r="N79" s="223">
        <v>0.25</v>
      </c>
      <c r="O79" s="223">
        <v>0.25</v>
      </c>
      <c r="P79" s="224">
        <v>0.25</v>
      </c>
    </row>
    <row r="80" spans="3:16" x14ac:dyDescent="0.2">
      <c r="C80" s="35"/>
      <c r="D80" s="35"/>
      <c r="E80" s="72"/>
      <c r="F80" s="88"/>
      <c r="G80" s="81"/>
      <c r="H80" s="82"/>
      <c r="I80" s="82"/>
      <c r="J80" s="82"/>
      <c r="K80" s="82"/>
      <c r="L80" s="82"/>
      <c r="M80" s="82"/>
      <c r="N80" s="82"/>
      <c r="O80" s="82"/>
      <c r="P80" s="83"/>
    </row>
    <row r="81" spans="3:16" x14ac:dyDescent="0.2">
      <c r="C81" s="34" t="s">
        <v>104</v>
      </c>
      <c r="D81" s="35"/>
      <c r="E81" s="72"/>
      <c r="F81" s="88"/>
      <c r="G81" s="81"/>
      <c r="H81" s="82"/>
      <c r="I81" s="82"/>
      <c r="J81" s="82"/>
      <c r="K81" s="82"/>
      <c r="L81" s="82"/>
      <c r="M81" s="82"/>
      <c r="N81" s="82"/>
      <c r="O81" s="82"/>
      <c r="P81" s="83"/>
    </row>
    <row r="82" spans="3:16" x14ac:dyDescent="0.2">
      <c r="C82" s="35"/>
      <c r="D82" s="35" t="s">
        <v>105</v>
      </c>
      <c r="E82" s="72" t="s">
        <v>121</v>
      </c>
      <c r="F82" s="88"/>
      <c r="G82" s="228">
        <v>40</v>
      </c>
      <c r="H82" s="225">
        <v>40</v>
      </c>
      <c r="I82" s="225">
        <v>40</v>
      </c>
      <c r="J82" s="225">
        <v>40</v>
      </c>
      <c r="K82" s="225">
        <v>40</v>
      </c>
      <c r="L82" s="225">
        <v>35</v>
      </c>
      <c r="M82" s="225">
        <v>35</v>
      </c>
      <c r="N82" s="225">
        <v>35</v>
      </c>
      <c r="O82" s="225">
        <v>35</v>
      </c>
      <c r="P82" s="226">
        <v>35</v>
      </c>
    </row>
    <row r="83" spans="3:16" x14ac:dyDescent="0.2">
      <c r="C83" s="35"/>
      <c r="D83" s="35" t="s">
        <v>106</v>
      </c>
      <c r="E83" s="72" t="s">
        <v>121</v>
      </c>
      <c r="F83" s="88"/>
      <c r="G83" s="228">
        <v>65</v>
      </c>
      <c r="H83" s="225">
        <v>65</v>
      </c>
      <c r="I83" s="225">
        <v>65</v>
      </c>
      <c r="J83" s="225">
        <v>70</v>
      </c>
      <c r="K83" s="225">
        <v>70</v>
      </c>
      <c r="L83" s="225">
        <v>70</v>
      </c>
      <c r="M83" s="225">
        <v>75</v>
      </c>
      <c r="N83" s="225">
        <v>75</v>
      </c>
      <c r="O83" s="225">
        <v>80</v>
      </c>
      <c r="P83" s="226">
        <v>80</v>
      </c>
    </row>
    <row r="84" spans="3:16" x14ac:dyDescent="0.2">
      <c r="C84" s="35"/>
      <c r="D84" s="35" t="s">
        <v>232</v>
      </c>
      <c r="E84" s="72" t="s">
        <v>233</v>
      </c>
      <c r="F84" s="88"/>
      <c r="G84" s="228">
        <v>18000</v>
      </c>
      <c r="H84" s="225"/>
      <c r="I84" s="225"/>
      <c r="J84" s="225"/>
      <c r="K84" s="225"/>
      <c r="L84" s="225"/>
      <c r="M84" s="225"/>
      <c r="N84" s="225"/>
      <c r="O84" s="225"/>
      <c r="P84" s="226"/>
    </row>
    <row r="85" spans="3:16" x14ac:dyDescent="0.2">
      <c r="C85" s="35"/>
      <c r="D85" s="35" t="s">
        <v>107</v>
      </c>
      <c r="E85" s="72" t="s">
        <v>121</v>
      </c>
      <c r="F85" s="88"/>
      <c r="G85" s="228">
        <v>50</v>
      </c>
      <c r="H85" s="225">
        <v>50</v>
      </c>
      <c r="I85" s="225">
        <v>50</v>
      </c>
      <c r="J85" s="225">
        <v>50</v>
      </c>
      <c r="K85" s="225">
        <v>50</v>
      </c>
      <c r="L85" s="225">
        <v>45</v>
      </c>
      <c r="M85" s="225">
        <v>45</v>
      </c>
      <c r="N85" s="225">
        <v>45</v>
      </c>
      <c r="O85" s="225">
        <v>45</v>
      </c>
      <c r="P85" s="226">
        <v>45</v>
      </c>
    </row>
    <row r="86" spans="3:16" x14ac:dyDescent="0.2">
      <c r="C86" s="35"/>
      <c r="D86" s="35" t="s">
        <v>108</v>
      </c>
      <c r="E86" s="72" t="s">
        <v>117</v>
      </c>
      <c r="F86" s="88"/>
      <c r="G86" s="227">
        <v>4.4999999999999998E-2</v>
      </c>
      <c r="H86" s="223">
        <v>4.4999999999999998E-2</v>
      </c>
      <c r="I86" s="223">
        <v>4.4999999999999998E-2</v>
      </c>
      <c r="J86" s="223">
        <v>4.4999999999999998E-2</v>
      </c>
      <c r="K86" s="223">
        <v>4.4999999999999998E-2</v>
      </c>
      <c r="L86" s="223">
        <v>4.4999999999999998E-2</v>
      </c>
      <c r="M86" s="223">
        <v>4.4999999999999998E-2</v>
      </c>
      <c r="N86" s="223">
        <v>4.4999999999999998E-2</v>
      </c>
      <c r="O86" s="223">
        <v>4.4999999999999998E-2</v>
      </c>
      <c r="P86" s="224">
        <v>4.4999999999999998E-2</v>
      </c>
    </row>
    <row r="87" spans="3:16" x14ac:dyDescent="0.2">
      <c r="C87" s="35"/>
      <c r="D87" s="35" t="s">
        <v>109</v>
      </c>
      <c r="E87" s="72" t="str">
        <f>Profile!$F$10</f>
        <v>USD</v>
      </c>
      <c r="F87" s="88"/>
      <c r="G87" s="228">
        <v>12000</v>
      </c>
      <c r="H87" s="225">
        <v>15000</v>
      </c>
      <c r="I87" s="225">
        <v>20000</v>
      </c>
      <c r="J87" s="225">
        <v>20000</v>
      </c>
      <c r="K87" s="225">
        <v>25000</v>
      </c>
      <c r="L87" s="225">
        <v>25000</v>
      </c>
      <c r="M87" s="225">
        <v>20000</v>
      </c>
      <c r="N87" s="225">
        <v>15000</v>
      </c>
      <c r="O87" s="225">
        <v>10000</v>
      </c>
      <c r="P87" s="226">
        <v>5000</v>
      </c>
    </row>
    <row r="88" spans="3:16" x14ac:dyDescent="0.2">
      <c r="C88" s="35"/>
      <c r="D88" s="35"/>
      <c r="E88" s="72"/>
      <c r="F88" s="88"/>
      <c r="G88" s="81"/>
      <c r="H88" s="82"/>
      <c r="I88" s="82"/>
      <c r="J88" s="82"/>
      <c r="K88" s="82"/>
      <c r="L88" s="82"/>
      <c r="M88" s="82"/>
      <c r="N88" s="82"/>
      <c r="O88" s="82"/>
      <c r="P88" s="83"/>
    </row>
    <row r="89" spans="3:16" x14ac:dyDescent="0.2">
      <c r="C89" s="34" t="s">
        <v>110</v>
      </c>
      <c r="D89" s="35"/>
      <c r="E89" s="72"/>
      <c r="F89" s="88"/>
      <c r="G89" s="81"/>
      <c r="H89" s="82"/>
      <c r="I89" s="82"/>
      <c r="J89" s="82"/>
      <c r="K89" s="82"/>
      <c r="L89" s="82"/>
      <c r="M89" s="82"/>
      <c r="N89" s="82"/>
      <c r="O89" s="82"/>
      <c r="P89" s="83"/>
    </row>
    <row r="90" spans="3:16" x14ac:dyDescent="0.2">
      <c r="C90" s="35"/>
      <c r="D90" s="35" t="s">
        <v>111</v>
      </c>
      <c r="E90" s="72" t="s">
        <v>123</v>
      </c>
      <c r="F90" s="88"/>
      <c r="G90" s="227">
        <v>5.5E-2</v>
      </c>
      <c r="H90" s="223">
        <v>5.5E-2</v>
      </c>
      <c r="I90" s="223">
        <v>5.5E-2</v>
      </c>
      <c r="J90" s="223">
        <v>5.5E-2</v>
      </c>
      <c r="K90" s="223">
        <v>5.5E-2</v>
      </c>
      <c r="L90" s="223">
        <v>5.5E-2</v>
      </c>
      <c r="M90" s="223">
        <v>5.5E-2</v>
      </c>
      <c r="N90" s="223">
        <v>5.5E-2</v>
      </c>
      <c r="O90" s="223">
        <v>5.5E-2</v>
      </c>
      <c r="P90" s="224">
        <v>5.5E-2</v>
      </c>
    </row>
    <row r="91" spans="3:16" x14ac:dyDescent="0.2">
      <c r="C91" s="35"/>
      <c r="D91" s="35" t="s">
        <v>157</v>
      </c>
      <c r="E91" s="72" t="s">
        <v>234</v>
      </c>
      <c r="F91" s="88"/>
      <c r="G91" s="228">
        <v>60000</v>
      </c>
      <c r="H91" s="223"/>
      <c r="I91" s="223"/>
      <c r="J91" s="223"/>
      <c r="K91" s="223"/>
      <c r="L91" s="223"/>
      <c r="M91" s="223"/>
      <c r="N91" s="223"/>
      <c r="O91" s="223"/>
      <c r="P91" s="224"/>
    </row>
    <row r="92" spans="3:16" x14ac:dyDescent="0.2">
      <c r="C92" s="35"/>
      <c r="D92" s="35" t="s">
        <v>160</v>
      </c>
      <c r="E92" s="72" t="s">
        <v>9</v>
      </c>
      <c r="F92" s="88"/>
      <c r="G92" s="228">
        <v>120000</v>
      </c>
      <c r="H92" s="225">
        <v>120000</v>
      </c>
      <c r="I92" s="225">
        <v>120000</v>
      </c>
      <c r="J92" s="225">
        <v>120000</v>
      </c>
      <c r="K92" s="225">
        <v>120000</v>
      </c>
      <c r="L92" s="225">
        <v>120000</v>
      </c>
      <c r="M92" s="225">
        <v>120000</v>
      </c>
      <c r="N92" s="225">
        <v>120000</v>
      </c>
      <c r="O92" s="225">
        <v>120000</v>
      </c>
      <c r="P92" s="226">
        <v>120000</v>
      </c>
    </row>
    <row r="93" spans="3:16" x14ac:dyDescent="0.2">
      <c r="C93" s="35"/>
      <c r="D93" s="35" t="s">
        <v>112</v>
      </c>
      <c r="E93" s="72" t="str">
        <f>Profile!$F$10</f>
        <v>USD</v>
      </c>
      <c r="F93" s="88"/>
      <c r="G93" s="228">
        <v>-5000</v>
      </c>
      <c r="H93" s="225">
        <v>-5000</v>
      </c>
      <c r="I93" s="225">
        <v>-5000</v>
      </c>
      <c r="J93" s="225">
        <v>-5000</v>
      </c>
      <c r="K93" s="225">
        <v>-5000</v>
      </c>
      <c r="L93" s="225">
        <v>-5000</v>
      </c>
      <c r="M93" s="225">
        <v>-5000</v>
      </c>
      <c r="N93" s="225">
        <v>-5000</v>
      </c>
      <c r="O93" s="225">
        <v>-5000</v>
      </c>
      <c r="P93" s="226">
        <v>-5000</v>
      </c>
    </row>
    <row r="94" spans="3:16" x14ac:dyDescent="0.2">
      <c r="C94" s="35"/>
      <c r="D94" s="35" t="s">
        <v>113</v>
      </c>
      <c r="E94" s="72" t="str">
        <f>Profile!$F$10</f>
        <v>USD</v>
      </c>
      <c r="F94" s="88"/>
      <c r="G94" s="228">
        <v>0</v>
      </c>
      <c r="H94" s="225"/>
      <c r="I94" s="225"/>
      <c r="J94" s="225"/>
      <c r="K94" s="225"/>
      <c r="L94" s="225"/>
      <c r="M94" s="225"/>
      <c r="N94" s="225"/>
      <c r="O94" s="225"/>
      <c r="P94" s="226"/>
    </row>
    <row r="95" spans="3:16" x14ac:dyDescent="0.2">
      <c r="C95" s="35"/>
      <c r="D95" s="35" t="s">
        <v>235</v>
      </c>
      <c r="E95" s="72" t="s">
        <v>236</v>
      </c>
      <c r="F95" s="88"/>
      <c r="G95" s="227">
        <v>0.12</v>
      </c>
      <c r="H95" s="223">
        <v>0.12</v>
      </c>
      <c r="I95" s="223">
        <v>0.12</v>
      </c>
      <c r="J95" s="223">
        <v>0.12</v>
      </c>
      <c r="K95" s="223">
        <v>0.12</v>
      </c>
      <c r="L95" s="223">
        <v>0.12</v>
      </c>
      <c r="M95" s="223">
        <v>0.12</v>
      </c>
      <c r="N95" s="223">
        <v>0.12</v>
      </c>
      <c r="O95" s="223">
        <v>0.12</v>
      </c>
      <c r="P95" s="224">
        <v>0.12</v>
      </c>
    </row>
    <row r="96" spans="3:16" ht="5" customHeight="1" x14ac:dyDescent="0.2">
      <c r="C96" s="173"/>
      <c r="D96" s="173"/>
      <c r="E96" s="173"/>
      <c r="F96" s="9"/>
    </row>
    <row r="97" spans="3:16" x14ac:dyDescent="0.2">
      <c r="C97" s="39" t="s">
        <v>127</v>
      </c>
      <c r="D97" s="41"/>
      <c r="E97" s="41"/>
      <c r="F97" s="11"/>
    </row>
    <row r="98" spans="3:16" x14ac:dyDescent="0.2">
      <c r="C98" s="34" t="s">
        <v>95</v>
      </c>
      <c r="D98" s="35"/>
      <c r="E98" s="35"/>
      <c r="F98" s="88"/>
      <c r="G98" s="81"/>
      <c r="H98" s="82"/>
      <c r="I98" s="82"/>
      <c r="J98" s="82"/>
      <c r="K98" s="82"/>
      <c r="L98" s="82"/>
      <c r="M98" s="82"/>
      <c r="N98" s="82"/>
      <c r="O98" s="82"/>
      <c r="P98" s="83"/>
    </row>
    <row r="99" spans="3:16" x14ac:dyDescent="0.2">
      <c r="C99" s="35"/>
      <c r="D99" s="35" t="s">
        <v>96</v>
      </c>
      <c r="E99" s="72" t="s">
        <v>114</v>
      </c>
      <c r="F99" s="88"/>
      <c r="G99" s="105"/>
      <c r="H99" s="223">
        <v>0.02</v>
      </c>
      <c r="I99" s="223">
        <v>0.02</v>
      </c>
      <c r="J99" s="223">
        <v>0.01</v>
      </c>
      <c r="K99" s="223">
        <v>0.01</v>
      </c>
      <c r="L99" s="223">
        <v>0.01</v>
      </c>
      <c r="M99" s="223">
        <v>0</v>
      </c>
      <c r="N99" s="223">
        <v>0</v>
      </c>
      <c r="O99" s="223">
        <v>0</v>
      </c>
      <c r="P99" s="224">
        <v>-0.01</v>
      </c>
    </row>
    <row r="100" spans="3:16" x14ac:dyDescent="0.2">
      <c r="C100" s="35"/>
      <c r="D100" s="35" t="s">
        <v>97</v>
      </c>
      <c r="E100" s="72" t="s">
        <v>115</v>
      </c>
      <c r="F100" s="88"/>
      <c r="G100" s="105"/>
      <c r="H100" s="223">
        <v>0.3</v>
      </c>
      <c r="I100" s="223">
        <v>0.3</v>
      </c>
      <c r="J100" s="223">
        <v>0.32</v>
      </c>
      <c r="K100" s="223">
        <v>0.32</v>
      </c>
      <c r="L100" s="223">
        <v>0.33</v>
      </c>
      <c r="M100" s="223">
        <v>0.34</v>
      </c>
      <c r="N100" s="223">
        <v>0.34</v>
      </c>
      <c r="O100" s="223">
        <v>0.35</v>
      </c>
      <c r="P100" s="224">
        <v>0.36</v>
      </c>
    </row>
    <row r="101" spans="3:16" x14ac:dyDescent="0.2">
      <c r="C101" s="35"/>
      <c r="D101" s="35" t="s">
        <v>98</v>
      </c>
      <c r="E101" s="72" t="s">
        <v>116</v>
      </c>
      <c r="F101" s="88"/>
      <c r="G101" s="105"/>
      <c r="H101" s="223">
        <v>0.55000000000000004</v>
      </c>
      <c r="I101" s="223">
        <v>0.56000000000000005</v>
      </c>
      <c r="J101" s="223">
        <v>0.56999999999999995</v>
      </c>
      <c r="K101" s="223">
        <v>0.57999999999999996</v>
      </c>
      <c r="L101" s="223">
        <v>0.57999999999999996</v>
      </c>
      <c r="M101" s="223">
        <v>0.59</v>
      </c>
      <c r="N101" s="223">
        <v>0.6</v>
      </c>
      <c r="O101" s="223">
        <v>0.6</v>
      </c>
      <c r="P101" s="224">
        <v>0.6</v>
      </c>
    </row>
    <row r="102" spans="3:16" x14ac:dyDescent="0.2">
      <c r="C102" s="35"/>
      <c r="D102" s="35" t="s">
        <v>99</v>
      </c>
      <c r="E102" s="72" t="s">
        <v>117</v>
      </c>
      <c r="F102" s="88"/>
      <c r="G102" s="227">
        <v>0.22</v>
      </c>
      <c r="H102" s="223">
        <v>0.22</v>
      </c>
      <c r="I102" s="223">
        <v>0.22</v>
      </c>
      <c r="J102" s="223">
        <v>0.22</v>
      </c>
      <c r="K102" s="223">
        <v>0.22</v>
      </c>
      <c r="L102" s="223">
        <v>0.22</v>
      </c>
      <c r="M102" s="223">
        <v>0.22</v>
      </c>
      <c r="N102" s="223">
        <v>0.22</v>
      </c>
      <c r="O102" s="223">
        <v>0.22</v>
      </c>
      <c r="P102" s="224">
        <v>0.22</v>
      </c>
    </row>
    <row r="103" spans="3:16" x14ac:dyDescent="0.2">
      <c r="C103" s="35"/>
      <c r="D103" s="35" t="s">
        <v>102</v>
      </c>
      <c r="E103" s="72" t="s">
        <v>117</v>
      </c>
      <c r="F103" s="88"/>
      <c r="G103" s="227">
        <v>0.18</v>
      </c>
      <c r="H103" s="223">
        <v>0.18</v>
      </c>
      <c r="I103" s="223">
        <v>0.17</v>
      </c>
      <c r="J103" s="223">
        <v>0.17</v>
      </c>
      <c r="K103" s="223">
        <v>0.16</v>
      </c>
      <c r="L103" s="223">
        <v>0.16</v>
      </c>
      <c r="M103" s="223">
        <v>0.16</v>
      </c>
      <c r="N103" s="223">
        <v>0.15</v>
      </c>
      <c r="O103" s="223">
        <v>0.15</v>
      </c>
      <c r="P103" s="224">
        <v>0.14000000000000001</v>
      </c>
    </row>
    <row r="104" spans="3:16" x14ac:dyDescent="0.2">
      <c r="C104" s="35"/>
      <c r="D104" s="35" t="s">
        <v>103</v>
      </c>
      <c r="E104" s="72" t="str">
        <f>Profile!$F$10</f>
        <v>USD</v>
      </c>
      <c r="F104" s="88"/>
      <c r="G104" s="228">
        <v>40000</v>
      </c>
      <c r="H104" s="225">
        <v>40000</v>
      </c>
      <c r="I104" s="225">
        <v>40000</v>
      </c>
      <c r="J104" s="225">
        <v>40000</v>
      </c>
      <c r="K104" s="225">
        <v>40000</v>
      </c>
      <c r="L104" s="225">
        <v>40000</v>
      </c>
      <c r="M104" s="225">
        <v>40000</v>
      </c>
      <c r="N104" s="225">
        <v>40000</v>
      </c>
      <c r="O104" s="225">
        <v>40000</v>
      </c>
      <c r="P104" s="226">
        <v>40000</v>
      </c>
    </row>
    <row r="105" spans="3:16" x14ac:dyDescent="0.2">
      <c r="C105" s="35"/>
      <c r="D105" s="35" t="s">
        <v>119</v>
      </c>
      <c r="E105" s="72" t="s">
        <v>117</v>
      </c>
      <c r="F105" s="88"/>
      <c r="G105" s="227">
        <v>0.05</v>
      </c>
      <c r="H105" s="223">
        <v>0.05</v>
      </c>
      <c r="I105" s="223">
        <v>0.05</v>
      </c>
      <c r="J105" s="223">
        <v>4.4999999999999998E-2</v>
      </c>
      <c r="K105" s="223">
        <v>4.4999999999999998E-2</v>
      </c>
      <c r="L105" s="223">
        <v>0.04</v>
      </c>
      <c r="M105" s="223">
        <v>0.04</v>
      </c>
      <c r="N105" s="223">
        <v>0.04</v>
      </c>
      <c r="O105" s="223">
        <v>3.5000000000000003E-2</v>
      </c>
      <c r="P105" s="224">
        <v>3.5000000000000003E-2</v>
      </c>
    </row>
    <row r="106" spans="3:16" x14ac:dyDescent="0.2">
      <c r="C106" s="35"/>
      <c r="D106" s="35" t="s">
        <v>100</v>
      </c>
      <c r="E106" s="72" t="str">
        <f>Profile!$F$10</f>
        <v>USD</v>
      </c>
      <c r="F106" s="88"/>
      <c r="G106" s="228">
        <v>45000</v>
      </c>
      <c r="H106" s="225">
        <v>45000</v>
      </c>
      <c r="I106" s="225">
        <v>45000</v>
      </c>
      <c r="J106" s="225">
        <v>45000</v>
      </c>
      <c r="K106" s="225">
        <v>45000</v>
      </c>
      <c r="L106" s="225">
        <v>45000</v>
      </c>
      <c r="M106" s="225">
        <v>45000</v>
      </c>
      <c r="N106" s="225">
        <v>45000</v>
      </c>
      <c r="O106" s="225">
        <v>45000</v>
      </c>
      <c r="P106" s="226">
        <v>45000</v>
      </c>
    </row>
    <row r="107" spans="3:16" x14ac:dyDescent="0.2">
      <c r="C107" s="35"/>
      <c r="D107" s="35" t="s">
        <v>140</v>
      </c>
      <c r="E107" s="72" t="s">
        <v>117</v>
      </c>
      <c r="F107" s="88"/>
      <c r="G107" s="227">
        <v>1.2E-2</v>
      </c>
      <c r="H107" s="223">
        <v>1.2E-2</v>
      </c>
      <c r="I107" s="223">
        <v>1.2E-2</v>
      </c>
      <c r="J107" s="223">
        <v>1.2E-2</v>
      </c>
      <c r="K107" s="223">
        <v>1.2E-2</v>
      </c>
      <c r="L107" s="223">
        <v>1.2E-2</v>
      </c>
      <c r="M107" s="223">
        <v>1.2E-2</v>
      </c>
      <c r="N107" s="223">
        <v>1.2E-2</v>
      </c>
      <c r="O107" s="223">
        <v>1.2E-2</v>
      </c>
      <c r="P107" s="224">
        <v>1.2E-2</v>
      </c>
    </row>
    <row r="108" spans="3:16" x14ac:dyDescent="0.2">
      <c r="C108" s="35"/>
      <c r="D108" s="35" t="s">
        <v>141</v>
      </c>
      <c r="E108" s="72" t="s">
        <v>118</v>
      </c>
      <c r="F108" s="88"/>
      <c r="G108" s="227">
        <v>0.45</v>
      </c>
      <c r="H108" s="223">
        <v>0.45</v>
      </c>
      <c r="I108" s="223">
        <v>0.45</v>
      </c>
      <c r="J108" s="223">
        <v>0.45</v>
      </c>
      <c r="K108" s="223">
        <v>0.45</v>
      </c>
      <c r="L108" s="223">
        <v>0.45</v>
      </c>
      <c r="M108" s="223">
        <v>0.45</v>
      </c>
      <c r="N108" s="223">
        <v>0.45</v>
      </c>
      <c r="O108" s="223">
        <v>0.45</v>
      </c>
      <c r="P108" s="224">
        <v>0.45</v>
      </c>
    </row>
    <row r="109" spans="3:16" x14ac:dyDescent="0.2">
      <c r="C109" s="35"/>
      <c r="D109" s="35" t="s">
        <v>44</v>
      </c>
      <c r="E109" s="72" t="s">
        <v>120</v>
      </c>
      <c r="F109" s="88"/>
      <c r="G109" s="227">
        <v>0.31</v>
      </c>
      <c r="H109" s="223">
        <v>0.31</v>
      </c>
      <c r="I109" s="223">
        <v>0.31</v>
      </c>
      <c r="J109" s="223">
        <v>0.31</v>
      </c>
      <c r="K109" s="223">
        <v>0.31</v>
      </c>
      <c r="L109" s="223">
        <v>0.31</v>
      </c>
      <c r="M109" s="223">
        <v>0.31</v>
      </c>
      <c r="N109" s="223">
        <v>0.31</v>
      </c>
      <c r="O109" s="223">
        <v>0.31</v>
      </c>
      <c r="P109" s="224">
        <v>0.31</v>
      </c>
    </row>
    <row r="110" spans="3:16" x14ac:dyDescent="0.2">
      <c r="C110" s="35"/>
      <c r="D110" s="35"/>
      <c r="E110" s="72"/>
      <c r="F110" s="88"/>
      <c r="G110" s="81"/>
      <c r="H110" s="82"/>
      <c r="I110" s="82"/>
      <c r="J110" s="82"/>
      <c r="K110" s="82"/>
      <c r="L110" s="82"/>
      <c r="M110" s="82"/>
      <c r="N110" s="82"/>
      <c r="O110" s="82"/>
      <c r="P110" s="83"/>
    </row>
    <row r="111" spans="3:16" x14ac:dyDescent="0.2">
      <c r="C111" s="34" t="s">
        <v>104</v>
      </c>
      <c r="D111" s="35"/>
      <c r="E111" s="72"/>
      <c r="F111" s="88"/>
      <c r="G111" s="81"/>
      <c r="H111" s="82"/>
      <c r="I111" s="82"/>
      <c r="J111" s="82"/>
      <c r="K111" s="82"/>
      <c r="L111" s="82"/>
      <c r="M111" s="82"/>
      <c r="N111" s="82"/>
      <c r="O111" s="82"/>
      <c r="P111" s="83"/>
    </row>
    <row r="112" spans="3:16" x14ac:dyDescent="0.2">
      <c r="C112" s="35"/>
      <c r="D112" s="35" t="s">
        <v>105</v>
      </c>
      <c r="E112" s="72" t="s">
        <v>121</v>
      </c>
      <c r="F112" s="88"/>
      <c r="G112" s="228">
        <v>50</v>
      </c>
      <c r="H112" s="225">
        <v>50</v>
      </c>
      <c r="I112" s="225">
        <v>50</v>
      </c>
      <c r="J112" s="225">
        <v>50</v>
      </c>
      <c r="K112" s="225">
        <v>50</v>
      </c>
      <c r="L112" s="225">
        <v>55</v>
      </c>
      <c r="M112" s="225">
        <v>55</v>
      </c>
      <c r="N112" s="225">
        <v>55</v>
      </c>
      <c r="O112" s="225">
        <v>55</v>
      </c>
      <c r="P112" s="226">
        <v>55</v>
      </c>
    </row>
    <row r="113" spans="3:16" x14ac:dyDescent="0.2">
      <c r="C113" s="35"/>
      <c r="D113" s="35" t="s">
        <v>106</v>
      </c>
      <c r="E113" s="72" t="s">
        <v>121</v>
      </c>
      <c r="F113" s="88"/>
      <c r="G113" s="228">
        <v>80</v>
      </c>
      <c r="H113" s="225">
        <v>80</v>
      </c>
      <c r="I113" s="225">
        <v>85</v>
      </c>
      <c r="J113" s="225">
        <v>90</v>
      </c>
      <c r="K113" s="225">
        <v>90</v>
      </c>
      <c r="L113" s="225">
        <v>95</v>
      </c>
      <c r="M113" s="225">
        <v>100</v>
      </c>
      <c r="N113" s="225">
        <v>100</v>
      </c>
      <c r="O113" s="225">
        <v>105</v>
      </c>
      <c r="P113" s="226">
        <v>110</v>
      </c>
    </row>
    <row r="114" spans="3:16" x14ac:dyDescent="0.2">
      <c r="C114" s="35"/>
      <c r="D114" s="35" t="s">
        <v>232</v>
      </c>
      <c r="E114" s="72" t="s">
        <v>233</v>
      </c>
      <c r="F114" s="88"/>
      <c r="G114" s="228">
        <v>12000</v>
      </c>
      <c r="H114" s="225"/>
      <c r="I114" s="225"/>
      <c r="J114" s="225"/>
      <c r="K114" s="225"/>
      <c r="L114" s="225"/>
      <c r="M114" s="225"/>
      <c r="N114" s="225"/>
      <c r="O114" s="225"/>
      <c r="P114" s="226"/>
    </row>
    <row r="115" spans="3:16" x14ac:dyDescent="0.2">
      <c r="C115" s="35"/>
      <c r="D115" s="35" t="s">
        <v>107</v>
      </c>
      <c r="E115" s="72" t="s">
        <v>121</v>
      </c>
      <c r="F115" s="88"/>
      <c r="G115" s="228">
        <v>70</v>
      </c>
      <c r="H115" s="225">
        <v>70</v>
      </c>
      <c r="I115" s="225">
        <v>70</v>
      </c>
      <c r="J115" s="225">
        <v>70</v>
      </c>
      <c r="K115" s="225">
        <v>70</v>
      </c>
      <c r="L115" s="225">
        <v>75</v>
      </c>
      <c r="M115" s="225">
        <v>75</v>
      </c>
      <c r="N115" s="225">
        <v>75</v>
      </c>
      <c r="O115" s="225">
        <v>75</v>
      </c>
      <c r="P115" s="226">
        <v>75</v>
      </c>
    </row>
    <row r="116" spans="3:16" x14ac:dyDescent="0.2">
      <c r="C116" s="35"/>
      <c r="D116" s="35" t="s">
        <v>108</v>
      </c>
      <c r="E116" s="72" t="s">
        <v>117</v>
      </c>
      <c r="F116" s="88"/>
      <c r="G116" s="227">
        <v>0.06</v>
      </c>
      <c r="H116" s="223">
        <v>0.06</v>
      </c>
      <c r="I116" s="223">
        <v>0.06</v>
      </c>
      <c r="J116" s="223">
        <v>0.06</v>
      </c>
      <c r="K116" s="223">
        <v>0.06</v>
      </c>
      <c r="L116" s="223">
        <v>0.06</v>
      </c>
      <c r="M116" s="223">
        <v>0.06</v>
      </c>
      <c r="N116" s="223">
        <v>0.06</v>
      </c>
      <c r="O116" s="223">
        <v>0.06</v>
      </c>
      <c r="P116" s="224">
        <v>0.06</v>
      </c>
    </row>
    <row r="117" spans="3:16" x14ac:dyDescent="0.2">
      <c r="C117" s="35"/>
      <c r="D117" s="35" t="s">
        <v>109</v>
      </c>
      <c r="E117" s="72" t="str">
        <f>Profile!$F$10</f>
        <v>USD</v>
      </c>
      <c r="F117" s="88"/>
      <c r="G117" s="228">
        <v>8000</v>
      </c>
      <c r="H117" s="225">
        <v>8000</v>
      </c>
      <c r="I117" s="225">
        <v>10000</v>
      </c>
      <c r="J117" s="225">
        <v>10000</v>
      </c>
      <c r="K117" s="225">
        <v>12000</v>
      </c>
      <c r="L117" s="225">
        <v>10000</v>
      </c>
      <c r="M117" s="225">
        <v>8000</v>
      </c>
      <c r="N117" s="225">
        <v>5000</v>
      </c>
      <c r="O117" s="225">
        <v>4000</v>
      </c>
      <c r="P117" s="226">
        <v>2000</v>
      </c>
    </row>
    <row r="118" spans="3:16" x14ac:dyDescent="0.2">
      <c r="C118" s="35"/>
      <c r="D118" s="35"/>
      <c r="E118" s="72"/>
      <c r="F118" s="88"/>
      <c r="G118" s="81"/>
      <c r="H118" s="82"/>
      <c r="I118" s="82"/>
      <c r="J118" s="82"/>
      <c r="K118" s="82"/>
      <c r="L118" s="82"/>
      <c r="M118" s="82"/>
      <c r="N118" s="82"/>
      <c r="O118" s="82"/>
      <c r="P118" s="83"/>
    </row>
    <row r="119" spans="3:16" x14ac:dyDescent="0.2">
      <c r="C119" s="34" t="s">
        <v>110</v>
      </c>
      <c r="D119" s="35"/>
      <c r="E119" s="72"/>
      <c r="F119" s="88"/>
      <c r="G119" s="81"/>
      <c r="H119" s="82"/>
      <c r="I119" s="82"/>
      <c r="J119" s="82"/>
      <c r="K119" s="82"/>
      <c r="L119" s="82"/>
      <c r="M119" s="82"/>
      <c r="N119" s="82"/>
      <c r="O119" s="82"/>
      <c r="P119" s="83"/>
    </row>
    <row r="120" spans="3:16" x14ac:dyDescent="0.2">
      <c r="C120" s="35"/>
      <c r="D120" s="35" t="s">
        <v>111</v>
      </c>
      <c r="E120" s="72" t="s">
        <v>123</v>
      </c>
      <c r="F120" s="88"/>
      <c r="G120" s="227">
        <v>7.4999999999999997E-2</v>
      </c>
      <c r="H120" s="223">
        <v>7.4999999999999997E-2</v>
      </c>
      <c r="I120" s="223">
        <v>7.4999999999999997E-2</v>
      </c>
      <c r="J120" s="223">
        <v>7.4999999999999997E-2</v>
      </c>
      <c r="K120" s="223">
        <v>7.4999999999999997E-2</v>
      </c>
      <c r="L120" s="223">
        <v>7.4999999999999997E-2</v>
      </c>
      <c r="M120" s="223">
        <v>7.4999999999999997E-2</v>
      </c>
      <c r="N120" s="223">
        <v>7.4999999999999997E-2</v>
      </c>
      <c r="O120" s="223">
        <v>7.4999999999999997E-2</v>
      </c>
      <c r="P120" s="224">
        <v>7.4999999999999997E-2</v>
      </c>
    </row>
    <row r="121" spans="3:16" x14ac:dyDescent="0.2">
      <c r="C121" s="35"/>
      <c r="D121" s="35" t="s">
        <v>157</v>
      </c>
      <c r="E121" s="72" t="s">
        <v>234</v>
      </c>
      <c r="F121" s="88"/>
      <c r="G121" s="228">
        <v>65000</v>
      </c>
      <c r="H121" s="223"/>
      <c r="I121" s="223"/>
      <c r="J121" s="223"/>
      <c r="K121" s="223"/>
      <c r="L121" s="223"/>
      <c r="M121" s="223"/>
      <c r="N121" s="223"/>
      <c r="O121" s="223"/>
      <c r="P121" s="224"/>
    </row>
    <row r="122" spans="3:16" x14ac:dyDescent="0.2">
      <c r="C122" s="35"/>
      <c r="D122" s="35" t="s">
        <v>160</v>
      </c>
      <c r="E122" s="72" t="s">
        <v>9</v>
      </c>
      <c r="F122" s="88"/>
      <c r="G122" s="228">
        <v>90000</v>
      </c>
      <c r="H122" s="225">
        <v>90000</v>
      </c>
      <c r="I122" s="225">
        <v>90000</v>
      </c>
      <c r="J122" s="225">
        <v>90000</v>
      </c>
      <c r="K122" s="225">
        <v>90000</v>
      </c>
      <c r="L122" s="225">
        <v>90000</v>
      </c>
      <c r="M122" s="225">
        <v>90000</v>
      </c>
      <c r="N122" s="225">
        <v>90000</v>
      </c>
      <c r="O122" s="225">
        <v>9000</v>
      </c>
      <c r="P122" s="226">
        <v>90000</v>
      </c>
    </row>
    <row r="123" spans="3:16" x14ac:dyDescent="0.2">
      <c r="C123" s="35"/>
      <c r="D123" s="35" t="s">
        <v>112</v>
      </c>
      <c r="E123" s="72" t="str">
        <f>Profile!$F$10</f>
        <v>USD</v>
      </c>
      <c r="F123" s="88"/>
      <c r="G123" s="228">
        <v>-3000</v>
      </c>
      <c r="H123" s="225">
        <v>-3000</v>
      </c>
      <c r="I123" s="225">
        <v>-3000</v>
      </c>
      <c r="J123" s="225">
        <v>-3000</v>
      </c>
      <c r="K123" s="225">
        <v>-3000</v>
      </c>
      <c r="L123" s="225">
        <v>-3000</v>
      </c>
      <c r="M123" s="225">
        <v>-3000</v>
      </c>
      <c r="N123" s="225">
        <v>-3000</v>
      </c>
      <c r="O123" s="225">
        <v>-3000</v>
      </c>
      <c r="P123" s="226">
        <v>-3000</v>
      </c>
    </row>
    <row r="124" spans="3:16" x14ac:dyDescent="0.2">
      <c r="C124" s="35"/>
      <c r="D124" s="35" t="s">
        <v>113</v>
      </c>
      <c r="E124" s="72" t="str">
        <f>Profile!$F$10</f>
        <v>USD</v>
      </c>
      <c r="F124" s="88"/>
      <c r="G124" s="228">
        <v>0</v>
      </c>
      <c r="H124" s="225">
        <v>0</v>
      </c>
      <c r="I124" s="225">
        <v>0</v>
      </c>
      <c r="J124" s="225">
        <v>0</v>
      </c>
      <c r="K124" s="225">
        <v>0</v>
      </c>
      <c r="L124" s="225">
        <v>0</v>
      </c>
      <c r="M124" s="225">
        <v>0</v>
      </c>
      <c r="N124" s="225">
        <v>0</v>
      </c>
      <c r="O124" s="225">
        <v>0</v>
      </c>
      <c r="P124" s="226">
        <v>0</v>
      </c>
    </row>
    <row r="125" spans="3:16" x14ac:dyDescent="0.2">
      <c r="C125" s="35"/>
      <c r="D125" s="35" t="s">
        <v>235</v>
      </c>
      <c r="E125" s="72" t="s">
        <v>236</v>
      </c>
      <c r="F125" s="88"/>
      <c r="G125" s="227">
        <v>0.05</v>
      </c>
      <c r="H125" s="223">
        <v>0.05</v>
      </c>
      <c r="I125" s="223">
        <v>0.05</v>
      </c>
      <c r="J125" s="223">
        <v>0.05</v>
      </c>
      <c r="K125" s="223">
        <v>0.05</v>
      </c>
      <c r="L125" s="223">
        <v>0.05</v>
      </c>
      <c r="M125" s="223">
        <v>0.05</v>
      </c>
      <c r="N125" s="223">
        <v>0.05</v>
      </c>
      <c r="O125" s="223">
        <v>0.05</v>
      </c>
      <c r="P125" s="224">
        <v>0.05</v>
      </c>
    </row>
  </sheetData>
  <mergeCells count="2">
    <mergeCell ref="G6:P6"/>
    <mergeCell ref="B2:P2"/>
  </mergeCells>
  <dataValidations count="1">
    <dataValidation type="list" showInputMessage="1" showErrorMessage="1" sqref="E6" xr:uid="{BF5D5AF1-C64E-4F36-87F2-E26C12B68B5F}">
      <formula1>Scenarios</formula1>
    </dataValidation>
  </dataValidations>
  <pageMargins left="0.7" right="0.7" top="0.75" bottom="0.75" header="0.3" footer="0.3"/>
  <pageSetup paperSize="9" scale="43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6EE0D946-1A1D-4E00-BA23-50C761D2D94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Scenario!G35:P35</xm:f>
              <xm:sqref>F35</xm:sqref>
            </x14:sparkline>
          </x14:sparklines>
        </x14:sparklineGroup>
        <x14:sparklineGroup type="column" displayEmptyCellsAs="gap" negative="1" xr2:uid="{4A7CE020-F799-4105-8EB2-31140A92331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Scenario!G34:P34</xm:f>
              <xm:sqref>F34</xm:sqref>
            </x14:sparkline>
          </x14:sparklines>
        </x14:sparklineGroup>
        <x14:sparklineGroup type="column" displayEmptyCellsAs="gap" negative="1" xr2:uid="{B7066191-6030-45F1-8826-B3A9ACC4943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Scenario!G33:P33</xm:f>
              <xm:sqref>F33</xm:sqref>
            </x14:sparkline>
          </x14:sparklines>
        </x14:sparklineGroup>
        <x14:sparklineGroup type="column" displayEmptyCellsAs="gap" negative="1" xr2:uid="{8E99BA1D-85CD-4B23-B491-81F91C91E46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Scenario!G32:P32</xm:f>
              <xm:sqref>F32</xm:sqref>
            </x14:sparkline>
          </x14:sparklines>
        </x14:sparklineGroup>
        <x14:sparklineGroup type="column" displayEmptyCellsAs="gap" negative="1" xr2:uid="{A55006DA-A9EF-4C83-8DB7-200AF412AA2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Scenario!G31:P31</xm:f>
              <xm:sqref>F31</xm:sqref>
            </x14:sparkline>
          </x14:sparklines>
        </x14:sparklineGroup>
        <x14:sparklineGroup type="column" displayEmptyCellsAs="gap" negative="1" xr2:uid="{06754A9F-F372-47A0-89DD-B83BDE5490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Scenario!G30:P30</xm:f>
              <xm:sqref>F30</xm:sqref>
            </x14:sparkline>
          </x14:sparklines>
        </x14:sparklineGroup>
        <x14:sparklineGroup type="column" displayEmptyCellsAs="gap" negative="1" xr2:uid="{E1D62418-6DD9-4174-8758-4026D2CD520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Scenario!G27:P27</xm:f>
              <xm:sqref>F27</xm:sqref>
            </x14:sparkline>
          </x14:sparklines>
        </x14:sparklineGroup>
        <x14:sparklineGroup type="column" displayEmptyCellsAs="gap" negative="1" xr2:uid="{B49040A3-60FE-49D4-90AD-A8E37BDA9F5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Scenario!G26:P26</xm:f>
              <xm:sqref>F26</xm:sqref>
            </x14:sparkline>
          </x14:sparklines>
        </x14:sparklineGroup>
        <x14:sparklineGroup type="column" displayEmptyCellsAs="gap" negative="1" xr2:uid="{BA8E7122-22A1-4498-BE46-C03963D1D04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Scenario!G25:P25</xm:f>
              <xm:sqref>F25</xm:sqref>
            </x14:sparkline>
          </x14:sparklines>
        </x14:sparklineGroup>
        <x14:sparklineGroup type="column" displayEmptyCellsAs="gap" negative="1" xr2:uid="{DA8B876F-1E4D-4DBA-9F5E-2912E32B1A3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Scenario!G24:P24</xm:f>
              <xm:sqref>F24</xm:sqref>
            </x14:sparkline>
          </x14:sparklines>
        </x14:sparklineGroup>
        <x14:sparklineGroup type="column" displayEmptyCellsAs="gap" negative="1" xr2:uid="{B9316C7C-8550-47B4-84BA-3269D60312C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Scenario!G23:P23</xm:f>
              <xm:sqref>F23</xm:sqref>
            </x14:sparkline>
          </x14:sparklines>
        </x14:sparklineGroup>
        <x14:sparklineGroup type="column" displayEmptyCellsAs="gap" negative="1" xr2:uid="{7320904A-CCEB-45E5-AC45-D7B257ABF07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Scenario!G22:P22</xm:f>
              <xm:sqref>F22</xm:sqref>
            </x14:sparkline>
          </x14:sparklines>
        </x14:sparklineGroup>
        <x14:sparklineGroup type="column" displayEmptyCellsAs="gap" negative="1" xr2:uid="{0D143C0E-E4EF-4078-AE56-748A096313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Scenario!G19:P19</xm:f>
              <xm:sqref>F19</xm:sqref>
            </x14:sparkline>
          </x14:sparklines>
        </x14:sparklineGroup>
        <x14:sparklineGroup type="column" displayEmptyCellsAs="gap" negative="1" xr2:uid="{882D9CFE-3244-4AF2-9C4F-7AC4509B594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Scenario!G18:P18</xm:f>
              <xm:sqref>F18</xm:sqref>
            </x14:sparkline>
          </x14:sparklines>
        </x14:sparklineGroup>
        <x14:sparklineGroup type="column" displayEmptyCellsAs="gap" negative="1" xr2:uid="{96322D72-8739-4EEF-A439-C96629A7B38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Scenario!G17:P17</xm:f>
              <xm:sqref>F17</xm:sqref>
            </x14:sparkline>
          </x14:sparklines>
        </x14:sparklineGroup>
        <x14:sparklineGroup type="column" displayEmptyCellsAs="gap" negative="1" xr2:uid="{92EAED78-E39E-4B6E-A7BA-21CE915684B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Scenario!G16:P16</xm:f>
              <xm:sqref>F16</xm:sqref>
            </x14:sparkline>
          </x14:sparklines>
        </x14:sparklineGroup>
        <x14:sparklineGroup type="column" displayEmptyCellsAs="gap" negative="1" xr2:uid="{73789E26-7224-4725-B8E7-7FC35C5C7FD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Scenario!G15:P15</xm:f>
              <xm:sqref>F15</xm:sqref>
            </x14:sparkline>
          </x14:sparklines>
        </x14:sparklineGroup>
        <x14:sparklineGroup type="column" displayEmptyCellsAs="gap" negative="1" xr2:uid="{AD293541-44CF-4876-9735-25C2BC03A9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Scenario!G14:P14</xm:f>
              <xm:sqref>F14</xm:sqref>
            </x14:sparkline>
          </x14:sparklines>
        </x14:sparklineGroup>
        <x14:sparklineGroup type="column" displayEmptyCellsAs="gap" negative="1" xr2:uid="{B8F7F7DF-BFBB-4C75-81DE-E3CB34EB751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Scenario!G13:P13</xm:f>
              <xm:sqref>F13</xm:sqref>
            </x14:sparkline>
          </x14:sparklines>
        </x14:sparklineGroup>
        <x14:sparklineGroup type="column" displayEmptyCellsAs="gap" negative="1" xr2:uid="{84D8AADA-F7F2-4082-8F25-DA42C7BE659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Scenario!G12:P12</xm:f>
              <xm:sqref>F12</xm:sqref>
            </x14:sparkline>
          </x14:sparklines>
        </x14:sparklineGroup>
        <x14:sparklineGroup type="column" displayEmptyCellsAs="gap" negative="1" xr2:uid="{55DB9F47-CF63-4A61-A33E-6F8B2E5D8F7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Scenario!G11:P11</xm:f>
              <xm:sqref>F11</xm:sqref>
            </x14:sparkline>
          </x14:sparklines>
        </x14:sparklineGroup>
        <x14:sparklineGroup type="column" displayEmptyCellsAs="gap" negative="1" xr2:uid="{203370D4-EB83-4BE2-99DE-59C078E893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Scenario!G10:P10</xm:f>
              <xm:sqref>F10</xm:sqref>
            </x14:sparkline>
          </x14:sparklines>
        </x14:sparklineGroup>
        <x14:sparklineGroup type="column" displayEmptyCellsAs="gap" negative="1" xr2:uid="{33A70B04-06AD-48FA-A4FF-1DB7205E824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Scenario!G9:P9</xm:f>
              <xm:sqref>F9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A0C1-43B8-4CD7-9297-D53D3DB9EEA1}">
  <sheetPr>
    <tabColor theme="3" tint="0.499984740745262"/>
    <pageSetUpPr fitToPage="1"/>
  </sheetPr>
  <dimension ref="A1:U9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02" customWidth="1"/>
    <col min="2" max="3" width="1.6640625" style="44" customWidth="1"/>
    <col min="4" max="4" width="3.33203125" style="44" customWidth="1"/>
    <col min="5" max="5" width="33" style="44" customWidth="1"/>
    <col min="6" max="6" width="12.83203125" style="44" customWidth="1"/>
    <col min="7" max="20" width="12.6640625" style="44" customWidth="1"/>
    <col min="21" max="21" width="11.1640625" style="44" bestFit="1" customWidth="1"/>
    <col min="22" max="16384" width="9.1640625" style="44"/>
  </cols>
  <sheetData>
    <row r="1" spans="1:20" s="62" customFormat="1" x14ac:dyDescent="0.2">
      <c r="A1" s="116" t="s">
        <v>5</v>
      </c>
      <c r="C1" s="116"/>
    </row>
    <row r="2" spans="1:20" s="23" customFormat="1" ht="22" x14ac:dyDescent="0.3">
      <c r="A2" s="196" t="s">
        <v>308</v>
      </c>
      <c r="B2" s="309" t="str">
        <f>Profile!F6</f>
        <v>Person0811</v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</row>
    <row r="4" spans="1:20" ht="19" x14ac:dyDescent="0.25">
      <c r="C4" s="174" t="s">
        <v>301</v>
      </c>
      <c r="D4" s="35"/>
      <c r="E4" s="35"/>
      <c r="F4" s="35"/>
    </row>
    <row r="5" spans="1:20" x14ac:dyDescent="0.2">
      <c r="C5" s="176" t="str">
        <f>Formulas!A3</f>
        <v>Amounts in USD</v>
      </c>
      <c r="D5" s="180"/>
      <c r="E5" s="180"/>
      <c r="F5" s="35"/>
    </row>
    <row r="6" spans="1:20" s="46" customFormat="1" ht="16" thickBot="1" x14ac:dyDescent="0.25">
      <c r="A6" s="203"/>
      <c r="C6" s="29"/>
      <c r="D6" s="29"/>
      <c r="E6" s="10"/>
      <c r="F6" s="29"/>
      <c r="H6" s="312">
        <f>Profile!F8</f>
        <v>2025</v>
      </c>
      <c r="I6" s="312"/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187"/>
    </row>
    <row r="7" spans="1:20" x14ac:dyDescent="0.2">
      <c r="C7" s="42" t="s">
        <v>95</v>
      </c>
      <c r="D7" s="5"/>
      <c r="E7" s="5"/>
      <c r="F7" s="5"/>
      <c r="H7" s="50" t="str">
        <f>Formulas!C41</f>
        <v>January</v>
      </c>
      <c r="I7" s="50" t="str">
        <f>Formulas!D41</f>
        <v>February</v>
      </c>
      <c r="J7" s="50" t="str">
        <f>Formulas!E41</f>
        <v>March</v>
      </c>
      <c r="K7" s="50" t="str">
        <f>Formulas!F41</f>
        <v>April</v>
      </c>
      <c r="L7" s="50" t="str">
        <f>Formulas!G41</f>
        <v>May</v>
      </c>
      <c r="M7" s="50" t="str">
        <f>Formulas!H41</f>
        <v>June</v>
      </c>
      <c r="N7" s="50" t="str">
        <f>Formulas!I41</f>
        <v>July</v>
      </c>
      <c r="O7" s="50" t="str">
        <f>Formulas!J41</f>
        <v>August</v>
      </c>
      <c r="P7" s="50" t="str">
        <f>Formulas!K41</f>
        <v>September</v>
      </c>
      <c r="Q7" s="50" t="str">
        <f>Formulas!L41</f>
        <v>October</v>
      </c>
      <c r="R7" s="50" t="str">
        <f>Formulas!M41</f>
        <v>November</v>
      </c>
      <c r="S7" s="50" t="str">
        <f>Formulas!N41</f>
        <v>December</v>
      </c>
      <c r="T7" s="50" t="s">
        <v>72</v>
      </c>
    </row>
    <row r="8" spans="1:20" x14ac:dyDescent="0.2">
      <c r="C8" s="35"/>
      <c r="D8" s="35" t="s">
        <v>133</v>
      </c>
      <c r="E8" s="35"/>
      <c r="F8" s="35"/>
      <c r="G8" s="88"/>
      <c r="H8" s="229">
        <v>35000</v>
      </c>
      <c r="I8" s="229">
        <v>35000</v>
      </c>
      <c r="J8" s="229">
        <v>35000</v>
      </c>
      <c r="K8" s="229">
        <v>35000</v>
      </c>
      <c r="L8" s="229">
        <v>35000</v>
      </c>
      <c r="M8" s="229">
        <v>35000</v>
      </c>
      <c r="N8" s="229">
        <v>35000</v>
      </c>
      <c r="O8" s="229">
        <v>35000</v>
      </c>
      <c r="P8" s="229">
        <v>35000</v>
      </c>
      <c r="Q8" s="229">
        <v>35000</v>
      </c>
      <c r="R8" s="229">
        <v>35000</v>
      </c>
      <c r="S8" s="229">
        <v>35000</v>
      </c>
      <c r="T8" s="60">
        <f>SUM(H8:S8)</f>
        <v>420000</v>
      </c>
    </row>
    <row r="9" spans="1:20" x14ac:dyDescent="0.2">
      <c r="C9" s="35"/>
      <c r="D9" s="35" t="s">
        <v>134</v>
      </c>
      <c r="E9" s="35"/>
      <c r="F9" s="35"/>
      <c r="G9" s="88"/>
      <c r="H9" s="229">
        <v>10000</v>
      </c>
      <c r="I9" s="229">
        <v>10000</v>
      </c>
      <c r="J9" s="229">
        <v>10000</v>
      </c>
      <c r="K9" s="229">
        <v>10000</v>
      </c>
      <c r="L9" s="229">
        <v>10000</v>
      </c>
      <c r="M9" s="229">
        <v>10000</v>
      </c>
      <c r="N9" s="229">
        <v>10000</v>
      </c>
      <c r="O9" s="229">
        <v>10000</v>
      </c>
      <c r="P9" s="229">
        <v>10000</v>
      </c>
      <c r="Q9" s="229">
        <v>10000</v>
      </c>
      <c r="R9" s="229">
        <v>10000</v>
      </c>
      <c r="S9" s="229">
        <v>10000</v>
      </c>
      <c r="T9" s="60">
        <f>SUM(H9:S9)</f>
        <v>120000</v>
      </c>
    </row>
    <row r="10" spans="1:20" s="48" customFormat="1" x14ac:dyDescent="0.2">
      <c r="A10" s="204"/>
      <c r="C10" s="34" t="s">
        <v>74</v>
      </c>
      <c r="D10" s="34"/>
      <c r="E10" s="34"/>
      <c r="F10" s="34"/>
      <c r="G10" s="88"/>
      <c r="H10" s="64">
        <f>SUM(H8:H9)</f>
        <v>45000</v>
      </c>
      <c r="I10" s="64">
        <f t="shared" ref="I10:S10" si="0">SUM(I8:I9)</f>
        <v>45000</v>
      </c>
      <c r="J10" s="64">
        <f t="shared" si="0"/>
        <v>45000</v>
      </c>
      <c r="K10" s="64">
        <f t="shared" si="0"/>
        <v>45000</v>
      </c>
      <c r="L10" s="64">
        <f t="shared" si="0"/>
        <v>45000</v>
      </c>
      <c r="M10" s="64">
        <f t="shared" si="0"/>
        <v>45000</v>
      </c>
      <c r="N10" s="64">
        <f t="shared" si="0"/>
        <v>45000</v>
      </c>
      <c r="O10" s="64">
        <f t="shared" si="0"/>
        <v>45000</v>
      </c>
      <c r="P10" s="64">
        <f t="shared" si="0"/>
        <v>45000</v>
      </c>
      <c r="Q10" s="64">
        <f t="shared" si="0"/>
        <v>45000</v>
      </c>
      <c r="R10" s="64">
        <f t="shared" si="0"/>
        <v>45000</v>
      </c>
      <c r="S10" s="64">
        <f t="shared" si="0"/>
        <v>45000</v>
      </c>
      <c r="T10" s="66">
        <f>SUM(T8:T9)</f>
        <v>540000</v>
      </c>
    </row>
    <row r="11" spans="1:20" x14ac:dyDescent="0.2">
      <c r="C11" s="35"/>
      <c r="D11" s="35"/>
      <c r="E11" s="35"/>
      <c r="F11" s="35"/>
      <c r="G11" s="88"/>
      <c r="H11" s="64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60"/>
    </row>
    <row r="12" spans="1:20" x14ac:dyDescent="0.2">
      <c r="C12" s="35"/>
      <c r="D12" s="35" t="s">
        <v>97</v>
      </c>
      <c r="E12" s="35"/>
      <c r="F12" s="35"/>
      <c r="G12" s="88"/>
      <c r="H12" s="229">
        <v>7000</v>
      </c>
      <c r="I12" s="229">
        <v>7000</v>
      </c>
      <c r="J12" s="229">
        <v>7000</v>
      </c>
      <c r="K12" s="229">
        <v>7000</v>
      </c>
      <c r="L12" s="229">
        <v>7000</v>
      </c>
      <c r="M12" s="229">
        <v>7000</v>
      </c>
      <c r="N12" s="229">
        <v>7000</v>
      </c>
      <c r="O12" s="229">
        <v>7000</v>
      </c>
      <c r="P12" s="229">
        <v>7000</v>
      </c>
      <c r="Q12" s="229">
        <v>7000</v>
      </c>
      <c r="R12" s="229">
        <v>7000</v>
      </c>
      <c r="S12" s="229">
        <v>7000</v>
      </c>
      <c r="T12" s="60">
        <f>SUM(H12:S12)</f>
        <v>84000</v>
      </c>
    </row>
    <row r="13" spans="1:20" x14ac:dyDescent="0.2">
      <c r="C13" s="35"/>
      <c r="D13" s="35" t="s">
        <v>98</v>
      </c>
      <c r="E13" s="35"/>
      <c r="F13" s="35"/>
      <c r="G13" s="88"/>
      <c r="H13" s="229">
        <v>5000</v>
      </c>
      <c r="I13" s="229">
        <v>5000</v>
      </c>
      <c r="J13" s="229">
        <v>5000</v>
      </c>
      <c r="K13" s="229">
        <v>5000</v>
      </c>
      <c r="L13" s="229">
        <v>5000</v>
      </c>
      <c r="M13" s="229">
        <v>5000</v>
      </c>
      <c r="N13" s="229">
        <v>5000</v>
      </c>
      <c r="O13" s="229">
        <v>5000</v>
      </c>
      <c r="P13" s="229">
        <v>5000</v>
      </c>
      <c r="Q13" s="229">
        <v>5000</v>
      </c>
      <c r="R13" s="229">
        <v>5000</v>
      </c>
      <c r="S13" s="229">
        <v>5000</v>
      </c>
      <c r="T13" s="60">
        <f>SUM(H13:S13)</f>
        <v>60000</v>
      </c>
    </row>
    <row r="14" spans="1:20" x14ac:dyDescent="0.2">
      <c r="C14" s="35"/>
      <c r="D14" s="35" t="s">
        <v>99</v>
      </c>
      <c r="E14" s="35"/>
      <c r="F14" s="35"/>
      <c r="G14" s="88"/>
      <c r="H14" s="229">
        <v>9000</v>
      </c>
      <c r="I14" s="229">
        <v>9000</v>
      </c>
      <c r="J14" s="229">
        <v>9000</v>
      </c>
      <c r="K14" s="229">
        <v>9000</v>
      </c>
      <c r="L14" s="229">
        <v>9000</v>
      </c>
      <c r="M14" s="229">
        <v>9000</v>
      </c>
      <c r="N14" s="229">
        <v>9000</v>
      </c>
      <c r="O14" s="229">
        <v>9000</v>
      </c>
      <c r="P14" s="229">
        <v>9000</v>
      </c>
      <c r="Q14" s="229">
        <v>9000</v>
      </c>
      <c r="R14" s="229">
        <v>9000</v>
      </c>
      <c r="S14" s="229">
        <v>9000</v>
      </c>
      <c r="T14" s="60">
        <f>SUM(H14:S14)</f>
        <v>108000</v>
      </c>
    </row>
    <row r="15" spans="1:20" x14ac:dyDescent="0.2">
      <c r="C15" s="35"/>
      <c r="D15" s="35" t="s">
        <v>135</v>
      </c>
      <c r="E15" s="35"/>
      <c r="F15" s="35"/>
      <c r="G15" s="88"/>
      <c r="H15" s="229">
        <v>7000</v>
      </c>
      <c r="I15" s="229">
        <v>7000</v>
      </c>
      <c r="J15" s="229">
        <v>7000</v>
      </c>
      <c r="K15" s="229">
        <v>7000</v>
      </c>
      <c r="L15" s="229">
        <v>7000</v>
      </c>
      <c r="M15" s="229">
        <v>7000</v>
      </c>
      <c r="N15" s="229">
        <v>7000</v>
      </c>
      <c r="O15" s="229">
        <v>7000</v>
      </c>
      <c r="P15" s="229">
        <v>7000</v>
      </c>
      <c r="Q15" s="229">
        <v>7000</v>
      </c>
      <c r="R15" s="229">
        <v>7000</v>
      </c>
      <c r="S15" s="229">
        <v>7000</v>
      </c>
      <c r="T15" s="60">
        <f>SUM(H15:S15)</f>
        <v>84000</v>
      </c>
    </row>
    <row r="16" spans="1:20" s="48" customFormat="1" x14ac:dyDescent="0.2">
      <c r="A16" s="204"/>
      <c r="C16" s="34" t="s">
        <v>136</v>
      </c>
      <c r="D16" s="34"/>
      <c r="E16" s="34"/>
      <c r="F16" s="34"/>
      <c r="G16" s="88"/>
      <c r="H16" s="64">
        <f>SUM(H12:H15)</f>
        <v>28000</v>
      </c>
      <c r="I16" s="64">
        <f t="shared" ref="I16:S16" si="1">SUM(I12:I15)</f>
        <v>28000</v>
      </c>
      <c r="J16" s="64">
        <f t="shared" si="1"/>
        <v>28000</v>
      </c>
      <c r="K16" s="64">
        <f t="shared" si="1"/>
        <v>28000</v>
      </c>
      <c r="L16" s="64">
        <f t="shared" si="1"/>
        <v>28000</v>
      </c>
      <c r="M16" s="64">
        <f t="shared" si="1"/>
        <v>28000</v>
      </c>
      <c r="N16" s="64">
        <f t="shared" si="1"/>
        <v>28000</v>
      </c>
      <c r="O16" s="64">
        <f t="shared" si="1"/>
        <v>28000</v>
      </c>
      <c r="P16" s="64">
        <f t="shared" si="1"/>
        <v>28000</v>
      </c>
      <c r="Q16" s="64">
        <f t="shared" si="1"/>
        <v>28000</v>
      </c>
      <c r="R16" s="64">
        <f t="shared" si="1"/>
        <v>28000</v>
      </c>
      <c r="S16" s="64">
        <f t="shared" si="1"/>
        <v>28000</v>
      </c>
      <c r="T16" s="66">
        <f>SUM(T12:T15)</f>
        <v>336000</v>
      </c>
    </row>
    <row r="17" spans="1:20" s="48" customFormat="1" x14ac:dyDescent="0.2">
      <c r="A17" s="204"/>
      <c r="C17" s="34"/>
      <c r="D17" s="34"/>
      <c r="E17" s="34"/>
      <c r="F17" s="34"/>
      <c r="G17" s="91"/>
      <c r="H17" s="64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6"/>
    </row>
    <row r="18" spans="1:20" s="48" customFormat="1" x14ac:dyDescent="0.2">
      <c r="A18" s="204"/>
      <c r="C18" s="34" t="s">
        <v>11</v>
      </c>
      <c r="D18" s="34"/>
      <c r="E18" s="34"/>
      <c r="F18" s="34"/>
      <c r="G18" s="88"/>
      <c r="H18" s="64">
        <f>H10-H16</f>
        <v>17000</v>
      </c>
      <c r="I18" s="65">
        <f t="shared" ref="I18:S18" si="2">I10-I16</f>
        <v>17000</v>
      </c>
      <c r="J18" s="65">
        <f t="shared" si="2"/>
        <v>17000</v>
      </c>
      <c r="K18" s="65">
        <f t="shared" si="2"/>
        <v>17000</v>
      </c>
      <c r="L18" s="65">
        <f t="shared" si="2"/>
        <v>17000</v>
      </c>
      <c r="M18" s="65">
        <f t="shared" si="2"/>
        <v>17000</v>
      </c>
      <c r="N18" s="65">
        <f t="shared" si="2"/>
        <v>17000</v>
      </c>
      <c r="O18" s="65">
        <f t="shared" si="2"/>
        <v>17000</v>
      </c>
      <c r="P18" s="65">
        <f t="shared" si="2"/>
        <v>17000</v>
      </c>
      <c r="Q18" s="65">
        <f t="shared" si="2"/>
        <v>17000</v>
      </c>
      <c r="R18" s="65">
        <f t="shared" si="2"/>
        <v>17000</v>
      </c>
      <c r="S18" s="65">
        <f t="shared" si="2"/>
        <v>17000</v>
      </c>
      <c r="T18" s="66">
        <f>T10-T16</f>
        <v>204000</v>
      </c>
    </row>
    <row r="19" spans="1:20" s="84" customFormat="1" ht="13" x14ac:dyDescent="0.2">
      <c r="A19" s="207"/>
      <c r="C19" s="92" t="s">
        <v>139</v>
      </c>
      <c r="D19" s="92"/>
      <c r="E19" s="92"/>
      <c r="F19" s="92"/>
      <c r="G19" s="93"/>
      <c r="H19" s="167">
        <f t="shared" ref="H19:T19" si="3">IFERROR(H18/H10,0)</f>
        <v>0.37777777777777777</v>
      </c>
      <c r="I19" s="168">
        <f t="shared" si="3"/>
        <v>0.37777777777777777</v>
      </c>
      <c r="J19" s="168">
        <f t="shared" si="3"/>
        <v>0.37777777777777777</v>
      </c>
      <c r="K19" s="168">
        <f t="shared" si="3"/>
        <v>0.37777777777777777</v>
      </c>
      <c r="L19" s="168">
        <f t="shared" si="3"/>
        <v>0.37777777777777777</v>
      </c>
      <c r="M19" s="168">
        <f t="shared" si="3"/>
        <v>0.37777777777777777</v>
      </c>
      <c r="N19" s="168">
        <f t="shared" si="3"/>
        <v>0.37777777777777777</v>
      </c>
      <c r="O19" s="168">
        <f t="shared" si="3"/>
        <v>0.37777777777777777</v>
      </c>
      <c r="P19" s="168">
        <f t="shared" si="3"/>
        <v>0.37777777777777777</v>
      </c>
      <c r="Q19" s="168">
        <f t="shared" si="3"/>
        <v>0.37777777777777777</v>
      </c>
      <c r="R19" s="168">
        <f t="shared" si="3"/>
        <v>0.37777777777777777</v>
      </c>
      <c r="S19" s="168">
        <f t="shared" si="3"/>
        <v>0.37777777777777777</v>
      </c>
      <c r="T19" s="169">
        <f t="shared" si="3"/>
        <v>0.37777777777777777</v>
      </c>
    </row>
    <row r="20" spans="1:20" x14ac:dyDescent="0.2">
      <c r="C20" s="35"/>
      <c r="D20" s="35"/>
      <c r="E20" s="35"/>
      <c r="F20" s="35"/>
      <c r="G20" s="88"/>
      <c r="H20" s="106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60"/>
    </row>
    <row r="21" spans="1:20" x14ac:dyDescent="0.2">
      <c r="C21" s="35"/>
      <c r="D21" s="35" t="s">
        <v>103</v>
      </c>
      <c r="E21" s="35"/>
      <c r="F21" s="35"/>
      <c r="G21" s="88"/>
      <c r="H21" s="229">
        <v>4000</v>
      </c>
      <c r="I21" s="229">
        <v>4000</v>
      </c>
      <c r="J21" s="229">
        <v>4000</v>
      </c>
      <c r="K21" s="229">
        <v>4000</v>
      </c>
      <c r="L21" s="229">
        <v>4000</v>
      </c>
      <c r="M21" s="229">
        <v>4000</v>
      </c>
      <c r="N21" s="229">
        <v>4000</v>
      </c>
      <c r="O21" s="229">
        <v>4000</v>
      </c>
      <c r="P21" s="229">
        <v>4000</v>
      </c>
      <c r="Q21" s="229">
        <v>4000</v>
      </c>
      <c r="R21" s="229">
        <v>4000</v>
      </c>
      <c r="S21" s="229">
        <v>4000</v>
      </c>
      <c r="T21" s="60">
        <f>SUM(H21:S21)</f>
        <v>48000</v>
      </c>
    </row>
    <row r="22" spans="1:20" x14ac:dyDescent="0.2">
      <c r="C22" s="35"/>
      <c r="D22" s="35" t="s">
        <v>119</v>
      </c>
      <c r="E22" s="35"/>
      <c r="F22" s="35"/>
      <c r="G22" s="88"/>
      <c r="H22" s="229">
        <v>2500</v>
      </c>
      <c r="I22" s="229">
        <v>2500</v>
      </c>
      <c r="J22" s="229">
        <v>2500</v>
      </c>
      <c r="K22" s="229">
        <v>2500</v>
      </c>
      <c r="L22" s="229">
        <v>2500</v>
      </c>
      <c r="M22" s="229">
        <v>2500</v>
      </c>
      <c r="N22" s="229">
        <v>2500</v>
      </c>
      <c r="O22" s="229">
        <v>2500</v>
      </c>
      <c r="P22" s="229">
        <v>2500</v>
      </c>
      <c r="Q22" s="229">
        <v>2500</v>
      </c>
      <c r="R22" s="229">
        <v>2500</v>
      </c>
      <c r="S22" s="229">
        <v>2500</v>
      </c>
      <c r="T22" s="60">
        <f>SUM(H22:S22)</f>
        <v>30000</v>
      </c>
    </row>
    <row r="23" spans="1:20" x14ac:dyDescent="0.2">
      <c r="C23" s="35"/>
      <c r="D23" s="35" t="s">
        <v>100</v>
      </c>
      <c r="E23" s="35"/>
      <c r="F23" s="35"/>
      <c r="G23" s="88"/>
      <c r="H23" s="229">
        <v>3500</v>
      </c>
      <c r="I23" s="229">
        <v>3500</v>
      </c>
      <c r="J23" s="229">
        <v>3500</v>
      </c>
      <c r="K23" s="229">
        <v>3500</v>
      </c>
      <c r="L23" s="229">
        <v>3500</v>
      </c>
      <c r="M23" s="229">
        <v>3500</v>
      </c>
      <c r="N23" s="229">
        <v>3500</v>
      </c>
      <c r="O23" s="229">
        <v>3500</v>
      </c>
      <c r="P23" s="229">
        <v>3500</v>
      </c>
      <c r="Q23" s="229">
        <v>3500</v>
      </c>
      <c r="R23" s="229">
        <v>3500</v>
      </c>
      <c r="S23" s="229">
        <v>3500</v>
      </c>
      <c r="T23" s="60">
        <f>SUM(H23:S23)</f>
        <v>42000</v>
      </c>
    </row>
    <row r="24" spans="1:20" x14ac:dyDescent="0.2">
      <c r="C24" s="35"/>
      <c r="D24" s="35" t="s">
        <v>140</v>
      </c>
      <c r="E24" s="35"/>
      <c r="F24" s="35"/>
      <c r="G24" s="88"/>
      <c r="H24" s="229">
        <v>450</v>
      </c>
      <c r="I24" s="229">
        <v>450</v>
      </c>
      <c r="J24" s="229">
        <v>450</v>
      </c>
      <c r="K24" s="229">
        <v>450</v>
      </c>
      <c r="L24" s="229">
        <v>450</v>
      </c>
      <c r="M24" s="229">
        <v>450</v>
      </c>
      <c r="N24" s="229">
        <v>450</v>
      </c>
      <c r="O24" s="229">
        <v>450</v>
      </c>
      <c r="P24" s="229">
        <v>450</v>
      </c>
      <c r="Q24" s="229">
        <v>450</v>
      </c>
      <c r="R24" s="229">
        <v>450</v>
      </c>
      <c r="S24" s="229">
        <v>450</v>
      </c>
      <c r="T24" s="60">
        <f>SUM(H24:S24)</f>
        <v>5400</v>
      </c>
    </row>
    <row r="25" spans="1:20" x14ac:dyDescent="0.2">
      <c r="C25" s="35"/>
      <c r="D25" s="35" t="s">
        <v>141</v>
      </c>
      <c r="E25" s="35"/>
      <c r="F25" s="35"/>
      <c r="G25" s="88"/>
      <c r="H25" s="229">
        <v>800</v>
      </c>
      <c r="I25" s="229">
        <v>800</v>
      </c>
      <c r="J25" s="229">
        <v>800</v>
      </c>
      <c r="K25" s="229">
        <v>800</v>
      </c>
      <c r="L25" s="229">
        <v>800</v>
      </c>
      <c r="M25" s="229">
        <v>800</v>
      </c>
      <c r="N25" s="229">
        <v>800</v>
      </c>
      <c r="O25" s="229">
        <v>800</v>
      </c>
      <c r="P25" s="229">
        <v>800</v>
      </c>
      <c r="Q25" s="229">
        <v>800</v>
      </c>
      <c r="R25" s="229">
        <v>800</v>
      </c>
      <c r="S25" s="229">
        <v>800</v>
      </c>
      <c r="T25" s="60">
        <f>SUM(H25:S25)</f>
        <v>9600</v>
      </c>
    </row>
    <row r="26" spans="1:20" s="48" customFormat="1" x14ac:dyDescent="0.2">
      <c r="A26" s="204"/>
      <c r="C26" s="34" t="s">
        <v>142</v>
      </c>
      <c r="D26" s="34"/>
      <c r="E26" s="34"/>
      <c r="F26" s="34"/>
      <c r="G26" s="88"/>
      <c r="H26" s="64">
        <f>SUM(H21:H25)</f>
        <v>11250</v>
      </c>
      <c r="I26" s="64">
        <f t="shared" ref="I26:S26" si="4">SUM(I21:I25)</f>
        <v>11250</v>
      </c>
      <c r="J26" s="64">
        <f t="shared" si="4"/>
        <v>11250</v>
      </c>
      <c r="K26" s="64">
        <f t="shared" si="4"/>
        <v>11250</v>
      </c>
      <c r="L26" s="64">
        <f t="shared" si="4"/>
        <v>11250</v>
      </c>
      <c r="M26" s="64">
        <f t="shared" si="4"/>
        <v>11250</v>
      </c>
      <c r="N26" s="64">
        <f t="shared" si="4"/>
        <v>11250</v>
      </c>
      <c r="O26" s="64">
        <f t="shared" si="4"/>
        <v>11250</v>
      </c>
      <c r="P26" s="64">
        <f t="shared" si="4"/>
        <v>11250</v>
      </c>
      <c r="Q26" s="64">
        <f t="shared" si="4"/>
        <v>11250</v>
      </c>
      <c r="R26" s="64">
        <f t="shared" si="4"/>
        <v>11250</v>
      </c>
      <c r="S26" s="64">
        <f t="shared" si="4"/>
        <v>11250</v>
      </c>
      <c r="T26" s="66">
        <f>SUM(T21:T25)</f>
        <v>135000</v>
      </c>
    </row>
    <row r="27" spans="1:20" x14ac:dyDescent="0.2">
      <c r="C27" s="35"/>
      <c r="D27" s="35"/>
      <c r="E27" s="35"/>
      <c r="F27" s="35"/>
      <c r="G27" s="88"/>
      <c r="H27" s="64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60"/>
    </row>
    <row r="28" spans="1:20" s="48" customFormat="1" x14ac:dyDescent="0.2">
      <c r="A28" s="204"/>
      <c r="C28" s="34" t="s">
        <v>143</v>
      </c>
      <c r="D28" s="34"/>
      <c r="E28" s="34"/>
      <c r="F28" s="34"/>
      <c r="G28" s="88"/>
      <c r="H28" s="64">
        <f>H18-H26</f>
        <v>5750</v>
      </c>
      <c r="I28" s="64">
        <f t="shared" ref="I28:S28" si="5">I18-I26</f>
        <v>5750</v>
      </c>
      <c r="J28" s="64">
        <f t="shared" si="5"/>
        <v>5750</v>
      </c>
      <c r="K28" s="64">
        <f t="shared" si="5"/>
        <v>5750</v>
      </c>
      <c r="L28" s="64">
        <f t="shared" si="5"/>
        <v>5750</v>
      </c>
      <c r="M28" s="64">
        <f t="shared" si="5"/>
        <v>5750</v>
      </c>
      <c r="N28" s="64">
        <f t="shared" si="5"/>
        <v>5750</v>
      </c>
      <c r="O28" s="64">
        <f t="shared" si="5"/>
        <v>5750</v>
      </c>
      <c r="P28" s="64">
        <f t="shared" si="5"/>
        <v>5750</v>
      </c>
      <c r="Q28" s="64">
        <f t="shared" si="5"/>
        <v>5750</v>
      </c>
      <c r="R28" s="64">
        <f t="shared" si="5"/>
        <v>5750</v>
      </c>
      <c r="S28" s="64">
        <f t="shared" si="5"/>
        <v>5750</v>
      </c>
      <c r="T28" s="66">
        <f>T18-T26</f>
        <v>69000</v>
      </c>
    </row>
    <row r="29" spans="1:20" s="85" customFormat="1" ht="13" x14ac:dyDescent="0.2">
      <c r="A29" s="208"/>
      <c r="C29" s="94" t="s">
        <v>144</v>
      </c>
      <c r="D29" s="94"/>
      <c r="E29" s="94"/>
      <c r="F29" s="94"/>
      <c r="G29" s="95"/>
      <c r="H29" s="167">
        <f t="shared" ref="H29:T29" si="6">IFERROR(H28/H10,0)</f>
        <v>0.12777777777777777</v>
      </c>
      <c r="I29" s="168">
        <f t="shared" si="6"/>
        <v>0.12777777777777777</v>
      </c>
      <c r="J29" s="168">
        <f t="shared" si="6"/>
        <v>0.12777777777777777</v>
      </c>
      <c r="K29" s="168">
        <f t="shared" si="6"/>
        <v>0.12777777777777777</v>
      </c>
      <c r="L29" s="168">
        <f t="shared" si="6"/>
        <v>0.12777777777777777</v>
      </c>
      <c r="M29" s="168">
        <f t="shared" si="6"/>
        <v>0.12777777777777777</v>
      </c>
      <c r="N29" s="168">
        <f t="shared" si="6"/>
        <v>0.12777777777777777</v>
      </c>
      <c r="O29" s="168">
        <f t="shared" si="6"/>
        <v>0.12777777777777777</v>
      </c>
      <c r="P29" s="168">
        <f t="shared" si="6"/>
        <v>0.12777777777777777</v>
      </c>
      <c r="Q29" s="168">
        <f t="shared" si="6"/>
        <v>0.12777777777777777</v>
      </c>
      <c r="R29" s="168">
        <f t="shared" si="6"/>
        <v>0.12777777777777777</v>
      </c>
      <c r="S29" s="168">
        <f t="shared" si="6"/>
        <v>0.12777777777777777</v>
      </c>
      <c r="T29" s="169">
        <f t="shared" si="6"/>
        <v>0.12777777777777777</v>
      </c>
    </row>
    <row r="30" spans="1:20" x14ac:dyDescent="0.2">
      <c r="C30" s="35"/>
      <c r="D30" s="35"/>
      <c r="E30" s="35"/>
      <c r="F30" s="35"/>
      <c r="G30" s="88"/>
      <c r="H30" s="106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60"/>
    </row>
    <row r="31" spans="1:20" s="86" customFormat="1" x14ac:dyDescent="0.2">
      <c r="A31" s="209"/>
      <c r="C31" s="33"/>
      <c r="D31" s="33" t="s">
        <v>31</v>
      </c>
      <c r="E31" s="33"/>
      <c r="F31" s="33"/>
      <c r="G31" s="88"/>
      <c r="H31" s="229">
        <v>450</v>
      </c>
      <c r="I31" s="229">
        <v>450</v>
      </c>
      <c r="J31" s="229">
        <v>450</v>
      </c>
      <c r="K31" s="229">
        <v>450</v>
      </c>
      <c r="L31" s="229">
        <v>450</v>
      </c>
      <c r="M31" s="229">
        <v>450</v>
      </c>
      <c r="N31" s="229">
        <v>450</v>
      </c>
      <c r="O31" s="229">
        <v>450</v>
      </c>
      <c r="P31" s="229">
        <v>450</v>
      </c>
      <c r="Q31" s="229">
        <v>450</v>
      </c>
      <c r="R31" s="229">
        <v>450</v>
      </c>
      <c r="S31" s="229">
        <v>450</v>
      </c>
      <c r="T31" s="60">
        <f>SUM(H31:S31)</f>
        <v>5400</v>
      </c>
    </row>
    <row r="32" spans="1:20" s="48" customFormat="1" x14ac:dyDescent="0.2">
      <c r="A32" s="204"/>
      <c r="C32" s="34" t="s">
        <v>196</v>
      </c>
      <c r="D32" s="34"/>
      <c r="E32" s="34"/>
      <c r="F32" s="34"/>
      <c r="G32" s="88"/>
      <c r="H32" s="53">
        <f>H28-H31</f>
        <v>5300</v>
      </c>
      <c r="I32" s="53">
        <f t="shared" ref="I32:S32" si="7">I28-I31</f>
        <v>5300</v>
      </c>
      <c r="J32" s="53">
        <f t="shared" si="7"/>
        <v>5300</v>
      </c>
      <c r="K32" s="53">
        <f t="shared" si="7"/>
        <v>5300</v>
      </c>
      <c r="L32" s="53">
        <f t="shared" si="7"/>
        <v>5300</v>
      </c>
      <c r="M32" s="53">
        <f t="shared" si="7"/>
        <v>5300</v>
      </c>
      <c r="N32" s="53">
        <f t="shared" si="7"/>
        <v>5300</v>
      </c>
      <c r="O32" s="53">
        <f t="shared" si="7"/>
        <v>5300</v>
      </c>
      <c r="P32" s="53">
        <f t="shared" si="7"/>
        <v>5300</v>
      </c>
      <c r="Q32" s="53">
        <f t="shared" si="7"/>
        <v>5300</v>
      </c>
      <c r="R32" s="53">
        <f t="shared" si="7"/>
        <v>5300</v>
      </c>
      <c r="S32" s="53">
        <f t="shared" si="7"/>
        <v>5300</v>
      </c>
      <c r="T32" s="66">
        <f>T28-T31</f>
        <v>63600</v>
      </c>
    </row>
    <row r="33" spans="1:20" x14ac:dyDescent="0.2">
      <c r="C33" s="35"/>
      <c r="D33" s="35"/>
      <c r="E33" s="35"/>
      <c r="F33" s="35"/>
      <c r="G33" s="88"/>
      <c r="H33" s="64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60"/>
    </row>
    <row r="34" spans="1:20" x14ac:dyDescent="0.2">
      <c r="C34" s="35"/>
      <c r="D34" s="35" t="s">
        <v>145</v>
      </c>
      <c r="E34" s="35"/>
      <c r="F34" s="35"/>
      <c r="G34" s="88"/>
      <c r="H34" s="229">
        <v>1700</v>
      </c>
      <c r="I34" s="229">
        <v>1700</v>
      </c>
      <c r="J34" s="229">
        <v>1700</v>
      </c>
      <c r="K34" s="229">
        <v>1700</v>
      </c>
      <c r="L34" s="229">
        <v>1700</v>
      </c>
      <c r="M34" s="229">
        <v>1700</v>
      </c>
      <c r="N34" s="229">
        <v>1700</v>
      </c>
      <c r="O34" s="229">
        <v>1700</v>
      </c>
      <c r="P34" s="229">
        <v>1700</v>
      </c>
      <c r="Q34" s="229">
        <v>1700</v>
      </c>
      <c r="R34" s="229">
        <v>1700</v>
      </c>
      <c r="S34" s="229">
        <v>1700</v>
      </c>
      <c r="T34" s="60">
        <f>SUM(H34:S34)</f>
        <v>20400</v>
      </c>
    </row>
    <row r="35" spans="1:20" s="49" customFormat="1" x14ac:dyDescent="0.2">
      <c r="A35" s="205"/>
      <c r="C35" s="36" t="s">
        <v>14</v>
      </c>
      <c r="D35" s="36"/>
      <c r="E35" s="36"/>
      <c r="F35" s="36"/>
      <c r="G35" s="88"/>
      <c r="H35" s="64">
        <f>H32-H34</f>
        <v>3600</v>
      </c>
      <c r="I35" s="64">
        <f t="shared" ref="I35:S35" si="8">I32-I34</f>
        <v>3600</v>
      </c>
      <c r="J35" s="64">
        <f t="shared" si="8"/>
        <v>3600</v>
      </c>
      <c r="K35" s="64">
        <f t="shared" si="8"/>
        <v>3600</v>
      </c>
      <c r="L35" s="64">
        <f t="shared" si="8"/>
        <v>3600</v>
      </c>
      <c r="M35" s="64">
        <f t="shared" si="8"/>
        <v>3600</v>
      </c>
      <c r="N35" s="64">
        <f t="shared" si="8"/>
        <v>3600</v>
      </c>
      <c r="O35" s="64">
        <f t="shared" si="8"/>
        <v>3600</v>
      </c>
      <c r="P35" s="64">
        <f t="shared" si="8"/>
        <v>3600</v>
      </c>
      <c r="Q35" s="64">
        <f t="shared" si="8"/>
        <v>3600</v>
      </c>
      <c r="R35" s="64">
        <f t="shared" si="8"/>
        <v>3600</v>
      </c>
      <c r="S35" s="64">
        <f t="shared" si="8"/>
        <v>3600</v>
      </c>
      <c r="T35" s="57">
        <f>T32-T34</f>
        <v>43200</v>
      </c>
    </row>
    <row r="36" spans="1:20" s="87" customFormat="1" ht="13" x14ac:dyDescent="0.2">
      <c r="A36" s="210"/>
      <c r="C36" s="97" t="s">
        <v>146</v>
      </c>
      <c r="D36" s="97"/>
      <c r="E36" s="97"/>
      <c r="F36" s="97"/>
      <c r="G36" s="98"/>
      <c r="H36" s="167">
        <f t="shared" ref="H36:T36" si="9">IFERROR(H35/H10,0)</f>
        <v>0.08</v>
      </c>
      <c r="I36" s="168">
        <f t="shared" si="9"/>
        <v>0.08</v>
      </c>
      <c r="J36" s="168">
        <f t="shared" si="9"/>
        <v>0.08</v>
      </c>
      <c r="K36" s="168">
        <f t="shared" si="9"/>
        <v>0.08</v>
      </c>
      <c r="L36" s="168">
        <f t="shared" si="9"/>
        <v>0.08</v>
      </c>
      <c r="M36" s="168">
        <f t="shared" si="9"/>
        <v>0.08</v>
      </c>
      <c r="N36" s="168">
        <f t="shared" si="9"/>
        <v>0.08</v>
      </c>
      <c r="O36" s="168">
        <f t="shared" si="9"/>
        <v>0.08</v>
      </c>
      <c r="P36" s="168">
        <f t="shared" si="9"/>
        <v>0.08</v>
      </c>
      <c r="Q36" s="168">
        <f t="shared" si="9"/>
        <v>0.08</v>
      </c>
      <c r="R36" s="168">
        <f t="shared" si="9"/>
        <v>0.08</v>
      </c>
      <c r="S36" s="168">
        <f t="shared" si="9"/>
        <v>0.08</v>
      </c>
      <c r="T36" s="169">
        <f t="shared" si="9"/>
        <v>0.08</v>
      </c>
    </row>
    <row r="37" spans="1:20" s="47" customFormat="1" ht="5" customHeight="1" x14ac:dyDescent="0.2">
      <c r="A37" s="206"/>
      <c r="C37" s="188"/>
      <c r="D37" s="188"/>
      <c r="E37" s="188"/>
      <c r="F37" s="188"/>
      <c r="H37" s="90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spans="1:20" s="49" customFormat="1" x14ac:dyDescent="0.2">
      <c r="A38" s="205"/>
      <c r="C38" s="100" t="s">
        <v>104</v>
      </c>
      <c r="D38" s="100"/>
      <c r="E38" s="100"/>
      <c r="F38" s="100"/>
      <c r="H38" s="24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39" spans="1:20" s="47" customFormat="1" x14ac:dyDescent="0.2">
      <c r="A39" s="206"/>
      <c r="C39" s="36" t="s">
        <v>147</v>
      </c>
      <c r="D39" s="33"/>
      <c r="E39" s="33"/>
      <c r="F39" s="33"/>
      <c r="G39" s="99"/>
      <c r="H39" s="53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5"/>
    </row>
    <row r="40" spans="1:20" s="47" customFormat="1" x14ac:dyDescent="0.2">
      <c r="A40" s="206"/>
      <c r="C40" s="33"/>
      <c r="D40" s="33" t="s">
        <v>148</v>
      </c>
      <c r="E40" s="33"/>
      <c r="F40" s="33"/>
      <c r="G40" s="88"/>
      <c r="H40" s="52">
        <f>H91</f>
        <v>188000</v>
      </c>
      <c r="I40" s="52">
        <f t="shared" ref="I40:S40" si="10">I91</f>
        <v>186000</v>
      </c>
      <c r="J40" s="52">
        <f t="shared" si="10"/>
        <v>184000</v>
      </c>
      <c r="K40" s="52">
        <f t="shared" si="10"/>
        <v>182000</v>
      </c>
      <c r="L40" s="52">
        <f t="shared" si="10"/>
        <v>180000</v>
      </c>
      <c r="M40" s="52">
        <f t="shared" si="10"/>
        <v>178000</v>
      </c>
      <c r="N40" s="52">
        <f t="shared" si="10"/>
        <v>176000</v>
      </c>
      <c r="O40" s="52">
        <f t="shared" si="10"/>
        <v>174000</v>
      </c>
      <c r="P40" s="52">
        <f t="shared" si="10"/>
        <v>172000</v>
      </c>
      <c r="Q40" s="52">
        <f t="shared" si="10"/>
        <v>170000</v>
      </c>
      <c r="R40" s="52">
        <f t="shared" si="10"/>
        <v>168000</v>
      </c>
      <c r="S40" s="52">
        <f t="shared" si="10"/>
        <v>166000</v>
      </c>
      <c r="T40" s="55">
        <f>S40</f>
        <v>166000</v>
      </c>
    </row>
    <row r="41" spans="1:20" s="47" customFormat="1" x14ac:dyDescent="0.2">
      <c r="A41" s="206"/>
      <c r="C41" s="33"/>
      <c r="D41" s="33" t="s">
        <v>105</v>
      </c>
      <c r="E41" s="33"/>
      <c r="F41" s="33"/>
      <c r="G41" s="88"/>
      <c r="H41" s="229">
        <v>5500</v>
      </c>
      <c r="I41" s="229">
        <v>11000</v>
      </c>
      <c r="J41" s="229">
        <v>16500</v>
      </c>
      <c r="K41" s="229">
        <v>22000</v>
      </c>
      <c r="L41" s="229">
        <v>27500</v>
      </c>
      <c r="M41" s="229">
        <v>33000</v>
      </c>
      <c r="N41" s="229">
        <v>38500</v>
      </c>
      <c r="O41" s="229">
        <v>44000</v>
      </c>
      <c r="P41" s="229">
        <v>49500</v>
      </c>
      <c r="Q41" s="229">
        <v>55000</v>
      </c>
      <c r="R41" s="229">
        <v>60500</v>
      </c>
      <c r="S41" s="229">
        <v>66000</v>
      </c>
      <c r="T41" s="60">
        <f>S41</f>
        <v>66000</v>
      </c>
    </row>
    <row r="42" spans="1:20" s="47" customFormat="1" x14ac:dyDescent="0.2">
      <c r="A42" s="206"/>
      <c r="C42" s="33"/>
      <c r="D42" s="33" t="s">
        <v>106</v>
      </c>
      <c r="E42" s="33"/>
      <c r="F42" s="33"/>
      <c r="G42" s="88"/>
      <c r="H42" s="229">
        <v>5300</v>
      </c>
      <c r="I42" s="229">
        <v>10600</v>
      </c>
      <c r="J42" s="229">
        <v>15900</v>
      </c>
      <c r="K42" s="229">
        <v>21200</v>
      </c>
      <c r="L42" s="229">
        <v>26500</v>
      </c>
      <c r="M42" s="229">
        <v>31800</v>
      </c>
      <c r="N42" s="229">
        <v>37100</v>
      </c>
      <c r="O42" s="229">
        <v>42400</v>
      </c>
      <c r="P42" s="229">
        <v>47700</v>
      </c>
      <c r="Q42" s="229">
        <v>53000</v>
      </c>
      <c r="R42" s="229">
        <v>58300</v>
      </c>
      <c r="S42" s="229">
        <v>63600</v>
      </c>
      <c r="T42" s="60">
        <f>S42</f>
        <v>63600</v>
      </c>
    </row>
    <row r="43" spans="1:20" s="49" customFormat="1" x14ac:dyDescent="0.2">
      <c r="A43" s="205"/>
      <c r="C43" s="36"/>
      <c r="D43" s="36" t="s">
        <v>149</v>
      </c>
      <c r="E43" s="36"/>
      <c r="F43" s="36"/>
      <c r="G43" s="88"/>
      <c r="H43" s="53">
        <f t="shared" ref="H43:T43" si="11">SUM(H40:H42)</f>
        <v>198800</v>
      </c>
      <c r="I43" s="53">
        <f t="shared" si="11"/>
        <v>207600</v>
      </c>
      <c r="J43" s="53">
        <f t="shared" si="11"/>
        <v>216400</v>
      </c>
      <c r="K43" s="53">
        <f t="shared" si="11"/>
        <v>225200</v>
      </c>
      <c r="L43" s="53">
        <f t="shared" si="11"/>
        <v>234000</v>
      </c>
      <c r="M43" s="53">
        <f t="shared" si="11"/>
        <v>242800</v>
      </c>
      <c r="N43" s="53">
        <f t="shared" si="11"/>
        <v>251600</v>
      </c>
      <c r="O43" s="53">
        <f t="shared" si="11"/>
        <v>260400</v>
      </c>
      <c r="P43" s="53">
        <f t="shared" si="11"/>
        <v>269200</v>
      </c>
      <c r="Q43" s="53">
        <f t="shared" si="11"/>
        <v>278000</v>
      </c>
      <c r="R43" s="53">
        <f t="shared" si="11"/>
        <v>286800</v>
      </c>
      <c r="S43" s="53">
        <f t="shared" si="11"/>
        <v>295600</v>
      </c>
      <c r="T43" s="57">
        <f t="shared" si="11"/>
        <v>295600</v>
      </c>
    </row>
    <row r="44" spans="1:20" s="47" customFormat="1" x14ac:dyDescent="0.2">
      <c r="A44" s="206"/>
      <c r="C44" s="33"/>
      <c r="D44" s="33"/>
      <c r="E44" s="33"/>
      <c r="F44" s="33"/>
      <c r="G44" s="99"/>
      <c r="H44" s="53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5"/>
    </row>
    <row r="45" spans="1:20" s="49" customFormat="1" x14ac:dyDescent="0.2">
      <c r="A45" s="205"/>
      <c r="C45" s="36" t="s">
        <v>150</v>
      </c>
      <c r="D45" s="36"/>
      <c r="E45" s="36"/>
      <c r="F45" s="36"/>
      <c r="G45" s="96"/>
      <c r="H45" s="52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7"/>
    </row>
    <row r="46" spans="1:20" x14ac:dyDescent="0.2">
      <c r="C46" s="35"/>
      <c r="D46" s="35" t="s">
        <v>232</v>
      </c>
      <c r="E46" s="35"/>
      <c r="F46" s="35"/>
      <c r="G46" s="88"/>
      <c r="H46" s="229">
        <v>1500</v>
      </c>
      <c r="I46" s="229">
        <v>3000</v>
      </c>
      <c r="J46" s="229">
        <v>4500</v>
      </c>
      <c r="K46" s="229">
        <v>6000</v>
      </c>
      <c r="L46" s="229">
        <v>7500</v>
      </c>
      <c r="M46" s="229">
        <v>9000</v>
      </c>
      <c r="N46" s="229">
        <v>10500</v>
      </c>
      <c r="O46" s="229">
        <v>12000</v>
      </c>
      <c r="P46" s="229">
        <v>13500</v>
      </c>
      <c r="Q46" s="229">
        <v>15000</v>
      </c>
      <c r="R46" s="229">
        <v>16500</v>
      </c>
      <c r="S46" s="229">
        <v>18000</v>
      </c>
      <c r="T46" s="60">
        <f>S46</f>
        <v>18000</v>
      </c>
    </row>
    <row r="47" spans="1:20" s="48" customFormat="1" x14ac:dyDescent="0.2">
      <c r="A47" s="204"/>
      <c r="C47" s="34"/>
      <c r="D47" s="34" t="s">
        <v>151</v>
      </c>
      <c r="E47" s="34"/>
      <c r="F47" s="34"/>
      <c r="G47" s="88"/>
      <c r="H47" s="64">
        <f>SUM(H46)</f>
        <v>1500</v>
      </c>
      <c r="I47" s="64">
        <f t="shared" ref="I47:S47" si="12">SUM(I46)</f>
        <v>3000</v>
      </c>
      <c r="J47" s="64">
        <f t="shared" si="12"/>
        <v>4500</v>
      </c>
      <c r="K47" s="64">
        <f t="shared" si="12"/>
        <v>6000</v>
      </c>
      <c r="L47" s="64">
        <f t="shared" si="12"/>
        <v>7500</v>
      </c>
      <c r="M47" s="64">
        <f t="shared" si="12"/>
        <v>9000</v>
      </c>
      <c r="N47" s="64">
        <f t="shared" si="12"/>
        <v>10500</v>
      </c>
      <c r="O47" s="64">
        <f t="shared" si="12"/>
        <v>12000</v>
      </c>
      <c r="P47" s="64">
        <f t="shared" si="12"/>
        <v>13500</v>
      </c>
      <c r="Q47" s="64">
        <f t="shared" si="12"/>
        <v>15000</v>
      </c>
      <c r="R47" s="64">
        <f t="shared" si="12"/>
        <v>16500</v>
      </c>
      <c r="S47" s="64">
        <f t="shared" si="12"/>
        <v>18000</v>
      </c>
      <c r="T47" s="66">
        <f>SUM(T46)</f>
        <v>18000</v>
      </c>
    </row>
    <row r="48" spans="1:20" x14ac:dyDescent="0.2">
      <c r="C48" s="34" t="s">
        <v>152</v>
      </c>
      <c r="D48" s="35"/>
      <c r="E48" s="35"/>
      <c r="F48" s="35"/>
      <c r="G48" s="88"/>
      <c r="H48" s="64">
        <f>H43+H47</f>
        <v>200300</v>
      </c>
      <c r="I48" s="64">
        <f t="shared" ref="I48:S48" si="13">I43+I47</f>
        <v>210600</v>
      </c>
      <c r="J48" s="64">
        <f t="shared" si="13"/>
        <v>220900</v>
      </c>
      <c r="K48" s="64">
        <f t="shared" si="13"/>
        <v>231200</v>
      </c>
      <c r="L48" s="64">
        <f t="shared" si="13"/>
        <v>241500</v>
      </c>
      <c r="M48" s="64">
        <f t="shared" si="13"/>
        <v>251800</v>
      </c>
      <c r="N48" s="64">
        <f t="shared" si="13"/>
        <v>262100</v>
      </c>
      <c r="O48" s="64">
        <f t="shared" si="13"/>
        <v>272400</v>
      </c>
      <c r="P48" s="64">
        <f t="shared" si="13"/>
        <v>282700</v>
      </c>
      <c r="Q48" s="64">
        <f t="shared" si="13"/>
        <v>293000</v>
      </c>
      <c r="R48" s="64">
        <f t="shared" si="13"/>
        <v>303300</v>
      </c>
      <c r="S48" s="64">
        <f t="shared" si="13"/>
        <v>313600</v>
      </c>
      <c r="T48" s="66">
        <f t="shared" ref="T48" si="14">T43+T47</f>
        <v>313600</v>
      </c>
    </row>
    <row r="49" spans="1:21" x14ac:dyDescent="0.2">
      <c r="C49" s="35"/>
      <c r="D49" s="35"/>
      <c r="E49" s="35"/>
      <c r="F49" s="35"/>
      <c r="G49" s="88"/>
      <c r="H49" s="58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60"/>
    </row>
    <row r="50" spans="1:21" x14ac:dyDescent="0.2">
      <c r="C50" s="34" t="s">
        <v>153</v>
      </c>
      <c r="D50" s="35"/>
      <c r="E50" s="35"/>
      <c r="F50" s="35"/>
      <c r="G50" s="88"/>
      <c r="H50" s="58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60"/>
    </row>
    <row r="51" spans="1:21" x14ac:dyDescent="0.2">
      <c r="C51" s="35"/>
      <c r="D51" s="35" t="s">
        <v>154</v>
      </c>
      <c r="E51" s="35"/>
      <c r="F51" s="35"/>
      <c r="G51" s="88"/>
      <c r="H51" s="229">
        <v>4500</v>
      </c>
      <c r="I51" s="229">
        <v>9000</v>
      </c>
      <c r="J51" s="229">
        <v>13500</v>
      </c>
      <c r="K51" s="229">
        <v>18000</v>
      </c>
      <c r="L51" s="229">
        <v>22500</v>
      </c>
      <c r="M51" s="229">
        <v>27000</v>
      </c>
      <c r="N51" s="229">
        <v>31500</v>
      </c>
      <c r="O51" s="229">
        <v>36000</v>
      </c>
      <c r="P51" s="229">
        <v>40500</v>
      </c>
      <c r="Q51" s="229">
        <v>45000</v>
      </c>
      <c r="R51" s="229">
        <v>49500</v>
      </c>
      <c r="S51" s="229">
        <v>54000</v>
      </c>
      <c r="T51" s="60">
        <f>S51</f>
        <v>54000</v>
      </c>
    </row>
    <row r="52" spans="1:21" x14ac:dyDescent="0.2">
      <c r="C52" s="35"/>
      <c r="D52" s="35" t="s">
        <v>108</v>
      </c>
      <c r="E52" s="35"/>
      <c r="F52" s="35"/>
      <c r="G52" s="88"/>
      <c r="H52" s="229">
        <v>2200</v>
      </c>
      <c r="I52" s="229">
        <v>4400</v>
      </c>
      <c r="J52" s="229">
        <v>6600</v>
      </c>
      <c r="K52" s="229">
        <v>8800</v>
      </c>
      <c r="L52" s="229">
        <v>11000</v>
      </c>
      <c r="M52" s="229">
        <v>13200</v>
      </c>
      <c r="N52" s="229">
        <v>15400</v>
      </c>
      <c r="O52" s="229">
        <v>17600</v>
      </c>
      <c r="P52" s="229">
        <v>19800</v>
      </c>
      <c r="Q52" s="229">
        <v>22000</v>
      </c>
      <c r="R52" s="229">
        <v>24200</v>
      </c>
      <c r="S52" s="229">
        <v>26400</v>
      </c>
      <c r="T52" s="60">
        <f>S52</f>
        <v>26400</v>
      </c>
    </row>
    <row r="53" spans="1:21" s="48" customFormat="1" x14ac:dyDescent="0.2">
      <c r="A53" s="204"/>
      <c r="C53" s="34"/>
      <c r="D53" s="34" t="s">
        <v>155</v>
      </c>
      <c r="E53" s="34"/>
      <c r="F53" s="34"/>
      <c r="G53" s="88"/>
      <c r="H53" s="64">
        <f>SUM(H51:H52)</f>
        <v>6700</v>
      </c>
      <c r="I53" s="64">
        <f t="shared" ref="I53:S53" si="15">SUM(I51:I52)</f>
        <v>13400</v>
      </c>
      <c r="J53" s="64">
        <f t="shared" si="15"/>
        <v>20100</v>
      </c>
      <c r="K53" s="64">
        <f t="shared" si="15"/>
        <v>26800</v>
      </c>
      <c r="L53" s="64">
        <f t="shared" si="15"/>
        <v>33500</v>
      </c>
      <c r="M53" s="64">
        <f t="shared" si="15"/>
        <v>40200</v>
      </c>
      <c r="N53" s="64">
        <f t="shared" si="15"/>
        <v>46900</v>
      </c>
      <c r="O53" s="64">
        <f t="shared" si="15"/>
        <v>53600</v>
      </c>
      <c r="P53" s="64">
        <f t="shared" si="15"/>
        <v>60300</v>
      </c>
      <c r="Q53" s="64">
        <f t="shared" si="15"/>
        <v>67000</v>
      </c>
      <c r="R53" s="64">
        <f t="shared" si="15"/>
        <v>73700</v>
      </c>
      <c r="S53" s="64">
        <f t="shared" si="15"/>
        <v>80400</v>
      </c>
      <c r="T53" s="66">
        <f>SUM(T51:T52)</f>
        <v>80400</v>
      </c>
    </row>
    <row r="54" spans="1:21" x14ac:dyDescent="0.2">
      <c r="C54" s="35"/>
      <c r="D54" s="35"/>
      <c r="E54" s="35"/>
      <c r="F54" s="35"/>
      <c r="G54" s="88"/>
      <c r="H54" s="64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60"/>
    </row>
    <row r="55" spans="1:21" x14ac:dyDescent="0.2">
      <c r="C55" s="34" t="s">
        <v>156</v>
      </c>
      <c r="D55" s="35"/>
      <c r="E55" s="35"/>
      <c r="F55" s="35"/>
      <c r="G55" s="88"/>
      <c r="H55" s="58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60"/>
    </row>
    <row r="56" spans="1:21" x14ac:dyDescent="0.2">
      <c r="C56" s="35"/>
      <c r="D56" s="35" t="s">
        <v>157</v>
      </c>
      <c r="E56" s="35"/>
      <c r="F56" s="35"/>
      <c r="G56" s="88"/>
      <c r="H56" s="229">
        <v>80000</v>
      </c>
      <c r="I56" s="229">
        <v>80000</v>
      </c>
      <c r="J56" s="229">
        <v>80000</v>
      </c>
      <c r="K56" s="229">
        <v>80000</v>
      </c>
      <c r="L56" s="229">
        <v>80000</v>
      </c>
      <c r="M56" s="229">
        <v>80000</v>
      </c>
      <c r="N56" s="229">
        <v>80000</v>
      </c>
      <c r="O56" s="229">
        <v>80000</v>
      </c>
      <c r="P56" s="229">
        <v>80000</v>
      </c>
      <c r="Q56" s="229">
        <v>80000</v>
      </c>
      <c r="R56" s="229">
        <v>80000</v>
      </c>
      <c r="S56" s="229">
        <v>80000</v>
      </c>
      <c r="T56" s="60">
        <f>S56</f>
        <v>80000</v>
      </c>
    </row>
    <row r="57" spans="1:21" s="48" customFormat="1" x14ac:dyDescent="0.2">
      <c r="A57" s="204"/>
      <c r="C57" s="34"/>
      <c r="D57" s="34" t="s">
        <v>158</v>
      </c>
      <c r="E57" s="34"/>
      <c r="F57" s="34"/>
      <c r="G57" s="88"/>
      <c r="H57" s="64">
        <f>SUM(H56)</f>
        <v>80000</v>
      </c>
      <c r="I57" s="64">
        <f t="shared" ref="I57:S57" si="16">SUM(I56)</f>
        <v>80000</v>
      </c>
      <c r="J57" s="64">
        <f t="shared" si="16"/>
        <v>80000</v>
      </c>
      <c r="K57" s="64">
        <f t="shared" si="16"/>
        <v>80000</v>
      </c>
      <c r="L57" s="64">
        <f t="shared" si="16"/>
        <v>80000</v>
      </c>
      <c r="M57" s="64">
        <f t="shared" si="16"/>
        <v>80000</v>
      </c>
      <c r="N57" s="64">
        <f t="shared" si="16"/>
        <v>80000</v>
      </c>
      <c r="O57" s="64">
        <f t="shared" si="16"/>
        <v>80000</v>
      </c>
      <c r="P57" s="64">
        <f t="shared" si="16"/>
        <v>80000</v>
      </c>
      <c r="Q57" s="64">
        <f t="shared" si="16"/>
        <v>80000</v>
      </c>
      <c r="R57" s="64">
        <f t="shared" si="16"/>
        <v>80000</v>
      </c>
      <c r="S57" s="64">
        <f t="shared" si="16"/>
        <v>80000</v>
      </c>
      <c r="T57" s="66">
        <f>SUM(T56)</f>
        <v>80000</v>
      </c>
    </row>
    <row r="58" spans="1:21" s="48" customFormat="1" x14ac:dyDescent="0.2">
      <c r="A58" s="204"/>
      <c r="C58" s="34" t="s">
        <v>159</v>
      </c>
      <c r="D58" s="34"/>
      <c r="E58" s="34"/>
      <c r="F58" s="34"/>
      <c r="G58" s="88"/>
      <c r="H58" s="64">
        <f>H53+H57</f>
        <v>86700</v>
      </c>
      <c r="I58" s="64">
        <f t="shared" ref="I58:O58" si="17">I53+I57</f>
        <v>93400</v>
      </c>
      <c r="J58" s="64">
        <f t="shared" si="17"/>
        <v>100100</v>
      </c>
      <c r="K58" s="64">
        <f t="shared" si="17"/>
        <v>106800</v>
      </c>
      <c r="L58" s="64">
        <f t="shared" si="17"/>
        <v>113500</v>
      </c>
      <c r="M58" s="64">
        <f t="shared" si="17"/>
        <v>120200</v>
      </c>
      <c r="N58" s="64">
        <f t="shared" si="17"/>
        <v>126900</v>
      </c>
      <c r="O58" s="64">
        <f t="shared" si="17"/>
        <v>133600</v>
      </c>
      <c r="P58" s="64">
        <f t="shared" ref="P58" si="18">P53+P57</f>
        <v>140300</v>
      </c>
      <c r="Q58" s="64">
        <f t="shared" ref="Q58" si="19">Q53+Q57</f>
        <v>147000</v>
      </c>
      <c r="R58" s="64">
        <f t="shared" ref="R58" si="20">R53+R57</f>
        <v>153700</v>
      </c>
      <c r="S58" s="64">
        <f t="shared" ref="S58" si="21">S53+S57</f>
        <v>160400</v>
      </c>
      <c r="T58" s="66">
        <f t="shared" ref="T58" si="22">T53+T57</f>
        <v>160400</v>
      </c>
    </row>
    <row r="59" spans="1:21" s="48" customFormat="1" x14ac:dyDescent="0.2">
      <c r="A59" s="204"/>
      <c r="C59" s="34"/>
      <c r="D59" s="34"/>
      <c r="E59" s="34"/>
      <c r="F59" s="34"/>
      <c r="G59" s="91"/>
      <c r="H59" s="64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6"/>
    </row>
    <row r="60" spans="1:21" x14ac:dyDescent="0.2">
      <c r="C60" s="34" t="s">
        <v>163</v>
      </c>
      <c r="D60" s="35"/>
      <c r="E60" s="35"/>
      <c r="F60" s="35"/>
      <c r="G60" s="88"/>
      <c r="H60" s="64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60"/>
    </row>
    <row r="61" spans="1:21" x14ac:dyDescent="0.2">
      <c r="C61" s="35"/>
      <c r="D61" s="35" t="s">
        <v>160</v>
      </c>
      <c r="E61" s="35"/>
      <c r="F61" s="35"/>
      <c r="G61" s="88"/>
      <c r="H61" s="229">
        <v>110000</v>
      </c>
      <c r="I61" s="229">
        <v>110000</v>
      </c>
      <c r="J61" s="229">
        <v>110000</v>
      </c>
      <c r="K61" s="229">
        <v>110000</v>
      </c>
      <c r="L61" s="229">
        <v>110000</v>
      </c>
      <c r="M61" s="229">
        <v>110000</v>
      </c>
      <c r="N61" s="229">
        <v>110000</v>
      </c>
      <c r="O61" s="229">
        <v>110000</v>
      </c>
      <c r="P61" s="229">
        <v>110000</v>
      </c>
      <c r="Q61" s="229">
        <v>110000</v>
      </c>
      <c r="R61" s="229">
        <v>110000</v>
      </c>
      <c r="S61" s="229">
        <v>110000</v>
      </c>
      <c r="T61" s="60">
        <f>S61</f>
        <v>110000</v>
      </c>
    </row>
    <row r="62" spans="1:21" x14ac:dyDescent="0.2">
      <c r="C62" s="35"/>
      <c r="D62" s="35" t="s">
        <v>161</v>
      </c>
      <c r="E62" s="35"/>
      <c r="F62" s="35"/>
      <c r="G62" s="88"/>
      <c r="H62" s="58">
        <f>H35+H86</f>
        <v>3600</v>
      </c>
      <c r="I62" s="58">
        <f>H62+I35+I86</f>
        <v>7200</v>
      </c>
      <c r="J62" s="58">
        <f t="shared" ref="J62:S62" si="23">I62+J35+J86</f>
        <v>10800</v>
      </c>
      <c r="K62" s="58">
        <f t="shared" si="23"/>
        <v>14400</v>
      </c>
      <c r="L62" s="58">
        <f t="shared" si="23"/>
        <v>18000</v>
      </c>
      <c r="M62" s="58">
        <f t="shared" si="23"/>
        <v>21600</v>
      </c>
      <c r="N62" s="58">
        <f t="shared" si="23"/>
        <v>25200</v>
      </c>
      <c r="O62" s="58">
        <f t="shared" si="23"/>
        <v>28800</v>
      </c>
      <c r="P62" s="58">
        <f t="shared" si="23"/>
        <v>32400</v>
      </c>
      <c r="Q62" s="58">
        <f t="shared" si="23"/>
        <v>36000</v>
      </c>
      <c r="R62" s="58">
        <f t="shared" si="23"/>
        <v>39600</v>
      </c>
      <c r="S62" s="58">
        <f t="shared" si="23"/>
        <v>43200</v>
      </c>
      <c r="T62" s="60">
        <f>S62</f>
        <v>43200</v>
      </c>
      <c r="U62" s="161"/>
    </row>
    <row r="63" spans="1:21" s="48" customFormat="1" x14ac:dyDescent="0.2">
      <c r="A63" s="204"/>
      <c r="C63" s="34"/>
      <c r="D63" s="34" t="s">
        <v>162</v>
      </c>
      <c r="E63" s="34"/>
      <c r="F63" s="34"/>
      <c r="G63" s="88"/>
      <c r="H63" s="64">
        <f>SUM(H61:H62)</f>
        <v>113600</v>
      </c>
      <c r="I63" s="64">
        <f t="shared" ref="I63:S63" si="24">SUM(I61:I62)</f>
        <v>117200</v>
      </c>
      <c r="J63" s="64">
        <f t="shared" si="24"/>
        <v>120800</v>
      </c>
      <c r="K63" s="64">
        <f t="shared" si="24"/>
        <v>124400</v>
      </c>
      <c r="L63" s="64">
        <f t="shared" si="24"/>
        <v>128000</v>
      </c>
      <c r="M63" s="64">
        <f t="shared" si="24"/>
        <v>131600</v>
      </c>
      <c r="N63" s="64">
        <f t="shared" si="24"/>
        <v>135200</v>
      </c>
      <c r="O63" s="64">
        <f t="shared" si="24"/>
        <v>138800</v>
      </c>
      <c r="P63" s="64">
        <f t="shared" si="24"/>
        <v>142400</v>
      </c>
      <c r="Q63" s="64">
        <f t="shared" si="24"/>
        <v>146000</v>
      </c>
      <c r="R63" s="64">
        <f t="shared" si="24"/>
        <v>149600</v>
      </c>
      <c r="S63" s="64">
        <f t="shared" si="24"/>
        <v>153200</v>
      </c>
      <c r="T63" s="66">
        <f>SUM(T61:T62)</f>
        <v>153200</v>
      </c>
    </row>
    <row r="64" spans="1:21" s="48" customFormat="1" x14ac:dyDescent="0.2">
      <c r="A64" s="204"/>
      <c r="C64" s="34" t="s">
        <v>164</v>
      </c>
      <c r="D64" s="34"/>
      <c r="E64" s="34"/>
      <c r="F64" s="34"/>
      <c r="G64" s="88"/>
      <c r="H64" s="64">
        <f>H58+H63</f>
        <v>200300</v>
      </c>
      <c r="I64" s="64">
        <f t="shared" ref="I64:S64" si="25">I58+I63</f>
        <v>210600</v>
      </c>
      <c r="J64" s="64">
        <f t="shared" si="25"/>
        <v>220900</v>
      </c>
      <c r="K64" s="64">
        <f t="shared" si="25"/>
        <v>231200</v>
      </c>
      <c r="L64" s="64">
        <f t="shared" si="25"/>
        <v>241500</v>
      </c>
      <c r="M64" s="64">
        <f t="shared" si="25"/>
        <v>251800</v>
      </c>
      <c r="N64" s="64">
        <f t="shared" si="25"/>
        <v>262100</v>
      </c>
      <c r="O64" s="64">
        <f t="shared" si="25"/>
        <v>272400</v>
      </c>
      <c r="P64" s="64">
        <f t="shared" si="25"/>
        <v>282700</v>
      </c>
      <c r="Q64" s="64">
        <f t="shared" si="25"/>
        <v>293000</v>
      </c>
      <c r="R64" s="64">
        <f t="shared" si="25"/>
        <v>303300</v>
      </c>
      <c r="S64" s="64">
        <f t="shared" si="25"/>
        <v>313600</v>
      </c>
      <c r="T64" s="66">
        <f>T58+T63</f>
        <v>313600</v>
      </c>
    </row>
    <row r="65" spans="1:20" x14ac:dyDescent="0.2">
      <c r="C65" s="35"/>
      <c r="D65" s="35"/>
      <c r="E65" s="35"/>
      <c r="F65" s="35"/>
      <c r="G65" s="88"/>
      <c r="H65" s="64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60"/>
    </row>
    <row r="66" spans="1:20" s="103" customFormat="1" x14ac:dyDescent="0.2">
      <c r="A66" s="211"/>
      <c r="C66" s="102"/>
      <c r="D66" s="102" t="s">
        <v>300</v>
      </c>
      <c r="E66" s="102"/>
      <c r="F66" s="102"/>
      <c r="G66" s="102"/>
      <c r="H66" s="107">
        <f>H48-H64</f>
        <v>0</v>
      </c>
      <c r="I66" s="108">
        <f t="shared" ref="I66:S66" si="26">I48-I64</f>
        <v>0</v>
      </c>
      <c r="J66" s="108">
        <f t="shared" si="26"/>
        <v>0</v>
      </c>
      <c r="K66" s="108">
        <f t="shared" si="26"/>
        <v>0</v>
      </c>
      <c r="L66" s="108">
        <f t="shared" si="26"/>
        <v>0</v>
      </c>
      <c r="M66" s="108">
        <f t="shared" si="26"/>
        <v>0</v>
      </c>
      <c r="N66" s="108">
        <f t="shared" si="26"/>
        <v>0</v>
      </c>
      <c r="O66" s="108">
        <f t="shared" si="26"/>
        <v>0</v>
      </c>
      <c r="P66" s="108">
        <f t="shared" si="26"/>
        <v>0</v>
      </c>
      <c r="Q66" s="108">
        <f t="shared" si="26"/>
        <v>0</v>
      </c>
      <c r="R66" s="108">
        <f t="shared" si="26"/>
        <v>0</v>
      </c>
      <c r="S66" s="108">
        <f t="shared" si="26"/>
        <v>0</v>
      </c>
      <c r="T66" s="109">
        <f>T48-T64</f>
        <v>0</v>
      </c>
    </row>
    <row r="67" spans="1:20" ht="5" customHeight="1" x14ac:dyDescent="0.2">
      <c r="C67" s="173"/>
      <c r="D67" s="173"/>
      <c r="E67" s="173"/>
      <c r="F67" s="173"/>
      <c r="H67" s="8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s="48" customFormat="1" x14ac:dyDescent="0.2">
      <c r="A68" s="204"/>
      <c r="C68" s="61" t="s">
        <v>165</v>
      </c>
      <c r="D68" s="61"/>
      <c r="E68" s="61"/>
      <c r="F68" s="61"/>
      <c r="H68" s="9"/>
      <c r="I68" s="25"/>
      <c r="J68" s="25"/>
      <c r="K68" s="25"/>
      <c r="L68" s="25"/>
      <c r="M68" s="25"/>
      <c r="N68" s="25"/>
      <c r="O68" s="9"/>
      <c r="P68" s="9"/>
      <c r="Q68" s="25"/>
      <c r="R68" s="25"/>
      <c r="S68" s="25"/>
      <c r="T68" s="25"/>
    </row>
    <row r="69" spans="1:20" s="48" customFormat="1" x14ac:dyDescent="0.2">
      <c r="A69" s="204"/>
      <c r="C69" s="34" t="s">
        <v>169</v>
      </c>
      <c r="D69" s="34"/>
      <c r="E69" s="34"/>
      <c r="F69" s="34"/>
      <c r="G69" s="91"/>
      <c r="H69" s="64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6"/>
    </row>
    <row r="70" spans="1:20" x14ac:dyDescent="0.2">
      <c r="C70" s="35"/>
      <c r="D70" s="35" t="s">
        <v>14</v>
      </c>
      <c r="E70" s="35"/>
      <c r="F70" s="35"/>
      <c r="G70" s="88"/>
      <c r="H70" s="58">
        <f>H35</f>
        <v>3600</v>
      </c>
      <c r="I70" s="58">
        <f t="shared" ref="I70:S70" si="27">I35</f>
        <v>3600</v>
      </c>
      <c r="J70" s="58">
        <f t="shared" si="27"/>
        <v>3600</v>
      </c>
      <c r="K70" s="58">
        <f t="shared" si="27"/>
        <v>3600</v>
      </c>
      <c r="L70" s="58">
        <f t="shared" si="27"/>
        <v>3600</v>
      </c>
      <c r="M70" s="58">
        <f t="shared" si="27"/>
        <v>3600</v>
      </c>
      <c r="N70" s="58">
        <f t="shared" si="27"/>
        <v>3600</v>
      </c>
      <c r="O70" s="58">
        <f t="shared" si="27"/>
        <v>3600</v>
      </c>
      <c r="P70" s="58">
        <f t="shared" si="27"/>
        <v>3600</v>
      </c>
      <c r="Q70" s="58">
        <f t="shared" si="27"/>
        <v>3600</v>
      </c>
      <c r="R70" s="58">
        <f t="shared" si="27"/>
        <v>3600</v>
      </c>
      <c r="S70" s="58">
        <f t="shared" si="27"/>
        <v>3600</v>
      </c>
      <c r="T70" s="60">
        <f>SUM(H70:S70)</f>
        <v>43200</v>
      </c>
    </row>
    <row r="71" spans="1:20" x14ac:dyDescent="0.2">
      <c r="C71" s="35"/>
      <c r="D71" s="35" t="s">
        <v>166</v>
      </c>
      <c r="E71" s="35"/>
      <c r="F71" s="35"/>
      <c r="G71" s="88"/>
      <c r="H71" s="58">
        <f>H25</f>
        <v>800</v>
      </c>
      <c r="I71" s="58">
        <f t="shared" ref="I71:S71" si="28">I25</f>
        <v>800</v>
      </c>
      <c r="J71" s="58">
        <f t="shared" si="28"/>
        <v>800</v>
      </c>
      <c r="K71" s="58">
        <f t="shared" si="28"/>
        <v>800</v>
      </c>
      <c r="L71" s="58">
        <f t="shared" si="28"/>
        <v>800</v>
      </c>
      <c r="M71" s="58">
        <f t="shared" si="28"/>
        <v>800</v>
      </c>
      <c r="N71" s="58">
        <f t="shared" si="28"/>
        <v>800</v>
      </c>
      <c r="O71" s="58">
        <f t="shared" si="28"/>
        <v>800</v>
      </c>
      <c r="P71" s="58">
        <f t="shared" si="28"/>
        <v>800</v>
      </c>
      <c r="Q71" s="58">
        <f t="shared" si="28"/>
        <v>800</v>
      </c>
      <c r="R71" s="58">
        <f t="shared" si="28"/>
        <v>800</v>
      </c>
      <c r="S71" s="58">
        <f t="shared" si="28"/>
        <v>800</v>
      </c>
      <c r="T71" s="60">
        <f>SUM(H71:S71)</f>
        <v>9600</v>
      </c>
    </row>
    <row r="72" spans="1:20" x14ac:dyDescent="0.2">
      <c r="C72" s="35"/>
      <c r="D72" s="35" t="s">
        <v>167</v>
      </c>
      <c r="E72" s="35"/>
      <c r="F72" s="35"/>
      <c r="G72" s="88"/>
      <c r="H72" s="58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35"/>
    </row>
    <row r="73" spans="1:20" x14ac:dyDescent="0.2">
      <c r="C73" s="35"/>
      <c r="D73" s="35"/>
      <c r="E73" s="35" t="s">
        <v>105</v>
      </c>
      <c r="F73" s="35"/>
      <c r="G73" s="88"/>
      <c r="H73" s="58">
        <f>0-H41</f>
        <v>-5500</v>
      </c>
      <c r="I73" s="58">
        <f>H41-I41</f>
        <v>-5500</v>
      </c>
      <c r="J73" s="58">
        <f t="shared" ref="J73:S73" si="29">I41-J41</f>
        <v>-5500</v>
      </c>
      <c r="K73" s="58">
        <f t="shared" si="29"/>
        <v>-5500</v>
      </c>
      <c r="L73" s="58">
        <f t="shared" si="29"/>
        <v>-5500</v>
      </c>
      <c r="M73" s="58">
        <f t="shared" si="29"/>
        <v>-5500</v>
      </c>
      <c r="N73" s="58">
        <f t="shared" si="29"/>
        <v>-5500</v>
      </c>
      <c r="O73" s="58">
        <f t="shared" si="29"/>
        <v>-5500</v>
      </c>
      <c r="P73" s="58">
        <f t="shared" si="29"/>
        <v>-5500</v>
      </c>
      <c r="Q73" s="58">
        <f t="shared" si="29"/>
        <v>-5500</v>
      </c>
      <c r="R73" s="58">
        <f t="shared" si="29"/>
        <v>-5500</v>
      </c>
      <c r="S73" s="58">
        <f t="shared" si="29"/>
        <v>-5500</v>
      </c>
      <c r="T73" s="60">
        <f>-T41</f>
        <v>-66000</v>
      </c>
    </row>
    <row r="74" spans="1:20" x14ac:dyDescent="0.2">
      <c r="C74" s="35"/>
      <c r="D74" s="35"/>
      <c r="E74" s="35" t="s">
        <v>106</v>
      </c>
      <c r="F74" s="35"/>
      <c r="G74" s="88"/>
      <c r="H74" s="58">
        <f>0-H42</f>
        <v>-5300</v>
      </c>
      <c r="I74" s="58">
        <f>H42-I42</f>
        <v>-5300</v>
      </c>
      <c r="J74" s="58">
        <f t="shared" ref="J74:S74" si="30">I42-J42</f>
        <v>-5300</v>
      </c>
      <c r="K74" s="58">
        <f t="shared" si="30"/>
        <v>-5300</v>
      </c>
      <c r="L74" s="58">
        <f t="shared" si="30"/>
        <v>-5300</v>
      </c>
      <c r="M74" s="58">
        <f t="shared" si="30"/>
        <v>-5300</v>
      </c>
      <c r="N74" s="58">
        <f t="shared" si="30"/>
        <v>-5300</v>
      </c>
      <c r="O74" s="58">
        <f t="shared" si="30"/>
        <v>-5300</v>
      </c>
      <c r="P74" s="58">
        <f t="shared" si="30"/>
        <v>-5300</v>
      </c>
      <c r="Q74" s="58">
        <f t="shared" si="30"/>
        <v>-5300</v>
      </c>
      <c r="R74" s="58">
        <f t="shared" si="30"/>
        <v>-5300</v>
      </c>
      <c r="S74" s="58">
        <f t="shared" si="30"/>
        <v>-5300</v>
      </c>
      <c r="T74" s="60">
        <f>-T42</f>
        <v>-63600</v>
      </c>
    </row>
    <row r="75" spans="1:20" x14ac:dyDescent="0.2">
      <c r="C75" s="35"/>
      <c r="D75" s="35"/>
      <c r="E75" s="35" t="s">
        <v>107</v>
      </c>
      <c r="F75" s="35"/>
      <c r="G75" s="88"/>
      <c r="H75" s="58">
        <f>H51-0</f>
        <v>4500</v>
      </c>
      <c r="I75" s="58">
        <f>I51-H51</f>
        <v>4500</v>
      </c>
      <c r="J75" s="58">
        <f t="shared" ref="J75:S75" si="31">J51-I51</f>
        <v>4500</v>
      </c>
      <c r="K75" s="58">
        <f t="shared" si="31"/>
        <v>4500</v>
      </c>
      <c r="L75" s="58">
        <f t="shared" si="31"/>
        <v>4500</v>
      </c>
      <c r="M75" s="58">
        <f t="shared" si="31"/>
        <v>4500</v>
      </c>
      <c r="N75" s="58">
        <f t="shared" si="31"/>
        <v>4500</v>
      </c>
      <c r="O75" s="58">
        <f t="shared" si="31"/>
        <v>4500</v>
      </c>
      <c r="P75" s="58">
        <f t="shared" si="31"/>
        <v>4500</v>
      </c>
      <c r="Q75" s="58">
        <f t="shared" si="31"/>
        <v>4500</v>
      </c>
      <c r="R75" s="58">
        <f t="shared" si="31"/>
        <v>4500</v>
      </c>
      <c r="S75" s="58">
        <f t="shared" si="31"/>
        <v>4500</v>
      </c>
      <c r="T75" s="60">
        <f>T51</f>
        <v>54000</v>
      </c>
    </row>
    <row r="76" spans="1:20" x14ac:dyDescent="0.2">
      <c r="C76" s="35"/>
      <c r="D76" s="35"/>
      <c r="E76" s="35" t="s">
        <v>108</v>
      </c>
      <c r="F76" s="35"/>
      <c r="G76" s="88"/>
      <c r="H76" s="58">
        <f>H52-0</f>
        <v>2200</v>
      </c>
      <c r="I76" s="58">
        <f>I52-H52</f>
        <v>2200</v>
      </c>
      <c r="J76" s="58">
        <f t="shared" ref="J76:S76" si="32">J52-I52</f>
        <v>2200</v>
      </c>
      <c r="K76" s="58">
        <f t="shared" si="32"/>
        <v>2200</v>
      </c>
      <c r="L76" s="58">
        <f t="shared" si="32"/>
        <v>2200</v>
      </c>
      <c r="M76" s="58">
        <f t="shared" si="32"/>
        <v>2200</v>
      </c>
      <c r="N76" s="58">
        <f t="shared" si="32"/>
        <v>2200</v>
      </c>
      <c r="O76" s="58">
        <f t="shared" si="32"/>
        <v>2200</v>
      </c>
      <c r="P76" s="58">
        <f t="shared" si="32"/>
        <v>2200</v>
      </c>
      <c r="Q76" s="58">
        <f t="shared" si="32"/>
        <v>2200</v>
      </c>
      <c r="R76" s="58">
        <f t="shared" si="32"/>
        <v>2200</v>
      </c>
      <c r="S76" s="58">
        <f t="shared" si="32"/>
        <v>2200</v>
      </c>
      <c r="T76" s="60">
        <f>T52</f>
        <v>26400</v>
      </c>
    </row>
    <row r="77" spans="1:20" s="48" customFormat="1" x14ac:dyDescent="0.2">
      <c r="A77" s="204"/>
      <c r="C77" s="34" t="s">
        <v>168</v>
      </c>
      <c r="D77" s="34"/>
      <c r="E77" s="34"/>
      <c r="F77" s="34"/>
      <c r="G77" s="88"/>
      <c r="H77" s="64">
        <f>SUM(H70:H76)</f>
        <v>300</v>
      </c>
      <c r="I77" s="65">
        <f t="shared" ref="I77:S77" si="33">SUM(I70:I76)</f>
        <v>300</v>
      </c>
      <c r="J77" s="65">
        <f t="shared" si="33"/>
        <v>300</v>
      </c>
      <c r="K77" s="65">
        <f t="shared" si="33"/>
        <v>300</v>
      </c>
      <c r="L77" s="65">
        <f t="shared" si="33"/>
        <v>300</v>
      </c>
      <c r="M77" s="65">
        <f t="shared" si="33"/>
        <v>300</v>
      </c>
      <c r="N77" s="65">
        <f t="shared" si="33"/>
        <v>300</v>
      </c>
      <c r="O77" s="65">
        <f t="shared" si="33"/>
        <v>300</v>
      </c>
      <c r="P77" s="65">
        <f t="shared" si="33"/>
        <v>300</v>
      </c>
      <c r="Q77" s="65">
        <f t="shared" si="33"/>
        <v>300</v>
      </c>
      <c r="R77" s="65">
        <f t="shared" si="33"/>
        <v>300</v>
      </c>
      <c r="S77" s="65">
        <f t="shared" si="33"/>
        <v>300</v>
      </c>
      <c r="T77" s="66">
        <f>SUM(T70:T76)</f>
        <v>3600</v>
      </c>
    </row>
    <row r="78" spans="1:20" x14ac:dyDescent="0.2">
      <c r="C78" s="35"/>
      <c r="D78" s="35"/>
      <c r="E78" s="35"/>
      <c r="F78" s="35"/>
      <c r="G78" s="88"/>
      <c r="H78" s="64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60"/>
    </row>
    <row r="79" spans="1:20" s="48" customFormat="1" x14ac:dyDescent="0.2">
      <c r="A79" s="204"/>
      <c r="C79" s="34" t="s">
        <v>170</v>
      </c>
      <c r="D79" s="34"/>
      <c r="E79" s="34"/>
      <c r="F79" s="34"/>
      <c r="G79" s="91"/>
      <c r="H79" s="58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6"/>
    </row>
    <row r="80" spans="1:20" x14ac:dyDescent="0.2">
      <c r="C80" s="35"/>
      <c r="D80" s="35" t="s">
        <v>171</v>
      </c>
      <c r="E80" s="35"/>
      <c r="F80" s="35"/>
      <c r="G80" s="88"/>
      <c r="H80" s="229">
        <v>-2300</v>
      </c>
      <c r="I80" s="229">
        <v>-2300</v>
      </c>
      <c r="J80" s="229">
        <v>-2300</v>
      </c>
      <c r="K80" s="229">
        <v>-2300</v>
      </c>
      <c r="L80" s="229">
        <v>-2300</v>
      </c>
      <c r="M80" s="229">
        <v>-2300</v>
      </c>
      <c r="N80" s="229">
        <v>-2300</v>
      </c>
      <c r="O80" s="229">
        <v>-2300</v>
      </c>
      <c r="P80" s="229">
        <v>-2300</v>
      </c>
      <c r="Q80" s="229">
        <v>-2300</v>
      </c>
      <c r="R80" s="229">
        <v>-2300</v>
      </c>
      <c r="S80" s="229">
        <v>-2300</v>
      </c>
      <c r="T80" s="60">
        <f>SUM(H80:S80)</f>
        <v>-27600</v>
      </c>
    </row>
    <row r="81" spans="1:20" s="48" customFormat="1" x14ac:dyDescent="0.2">
      <c r="A81" s="204"/>
      <c r="C81" s="34" t="s">
        <v>172</v>
      </c>
      <c r="D81" s="34"/>
      <c r="E81" s="34"/>
      <c r="F81" s="34"/>
      <c r="G81" s="88"/>
      <c r="H81" s="64">
        <f t="shared" ref="H81:S81" si="34">SUM(H80)</f>
        <v>-2300</v>
      </c>
      <c r="I81" s="65">
        <f t="shared" si="34"/>
        <v>-2300</v>
      </c>
      <c r="J81" s="65">
        <f t="shared" si="34"/>
        <v>-2300</v>
      </c>
      <c r="K81" s="65">
        <f t="shared" si="34"/>
        <v>-2300</v>
      </c>
      <c r="L81" s="65">
        <f t="shared" si="34"/>
        <v>-2300</v>
      </c>
      <c r="M81" s="65">
        <f t="shared" si="34"/>
        <v>-2300</v>
      </c>
      <c r="N81" s="65">
        <f t="shared" si="34"/>
        <v>-2300</v>
      </c>
      <c r="O81" s="65">
        <f t="shared" si="34"/>
        <v>-2300</v>
      </c>
      <c r="P81" s="65">
        <f t="shared" si="34"/>
        <v>-2300</v>
      </c>
      <c r="Q81" s="65">
        <f t="shared" si="34"/>
        <v>-2300</v>
      </c>
      <c r="R81" s="65">
        <f t="shared" si="34"/>
        <v>-2300</v>
      </c>
      <c r="S81" s="65">
        <f t="shared" si="34"/>
        <v>-2300</v>
      </c>
      <c r="T81" s="66">
        <f>SUM(T80)</f>
        <v>-27600</v>
      </c>
    </row>
    <row r="82" spans="1:20" x14ac:dyDescent="0.2">
      <c r="C82" s="35"/>
      <c r="D82" s="35"/>
      <c r="E82" s="35"/>
      <c r="F82" s="35"/>
      <c r="G82" s="88"/>
      <c r="H82" s="64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60"/>
    </row>
    <row r="83" spans="1:20" s="48" customFormat="1" x14ac:dyDescent="0.2">
      <c r="A83" s="204"/>
      <c r="C83" s="34" t="s">
        <v>307</v>
      </c>
      <c r="D83" s="34"/>
      <c r="E83" s="34"/>
      <c r="F83" s="34"/>
      <c r="G83" s="91"/>
      <c r="H83" s="58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6"/>
    </row>
    <row r="84" spans="1:20" x14ac:dyDescent="0.2">
      <c r="C84" s="35"/>
      <c r="D84" s="35" t="s">
        <v>173</v>
      </c>
      <c r="E84" s="35"/>
      <c r="F84" s="35"/>
      <c r="G84" s="88"/>
      <c r="H84" s="229">
        <v>80000</v>
      </c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60">
        <f>SUM(H84:S84)</f>
        <v>80000</v>
      </c>
    </row>
    <row r="85" spans="1:20" x14ac:dyDescent="0.2">
      <c r="C85" s="35"/>
      <c r="D85" s="35" t="s">
        <v>174</v>
      </c>
      <c r="E85" s="35"/>
      <c r="F85" s="35"/>
      <c r="G85" s="88"/>
      <c r="H85" s="229">
        <v>110000</v>
      </c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60">
        <f>SUM(H85:S85)</f>
        <v>110000</v>
      </c>
    </row>
    <row r="86" spans="1:20" x14ac:dyDescent="0.2">
      <c r="C86" s="35"/>
      <c r="D86" s="35" t="s">
        <v>235</v>
      </c>
      <c r="E86" s="35"/>
      <c r="F86" s="35"/>
      <c r="G86" s="88"/>
      <c r="H86" s="229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35"/>
    </row>
    <row r="87" spans="1:20" s="48" customFormat="1" x14ac:dyDescent="0.2">
      <c r="A87" s="204"/>
      <c r="C87" s="34" t="s">
        <v>175</v>
      </c>
      <c r="D87" s="34"/>
      <c r="E87" s="34"/>
      <c r="F87" s="34"/>
      <c r="G87" s="88"/>
      <c r="H87" s="64">
        <f>SUM(H84:H86)</f>
        <v>190000</v>
      </c>
      <c r="I87" s="65">
        <f t="shared" ref="I87:S87" si="35">SUM(I84:I86)</f>
        <v>0</v>
      </c>
      <c r="J87" s="65">
        <f t="shared" si="35"/>
        <v>0</v>
      </c>
      <c r="K87" s="65">
        <f t="shared" si="35"/>
        <v>0</v>
      </c>
      <c r="L87" s="65">
        <f t="shared" si="35"/>
        <v>0</v>
      </c>
      <c r="M87" s="65">
        <f t="shared" si="35"/>
        <v>0</v>
      </c>
      <c r="N87" s="65">
        <f t="shared" si="35"/>
        <v>0</v>
      </c>
      <c r="O87" s="65">
        <f t="shared" si="35"/>
        <v>0</v>
      </c>
      <c r="P87" s="65">
        <f t="shared" si="35"/>
        <v>0</v>
      </c>
      <c r="Q87" s="65">
        <f t="shared" si="35"/>
        <v>0</v>
      </c>
      <c r="R87" s="65">
        <f t="shared" si="35"/>
        <v>0</v>
      </c>
      <c r="S87" s="65">
        <f t="shared" si="35"/>
        <v>0</v>
      </c>
      <c r="T87" s="66">
        <f>SUM(T84:T85)</f>
        <v>190000</v>
      </c>
    </row>
    <row r="88" spans="1:20" x14ac:dyDescent="0.2">
      <c r="C88" s="35"/>
      <c r="D88" s="35"/>
      <c r="E88" s="35"/>
      <c r="F88" s="35"/>
      <c r="G88" s="88"/>
      <c r="H88" s="64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60"/>
    </row>
    <row r="89" spans="1:20" x14ac:dyDescent="0.2">
      <c r="C89" s="35"/>
      <c r="D89" s="35" t="s">
        <v>176</v>
      </c>
      <c r="E89" s="35"/>
      <c r="F89" s="35"/>
      <c r="G89" s="88"/>
      <c r="H89" s="58">
        <f>H77+H81+H87</f>
        <v>188000</v>
      </c>
      <c r="I89" s="59">
        <f t="shared" ref="I89:S89" si="36">I77+I81+I87</f>
        <v>-2000</v>
      </c>
      <c r="J89" s="59">
        <f t="shared" si="36"/>
        <v>-2000</v>
      </c>
      <c r="K89" s="59">
        <f t="shared" si="36"/>
        <v>-2000</v>
      </c>
      <c r="L89" s="59">
        <f t="shared" si="36"/>
        <v>-2000</v>
      </c>
      <c r="M89" s="59">
        <f t="shared" si="36"/>
        <v>-2000</v>
      </c>
      <c r="N89" s="59">
        <f t="shared" si="36"/>
        <v>-2000</v>
      </c>
      <c r="O89" s="59">
        <f t="shared" si="36"/>
        <v>-2000</v>
      </c>
      <c r="P89" s="59">
        <f t="shared" si="36"/>
        <v>-2000</v>
      </c>
      <c r="Q89" s="59">
        <f t="shared" si="36"/>
        <v>-2000</v>
      </c>
      <c r="R89" s="59">
        <f t="shared" si="36"/>
        <v>-2000</v>
      </c>
      <c r="S89" s="59">
        <f t="shared" si="36"/>
        <v>-2000</v>
      </c>
      <c r="T89" s="60">
        <f>T77+T81+T87</f>
        <v>166000</v>
      </c>
    </row>
    <row r="90" spans="1:20" x14ac:dyDescent="0.2">
      <c r="C90" s="35"/>
      <c r="D90" s="35" t="s">
        <v>177</v>
      </c>
      <c r="E90" s="35"/>
      <c r="F90" s="35"/>
      <c r="G90" s="88"/>
      <c r="H90" s="162">
        <v>0</v>
      </c>
      <c r="I90" s="59">
        <f>H91</f>
        <v>188000</v>
      </c>
      <c r="J90" s="59">
        <f t="shared" ref="J90:S90" si="37">I91</f>
        <v>186000</v>
      </c>
      <c r="K90" s="59">
        <f t="shared" si="37"/>
        <v>184000</v>
      </c>
      <c r="L90" s="59">
        <f t="shared" si="37"/>
        <v>182000</v>
      </c>
      <c r="M90" s="59">
        <f t="shared" si="37"/>
        <v>180000</v>
      </c>
      <c r="N90" s="59">
        <f t="shared" si="37"/>
        <v>178000</v>
      </c>
      <c r="O90" s="59">
        <f t="shared" si="37"/>
        <v>176000</v>
      </c>
      <c r="P90" s="59">
        <f t="shared" si="37"/>
        <v>174000</v>
      </c>
      <c r="Q90" s="59">
        <f t="shared" si="37"/>
        <v>172000</v>
      </c>
      <c r="R90" s="59">
        <f t="shared" si="37"/>
        <v>170000</v>
      </c>
      <c r="S90" s="59">
        <f t="shared" si="37"/>
        <v>168000</v>
      </c>
      <c r="T90" s="60">
        <f>H90</f>
        <v>0</v>
      </c>
    </row>
    <row r="91" spans="1:20" s="48" customFormat="1" x14ac:dyDescent="0.2">
      <c r="A91" s="204"/>
      <c r="C91" s="34" t="s">
        <v>178</v>
      </c>
      <c r="D91" s="34"/>
      <c r="E91" s="34"/>
      <c r="F91" s="34"/>
      <c r="G91" s="88"/>
      <c r="H91" s="64">
        <f>SUM(H89:H90)</f>
        <v>188000</v>
      </c>
      <c r="I91" s="65">
        <f t="shared" ref="I91:S91" si="38">SUM(I89:I90)</f>
        <v>186000</v>
      </c>
      <c r="J91" s="65">
        <f t="shared" si="38"/>
        <v>184000</v>
      </c>
      <c r="K91" s="65">
        <f t="shared" si="38"/>
        <v>182000</v>
      </c>
      <c r="L91" s="65">
        <f t="shared" si="38"/>
        <v>180000</v>
      </c>
      <c r="M91" s="65">
        <f t="shared" si="38"/>
        <v>178000</v>
      </c>
      <c r="N91" s="65">
        <f t="shared" si="38"/>
        <v>176000</v>
      </c>
      <c r="O91" s="65">
        <f t="shared" si="38"/>
        <v>174000</v>
      </c>
      <c r="P91" s="65">
        <f t="shared" si="38"/>
        <v>172000</v>
      </c>
      <c r="Q91" s="65">
        <f t="shared" si="38"/>
        <v>170000</v>
      </c>
      <c r="R91" s="65">
        <f t="shared" si="38"/>
        <v>168000</v>
      </c>
      <c r="S91" s="65">
        <f t="shared" si="38"/>
        <v>166000</v>
      </c>
      <c r="T91" s="66">
        <f>SUM(T89:T90)</f>
        <v>166000</v>
      </c>
    </row>
    <row r="92" spans="1:20" x14ac:dyDescent="0.2">
      <c r="H92" s="48"/>
    </row>
  </sheetData>
  <mergeCells count="2">
    <mergeCell ref="H6:S6"/>
    <mergeCell ref="B2:T2"/>
  </mergeCells>
  <conditionalFormatting sqref="H19">
    <cfRule type="expression" dxfId="133" priority="39">
      <formula>$H$19&lt;0</formula>
    </cfRule>
  </conditionalFormatting>
  <conditionalFormatting sqref="H29">
    <cfRule type="expression" dxfId="132" priority="26">
      <formula>$H$29&lt;0</formula>
    </cfRule>
  </conditionalFormatting>
  <conditionalFormatting sqref="H36">
    <cfRule type="expression" dxfId="131" priority="13">
      <formula>$H$36&lt;0</formula>
    </cfRule>
  </conditionalFormatting>
  <conditionalFormatting sqref="I19">
    <cfRule type="expression" dxfId="130" priority="38">
      <formula>$I$19&lt;0</formula>
    </cfRule>
  </conditionalFormatting>
  <conditionalFormatting sqref="I29">
    <cfRule type="expression" dxfId="129" priority="25">
      <formula>$I$29&lt;0</formula>
    </cfRule>
  </conditionalFormatting>
  <conditionalFormatting sqref="I36">
    <cfRule type="expression" dxfId="128" priority="12">
      <formula>$I$36&lt;0</formula>
    </cfRule>
  </conditionalFormatting>
  <conditionalFormatting sqref="J19">
    <cfRule type="expression" dxfId="127" priority="37">
      <formula>$J$19&lt;0</formula>
    </cfRule>
  </conditionalFormatting>
  <conditionalFormatting sqref="J29">
    <cfRule type="expression" dxfId="126" priority="24">
      <formula>$J$29&lt;0</formula>
    </cfRule>
  </conditionalFormatting>
  <conditionalFormatting sqref="J36">
    <cfRule type="expression" dxfId="125" priority="11">
      <formula>$J$36&lt;0</formula>
    </cfRule>
  </conditionalFormatting>
  <conditionalFormatting sqref="K19">
    <cfRule type="expression" dxfId="124" priority="36">
      <formula>$K$19&lt;0</formula>
    </cfRule>
  </conditionalFormatting>
  <conditionalFormatting sqref="K29">
    <cfRule type="expression" dxfId="123" priority="23">
      <formula>$K$29&lt;0</formula>
    </cfRule>
  </conditionalFormatting>
  <conditionalFormatting sqref="K36">
    <cfRule type="expression" dxfId="122" priority="10">
      <formula>$K$36&lt;0</formula>
    </cfRule>
  </conditionalFormatting>
  <conditionalFormatting sqref="L19">
    <cfRule type="expression" dxfId="121" priority="35">
      <formula>$L$19&lt;0</formula>
    </cfRule>
  </conditionalFormatting>
  <conditionalFormatting sqref="L29">
    <cfRule type="expression" dxfId="120" priority="22">
      <formula>$L$29&lt;0</formula>
    </cfRule>
  </conditionalFormatting>
  <conditionalFormatting sqref="L36">
    <cfRule type="expression" dxfId="119" priority="9">
      <formula>$L$36&lt;0</formula>
    </cfRule>
  </conditionalFormatting>
  <conditionalFormatting sqref="M19">
    <cfRule type="expression" dxfId="118" priority="34">
      <formula>$M$19&lt;0</formula>
    </cfRule>
  </conditionalFormatting>
  <conditionalFormatting sqref="M29">
    <cfRule type="expression" dxfId="117" priority="21">
      <formula>$M$29&lt;0</formula>
    </cfRule>
  </conditionalFormatting>
  <conditionalFormatting sqref="M36">
    <cfRule type="expression" dxfId="116" priority="8">
      <formula>$M$36&lt;0</formula>
    </cfRule>
  </conditionalFormatting>
  <conditionalFormatting sqref="N19">
    <cfRule type="expression" dxfId="115" priority="33">
      <formula>$N$19&lt;0</formula>
    </cfRule>
  </conditionalFormatting>
  <conditionalFormatting sqref="N29">
    <cfRule type="expression" dxfId="114" priority="20">
      <formula>$N$29&lt;0</formula>
    </cfRule>
  </conditionalFormatting>
  <conditionalFormatting sqref="N36">
    <cfRule type="expression" dxfId="113" priority="7">
      <formula>$N$36&lt;0</formula>
    </cfRule>
  </conditionalFormatting>
  <conditionalFormatting sqref="O19">
    <cfRule type="expression" dxfId="112" priority="32">
      <formula>$O$19&lt;0</formula>
    </cfRule>
  </conditionalFormatting>
  <conditionalFormatting sqref="O29">
    <cfRule type="expression" dxfId="111" priority="19">
      <formula>$O$29&lt;0</formula>
    </cfRule>
  </conditionalFormatting>
  <conditionalFormatting sqref="O36">
    <cfRule type="expression" dxfId="110" priority="6">
      <formula>$O$36&lt;0</formula>
    </cfRule>
  </conditionalFormatting>
  <conditionalFormatting sqref="P19">
    <cfRule type="expression" dxfId="109" priority="31">
      <formula>$P$19&lt;0</formula>
    </cfRule>
  </conditionalFormatting>
  <conditionalFormatting sqref="P29">
    <cfRule type="expression" dxfId="108" priority="18">
      <formula>$P$29&lt;0</formula>
    </cfRule>
  </conditionalFormatting>
  <conditionalFormatting sqref="P36">
    <cfRule type="expression" dxfId="107" priority="5">
      <formula>$P$36&lt;0</formula>
    </cfRule>
  </conditionalFormatting>
  <conditionalFormatting sqref="Q19">
    <cfRule type="expression" dxfId="106" priority="30">
      <formula>$Q$19&lt;0</formula>
    </cfRule>
  </conditionalFormatting>
  <conditionalFormatting sqref="Q29">
    <cfRule type="expression" dxfId="105" priority="17">
      <formula>$Q$29&lt;0</formula>
    </cfRule>
  </conditionalFormatting>
  <conditionalFormatting sqref="Q36">
    <cfRule type="expression" dxfId="104" priority="4">
      <formula>$Q$36&lt;0</formula>
    </cfRule>
  </conditionalFormatting>
  <conditionalFormatting sqref="R19">
    <cfRule type="expression" dxfId="103" priority="29">
      <formula>$R$19&lt;0</formula>
    </cfRule>
  </conditionalFormatting>
  <conditionalFormatting sqref="R29">
    <cfRule type="expression" dxfId="102" priority="16">
      <formula>$R$29&lt;0</formula>
    </cfRule>
  </conditionalFormatting>
  <conditionalFormatting sqref="R36">
    <cfRule type="expression" dxfId="101" priority="3">
      <formula>$R$36&lt;0</formula>
    </cfRule>
  </conditionalFormatting>
  <conditionalFormatting sqref="S19">
    <cfRule type="expression" dxfId="100" priority="28">
      <formula>$S$19&lt;0</formula>
    </cfRule>
  </conditionalFormatting>
  <conditionalFormatting sqref="S29">
    <cfRule type="expression" dxfId="99" priority="15">
      <formula>$S$29&lt;0</formula>
    </cfRule>
  </conditionalFormatting>
  <conditionalFormatting sqref="S36">
    <cfRule type="expression" dxfId="98" priority="2">
      <formula>$S$36&lt;0</formula>
    </cfRule>
  </conditionalFormatting>
  <conditionalFormatting sqref="T19">
    <cfRule type="expression" dxfId="97" priority="27">
      <formula>$T$19&lt;0</formula>
    </cfRule>
  </conditionalFormatting>
  <conditionalFormatting sqref="T29">
    <cfRule type="expression" dxfId="96" priority="14">
      <formula>$T$29&lt;0</formula>
    </cfRule>
  </conditionalFormatting>
  <conditionalFormatting sqref="T36">
    <cfRule type="expression" dxfId="95" priority="1">
      <formula>$T$36&lt;0</formula>
    </cfRule>
  </conditionalFormatting>
  <pageMargins left="0.25" right="0.25" top="0.75" bottom="0.75" header="0.3" footer="0.3"/>
  <pageSetup paperSize="9" scale="58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5AD5DABD-6403-4041-9831-4F4AFD40451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FS'!H91:S91</xm:f>
              <xm:sqref>G91</xm:sqref>
            </x14:sparkline>
          </x14:sparklines>
        </x14:sparklineGroup>
        <x14:sparklineGroup type="column" displayEmptyCellsAs="gap" negative="1" xr2:uid="{9F16664B-6478-4311-A007-2BD132145E5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FS'!H90:S90</xm:f>
              <xm:sqref>G90</xm:sqref>
            </x14:sparkline>
          </x14:sparklines>
        </x14:sparklineGroup>
        <x14:sparklineGroup type="column" displayEmptyCellsAs="gap" negative="1" xr2:uid="{EDC03136-22E3-430C-AD52-971E685EC2F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FS'!H89:S89</xm:f>
              <xm:sqref>G89</xm:sqref>
            </x14:sparkline>
          </x14:sparklines>
        </x14:sparklineGroup>
        <x14:sparklineGroup type="column" displayEmptyCellsAs="gap" negative="1" xr2:uid="{4CDD2892-64FC-4619-BEF1-5DB9D66B497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FS'!H87:S87</xm:f>
              <xm:sqref>G87</xm:sqref>
            </x14:sparkline>
          </x14:sparklines>
        </x14:sparklineGroup>
        <x14:sparklineGroup type="column" displayEmptyCellsAs="gap" negative="1" xr2:uid="{1D3563BD-2ABE-42E5-8596-9538BB4170F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FS'!H86:S86</xm:f>
              <xm:sqref>G86</xm:sqref>
            </x14:sparkline>
          </x14:sparklines>
        </x14:sparklineGroup>
        <x14:sparklineGroup type="column" displayEmptyCellsAs="gap" negative="1" xr2:uid="{E0C5F383-F246-43A1-8062-1B245943F0C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FS'!H85:S85</xm:f>
              <xm:sqref>G85</xm:sqref>
            </x14:sparkline>
          </x14:sparklines>
        </x14:sparklineGroup>
        <x14:sparklineGroup type="column" displayEmptyCellsAs="gap" negative="1" xr2:uid="{0DD444E4-2B9D-4447-A55A-9A1525E1C3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FS'!H84:S84</xm:f>
              <xm:sqref>G84</xm:sqref>
            </x14:sparkline>
          </x14:sparklines>
        </x14:sparklineGroup>
        <x14:sparklineGroup type="column" displayEmptyCellsAs="gap" negative="1" xr2:uid="{03EEFAAC-1FC4-4A73-AD39-ECCE67CDD60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FS'!H81:S81</xm:f>
              <xm:sqref>G81</xm:sqref>
            </x14:sparkline>
          </x14:sparklines>
        </x14:sparklineGroup>
        <x14:sparklineGroup type="column" displayEmptyCellsAs="gap" negative="1" xr2:uid="{5ABE04F2-E287-492E-A15D-6112BB4C61E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FS'!H80:S80</xm:f>
              <xm:sqref>G80</xm:sqref>
            </x14:sparkline>
          </x14:sparklines>
        </x14:sparklineGroup>
        <x14:sparklineGroup type="column" displayEmptyCellsAs="gap" negative="1" xr2:uid="{8AD3A5C4-D01D-4CB4-8AD9-859A7550CE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FS'!H77:S77</xm:f>
              <xm:sqref>G77</xm:sqref>
            </x14:sparkline>
          </x14:sparklines>
        </x14:sparklineGroup>
        <x14:sparklineGroup type="column" displayEmptyCellsAs="gap" negative="1" xr2:uid="{7E28404E-6D05-4AE2-BD74-BB1D643CADE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FS'!H76:S76</xm:f>
              <xm:sqref>G76</xm:sqref>
            </x14:sparkline>
          </x14:sparklines>
        </x14:sparklineGroup>
        <x14:sparklineGroup type="column" displayEmptyCellsAs="gap" negative="1" xr2:uid="{72140917-0B5B-4915-827D-523DA39254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FS'!H75:S75</xm:f>
              <xm:sqref>G75</xm:sqref>
            </x14:sparkline>
          </x14:sparklines>
        </x14:sparklineGroup>
        <x14:sparklineGroup type="stacked" displayEmptyCellsAs="gap" negative="1" xr2:uid="{183C38F7-4C37-412C-9000-2CF7DDAE397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FS'!H73:S73</xm:f>
              <xm:sqref>G73</xm:sqref>
            </x14:sparkline>
          </x14:sparklines>
        </x14:sparklineGroup>
        <x14:sparklineGroup type="column" displayEmptyCellsAs="gap" negative="1" xr2:uid="{5631F4B8-1AC7-4EEC-9B44-E0B6324A8B8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FS'!H74:S74</xm:f>
              <xm:sqref>G74</xm:sqref>
            </x14:sparkline>
          </x14:sparklines>
        </x14:sparklineGroup>
        <x14:sparklineGroup type="column" displayEmptyCellsAs="gap" negative="1" xr2:uid="{219CA362-8865-4F9B-97A9-DBA3F70515F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FS'!H71:S71</xm:f>
              <xm:sqref>G71</xm:sqref>
            </x14:sparkline>
          </x14:sparklines>
        </x14:sparklineGroup>
        <x14:sparklineGroup type="column" displayEmptyCellsAs="gap" negative="1" xr2:uid="{709E2D55-DD3A-4A07-B894-2106E7CEC5B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FS'!H70:S70</xm:f>
              <xm:sqref>G70</xm:sqref>
            </x14:sparkline>
          </x14:sparklines>
        </x14:sparklineGroup>
        <x14:sparklineGroup type="column" displayEmptyCellsAs="gap" negative="1" xr2:uid="{BCC2DCEB-5E76-4F33-B8F1-1207BB9004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FS'!H64:S64</xm:f>
              <xm:sqref>G64</xm:sqref>
            </x14:sparkline>
          </x14:sparklines>
        </x14:sparklineGroup>
        <x14:sparklineGroup type="column" displayEmptyCellsAs="gap" negative="1" xr2:uid="{0BD1A83D-8523-4EB2-AB91-ED9ABAF3279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FS'!H63:S63</xm:f>
              <xm:sqref>G63</xm:sqref>
            </x14:sparkline>
          </x14:sparklines>
        </x14:sparklineGroup>
        <x14:sparklineGroup type="column" displayEmptyCellsAs="gap" negative="1" xr2:uid="{91C5BE5B-E921-4036-8A27-6B2C62AC2FE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FS'!H62:S62</xm:f>
              <xm:sqref>G62</xm:sqref>
            </x14:sparkline>
          </x14:sparklines>
        </x14:sparklineGroup>
        <x14:sparklineGroup type="column" displayEmptyCellsAs="gap" negative="1" xr2:uid="{73F3E16C-A83F-4B1C-96BE-6095A1E0227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FS'!H61:S61</xm:f>
              <xm:sqref>G61</xm:sqref>
            </x14:sparkline>
          </x14:sparklines>
        </x14:sparklineGroup>
        <x14:sparklineGroup type="column" displayEmptyCellsAs="gap" negative="1" xr2:uid="{944C96FA-0D6A-4801-90CB-B7A1AE79F6D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FS'!H58:S58</xm:f>
              <xm:sqref>G58</xm:sqref>
            </x14:sparkline>
          </x14:sparklines>
        </x14:sparklineGroup>
        <x14:sparklineGroup type="column" displayEmptyCellsAs="gap" negative="1" xr2:uid="{26446022-8810-40AB-B9FC-B9F98FEDB4E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FS'!H57:S57</xm:f>
              <xm:sqref>G57</xm:sqref>
            </x14:sparkline>
          </x14:sparklines>
        </x14:sparklineGroup>
        <x14:sparklineGroup type="column" displayEmptyCellsAs="gap" negative="1" xr2:uid="{017066F4-E0FF-4A3C-9075-8DCE7CB3D49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FS'!H56:S56</xm:f>
              <xm:sqref>G56</xm:sqref>
            </x14:sparkline>
          </x14:sparklines>
        </x14:sparklineGroup>
        <x14:sparklineGroup type="column" displayEmptyCellsAs="gap" negative="1" xr2:uid="{C8FCB77F-6E30-48A8-826F-995B9BD9808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FS'!H53:S53</xm:f>
              <xm:sqref>G53</xm:sqref>
            </x14:sparkline>
          </x14:sparklines>
        </x14:sparklineGroup>
        <x14:sparklineGroup type="column" displayEmptyCellsAs="gap" negative="1" xr2:uid="{3173E8F2-9CF5-42FA-BD91-1ADCA09FDD2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FS'!H52:S52</xm:f>
              <xm:sqref>G52</xm:sqref>
            </x14:sparkline>
          </x14:sparklines>
        </x14:sparklineGroup>
        <x14:sparklineGroup type="column" displayEmptyCellsAs="gap" negative="1" xr2:uid="{1FBFEE71-F3D7-4E86-A340-81C51CCB0A0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FS'!H51:S51</xm:f>
              <xm:sqref>G51</xm:sqref>
            </x14:sparkline>
          </x14:sparklines>
        </x14:sparklineGroup>
        <x14:sparklineGroup type="column" displayEmptyCellsAs="gap" negative="1" xr2:uid="{F2A16329-EDCC-45A5-8722-B34F675BF2E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FS'!H48:S48</xm:f>
              <xm:sqref>G48</xm:sqref>
            </x14:sparkline>
          </x14:sparklines>
        </x14:sparklineGroup>
        <x14:sparklineGroup type="column" displayEmptyCellsAs="gap" negative="1" xr2:uid="{77BBA25F-00A5-473D-9ACC-6133F07E10A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FS'!H47:S47</xm:f>
              <xm:sqref>G47</xm:sqref>
            </x14:sparkline>
          </x14:sparklines>
        </x14:sparklineGroup>
        <x14:sparklineGroup type="column" displayEmptyCellsAs="gap" negative="1" xr2:uid="{EFE6D5B3-D386-449A-BC4E-379EE59ED92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FS'!H46:S46</xm:f>
              <xm:sqref>G46</xm:sqref>
            </x14:sparkline>
          </x14:sparklines>
        </x14:sparklineGroup>
        <x14:sparklineGroup type="column" displayEmptyCellsAs="gap" negative="1" xr2:uid="{4175512B-3959-42DA-B575-1FC00429F4C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FS'!H43:S43</xm:f>
              <xm:sqref>G43</xm:sqref>
            </x14:sparkline>
          </x14:sparklines>
        </x14:sparklineGroup>
        <x14:sparklineGroup type="column" displayEmptyCellsAs="gap" negative="1" xr2:uid="{9925C886-E7AE-44AE-A209-628279C4DA4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FS'!H42:S42</xm:f>
              <xm:sqref>G42</xm:sqref>
            </x14:sparkline>
          </x14:sparklines>
        </x14:sparklineGroup>
        <x14:sparklineGroup type="column" displayEmptyCellsAs="gap" negative="1" xr2:uid="{5809839E-BBB9-4376-BAFE-D903B2ACCEE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FS'!H41:S41</xm:f>
              <xm:sqref>G41</xm:sqref>
            </x14:sparkline>
          </x14:sparklines>
        </x14:sparklineGroup>
        <x14:sparklineGroup type="column" displayEmptyCellsAs="gap" negative="1" xr2:uid="{154064CD-C1CD-471D-8FB2-B4561D4D559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FS'!H40:S40</xm:f>
              <xm:sqref>G40</xm:sqref>
            </x14:sparkline>
          </x14:sparklines>
        </x14:sparklineGroup>
        <x14:sparklineGroup type="column" displayEmptyCellsAs="gap" negative="1" xr2:uid="{FD732529-FB7B-465A-8BAC-A6145F12221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FS'!H31:S31</xm:f>
              <xm:sqref>G31</xm:sqref>
            </x14:sparkline>
          </x14:sparklines>
        </x14:sparklineGroup>
        <x14:sparklineGroup type="column" displayEmptyCellsAs="gap" negative="1" xr2:uid="{50616F58-C526-41A5-BFA5-65559EDF9A9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FS'!H35:S35</xm:f>
              <xm:sqref>G35</xm:sqref>
            </x14:sparkline>
          </x14:sparklines>
        </x14:sparklineGroup>
        <x14:sparklineGroup type="column" displayEmptyCellsAs="gap" negative="1" xr2:uid="{9F17F7C5-FD6E-4234-9AE2-E2AEA49E274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FS'!H34:S34</xm:f>
              <xm:sqref>G34</xm:sqref>
            </x14:sparkline>
          </x14:sparklines>
        </x14:sparklineGroup>
        <x14:sparklineGroup type="column" displayEmptyCellsAs="gap" negative="1" xr2:uid="{48EA07F3-B2CE-40B4-82AB-81607C6F213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FS'!H32:S32</xm:f>
              <xm:sqref>G32</xm:sqref>
            </x14:sparkline>
          </x14:sparklines>
        </x14:sparklineGroup>
        <x14:sparklineGroup type="column" displayEmptyCellsAs="gap" negative="1" xr2:uid="{8745F0CD-B13B-43F1-8302-290242367A0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FS'!H28:S28</xm:f>
              <xm:sqref>G28</xm:sqref>
            </x14:sparkline>
          </x14:sparklines>
        </x14:sparklineGroup>
        <x14:sparklineGroup type="column" displayEmptyCellsAs="gap" negative="1" xr2:uid="{23D7CE44-4BC6-43E6-92E0-ACB76927C86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FS'!H26:S26</xm:f>
              <xm:sqref>G26</xm:sqref>
            </x14:sparkline>
          </x14:sparklines>
        </x14:sparklineGroup>
        <x14:sparklineGroup type="column" displayEmptyCellsAs="gap" negative="1" xr2:uid="{CA6A68EC-9346-4EE3-A401-64FB630237E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FS'!H25:S25</xm:f>
              <xm:sqref>G25</xm:sqref>
            </x14:sparkline>
          </x14:sparklines>
        </x14:sparklineGroup>
        <x14:sparklineGroup type="column" displayEmptyCellsAs="gap" negative="1" xr2:uid="{4A3D6544-DEFE-4E97-81DF-89900434724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FS'!H24:S24</xm:f>
              <xm:sqref>G24</xm:sqref>
            </x14:sparkline>
          </x14:sparklines>
        </x14:sparklineGroup>
        <x14:sparklineGroup type="column" displayEmptyCellsAs="gap" negative="1" xr2:uid="{567484B4-755E-493A-A585-16B1E406FBA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FS'!H23:S23</xm:f>
              <xm:sqref>G23</xm:sqref>
            </x14:sparkline>
          </x14:sparklines>
        </x14:sparklineGroup>
        <x14:sparklineGroup type="column" displayEmptyCellsAs="gap" negative="1" xr2:uid="{14507C27-8D21-4BDC-8ADC-8B63EDA3F2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FS'!H22:S22</xm:f>
              <xm:sqref>G22</xm:sqref>
            </x14:sparkline>
          </x14:sparklines>
        </x14:sparklineGroup>
        <x14:sparklineGroup type="column" displayEmptyCellsAs="gap" negative="1" xr2:uid="{1041ADA3-4B63-4C9F-BDFD-F5169B2A03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FS'!H21:S21</xm:f>
              <xm:sqref>G21</xm:sqref>
            </x14:sparkline>
          </x14:sparklines>
        </x14:sparklineGroup>
        <x14:sparklineGroup type="column" displayEmptyCellsAs="gap" negative="1" xr2:uid="{04FAC067-4ADD-4CAC-841C-5384EE580A3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FS'!H18:S18</xm:f>
              <xm:sqref>G18</xm:sqref>
            </x14:sparkline>
          </x14:sparklines>
        </x14:sparklineGroup>
        <x14:sparklineGroup type="column" displayEmptyCellsAs="gap" negative="1" xr2:uid="{E10DCD26-D3E1-46D2-BDE5-BAA569C9D39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FS'!H16:S16</xm:f>
              <xm:sqref>G16</xm:sqref>
            </x14:sparkline>
          </x14:sparklines>
        </x14:sparklineGroup>
        <x14:sparklineGroup type="column" displayEmptyCellsAs="gap" negative="1" xr2:uid="{39782AB3-08BA-409B-A2ED-D8406377EA5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FS'!H15:S15</xm:f>
              <xm:sqref>G15</xm:sqref>
            </x14:sparkline>
          </x14:sparklines>
        </x14:sparklineGroup>
        <x14:sparklineGroup type="column" displayEmptyCellsAs="gap" negative="1" xr2:uid="{14FF6815-0199-4B06-B9A4-74D624FF3CE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FS'!H14:S14</xm:f>
              <xm:sqref>G14</xm:sqref>
            </x14:sparkline>
          </x14:sparklines>
        </x14:sparklineGroup>
        <x14:sparklineGroup type="column" displayEmptyCellsAs="gap" negative="1" xr2:uid="{BF05DB58-C9CF-4BF2-87A0-F6C18B0A1C2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FS'!H13:S13</xm:f>
              <xm:sqref>G13</xm:sqref>
            </x14:sparkline>
          </x14:sparklines>
        </x14:sparklineGroup>
        <x14:sparklineGroup type="column" displayEmptyCellsAs="gap" negative="1" xr2:uid="{2F2B67FC-A23F-4A5E-AF57-DC038374817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FS'!H12:S12</xm:f>
              <xm:sqref>G12</xm:sqref>
            </x14:sparkline>
          </x14:sparklines>
        </x14:sparklineGroup>
        <x14:sparklineGroup type="column" displayEmptyCellsAs="gap" negative="1" xr2:uid="{5583A003-8606-4C9B-A660-E379EC0D5FC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FS'!H10:S10</xm:f>
              <xm:sqref>G10</xm:sqref>
            </x14:sparkline>
          </x14:sparklines>
        </x14:sparklineGroup>
        <x14:sparklineGroup type="column" displayEmptyCellsAs="gap" negative="1" xr2:uid="{FF3D5DB7-B7A9-4506-9BBE-B4AF0C2AE02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FS'!H9:S9</xm:f>
              <xm:sqref>G9</xm:sqref>
            </x14:sparkline>
          </x14:sparklines>
        </x14:sparklineGroup>
        <x14:sparklineGroup type="column" displayEmptyCellsAs="gap" negative="1" xr2:uid="{64DD27AF-02B7-4720-ADEF-A073C5DE5BB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FS'!H8:S8</xm:f>
              <xm:sqref>G8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B547-23BC-4452-B759-417459E107AD}">
  <sheetPr>
    <pageSetUpPr fitToPage="1"/>
  </sheetPr>
  <dimension ref="A1:T10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02" customWidth="1"/>
    <col min="2" max="3" width="1.6640625" style="44" customWidth="1"/>
    <col min="4" max="4" width="3.33203125" style="44" customWidth="1"/>
    <col min="5" max="5" width="33" style="44" customWidth="1"/>
    <col min="6" max="6" width="12.83203125" style="44" customWidth="1"/>
    <col min="7" max="20" width="12.6640625" style="44" customWidth="1"/>
    <col min="21" max="16384" width="9.1640625" style="44"/>
  </cols>
  <sheetData>
    <row r="1" spans="1:20" s="62" customFormat="1" x14ac:dyDescent="0.2">
      <c r="A1" s="116" t="s">
        <v>5</v>
      </c>
      <c r="C1" s="116"/>
    </row>
    <row r="2" spans="1:20" s="23" customFormat="1" ht="22" x14ac:dyDescent="0.3">
      <c r="A2" s="196" t="s">
        <v>308</v>
      </c>
      <c r="B2" s="309" t="str">
        <f>Profile!F6</f>
        <v>Person0811</v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</row>
    <row r="4" spans="1:20" ht="19" x14ac:dyDescent="0.25">
      <c r="C4" s="174" t="s">
        <v>128</v>
      </c>
      <c r="D4" s="35"/>
      <c r="E4" s="35"/>
      <c r="F4" s="35"/>
    </row>
    <row r="5" spans="1:20" x14ac:dyDescent="0.2">
      <c r="C5" s="176" t="str">
        <f>Formulas!A3</f>
        <v>Amounts in USD</v>
      </c>
      <c r="D5" s="180"/>
      <c r="E5" s="180"/>
      <c r="F5" s="35"/>
    </row>
    <row r="6" spans="1:20" s="46" customFormat="1" x14ac:dyDescent="0.2">
      <c r="A6" s="203"/>
      <c r="C6" s="29"/>
      <c r="D6" s="29"/>
      <c r="E6" s="10" t="s">
        <v>7</v>
      </c>
      <c r="F6" s="152" t="str">
        <f>Scenario!E6</f>
        <v>Base Case</v>
      </c>
      <c r="G6" s="44"/>
    </row>
    <row r="7" spans="1:20" s="46" customFormat="1" ht="16" thickBot="1" x14ac:dyDescent="0.25">
      <c r="A7" s="203"/>
      <c r="C7" s="29"/>
      <c r="D7" s="29"/>
      <c r="E7" s="10" t="s">
        <v>231</v>
      </c>
      <c r="F7" s="70">
        <v>365</v>
      </c>
      <c r="H7" s="312">
        <f>Profile!F8</f>
        <v>2025</v>
      </c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187"/>
    </row>
    <row r="8" spans="1:20" x14ac:dyDescent="0.2">
      <c r="C8" s="42" t="s">
        <v>95</v>
      </c>
      <c r="D8" s="5"/>
      <c r="E8" s="5"/>
      <c r="F8" s="5"/>
      <c r="H8" s="50" t="str">
        <f>Formulas!C41</f>
        <v>January</v>
      </c>
      <c r="I8" s="50" t="str">
        <f>Formulas!D41</f>
        <v>February</v>
      </c>
      <c r="J8" s="50" t="str">
        <f>Formulas!E41</f>
        <v>March</v>
      </c>
      <c r="K8" s="50" t="str">
        <f>Formulas!F41</f>
        <v>April</v>
      </c>
      <c r="L8" s="50" t="str">
        <f>Formulas!G41</f>
        <v>May</v>
      </c>
      <c r="M8" s="50" t="str">
        <f>Formulas!H41</f>
        <v>June</v>
      </c>
      <c r="N8" s="50" t="str">
        <f>Formulas!I41</f>
        <v>July</v>
      </c>
      <c r="O8" s="50" t="str">
        <f>Formulas!J41</f>
        <v>August</v>
      </c>
      <c r="P8" s="50" t="str">
        <f>Formulas!K41</f>
        <v>September</v>
      </c>
      <c r="Q8" s="50" t="str">
        <f>Formulas!L41</f>
        <v>October</v>
      </c>
      <c r="R8" s="50" t="str">
        <f>Formulas!M41</f>
        <v>November</v>
      </c>
      <c r="S8" s="50" t="str">
        <f>Formulas!N41</f>
        <v>December</v>
      </c>
      <c r="T8" s="50" t="s">
        <v>72</v>
      </c>
    </row>
    <row r="9" spans="1:20" x14ac:dyDescent="0.2">
      <c r="C9" s="35"/>
      <c r="D9" s="35" t="s">
        <v>133</v>
      </c>
      <c r="E9" s="35"/>
      <c r="F9" s="35"/>
      <c r="G9" s="88"/>
      <c r="H9" s="58">
        <f>Revenue!G20</f>
        <v>17850</v>
      </c>
      <c r="I9" s="59">
        <f>Revenue!H20</f>
        <v>18025</v>
      </c>
      <c r="J9" s="59">
        <f>Revenue!I20</f>
        <v>18200</v>
      </c>
      <c r="K9" s="59">
        <f>Revenue!J20</f>
        <v>18375</v>
      </c>
      <c r="L9" s="59">
        <f>Revenue!K20</f>
        <v>19250</v>
      </c>
      <c r="M9" s="59">
        <f>Revenue!L20</f>
        <v>19600</v>
      </c>
      <c r="N9" s="59">
        <f>Revenue!M20</f>
        <v>18900</v>
      </c>
      <c r="O9" s="59">
        <f>Revenue!N20</f>
        <v>18375</v>
      </c>
      <c r="P9" s="59">
        <f>Revenue!O20</f>
        <v>17150</v>
      </c>
      <c r="Q9" s="59">
        <f>Revenue!P20</f>
        <v>18025</v>
      </c>
      <c r="R9" s="59">
        <f>Revenue!Q20</f>
        <v>18900</v>
      </c>
      <c r="S9" s="59">
        <f>Revenue!R20</f>
        <v>19600</v>
      </c>
      <c r="T9" s="60">
        <f>SUM(H9:S9)</f>
        <v>222250</v>
      </c>
    </row>
    <row r="10" spans="1:20" x14ac:dyDescent="0.2">
      <c r="C10" s="35"/>
      <c r="D10" s="35" t="s">
        <v>134</v>
      </c>
      <c r="E10" s="35"/>
      <c r="F10" s="35"/>
      <c r="G10" s="88"/>
      <c r="H10" s="58">
        <f>Revenue!G32</f>
        <v>17850</v>
      </c>
      <c r="I10" s="59">
        <f>Revenue!H32</f>
        <v>18025</v>
      </c>
      <c r="J10" s="59">
        <f>Revenue!I32</f>
        <v>18200</v>
      </c>
      <c r="K10" s="59">
        <f>Revenue!J32</f>
        <v>18375</v>
      </c>
      <c r="L10" s="59">
        <f>Revenue!K32</f>
        <v>19250</v>
      </c>
      <c r="M10" s="59">
        <f>Revenue!L32</f>
        <v>19600</v>
      </c>
      <c r="N10" s="59">
        <f>Revenue!M32</f>
        <v>18900</v>
      </c>
      <c r="O10" s="59">
        <f>Revenue!N32</f>
        <v>18375</v>
      </c>
      <c r="P10" s="59">
        <f>Revenue!O32</f>
        <v>17150</v>
      </c>
      <c r="Q10" s="59">
        <f>Revenue!P32</f>
        <v>18025</v>
      </c>
      <c r="R10" s="59">
        <f>Revenue!Q32</f>
        <v>18900</v>
      </c>
      <c r="S10" s="59">
        <f>Revenue!R32</f>
        <v>19600</v>
      </c>
      <c r="T10" s="60">
        <f>SUM(H10:S10)</f>
        <v>222250</v>
      </c>
    </row>
    <row r="11" spans="1:20" s="48" customFormat="1" x14ac:dyDescent="0.2">
      <c r="A11" s="204"/>
      <c r="C11" s="34" t="s">
        <v>74</v>
      </c>
      <c r="D11" s="34"/>
      <c r="E11" s="34"/>
      <c r="F11" s="34"/>
      <c r="G11" s="88"/>
      <c r="H11" s="64">
        <f>SUM(H9:H10)</f>
        <v>35700</v>
      </c>
      <c r="I11" s="65">
        <f t="shared" ref="I11:S11" si="0">SUM(I9:I10)</f>
        <v>36050</v>
      </c>
      <c r="J11" s="65">
        <f t="shared" si="0"/>
        <v>36400</v>
      </c>
      <c r="K11" s="65">
        <f t="shared" si="0"/>
        <v>36750</v>
      </c>
      <c r="L11" s="65">
        <f t="shared" si="0"/>
        <v>38500</v>
      </c>
      <c r="M11" s="65">
        <f t="shared" si="0"/>
        <v>39200</v>
      </c>
      <c r="N11" s="65">
        <f t="shared" si="0"/>
        <v>37800</v>
      </c>
      <c r="O11" s="65">
        <f t="shared" si="0"/>
        <v>36750</v>
      </c>
      <c r="P11" s="65">
        <f t="shared" si="0"/>
        <v>34300</v>
      </c>
      <c r="Q11" s="65">
        <f t="shared" si="0"/>
        <v>36050</v>
      </c>
      <c r="R11" s="65">
        <f t="shared" si="0"/>
        <v>37800</v>
      </c>
      <c r="S11" s="65">
        <f t="shared" si="0"/>
        <v>39200</v>
      </c>
      <c r="T11" s="66">
        <f>SUM(T9:T10)</f>
        <v>444500</v>
      </c>
    </row>
    <row r="12" spans="1:20" x14ac:dyDescent="0.2">
      <c r="C12" s="35"/>
      <c r="D12" s="35"/>
      <c r="E12" s="35"/>
      <c r="F12" s="35"/>
      <c r="G12" s="88"/>
      <c r="H12" s="64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60"/>
    </row>
    <row r="13" spans="1:20" x14ac:dyDescent="0.2">
      <c r="C13" s="35"/>
      <c r="D13" s="35" t="s">
        <v>97</v>
      </c>
      <c r="E13" s="35"/>
      <c r="F13" s="35"/>
      <c r="G13" s="88"/>
      <c r="H13" s="58">
        <f>Revenue!G49</f>
        <v>2677.5</v>
      </c>
      <c r="I13" s="59">
        <f>Revenue!H49</f>
        <v>2703.75</v>
      </c>
      <c r="J13" s="59">
        <f>Revenue!I49</f>
        <v>2730</v>
      </c>
      <c r="K13" s="59">
        <f>Revenue!J49</f>
        <v>2756.25</v>
      </c>
      <c r="L13" s="59">
        <f>Revenue!K49</f>
        <v>2887.5</v>
      </c>
      <c r="M13" s="59">
        <f>Revenue!L49</f>
        <v>2940</v>
      </c>
      <c r="N13" s="59">
        <f>Revenue!M49</f>
        <v>2835</v>
      </c>
      <c r="O13" s="59">
        <f>Revenue!N49</f>
        <v>2756.25</v>
      </c>
      <c r="P13" s="59">
        <f>Revenue!O49</f>
        <v>2572.5</v>
      </c>
      <c r="Q13" s="59">
        <f>Revenue!P49</f>
        <v>2703.75</v>
      </c>
      <c r="R13" s="59">
        <f>Revenue!Q49</f>
        <v>2835</v>
      </c>
      <c r="S13" s="59">
        <f>Revenue!R49</f>
        <v>2940</v>
      </c>
      <c r="T13" s="60">
        <f>SUM(H13:S13)</f>
        <v>33337.5</v>
      </c>
    </row>
    <row r="14" spans="1:20" x14ac:dyDescent="0.2">
      <c r="C14" s="35"/>
      <c r="D14" s="35" t="s">
        <v>98</v>
      </c>
      <c r="E14" s="35"/>
      <c r="F14" s="35"/>
      <c r="G14" s="88"/>
      <c r="H14" s="58">
        <f>Revenue!G61</f>
        <v>5355</v>
      </c>
      <c r="I14" s="59">
        <f>Revenue!H61</f>
        <v>5407.5</v>
      </c>
      <c r="J14" s="59">
        <f>Revenue!I61</f>
        <v>5460</v>
      </c>
      <c r="K14" s="59">
        <f>Revenue!J61</f>
        <v>5512.5</v>
      </c>
      <c r="L14" s="59">
        <f>Revenue!K61</f>
        <v>5775</v>
      </c>
      <c r="M14" s="59">
        <f>Revenue!L61</f>
        <v>5880</v>
      </c>
      <c r="N14" s="59">
        <f>Revenue!M61</f>
        <v>5670</v>
      </c>
      <c r="O14" s="59">
        <f>Revenue!N61</f>
        <v>5512.5</v>
      </c>
      <c r="P14" s="59">
        <f>Revenue!O61</f>
        <v>5145</v>
      </c>
      <c r="Q14" s="59">
        <f>Revenue!P61</f>
        <v>5407.5</v>
      </c>
      <c r="R14" s="59">
        <f>Revenue!Q61</f>
        <v>5670</v>
      </c>
      <c r="S14" s="59">
        <f>Revenue!R61</f>
        <v>5880</v>
      </c>
      <c r="T14" s="60">
        <f t="shared" ref="T14:T16" si="1">SUM(H14:S14)</f>
        <v>66675</v>
      </c>
    </row>
    <row r="15" spans="1:20" x14ac:dyDescent="0.2">
      <c r="C15" s="35"/>
      <c r="D15" s="35" t="s">
        <v>99</v>
      </c>
      <c r="E15" s="35"/>
      <c r="F15" s="35"/>
      <c r="G15" s="88"/>
      <c r="H15" s="58">
        <f>Scenario!$G$12*H11</f>
        <v>6426</v>
      </c>
      <c r="I15" s="59">
        <f>Scenario!$G$12*I11</f>
        <v>6489</v>
      </c>
      <c r="J15" s="59">
        <f>Scenario!$G$12*J11</f>
        <v>6552</v>
      </c>
      <c r="K15" s="59">
        <f>Scenario!$G$12*K11</f>
        <v>6615</v>
      </c>
      <c r="L15" s="59">
        <f>Scenario!$G$12*L11</f>
        <v>6930</v>
      </c>
      <c r="M15" s="59">
        <f>Scenario!$G$12*M11</f>
        <v>7056</v>
      </c>
      <c r="N15" s="59">
        <f>Scenario!$G$12*N11</f>
        <v>6804</v>
      </c>
      <c r="O15" s="59">
        <f>Scenario!$G$12*O11</f>
        <v>6615</v>
      </c>
      <c r="P15" s="59">
        <f>Scenario!$G$12*P11</f>
        <v>6174</v>
      </c>
      <c r="Q15" s="59">
        <f>Scenario!$G$12*Q11</f>
        <v>6489</v>
      </c>
      <c r="R15" s="59">
        <f>Scenario!$G$12*R11</f>
        <v>6804</v>
      </c>
      <c r="S15" s="59">
        <f>Scenario!$G$12*S11</f>
        <v>7056</v>
      </c>
      <c r="T15" s="60">
        <f t="shared" si="1"/>
        <v>80010</v>
      </c>
    </row>
    <row r="16" spans="1:20" x14ac:dyDescent="0.2">
      <c r="C16" s="35"/>
      <c r="D16" s="35" t="s">
        <v>135</v>
      </c>
      <c r="E16" s="35"/>
      <c r="F16" s="35"/>
      <c r="G16" s="88"/>
      <c r="H16" s="58">
        <f>Scenario!$G$13*H11</f>
        <v>4284</v>
      </c>
      <c r="I16" s="59">
        <f>Scenario!$G$13*I11</f>
        <v>4326</v>
      </c>
      <c r="J16" s="59">
        <f>Scenario!$G$13*J11</f>
        <v>4368</v>
      </c>
      <c r="K16" s="59">
        <f>Scenario!$G$13*K11</f>
        <v>4410</v>
      </c>
      <c r="L16" s="59">
        <f>Scenario!$G$13*L11</f>
        <v>4620</v>
      </c>
      <c r="M16" s="59">
        <f>Scenario!$G$13*M11</f>
        <v>4704</v>
      </c>
      <c r="N16" s="59">
        <f>Scenario!$G$13*N11</f>
        <v>4536</v>
      </c>
      <c r="O16" s="59">
        <f>Scenario!$G$13*O11</f>
        <v>4410</v>
      </c>
      <c r="P16" s="59">
        <f>Scenario!$G$13*P11</f>
        <v>4116</v>
      </c>
      <c r="Q16" s="59">
        <f>Scenario!$G$13*Q11</f>
        <v>4326</v>
      </c>
      <c r="R16" s="59">
        <f>Scenario!$G$13*R11</f>
        <v>4536</v>
      </c>
      <c r="S16" s="59">
        <f>Scenario!$G$13*S11</f>
        <v>4704</v>
      </c>
      <c r="T16" s="60">
        <f t="shared" si="1"/>
        <v>53340</v>
      </c>
    </row>
    <row r="17" spans="1:20" s="48" customFormat="1" x14ac:dyDescent="0.2">
      <c r="A17" s="204"/>
      <c r="C17" s="34" t="s">
        <v>136</v>
      </c>
      <c r="D17" s="34"/>
      <c r="E17" s="34"/>
      <c r="F17" s="34"/>
      <c r="G17" s="88"/>
      <c r="H17" s="64">
        <f>SUM(H13:H16)</f>
        <v>18742.5</v>
      </c>
      <c r="I17" s="65">
        <f t="shared" ref="I17:S17" si="2">SUM(I13:I16)</f>
        <v>18926.25</v>
      </c>
      <c r="J17" s="65">
        <f t="shared" si="2"/>
        <v>19110</v>
      </c>
      <c r="K17" s="65">
        <f t="shared" si="2"/>
        <v>19293.75</v>
      </c>
      <c r="L17" s="65">
        <f t="shared" si="2"/>
        <v>20212.5</v>
      </c>
      <c r="M17" s="65">
        <f t="shared" si="2"/>
        <v>20580</v>
      </c>
      <c r="N17" s="65">
        <f t="shared" si="2"/>
        <v>19845</v>
      </c>
      <c r="O17" s="65">
        <f t="shared" si="2"/>
        <v>19293.75</v>
      </c>
      <c r="P17" s="65">
        <f t="shared" si="2"/>
        <v>18007.5</v>
      </c>
      <c r="Q17" s="65">
        <f t="shared" si="2"/>
        <v>18926.25</v>
      </c>
      <c r="R17" s="65">
        <f t="shared" si="2"/>
        <v>19845</v>
      </c>
      <c r="S17" s="65">
        <f t="shared" si="2"/>
        <v>20580</v>
      </c>
      <c r="T17" s="66">
        <f>SUM(T13:T16)</f>
        <v>233362.5</v>
      </c>
    </row>
    <row r="18" spans="1:20" s="48" customFormat="1" x14ac:dyDescent="0.2">
      <c r="A18" s="204"/>
      <c r="C18" s="34"/>
      <c r="D18" s="34"/>
      <c r="E18" s="34"/>
      <c r="F18" s="34"/>
      <c r="G18" s="91"/>
      <c r="H18" s="64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6"/>
    </row>
    <row r="19" spans="1:20" s="48" customFormat="1" x14ac:dyDescent="0.2">
      <c r="A19" s="204"/>
      <c r="C19" s="34" t="s">
        <v>11</v>
      </c>
      <c r="D19" s="34"/>
      <c r="E19" s="34"/>
      <c r="F19" s="34"/>
      <c r="G19" s="88"/>
      <c r="H19" s="64">
        <f>H11-H17</f>
        <v>16957.5</v>
      </c>
      <c r="I19" s="65">
        <f t="shared" ref="I19:S19" si="3">I11-I17</f>
        <v>17123.75</v>
      </c>
      <c r="J19" s="65">
        <f t="shared" si="3"/>
        <v>17290</v>
      </c>
      <c r="K19" s="65">
        <f t="shared" si="3"/>
        <v>17456.25</v>
      </c>
      <c r="L19" s="65">
        <f t="shared" si="3"/>
        <v>18287.5</v>
      </c>
      <c r="M19" s="65">
        <f t="shared" si="3"/>
        <v>18620</v>
      </c>
      <c r="N19" s="65">
        <f t="shared" si="3"/>
        <v>17955</v>
      </c>
      <c r="O19" s="65">
        <f t="shared" si="3"/>
        <v>17456.25</v>
      </c>
      <c r="P19" s="65">
        <f t="shared" si="3"/>
        <v>16292.5</v>
      </c>
      <c r="Q19" s="65">
        <f t="shared" si="3"/>
        <v>17123.75</v>
      </c>
      <c r="R19" s="65">
        <f t="shared" si="3"/>
        <v>17955</v>
      </c>
      <c r="S19" s="65">
        <f t="shared" si="3"/>
        <v>18620</v>
      </c>
      <c r="T19" s="66">
        <f>T11-T17</f>
        <v>211137.5</v>
      </c>
    </row>
    <row r="20" spans="1:20" s="84" customFormat="1" ht="13" x14ac:dyDescent="0.2">
      <c r="A20" s="207"/>
      <c r="C20" s="92" t="s">
        <v>139</v>
      </c>
      <c r="D20" s="92"/>
      <c r="E20" s="92"/>
      <c r="F20" s="92"/>
      <c r="G20" s="93"/>
      <c r="H20" s="167">
        <f t="shared" ref="H20:T20" si="4">IFERROR(H19/H11,0)</f>
        <v>0.47499999999999998</v>
      </c>
      <c r="I20" s="168">
        <f t="shared" si="4"/>
        <v>0.47499999999999998</v>
      </c>
      <c r="J20" s="168">
        <f t="shared" si="4"/>
        <v>0.47499999999999998</v>
      </c>
      <c r="K20" s="168">
        <f t="shared" si="4"/>
        <v>0.47499999999999998</v>
      </c>
      <c r="L20" s="168">
        <f t="shared" si="4"/>
        <v>0.47499999999999998</v>
      </c>
      <c r="M20" s="168">
        <f t="shared" si="4"/>
        <v>0.47499999999999998</v>
      </c>
      <c r="N20" s="168">
        <f t="shared" si="4"/>
        <v>0.47499999999999998</v>
      </c>
      <c r="O20" s="168">
        <f t="shared" si="4"/>
        <v>0.47499999999999998</v>
      </c>
      <c r="P20" s="168">
        <f t="shared" si="4"/>
        <v>0.47499999999999998</v>
      </c>
      <c r="Q20" s="168">
        <f t="shared" si="4"/>
        <v>0.47499999999999998</v>
      </c>
      <c r="R20" s="168">
        <f t="shared" si="4"/>
        <v>0.47499999999999998</v>
      </c>
      <c r="S20" s="168">
        <f t="shared" si="4"/>
        <v>0.47499999999999998</v>
      </c>
      <c r="T20" s="169">
        <f t="shared" si="4"/>
        <v>0.47499999999999998</v>
      </c>
    </row>
    <row r="21" spans="1:20" x14ac:dyDescent="0.2">
      <c r="C21" s="35"/>
      <c r="D21" s="35"/>
      <c r="E21" s="35"/>
      <c r="F21" s="35"/>
      <c r="G21" s="88"/>
      <c r="H21" s="106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60"/>
    </row>
    <row r="22" spans="1:20" x14ac:dyDescent="0.2">
      <c r="C22" s="35"/>
      <c r="D22" s="35" t="s">
        <v>103</v>
      </c>
      <c r="E22" s="35"/>
      <c r="F22" s="35"/>
      <c r="G22" s="88"/>
      <c r="H22" s="58">
        <f>Scenario!$G$14/12</f>
        <v>4166.666666666667</v>
      </c>
      <c r="I22" s="59">
        <f>Scenario!$G$14/12</f>
        <v>4166.666666666667</v>
      </c>
      <c r="J22" s="59">
        <f>Scenario!$G$14/12</f>
        <v>4166.666666666667</v>
      </c>
      <c r="K22" s="59">
        <f>Scenario!$G$14/12</f>
        <v>4166.666666666667</v>
      </c>
      <c r="L22" s="59">
        <f>Scenario!$G$14/12</f>
        <v>4166.666666666667</v>
      </c>
      <c r="M22" s="59">
        <f>Scenario!$G$14/12</f>
        <v>4166.666666666667</v>
      </c>
      <c r="N22" s="59">
        <f>Scenario!$G$14/12</f>
        <v>4166.666666666667</v>
      </c>
      <c r="O22" s="59">
        <f>Scenario!$G$14/12</f>
        <v>4166.666666666667</v>
      </c>
      <c r="P22" s="59">
        <f>Scenario!$G$14/12</f>
        <v>4166.666666666667</v>
      </c>
      <c r="Q22" s="59">
        <f>Scenario!$G$14/12</f>
        <v>4166.666666666667</v>
      </c>
      <c r="R22" s="59">
        <f>Scenario!$G$14/12</f>
        <v>4166.666666666667</v>
      </c>
      <c r="S22" s="59">
        <f>Scenario!$G$14/12</f>
        <v>4166.666666666667</v>
      </c>
      <c r="T22" s="60">
        <f>SUM(H22:S22)</f>
        <v>49999.999999999993</v>
      </c>
    </row>
    <row r="23" spans="1:20" x14ac:dyDescent="0.2">
      <c r="C23" s="35"/>
      <c r="D23" s="35" t="s">
        <v>119</v>
      </c>
      <c r="E23" s="35"/>
      <c r="F23" s="35"/>
      <c r="G23" s="88"/>
      <c r="H23" s="58">
        <f>Scenario!$G$15*H11</f>
        <v>1428</v>
      </c>
      <c r="I23" s="59">
        <f>Scenario!$G$15*I11</f>
        <v>1442</v>
      </c>
      <c r="J23" s="59">
        <f>Scenario!$G$15*J11</f>
        <v>1456</v>
      </c>
      <c r="K23" s="59">
        <f>Scenario!$G$15*K11</f>
        <v>1470</v>
      </c>
      <c r="L23" s="59">
        <f>Scenario!$G$15*L11</f>
        <v>1540</v>
      </c>
      <c r="M23" s="59">
        <f>Scenario!$G$15*M11</f>
        <v>1568</v>
      </c>
      <c r="N23" s="59">
        <f>Scenario!$G$15*N11</f>
        <v>1512</v>
      </c>
      <c r="O23" s="59">
        <f>Scenario!$G$15*O11</f>
        <v>1470</v>
      </c>
      <c r="P23" s="59">
        <f>Scenario!$G$15*P11</f>
        <v>1372</v>
      </c>
      <c r="Q23" s="59">
        <f>Scenario!$G$15*Q11</f>
        <v>1442</v>
      </c>
      <c r="R23" s="59">
        <f>Scenario!$G$15*R11</f>
        <v>1512</v>
      </c>
      <c r="S23" s="59">
        <f>Scenario!$G$15*S11</f>
        <v>1568</v>
      </c>
      <c r="T23" s="60">
        <f t="shared" ref="T23:T25" si="5">SUM(H23:S23)</f>
        <v>17780</v>
      </c>
    </row>
    <row r="24" spans="1:20" x14ac:dyDescent="0.2">
      <c r="C24" s="35"/>
      <c r="D24" s="35" t="s">
        <v>100</v>
      </c>
      <c r="E24" s="35"/>
      <c r="F24" s="35"/>
      <c r="G24" s="88"/>
      <c r="H24" s="58">
        <f>Scenario!$G$16/12</f>
        <v>2916.6666666666665</v>
      </c>
      <c r="I24" s="59">
        <f>Scenario!$G$16/12</f>
        <v>2916.6666666666665</v>
      </c>
      <c r="J24" s="59">
        <f>Scenario!$G$16/12</f>
        <v>2916.6666666666665</v>
      </c>
      <c r="K24" s="59">
        <f>Scenario!$G$16/12</f>
        <v>2916.6666666666665</v>
      </c>
      <c r="L24" s="59">
        <f>Scenario!$G$16/12</f>
        <v>2916.6666666666665</v>
      </c>
      <c r="M24" s="59">
        <f>Scenario!$G$16/12</f>
        <v>2916.6666666666665</v>
      </c>
      <c r="N24" s="59">
        <f>Scenario!$G$16/12</f>
        <v>2916.6666666666665</v>
      </c>
      <c r="O24" s="59">
        <f>Scenario!$G$16/12</f>
        <v>2916.6666666666665</v>
      </c>
      <c r="P24" s="59">
        <f>Scenario!$G$16/12</f>
        <v>2916.6666666666665</v>
      </c>
      <c r="Q24" s="59">
        <f>Scenario!$G$16/12</f>
        <v>2916.6666666666665</v>
      </c>
      <c r="R24" s="59">
        <f>Scenario!$G$16/12</f>
        <v>2916.6666666666665</v>
      </c>
      <c r="S24" s="59">
        <f>Scenario!$G$16/12</f>
        <v>2916.6666666666665</v>
      </c>
      <c r="T24" s="60">
        <f t="shared" si="5"/>
        <v>35000.000000000007</v>
      </c>
    </row>
    <row r="25" spans="1:20" x14ac:dyDescent="0.2">
      <c r="C25" s="35"/>
      <c r="D25" s="35" t="s">
        <v>140</v>
      </c>
      <c r="E25" s="35"/>
      <c r="F25" s="35"/>
      <c r="G25" s="88"/>
      <c r="H25" s="58">
        <f>Scenario!$G$17*H11</f>
        <v>285.60000000000002</v>
      </c>
      <c r="I25" s="59">
        <f>Scenario!$G$17*I11</f>
        <v>288.40000000000003</v>
      </c>
      <c r="J25" s="59">
        <f>Scenario!$G$17*J11</f>
        <v>291.2</v>
      </c>
      <c r="K25" s="59">
        <f>Scenario!$G$17*K11</f>
        <v>294</v>
      </c>
      <c r="L25" s="59">
        <f>Scenario!$G$17*L11</f>
        <v>308</v>
      </c>
      <c r="M25" s="59">
        <f>Scenario!$G$17*M11</f>
        <v>313.60000000000002</v>
      </c>
      <c r="N25" s="59">
        <f>Scenario!$G$17*N11</f>
        <v>302.40000000000003</v>
      </c>
      <c r="O25" s="59">
        <f>Scenario!$G$17*O11</f>
        <v>294</v>
      </c>
      <c r="P25" s="59">
        <f>Scenario!$G$17*P11</f>
        <v>274.40000000000003</v>
      </c>
      <c r="Q25" s="59">
        <f>Scenario!$G$17*Q11</f>
        <v>288.40000000000003</v>
      </c>
      <c r="R25" s="59">
        <f>Scenario!$G$17*R11</f>
        <v>302.40000000000003</v>
      </c>
      <c r="S25" s="59">
        <f>Scenario!$G$17*S11</f>
        <v>313.60000000000002</v>
      </c>
      <c r="T25" s="60">
        <f t="shared" si="5"/>
        <v>3556.0000000000005</v>
      </c>
    </row>
    <row r="26" spans="1:20" x14ac:dyDescent="0.2">
      <c r="C26" s="35"/>
      <c r="D26" s="35" t="s">
        <v>141</v>
      </c>
      <c r="E26" s="35"/>
      <c r="F26" s="35"/>
      <c r="G26" s="88"/>
      <c r="H26" s="58">
        <f>Scenario!$G$18*((Scenario!$G$24+Scenario!$G$27)/12)</f>
        <v>627.08333333333337</v>
      </c>
      <c r="I26" s="58">
        <f>H26</f>
        <v>627.08333333333337</v>
      </c>
      <c r="J26" s="58">
        <f t="shared" ref="J26:S26" si="6">I26</f>
        <v>627.08333333333337</v>
      </c>
      <c r="K26" s="58">
        <f t="shared" si="6"/>
        <v>627.08333333333337</v>
      </c>
      <c r="L26" s="58">
        <f t="shared" si="6"/>
        <v>627.08333333333337</v>
      </c>
      <c r="M26" s="58">
        <f t="shared" si="6"/>
        <v>627.08333333333337</v>
      </c>
      <c r="N26" s="58">
        <f t="shared" si="6"/>
        <v>627.08333333333337</v>
      </c>
      <c r="O26" s="58">
        <f t="shared" si="6"/>
        <v>627.08333333333337</v>
      </c>
      <c r="P26" s="58">
        <f t="shared" si="6"/>
        <v>627.08333333333337</v>
      </c>
      <c r="Q26" s="58">
        <f t="shared" si="6"/>
        <v>627.08333333333337</v>
      </c>
      <c r="R26" s="58">
        <f t="shared" si="6"/>
        <v>627.08333333333337</v>
      </c>
      <c r="S26" s="58">
        <f t="shared" si="6"/>
        <v>627.08333333333337</v>
      </c>
      <c r="T26" s="60">
        <f>SUM(H26:S26)</f>
        <v>7524.9999999999991</v>
      </c>
    </row>
    <row r="27" spans="1:20" s="48" customFormat="1" x14ac:dyDescent="0.2">
      <c r="A27" s="204"/>
      <c r="C27" s="34" t="s">
        <v>142</v>
      </c>
      <c r="D27" s="34"/>
      <c r="E27" s="34"/>
      <c r="F27" s="34"/>
      <c r="G27" s="88"/>
      <c r="H27" s="64">
        <f>SUM(H22:H26)</f>
        <v>9424.0166666666682</v>
      </c>
      <c r="I27" s="65">
        <f t="shared" ref="I27:S27" si="7">SUM(I22:I26)</f>
        <v>9440.8166666666675</v>
      </c>
      <c r="J27" s="65">
        <f t="shared" si="7"/>
        <v>9457.6166666666686</v>
      </c>
      <c r="K27" s="65">
        <f t="shared" si="7"/>
        <v>9474.4166666666679</v>
      </c>
      <c r="L27" s="65">
        <f t="shared" si="7"/>
        <v>9558.4166666666679</v>
      </c>
      <c r="M27" s="65">
        <f t="shared" si="7"/>
        <v>9592.0166666666682</v>
      </c>
      <c r="N27" s="65">
        <f t="shared" si="7"/>
        <v>9524.8166666666675</v>
      </c>
      <c r="O27" s="65">
        <f t="shared" si="7"/>
        <v>9474.4166666666679</v>
      </c>
      <c r="P27" s="65">
        <f t="shared" si="7"/>
        <v>9356.8166666666675</v>
      </c>
      <c r="Q27" s="65">
        <f t="shared" si="7"/>
        <v>9440.8166666666675</v>
      </c>
      <c r="R27" s="65">
        <f t="shared" si="7"/>
        <v>9524.8166666666675</v>
      </c>
      <c r="S27" s="65">
        <f t="shared" si="7"/>
        <v>9592.0166666666682</v>
      </c>
      <c r="T27" s="66">
        <f>SUM(T22:T26)</f>
        <v>113861</v>
      </c>
    </row>
    <row r="28" spans="1:20" x14ac:dyDescent="0.2">
      <c r="C28" s="35"/>
      <c r="D28" s="35"/>
      <c r="E28" s="35"/>
      <c r="F28" s="35"/>
      <c r="G28" s="88"/>
      <c r="H28" s="64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60"/>
    </row>
    <row r="29" spans="1:20" s="48" customFormat="1" x14ac:dyDescent="0.2">
      <c r="A29" s="204"/>
      <c r="C29" s="34" t="s">
        <v>143</v>
      </c>
      <c r="D29" s="34"/>
      <c r="E29" s="34"/>
      <c r="F29" s="34"/>
      <c r="G29" s="88"/>
      <c r="H29" s="64">
        <f>H19-H27</f>
        <v>7533.4833333333318</v>
      </c>
      <c r="I29" s="65">
        <f t="shared" ref="I29:S29" si="8">I19-I27</f>
        <v>7682.9333333333325</v>
      </c>
      <c r="J29" s="65">
        <f t="shared" si="8"/>
        <v>7832.3833333333314</v>
      </c>
      <c r="K29" s="65">
        <f t="shared" si="8"/>
        <v>7981.8333333333321</v>
      </c>
      <c r="L29" s="65">
        <f t="shared" si="8"/>
        <v>8729.0833333333321</v>
      </c>
      <c r="M29" s="65">
        <f t="shared" si="8"/>
        <v>9027.9833333333318</v>
      </c>
      <c r="N29" s="65">
        <f t="shared" si="8"/>
        <v>8430.1833333333325</v>
      </c>
      <c r="O29" s="65">
        <f t="shared" si="8"/>
        <v>7981.8333333333321</v>
      </c>
      <c r="P29" s="65">
        <f t="shared" si="8"/>
        <v>6935.6833333333325</v>
      </c>
      <c r="Q29" s="65">
        <f t="shared" si="8"/>
        <v>7682.9333333333325</v>
      </c>
      <c r="R29" s="65">
        <f t="shared" si="8"/>
        <v>8430.1833333333325</v>
      </c>
      <c r="S29" s="65">
        <f t="shared" si="8"/>
        <v>9027.9833333333318</v>
      </c>
      <c r="T29" s="66">
        <f>T19-T27</f>
        <v>97276.5</v>
      </c>
    </row>
    <row r="30" spans="1:20" s="85" customFormat="1" ht="13" x14ac:dyDescent="0.2">
      <c r="A30" s="208"/>
      <c r="C30" s="94" t="s">
        <v>144</v>
      </c>
      <c r="D30" s="94"/>
      <c r="E30" s="94"/>
      <c r="F30" s="94"/>
      <c r="G30" s="95"/>
      <c r="H30" s="167">
        <f t="shared" ref="H30:T30" si="9">IFERROR(H29/H11,0)</f>
        <v>0.21102194211017736</v>
      </c>
      <c r="I30" s="168">
        <f t="shared" si="9"/>
        <v>0.21311881645862227</v>
      </c>
      <c r="J30" s="168">
        <f t="shared" si="9"/>
        <v>0.21517536630036624</v>
      </c>
      <c r="K30" s="168">
        <f t="shared" si="9"/>
        <v>0.2171927437641723</v>
      </c>
      <c r="L30" s="168">
        <f t="shared" si="9"/>
        <v>0.2267294372294372</v>
      </c>
      <c r="M30" s="168">
        <f t="shared" si="9"/>
        <v>0.23030569727891154</v>
      </c>
      <c r="N30" s="168">
        <f t="shared" si="9"/>
        <v>0.22302072310405641</v>
      </c>
      <c r="O30" s="168">
        <f t="shared" si="9"/>
        <v>0.2171927437641723</v>
      </c>
      <c r="P30" s="168">
        <f t="shared" si="9"/>
        <v>0.20220651117589891</v>
      </c>
      <c r="Q30" s="168">
        <f t="shared" si="9"/>
        <v>0.21311881645862227</v>
      </c>
      <c r="R30" s="168">
        <f t="shared" si="9"/>
        <v>0.22302072310405641</v>
      </c>
      <c r="S30" s="168">
        <f t="shared" si="9"/>
        <v>0.23030569727891154</v>
      </c>
      <c r="T30" s="169">
        <f t="shared" si="9"/>
        <v>0.21884476940382452</v>
      </c>
    </row>
    <row r="31" spans="1:20" x14ac:dyDescent="0.2">
      <c r="C31" s="35"/>
      <c r="D31" s="35"/>
      <c r="E31" s="35"/>
      <c r="F31" s="35"/>
      <c r="G31" s="88"/>
      <c r="H31" s="106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60"/>
    </row>
    <row r="32" spans="1:20" s="86" customFormat="1" x14ac:dyDescent="0.2">
      <c r="A32" s="209"/>
      <c r="C32" s="33"/>
      <c r="D32" s="33" t="s">
        <v>31</v>
      </c>
      <c r="E32" s="33"/>
      <c r="F32" s="33"/>
      <c r="G32" s="88"/>
      <c r="H32" s="58">
        <f>Scenario!$G$30*((Scenario!$G$30*((Scenario!$G$31)/12)+H57)/12)</f>
        <v>274.35069444444446</v>
      </c>
      <c r="I32" s="58">
        <f>Scenario!$G$30*((H32+I57)/12)</f>
        <v>272.43799623842591</v>
      </c>
      <c r="J32" s="58">
        <f>Scenario!$G$30*((I32+J57)/12)</f>
        <v>270.51950748275948</v>
      </c>
      <c r="K32" s="58">
        <f>Scenario!$G$30*((J32+K57)/12)</f>
        <v>268.60099218707376</v>
      </c>
      <c r="L32" s="58">
        <f>Scenario!$G$30*((K32+L57)/12)</f>
        <v>266.68247676974636</v>
      </c>
      <c r="M32" s="58">
        <f>Scenario!$G$30*((L32+M57)/12)</f>
        <v>264.76396135186138</v>
      </c>
      <c r="N32" s="58">
        <f>Scenario!$G$30*((M32+N57)/12)</f>
        <v>262.84544593397385</v>
      </c>
      <c r="O32" s="58">
        <f>Scenario!$G$30*((N32+O57)/12)</f>
        <v>260.92693051608637</v>
      </c>
      <c r="P32" s="58">
        <f>Scenario!$G$30*((O32+P57)/12)</f>
        <v>259.00841509819878</v>
      </c>
      <c r="Q32" s="58">
        <f>Scenario!$G$30*((P32+Q57)/12)</f>
        <v>257.08989968031131</v>
      </c>
      <c r="R32" s="58">
        <f>Scenario!$G$30*((Q32+R57)/12)</f>
        <v>255.17138426242374</v>
      </c>
      <c r="S32" s="58">
        <f>Scenario!$G$30*((R32+S57)/12)</f>
        <v>253.25286884453627</v>
      </c>
      <c r="T32" s="55">
        <f>SUM(H32:S32)</f>
        <v>3165.6505728098414</v>
      </c>
    </row>
    <row r="33" spans="1:20" s="48" customFormat="1" x14ac:dyDescent="0.2">
      <c r="A33" s="204"/>
      <c r="C33" s="34" t="s">
        <v>196</v>
      </c>
      <c r="D33" s="34"/>
      <c r="E33" s="34"/>
      <c r="F33" s="34"/>
      <c r="G33" s="88"/>
      <c r="H33" s="53">
        <f>H29-H32</f>
        <v>7259.1326388888874</v>
      </c>
      <c r="I33" s="56">
        <f t="shared" ref="I33:S33" si="10">I29-I32</f>
        <v>7410.495337094907</v>
      </c>
      <c r="J33" s="56">
        <f t="shared" si="10"/>
        <v>7561.8638258505716</v>
      </c>
      <c r="K33" s="56">
        <f t="shared" si="10"/>
        <v>7713.2323411462585</v>
      </c>
      <c r="L33" s="56">
        <f t="shared" si="10"/>
        <v>8462.400856563585</v>
      </c>
      <c r="M33" s="56">
        <f t="shared" si="10"/>
        <v>8763.2193719814695</v>
      </c>
      <c r="N33" s="56">
        <f t="shared" si="10"/>
        <v>8167.3378873993588</v>
      </c>
      <c r="O33" s="56">
        <f t="shared" si="10"/>
        <v>7720.9064028172461</v>
      </c>
      <c r="P33" s="56">
        <f t="shared" si="10"/>
        <v>6676.6749182351341</v>
      </c>
      <c r="Q33" s="56">
        <f t="shared" si="10"/>
        <v>7425.8434336530208</v>
      </c>
      <c r="R33" s="56">
        <f t="shared" si="10"/>
        <v>8175.0119490709085</v>
      </c>
      <c r="S33" s="56">
        <f t="shared" si="10"/>
        <v>8774.7304644887954</v>
      </c>
      <c r="T33" s="66">
        <f>T29-T32</f>
        <v>94110.849427190158</v>
      </c>
    </row>
    <row r="34" spans="1:20" x14ac:dyDescent="0.2">
      <c r="C34" s="35"/>
      <c r="D34" s="35"/>
      <c r="E34" s="35"/>
      <c r="F34" s="35"/>
      <c r="G34" s="88"/>
      <c r="H34" s="64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60"/>
    </row>
    <row r="35" spans="1:20" x14ac:dyDescent="0.2">
      <c r="C35" s="35"/>
      <c r="D35" s="35" t="s">
        <v>145</v>
      </c>
      <c r="E35" s="35"/>
      <c r="F35" s="35"/>
      <c r="G35" s="88"/>
      <c r="H35" s="58">
        <f>IF(H33&gt;0,Scenario!$G$19*H33,0)</f>
        <v>1814.7831597222219</v>
      </c>
      <c r="I35" s="58">
        <f>IF(I33&gt;0,Scenario!$G$19*I33,0)</f>
        <v>1852.6238342737267</v>
      </c>
      <c r="J35" s="58">
        <f>IF(J33&gt;0,Scenario!$G$19*J33,0)</f>
        <v>1890.4659564626429</v>
      </c>
      <c r="K35" s="58">
        <f>IF(K33&gt;0,Scenario!$G$19*K33,0)</f>
        <v>1928.3080852865646</v>
      </c>
      <c r="L35" s="58">
        <f>IF(L33&gt;0,Scenario!$G$19*L33,0)</f>
        <v>2115.6002141408962</v>
      </c>
      <c r="M35" s="58">
        <f>IF(M33&gt;0,Scenario!$G$19*M33,0)</f>
        <v>2190.8048429953674</v>
      </c>
      <c r="N35" s="58">
        <f>IF(N33&gt;0,Scenario!$G$19*N33,0)</f>
        <v>2041.8344718498397</v>
      </c>
      <c r="O35" s="58">
        <f>IF(O33&gt;0,Scenario!$G$19*O33,0)</f>
        <v>1930.2266007043115</v>
      </c>
      <c r="P35" s="58">
        <f>IF(P33&gt;0,Scenario!$G$19*P33,0)</f>
        <v>1669.1687295587835</v>
      </c>
      <c r="Q35" s="58">
        <f>IF(Q33&gt;0,Scenario!$G$19*Q33,0)</f>
        <v>1856.4608584132552</v>
      </c>
      <c r="R35" s="58">
        <f>IF(R33&gt;0,Scenario!$G$19*R33,0)</f>
        <v>2043.7529872677271</v>
      </c>
      <c r="S35" s="58">
        <f>IF(S33&gt;0,Scenario!$G$19*S33,0)</f>
        <v>2193.6826161221989</v>
      </c>
      <c r="T35" s="60">
        <f>IF(T33&gt;0,Scenario!$G$19*T33,0)</f>
        <v>23527.71235679754</v>
      </c>
    </row>
    <row r="36" spans="1:20" s="49" customFormat="1" x14ac:dyDescent="0.2">
      <c r="A36" s="205"/>
      <c r="C36" s="36" t="s">
        <v>14</v>
      </c>
      <c r="D36" s="36"/>
      <c r="E36" s="36"/>
      <c r="F36" s="36"/>
      <c r="G36" s="88"/>
      <c r="H36" s="64">
        <f>H33-H35</f>
        <v>5444.3494791666653</v>
      </c>
      <c r="I36" s="65">
        <f t="shared" ref="I36:S36" si="11">I33-I35</f>
        <v>5557.87150282118</v>
      </c>
      <c r="J36" s="65">
        <f t="shared" si="11"/>
        <v>5671.3978693879289</v>
      </c>
      <c r="K36" s="65">
        <f t="shared" si="11"/>
        <v>5784.9242558596943</v>
      </c>
      <c r="L36" s="65">
        <f t="shared" si="11"/>
        <v>6346.8006424226887</v>
      </c>
      <c r="M36" s="65">
        <f t="shared" si="11"/>
        <v>6572.4145289861026</v>
      </c>
      <c r="N36" s="65">
        <f t="shared" si="11"/>
        <v>6125.5034155495196</v>
      </c>
      <c r="O36" s="65">
        <f t="shared" si="11"/>
        <v>5790.6798021129343</v>
      </c>
      <c r="P36" s="65">
        <f t="shared" si="11"/>
        <v>5007.5061886763506</v>
      </c>
      <c r="Q36" s="65">
        <f t="shared" si="11"/>
        <v>5569.3825752397661</v>
      </c>
      <c r="R36" s="65">
        <f t="shared" si="11"/>
        <v>6131.2589618031816</v>
      </c>
      <c r="S36" s="65">
        <f t="shared" si="11"/>
        <v>6581.0478483665966</v>
      </c>
      <c r="T36" s="57">
        <f>T33-T35</f>
        <v>70583.137070392622</v>
      </c>
    </row>
    <row r="37" spans="1:20" s="87" customFormat="1" ht="13" x14ac:dyDescent="0.2">
      <c r="A37" s="210"/>
      <c r="C37" s="97" t="s">
        <v>146</v>
      </c>
      <c r="D37" s="97"/>
      <c r="E37" s="97"/>
      <c r="F37" s="97"/>
      <c r="G37" s="98"/>
      <c r="H37" s="167">
        <f t="shared" ref="H37:T37" si="12">IFERROR(H36/H11,0)</f>
        <v>0.15250278653127913</v>
      </c>
      <c r="I37" s="168">
        <f t="shared" si="12"/>
        <v>0.15417119286605216</v>
      </c>
      <c r="J37" s="168">
        <f t="shared" si="12"/>
        <v>0.15580763377439366</v>
      </c>
      <c r="K37" s="168">
        <f t="shared" si="12"/>
        <v>0.15741290492135224</v>
      </c>
      <c r="L37" s="168">
        <f t="shared" si="12"/>
        <v>0.16485196473825164</v>
      </c>
      <c r="M37" s="168">
        <f t="shared" si="12"/>
        <v>0.16766363594352302</v>
      </c>
      <c r="N37" s="168">
        <f t="shared" si="12"/>
        <v>0.16205035490871744</v>
      </c>
      <c r="O37" s="168">
        <f t="shared" si="12"/>
        <v>0.15756951842484174</v>
      </c>
      <c r="P37" s="168">
        <f t="shared" si="12"/>
        <v>0.14599143407219681</v>
      </c>
      <c r="Q37" s="168">
        <f t="shared" si="12"/>
        <v>0.15449050139361348</v>
      </c>
      <c r="R37" s="168">
        <f t="shared" si="12"/>
        <v>0.16220261803712122</v>
      </c>
      <c r="S37" s="168">
        <f t="shared" si="12"/>
        <v>0.16788387368282134</v>
      </c>
      <c r="T37" s="169">
        <f t="shared" si="12"/>
        <v>0.15879220938221061</v>
      </c>
    </row>
    <row r="38" spans="1:20" s="47" customFormat="1" ht="5" customHeight="1" x14ac:dyDescent="0.2">
      <c r="A38" s="206"/>
      <c r="C38" s="188"/>
      <c r="D38" s="188"/>
      <c r="E38" s="188"/>
      <c r="F38" s="188"/>
      <c r="H38" s="90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spans="1:20" s="49" customFormat="1" x14ac:dyDescent="0.2">
      <c r="A39" s="205"/>
      <c r="C39" s="100" t="s">
        <v>104</v>
      </c>
      <c r="D39" s="100"/>
      <c r="E39" s="100"/>
      <c r="F39" s="100"/>
      <c r="H39" s="24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</row>
    <row r="40" spans="1:20" s="47" customFormat="1" x14ac:dyDescent="0.2">
      <c r="A40" s="206"/>
      <c r="C40" s="36" t="s">
        <v>147</v>
      </c>
      <c r="D40" s="33"/>
      <c r="E40" s="33"/>
      <c r="F40" s="33"/>
      <c r="G40" s="99"/>
      <c r="H40" s="53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5"/>
    </row>
    <row r="41" spans="1:20" s="47" customFormat="1" x14ac:dyDescent="0.2">
      <c r="A41" s="206"/>
      <c r="C41" s="33"/>
      <c r="D41" s="33" t="s">
        <v>148</v>
      </c>
      <c r="E41" s="33"/>
      <c r="F41" s="33"/>
      <c r="G41" s="88"/>
      <c r="H41" s="52">
        <f>H92</f>
        <v>157595.37856414099</v>
      </c>
      <c r="I41" s="54">
        <f t="shared" ref="I41:S41" si="13">I92</f>
        <v>158757.09331414173</v>
      </c>
      <c r="J41" s="54">
        <f t="shared" si="13"/>
        <v>159985.14794147763</v>
      </c>
      <c r="K41" s="54">
        <f t="shared" si="13"/>
        <v>161279.54246306795</v>
      </c>
      <c r="L41" s="54">
        <f t="shared" si="13"/>
        <v>162900.74424200394</v>
      </c>
      <c r="M41" s="54">
        <f t="shared" si="13"/>
        <v>164653.40275602569</v>
      </c>
      <c r="N41" s="54">
        <f t="shared" si="13"/>
        <v>166146.81696061266</v>
      </c>
      <c r="O41" s="54">
        <f t="shared" si="13"/>
        <v>167446.10369651826</v>
      </c>
      <c r="P41" s="54">
        <f t="shared" si="13"/>
        <v>168290.79560072877</v>
      </c>
      <c r="Q41" s="54">
        <f t="shared" si="13"/>
        <v>169462.29476228531</v>
      </c>
      <c r="R41" s="54">
        <f t="shared" si="13"/>
        <v>170960.60118118787</v>
      </c>
      <c r="S41" s="54">
        <f t="shared" si="13"/>
        <v>172720.59801668304</v>
      </c>
      <c r="T41" s="55">
        <f>S41</f>
        <v>172720.59801668304</v>
      </c>
    </row>
    <row r="42" spans="1:20" s="47" customFormat="1" x14ac:dyDescent="0.2">
      <c r="A42" s="206"/>
      <c r="C42" s="33"/>
      <c r="D42" s="33" t="s">
        <v>105</v>
      </c>
      <c r="E42" s="33"/>
      <c r="F42" s="33"/>
      <c r="G42" s="88"/>
      <c r="H42" s="52">
        <f>Scenario!$G$22*H11/$F$7</f>
        <v>3912.3287671232879</v>
      </c>
      <c r="I42" s="54">
        <f>Scenario!$G$22*I11/$F$7+H42</f>
        <v>7863.0136986301368</v>
      </c>
      <c r="J42" s="54">
        <f>Scenario!$G$22*J11/$F$7+I42</f>
        <v>11852.054794520547</v>
      </c>
      <c r="K42" s="54">
        <f>Scenario!$G$22*K11/$F$7+J42</f>
        <v>15879.452054794519</v>
      </c>
      <c r="L42" s="54">
        <f>Scenario!$G$22*L11/$F$7+K42</f>
        <v>20098.630136986299</v>
      </c>
      <c r="M42" s="54">
        <f>Scenario!$G$22*M11/$F$7+L42</f>
        <v>24394.520547945205</v>
      </c>
      <c r="N42" s="54">
        <f>Scenario!$G$22*N11/$F$7+M42</f>
        <v>28536.986301369863</v>
      </c>
      <c r="O42" s="54">
        <f>Scenario!$G$22*O11/$F$7+N42</f>
        <v>32564.383561643837</v>
      </c>
      <c r="P42" s="54">
        <f>Scenario!$G$22*P11/$F$7+O42</f>
        <v>36323.28767123288</v>
      </c>
      <c r="Q42" s="54">
        <f>Scenario!$G$22*Q11/$F$7+P42</f>
        <v>40273.972602739726</v>
      </c>
      <c r="R42" s="54">
        <f>Scenario!$G$22*R11/$F$7+Q42</f>
        <v>44416.438356164384</v>
      </c>
      <c r="S42" s="54">
        <f>Scenario!$G$22*S11/$F$7+R42</f>
        <v>48712.32876712329</v>
      </c>
      <c r="T42" s="55">
        <f>S42</f>
        <v>48712.32876712329</v>
      </c>
    </row>
    <row r="43" spans="1:20" s="47" customFormat="1" x14ac:dyDescent="0.2">
      <c r="A43" s="206"/>
      <c r="C43" s="33"/>
      <c r="D43" s="33" t="s">
        <v>106</v>
      </c>
      <c r="E43" s="33"/>
      <c r="F43" s="33"/>
      <c r="G43" s="88"/>
      <c r="H43" s="52">
        <f>Scenario!$G$23*H17/$F$7</f>
        <v>3337.705479452055</v>
      </c>
      <c r="I43" s="54">
        <f>Scenario!$G$23*I17/$F$7+H43</f>
        <v>6708.1335616438355</v>
      </c>
      <c r="J43" s="54">
        <f>Scenario!$G$23*J17/$F$7+I43</f>
        <v>10111.284246575342</v>
      </c>
      <c r="K43" s="54">
        <f>Scenario!$G$23*K17/$F$7+J43</f>
        <v>13547.157534246575</v>
      </c>
      <c r="L43" s="54">
        <f>Scenario!$G$23*L17/$F$7+K43</f>
        <v>17146.643835616436</v>
      </c>
      <c r="M43" s="54">
        <f>Scenario!$G$23*M17/$F$7+L43</f>
        <v>20811.575342465752</v>
      </c>
      <c r="N43" s="54">
        <f>Scenario!$G$23*N17/$F$7+M43</f>
        <v>24345.616438356163</v>
      </c>
      <c r="O43" s="54">
        <f>Scenario!$G$23*O17/$F$7+N43</f>
        <v>27781.489726027394</v>
      </c>
      <c r="P43" s="54">
        <f>Scenario!$G$23*P17/$F$7+O43</f>
        <v>30988.304794520544</v>
      </c>
      <c r="Q43" s="54">
        <f>Scenario!$G$23*Q17/$F$7+P43</f>
        <v>34358.732876712325</v>
      </c>
      <c r="R43" s="54">
        <f>Scenario!$G$23*R17/$F$7+Q43</f>
        <v>37892.773972602736</v>
      </c>
      <c r="S43" s="54">
        <f>Scenario!$G$23*S17/$F$7+R43</f>
        <v>41557.705479452052</v>
      </c>
      <c r="T43" s="55">
        <f>S43</f>
        <v>41557.705479452052</v>
      </c>
    </row>
    <row r="44" spans="1:20" s="49" customFormat="1" x14ac:dyDescent="0.2">
      <c r="A44" s="205"/>
      <c r="C44" s="36"/>
      <c r="D44" s="36" t="s">
        <v>149</v>
      </c>
      <c r="E44" s="36"/>
      <c r="F44" s="36"/>
      <c r="G44" s="88"/>
      <c r="H44" s="53">
        <f t="shared" ref="H44:T44" si="14">SUM(H41:H43)</f>
        <v>164845.41281071634</v>
      </c>
      <c r="I44" s="56">
        <f t="shared" si="14"/>
        <v>173328.24057441571</v>
      </c>
      <c r="J44" s="56">
        <f t="shared" si="14"/>
        <v>181948.48698257352</v>
      </c>
      <c r="K44" s="56">
        <f t="shared" si="14"/>
        <v>190706.15205210904</v>
      </c>
      <c r="L44" s="56">
        <f t="shared" si="14"/>
        <v>200146.01821460668</v>
      </c>
      <c r="M44" s="56">
        <f t="shared" si="14"/>
        <v>209859.49864643664</v>
      </c>
      <c r="N44" s="56">
        <f t="shared" si="14"/>
        <v>219029.41970033868</v>
      </c>
      <c r="O44" s="56">
        <f t="shared" si="14"/>
        <v>227791.97698418947</v>
      </c>
      <c r="P44" s="56">
        <f t="shared" si="14"/>
        <v>235602.38806648221</v>
      </c>
      <c r="Q44" s="56">
        <f t="shared" si="14"/>
        <v>244095.00024173735</v>
      </c>
      <c r="R44" s="56">
        <f t="shared" si="14"/>
        <v>253269.81350995498</v>
      </c>
      <c r="S44" s="56">
        <f t="shared" si="14"/>
        <v>262990.63226325839</v>
      </c>
      <c r="T44" s="57">
        <f t="shared" si="14"/>
        <v>262990.63226325839</v>
      </c>
    </row>
    <row r="45" spans="1:20" s="47" customFormat="1" x14ac:dyDescent="0.2">
      <c r="A45" s="206"/>
      <c r="C45" s="33"/>
      <c r="D45" s="33"/>
      <c r="E45" s="33"/>
      <c r="F45" s="33"/>
      <c r="G45" s="99"/>
      <c r="H45" s="53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5"/>
    </row>
    <row r="46" spans="1:20" s="49" customFormat="1" x14ac:dyDescent="0.2">
      <c r="A46" s="205"/>
      <c r="C46" s="36" t="s">
        <v>150</v>
      </c>
      <c r="D46" s="36"/>
      <c r="E46" s="36"/>
      <c r="F46" s="36"/>
      <c r="G46" s="96"/>
      <c r="H46" s="52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7"/>
    </row>
    <row r="47" spans="1:20" x14ac:dyDescent="0.2">
      <c r="C47" s="35"/>
      <c r="D47" s="35" t="s">
        <v>232</v>
      </c>
      <c r="E47" s="35"/>
      <c r="F47" s="35"/>
      <c r="G47" s="88"/>
      <c r="H47" s="52">
        <f>(Scenario!$G$24+(Scenario!$G$27/12))-H26</f>
        <v>13539.583333333332</v>
      </c>
      <c r="I47" s="52">
        <f>(Scenario!$G$27)/12-I26+H47</f>
        <v>13579.166666666666</v>
      </c>
      <c r="J47" s="52">
        <f>(Scenario!$G$27)/12-J26+I47</f>
        <v>13618.75</v>
      </c>
      <c r="K47" s="52">
        <f>(Scenario!$G$27)/12-K26+J47</f>
        <v>13658.333333333334</v>
      </c>
      <c r="L47" s="52">
        <f>(Scenario!$G$27)/12-L26+K47</f>
        <v>13697.916666666668</v>
      </c>
      <c r="M47" s="52">
        <f>(Scenario!$G$27)/12-M26+L47</f>
        <v>13737.500000000002</v>
      </c>
      <c r="N47" s="52">
        <f>(Scenario!$G$27)/12-N26+M47</f>
        <v>13777.083333333336</v>
      </c>
      <c r="O47" s="52">
        <f>(Scenario!$G$27)/12-O26+N47</f>
        <v>13816.66666666667</v>
      </c>
      <c r="P47" s="52">
        <f>(Scenario!$G$27)/12-P26+O47</f>
        <v>13856.250000000004</v>
      </c>
      <c r="Q47" s="52">
        <f>(Scenario!$G$27)/12-Q26+P47</f>
        <v>13895.833333333338</v>
      </c>
      <c r="R47" s="52">
        <f>(Scenario!$G$27)/12-R26+Q47</f>
        <v>13935.416666666672</v>
      </c>
      <c r="S47" s="52">
        <f>(Scenario!$G$27)/12-S26+R47</f>
        <v>13975.000000000005</v>
      </c>
      <c r="T47" s="60">
        <f>S47</f>
        <v>13975.000000000005</v>
      </c>
    </row>
    <row r="48" spans="1:20" s="48" customFormat="1" x14ac:dyDescent="0.2">
      <c r="A48" s="204"/>
      <c r="C48" s="34"/>
      <c r="D48" s="34" t="s">
        <v>151</v>
      </c>
      <c r="E48" s="34"/>
      <c r="F48" s="34"/>
      <c r="G48" s="88"/>
      <c r="H48" s="64">
        <f>SUM(H47)</f>
        <v>13539.583333333332</v>
      </c>
      <c r="I48" s="65">
        <f t="shared" ref="I48:S48" si="15">SUM(I47)</f>
        <v>13579.166666666666</v>
      </c>
      <c r="J48" s="65">
        <f t="shared" si="15"/>
        <v>13618.75</v>
      </c>
      <c r="K48" s="65">
        <f t="shared" si="15"/>
        <v>13658.333333333334</v>
      </c>
      <c r="L48" s="65">
        <f t="shared" si="15"/>
        <v>13697.916666666668</v>
      </c>
      <c r="M48" s="65">
        <f t="shared" si="15"/>
        <v>13737.500000000002</v>
      </c>
      <c r="N48" s="65">
        <f t="shared" si="15"/>
        <v>13777.083333333336</v>
      </c>
      <c r="O48" s="65">
        <f t="shared" si="15"/>
        <v>13816.66666666667</v>
      </c>
      <c r="P48" s="65">
        <f t="shared" si="15"/>
        <v>13856.250000000004</v>
      </c>
      <c r="Q48" s="65">
        <f t="shared" si="15"/>
        <v>13895.833333333338</v>
      </c>
      <c r="R48" s="65">
        <f t="shared" si="15"/>
        <v>13935.416666666672</v>
      </c>
      <c r="S48" s="65">
        <f t="shared" si="15"/>
        <v>13975.000000000005</v>
      </c>
      <c r="T48" s="66">
        <f>SUM(T47)</f>
        <v>13975.000000000005</v>
      </c>
    </row>
    <row r="49" spans="1:20" x14ac:dyDescent="0.2">
      <c r="C49" s="34" t="s">
        <v>152</v>
      </c>
      <c r="D49" s="35"/>
      <c r="E49" s="35"/>
      <c r="F49" s="35"/>
      <c r="G49" s="88"/>
      <c r="H49" s="64">
        <f>H44+H48</f>
        <v>178384.99614404968</v>
      </c>
      <c r="I49" s="65">
        <f t="shared" ref="I49:T49" si="16">I44+I48</f>
        <v>186907.40724108237</v>
      </c>
      <c r="J49" s="65">
        <f t="shared" si="16"/>
        <v>195567.23698257352</v>
      </c>
      <c r="K49" s="65">
        <f t="shared" si="16"/>
        <v>204364.48538544239</v>
      </c>
      <c r="L49" s="65">
        <f t="shared" si="16"/>
        <v>213843.93488127334</v>
      </c>
      <c r="M49" s="65">
        <f t="shared" si="16"/>
        <v>223596.99864643664</v>
      </c>
      <c r="N49" s="65">
        <f t="shared" si="16"/>
        <v>232806.50303367202</v>
      </c>
      <c r="O49" s="65">
        <f t="shared" si="16"/>
        <v>241608.64365085613</v>
      </c>
      <c r="P49" s="65">
        <f t="shared" si="16"/>
        <v>249458.63806648221</v>
      </c>
      <c r="Q49" s="65">
        <f t="shared" si="16"/>
        <v>257990.83357507069</v>
      </c>
      <c r="R49" s="65">
        <f t="shared" si="16"/>
        <v>267205.23017662164</v>
      </c>
      <c r="S49" s="65">
        <f t="shared" si="16"/>
        <v>276965.63226325839</v>
      </c>
      <c r="T49" s="66">
        <f t="shared" si="16"/>
        <v>276965.63226325839</v>
      </c>
    </row>
    <row r="50" spans="1:20" x14ac:dyDescent="0.2">
      <c r="C50" s="35"/>
      <c r="D50" s="35"/>
      <c r="E50" s="35"/>
      <c r="F50" s="35"/>
      <c r="G50" s="88"/>
      <c r="H50" s="58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60"/>
    </row>
    <row r="51" spans="1:20" x14ac:dyDescent="0.2">
      <c r="C51" s="34" t="s">
        <v>153</v>
      </c>
      <c r="D51" s="35"/>
      <c r="E51" s="35"/>
      <c r="F51" s="35"/>
      <c r="G51" s="88"/>
      <c r="H51" s="58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60"/>
    </row>
    <row r="52" spans="1:20" x14ac:dyDescent="0.2">
      <c r="C52" s="35"/>
      <c r="D52" s="35" t="s">
        <v>154</v>
      </c>
      <c r="E52" s="35"/>
      <c r="F52" s="35"/>
      <c r="G52" s="88"/>
      <c r="H52" s="58">
        <f>Scenario!$G$25*H17/$F$7</f>
        <v>2567.4657534246576</v>
      </c>
      <c r="I52" s="59">
        <f>Scenario!$G$25*I17/$F$7+H52</f>
        <v>5160.1027397260277</v>
      </c>
      <c r="J52" s="59">
        <f>Scenario!$G$25*J17/$F$7+I52</f>
        <v>7777.91095890411</v>
      </c>
      <c r="K52" s="59">
        <f>Scenario!$G$25*K17/$F$7+J52</f>
        <v>10420.890410958904</v>
      </c>
      <c r="L52" s="59">
        <f>Scenario!$G$25*L17/$F$7+K52</f>
        <v>13189.726027397261</v>
      </c>
      <c r="M52" s="59">
        <f>Scenario!$G$25*M17/$F$7+L52</f>
        <v>16008.904109589042</v>
      </c>
      <c r="N52" s="59">
        <f>Scenario!$G$25*N17/$F$7+M52</f>
        <v>18727.397260273974</v>
      </c>
      <c r="O52" s="59">
        <f>Scenario!$G$25*O17/$F$7+N52</f>
        <v>21370.376712328769</v>
      </c>
      <c r="P52" s="59">
        <f>Scenario!$G$25*P17/$F$7+O52</f>
        <v>23837.157534246577</v>
      </c>
      <c r="Q52" s="59">
        <f>Scenario!$G$25*Q17/$F$7+P52</f>
        <v>26429.794520547948</v>
      </c>
      <c r="R52" s="59">
        <f>Scenario!$G$25*R17/$F$7+Q52</f>
        <v>29148.28767123288</v>
      </c>
      <c r="S52" s="59">
        <f>Scenario!$G$25*S17/$F$7+R52</f>
        <v>31967.465753424662</v>
      </c>
      <c r="T52" s="60">
        <f>S52</f>
        <v>31967.465753424662</v>
      </c>
    </row>
    <row r="53" spans="1:20" x14ac:dyDescent="0.2">
      <c r="C53" s="35"/>
      <c r="D53" s="35" t="s">
        <v>108</v>
      </c>
      <c r="E53" s="35"/>
      <c r="F53" s="35"/>
      <c r="G53" s="88"/>
      <c r="H53" s="58">
        <f>Scenario!$G$26*H11</f>
        <v>1606.5</v>
      </c>
      <c r="I53" s="59">
        <f>Scenario!$G$26*I11+H53</f>
        <v>3228.75</v>
      </c>
      <c r="J53" s="59">
        <f>Scenario!$G$26*J11+I53</f>
        <v>4866.75</v>
      </c>
      <c r="K53" s="59">
        <f>Scenario!$G$26*K11+J53</f>
        <v>6520.5</v>
      </c>
      <c r="L53" s="59">
        <f>Scenario!$G$26*L11+K53</f>
        <v>8253</v>
      </c>
      <c r="M53" s="59">
        <f>Scenario!$G$26*M11+L53</f>
        <v>10017</v>
      </c>
      <c r="N53" s="59">
        <f>Scenario!$G$26*N11+M53</f>
        <v>11718</v>
      </c>
      <c r="O53" s="59">
        <f>Scenario!$G$26*O11+N53</f>
        <v>13371.75</v>
      </c>
      <c r="P53" s="59">
        <f>Scenario!$G$26*P11+O53</f>
        <v>14915.25</v>
      </c>
      <c r="Q53" s="59">
        <f>Scenario!$G$26*Q11+P53</f>
        <v>16537.5</v>
      </c>
      <c r="R53" s="59">
        <f>Scenario!$G$26*R11+Q53</f>
        <v>18238.5</v>
      </c>
      <c r="S53" s="59">
        <f>Scenario!$G$26*S11+R53</f>
        <v>20002.5</v>
      </c>
      <c r="T53" s="60">
        <f>S53</f>
        <v>20002.5</v>
      </c>
    </row>
    <row r="54" spans="1:20" s="48" customFormat="1" x14ac:dyDescent="0.2">
      <c r="A54" s="204"/>
      <c r="C54" s="34"/>
      <c r="D54" s="34" t="s">
        <v>155</v>
      </c>
      <c r="E54" s="34"/>
      <c r="F54" s="34"/>
      <c r="G54" s="88"/>
      <c r="H54" s="64">
        <f>SUM(H52:H53)</f>
        <v>4173.965753424658</v>
      </c>
      <c r="I54" s="65">
        <f t="shared" ref="I54:S54" si="17">SUM(I52:I53)</f>
        <v>8388.8527397260277</v>
      </c>
      <c r="J54" s="65">
        <f t="shared" si="17"/>
        <v>12644.660958904111</v>
      </c>
      <c r="K54" s="65">
        <f t="shared" si="17"/>
        <v>16941.390410958906</v>
      </c>
      <c r="L54" s="65">
        <f t="shared" si="17"/>
        <v>21442.726027397261</v>
      </c>
      <c r="M54" s="65">
        <f t="shared" si="17"/>
        <v>26025.904109589042</v>
      </c>
      <c r="N54" s="65">
        <f t="shared" si="17"/>
        <v>30445.397260273974</v>
      </c>
      <c r="O54" s="65">
        <f t="shared" si="17"/>
        <v>34742.126712328769</v>
      </c>
      <c r="P54" s="65">
        <f t="shared" si="17"/>
        <v>38752.40753424658</v>
      </c>
      <c r="Q54" s="65">
        <f t="shared" si="17"/>
        <v>42967.294520547948</v>
      </c>
      <c r="R54" s="65">
        <f t="shared" si="17"/>
        <v>47386.78767123288</v>
      </c>
      <c r="S54" s="65">
        <f t="shared" si="17"/>
        <v>51969.965753424665</v>
      </c>
      <c r="T54" s="66">
        <f>SUM(T52:T53)</f>
        <v>51969.965753424665</v>
      </c>
    </row>
    <row r="55" spans="1:20" x14ac:dyDescent="0.2">
      <c r="C55" s="35"/>
      <c r="D55" s="35"/>
      <c r="E55" s="35"/>
      <c r="F55" s="35"/>
      <c r="G55" s="88"/>
      <c r="H55" s="64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60"/>
    </row>
    <row r="56" spans="1:20" x14ac:dyDescent="0.2">
      <c r="C56" s="34" t="s">
        <v>156</v>
      </c>
      <c r="D56" s="35"/>
      <c r="E56" s="35"/>
      <c r="F56" s="35"/>
      <c r="G56" s="88"/>
      <c r="H56" s="58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60"/>
    </row>
    <row r="57" spans="1:20" x14ac:dyDescent="0.2">
      <c r="C57" s="35"/>
      <c r="D57" s="35" t="s">
        <v>157</v>
      </c>
      <c r="E57" s="35"/>
      <c r="F57" s="35"/>
      <c r="G57" s="88"/>
      <c r="H57" s="58">
        <f>Scenario!$G$31+(Scenario!$G$33/12)</f>
        <v>59583.333333333336</v>
      </c>
      <c r="I57" s="59">
        <f>H57+I85</f>
        <v>59166.666666666672</v>
      </c>
      <c r="J57" s="59">
        <f t="shared" ref="J57:S57" si="18">I57+J85</f>
        <v>58750.000000000007</v>
      </c>
      <c r="K57" s="59">
        <f t="shared" si="18"/>
        <v>58333.333333333343</v>
      </c>
      <c r="L57" s="59">
        <f t="shared" si="18"/>
        <v>57916.666666666679</v>
      </c>
      <c r="M57" s="59">
        <f t="shared" si="18"/>
        <v>57500.000000000015</v>
      </c>
      <c r="N57" s="59">
        <f t="shared" si="18"/>
        <v>57083.33333333335</v>
      </c>
      <c r="O57" s="59">
        <f t="shared" si="18"/>
        <v>56666.666666666686</v>
      </c>
      <c r="P57" s="59">
        <f t="shared" si="18"/>
        <v>56250.000000000022</v>
      </c>
      <c r="Q57" s="59">
        <f t="shared" si="18"/>
        <v>55833.333333333358</v>
      </c>
      <c r="R57" s="59">
        <f t="shared" si="18"/>
        <v>55416.666666666693</v>
      </c>
      <c r="S57" s="59">
        <f t="shared" si="18"/>
        <v>55000.000000000029</v>
      </c>
      <c r="T57" s="60">
        <f>S57</f>
        <v>55000.000000000029</v>
      </c>
    </row>
    <row r="58" spans="1:20" s="48" customFormat="1" x14ac:dyDescent="0.2">
      <c r="A58" s="204"/>
      <c r="C58" s="34"/>
      <c r="D58" s="34" t="s">
        <v>158</v>
      </c>
      <c r="E58" s="34"/>
      <c r="F58" s="34"/>
      <c r="G58" s="88"/>
      <c r="H58" s="64">
        <f>SUM(H57)</f>
        <v>59583.333333333336</v>
      </c>
      <c r="I58" s="65">
        <f t="shared" ref="I58:S58" si="19">SUM(I57)</f>
        <v>59166.666666666672</v>
      </c>
      <c r="J58" s="65">
        <f t="shared" si="19"/>
        <v>58750.000000000007</v>
      </c>
      <c r="K58" s="65">
        <f t="shared" si="19"/>
        <v>58333.333333333343</v>
      </c>
      <c r="L58" s="65">
        <f t="shared" si="19"/>
        <v>57916.666666666679</v>
      </c>
      <c r="M58" s="65">
        <f t="shared" si="19"/>
        <v>57500.000000000015</v>
      </c>
      <c r="N58" s="65">
        <f t="shared" si="19"/>
        <v>57083.33333333335</v>
      </c>
      <c r="O58" s="65">
        <f t="shared" si="19"/>
        <v>56666.666666666686</v>
      </c>
      <c r="P58" s="65">
        <f t="shared" si="19"/>
        <v>56250.000000000022</v>
      </c>
      <c r="Q58" s="65">
        <f t="shared" si="19"/>
        <v>55833.333333333358</v>
      </c>
      <c r="R58" s="65">
        <f t="shared" si="19"/>
        <v>55416.666666666693</v>
      </c>
      <c r="S58" s="65">
        <f t="shared" si="19"/>
        <v>55000.000000000029</v>
      </c>
      <c r="T58" s="66">
        <f>SUM(T57)</f>
        <v>55000.000000000029</v>
      </c>
    </row>
    <row r="59" spans="1:20" s="48" customFormat="1" x14ac:dyDescent="0.2">
      <c r="A59" s="204"/>
      <c r="C59" s="34" t="s">
        <v>159</v>
      </c>
      <c r="D59" s="34"/>
      <c r="E59" s="34"/>
      <c r="F59" s="34"/>
      <c r="G59" s="88"/>
      <c r="H59" s="64">
        <f>H54+H58</f>
        <v>63757.299086757994</v>
      </c>
      <c r="I59" s="65">
        <f t="shared" ref="I59:T59" si="20">I54+I58</f>
        <v>67555.519406392705</v>
      </c>
      <c r="J59" s="65">
        <f t="shared" si="20"/>
        <v>71394.660958904118</v>
      </c>
      <c r="K59" s="65">
        <f t="shared" si="20"/>
        <v>75274.723744292249</v>
      </c>
      <c r="L59" s="65">
        <f t="shared" si="20"/>
        <v>79359.392694063936</v>
      </c>
      <c r="M59" s="65">
        <f t="shared" si="20"/>
        <v>83525.904109589057</v>
      </c>
      <c r="N59" s="65">
        <f t="shared" si="20"/>
        <v>87528.730593607324</v>
      </c>
      <c r="O59" s="65">
        <f t="shared" si="20"/>
        <v>91408.793378995455</v>
      </c>
      <c r="P59" s="65">
        <f t="shared" si="20"/>
        <v>95002.407534246595</v>
      </c>
      <c r="Q59" s="65">
        <f t="shared" si="20"/>
        <v>98800.627853881306</v>
      </c>
      <c r="R59" s="65">
        <f t="shared" si="20"/>
        <v>102803.45433789957</v>
      </c>
      <c r="S59" s="65">
        <f>S54+S58</f>
        <v>106969.96575342469</v>
      </c>
      <c r="T59" s="66">
        <f t="shared" si="20"/>
        <v>106969.96575342469</v>
      </c>
    </row>
    <row r="60" spans="1:20" s="48" customFormat="1" x14ac:dyDescent="0.2">
      <c r="A60" s="204"/>
      <c r="C60" s="34"/>
      <c r="D60" s="34"/>
      <c r="E60" s="34"/>
      <c r="F60" s="34"/>
      <c r="G60" s="91"/>
      <c r="H60" s="64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6"/>
    </row>
    <row r="61" spans="1:20" x14ac:dyDescent="0.2">
      <c r="C61" s="34" t="s">
        <v>163</v>
      </c>
      <c r="D61" s="35"/>
      <c r="E61" s="35"/>
      <c r="F61" s="35"/>
      <c r="G61" s="88"/>
      <c r="H61" s="64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60"/>
    </row>
    <row r="62" spans="1:20" x14ac:dyDescent="0.2">
      <c r="C62" s="35"/>
      <c r="D62" s="35" t="s">
        <v>160</v>
      </c>
      <c r="E62" s="35"/>
      <c r="F62" s="35"/>
      <c r="G62" s="88"/>
      <c r="H62" s="58">
        <f>Scenario!$G$32</f>
        <v>110000</v>
      </c>
      <c r="I62" s="59">
        <f>H62</f>
        <v>110000</v>
      </c>
      <c r="J62" s="59">
        <f t="shared" ref="J62:S62" si="21">I62</f>
        <v>110000</v>
      </c>
      <c r="K62" s="59">
        <f t="shared" si="21"/>
        <v>110000</v>
      </c>
      <c r="L62" s="59">
        <f t="shared" si="21"/>
        <v>110000</v>
      </c>
      <c r="M62" s="59">
        <f t="shared" si="21"/>
        <v>110000</v>
      </c>
      <c r="N62" s="59">
        <f t="shared" si="21"/>
        <v>110000</v>
      </c>
      <c r="O62" s="59">
        <f t="shared" si="21"/>
        <v>110000</v>
      </c>
      <c r="P62" s="59">
        <f t="shared" si="21"/>
        <v>110000</v>
      </c>
      <c r="Q62" s="59">
        <f t="shared" si="21"/>
        <v>110000</v>
      </c>
      <c r="R62" s="59">
        <f t="shared" si="21"/>
        <v>110000</v>
      </c>
      <c r="S62" s="59">
        <f t="shared" si="21"/>
        <v>110000</v>
      </c>
      <c r="T62" s="60">
        <f>S62</f>
        <v>110000</v>
      </c>
    </row>
    <row r="63" spans="1:20" x14ac:dyDescent="0.2">
      <c r="C63" s="35"/>
      <c r="D63" s="35" t="s">
        <v>161</v>
      </c>
      <c r="E63" s="35"/>
      <c r="F63" s="35"/>
      <c r="G63" s="88"/>
      <c r="H63" s="58">
        <f>0+H36+H87</f>
        <v>4627.6970572916653</v>
      </c>
      <c r="I63" s="59">
        <f>H63+I36+I87</f>
        <v>9351.887834689669</v>
      </c>
      <c r="J63" s="59">
        <f t="shared" ref="J63:S63" si="22">I63+J36+J87</f>
        <v>14172.576023669408</v>
      </c>
      <c r="K63" s="59">
        <f t="shared" si="22"/>
        <v>19089.761641150148</v>
      </c>
      <c r="L63" s="59">
        <f t="shared" si="22"/>
        <v>24484.542187209434</v>
      </c>
      <c r="M63" s="59">
        <f t="shared" si="22"/>
        <v>30071.09453684762</v>
      </c>
      <c r="N63" s="59">
        <f t="shared" si="22"/>
        <v>35277.772440064713</v>
      </c>
      <c r="O63" s="59">
        <f t="shared" si="22"/>
        <v>40199.850271860712</v>
      </c>
      <c r="P63" s="59">
        <f t="shared" si="22"/>
        <v>44456.230532235611</v>
      </c>
      <c r="Q63" s="59">
        <f t="shared" si="22"/>
        <v>49190.205721189413</v>
      </c>
      <c r="R63" s="59">
        <f t="shared" si="22"/>
        <v>54401.775838722111</v>
      </c>
      <c r="S63" s="59">
        <f t="shared" si="22"/>
        <v>59995.666509833718</v>
      </c>
      <c r="T63" s="60">
        <f>S63</f>
        <v>59995.666509833718</v>
      </c>
    </row>
    <row r="64" spans="1:20" s="48" customFormat="1" x14ac:dyDescent="0.2">
      <c r="A64" s="204"/>
      <c r="C64" s="34"/>
      <c r="D64" s="34" t="s">
        <v>162</v>
      </c>
      <c r="E64" s="34"/>
      <c r="F64" s="34"/>
      <c r="G64" s="88"/>
      <c r="H64" s="64">
        <f>SUM(H62:H63)</f>
        <v>114627.69705729166</v>
      </c>
      <c r="I64" s="65">
        <f t="shared" ref="I64:S64" si="23">SUM(I62:I63)</f>
        <v>119351.88783468967</v>
      </c>
      <c r="J64" s="65">
        <f t="shared" si="23"/>
        <v>124172.5760236694</v>
      </c>
      <c r="K64" s="65">
        <f t="shared" si="23"/>
        <v>129089.76164115015</v>
      </c>
      <c r="L64" s="65">
        <f t="shared" si="23"/>
        <v>134484.54218720944</v>
      </c>
      <c r="M64" s="65">
        <f t="shared" si="23"/>
        <v>140071.09453684761</v>
      </c>
      <c r="N64" s="65">
        <f t="shared" si="23"/>
        <v>145277.7724400647</v>
      </c>
      <c r="O64" s="65">
        <f t="shared" si="23"/>
        <v>150199.85027186072</v>
      </c>
      <c r="P64" s="65">
        <f t="shared" si="23"/>
        <v>154456.23053223561</v>
      </c>
      <c r="Q64" s="65">
        <f t="shared" si="23"/>
        <v>159190.20572118941</v>
      </c>
      <c r="R64" s="65">
        <f t="shared" si="23"/>
        <v>164401.77583872213</v>
      </c>
      <c r="S64" s="65">
        <f t="shared" si="23"/>
        <v>169995.66650983371</v>
      </c>
      <c r="T64" s="66">
        <f>SUM(T62:T63)</f>
        <v>169995.66650983371</v>
      </c>
    </row>
    <row r="65" spans="1:20" s="48" customFormat="1" x14ac:dyDescent="0.2">
      <c r="A65" s="204"/>
      <c r="C65" s="34" t="s">
        <v>164</v>
      </c>
      <c r="D65" s="34"/>
      <c r="E65" s="34"/>
      <c r="F65" s="34"/>
      <c r="G65" s="88"/>
      <c r="H65" s="64">
        <f>H59+H64</f>
        <v>178384.99614404966</v>
      </c>
      <c r="I65" s="65">
        <f t="shared" ref="I65:S65" si="24">I59+I64</f>
        <v>186907.40724108237</v>
      </c>
      <c r="J65" s="65">
        <f t="shared" si="24"/>
        <v>195567.23698257352</v>
      </c>
      <c r="K65" s="65">
        <f t="shared" si="24"/>
        <v>204364.48538544239</v>
      </c>
      <c r="L65" s="65">
        <f t="shared" si="24"/>
        <v>213843.93488127337</v>
      </c>
      <c r="M65" s="65">
        <f t="shared" si="24"/>
        <v>223596.99864643667</v>
      </c>
      <c r="N65" s="65">
        <f t="shared" si="24"/>
        <v>232806.50303367202</v>
      </c>
      <c r="O65" s="65">
        <f t="shared" si="24"/>
        <v>241608.64365085616</v>
      </c>
      <c r="P65" s="65">
        <f t="shared" si="24"/>
        <v>249458.63806648221</v>
      </c>
      <c r="Q65" s="65">
        <f t="shared" si="24"/>
        <v>257990.83357507072</v>
      </c>
      <c r="R65" s="65">
        <f t="shared" si="24"/>
        <v>267205.2301766217</v>
      </c>
      <c r="S65" s="65">
        <f t="shared" si="24"/>
        <v>276965.63226325839</v>
      </c>
      <c r="T65" s="66">
        <f>T59+T64</f>
        <v>276965.63226325839</v>
      </c>
    </row>
    <row r="66" spans="1:20" x14ac:dyDescent="0.2">
      <c r="C66" s="35"/>
      <c r="D66" s="35"/>
      <c r="E66" s="35"/>
      <c r="F66" s="35"/>
      <c r="G66" s="88"/>
      <c r="H66" s="64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60"/>
    </row>
    <row r="67" spans="1:20" s="103" customFormat="1" x14ac:dyDescent="0.2">
      <c r="A67" s="211"/>
      <c r="C67" s="102"/>
      <c r="D67" s="102" t="s">
        <v>300</v>
      </c>
      <c r="E67" s="102"/>
      <c r="F67" s="102"/>
      <c r="G67" s="102"/>
      <c r="H67" s="107">
        <f>H49-H65</f>
        <v>0</v>
      </c>
      <c r="I67" s="108">
        <f t="shared" ref="I67:T67" si="25">I49-I65</f>
        <v>0</v>
      </c>
      <c r="J67" s="108">
        <f t="shared" si="25"/>
        <v>0</v>
      </c>
      <c r="K67" s="108">
        <f t="shared" si="25"/>
        <v>0</v>
      </c>
      <c r="L67" s="108">
        <f t="shared" si="25"/>
        <v>0</v>
      </c>
      <c r="M67" s="108">
        <f t="shared" si="25"/>
        <v>0</v>
      </c>
      <c r="N67" s="108">
        <f t="shared" si="25"/>
        <v>0</v>
      </c>
      <c r="O67" s="108">
        <f t="shared" si="25"/>
        <v>0</v>
      </c>
      <c r="P67" s="108">
        <f t="shared" si="25"/>
        <v>0</v>
      </c>
      <c r="Q67" s="108">
        <f t="shared" si="25"/>
        <v>0</v>
      </c>
      <c r="R67" s="108">
        <f t="shared" si="25"/>
        <v>0</v>
      </c>
      <c r="S67" s="108">
        <f t="shared" si="25"/>
        <v>0</v>
      </c>
      <c r="T67" s="109">
        <f t="shared" si="25"/>
        <v>0</v>
      </c>
    </row>
    <row r="68" spans="1:20" ht="5" customHeight="1" x14ac:dyDescent="0.2">
      <c r="C68" s="173"/>
      <c r="D68" s="173"/>
      <c r="E68" s="173"/>
      <c r="F68" s="173"/>
      <c r="H68" s="8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s="48" customFormat="1" x14ac:dyDescent="0.2">
      <c r="A69" s="204"/>
      <c r="C69" s="61" t="s">
        <v>165</v>
      </c>
      <c r="D69" s="61"/>
      <c r="E69" s="61"/>
      <c r="F69" s="61"/>
      <c r="H69" s="9"/>
      <c r="I69" s="25"/>
      <c r="J69" s="25"/>
      <c r="K69" s="25"/>
      <c r="L69" s="25"/>
      <c r="M69" s="25"/>
      <c r="N69" s="25"/>
      <c r="O69" s="9"/>
      <c r="P69" s="9"/>
      <c r="Q69" s="25"/>
      <c r="R69" s="25"/>
      <c r="S69" s="25"/>
      <c r="T69" s="25"/>
    </row>
    <row r="70" spans="1:20" s="48" customFormat="1" x14ac:dyDescent="0.2">
      <c r="A70" s="204"/>
      <c r="C70" s="34" t="s">
        <v>169</v>
      </c>
      <c r="D70" s="34"/>
      <c r="E70" s="34"/>
      <c r="F70" s="34"/>
      <c r="G70" s="91"/>
      <c r="H70" s="64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6"/>
    </row>
    <row r="71" spans="1:20" x14ac:dyDescent="0.2">
      <c r="C71" s="35"/>
      <c r="D71" s="35" t="s">
        <v>14</v>
      </c>
      <c r="E71" s="35"/>
      <c r="F71" s="35"/>
      <c r="G71" s="88"/>
      <c r="H71" s="58">
        <f>H36</f>
        <v>5444.3494791666653</v>
      </c>
      <c r="I71" s="59">
        <f t="shared" ref="I71:S71" si="26">I36</f>
        <v>5557.87150282118</v>
      </c>
      <c r="J71" s="59">
        <f t="shared" si="26"/>
        <v>5671.3978693879289</v>
      </c>
      <c r="K71" s="59">
        <f t="shared" si="26"/>
        <v>5784.9242558596943</v>
      </c>
      <c r="L71" s="59">
        <f t="shared" si="26"/>
        <v>6346.8006424226887</v>
      </c>
      <c r="M71" s="59">
        <f t="shared" si="26"/>
        <v>6572.4145289861026</v>
      </c>
      <c r="N71" s="59">
        <f t="shared" si="26"/>
        <v>6125.5034155495196</v>
      </c>
      <c r="O71" s="59">
        <f t="shared" si="26"/>
        <v>5790.6798021129343</v>
      </c>
      <c r="P71" s="59">
        <f t="shared" si="26"/>
        <v>5007.5061886763506</v>
      </c>
      <c r="Q71" s="59">
        <f t="shared" si="26"/>
        <v>5569.3825752397661</v>
      </c>
      <c r="R71" s="59">
        <f t="shared" si="26"/>
        <v>6131.2589618031816</v>
      </c>
      <c r="S71" s="59">
        <f t="shared" si="26"/>
        <v>6581.0478483665966</v>
      </c>
      <c r="T71" s="60">
        <f>SUM(H71:S71)</f>
        <v>70583.137070392608</v>
      </c>
    </row>
    <row r="72" spans="1:20" x14ac:dyDescent="0.2">
      <c r="C72" s="35"/>
      <c r="D72" s="35" t="s">
        <v>166</v>
      </c>
      <c r="E72" s="35"/>
      <c r="F72" s="35"/>
      <c r="G72" s="88"/>
      <c r="H72" s="58">
        <f>H26</f>
        <v>627.08333333333337</v>
      </c>
      <c r="I72" s="59">
        <f t="shared" ref="I72:S72" si="27">I26</f>
        <v>627.08333333333337</v>
      </c>
      <c r="J72" s="59">
        <f t="shared" si="27"/>
        <v>627.08333333333337</v>
      </c>
      <c r="K72" s="59">
        <f t="shared" si="27"/>
        <v>627.08333333333337</v>
      </c>
      <c r="L72" s="59">
        <f t="shared" si="27"/>
        <v>627.08333333333337</v>
      </c>
      <c r="M72" s="59">
        <f t="shared" si="27"/>
        <v>627.08333333333337</v>
      </c>
      <c r="N72" s="59">
        <f t="shared" si="27"/>
        <v>627.08333333333337</v>
      </c>
      <c r="O72" s="59">
        <f t="shared" si="27"/>
        <v>627.08333333333337</v>
      </c>
      <c r="P72" s="59">
        <f t="shared" si="27"/>
        <v>627.08333333333337</v>
      </c>
      <c r="Q72" s="59">
        <f t="shared" si="27"/>
        <v>627.08333333333337</v>
      </c>
      <c r="R72" s="59">
        <f t="shared" si="27"/>
        <v>627.08333333333337</v>
      </c>
      <c r="S72" s="59">
        <f t="shared" si="27"/>
        <v>627.08333333333337</v>
      </c>
      <c r="T72" s="60">
        <f>SUM(H72:S72)</f>
        <v>7524.9999999999991</v>
      </c>
    </row>
    <row r="73" spans="1:20" x14ac:dyDescent="0.2">
      <c r="C73" s="35"/>
      <c r="D73" s="35" t="s">
        <v>167</v>
      </c>
      <c r="E73" s="35"/>
      <c r="F73" s="35"/>
      <c r="G73" s="88"/>
      <c r="H73" s="58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60"/>
    </row>
    <row r="74" spans="1:20" x14ac:dyDescent="0.2">
      <c r="C74" s="35"/>
      <c r="D74" s="35"/>
      <c r="E74" s="35" t="s">
        <v>105</v>
      </c>
      <c r="F74" s="35"/>
      <c r="G74" s="88"/>
      <c r="H74" s="58">
        <f>0-H42</f>
        <v>-3912.3287671232879</v>
      </c>
      <c r="I74" s="59">
        <f>H42-I42</f>
        <v>-3950.6849315068489</v>
      </c>
      <c r="J74" s="59">
        <f t="shared" ref="J74:S74" si="28">I42-J42</f>
        <v>-3989.0410958904104</v>
      </c>
      <c r="K74" s="59">
        <f t="shared" si="28"/>
        <v>-4027.3972602739723</v>
      </c>
      <c r="L74" s="59">
        <f t="shared" si="28"/>
        <v>-4219.17808219178</v>
      </c>
      <c r="M74" s="59">
        <f t="shared" si="28"/>
        <v>-4295.8904109589057</v>
      </c>
      <c r="N74" s="59">
        <f t="shared" si="28"/>
        <v>-4142.465753424658</v>
      </c>
      <c r="O74" s="59">
        <f t="shared" si="28"/>
        <v>-4027.3972602739741</v>
      </c>
      <c r="P74" s="59">
        <f t="shared" si="28"/>
        <v>-3758.9041095890425</v>
      </c>
      <c r="Q74" s="59">
        <f t="shared" si="28"/>
        <v>-3950.6849315068466</v>
      </c>
      <c r="R74" s="59">
        <f t="shared" si="28"/>
        <v>-4142.465753424658</v>
      </c>
      <c r="S74" s="59">
        <f t="shared" si="28"/>
        <v>-4295.8904109589057</v>
      </c>
      <c r="T74" s="60">
        <f>SUM(H74:S74)</f>
        <v>-48712.32876712329</v>
      </c>
    </row>
    <row r="75" spans="1:20" x14ac:dyDescent="0.2">
      <c r="C75" s="35"/>
      <c r="D75" s="35"/>
      <c r="E75" s="35" t="s">
        <v>106</v>
      </c>
      <c r="F75" s="35"/>
      <c r="G75" s="88"/>
      <c r="H75" s="58">
        <f>0-H43</f>
        <v>-3337.705479452055</v>
      </c>
      <c r="I75" s="59">
        <f>H43-I43</f>
        <v>-3370.4280821917805</v>
      </c>
      <c r="J75" s="59">
        <f t="shared" ref="J75:S75" si="29">I43-J43</f>
        <v>-3403.1506849315065</v>
      </c>
      <c r="K75" s="59">
        <f t="shared" si="29"/>
        <v>-3435.8732876712329</v>
      </c>
      <c r="L75" s="59">
        <f t="shared" si="29"/>
        <v>-3599.4863013698614</v>
      </c>
      <c r="M75" s="59">
        <f t="shared" si="29"/>
        <v>-3664.9315068493161</v>
      </c>
      <c r="N75" s="59">
        <f t="shared" si="29"/>
        <v>-3534.0410958904104</v>
      </c>
      <c r="O75" s="59">
        <f t="shared" si="29"/>
        <v>-3435.8732876712311</v>
      </c>
      <c r="P75" s="59">
        <f t="shared" si="29"/>
        <v>-3206.8150684931497</v>
      </c>
      <c r="Q75" s="59">
        <f t="shared" si="29"/>
        <v>-3370.4280821917819</v>
      </c>
      <c r="R75" s="59">
        <f t="shared" si="29"/>
        <v>-3534.0410958904104</v>
      </c>
      <c r="S75" s="59">
        <f t="shared" si="29"/>
        <v>-3664.9315068493161</v>
      </c>
      <c r="T75" s="60">
        <f t="shared" ref="T75:T77" si="30">SUM(H75:S75)</f>
        <v>-41557.705479452052</v>
      </c>
    </row>
    <row r="76" spans="1:20" x14ac:dyDescent="0.2">
      <c r="C76" s="35"/>
      <c r="D76" s="35"/>
      <c r="E76" s="35" t="s">
        <v>107</v>
      </c>
      <c r="F76" s="35"/>
      <c r="G76" s="88"/>
      <c r="H76" s="58">
        <f>H52-0</f>
        <v>2567.4657534246576</v>
      </c>
      <c r="I76" s="59">
        <f t="shared" ref="I76:S76" si="31">I52-H52</f>
        <v>2592.6369863013701</v>
      </c>
      <c r="J76" s="59">
        <f t="shared" si="31"/>
        <v>2617.8082191780823</v>
      </c>
      <c r="K76" s="59">
        <f t="shared" si="31"/>
        <v>2642.9794520547939</v>
      </c>
      <c r="L76" s="59">
        <f t="shared" si="31"/>
        <v>2768.8356164383567</v>
      </c>
      <c r="M76" s="59">
        <f t="shared" si="31"/>
        <v>2819.1780821917819</v>
      </c>
      <c r="N76" s="59">
        <f t="shared" si="31"/>
        <v>2718.4931506849316</v>
      </c>
      <c r="O76" s="59">
        <f t="shared" si="31"/>
        <v>2642.9794520547948</v>
      </c>
      <c r="P76" s="59">
        <f t="shared" si="31"/>
        <v>2466.7808219178078</v>
      </c>
      <c r="Q76" s="59">
        <f t="shared" si="31"/>
        <v>2592.6369863013715</v>
      </c>
      <c r="R76" s="59">
        <f t="shared" si="31"/>
        <v>2718.4931506849316</v>
      </c>
      <c r="S76" s="59">
        <f t="shared" si="31"/>
        <v>2819.1780821917819</v>
      </c>
      <c r="T76" s="60">
        <f t="shared" si="30"/>
        <v>31967.465753424662</v>
      </c>
    </row>
    <row r="77" spans="1:20" x14ac:dyDescent="0.2">
      <c r="C77" s="35"/>
      <c r="D77" s="35"/>
      <c r="E77" s="35" t="s">
        <v>108</v>
      </c>
      <c r="F77" s="35"/>
      <c r="G77" s="88"/>
      <c r="H77" s="58">
        <f>H53-0</f>
        <v>1606.5</v>
      </c>
      <c r="I77" s="59">
        <f>I53-H53</f>
        <v>1622.25</v>
      </c>
      <c r="J77" s="59">
        <f t="shared" ref="J77:S77" si="32">J53-I53</f>
        <v>1638</v>
      </c>
      <c r="K77" s="59">
        <f t="shared" si="32"/>
        <v>1653.75</v>
      </c>
      <c r="L77" s="59">
        <f t="shared" si="32"/>
        <v>1732.5</v>
      </c>
      <c r="M77" s="59">
        <f t="shared" si="32"/>
        <v>1764</v>
      </c>
      <c r="N77" s="59">
        <f t="shared" si="32"/>
        <v>1701</v>
      </c>
      <c r="O77" s="59">
        <f t="shared" si="32"/>
        <v>1653.75</v>
      </c>
      <c r="P77" s="59">
        <f t="shared" si="32"/>
        <v>1543.5</v>
      </c>
      <c r="Q77" s="59">
        <f t="shared" si="32"/>
        <v>1622.25</v>
      </c>
      <c r="R77" s="59">
        <f t="shared" si="32"/>
        <v>1701</v>
      </c>
      <c r="S77" s="59">
        <f t="shared" si="32"/>
        <v>1764</v>
      </c>
      <c r="T77" s="60">
        <f t="shared" si="30"/>
        <v>20002.5</v>
      </c>
    </row>
    <row r="78" spans="1:20" s="48" customFormat="1" x14ac:dyDescent="0.2">
      <c r="A78" s="204"/>
      <c r="C78" s="34" t="s">
        <v>168</v>
      </c>
      <c r="D78" s="34"/>
      <c r="E78" s="34"/>
      <c r="F78" s="34"/>
      <c r="G78" s="88"/>
      <c r="H78" s="64">
        <f>SUM(H71:H77)</f>
        <v>2995.3643193493131</v>
      </c>
      <c r="I78" s="65">
        <f t="shared" ref="I78:S78" si="33">SUM(I71:I77)</f>
        <v>3078.7288087572538</v>
      </c>
      <c r="J78" s="65">
        <f t="shared" si="33"/>
        <v>3162.0976410774274</v>
      </c>
      <c r="K78" s="65">
        <f t="shared" si="33"/>
        <v>3245.4664933026161</v>
      </c>
      <c r="L78" s="65">
        <f t="shared" si="33"/>
        <v>3656.555208632737</v>
      </c>
      <c r="M78" s="65">
        <f t="shared" si="33"/>
        <v>3821.8540267029957</v>
      </c>
      <c r="N78" s="65">
        <f t="shared" si="33"/>
        <v>3495.5730502527158</v>
      </c>
      <c r="O78" s="65">
        <f t="shared" si="33"/>
        <v>3251.222039555857</v>
      </c>
      <c r="P78" s="65">
        <f t="shared" si="33"/>
        <v>2679.1511658452991</v>
      </c>
      <c r="Q78" s="65">
        <f t="shared" si="33"/>
        <v>3090.2398811758421</v>
      </c>
      <c r="R78" s="65">
        <f t="shared" si="33"/>
        <v>3501.3285965063778</v>
      </c>
      <c r="S78" s="65">
        <f t="shared" si="33"/>
        <v>3830.4873460834897</v>
      </c>
      <c r="T78" s="66">
        <f>SUM(T71:T77)</f>
        <v>39808.068577241924</v>
      </c>
    </row>
    <row r="79" spans="1:20" x14ac:dyDescent="0.2">
      <c r="C79" s="35"/>
      <c r="D79" s="35"/>
      <c r="E79" s="35"/>
      <c r="F79" s="35"/>
      <c r="G79" s="88"/>
      <c r="H79" s="64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60"/>
    </row>
    <row r="80" spans="1:20" s="48" customFormat="1" x14ac:dyDescent="0.2">
      <c r="A80" s="204"/>
      <c r="C80" s="34" t="s">
        <v>170</v>
      </c>
      <c r="D80" s="34"/>
      <c r="E80" s="34"/>
      <c r="F80" s="34"/>
      <c r="G80" s="91"/>
      <c r="H80" s="58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6"/>
    </row>
    <row r="81" spans="1:20" x14ac:dyDescent="0.2">
      <c r="C81" s="35"/>
      <c r="D81" s="35" t="s">
        <v>171</v>
      </c>
      <c r="E81" s="35"/>
      <c r="F81" s="35"/>
      <c r="G81" s="88"/>
      <c r="H81" s="58">
        <f>-(Scenario!$G$24+(Scenario!$G$27/12))</f>
        <v>-14166.666666666666</v>
      </c>
      <c r="I81" s="58">
        <f>-(Scenario!$G$27)/12</f>
        <v>-666.66666666666663</v>
      </c>
      <c r="J81" s="58">
        <f>-(Scenario!$G$27)/12</f>
        <v>-666.66666666666663</v>
      </c>
      <c r="K81" s="58">
        <f>-(Scenario!$G$27)/12</f>
        <v>-666.66666666666663</v>
      </c>
      <c r="L81" s="58">
        <f>-(Scenario!$G$27)/12</f>
        <v>-666.66666666666663</v>
      </c>
      <c r="M81" s="58">
        <f>-(Scenario!$G$27)/12</f>
        <v>-666.66666666666663</v>
      </c>
      <c r="N81" s="58">
        <f>-(Scenario!$G$27)/12</f>
        <v>-666.66666666666663</v>
      </c>
      <c r="O81" s="58">
        <f>-(Scenario!$G$27)/12</f>
        <v>-666.66666666666663</v>
      </c>
      <c r="P81" s="58">
        <f>-(Scenario!$G$27)/12</f>
        <v>-666.66666666666663</v>
      </c>
      <c r="Q81" s="58">
        <f>-(Scenario!$G$27)/12</f>
        <v>-666.66666666666663</v>
      </c>
      <c r="R81" s="58">
        <f>-(Scenario!$G$27)/12</f>
        <v>-666.66666666666663</v>
      </c>
      <c r="S81" s="58">
        <f>-(Scenario!$G$27)/12</f>
        <v>-666.66666666666663</v>
      </c>
      <c r="T81" s="60">
        <f>SUM(H81:S81)</f>
        <v>-21500.000000000007</v>
      </c>
    </row>
    <row r="82" spans="1:20" s="48" customFormat="1" x14ac:dyDescent="0.2">
      <c r="A82" s="204"/>
      <c r="C82" s="34" t="s">
        <v>172</v>
      </c>
      <c r="D82" s="34"/>
      <c r="E82" s="34"/>
      <c r="F82" s="34"/>
      <c r="G82" s="88"/>
      <c r="H82" s="64">
        <f t="shared" ref="H82:S82" si="34">SUM(H81)</f>
        <v>-14166.666666666666</v>
      </c>
      <c r="I82" s="65">
        <f t="shared" si="34"/>
        <v>-666.66666666666663</v>
      </c>
      <c r="J82" s="65">
        <f t="shared" si="34"/>
        <v>-666.66666666666663</v>
      </c>
      <c r="K82" s="65">
        <f t="shared" si="34"/>
        <v>-666.66666666666663</v>
      </c>
      <c r="L82" s="65">
        <f t="shared" si="34"/>
        <v>-666.66666666666663</v>
      </c>
      <c r="M82" s="65">
        <f t="shared" si="34"/>
        <v>-666.66666666666663</v>
      </c>
      <c r="N82" s="65">
        <f t="shared" si="34"/>
        <v>-666.66666666666663</v>
      </c>
      <c r="O82" s="65">
        <f t="shared" si="34"/>
        <v>-666.66666666666663</v>
      </c>
      <c r="P82" s="65">
        <f t="shared" si="34"/>
        <v>-666.66666666666663</v>
      </c>
      <c r="Q82" s="65">
        <f t="shared" si="34"/>
        <v>-666.66666666666663</v>
      </c>
      <c r="R82" s="65">
        <f t="shared" si="34"/>
        <v>-666.66666666666663</v>
      </c>
      <c r="S82" s="65">
        <f t="shared" si="34"/>
        <v>-666.66666666666663</v>
      </c>
      <c r="T82" s="66">
        <f>SUM(T81)</f>
        <v>-21500.000000000007</v>
      </c>
    </row>
    <row r="83" spans="1:20" x14ac:dyDescent="0.2">
      <c r="C83" s="35"/>
      <c r="D83" s="35"/>
      <c r="E83" s="35"/>
      <c r="F83" s="35"/>
      <c r="G83" s="88"/>
      <c r="H83" s="64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60"/>
    </row>
    <row r="84" spans="1:20" s="48" customFormat="1" x14ac:dyDescent="0.2">
      <c r="A84" s="204"/>
      <c r="C84" s="34" t="s">
        <v>307</v>
      </c>
      <c r="D84" s="34"/>
      <c r="E84" s="34"/>
      <c r="F84" s="34"/>
      <c r="G84" s="91"/>
      <c r="H84" s="58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6"/>
    </row>
    <row r="85" spans="1:20" x14ac:dyDescent="0.2">
      <c r="C85" s="35"/>
      <c r="D85" s="35" t="s">
        <v>173</v>
      </c>
      <c r="E85" s="35"/>
      <c r="F85" s="35"/>
      <c r="G85" s="88"/>
      <c r="H85" s="58">
        <f>Scenario!$G$31+(Scenario!$G$33/12)</f>
        <v>59583.333333333336</v>
      </c>
      <c r="I85" s="58">
        <f>Scenario!$H$33/12</f>
        <v>-416.66666666666669</v>
      </c>
      <c r="J85" s="58">
        <f>Scenario!$H$33/12</f>
        <v>-416.66666666666669</v>
      </c>
      <c r="K85" s="58">
        <f>Scenario!$H$33/12</f>
        <v>-416.66666666666669</v>
      </c>
      <c r="L85" s="58">
        <f>Scenario!$H$33/12</f>
        <v>-416.66666666666669</v>
      </c>
      <c r="M85" s="58">
        <f>Scenario!$H$33/12</f>
        <v>-416.66666666666669</v>
      </c>
      <c r="N85" s="58">
        <f>Scenario!$H$33/12</f>
        <v>-416.66666666666669</v>
      </c>
      <c r="O85" s="58">
        <f>Scenario!$H$33/12</f>
        <v>-416.66666666666669</v>
      </c>
      <c r="P85" s="58">
        <f>Scenario!$H$33/12</f>
        <v>-416.66666666666669</v>
      </c>
      <c r="Q85" s="58">
        <f>Scenario!$H$33/12</f>
        <v>-416.66666666666669</v>
      </c>
      <c r="R85" s="58">
        <f>Scenario!$H$33/12</f>
        <v>-416.66666666666669</v>
      </c>
      <c r="S85" s="58">
        <f>Scenario!$H$33/12</f>
        <v>-416.66666666666669</v>
      </c>
      <c r="T85" s="60">
        <f>SUM(H85:S85)</f>
        <v>55000.000000000029</v>
      </c>
    </row>
    <row r="86" spans="1:20" x14ac:dyDescent="0.2">
      <c r="C86" s="35"/>
      <c r="D86" s="35" t="s">
        <v>174</v>
      </c>
      <c r="E86" s="35"/>
      <c r="F86" s="35"/>
      <c r="G86" s="88"/>
      <c r="H86" s="58">
        <f>Scenario!G32</f>
        <v>110000</v>
      </c>
      <c r="I86" s="59">
        <f>Scenario!$G$34/12</f>
        <v>0</v>
      </c>
      <c r="J86" s="59">
        <f>Scenario!$G$34/12</f>
        <v>0</v>
      </c>
      <c r="K86" s="59">
        <f>Scenario!$G$34/12</f>
        <v>0</v>
      </c>
      <c r="L86" s="59">
        <f>Scenario!$G$34/12</f>
        <v>0</v>
      </c>
      <c r="M86" s="59">
        <f>Scenario!$G$34/12</f>
        <v>0</v>
      </c>
      <c r="N86" s="59">
        <f>Scenario!$G$34/12</f>
        <v>0</v>
      </c>
      <c r="O86" s="59">
        <f>Scenario!$G$34/12</f>
        <v>0</v>
      </c>
      <c r="P86" s="59">
        <f>Scenario!$G$34/12</f>
        <v>0</v>
      </c>
      <c r="Q86" s="59">
        <f>Scenario!$G$34/12</f>
        <v>0</v>
      </c>
      <c r="R86" s="59">
        <f>Scenario!$G$34/12</f>
        <v>0</v>
      </c>
      <c r="S86" s="59">
        <f>Scenario!$G$34/12</f>
        <v>0</v>
      </c>
      <c r="T86" s="60">
        <f>SUM(H86:S86)</f>
        <v>110000</v>
      </c>
    </row>
    <row r="87" spans="1:20" x14ac:dyDescent="0.2">
      <c r="C87" s="35"/>
      <c r="D87" s="35" t="s">
        <v>235</v>
      </c>
      <c r="E87" s="35"/>
      <c r="F87" s="35"/>
      <c r="G87" s="88"/>
      <c r="H87" s="58">
        <f>-Scenario!$G$35*H36</f>
        <v>-816.65242187499973</v>
      </c>
      <c r="I87" s="59">
        <f>-Scenario!$G$35*I36</f>
        <v>-833.68072542317702</v>
      </c>
      <c r="J87" s="59">
        <f>-Scenario!$G$35*J36</f>
        <v>-850.70968040818934</v>
      </c>
      <c r="K87" s="59">
        <f>-Scenario!$G$35*K36</f>
        <v>-867.73863837895408</v>
      </c>
      <c r="L87" s="59">
        <f>-Scenario!$G$35*L36</f>
        <v>-952.02009636340324</v>
      </c>
      <c r="M87" s="59">
        <f>-Scenario!$G$35*M36</f>
        <v>-985.86217934791534</v>
      </c>
      <c r="N87" s="59">
        <f>-Scenario!$G$35*N36</f>
        <v>-918.82551233242793</v>
      </c>
      <c r="O87" s="59">
        <f>-Scenario!$G$35*O36</f>
        <v>-868.60197031694008</v>
      </c>
      <c r="P87" s="59">
        <f>-Scenario!$G$35*P36</f>
        <v>-751.12592830145252</v>
      </c>
      <c r="Q87" s="59">
        <f>-Scenario!$G$35*Q36</f>
        <v>-835.40738628596489</v>
      </c>
      <c r="R87" s="59">
        <f>-Scenario!$G$35*R36</f>
        <v>-919.68884427047726</v>
      </c>
      <c r="S87" s="59">
        <f>-Scenario!$G$35*S36</f>
        <v>-987.15717725498939</v>
      </c>
      <c r="T87" s="60">
        <f>SUM(H87:S87)</f>
        <v>-10587.47056055889</v>
      </c>
    </row>
    <row r="88" spans="1:20" s="48" customFormat="1" x14ac:dyDescent="0.2">
      <c r="A88" s="204"/>
      <c r="C88" s="34" t="s">
        <v>175</v>
      </c>
      <c r="D88" s="34"/>
      <c r="E88" s="34"/>
      <c r="F88" s="34"/>
      <c r="G88" s="88"/>
      <c r="H88" s="64">
        <f>SUM(H85:H87)</f>
        <v>168766.68091145833</v>
      </c>
      <c r="I88" s="65">
        <f t="shared" ref="I88:S88" si="35">SUM(I85:I87)</f>
        <v>-1250.3473920898437</v>
      </c>
      <c r="J88" s="65">
        <f t="shared" si="35"/>
        <v>-1267.3763470748561</v>
      </c>
      <c r="K88" s="65">
        <f t="shared" si="35"/>
        <v>-1284.4053050456207</v>
      </c>
      <c r="L88" s="65">
        <f t="shared" si="35"/>
        <v>-1368.6867630300699</v>
      </c>
      <c r="M88" s="65">
        <f t="shared" si="35"/>
        <v>-1402.5288460145821</v>
      </c>
      <c r="N88" s="65">
        <f t="shared" si="35"/>
        <v>-1335.4921789990947</v>
      </c>
      <c r="O88" s="65">
        <f t="shared" si="35"/>
        <v>-1285.2686369836067</v>
      </c>
      <c r="P88" s="65">
        <f t="shared" si="35"/>
        <v>-1167.7925949681191</v>
      </c>
      <c r="Q88" s="65">
        <f t="shared" si="35"/>
        <v>-1252.0740529526315</v>
      </c>
      <c r="R88" s="65">
        <f t="shared" si="35"/>
        <v>-1336.3555109371439</v>
      </c>
      <c r="S88" s="65">
        <f t="shared" si="35"/>
        <v>-1403.8238439216561</v>
      </c>
      <c r="T88" s="66">
        <f>SUM(T85:T87)</f>
        <v>154412.52943944113</v>
      </c>
    </row>
    <row r="89" spans="1:20" x14ac:dyDescent="0.2">
      <c r="C89" s="35"/>
      <c r="D89" s="35"/>
      <c r="E89" s="35"/>
      <c r="F89" s="35"/>
      <c r="G89" s="88"/>
      <c r="H89" s="64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60"/>
    </row>
    <row r="90" spans="1:20" x14ac:dyDescent="0.2">
      <c r="C90" s="35"/>
      <c r="D90" s="35" t="s">
        <v>176</v>
      </c>
      <c r="E90" s="35"/>
      <c r="F90" s="35"/>
      <c r="G90" s="88"/>
      <c r="H90" s="58">
        <f>H78+H82+H88</f>
        <v>157595.37856414099</v>
      </c>
      <c r="I90" s="59">
        <f t="shared" ref="I90:S90" si="36">I78+I82+I88</f>
        <v>1161.7147500007436</v>
      </c>
      <c r="J90" s="59">
        <f t="shared" si="36"/>
        <v>1228.0546273359048</v>
      </c>
      <c r="K90" s="59">
        <f t="shared" si="36"/>
        <v>1294.3945215903288</v>
      </c>
      <c r="L90" s="59">
        <f t="shared" si="36"/>
        <v>1621.2017789360007</v>
      </c>
      <c r="M90" s="59">
        <f t="shared" si="36"/>
        <v>1752.6585140217471</v>
      </c>
      <c r="N90" s="59">
        <f t="shared" si="36"/>
        <v>1493.4142045869546</v>
      </c>
      <c r="O90" s="59">
        <f t="shared" si="36"/>
        <v>1299.2867359055838</v>
      </c>
      <c r="P90" s="59">
        <f t="shared" si="36"/>
        <v>844.69190421051348</v>
      </c>
      <c r="Q90" s="59">
        <f t="shared" si="36"/>
        <v>1171.4991615565441</v>
      </c>
      <c r="R90" s="59">
        <f t="shared" si="36"/>
        <v>1498.3064189025674</v>
      </c>
      <c r="S90" s="59">
        <f t="shared" si="36"/>
        <v>1759.996835495167</v>
      </c>
      <c r="T90" s="60">
        <f>T78+T82+T88</f>
        <v>172720.59801668304</v>
      </c>
    </row>
    <row r="91" spans="1:20" x14ac:dyDescent="0.2">
      <c r="C91" s="35"/>
      <c r="D91" s="35" t="s">
        <v>177</v>
      </c>
      <c r="E91" s="35"/>
      <c r="F91" s="35"/>
      <c r="G91" s="88"/>
      <c r="H91" s="58">
        <v>0</v>
      </c>
      <c r="I91" s="59">
        <f>H92</f>
        <v>157595.37856414099</v>
      </c>
      <c r="J91" s="59">
        <f t="shared" ref="J91:S91" si="37">I92</f>
        <v>158757.09331414173</v>
      </c>
      <c r="K91" s="59">
        <f t="shared" si="37"/>
        <v>159985.14794147763</v>
      </c>
      <c r="L91" s="59">
        <f t="shared" si="37"/>
        <v>161279.54246306795</v>
      </c>
      <c r="M91" s="59">
        <f t="shared" si="37"/>
        <v>162900.74424200394</v>
      </c>
      <c r="N91" s="59">
        <f t="shared" si="37"/>
        <v>164653.40275602569</v>
      </c>
      <c r="O91" s="59">
        <f t="shared" si="37"/>
        <v>166146.81696061266</v>
      </c>
      <c r="P91" s="59">
        <f t="shared" si="37"/>
        <v>167446.10369651826</v>
      </c>
      <c r="Q91" s="59">
        <f t="shared" si="37"/>
        <v>168290.79560072877</v>
      </c>
      <c r="R91" s="59">
        <f t="shared" si="37"/>
        <v>169462.29476228531</v>
      </c>
      <c r="S91" s="59">
        <f t="shared" si="37"/>
        <v>170960.60118118787</v>
      </c>
      <c r="T91" s="60">
        <f>H91</f>
        <v>0</v>
      </c>
    </row>
    <row r="92" spans="1:20" s="48" customFormat="1" x14ac:dyDescent="0.2">
      <c r="A92" s="204"/>
      <c r="C92" s="34" t="s">
        <v>178</v>
      </c>
      <c r="D92" s="34"/>
      <c r="E92" s="34"/>
      <c r="F92" s="34"/>
      <c r="G92" s="88"/>
      <c r="H92" s="64">
        <f>SUM(H90:H91)</f>
        <v>157595.37856414099</v>
      </c>
      <c r="I92" s="65">
        <f t="shared" ref="I92:S92" si="38">SUM(I90:I91)</f>
        <v>158757.09331414173</v>
      </c>
      <c r="J92" s="65">
        <f t="shared" si="38"/>
        <v>159985.14794147763</v>
      </c>
      <c r="K92" s="65">
        <f t="shared" si="38"/>
        <v>161279.54246306795</v>
      </c>
      <c r="L92" s="65">
        <f t="shared" si="38"/>
        <v>162900.74424200394</v>
      </c>
      <c r="M92" s="65">
        <f t="shared" si="38"/>
        <v>164653.40275602569</v>
      </c>
      <c r="N92" s="65">
        <f t="shared" si="38"/>
        <v>166146.81696061266</v>
      </c>
      <c r="O92" s="65">
        <f t="shared" si="38"/>
        <v>167446.10369651826</v>
      </c>
      <c r="P92" s="65">
        <f t="shared" si="38"/>
        <v>168290.79560072877</v>
      </c>
      <c r="Q92" s="65">
        <f t="shared" si="38"/>
        <v>169462.29476228531</v>
      </c>
      <c r="R92" s="65">
        <f t="shared" si="38"/>
        <v>170960.60118118787</v>
      </c>
      <c r="S92" s="65">
        <f t="shared" si="38"/>
        <v>172720.59801668304</v>
      </c>
      <c r="T92" s="66">
        <f>SUM(T90:T91)</f>
        <v>172720.59801668304</v>
      </c>
    </row>
    <row r="93" spans="1:20" x14ac:dyDescent="0.2">
      <c r="H93" s="48"/>
    </row>
    <row r="107" spans="8:8" x14ac:dyDescent="0.2">
      <c r="H107" s="160"/>
    </row>
  </sheetData>
  <mergeCells count="2">
    <mergeCell ref="H7:S7"/>
    <mergeCell ref="B2:T2"/>
  </mergeCells>
  <conditionalFormatting sqref="H20">
    <cfRule type="expression" dxfId="94" priority="39">
      <formula>$H$20&lt;0</formula>
    </cfRule>
  </conditionalFormatting>
  <conditionalFormatting sqref="H30">
    <cfRule type="expression" dxfId="93" priority="26">
      <formula>$H$30&lt;0</formula>
    </cfRule>
  </conditionalFormatting>
  <conditionalFormatting sqref="H37">
    <cfRule type="expression" dxfId="92" priority="13">
      <formula>$H$36&lt;0</formula>
    </cfRule>
  </conditionalFormatting>
  <conditionalFormatting sqref="I20">
    <cfRule type="expression" dxfId="91" priority="38">
      <formula>$I$20&lt;0</formula>
    </cfRule>
  </conditionalFormatting>
  <conditionalFormatting sqref="I30">
    <cfRule type="expression" dxfId="90" priority="25">
      <formula>$I$30&lt;0</formula>
    </cfRule>
  </conditionalFormatting>
  <conditionalFormatting sqref="I37">
    <cfRule type="expression" dxfId="89" priority="12">
      <formula>$I$36&lt;0</formula>
    </cfRule>
  </conditionalFormatting>
  <conditionalFormatting sqref="J20">
    <cfRule type="expression" dxfId="88" priority="37">
      <formula>$J$20&lt;0</formula>
    </cfRule>
  </conditionalFormatting>
  <conditionalFormatting sqref="J30">
    <cfRule type="expression" dxfId="87" priority="24">
      <formula>$J$30&lt;0</formula>
    </cfRule>
  </conditionalFormatting>
  <conditionalFormatting sqref="J37">
    <cfRule type="expression" dxfId="86" priority="11">
      <formula>$J$36&lt;0</formula>
    </cfRule>
  </conditionalFormatting>
  <conditionalFormatting sqref="K20">
    <cfRule type="expression" dxfId="85" priority="36">
      <formula>$K$20&lt;0</formula>
    </cfRule>
  </conditionalFormatting>
  <conditionalFormatting sqref="K30">
    <cfRule type="expression" dxfId="84" priority="23">
      <formula>$K$30&lt;0</formula>
    </cfRule>
  </conditionalFormatting>
  <conditionalFormatting sqref="K37">
    <cfRule type="expression" dxfId="83" priority="10">
      <formula>$K$37&lt;0</formula>
    </cfRule>
  </conditionalFormatting>
  <conditionalFormatting sqref="L20">
    <cfRule type="expression" dxfId="82" priority="35">
      <formula>$L$20&lt;0</formula>
    </cfRule>
  </conditionalFormatting>
  <conditionalFormatting sqref="L30">
    <cfRule type="expression" dxfId="81" priority="22">
      <formula>$L$30&lt;0</formula>
    </cfRule>
  </conditionalFormatting>
  <conditionalFormatting sqref="L37">
    <cfRule type="expression" dxfId="80" priority="9">
      <formula>$L$37&lt;0</formula>
    </cfRule>
  </conditionalFormatting>
  <conditionalFormatting sqref="M20">
    <cfRule type="expression" dxfId="79" priority="34">
      <formula>$M$20&lt;0</formula>
    </cfRule>
  </conditionalFormatting>
  <conditionalFormatting sqref="M30">
    <cfRule type="expression" dxfId="78" priority="21">
      <formula>$M$30&lt;0</formula>
    </cfRule>
  </conditionalFormatting>
  <conditionalFormatting sqref="M37">
    <cfRule type="expression" dxfId="77" priority="8">
      <formula>$M$37&lt;0</formula>
    </cfRule>
  </conditionalFormatting>
  <conditionalFormatting sqref="N20">
    <cfRule type="expression" dxfId="76" priority="33">
      <formula>$N$20&lt;0</formula>
    </cfRule>
  </conditionalFormatting>
  <conditionalFormatting sqref="N30">
    <cfRule type="expression" dxfId="75" priority="20">
      <formula>$N$30&lt;0</formula>
    </cfRule>
  </conditionalFormatting>
  <conditionalFormatting sqref="N37">
    <cfRule type="expression" dxfId="74" priority="7">
      <formula>$N$37&lt;0</formula>
    </cfRule>
  </conditionalFormatting>
  <conditionalFormatting sqref="O20">
    <cfRule type="expression" dxfId="73" priority="32">
      <formula>$O$20&lt;0</formula>
    </cfRule>
  </conditionalFormatting>
  <conditionalFormatting sqref="O30">
    <cfRule type="expression" dxfId="72" priority="19">
      <formula>$O$30&lt;0</formula>
    </cfRule>
  </conditionalFormatting>
  <conditionalFormatting sqref="O37">
    <cfRule type="expression" dxfId="71" priority="6">
      <formula>$O$37&lt;0</formula>
    </cfRule>
  </conditionalFormatting>
  <conditionalFormatting sqref="P20">
    <cfRule type="expression" dxfId="70" priority="31">
      <formula>$P$20&lt;0</formula>
    </cfRule>
  </conditionalFormatting>
  <conditionalFormatting sqref="P30">
    <cfRule type="expression" dxfId="69" priority="18">
      <formula>$P$30&lt;0</formula>
    </cfRule>
  </conditionalFormatting>
  <conditionalFormatting sqref="P37">
    <cfRule type="expression" dxfId="68" priority="5">
      <formula>$P$37&lt;0</formula>
    </cfRule>
  </conditionalFormatting>
  <conditionalFormatting sqref="Q20">
    <cfRule type="expression" dxfId="67" priority="30">
      <formula>$Q$20&lt;0</formula>
    </cfRule>
  </conditionalFormatting>
  <conditionalFormatting sqref="Q30">
    <cfRule type="expression" dxfId="66" priority="17">
      <formula>$Q$30&lt;0</formula>
    </cfRule>
  </conditionalFormatting>
  <conditionalFormatting sqref="Q37">
    <cfRule type="expression" dxfId="65" priority="4">
      <formula>$Q$37&lt;0</formula>
    </cfRule>
  </conditionalFormatting>
  <conditionalFormatting sqref="R20">
    <cfRule type="expression" dxfId="64" priority="29">
      <formula>$R$20&lt;0</formula>
    </cfRule>
  </conditionalFormatting>
  <conditionalFormatting sqref="R30">
    <cfRule type="expression" dxfId="63" priority="16">
      <formula>$R$30&lt;0</formula>
    </cfRule>
  </conditionalFormatting>
  <conditionalFormatting sqref="R37">
    <cfRule type="expression" dxfId="62" priority="3">
      <formula>$R$37&lt;0</formula>
    </cfRule>
  </conditionalFormatting>
  <conditionalFormatting sqref="S20">
    <cfRule type="expression" dxfId="61" priority="28">
      <formula>$S$20&lt;0</formula>
    </cfRule>
  </conditionalFormatting>
  <conditionalFormatting sqref="S30">
    <cfRule type="expression" dxfId="60" priority="15">
      <formula>$S$30&lt;0</formula>
    </cfRule>
  </conditionalFormatting>
  <conditionalFormatting sqref="S37">
    <cfRule type="expression" dxfId="59" priority="2">
      <formula>$S$37&lt;0</formula>
    </cfRule>
  </conditionalFormatting>
  <conditionalFormatting sqref="T20">
    <cfRule type="expression" dxfId="58" priority="27">
      <formula>$T$20&lt;0</formula>
    </cfRule>
  </conditionalFormatting>
  <conditionalFormatting sqref="T30">
    <cfRule type="expression" dxfId="57" priority="14">
      <formula>$T$30&lt;0</formula>
    </cfRule>
  </conditionalFormatting>
  <conditionalFormatting sqref="T37">
    <cfRule type="expression" dxfId="56" priority="1">
      <formula>$T$37&lt;0</formula>
    </cfRule>
  </conditionalFormatting>
  <dataValidations count="1">
    <dataValidation showInputMessage="1" showErrorMessage="1" sqref="F6:G6" xr:uid="{E270F6CA-787C-4424-ADC1-A0052FF4BC5C}"/>
  </dataValidations>
  <pageMargins left="0.25" right="0.25" top="0.75" bottom="0.75" header="0.3" footer="0.3"/>
  <pageSetup paperSize="9" scale="61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B297BA65-6C95-499B-8C0B-9383F3267EF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Projection'!H9:S9</xm:f>
              <xm:sqref>G9</xm:sqref>
            </x14:sparkline>
          </x14:sparklines>
        </x14:sparklineGroup>
        <x14:sparklineGroup type="column" displayEmptyCellsAs="gap" negative="1" xr2:uid="{121CD5E7-8209-401C-AE16-863FB28C496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Projection'!H10:S10</xm:f>
              <xm:sqref>G10</xm:sqref>
            </x14:sparkline>
          </x14:sparklines>
        </x14:sparklineGroup>
        <x14:sparklineGroup type="column" displayEmptyCellsAs="gap" negative="1" xr2:uid="{2CC606E9-1100-42B2-ADB9-DE970E1375C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Projection'!H11:S11</xm:f>
              <xm:sqref>G11</xm:sqref>
            </x14:sparkline>
          </x14:sparklines>
        </x14:sparklineGroup>
        <x14:sparklineGroup type="column" displayEmptyCellsAs="gap" negative="1" xr2:uid="{69F4961C-B13C-4145-B4A4-A451578FD46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Projection'!H13:S13</xm:f>
              <xm:sqref>G13</xm:sqref>
            </x14:sparkline>
          </x14:sparklines>
        </x14:sparklineGroup>
        <x14:sparklineGroup type="column" displayEmptyCellsAs="gap" negative="1" xr2:uid="{AD42CA92-DBAC-4C7F-AEA8-8B50767249D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Projection'!H14:S14</xm:f>
              <xm:sqref>G14</xm:sqref>
            </x14:sparkline>
          </x14:sparklines>
        </x14:sparklineGroup>
        <x14:sparklineGroup type="column" displayEmptyCellsAs="gap" negative="1" xr2:uid="{6A20CFF2-67B6-4CE7-B40E-B4628643D9C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Projection'!H15:S15</xm:f>
              <xm:sqref>G15</xm:sqref>
            </x14:sparkline>
          </x14:sparklines>
        </x14:sparklineGroup>
        <x14:sparklineGroup type="column" displayEmptyCellsAs="gap" negative="1" xr2:uid="{559C272D-4FF4-43AE-935D-E2B4D48FB32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Projection'!H16:S16</xm:f>
              <xm:sqref>G16</xm:sqref>
            </x14:sparkline>
          </x14:sparklines>
        </x14:sparklineGroup>
        <x14:sparklineGroup type="column" displayEmptyCellsAs="gap" negative="1" xr2:uid="{E3F3F1CA-E92A-4AA3-87C7-143847C4BB5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Projection'!H17:S17</xm:f>
              <xm:sqref>G17</xm:sqref>
            </x14:sparkline>
          </x14:sparklines>
        </x14:sparklineGroup>
        <x14:sparklineGroup type="column" displayEmptyCellsAs="gap" negative="1" xr2:uid="{23AA1D2A-8E7E-47AA-A63D-75658FCCF6C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Projection'!H19:S19</xm:f>
              <xm:sqref>G19</xm:sqref>
            </x14:sparkline>
          </x14:sparklines>
        </x14:sparklineGroup>
        <x14:sparklineGroup type="column" displayEmptyCellsAs="gap" negative="1" xr2:uid="{D1A49996-4783-466B-81D4-FC7A1433318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Projection'!H22:S22</xm:f>
              <xm:sqref>G22</xm:sqref>
            </x14:sparkline>
          </x14:sparklines>
        </x14:sparklineGroup>
        <x14:sparklineGroup type="column" displayEmptyCellsAs="gap" negative="1" xr2:uid="{E544E78C-6704-4C73-9EE6-3DCC158B7B0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Projection'!H23:S23</xm:f>
              <xm:sqref>G23</xm:sqref>
            </x14:sparkline>
          </x14:sparklines>
        </x14:sparklineGroup>
        <x14:sparklineGroup type="column" displayEmptyCellsAs="gap" negative="1" xr2:uid="{4577CF95-C8DF-4653-85EB-E862E602486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Projection'!H24:S24</xm:f>
              <xm:sqref>G24</xm:sqref>
            </x14:sparkline>
          </x14:sparklines>
        </x14:sparklineGroup>
        <x14:sparklineGroup type="column" displayEmptyCellsAs="gap" negative="1" xr2:uid="{4DF12DC2-7A80-4F3D-9792-C6FBA6DEA2E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Projection'!H25:S25</xm:f>
              <xm:sqref>G25</xm:sqref>
            </x14:sparkline>
          </x14:sparklines>
        </x14:sparklineGroup>
        <x14:sparklineGroup type="column" displayEmptyCellsAs="gap" negative="1" xr2:uid="{C9C1BF5B-74F7-49A0-962C-E6E2107EC7D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Projection'!H26:S26</xm:f>
              <xm:sqref>G26</xm:sqref>
            </x14:sparkline>
          </x14:sparklines>
        </x14:sparklineGroup>
        <x14:sparklineGroup type="column" displayEmptyCellsAs="gap" negative="1" xr2:uid="{D9DE3273-4C5F-4919-9C10-464480925E1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Projection'!H27:S27</xm:f>
              <xm:sqref>G27</xm:sqref>
            </x14:sparkline>
          </x14:sparklines>
        </x14:sparklineGroup>
        <x14:sparklineGroup type="column" displayEmptyCellsAs="gap" negative="1" xr2:uid="{177A6A74-A02C-49C3-9E5B-7589732BE89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Projection'!H29:S29</xm:f>
              <xm:sqref>G29</xm:sqref>
            </x14:sparkline>
          </x14:sparklines>
        </x14:sparklineGroup>
        <x14:sparklineGroup type="column" displayEmptyCellsAs="gap" negative="1" xr2:uid="{86859AF9-7497-4D62-832B-28E523DEF15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Projection'!H33:S33</xm:f>
              <xm:sqref>G33</xm:sqref>
            </x14:sparkline>
          </x14:sparklines>
        </x14:sparklineGroup>
        <x14:sparklineGroup type="column" displayEmptyCellsAs="gap" negative="1" xr2:uid="{F89049BA-FC8B-4749-B935-011D7AD285E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Projection'!H35:S35</xm:f>
              <xm:sqref>G35</xm:sqref>
            </x14:sparkline>
          </x14:sparklines>
        </x14:sparklineGroup>
        <x14:sparklineGroup type="column" displayEmptyCellsAs="gap" negative="1" xr2:uid="{24F6C74F-D5F3-4B40-93C9-C1CB4F06078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Projection'!H36:S36</xm:f>
              <xm:sqref>G36</xm:sqref>
            </x14:sparkline>
          </x14:sparklines>
        </x14:sparklineGroup>
        <x14:sparklineGroup type="column" displayEmptyCellsAs="gap" negative="1" xr2:uid="{0F477D06-2BE1-4384-8BCB-3568E76EBC6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Projection'!H32:S32</xm:f>
              <xm:sqref>G32</xm:sqref>
            </x14:sparkline>
          </x14:sparklines>
        </x14:sparklineGroup>
        <x14:sparklineGroup type="column" displayEmptyCellsAs="gap" negative="1" xr2:uid="{3502DD21-8EB3-4AAB-AB3B-4FF65689B17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Projection'!H41:S41</xm:f>
              <xm:sqref>G41</xm:sqref>
            </x14:sparkline>
          </x14:sparklines>
        </x14:sparklineGroup>
        <x14:sparklineGroup type="column" displayEmptyCellsAs="gap" negative="1" xr2:uid="{D49BAA83-F52F-4F16-93BC-0B150C7A4B2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Projection'!H42:S42</xm:f>
              <xm:sqref>G42</xm:sqref>
            </x14:sparkline>
          </x14:sparklines>
        </x14:sparklineGroup>
        <x14:sparklineGroup type="column" displayEmptyCellsAs="gap" negative="1" xr2:uid="{BF4DD873-3E45-44B3-9BE1-814837F00F8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Projection'!H43:S43</xm:f>
              <xm:sqref>G43</xm:sqref>
            </x14:sparkline>
          </x14:sparklines>
        </x14:sparklineGroup>
        <x14:sparklineGroup type="column" displayEmptyCellsAs="gap" negative="1" xr2:uid="{30DBADC3-C81F-4822-972B-F4337BF9489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Projection'!H44:S44</xm:f>
              <xm:sqref>G44</xm:sqref>
            </x14:sparkline>
          </x14:sparklines>
        </x14:sparklineGroup>
        <x14:sparklineGroup type="column" displayEmptyCellsAs="gap" negative="1" xr2:uid="{09D6E5C0-FB70-4D3A-B872-2B852BF233D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Projection'!H47:S47</xm:f>
              <xm:sqref>G47</xm:sqref>
            </x14:sparkline>
          </x14:sparklines>
        </x14:sparklineGroup>
        <x14:sparklineGroup type="column" displayEmptyCellsAs="gap" negative="1" xr2:uid="{E9684A5D-4CE3-4FDE-81FF-96390E90752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Projection'!H48:S48</xm:f>
              <xm:sqref>G48</xm:sqref>
            </x14:sparkline>
          </x14:sparklines>
        </x14:sparklineGroup>
        <x14:sparklineGroup type="column" displayEmptyCellsAs="gap" negative="1" xr2:uid="{C9BB5233-64D2-44EE-BF90-DF095C04F4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Projection'!H49:S49</xm:f>
              <xm:sqref>G49</xm:sqref>
            </x14:sparkline>
          </x14:sparklines>
        </x14:sparklineGroup>
        <x14:sparklineGroup type="column" displayEmptyCellsAs="gap" negative="1" xr2:uid="{1BCD0085-88E2-43F8-8506-481A96E255E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Projection'!H52:S52</xm:f>
              <xm:sqref>G52</xm:sqref>
            </x14:sparkline>
          </x14:sparklines>
        </x14:sparklineGroup>
        <x14:sparklineGroup type="column" displayEmptyCellsAs="gap" negative="1" xr2:uid="{3F78F709-9D97-4EEE-91E5-80BD0115743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Projection'!H53:S53</xm:f>
              <xm:sqref>G53</xm:sqref>
            </x14:sparkline>
          </x14:sparklines>
        </x14:sparklineGroup>
        <x14:sparklineGroup type="column" displayEmptyCellsAs="gap" negative="1" xr2:uid="{CE4BD5B6-0E85-4B59-8A2C-EBABDECB48A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Projection'!H54:S54</xm:f>
              <xm:sqref>G54</xm:sqref>
            </x14:sparkline>
          </x14:sparklines>
        </x14:sparklineGroup>
        <x14:sparklineGroup type="column" displayEmptyCellsAs="gap" negative="1" xr2:uid="{CACC8BC8-9FEC-4B23-A040-CFE2D5F3DEC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Projection'!H57:S57</xm:f>
              <xm:sqref>G57</xm:sqref>
            </x14:sparkline>
          </x14:sparklines>
        </x14:sparklineGroup>
        <x14:sparklineGroup type="column" displayEmptyCellsAs="gap" negative="1" xr2:uid="{D0C61FAE-9C36-4578-9665-E7E65DB0C91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Projection'!H58:S58</xm:f>
              <xm:sqref>G58</xm:sqref>
            </x14:sparkline>
          </x14:sparklines>
        </x14:sparklineGroup>
        <x14:sparklineGroup type="column" displayEmptyCellsAs="gap" negative="1" xr2:uid="{FDE391AF-7AB0-42B3-B9DA-F9C72904C07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Projection'!H59:S59</xm:f>
              <xm:sqref>G59</xm:sqref>
            </x14:sparkline>
          </x14:sparklines>
        </x14:sparklineGroup>
        <x14:sparklineGroup type="column" displayEmptyCellsAs="gap" negative="1" xr2:uid="{FD2E8B27-FE7C-406D-BB70-D280FA6B824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Projection'!H62:S62</xm:f>
              <xm:sqref>G62</xm:sqref>
            </x14:sparkline>
          </x14:sparklines>
        </x14:sparklineGroup>
        <x14:sparklineGroup type="column" displayEmptyCellsAs="gap" negative="1" xr2:uid="{5E09895A-5908-433A-922A-A8305CB15FB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Projection'!H63:S63</xm:f>
              <xm:sqref>G63</xm:sqref>
            </x14:sparkline>
          </x14:sparklines>
        </x14:sparklineGroup>
        <x14:sparklineGroup type="column" displayEmptyCellsAs="gap" negative="1" xr2:uid="{F5FF7C20-0256-48FD-81EF-6AC97E49A6F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Projection'!H64:S64</xm:f>
              <xm:sqref>G64</xm:sqref>
            </x14:sparkline>
          </x14:sparklines>
        </x14:sparklineGroup>
        <x14:sparklineGroup type="column" displayEmptyCellsAs="gap" negative="1" xr2:uid="{6F3643C1-5B4D-478B-9E40-DE443665E96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Projection'!H65:S65</xm:f>
              <xm:sqref>G65</xm:sqref>
            </x14:sparkline>
          </x14:sparklines>
        </x14:sparklineGroup>
        <x14:sparklineGroup type="column" displayEmptyCellsAs="gap" negative="1" xr2:uid="{27B66C3C-8A74-41D1-9C3F-4D2C8C516A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Projection'!H71:S71</xm:f>
              <xm:sqref>G71</xm:sqref>
            </x14:sparkline>
          </x14:sparklines>
        </x14:sparklineGroup>
        <x14:sparklineGroup type="column" displayEmptyCellsAs="gap" negative="1" xr2:uid="{ABF496BA-03B8-4F69-A137-4DE2ADB622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Projection'!H72:S72</xm:f>
              <xm:sqref>G72</xm:sqref>
            </x14:sparkline>
          </x14:sparklines>
        </x14:sparklineGroup>
        <x14:sparklineGroup type="column" displayEmptyCellsAs="gap" negative="1" xr2:uid="{D706FF7D-0C5D-495E-BCCC-D1000D2C2D8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Projection'!H75:S75</xm:f>
              <xm:sqref>G75</xm:sqref>
            </x14:sparkline>
          </x14:sparklines>
        </x14:sparklineGroup>
        <x14:sparklineGroup type="stacked" displayEmptyCellsAs="gap" negative="1" xr2:uid="{0365E430-E628-4E24-B0C0-4623F69E332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Projection'!H74:S74</xm:f>
              <xm:sqref>G74</xm:sqref>
            </x14:sparkline>
          </x14:sparklines>
        </x14:sparklineGroup>
        <x14:sparklineGroup type="column" displayEmptyCellsAs="gap" negative="1" xr2:uid="{2FCE54D1-3DDC-4634-83F7-07D80EE840D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Projection'!H76:S76</xm:f>
              <xm:sqref>G76</xm:sqref>
            </x14:sparkline>
          </x14:sparklines>
        </x14:sparklineGroup>
        <x14:sparklineGroup type="column" displayEmptyCellsAs="gap" negative="1" xr2:uid="{E1E96B03-3835-4C7D-BC76-A1537D3828B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Projection'!H77:S77</xm:f>
              <xm:sqref>G77</xm:sqref>
            </x14:sparkline>
          </x14:sparklines>
        </x14:sparklineGroup>
        <x14:sparklineGroup type="column" displayEmptyCellsAs="gap" negative="1" xr2:uid="{F5BD0491-4402-4E94-A6BB-4609B7E6452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Projection'!H78:S78</xm:f>
              <xm:sqref>G78</xm:sqref>
            </x14:sparkline>
          </x14:sparklines>
        </x14:sparklineGroup>
        <x14:sparklineGroup type="column" displayEmptyCellsAs="gap" negative="1" xr2:uid="{A5338572-4527-497D-BA84-2F19FA6ECBA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Projection'!H81:S81</xm:f>
              <xm:sqref>G81</xm:sqref>
            </x14:sparkline>
          </x14:sparklines>
        </x14:sparklineGroup>
        <x14:sparklineGroup type="column" displayEmptyCellsAs="gap" negative="1" xr2:uid="{6BD9FF0C-7AB3-46FE-95C7-B21E613AC47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Projection'!H82:S82</xm:f>
              <xm:sqref>G82</xm:sqref>
            </x14:sparkline>
          </x14:sparklines>
        </x14:sparklineGroup>
        <x14:sparklineGroup type="column" displayEmptyCellsAs="gap" negative="1" xr2:uid="{FFEC8982-FFA1-4258-9F73-0889FF06325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Projection'!H85:S85</xm:f>
              <xm:sqref>G85</xm:sqref>
            </x14:sparkline>
          </x14:sparklines>
        </x14:sparklineGroup>
        <x14:sparklineGroup type="column" displayEmptyCellsAs="gap" negative="1" xr2:uid="{617AAA1C-797C-4E70-A9F5-2C8A8F0F49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Projection'!H86:S86</xm:f>
              <xm:sqref>G86</xm:sqref>
            </x14:sparkline>
          </x14:sparklines>
        </x14:sparklineGroup>
        <x14:sparklineGroup type="column" displayEmptyCellsAs="gap" negative="1" xr2:uid="{5D1BFCDD-6348-4F27-A0CD-06FCAFE3A60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Projection'!H87:S87</xm:f>
              <xm:sqref>G87</xm:sqref>
            </x14:sparkline>
          </x14:sparklines>
        </x14:sparklineGroup>
        <x14:sparklineGroup type="column" displayEmptyCellsAs="gap" negative="1" xr2:uid="{605C7F03-D30C-43CD-8658-B39243AFC15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Projection'!H88:S88</xm:f>
              <xm:sqref>G88</xm:sqref>
            </x14:sparkline>
          </x14:sparklines>
        </x14:sparklineGroup>
        <x14:sparklineGroup type="column" displayEmptyCellsAs="gap" negative="1" xr2:uid="{0E5A6EED-24CB-45FF-99EA-6DF8455465B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Projection'!H90:S90</xm:f>
              <xm:sqref>G90</xm:sqref>
            </x14:sparkline>
          </x14:sparklines>
        </x14:sparklineGroup>
        <x14:sparklineGroup type="column" displayEmptyCellsAs="gap" negative="1" xr2:uid="{FD2A0ECA-1B94-4C03-80BC-F068EBE6C4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Projection'!H91:S91</xm:f>
              <xm:sqref>G91</xm:sqref>
            </x14:sparkline>
          </x14:sparklines>
        </x14:sparklineGroup>
        <x14:sparklineGroup type="column" displayEmptyCellsAs="gap" negative="1" xr2:uid="{D872E0F3-AC21-44F4-8CA2-801B8C8A87D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Projection'!H92:S92</xm:f>
              <xm:sqref>G92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5791-25BF-4824-8CB8-46BC7B33073A}">
  <sheetPr>
    <pageSetUpPr fitToPage="1"/>
  </sheetPr>
  <dimension ref="A1:P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02" customWidth="1"/>
    <col min="2" max="3" width="1.6640625" style="44" customWidth="1"/>
    <col min="4" max="4" width="28.1640625" style="44" customWidth="1"/>
    <col min="5" max="8" width="12.6640625" style="44" customWidth="1"/>
    <col min="9" max="9" width="12.6640625" style="45" customWidth="1"/>
    <col min="10" max="10" width="3.6640625" style="44" customWidth="1"/>
    <col min="11" max="14" width="12.6640625" style="44" customWidth="1"/>
    <col min="15" max="16384" width="9.1640625" style="44"/>
  </cols>
  <sheetData>
    <row r="1" spans="1:16" s="62" customFormat="1" x14ac:dyDescent="0.2">
      <c r="A1" s="116" t="s">
        <v>5</v>
      </c>
      <c r="C1" s="116"/>
      <c r="I1" s="63"/>
    </row>
    <row r="2" spans="1:16" s="23" customFormat="1" ht="22" x14ac:dyDescent="0.3">
      <c r="A2" s="196" t="s">
        <v>308</v>
      </c>
      <c r="B2" s="296" t="str">
        <f>Profile!F6</f>
        <v>Person0811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</row>
    <row r="4" spans="1:16" ht="19" x14ac:dyDescent="0.25">
      <c r="C4" s="174" t="s">
        <v>179</v>
      </c>
      <c r="D4" s="35"/>
      <c r="E4" s="35"/>
      <c r="F4" s="9"/>
      <c r="G4" s="9"/>
      <c r="H4" s="9"/>
      <c r="I4" s="10"/>
      <c r="J4" s="9"/>
      <c r="K4" s="9"/>
      <c r="L4" s="9"/>
      <c r="M4" s="9"/>
      <c r="N4" s="9"/>
    </row>
    <row r="5" spans="1:16" x14ac:dyDescent="0.2">
      <c r="C5" s="175" t="str">
        <f>Formulas!A3</f>
        <v>Amounts in USD</v>
      </c>
      <c r="D5" s="35"/>
      <c r="E5" s="35"/>
      <c r="F5" s="9"/>
      <c r="G5" s="9"/>
      <c r="H5" s="9"/>
      <c r="I5" s="10"/>
      <c r="J5" s="9"/>
      <c r="K5" s="9"/>
      <c r="L5" s="9"/>
      <c r="M5" s="9"/>
      <c r="N5" s="9"/>
    </row>
    <row r="6" spans="1:16" ht="16" thickBot="1" x14ac:dyDescent="0.25">
      <c r="C6" s="9"/>
      <c r="F6" s="313" t="s">
        <v>180</v>
      </c>
      <c r="G6" s="313"/>
      <c r="H6" s="313"/>
      <c r="I6" s="313"/>
      <c r="J6" s="110"/>
      <c r="K6" s="189"/>
      <c r="L6" s="190" t="s">
        <v>132</v>
      </c>
      <c r="M6" s="253" t="s">
        <v>185</v>
      </c>
      <c r="N6" s="189"/>
    </row>
    <row r="7" spans="1:16" x14ac:dyDescent="0.2">
      <c r="C7" s="42" t="s">
        <v>95</v>
      </c>
      <c r="D7" s="111"/>
      <c r="E7" s="9"/>
      <c r="F7" s="50" t="s">
        <v>181</v>
      </c>
      <c r="G7" s="50" t="s">
        <v>131</v>
      </c>
      <c r="H7" s="50" t="s">
        <v>267</v>
      </c>
      <c r="I7" s="50" t="s">
        <v>268</v>
      </c>
      <c r="K7" s="50" t="s">
        <v>181</v>
      </c>
      <c r="L7" s="50" t="s">
        <v>131</v>
      </c>
      <c r="M7" s="50" t="s">
        <v>267</v>
      </c>
      <c r="N7" s="50" t="s">
        <v>268</v>
      </c>
    </row>
    <row r="8" spans="1:16" x14ac:dyDescent="0.2">
      <c r="C8" s="35"/>
      <c r="D8" s="35" t="s">
        <v>133</v>
      </c>
      <c r="E8" s="35"/>
      <c r="F8" s="58">
        <f>Formulas!$O145</f>
        <v>70000</v>
      </c>
      <c r="G8" s="59">
        <f>Formulas!$O164</f>
        <v>35875</v>
      </c>
      <c r="H8" s="141">
        <f>F8-G8</f>
        <v>34125</v>
      </c>
      <c r="I8" s="142">
        <f>H8/G8</f>
        <v>0.95121951219512191</v>
      </c>
      <c r="K8" s="58">
        <f>Formulas!$P145</f>
        <v>35000</v>
      </c>
      <c r="L8" s="59">
        <f>Formulas!$P164</f>
        <v>18025</v>
      </c>
      <c r="M8" s="141">
        <f>K8-L8</f>
        <v>16975</v>
      </c>
      <c r="N8" s="142">
        <f>M8/L8</f>
        <v>0.94174757281553401</v>
      </c>
    </row>
    <row r="9" spans="1:16" x14ac:dyDescent="0.2">
      <c r="C9" s="35"/>
      <c r="D9" s="35" t="s">
        <v>134</v>
      </c>
      <c r="E9" s="35"/>
      <c r="F9" s="58">
        <f>Formulas!$O146</f>
        <v>20000</v>
      </c>
      <c r="G9" s="59">
        <f>Formulas!$O165</f>
        <v>35875</v>
      </c>
      <c r="H9" s="141">
        <f>F9-G9</f>
        <v>-15875</v>
      </c>
      <c r="I9" s="142">
        <f>H9/G9</f>
        <v>-0.4425087108013937</v>
      </c>
      <c r="K9" s="58">
        <f>Formulas!$P146</f>
        <v>10000</v>
      </c>
      <c r="L9" s="59">
        <f>Formulas!$P165</f>
        <v>18025</v>
      </c>
      <c r="M9" s="141">
        <f>K9-L9</f>
        <v>-8025</v>
      </c>
      <c r="N9" s="142">
        <f>M9/L9</f>
        <v>-0.44521497919556174</v>
      </c>
      <c r="P9" s="47"/>
    </row>
    <row r="10" spans="1:16" s="48" customFormat="1" x14ac:dyDescent="0.2">
      <c r="A10" s="204"/>
      <c r="C10" s="34" t="s">
        <v>10</v>
      </c>
      <c r="D10" s="34"/>
      <c r="E10" s="34"/>
      <c r="F10" s="64">
        <f>SUM(F8:F9)</f>
        <v>90000</v>
      </c>
      <c r="G10" s="64">
        <f>SUM(G8:G9)</f>
        <v>71750</v>
      </c>
      <c r="H10" s="143">
        <f>F10-G10</f>
        <v>18250</v>
      </c>
      <c r="I10" s="142">
        <f>H10/G10</f>
        <v>0.25435540069686413</v>
      </c>
      <c r="K10" s="64">
        <f>SUM(K8:K9)</f>
        <v>45000</v>
      </c>
      <c r="L10" s="64">
        <f>SUM(L8:L9)</f>
        <v>36050</v>
      </c>
      <c r="M10" s="143">
        <f>K10-L10</f>
        <v>8950</v>
      </c>
      <c r="N10" s="142">
        <f>M10/L10</f>
        <v>0.24826629680998613</v>
      </c>
      <c r="P10" s="49"/>
    </row>
    <row r="11" spans="1:16" x14ac:dyDescent="0.2">
      <c r="C11" s="35"/>
      <c r="D11" s="35" t="s">
        <v>197</v>
      </c>
      <c r="E11" s="35"/>
      <c r="F11" s="58">
        <f>Formulas!$O147</f>
        <v>56000</v>
      </c>
      <c r="G11" s="59">
        <f>Formulas!$O166</f>
        <v>37668.75</v>
      </c>
      <c r="H11" s="141">
        <f>F11-G11</f>
        <v>18331.25</v>
      </c>
      <c r="I11" s="142">
        <f>H11/G11</f>
        <v>0.48664343786295006</v>
      </c>
      <c r="K11" s="58">
        <f>Formulas!$P147</f>
        <v>28000</v>
      </c>
      <c r="L11" s="59">
        <f>Formulas!$P166</f>
        <v>18926.25</v>
      </c>
      <c r="M11" s="141">
        <f>K11-L11</f>
        <v>9073.75</v>
      </c>
      <c r="N11" s="142">
        <f>M11/L11</f>
        <v>0.47942672214516874</v>
      </c>
      <c r="P11" s="86"/>
    </row>
    <row r="12" spans="1:16" s="48" customFormat="1" x14ac:dyDescent="0.2">
      <c r="A12" s="204"/>
      <c r="C12" s="34" t="s">
        <v>11</v>
      </c>
      <c r="D12" s="34"/>
      <c r="E12" s="34"/>
      <c r="F12" s="64">
        <f>F10-F11</f>
        <v>34000</v>
      </c>
      <c r="G12" s="64">
        <f>G10-G11</f>
        <v>34081.25</v>
      </c>
      <c r="H12" s="143">
        <f>F12-G12</f>
        <v>-81.25</v>
      </c>
      <c r="I12" s="142">
        <f>H12/G12</f>
        <v>-2.3840088024940399E-3</v>
      </c>
      <c r="K12" s="64">
        <f>SUM(K8:K9)-K11</f>
        <v>17000</v>
      </c>
      <c r="L12" s="65">
        <f>L10-L11</f>
        <v>17123.75</v>
      </c>
      <c r="M12" s="141">
        <f>K12-L12</f>
        <v>-123.75</v>
      </c>
      <c r="N12" s="142">
        <f>M12/L12</f>
        <v>-7.2268048762683407E-3</v>
      </c>
      <c r="P12" s="49"/>
    </row>
    <row r="13" spans="1:16" s="85" customFormat="1" ht="13" x14ac:dyDescent="0.2">
      <c r="A13" s="208"/>
      <c r="C13" s="94" t="s">
        <v>139</v>
      </c>
      <c r="D13" s="94"/>
      <c r="E13" s="94"/>
      <c r="F13" s="167">
        <f>IFERROR(F12/SUM($F$8:$F$9),"")</f>
        <v>0.37777777777777777</v>
      </c>
      <c r="G13" s="168">
        <f>IFERROR(G12/SUM($G$8:$G$9),"")</f>
        <v>0.47499999999999998</v>
      </c>
      <c r="H13" s="144"/>
      <c r="I13" s="112"/>
      <c r="K13" s="167">
        <f>IFERROR(K12/SUM($K$8:$K$9),"")</f>
        <v>0.37777777777777777</v>
      </c>
      <c r="L13" s="168">
        <f>IFERROR(L12/SUM($L$8:$L$9),"")</f>
        <v>0.47499999999999998</v>
      </c>
      <c r="M13" s="148"/>
      <c r="N13" s="112"/>
    </row>
    <row r="14" spans="1:16" x14ac:dyDescent="0.2">
      <c r="C14" s="35"/>
      <c r="D14" s="35"/>
      <c r="E14" s="35"/>
      <c r="F14" s="58"/>
      <c r="G14" s="54"/>
      <c r="H14" s="145"/>
      <c r="I14" s="55"/>
      <c r="K14" s="52"/>
      <c r="L14" s="54"/>
      <c r="M14" s="54"/>
      <c r="N14" s="55"/>
      <c r="P14" s="47"/>
    </row>
    <row r="15" spans="1:16" x14ac:dyDescent="0.2">
      <c r="C15" s="35"/>
      <c r="D15" s="35" t="s">
        <v>103</v>
      </c>
      <c r="E15" s="35"/>
      <c r="F15" s="58">
        <f>Formulas!$O148</f>
        <v>8000</v>
      </c>
      <c r="G15" s="54">
        <f>Formulas!$O167</f>
        <v>8333.3333333333339</v>
      </c>
      <c r="H15" s="141">
        <f t="shared" ref="H15:H20" si="0">F15-G15</f>
        <v>-333.33333333333394</v>
      </c>
      <c r="I15" s="142">
        <f t="shared" ref="I15:I20" si="1">H15/G15</f>
        <v>-4.000000000000007E-2</v>
      </c>
      <c r="K15" s="58">
        <f>Formulas!$P148</f>
        <v>4000</v>
      </c>
      <c r="L15" s="54">
        <f>Formulas!$P167</f>
        <v>4166.666666666667</v>
      </c>
      <c r="M15" s="141">
        <f t="shared" ref="M15:M20" si="2">K15-L15</f>
        <v>-166.66666666666697</v>
      </c>
      <c r="N15" s="142">
        <f t="shared" ref="N15:N20" si="3">M15/L15</f>
        <v>-4.000000000000007E-2</v>
      </c>
      <c r="P15" s="47"/>
    </row>
    <row r="16" spans="1:16" x14ac:dyDescent="0.2">
      <c r="C16" s="35"/>
      <c r="D16" s="35" t="s">
        <v>119</v>
      </c>
      <c r="E16" s="35"/>
      <c r="F16" s="58">
        <f>Formulas!$O149</f>
        <v>5000</v>
      </c>
      <c r="G16" s="54">
        <f>Formulas!$O168</f>
        <v>2870</v>
      </c>
      <c r="H16" s="141">
        <f t="shared" si="0"/>
        <v>2130</v>
      </c>
      <c r="I16" s="142">
        <f t="shared" si="1"/>
        <v>0.74216027874564461</v>
      </c>
      <c r="K16" s="58">
        <f>Formulas!$P149</f>
        <v>2500</v>
      </c>
      <c r="L16" s="54">
        <f>Formulas!$P168</f>
        <v>1442</v>
      </c>
      <c r="M16" s="141">
        <f t="shared" si="2"/>
        <v>1058</v>
      </c>
      <c r="N16" s="142">
        <f t="shared" si="3"/>
        <v>0.73370319001386963</v>
      </c>
    </row>
    <row r="17" spans="1:16" x14ac:dyDescent="0.2">
      <c r="C17" s="35"/>
      <c r="D17" s="35" t="s">
        <v>100</v>
      </c>
      <c r="E17" s="35"/>
      <c r="F17" s="58">
        <f>Formulas!$O150</f>
        <v>7000</v>
      </c>
      <c r="G17" s="54">
        <f>Formulas!$O169</f>
        <v>5833.333333333333</v>
      </c>
      <c r="H17" s="141">
        <f t="shared" si="0"/>
        <v>1166.666666666667</v>
      </c>
      <c r="I17" s="142">
        <f t="shared" si="1"/>
        <v>0.20000000000000007</v>
      </c>
      <c r="K17" s="58">
        <f>Formulas!$P150</f>
        <v>3500</v>
      </c>
      <c r="L17" s="54">
        <f>Formulas!$P169</f>
        <v>2916.6666666666665</v>
      </c>
      <c r="M17" s="141">
        <f t="shared" si="2"/>
        <v>583.33333333333348</v>
      </c>
      <c r="N17" s="142">
        <f t="shared" si="3"/>
        <v>0.20000000000000007</v>
      </c>
    </row>
    <row r="18" spans="1:16" x14ac:dyDescent="0.2">
      <c r="C18" s="35"/>
      <c r="D18" s="35" t="s">
        <v>140</v>
      </c>
      <c r="E18" s="35"/>
      <c r="F18" s="58">
        <f>Formulas!$O151</f>
        <v>900</v>
      </c>
      <c r="G18" s="54">
        <f>Formulas!$O170</f>
        <v>574</v>
      </c>
      <c r="H18" s="141">
        <f t="shared" si="0"/>
        <v>326</v>
      </c>
      <c r="I18" s="142">
        <f t="shared" si="1"/>
        <v>0.56794425087108014</v>
      </c>
      <c r="K18" s="58">
        <f>Formulas!$P151</f>
        <v>450</v>
      </c>
      <c r="L18" s="54">
        <f>Formulas!$P170</f>
        <v>288.40000000000003</v>
      </c>
      <c r="M18" s="141">
        <f t="shared" si="2"/>
        <v>161.59999999999997</v>
      </c>
      <c r="N18" s="142">
        <f t="shared" si="3"/>
        <v>0.56033287101248253</v>
      </c>
      <c r="P18" s="47"/>
    </row>
    <row r="19" spans="1:16" x14ac:dyDescent="0.2">
      <c r="C19" s="35"/>
      <c r="D19" s="35" t="s">
        <v>141</v>
      </c>
      <c r="E19" s="35"/>
      <c r="F19" s="58">
        <f>Formulas!$O152</f>
        <v>1600</v>
      </c>
      <c r="G19" s="54">
        <f>Formulas!$O171</f>
        <v>1254.1666666666667</v>
      </c>
      <c r="H19" s="141">
        <f t="shared" si="0"/>
        <v>345.83333333333326</v>
      </c>
      <c r="I19" s="142">
        <f t="shared" si="1"/>
        <v>0.27574750830564776</v>
      </c>
      <c r="K19" s="58">
        <f>Formulas!$P152</f>
        <v>800</v>
      </c>
      <c r="L19" s="54">
        <f>Formulas!P171</f>
        <v>627.08333333333337</v>
      </c>
      <c r="M19" s="141">
        <f t="shared" si="2"/>
        <v>172.91666666666663</v>
      </c>
      <c r="N19" s="142">
        <f t="shared" si="3"/>
        <v>0.27574750830564776</v>
      </c>
      <c r="P19" s="47"/>
    </row>
    <row r="20" spans="1:16" s="48" customFormat="1" x14ac:dyDescent="0.2">
      <c r="A20" s="204"/>
      <c r="C20" s="34" t="s">
        <v>142</v>
      </c>
      <c r="D20" s="34"/>
      <c r="E20" s="34"/>
      <c r="F20" s="64">
        <f>SUM(F15:F19)</f>
        <v>22500</v>
      </c>
      <c r="G20" s="65">
        <f>SUM(G15:G19)</f>
        <v>18864.833333333336</v>
      </c>
      <c r="H20" s="143">
        <f t="shared" si="0"/>
        <v>3635.1666666666642</v>
      </c>
      <c r="I20" s="142">
        <f t="shared" si="1"/>
        <v>0.19269540326356785</v>
      </c>
      <c r="K20" s="64">
        <f>SUM(K15:K19)</f>
        <v>11250</v>
      </c>
      <c r="L20" s="65">
        <f>SUM(L15:L19)</f>
        <v>9440.8166666666675</v>
      </c>
      <c r="M20" s="143">
        <f t="shared" si="2"/>
        <v>1809.1833333333325</v>
      </c>
      <c r="N20" s="142">
        <f t="shared" si="3"/>
        <v>0.19163419831264586</v>
      </c>
    </row>
    <row r="21" spans="1:16" x14ac:dyDescent="0.2">
      <c r="C21" s="35"/>
      <c r="D21" s="35"/>
      <c r="E21" s="35"/>
      <c r="F21" s="64"/>
      <c r="G21" s="59"/>
      <c r="H21" s="146"/>
      <c r="I21" s="60"/>
      <c r="K21" s="58"/>
      <c r="L21" s="59"/>
      <c r="M21" s="59"/>
      <c r="N21" s="60"/>
    </row>
    <row r="22" spans="1:16" s="48" customFormat="1" x14ac:dyDescent="0.2">
      <c r="A22" s="204"/>
      <c r="C22" s="34" t="s">
        <v>143</v>
      </c>
      <c r="D22" s="34"/>
      <c r="E22" s="34"/>
      <c r="F22" s="64">
        <f>F12-F20</f>
        <v>11500</v>
      </c>
      <c r="G22" s="65">
        <f>G12-G20</f>
        <v>15216.416666666664</v>
      </c>
      <c r="H22" s="143">
        <f>F22-G22</f>
        <v>-3716.4166666666642</v>
      </c>
      <c r="I22" s="142">
        <f>H22/G22</f>
        <v>-0.24423730948482164</v>
      </c>
      <c r="K22" s="64">
        <f>K12-K20</f>
        <v>5750</v>
      </c>
      <c r="L22" s="65">
        <f>L12-L20</f>
        <v>7682.9333333333325</v>
      </c>
      <c r="M22" s="143">
        <f>K22-L22</f>
        <v>-1932.9333333333325</v>
      </c>
      <c r="N22" s="142">
        <f>M22/L22</f>
        <v>-0.25158793516365269</v>
      </c>
    </row>
    <row r="23" spans="1:16" x14ac:dyDescent="0.2">
      <c r="C23" s="94" t="s">
        <v>144</v>
      </c>
      <c r="D23" s="35"/>
      <c r="E23" s="35"/>
      <c r="F23" s="167">
        <f>IFERROR(F22/SUM($F$8:$F$9),"")</f>
        <v>0.12777777777777777</v>
      </c>
      <c r="G23" s="168">
        <f>IFERROR(G22/SUM($G$8:$G$9),"")</f>
        <v>0.21207549361207895</v>
      </c>
      <c r="H23" s="146"/>
      <c r="I23" s="60"/>
      <c r="K23" s="167">
        <f>IFERROR(K22/SUM($K$8:$K$9),"")</f>
        <v>0.12777777777777777</v>
      </c>
      <c r="L23" s="168">
        <f>IFERROR(L22/SUM($L$8:$L$9),"")</f>
        <v>0.21311881645862227</v>
      </c>
      <c r="M23" s="59"/>
      <c r="N23" s="60"/>
    </row>
    <row r="24" spans="1:16" x14ac:dyDescent="0.2">
      <c r="C24" s="35"/>
      <c r="D24" s="35"/>
      <c r="E24" s="35"/>
      <c r="F24" s="58"/>
      <c r="G24" s="59"/>
      <c r="H24" s="146"/>
      <c r="I24" s="60"/>
      <c r="K24" s="58"/>
      <c r="L24" s="59"/>
      <c r="M24" s="59"/>
      <c r="N24" s="60"/>
    </row>
    <row r="25" spans="1:16" x14ac:dyDescent="0.2">
      <c r="C25" s="33"/>
      <c r="D25" s="33" t="s">
        <v>31</v>
      </c>
      <c r="E25" s="35"/>
      <c r="F25" s="58">
        <f>Formulas!$O153</f>
        <v>900</v>
      </c>
      <c r="G25" s="59">
        <f>Formulas!$O172</f>
        <v>546.78869068287031</v>
      </c>
      <c r="H25" s="141">
        <f>F25-G25</f>
        <v>353.21130931712969</v>
      </c>
      <c r="I25" s="142">
        <f>IFERROR(H25/G25,0)</f>
        <v>0.64597405786870465</v>
      </c>
      <c r="K25" s="58">
        <f>Formulas!$P153</f>
        <v>450</v>
      </c>
      <c r="L25" s="59">
        <f>Formulas!P172</f>
        <v>272.43799623842591</v>
      </c>
      <c r="M25" s="141">
        <f>K25-L25</f>
        <v>177.56200376157409</v>
      </c>
      <c r="N25" s="142">
        <f>IFERROR(M25/L25,0)</f>
        <v>0.65175198104958731</v>
      </c>
    </row>
    <row r="26" spans="1:16" s="48" customFormat="1" x14ac:dyDescent="0.2">
      <c r="A26" s="204"/>
      <c r="C26" s="34" t="s">
        <v>196</v>
      </c>
      <c r="D26" s="34"/>
      <c r="E26" s="34"/>
      <c r="F26" s="64">
        <f>F22-F25</f>
        <v>10600</v>
      </c>
      <c r="G26" s="65">
        <f>G22-G25</f>
        <v>14669.627975983794</v>
      </c>
      <c r="H26" s="143">
        <f>F26-G26</f>
        <v>-4069.6279759837944</v>
      </c>
      <c r="I26" s="142">
        <f>H26/G26</f>
        <v>-0.27741862183869537</v>
      </c>
      <c r="K26" s="64">
        <f>K22-K25</f>
        <v>5300</v>
      </c>
      <c r="L26" s="65">
        <f>L22-L25</f>
        <v>7410.495337094907</v>
      </c>
      <c r="M26" s="143">
        <f>K26-L26</f>
        <v>-2110.495337094907</v>
      </c>
      <c r="N26" s="142">
        <f>M26/L26</f>
        <v>-0.28479814655983199</v>
      </c>
      <c r="P26" s="104"/>
    </row>
    <row r="27" spans="1:16" x14ac:dyDescent="0.2">
      <c r="C27" s="35"/>
      <c r="D27" s="35"/>
      <c r="E27" s="35"/>
      <c r="F27" s="58"/>
      <c r="G27" s="59"/>
      <c r="H27" s="146"/>
      <c r="I27" s="60"/>
      <c r="K27" s="58"/>
      <c r="L27" s="59"/>
      <c r="M27" s="59"/>
      <c r="N27" s="60"/>
    </row>
    <row r="28" spans="1:16" x14ac:dyDescent="0.2">
      <c r="C28" s="35"/>
      <c r="D28" s="35" t="s">
        <v>145</v>
      </c>
      <c r="E28" s="35"/>
      <c r="F28" s="58">
        <f>Formulas!$O154</f>
        <v>3400</v>
      </c>
      <c r="G28" s="59">
        <f>Formulas!$O173</f>
        <v>3667.4069939959486</v>
      </c>
      <c r="H28" s="141">
        <f>F28-G28</f>
        <v>-267.4069939959486</v>
      </c>
      <c r="I28" s="142">
        <f>H28/G28</f>
        <v>-7.2914458208137453E-2</v>
      </c>
      <c r="K28" s="58">
        <f>Formulas!$P154</f>
        <v>1700</v>
      </c>
      <c r="L28" s="59">
        <f>Formulas!$P173</f>
        <v>1852.6238342737267</v>
      </c>
      <c r="M28" s="141">
        <f>K28-L28</f>
        <v>-152.62383427372674</v>
      </c>
      <c r="N28" s="142">
        <f>M28/L28</f>
        <v>-8.2382527661671243E-2</v>
      </c>
    </row>
    <row r="29" spans="1:16" s="48" customFormat="1" x14ac:dyDescent="0.2">
      <c r="A29" s="204"/>
      <c r="C29" s="36" t="s">
        <v>14</v>
      </c>
      <c r="D29" s="36"/>
      <c r="E29" s="34"/>
      <c r="F29" s="64">
        <f>F26-F28</f>
        <v>7200</v>
      </c>
      <c r="G29" s="65">
        <f>G26-G28</f>
        <v>11002.220981987846</v>
      </c>
      <c r="H29" s="147">
        <f>SUM(H28)</f>
        <v>-267.4069939959486</v>
      </c>
      <c r="I29" s="142">
        <f>H29/G29</f>
        <v>-2.4304819402712483E-2</v>
      </c>
      <c r="K29" s="64">
        <f>K26-K28</f>
        <v>3600</v>
      </c>
      <c r="L29" s="65">
        <f>L26-L28</f>
        <v>5557.87150282118</v>
      </c>
      <c r="M29" s="143">
        <f>K29-L29</f>
        <v>-1957.87150282118</v>
      </c>
      <c r="N29" s="142">
        <f>M29/L29</f>
        <v>-0.35227001952588555</v>
      </c>
    </row>
    <row r="30" spans="1:16" x14ac:dyDescent="0.2">
      <c r="C30" s="97" t="s">
        <v>146</v>
      </c>
      <c r="D30" s="97"/>
      <c r="E30" s="35"/>
      <c r="F30" s="167">
        <f>IFERROR(F29/SUM($F$8:$F$9),"")</f>
        <v>0.08</v>
      </c>
      <c r="G30" s="168">
        <f>IFERROR(G29/SUM($G$8:$G$9),"")</f>
        <v>0.15334105898240902</v>
      </c>
      <c r="H30" s="146"/>
      <c r="I30" s="60"/>
      <c r="K30" s="167">
        <f>IFERROR(K29/SUM($K$8:$K$9),"")</f>
        <v>0.08</v>
      </c>
      <c r="L30" s="168">
        <f>IFERROR(L29/SUM($L$8:$L$9),"")</f>
        <v>0.15417119286605216</v>
      </c>
      <c r="M30" s="59"/>
      <c r="N30" s="60"/>
    </row>
    <row r="31" spans="1:16" x14ac:dyDescent="0.2">
      <c r="C31" s="9"/>
      <c r="D31" s="9"/>
      <c r="E31" s="9"/>
      <c r="F31" s="9"/>
      <c r="G31" s="9"/>
      <c r="H31" s="9"/>
      <c r="I31" s="10"/>
      <c r="J31" s="43"/>
      <c r="K31" s="9"/>
      <c r="L31" s="9"/>
      <c r="M31" s="9"/>
      <c r="N31" s="9"/>
    </row>
    <row r="32" spans="1:16" x14ac:dyDescent="0.2">
      <c r="D32" s="9"/>
      <c r="E32" s="9"/>
      <c r="G32" s="110"/>
      <c r="H32" s="110"/>
      <c r="I32" s="110"/>
      <c r="J32" s="110"/>
      <c r="K32" s="110"/>
      <c r="L32" s="110"/>
      <c r="M32" s="110"/>
      <c r="N32" s="110"/>
    </row>
    <row r="33" spans="3:14" x14ac:dyDescent="0.2">
      <c r="C33" s="9"/>
      <c r="D33" s="9"/>
      <c r="E33" s="30" t="str">
        <f>M6</f>
        <v>February</v>
      </c>
      <c r="G33" s="9"/>
      <c r="H33" s="9"/>
      <c r="I33" s="10"/>
      <c r="J33" s="9"/>
      <c r="K33" s="9"/>
      <c r="L33" s="9"/>
      <c r="M33" s="9"/>
      <c r="N33" s="9"/>
    </row>
    <row r="34" spans="3:14" x14ac:dyDescent="0.2">
      <c r="C34" s="113" t="s">
        <v>95</v>
      </c>
      <c r="D34" s="71"/>
      <c r="E34" s="71" t="s">
        <v>181</v>
      </c>
      <c r="F34" s="129" t="s">
        <v>131</v>
      </c>
      <c r="G34" s="9"/>
      <c r="H34" s="10"/>
      <c r="I34" s="9"/>
      <c r="J34" s="9"/>
      <c r="K34" s="9"/>
      <c r="L34" s="9"/>
      <c r="M34" s="9"/>
      <c r="N34" s="9"/>
    </row>
    <row r="35" spans="3:14" x14ac:dyDescent="0.2">
      <c r="C35" s="35"/>
      <c r="D35" s="35" t="s">
        <v>10</v>
      </c>
      <c r="E35" s="58">
        <f>SUM(K8:K9)</f>
        <v>45000</v>
      </c>
      <c r="F35" s="60">
        <f>SUM(L8:L9)</f>
        <v>36050</v>
      </c>
      <c r="G35" s="9"/>
      <c r="H35" s="9"/>
      <c r="I35" s="10"/>
      <c r="J35" s="9"/>
      <c r="K35" s="9"/>
      <c r="L35" s="9"/>
      <c r="M35" s="9"/>
      <c r="N35" s="9"/>
    </row>
    <row r="36" spans="3:14" x14ac:dyDescent="0.2">
      <c r="C36" s="35"/>
      <c r="D36" s="35" t="s">
        <v>198</v>
      </c>
      <c r="E36" s="58">
        <f>K11</f>
        <v>28000</v>
      </c>
      <c r="F36" s="60">
        <f>L11</f>
        <v>18926.25</v>
      </c>
      <c r="G36" s="9"/>
      <c r="H36" s="9"/>
      <c r="I36" s="10"/>
      <c r="J36" s="9"/>
      <c r="K36" s="9"/>
      <c r="L36" s="9"/>
      <c r="M36" s="9"/>
      <c r="N36" s="9"/>
    </row>
    <row r="37" spans="3:14" x14ac:dyDescent="0.2">
      <c r="C37" s="35"/>
      <c r="D37" s="35" t="s">
        <v>199</v>
      </c>
      <c r="E37" s="58">
        <f>K20</f>
        <v>11250</v>
      </c>
      <c r="F37" s="60">
        <f>L20</f>
        <v>9440.8166666666675</v>
      </c>
      <c r="G37" s="9"/>
      <c r="H37" s="9"/>
      <c r="I37" s="10"/>
      <c r="J37" s="9"/>
      <c r="K37" s="9"/>
      <c r="L37" s="9"/>
      <c r="M37" s="9"/>
      <c r="N37" s="9"/>
    </row>
    <row r="38" spans="3:14" x14ac:dyDescent="0.2">
      <c r="C38" s="35"/>
      <c r="D38" s="35" t="s">
        <v>200</v>
      </c>
      <c r="E38" s="58">
        <f>K25+K28</f>
        <v>2150</v>
      </c>
      <c r="F38" s="60">
        <f>L25+L28</f>
        <v>2125.0618305121525</v>
      </c>
      <c r="G38" s="9"/>
      <c r="H38" s="9"/>
      <c r="I38" s="10"/>
      <c r="J38" s="9"/>
      <c r="K38" s="9"/>
      <c r="L38" s="9"/>
      <c r="M38" s="9"/>
      <c r="N38" s="9"/>
    </row>
  </sheetData>
  <mergeCells count="2">
    <mergeCell ref="F6:I6"/>
    <mergeCell ref="B2:N2"/>
  </mergeCells>
  <conditionalFormatting sqref="F13">
    <cfRule type="expression" dxfId="55" priority="12">
      <formula>$F$13&lt;0</formula>
    </cfRule>
  </conditionalFormatting>
  <conditionalFormatting sqref="F23">
    <cfRule type="expression" dxfId="54" priority="8">
      <formula>$F$23&lt;0</formula>
    </cfRule>
  </conditionalFormatting>
  <conditionalFormatting sqref="F30">
    <cfRule type="expression" dxfId="53" priority="4">
      <formula>$F$30&lt;0</formula>
    </cfRule>
  </conditionalFormatting>
  <conditionalFormatting sqref="G13">
    <cfRule type="expression" dxfId="52" priority="11">
      <formula>$G$13&lt;0</formula>
    </cfRule>
  </conditionalFormatting>
  <conditionalFormatting sqref="G23">
    <cfRule type="expression" dxfId="51" priority="7">
      <formula>$G$23&lt;0</formula>
    </cfRule>
  </conditionalFormatting>
  <conditionalFormatting sqref="G30">
    <cfRule type="expression" dxfId="50" priority="3">
      <formula>$G$30&lt;0</formula>
    </cfRule>
  </conditionalFormatting>
  <conditionalFormatting sqref="I8:I30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{45EB3B6D-4D75-4D04-9509-F73042E7C5A9}</x14:id>
        </ext>
      </extLst>
    </cfRule>
  </conditionalFormatting>
  <conditionalFormatting sqref="K13">
    <cfRule type="expression" dxfId="49" priority="10">
      <formula>$K$13&lt;0</formula>
    </cfRule>
  </conditionalFormatting>
  <conditionalFormatting sqref="K23">
    <cfRule type="expression" dxfId="48" priority="6">
      <formula>$K$23&lt;0</formula>
    </cfRule>
  </conditionalFormatting>
  <conditionalFormatting sqref="K30">
    <cfRule type="expression" dxfId="47" priority="2">
      <formula>$K$30&lt;0</formula>
    </cfRule>
  </conditionalFormatting>
  <conditionalFormatting sqref="L13">
    <cfRule type="expression" dxfId="46" priority="9">
      <formula>$L$13&lt;0</formula>
    </cfRule>
  </conditionalFormatting>
  <conditionalFormatting sqref="L23">
    <cfRule type="expression" dxfId="45" priority="5">
      <formula>$L$23&lt;0</formula>
    </cfRule>
  </conditionalFormatting>
  <conditionalFormatting sqref="L30">
    <cfRule type="expression" dxfId="44" priority="1">
      <formula>$L$30&lt;0</formula>
    </cfRule>
  </conditionalFormatting>
  <conditionalFormatting sqref="N8:N3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{126642F8-6B4B-4C4A-A82D-F870D2DF1651}</x14:id>
        </ext>
      </extLst>
    </cfRule>
  </conditionalFormatting>
  <pageMargins left="0.25" right="0.25" top="0.75" bottom="0.75" header="0.3" footer="0.3"/>
  <pageSetup paperSize="9" scale="68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EB3B6D-4D75-4D04-9509-F73042E7C5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I8:I30</xm:sqref>
        </x14:conditionalFormatting>
        <x14:conditionalFormatting xmlns:xm="http://schemas.microsoft.com/office/excel/2006/main">
          <x14:cfRule type="dataBar" id="{126642F8-6B4B-4C4A-A82D-F870D2DF16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N8:N30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692C63-6DB4-42AF-A263-08523040F9F8}">
          <x14:formula1>
            <xm:f>Formulas!$C$163:$N$163</xm:f>
          </x14:formula1>
          <xm:sqref>M6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DE3C-531B-49E8-9500-811365D90354}">
  <sheetPr>
    <pageSetUpPr fitToPage="1"/>
  </sheetPr>
  <dimension ref="A1:Q9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02" customWidth="1"/>
    <col min="2" max="3" width="1.6640625" style="44" customWidth="1"/>
    <col min="4" max="4" width="3.33203125" style="44" customWidth="1"/>
    <col min="5" max="5" width="29.1640625" style="44" customWidth="1"/>
    <col min="6" max="6" width="15.1640625" style="44" customWidth="1"/>
    <col min="7" max="17" width="12.6640625" style="44" customWidth="1"/>
    <col min="18" max="16384" width="9.1640625" style="44"/>
  </cols>
  <sheetData>
    <row r="1" spans="1:17" s="62" customFormat="1" x14ac:dyDescent="0.2">
      <c r="A1" s="116" t="s">
        <v>5</v>
      </c>
      <c r="C1" s="116"/>
    </row>
    <row r="2" spans="1:17" s="23" customFormat="1" ht="22" x14ac:dyDescent="0.3">
      <c r="A2" s="196" t="s">
        <v>308</v>
      </c>
      <c r="B2" s="309" t="str">
        <f>Profile!F6</f>
        <v>Person0811</v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</row>
    <row r="4" spans="1:17" ht="19" x14ac:dyDescent="0.25">
      <c r="C4" s="174" t="s">
        <v>201</v>
      </c>
      <c r="D4" s="88"/>
      <c r="E4" s="88"/>
      <c r="F4" s="88"/>
    </row>
    <row r="5" spans="1:17" x14ac:dyDescent="0.2">
      <c r="C5" s="176" t="str">
        <f>Formulas!A3</f>
        <v>Amounts in USD</v>
      </c>
      <c r="D5" s="191"/>
      <c r="E5" s="191"/>
      <c r="F5" s="88"/>
    </row>
    <row r="6" spans="1:17" s="46" customFormat="1" ht="16" thickBot="1" x14ac:dyDescent="0.25">
      <c r="A6" s="203"/>
      <c r="E6" s="10" t="s">
        <v>7</v>
      </c>
      <c r="F6" s="70" t="str">
        <f>Scenario!E6</f>
        <v>Base Case</v>
      </c>
      <c r="H6" s="314" t="s">
        <v>202</v>
      </c>
      <c r="I6" s="314"/>
      <c r="J6" s="314"/>
      <c r="K6" s="314"/>
      <c r="L6" s="314"/>
      <c r="M6" s="314"/>
      <c r="N6" s="314"/>
      <c r="O6" s="314"/>
      <c r="P6" s="314"/>
      <c r="Q6" s="314"/>
    </row>
    <row r="7" spans="1:17" x14ac:dyDescent="0.2">
      <c r="C7" s="42" t="s">
        <v>95</v>
      </c>
      <c r="D7" s="5"/>
      <c r="E7" s="5"/>
      <c r="F7" s="5"/>
      <c r="H7" s="32">
        <f>Formulas!C9</f>
        <v>2025</v>
      </c>
      <c r="I7" s="32">
        <f>Formulas!D9</f>
        <v>2026</v>
      </c>
      <c r="J7" s="32">
        <f>Formulas!E9</f>
        <v>2027</v>
      </c>
      <c r="K7" s="32">
        <f>Formulas!F9</f>
        <v>2028</v>
      </c>
      <c r="L7" s="32">
        <f>Formulas!G9</f>
        <v>2029</v>
      </c>
      <c r="M7" s="32">
        <f>Formulas!H9</f>
        <v>2030</v>
      </c>
      <c r="N7" s="32">
        <f>Formulas!I9</f>
        <v>2031</v>
      </c>
      <c r="O7" s="32">
        <f>Formulas!J9</f>
        <v>2032</v>
      </c>
      <c r="P7" s="32">
        <f>Formulas!K9</f>
        <v>2033</v>
      </c>
      <c r="Q7" s="32">
        <f>Formulas!L9</f>
        <v>2034</v>
      </c>
    </row>
    <row r="8" spans="1:17" x14ac:dyDescent="0.2">
      <c r="C8" s="35"/>
      <c r="D8" s="35" t="s">
        <v>133</v>
      </c>
      <c r="E8" s="35"/>
      <c r="F8" s="35"/>
      <c r="G8" s="35"/>
      <c r="H8" s="58">
        <f>'12-Month Projection'!T9</f>
        <v>222250</v>
      </c>
      <c r="I8" s="59">
        <f>(H8*(1+Scenario!H9))*Formulas!D$8</f>
        <v>235585</v>
      </c>
      <c r="J8" s="59">
        <f>(I8*(1+Scenario!I9))*Formulas!E$8</f>
        <v>247364.25</v>
      </c>
      <c r="K8" s="59">
        <f>(J8*(1+Scenario!J9))*Formulas!F$8</f>
        <v>257258.82</v>
      </c>
      <c r="L8" s="59">
        <f>(K8*(1+Scenario!K9))*Formulas!G$8</f>
        <v>264976.5846</v>
      </c>
      <c r="M8" s="59">
        <f>(L8*(1+Scenario!L9))*Formulas!H$8</f>
        <v>272925.88213799999</v>
      </c>
      <c r="N8" s="59">
        <f>(M8*(1+Scenario!M9))*Formulas!I$8</f>
        <v>278384.39978076</v>
      </c>
      <c r="O8" s="59">
        <f>(N8*(1+Scenario!N9))*Formulas!J$8</f>
        <v>283952.08777637518</v>
      </c>
      <c r="P8" s="59">
        <f>(O8*(1+Scenario!O9))*Formulas!K$8</f>
        <v>289631.12953190267</v>
      </c>
      <c r="Q8" s="60">
        <f>(P8*(1+Scenario!P9))*Formulas!L$8</f>
        <v>295423.75212254073</v>
      </c>
    </row>
    <row r="9" spans="1:17" x14ac:dyDescent="0.2">
      <c r="C9" s="35"/>
      <c r="D9" s="35" t="s">
        <v>134</v>
      </c>
      <c r="E9" s="35"/>
      <c r="F9" s="35"/>
      <c r="G9" s="35"/>
      <c r="H9" s="58">
        <f>'12-Month Projection'!T10</f>
        <v>222250</v>
      </c>
      <c r="I9" s="59">
        <f>(H9*(1+Scenario!H9))*Formulas!D$8</f>
        <v>235585</v>
      </c>
      <c r="J9" s="59">
        <f>(I9*(1+Scenario!I9))*Formulas!E$8</f>
        <v>247364.25</v>
      </c>
      <c r="K9" s="59">
        <f>(J9*(1+Scenario!J9))*Formulas!F$8</f>
        <v>257258.82</v>
      </c>
      <c r="L9" s="59">
        <f>(K9*(1+Scenario!K9))*Formulas!G$8</f>
        <v>264976.5846</v>
      </c>
      <c r="M9" s="59">
        <f>(L9*(1+Scenario!L9))*Formulas!H$8</f>
        <v>272925.88213799999</v>
      </c>
      <c r="N9" s="59">
        <f>(M9*(1+Scenario!M9))*Formulas!I$8</f>
        <v>278384.39978076</v>
      </c>
      <c r="O9" s="59">
        <f>(N9*(1+Scenario!N9))*Formulas!J$8</f>
        <v>283952.08777637518</v>
      </c>
      <c r="P9" s="59">
        <f>(O9*(1+Scenario!O9))*Formulas!K$8</f>
        <v>289631.12953190267</v>
      </c>
      <c r="Q9" s="60">
        <f>(P9*(1+Scenario!P9))*Formulas!L$8</f>
        <v>295423.75212254073</v>
      </c>
    </row>
    <row r="10" spans="1:17" s="48" customFormat="1" x14ac:dyDescent="0.2">
      <c r="A10" s="204"/>
      <c r="C10" s="34" t="s">
        <v>74</v>
      </c>
      <c r="D10" s="34"/>
      <c r="E10" s="34"/>
      <c r="F10" s="34"/>
      <c r="G10" s="35"/>
      <c r="H10" s="64">
        <f>SUM(H8:H9)</f>
        <v>444500</v>
      </c>
      <c r="I10" s="65">
        <f t="shared" ref="I10:Q10" si="0">SUM(I8:I9)</f>
        <v>471170</v>
      </c>
      <c r="J10" s="65">
        <f t="shared" si="0"/>
        <v>494728.5</v>
      </c>
      <c r="K10" s="65">
        <f t="shared" si="0"/>
        <v>514517.64</v>
      </c>
      <c r="L10" s="65">
        <f t="shared" si="0"/>
        <v>529953.1692</v>
      </c>
      <c r="M10" s="65">
        <f t="shared" si="0"/>
        <v>545851.76427599997</v>
      </c>
      <c r="N10" s="65">
        <f t="shared" si="0"/>
        <v>556768.79956151999</v>
      </c>
      <c r="O10" s="65">
        <f t="shared" si="0"/>
        <v>567904.17555275036</v>
      </c>
      <c r="P10" s="65">
        <f t="shared" si="0"/>
        <v>579262.25906380534</v>
      </c>
      <c r="Q10" s="66">
        <f t="shared" si="0"/>
        <v>590847.50424508145</v>
      </c>
    </row>
    <row r="11" spans="1:17" x14ac:dyDescent="0.2">
      <c r="C11" s="35"/>
      <c r="D11" s="35"/>
      <c r="E11" s="35"/>
      <c r="F11" s="35"/>
      <c r="G11" s="35"/>
      <c r="H11" s="64"/>
      <c r="I11" s="59"/>
      <c r="J11" s="59"/>
      <c r="K11" s="59"/>
      <c r="L11" s="59"/>
      <c r="M11" s="59"/>
      <c r="N11" s="59"/>
      <c r="O11" s="59"/>
      <c r="P11" s="59"/>
      <c r="Q11" s="60"/>
    </row>
    <row r="12" spans="1:17" x14ac:dyDescent="0.2">
      <c r="C12" s="35"/>
      <c r="D12" s="35" t="s">
        <v>97</v>
      </c>
      <c r="E12" s="35"/>
      <c r="F12" s="35"/>
      <c r="G12" s="35"/>
      <c r="H12" s="58">
        <f>'12-Month Projection'!T13</f>
        <v>33337.5</v>
      </c>
      <c r="I12" s="59">
        <f>I$8*Scenario!H10*Formulas!D$8</f>
        <v>58896.25</v>
      </c>
      <c r="J12" s="59">
        <f>J$8*Scenario!I10*Formulas!E$8</f>
        <v>61841.0625</v>
      </c>
      <c r="K12" s="59">
        <f>K$8*Scenario!J10*Formulas!F$8</f>
        <v>61742.116799999996</v>
      </c>
      <c r="L12" s="59">
        <f>L$8*Scenario!K10*Formulas!G$8</f>
        <v>63594.380303999998</v>
      </c>
      <c r="M12" s="59">
        <f>M$8*Scenario!L10*Formulas!H$8</f>
        <v>62772.952891740002</v>
      </c>
      <c r="N12" s="59">
        <f>N$8*Scenario!M10*Formulas!I$8</f>
        <v>64028.411949574802</v>
      </c>
      <c r="O12" s="59">
        <f>O$8*Scenario!N10*Formulas!J$8</f>
        <v>62469.459310802536</v>
      </c>
      <c r="P12" s="59">
        <f>P$8*Scenario!O10*Formulas!K$8</f>
        <v>63718.848497018589</v>
      </c>
      <c r="Q12" s="60">
        <f>Q$8*Scenario!P10*Formulas!L$8</f>
        <v>62038.987945733548</v>
      </c>
    </row>
    <row r="13" spans="1:17" x14ac:dyDescent="0.2">
      <c r="C13" s="35"/>
      <c r="D13" s="35" t="s">
        <v>98</v>
      </c>
      <c r="E13" s="35"/>
      <c r="F13" s="35"/>
      <c r="G13" s="35"/>
      <c r="H13" s="58">
        <f>'12-Month Projection'!T14</f>
        <v>66675</v>
      </c>
      <c r="I13" s="59">
        <f>I$9*Scenario!H11*Formulas!D$8</f>
        <v>94234</v>
      </c>
      <c r="J13" s="59">
        <f>J$9*Scenario!I11*Formulas!E$8</f>
        <v>93998.415000000008</v>
      </c>
      <c r="K13" s="59">
        <f>K$9*Scenario!J11*Formulas!F$8</f>
        <v>95185.763399999996</v>
      </c>
      <c r="L13" s="59">
        <f>L$9*Scenario!K11*Formulas!G$8</f>
        <v>95391.570456000001</v>
      </c>
      <c r="M13" s="59">
        <f>M$9*Scenario!L11*Formulas!H$8</f>
        <v>95524.058748299984</v>
      </c>
      <c r="N13" s="59">
        <f>N$9*Scenario!M11*Formulas!I$8</f>
        <v>97434.539923265998</v>
      </c>
      <c r="O13" s="59">
        <f>O$9*Scenario!N11*Formulas!J$8</f>
        <v>96543.709843967561</v>
      </c>
      <c r="P13" s="59">
        <f>P$9*Scenario!O11*Formulas!K$8</f>
        <v>98474.584040846908</v>
      </c>
      <c r="Q13" s="60">
        <f>Q$9*Scenario!P11*Formulas!L$8</f>
        <v>100444.07572166386</v>
      </c>
    </row>
    <row r="14" spans="1:17" x14ac:dyDescent="0.2">
      <c r="C14" s="35"/>
      <c r="D14" s="35" t="s">
        <v>99</v>
      </c>
      <c r="E14" s="35"/>
      <c r="F14" s="35"/>
      <c r="G14" s="35"/>
      <c r="H14" s="58">
        <f>'12-Month Projection'!T15</f>
        <v>80010</v>
      </c>
      <c r="I14" s="59">
        <f>I$10*Scenario!H12*Formulas!D$8</f>
        <v>84810.599999999991</v>
      </c>
      <c r="J14" s="59">
        <f>J$10*Scenario!I12*Formulas!E$8</f>
        <v>89051.12999999999</v>
      </c>
      <c r="K14" s="59">
        <f>K$10*Scenario!J12*Formulas!F$8</f>
        <v>92613.175199999998</v>
      </c>
      <c r="L14" s="59">
        <f>L$10*Scenario!K12*Formulas!G$8</f>
        <v>95391.570456000001</v>
      </c>
      <c r="M14" s="59">
        <f>M$10*Scenario!L12*Formulas!H$8</f>
        <v>98253.317569679988</v>
      </c>
      <c r="N14" s="59">
        <f>N$10*Scenario!M12*Formulas!I$8</f>
        <v>100218.38392107359</v>
      </c>
      <c r="O14" s="59">
        <f>O$10*Scenario!N12*Formulas!J$8</f>
        <v>102222.75159949507</v>
      </c>
      <c r="P14" s="59">
        <f>P$10*Scenario!O12*Formulas!K$8</f>
        <v>104267.20663148495</v>
      </c>
      <c r="Q14" s="60">
        <f>Q$10*Scenario!P12*Formulas!L$8</f>
        <v>106352.55076411465</v>
      </c>
    </row>
    <row r="15" spans="1:17" x14ac:dyDescent="0.2">
      <c r="C15" s="35"/>
      <c r="D15" s="35" t="s">
        <v>135</v>
      </c>
      <c r="E15" s="35"/>
      <c r="F15" s="35"/>
      <c r="G15" s="35"/>
      <c r="H15" s="58">
        <f>'12-Month Projection'!T16</f>
        <v>53340</v>
      </c>
      <c r="I15" s="59">
        <f>I$10*Scenario!H13*Formulas!D$8</f>
        <v>51828.7</v>
      </c>
      <c r="J15" s="59">
        <f>J$10*Scenario!I13*Formulas!E$8</f>
        <v>49472.850000000006</v>
      </c>
      <c r="K15" s="59">
        <f>K$10*Scenario!J13*Formulas!F$8</f>
        <v>46306.587599999999</v>
      </c>
      <c r="L15" s="59">
        <f>L$10*Scenario!K13*Formulas!G$8</f>
        <v>47695.785228000001</v>
      </c>
      <c r="M15" s="59">
        <f>M$10*Scenario!L13*Formulas!H$8</f>
        <v>43668.14114208</v>
      </c>
      <c r="N15" s="59">
        <f>N$10*Scenario!M13*Formulas!I$8</f>
        <v>44541.503964921598</v>
      </c>
      <c r="O15" s="59">
        <f>O$10*Scenario!N13*Formulas!J$8</f>
        <v>39753.29228869253</v>
      </c>
      <c r="P15" s="59">
        <f>P$10*Scenario!O13*Formulas!K$8</f>
        <v>40548.358134466376</v>
      </c>
      <c r="Q15" s="60">
        <f>Q$10*Scenario!P13*Formulas!L$8</f>
        <v>41359.325297155709</v>
      </c>
    </row>
    <row r="16" spans="1:17" s="48" customFormat="1" x14ac:dyDescent="0.2">
      <c r="A16" s="204"/>
      <c r="C16" s="34" t="s">
        <v>136</v>
      </c>
      <c r="D16" s="34"/>
      <c r="E16" s="34"/>
      <c r="F16" s="34"/>
      <c r="G16" s="35"/>
      <c r="H16" s="64">
        <f>SUM(H12:H15)</f>
        <v>233362.5</v>
      </c>
      <c r="I16" s="65">
        <f t="shared" ref="I16:Q16" si="1">SUM(I12:I15)</f>
        <v>289769.55</v>
      </c>
      <c r="J16" s="65">
        <f t="shared" si="1"/>
        <v>294363.45750000002</v>
      </c>
      <c r="K16" s="65">
        <f t="shared" si="1"/>
        <v>295847.64299999998</v>
      </c>
      <c r="L16" s="65">
        <f t="shared" si="1"/>
        <v>302073.30644400005</v>
      </c>
      <c r="M16" s="65">
        <f t="shared" si="1"/>
        <v>300218.47035179997</v>
      </c>
      <c r="N16" s="65">
        <f t="shared" si="1"/>
        <v>306222.83975883597</v>
      </c>
      <c r="O16" s="65">
        <f t="shared" si="1"/>
        <v>300989.21304295771</v>
      </c>
      <c r="P16" s="65">
        <f t="shared" si="1"/>
        <v>307008.99730381684</v>
      </c>
      <c r="Q16" s="66">
        <f t="shared" si="1"/>
        <v>310194.93972866778</v>
      </c>
    </row>
    <row r="17" spans="1:17" s="48" customFormat="1" x14ac:dyDescent="0.2">
      <c r="A17" s="204"/>
      <c r="C17" s="34"/>
      <c r="D17" s="34"/>
      <c r="E17" s="34"/>
      <c r="F17" s="34"/>
      <c r="G17" s="34"/>
      <c r="H17" s="64"/>
      <c r="I17" s="65"/>
      <c r="J17" s="65"/>
      <c r="K17" s="65"/>
      <c r="L17" s="65"/>
      <c r="M17" s="65"/>
      <c r="N17" s="65"/>
      <c r="O17" s="65"/>
      <c r="P17" s="65"/>
      <c r="Q17" s="66"/>
    </row>
    <row r="18" spans="1:17" s="48" customFormat="1" x14ac:dyDescent="0.2">
      <c r="A18" s="204"/>
      <c r="C18" s="34" t="s">
        <v>11</v>
      </c>
      <c r="D18" s="34"/>
      <c r="E18" s="34"/>
      <c r="F18" s="34"/>
      <c r="G18" s="35"/>
      <c r="H18" s="64">
        <f>H10-H16</f>
        <v>211137.5</v>
      </c>
      <c r="I18" s="65">
        <f t="shared" ref="I18:Q18" si="2">I10-I16</f>
        <v>181400.45</v>
      </c>
      <c r="J18" s="65">
        <f t="shared" si="2"/>
        <v>200365.04249999998</v>
      </c>
      <c r="K18" s="65">
        <f t="shared" si="2"/>
        <v>218669.99700000003</v>
      </c>
      <c r="L18" s="65">
        <f t="shared" si="2"/>
        <v>227879.86275599996</v>
      </c>
      <c r="M18" s="65">
        <f t="shared" si="2"/>
        <v>245633.2939242</v>
      </c>
      <c r="N18" s="65">
        <f t="shared" si="2"/>
        <v>250545.95980268402</v>
      </c>
      <c r="O18" s="65">
        <f t="shared" si="2"/>
        <v>266914.96250979265</v>
      </c>
      <c r="P18" s="65">
        <f t="shared" si="2"/>
        <v>272253.2617599885</v>
      </c>
      <c r="Q18" s="66">
        <f t="shared" si="2"/>
        <v>280652.56451641367</v>
      </c>
    </row>
    <row r="19" spans="1:17" s="84" customFormat="1" ht="13" x14ac:dyDescent="0.2">
      <c r="A19" s="207"/>
      <c r="C19" s="92" t="s">
        <v>139</v>
      </c>
      <c r="D19" s="92"/>
      <c r="E19" s="92"/>
      <c r="F19" s="92"/>
      <c r="G19" s="92"/>
      <c r="H19" s="167">
        <f t="shared" ref="H19:Q19" si="3">IFERROR(H18/H10,0)</f>
        <v>0.47499999999999998</v>
      </c>
      <c r="I19" s="167">
        <f t="shared" si="3"/>
        <v>0.38500000000000001</v>
      </c>
      <c r="J19" s="167">
        <f t="shared" si="3"/>
        <v>0.40499999999999997</v>
      </c>
      <c r="K19" s="167">
        <f t="shared" si="3"/>
        <v>0.42500000000000004</v>
      </c>
      <c r="L19" s="167">
        <f t="shared" si="3"/>
        <v>0.42999999999999994</v>
      </c>
      <c r="M19" s="167">
        <f t="shared" si="3"/>
        <v>0.45</v>
      </c>
      <c r="N19" s="167">
        <f t="shared" si="3"/>
        <v>0.45000000000000007</v>
      </c>
      <c r="O19" s="167">
        <f t="shared" si="3"/>
        <v>0.47</v>
      </c>
      <c r="P19" s="167">
        <f t="shared" si="3"/>
        <v>0.47</v>
      </c>
      <c r="Q19" s="169">
        <f t="shared" si="3"/>
        <v>0.47499999999999998</v>
      </c>
    </row>
    <row r="20" spans="1:17" x14ac:dyDescent="0.2">
      <c r="C20" s="35"/>
      <c r="D20" s="35"/>
      <c r="E20" s="35"/>
      <c r="F20" s="35"/>
      <c r="G20" s="35"/>
      <c r="H20" s="106"/>
      <c r="I20" s="59"/>
      <c r="J20" s="59"/>
      <c r="K20" s="59"/>
      <c r="L20" s="59"/>
      <c r="M20" s="59"/>
      <c r="N20" s="59"/>
      <c r="O20" s="59"/>
      <c r="P20" s="59"/>
      <c r="Q20" s="60"/>
    </row>
    <row r="21" spans="1:17" x14ac:dyDescent="0.2">
      <c r="C21" s="35"/>
      <c r="D21" s="35" t="s">
        <v>103</v>
      </c>
      <c r="E21" s="35"/>
      <c r="F21" s="35"/>
      <c r="G21" s="35"/>
      <c r="H21" s="58">
        <f>'12-Month Projection'!T22</f>
        <v>49999.999999999993</v>
      </c>
      <c r="I21" s="59">
        <f>Scenario!H14*Formulas!D$8</f>
        <v>50000</v>
      </c>
      <c r="J21" s="59">
        <f>Scenario!I14*Formulas!E$8</f>
        <v>50000</v>
      </c>
      <c r="K21" s="59">
        <f>Scenario!J14*Formulas!F$8</f>
        <v>50000</v>
      </c>
      <c r="L21" s="59">
        <f>Scenario!K14*Formulas!G$8</f>
        <v>50000</v>
      </c>
      <c r="M21" s="59">
        <f>Scenario!L14*Formulas!H$8</f>
        <v>50000</v>
      </c>
      <c r="N21" s="59">
        <f>Scenario!M14*Formulas!I$8</f>
        <v>50000</v>
      </c>
      <c r="O21" s="59">
        <f>Scenario!N14*Formulas!J$8</f>
        <v>50000</v>
      </c>
      <c r="P21" s="59">
        <f>Scenario!O14*Formulas!K$8</f>
        <v>50000</v>
      </c>
      <c r="Q21" s="60">
        <f>Scenario!P14*Formulas!L$8</f>
        <v>50000</v>
      </c>
    </row>
    <row r="22" spans="1:17" x14ac:dyDescent="0.2">
      <c r="C22" s="35"/>
      <c r="D22" s="35" t="s">
        <v>119</v>
      </c>
      <c r="E22" s="35"/>
      <c r="F22" s="35"/>
      <c r="G22" s="35"/>
      <c r="H22" s="58">
        <f>'12-Month Projection'!T23</f>
        <v>17780</v>
      </c>
      <c r="I22" s="59">
        <f>I$10*Scenario!H15*Formulas!D$8</f>
        <v>18846.8</v>
      </c>
      <c r="J22" s="59">
        <f>J$10*Scenario!I15*Formulas!E$8</f>
        <v>17315.497500000001</v>
      </c>
      <c r="K22" s="59">
        <f>K$10*Scenario!J15*Formulas!F$8</f>
        <v>18008.117400000003</v>
      </c>
      <c r="L22" s="59">
        <f>L$10*Scenario!K15*Formulas!G$8</f>
        <v>18548.360922000003</v>
      </c>
      <c r="M22" s="59">
        <f>M$10*Scenario!L15*Formulas!H$8</f>
        <v>19104.811749660003</v>
      </c>
      <c r="N22" s="59">
        <f>N$10*Scenario!M15*Formulas!I$8</f>
        <v>16703.063986845598</v>
      </c>
      <c r="O22" s="59">
        <f>O$10*Scenario!N15*Formulas!J$8</f>
        <v>17037.125266582509</v>
      </c>
      <c r="P22" s="59">
        <f>P$10*Scenario!O15*Formulas!K$8</f>
        <v>17377.86777191416</v>
      </c>
      <c r="Q22" s="60">
        <f>Q$10*Scenario!P15*Formulas!L$8</f>
        <v>17725.425127352442</v>
      </c>
    </row>
    <row r="23" spans="1:17" x14ac:dyDescent="0.2">
      <c r="C23" s="35"/>
      <c r="D23" s="35" t="s">
        <v>100</v>
      </c>
      <c r="E23" s="35"/>
      <c r="F23" s="35"/>
      <c r="G23" s="35"/>
      <c r="H23" s="58">
        <f>'12-Month Projection'!T24</f>
        <v>35000.000000000007</v>
      </c>
      <c r="I23" s="59">
        <f>Scenario!H16*Formulas!D$8</f>
        <v>35000</v>
      </c>
      <c r="J23" s="59">
        <f>Scenario!I16*Formulas!E$8</f>
        <v>35000</v>
      </c>
      <c r="K23" s="59">
        <f>Scenario!J16*Formulas!F$8</f>
        <v>35000</v>
      </c>
      <c r="L23" s="59">
        <f>Scenario!K16*Formulas!G$8</f>
        <v>35000</v>
      </c>
      <c r="M23" s="59">
        <f>Scenario!L16*Formulas!H$8</f>
        <v>35000</v>
      </c>
      <c r="N23" s="59">
        <f>Scenario!M16*Formulas!I$8</f>
        <v>35000</v>
      </c>
      <c r="O23" s="59">
        <f>Scenario!N16*Formulas!J$8</f>
        <v>35000</v>
      </c>
      <c r="P23" s="59">
        <f>Scenario!O16*Formulas!K$8</f>
        <v>35000</v>
      </c>
      <c r="Q23" s="60">
        <f>Scenario!P16*Formulas!L$8</f>
        <v>35000</v>
      </c>
    </row>
    <row r="24" spans="1:17" x14ac:dyDescent="0.2">
      <c r="C24" s="35"/>
      <c r="D24" s="35" t="s">
        <v>140</v>
      </c>
      <c r="E24" s="35"/>
      <c r="F24" s="35"/>
      <c r="G24" s="35"/>
      <c r="H24" s="58">
        <f>'12-Month Projection'!T25</f>
        <v>3556.0000000000005</v>
      </c>
      <c r="I24" s="59">
        <f>I$10*Scenario!H17*Formulas!D$8</f>
        <v>3769.36</v>
      </c>
      <c r="J24" s="59">
        <f>J$10*Scenario!I17*Formulas!E$8</f>
        <v>3957.828</v>
      </c>
      <c r="K24" s="59">
        <f>K$10*Scenario!J17*Formulas!F$8</f>
        <v>4116.1411200000002</v>
      </c>
      <c r="L24" s="59">
        <f>L$10*Scenario!K17*Formulas!G$8</f>
        <v>4239.6253536000004</v>
      </c>
      <c r="M24" s="59">
        <f>M$10*Scenario!L17*Formulas!H$8</f>
        <v>4366.8141142080003</v>
      </c>
      <c r="N24" s="59">
        <f>N$10*Scenario!M17*Formulas!I$8</f>
        <v>4454.1503964921603</v>
      </c>
      <c r="O24" s="59">
        <f>O$10*Scenario!N17*Formulas!J$8</f>
        <v>4543.2334044220033</v>
      </c>
      <c r="P24" s="59">
        <f>P$10*Scenario!O17*Formulas!K$8</f>
        <v>4634.0980725104428</v>
      </c>
      <c r="Q24" s="60">
        <f>Q$10*Scenario!P17*Formulas!L$8</f>
        <v>4726.780033960652</v>
      </c>
    </row>
    <row r="25" spans="1:17" x14ac:dyDescent="0.2">
      <c r="C25" s="35"/>
      <c r="D25" s="35" t="s">
        <v>141</v>
      </c>
      <c r="E25" s="35"/>
      <c r="F25" s="35"/>
      <c r="G25" s="35"/>
      <c r="H25" s="58">
        <f>'12-Month Projection'!T26</f>
        <v>7524.9999999999991</v>
      </c>
      <c r="I25" s="59">
        <f>Scenario!H18*(H47+(-I81))*Formulas!D$8</f>
        <v>8391.2500000000018</v>
      </c>
      <c r="J25" s="59">
        <f>Scenario!I18*(I47+(-J81))*Formulas!E$8</f>
        <v>9654.3125000000018</v>
      </c>
      <c r="K25" s="59">
        <f>Scenario!J18*(J47+(-K81))*Formulas!F$8</f>
        <v>10475.303125000002</v>
      </c>
      <c r="L25" s="59">
        <f>Scenario!K18*(K47+(-L81))*Formulas!G$8</f>
        <v>12058.947031250002</v>
      </c>
      <c r="M25" s="59">
        <f>Scenario!L18*(L47+(-M81))*Formulas!H$8</f>
        <v>14138.315570312501</v>
      </c>
      <c r="N25" s="59">
        <f>Scenario!M18*(M47+(-N81))*Formulas!I$8</f>
        <v>14439.905120703124</v>
      </c>
      <c r="O25" s="59">
        <f>Scenario!N18*(N47+(-O81))*Formulas!J$8</f>
        <v>13585.938328457032</v>
      </c>
      <c r="P25" s="59">
        <f>Scenario!O18*(O47+(-P81))*Formulas!K$8</f>
        <v>12330.85991349707</v>
      </c>
      <c r="Q25" s="60">
        <f>Scenario!P18*(P47+(-Q81))*Formulas!L$8</f>
        <v>10815.058943773094</v>
      </c>
    </row>
    <row r="26" spans="1:17" s="48" customFormat="1" x14ac:dyDescent="0.2">
      <c r="A26" s="204"/>
      <c r="C26" s="34" t="s">
        <v>142</v>
      </c>
      <c r="D26" s="34"/>
      <c r="E26" s="34"/>
      <c r="F26" s="34"/>
      <c r="G26" s="35"/>
      <c r="H26" s="64">
        <f>SUM(H21:H25)</f>
        <v>113861</v>
      </c>
      <c r="I26" s="65">
        <f t="shared" ref="I26:Q26" si="4">SUM(I21:I25)</f>
        <v>116007.41</v>
      </c>
      <c r="J26" s="65">
        <f t="shared" si="4"/>
        <v>115927.63799999999</v>
      </c>
      <c r="K26" s="65">
        <f t="shared" si="4"/>
        <v>117599.56164500001</v>
      </c>
      <c r="L26" s="65">
        <f t="shared" si="4"/>
        <v>119846.93330685001</v>
      </c>
      <c r="M26" s="65">
        <f t="shared" si="4"/>
        <v>122609.94143418051</v>
      </c>
      <c r="N26" s="65">
        <f t="shared" si="4"/>
        <v>120597.11950404089</v>
      </c>
      <c r="O26" s="65">
        <f t="shared" si="4"/>
        <v>120166.29699946154</v>
      </c>
      <c r="P26" s="65">
        <f t="shared" si="4"/>
        <v>119342.82575792167</v>
      </c>
      <c r="Q26" s="66">
        <f t="shared" si="4"/>
        <v>118267.26410508619</v>
      </c>
    </row>
    <row r="27" spans="1:17" s="85" customFormat="1" ht="13" x14ac:dyDescent="0.2">
      <c r="A27" s="208"/>
      <c r="C27" s="94" t="s">
        <v>287</v>
      </c>
      <c r="D27" s="94"/>
      <c r="E27" s="94"/>
      <c r="F27" s="94"/>
      <c r="G27" s="94"/>
      <c r="H27" s="167">
        <f t="shared" ref="H27:Q27" si="5">IFERROR(H26/H10,0)</f>
        <v>0.25615523059617545</v>
      </c>
      <c r="I27" s="167">
        <f t="shared" si="5"/>
        <v>0.24621136744699365</v>
      </c>
      <c r="J27" s="167">
        <f t="shared" si="5"/>
        <v>0.23432577262074045</v>
      </c>
      <c r="K27" s="167">
        <f t="shared" si="5"/>
        <v>0.22856274013268041</v>
      </c>
      <c r="L27" s="167">
        <f t="shared" si="5"/>
        <v>0.2261462715427611</v>
      </c>
      <c r="M27" s="167">
        <f t="shared" si="5"/>
        <v>0.22462131563650134</v>
      </c>
      <c r="N27" s="167">
        <f t="shared" si="5"/>
        <v>0.21660179162161466</v>
      </c>
      <c r="O27" s="167">
        <f t="shared" si="5"/>
        <v>0.21159607936057476</v>
      </c>
      <c r="P27" s="167">
        <f t="shared" si="5"/>
        <v>0.20602555041442144</v>
      </c>
      <c r="Q27" s="169">
        <f t="shared" si="5"/>
        <v>0.20016546275539374</v>
      </c>
    </row>
    <row r="28" spans="1:17" x14ac:dyDescent="0.2">
      <c r="C28" s="35"/>
      <c r="D28" s="35"/>
      <c r="E28" s="35"/>
      <c r="F28" s="35"/>
      <c r="G28" s="35"/>
      <c r="H28" s="64"/>
      <c r="I28" s="59"/>
      <c r="J28" s="59"/>
      <c r="K28" s="59"/>
      <c r="L28" s="59"/>
      <c r="M28" s="59"/>
      <c r="N28" s="59"/>
      <c r="O28" s="59"/>
      <c r="P28" s="59"/>
      <c r="Q28" s="60"/>
    </row>
    <row r="29" spans="1:17" s="48" customFormat="1" x14ac:dyDescent="0.2">
      <c r="A29" s="204"/>
      <c r="C29" s="34" t="s">
        <v>143</v>
      </c>
      <c r="D29" s="34"/>
      <c r="E29" s="34"/>
      <c r="F29" s="34"/>
      <c r="G29" s="35"/>
      <c r="H29" s="64">
        <f>H18-H26</f>
        <v>97276.5</v>
      </c>
      <c r="I29" s="65">
        <f t="shared" ref="I29:Q29" si="6">I18-I26</f>
        <v>65393.040000000008</v>
      </c>
      <c r="J29" s="65">
        <f t="shared" si="6"/>
        <v>84437.40449999999</v>
      </c>
      <c r="K29" s="65">
        <f t="shared" si="6"/>
        <v>101070.43535500002</v>
      </c>
      <c r="L29" s="65">
        <f t="shared" si="6"/>
        <v>108032.92944914995</v>
      </c>
      <c r="M29" s="65">
        <f t="shared" si="6"/>
        <v>123023.35249001949</v>
      </c>
      <c r="N29" s="65">
        <f t="shared" si="6"/>
        <v>129948.84029864313</v>
      </c>
      <c r="O29" s="65">
        <f t="shared" si="6"/>
        <v>146748.66551033111</v>
      </c>
      <c r="P29" s="65">
        <f t="shared" si="6"/>
        <v>152910.43600206682</v>
      </c>
      <c r="Q29" s="66">
        <f t="shared" si="6"/>
        <v>162385.30041132748</v>
      </c>
    </row>
    <row r="30" spans="1:17" s="85" customFormat="1" ht="13" x14ac:dyDescent="0.2">
      <c r="A30" s="208"/>
      <c r="C30" s="94" t="s">
        <v>144</v>
      </c>
      <c r="D30" s="94"/>
      <c r="E30" s="94"/>
      <c r="F30" s="94"/>
      <c r="G30" s="94"/>
      <c r="H30" s="167">
        <f t="shared" ref="H30:Q30" si="7">IFERROR(H29/H10,0)</f>
        <v>0.21884476940382452</v>
      </c>
      <c r="I30" s="167">
        <f t="shared" si="7"/>
        <v>0.13878863255300636</v>
      </c>
      <c r="J30" s="167">
        <f t="shared" si="7"/>
        <v>0.17067422737925952</v>
      </c>
      <c r="K30" s="167">
        <f t="shared" si="7"/>
        <v>0.19643725986731966</v>
      </c>
      <c r="L30" s="167">
        <f t="shared" si="7"/>
        <v>0.20385372845723884</v>
      </c>
      <c r="M30" s="167">
        <f t="shared" si="7"/>
        <v>0.2253786843634987</v>
      </c>
      <c r="N30" s="167">
        <f t="shared" si="7"/>
        <v>0.2333982083783854</v>
      </c>
      <c r="O30" s="167">
        <f t="shared" si="7"/>
        <v>0.25840392063942519</v>
      </c>
      <c r="P30" s="167">
        <f t="shared" si="7"/>
        <v>0.26397444958557853</v>
      </c>
      <c r="Q30" s="169">
        <f t="shared" si="7"/>
        <v>0.27483453724460621</v>
      </c>
    </row>
    <row r="31" spans="1:17" x14ac:dyDescent="0.2">
      <c r="C31" s="35"/>
      <c r="D31" s="35"/>
      <c r="E31" s="35"/>
      <c r="F31" s="35"/>
      <c r="G31" s="35"/>
      <c r="H31" s="106"/>
      <c r="I31" s="59"/>
      <c r="J31" s="59"/>
      <c r="K31" s="59"/>
      <c r="L31" s="59"/>
      <c r="M31" s="59"/>
      <c r="N31" s="59"/>
      <c r="O31" s="59"/>
      <c r="P31" s="59"/>
      <c r="Q31" s="60"/>
    </row>
    <row r="32" spans="1:17" s="86" customFormat="1" x14ac:dyDescent="0.2">
      <c r="A32" s="209"/>
      <c r="C32" s="33"/>
      <c r="D32" s="33" t="s">
        <v>31</v>
      </c>
      <c r="E32" s="33"/>
      <c r="F32" s="33"/>
      <c r="G32" s="33"/>
      <c r="H32" s="58">
        <f>'12-Month Projection'!T32</f>
        <v>3165.6505728098414</v>
      </c>
      <c r="I32" s="59">
        <f>Scenario!H30*H57*Formulas!D$8</f>
        <v>3025.0000000000018</v>
      </c>
      <c r="J32" s="59">
        <f>Scenario!I30*I57*Formulas!E$8</f>
        <v>2750.0000000000018</v>
      </c>
      <c r="K32" s="59">
        <f>Scenario!J30*J57*Formulas!F$8</f>
        <v>2475.0000000000018</v>
      </c>
      <c r="L32" s="59">
        <f>Scenario!K30*K57*Formulas!G$8</f>
        <v>2200.0000000000018</v>
      </c>
      <c r="M32" s="59">
        <f>Scenario!L30*L57*Formulas!H$8</f>
        <v>1925.0000000000016</v>
      </c>
      <c r="N32" s="59">
        <f>Scenario!M30*M57*Formulas!I$8</f>
        <v>1650.0000000000016</v>
      </c>
      <c r="O32" s="59">
        <f>Scenario!N30*N57*Formulas!J$8</f>
        <v>1375.0000000000016</v>
      </c>
      <c r="P32" s="59">
        <f>Scenario!O30*O57*Formulas!K$8</f>
        <v>1100.0000000000016</v>
      </c>
      <c r="Q32" s="60">
        <f>Scenario!P30*P57*Formulas!L$8</f>
        <v>825.00000000000159</v>
      </c>
    </row>
    <row r="33" spans="1:17" s="48" customFormat="1" x14ac:dyDescent="0.2">
      <c r="A33" s="204"/>
      <c r="C33" s="34" t="s">
        <v>196</v>
      </c>
      <c r="D33" s="34"/>
      <c r="E33" s="34"/>
      <c r="F33" s="34"/>
      <c r="G33" s="35"/>
      <c r="H33" s="53">
        <f>H29-H32</f>
        <v>94110.849427190158</v>
      </c>
      <c r="I33" s="56">
        <f t="shared" ref="I33:Q33" si="8">I29-I32</f>
        <v>62368.040000000008</v>
      </c>
      <c r="J33" s="56">
        <f t="shared" si="8"/>
        <v>81687.40449999999</v>
      </c>
      <c r="K33" s="56">
        <f t="shared" si="8"/>
        <v>98595.435355000023</v>
      </c>
      <c r="L33" s="56">
        <f t="shared" si="8"/>
        <v>105832.92944914995</v>
      </c>
      <c r="M33" s="56">
        <f t="shared" si="8"/>
        <v>121098.35249001949</v>
      </c>
      <c r="N33" s="56">
        <f t="shared" si="8"/>
        <v>128298.84029864313</v>
      </c>
      <c r="O33" s="56">
        <f t="shared" si="8"/>
        <v>145373.66551033111</v>
      </c>
      <c r="P33" s="56">
        <f t="shared" si="8"/>
        <v>151810.43600206682</v>
      </c>
      <c r="Q33" s="57">
        <f t="shared" si="8"/>
        <v>161560.30041132748</v>
      </c>
    </row>
    <row r="34" spans="1:17" x14ac:dyDescent="0.2">
      <c r="C34" s="35"/>
      <c r="D34" s="35"/>
      <c r="E34" s="35"/>
      <c r="F34" s="35"/>
      <c r="G34" s="35"/>
      <c r="H34" s="64"/>
      <c r="I34" s="59"/>
      <c r="J34" s="59"/>
      <c r="K34" s="59"/>
      <c r="L34" s="59"/>
      <c r="M34" s="59"/>
      <c r="N34" s="59"/>
      <c r="O34" s="59"/>
      <c r="P34" s="59"/>
      <c r="Q34" s="60"/>
    </row>
    <row r="35" spans="1:17" x14ac:dyDescent="0.2">
      <c r="C35" s="35"/>
      <c r="D35" s="35" t="s">
        <v>145</v>
      </c>
      <c r="E35" s="35"/>
      <c r="F35" s="35"/>
      <c r="G35" s="35"/>
      <c r="H35" s="58">
        <f>'12-Month Projection'!T35</f>
        <v>23527.71235679754</v>
      </c>
      <c r="I35" s="59">
        <f>IF(I33&gt;0,I33*Scenario!H19*Formulas!D$8,0)</f>
        <v>15592.010000000002</v>
      </c>
      <c r="J35" s="59">
        <f>IF(J33&gt;0,J33*Scenario!I19*Formulas!E$8,0)</f>
        <v>20421.851124999997</v>
      </c>
      <c r="K35" s="59">
        <f>IF(K33&gt;0,K33*Scenario!J19*Formulas!F$8,0)</f>
        <v>24648.858838750006</v>
      </c>
      <c r="L35" s="59">
        <f>IF(L33&gt;0,L33*Scenario!K19*Formulas!G$8,0)</f>
        <v>26458.232362287486</v>
      </c>
      <c r="M35" s="59">
        <f>IF(M33&gt;0,M33*Scenario!L19*Formulas!H$8,0)</f>
        <v>30274.588122504872</v>
      </c>
      <c r="N35" s="59">
        <f>IF(N33&gt;0,N33*Scenario!M19*Formulas!I$8,0)</f>
        <v>32074.710074660783</v>
      </c>
      <c r="O35" s="59">
        <f>IF(O33&gt;0,O33*Scenario!N19*Formulas!J$8,0)</f>
        <v>36343.416377582776</v>
      </c>
      <c r="P35" s="59">
        <f>IF(P33&gt;0,P33*Scenario!O19*Formulas!K$8,0)</f>
        <v>37952.609000516706</v>
      </c>
      <c r="Q35" s="60">
        <f>IF(Q33&gt;0,Q33*Scenario!P19*Formulas!L$8,0)</f>
        <v>40390.07510283187</v>
      </c>
    </row>
    <row r="36" spans="1:17" s="49" customFormat="1" x14ac:dyDescent="0.2">
      <c r="A36" s="205"/>
      <c r="C36" s="36" t="s">
        <v>14</v>
      </c>
      <c r="D36" s="36"/>
      <c r="E36" s="36"/>
      <c r="F36" s="36"/>
      <c r="G36" s="35"/>
      <c r="H36" s="64">
        <f>H33-H35</f>
        <v>70583.137070392622</v>
      </c>
      <c r="I36" s="65">
        <f t="shared" ref="I36:Q36" si="9">I33-I35</f>
        <v>46776.030000000006</v>
      </c>
      <c r="J36" s="65">
        <f t="shared" si="9"/>
        <v>61265.553374999989</v>
      </c>
      <c r="K36" s="65">
        <f t="shared" si="9"/>
        <v>73946.576516250017</v>
      </c>
      <c r="L36" s="65">
        <f t="shared" si="9"/>
        <v>79374.697086862463</v>
      </c>
      <c r="M36" s="65">
        <f t="shared" si="9"/>
        <v>90823.76436751461</v>
      </c>
      <c r="N36" s="65">
        <f t="shared" si="9"/>
        <v>96224.130223982356</v>
      </c>
      <c r="O36" s="65">
        <f t="shared" si="9"/>
        <v>109030.24913274833</v>
      </c>
      <c r="P36" s="65">
        <f t="shared" si="9"/>
        <v>113857.82700155012</v>
      </c>
      <c r="Q36" s="66">
        <f t="shared" si="9"/>
        <v>121170.2253084956</v>
      </c>
    </row>
    <row r="37" spans="1:17" s="87" customFormat="1" ht="13" x14ac:dyDescent="0.2">
      <c r="A37" s="210"/>
      <c r="C37" s="97" t="s">
        <v>146</v>
      </c>
      <c r="D37" s="97"/>
      <c r="E37" s="97"/>
      <c r="F37" s="97"/>
      <c r="G37" s="97"/>
      <c r="H37" s="167">
        <f t="shared" ref="H37:Q37" si="10">IFERROR(H36/H10,0)</f>
        <v>0.15879220938221061</v>
      </c>
      <c r="I37" s="167">
        <f t="shared" si="10"/>
        <v>9.9276333382855464E-2</v>
      </c>
      <c r="J37" s="167">
        <f t="shared" si="10"/>
        <v>0.12383671726007292</v>
      </c>
      <c r="K37" s="167">
        <f t="shared" si="10"/>
        <v>0.14372019687459114</v>
      </c>
      <c r="L37" s="167">
        <f t="shared" si="10"/>
        <v>0.14977681368843196</v>
      </c>
      <c r="M37" s="167">
        <f t="shared" si="10"/>
        <v>0.16638906441564827</v>
      </c>
      <c r="N37" s="167">
        <f t="shared" si="10"/>
        <v>0.17282601018549013</v>
      </c>
      <c r="O37" s="167">
        <f t="shared" si="10"/>
        <v>0.19198705314435735</v>
      </c>
      <c r="P37" s="167">
        <f t="shared" si="10"/>
        <v>0.19655661182823367</v>
      </c>
      <c r="Q37" s="169">
        <f t="shared" si="10"/>
        <v>0.20507867840334421</v>
      </c>
    </row>
    <row r="38" spans="1:17" s="47" customFormat="1" ht="5" customHeight="1" x14ac:dyDescent="0.2">
      <c r="A38" s="206"/>
      <c r="C38" s="188"/>
      <c r="D38" s="188"/>
      <c r="E38" s="188"/>
      <c r="F38" s="188"/>
      <c r="G38" s="24"/>
      <c r="H38" s="90"/>
      <c r="I38" s="24"/>
      <c r="J38" s="24"/>
      <c r="K38" s="24"/>
      <c r="L38" s="24"/>
      <c r="M38" s="24"/>
      <c r="N38" s="24"/>
      <c r="O38" s="24"/>
      <c r="P38" s="24"/>
      <c r="Q38" s="165"/>
    </row>
    <row r="39" spans="1:17" s="49" customFormat="1" x14ac:dyDescent="0.2">
      <c r="A39" s="205"/>
      <c r="C39" s="100" t="s">
        <v>104</v>
      </c>
      <c r="D39" s="100"/>
      <c r="E39" s="100"/>
      <c r="F39" s="100"/>
      <c r="G39" s="26"/>
      <c r="H39" s="24"/>
      <c r="I39" s="26"/>
      <c r="J39" s="26"/>
      <c r="K39" s="26"/>
      <c r="L39" s="26"/>
      <c r="M39" s="26"/>
      <c r="N39" s="26"/>
      <c r="O39" s="26"/>
      <c r="P39" s="26"/>
      <c r="Q39" s="166"/>
    </row>
    <row r="40" spans="1:17" s="47" customFormat="1" x14ac:dyDescent="0.2">
      <c r="A40" s="206"/>
      <c r="C40" s="36" t="s">
        <v>147</v>
      </c>
      <c r="D40" s="33"/>
      <c r="E40" s="33"/>
      <c r="F40" s="33"/>
      <c r="G40" s="33"/>
      <c r="H40" s="53"/>
      <c r="I40" s="54"/>
      <c r="J40" s="54"/>
      <c r="K40" s="54"/>
      <c r="L40" s="54"/>
      <c r="M40" s="54"/>
      <c r="N40" s="54"/>
      <c r="O40" s="54"/>
      <c r="P40" s="54"/>
      <c r="Q40" s="55"/>
    </row>
    <row r="41" spans="1:17" s="47" customFormat="1" x14ac:dyDescent="0.2">
      <c r="A41" s="206"/>
      <c r="C41" s="33"/>
      <c r="D41" s="33" t="s">
        <v>148</v>
      </c>
      <c r="E41" s="33"/>
      <c r="F41" s="33"/>
      <c r="G41" s="35"/>
      <c r="H41" s="52">
        <f>'12-Month Projection'!T41</f>
        <v>172720.59801668304</v>
      </c>
      <c r="I41" s="54">
        <f>I92*Formulas!D$8</f>
        <v>201830.78584545015</v>
      </c>
      <c r="J41" s="54">
        <f>J92*Formulas!E$8</f>
        <v>244850.40707036451</v>
      </c>
      <c r="K41" s="54">
        <f>K92*Formulas!F$8</f>
        <v>295788.437294451</v>
      </c>
      <c r="L41" s="54">
        <f>L92*Formulas!G$8</f>
        <v>353977.77857619163</v>
      </c>
      <c r="M41" s="54">
        <f>M92*Formulas!H$8</f>
        <v>424755.89334532525</v>
      </c>
      <c r="N41" s="54">
        <f>N92*Formulas!I$8</f>
        <v>495824.64514436235</v>
      </c>
      <c r="O41" s="54">
        <f>O92*Formulas!J$8</f>
        <v>584949.77247521502</v>
      </c>
      <c r="P41" s="54">
        <f>P92*Formulas!K$8</f>
        <v>673781.38831109076</v>
      </c>
      <c r="Q41" s="55">
        <f>Q92*Formulas!L$8</f>
        <v>773696.05955033994</v>
      </c>
    </row>
    <row r="42" spans="1:17" s="47" customFormat="1" x14ac:dyDescent="0.2">
      <c r="A42" s="206"/>
      <c r="C42" s="33"/>
      <c r="D42" s="33" t="s">
        <v>105</v>
      </c>
      <c r="E42" s="33"/>
      <c r="F42" s="33"/>
      <c r="G42" s="35"/>
      <c r="H42" s="52">
        <f>'12-Month Projection'!T42</f>
        <v>48712.32876712329</v>
      </c>
      <c r="I42" s="54">
        <f>Scenario!H22*I$10/365*Formulas!D$8</f>
        <v>51635.068493150684</v>
      </c>
      <c r="J42" s="54">
        <f>Scenario!I22*J$10/365*Formulas!E$8</f>
        <v>54216.821917808222</v>
      </c>
      <c r="K42" s="54">
        <f>Scenario!J22*K$10/365*Formulas!F$8</f>
        <v>56385.494794520549</v>
      </c>
      <c r="L42" s="54">
        <f>Scenario!K22*L$10/365*Formulas!G$8</f>
        <v>58077.059638356164</v>
      </c>
      <c r="M42" s="54">
        <f>Scenario!L22*M$10/365*Formulas!H$8</f>
        <v>52341.949999068493</v>
      </c>
      <c r="N42" s="54">
        <f>Scenario!M22*N$10/365*Formulas!I$8</f>
        <v>53388.788999049866</v>
      </c>
      <c r="O42" s="54">
        <f>Scenario!N22*O$10/365*Formulas!J$8</f>
        <v>54456.564779030858</v>
      </c>
      <c r="P42" s="54">
        <f>Scenario!O22*P$10/365*Formulas!K$8</f>
        <v>55545.696074611471</v>
      </c>
      <c r="Q42" s="55">
        <f>Scenario!P22*Q$10/365*Formulas!L$8</f>
        <v>56656.609996103696</v>
      </c>
    </row>
    <row r="43" spans="1:17" s="47" customFormat="1" x14ac:dyDescent="0.2">
      <c r="A43" s="206"/>
      <c r="C43" s="33"/>
      <c r="D43" s="33" t="s">
        <v>106</v>
      </c>
      <c r="E43" s="33"/>
      <c r="F43" s="33"/>
      <c r="G43" s="35"/>
      <c r="H43" s="52">
        <f>'12-Month Projection'!T43</f>
        <v>41557.705479452052</v>
      </c>
      <c r="I43" s="54">
        <f>Scenario!H23*I$16/365*Formulas!D$8</f>
        <v>51602.796575342465</v>
      </c>
      <c r="J43" s="54">
        <f>Scenario!I23*J$16/365*Formulas!E$8</f>
        <v>52420.889691780823</v>
      </c>
      <c r="K43" s="54">
        <f>Scenario!J23*K$16/365*Formulas!F$8</f>
        <v>56737.904136986297</v>
      </c>
      <c r="L43" s="54">
        <f>Scenario!K23*L$16/365*Formulas!G$8</f>
        <v>57931.866989260277</v>
      </c>
      <c r="M43" s="54">
        <f>Scenario!L23*M$16/365*Formulas!H$8</f>
        <v>57576.144998975331</v>
      </c>
      <c r="N43" s="54">
        <f>Scenario!M23*N$16/365*Formulas!I$8</f>
        <v>62922.501320308766</v>
      </c>
      <c r="O43" s="54">
        <f>Scenario!N23*O$16/365*Formulas!J$8</f>
        <v>61847.098570470756</v>
      </c>
      <c r="P43" s="54">
        <f>Scenario!O23*P$16/365*Formulas!K$8</f>
        <v>67289.643244672188</v>
      </c>
      <c r="Q43" s="55">
        <f>Scenario!P23*Q$16/365*Formulas!L$8</f>
        <v>67987.931995324441</v>
      </c>
    </row>
    <row r="44" spans="1:17" s="49" customFormat="1" x14ac:dyDescent="0.2">
      <c r="A44" s="205"/>
      <c r="C44" s="36"/>
      <c r="D44" s="36" t="s">
        <v>149</v>
      </c>
      <c r="E44" s="36"/>
      <c r="F44" s="36"/>
      <c r="G44" s="35"/>
      <c r="H44" s="53">
        <f>SUM(H41:H43)</f>
        <v>262990.63226325839</v>
      </c>
      <c r="I44" s="56">
        <f t="shared" ref="I44:Q44" si="11">SUM(I41:I43)</f>
        <v>305068.6509139433</v>
      </c>
      <c r="J44" s="56">
        <f t="shared" si="11"/>
        <v>351488.11867995356</v>
      </c>
      <c r="K44" s="56">
        <f t="shared" si="11"/>
        <v>408911.83622595784</v>
      </c>
      <c r="L44" s="56">
        <f t="shared" si="11"/>
        <v>469986.70520380803</v>
      </c>
      <c r="M44" s="56">
        <f t="shared" si="11"/>
        <v>534673.9883433691</v>
      </c>
      <c r="N44" s="56">
        <f t="shared" si="11"/>
        <v>612135.93546372093</v>
      </c>
      <c r="O44" s="56">
        <f t="shared" si="11"/>
        <v>701253.4358247167</v>
      </c>
      <c r="P44" s="56">
        <f t="shared" si="11"/>
        <v>796616.72763037449</v>
      </c>
      <c r="Q44" s="57">
        <f t="shared" si="11"/>
        <v>898340.60154176806</v>
      </c>
    </row>
    <row r="45" spans="1:17" s="47" customFormat="1" x14ac:dyDescent="0.2">
      <c r="A45" s="206"/>
      <c r="C45" s="33"/>
      <c r="D45" s="33"/>
      <c r="E45" s="33"/>
      <c r="F45" s="33"/>
      <c r="G45" s="33"/>
      <c r="H45" s="53"/>
      <c r="I45" s="54"/>
      <c r="J45" s="54"/>
      <c r="K45" s="54"/>
      <c r="L45" s="54"/>
      <c r="M45" s="54"/>
      <c r="N45" s="54"/>
      <c r="O45" s="54"/>
      <c r="P45" s="54"/>
      <c r="Q45" s="55"/>
    </row>
    <row r="46" spans="1:17" s="49" customFormat="1" x14ac:dyDescent="0.2">
      <c r="A46" s="205"/>
      <c r="C46" s="36" t="s">
        <v>150</v>
      </c>
      <c r="D46" s="36"/>
      <c r="E46" s="36"/>
      <c r="F46" s="36"/>
      <c r="G46" s="36"/>
      <c r="H46" s="52"/>
      <c r="I46" s="56"/>
      <c r="J46" s="56"/>
      <c r="K46" s="56"/>
      <c r="L46" s="56"/>
      <c r="M46" s="56"/>
      <c r="N46" s="56"/>
      <c r="O46" s="56"/>
      <c r="P46" s="56"/>
      <c r="Q46" s="57"/>
    </row>
    <row r="47" spans="1:17" x14ac:dyDescent="0.2">
      <c r="C47" s="35"/>
      <c r="D47" s="35" t="s">
        <v>232</v>
      </c>
      <c r="E47" s="35"/>
      <c r="F47" s="35"/>
      <c r="G47" s="35"/>
      <c r="H47" s="58">
        <f>'12-Month Projection'!T47</f>
        <v>13975.000000000005</v>
      </c>
      <c r="I47" s="59">
        <f>(H47+(-I81)-I25)*Formulas!D$8</f>
        <v>15583.750000000005</v>
      </c>
      <c r="J47" s="59">
        <f>(I47+(-J81)-J25)*Formulas!E$8</f>
        <v>17929.437500000007</v>
      </c>
      <c r="K47" s="59">
        <f>(J47+(-K81)-K25)*Formulas!F$8</f>
        <v>19454.134375000005</v>
      </c>
      <c r="L47" s="59">
        <f>(K47+(-L81)-L25)*Formulas!G$8</f>
        <v>22395.187343750007</v>
      </c>
      <c r="M47" s="59">
        <f>(L47+(-M81)-M25)*Formulas!H$8</f>
        <v>26256.871773437502</v>
      </c>
      <c r="N47" s="59">
        <f>(M47+(-N81)-N25)*Formulas!I$8</f>
        <v>26816.96665273438</v>
      </c>
      <c r="O47" s="59">
        <f>(N47+(-O81)-O25)*Formulas!J$8</f>
        <v>25231.028324277348</v>
      </c>
      <c r="P47" s="59">
        <f>(O47+(-P81)-P25)*Formulas!K$8</f>
        <v>22900.168410780272</v>
      </c>
      <c r="Q47" s="60">
        <f>(P47+(-Q81)-Q25)*Formulas!L$8</f>
        <v>20085.109467007176</v>
      </c>
    </row>
    <row r="48" spans="1:17" s="48" customFormat="1" x14ac:dyDescent="0.2">
      <c r="A48" s="204"/>
      <c r="C48" s="34"/>
      <c r="D48" s="34" t="s">
        <v>151</v>
      </c>
      <c r="E48" s="34"/>
      <c r="F48" s="34"/>
      <c r="G48" s="35"/>
      <c r="H48" s="64">
        <f>SUM(H47)</f>
        <v>13975.000000000005</v>
      </c>
      <c r="I48" s="65">
        <f>SUM(I47)</f>
        <v>15583.750000000005</v>
      </c>
      <c r="J48" s="65">
        <f t="shared" ref="J48:Q48" si="12">SUM(J47)</f>
        <v>17929.437500000007</v>
      </c>
      <c r="K48" s="65">
        <f t="shared" si="12"/>
        <v>19454.134375000005</v>
      </c>
      <c r="L48" s="65">
        <f t="shared" si="12"/>
        <v>22395.187343750007</v>
      </c>
      <c r="M48" s="65">
        <f t="shared" si="12"/>
        <v>26256.871773437502</v>
      </c>
      <c r="N48" s="65">
        <f t="shared" si="12"/>
        <v>26816.96665273438</v>
      </c>
      <c r="O48" s="65">
        <f t="shared" si="12"/>
        <v>25231.028324277348</v>
      </c>
      <c r="P48" s="65">
        <f t="shared" si="12"/>
        <v>22900.168410780272</v>
      </c>
      <c r="Q48" s="66">
        <f t="shared" si="12"/>
        <v>20085.109467007176</v>
      </c>
    </row>
    <row r="49" spans="1:17" s="48" customFormat="1" x14ac:dyDescent="0.2">
      <c r="A49" s="204"/>
      <c r="C49" s="34" t="s">
        <v>152</v>
      </c>
      <c r="D49" s="34"/>
      <c r="E49" s="34"/>
      <c r="F49" s="34"/>
      <c r="G49" s="35"/>
      <c r="H49" s="64">
        <f>H44+H48</f>
        <v>276965.63226325839</v>
      </c>
      <c r="I49" s="65">
        <f t="shared" ref="I49:Q49" si="13">I44+I48</f>
        <v>320652.4009139433</v>
      </c>
      <c r="J49" s="65">
        <f t="shared" si="13"/>
        <v>369417.55617995356</v>
      </c>
      <c r="K49" s="65">
        <f t="shared" si="13"/>
        <v>428365.97060095787</v>
      </c>
      <c r="L49" s="65">
        <f t="shared" si="13"/>
        <v>492381.89254755806</v>
      </c>
      <c r="M49" s="65">
        <f t="shared" si="13"/>
        <v>560930.86011680658</v>
      </c>
      <c r="N49" s="65">
        <f t="shared" si="13"/>
        <v>638952.90211645537</v>
      </c>
      <c r="O49" s="65">
        <f t="shared" si="13"/>
        <v>726484.46414899407</v>
      </c>
      <c r="P49" s="65">
        <f t="shared" si="13"/>
        <v>819516.89604115475</v>
      </c>
      <c r="Q49" s="66">
        <f t="shared" si="13"/>
        <v>918425.71100877528</v>
      </c>
    </row>
    <row r="50" spans="1:17" x14ac:dyDescent="0.2">
      <c r="C50" s="35"/>
      <c r="D50" s="35"/>
      <c r="E50" s="35"/>
      <c r="F50" s="35"/>
      <c r="G50" s="35"/>
      <c r="H50" s="58"/>
      <c r="I50" s="59"/>
      <c r="J50" s="59"/>
      <c r="K50" s="59"/>
      <c r="L50" s="59"/>
      <c r="M50" s="59"/>
      <c r="N50" s="59"/>
      <c r="O50" s="59"/>
      <c r="P50" s="59"/>
      <c r="Q50" s="60"/>
    </row>
    <row r="51" spans="1:17" x14ac:dyDescent="0.2">
      <c r="C51" s="34" t="s">
        <v>153</v>
      </c>
      <c r="D51" s="35"/>
      <c r="E51" s="35"/>
      <c r="F51" s="35"/>
      <c r="G51" s="35"/>
      <c r="H51" s="58"/>
      <c r="I51" s="59"/>
      <c r="J51" s="59"/>
      <c r="K51" s="59"/>
      <c r="L51" s="59"/>
      <c r="M51" s="59"/>
      <c r="N51" s="59"/>
      <c r="O51" s="59"/>
      <c r="P51" s="59"/>
      <c r="Q51" s="60"/>
    </row>
    <row r="52" spans="1:17" x14ac:dyDescent="0.2">
      <c r="C52" s="35"/>
      <c r="D52" s="35" t="s">
        <v>154</v>
      </c>
      <c r="E52" s="35"/>
      <c r="F52" s="35"/>
      <c r="G52" s="35"/>
      <c r="H52" s="58">
        <f>'12-Month Projection'!T52</f>
        <v>31967.465753424662</v>
      </c>
      <c r="I52" s="54">
        <f>Scenario!H25*I$16/365*Formulas!D$8</f>
        <v>39694.45890410959</v>
      </c>
      <c r="J52" s="54">
        <f>Scenario!I25*J$16/365*Formulas!E$8</f>
        <v>40323.761301369865</v>
      </c>
      <c r="K52" s="54">
        <f>Scenario!J25*K$16/365*Formulas!F$8</f>
        <v>40527.074383561638</v>
      </c>
      <c r="L52" s="54">
        <f>Scenario!K25*L$16/365*Formulas!G$8</f>
        <v>41379.904992328775</v>
      </c>
      <c r="M52" s="54">
        <f>Scenario!L25*M$16/365*Formulas!H$8</f>
        <v>37013.236070769861</v>
      </c>
      <c r="N52" s="54">
        <f>Scenario!M25*N$16/365*Formulas!I$8</f>
        <v>37753.500792185259</v>
      </c>
      <c r="O52" s="54">
        <f>Scenario!N25*O$16/365*Formulas!J$8</f>
        <v>37108.259142282455</v>
      </c>
      <c r="P52" s="54">
        <f>Scenario!O25*P$16/365*Formulas!K$8</f>
        <v>37850.4243251281</v>
      </c>
      <c r="Q52" s="55">
        <f>Scenario!P25*Q$16/365*Formulas!L$8</f>
        <v>38243.211747370005</v>
      </c>
    </row>
    <row r="53" spans="1:17" x14ac:dyDescent="0.2">
      <c r="C53" s="35"/>
      <c r="D53" s="35" t="s">
        <v>108</v>
      </c>
      <c r="E53" s="35"/>
      <c r="F53" s="35"/>
      <c r="G53" s="35"/>
      <c r="H53" s="58">
        <f>'12-Month Projection'!T53</f>
        <v>20002.5</v>
      </c>
      <c r="I53" s="59">
        <f>Scenario!H26*I10*Formulas!D$8</f>
        <v>21202.649999999998</v>
      </c>
      <c r="J53" s="59">
        <f>Scenario!I26*J10*Formulas!E$8</f>
        <v>22262.782499999998</v>
      </c>
      <c r="K53" s="59">
        <f>Scenario!J26*K10*Formulas!F$8</f>
        <v>23153.293799999999</v>
      </c>
      <c r="L53" s="59">
        <f>Scenario!K26*L10*Formulas!G$8</f>
        <v>23847.892614</v>
      </c>
      <c r="M53" s="59">
        <f>Scenario!L26*M10*Formulas!H$8</f>
        <v>24563.329392419997</v>
      </c>
      <c r="N53" s="59">
        <f>Scenario!M26*N10*Formulas!I$8</f>
        <v>25054.595980268397</v>
      </c>
      <c r="O53" s="59">
        <f>Scenario!N26*O10*Formulas!J$8</f>
        <v>25555.687899873767</v>
      </c>
      <c r="P53" s="59">
        <f>Scenario!O26*P10*Formulas!K$8</f>
        <v>26066.801657871238</v>
      </c>
      <c r="Q53" s="60">
        <f>Scenario!P26*Q10*Formulas!L$8</f>
        <v>26588.137691028664</v>
      </c>
    </row>
    <row r="54" spans="1:17" s="48" customFormat="1" x14ac:dyDescent="0.2">
      <c r="A54" s="204"/>
      <c r="C54" s="34"/>
      <c r="D54" s="34" t="s">
        <v>155</v>
      </c>
      <c r="E54" s="34"/>
      <c r="F54" s="34"/>
      <c r="G54" s="35"/>
      <c r="H54" s="64">
        <f>SUM(H52:H53)</f>
        <v>51969.965753424665</v>
      </c>
      <c r="I54" s="65">
        <f t="shared" ref="I54:Q54" si="14">SUM(I52:I53)</f>
        <v>60897.108904109584</v>
      </c>
      <c r="J54" s="65">
        <f t="shared" si="14"/>
        <v>62586.543801369859</v>
      </c>
      <c r="K54" s="65">
        <f t="shared" si="14"/>
        <v>63680.368183561637</v>
      </c>
      <c r="L54" s="65">
        <f t="shared" si="14"/>
        <v>65227.797606328779</v>
      </c>
      <c r="M54" s="65">
        <f t="shared" si="14"/>
        <v>61576.565463189858</v>
      </c>
      <c r="N54" s="65">
        <f t="shared" si="14"/>
        <v>62808.09677245366</v>
      </c>
      <c r="O54" s="65">
        <f t="shared" si="14"/>
        <v>62663.947042156222</v>
      </c>
      <c r="P54" s="65">
        <f t="shared" si="14"/>
        <v>63917.225982999342</v>
      </c>
      <c r="Q54" s="66">
        <f t="shared" si="14"/>
        <v>64831.349438398669</v>
      </c>
    </row>
    <row r="55" spans="1:17" x14ac:dyDescent="0.2">
      <c r="C55" s="35"/>
      <c r="D55" s="35"/>
      <c r="E55" s="35"/>
      <c r="F55" s="35"/>
      <c r="G55" s="35"/>
      <c r="H55" s="58"/>
      <c r="I55" s="59"/>
      <c r="J55" s="59"/>
      <c r="K55" s="59"/>
      <c r="L55" s="59"/>
      <c r="M55" s="59"/>
      <c r="N55" s="59"/>
      <c r="O55" s="59"/>
      <c r="P55" s="59"/>
      <c r="Q55" s="60"/>
    </row>
    <row r="56" spans="1:17" x14ac:dyDescent="0.2">
      <c r="C56" s="34" t="s">
        <v>156</v>
      </c>
      <c r="D56" s="35"/>
      <c r="E56" s="35"/>
      <c r="F56" s="35"/>
      <c r="G56" s="35"/>
      <c r="H56" s="58"/>
      <c r="I56" s="59"/>
      <c r="J56" s="59"/>
      <c r="K56" s="59"/>
      <c r="L56" s="59"/>
      <c r="M56" s="59"/>
      <c r="N56" s="59"/>
      <c r="O56" s="59"/>
      <c r="P56" s="59"/>
      <c r="Q56" s="60"/>
    </row>
    <row r="57" spans="1:17" x14ac:dyDescent="0.2">
      <c r="C57" s="35"/>
      <c r="D57" s="35" t="s">
        <v>157</v>
      </c>
      <c r="E57" s="35"/>
      <c r="F57" s="35"/>
      <c r="G57" s="35"/>
      <c r="H57" s="58">
        <f>'12-Month Projection'!T57</f>
        <v>55000.000000000029</v>
      </c>
      <c r="I57" s="59">
        <f>(H57+Scenario!$G33)*Formulas!D$8</f>
        <v>50000.000000000029</v>
      </c>
      <c r="J57" s="59">
        <f>(I57+Scenario!$G33)*Formulas!E$8</f>
        <v>45000.000000000029</v>
      </c>
      <c r="K57" s="59">
        <f>(J57+Scenario!$G33)*Formulas!F$8</f>
        <v>40000.000000000029</v>
      </c>
      <c r="L57" s="59">
        <f>(K57+Scenario!$G33)*Formulas!G$8</f>
        <v>35000.000000000029</v>
      </c>
      <c r="M57" s="59">
        <f>(L57+Scenario!$G33)*Formulas!H$8</f>
        <v>30000.000000000029</v>
      </c>
      <c r="N57" s="59">
        <f>(M57+Scenario!$G33)*Formulas!I$8</f>
        <v>25000.000000000029</v>
      </c>
      <c r="O57" s="59">
        <f>(N57+Scenario!$G33)*Formulas!J$8</f>
        <v>20000.000000000029</v>
      </c>
      <c r="P57" s="59">
        <f>(O57+Scenario!$G33)*Formulas!K$8</f>
        <v>15000.000000000029</v>
      </c>
      <c r="Q57" s="60">
        <f>(P57+Scenario!$G33)*Formulas!L$8</f>
        <v>10000.000000000029</v>
      </c>
    </row>
    <row r="58" spans="1:17" s="48" customFormat="1" x14ac:dyDescent="0.2">
      <c r="A58" s="204"/>
      <c r="C58" s="34"/>
      <c r="D58" s="34" t="s">
        <v>158</v>
      </c>
      <c r="E58" s="34"/>
      <c r="F58" s="34"/>
      <c r="G58" s="35"/>
      <c r="H58" s="64">
        <f>SUM(H57)</f>
        <v>55000.000000000029</v>
      </c>
      <c r="I58" s="65">
        <f t="shared" ref="I58:Q58" si="15">SUM(I57)</f>
        <v>50000.000000000029</v>
      </c>
      <c r="J58" s="65">
        <f t="shared" si="15"/>
        <v>45000.000000000029</v>
      </c>
      <c r="K58" s="65">
        <f t="shared" si="15"/>
        <v>40000.000000000029</v>
      </c>
      <c r="L58" s="65">
        <f t="shared" si="15"/>
        <v>35000.000000000029</v>
      </c>
      <c r="M58" s="65">
        <f t="shared" si="15"/>
        <v>30000.000000000029</v>
      </c>
      <c r="N58" s="65">
        <f t="shared" si="15"/>
        <v>25000.000000000029</v>
      </c>
      <c r="O58" s="65">
        <f t="shared" si="15"/>
        <v>20000.000000000029</v>
      </c>
      <c r="P58" s="65">
        <f t="shared" si="15"/>
        <v>15000.000000000029</v>
      </c>
      <c r="Q58" s="66">
        <f t="shared" si="15"/>
        <v>10000.000000000029</v>
      </c>
    </row>
    <row r="59" spans="1:17" s="48" customFormat="1" x14ac:dyDescent="0.2">
      <c r="A59" s="204"/>
      <c r="C59" s="34" t="s">
        <v>159</v>
      </c>
      <c r="D59" s="34"/>
      <c r="E59" s="34"/>
      <c r="F59" s="34"/>
      <c r="G59" s="35"/>
      <c r="H59" s="64">
        <f>H54+H58</f>
        <v>106969.96575342469</v>
      </c>
      <c r="I59" s="65">
        <f t="shared" ref="I59:Q59" si="16">I54+I58</f>
        <v>110897.10890410961</v>
      </c>
      <c r="J59" s="65">
        <f t="shared" si="16"/>
        <v>107586.54380136989</v>
      </c>
      <c r="K59" s="65">
        <f t="shared" si="16"/>
        <v>103680.36818356166</v>
      </c>
      <c r="L59" s="65">
        <f t="shared" si="16"/>
        <v>100227.79760632881</v>
      </c>
      <c r="M59" s="65">
        <f t="shared" si="16"/>
        <v>91576.56546318988</v>
      </c>
      <c r="N59" s="65">
        <f t="shared" si="16"/>
        <v>87808.096772453689</v>
      </c>
      <c r="O59" s="65">
        <f t="shared" si="16"/>
        <v>82663.947042156244</v>
      </c>
      <c r="P59" s="65">
        <f t="shared" si="16"/>
        <v>78917.225982999371</v>
      </c>
      <c r="Q59" s="66">
        <f t="shared" si="16"/>
        <v>74831.349438398698</v>
      </c>
    </row>
    <row r="60" spans="1:17" s="48" customFormat="1" x14ac:dyDescent="0.2">
      <c r="A60" s="204"/>
      <c r="C60" s="34"/>
      <c r="D60" s="34"/>
      <c r="E60" s="34"/>
      <c r="F60" s="34"/>
      <c r="G60" s="34"/>
      <c r="H60" s="64"/>
      <c r="I60" s="65"/>
      <c r="J60" s="65"/>
      <c r="K60" s="65"/>
      <c r="L60" s="65"/>
      <c r="M60" s="65"/>
      <c r="N60" s="65"/>
      <c r="O60" s="65"/>
      <c r="P60" s="65"/>
      <c r="Q60" s="66"/>
    </row>
    <row r="61" spans="1:17" x14ac:dyDescent="0.2">
      <c r="C61" s="34" t="s">
        <v>163</v>
      </c>
      <c r="D61" s="35"/>
      <c r="E61" s="35"/>
      <c r="F61" s="35"/>
      <c r="G61" s="35"/>
      <c r="H61" s="64"/>
      <c r="I61" s="59"/>
      <c r="J61" s="59"/>
      <c r="K61" s="59"/>
      <c r="L61" s="59"/>
      <c r="M61" s="59"/>
      <c r="N61" s="59"/>
      <c r="O61" s="59"/>
      <c r="P61" s="59"/>
      <c r="Q61" s="60"/>
    </row>
    <row r="62" spans="1:17" x14ac:dyDescent="0.2">
      <c r="C62" s="35"/>
      <c r="D62" s="35" t="s">
        <v>160</v>
      </c>
      <c r="E62" s="35"/>
      <c r="F62" s="35"/>
      <c r="G62" s="35"/>
      <c r="H62" s="58">
        <f>'12-Month Projection'!T62</f>
        <v>110000</v>
      </c>
      <c r="I62" s="59">
        <f>Scenario!H32*Formulas!D$8</f>
        <v>110000</v>
      </c>
      <c r="J62" s="59">
        <f>Scenario!I32*Formulas!E$8</f>
        <v>110000</v>
      </c>
      <c r="K62" s="59">
        <f>Scenario!J32*Formulas!F$8</f>
        <v>110000</v>
      </c>
      <c r="L62" s="59">
        <f>Scenario!K32*Formulas!G$8</f>
        <v>110000</v>
      </c>
      <c r="M62" s="59">
        <f>Scenario!L32*Formulas!H$8</f>
        <v>110000</v>
      </c>
      <c r="N62" s="59">
        <f>Scenario!M32*Formulas!I$8</f>
        <v>110000</v>
      </c>
      <c r="O62" s="59">
        <f>Scenario!N32*Formulas!J$8</f>
        <v>110000</v>
      </c>
      <c r="P62" s="59">
        <f>Scenario!O32*Formulas!K$8</f>
        <v>110000</v>
      </c>
      <c r="Q62" s="60">
        <f>Scenario!P32*Formulas!L$8</f>
        <v>110000</v>
      </c>
    </row>
    <row r="63" spans="1:17" x14ac:dyDescent="0.2">
      <c r="C63" s="35"/>
      <c r="D63" s="35" t="s">
        <v>161</v>
      </c>
      <c r="E63" s="35"/>
      <c r="F63" s="35"/>
      <c r="G63" s="35"/>
      <c r="H63" s="58">
        <f>'12-Month Projection'!T63</f>
        <v>59995.666509833718</v>
      </c>
      <c r="I63" s="59">
        <f>(H63+I36+I87)*Formulas!D$8</f>
        <v>99755.29200983372</v>
      </c>
      <c r="J63" s="59">
        <f>(I63+J36+J87)*Formulas!E$8</f>
        <v>151831.01237858369</v>
      </c>
      <c r="K63" s="59">
        <f>(J63+K36+K87)*Formulas!F$8</f>
        <v>214685.60241739621</v>
      </c>
      <c r="L63" s="59">
        <f>(K63+L36+L87)*Formulas!G$8</f>
        <v>282154.09494122933</v>
      </c>
      <c r="M63" s="59">
        <f>(L63+M36+M87)*Formulas!H$8</f>
        <v>359354.29465361679</v>
      </c>
      <c r="N63" s="59">
        <f>(M63+N36+N87)*Formulas!I$8</f>
        <v>441144.80534400174</v>
      </c>
      <c r="O63" s="59">
        <f>(N63+O36+O87)*Formulas!J$8</f>
        <v>533820.51710683783</v>
      </c>
      <c r="P63" s="59">
        <f>(O63+P36+P87)*Formulas!K$8</f>
        <v>630599.67005815543</v>
      </c>
      <c r="Q63" s="60">
        <f>(P63+Q36+Q87)*Formulas!L$8</f>
        <v>733594.36157037667</v>
      </c>
    </row>
    <row r="64" spans="1:17" s="48" customFormat="1" x14ac:dyDescent="0.2">
      <c r="A64" s="204"/>
      <c r="C64" s="34"/>
      <c r="D64" s="34" t="s">
        <v>162</v>
      </c>
      <c r="E64" s="34"/>
      <c r="F64" s="34"/>
      <c r="G64" s="35"/>
      <c r="H64" s="64">
        <f>SUM(H62:H63)</f>
        <v>169995.66650983371</v>
      </c>
      <c r="I64" s="65">
        <f t="shared" ref="I64:Q64" si="17">SUM(I62:I63)</f>
        <v>209755.29200983373</v>
      </c>
      <c r="J64" s="65">
        <f t="shared" si="17"/>
        <v>261831.01237858369</v>
      </c>
      <c r="K64" s="65">
        <f t="shared" si="17"/>
        <v>324685.60241739621</v>
      </c>
      <c r="L64" s="65">
        <f t="shared" si="17"/>
        <v>392154.09494122933</v>
      </c>
      <c r="M64" s="65">
        <f t="shared" si="17"/>
        <v>469354.29465361679</v>
      </c>
      <c r="N64" s="65">
        <f t="shared" si="17"/>
        <v>551144.80534400174</v>
      </c>
      <c r="O64" s="65">
        <f t="shared" si="17"/>
        <v>643820.51710683783</v>
      </c>
      <c r="P64" s="65">
        <f t="shared" si="17"/>
        <v>740599.67005815543</v>
      </c>
      <c r="Q64" s="66">
        <f t="shared" si="17"/>
        <v>843594.36157037667</v>
      </c>
    </row>
    <row r="65" spans="1:17" s="48" customFormat="1" x14ac:dyDescent="0.2">
      <c r="A65" s="204"/>
      <c r="C65" s="34" t="s">
        <v>164</v>
      </c>
      <c r="D65" s="34"/>
      <c r="E65" s="34"/>
      <c r="F65" s="34"/>
      <c r="G65" s="35"/>
      <c r="H65" s="64">
        <f>H59+H64</f>
        <v>276965.63226325839</v>
      </c>
      <c r="I65" s="65">
        <f t="shared" ref="I65:Q65" si="18">I59+I64</f>
        <v>320652.40091394336</v>
      </c>
      <c r="J65" s="65">
        <f t="shared" si="18"/>
        <v>369417.55617995356</v>
      </c>
      <c r="K65" s="65">
        <f t="shared" si="18"/>
        <v>428365.97060095787</v>
      </c>
      <c r="L65" s="65">
        <f t="shared" si="18"/>
        <v>492381.89254755812</v>
      </c>
      <c r="M65" s="65">
        <f t="shared" si="18"/>
        <v>560930.8601168067</v>
      </c>
      <c r="N65" s="65">
        <f t="shared" si="18"/>
        <v>638952.90211645537</v>
      </c>
      <c r="O65" s="65">
        <f t="shared" si="18"/>
        <v>726484.46414899407</v>
      </c>
      <c r="P65" s="65">
        <f t="shared" si="18"/>
        <v>819516.89604115486</v>
      </c>
      <c r="Q65" s="66">
        <f t="shared" si="18"/>
        <v>918425.7110087754</v>
      </c>
    </row>
    <row r="66" spans="1:17" x14ac:dyDescent="0.2">
      <c r="C66" s="35"/>
      <c r="D66" s="35"/>
      <c r="E66" s="35"/>
      <c r="F66" s="35"/>
      <c r="G66" s="35"/>
      <c r="H66" s="64"/>
      <c r="I66" s="59"/>
      <c r="J66" s="59"/>
      <c r="K66" s="59"/>
      <c r="L66" s="59"/>
      <c r="M66" s="59"/>
      <c r="N66" s="59"/>
      <c r="O66" s="59"/>
      <c r="P66" s="59"/>
      <c r="Q66" s="60"/>
    </row>
    <row r="67" spans="1:17" s="114" customFormat="1" x14ac:dyDescent="0.2">
      <c r="A67" s="212"/>
      <c r="C67" s="115"/>
      <c r="D67" s="102" t="s">
        <v>300</v>
      </c>
      <c r="E67" s="102"/>
      <c r="F67" s="102"/>
      <c r="G67" s="102"/>
      <c r="H67" s="107">
        <f>H49-H65</f>
        <v>0</v>
      </c>
      <c r="I67" s="108">
        <f t="shared" ref="I67:Q67" si="19">I49-I65</f>
        <v>0</v>
      </c>
      <c r="J67" s="108">
        <f t="shared" si="19"/>
        <v>0</v>
      </c>
      <c r="K67" s="108">
        <f t="shared" si="19"/>
        <v>0</v>
      </c>
      <c r="L67" s="108">
        <f t="shared" si="19"/>
        <v>0</v>
      </c>
      <c r="M67" s="108">
        <f t="shared" si="19"/>
        <v>0</v>
      </c>
      <c r="N67" s="108">
        <f t="shared" si="19"/>
        <v>0</v>
      </c>
      <c r="O67" s="108">
        <f t="shared" si="19"/>
        <v>0</v>
      </c>
      <c r="P67" s="108">
        <f t="shared" si="19"/>
        <v>0</v>
      </c>
      <c r="Q67" s="109">
        <f t="shared" si="19"/>
        <v>0</v>
      </c>
    </row>
    <row r="68" spans="1:17" ht="5" customHeight="1" x14ac:dyDescent="0.2">
      <c r="C68" s="173"/>
      <c r="D68" s="173"/>
      <c r="E68" s="173"/>
      <c r="F68" s="173"/>
      <c r="G68" s="9"/>
      <c r="H68" s="89"/>
      <c r="I68" s="9"/>
      <c r="J68" s="9"/>
      <c r="K68" s="9"/>
      <c r="L68" s="9"/>
      <c r="M68" s="9"/>
      <c r="N68" s="9"/>
      <c r="O68" s="9"/>
      <c r="P68" s="9"/>
      <c r="Q68" s="9"/>
    </row>
    <row r="69" spans="1:17" s="48" customFormat="1" x14ac:dyDescent="0.2">
      <c r="A69" s="204"/>
      <c r="C69" s="42" t="s">
        <v>165</v>
      </c>
      <c r="D69" s="42"/>
      <c r="E69" s="42"/>
      <c r="F69" s="42"/>
      <c r="G69" s="25"/>
      <c r="H69" s="9"/>
      <c r="I69" s="25"/>
      <c r="J69" s="25"/>
      <c r="K69" s="25"/>
      <c r="L69" s="25"/>
      <c r="M69" s="25"/>
      <c r="N69" s="25"/>
      <c r="O69" s="25"/>
      <c r="P69" s="25"/>
      <c r="Q69" s="25"/>
    </row>
    <row r="70" spans="1:17" s="48" customFormat="1" x14ac:dyDescent="0.2">
      <c r="A70" s="204"/>
      <c r="C70" s="34" t="s">
        <v>169</v>
      </c>
      <c r="D70" s="34"/>
      <c r="E70" s="34"/>
      <c r="F70" s="34"/>
      <c r="G70" s="34"/>
      <c r="H70" s="64"/>
      <c r="I70" s="65"/>
      <c r="J70" s="65"/>
      <c r="K70" s="65"/>
      <c r="L70" s="65"/>
      <c r="M70" s="65"/>
      <c r="N70" s="65"/>
      <c r="O70" s="65"/>
      <c r="P70" s="65"/>
      <c r="Q70" s="66"/>
    </row>
    <row r="71" spans="1:17" x14ac:dyDescent="0.2">
      <c r="C71" s="35"/>
      <c r="D71" s="35" t="s">
        <v>14</v>
      </c>
      <c r="E71" s="35"/>
      <c r="F71" s="35"/>
      <c r="G71" s="35"/>
      <c r="H71" s="58">
        <f>'12-Month Projection'!T71</f>
        <v>70583.137070392608</v>
      </c>
      <c r="I71" s="59">
        <f>I36</f>
        <v>46776.030000000006</v>
      </c>
      <c r="J71" s="59">
        <f t="shared" ref="J71:Q71" si="20">J36</f>
        <v>61265.553374999989</v>
      </c>
      <c r="K71" s="59">
        <f t="shared" si="20"/>
        <v>73946.576516250017</v>
      </c>
      <c r="L71" s="59">
        <f t="shared" si="20"/>
        <v>79374.697086862463</v>
      </c>
      <c r="M71" s="59">
        <f t="shared" si="20"/>
        <v>90823.76436751461</v>
      </c>
      <c r="N71" s="59">
        <f t="shared" si="20"/>
        <v>96224.130223982356</v>
      </c>
      <c r="O71" s="59">
        <f t="shared" si="20"/>
        <v>109030.24913274833</v>
      </c>
      <c r="P71" s="59">
        <f t="shared" si="20"/>
        <v>113857.82700155012</v>
      </c>
      <c r="Q71" s="60">
        <f t="shared" si="20"/>
        <v>121170.2253084956</v>
      </c>
    </row>
    <row r="72" spans="1:17" x14ac:dyDescent="0.2">
      <c r="C72" s="35"/>
      <c r="D72" s="35" t="s">
        <v>166</v>
      </c>
      <c r="E72" s="35"/>
      <c r="F72" s="35"/>
      <c r="G72" s="35"/>
      <c r="H72" s="58">
        <f>'12-Month Projection'!T72</f>
        <v>7524.9999999999991</v>
      </c>
      <c r="I72" s="59">
        <f>I25</f>
        <v>8391.2500000000018</v>
      </c>
      <c r="J72" s="59">
        <f t="shared" ref="J72:Q72" si="21">J25</f>
        <v>9654.3125000000018</v>
      </c>
      <c r="K72" s="59">
        <f t="shared" si="21"/>
        <v>10475.303125000002</v>
      </c>
      <c r="L72" s="59">
        <f t="shared" si="21"/>
        <v>12058.947031250002</v>
      </c>
      <c r="M72" s="59">
        <f t="shared" si="21"/>
        <v>14138.315570312501</v>
      </c>
      <c r="N72" s="59">
        <f t="shared" si="21"/>
        <v>14439.905120703124</v>
      </c>
      <c r="O72" s="59">
        <f t="shared" si="21"/>
        <v>13585.938328457032</v>
      </c>
      <c r="P72" s="59">
        <f t="shared" si="21"/>
        <v>12330.85991349707</v>
      </c>
      <c r="Q72" s="60">
        <f t="shared" si="21"/>
        <v>10815.058943773094</v>
      </c>
    </row>
    <row r="73" spans="1:17" x14ac:dyDescent="0.2">
      <c r="C73" s="35"/>
      <c r="D73" s="35" t="s">
        <v>167</v>
      </c>
      <c r="E73" s="35"/>
      <c r="F73" s="35"/>
      <c r="G73" s="35"/>
      <c r="H73" s="58">
        <f>'12-Month Projection'!T73</f>
        <v>0</v>
      </c>
      <c r="I73" s="59"/>
      <c r="J73" s="59"/>
      <c r="K73" s="59"/>
      <c r="L73" s="59"/>
      <c r="M73" s="59"/>
      <c r="N73" s="59"/>
      <c r="O73" s="59"/>
      <c r="P73" s="59"/>
      <c r="Q73" s="60"/>
    </row>
    <row r="74" spans="1:17" x14ac:dyDescent="0.2">
      <c r="C74" s="35"/>
      <c r="D74" s="35"/>
      <c r="E74" s="35" t="s">
        <v>105</v>
      </c>
      <c r="F74" s="35"/>
      <c r="G74" s="35"/>
      <c r="H74" s="58">
        <f>0-H42</f>
        <v>-48712.32876712329</v>
      </c>
      <c r="I74" s="59">
        <f>-(I42-H42)*Formulas!D$8</f>
        <v>-2922.7397260273938</v>
      </c>
      <c r="J74" s="59">
        <f>-(J42-I42)*Formulas!E$8</f>
        <v>-2581.7534246575378</v>
      </c>
      <c r="K74" s="59">
        <f>-(K42-J42)*Formulas!F$8</f>
        <v>-2168.6728767123277</v>
      </c>
      <c r="L74" s="59">
        <f>-(L42-K42)*Formulas!G$8</f>
        <v>-1691.5648438356147</v>
      </c>
      <c r="M74" s="59">
        <f>-(M42-L42)*Formulas!H$8</f>
        <v>5735.1096392876716</v>
      </c>
      <c r="N74" s="59">
        <f>-(N42-M42)*Formulas!I$8</f>
        <v>-1046.8389999813735</v>
      </c>
      <c r="O74" s="59">
        <f>-(O42-N42)*Formulas!J$8</f>
        <v>-1067.7757799809915</v>
      </c>
      <c r="P74" s="59">
        <f>-(P42-O42)*Formulas!K$8</f>
        <v>-1089.1312955806134</v>
      </c>
      <c r="Q74" s="60">
        <f>-(Q42-P42)*Formulas!L$8</f>
        <v>-1110.9139214922252</v>
      </c>
    </row>
    <row r="75" spans="1:17" x14ac:dyDescent="0.2">
      <c r="C75" s="35"/>
      <c r="D75" s="35"/>
      <c r="E75" s="35" t="s">
        <v>106</v>
      </c>
      <c r="F75" s="35"/>
      <c r="G75" s="35"/>
      <c r="H75" s="58">
        <f>0-H43</f>
        <v>-41557.705479452052</v>
      </c>
      <c r="I75" s="59">
        <f>-(I43-H43)*Formulas!D$8</f>
        <v>-10045.091095890413</v>
      </c>
      <c r="J75" s="59">
        <f>-(J43-I43)*Formulas!E$8</f>
        <v>-818.09311643835827</v>
      </c>
      <c r="K75" s="59">
        <f>-(K43-J43)*Formulas!F$8</f>
        <v>-4317.0144452054737</v>
      </c>
      <c r="L75" s="59">
        <f>-(L43-K43)*Formulas!G$8</f>
        <v>-1193.9628522739804</v>
      </c>
      <c r="M75" s="59">
        <f>-(M43-L43)*Formulas!H$8</f>
        <v>355.72199028494651</v>
      </c>
      <c r="N75" s="59">
        <f>-(N43-M43)*Formulas!I$8</f>
        <v>-5346.3563213334346</v>
      </c>
      <c r="O75" s="59">
        <f>-(O43-N43)*Formulas!J$8</f>
        <v>1075.4027498380092</v>
      </c>
      <c r="P75" s="59">
        <f>-(P43-O43)*Formulas!K$8</f>
        <v>-5442.5446742014319</v>
      </c>
      <c r="Q75" s="60">
        <f>-(Q43-P43)*Formulas!L$8</f>
        <v>-698.28875065225293</v>
      </c>
    </row>
    <row r="76" spans="1:17" x14ac:dyDescent="0.2">
      <c r="C76" s="35"/>
      <c r="D76" s="35"/>
      <c r="E76" s="35" t="s">
        <v>107</v>
      </c>
      <c r="F76" s="35"/>
      <c r="G76" s="35"/>
      <c r="H76" s="58">
        <f>H52-0</f>
        <v>31967.465753424662</v>
      </c>
      <c r="I76" s="59">
        <f>(I52-H52)*Formulas!D$8</f>
        <v>7726.993150684928</v>
      </c>
      <c r="J76" s="59">
        <f>(J52-I52)*Formulas!E$8</f>
        <v>629.30239726027503</v>
      </c>
      <c r="K76" s="59">
        <f>(K52-J52)*Formulas!F$8</f>
        <v>203.31308219177299</v>
      </c>
      <c r="L76" s="59">
        <f>(L52-K52)*Formulas!G$8</f>
        <v>852.83060876713716</v>
      </c>
      <c r="M76" s="59">
        <f>(M52-L52)*Formulas!H$8</f>
        <v>-4366.668921558914</v>
      </c>
      <c r="N76" s="59">
        <f>(N52-M52)*Formulas!I$8</f>
        <v>740.26472141539853</v>
      </c>
      <c r="O76" s="59">
        <f>(O52-N52)*Formulas!J$8</f>
        <v>-645.24164990280406</v>
      </c>
      <c r="P76" s="59">
        <f>(P52-O52)*Formulas!K$8</f>
        <v>742.16518284564518</v>
      </c>
      <c r="Q76" s="60">
        <f>(Q52-P52)*Formulas!L$8</f>
        <v>392.78742224190501</v>
      </c>
    </row>
    <row r="77" spans="1:17" x14ac:dyDescent="0.2">
      <c r="C77" s="35"/>
      <c r="D77" s="35"/>
      <c r="E77" s="35" t="s">
        <v>108</v>
      </c>
      <c r="F77" s="35"/>
      <c r="G77" s="35"/>
      <c r="H77" s="58">
        <f>H53-0</f>
        <v>20002.5</v>
      </c>
      <c r="I77" s="59">
        <f>(I53-H53)*Formulas!D$8</f>
        <v>1200.1499999999978</v>
      </c>
      <c r="J77" s="59">
        <f>(J53-I53)*Formulas!E$8</f>
        <v>1060.1324999999997</v>
      </c>
      <c r="K77" s="59">
        <f>(K53-J53)*Formulas!F$8</f>
        <v>890.51130000000194</v>
      </c>
      <c r="L77" s="59">
        <f>(L53-K53)*Formulas!G$8</f>
        <v>694.59881400000086</v>
      </c>
      <c r="M77" s="59">
        <f>(M53-L53)*Formulas!H$8</f>
        <v>715.4367784199967</v>
      </c>
      <c r="N77" s="59">
        <f>(N53-M53)*Formulas!I$8</f>
        <v>491.26658784840038</v>
      </c>
      <c r="O77" s="59">
        <f>(O53-N53)*Formulas!J$8</f>
        <v>501.09191960536918</v>
      </c>
      <c r="P77" s="59">
        <f>(P53-O53)*Formulas!K$8</f>
        <v>511.11375799747111</v>
      </c>
      <c r="Q77" s="60">
        <f>(Q53-P53)*Formulas!L$8</f>
        <v>521.33603315742585</v>
      </c>
    </row>
    <row r="78" spans="1:17" s="48" customFormat="1" x14ac:dyDescent="0.2">
      <c r="A78" s="204"/>
      <c r="C78" s="34" t="s">
        <v>168</v>
      </c>
      <c r="D78" s="34"/>
      <c r="E78" s="34"/>
      <c r="F78" s="34"/>
      <c r="G78" s="35"/>
      <c r="H78" s="64">
        <f>SUM(H71:H77)</f>
        <v>39808.068577241924</v>
      </c>
      <c r="I78" s="65">
        <f t="shared" ref="I78:Q78" si="22">SUM(I71:I77)</f>
        <v>51126.592328767118</v>
      </c>
      <c r="J78" s="65">
        <f t="shared" si="22"/>
        <v>69209.45423116436</v>
      </c>
      <c r="K78" s="65">
        <f t="shared" si="22"/>
        <v>79030.016701523986</v>
      </c>
      <c r="L78" s="65">
        <f t="shared" si="22"/>
        <v>90095.545844770008</v>
      </c>
      <c r="M78" s="65">
        <f t="shared" si="22"/>
        <v>107401.6794242608</v>
      </c>
      <c r="N78" s="65">
        <f t="shared" si="22"/>
        <v>105502.37133263446</v>
      </c>
      <c r="O78" s="65">
        <f t="shared" si="22"/>
        <v>122479.66470076494</v>
      </c>
      <c r="P78" s="65">
        <f t="shared" si="22"/>
        <v>120910.28988610826</v>
      </c>
      <c r="Q78" s="66">
        <f t="shared" si="22"/>
        <v>131090.20503552354</v>
      </c>
    </row>
    <row r="79" spans="1:17" x14ac:dyDescent="0.2">
      <c r="C79" s="35"/>
      <c r="D79" s="35"/>
      <c r="E79" s="35"/>
      <c r="F79" s="35"/>
      <c r="G79" s="35"/>
      <c r="H79" s="64"/>
      <c r="I79" s="59"/>
      <c r="J79" s="59"/>
      <c r="K79" s="59"/>
      <c r="L79" s="59"/>
      <c r="M79" s="59"/>
      <c r="N79" s="59"/>
      <c r="O79" s="59"/>
      <c r="P79" s="59"/>
      <c r="Q79" s="60"/>
    </row>
    <row r="80" spans="1:17" s="48" customFormat="1" x14ac:dyDescent="0.2">
      <c r="A80" s="204"/>
      <c r="C80" s="34" t="s">
        <v>170</v>
      </c>
      <c r="D80" s="34"/>
      <c r="E80" s="34"/>
      <c r="F80" s="34"/>
      <c r="G80" s="34"/>
      <c r="H80" s="58"/>
      <c r="I80" s="65"/>
      <c r="J80" s="65"/>
      <c r="K80" s="65"/>
      <c r="L80" s="65"/>
      <c r="M80" s="65"/>
      <c r="N80" s="65"/>
      <c r="O80" s="65"/>
      <c r="P80" s="65"/>
      <c r="Q80" s="66"/>
    </row>
    <row r="81" spans="1:17" x14ac:dyDescent="0.2">
      <c r="C81" s="35"/>
      <c r="D81" s="35" t="s">
        <v>171</v>
      </c>
      <c r="E81" s="35"/>
      <c r="F81" s="35"/>
      <c r="G81" s="35"/>
      <c r="H81" s="58">
        <f>'12-Month Projection'!T81</f>
        <v>-21500.000000000007</v>
      </c>
      <c r="I81" s="59">
        <f>-Scenario!H27</f>
        <v>-10000</v>
      </c>
      <c r="J81" s="59">
        <f>-Scenario!I27</f>
        <v>-12000</v>
      </c>
      <c r="K81" s="59">
        <f>-Scenario!J27</f>
        <v>-12000</v>
      </c>
      <c r="L81" s="59">
        <f>-Scenario!K27</f>
        <v>-15000</v>
      </c>
      <c r="M81" s="59">
        <f>-Scenario!L27</f>
        <v>-18000</v>
      </c>
      <c r="N81" s="59">
        <f>-Scenario!M27</f>
        <v>-15000</v>
      </c>
      <c r="O81" s="59">
        <f>-Scenario!N27</f>
        <v>-12000</v>
      </c>
      <c r="P81" s="59">
        <f>-Scenario!O27</f>
        <v>-10000</v>
      </c>
      <c r="Q81" s="60">
        <f>-Scenario!P27</f>
        <v>-8000</v>
      </c>
    </row>
    <row r="82" spans="1:17" s="48" customFormat="1" x14ac:dyDescent="0.2">
      <c r="A82" s="204"/>
      <c r="C82" s="34" t="s">
        <v>172</v>
      </c>
      <c r="D82" s="34"/>
      <c r="E82" s="34"/>
      <c r="F82" s="34"/>
      <c r="G82" s="35"/>
      <c r="H82" s="64">
        <f>SUM(H81)</f>
        <v>-21500.000000000007</v>
      </c>
      <c r="I82" s="65">
        <f t="shared" ref="I82:Q82" si="23">SUM(I81)</f>
        <v>-10000</v>
      </c>
      <c r="J82" s="65">
        <f t="shared" si="23"/>
        <v>-12000</v>
      </c>
      <c r="K82" s="65">
        <f t="shared" si="23"/>
        <v>-12000</v>
      </c>
      <c r="L82" s="65">
        <f t="shared" si="23"/>
        <v>-15000</v>
      </c>
      <c r="M82" s="65">
        <f t="shared" si="23"/>
        <v>-18000</v>
      </c>
      <c r="N82" s="65">
        <f t="shared" si="23"/>
        <v>-15000</v>
      </c>
      <c r="O82" s="65">
        <f t="shared" si="23"/>
        <v>-12000</v>
      </c>
      <c r="P82" s="65">
        <f t="shared" si="23"/>
        <v>-10000</v>
      </c>
      <c r="Q82" s="66">
        <f t="shared" si="23"/>
        <v>-8000</v>
      </c>
    </row>
    <row r="83" spans="1:17" x14ac:dyDescent="0.2">
      <c r="C83" s="35"/>
      <c r="D83" s="35"/>
      <c r="E83" s="35"/>
      <c r="F83" s="35"/>
      <c r="G83" s="35"/>
      <c r="H83" s="64"/>
      <c r="I83" s="59"/>
      <c r="J83" s="59"/>
      <c r="K83" s="59"/>
      <c r="L83" s="59"/>
      <c r="M83" s="59"/>
      <c r="N83" s="59"/>
      <c r="O83" s="59"/>
      <c r="P83" s="59"/>
      <c r="Q83" s="60"/>
    </row>
    <row r="84" spans="1:17" s="48" customFormat="1" x14ac:dyDescent="0.2">
      <c r="A84" s="204"/>
      <c r="C84" s="34" t="s">
        <v>307</v>
      </c>
      <c r="D84" s="34"/>
      <c r="E84" s="34"/>
      <c r="F84" s="34"/>
      <c r="G84" s="34"/>
      <c r="H84" s="58"/>
      <c r="I84" s="65"/>
      <c r="J84" s="65"/>
      <c r="K84" s="65"/>
      <c r="L84" s="65"/>
      <c r="M84" s="65"/>
      <c r="N84" s="65"/>
      <c r="O84" s="65"/>
      <c r="P84" s="65"/>
      <c r="Q84" s="66"/>
    </row>
    <row r="85" spans="1:17" x14ac:dyDescent="0.2">
      <c r="C85" s="35"/>
      <c r="D85" s="35" t="s">
        <v>173</v>
      </c>
      <c r="E85" s="35"/>
      <c r="F85" s="35"/>
      <c r="G85" s="35"/>
      <c r="H85" s="58">
        <f>'12-Month Projection'!T85</f>
        <v>55000.000000000029</v>
      </c>
      <c r="I85" s="59">
        <f>Scenario!H33*Formulas!D$8</f>
        <v>-5000</v>
      </c>
      <c r="J85" s="59">
        <f>Scenario!I33*Formulas!E$8</f>
        <v>-5000</v>
      </c>
      <c r="K85" s="59">
        <f>Scenario!J33*Formulas!F$8</f>
        <v>-5000</v>
      </c>
      <c r="L85" s="59">
        <f>Scenario!K33*Formulas!G$8</f>
        <v>-5000</v>
      </c>
      <c r="M85" s="59">
        <f>Scenario!L33*Formulas!H$8</f>
        <v>-5000</v>
      </c>
      <c r="N85" s="59">
        <f>Scenario!M33*Formulas!I$8</f>
        <v>-5000</v>
      </c>
      <c r="O85" s="59">
        <f>Scenario!N33*Formulas!J$8</f>
        <v>-5000</v>
      </c>
      <c r="P85" s="59">
        <f>Scenario!O33*Formulas!K$8</f>
        <v>-5000</v>
      </c>
      <c r="Q85" s="60">
        <f>Scenario!P33*Formulas!L$8</f>
        <v>-5000</v>
      </c>
    </row>
    <row r="86" spans="1:17" x14ac:dyDescent="0.2">
      <c r="C86" s="35"/>
      <c r="D86" s="35" t="s">
        <v>174</v>
      </c>
      <c r="E86" s="35"/>
      <c r="F86" s="35"/>
      <c r="G86" s="35"/>
      <c r="H86" s="58">
        <f>'12-Month Projection'!T86</f>
        <v>110000</v>
      </c>
      <c r="I86" s="59">
        <f>Scenario!H34*Formulas!D$8</f>
        <v>0</v>
      </c>
      <c r="J86" s="59">
        <f>Scenario!I34*Formulas!E$8</f>
        <v>0</v>
      </c>
      <c r="K86" s="59">
        <f>Scenario!J34*Formulas!F$8</f>
        <v>0</v>
      </c>
      <c r="L86" s="59">
        <f>Scenario!K34*Formulas!G$8</f>
        <v>0</v>
      </c>
      <c r="M86" s="59">
        <f>Scenario!L34*Formulas!H$8</f>
        <v>0</v>
      </c>
      <c r="N86" s="59">
        <f>Scenario!M34*Formulas!I$8</f>
        <v>0</v>
      </c>
      <c r="O86" s="59">
        <f>Scenario!N34*Formulas!J$8</f>
        <v>0</v>
      </c>
      <c r="P86" s="59">
        <f>Scenario!O34*Formulas!K$8</f>
        <v>0</v>
      </c>
      <c r="Q86" s="60">
        <f>Scenario!P34*Formulas!L$8</f>
        <v>0</v>
      </c>
    </row>
    <row r="87" spans="1:17" x14ac:dyDescent="0.2">
      <c r="C87" s="35"/>
      <c r="D87" s="35" t="s">
        <v>235</v>
      </c>
      <c r="E87" s="35"/>
      <c r="F87" s="35"/>
      <c r="G87" s="35"/>
      <c r="H87" s="58">
        <f>'12-Month Projection'!T87</f>
        <v>-10587.47056055889</v>
      </c>
      <c r="I87" s="59">
        <f>-Scenario!H35*'Annual Forecast'!I36*Formulas!D$8</f>
        <v>-7016.4045000000006</v>
      </c>
      <c r="J87" s="59">
        <f>-Scenario!I35*'Annual Forecast'!J36*Formulas!E$8</f>
        <v>-9189.8330062499972</v>
      </c>
      <c r="K87" s="59">
        <f>-Scenario!J35*'Annual Forecast'!K36*Formulas!F$8</f>
        <v>-11091.986477437502</v>
      </c>
      <c r="L87" s="59">
        <f>-Scenario!K35*'Annual Forecast'!L36*Formulas!G$8</f>
        <v>-11906.204563029369</v>
      </c>
      <c r="M87" s="59">
        <f>-Scenario!L35*'Annual Forecast'!M36*Formulas!H$8</f>
        <v>-13623.564655127191</v>
      </c>
      <c r="N87" s="59">
        <f>-Scenario!M35*'Annual Forecast'!N36*Formulas!I$8</f>
        <v>-14433.619533597353</v>
      </c>
      <c r="O87" s="59">
        <f>-Scenario!N35*'Annual Forecast'!O36*Formulas!J$8</f>
        <v>-16354.537369912248</v>
      </c>
      <c r="P87" s="59">
        <f>-Scenario!O35*'Annual Forecast'!P36*Formulas!K$8</f>
        <v>-17078.674050232516</v>
      </c>
      <c r="Q87" s="60">
        <f>-Scenario!P35*'Annual Forecast'!Q36*Formulas!L$8</f>
        <v>-18175.53379627434</v>
      </c>
    </row>
    <row r="88" spans="1:17" s="48" customFormat="1" x14ac:dyDescent="0.2">
      <c r="A88" s="204"/>
      <c r="C88" s="34" t="s">
        <v>175</v>
      </c>
      <c r="D88" s="34"/>
      <c r="E88" s="34"/>
      <c r="F88" s="34"/>
      <c r="G88" s="35"/>
      <c r="H88" s="64">
        <f>SUM(H85:H87)</f>
        <v>154412.52943944113</v>
      </c>
      <c r="I88" s="65">
        <f t="shared" ref="I88:P88" si="24">SUM(I85:I87)</f>
        <v>-12016.404500000001</v>
      </c>
      <c r="J88" s="65">
        <f t="shared" si="24"/>
        <v>-14189.833006249997</v>
      </c>
      <c r="K88" s="65">
        <f t="shared" si="24"/>
        <v>-16091.986477437502</v>
      </c>
      <c r="L88" s="65">
        <f t="shared" si="24"/>
        <v>-16906.204563029369</v>
      </c>
      <c r="M88" s="65">
        <f t="shared" si="24"/>
        <v>-18623.564655127193</v>
      </c>
      <c r="N88" s="65">
        <f t="shared" si="24"/>
        <v>-19433.619533597353</v>
      </c>
      <c r="O88" s="65">
        <f t="shared" si="24"/>
        <v>-21354.53736991225</v>
      </c>
      <c r="P88" s="65">
        <f t="shared" si="24"/>
        <v>-22078.674050232516</v>
      </c>
      <c r="Q88" s="66">
        <f>SUM(Q85:Q87)</f>
        <v>-23175.53379627434</v>
      </c>
    </row>
    <row r="89" spans="1:17" x14ac:dyDescent="0.2">
      <c r="C89" s="35"/>
      <c r="D89" s="35"/>
      <c r="E89" s="35"/>
      <c r="F89" s="35"/>
      <c r="G89" s="35"/>
      <c r="H89" s="64"/>
      <c r="I89" s="59"/>
      <c r="J89" s="59"/>
      <c r="K89" s="59"/>
      <c r="L89" s="59"/>
      <c r="M89" s="59"/>
      <c r="N89" s="59"/>
      <c r="O89" s="59"/>
      <c r="P89" s="59"/>
      <c r="Q89" s="60"/>
    </row>
    <row r="90" spans="1:17" x14ac:dyDescent="0.2">
      <c r="C90" s="35"/>
      <c r="D90" s="35" t="s">
        <v>176</v>
      </c>
      <c r="E90" s="35"/>
      <c r="F90" s="35"/>
      <c r="G90" s="35"/>
      <c r="H90" s="58">
        <f>H78+H82+H88</f>
        <v>172720.59801668304</v>
      </c>
      <c r="I90" s="59">
        <f>I78+I82+I88</f>
        <v>29110.187828767117</v>
      </c>
      <c r="J90" s="59">
        <f t="shared" ref="J90:Q90" si="25">J78+J82+J88</f>
        <v>43019.621224914365</v>
      </c>
      <c r="K90" s="59">
        <f t="shared" si="25"/>
        <v>50938.030224086484</v>
      </c>
      <c r="L90" s="59">
        <f t="shared" si="25"/>
        <v>58189.341281740635</v>
      </c>
      <c r="M90" s="59">
        <f t="shared" si="25"/>
        <v>70778.114769133608</v>
      </c>
      <c r="N90" s="59">
        <f t="shared" si="25"/>
        <v>71068.751799037098</v>
      </c>
      <c r="O90" s="59">
        <f t="shared" si="25"/>
        <v>89125.127330852702</v>
      </c>
      <c r="P90" s="59">
        <f t="shared" si="25"/>
        <v>88831.615835875753</v>
      </c>
      <c r="Q90" s="60">
        <f t="shared" si="25"/>
        <v>99914.671239249205</v>
      </c>
    </row>
    <row r="91" spans="1:17" x14ac:dyDescent="0.2">
      <c r="C91" s="35"/>
      <c r="D91" s="35" t="s">
        <v>177</v>
      </c>
      <c r="E91" s="35"/>
      <c r="F91" s="35"/>
      <c r="G91" s="35"/>
      <c r="H91" s="58">
        <v>0</v>
      </c>
      <c r="I91" s="59">
        <f>H92*Formulas!D$8</f>
        <v>172720.59801668304</v>
      </c>
      <c r="J91" s="59">
        <f>I92*Formulas!E$8</f>
        <v>201830.78584545015</v>
      </c>
      <c r="K91" s="59">
        <f>J92*Formulas!F$8</f>
        <v>244850.40707036451</v>
      </c>
      <c r="L91" s="59">
        <f>K92*Formulas!G$8</f>
        <v>295788.437294451</v>
      </c>
      <c r="M91" s="59">
        <f>L92*Formulas!H$8</f>
        <v>353977.77857619163</v>
      </c>
      <c r="N91" s="59">
        <f>M92*Formulas!I$8</f>
        <v>424755.89334532525</v>
      </c>
      <c r="O91" s="59">
        <f>N92*Formulas!J$8</f>
        <v>495824.64514436235</v>
      </c>
      <c r="P91" s="59">
        <f>O92*Formulas!K$8</f>
        <v>584949.77247521502</v>
      </c>
      <c r="Q91" s="60">
        <f>P92*Formulas!L$8</f>
        <v>673781.38831109076</v>
      </c>
    </row>
    <row r="92" spans="1:17" s="48" customFormat="1" x14ac:dyDescent="0.2">
      <c r="A92" s="204"/>
      <c r="C92" s="34" t="s">
        <v>178</v>
      </c>
      <c r="D92" s="34"/>
      <c r="E92" s="34"/>
      <c r="F92" s="34"/>
      <c r="G92" s="35"/>
      <c r="H92" s="64">
        <f>SUM(H90:H91)</f>
        <v>172720.59801668304</v>
      </c>
      <c r="I92" s="65">
        <f>SUM(I90:I91)</f>
        <v>201830.78584545015</v>
      </c>
      <c r="J92" s="65">
        <f t="shared" ref="J92:Q92" si="26">SUM(J90:J91)</f>
        <v>244850.40707036451</v>
      </c>
      <c r="K92" s="65">
        <f t="shared" si="26"/>
        <v>295788.437294451</v>
      </c>
      <c r="L92" s="65">
        <f t="shared" si="26"/>
        <v>353977.77857619163</v>
      </c>
      <c r="M92" s="65">
        <f t="shared" si="26"/>
        <v>424755.89334532525</v>
      </c>
      <c r="N92" s="65">
        <f t="shared" si="26"/>
        <v>495824.64514436235</v>
      </c>
      <c r="O92" s="65">
        <f t="shared" si="26"/>
        <v>584949.77247521502</v>
      </c>
      <c r="P92" s="65">
        <f t="shared" si="26"/>
        <v>673781.38831109076</v>
      </c>
      <c r="Q92" s="66">
        <f t="shared" si="26"/>
        <v>773696.05955033994</v>
      </c>
    </row>
    <row r="93" spans="1:17" x14ac:dyDescent="0.2">
      <c r="H93" s="48"/>
    </row>
  </sheetData>
  <mergeCells count="2">
    <mergeCell ref="H6:Q6"/>
    <mergeCell ref="B2:Q2"/>
  </mergeCells>
  <conditionalFormatting sqref="H19">
    <cfRule type="expression" dxfId="43" priority="40">
      <formula>$H$19&lt;0</formula>
    </cfRule>
  </conditionalFormatting>
  <conditionalFormatting sqref="H27">
    <cfRule type="expression" dxfId="42" priority="30">
      <formula>$H$27&lt;0</formula>
    </cfRule>
  </conditionalFormatting>
  <conditionalFormatting sqref="H30">
    <cfRule type="expression" dxfId="41" priority="20">
      <formula>$H$30&lt;0</formula>
    </cfRule>
  </conditionalFormatting>
  <conditionalFormatting sqref="H37">
    <cfRule type="expression" dxfId="40" priority="10">
      <formula>$H$37&lt;0</formula>
    </cfRule>
  </conditionalFormatting>
  <conditionalFormatting sqref="I19">
    <cfRule type="expression" dxfId="39" priority="39">
      <formula>$I$19&lt;0</formula>
    </cfRule>
  </conditionalFormatting>
  <conditionalFormatting sqref="I27">
    <cfRule type="expression" dxfId="38" priority="29">
      <formula>$I$27&lt;0</formula>
    </cfRule>
  </conditionalFormatting>
  <conditionalFormatting sqref="I30">
    <cfRule type="expression" dxfId="37" priority="19">
      <formula>$I$30&lt;0</formula>
    </cfRule>
  </conditionalFormatting>
  <conditionalFormatting sqref="I37">
    <cfRule type="expression" dxfId="36" priority="9">
      <formula>$I$37&lt;0</formula>
    </cfRule>
  </conditionalFormatting>
  <conditionalFormatting sqref="J19">
    <cfRule type="expression" dxfId="35" priority="38">
      <formula>$J$19&lt;0</formula>
    </cfRule>
  </conditionalFormatting>
  <conditionalFormatting sqref="J27">
    <cfRule type="expression" dxfId="34" priority="28">
      <formula>$J$27&lt;0</formula>
    </cfRule>
  </conditionalFormatting>
  <conditionalFormatting sqref="J30">
    <cfRule type="expression" dxfId="33" priority="18">
      <formula>$J$30&lt;0</formula>
    </cfRule>
  </conditionalFormatting>
  <conditionalFormatting sqref="J37">
    <cfRule type="expression" dxfId="32" priority="8">
      <formula>$J$37&lt;0</formula>
    </cfRule>
  </conditionalFormatting>
  <conditionalFormatting sqref="K19">
    <cfRule type="expression" dxfId="31" priority="37">
      <formula>$K$19&lt;0</formula>
    </cfRule>
  </conditionalFormatting>
  <conditionalFormatting sqref="K27">
    <cfRule type="expression" dxfId="30" priority="27">
      <formula>$K$27&lt;0</formula>
    </cfRule>
  </conditionalFormatting>
  <conditionalFormatting sqref="K30">
    <cfRule type="expression" dxfId="29" priority="17">
      <formula>$K$30&lt;0</formula>
    </cfRule>
  </conditionalFormatting>
  <conditionalFormatting sqref="K37">
    <cfRule type="expression" dxfId="28" priority="7">
      <formula>$K$37&lt;0</formula>
    </cfRule>
  </conditionalFormatting>
  <conditionalFormatting sqref="L19">
    <cfRule type="expression" dxfId="27" priority="36">
      <formula>$L$19&lt;0</formula>
    </cfRule>
  </conditionalFormatting>
  <conditionalFormatting sqref="L27">
    <cfRule type="expression" dxfId="26" priority="26">
      <formula>$L$27&lt;0</formula>
    </cfRule>
  </conditionalFormatting>
  <conditionalFormatting sqref="L30">
    <cfRule type="expression" dxfId="25" priority="16">
      <formula>$L$30&lt;0</formula>
    </cfRule>
  </conditionalFormatting>
  <conditionalFormatting sqref="L37">
    <cfRule type="expression" dxfId="24" priority="6">
      <formula>$L$37&lt;0</formula>
    </cfRule>
  </conditionalFormatting>
  <conditionalFormatting sqref="M19">
    <cfRule type="expression" dxfId="23" priority="35">
      <formula>$M$19&lt;0</formula>
    </cfRule>
  </conditionalFormatting>
  <conditionalFormatting sqref="M27">
    <cfRule type="expression" dxfId="22" priority="25">
      <formula>$M$27&lt;0</formula>
    </cfRule>
  </conditionalFormatting>
  <conditionalFormatting sqref="M30">
    <cfRule type="expression" dxfId="21" priority="15">
      <formula>$M$30&lt;0</formula>
    </cfRule>
  </conditionalFormatting>
  <conditionalFormatting sqref="M37">
    <cfRule type="expression" dxfId="20" priority="5">
      <formula>$M$37&lt;0</formula>
    </cfRule>
  </conditionalFormatting>
  <conditionalFormatting sqref="N19">
    <cfRule type="expression" dxfId="19" priority="34">
      <formula>$N$19&lt;0</formula>
    </cfRule>
  </conditionalFormatting>
  <conditionalFormatting sqref="N27">
    <cfRule type="expression" dxfId="18" priority="24">
      <formula>$N$27&lt;0</formula>
    </cfRule>
  </conditionalFormatting>
  <conditionalFormatting sqref="N30">
    <cfRule type="expression" dxfId="17" priority="14">
      <formula>$N$30&lt;0</formula>
    </cfRule>
  </conditionalFormatting>
  <conditionalFormatting sqref="N37">
    <cfRule type="expression" dxfId="16" priority="4">
      <formula>$N$37&lt;0</formula>
    </cfRule>
  </conditionalFormatting>
  <conditionalFormatting sqref="O19">
    <cfRule type="expression" dxfId="15" priority="33">
      <formula>$O$19&lt;0</formula>
    </cfRule>
  </conditionalFormatting>
  <conditionalFormatting sqref="O27">
    <cfRule type="expression" dxfId="14" priority="23">
      <formula>$O$27&lt;0</formula>
    </cfRule>
  </conditionalFormatting>
  <conditionalFormatting sqref="O30">
    <cfRule type="expression" dxfId="13" priority="13">
      <formula>$O$30&lt;0</formula>
    </cfRule>
  </conditionalFormatting>
  <conditionalFormatting sqref="O37">
    <cfRule type="expression" dxfId="12" priority="3">
      <formula>$O$37&lt;0</formula>
    </cfRule>
  </conditionalFormatting>
  <conditionalFormatting sqref="P19">
    <cfRule type="expression" dxfId="11" priority="32">
      <formula>$P$19&lt;0</formula>
    </cfRule>
  </conditionalFormatting>
  <conditionalFormatting sqref="P27">
    <cfRule type="expression" dxfId="10" priority="22">
      <formula>$P$27&lt;0</formula>
    </cfRule>
  </conditionalFormatting>
  <conditionalFormatting sqref="P30">
    <cfRule type="expression" dxfId="9" priority="12">
      <formula>$P$30&lt;0</formula>
    </cfRule>
  </conditionalFormatting>
  <conditionalFormatting sqref="P37">
    <cfRule type="expression" dxfId="8" priority="2">
      <formula>$P$37&lt;0</formula>
    </cfRule>
  </conditionalFormatting>
  <conditionalFormatting sqref="Q19">
    <cfRule type="expression" dxfId="7" priority="31">
      <formula>$Q$19&lt;0</formula>
    </cfRule>
  </conditionalFormatting>
  <conditionalFormatting sqref="Q27">
    <cfRule type="expression" dxfId="6" priority="21">
      <formula>$Q$27&lt;0</formula>
    </cfRule>
  </conditionalFormatting>
  <conditionalFormatting sqref="Q30">
    <cfRule type="expression" dxfId="5" priority="11">
      <formula>$Q$30&lt;0</formula>
    </cfRule>
  </conditionalFormatting>
  <conditionalFormatting sqref="Q37">
    <cfRule type="expression" dxfId="4" priority="1">
      <formula>$Q$37&lt;0</formula>
    </cfRule>
  </conditionalFormatting>
  <pageMargins left="0.25" right="0.25" top="0.75" bottom="0.75" header="0.3" footer="0.3"/>
  <pageSetup paperSize="9" scale="52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DFCA7B4F-694C-4CC3-A37D-5CF1532D951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Forecast'!H8:Q8</xm:f>
              <xm:sqref>G8</xm:sqref>
            </x14:sparkline>
            <x14:sparkline>
              <xm:f>'Annual Forecast'!H9:Q9</xm:f>
              <xm:sqref>G9</xm:sqref>
            </x14:sparkline>
            <x14:sparkline>
              <xm:f>'Annual Forecast'!H10:Q10</xm:f>
              <xm:sqref>G10</xm:sqref>
            </x14:sparkline>
          </x14:sparklines>
        </x14:sparklineGroup>
        <x14:sparklineGroup type="column" displayEmptyCellsAs="gap" negative="1" xr2:uid="{4CB6BC20-F22E-4437-B1E6-F0821E73CB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Forecast'!H12:Q12</xm:f>
              <xm:sqref>G12</xm:sqref>
            </x14:sparkline>
            <x14:sparkline>
              <xm:f>'Annual Forecast'!H13:Q13</xm:f>
              <xm:sqref>G13</xm:sqref>
            </x14:sparkline>
            <x14:sparkline>
              <xm:f>'Annual Forecast'!H14:Q14</xm:f>
              <xm:sqref>G14</xm:sqref>
            </x14:sparkline>
            <x14:sparkline>
              <xm:f>'Annual Forecast'!H15:Q15</xm:f>
              <xm:sqref>G15</xm:sqref>
            </x14:sparkline>
            <x14:sparkline>
              <xm:f>'Annual Forecast'!H16:Q16</xm:f>
              <xm:sqref>G16</xm:sqref>
            </x14:sparkline>
          </x14:sparklines>
        </x14:sparklineGroup>
        <x14:sparklineGroup type="column" displayEmptyCellsAs="gap" negative="1" xr2:uid="{34D1B4E8-D80E-473A-937D-2F321B2A44B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Forecast'!H18:Q18</xm:f>
              <xm:sqref>G18</xm:sqref>
            </x14:sparkline>
          </x14:sparklines>
        </x14:sparklineGroup>
        <x14:sparklineGroup type="column" displayEmptyCellsAs="gap" negative="1" xr2:uid="{3B13BCAC-460F-4094-BC80-9E43705D52D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Forecast'!H21:Q21</xm:f>
              <xm:sqref>G21</xm:sqref>
            </x14:sparkline>
          </x14:sparklines>
        </x14:sparklineGroup>
        <x14:sparklineGroup type="column" displayEmptyCellsAs="gap" negative="1" xr2:uid="{EBD11B18-BD56-4BF8-AC8A-15728FA99F6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Forecast'!H22:Q22</xm:f>
              <xm:sqref>G22</xm:sqref>
            </x14:sparkline>
          </x14:sparklines>
        </x14:sparklineGroup>
        <x14:sparklineGroup type="column" displayEmptyCellsAs="gap" negative="1" xr2:uid="{02ECF40C-55D7-43BE-80A2-236FC877AB5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Forecast'!H23:Q23</xm:f>
              <xm:sqref>G23</xm:sqref>
            </x14:sparkline>
          </x14:sparklines>
        </x14:sparklineGroup>
        <x14:sparklineGroup type="column" displayEmptyCellsAs="gap" negative="1" xr2:uid="{68F1F9B7-AFFF-4C83-BCAA-3D0473E7EC3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Forecast'!H24:Q24</xm:f>
              <xm:sqref>G24</xm:sqref>
            </x14:sparkline>
          </x14:sparklines>
        </x14:sparklineGroup>
        <x14:sparklineGroup type="column" displayEmptyCellsAs="gap" negative="1" xr2:uid="{4E7E2441-E364-4CF4-8B2A-9A998988397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Forecast'!H25:Q25</xm:f>
              <xm:sqref>G25</xm:sqref>
            </x14:sparkline>
          </x14:sparklines>
        </x14:sparklineGroup>
        <x14:sparklineGroup type="column" displayEmptyCellsAs="gap" negative="1" xr2:uid="{7D41C6C5-52A5-4E27-826F-344FFAAB75E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Forecast'!H26:Q26</xm:f>
              <xm:sqref>G26</xm:sqref>
            </x14:sparkline>
          </x14:sparklines>
        </x14:sparklineGroup>
        <x14:sparklineGroup type="column" displayEmptyCellsAs="gap" negative="1" xr2:uid="{7DFD9DA9-CD7D-4C2B-B101-0E66CE40F49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Forecast'!H29:Q29</xm:f>
              <xm:sqref>G29</xm:sqref>
            </x14:sparkline>
          </x14:sparklines>
        </x14:sparklineGroup>
        <x14:sparklineGroup type="column" displayEmptyCellsAs="gap" negative="1" xr2:uid="{DADFC522-E679-435B-80F1-627ED492DD7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Forecast'!H33:Q33</xm:f>
              <xm:sqref>G33</xm:sqref>
            </x14:sparkline>
          </x14:sparklines>
        </x14:sparklineGroup>
        <x14:sparklineGroup type="column" displayEmptyCellsAs="gap" negative="1" xr2:uid="{C8FF19F0-E134-4BA5-9BDD-A1C1CB16BC9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Forecast'!H35:Q35</xm:f>
              <xm:sqref>G35</xm:sqref>
            </x14:sparkline>
          </x14:sparklines>
        </x14:sparklineGroup>
        <x14:sparklineGroup type="column" displayEmptyCellsAs="gap" negative="1" xr2:uid="{3AB25938-EA30-45D6-8284-ECA81B046DE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Forecast'!H36:Q36</xm:f>
              <xm:sqref>G36</xm:sqref>
            </x14:sparkline>
          </x14:sparklines>
        </x14:sparklineGroup>
        <x14:sparklineGroup type="column" displayEmptyCellsAs="gap" negative="1" xr2:uid="{3F0219E6-C4A2-4150-8973-DC078A09A8B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Forecast'!H41:Q41</xm:f>
              <xm:sqref>G41</xm:sqref>
            </x14:sparkline>
          </x14:sparklines>
        </x14:sparklineGroup>
        <x14:sparklineGroup type="column" displayEmptyCellsAs="gap" negative="1" xr2:uid="{E0DACA8D-2401-4BC7-A749-97E2C5CFA32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Forecast'!H42:Q42</xm:f>
              <xm:sqref>G42</xm:sqref>
            </x14:sparkline>
          </x14:sparklines>
        </x14:sparklineGroup>
        <x14:sparklineGroup type="column" displayEmptyCellsAs="gap" negative="1" xr2:uid="{0C4767EE-282E-4BF3-B398-71A6536088D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Forecast'!H43:Q43</xm:f>
              <xm:sqref>G43</xm:sqref>
            </x14:sparkline>
          </x14:sparklines>
        </x14:sparklineGroup>
        <x14:sparklineGroup type="column" displayEmptyCellsAs="gap" negative="1" xr2:uid="{46372DC9-338C-4EC6-BA9D-A32C2E09292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Forecast'!H44:Q44</xm:f>
              <xm:sqref>G44</xm:sqref>
            </x14:sparkline>
          </x14:sparklines>
        </x14:sparklineGroup>
        <x14:sparklineGroup type="column" displayEmptyCellsAs="gap" negative="1" xr2:uid="{45311185-0F3E-4D94-BB4C-C1150A2A17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Forecast'!H47:Q47</xm:f>
              <xm:sqref>G47</xm:sqref>
            </x14:sparkline>
          </x14:sparklines>
        </x14:sparklineGroup>
        <x14:sparklineGroup type="column" displayEmptyCellsAs="gap" negative="1" xr2:uid="{26336FD5-38AD-4CCB-81C5-6D286125CC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Forecast'!H48:Q48</xm:f>
              <xm:sqref>G48</xm:sqref>
            </x14:sparkline>
          </x14:sparklines>
        </x14:sparklineGroup>
        <x14:sparklineGroup type="column" displayEmptyCellsAs="gap" negative="1" xr2:uid="{CEEF4299-F229-4BB6-9100-E53ACF2B091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Forecast'!H49:Q49</xm:f>
              <xm:sqref>G49</xm:sqref>
            </x14:sparkline>
          </x14:sparklines>
        </x14:sparklineGroup>
        <x14:sparklineGroup type="column" displayEmptyCellsAs="gap" negative="1" xr2:uid="{2A5FB5E2-EA47-48DE-A8CA-4663F9C3F91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Forecast'!H52:Q52</xm:f>
              <xm:sqref>G52</xm:sqref>
            </x14:sparkline>
          </x14:sparklines>
        </x14:sparklineGroup>
        <x14:sparklineGroup type="column" displayEmptyCellsAs="gap" negative="1" xr2:uid="{9C8B0DF6-1825-41A0-B64E-C5C96E36F51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Forecast'!H53:Q53</xm:f>
              <xm:sqref>G53</xm:sqref>
            </x14:sparkline>
          </x14:sparklines>
        </x14:sparklineGroup>
        <x14:sparklineGroup type="column" displayEmptyCellsAs="gap" negative="1" xr2:uid="{DE89184F-C092-4CE9-BB8F-B31D60EA3C2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Forecast'!H54:Q54</xm:f>
              <xm:sqref>G54</xm:sqref>
            </x14:sparkline>
          </x14:sparklines>
        </x14:sparklineGroup>
        <x14:sparklineGroup type="column" displayEmptyCellsAs="gap" negative="1" xr2:uid="{32AEBF0A-C2D1-4167-873E-A0AB9DB60AE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Forecast'!H57:Q57</xm:f>
              <xm:sqref>G57</xm:sqref>
            </x14:sparkline>
          </x14:sparklines>
        </x14:sparklineGroup>
        <x14:sparklineGroup type="column" displayEmptyCellsAs="gap" negative="1" xr2:uid="{BC58A6B3-0D6B-439A-AA90-32E4FF62742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Forecast'!H58:Q58</xm:f>
              <xm:sqref>G58</xm:sqref>
            </x14:sparkline>
          </x14:sparklines>
        </x14:sparklineGroup>
        <x14:sparklineGroup type="column" displayEmptyCellsAs="gap" negative="1" xr2:uid="{91A7D0E5-036A-4666-B0C8-F53C137DABF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Forecast'!H59:Q59</xm:f>
              <xm:sqref>G59</xm:sqref>
            </x14:sparkline>
          </x14:sparklines>
        </x14:sparklineGroup>
        <x14:sparklineGroup type="column" displayEmptyCellsAs="gap" negative="1" xr2:uid="{7FAACEAE-BE31-4C49-9027-367FB65A19A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Forecast'!H62:Q62</xm:f>
              <xm:sqref>G62</xm:sqref>
            </x14:sparkline>
          </x14:sparklines>
        </x14:sparklineGroup>
        <x14:sparklineGroup type="column" displayEmptyCellsAs="gap" negative="1" xr2:uid="{9397B8A2-2AF6-440D-A691-CDC2377DEAC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Forecast'!H63:Q63</xm:f>
              <xm:sqref>G63</xm:sqref>
            </x14:sparkline>
          </x14:sparklines>
        </x14:sparklineGroup>
        <x14:sparklineGroup type="column" displayEmptyCellsAs="gap" negative="1" xr2:uid="{907584F1-2D2E-4BA9-BC24-ACA2D2F2365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Forecast'!H64:Q64</xm:f>
              <xm:sqref>G64</xm:sqref>
            </x14:sparkline>
          </x14:sparklines>
        </x14:sparklineGroup>
        <x14:sparklineGroup type="column" displayEmptyCellsAs="gap" negative="1" xr2:uid="{B6EC3BE2-E588-475C-AC74-C2C130DEE1B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Forecast'!H65:Q65</xm:f>
              <xm:sqref>G65</xm:sqref>
            </x14:sparkline>
          </x14:sparklines>
        </x14:sparklineGroup>
        <x14:sparklineGroup type="column" displayEmptyCellsAs="gap" negative="1" xr2:uid="{8D524037-F37C-4780-9858-DA6CBF1C601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Forecast'!H71:Q71</xm:f>
              <xm:sqref>G71</xm:sqref>
            </x14:sparkline>
          </x14:sparklines>
        </x14:sparklineGroup>
        <x14:sparklineGroup type="column" displayEmptyCellsAs="gap" negative="1" xr2:uid="{DFEC53A4-C45D-48FB-AC14-3B2BAD78F22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Forecast'!H72:Q72</xm:f>
              <xm:sqref>G72</xm:sqref>
            </x14:sparkline>
          </x14:sparklines>
        </x14:sparklineGroup>
        <x14:sparklineGroup type="column" displayEmptyCellsAs="gap" negative="1" xr2:uid="{9ABA9A4E-9402-46C3-AD65-CCA0A2709F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Forecast'!H74:Q74</xm:f>
              <xm:sqref>G74</xm:sqref>
            </x14:sparkline>
          </x14:sparklines>
        </x14:sparklineGroup>
        <x14:sparklineGroup type="column" displayEmptyCellsAs="gap" negative="1" xr2:uid="{26FA8D9F-F5F9-4F83-A826-ED9709E625D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Forecast'!H75:Q75</xm:f>
              <xm:sqref>G75</xm:sqref>
            </x14:sparkline>
          </x14:sparklines>
        </x14:sparklineGroup>
        <x14:sparklineGroup type="column" displayEmptyCellsAs="gap" negative="1" xr2:uid="{22A500D0-69CF-4511-977B-E3C4F892AA3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Forecast'!H76:Q76</xm:f>
              <xm:sqref>G76</xm:sqref>
            </x14:sparkline>
          </x14:sparklines>
        </x14:sparklineGroup>
        <x14:sparklineGroup type="column" displayEmptyCellsAs="gap" negative="1" xr2:uid="{8A417874-DBDF-452F-B5B1-3358AC03401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Forecast'!H77:Q77</xm:f>
              <xm:sqref>G77</xm:sqref>
            </x14:sparkline>
          </x14:sparklines>
        </x14:sparklineGroup>
        <x14:sparklineGroup type="column" displayEmptyCellsAs="gap" negative="1" xr2:uid="{5ED49F30-5899-4A7F-8021-CB0EE4DB096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Forecast'!H78:Q78</xm:f>
              <xm:sqref>G78</xm:sqref>
            </x14:sparkline>
          </x14:sparklines>
        </x14:sparklineGroup>
        <x14:sparklineGroup type="column" displayEmptyCellsAs="gap" negative="1" xr2:uid="{A27E9BCE-0F0F-412F-A1A3-7594ACC6A0A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Forecast'!H81:Q81</xm:f>
              <xm:sqref>G81</xm:sqref>
            </x14:sparkline>
          </x14:sparklines>
        </x14:sparklineGroup>
        <x14:sparklineGroup type="column" displayEmptyCellsAs="gap" negative="1" xr2:uid="{64E0BD48-10E7-4268-9E93-D26D0235DE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Forecast'!H82:Q82</xm:f>
              <xm:sqref>G82</xm:sqref>
            </x14:sparkline>
          </x14:sparklines>
        </x14:sparklineGroup>
        <x14:sparklineGroup type="column" displayEmptyCellsAs="gap" negative="1" xr2:uid="{01DC991D-71C7-433F-8CF3-86ACCA66F65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Forecast'!H85:Q85</xm:f>
              <xm:sqref>G85</xm:sqref>
            </x14:sparkline>
          </x14:sparklines>
        </x14:sparklineGroup>
        <x14:sparklineGroup type="column" displayEmptyCellsAs="gap" negative="1" xr2:uid="{A66ADA22-8DA8-44CA-8E21-FAC35470F61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Forecast'!H86:Q86</xm:f>
              <xm:sqref>G86</xm:sqref>
            </x14:sparkline>
          </x14:sparklines>
        </x14:sparklineGroup>
        <x14:sparklineGroup type="column" displayEmptyCellsAs="gap" negative="1" xr2:uid="{AF89228E-BD2F-4CB5-93C5-7541B1D40D9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Forecast'!H87:Q87</xm:f>
              <xm:sqref>G87</xm:sqref>
            </x14:sparkline>
          </x14:sparklines>
        </x14:sparklineGroup>
        <x14:sparklineGroup type="column" displayEmptyCellsAs="gap" negative="1" xr2:uid="{14C2F939-C8A2-4136-900E-E28232B669C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Forecast'!H88:Q88</xm:f>
              <xm:sqref>G88</xm:sqref>
            </x14:sparkline>
          </x14:sparklines>
        </x14:sparklineGroup>
        <x14:sparklineGroup type="column" displayEmptyCellsAs="gap" negative="1" xr2:uid="{3B60E5E4-BB9B-4054-A289-8DE7E0AF04C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Forecast'!H90:Q90</xm:f>
              <xm:sqref>G90</xm:sqref>
            </x14:sparkline>
          </x14:sparklines>
        </x14:sparklineGroup>
        <x14:sparklineGroup type="column" displayEmptyCellsAs="gap" negative="1" xr2:uid="{B6FFA72F-7175-4D02-9FD8-53D0C1CB8CD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Forecast'!H91:Q91</xm:f>
              <xm:sqref>G91</xm:sqref>
            </x14:sparkline>
          </x14:sparklines>
        </x14:sparklineGroup>
        <x14:sparklineGroup type="column" displayEmptyCellsAs="gap" negative="1" xr2:uid="{CD4C7798-10E7-49FC-8334-6D576697397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Forecast'!H92:Q92</xm:f>
              <xm:sqref>G92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9F13-A371-45EC-B55C-8D67B4CAB71E}">
  <dimension ref="A1:Q3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02" customWidth="1"/>
    <col min="2" max="3" width="1.6640625" style="44" customWidth="1"/>
    <col min="4" max="4" width="3.33203125" style="44" customWidth="1"/>
    <col min="5" max="5" width="22.5" style="44" customWidth="1"/>
    <col min="6" max="6" width="9.83203125" style="44" customWidth="1"/>
    <col min="7" max="17" width="12.6640625" style="44" customWidth="1"/>
    <col min="18" max="16384" width="9.1640625" style="44"/>
  </cols>
  <sheetData>
    <row r="1" spans="1:17" s="62" customFormat="1" x14ac:dyDescent="0.2">
      <c r="A1" s="116" t="s">
        <v>5</v>
      </c>
      <c r="C1" s="116"/>
    </row>
    <row r="2" spans="1:17" s="23" customFormat="1" ht="22" x14ac:dyDescent="0.3">
      <c r="A2" s="196" t="s">
        <v>308</v>
      </c>
      <c r="B2" s="309" t="str">
        <f>Profile!F6</f>
        <v>Person0811</v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</row>
    <row r="4" spans="1:17" ht="19" x14ac:dyDescent="0.25">
      <c r="C4" s="174" t="s">
        <v>203</v>
      </c>
      <c r="D4" s="35"/>
      <c r="E4" s="35"/>
      <c r="F4" s="35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x14ac:dyDescent="0.2">
      <c r="C5" s="176" t="str">
        <f>Formulas!A3</f>
        <v>Amounts in USD</v>
      </c>
      <c r="D5" s="180"/>
      <c r="E5" s="180"/>
      <c r="F5" s="35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s="46" customFormat="1" x14ac:dyDescent="0.2">
      <c r="A6" s="203"/>
      <c r="C6" s="29"/>
      <c r="D6" s="29"/>
      <c r="E6" s="10" t="s">
        <v>7</v>
      </c>
      <c r="F6" s="119" t="str">
        <f>Scenario!E6</f>
        <v>Base Case</v>
      </c>
      <c r="G6" s="9"/>
    </row>
    <row r="7" spans="1:17" x14ac:dyDescent="0.2">
      <c r="C7" s="42" t="s">
        <v>203</v>
      </c>
      <c r="D7" s="5"/>
      <c r="E7" s="5"/>
      <c r="F7" s="5"/>
      <c r="G7" s="9"/>
      <c r="H7" s="32">
        <f>Formulas!C9</f>
        <v>2025</v>
      </c>
      <c r="I7" s="32">
        <f>Formulas!D9</f>
        <v>2026</v>
      </c>
      <c r="J7" s="32">
        <f>Formulas!E9</f>
        <v>2027</v>
      </c>
      <c r="K7" s="32">
        <f>Formulas!F9</f>
        <v>2028</v>
      </c>
      <c r="L7" s="32">
        <f>Formulas!G9</f>
        <v>2029</v>
      </c>
      <c r="M7" s="32">
        <f>Formulas!H9</f>
        <v>2030</v>
      </c>
      <c r="N7" s="32">
        <f>Formulas!I9</f>
        <v>2031</v>
      </c>
      <c r="O7" s="32">
        <f>Formulas!J9</f>
        <v>2032</v>
      </c>
      <c r="P7" s="32">
        <f>Formulas!K9</f>
        <v>2033</v>
      </c>
      <c r="Q7" s="32">
        <f>Formulas!L9</f>
        <v>2034</v>
      </c>
    </row>
    <row r="8" spans="1:17" x14ac:dyDescent="0.2">
      <c r="C8" s="35"/>
      <c r="D8" s="35" t="s">
        <v>74</v>
      </c>
      <c r="E8" s="35"/>
      <c r="F8" s="35"/>
      <c r="G8" s="35"/>
      <c r="H8" s="58">
        <f>'Annual Forecast'!H10</f>
        <v>444500</v>
      </c>
      <c r="I8" s="59">
        <f>'Annual Forecast'!I10</f>
        <v>471170</v>
      </c>
      <c r="J8" s="59">
        <f>'Annual Forecast'!J10</f>
        <v>494728.5</v>
      </c>
      <c r="K8" s="59">
        <f>'Annual Forecast'!K10</f>
        <v>514517.64</v>
      </c>
      <c r="L8" s="59">
        <f>'Annual Forecast'!L10</f>
        <v>529953.1692</v>
      </c>
      <c r="M8" s="59">
        <f>'Annual Forecast'!M10</f>
        <v>545851.76427599997</v>
      </c>
      <c r="N8" s="59">
        <f>'Annual Forecast'!N10</f>
        <v>556768.79956151999</v>
      </c>
      <c r="O8" s="59">
        <f>'Annual Forecast'!O10</f>
        <v>567904.17555275036</v>
      </c>
      <c r="P8" s="59">
        <f>'Annual Forecast'!P10</f>
        <v>579262.25906380534</v>
      </c>
      <c r="Q8" s="60">
        <f>'Annual Forecast'!Q10</f>
        <v>590847.50424508145</v>
      </c>
    </row>
    <row r="9" spans="1:17" x14ac:dyDescent="0.2">
      <c r="C9" s="35"/>
      <c r="D9" s="35" t="s">
        <v>274</v>
      </c>
      <c r="E9" s="35"/>
      <c r="F9" s="35"/>
      <c r="G9" s="35"/>
      <c r="H9" s="58">
        <f>H8-H16</f>
        <v>182276.5</v>
      </c>
      <c r="I9" s="58">
        <f t="shared" ref="I9:Q9" si="0">I8-I16</f>
        <v>150393.04000000004</v>
      </c>
      <c r="J9" s="58">
        <f t="shared" si="0"/>
        <v>169437.4045</v>
      </c>
      <c r="K9" s="58">
        <f t="shared" si="0"/>
        <v>186070.43535500008</v>
      </c>
      <c r="L9" s="58">
        <f t="shared" si="0"/>
        <v>193032.92944914993</v>
      </c>
      <c r="M9" s="58">
        <f t="shared" si="0"/>
        <v>208023.35249001952</v>
      </c>
      <c r="N9" s="58">
        <f t="shared" si="0"/>
        <v>214948.84029864316</v>
      </c>
      <c r="O9" s="58">
        <f t="shared" si="0"/>
        <v>231748.66551033111</v>
      </c>
      <c r="P9" s="58">
        <f t="shared" si="0"/>
        <v>237910.43600206682</v>
      </c>
      <c r="Q9" s="60">
        <f t="shared" si="0"/>
        <v>247385.30041132751</v>
      </c>
    </row>
    <row r="10" spans="1:17" s="48" customFormat="1" x14ac:dyDescent="0.2">
      <c r="A10" s="204"/>
      <c r="C10" s="34" t="s">
        <v>210</v>
      </c>
      <c r="D10" s="34"/>
      <c r="E10" s="34"/>
      <c r="F10" s="34"/>
      <c r="G10" s="35"/>
      <c r="H10" s="120">
        <f>IFERROR(H9/H8,"")</f>
        <v>0.41007086614173227</v>
      </c>
      <c r="I10" s="120">
        <f t="shared" ref="I10:Q10" si="1">IFERROR(I9/I8,"")</f>
        <v>0.31919061060763637</v>
      </c>
      <c r="J10" s="120">
        <f t="shared" si="1"/>
        <v>0.34248563505033569</v>
      </c>
      <c r="K10" s="120">
        <f t="shared" si="1"/>
        <v>0.36164053647412375</v>
      </c>
      <c r="L10" s="120">
        <f t="shared" si="1"/>
        <v>0.36424525914345629</v>
      </c>
      <c r="M10" s="120">
        <f t="shared" si="1"/>
        <v>0.38109861706856424</v>
      </c>
      <c r="N10" s="120">
        <f t="shared" si="1"/>
        <v>0.38606480906962615</v>
      </c>
      <c r="O10" s="120">
        <f t="shared" si="1"/>
        <v>0.40807705857201415</v>
      </c>
      <c r="P10" s="120">
        <f t="shared" si="1"/>
        <v>0.41071282010772459</v>
      </c>
      <c r="Q10" s="121">
        <f t="shared" si="1"/>
        <v>0.41869568481533764</v>
      </c>
    </row>
    <row r="11" spans="1:17" x14ac:dyDescent="0.2">
      <c r="C11" s="35"/>
      <c r="D11" s="35"/>
      <c r="E11" s="35"/>
      <c r="F11" s="35"/>
      <c r="G11" s="35"/>
      <c r="H11" s="64"/>
      <c r="I11" s="59"/>
      <c r="J11" s="59"/>
      <c r="K11" s="59"/>
      <c r="L11" s="59"/>
      <c r="M11" s="59"/>
      <c r="N11" s="59"/>
      <c r="O11" s="59"/>
      <c r="P11" s="59"/>
      <c r="Q11" s="60"/>
    </row>
    <row r="12" spans="1:17" x14ac:dyDescent="0.2">
      <c r="C12" s="35"/>
      <c r="D12" s="35" t="s">
        <v>197</v>
      </c>
      <c r="E12" s="35"/>
      <c r="F12" s="35"/>
      <c r="G12" s="35"/>
      <c r="H12" s="58">
        <f>'Annual Forecast'!H16</f>
        <v>233362.5</v>
      </c>
      <c r="I12" s="59">
        <f>'Annual Forecast'!I16</f>
        <v>289769.55</v>
      </c>
      <c r="J12" s="59">
        <f>'Annual Forecast'!J16</f>
        <v>294363.45750000002</v>
      </c>
      <c r="K12" s="59">
        <f>'Annual Forecast'!K16</f>
        <v>295847.64299999998</v>
      </c>
      <c r="L12" s="59">
        <f>'Annual Forecast'!L16</f>
        <v>302073.30644400005</v>
      </c>
      <c r="M12" s="59">
        <f>'Annual Forecast'!M16</f>
        <v>300218.47035179997</v>
      </c>
      <c r="N12" s="59">
        <f>'Annual Forecast'!N16</f>
        <v>306222.83975883597</v>
      </c>
      <c r="O12" s="59">
        <f>'Annual Forecast'!O16</f>
        <v>300989.21304295771</v>
      </c>
      <c r="P12" s="59">
        <f>'Annual Forecast'!P16</f>
        <v>307008.99730381684</v>
      </c>
      <c r="Q12" s="60">
        <f>'Annual Forecast'!Q16</f>
        <v>310194.93972866778</v>
      </c>
    </row>
    <row r="13" spans="1:17" x14ac:dyDescent="0.2">
      <c r="C13" s="35"/>
      <c r="D13" s="35" t="s">
        <v>119</v>
      </c>
      <c r="E13" s="35"/>
      <c r="F13" s="35"/>
      <c r="G13" s="35"/>
      <c r="H13" s="58">
        <f>'Annual Forecast'!H22</f>
        <v>17780</v>
      </c>
      <c r="I13" s="59">
        <f>'Annual Forecast'!I22</f>
        <v>18846.8</v>
      </c>
      <c r="J13" s="59">
        <f>'Annual Forecast'!J22</f>
        <v>17315.497500000001</v>
      </c>
      <c r="K13" s="59">
        <f>'Annual Forecast'!K22</f>
        <v>18008.117400000003</v>
      </c>
      <c r="L13" s="59">
        <f>'Annual Forecast'!L22</f>
        <v>18548.360922000003</v>
      </c>
      <c r="M13" s="59">
        <f>'Annual Forecast'!M22</f>
        <v>19104.811749660003</v>
      </c>
      <c r="N13" s="59">
        <f>'Annual Forecast'!N22</f>
        <v>16703.063986845598</v>
      </c>
      <c r="O13" s="59">
        <f>'Annual Forecast'!O22</f>
        <v>17037.125266582509</v>
      </c>
      <c r="P13" s="59">
        <f>'Annual Forecast'!P22</f>
        <v>17377.86777191416</v>
      </c>
      <c r="Q13" s="60">
        <f>'Annual Forecast'!Q22</f>
        <v>17725.425127352442</v>
      </c>
    </row>
    <row r="14" spans="1:17" x14ac:dyDescent="0.2">
      <c r="C14" s="35"/>
      <c r="D14" s="35" t="s">
        <v>140</v>
      </c>
      <c r="E14" s="35"/>
      <c r="F14" s="35"/>
      <c r="G14" s="35"/>
      <c r="H14" s="58">
        <f>'Annual Forecast'!H24</f>
        <v>3556.0000000000005</v>
      </c>
      <c r="I14" s="59">
        <f>'Annual Forecast'!I24</f>
        <v>3769.36</v>
      </c>
      <c r="J14" s="59">
        <f>'Annual Forecast'!J24</f>
        <v>3957.828</v>
      </c>
      <c r="K14" s="59">
        <f>'Annual Forecast'!K24</f>
        <v>4116.1411200000002</v>
      </c>
      <c r="L14" s="59">
        <f>'Annual Forecast'!L24</f>
        <v>4239.6253536000004</v>
      </c>
      <c r="M14" s="59">
        <f>'Annual Forecast'!M24</f>
        <v>4366.8141142080003</v>
      </c>
      <c r="N14" s="59">
        <f>'Annual Forecast'!N24</f>
        <v>4454.1503964921603</v>
      </c>
      <c r="O14" s="59">
        <f>'Annual Forecast'!O24</f>
        <v>4543.2334044220033</v>
      </c>
      <c r="P14" s="59">
        <f>'Annual Forecast'!P24</f>
        <v>4634.0980725104428</v>
      </c>
      <c r="Q14" s="60">
        <f>'Annual Forecast'!Q24</f>
        <v>4726.780033960652</v>
      </c>
    </row>
    <row r="15" spans="1:17" x14ac:dyDescent="0.2">
      <c r="C15" s="35"/>
      <c r="D15" s="35" t="s">
        <v>141</v>
      </c>
      <c r="E15" s="35"/>
      <c r="F15" s="35"/>
      <c r="G15" s="35"/>
      <c r="H15" s="58">
        <f>'Annual Forecast'!H25</f>
        <v>7524.9999999999991</v>
      </c>
      <c r="I15" s="59">
        <f>'Annual Forecast'!I25</f>
        <v>8391.2500000000018</v>
      </c>
      <c r="J15" s="59">
        <f>'Annual Forecast'!J25</f>
        <v>9654.3125000000018</v>
      </c>
      <c r="K15" s="59">
        <f>'Annual Forecast'!K25</f>
        <v>10475.303125000002</v>
      </c>
      <c r="L15" s="59">
        <f>'Annual Forecast'!L25</f>
        <v>12058.947031250002</v>
      </c>
      <c r="M15" s="59">
        <f>'Annual Forecast'!M25</f>
        <v>14138.315570312501</v>
      </c>
      <c r="N15" s="59">
        <f>'Annual Forecast'!N25</f>
        <v>14439.905120703124</v>
      </c>
      <c r="O15" s="59">
        <f>'Annual Forecast'!O25</f>
        <v>13585.938328457032</v>
      </c>
      <c r="P15" s="59">
        <f>'Annual Forecast'!P25</f>
        <v>12330.85991349707</v>
      </c>
      <c r="Q15" s="60">
        <f>'Annual Forecast'!Q25</f>
        <v>10815.058943773094</v>
      </c>
    </row>
    <row r="16" spans="1:17" s="48" customFormat="1" x14ac:dyDescent="0.2">
      <c r="A16" s="204"/>
      <c r="C16" s="34" t="s">
        <v>204</v>
      </c>
      <c r="D16" s="34"/>
      <c r="E16" s="34"/>
      <c r="F16" s="34"/>
      <c r="G16" s="35"/>
      <c r="H16" s="64">
        <f>SUM(H12:H15)</f>
        <v>262223.5</v>
      </c>
      <c r="I16" s="65">
        <f t="shared" ref="I16:Q16" si="2">SUM(I12:I15)</f>
        <v>320776.95999999996</v>
      </c>
      <c r="J16" s="65">
        <f t="shared" si="2"/>
        <v>325291.0955</v>
      </c>
      <c r="K16" s="65">
        <f t="shared" si="2"/>
        <v>328447.20464499993</v>
      </c>
      <c r="L16" s="65">
        <f t="shared" si="2"/>
        <v>336920.23975085007</v>
      </c>
      <c r="M16" s="65">
        <f t="shared" si="2"/>
        <v>337828.41178598045</v>
      </c>
      <c r="N16" s="65">
        <f t="shared" si="2"/>
        <v>341819.95926287683</v>
      </c>
      <c r="O16" s="65">
        <f t="shared" si="2"/>
        <v>336155.51004241925</v>
      </c>
      <c r="P16" s="65">
        <f t="shared" si="2"/>
        <v>341351.82306173851</v>
      </c>
      <c r="Q16" s="66">
        <f t="shared" si="2"/>
        <v>343462.20383375394</v>
      </c>
    </row>
    <row r="17" spans="1:17" s="48" customFormat="1" x14ac:dyDescent="0.2">
      <c r="A17" s="204"/>
      <c r="C17" s="34"/>
      <c r="D17" s="34"/>
      <c r="E17" s="34"/>
      <c r="F17" s="34"/>
      <c r="G17" s="34"/>
      <c r="H17" s="64"/>
      <c r="I17" s="65"/>
      <c r="J17" s="65"/>
      <c r="K17" s="65"/>
      <c r="L17" s="65"/>
      <c r="M17" s="65"/>
      <c r="N17" s="65"/>
      <c r="O17" s="65"/>
      <c r="P17" s="65"/>
      <c r="Q17" s="66"/>
    </row>
    <row r="18" spans="1:17" x14ac:dyDescent="0.2">
      <c r="C18" s="35"/>
      <c r="D18" s="35" t="s">
        <v>103</v>
      </c>
      <c r="E18" s="35"/>
      <c r="F18" s="35"/>
      <c r="G18" s="35"/>
      <c r="H18" s="58">
        <f>'Annual Forecast'!H21</f>
        <v>49999.999999999993</v>
      </c>
      <c r="I18" s="59">
        <f>'Annual Forecast'!I21</f>
        <v>50000</v>
      </c>
      <c r="J18" s="59">
        <f>'Annual Forecast'!J21</f>
        <v>50000</v>
      </c>
      <c r="K18" s="59">
        <f>'Annual Forecast'!K21</f>
        <v>50000</v>
      </c>
      <c r="L18" s="59">
        <f>'Annual Forecast'!L21</f>
        <v>50000</v>
      </c>
      <c r="M18" s="59">
        <f>'Annual Forecast'!M21</f>
        <v>50000</v>
      </c>
      <c r="N18" s="59">
        <f>'Annual Forecast'!N21</f>
        <v>50000</v>
      </c>
      <c r="O18" s="59">
        <f>'Annual Forecast'!O21</f>
        <v>50000</v>
      </c>
      <c r="P18" s="59">
        <f>'Annual Forecast'!P21</f>
        <v>50000</v>
      </c>
      <c r="Q18" s="60">
        <f>'Annual Forecast'!Q21</f>
        <v>50000</v>
      </c>
    </row>
    <row r="19" spans="1:17" x14ac:dyDescent="0.2">
      <c r="C19" s="35"/>
      <c r="D19" s="35" t="s">
        <v>100</v>
      </c>
      <c r="E19" s="35"/>
      <c r="F19" s="35"/>
      <c r="G19" s="35"/>
      <c r="H19" s="58">
        <f>'Annual Forecast'!H23</f>
        <v>35000.000000000007</v>
      </c>
      <c r="I19" s="59">
        <f>'Annual Forecast'!I23</f>
        <v>35000</v>
      </c>
      <c r="J19" s="59">
        <f>'Annual Forecast'!J23</f>
        <v>35000</v>
      </c>
      <c r="K19" s="59">
        <f>'Annual Forecast'!K23</f>
        <v>35000</v>
      </c>
      <c r="L19" s="59">
        <f>'Annual Forecast'!L23</f>
        <v>35000</v>
      </c>
      <c r="M19" s="59">
        <f>'Annual Forecast'!M23</f>
        <v>35000</v>
      </c>
      <c r="N19" s="59">
        <f>'Annual Forecast'!N23</f>
        <v>35000</v>
      </c>
      <c r="O19" s="59">
        <f>'Annual Forecast'!O23</f>
        <v>35000</v>
      </c>
      <c r="P19" s="59">
        <f>'Annual Forecast'!P23</f>
        <v>35000</v>
      </c>
      <c r="Q19" s="60">
        <f>'Annual Forecast'!Q23</f>
        <v>35000</v>
      </c>
    </row>
    <row r="20" spans="1:17" s="48" customFormat="1" x14ac:dyDescent="0.2">
      <c r="A20" s="204"/>
      <c r="C20" s="34" t="s">
        <v>205</v>
      </c>
      <c r="D20" s="34"/>
      <c r="E20" s="34"/>
      <c r="F20" s="34"/>
      <c r="G20" s="35"/>
      <c r="H20" s="64">
        <f t="shared" ref="H20:Q20" si="3">SUM(H18:H19)</f>
        <v>85000</v>
      </c>
      <c r="I20" s="65">
        <f t="shared" si="3"/>
        <v>85000</v>
      </c>
      <c r="J20" s="65">
        <f t="shared" si="3"/>
        <v>85000</v>
      </c>
      <c r="K20" s="65">
        <f t="shared" si="3"/>
        <v>85000</v>
      </c>
      <c r="L20" s="65">
        <f t="shared" si="3"/>
        <v>85000</v>
      </c>
      <c r="M20" s="65">
        <f t="shared" si="3"/>
        <v>85000</v>
      </c>
      <c r="N20" s="65">
        <f t="shared" si="3"/>
        <v>85000</v>
      </c>
      <c r="O20" s="65">
        <f t="shared" si="3"/>
        <v>85000</v>
      </c>
      <c r="P20" s="65">
        <f t="shared" si="3"/>
        <v>85000</v>
      </c>
      <c r="Q20" s="66">
        <f t="shared" si="3"/>
        <v>85000</v>
      </c>
    </row>
    <row r="21" spans="1:17" x14ac:dyDescent="0.2">
      <c r="C21" s="35"/>
      <c r="D21" s="35"/>
      <c r="E21" s="35"/>
      <c r="F21" s="35"/>
      <c r="G21" s="35"/>
      <c r="H21" s="64"/>
      <c r="I21" s="59"/>
      <c r="J21" s="59"/>
      <c r="K21" s="59"/>
      <c r="L21" s="59"/>
      <c r="M21" s="59"/>
      <c r="N21" s="59"/>
      <c r="O21" s="59"/>
      <c r="P21" s="59"/>
      <c r="Q21" s="60"/>
    </row>
    <row r="22" spans="1:17" s="48" customFormat="1" x14ac:dyDescent="0.2">
      <c r="A22" s="204"/>
      <c r="C22" s="117"/>
      <c r="D22" s="117" t="s">
        <v>241</v>
      </c>
      <c r="E22" s="117"/>
      <c r="F22" s="117"/>
      <c r="G22" s="153"/>
      <c r="H22" s="117">
        <f>H20/H10</f>
        <v>207281.24579965053</v>
      </c>
      <c r="I22" s="117">
        <f t="shared" ref="I22:Q22" si="4">IFERROR(I20/I10,"")</f>
        <v>266298.5600929404</v>
      </c>
      <c r="J22" s="117">
        <f t="shared" si="4"/>
        <v>248185.59174754118</v>
      </c>
      <c r="K22" s="117">
        <f t="shared" si="4"/>
        <v>235040.02297066042</v>
      </c>
      <c r="L22" s="117">
        <f t="shared" si="4"/>
        <v>233359.24865537687</v>
      </c>
      <c r="M22" s="117">
        <f t="shared" si="4"/>
        <v>223039.38191596081</v>
      </c>
      <c r="N22" s="117">
        <f t="shared" si="4"/>
        <v>220170.28748318367</v>
      </c>
      <c r="O22" s="117">
        <f t="shared" si="4"/>
        <v>208293.9930449432</v>
      </c>
      <c r="P22" s="117">
        <f t="shared" si="4"/>
        <v>206957.26025232329</v>
      </c>
      <c r="Q22" s="117">
        <f t="shared" si="4"/>
        <v>203011.40681086446</v>
      </c>
    </row>
    <row r="23" spans="1:17" s="48" customFormat="1" x14ac:dyDescent="0.2">
      <c r="A23" s="204"/>
      <c r="C23" s="61"/>
      <c r="D23" s="61" t="s">
        <v>242</v>
      </c>
      <c r="E23" s="61"/>
      <c r="F23" s="61"/>
      <c r="G23" s="154"/>
      <c r="H23" s="61">
        <f>IFERROR(H22/12,"")</f>
        <v>17273.437149970876</v>
      </c>
      <c r="I23" s="61">
        <f t="shared" ref="I23:Q23" si="5">IFERROR(I22/12,"")</f>
        <v>22191.5466744117</v>
      </c>
      <c r="J23" s="61">
        <f t="shared" si="5"/>
        <v>20682.132645628433</v>
      </c>
      <c r="K23" s="61">
        <f t="shared" si="5"/>
        <v>19586.668580888367</v>
      </c>
      <c r="L23" s="61">
        <f t="shared" si="5"/>
        <v>19446.604054614738</v>
      </c>
      <c r="M23" s="61">
        <f t="shared" si="5"/>
        <v>18586.615159663401</v>
      </c>
      <c r="N23" s="61">
        <f t="shared" si="5"/>
        <v>18347.523956931971</v>
      </c>
      <c r="O23" s="61">
        <f t="shared" si="5"/>
        <v>17357.832753745268</v>
      </c>
      <c r="P23" s="61">
        <f t="shared" si="5"/>
        <v>17246.438354360274</v>
      </c>
      <c r="Q23" s="61">
        <f t="shared" si="5"/>
        <v>16917.617234238704</v>
      </c>
    </row>
    <row r="24" spans="1:17" x14ac:dyDescent="0.2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x14ac:dyDescent="0.2">
      <c r="D25" s="9"/>
      <c r="E25" s="9"/>
      <c r="F25" s="9"/>
      <c r="G25" s="9"/>
      <c r="H25" s="140"/>
      <c r="I25" s="140"/>
      <c r="J25" s="140"/>
      <c r="K25" s="140"/>
      <c r="L25" s="140"/>
      <c r="M25" s="140"/>
      <c r="N25" s="140"/>
      <c r="O25" s="140"/>
      <c r="P25" s="140"/>
      <c r="Q25" s="140"/>
    </row>
    <row r="26" spans="1:17" ht="16" thickBot="1" x14ac:dyDescent="0.25">
      <c r="C26" s="9"/>
      <c r="D26" s="192"/>
      <c r="E26" s="193" t="s">
        <v>206</v>
      </c>
      <c r="F26" s="268">
        <v>2027</v>
      </c>
      <c r="G26" s="118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x14ac:dyDescent="0.2">
      <c r="C27" s="9"/>
      <c r="D27" s="35" t="s">
        <v>207</v>
      </c>
      <c r="E27" s="35"/>
      <c r="F27" s="35">
        <f>Formulas!M176</f>
        <v>1669.5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x14ac:dyDescent="0.2">
      <c r="C28" s="9"/>
      <c r="D28" s="35" t="s">
        <v>205</v>
      </c>
      <c r="E28" s="35"/>
      <c r="F28" s="35">
        <f>Formulas!M177</f>
        <v>85000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x14ac:dyDescent="0.2">
      <c r="C29" s="9"/>
      <c r="D29" s="35" t="s">
        <v>204</v>
      </c>
      <c r="E29" s="35"/>
      <c r="F29" s="35">
        <f>Formulas!M178</f>
        <v>194.84342348008386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x14ac:dyDescent="0.2">
      <c r="C30" s="9"/>
      <c r="D30" s="35" t="s">
        <v>208</v>
      </c>
      <c r="E30" s="35"/>
      <c r="F30" s="35">
        <f>Formulas!M179</f>
        <v>296.33333333333331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x14ac:dyDescent="0.2">
      <c r="C31" s="9"/>
      <c r="D31" s="35" t="s">
        <v>209</v>
      </c>
      <c r="E31" s="35"/>
      <c r="F31" s="35">
        <f>Formulas!M180</f>
        <v>101.48990985324947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x14ac:dyDescent="0.2">
      <c r="C32" s="9"/>
      <c r="D32" s="35" t="s">
        <v>210</v>
      </c>
      <c r="E32" s="35"/>
      <c r="F32" s="122">
        <f>Formulas!M181</f>
        <v>0.34248563505033569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3:17" x14ac:dyDescent="0.2">
      <c r="C33" s="9"/>
      <c r="D33" s="35" t="s">
        <v>211</v>
      </c>
      <c r="E33" s="35"/>
      <c r="F33" s="35">
        <f>Formulas!M182</f>
        <v>837.52168193770933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3:17" ht="16" thickBot="1" x14ac:dyDescent="0.25">
      <c r="C34" s="9"/>
      <c r="D34" s="267" t="str">
        <f>"BEP"&amp;" "&amp;"("&amp;Profile!F10&amp;")"</f>
        <v>BEP (USD)</v>
      </c>
      <c r="E34" s="267"/>
      <c r="F34" s="267">
        <f>Formulas!M183</f>
        <v>248185.59174754118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</sheetData>
  <mergeCells count="1">
    <mergeCell ref="B2:Q2"/>
  </mergeCells>
  <dataValidations count="1">
    <dataValidation showInputMessage="1" showErrorMessage="1" sqref="F6" xr:uid="{46597D11-DD47-4A95-9B6F-D892DCEE5EE4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454DB7-E931-4D45-B501-4D1C335C0E62}">
          <x14:formula1>
            <xm:f>Formulas!$C$9:$L$9</xm:f>
          </x14:formula1>
          <xm:sqref>F26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8AD77BA6-B110-4BB4-AE9D-F44E6E24A3D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Breakeven!H8:Q8</xm:f>
              <xm:sqref>G8</xm:sqref>
            </x14:sparkline>
          </x14:sparklines>
        </x14:sparklineGroup>
        <x14:sparklineGroup type="column" displayEmptyCellsAs="gap" negative="1" xr2:uid="{C068D3D8-B1EA-4210-BB42-98F38F7CED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Breakeven!H9:Q9</xm:f>
              <xm:sqref>G9</xm:sqref>
            </x14:sparkline>
          </x14:sparklines>
        </x14:sparklineGroup>
        <x14:sparklineGroup type="column" displayEmptyCellsAs="gap" negative="1" xr2:uid="{E3BBDABC-87F2-465E-B490-4C14F97F648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Breakeven!H12:Q12</xm:f>
              <xm:sqref>G12</xm:sqref>
            </x14:sparkline>
          </x14:sparklines>
        </x14:sparklineGroup>
        <x14:sparklineGroup type="column" displayEmptyCellsAs="gap" negative="1" xr2:uid="{658543F2-34E3-4C4E-81D7-0CBE69FAE82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Breakeven!H13:Q13</xm:f>
              <xm:sqref>G13</xm:sqref>
            </x14:sparkline>
          </x14:sparklines>
        </x14:sparklineGroup>
        <x14:sparklineGroup type="column" displayEmptyCellsAs="gap" negative="1" xr2:uid="{2743B7B2-0345-4E44-B4E3-68C5C458E8F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Breakeven!H14:Q14</xm:f>
              <xm:sqref>G14</xm:sqref>
            </x14:sparkline>
          </x14:sparklines>
        </x14:sparklineGroup>
        <x14:sparklineGroup type="column" displayEmptyCellsAs="gap" negative="1" xr2:uid="{7EE6D8BA-F1B5-4782-B54A-B8B7165378D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Breakeven!H15:Q15</xm:f>
              <xm:sqref>G15</xm:sqref>
            </x14:sparkline>
          </x14:sparklines>
        </x14:sparklineGroup>
        <x14:sparklineGroup type="column" displayEmptyCellsAs="gap" negative="1" xr2:uid="{84399D60-A078-4751-B454-949B8295D75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Breakeven!H16:Q16</xm:f>
              <xm:sqref>G16</xm:sqref>
            </x14:sparkline>
          </x14:sparklines>
        </x14:sparklineGroup>
        <x14:sparklineGroup type="column" displayEmptyCellsAs="gap" negative="1" xr2:uid="{A4BFFAE9-55CC-4381-8BA8-3795DDB094D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Breakeven!H18:Q18</xm:f>
              <xm:sqref>G18</xm:sqref>
            </x14:sparkline>
          </x14:sparklines>
        </x14:sparklineGroup>
        <x14:sparklineGroup type="column" displayEmptyCellsAs="gap" negative="1" xr2:uid="{AFB294C7-3FCF-4FA3-AAF5-1CE8FD396E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Breakeven!H19:Q19</xm:f>
              <xm:sqref>G19</xm:sqref>
            </x14:sparkline>
          </x14:sparklines>
        </x14:sparklineGroup>
        <x14:sparklineGroup type="column" displayEmptyCellsAs="gap" negative="1" xr2:uid="{DE50EE06-20A2-4549-A912-C13143DAE3B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Breakeven!H20:Q20</xm:f>
              <xm:sqref>G20</xm:sqref>
            </x14:sparkline>
          </x14:sparklines>
        </x14:sparklineGroup>
        <x14:sparklineGroup type="column" displayEmptyCellsAs="gap" negative="1" xr2:uid="{B425B53A-A6BF-4216-BDFC-D97C1DF5AF69}">
          <x14:colorSeries theme="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Breakeven!H22:Q22</xm:f>
              <xm:sqref>G22</xm:sqref>
            </x14:sparkline>
          </x14:sparklines>
        </x14:sparklineGroup>
        <x14:sparklineGroup type="column" displayEmptyCellsAs="gap" negative="1" xr2:uid="{4835CFBE-DB01-42B1-A8EE-8A1C681BA8B8}">
          <x14:colorSeries theme="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Breakeven!H23:Q23</xm:f>
              <xm:sqref>G23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F09F-458E-4BFD-BFBF-EFE8FBF79F6F}">
  <sheetPr>
    <pageSetUpPr fitToPage="1"/>
  </sheetPr>
  <dimension ref="A1:Q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02" customWidth="1"/>
    <col min="2" max="3" width="1.6640625" style="44" customWidth="1"/>
    <col min="4" max="4" width="3.33203125" style="44" customWidth="1"/>
    <col min="5" max="5" width="19.5" style="44" customWidth="1"/>
    <col min="6" max="6" width="9.83203125" style="44" customWidth="1"/>
    <col min="7" max="17" width="12.6640625" style="44" customWidth="1"/>
    <col min="18" max="16384" width="9.1640625" style="44"/>
  </cols>
  <sheetData>
    <row r="1" spans="1:17" s="62" customFormat="1" x14ac:dyDescent="0.2">
      <c r="A1" s="116" t="s">
        <v>5</v>
      </c>
      <c r="C1" s="116"/>
    </row>
    <row r="2" spans="1:17" s="23" customFormat="1" ht="22" x14ac:dyDescent="0.3">
      <c r="A2" s="196" t="s">
        <v>308</v>
      </c>
      <c r="B2" s="309" t="str">
        <f>Profile!F6</f>
        <v>Person0811</v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</row>
    <row r="4" spans="1:17" ht="19" x14ac:dyDescent="0.25">
      <c r="C4" s="174" t="s">
        <v>217</v>
      </c>
      <c r="D4" s="35"/>
      <c r="E4" s="35"/>
      <c r="F4" s="35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x14ac:dyDescent="0.2">
      <c r="C5" s="176" t="str">
        <f>Formulas!A3</f>
        <v>Amounts in USD</v>
      </c>
      <c r="D5" s="180"/>
      <c r="E5" s="180"/>
      <c r="F5" s="35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s="46" customFormat="1" x14ac:dyDescent="0.2">
      <c r="A6" s="203"/>
      <c r="C6" s="29"/>
      <c r="D6" s="29"/>
      <c r="E6" s="10" t="s">
        <v>7</v>
      </c>
      <c r="F6" s="119" t="str">
        <f>Scenario!E6</f>
        <v>Base Case</v>
      </c>
      <c r="G6" s="9"/>
    </row>
    <row r="7" spans="1:17" x14ac:dyDescent="0.2">
      <c r="C7" s="42" t="s">
        <v>218</v>
      </c>
      <c r="D7" s="5"/>
      <c r="E7" s="5"/>
      <c r="F7" s="5"/>
      <c r="G7" s="9"/>
      <c r="H7" s="12">
        <f>Formulas!C212</f>
        <v>2025</v>
      </c>
      <c r="I7" s="12">
        <f>Formulas!D212</f>
        <v>2026</v>
      </c>
      <c r="J7" s="12">
        <f>Formulas!E212</f>
        <v>2027</v>
      </c>
      <c r="K7" s="12">
        <f>Formulas!F212</f>
        <v>2028</v>
      </c>
      <c r="L7" s="12">
        <f>Formulas!G212</f>
        <v>2029</v>
      </c>
      <c r="M7" s="12">
        <f>Formulas!H212</f>
        <v>2030</v>
      </c>
      <c r="N7" s="12">
        <f>Formulas!I212</f>
        <v>2031</v>
      </c>
      <c r="O7" s="12">
        <f>Formulas!J212</f>
        <v>2032</v>
      </c>
      <c r="P7" s="12">
        <f>Formulas!K212</f>
        <v>2033</v>
      </c>
      <c r="Q7" s="12">
        <f>Formulas!L212</f>
        <v>2034</v>
      </c>
    </row>
    <row r="8" spans="1:17" x14ac:dyDescent="0.2">
      <c r="C8" s="35" t="s">
        <v>19</v>
      </c>
      <c r="D8" s="35"/>
      <c r="E8" s="35"/>
      <c r="F8" s="35"/>
      <c r="G8" s="35"/>
      <c r="H8" s="123">
        <f>Formulas!C213</f>
        <v>0.4152055079963442</v>
      </c>
      <c r="I8" s="123">
        <f>Formulas!D213</f>
        <v>0.22300285991262167</v>
      </c>
      <c r="J8" s="123">
        <f>Formulas!E213</f>
        <v>0.23398891070403685</v>
      </c>
      <c r="K8" s="123">
        <f>Formulas!F213</f>
        <v>0.22774824619783651</v>
      </c>
      <c r="L8" s="123">
        <f>Formulas!G213</f>
        <v>0.20240690613917484</v>
      </c>
      <c r="M8" s="123">
        <f>Formulas!H213</f>
        <v>0.19350790096539439</v>
      </c>
      <c r="N8" s="123">
        <f>Formulas!I213</f>
        <v>0.17458956210958615</v>
      </c>
      <c r="O8" s="123">
        <f>Formulas!J213</f>
        <v>0.16934882663059878</v>
      </c>
      <c r="P8" s="123">
        <f>Formulas!K213</f>
        <v>0.15373734502556483</v>
      </c>
      <c r="Q8" s="128">
        <f>Formulas!L213</f>
        <v>0.14363565100522191</v>
      </c>
    </row>
    <row r="9" spans="1:17" x14ac:dyDescent="0.2">
      <c r="C9" s="35" t="s">
        <v>219</v>
      </c>
      <c r="D9" s="35"/>
      <c r="E9" s="35"/>
      <c r="F9" s="35"/>
      <c r="G9" s="35"/>
      <c r="H9" s="123">
        <f>Formulas!C214</f>
        <v>0.25484438806942911</v>
      </c>
      <c r="I9" s="123">
        <f>Formulas!D214</f>
        <v>0.14587768520265582</v>
      </c>
      <c r="J9" s="123">
        <f>Formulas!E214</f>
        <v>0.16584364318937736</v>
      </c>
      <c r="K9" s="123">
        <f>Formulas!F214</f>
        <v>0.17262476851863326</v>
      </c>
      <c r="L9" s="123">
        <f>Formulas!G214</f>
        <v>0.1612055566791499</v>
      </c>
      <c r="M9" s="123">
        <f>Formulas!H214</f>
        <v>0.16191614836203116</v>
      </c>
      <c r="N9" s="123">
        <f>Formulas!I214</f>
        <v>0.15059659312173304</v>
      </c>
      <c r="O9" s="123">
        <f>Formulas!J214</f>
        <v>0.15007925773122577</v>
      </c>
      <c r="P9" s="123">
        <f>Formulas!K214</f>
        <v>0.138932860995989</v>
      </c>
      <c r="Q9" s="128">
        <f>Formulas!L214</f>
        <v>0.13193252742827216</v>
      </c>
    </row>
    <row r="10" spans="1:17" x14ac:dyDescent="0.2">
      <c r="C10" s="35" t="s">
        <v>20</v>
      </c>
      <c r="D10" s="35"/>
      <c r="E10" s="35"/>
      <c r="F10" s="35"/>
      <c r="G10" s="35"/>
      <c r="H10" s="123">
        <f>Formulas!C215</f>
        <v>0.32426124525741168</v>
      </c>
      <c r="I10" s="123">
        <f>Formulas!D215</f>
        <v>0.18881147567974585</v>
      </c>
      <c r="J10" s="123">
        <f>Formulas!E215</f>
        <v>0.20639391332732238</v>
      </c>
      <c r="K10" s="123">
        <f>Formulas!F215</f>
        <v>0.20785801801270692</v>
      </c>
      <c r="L10" s="123">
        <f>Formulas!G215</f>
        <v>0.18968493582628626</v>
      </c>
      <c r="M10" s="123">
        <f>Formulas!H215</f>
        <v>0.1847736473990218</v>
      </c>
      <c r="N10" s="123">
        <f>Formulas!I215</f>
        <v>0.16916169219956853</v>
      </c>
      <c r="O10" s="123">
        <f>Formulas!J215</f>
        <v>0.16580008646378522</v>
      </c>
      <c r="P10" s="123">
        <f>Formulas!K215</f>
        <v>0.15177723276761548</v>
      </c>
      <c r="Q10" s="128">
        <f>Formulas!L215</f>
        <v>0.14267781137218116</v>
      </c>
    </row>
    <row r="11" spans="1:17" x14ac:dyDescent="0.2">
      <c r="C11" s="35" t="s">
        <v>12</v>
      </c>
      <c r="D11" s="35"/>
      <c r="E11" s="35"/>
      <c r="F11" s="35"/>
      <c r="G11" s="35"/>
      <c r="H11" s="123">
        <f>Formulas!C216</f>
        <v>0.47499999999999998</v>
      </c>
      <c r="I11" s="123">
        <f>Formulas!D216</f>
        <v>0.38500000000000001</v>
      </c>
      <c r="J11" s="123">
        <f>Formulas!E216</f>
        <v>0.40499999999999997</v>
      </c>
      <c r="K11" s="123">
        <f>Formulas!F216</f>
        <v>0.42500000000000004</v>
      </c>
      <c r="L11" s="123">
        <f>Formulas!G216</f>
        <v>0.42999999999999994</v>
      </c>
      <c r="M11" s="123">
        <f>Formulas!H216</f>
        <v>0.45</v>
      </c>
      <c r="N11" s="123">
        <f>Formulas!I216</f>
        <v>0.45000000000000007</v>
      </c>
      <c r="O11" s="123">
        <f>Formulas!J216</f>
        <v>0.47</v>
      </c>
      <c r="P11" s="123">
        <f>Formulas!K216</f>
        <v>0.47</v>
      </c>
      <c r="Q11" s="128">
        <f>Formulas!L216</f>
        <v>0.47499999999999998</v>
      </c>
    </row>
    <row r="12" spans="1:17" x14ac:dyDescent="0.2">
      <c r="C12" s="35" t="s">
        <v>220</v>
      </c>
      <c r="D12" s="35"/>
      <c r="E12" s="35"/>
      <c r="F12" s="35"/>
      <c r="G12" s="35"/>
      <c r="H12" s="123">
        <f>Formulas!C217</f>
        <v>0.21884476940382452</v>
      </c>
      <c r="I12" s="123">
        <f>Formulas!D217</f>
        <v>0.13878863255300636</v>
      </c>
      <c r="J12" s="123">
        <f>Formulas!E217</f>
        <v>0.17067422737925952</v>
      </c>
      <c r="K12" s="123">
        <f>Formulas!F217</f>
        <v>0.19643725986731966</v>
      </c>
      <c r="L12" s="123">
        <f>Formulas!G217</f>
        <v>0.20385372845723884</v>
      </c>
      <c r="M12" s="123">
        <f>Formulas!H217</f>
        <v>0.2253786843634987</v>
      </c>
      <c r="N12" s="123">
        <f>Formulas!I217</f>
        <v>0.2333982083783854</v>
      </c>
      <c r="O12" s="123">
        <f>Formulas!J217</f>
        <v>0.25840392063942519</v>
      </c>
      <c r="P12" s="123">
        <f>Formulas!K217</f>
        <v>0.26397444958557853</v>
      </c>
      <c r="Q12" s="128">
        <f>Formulas!L217</f>
        <v>0.27483453724460621</v>
      </c>
    </row>
    <row r="13" spans="1:17" x14ac:dyDescent="0.2">
      <c r="C13" s="35" t="s">
        <v>303</v>
      </c>
      <c r="D13" s="35"/>
      <c r="E13" s="35"/>
      <c r="F13" s="35"/>
      <c r="G13" s="35"/>
      <c r="H13" s="123">
        <f>Formulas!C218</f>
        <v>0.18284316680135537</v>
      </c>
      <c r="I13" s="123">
        <f>Formulas!D218</f>
        <v>0.12350591081775157</v>
      </c>
      <c r="J13" s="123">
        <f>Formulas!E218</f>
        <v>0.14890968657556616</v>
      </c>
      <c r="K13" s="123">
        <f>Formulas!F218</f>
        <v>0.16888999110166567</v>
      </c>
      <c r="L13" s="123">
        <f>Formulas!G218</f>
        <v>0.17668286475097178</v>
      </c>
      <c r="M13" s="123">
        <f>Formulas!H218</f>
        <v>0.19581704582305171</v>
      </c>
      <c r="N13" s="123">
        <f>Formulas!I218</f>
        <v>0.20172472924692933</v>
      </c>
      <c r="O13" s="123">
        <f>Formulas!J218</f>
        <v>0.21833117768595861</v>
      </c>
      <c r="P13" s="123">
        <f>Formulas!K218</f>
        <v>0.21974275886844274</v>
      </c>
      <c r="Q13" s="195">
        <f>Formulas!L218</f>
        <v>0.22477929296148716</v>
      </c>
    </row>
    <row r="14" spans="1:17" x14ac:dyDescent="0.2">
      <c r="C14" s="35" t="s">
        <v>15</v>
      </c>
      <c r="D14" s="35"/>
      <c r="E14" s="35"/>
      <c r="F14" s="35"/>
      <c r="G14" s="35"/>
      <c r="H14" s="123">
        <f>Formulas!C219</f>
        <v>0.15879220938221061</v>
      </c>
      <c r="I14" s="123">
        <f>Formulas!D219</f>
        <v>9.9276333382855464E-2</v>
      </c>
      <c r="J14" s="123">
        <f>Formulas!E219</f>
        <v>0.12383671726007292</v>
      </c>
      <c r="K14" s="123">
        <f>Formulas!F219</f>
        <v>0.14372019687459114</v>
      </c>
      <c r="L14" s="123">
        <f>Formulas!G219</f>
        <v>0.14977681368843196</v>
      </c>
      <c r="M14" s="123">
        <f>Formulas!H219</f>
        <v>0.16638906441564827</v>
      </c>
      <c r="N14" s="123">
        <f>Formulas!I219</f>
        <v>0.17282601018549013</v>
      </c>
      <c r="O14" s="123">
        <f>Formulas!J219</f>
        <v>0.19198705314435735</v>
      </c>
      <c r="P14" s="123">
        <f>Formulas!K219</f>
        <v>0.19655661182823367</v>
      </c>
      <c r="Q14" s="128">
        <f>Formulas!L219</f>
        <v>0.20507867840334421</v>
      </c>
    </row>
    <row r="15" spans="1:17" ht="5" customHeight="1" x14ac:dyDescent="0.2">
      <c r="C15" s="173"/>
      <c r="D15" s="173"/>
      <c r="E15" s="173"/>
      <c r="F15" s="173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x14ac:dyDescent="0.2">
      <c r="C16" s="42" t="s">
        <v>221</v>
      </c>
      <c r="D16" s="5"/>
      <c r="E16" s="5"/>
      <c r="F16" s="5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x14ac:dyDescent="0.2">
      <c r="C17" s="35" t="s">
        <v>222</v>
      </c>
      <c r="D17" s="35"/>
      <c r="E17" s="35"/>
      <c r="F17" s="35"/>
      <c r="G17" s="35"/>
      <c r="H17" s="163">
        <f>Formulas!C222</f>
        <v>5.0604349733659024</v>
      </c>
      <c r="I17" s="163">
        <f>Formulas!D222</f>
        <v>5.0095752721908946</v>
      </c>
      <c r="J17" s="163">
        <f>Formulas!E222</f>
        <v>5.6160333728519518</v>
      </c>
      <c r="K17" s="163">
        <f>Formulas!F222</f>
        <v>6.4213170854673827</v>
      </c>
      <c r="L17" s="163">
        <f>Formulas!G222</f>
        <v>7.2053131096090723</v>
      </c>
      <c r="M17" s="163">
        <f>Formulas!H222</f>
        <v>8.6830758474665881</v>
      </c>
      <c r="N17" s="163">
        <f>Formulas!I222</f>
        <v>9.7461309436173078</v>
      </c>
      <c r="O17" s="163">
        <f>Formulas!J222</f>
        <v>11.190700058407733</v>
      </c>
      <c r="P17" s="163">
        <f>Formulas!K222</f>
        <v>12.463255646330115</v>
      </c>
      <c r="Q17" s="164">
        <f>Formulas!L222</f>
        <v>13.856577247329268</v>
      </c>
    </row>
    <row r="18" spans="1:17" x14ac:dyDescent="0.2">
      <c r="C18" s="35" t="s">
        <v>223</v>
      </c>
      <c r="D18" s="35"/>
      <c r="E18" s="35"/>
      <c r="F18" s="35"/>
      <c r="G18" s="35"/>
      <c r="H18" s="163">
        <f>Formulas!C223</f>
        <v>4.2607864672147597</v>
      </c>
      <c r="I18" s="163">
        <f>Formulas!D223</f>
        <v>4.1621984836376349</v>
      </c>
      <c r="J18" s="163">
        <f>Formulas!E223</f>
        <v>4.7784589278059304</v>
      </c>
      <c r="K18" s="163">
        <f>Formulas!F223</f>
        <v>5.5303375613943331</v>
      </c>
      <c r="L18" s="163">
        <f>Formulas!G223</f>
        <v>6.3171661980898746</v>
      </c>
      <c r="M18" s="163">
        <f>Formulas!H223</f>
        <v>7.7480424534168009</v>
      </c>
      <c r="N18" s="163">
        <f>Formulas!I223</f>
        <v>8.7443094499925351</v>
      </c>
      <c r="O18" s="163">
        <f>Formulas!J223</f>
        <v>10.203735440158198</v>
      </c>
      <c r="P18" s="163">
        <f>Formulas!K223</f>
        <v>11.410493386863944</v>
      </c>
      <c r="Q18" s="164">
        <f>Formulas!L223</f>
        <v>12.807888108752488</v>
      </c>
    </row>
    <row r="19" spans="1:17" x14ac:dyDescent="0.2">
      <c r="C19" s="35" t="s">
        <v>224</v>
      </c>
      <c r="D19" s="35"/>
      <c r="E19" s="35"/>
      <c r="F19" s="35"/>
      <c r="G19" s="35"/>
      <c r="H19" s="163">
        <f>Formulas!C224</f>
        <v>0.76598219760455954</v>
      </c>
      <c r="I19" s="163">
        <f>Formulas!D224</f>
        <v>0.8395569715677732</v>
      </c>
      <c r="J19" s="163">
        <f>Formulas!E224</f>
        <v>1.105820037783418</v>
      </c>
      <c r="K19" s="163">
        <f>Formulas!F224</f>
        <v>1.2410420818189409</v>
      </c>
      <c r="L19" s="163">
        <f>Formulas!G224</f>
        <v>1.3812446403376406</v>
      </c>
      <c r="M19" s="163">
        <f>Formulas!H224</f>
        <v>1.7441973032494797</v>
      </c>
      <c r="N19" s="163">
        <f>Formulas!I224</f>
        <v>1.6797574955161774</v>
      </c>
      <c r="O19" s="163">
        <f>Formulas!J224</f>
        <v>1.9545475585565748</v>
      </c>
      <c r="P19" s="163">
        <f>Formulas!K224</f>
        <v>1.891669859362606</v>
      </c>
      <c r="Q19" s="164">
        <f>Formulas!L224</f>
        <v>2.0220187636242648</v>
      </c>
    </row>
    <row r="20" spans="1:17" ht="5" customHeight="1" x14ac:dyDescent="0.2">
      <c r="C20" s="173"/>
      <c r="D20" s="173"/>
      <c r="E20" s="173"/>
      <c r="F20" s="173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s="48" customFormat="1" x14ac:dyDescent="0.2">
      <c r="A21" s="204"/>
      <c r="C21" s="42" t="s">
        <v>225</v>
      </c>
      <c r="D21" s="42"/>
      <c r="E21" s="42"/>
      <c r="F21" s="4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</row>
    <row r="22" spans="1:17" x14ac:dyDescent="0.2">
      <c r="C22" s="35" t="s">
        <v>275</v>
      </c>
      <c r="D22" s="35"/>
      <c r="E22" s="35"/>
      <c r="F22" s="35"/>
      <c r="G22" s="35"/>
      <c r="H22" s="58">
        <f>Formulas!C227</f>
        <v>40</v>
      </c>
      <c r="I22" s="58">
        <f>Formulas!D227</f>
        <v>40</v>
      </c>
      <c r="J22" s="58">
        <f>Formulas!E227</f>
        <v>40</v>
      </c>
      <c r="K22" s="58">
        <f>Formulas!F227</f>
        <v>40</v>
      </c>
      <c r="L22" s="58">
        <f>Formulas!G227</f>
        <v>40</v>
      </c>
      <c r="M22" s="58">
        <f>Formulas!H227</f>
        <v>35</v>
      </c>
      <c r="N22" s="58">
        <f>Formulas!I227</f>
        <v>35</v>
      </c>
      <c r="O22" s="58">
        <f>Formulas!J227</f>
        <v>35</v>
      </c>
      <c r="P22" s="58">
        <f>Formulas!K227</f>
        <v>35</v>
      </c>
      <c r="Q22" s="35">
        <f>Formulas!L227</f>
        <v>35</v>
      </c>
    </row>
    <row r="23" spans="1:17" x14ac:dyDescent="0.2">
      <c r="C23" s="35" t="s">
        <v>276</v>
      </c>
      <c r="D23" s="35"/>
      <c r="E23" s="35"/>
      <c r="F23" s="35"/>
      <c r="G23" s="35"/>
      <c r="H23" s="58">
        <f>Formulas!C228</f>
        <v>50.000000000000007</v>
      </c>
      <c r="I23" s="58">
        <f>Formulas!D228</f>
        <v>50.000000000000007</v>
      </c>
      <c r="J23" s="58">
        <f>Formulas!E228</f>
        <v>50</v>
      </c>
      <c r="K23" s="58">
        <f>Formulas!F228</f>
        <v>50</v>
      </c>
      <c r="L23" s="58">
        <f>Formulas!G228</f>
        <v>50</v>
      </c>
      <c r="M23" s="58">
        <f>Formulas!H228</f>
        <v>45</v>
      </c>
      <c r="N23" s="58">
        <f>Formulas!I228</f>
        <v>45</v>
      </c>
      <c r="O23" s="58">
        <f>Formulas!J228</f>
        <v>45</v>
      </c>
      <c r="P23" s="58">
        <f>Formulas!K228</f>
        <v>45</v>
      </c>
      <c r="Q23" s="35">
        <f>Formulas!L228</f>
        <v>45.000000000000007</v>
      </c>
    </row>
    <row r="24" spans="1:17" x14ac:dyDescent="0.2">
      <c r="C24" s="35" t="s">
        <v>277</v>
      </c>
      <c r="D24" s="35"/>
      <c r="E24" s="35"/>
      <c r="F24" s="35"/>
      <c r="G24" s="35"/>
      <c r="H24" s="58">
        <f>Formulas!C229</f>
        <v>65</v>
      </c>
      <c r="I24" s="58">
        <f>Formulas!D229</f>
        <v>65</v>
      </c>
      <c r="J24" s="58">
        <f>Formulas!E229</f>
        <v>65</v>
      </c>
      <c r="K24" s="58">
        <f>Formulas!F229</f>
        <v>70</v>
      </c>
      <c r="L24" s="58">
        <f>Formulas!G229</f>
        <v>70</v>
      </c>
      <c r="M24" s="58">
        <f>Formulas!H229</f>
        <v>70</v>
      </c>
      <c r="N24" s="58">
        <f>Formulas!I229</f>
        <v>75</v>
      </c>
      <c r="O24" s="58">
        <f>Formulas!J229</f>
        <v>75</v>
      </c>
      <c r="P24" s="58">
        <f>Formulas!K229</f>
        <v>80</v>
      </c>
      <c r="Q24" s="35">
        <f>Formulas!L229</f>
        <v>80</v>
      </c>
    </row>
    <row r="25" spans="1:17" x14ac:dyDescent="0.2">
      <c r="C25" s="35" t="s">
        <v>226</v>
      </c>
      <c r="D25" s="35"/>
      <c r="E25" s="35"/>
      <c r="F25" s="35"/>
      <c r="G25" s="35"/>
      <c r="H25" s="58">
        <f>Formulas!C230</f>
        <v>54.999999999999993</v>
      </c>
      <c r="I25" s="58">
        <f>Formulas!D230</f>
        <v>54.999999999999993</v>
      </c>
      <c r="J25" s="58">
        <f>Formulas!E230</f>
        <v>55</v>
      </c>
      <c r="K25" s="58">
        <f>Formulas!F230</f>
        <v>60</v>
      </c>
      <c r="L25" s="58">
        <f>Formulas!G230</f>
        <v>60</v>
      </c>
      <c r="M25" s="58">
        <f>Formulas!H230</f>
        <v>60</v>
      </c>
      <c r="N25" s="58">
        <f>Formulas!I230</f>
        <v>65</v>
      </c>
      <c r="O25" s="58">
        <f>Formulas!J230</f>
        <v>65</v>
      </c>
      <c r="P25" s="58">
        <f>Formulas!K230</f>
        <v>70</v>
      </c>
      <c r="Q25" s="35">
        <f>Formulas!L230</f>
        <v>70</v>
      </c>
    </row>
    <row r="26" spans="1:17" ht="5" customHeight="1" x14ac:dyDescent="0.2">
      <c r="C26" s="173"/>
      <c r="D26" s="173"/>
      <c r="E26" s="173"/>
      <c r="F26" s="173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s="48" customFormat="1" x14ac:dyDescent="0.2">
      <c r="A27" s="204"/>
      <c r="C27" s="42" t="s">
        <v>227</v>
      </c>
      <c r="D27" s="42"/>
      <c r="E27" s="42"/>
      <c r="F27" s="42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</row>
    <row r="28" spans="1:17" x14ac:dyDescent="0.2">
      <c r="C28" s="35" t="s">
        <v>228</v>
      </c>
      <c r="D28" s="35"/>
      <c r="E28" s="35"/>
      <c r="F28" s="35"/>
      <c r="G28" s="35"/>
      <c r="H28" s="123">
        <f>Formulas!C233</f>
        <v>0.32353765910155396</v>
      </c>
      <c r="I28" s="123">
        <f>Formulas!D233</f>
        <v>0.23837300847530432</v>
      </c>
      <c r="J28" s="123">
        <f>Formulas!E233</f>
        <v>0.17186657757307278</v>
      </c>
      <c r="K28" s="123">
        <f>Formulas!F233</f>
        <v>0.12319610017255538</v>
      </c>
      <c r="L28" s="123">
        <f>Formulas!G233</f>
        <v>8.9250629922008967E-2</v>
      </c>
      <c r="M28" s="123">
        <f>Formulas!H233</f>
        <v>6.3917599863744748E-2</v>
      </c>
      <c r="N28" s="123">
        <f>Formulas!I233</f>
        <v>4.5360129965111559E-2</v>
      </c>
      <c r="O28" s="123">
        <f>Formulas!J233</f>
        <v>3.1064558318015141E-2</v>
      </c>
      <c r="P28" s="123">
        <f>Formulas!K233</f>
        <v>2.0253857254381651E-2</v>
      </c>
      <c r="Q28" s="128">
        <f>Formulas!L233</f>
        <v>1.1854038452064477E-2</v>
      </c>
    </row>
    <row r="29" spans="1:17" x14ac:dyDescent="0.2">
      <c r="C29" s="35" t="s">
        <v>229</v>
      </c>
      <c r="D29" s="35"/>
      <c r="E29" s="35"/>
      <c r="F29" s="35"/>
      <c r="G29" s="35"/>
      <c r="H29" s="123">
        <f>Formulas!C234</f>
        <v>0.61377891950237085</v>
      </c>
      <c r="I29" s="123">
        <f>Formulas!D234</f>
        <v>0.65415163401857035</v>
      </c>
      <c r="J29" s="123">
        <f>Formulas!E234</f>
        <v>0.70876710648542784</v>
      </c>
      <c r="K29" s="123">
        <f>Formulas!F234</f>
        <v>0.75796310795157773</v>
      </c>
      <c r="L29" s="123">
        <f>Formulas!G234</f>
        <v>0.79644296607303044</v>
      </c>
      <c r="M29" s="123">
        <f>Formulas!H234</f>
        <v>0.83674179480137689</v>
      </c>
      <c r="N29" s="123">
        <f>Formulas!I234</f>
        <v>0.86257500907876028</v>
      </c>
      <c r="O29" s="123">
        <f>Formulas!J234</f>
        <v>0.88621374424160737</v>
      </c>
      <c r="P29" s="123">
        <f>Formulas!K234</f>
        <v>0.90370274686925278</v>
      </c>
      <c r="Q29" s="128">
        <f>Formulas!L234</f>
        <v>0.91852215313505781</v>
      </c>
    </row>
    <row r="30" spans="1:17" x14ac:dyDescent="0.2">
      <c r="C30" s="35" t="s">
        <v>230</v>
      </c>
      <c r="D30" s="35"/>
      <c r="E30" s="35"/>
      <c r="F30" s="35"/>
      <c r="G30" s="35"/>
      <c r="H30" s="123">
        <f>Formulas!C235</f>
        <v>0.19858059482167817</v>
      </c>
      <c r="I30" s="123">
        <f>Formulas!D235</f>
        <v>0.15593209300004285</v>
      </c>
      <c r="J30" s="123">
        <f>Formulas!E235</f>
        <v>0.12181337688802012</v>
      </c>
      <c r="K30" s="123">
        <f>Formulas!F235</f>
        <v>9.3378098974303977E-2</v>
      </c>
      <c r="L30" s="123">
        <f>Formulas!G235</f>
        <v>7.1083036418971193E-2</v>
      </c>
      <c r="M30" s="123">
        <f>Formulas!H235</f>
        <v>5.3482527229386019E-2</v>
      </c>
      <c r="N30" s="123">
        <f>Formulas!I235</f>
        <v>3.9126514516469847E-2</v>
      </c>
      <c r="O30" s="123">
        <f>Formulas!J235</f>
        <v>2.752983854021997E-2</v>
      </c>
      <c r="P30" s="123">
        <f>Formulas!K235</f>
        <v>1.8303466435482443E-2</v>
      </c>
      <c r="Q30" s="128">
        <f>Formulas!L235</f>
        <v>1.0888196922336031E-2</v>
      </c>
    </row>
    <row r="31" spans="1:17" x14ac:dyDescent="0.2">
      <c r="C31" s="9"/>
      <c r="D31" s="9"/>
      <c r="E31" s="9"/>
      <c r="F31" s="9"/>
      <c r="G31" s="9"/>
      <c r="H31" s="149"/>
      <c r="I31" s="149"/>
      <c r="J31" s="149"/>
      <c r="K31" s="149"/>
      <c r="L31" s="149"/>
      <c r="M31" s="149"/>
      <c r="N31" s="149"/>
      <c r="O31" s="149"/>
      <c r="P31" s="149"/>
      <c r="Q31" s="149"/>
    </row>
    <row r="32" spans="1:17" x14ac:dyDescent="0.2">
      <c r="E32" s="10" t="s">
        <v>206</v>
      </c>
      <c r="F32" s="213">
        <v>2025</v>
      </c>
    </row>
    <row r="33" spans="3:17" x14ac:dyDescent="0.2">
      <c r="C33" s="42" t="s">
        <v>218</v>
      </c>
      <c r="D33" s="5"/>
      <c r="E33" s="5"/>
      <c r="F33" s="5"/>
    </row>
    <row r="34" spans="3:17" x14ac:dyDescent="0.2"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69"/>
    </row>
    <row r="35" spans="3:17" x14ac:dyDescent="0.2"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</row>
    <row r="36" spans="3:17" x14ac:dyDescent="0.2">
      <c r="C36" s="269"/>
      <c r="D36" s="269"/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69"/>
    </row>
    <row r="37" spans="3:17" x14ac:dyDescent="0.2">
      <c r="C37" s="269"/>
      <c r="D37" s="269"/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</row>
    <row r="38" spans="3:17" x14ac:dyDescent="0.2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</row>
    <row r="39" spans="3:17" x14ac:dyDescent="0.2">
      <c r="C39" s="269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</row>
    <row r="40" spans="3:17" x14ac:dyDescent="0.2">
      <c r="C40" s="269"/>
      <c r="D40" s="269"/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</row>
    <row r="41" spans="3:17" x14ac:dyDescent="0.2">
      <c r="C41" s="26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</row>
    <row r="42" spans="3:17" x14ac:dyDescent="0.2">
      <c r="C42" s="269"/>
      <c r="D42" s="269"/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</row>
    <row r="43" spans="3:17" x14ac:dyDescent="0.2">
      <c r="C43" s="269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</row>
    <row r="44" spans="3:17" x14ac:dyDescent="0.2">
      <c r="C44" s="269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</row>
    <row r="45" spans="3:17" x14ac:dyDescent="0.2">
      <c r="C45" s="42" t="s">
        <v>221</v>
      </c>
      <c r="D45" s="5"/>
      <c r="E45" s="5"/>
      <c r="F45" s="5"/>
    </row>
    <row r="46" spans="3:17" x14ac:dyDescent="0.2"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</row>
    <row r="47" spans="3:17" x14ac:dyDescent="0.2"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</row>
    <row r="48" spans="3:17" x14ac:dyDescent="0.2">
      <c r="C48" s="269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</row>
    <row r="49" spans="3:17" x14ac:dyDescent="0.2">
      <c r="C49" s="26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</row>
    <row r="50" spans="3:17" x14ac:dyDescent="0.2">
      <c r="C50" s="269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</row>
    <row r="51" spans="3:17" x14ac:dyDescent="0.2">
      <c r="C51" s="269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</row>
    <row r="52" spans="3:17" x14ac:dyDescent="0.2">
      <c r="C52" s="269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</row>
    <row r="53" spans="3:17" x14ac:dyDescent="0.2"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</row>
    <row r="54" spans="3:17" x14ac:dyDescent="0.2">
      <c r="C54" s="269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</row>
    <row r="55" spans="3:17" x14ac:dyDescent="0.2">
      <c r="C55" s="269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</row>
    <row r="56" spans="3:17" x14ac:dyDescent="0.2">
      <c r="C56" s="269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</row>
    <row r="57" spans="3:17" x14ac:dyDescent="0.2">
      <c r="C57" s="42" t="s">
        <v>221</v>
      </c>
      <c r="D57" s="5"/>
      <c r="E57" s="5"/>
      <c r="F57" s="5"/>
    </row>
    <row r="72" spans="3:6" x14ac:dyDescent="0.2">
      <c r="C72" s="42" t="s">
        <v>227</v>
      </c>
      <c r="D72" s="5"/>
      <c r="E72" s="5"/>
      <c r="F72" s="5"/>
    </row>
  </sheetData>
  <mergeCells count="1">
    <mergeCell ref="B2:Q2"/>
  </mergeCells>
  <dataValidations count="1">
    <dataValidation showInputMessage="1" showErrorMessage="1" sqref="F6" xr:uid="{69EDD58C-D4C6-4BB7-AAA1-ED8417858D1F}"/>
  </dataValidations>
  <pageMargins left="0.25" right="0.25" top="0.75" bottom="0.75" header="0.3" footer="0.3"/>
  <pageSetup paperSize="9" scale="53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E151ED-BF21-409C-8468-21DD63A45662}">
          <x14:formula1>
            <xm:f>Formulas!$C$9:$L$9</xm:f>
          </x14:formula1>
          <xm:sqref>F32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9ACF4E2B-B269-4DD9-B0EC-A9C6FC5A1B6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Formulas!C214:L214</xm:f>
              <xm:sqref>G9</xm:sqref>
            </x14:sparkline>
          </x14:sparklines>
        </x14:sparklineGroup>
        <x14:sparklineGroup type="column" displayEmptyCellsAs="gap" negative="1" xr2:uid="{7CA09D42-CFFA-4CD3-9E2A-70C356444AA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Formulas!C213:L213</xm:f>
              <xm:sqref>G8</xm:sqref>
            </x14:sparkline>
          </x14:sparklines>
        </x14:sparklineGroup>
        <x14:sparklineGroup type="column" displayEmptyCellsAs="gap" negative="1" xr2:uid="{CFB1BF0C-36C5-4359-A851-FBA7D35115C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Formulas!C215:L215</xm:f>
              <xm:sqref>G10</xm:sqref>
            </x14:sparkline>
          </x14:sparklines>
        </x14:sparklineGroup>
        <x14:sparklineGroup type="column" displayEmptyCellsAs="gap" negative="1" xr2:uid="{664B241D-BA7C-43D9-8F1B-FAE36687836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Formulas!C216:L216</xm:f>
              <xm:sqref>G11</xm:sqref>
            </x14:sparkline>
          </x14:sparklines>
        </x14:sparklineGroup>
        <x14:sparklineGroup type="column" displayEmptyCellsAs="gap" negative="1" xr2:uid="{66E5F327-9564-4092-88DC-8D13EC56800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Formulas!C217:L217</xm:f>
              <xm:sqref>G12</xm:sqref>
            </x14:sparkline>
          </x14:sparklines>
        </x14:sparklineGroup>
        <x14:sparklineGroup type="column" displayEmptyCellsAs="gap" negative="1" xr2:uid="{2EA4B82F-DAD9-4702-A02C-96633EBE650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Formulas!C219:L219</xm:f>
              <xm:sqref>G14</xm:sqref>
            </x14:sparkline>
          </x14:sparklines>
        </x14:sparklineGroup>
        <x14:sparklineGroup type="column" displayEmptyCellsAs="gap" negative="1" xr2:uid="{2E62BFC9-3FB9-410B-8AC6-56CA798AC93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Formulas!C222:L222</xm:f>
              <xm:sqref>G17</xm:sqref>
            </x14:sparkline>
          </x14:sparklines>
        </x14:sparklineGroup>
        <x14:sparklineGroup type="column" displayEmptyCellsAs="gap" negative="1" xr2:uid="{9CD2A61A-19C9-43E9-9658-C51A62E21B9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Formulas!C223:L223</xm:f>
              <xm:sqref>G18</xm:sqref>
            </x14:sparkline>
          </x14:sparklines>
        </x14:sparklineGroup>
        <x14:sparklineGroup type="column" displayEmptyCellsAs="gap" negative="1" xr2:uid="{D3D11BDB-5777-4089-93C2-4853EBF9EDC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Formulas!C224:L224</xm:f>
              <xm:sqref>G19</xm:sqref>
            </x14:sparkline>
          </x14:sparklines>
        </x14:sparklineGroup>
        <x14:sparklineGroup type="column" displayEmptyCellsAs="gap" negative="1" xr2:uid="{962BA2E7-E323-4481-BB2A-781FF4DC8EA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Formulas!C227:L227</xm:f>
              <xm:sqref>G22</xm:sqref>
            </x14:sparkline>
          </x14:sparklines>
        </x14:sparklineGroup>
        <x14:sparklineGroup type="column" displayEmptyCellsAs="gap" negative="1" xr2:uid="{7FE4A174-5E75-4E19-AD6C-50E377DAEC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Formulas!C228:L228</xm:f>
              <xm:sqref>G23</xm:sqref>
            </x14:sparkline>
          </x14:sparklines>
        </x14:sparklineGroup>
        <x14:sparklineGroup type="column" displayEmptyCellsAs="gap" negative="1" xr2:uid="{8A37884C-3B2A-4F2B-BA01-8497F3F6B2B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Formulas!C229:L229</xm:f>
              <xm:sqref>G24</xm:sqref>
            </x14:sparkline>
          </x14:sparklines>
        </x14:sparklineGroup>
        <x14:sparklineGroup type="column" displayEmptyCellsAs="gap" negative="1" xr2:uid="{A46F17DA-DED2-4627-9461-4EA502C6689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Formulas!C230:L230</xm:f>
              <xm:sqref>G25</xm:sqref>
            </x14:sparkline>
          </x14:sparklines>
        </x14:sparklineGroup>
        <x14:sparklineGroup type="column" displayEmptyCellsAs="gap" negative="1" xr2:uid="{BBA74FBE-D708-4866-8033-FE0F51465F3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Formulas!C233:L233</xm:f>
              <xm:sqref>G28</xm:sqref>
            </x14:sparkline>
          </x14:sparklines>
        </x14:sparklineGroup>
        <x14:sparklineGroup type="column" displayEmptyCellsAs="gap" negative="1" xr2:uid="{3BF69AEA-CF32-4CA0-AB15-EBE2DF8C99E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Formulas!C234:L234</xm:f>
              <xm:sqref>G29</xm:sqref>
            </x14:sparkline>
          </x14:sparklines>
        </x14:sparklineGroup>
        <x14:sparklineGroup type="column" displayEmptyCellsAs="gap" negative="1" xr2:uid="{9FAB4F4C-CCF2-47F0-B5B9-E84279569E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Formulas!C235:L235</xm:f>
              <xm:sqref>G30</xm:sqref>
            </x14:sparkline>
          </x14:sparklines>
        </x14:sparklineGroup>
        <x14:sparklineGroup type="column" displayEmptyCellsAs="gap" negative="1" xr2:uid="{7D782045-C20B-4678-9C28-CE2F7BBA287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Formulas!C218:L218</xm:f>
              <xm:sqref>G13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8F36-EF97-4E4C-A77B-D75FAEADBACC}">
  <sheetPr>
    <tabColor theme="1"/>
  </sheetPr>
  <dimension ref="A1:V324"/>
  <sheetViews>
    <sheetView zoomScaleNormal="100" workbookViewId="0"/>
  </sheetViews>
  <sheetFormatPr baseColWidth="10" defaultColWidth="9.1640625" defaultRowHeight="15" x14ac:dyDescent="0.2"/>
  <cols>
    <col min="1" max="1" width="5.83203125" style="232" customWidth="1"/>
    <col min="2" max="2" width="30.5" style="232" customWidth="1"/>
    <col min="3" max="3" width="13" style="232" bestFit="1" customWidth="1"/>
    <col min="4" max="4" width="11" style="232" bestFit="1" customWidth="1"/>
    <col min="5" max="5" width="9.33203125" style="232" bestFit="1" customWidth="1"/>
    <col min="6" max="6" width="11.83203125" style="232" customWidth="1"/>
    <col min="7" max="7" width="10" style="232" bestFit="1" customWidth="1"/>
    <col min="8" max="9" width="9.33203125" style="232" bestFit="1" customWidth="1"/>
    <col min="10" max="10" width="9.83203125" style="232" bestFit="1" customWidth="1"/>
    <col min="11" max="11" width="10.5" style="232" bestFit="1" customWidth="1"/>
    <col min="12" max="12" width="9.83203125" style="232" bestFit="1" customWidth="1"/>
    <col min="13" max="13" width="10.1640625" style="232" bestFit="1" customWidth="1"/>
    <col min="14" max="14" width="10" style="232" bestFit="1" customWidth="1"/>
    <col min="15" max="15" width="9.83203125" style="232" customWidth="1"/>
    <col min="16" max="18" width="9.83203125" style="232" bestFit="1" customWidth="1"/>
    <col min="19" max="19" width="4.5" style="232" customWidth="1"/>
    <col min="20" max="20" width="6.33203125" style="232" bestFit="1" customWidth="1"/>
    <col min="21" max="21" width="18" style="232" bestFit="1" customWidth="1"/>
    <col min="22" max="23" width="17.83203125" style="232" customWidth="1"/>
    <col min="24" max="24" width="17.33203125" style="232" customWidth="1"/>
    <col min="25" max="16384" width="9.1640625" style="232"/>
  </cols>
  <sheetData>
    <row r="1" spans="1:22" x14ac:dyDescent="0.2">
      <c r="A1" s="231" t="s">
        <v>5</v>
      </c>
      <c r="B1" s="231"/>
    </row>
    <row r="3" spans="1:22" x14ac:dyDescent="0.2">
      <c r="A3" s="232" t="str">
        <f>"Amounts in"&amp;" "&amp;Profile!F10</f>
        <v>Amounts in USD</v>
      </c>
      <c r="T3" s="232" t="s">
        <v>263</v>
      </c>
      <c r="U3" s="232" t="s">
        <v>52</v>
      </c>
      <c r="V3" s="232" t="s">
        <v>56</v>
      </c>
    </row>
    <row r="4" spans="1:22" x14ac:dyDescent="0.2">
      <c r="A4" s="232" t="s">
        <v>26</v>
      </c>
      <c r="C4" s="232" t="s">
        <v>21</v>
      </c>
      <c r="T4" s="233">
        <f>$A$19</f>
        <v>6.8323529411764714E-2</v>
      </c>
      <c r="U4" s="232">
        <f>$A$14</f>
        <v>1</v>
      </c>
      <c r="V4" s="232">
        <f>N19</f>
        <v>969880.52703452413</v>
      </c>
    </row>
    <row r="5" spans="1:22" x14ac:dyDescent="0.2">
      <c r="C5" s="232" t="s">
        <v>24</v>
      </c>
      <c r="T5" s="233">
        <f t="shared" ref="T5:T8" si="0">$A$19</f>
        <v>6.8323529411764714E-2</v>
      </c>
      <c r="U5" s="232">
        <f>$A$15</f>
        <v>2</v>
      </c>
      <c r="V5" s="232">
        <f>N20</f>
        <v>1031361.1056126092</v>
      </c>
    </row>
    <row r="6" spans="1:22" x14ac:dyDescent="0.2">
      <c r="C6" s="232" t="s">
        <v>25</v>
      </c>
      <c r="T6" s="233">
        <f t="shared" si="0"/>
        <v>6.8323529411764714E-2</v>
      </c>
      <c r="U6" s="232">
        <f>$A$16</f>
        <v>3</v>
      </c>
      <c r="V6" s="232">
        <f>N21</f>
        <v>1082621.4828956297</v>
      </c>
    </row>
    <row r="7" spans="1:22" x14ac:dyDescent="0.2">
      <c r="A7" s="234" t="s">
        <v>6</v>
      </c>
      <c r="T7" s="233">
        <f t="shared" si="0"/>
        <v>6.8323529411764714E-2</v>
      </c>
      <c r="U7" s="232">
        <f>$A$17</f>
        <v>4</v>
      </c>
      <c r="V7" s="232">
        <f>N22</f>
        <v>1125025.9397456017</v>
      </c>
    </row>
    <row r="8" spans="1:22" x14ac:dyDescent="0.2">
      <c r="A8" s="232" t="s">
        <v>22</v>
      </c>
      <c r="B8" s="234"/>
      <c r="C8" s="232">
        <f>IF((Profile!$F$9-COUNTBLANK($B2:B2))&gt;=0,1,0)</f>
        <v>1</v>
      </c>
      <c r="D8" s="232">
        <f>IF((Profile!$F$9-COUNTBLANK($B2:C2))&gt;=0,1,0)</f>
        <v>1</v>
      </c>
      <c r="E8" s="232">
        <f>IF((Profile!$F$9-COUNTBLANK($B2:D2))&gt;=0,1,0)</f>
        <v>1</v>
      </c>
      <c r="F8" s="232">
        <f>IF((Profile!$F$9-COUNTBLANK($B2:E2))&gt;=0,1,0)</f>
        <v>1</v>
      </c>
      <c r="G8" s="232">
        <f>IF((Profile!$F$9-COUNTBLANK($B2:F2))&gt;=0,1,0)</f>
        <v>1</v>
      </c>
      <c r="H8" s="232">
        <f>IF((Profile!$F$9-COUNTBLANK($B2:G2))&gt;=0,1,0)</f>
        <v>1</v>
      </c>
      <c r="I8" s="232">
        <f>IF((Profile!$F$9-COUNTBLANK($B2:H2))&gt;=0,1,0)</f>
        <v>1</v>
      </c>
      <c r="J8" s="232">
        <f>IF((Profile!$F$9-COUNTBLANK($B2:I2))&gt;=0,1,0)</f>
        <v>1</v>
      </c>
      <c r="K8" s="232">
        <f>IF((Profile!$F$9-COUNTBLANK($B2:J2))&gt;=0,1,0)</f>
        <v>1</v>
      </c>
      <c r="L8" s="232">
        <f>IF((Profile!$F$9-COUNTBLANK($B2:K2))&gt;=0,1,0)</f>
        <v>1</v>
      </c>
      <c r="T8" s="233">
        <f t="shared" si="0"/>
        <v>6.8323529411764714E-2</v>
      </c>
      <c r="U8" s="232">
        <f>$A$18</f>
        <v>5</v>
      </c>
      <c r="V8" s="232">
        <f>N23</f>
        <v>1159763.4486123947</v>
      </c>
    </row>
    <row r="9" spans="1:22" x14ac:dyDescent="0.2">
      <c r="A9" s="232" t="s">
        <v>23</v>
      </c>
      <c r="C9" s="235">
        <f>Profile!$F$8</f>
        <v>2025</v>
      </c>
      <c r="D9" s="235">
        <f>(C9+1)*D$8</f>
        <v>2026</v>
      </c>
      <c r="E9" s="235">
        <f t="shared" ref="E9:L9" si="1">(D9+1)*E$8</f>
        <v>2027</v>
      </c>
      <c r="F9" s="235">
        <f t="shared" si="1"/>
        <v>2028</v>
      </c>
      <c r="G9" s="235">
        <f t="shared" si="1"/>
        <v>2029</v>
      </c>
      <c r="H9" s="235">
        <f t="shared" si="1"/>
        <v>2030</v>
      </c>
      <c r="I9" s="235">
        <f t="shared" si="1"/>
        <v>2031</v>
      </c>
      <c r="J9" s="235">
        <f t="shared" si="1"/>
        <v>2032</v>
      </c>
      <c r="K9" s="235">
        <f t="shared" si="1"/>
        <v>2033</v>
      </c>
      <c r="L9" s="235">
        <f t="shared" si="1"/>
        <v>2034</v>
      </c>
      <c r="T9" s="233">
        <f>$A$20</f>
        <v>7.8323529411764722E-2</v>
      </c>
      <c r="U9" s="232">
        <f>$A$14</f>
        <v>1</v>
      </c>
      <c r="V9" s="232">
        <f>O19</f>
        <v>926062.76799562783</v>
      </c>
    </row>
    <row r="10" spans="1:22" x14ac:dyDescent="0.2"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T10" s="233">
        <f t="shared" ref="T10:T13" si="2">$A$20</f>
        <v>7.8323529411764722E-2</v>
      </c>
      <c r="U10" s="232">
        <f>$A$15</f>
        <v>2</v>
      </c>
      <c r="V10" s="232">
        <f>O20</f>
        <v>987543.34657371289</v>
      </c>
    </row>
    <row r="11" spans="1:22" x14ac:dyDescent="0.2">
      <c r="A11" s="234" t="s">
        <v>253</v>
      </c>
      <c r="T11" s="233">
        <f t="shared" si="2"/>
        <v>7.8323529411764722E-2</v>
      </c>
      <c r="U11" s="232">
        <f>$A$16</f>
        <v>3</v>
      </c>
      <c r="V11" s="232">
        <f>O21</f>
        <v>1038803.7238567334</v>
      </c>
    </row>
    <row r="12" spans="1:22" x14ac:dyDescent="0.2">
      <c r="A12" s="232" t="s">
        <v>36</v>
      </c>
      <c r="C12" s="232">
        <f>IF(COUNT($C8:C8)=Profile!$F$9,1,0)</f>
        <v>0</v>
      </c>
      <c r="D12" s="232">
        <f>IF(COUNT($C8:D8)=Profile!$F$9,1,0)</f>
        <v>0</v>
      </c>
      <c r="E12" s="232">
        <f>IF(COUNT($C8:E8)=Profile!$F$9,1,0)</f>
        <v>0</v>
      </c>
      <c r="F12" s="232">
        <f>IF(COUNT($C8:F8)=Profile!$F$9,1,0)</f>
        <v>0</v>
      </c>
      <c r="G12" s="232">
        <f>IF(COUNT($C8:G8)=Profile!$F$9,1,0)</f>
        <v>0</v>
      </c>
      <c r="H12" s="232">
        <f>IF(COUNT($C8:H8)=Profile!$F$9,1,0)</f>
        <v>0</v>
      </c>
      <c r="I12" s="232">
        <f>IF(COUNT($C8:I8)=Profile!$F$9,1,0)</f>
        <v>0</v>
      </c>
      <c r="J12" s="232">
        <f>IF(COUNT($C8:J8)=Profile!$F$9,1,0)</f>
        <v>0</v>
      </c>
      <c r="K12" s="232">
        <f>IF(COUNT($C8:K8)=Profile!$F$9,1,0)</f>
        <v>0</v>
      </c>
      <c r="L12" s="232">
        <f>IF(COUNT($C8:L8)=Profile!$F$9,1,0)</f>
        <v>1</v>
      </c>
      <c r="T12" s="233">
        <f t="shared" si="2"/>
        <v>7.8323529411764722E-2</v>
      </c>
      <c r="U12" s="232">
        <f>$A$17</f>
        <v>4</v>
      </c>
      <c r="V12" s="232">
        <f>O22</f>
        <v>1081208.1807067054</v>
      </c>
    </row>
    <row r="13" spans="1:22" x14ac:dyDescent="0.2">
      <c r="A13" s="232" t="s">
        <v>255</v>
      </c>
      <c r="C13" s="232">
        <v>0</v>
      </c>
      <c r="D13" s="232">
        <f>COUNT($C$8:C8)*C8</f>
        <v>1</v>
      </c>
      <c r="E13" s="232">
        <f>COUNT($C$8:D8)*D8</f>
        <v>2</v>
      </c>
      <c r="F13" s="232">
        <f>COUNT($C$8:E8)*E8</f>
        <v>3</v>
      </c>
      <c r="G13" s="232">
        <f>COUNT($C$8:F8)*F8</f>
        <v>4</v>
      </c>
      <c r="H13" s="232">
        <f>COUNT($C$8:G8)*G8</f>
        <v>5</v>
      </c>
      <c r="I13" s="232">
        <f>COUNT($C$8:H8)*H8</f>
        <v>6</v>
      </c>
      <c r="J13" s="232">
        <f>COUNT($C$8:I8)*I8</f>
        <v>7</v>
      </c>
      <c r="K13" s="232">
        <f>COUNT($C$8:J8)*J8</f>
        <v>8</v>
      </c>
      <c r="L13" s="232">
        <f>COUNT($C$8:K8)*K8</f>
        <v>9</v>
      </c>
      <c r="T13" s="233">
        <f t="shared" si="2"/>
        <v>7.8323529411764722E-2</v>
      </c>
      <c r="U13" s="232">
        <f>$A$18</f>
        <v>5</v>
      </c>
      <c r="V13" s="232">
        <f>O23</f>
        <v>1115945.6895734984</v>
      </c>
    </row>
    <row r="14" spans="1:22" x14ac:dyDescent="0.2">
      <c r="A14" s="232">
        <f>Valuation!N29</f>
        <v>1</v>
      </c>
      <c r="B14" s="232" t="s">
        <v>36</v>
      </c>
      <c r="C14" s="232">
        <f>Valuation!K$14*$A14*Formulas!C$12</f>
        <v>0</v>
      </c>
      <c r="D14" s="232">
        <f>Valuation!L$14*$A14*Formulas!D$12</f>
        <v>0</v>
      </c>
      <c r="E14" s="232">
        <f>Valuation!M$14*$A14*Formulas!E$12</f>
        <v>0</v>
      </c>
      <c r="F14" s="232">
        <f>Valuation!N$14*$A14*Formulas!F$12</f>
        <v>0</v>
      </c>
      <c r="G14" s="232">
        <f>Valuation!O$14*$A14*Formulas!G$12</f>
        <v>0</v>
      </c>
      <c r="H14" s="232">
        <f>Valuation!P$14*$A14*Formulas!H$12</f>
        <v>0</v>
      </c>
      <c r="I14" s="232">
        <f>Valuation!Q$14*$A14*Formulas!I$12</f>
        <v>0</v>
      </c>
      <c r="J14" s="232">
        <f>Valuation!R$14*$A14*Formulas!J$12</f>
        <v>0</v>
      </c>
      <c r="K14" s="232">
        <f>Valuation!S$14*$A14*Formulas!K$12</f>
        <v>0</v>
      </c>
      <c r="L14" s="232">
        <f>Valuation!T$14*$A14*Formulas!L$12</f>
        <v>132810.2842522687</v>
      </c>
      <c r="T14" s="233">
        <f>$A$21</f>
        <v>8.8323529411764717E-2</v>
      </c>
      <c r="U14" s="232">
        <f>$A$14</f>
        <v>1</v>
      </c>
      <c r="V14" s="232">
        <f>P19</f>
        <v>885558.33755389717</v>
      </c>
    </row>
    <row r="15" spans="1:22" x14ac:dyDescent="0.2">
      <c r="A15" s="232">
        <f>Valuation!N30</f>
        <v>2</v>
      </c>
      <c r="B15" s="232" t="s">
        <v>36</v>
      </c>
      <c r="C15" s="232">
        <f>Valuation!K$14*$A15*Formulas!C$12</f>
        <v>0</v>
      </c>
      <c r="D15" s="232">
        <f>Valuation!L$14*$A15*Formulas!D$12</f>
        <v>0</v>
      </c>
      <c r="E15" s="232">
        <f>Valuation!M$14*$A15*Formulas!E$12</f>
        <v>0</v>
      </c>
      <c r="F15" s="232">
        <f>Valuation!N$14*$A15*Formulas!F$12</f>
        <v>0</v>
      </c>
      <c r="G15" s="232">
        <f>Valuation!O$14*$A15*Formulas!G$12</f>
        <v>0</v>
      </c>
      <c r="H15" s="232">
        <f>Valuation!P$14*$A15*Formulas!H$12</f>
        <v>0</v>
      </c>
      <c r="I15" s="232">
        <f>Valuation!Q$14*$A15*Formulas!I$12</f>
        <v>0</v>
      </c>
      <c r="J15" s="232">
        <f>Valuation!R$14*$A15*Formulas!J$12</f>
        <v>0</v>
      </c>
      <c r="K15" s="232">
        <f>Valuation!S$14*$A15*Formulas!K$12</f>
        <v>0</v>
      </c>
      <c r="L15" s="232">
        <f>Valuation!T$14*$A15*Formulas!L$12</f>
        <v>265620.5685045374</v>
      </c>
      <c r="T15" s="233">
        <f t="shared" ref="T15:T18" si="3">$A$21</f>
        <v>8.8323529411764717E-2</v>
      </c>
      <c r="U15" s="232">
        <f>$A$15</f>
        <v>2</v>
      </c>
      <c r="V15" s="232">
        <f>P20</f>
        <v>947038.91613198223</v>
      </c>
    </row>
    <row r="16" spans="1:22" x14ac:dyDescent="0.2">
      <c r="A16" s="232">
        <f>Valuation!N31</f>
        <v>3</v>
      </c>
      <c r="B16" s="232" t="s">
        <v>36</v>
      </c>
      <c r="C16" s="232">
        <f>Valuation!K$14*$A16*Formulas!C$12</f>
        <v>0</v>
      </c>
      <c r="D16" s="232">
        <f>Valuation!L$14*$A16*Formulas!D$12</f>
        <v>0</v>
      </c>
      <c r="E16" s="232">
        <f>Valuation!M$14*$A16*Formulas!E$12</f>
        <v>0</v>
      </c>
      <c r="F16" s="232">
        <f>Valuation!N$14*$A16*Formulas!F$12</f>
        <v>0</v>
      </c>
      <c r="G16" s="232">
        <f>Valuation!O$14*$A16*Formulas!G$12</f>
        <v>0</v>
      </c>
      <c r="H16" s="232">
        <f>Valuation!P$14*$A16*Formulas!H$12</f>
        <v>0</v>
      </c>
      <c r="I16" s="232">
        <f>Valuation!Q$14*$A16*Formulas!I$12</f>
        <v>0</v>
      </c>
      <c r="J16" s="232">
        <f>Valuation!R$14*$A16*Formulas!J$12</f>
        <v>0</v>
      </c>
      <c r="K16" s="232">
        <f>Valuation!S$14*$A16*Formulas!K$12</f>
        <v>0</v>
      </c>
      <c r="L16" s="232">
        <f>Valuation!T$14*$A16*Formulas!L$12</f>
        <v>398430.85275680607</v>
      </c>
      <c r="T16" s="233">
        <f t="shared" si="3"/>
        <v>8.8323529411764717E-2</v>
      </c>
      <c r="U16" s="232">
        <f>$A$16</f>
        <v>3</v>
      </c>
      <c r="V16" s="232">
        <f>P21</f>
        <v>998299.29341500276</v>
      </c>
    </row>
    <row r="17" spans="1:22" x14ac:dyDescent="0.2">
      <c r="A17" s="232">
        <f>Valuation!N32</f>
        <v>4</v>
      </c>
      <c r="B17" s="232" t="s">
        <v>36</v>
      </c>
      <c r="C17" s="232">
        <f>Valuation!K$14*$A17*Formulas!C$12</f>
        <v>0</v>
      </c>
      <c r="D17" s="232">
        <f>Valuation!L$14*$A17*Formulas!D$12</f>
        <v>0</v>
      </c>
      <c r="E17" s="232">
        <f>Valuation!M$14*$A17*Formulas!E$12</f>
        <v>0</v>
      </c>
      <c r="F17" s="232">
        <f>Valuation!N$14*$A17*Formulas!F$12</f>
        <v>0</v>
      </c>
      <c r="G17" s="232">
        <f>Valuation!O$14*$A17*Formulas!G$12</f>
        <v>0</v>
      </c>
      <c r="H17" s="232">
        <f>Valuation!P$14*$A17*Formulas!H$12</f>
        <v>0</v>
      </c>
      <c r="I17" s="232">
        <f>Valuation!Q$14*$A17*Formulas!I$12</f>
        <v>0</v>
      </c>
      <c r="J17" s="232">
        <f>Valuation!R$14*$A17*Formulas!J$12</f>
        <v>0</v>
      </c>
      <c r="K17" s="232">
        <f>Valuation!S$14*$A17*Formulas!K$12</f>
        <v>0</v>
      </c>
      <c r="L17" s="232">
        <f>Valuation!T$14*$A17*Formulas!L$12</f>
        <v>531241.1370090748</v>
      </c>
      <c r="T17" s="233">
        <f t="shared" si="3"/>
        <v>8.8323529411764717E-2</v>
      </c>
      <c r="U17" s="232">
        <f>$A$17</f>
        <v>4</v>
      </c>
      <c r="V17" s="232">
        <f>P22</f>
        <v>1040703.7502649747</v>
      </c>
    </row>
    <row r="18" spans="1:22" x14ac:dyDescent="0.2">
      <c r="A18" s="232">
        <f>Valuation!N33</f>
        <v>5</v>
      </c>
      <c r="B18" s="232" t="s">
        <v>36</v>
      </c>
      <c r="C18" s="232">
        <f>Valuation!K$14*$A18*Formulas!C$12</f>
        <v>0</v>
      </c>
      <c r="D18" s="232">
        <f>Valuation!L$14*$A18*Formulas!D$12</f>
        <v>0</v>
      </c>
      <c r="E18" s="232">
        <f>Valuation!M$14*$A18*Formulas!E$12</f>
        <v>0</v>
      </c>
      <c r="F18" s="232">
        <f>Valuation!N$14*$A18*Formulas!F$12</f>
        <v>0</v>
      </c>
      <c r="G18" s="232">
        <f>Valuation!O$14*$A18*Formulas!G$12</f>
        <v>0</v>
      </c>
      <c r="H18" s="232">
        <f>Valuation!P$14*$A18*Formulas!H$12</f>
        <v>0</v>
      </c>
      <c r="I18" s="232">
        <f>Valuation!Q$14*$A18*Formulas!I$12</f>
        <v>0</v>
      </c>
      <c r="J18" s="232">
        <f>Valuation!R$14*$A18*Formulas!J$12</f>
        <v>0</v>
      </c>
      <c r="K18" s="232">
        <f>Valuation!S$14*$A18*Formulas!K$12</f>
        <v>0</v>
      </c>
      <c r="L18" s="232">
        <f>Valuation!T$14*$A18*Formulas!L$12</f>
        <v>664051.42126134352</v>
      </c>
      <c r="M18" s="232">
        <f>Valuation!$K$33</f>
        <v>-112720.59801668304</v>
      </c>
      <c r="N18" s="232" cm="1">
        <f t="array" ref="N18:R18">TRANSPOSE(M24:M28)</f>
        <v>783893.24044602551</v>
      </c>
      <c r="O18" s="232">
        <v>740075.48140712921</v>
      </c>
      <c r="P18" s="232">
        <v>699571.05096539855</v>
      </c>
      <c r="Q18" s="232">
        <v>662088.62203989201</v>
      </c>
      <c r="R18" s="232">
        <v>627365.44995830639</v>
      </c>
      <c r="T18" s="233">
        <f t="shared" si="3"/>
        <v>8.8323529411764717E-2</v>
      </c>
      <c r="U18" s="232">
        <f>$A$18</f>
        <v>5</v>
      </c>
      <c r="V18" s="232">
        <f>P23</f>
        <v>1075441.2591317678</v>
      </c>
    </row>
    <row r="19" spans="1:22" x14ac:dyDescent="0.2">
      <c r="A19" s="233">
        <f>Valuation!P28</f>
        <v>6.8323529411764714E-2</v>
      </c>
      <c r="B19" s="232" t="s">
        <v>256</v>
      </c>
      <c r="C19" s="232">
        <f>C14/(1+$A19)^Formulas!C$13</f>
        <v>0</v>
      </c>
      <c r="D19" s="232">
        <f>D14/(1+$A19)^Formulas!D$13</f>
        <v>0</v>
      </c>
      <c r="E19" s="232">
        <f>E14/(1+$A19)^Formulas!E$13</f>
        <v>0</v>
      </c>
      <c r="F19" s="232">
        <f>F14/(1+$A19)^Formulas!F$13</f>
        <v>0</v>
      </c>
      <c r="G19" s="232">
        <f>G14/(1+$A19)^Formulas!G$13</f>
        <v>0</v>
      </c>
      <c r="H19" s="232">
        <f>H14/(1+$A19)^Formulas!H$13</f>
        <v>0</v>
      </c>
      <c r="I19" s="232">
        <f>I14/(1+$A19)^Formulas!I$13</f>
        <v>0</v>
      </c>
      <c r="J19" s="232">
        <f>J14/(1+$A19)^Formulas!J$13</f>
        <v>0</v>
      </c>
      <c r="K19" s="232">
        <f>K14/(1+$A19)^Formulas!K$13</f>
        <v>0</v>
      </c>
      <c r="L19" s="232">
        <f>L14/(1+$A19)^Formulas!L$13</f>
        <v>73266.688571815655</v>
      </c>
      <c r="M19" s="232">
        <f t="shared" ref="M19:M28" si="4">SUM(C19:L19)</f>
        <v>73266.688571815655</v>
      </c>
      <c r="N19" s="232">
        <f>N$18+$M19-$M$18</f>
        <v>969880.52703452413</v>
      </c>
      <c r="O19" s="232">
        <f t="shared" ref="O19:R23" si="5">O$18+$M19-$M$18</f>
        <v>926062.76799562783</v>
      </c>
      <c r="P19" s="232">
        <f t="shared" si="5"/>
        <v>885558.33755389717</v>
      </c>
      <c r="Q19" s="232">
        <f t="shared" si="5"/>
        <v>848075.90862839064</v>
      </c>
      <c r="R19" s="232">
        <f t="shared" si="5"/>
        <v>813352.73654680501</v>
      </c>
      <c r="T19" s="233">
        <f>$A$22</f>
        <v>9.8323529411764712E-2</v>
      </c>
      <c r="U19" s="232">
        <f>$A$14</f>
        <v>1</v>
      </c>
      <c r="V19" s="232">
        <f>Q19</f>
        <v>848075.90862839064</v>
      </c>
    </row>
    <row r="20" spans="1:22" x14ac:dyDescent="0.2">
      <c r="A20" s="233">
        <f>Valuation!Q28</f>
        <v>7.8323529411764722E-2</v>
      </c>
      <c r="B20" s="232" t="s">
        <v>256</v>
      </c>
      <c r="C20" s="232">
        <f>C15/(1+$A20)^Formulas!C$13</f>
        <v>0</v>
      </c>
      <c r="D20" s="232">
        <f>D15/(1+$A20)^Formulas!D$13</f>
        <v>0</v>
      </c>
      <c r="E20" s="232">
        <f>E15/(1+$A20)^Formulas!E$13</f>
        <v>0</v>
      </c>
      <c r="F20" s="232">
        <f>F15/(1+$A20)^Formulas!F$13</f>
        <v>0</v>
      </c>
      <c r="G20" s="232">
        <f>G15/(1+$A20)^Formulas!G$13</f>
        <v>0</v>
      </c>
      <c r="H20" s="232">
        <f>H15/(1+$A20)^Formulas!H$13</f>
        <v>0</v>
      </c>
      <c r="I20" s="232">
        <f>I15/(1+$A20)^Formulas!I$13</f>
        <v>0</v>
      </c>
      <c r="J20" s="232">
        <f>J15/(1+$A20)^Formulas!J$13</f>
        <v>0</v>
      </c>
      <c r="K20" s="232">
        <f>K15/(1+$A20)^Formulas!K$13</f>
        <v>0</v>
      </c>
      <c r="L20" s="232">
        <f>L15/(1+$A20)^Formulas!L$13</f>
        <v>134747.26714990067</v>
      </c>
      <c r="M20" s="232">
        <f t="shared" si="4"/>
        <v>134747.26714990067</v>
      </c>
      <c r="N20" s="232">
        <f t="shared" ref="N20:N23" si="6">N$18+$M20-$M$18</f>
        <v>1031361.1056126092</v>
      </c>
      <c r="O20" s="232">
        <f t="shared" si="5"/>
        <v>987543.34657371289</v>
      </c>
      <c r="P20" s="232">
        <f t="shared" si="5"/>
        <v>947038.91613198223</v>
      </c>
      <c r="Q20" s="232">
        <f t="shared" si="5"/>
        <v>909556.48720647569</v>
      </c>
      <c r="R20" s="232">
        <f t="shared" si="5"/>
        <v>874833.31512489007</v>
      </c>
      <c r="T20" s="233">
        <f t="shared" ref="T20:T22" si="7">$A$22</f>
        <v>9.8323529411764712E-2</v>
      </c>
      <c r="U20" s="232">
        <f>$A$15</f>
        <v>2</v>
      </c>
      <c r="V20" s="232">
        <f>Q20</f>
        <v>909556.48720647569</v>
      </c>
    </row>
    <row r="21" spans="1:22" x14ac:dyDescent="0.2">
      <c r="A21" s="233">
        <f>Valuation!R28</f>
        <v>8.8323529411764717E-2</v>
      </c>
      <c r="B21" s="232" t="s">
        <v>256</v>
      </c>
      <c r="C21" s="232">
        <f>C16/(1+$A21)^Formulas!C$13</f>
        <v>0</v>
      </c>
      <c r="D21" s="232">
        <f>D16/(1+$A21)^Formulas!D$13</f>
        <v>0</v>
      </c>
      <c r="E21" s="232">
        <f>E16/(1+$A21)^Formulas!E$13</f>
        <v>0</v>
      </c>
      <c r="F21" s="232">
        <f>F16/(1+$A21)^Formulas!F$13</f>
        <v>0</v>
      </c>
      <c r="G21" s="232">
        <f>G16/(1+$A21)^Formulas!G$13</f>
        <v>0</v>
      </c>
      <c r="H21" s="232">
        <f>H16/(1+$A21)^Formulas!H$13</f>
        <v>0</v>
      </c>
      <c r="I21" s="232">
        <f>I16/(1+$A21)^Formulas!I$13</f>
        <v>0</v>
      </c>
      <c r="J21" s="232">
        <f>J16/(1+$A21)^Formulas!J$13</f>
        <v>0</v>
      </c>
      <c r="K21" s="232">
        <f>K16/(1+$A21)^Formulas!K$13</f>
        <v>0</v>
      </c>
      <c r="L21" s="232">
        <f>L16/(1+$A21)^Formulas!L$13</f>
        <v>186007.64443292117</v>
      </c>
      <c r="M21" s="232">
        <f t="shared" si="4"/>
        <v>186007.64443292117</v>
      </c>
      <c r="N21" s="232">
        <f t="shared" si="6"/>
        <v>1082621.4828956297</v>
      </c>
      <c r="O21" s="232">
        <f t="shared" si="5"/>
        <v>1038803.7238567334</v>
      </c>
      <c r="P21" s="232">
        <f t="shared" si="5"/>
        <v>998299.29341500276</v>
      </c>
      <c r="Q21" s="232">
        <f t="shared" si="5"/>
        <v>960816.86448949622</v>
      </c>
      <c r="R21" s="232">
        <f t="shared" si="5"/>
        <v>926093.6924079106</v>
      </c>
      <c r="T21" s="233">
        <f t="shared" si="7"/>
        <v>9.8323529411764712E-2</v>
      </c>
      <c r="U21" s="232">
        <f>$A$16</f>
        <v>3</v>
      </c>
      <c r="V21" s="232">
        <f>Q21</f>
        <v>960816.86448949622</v>
      </c>
    </row>
    <row r="22" spans="1:22" x14ac:dyDescent="0.2">
      <c r="A22" s="233">
        <f>Valuation!S28</f>
        <v>9.8323529411764712E-2</v>
      </c>
      <c r="B22" s="232" t="s">
        <v>256</v>
      </c>
      <c r="C22" s="232">
        <f>C17/(1+$A22)^Formulas!C$13</f>
        <v>0</v>
      </c>
      <c r="D22" s="232">
        <f>D17/(1+$A22)^Formulas!D$13</f>
        <v>0</v>
      </c>
      <c r="E22" s="232">
        <f>E17/(1+$A22)^Formulas!E$13</f>
        <v>0</v>
      </c>
      <c r="F22" s="232">
        <f>F17/(1+$A22)^Formulas!F$13</f>
        <v>0</v>
      </c>
      <c r="G22" s="232">
        <f>G17/(1+$A22)^Formulas!G$13</f>
        <v>0</v>
      </c>
      <c r="H22" s="232">
        <f>H17/(1+$A22)^Formulas!H$13</f>
        <v>0</v>
      </c>
      <c r="I22" s="232">
        <f>I17/(1+$A22)^Formulas!I$13</f>
        <v>0</v>
      </c>
      <c r="J22" s="232">
        <f>J17/(1+$A22)^Formulas!J$13</f>
        <v>0</v>
      </c>
      <c r="K22" s="232">
        <f>K17/(1+$A22)^Formulas!K$13</f>
        <v>0</v>
      </c>
      <c r="L22" s="232">
        <f>L17/(1+$A22)^Formulas!L$13</f>
        <v>228412.10128289313</v>
      </c>
      <c r="M22" s="232">
        <f t="shared" si="4"/>
        <v>228412.10128289313</v>
      </c>
      <c r="N22" s="232">
        <f t="shared" si="6"/>
        <v>1125025.9397456017</v>
      </c>
      <c r="O22" s="232">
        <f t="shared" si="5"/>
        <v>1081208.1807067054</v>
      </c>
      <c r="P22" s="232">
        <f t="shared" si="5"/>
        <v>1040703.7502649747</v>
      </c>
      <c r="Q22" s="232">
        <f t="shared" si="5"/>
        <v>1003221.3213394681</v>
      </c>
      <c r="R22" s="232">
        <f t="shared" si="5"/>
        <v>968498.1492578825</v>
      </c>
      <c r="T22" s="233">
        <f t="shared" si="7"/>
        <v>9.8323529411764712E-2</v>
      </c>
      <c r="U22" s="232">
        <f>$A$17</f>
        <v>4</v>
      </c>
      <c r="V22" s="232">
        <f>Q22</f>
        <v>1003221.3213394681</v>
      </c>
    </row>
    <row r="23" spans="1:22" x14ac:dyDescent="0.2">
      <c r="A23" s="233">
        <f>Valuation!T28</f>
        <v>0.10832352941176472</v>
      </c>
      <c r="B23" s="232" t="s">
        <v>256</v>
      </c>
      <c r="C23" s="232">
        <f>C18/(1+$A23)^Formulas!C$13</f>
        <v>0</v>
      </c>
      <c r="D23" s="232">
        <f>D18/(1+$A23)^Formulas!D$13</f>
        <v>0</v>
      </c>
      <c r="E23" s="232">
        <f>E18/(1+$A23)^Formulas!E$13</f>
        <v>0</v>
      </c>
      <c r="F23" s="232">
        <f>F18/(1+$A23)^Formulas!F$13</f>
        <v>0</v>
      </c>
      <c r="G23" s="232">
        <f>G18/(1+$A23)^Formulas!G$13</f>
        <v>0</v>
      </c>
      <c r="H23" s="232">
        <f>H18/(1+$A23)^Formulas!H$13</f>
        <v>0</v>
      </c>
      <c r="I23" s="232">
        <f>I18/(1+$A23)^Formulas!I$13</f>
        <v>0</v>
      </c>
      <c r="J23" s="232">
        <f>J18/(1+$A23)^Formulas!J$13</f>
        <v>0</v>
      </c>
      <c r="K23" s="232">
        <f>K18/(1+$A23)^Formulas!K$13</f>
        <v>0</v>
      </c>
      <c r="L23" s="232">
        <f>L18/(1+$A23)^Formulas!L$13</f>
        <v>263149.61014968622</v>
      </c>
      <c r="M23" s="232">
        <f t="shared" si="4"/>
        <v>263149.61014968622</v>
      </c>
      <c r="N23" s="232">
        <f t="shared" si="6"/>
        <v>1159763.4486123947</v>
      </c>
      <c r="O23" s="232">
        <f t="shared" si="5"/>
        <v>1115945.6895734984</v>
      </c>
      <c r="P23" s="232">
        <f t="shared" si="5"/>
        <v>1075441.2591317678</v>
      </c>
      <c r="Q23" s="232">
        <f t="shared" si="5"/>
        <v>1037958.8302062612</v>
      </c>
      <c r="R23" s="232">
        <f t="shared" si="5"/>
        <v>1003235.6581246756</v>
      </c>
      <c r="T23" s="233">
        <f>$A$22</f>
        <v>9.8323529411764712E-2</v>
      </c>
      <c r="U23" s="232">
        <f>$A$18</f>
        <v>5</v>
      </c>
      <c r="V23" s="232">
        <f>Q23</f>
        <v>1037958.8302062612</v>
      </c>
    </row>
    <row r="24" spans="1:22" x14ac:dyDescent="0.2">
      <c r="A24" s="233">
        <f>Valuation!P28</f>
        <v>6.8323529411764714E-2</v>
      </c>
      <c r="B24" s="232" t="s">
        <v>257</v>
      </c>
      <c r="C24" s="232">
        <f>Valuation!K$19/(1+Formulas!$A24)^Formulas!C$13</f>
        <v>21473.719150051773</v>
      </c>
      <c r="D24" s="232">
        <f>Valuation!L$19/(1+Formulas!$A24)^Formulas!D$13</f>
        <v>41327.922781105146</v>
      </c>
      <c r="E24" s="232">
        <f>Valuation!M$19/(1+Formulas!$A24)^Formulas!E$13</f>
        <v>52535.404898646157</v>
      </c>
      <c r="F24" s="232">
        <f>Valuation!N$19/(1+Formulas!$A24)^Formulas!F$13</f>
        <v>57004.320217233013</v>
      </c>
      <c r="G24" s="232">
        <f>Valuation!O$19/(1+Formulas!$A24)^Formulas!G$13</f>
        <v>59339.419544874712</v>
      </c>
      <c r="H24" s="232">
        <f>Valuation!P$19/(1+Formulas!$A24)^Formulas!H$13</f>
        <v>65627.173339863308</v>
      </c>
      <c r="I24" s="232">
        <f>Valuation!Q$19/(1+Formulas!$A24)^Formulas!I$13</f>
        <v>61985.449265448864</v>
      </c>
      <c r="J24" s="232">
        <f>Valuation!R$19/(1+Formulas!$A24)^Formulas!J$13</f>
        <v>70426.246850424141</v>
      </c>
      <c r="K24" s="232">
        <f>Valuation!S$19/(1+Formulas!$A24)^Formulas!K$13</f>
        <v>66013.927497919081</v>
      </c>
      <c r="L24" s="232">
        <f>Valuation!T$19/(1+Formulas!$A24)^Formulas!L$13</f>
        <v>288159.65690045938</v>
      </c>
      <c r="M24" s="232">
        <f t="shared" si="4"/>
        <v>783893.24044602551</v>
      </c>
      <c r="T24" s="233">
        <f>$A$23</f>
        <v>0.10832352941176472</v>
      </c>
      <c r="U24" s="232">
        <f>$A$14</f>
        <v>1</v>
      </c>
      <c r="V24" s="232">
        <f>R19</f>
        <v>813352.73654680501</v>
      </c>
    </row>
    <row r="25" spans="1:22" x14ac:dyDescent="0.2">
      <c r="A25" s="233">
        <f>Valuation!Q28</f>
        <v>7.8323529411764722E-2</v>
      </c>
      <c r="B25" s="232" t="s">
        <v>257</v>
      </c>
      <c r="C25" s="232">
        <f>Valuation!K$19/(1+Formulas!$A25)^Formulas!C$13</f>
        <v>21473.719150051773</v>
      </c>
      <c r="D25" s="232">
        <f>Valuation!L$19/(1+Formulas!$A25)^Formulas!D$13</f>
        <v>40944.661898319348</v>
      </c>
      <c r="E25" s="232">
        <f>Valuation!M$19/(1+Formulas!$A25)^Formulas!E$13</f>
        <v>51565.532576069301</v>
      </c>
      <c r="F25" s="232">
        <f>Valuation!N$19/(1+Formulas!$A25)^Formulas!F$13</f>
        <v>55433.066847493974</v>
      </c>
      <c r="G25" s="232">
        <f>Valuation!O$19/(1+Formulas!$A25)^Formulas!G$13</f>
        <v>57168.676927384979</v>
      </c>
      <c r="H25" s="232">
        <f>Valuation!P$19/(1+Formulas!$A25)^Formulas!H$13</f>
        <v>62640.073465826201</v>
      </c>
      <c r="I25" s="232">
        <f>Valuation!Q$19/(1+Formulas!$A25)^Formulas!I$13</f>
        <v>58615.439356953757</v>
      </c>
      <c r="J25" s="232">
        <f>Valuation!R$19/(1+Formulas!$A25)^Formulas!J$13</f>
        <v>65979.729065578082</v>
      </c>
      <c r="K25" s="232">
        <f>Valuation!S$19/(1+Formulas!$A25)^Formulas!K$13</f>
        <v>61272.452948087688</v>
      </c>
      <c r="L25" s="232">
        <f>Valuation!T$19/(1+Formulas!$A25)^Formulas!L$13</f>
        <v>264982.12917136407</v>
      </c>
      <c r="M25" s="232">
        <f t="shared" si="4"/>
        <v>740075.48140712921</v>
      </c>
      <c r="T25" s="233">
        <f t="shared" ref="T25:T28" si="8">$A$23</f>
        <v>0.10832352941176472</v>
      </c>
      <c r="U25" s="232">
        <f>$A$15</f>
        <v>2</v>
      </c>
      <c r="V25" s="232">
        <f>R20</f>
        <v>874833.31512489007</v>
      </c>
    </row>
    <row r="26" spans="1:22" x14ac:dyDescent="0.2">
      <c r="A26" s="233">
        <f>Valuation!R28</f>
        <v>8.8323529411764717E-2</v>
      </c>
      <c r="B26" s="232" t="s">
        <v>257</v>
      </c>
      <c r="C26" s="232">
        <f>Valuation!K$19/(1+Formulas!$A26)^Formulas!C$13</f>
        <v>21473.719150051773</v>
      </c>
      <c r="D26" s="232">
        <f>Valuation!L$19/(1+Formulas!$A26)^Formulas!D$13</f>
        <v>40568.444157989412</v>
      </c>
      <c r="E26" s="232">
        <f>Valuation!M$19/(1+Formulas!$A26)^Formulas!E$13</f>
        <v>50622.272090008446</v>
      </c>
      <c r="F26" s="232">
        <f>Valuation!N$19/(1+Formulas!$A26)^Formulas!F$13</f>
        <v>53919.033150310614</v>
      </c>
      <c r="G26" s="232">
        <f>Valuation!O$19/(1+Formulas!$A26)^Formulas!G$13</f>
        <v>55096.29480460794</v>
      </c>
      <c r="H26" s="232">
        <f>Valuation!P$19/(1+Formulas!$A26)^Formulas!H$13</f>
        <v>59814.651118837704</v>
      </c>
      <c r="I26" s="232">
        <f>Valuation!Q$19/(1+Formulas!$A26)^Formulas!I$13</f>
        <v>55457.259348860607</v>
      </c>
      <c r="J26" s="232">
        <f>Valuation!R$19/(1+Formulas!$A26)^Formulas!J$13</f>
        <v>61851.177167684073</v>
      </c>
      <c r="K26" s="232">
        <f>Valuation!S$19/(1+Formulas!$A26)^Formulas!K$13</f>
        <v>56910.679615595502</v>
      </c>
      <c r="L26" s="232">
        <f>Valuation!T$19/(1+Formulas!$A26)^Formulas!L$13</f>
        <v>243857.52036145257</v>
      </c>
      <c r="M26" s="232">
        <f t="shared" si="4"/>
        <v>699571.05096539855</v>
      </c>
      <c r="T26" s="233">
        <f t="shared" si="8"/>
        <v>0.10832352941176472</v>
      </c>
      <c r="U26" s="232">
        <f>$A$16</f>
        <v>3</v>
      </c>
      <c r="V26" s="232">
        <f>R21</f>
        <v>926093.6924079106</v>
      </c>
    </row>
    <row r="27" spans="1:22" x14ac:dyDescent="0.2">
      <c r="A27" s="233">
        <f>Valuation!S28</f>
        <v>9.8323529411764712E-2</v>
      </c>
      <c r="B27" s="232" t="s">
        <v>257</v>
      </c>
      <c r="C27" s="232">
        <f>Valuation!K$19/(1+Formulas!$A27)^Formulas!C$13</f>
        <v>21473.719150051773</v>
      </c>
      <c r="D27" s="232">
        <f>Valuation!L$19/(1+Formulas!$A27)^Formulas!D$13</f>
        <v>40199.077181214205</v>
      </c>
      <c r="E27" s="232">
        <f>Valuation!M$19/(1+Formulas!$A27)^Formulas!E$13</f>
        <v>49704.658685952803</v>
      </c>
      <c r="F27" s="232">
        <f>Valuation!N$19/(1+Formulas!$A27)^Formulas!F$13</f>
        <v>52459.637979227518</v>
      </c>
      <c r="G27" s="232">
        <f>Valuation!O$19/(1+Formulas!$A27)^Formulas!G$13</f>
        <v>53116.973033966962</v>
      </c>
      <c r="H27" s="232">
        <f>Valuation!P$19/(1+Formulas!$A27)^Formulas!H$13</f>
        <v>57140.788532538558</v>
      </c>
      <c r="I27" s="232">
        <f>Valuation!Q$19/(1+Formulas!$A27)^Formulas!I$13</f>
        <v>52495.82794820502</v>
      </c>
      <c r="J27" s="232">
        <f>Valuation!R$19/(1+Formulas!$A27)^Formulas!J$13</f>
        <v>58015.239183203354</v>
      </c>
      <c r="K27" s="232">
        <f>Valuation!S$19/(1+Formulas!$A27)^Formulas!K$13</f>
        <v>52895.121663454956</v>
      </c>
      <c r="L27" s="232">
        <f>Valuation!T$19/(1+Formulas!$A27)^Formulas!L$13</f>
        <v>224587.57868207683</v>
      </c>
      <c r="M27" s="232">
        <f t="shared" si="4"/>
        <v>662088.62203989201</v>
      </c>
      <c r="T27" s="233">
        <f t="shared" si="8"/>
        <v>0.10832352941176472</v>
      </c>
      <c r="U27" s="232">
        <f>$A$17</f>
        <v>4</v>
      </c>
      <c r="V27" s="232">
        <f>R22</f>
        <v>968498.1492578825</v>
      </c>
    </row>
    <row r="28" spans="1:22" x14ac:dyDescent="0.2">
      <c r="A28" s="233">
        <f>Valuation!T28</f>
        <v>0.10832352941176472</v>
      </c>
      <c r="B28" s="232" t="s">
        <v>257</v>
      </c>
      <c r="C28" s="232">
        <f>Valuation!K$19/(1+Formulas!$A28)^Formulas!C$13</f>
        <v>21473.719150051773</v>
      </c>
      <c r="D28" s="232">
        <f>Valuation!L$19/(1+Formulas!$A28)^Formulas!D$13</f>
        <v>39836.375532151957</v>
      </c>
      <c r="E28" s="232">
        <f>Valuation!M$19/(1+Formulas!$A28)^Formulas!E$13</f>
        <v>48811.770935283472</v>
      </c>
      <c r="F28" s="232">
        <f>Valuation!N$19/(1+Formulas!$A28)^Formulas!F$13</f>
        <v>51052.438657505503</v>
      </c>
      <c r="G28" s="232">
        <f>Valuation!O$19/(1+Formulas!$A28)^Formulas!G$13</f>
        <v>51225.741697685291</v>
      </c>
      <c r="H28" s="232">
        <f>Valuation!P$19/(1+Formulas!$A28)^Formulas!H$13</f>
        <v>54609.085131664615</v>
      </c>
      <c r="I28" s="232">
        <f>Valuation!Q$19/(1+Formulas!$A28)^Formulas!I$13</f>
        <v>49717.261099978168</v>
      </c>
      <c r="J28" s="232">
        <f>Valuation!R$19/(1+Formulas!$A28)^Formulas!J$13</f>
        <v>54448.789282695543</v>
      </c>
      <c r="K28" s="232">
        <f>Valuation!S$19/(1+Formulas!$A28)^Formulas!K$13</f>
        <v>49195.513140165953</v>
      </c>
      <c r="L28" s="232">
        <f>Valuation!T$19/(1+Formulas!$A28)^Formulas!L$13</f>
        <v>206994.75533112409</v>
      </c>
      <c r="M28" s="232">
        <f t="shared" si="4"/>
        <v>627365.44995830639</v>
      </c>
      <c r="T28" s="233">
        <f t="shared" si="8"/>
        <v>0.10832352941176472</v>
      </c>
      <c r="U28" s="232">
        <f>$A$18</f>
        <v>5</v>
      </c>
      <c r="V28" s="232">
        <f>R23</f>
        <v>1003235.6581246756</v>
      </c>
    </row>
    <row r="29" spans="1:22" x14ac:dyDescent="0.2">
      <c r="A29" s="233"/>
      <c r="T29" s="233"/>
    </row>
    <row r="30" spans="1:22" x14ac:dyDescent="0.2">
      <c r="C30" s="232" t="s">
        <v>252</v>
      </c>
      <c r="D30" s="232" t="s">
        <v>252</v>
      </c>
      <c r="E30" s="232" t="s">
        <v>252</v>
      </c>
      <c r="F30" s="232" t="s">
        <v>252</v>
      </c>
      <c r="G30" s="232" t="s">
        <v>252</v>
      </c>
      <c r="H30" s="232" t="s">
        <v>252</v>
      </c>
      <c r="I30" s="232" t="s">
        <v>252</v>
      </c>
      <c r="J30" s="232" t="s">
        <v>252</v>
      </c>
      <c r="K30" s="232" t="s">
        <v>252</v>
      </c>
      <c r="L30" s="232" t="s">
        <v>252</v>
      </c>
      <c r="T30" s="233"/>
    </row>
    <row r="31" spans="1:22" x14ac:dyDescent="0.2">
      <c r="A31" s="236"/>
      <c r="B31" s="232" t="s">
        <v>255</v>
      </c>
      <c r="C31" s="235">
        <f t="shared" ref="C31:L31" si="9">C9</f>
        <v>2025</v>
      </c>
      <c r="D31" s="235">
        <f t="shared" si="9"/>
        <v>2026</v>
      </c>
      <c r="E31" s="235">
        <f t="shared" si="9"/>
        <v>2027</v>
      </c>
      <c r="F31" s="235">
        <f t="shared" si="9"/>
        <v>2028</v>
      </c>
      <c r="G31" s="235">
        <f t="shared" si="9"/>
        <v>2029</v>
      </c>
      <c r="H31" s="235">
        <f t="shared" si="9"/>
        <v>2030</v>
      </c>
      <c r="I31" s="235">
        <f t="shared" si="9"/>
        <v>2031</v>
      </c>
      <c r="J31" s="235">
        <f t="shared" si="9"/>
        <v>2032</v>
      </c>
      <c r="K31" s="235">
        <f t="shared" si="9"/>
        <v>2033</v>
      </c>
      <c r="L31" s="235">
        <f t="shared" si="9"/>
        <v>2034</v>
      </c>
      <c r="T31" s="233"/>
    </row>
    <row r="32" spans="1:22" x14ac:dyDescent="0.2">
      <c r="A32" s="236"/>
      <c r="B32" s="232" t="s">
        <v>264</v>
      </c>
      <c r="C32" s="232">
        <f>Summary!E16</f>
        <v>172720.59801668304</v>
      </c>
      <c r="D32" s="232">
        <f>Summary!F16</f>
        <v>201830.78584545015</v>
      </c>
      <c r="E32" s="232">
        <f>Summary!G16</f>
        <v>244850.40707036451</v>
      </c>
      <c r="F32" s="232">
        <f>Summary!H16</f>
        <v>295788.437294451</v>
      </c>
      <c r="G32" s="232">
        <f>Summary!I16</f>
        <v>353977.77857619163</v>
      </c>
      <c r="H32" s="232">
        <f>Summary!J16</f>
        <v>424755.89334532525</v>
      </c>
      <c r="I32" s="232">
        <f>Summary!K16</f>
        <v>495824.64514436235</v>
      </c>
      <c r="J32" s="232">
        <f>Summary!L16</f>
        <v>584949.77247521502</v>
      </c>
      <c r="K32" s="232">
        <f>Summary!M16</f>
        <v>673781.38831109076</v>
      </c>
      <c r="L32" s="232">
        <f>Summary!N16</f>
        <v>773696.05955033994</v>
      </c>
      <c r="T32" s="233"/>
    </row>
    <row r="33" spans="1:20" x14ac:dyDescent="0.2">
      <c r="A33" s="236"/>
      <c r="B33" s="233" t="s">
        <v>265</v>
      </c>
      <c r="C33" s="232">
        <f>C32</f>
        <v>172720.59801668304</v>
      </c>
      <c r="D33" s="232">
        <f t="shared" ref="D33:L33" si="10">D32-C32</f>
        <v>29110.187828767113</v>
      </c>
      <c r="E33" s="232">
        <f t="shared" si="10"/>
        <v>43019.621224914357</v>
      </c>
      <c r="F33" s="232">
        <f t="shared" si="10"/>
        <v>50938.030224086484</v>
      </c>
      <c r="G33" s="232">
        <f t="shared" si="10"/>
        <v>58189.341281740635</v>
      </c>
      <c r="H33" s="232">
        <f t="shared" si="10"/>
        <v>70778.114769133623</v>
      </c>
      <c r="I33" s="232">
        <f t="shared" si="10"/>
        <v>71068.751799037098</v>
      </c>
      <c r="J33" s="232">
        <f t="shared" si="10"/>
        <v>89125.127330852672</v>
      </c>
      <c r="K33" s="232">
        <f t="shared" si="10"/>
        <v>88831.615835875738</v>
      </c>
      <c r="L33" s="232">
        <f t="shared" si="10"/>
        <v>99914.671239249175</v>
      </c>
      <c r="T33" s="233"/>
    </row>
    <row r="34" spans="1:20" x14ac:dyDescent="0.2">
      <c r="A34" s="234"/>
      <c r="B34" s="232" t="s">
        <v>10</v>
      </c>
      <c r="C34" s="232">
        <f>Summary!E9</f>
        <v>444500</v>
      </c>
      <c r="D34" s="232">
        <f>Summary!F9</f>
        <v>471170</v>
      </c>
      <c r="E34" s="232">
        <f>Summary!G9</f>
        <v>494728.5</v>
      </c>
      <c r="F34" s="232">
        <f>Summary!H9</f>
        <v>514517.64</v>
      </c>
      <c r="G34" s="232">
        <f>Summary!I9</f>
        <v>529953.1692</v>
      </c>
      <c r="H34" s="232">
        <f>Summary!J9</f>
        <v>545851.76427599997</v>
      </c>
      <c r="I34" s="232">
        <f>Summary!K9</f>
        <v>556768.79956151999</v>
      </c>
      <c r="J34" s="232">
        <f>Summary!L9</f>
        <v>567904.17555275036</v>
      </c>
      <c r="K34" s="232">
        <f>Summary!M9</f>
        <v>579262.25906380534</v>
      </c>
      <c r="L34" s="232">
        <f>Summary!N9</f>
        <v>590847.50424508145</v>
      </c>
    </row>
    <row r="35" spans="1:20" x14ac:dyDescent="0.2">
      <c r="A35" s="234"/>
      <c r="B35" s="232" t="s">
        <v>13</v>
      </c>
      <c r="C35" s="232" cm="1">
        <f t="array" ref="C35:L35">Summary!$E$12:$N$12</f>
        <v>104801.5</v>
      </c>
      <c r="D35" s="232">
        <v>73784.290000000008</v>
      </c>
      <c r="E35" s="232">
        <v>94091.71699999999</v>
      </c>
      <c r="F35" s="232">
        <v>111545.73848000003</v>
      </c>
      <c r="G35" s="232">
        <v>120091.87648039995</v>
      </c>
      <c r="H35" s="232">
        <v>137161.66806033198</v>
      </c>
      <c r="I35" s="232">
        <v>144388.74541934626</v>
      </c>
      <c r="J35" s="232">
        <v>160334.60383878814</v>
      </c>
      <c r="K35" s="232">
        <v>165241.29591556388</v>
      </c>
      <c r="L35" s="232">
        <v>173200.35935510058</v>
      </c>
    </row>
    <row r="36" spans="1:20" x14ac:dyDescent="0.2">
      <c r="A36" s="234"/>
      <c r="B36" s="232" t="s">
        <v>18</v>
      </c>
      <c r="C36" s="237">
        <f>Summary!E18</f>
        <v>0.64629786722905957</v>
      </c>
      <c r="D36" s="237">
        <f>Summary!F18</f>
        <v>0.60971496908401845</v>
      </c>
      <c r="E36" s="237">
        <f>Summary!G18</f>
        <v>0.58068092293716045</v>
      </c>
      <c r="F36" s="237">
        <f>Summary!H18</f>
        <v>0.5583470412857312</v>
      </c>
      <c r="G36" s="237">
        <f>Summary!I18</f>
        <v>0.54208450610265169</v>
      </c>
      <c r="H36" s="237">
        <f>Summary!J18</f>
        <v>0.52629563699286575</v>
      </c>
      <c r="I36" s="237">
        <f>Summary!K18</f>
        <v>0.51597611469888793</v>
      </c>
      <c r="J36" s="237">
        <f>Summary!L18</f>
        <v>0.50585893597930198</v>
      </c>
      <c r="K36" s="237">
        <f>Summary!M18</f>
        <v>0.49594013331304115</v>
      </c>
      <c r="L36" s="237">
        <f>Summary!N18</f>
        <v>0.48621581697356975</v>
      </c>
    </row>
    <row r="37" spans="1:20" x14ac:dyDescent="0.2">
      <c r="A37" s="234"/>
      <c r="B37" s="232" t="s">
        <v>248</v>
      </c>
      <c r="C37" s="237">
        <f>Summary!E19</f>
        <v>2.7411764333842261</v>
      </c>
      <c r="D37" s="237">
        <f>Summary!F19</f>
        <v>3.8935036439778301</v>
      </c>
      <c r="E37" s="237">
        <f>Summary!G19</f>
        <v>3.0531848194811562</v>
      </c>
      <c r="F37" s="237">
        <f>Summary!H19</f>
        <v>2.5754404058638753</v>
      </c>
      <c r="G37" s="237">
        <f>Summary!I19</f>
        <v>2.3921634868467021</v>
      </c>
      <c r="H37" s="237">
        <f>Summary!J19</f>
        <v>2.0944583573958444</v>
      </c>
      <c r="I37" s="237">
        <f>Summary!K19</f>
        <v>1.9896246147784951</v>
      </c>
      <c r="J37" s="237">
        <f>Summary!L19</f>
        <v>1.7917492238429591</v>
      </c>
      <c r="K37" s="237">
        <f>Summary!M19</f>
        <v>1.738544837666445</v>
      </c>
      <c r="L37" s="237">
        <f>Summary!N19</f>
        <v>1.6586536139588957</v>
      </c>
    </row>
    <row r="38" spans="1:20" x14ac:dyDescent="0.2">
      <c r="A38" s="234"/>
      <c r="C38" s="237"/>
      <c r="D38" s="237"/>
      <c r="E38" s="237"/>
      <c r="F38" s="237"/>
      <c r="G38" s="237"/>
      <c r="H38" s="237"/>
      <c r="I38" s="237"/>
      <c r="J38" s="237"/>
      <c r="K38" s="237"/>
      <c r="L38" s="237"/>
    </row>
    <row r="39" spans="1:20" x14ac:dyDescent="0.2">
      <c r="A39" s="234"/>
      <c r="B39" s="232" t="s">
        <v>283</v>
      </c>
      <c r="C39" s="237" t="str">
        <f>IF(Valuation!$K$47 &gt;= 15%, "Good Investment", IF(Valuation!$K$47 &gt;= 10%, "Acceptable Investment", IF(Valuation!$K$47 &gt;= 5%, "Low Return", "Not Recommended")))</f>
        <v>Good Investment</v>
      </c>
      <c r="D39" s="237"/>
      <c r="E39" s="237"/>
      <c r="F39" s="237"/>
      <c r="G39" s="237"/>
      <c r="H39" s="237"/>
      <c r="I39" s="237"/>
      <c r="J39" s="237"/>
      <c r="K39" s="237"/>
      <c r="L39" s="237"/>
    </row>
    <row r="40" spans="1:20" x14ac:dyDescent="0.2">
      <c r="A40" s="234"/>
    </row>
    <row r="41" spans="1:20" s="234" customFormat="1" x14ac:dyDescent="0.2">
      <c r="A41" s="234" t="s">
        <v>10</v>
      </c>
      <c r="C41" s="234" t="s">
        <v>184</v>
      </c>
      <c r="D41" s="234" t="s">
        <v>185</v>
      </c>
      <c r="E41" s="234" t="s">
        <v>186</v>
      </c>
      <c r="F41" s="234" t="s">
        <v>187</v>
      </c>
      <c r="G41" s="234" t="s">
        <v>188</v>
      </c>
      <c r="H41" s="234" t="s">
        <v>189</v>
      </c>
      <c r="I41" s="234" t="s">
        <v>190</v>
      </c>
      <c r="J41" s="234" t="s">
        <v>191</v>
      </c>
      <c r="K41" s="234" t="s">
        <v>192</v>
      </c>
      <c r="L41" s="234" t="s">
        <v>193</v>
      </c>
      <c r="M41" s="234" t="s">
        <v>194</v>
      </c>
      <c r="N41" s="234" t="s">
        <v>195</v>
      </c>
    </row>
    <row r="42" spans="1:20" x14ac:dyDescent="0.2">
      <c r="A42" s="232" t="s">
        <v>90</v>
      </c>
      <c r="C42" s="238">
        <f>1+Revenue!G8</f>
        <v>1.02</v>
      </c>
      <c r="D42" s="238">
        <f>1+Revenue!H8</f>
        <v>1.03</v>
      </c>
      <c r="E42" s="238">
        <f>1+Revenue!I8</f>
        <v>1.04</v>
      </c>
      <c r="F42" s="238">
        <f>1+Revenue!J8</f>
        <v>1.05</v>
      </c>
      <c r="G42" s="238">
        <f>1+Revenue!K8</f>
        <v>1.1000000000000001</v>
      </c>
      <c r="H42" s="238">
        <f>1+Revenue!L8</f>
        <v>1.1200000000000001</v>
      </c>
      <c r="I42" s="238">
        <f>1+Revenue!M8</f>
        <v>1.08</v>
      </c>
      <c r="J42" s="238">
        <f>1+Revenue!N8</f>
        <v>1.05</v>
      </c>
      <c r="K42" s="238">
        <f>1+Revenue!O8</f>
        <v>0.98</v>
      </c>
      <c r="L42" s="238">
        <f>1+Revenue!P8</f>
        <v>1.03</v>
      </c>
      <c r="M42" s="238">
        <f>1+Revenue!Q8</f>
        <v>1.08</v>
      </c>
      <c r="N42" s="238">
        <f>1+Revenue!R8</f>
        <v>1.1200000000000001</v>
      </c>
      <c r="O42" s="238"/>
    </row>
    <row r="44" spans="1:20" s="234" customFormat="1" x14ac:dyDescent="0.2">
      <c r="A44" s="234" t="s">
        <v>124</v>
      </c>
      <c r="C44" s="239">
        <f>Profile!F8</f>
        <v>2025</v>
      </c>
      <c r="D44" s="239">
        <f>(C44+1)*D$8</f>
        <v>2026</v>
      </c>
      <c r="E44" s="239">
        <f t="shared" ref="E44:L44" si="11">(D44+1)*E$8</f>
        <v>2027</v>
      </c>
      <c r="F44" s="239">
        <f t="shared" si="11"/>
        <v>2028</v>
      </c>
      <c r="G44" s="239">
        <f t="shared" si="11"/>
        <v>2029</v>
      </c>
      <c r="H44" s="239">
        <f t="shared" si="11"/>
        <v>2030</v>
      </c>
      <c r="I44" s="239">
        <f t="shared" si="11"/>
        <v>2031</v>
      </c>
      <c r="J44" s="239">
        <f t="shared" si="11"/>
        <v>2032</v>
      </c>
      <c r="K44" s="239">
        <f t="shared" si="11"/>
        <v>2033</v>
      </c>
      <c r="L44" s="239">
        <f t="shared" si="11"/>
        <v>2034</v>
      </c>
    </row>
    <row r="45" spans="1:20" x14ac:dyDescent="0.2">
      <c r="A45" s="232" t="s">
        <v>96</v>
      </c>
      <c r="C45" s="240">
        <f>INDEX(C46:C48, MATCH(Scenario!$E$6, Formulas!$C$4:$C$6, 0))*C$8</f>
        <v>0</v>
      </c>
      <c r="D45" s="240">
        <f>INDEX(D46:D48, MATCH(Scenario!$E$6, Formulas!$C$4:$C$6, 0))*D$8</f>
        <v>0.06</v>
      </c>
      <c r="E45" s="240">
        <f>INDEX(E46:E48, MATCH(Scenario!$E$6, Formulas!$C$4:$C$6, 0))*E$8</f>
        <v>0.05</v>
      </c>
      <c r="F45" s="240">
        <f>INDEX(F46:F48, MATCH(Scenario!$E$6, Formulas!$C$4:$C$6, 0))*F$8</f>
        <v>0.04</v>
      </c>
      <c r="G45" s="240">
        <f>INDEX(G46:G48, MATCH(Scenario!$E$6, Formulas!$C$4:$C$6, 0))*G$8</f>
        <v>0.03</v>
      </c>
      <c r="H45" s="240">
        <f>INDEX(H46:H48, MATCH(Scenario!$E$6, Formulas!$C$4:$C$6, 0))*H$8</f>
        <v>0.03</v>
      </c>
      <c r="I45" s="240">
        <f>INDEX(I46:I48, MATCH(Scenario!$E$6, Formulas!$C$4:$C$6, 0))*I$8</f>
        <v>0.02</v>
      </c>
      <c r="J45" s="240">
        <f>INDEX(J46:J48, MATCH(Scenario!$E$6, Formulas!$C$4:$C$6, 0))*J$8</f>
        <v>0.02</v>
      </c>
      <c r="K45" s="240">
        <f>INDEX(K46:K48, MATCH(Scenario!$E$6, Formulas!$C$4:$C$6, 0))*K$8</f>
        <v>0.02</v>
      </c>
      <c r="L45" s="240">
        <f>INDEX(L46:L48, MATCH(Scenario!$E$6, Formulas!$C$4:$C$6, 0))*L$8</f>
        <v>0.02</v>
      </c>
    </row>
    <row r="46" spans="1:20" x14ac:dyDescent="0.2">
      <c r="B46" s="232" t="s">
        <v>21</v>
      </c>
      <c r="C46" s="240">
        <f>Scenario!G39</f>
        <v>0</v>
      </c>
      <c r="D46" s="240">
        <f>Scenario!H39</f>
        <v>0.06</v>
      </c>
      <c r="E46" s="240">
        <f>Scenario!I39</f>
        <v>0.05</v>
      </c>
      <c r="F46" s="240">
        <f>Scenario!J39</f>
        <v>0.04</v>
      </c>
      <c r="G46" s="240">
        <f>Scenario!K39</f>
        <v>0.03</v>
      </c>
      <c r="H46" s="240">
        <f>Scenario!L39</f>
        <v>0.03</v>
      </c>
      <c r="I46" s="240">
        <f>Scenario!M39</f>
        <v>0.02</v>
      </c>
      <c r="J46" s="240">
        <f>Scenario!N39</f>
        <v>0.02</v>
      </c>
      <c r="K46" s="240">
        <f>Scenario!O39</f>
        <v>0.02</v>
      </c>
      <c r="L46" s="240">
        <f>Scenario!P39</f>
        <v>0.02</v>
      </c>
    </row>
    <row r="47" spans="1:20" x14ac:dyDescent="0.2">
      <c r="B47" s="232" t="s">
        <v>24</v>
      </c>
      <c r="C47" s="240">
        <f>Scenario!G69</f>
        <v>0</v>
      </c>
      <c r="D47" s="240">
        <f>Scenario!H69</f>
        <v>0.08</v>
      </c>
      <c r="E47" s="240">
        <f>Scenario!I69</f>
        <v>7.0000000000000007E-2</v>
      </c>
      <c r="F47" s="240">
        <f>Scenario!J69</f>
        <v>0.06</v>
      </c>
      <c r="G47" s="240">
        <f>Scenario!K69</f>
        <v>0.05</v>
      </c>
      <c r="H47" s="240">
        <f>Scenario!L69</f>
        <v>0.05</v>
      </c>
      <c r="I47" s="240">
        <f>Scenario!M69</f>
        <v>0.04</v>
      </c>
      <c r="J47" s="240">
        <f>Scenario!N69</f>
        <v>0.04</v>
      </c>
      <c r="K47" s="240">
        <f>Scenario!O69</f>
        <v>0.03</v>
      </c>
      <c r="L47" s="240">
        <f>Scenario!P69</f>
        <v>0.03</v>
      </c>
    </row>
    <row r="48" spans="1:20" x14ac:dyDescent="0.2">
      <c r="B48" s="232" t="s">
        <v>25</v>
      </c>
      <c r="C48" s="240">
        <f>Scenario!G99</f>
        <v>0</v>
      </c>
      <c r="D48" s="240">
        <f>Scenario!H99</f>
        <v>0.02</v>
      </c>
      <c r="E48" s="240">
        <f>Scenario!I99</f>
        <v>0.02</v>
      </c>
      <c r="F48" s="240">
        <f>Scenario!J99</f>
        <v>0.01</v>
      </c>
      <c r="G48" s="240">
        <f>Scenario!K99</f>
        <v>0.01</v>
      </c>
      <c r="H48" s="240">
        <f>Scenario!L99</f>
        <v>0.01</v>
      </c>
      <c r="I48" s="240">
        <f>Scenario!M99</f>
        <v>0</v>
      </c>
      <c r="J48" s="240">
        <f>Scenario!N99</f>
        <v>0</v>
      </c>
      <c r="K48" s="240">
        <f>Scenario!O99</f>
        <v>0</v>
      </c>
      <c r="L48" s="240">
        <f>Scenario!P99</f>
        <v>-0.01</v>
      </c>
    </row>
    <row r="49" spans="1:12" x14ac:dyDescent="0.2">
      <c r="A49" s="232" t="s">
        <v>97</v>
      </c>
      <c r="C49" s="240">
        <f>INDEX(C50:C52, MATCH(Scenario!$E$6, Formulas!$C$4:$C$6, 0))*C$8</f>
        <v>0</v>
      </c>
      <c r="D49" s="240">
        <f>INDEX(D50:D52, MATCH(Scenario!$E$6, Formulas!$C$4:$C$6, 0))*D$8</f>
        <v>0.25</v>
      </c>
      <c r="E49" s="240">
        <f>INDEX(E50:E52, MATCH(Scenario!$E$6, Formulas!$C$4:$C$6, 0))*E$8</f>
        <v>0.25</v>
      </c>
      <c r="F49" s="240">
        <f>INDEX(F50:F52, MATCH(Scenario!$E$6, Formulas!$C$4:$C$6, 0))*F$8</f>
        <v>0.24</v>
      </c>
      <c r="G49" s="240">
        <f>INDEX(G50:G52, MATCH(Scenario!$E$6, Formulas!$C$4:$C$6, 0))*G$8</f>
        <v>0.24</v>
      </c>
      <c r="H49" s="240">
        <f>INDEX(H50:H52, MATCH(Scenario!$E$6, Formulas!$C$4:$C$6, 0))*H$8</f>
        <v>0.23</v>
      </c>
      <c r="I49" s="240">
        <f>INDEX(I50:I52, MATCH(Scenario!$E$6, Formulas!$C$4:$C$6, 0))*I$8</f>
        <v>0.23</v>
      </c>
      <c r="J49" s="240">
        <f>INDEX(J50:J52, MATCH(Scenario!$E$6, Formulas!$C$4:$C$6, 0))*J$8</f>
        <v>0.22</v>
      </c>
      <c r="K49" s="240">
        <f>INDEX(K50:K52, MATCH(Scenario!$E$6, Formulas!$C$4:$C$6, 0))*K$8</f>
        <v>0.22</v>
      </c>
      <c r="L49" s="240">
        <f>INDEX(L50:L52, MATCH(Scenario!$E$6, Formulas!$C$4:$C$6, 0))*L$8</f>
        <v>0.21</v>
      </c>
    </row>
    <row r="50" spans="1:12" x14ac:dyDescent="0.2">
      <c r="B50" s="232" t="s">
        <v>21</v>
      </c>
      <c r="C50" s="240">
        <f>Scenario!G40</f>
        <v>0</v>
      </c>
      <c r="D50" s="240">
        <f>Scenario!H40</f>
        <v>0.25</v>
      </c>
      <c r="E50" s="240">
        <f>Scenario!I40</f>
        <v>0.25</v>
      </c>
      <c r="F50" s="240">
        <f>Scenario!J40</f>
        <v>0.24</v>
      </c>
      <c r="G50" s="240">
        <f>Scenario!K40</f>
        <v>0.24</v>
      </c>
      <c r="H50" s="240">
        <f>Scenario!L40</f>
        <v>0.23</v>
      </c>
      <c r="I50" s="240">
        <f>Scenario!M40</f>
        <v>0.23</v>
      </c>
      <c r="J50" s="240">
        <f>Scenario!N40</f>
        <v>0.22</v>
      </c>
      <c r="K50" s="240">
        <f>Scenario!O40</f>
        <v>0.22</v>
      </c>
      <c r="L50" s="240">
        <f>Scenario!P40</f>
        <v>0.21</v>
      </c>
    </row>
    <row r="51" spans="1:12" x14ac:dyDescent="0.2">
      <c r="B51" s="232" t="s">
        <v>24</v>
      </c>
      <c r="C51" s="240">
        <f>Scenario!G70</f>
        <v>0</v>
      </c>
      <c r="D51" s="240">
        <f>Scenario!H70</f>
        <v>0.18</v>
      </c>
      <c r="E51" s="240">
        <f>Scenario!I70</f>
        <v>0.18</v>
      </c>
      <c r="F51" s="240">
        <f>Scenario!J70</f>
        <v>0.17</v>
      </c>
      <c r="G51" s="240">
        <f>Scenario!K70</f>
        <v>0.17</v>
      </c>
      <c r="H51" s="240">
        <f>Scenario!L70</f>
        <v>0.17</v>
      </c>
      <c r="I51" s="240">
        <f>Scenario!M70</f>
        <v>0.16</v>
      </c>
      <c r="J51" s="240">
        <f>Scenario!N70</f>
        <v>0.16</v>
      </c>
      <c r="K51" s="240">
        <f>Scenario!O70</f>
        <v>0.16</v>
      </c>
      <c r="L51" s="240">
        <f>Scenario!P70</f>
        <v>0.15</v>
      </c>
    </row>
    <row r="52" spans="1:12" x14ac:dyDescent="0.2">
      <c r="B52" s="232" t="s">
        <v>25</v>
      </c>
      <c r="C52" s="240">
        <f>Scenario!G100</f>
        <v>0</v>
      </c>
      <c r="D52" s="240">
        <f>Scenario!H100</f>
        <v>0.3</v>
      </c>
      <c r="E52" s="240">
        <f>Scenario!I100</f>
        <v>0.3</v>
      </c>
      <c r="F52" s="240">
        <f>Scenario!J100</f>
        <v>0.32</v>
      </c>
      <c r="G52" s="240">
        <f>Scenario!K100</f>
        <v>0.32</v>
      </c>
      <c r="H52" s="240">
        <f>Scenario!L100</f>
        <v>0.33</v>
      </c>
      <c r="I52" s="240">
        <f>Scenario!M100</f>
        <v>0.34</v>
      </c>
      <c r="J52" s="240">
        <f>Scenario!N100</f>
        <v>0.34</v>
      </c>
      <c r="K52" s="240">
        <f>Scenario!O100</f>
        <v>0.35</v>
      </c>
      <c r="L52" s="240">
        <f>Scenario!P100</f>
        <v>0.36</v>
      </c>
    </row>
    <row r="53" spans="1:12" x14ac:dyDescent="0.2">
      <c r="A53" s="232" t="s">
        <v>98</v>
      </c>
      <c r="C53" s="240">
        <f>INDEX(C54:C56, MATCH(Scenario!$E$6, Formulas!$C$4:$C$6, 0))*C$8</f>
        <v>0</v>
      </c>
      <c r="D53" s="240">
        <f>INDEX(D54:D56, MATCH(Scenario!$E$6, Formulas!$C$4:$C$6, 0))*D$8</f>
        <v>0.4</v>
      </c>
      <c r="E53" s="240">
        <f>INDEX(E54:E56, MATCH(Scenario!$E$6, Formulas!$C$4:$C$6, 0))*E$8</f>
        <v>0.38</v>
      </c>
      <c r="F53" s="240">
        <f>INDEX(F54:F56, MATCH(Scenario!$E$6, Formulas!$C$4:$C$6, 0))*F$8</f>
        <v>0.37</v>
      </c>
      <c r="G53" s="240">
        <f>INDEX(G54:G56, MATCH(Scenario!$E$6, Formulas!$C$4:$C$6, 0))*G$8</f>
        <v>0.36</v>
      </c>
      <c r="H53" s="240">
        <f>INDEX(H54:H56, MATCH(Scenario!$E$6, Formulas!$C$4:$C$6, 0))*H$8</f>
        <v>0.35</v>
      </c>
      <c r="I53" s="240">
        <f>INDEX(I54:I56, MATCH(Scenario!$E$6, Formulas!$C$4:$C$6, 0))*I$8</f>
        <v>0.35</v>
      </c>
      <c r="J53" s="240">
        <f>INDEX(J54:J56, MATCH(Scenario!$E$6, Formulas!$C$4:$C$6, 0))*J$8</f>
        <v>0.34</v>
      </c>
      <c r="K53" s="240">
        <f>INDEX(K54:K56, MATCH(Scenario!$E$6, Formulas!$C$4:$C$6, 0))*K$8</f>
        <v>0.34</v>
      </c>
      <c r="L53" s="240">
        <f>INDEX(L54:L56, MATCH(Scenario!$E$6, Formulas!$C$4:$C$6, 0))*L$8</f>
        <v>0.34</v>
      </c>
    </row>
    <row r="54" spans="1:12" x14ac:dyDescent="0.2">
      <c r="B54" s="232" t="s">
        <v>21</v>
      </c>
      <c r="C54" s="240">
        <f>Scenario!G41</f>
        <v>0</v>
      </c>
      <c r="D54" s="240">
        <f>Scenario!H41</f>
        <v>0.4</v>
      </c>
      <c r="E54" s="240">
        <f>Scenario!I41</f>
        <v>0.38</v>
      </c>
      <c r="F54" s="240">
        <f>Scenario!J41</f>
        <v>0.37</v>
      </c>
      <c r="G54" s="240">
        <f>Scenario!K41</f>
        <v>0.36</v>
      </c>
      <c r="H54" s="240">
        <f>Scenario!L41</f>
        <v>0.35</v>
      </c>
      <c r="I54" s="240">
        <f>Scenario!M41</f>
        <v>0.35</v>
      </c>
      <c r="J54" s="240">
        <f>Scenario!N41</f>
        <v>0.34</v>
      </c>
      <c r="K54" s="240">
        <f>Scenario!O41</f>
        <v>0.34</v>
      </c>
      <c r="L54" s="240">
        <f>Scenario!P41</f>
        <v>0.34</v>
      </c>
    </row>
    <row r="55" spans="1:12" x14ac:dyDescent="0.2">
      <c r="B55" s="232" t="s">
        <v>24</v>
      </c>
      <c r="C55" s="240">
        <f>Scenario!G71</f>
        <v>0</v>
      </c>
      <c r="D55" s="240">
        <f>Scenario!H71</f>
        <v>0.4</v>
      </c>
      <c r="E55" s="240">
        <f>Scenario!I71</f>
        <v>0.38</v>
      </c>
      <c r="F55" s="240">
        <f>Scenario!J71</f>
        <v>0.37</v>
      </c>
      <c r="G55" s="240">
        <f>Scenario!K71</f>
        <v>0.36</v>
      </c>
      <c r="H55" s="240">
        <f>Scenario!L71</f>
        <v>0.35</v>
      </c>
      <c r="I55" s="240">
        <f>Scenario!M71</f>
        <v>0.35</v>
      </c>
      <c r="J55" s="240">
        <f>Scenario!N71</f>
        <v>0.34</v>
      </c>
      <c r="K55" s="240">
        <f>Scenario!O71</f>
        <v>0.34</v>
      </c>
      <c r="L55" s="240">
        <f>Scenario!P71</f>
        <v>0.33</v>
      </c>
    </row>
    <row r="56" spans="1:12" x14ac:dyDescent="0.2">
      <c r="B56" s="232" t="s">
        <v>25</v>
      </c>
      <c r="C56" s="240">
        <f>Scenario!G101</f>
        <v>0</v>
      </c>
      <c r="D56" s="240">
        <f>Scenario!H101</f>
        <v>0.55000000000000004</v>
      </c>
      <c r="E56" s="240">
        <f>Scenario!I101</f>
        <v>0.56000000000000005</v>
      </c>
      <c r="F56" s="240">
        <f>Scenario!J101</f>
        <v>0.56999999999999995</v>
      </c>
      <c r="G56" s="240">
        <f>Scenario!K101</f>
        <v>0.57999999999999996</v>
      </c>
      <c r="H56" s="240">
        <f>Scenario!L101</f>
        <v>0.57999999999999996</v>
      </c>
      <c r="I56" s="240">
        <f>Scenario!M101</f>
        <v>0.59</v>
      </c>
      <c r="J56" s="240">
        <f>Scenario!N101</f>
        <v>0.6</v>
      </c>
      <c r="K56" s="240">
        <f>Scenario!O101</f>
        <v>0.6</v>
      </c>
      <c r="L56" s="240">
        <f>Scenario!P101</f>
        <v>0.6</v>
      </c>
    </row>
    <row r="57" spans="1:12" x14ac:dyDescent="0.2">
      <c r="A57" s="232" t="s">
        <v>99</v>
      </c>
      <c r="C57" s="240">
        <f>INDEX(C58:C60, MATCH(Scenario!$E$6, Formulas!$C$4:$C$6, 0))*C$8</f>
        <v>0.18</v>
      </c>
      <c r="D57" s="240">
        <f>INDEX(D58:D60, MATCH(Scenario!$E$6, Formulas!$C$4:$C$6, 0))*D$8</f>
        <v>0.18</v>
      </c>
      <c r="E57" s="240">
        <f>INDEX(E58:E60, MATCH(Scenario!$E$6, Formulas!$C$4:$C$6, 0))*E$8</f>
        <v>0.18</v>
      </c>
      <c r="F57" s="240">
        <f>INDEX(F58:F60, MATCH(Scenario!$E$6, Formulas!$C$4:$C$6, 0))*F$8</f>
        <v>0.18</v>
      </c>
      <c r="G57" s="240">
        <f>INDEX(G58:G60, MATCH(Scenario!$E$6, Formulas!$C$4:$C$6, 0))*G$8</f>
        <v>0.18</v>
      </c>
      <c r="H57" s="240">
        <f>INDEX(H58:H60, MATCH(Scenario!$E$6, Formulas!$C$4:$C$6, 0))*H$8</f>
        <v>0.18</v>
      </c>
      <c r="I57" s="240">
        <f>INDEX(I58:I60, MATCH(Scenario!$E$6, Formulas!$C$4:$C$6, 0))*I$8</f>
        <v>0.18</v>
      </c>
      <c r="J57" s="240">
        <f>INDEX(J58:J60, MATCH(Scenario!$E$6, Formulas!$C$4:$C$6, 0))*J$8</f>
        <v>0.18</v>
      </c>
      <c r="K57" s="240">
        <f>INDEX(K58:K60, MATCH(Scenario!$E$6, Formulas!$C$4:$C$6, 0))*K$8</f>
        <v>0.18</v>
      </c>
      <c r="L57" s="240">
        <f>INDEX(L58:L60, MATCH(Scenario!$E$6, Formulas!$C$4:$C$6, 0))*L$8</f>
        <v>0.18</v>
      </c>
    </row>
    <row r="58" spans="1:12" x14ac:dyDescent="0.2">
      <c r="B58" s="232" t="s">
        <v>21</v>
      </c>
      <c r="C58" s="240">
        <f>Scenario!G42</f>
        <v>0.18</v>
      </c>
      <c r="D58" s="240">
        <f>Scenario!H42</f>
        <v>0.18</v>
      </c>
      <c r="E58" s="240">
        <f>Scenario!I42</f>
        <v>0.18</v>
      </c>
      <c r="F58" s="240">
        <f>Scenario!J42</f>
        <v>0.18</v>
      </c>
      <c r="G58" s="240">
        <f>Scenario!K42</f>
        <v>0.18</v>
      </c>
      <c r="H58" s="240">
        <f>Scenario!L42</f>
        <v>0.18</v>
      </c>
      <c r="I58" s="240">
        <f>Scenario!M42</f>
        <v>0.18</v>
      </c>
      <c r="J58" s="240">
        <f>Scenario!N42</f>
        <v>0.18</v>
      </c>
      <c r="K58" s="240">
        <f>Scenario!O42</f>
        <v>0.18</v>
      </c>
      <c r="L58" s="240">
        <f>Scenario!P42</f>
        <v>0.18</v>
      </c>
    </row>
    <row r="59" spans="1:12" x14ac:dyDescent="0.2">
      <c r="B59" s="232" t="s">
        <v>24</v>
      </c>
      <c r="C59" s="240">
        <f>Scenario!G72</f>
        <v>0.17</v>
      </c>
      <c r="D59" s="240">
        <f>Scenario!H72</f>
        <v>0.17</v>
      </c>
      <c r="E59" s="240">
        <f>Scenario!I72</f>
        <v>0.17</v>
      </c>
      <c r="F59" s="240">
        <f>Scenario!J72</f>
        <v>0.17</v>
      </c>
      <c r="G59" s="240">
        <f>Scenario!K72</f>
        <v>0.17</v>
      </c>
      <c r="H59" s="240">
        <f>Scenario!L72</f>
        <v>0.17</v>
      </c>
      <c r="I59" s="240">
        <f>Scenario!M72</f>
        <v>0.17</v>
      </c>
      <c r="J59" s="240">
        <f>Scenario!N72</f>
        <v>0.17</v>
      </c>
      <c r="K59" s="240">
        <f>Scenario!O72</f>
        <v>0.17</v>
      </c>
      <c r="L59" s="240">
        <f>Scenario!P72</f>
        <v>0.17</v>
      </c>
    </row>
    <row r="60" spans="1:12" x14ac:dyDescent="0.2">
      <c r="B60" s="232" t="s">
        <v>25</v>
      </c>
      <c r="C60" s="240">
        <f>Scenario!G102</f>
        <v>0.22</v>
      </c>
      <c r="D60" s="240">
        <f>Scenario!H102</f>
        <v>0.22</v>
      </c>
      <c r="E60" s="240">
        <f>Scenario!I102</f>
        <v>0.22</v>
      </c>
      <c r="F60" s="240">
        <f>Scenario!J102</f>
        <v>0.22</v>
      </c>
      <c r="G60" s="240">
        <f>Scenario!K102</f>
        <v>0.22</v>
      </c>
      <c r="H60" s="240">
        <f>Scenario!L102</f>
        <v>0.22</v>
      </c>
      <c r="I60" s="240">
        <f>Scenario!M102</f>
        <v>0.22</v>
      </c>
      <c r="J60" s="240">
        <f>Scenario!N102</f>
        <v>0.22</v>
      </c>
      <c r="K60" s="240">
        <f>Scenario!O102</f>
        <v>0.22</v>
      </c>
      <c r="L60" s="240">
        <f>Scenario!P102</f>
        <v>0.22</v>
      </c>
    </row>
    <row r="61" spans="1:12" x14ac:dyDescent="0.2">
      <c r="A61" s="232" t="s">
        <v>102</v>
      </c>
      <c r="C61" s="240">
        <f>INDEX(C62:C64, MATCH(Scenario!$E$6, Formulas!$C$4:$C$6, 0))*C$8</f>
        <v>0.12</v>
      </c>
      <c r="D61" s="240">
        <f>INDEX(D62:D64, MATCH(Scenario!$E$6, Formulas!$C$4:$C$6, 0))*D$8</f>
        <v>0.11</v>
      </c>
      <c r="E61" s="240">
        <f>INDEX(E62:E64, MATCH(Scenario!$E$6, Formulas!$C$4:$C$6, 0))*E$8</f>
        <v>0.1</v>
      </c>
      <c r="F61" s="240">
        <f>INDEX(F62:F64, MATCH(Scenario!$E$6, Formulas!$C$4:$C$6, 0))*F$8</f>
        <v>0.09</v>
      </c>
      <c r="G61" s="240">
        <f>INDEX(G62:G64, MATCH(Scenario!$E$6, Formulas!$C$4:$C$6, 0))*G$8</f>
        <v>0.09</v>
      </c>
      <c r="H61" s="240">
        <f>INDEX(H62:H64, MATCH(Scenario!$E$6, Formulas!$C$4:$C$6, 0))*H$8</f>
        <v>0.08</v>
      </c>
      <c r="I61" s="240">
        <f>INDEX(I62:I64, MATCH(Scenario!$E$6, Formulas!$C$4:$C$6, 0))*I$8</f>
        <v>0.08</v>
      </c>
      <c r="J61" s="240">
        <f>INDEX(J62:J64, MATCH(Scenario!$E$6, Formulas!$C$4:$C$6, 0))*J$8</f>
        <v>7.0000000000000007E-2</v>
      </c>
      <c r="K61" s="240">
        <f>INDEX(K62:K64, MATCH(Scenario!$E$6, Formulas!$C$4:$C$6, 0))*K$8</f>
        <v>7.0000000000000007E-2</v>
      </c>
      <c r="L61" s="240">
        <f>INDEX(L62:L64, MATCH(Scenario!$E$6, Formulas!$C$4:$C$6, 0))*L$8</f>
        <v>7.0000000000000007E-2</v>
      </c>
    </row>
    <row r="62" spans="1:12" x14ac:dyDescent="0.2">
      <c r="B62" s="232" t="s">
        <v>21</v>
      </c>
      <c r="C62" s="240">
        <f>Scenario!G43</f>
        <v>0.12</v>
      </c>
      <c r="D62" s="240">
        <f>Scenario!H43</f>
        <v>0.11</v>
      </c>
      <c r="E62" s="240">
        <f>Scenario!I43</f>
        <v>0.1</v>
      </c>
      <c r="F62" s="240">
        <f>Scenario!J43</f>
        <v>0.09</v>
      </c>
      <c r="G62" s="240">
        <f>Scenario!K43</f>
        <v>0.09</v>
      </c>
      <c r="H62" s="240">
        <f>Scenario!L43</f>
        <v>0.08</v>
      </c>
      <c r="I62" s="240">
        <f>Scenario!M43</f>
        <v>0.08</v>
      </c>
      <c r="J62" s="240">
        <f>Scenario!N43</f>
        <v>7.0000000000000007E-2</v>
      </c>
      <c r="K62" s="240">
        <f>Scenario!O43</f>
        <v>7.0000000000000007E-2</v>
      </c>
      <c r="L62" s="240">
        <f>Scenario!P43</f>
        <v>7.0000000000000007E-2</v>
      </c>
    </row>
    <row r="63" spans="1:12" x14ac:dyDescent="0.2">
      <c r="B63" s="232" t="s">
        <v>24</v>
      </c>
      <c r="C63" s="240">
        <f>Scenario!G73</f>
        <v>0.12</v>
      </c>
      <c r="D63" s="240">
        <f>Scenario!H73</f>
        <v>0.11</v>
      </c>
      <c r="E63" s="240">
        <f>Scenario!I73</f>
        <v>0.1</v>
      </c>
      <c r="F63" s="240">
        <f>Scenario!J73</f>
        <v>0.1</v>
      </c>
      <c r="G63" s="240">
        <f>Scenario!K73</f>
        <v>0.09</v>
      </c>
      <c r="H63" s="240">
        <f>Scenario!L73</f>
        <v>0.09</v>
      </c>
      <c r="I63" s="240">
        <f>Scenario!M73</f>
        <v>0.08</v>
      </c>
      <c r="J63" s="240">
        <f>Scenario!N73</f>
        <v>0.08</v>
      </c>
      <c r="K63" s="240">
        <f>Scenario!O73</f>
        <v>0.08</v>
      </c>
      <c r="L63" s="240">
        <f>Scenario!P73</f>
        <v>7.0000000000000007E-2</v>
      </c>
    </row>
    <row r="64" spans="1:12" x14ac:dyDescent="0.2">
      <c r="B64" s="232" t="s">
        <v>25</v>
      </c>
      <c r="C64" s="240">
        <f>Scenario!G103</f>
        <v>0.18</v>
      </c>
      <c r="D64" s="240">
        <f>Scenario!H101</f>
        <v>0.55000000000000004</v>
      </c>
      <c r="E64" s="240">
        <f>Scenario!I101</f>
        <v>0.56000000000000005</v>
      </c>
      <c r="F64" s="240">
        <f>Scenario!J101</f>
        <v>0.56999999999999995</v>
      </c>
      <c r="G64" s="240">
        <f>Scenario!K101</f>
        <v>0.57999999999999996</v>
      </c>
      <c r="H64" s="240">
        <f>Scenario!L101</f>
        <v>0.57999999999999996</v>
      </c>
      <c r="I64" s="240">
        <f>Scenario!M101</f>
        <v>0.59</v>
      </c>
      <c r="J64" s="240">
        <f>Scenario!N101</f>
        <v>0.6</v>
      </c>
      <c r="K64" s="240">
        <f>Scenario!O101</f>
        <v>0.6</v>
      </c>
      <c r="L64" s="240">
        <f>Scenario!P101</f>
        <v>0.6</v>
      </c>
    </row>
    <row r="65" spans="1:12" x14ac:dyDescent="0.2">
      <c r="A65" s="232" t="s">
        <v>103</v>
      </c>
      <c r="C65" s="240">
        <f>INDEX(C66:C68, MATCH(Scenario!$E$6, Formulas!$C$4:$C$6, 0))*C$8</f>
        <v>50000</v>
      </c>
      <c r="D65" s="240">
        <f>INDEX(D66:D68, MATCH(Scenario!$E$6, Formulas!$C$4:$C$6, 0))*D$8</f>
        <v>50000</v>
      </c>
      <c r="E65" s="240">
        <f>INDEX(E66:E68, MATCH(Scenario!$E$6, Formulas!$C$4:$C$6, 0))*E$8</f>
        <v>50000</v>
      </c>
      <c r="F65" s="240">
        <f>INDEX(F66:F68, MATCH(Scenario!$E$6, Formulas!$C$4:$C$6, 0))*F$8</f>
        <v>50000</v>
      </c>
      <c r="G65" s="240">
        <f>INDEX(G66:G68, MATCH(Scenario!$E$6, Formulas!$C$4:$C$6, 0))*G$8</f>
        <v>50000</v>
      </c>
      <c r="H65" s="240">
        <f>INDEX(H66:H68, MATCH(Scenario!$E$6, Formulas!$C$4:$C$6, 0))*H$8</f>
        <v>50000</v>
      </c>
      <c r="I65" s="240">
        <f>INDEX(I66:I68, MATCH(Scenario!$E$6, Formulas!$C$4:$C$6, 0))*I$8</f>
        <v>50000</v>
      </c>
      <c r="J65" s="240">
        <f>INDEX(J66:J68, MATCH(Scenario!$E$6, Formulas!$C$4:$C$6, 0))*J$8</f>
        <v>50000</v>
      </c>
      <c r="K65" s="240">
        <f>INDEX(K66:K68, MATCH(Scenario!$E$6, Formulas!$C$4:$C$6, 0))*K$8</f>
        <v>50000</v>
      </c>
      <c r="L65" s="240">
        <f>INDEX(L66:L68, MATCH(Scenario!$E$6, Formulas!$C$4:$C$6, 0))*L$8</f>
        <v>50000</v>
      </c>
    </row>
    <row r="66" spans="1:12" x14ac:dyDescent="0.2">
      <c r="B66" s="232" t="s">
        <v>21</v>
      </c>
      <c r="C66" s="240">
        <f>Scenario!G44</f>
        <v>50000</v>
      </c>
      <c r="D66" s="240">
        <f>Scenario!H44</f>
        <v>50000</v>
      </c>
      <c r="E66" s="240">
        <f>Scenario!I44</f>
        <v>50000</v>
      </c>
      <c r="F66" s="240">
        <f>Scenario!J44</f>
        <v>50000</v>
      </c>
      <c r="G66" s="240">
        <f>Scenario!K44</f>
        <v>50000</v>
      </c>
      <c r="H66" s="240">
        <f>Scenario!L44</f>
        <v>50000</v>
      </c>
      <c r="I66" s="240">
        <f>Scenario!M44</f>
        <v>50000</v>
      </c>
      <c r="J66" s="240">
        <f>Scenario!N44</f>
        <v>50000</v>
      </c>
      <c r="K66" s="240">
        <f>Scenario!O44</f>
        <v>50000</v>
      </c>
      <c r="L66" s="240">
        <f>Scenario!P44</f>
        <v>50000</v>
      </c>
    </row>
    <row r="67" spans="1:12" x14ac:dyDescent="0.2">
      <c r="B67" s="232" t="s">
        <v>24</v>
      </c>
      <c r="C67" s="240">
        <f>Scenario!G74</f>
        <v>50000</v>
      </c>
      <c r="D67" s="240">
        <f>Scenario!H74</f>
        <v>50000</v>
      </c>
      <c r="E67" s="240">
        <f>Scenario!I74</f>
        <v>50000</v>
      </c>
      <c r="F67" s="240">
        <f>Scenario!J74</f>
        <v>50000</v>
      </c>
      <c r="G67" s="240">
        <f>Scenario!K74</f>
        <v>50000</v>
      </c>
      <c r="H67" s="240">
        <f>Scenario!L74</f>
        <v>50000</v>
      </c>
      <c r="I67" s="240">
        <f>Scenario!M74</f>
        <v>50000</v>
      </c>
      <c r="J67" s="240">
        <f>Scenario!N74</f>
        <v>50000</v>
      </c>
      <c r="K67" s="240">
        <f>Scenario!O74</f>
        <v>50000</v>
      </c>
      <c r="L67" s="240">
        <f>Scenario!P74</f>
        <v>50000</v>
      </c>
    </row>
    <row r="68" spans="1:12" x14ac:dyDescent="0.2">
      <c r="B68" s="232" t="s">
        <v>25</v>
      </c>
      <c r="C68" s="240">
        <f>Scenario!G104</f>
        <v>40000</v>
      </c>
      <c r="D68" s="240">
        <f>Scenario!H104</f>
        <v>40000</v>
      </c>
      <c r="E68" s="240">
        <f>Scenario!I104</f>
        <v>40000</v>
      </c>
      <c r="F68" s="240">
        <f>Scenario!J104</f>
        <v>40000</v>
      </c>
      <c r="G68" s="240">
        <f>Scenario!K104</f>
        <v>40000</v>
      </c>
      <c r="H68" s="240">
        <f>Scenario!L104</f>
        <v>40000</v>
      </c>
      <c r="I68" s="240">
        <f>Scenario!M104</f>
        <v>40000</v>
      </c>
      <c r="J68" s="240">
        <f>Scenario!N104</f>
        <v>40000</v>
      </c>
      <c r="K68" s="240">
        <f>Scenario!O104</f>
        <v>40000</v>
      </c>
      <c r="L68" s="240">
        <f>Scenario!P104</f>
        <v>40000</v>
      </c>
    </row>
    <row r="69" spans="1:12" x14ac:dyDescent="0.2">
      <c r="A69" s="232" t="s">
        <v>119</v>
      </c>
      <c r="C69" s="240">
        <f>INDEX(C70:C72, MATCH(Scenario!$E$6, Formulas!$C$4:$C$6, 0))*C$8</f>
        <v>0.04</v>
      </c>
      <c r="D69" s="240">
        <f>INDEX(D70:D72, MATCH(Scenario!$E$6, Formulas!$C$4:$C$6, 0))*D$8</f>
        <v>0.04</v>
      </c>
      <c r="E69" s="240">
        <f>INDEX(E70:E72, MATCH(Scenario!$E$6, Formulas!$C$4:$C$6, 0))*E$8</f>
        <v>3.5000000000000003E-2</v>
      </c>
      <c r="F69" s="240">
        <f>INDEX(F70:F72, MATCH(Scenario!$E$6, Formulas!$C$4:$C$6, 0))*F$8</f>
        <v>3.5000000000000003E-2</v>
      </c>
      <c r="G69" s="240">
        <f>INDEX(G70:G72, MATCH(Scenario!$E$6, Formulas!$C$4:$C$6, 0))*G$8</f>
        <v>3.5000000000000003E-2</v>
      </c>
      <c r="H69" s="240">
        <f>INDEX(H70:H72, MATCH(Scenario!$E$6, Formulas!$C$4:$C$6, 0))*H$8</f>
        <v>3.5000000000000003E-2</v>
      </c>
      <c r="I69" s="240">
        <f>INDEX(I70:I72, MATCH(Scenario!$E$6, Formulas!$C$4:$C$6, 0))*I$8</f>
        <v>0.03</v>
      </c>
      <c r="J69" s="240">
        <f>INDEX(J70:J72, MATCH(Scenario!$E$6, Formulas!$C$4:$C$6, 0))*J$8</f>
        <v>0.03</v>
      </c>
      <c r="K69" s="240">
        <f>INDEX(K70:K72, MATCH(Scenario!$E$6, Formulas!$C$4:$C$6, 0))*K$8</f>
        <v>0.03</v>
      </c>
      <c r="L69" s="240">
        <f>INDEX(L70:L72, MATCH(Scenario!$E$6, Formulas!$C$4:$C$6, 0))*L$8</f>
        <v>0.03</v>
      </c>
    </row>
    <row r="70" spans="1:12" x14ac:dyDescent="0.2">
      <c r="B70" s="232" t="s">
        <v>21</v>
      </c>
      <c r="C70" s="240">
        <f>Scenario!G45</f>
        <v>0.04</v>
      </c>
      <c r="D70" s="240">
        <f>Scenario!H45</f>
        <v>0.04</v>
      </c>
      <c r="E70" s="240">
        <f>Scenario!I45</f>
        <v>3.5000000000000003E-2</v>
      </c>
      <c r="F70" s="240">
        <f>Scenario!J45</f>
        <v>3.5000000000000003E-2</v>
      </c>
      <c r="G70" s="240">
        <f>Scenario!K45</f>
        <v>3.5000000000000003E-2</v>
      </c>
      <c r="H70" s="240">
        <f>Scenario!L45</f>
        <v>3.5000000000000003E-2</v>
      </c>
      <c r="I70" s="240">
        <f>Scenario!M45</f>
        <v>0.03</v>
      </c>
      <c r="J70" s="240">
        <f>Scenario!N45</f>
        <v>0.03</v>
      </c>
      <c r="K70" s="240">
        <f>Scenario!O45</f>
        <v>0.03</v>
      </c>
      <c r="L70" s="240">
        <f>Scenario!P45</f>
        <v>0.03</v>
      </c>
    </row>
    <row r="71" spans="1:12" x14ac:dyDescent="0.2">
      <c r="B71" s="232" t="s">
        <v>24</v>
      </c>
      <c r="C71" s="240">
        <f>Scenario!G75</f>
        <v>0.04</v>
      </c>
      <c r="D71" s="240">
        <f>Scenario!H75</f>
        <v>0.04</v>
      </c>
      <c r="E71" s="240">
        <f>Scenario!I75</f>
        <v>3.5000000000000003E-2</v>
      </c>
      <c r="F71" s="240">
        <f>Scenario!J75</f>
        <v>3.5000000000000003E-2</v>
      </c>
      <c r="G71" s="240">
        <f>Scenario!K75</f>
        <v>3.5000000000000003E-2</v>
      </c>
      <c r="H71" s="240">
        <f>Scenario!L75</f>
        <v>0.03</v>
      </c>
      <c r="I71" s="240">
        <f>Scenario!M75</f>
        <v>0.03</v>
      </c>
      <c r="J71" s="240">
        <f>Scenario!N75</f>
        <v>0.03</v>
      </c>
      <c r="K71" s="240">
        <f>Scenario!O75</f>
        <v>0.03</v>
      </c>
      <c r="L71" s="240">
        <f>Scenario!P75</f>
        <v>2.5000000000000001E-2</v>
      </c>
    </row>
    <row r="72" spans="1:12" x14ac:dyDescent="0.2">
      <c r="B72" s="232" t="s">
        <v>25</v>
      </c>
      <c r="C72" s="240">
        <f>Scenario!G105</f>
        <v>0.05</v>
      </c>
      <c r="D72" s="240">
        <f>Scenario!H105</f>
        <v>0.05</v>
      </c>
      <c r="E72" s="240">
        <f>Scenario!I105</f>
        <v>0.05</v>
      </c>
      <c r="F72" s="240">
        <f>Scenario!J105</f>
        <v>4.4999999999999998E-2</v>
      </c>
      <c r="G72" s="240">
        <f>Scenario!K105</f>
        <v>4.4999999999999998E-2</v>
      </c>
      <c r="H72" s="240">
        <f>Scenario!L105</f>
        <v>0.04</v>
      </c>
      <c r="I72" s="240">
        <f>Scenario!M105</f>
        <v>0.04</v>
      </c>
      <c r="J72" s="240">
        <f>Scenario!N105</f>
        <v>0.04</v>
      </c>
      <c r="K72" s="240">
        <f>Scenario!O105</f>
        <v>3.5000000000000003E-2</v>
      </c>
      <c r="L72" s="240">
        <f>Scenario!P105</f>
        <v>3.5000000000000003E-2</v>
      </c>
    </row>
    <row r="73" spans="1:12" x14ac:dyDescent="0.2">
      <c r="A73" s="232" t="s">
        <v>100</v>
      </c>
      <c r="C73" s="240">
        <f>INDEX(C74:C76, MATCH(Scenario!$E$6, Formulas!$C$4:$C$6, 0))*C$8</f>
        <v>35000</v>
      </c>
      <c r="D73" s="240">
        <f>INDEX(D74:D76, MATCH(Scenario!$E$6, Formulas!$C$4:$C$6, 0))*D$8</f>
        <v>35000</v>
      </c>
      <c r="E73" s="240">
        <f>INDEX(E74:E76, MATCH(Scenario!$E$6, Formulas!$C$4:$C$6, 0))*E$8</f>
        <v>35000</v>
      </c>
      <c r="F73" s="240">
        <f>INDEX(F74:F76, MATCH(Scenario!$E$6, Formulas!$C$4:$C$6, 0))*F$8</f>
        <v>35000</v>
      </c>
      <c r="G73" s="240">
        <f>INDEX(G74:G76, MATCH(Scenario!$E$6, Formulas!$C$4:$C$6, 0))*G$8</f>
        <v>35000</v>
      </c>
      <c r="H73" s="240">
        <f>INDEX(H74:H76, MATCH(Scenario!$E$6, Formulas!$C$4:$C$6, 0))*H$8</f>
        <v>35000</v>
      </c>
      <c r="I73" s="240">
        <f>INDEX(I74:I76, MATCH(Scenario!$E$6, Formulas!$C$4:$C$6, 0))*I$8</f>
        <v>35000</v>
      </c>
      <c r="J73" s="240">
        <f>INDEX(J74:J76, MATCH(Scenario!$E$6, Formulas!$C$4:$C$6, 0))*J$8</f>
        <v>35000</v>
      </c>
      <c r="K73" s="240">
        <f>INDEX(K74:K76, MATCH(Scenario!$E$6, Formulas!$C$4:$C$6, 0))*K$8</f>
        <v>35000</v>
      </c>
      <c r="L73" s="240">
        <f>INDEX(L74:L76, MATCH(Scenario!$E$6, Formulas!$C$4:$C$6, 0))*L$8</f>
        <v>35000</v>
      </c>
    </row>
    <row r="74" spans="1:12" x14ac:dyDescent="0.2">
      <c r="B74" s="232" t="s">
        <v>21</v>
      </c>
      <c r="C74" s="240">
        <f>Scenario!G46</f>
        <v>35000</v>
      </c>
      <c r="D74" s="240">
        <f>Scenario!H46</f>
        <v>35000</v>
      </c>
      <c r="E74" s="240">
        <f>Scenario!I46</f>
        <v>35000</v>
      </c>
      <c r="F74" s="240">
        <f>Scenario!J46</f>
        <v>35000</v>
      </c>
      <c r="G74" s="240">
        <f>Scenario!K46</f>
        <v>35000</v>
      </c>
      <c r="H74" s="240">
        <f>Scenario!L46</f>
        <v>35000</v>
      </c>
      <c r="I74" s="240">
        <f>Scenario!M46</f>
        <v>35000</v>
      </c>
      <c r="J74" s="240">
        <f>Scenario!N46</f>
        <v>35000</v>
      </c>
      <c r="K74" s="240">
        <f>Scenario!O46</f>
        <v>35000</v>
      </c>
      <c r="L74" s="240">
        <f>Scenario!P46</f>
        <v>35000</v>
      </c>
    </row>
    <row r="75" spans="1:12" x14ac:dyDescent="0.2">
      <c r="B75" s="232" t="s">
        <v>24</v>
      </c>
      <c r="C75" s="240">
        <f>Scenario!G76</f>
        <v>38000</v>
      </c>
      <c r="D75" s="240">
        <f>Scenario!H76</f>
        <v>38000</v>
      </c>
      <c r="E75" s="240">
        <f>Scenario!I76</f>
        <v>38000</v>
      </c>
      <c r="F75" s="240">
        <f>Scenario!J76</f>
        <v>38000</v>
      </c>
      <c r="G75" s="240">
        <f>Scenario!K76</f>
        <v>38000</v>
      </c>
      <c r="H75" s="240">
        <f>Scenario!L76</f>
        <v>38000</v>
      </c>
      <c r="I75" s="240">
        <f>Scenario!M76</f>
        <v>38000</v>
      </c>
      <c r="J75" s="240">
        <f>Scenario!N76</f>
        <v>38000</v>
      </c>
      <c r="K75" s="240">
        <f>Scenario!O76</f>
        <v>38000</v>
      </c>
      <c r="L75" s="240">
        <f>Scenario!P76</f>
        <v>38000</v>
      </c>
    </row>
    <row r="76" spans="1:12" x14ac:dyDescent="0.2">
      <c r="B76" s="232" t="s">
        <v>25</v>
      </c>
      <c r="C76" s="240">
        <f>Scenario!G106</f>
        <v>45000</v>
      </c>
      <c r="D76" s="240">
        <f>Scenario!H106</f>
        <v>45000</v>
      </c>
      <c r="E76" s="240">
        <f>Scenario!I106</f>
        <v>45000</v>
      </c>
      <c r="F76" s="240">
        <f>Scenario!J106</f>
        <v>45000</v>
      </c>
      <c r="G76" s="240">
        <f>Scenario!K106</f>
        <v>45000</v>
      </c>
      <c r="H76" s="240">
        <f>Scenario!L106</f>
        <v>45000</v>
      </c>
      <c r="I76" s="240">
        <f>Scenario!M106</f>
        <v>45000</v>
      </c>
      <c r="J76" s="240">
        <f>Scenario!N106</f>
        <v>45000</v>
      </c>
      <c r="K76" s="240">
        <f>Scenario!O106</f>
        <v>45000</v>
      </c>
      <c r="L76" s="240">
        <f>Scenario!P106</f>
        <v>45000</v>
      </c>
    </row>
    <row r="77" spans="1:12" x14ac:dyDescent="0.2">
      <c r="A77" s="232" t="s">
        <v>140</v>
      </c>
      <c r="C77" s="240">
        <f>INDEX(C78:C80, MATCH(Scenario!$E$6, Formulas!$C$4:$C$6, 0))*C$8</f>
        <v>8.0000000000000002E-3</v>
      </c>
      <c r="D77" s="240">
        <f>INDEX(D78:D80, MATCH(Scenario!$E$6, Formulas!$C$4:$C$6, 0))*D$8</f>
        <v>8.0000000000000002E-3</v>
      </c>
      <c r="E77" s="240">
        <f>INDEX(E78:E80, MATCH(Scenario!$E$6, Formulas!$C$4:$C$6, 0))*E$8</f>
        <v>8.0000000000000002E-3</v>
      </c>
      <c r="F77" s="240">
        <f>INDEX(F78:F80, MATCH(Scenario!$E$6, Formulas!$C$4:$C$6, 0))*F$8</f>
        <v>8.0000000000000002E-3</v>
      </c>
      <c r="G77" s="240">
        <f>INDEX(G78:G80, MATCH(Scenario!$E$6, Formulas!$C$4:$C$6, 0))*G$8</f>
        <v>8.0000000000000002E-3</v>
      </c>
      <c r="H77" s="240">
        <f>INDEX(H78:H80, MATCH(Scenario!$E$6, Formulas!$C$4:$C$6, 0))*H$8</f>
        <v>8.0000000000000002E-3</v>
      </c>
      <c r="I77" s="240">
        <f>INDEX(I78:I80, MATCH(Scenario!$E$6, Formulas!$C$4:$C$6, 0))*I$8</f>
        <v>8.0000000000000002E-3</v>
      </c>
      <c r="J77" s="240">
        <f>INDEX(J78:J80, MATCH(Scenario!$E$6, Formulas!$C$4:$C$6, 0))*J$8</f>
        <v>8.0000000000000002E-3</v>
      </c>
      <c r="K77" s="240">
        <f>INDEX(K78:K80, MATCH(Scenario!$E$6, Formulas!$C$4:$C$6, 0))*K$8</f>
        <v>8.0000000000000002E-3</v>
      </c>
      <c r="L77" s="240">
        <f>INDEX(L78:L80, MATCH(Scenario!$E$6, Formulas!$C$4:$C$6, 0))*L$8</f>
        <v>8.0000000000000002E-3</v>
      </c>
    </row>
    <row r="78" spans="1:12" x14ac:dyDescent="0.2">
      <c r="B78" s="232" t="s">
        <v>21</v>
      </c>
      <c r="C78" s="240">
        <f>Scenario!G47</f>
        <v>8.0000000000000002E-3</v>
      </c>
      <c r="D78" s="240">
        <f>Scenario!H47</f>
        <v>8.0000000000000002E-3</v>
      </c>
      <c r="E78" s="240">
        <f>Scenario!I47</f>
        <v>8.0000000000000002E-3</v>
      </c>
      <c r="F78" s="240">
        <f>Scenario!J47</f>
        <v>8.0000000000000002E-3</v>
      </c>
      <c r="G78" s="240">
        <f>Scenario!K47</f>
        <v>8.0000000000000002E-3</v>
      </c>
      <c r="H78" s="240">
        <f>Scenario!L47</f>
        <v>8.0000000000000002E-3</v>
      </c>
      <c r="I78" s="240">
        <f>Scenario!M47</f>
        <v>8.0000000000000002E-3</v>
      </c>
      <c r="J78" s="240">
        <f>Scenario!N47</f>
        <v>8.0000000000000002E-3</v>
      </c>
      <c r="K78" s="240">
        <f>Scenario!O47</f>
        <v>8.0000000000000002E-3</v>
      </c>
      <c r="L78" s="240">
        <f>Scenario!P47</f>
        <v>8.0000000000000002E-3</v>
      </c>
    </row>
    <row r="79" spans="1:12" x14ac:dyDescent="0.2">
      <c r="B79" s="232" t="s">
        <v>24</v>
      </c>
      <c r="C79" s="240">
        <f>Scenario!G77</f>
        <v>8.0000000000000002E-3</v>
      </c>
      <c r="D79" s="240">
        <f>Scenario!H77</f>
        <v>8.0000000000000002E-3</v>
      </c>
      <c r="E79" s="240">
        <f>Scenario!I77</f>
        <v>8.0000000000000002E-3</v>
      </c>
      <c r="F79" s="240">
        <f>Scenario!J77</f>
        <v>8.0000000000000002E-3</v>
      </c>
      <c r="G79" s="240">
        <f>Scenario!K77</f>
        <v>8.0000000000000002E-3</v>
      </c>
      <c r="H79" s="240">
        <f>Scenario!L77</f>
        <v>8.0000000000000002E-3</v>
      </c>
      <c r="I79" s="240">
        <f>Scenario!M77</f>
        <v>8.0000000000000002E-3</v>
      </c>
      <c r="J79" s="240">
        <f>Scenario!N77</f>
        <v>8.0000000000000002E-3</v>
      </c>
      <c r="K79" s="240">
        <f>Scenario!O77</f>
        <v>8.0000000000000002E-3</v>
      </c>
      <c r="L79" s="240">
        <f>Scenario!P77</f>
        <v>8.0000000000000002E-3</v>
      </c>
    </row>
    <row r="80" spans="1:12" x14ac:dyDescent="0.2">
      <c r="B80" s="232" t="s">
        <v>25</v>
      </c>
      <c r="C80" s="240">
        <f>Scenario!G107</f>
        <v>1.2E-2</v>
      </c>
      <c r="D80" s="240">
        <f>Scenario!H107</f>
        <v>1.2E-2</v>
      </c>
      <c r="E80" s="240">
        <f>Scenario!I107</f>
        <v>1.2E-2</v>
      </c>
      <c r="F80" s="240">
        <f>Scenario!J107</f>
        <v>1.2E-2</v>
      </c>
      <c r="G80" s="240">
        <f>Scenario!K107</f>
        <v>1.2E-2</v>
      </c>
      <c r="H80" s="240">
        <f>Scenario!L107</f>
        <v>1.2E-2</v>
      </c>
      <c r="I80" s="240">
        <f>Scenario!M107</f>
        <v>1.2E-2</v>
      </c>
      <c r="J80" s="240">
        <f>Scenario!N107</f>
        <v>1.2E-2</v>
      </c>
      <c r="K80" s="240">
        <f>Scenario!O107</f>
        <v>1.2E-2</v>
      </c>
      <c r="L80" s="240">
        <f>Scenario!P107</f>
        <v>1.2E-2</v>
      </c>
    </row>
    <row r="81" spans="1:12" x14ac:dyDescent="0.2">
      <c r="A81" s="232" t="s">
        <v>101</v>
      </c>
      <c r="C81" s="240">
        <f>INDEX(C82:C84, MATCH(Scenario!$E$6, Formulas!$C$4:$C$6, 0))*C$8</f>
        <v>0.35</v>
      </c>
      <c r="D81" s="240">
        <f>INDEX(D82:D84, MATCH(Scenario!$E$6, Formulas!$C$4:$C$6, 0))*D$8</f>
        <v>0.35</v>
      </c>
      <c r="E81" s="240">
        <f>INDEX(E82:E84, MATCH(Scenario!$E$6, Formulas!$C$4:$C$6, 0))*E$8</f>
        <v>0.35</v>
      </c>
      <c r="F81" s="240">
        <f>INDEX(F82:F84, MATCH(Scenario!$E$6, Formulas!$C$4:$C$6, 0))*F$8</f>
        <v>0.35</v>
      </c>
      <c r="G81" s="240">
        <f>INDEX(G82:G84, MATCH(Scenario!$E$6, Formulas!$C$4:$C$6, 0))*G$8</f>
        <v>0.35</v>
      </c>
      <c r="H81" s="240">
        <f>INDEX(H82:H84, MATCH(Scenario!$E$6, Formulas!$C$4:$C$6, 0))*H$8</f>
        <v>0.35</v>
      </c>
      <c r="I81" s="240">
        <f>INDEX(I82:I84, MATCH(Scenario!$E$6, Formulas!$C$4:$C$6, 0))*I$8</f>
        <v>0.35</v>
      </c>
      <c r="J81" s="240">
        <f>INDEX(J82:J84, MATCH(Scenario!$E$6, Formulas!$C$4:$C$6, 0))*J$8</f>
        <v>0.35</v>
      </c>
      <c r="K81" s="240">
        <f>INDEX(K82:K84, MATCH(Scenario!$E$6, Formulas!$C$4:$C$6, 0))*K$8</f>
        <v>0.35</v>
      </c>
      <c r="L81" s="240">
        <f>INDEX(L82:L84, MATCH(Scenario!$E$6, Formulas!$C$4:$C$6, 0))*L$8</f>
        <v>0.35</v>
      </c>
    </row>
    <row r="82" spans="1:12" x14ac:dyDescent="0.2">
      <c r="B82" s="232" t="s">
        <v>21</v>
      </c>
      <c r="C82" s="240">
        <f>Scenario!G48</f>
        <v>0.35</v>
      </c>
      <c r="D82" s="240">
        <f>Scenario!H48</f>
        <v>0.35</v>
      </c>
      <c r="E82" s="240">
        <f>Scenario!I48</f>
        <v>0.35</v>
      </c>
      <c r="F82" s="240">
        <f>Scenario!J48</f>
        <v>0.35</v>
      </c>
      <c r="G82" s="240">
        <f>Scenario!K48</f>
        <v>0.35</v>
      </c>
      <c r="H82" s="240">
        <f>Scenario!L48</f>
        <v>0.35</v>
      </c>
      <c r="I82" s="240">
        <f>Scenario!M48</f>
        <v>0.35</v>
      </c>
      <c r="J82" s="240">
        <f>Scenario!N48</f>
        <v>0.35</v>
      </c>
      <c r="K82" s="240">
        <f>Scenario!O48</f>
        <v>0.35</v>
      </c>
      <c r="L82" s="240">
        <f>Scenario!P48</f>
        <v>0.35</v>
      </c>
    </row>
    <row r="83" spans="1:12" x14ac:dyDescent="0.2">
      <c r="B83" s="232" t="s">
        <v>24</v>
      </c>
      <c r="C83" s="240">
        <f>Scenario!G78</f>
        <v>0.35</v>
      </c>
      <c r="D83" s="240">
        <f>Scenario!H78</f>
        <v>0.35</v>
      </c>
      <c r="E83" s="240">
        <f>Scenario!I78</f>
        <v>0.35</v>
      </c>
      <c r="F83" s="240">
        <f>Scenario!J78</f>
        <v>0.35</v>
      </c>
      <c r="G83" s="240">
        <f>Scenario!K78</f>
        <v>0.35</v>
      </c>
      <c r="H83" s="240">
        <f>Scenario!L78</f>
        <v>0.35</v>
      </c>
      <c r="I83" s="240">
        <f>Scenario!M78</f>
        <v>0.35</v>
      </c>
      <c r="J83" s="240">
        <f>Scenario!N78</f>
        <v>0.35</v>
      </c>
      <c r="K83" s="240">
        <f>Scenario!O78</f>
        <v>0.35</v>
      </c>
      <c r="L83" s="240">
        <f>Scenario!P78</f>
        <v>0.35</v>
      </c>
    </row>
    <row r="84" spans="1:12" x14ac:dyDescent="0.2">
      <c r="B84" s="232" t="s">
        <v>25</v>
      </c>
      <c r="C84" s="240">
        <f>Scenario!G108</f>
        <v>0.45</v>
      </c>
      <c r="D84" s="240">
        <f>Scenario!H108</f>
        <v>0.45</v>
      </c>
      <c r="E84" s="240">
        <f>Scenario!I108</f>
        <v>0.45</v>
      </c>
      <c r="F84" s="240">
        <f>Scenario!J108</f>
        <v>0.45</v>
      </c>
      <c r="G84" s="240">
        <f>Scenario!K108</f>
        <v>0.45</v>
      </c>
      <c r="H84" s="240">
        <f>Scenario!L108</f>
        <v>0.45</v>
      </c>
      <c r="I84" s="240">
        <f>Scenario!M108</f>
        <v>0.45</v>
      </c>
      <c r="J84" s="240">
        <f>Scenario!N108</f>
        <v>0.45</v>
      </c>
      <c r="K84" s="240">
        <f>Scenario!O108</f>
        <v>0.45</v>
      </c>
      <c r="L84" s="240">
        <f>Scenario!P108</f>
        <v>0.45</v>
      </c>
    </row>
    <row r="85" spans="1:12" x14ac:dyDescent="0.2">
      <c r="A85" s="232" t="s">
        <v>44</v>
      </c>
      <c r="C85" s="240">
        <f>INDEX(C86:C88, MATCH(Scenario!$E$6, Formulas!$C$4:$C$6, 0))*C$8</f>
        <v>0.25</v>
      </c>
      <c r="D85" s="240">
        <f>INDEX(D86:D88, MATCH(Scenario!$E$6, Formulas!$C$4:$C$6, 0))*D$8</f>
        <v>0.25</v>
      </c>
      <c r="E85" s="240">
        <f>INDEX(E86:E88, MATCH(Scenario!$E$6, Formulas!$C$4:$C$6, 0))*E$8</f>
        <v>0.25</v>
      </c>
      <c r="F85" s="240">
        <f>INDEX(F86:F88, MATCH(Scenario!$E$6, Formulas!$C$4:$C$6, 0))*F$8</f>
        <v>0.25</v>
      </c>
      <c r="G85" s="240">
        <f>INDEX(G86:G88, MATCH(Scenario!$E$6, Formulas!$C$4:$C$6, 0))*G$8</f>
        <v>0.25</v>
      </c>
      <c r="H85" s="240">
        <f>INDEX(H86:H88, MATCH(Scenario!$E$6, Formulas!$C$4:$C$6, 0))*H$8</f>
        <v>0.25</v>
      </c>
      <c r="I85" s="240">
        <f>INDEX(I86:I88, MATCH(Scenario!$E$6, Formulas!$C$4:$C$6, 0))*I$8</f>
        <v>0.25</v>
      </c>
      <c r="J85" s="240">
        <f>INDEX(J86:J88, MATCH(Scenario!$E$6, Formulas!$C$4:$C$6, 0))*J$8</f>
        <v>0.25</v>
      </c>
      <c r="K85" s="240">
        <f>INDEX(K86:K88, MATCH(Scenario!$E$6, Formulas!$C$4:$C$6, 0))*K$8</f>
        <v>0.25</v>
      </c>
      <c r="L85" s="240">
        <f>INDEX(L86:L88, MATCH(Scenario!$E$6, Formulas!$C$4:$C$6, 0))*L$8</f>
        <v>0.25</v>
      </c>
    </row>
    <row r="86" spans="1:12" x14ac:dyDescent="0.2">
      <c r="B86" s="232" t="s">
        <v>21</v>
      </c>
      <c r="C86" s="240">
        <f>Scenario!G49</f>
        <v>0.25</v>
      </c>
      <c r="D86" s="240">
        <f>Scenario!H49</f>
        <v>0.25</v>
      </c>
      <c r="E86" s="240">
        <f>Scenario!I49</f>
        <v>0.25</v>
      </c>
      <c r="F86" s="240">
        <f>Scenario!J49</f>
        <v>0.25</v>
      </c>
      <c r="G86" s="240">
        <f>Scenario!K49</f>
        <v>0.25</v>
      </c>
      <c r="H86" s="240">
        <f>Scenario!L49</f>
        <v>0.25</v>
      </c>
      <c r="I86" s="240">
        <f>Scenario!M49</f>
        <v>0.25</v>
      </c>
      <c r="J86" s="240">
        <f>Scenario!N49</f>
        <v>0.25</v>
      </c>
      <c r="K86" s="240">
        <f>Scenario!O49</f>
        <v>0.25</v>
      </c>
      <c r="L86" s="240">
        <f>Scenario!P49</f>
        <v>0.25</v>
      </c>
    </row>
    <row r="87" spans="1:12" x14ac:dyDescent="0.2">
      <c r="B87" s="232" t="s">
        <v>24</v>
      </c>
      <c r="C87" s="240">
        <f>Scenario!G79</f>
        <v>0.25</v>
      </c>
      <c r="D87" s="240">
        <f>Scenario!H79</f>
        <v>0.25</v>
      </c>
      <c r="E87" s="240">
        <f>Scenario!I79</f>
        <v>0.25</v>
      </c>
      <c r="F87" s="240">
        <f>Scenario!J79</f>
        <v>0.25</v>
      </c>
      <c r="G87" s="240">
        <f>Scenario!K79</f>
        <v>0.25</v>
      </c>
      <c r="H87" s="240">
        <f>Scenario!L79</f>
        <v>0.25</v>
      </c>
      <c r="I87" s="240">
        <f>Scenario!M79</f>
        <v>0.25</v>
      </c>
      <c r="J87" s="240">
        <f>Scenario!N79</f>
        <v>0.25</v>
      </c>
      <c r="K87" s="240">
        <f>Scenario!O79</f>
        <v>0.25</v>
      </c>
      <c r="L87" s="240">
        <f>Scenario!P79</f>
        <v>0.25</v>
      </c>
    </row>
    <row r="88" spans="1:12" x14ac:dyDescent="0.2">
      <c r="B88" s="232" t="s">
        <v>25</v>
      </c>
      <c r="C88" s="240">
        <f>Scenario!G109</f>
        <v>0.31</v>
      </c>
      <c r="D88" s="240">
        <f>Scenario!H109</f>
        <v>0.31</v>
      </c>
      <c r="E88" s="240">
        <f>Scenario!I109</f>
        <v>0.31</v>
      </c>
      <c r="F88" s="240">
        <f>Scenario!J109</f>
        <v>0.31</v>
      </c>
      <c r="G88" s="240">
        <f>Scenario!K109</f>
        <v>0.31</v>
      </c>
      <c r="H88" s="240">
        <f>Scenario!L109</f>
        <v>0.31</v>
      </c>
      <c r="I88" s="240">
        <f>Scenario!M109</f>
        <v>0.31</v>
      </c>
      <c r="J88" s="240">
        <f>Scenario!N109</f>
        <v>0.31</v>
      </c>
      <c r="K88" s="240">
        <f>Scenario!O109</f>
        <v>0.31</v>
      </c>
      <c r="L88" s="240">
        <f>Scenario!P109</f>
        <v>0.31</v>
      </c>
    </row>
    <row r="89" spans="1:12" x14ac:dyDescent="0.2">
      <c r="A89" s="232" t="s">
        <v>105</v>
      </c>
      <c r="C89" s="240">
        <f>INDEX(C90:C92, MATCH(Scenario!$E$6, Formulas!$C$4:$C$6, 0))*C$8</f>
        <v>40</v>
      </c>
      <c r="D89" s="240">
        <f>INDEX(D90:D92, MATCH(Scenario!$E$6, Formulas!$C$4:$C$6, 0))*D$8</f>
        <v>40</v>
      </c>
      <c r="E89" s="240">
        <f>INDEX(E90:E92, MATCH(Scenario!$E$6, Formulas!$C$4:$C$6, 0))*E$8</f>
        <v>40</v>
      </c>
      <c r="F89" s="240">
        <f>INDEX(F90:F92, MATCH(Scenario!$E$6, Formulas!$C$4:$C$6, 0))*F$8</f>
        <v>40</v>
      </c>
      <c r="G89" s="240">
        <f>INDEX(G90:G92, MATCH(Scenario!$E$6, Formulas!$C$4:$C$6, 0))*G$8</f>
        <v>40</v>
      </c>
      <c r="H89" s="240">
        <f>INDEX(H90:H92, MATCH(Scenario!$E$6, Formulas!$C$4:$C$6, 0))*H$8</f>
        <v>35</v>
      </c>
      <c r="I89" s="240">
        <f>INDEX(I90:I92, MATCH(Scenario!$E$6, Formulas!$C$4:$C$6, 0))*I$8</f>
        <v>35</v>
      </c>
      <c r="J89" s="240">
        <f>INDEX(J90:J92, MATCH(Scenario!$E$6, Formulas!$C$4:$C$6, 0))*J$8</f>
        <v>35</v>
      </c>
      <c r="K89" s="240">
        <f>INDEX(K90:K92, MATCH(Scenario!$E$6, Formulas!$C$4:$C$6, 0))*K$8</f>
        <v>35</v>
      </c>
      <c r="L89" s="240">
        <f>INDEX(L90:L92, MATCH(Scenario!$E$6, Formulas!$C$4:$C$6, 0))*L$8</f>
        <v>35</v>
      </c>
    </row>
    <row r="90" spans="1:12" x14ac:dyDescent="0.2">
      <c r="B90" s="232" t="s">
        <v>21</v>
      </c>
      <c r="C90" s="240">
        <f>Scenario!G52</f>
        <v>40</v>
      </c>
      <c r="D90" s="240">
        <f>Scenario!H52</f>
        <v>40</v>
      </c>
      <c r="E90" s="240">
        <f>Scenario!I52</f>
        <v>40</v>
      </c>
      <c r="F90" s="240">
        <f>Scenario!J52</f>
        <v>40</v>
      </c>
      <c r="G90" s="240">
        <f>Scenario!K52</f>
        <v>40</v>
      </c>
      <c r="H90" s="240">
        <f>Scenario!L52</f>
        <v>35</v>
      </c>
      <c r="I90" s="240">
        <f>Scenario!M52</f>
        <v>35</v>
      </c>
      <c r="J90" s="240">
        <f>Scenario!N52</f>
        <v>35</v>
      </c>
      <c r="K90" s="240">
        <f>Scenario!O52</f>
        <v>35</v>
      </c>
      <c r="L90" s="240">
        <f>Scenario!P52</f>
        <v>35</v>
      </c>
    </row>
    <row r="91" spans="1:12" x14ac:dyDescent="0.2">
      <c r="B91" s="232" t="s">
        <v>24</v>
      </c>
      <c r="C91" s="240">
        <f>Scenario!G82</f>
        <v>40</v>
      </c>
      <c r="D91" s="240">
        <f>Scenario!H82</f>
        <v>40</v>
      </c>
      <c r="E91" s="240">
        <f>Scenario!I82</f>
        <v>40</v>
      </c>
      <c r="F91" s="240">
        <f>Scenario!J82</f>
        <v>40</v>
      </c>
      <c r="G91" s="240">
        <f>Scenario!K82</f>
        <v>40</v>
      </c>
      <c r="H91" s="240">
        <f>Scenario!L82</f>
        <v>35</v>
      </c>
      <c r="I91" s="240">
        <f>Scenario!M82</f>
        <v>35</v>
      </c>
      <c r="J91" s="240">
        <f>Scenario!N82</f>
        <v>35</v>
      </c>
      <c r="K91" s="240">
        <f>Scenario!O82</f>
        <v>35</v>
      </c>
      <c r="L91" s="240">
        <f>Scenario!P82</f>
        <v>35</v>
      </c>
    </row>
    <row r="92" spans="1:12" x14ac:dyDescent="0.2">
      <c r="B92" s="232" t="s">
        <v>25</v>
      </c>
      <c r="C92" s="240">
        <f>Scenario!G112</f>
        <v>50</v>
      </c>
      <c r="D92" s="240">
        <f>Scenario!H112</f>
        <v>50</v>
      </c>
      <c r="E92" s="240">
        <f>Scenario!I112</f>
        <v>50</v>
      </c>
      <c r="F92" s="240">
        <f>Scenario!J112</f>
        <v>50</v>
      </c>
      <c r="G92" s="240">
        <f>Scenario!K112</f>
        <v>50</v>
      </c>
      <c r="H92" s="240">
        <f>Scenario!L112</f>
        <v>55</v>
      </c>
      <c r="I92" s="240">
        <f>Scenario!M112</f>
        <v>55</v>
      </c>
      <c r="J92" s="240">
        <f>Scenario!N112</f>
        <v>55</v>
      </c>
      <c r="K92" s="240">
        <f>Scenario!O112</f>
        <v>55</v>
      </c>
      <c r="L92" s="240">
        <f>Scenario!P112</f>
        <v>55</v>
      </c>
    </row>
    <row r="93" spans="1:12" x14ac:dyDescent="0.2">
      <c r="A93" s="232" t="s">
        <v>106</v>
      </c>
      <c r="C93" s="240">
        <f>INDEX(C94:C96, MATCH(Scenario!$E$6, Formulas!$C$4:$C$6, 0))*C$8</f>
        <v>65</v>
      </c>
      <c r="D93" s="240">
        <f>INDEX(D94:D96, MATCH(Scenario!$E$6, Formulas!$C$4:$C$6, 0))*D$8</f>
        <v>65</v>
      </c>
      <c r="E93" s="240">
        <f>INDEX(E94:E96, MATCH(Scenario!$E$6, Formulas!$C$4:$C$6, 0))*E$8</f>
        <v>65</v>
      </c>
      <c r="F93" s="240">
        <f>INDEX(F94:F96, MATCH(Scenario!$E$6, Formulas!$C$4:$C$6, 0))*F$8</f>
        <v>70</v>
      </c>
      <c r="G93" s="240">
        <f>INDEX(G94:G96, MATCH(Scenario!$E$6, Formulas!$C$4:$C$6, 0))*G$8</f>
        <v>70</v>
      </c>
      <c r="H93" s="240">
        <f>INDEX(H94:H96, MATCH(Scenario!$E$6, Formulas!$C$4:$C$6, 0))*H$8</f>
        <v>70</v>
      </c>
      <c r="I93" s="240">
        <f>INDEX(I94:I96, MATCH(Scenario!$E$6, Formulas!$C$4:$C$6, 0))*I$8</f>
        <v>75</v>
      </c>
      <c r="J93" s="240">
        <f>INDEX(J94:J96, MATCH(Scenario!$E$6, Formulas!$C$4:$C$6, 0))*J$8</f>
        <v>75</v>
      </c>
      <c r="K93" s="240">
        <f>INDEX(K94:K96, MATCH(Scenario!$E$6, Formulas!$C$4:$C$6, 0))*K$8</f>
        <v>80</v>
      </c>
      <c r="L93" s="240">
        <f>INDEX(L94:L96, MATCH(Scenario!$E$6, Formulas!$C$4:$C$6, 0))*L$8</f>
        <v>80</v>
      </c>
    </row>
    <row r="94" spans="1:12" x14ac:dyDescent="0.2">
      <c r="B94" s="232" t="s">
        <v>21</v>
      </c>
      <c r="C94" s="240">
        <f>Scenario!G53</f>
        <v>65</v>
      </c>
      <c r="D94" s="240">
        <f>Scenario!H53</f>
        <v>65</v>
      </c>
      <c r="E94" s="240">
        <f>Scenario!I53</f>
        <v>65</v>
      </c>
      <c r="F94" s="240">
        <f>Scenario!J53</f>
        <v>70</v>
      </c>
      <c r="G94" s="240">
        <f>Scenario!K53</f>
        <v>70</v>
      </c>
      <c r="H94" s="240">
        <f>Scenario!L53</f>
        <v>70</v>
      </c>
      <c r="I94" s="240">
        <f>Scenario!M53</f>
        <v>75</v>
      </c>
      <c r="J94" s="240">
        <f>Scenario!N53</f>
        <v>75</v>
      </c>
      <c r="K94" s="240">
        <f>Scenario!O53</f>
        <v>80</v>
      </c>
      <c r="L94" s="240">
        <f>Scenario!P53</f>
        <v>80</v>
      </c>
    </row>
    <row r="95" spans="1:12" x14ac:dyDescent="0.2">
      <c r="B95" s="232" t="s">
        <v>24</v>
      </c>
      <c r="C95" s="240">
        <f>Scenario!G83</f>
        <v>65</v>
      </c>
      <c r="D95" s="240">
        <f>Scenario!H83</f>
        <v>65</v>
      </c>
      <c r="E95" s="240">
        <f>Scenario!I83</f>
        <v>65</v>
      </c>
      <c r="F95" s="240">
        <f>Scenario!J83</f>
        <v>70</v>
      </c>
      <c r="G95" s="240">
        <f>Scenario!K83</f>
        <v>70</v>
      </c>
      <c r="H95" s="240">
        <f>Scenario!L83</f>
        <v>70</v>
      </c>
      <c r="I95" s="240">
        <f>Scenario!M83</f>
        <v>75</v>
      </c>
      <c r="J95" s="240">
        <f>Scenario!N83</f>
        <v>75</v>
      </c>
      <c r="K95" s="240">
        <f>Scenario!O83</f>
        <v>80</v>
      </c>
      <c r="L95" s="240">
        <f>Scenario!P83</f>
        <v>80</v>
      </c>
    </row>
    <row r="96" spans="1:12" x14ac:dyDescent="0.2">
      <c r="B96" s="232" t="s">
        <v>25</v>
      </c>
      <c r="C96" s="240">
        <f>Scenario!G113</f>
        <v>80</v>
      </c>
      <c r="D96" s="240">
        <f>Scenario!H113</f>
        <v>80</v>
      </c>
      <c r="E96" s="240">
        <f>Scenario!I113</f>
        <v>85</v>
      </c>
      <c r="F96" s="240">
        <f>Scenario!J113</f>
        <v>90</v>
      </c>
      <c r="G96" s="240">
        <f>Scenario!K113</f>
        <v>90</v>
      </c>
      <c r="H96" s="240">
        <f>Scenario!L113</f>
        <v>95</v>
      </c>
      <c r="I96" s="240">
        <f>Scenario!M113</f>
        <v>100</v>
      </c>
      <c r="J96" s="240">
        <f>Scenario!N113</f>
        <v>100</v>
      </c>
      <c r="K96" s="240">
        <f>Scenario!O113</f>
        <v>105</v>
      </c>
      <c r="L96" s="240">
        <f>Scenario!P113</f>
        <v>110</v>
      </c>
    </row>
    <row r="97" spans="1:12" x14ac:dyDescent="0.2">
      <c r="A97" s="232" t="s">
        <v>232</v>
      </c>
      <c r="C97" s="240">
        <f>INDEX(C98:C100, MATCH(Scenario!$E$6, Formulas!$C$4:$C$6, 0))*C$8</f>
        <v>13500</v>
      </c>
      <c r="D97" s="240"/>
      <c r="E97" s="240"/>
      <c r="F97" s="240"/>
      <c r="G97" s="240"/>
      <c r="H97" s="240"/>
      <c r="I97" s="240"/>
      <c r="J97" s="240"/>
      <c r="K97" s="240"/>
      <c r="L97" s="240"/>
    </row>
    <row r="98" spans="1:12" x14ac:dyDescent="0.2">
      <c r="B98" s="232" t="s">
        <v>21</v>
      </c>
      <c r="C98" s="240">
        <f>Scenario!G54</f>
        <v>13500</v>
      </c>
      <c r="D98" s="240"/>
      <c r="E98" s="240"/>
      <c r="F98" s="240"/>
      <c r="G98" s="240"/>
      <c r="H98" s="240"/>
      <c r="I98" s="240"/>
      <c r="J98" s="240"/>
      <c r="K98" s="240"/>
      <c r="L98" s="240"/>
    </row>
    <row r="99" spans="1:12" x14ac:dyDescent="0.2">
      <c r="B99" s="232" t="s">
        <v>24</v>
      </c>
      <c r="C99" s="240">
        <f>Scenario!G84</f>
        <v>18000</v>
      </c>
      <c r="D99" s="240"/>
      <c r="E99" s="240"/>
      <c r="F99" s="240"/>
      <c r="G99" s="240"/>
      <c r="H99" s="240"/>
      <c r="I99" s="240"/>
      <c r="J99" s="240"/>
      <c r="K99" s="240"/>
      <c r="L99" s="240"/>
    </row>
    <row r="100" spans="1:12" x14ac:dyDescent="0.2">
      <c r="B100" s="232" t="s">
        <v>25</v>
      </c>
      <c r="C100" s="240">
        <f>Scenario!G114</f>
        <v>12000</v>
      </c>
      <c r="D100" s="240"/>
      <c r="E100" s="240"/>
      <c r="F100" s="240"/>
      <c r="G100" s="240"/>
      <c r="H100" s="240"/>
      <c r="I100" s="240"/>
      <c r="J100" s="240"/>
      <c r="K100" s="240"/>
      <c r="L100" s="240"/>
    </row>
    <row r="101" spans="1:12" x14ac:dyDescent="0.2">
      <c r="A101" s="232" t="s">
        <v>107</v>
      </c>
      <c r="C101" s="240">
        <f>INDEX(C102:C104, MATCH(Scenario!$E$6, Formulas!$C$4:$C$6, 0))*C$8</f>
        <v>50</v>
      </c>
      <c r="D101" s="240">
        <f>INDEX(D102:D104, MATCH(Scenario!$E$6, Formulas!$C$4:$C$6, 0))*D$8</f>
        <v>50</v>
      </c>
      <c r="E101" s="240">
        <f>INDEX(E102:E104, MATCH(Scenario!$E$6, Formulas!$C$4:$C$6, 0))*E$8</f>
        <v>50</v>
      </c>
      <c r="F101" s="240">
        <f>INDEX(F102:F104, MATCH(Scenario!$E$6, Formulas!$C$4:$C$6, 0))*F$8</f>
        <v>50</v>
      </c>
      <c r="G101" s="240">
        <f>INDEX(G102:G104, MATCH(Scenario!$E$6, Formulas!$C$4:$C$6, 0))*G$8</f>
        <v>50</v>
      </c>
      <c r="H101" s="240">
        <f>INDEX(H102:H104, MATCH(Scenario!$E$6, Formulas!$C$4:$C$6, 0))*H$8</f>
        <v>45</v>
      </c>
      <c r="I101" s="240">
        <f>INDEX(I102:I104, MATCH(Scenario!$E$6, Formulas!$C$4:$C$6, 0))*I$8</f>
        <v>45</v>
      </c>
      <c r="J101" s="240">
        <f>INDEX(J102:J104, MATCH(Scenario!$E$6, Formulas!$C$4:$C$6, 0))*J$8</f>
        <v>45</v>
      </c>
      <c r="K101" s="240">
        <f>INDEX(K102:K104, MATCH(Scenario!$E$6, Formulas!$C$4:$C$6, 0))*K$8</f>
        <v>45</v>
      </c>
      <c r="L101" s="240">
        <f>INDEX(L102:L104, MATCH(Scenario!$E$6, Formulas!$C$4:$C$6, 0))*L$8</f>
        <v>45</v>
      </c>
    </row>
    <row r="102" spans="1:12" x14ac:dyDescent="0.2">
      <c r="B102" s="232" t="s">
        <v>21</v>
      </c>
      <c r="C102" s="240">
        <f>Scenario!G55</f>
        <v>50</v>
      </c>
      <c r="D102" s="240">
        <f>Scenario!H55</f>
        <v>50</v>
      </c>
      <c r="E102" s="240">
        <f>Scenario!I55</f>
        <v>50</v>
      </c>
      <c r="F102" s="240">
        <f>Scenario!J55</f>
        <v>50</v>
      </c>
      <c r="G102" s="240">
        <f>Scenario!K55</f>
        <v>50</v>
      </c>
      <c r="H102" s="240">
        <f>Scenario!L55</f>
        <v>45</v>
      </c>
      <c r="I102" s="240">
        <f>Scenario!M55</f>
        <v>45</v>
      </c>
      <c r="J102" s="240">
        <f>Scenario!N55</f>
        <v>45</v>
      </c>
      <c r="K102" s="240">
        <f>Scenario!O55</f>
        <v>45</v>
      </c>
      <c r="L102" s="240">
        <f>Scenario!P55</f>
        <v>45</v>
      </c>
    </row>
    <row r="103" spans="1:12" x14ac:dyDescent="0.2">
      <c r="B103" s="232" t="s">
        <v>24</v>
      </c>
      <c r="C103" s="240">
        <f>Scenario!G85</f>
        <v>50</v>
      </c>
      <c r="D103" s="240">
        <f>Scenario!H85</f>
        <v>50</v>
      </c>
      <c r="E103" s="240">
        <f>Scenario!I85</f>
        <v>50</v>
      </c>
      <c r="F103" s="240">
        <f>Scenario!J85</f>
        <v>50</v>
      </c>
      <c r="G103" s="240">
        <f>Scenario!K85</f>
        <v>50</v>
      </c>
      <c r="H103" s="240">
        <f>Scenario!L85</f>
        <v>45</v>
      </c>
      <c r="I103" s="240">
        <f>Scenario!M85</f>
        <v>45</v>
      </c>
      <c r="J103" s="240">
        <f>Scenario!N85</f>
        <v>45</v>
      </c>
      <c r="K103" s="240">
        <f>Scenario!O85</f>
        <v>45</v>
      </c>
      <c r="L103" s="240">
        <f>Scenario!P85</f>
        <v>45</v>
      </c>
    </row>
    <row r="104" spans="1:12" x14ac:dyDescent="0.2">
      <c r="B104" s="232" t="s">
        <v>25</v>
      </c>
      <c r="C104" s="240">
        <f>Scenario!G115</f>
        <v>70</v>
      </c>
      <c r="D104" s="240">
        <f>Scenario!H115</f>
        <v>70</v>
      </c>
      <c r="E104" s="240">
        <f>Scenario!I115</f>
        <v>70</v>
      </c>
      <c r="F104" s="240">
        <f>Scenario!J115</f>
        <v>70</v>
      </c>
      <c r="G104" s="240">
        <f>Scenario!K115</f>
        <v>70</v>
      </c>
      <c r="H104" s="240">
        <f>Scenario!L115</f>
        <v>75</v>
      </c>
      <c r="I104" s="240">
        <f>Scenario!M115</f>
        <v>75</v>
      </c>
      <c r="J104" s="240">
        <f>Scenario!N115</f>
        <v>75</v>
      </c>
      <c r="K104" s="240">
        <f>Scenario!O115</f>
        <v>75</v>
      </c>
      <c r="L104" s="240">
        <f>Scenario!P115</f>
        <v>75</v>
      </c>
    </row>
    <row r="105" spans="1:12" x14ac:dyDescent="0.2">
      <c r="A105" s="232" t="s">
        <v>108</v>
      </c>
      <c r="C105" s="240">
        <f>INDEX(C106:C108, MATCH(Scenario!$E$6, Formulas!$C$4:$C$6, 0))*C$8</f>
        <v>4.4999999999999998E-2</v>
      </c>
      <c r="D105" s="240">
        <f>INDEX(D106:D108, MATCH(Scenario!$E$6, Formulas!$C$4:$C$6, 0))*D$8</f>
        <v>4.4999999999999998E-2</v>
      </c>
      <c r="E105" s="240">
        <f>INDEX(E106:E108, MATCH(Scenario!$E$6, Formulas!$C$4:$C$6, 0))*E$8</f>
        <v>4.4999999999999998E-2</v>
      </c>
      <c r="F105" s="240">
        <f>INDEX(F106:F108, MATCH(Scenario!$E$6, Formulas!$C$4:$C$6, 0))*F$8</f>
        <v>4.4999999999999998E-2</v>
      </c>
      <c r="G105" s="240">
        <f>INDEX(G106:G108, MATCH(Scenario!$E$6, Formulas!$C$4:$C$6, 0))*G$8</f>
        <v>4.4999999999999998E-2</v>
      </c>
      <c r="H105" s="240">
        <f>INDEX(H106:H108, MATCH(Scenario!$E$6, Formulas!$C$4:$C$6, 0))*H$8</f>
        <v>4.4999999999999998E-2</v>
      </c>
      <c r="I105" s="240">
        <f>INDEX(I106:I108, MATCH(Scenario!$E$6, Formulas!$C$4:$C$6, 0))*I$8</f>
        <v>4.4999999999999998E-2</v>
      </c>
      <c r="J105" s="240">
        <f>INDEX(J106:J108, MATCH(Scenario!$E$6, Formulas!$C$4:$C$6, 0))*J$8</f>
        <v>4.4999999999999998E-2</v>
      </c>
      <c r="K105" s="240">
        <f>INDEX(K106:K108, MATCH(Scenario!$E$6, Formulas!$C$4:$C$6, 0))*K$8</f>
        <v>4.4999999999999998E-2</v>
      </c>
      <c r="L105" s="240">
        <f>INDEX(L106:L108, MATCH(Scenario!$E$6, Formulas!$C$4:$C$6, 0))*L$8</f>
        <v>4.4999999999999998E-2</v>
      </c>
    </row>
    <row r="106" spans="1:12" x14ac:dyDescent="0.2">
      <c r="B106" s="232" t="s">
        <v>21</v>
      </c>
      <c r="C106" s="240">
        <f>Scenario!G56</f>
        <v>4.4999999999999998E-2</v>
      </c>
      <c r="D106" s="240">
        <f>Scenario!H56</f>
        <v>4.4999999999999998E-2</v>
      </c>
      <c r="E106" s="240">
        <f>Scenario!I56</f>
        <v>4.4999999999999998E-2</v>
      </c>
      <c r="F106" s="240">
        <f>Scenario!J56</f>
        <v>4.4999999999999998E-2</v>
      </c>
      <c r="G106" s="240">
        <f>Scenario!K56</f>
        <v>4.4999999999999998E-2</v>
      </c>
      <c r="H106" s="240">
        <f>Scenario!L56</f>
        <v>4.4999999999999998E-2</v>
      </c>
      <c r="I106" s="240">
        <f>Scenario!M56</f>
        <v>4.4999999999999998E-2</v>
      </c>
      <c r="J106" s="240">
        <f>Scenario!N56</f>
        <v>4.4999999999999998E-2</v>
      </c>
      <c r="K106" s="240">
        <f>Scenario!O56</f>
        <v>4.4999999999999998E-2</v>
      </c>
      <c r="L106" s="240">
        <f>Scenario!P56</f>
        <v>4.4999999999999998E-2</v>
      </c>
    </row>
    <row r="107" spans="1:12" x14ac:dyDescent="0.2">
      <c r="B107" s="232" t="s">
        <v>24</v>
      </c>
      <c r="C107" s="240">
        <f>Scenario!G86</f>
        <v>4.4999999999999998E-2</v>
      </c>
      <c r="D107" s="240">
        <f>Scenario!H86</f>
        <v>4.4999999999999998E-2</v>
      </c>
      <c r="E107" s="240">
        <f>Scenario!I86</f>
        <v>4.4999999999999998E-2</v>
      </c>
      <c r="F107" s="240">
        <f>Scenario!J86</f>
        <v>4.4999999999999998E-2</v>
      </c>
      <c r="G107" s="240">
        <f>Scenario!K86</f>
        <v>4.4999999999999998E-2</v>
      </c>
      <c r="H107" s="240">
        <f>Scenario!L86</f>
        <v>4.4999999999999998E-2</v>
      </c>
      <c r="I107" s="240">
        <f>Scenario!M86</f>
        <v>4.4999999999999998E-2</v>
      </c>
      <c r="J107" s="240">
        <f>Scenario!N86</f>
        <v>4.4999999999999998E-2</v>
      </c>
      <c r="K107" s="240">
        <f>Scenario!O86</f>
        <v>4.4999999999999998E-2</v>
      </c>
      <c r="L107" s="240">
        <f>Scenario!P86</f>
        <v>4.4999999999999998E-2</v>
      </c>
    </row>
    <row r="108" spans="1:12" x14ac:dyDescent="0.2">
      <c r="B108" s="232" t="s">
        <v>25</v>
      </c>
      <c r="C108" s="240">
        <f>Scenario!G116</f>
        <v>0.06</v>
      </c>
      <c r="D108" s="240">
        <f>Scenario!H116</f>
        <v>0.06</v>
      </c>
      <c r="E108" s="240">
        <f>Scenario!I116</f>
        <v>0.06</v>
      </c>
      <c r="F108" s="240">
        <f>Scenario!J116</f>
        <v>0.06</v>
      </c>
      <c r="G108" s="240">
        <f>Scenario!K116</f>
        <v>0.06</v>
      </c>
      <c r="H108" s="240">
        <f>Scenario!L116</f>
        <v>0.06</v>
      </c>
      <c r="I108" s="240">
        <f>Scenario!M116</f>
        <v>0.06</v>
      </c>
      <c r="J108" s="240">
        <f>Scenario!N116</f>
        <v>0.06</v>
      </c>
      <c r="K108" s="240">
        <f>Scenario!O116</f>
        <v>0.06</v>
      </c>
      <c r="L108" s="240">
        <f>Scenario!P116</f>
        <v>0.06</v>
      </c>
    </row>
    <row r="109" spans="1:12" x14ac:dyDescent="0.2">
      <c r="A109" s="232" t="s">
        <v>109</v>
      </c>
      <c r="C109" s="240">
        <f>INDEX(C110:C112, MATCH(Scenario!$E$6, Formulas!$C$4:$C$6, 0))*C$8</f>
        <v>8000</v>
      </c>
      <c r="D109" s="240">
        <f>INDEX(D110:D112, MATCH(Scenario!$E$6, Formulas!$C$4:$C$6, 0))*D$8</f>
        <v>10000</v>
      </c>
      <c r="E109" s="240">
        <f>INDEX(E110:E112, MATCH(Scenario!$E$6, Formulas!$C$4:$C$6, 0))*E$8</f>
        <v>12000</v>
      </c>
      <c r="F109" s="240">
        <f>INDEX(F110:F112, MATCH(Scenario!$E$6, Formulas!$C$4:$C$6, 0))*F$8</f>
        <v>12000</v>
      </c>
      <c r="G109" s="240">
        <f>INDEX(G110:G112, MATCH(Scenario!$E$6, Formulas!$C$4:$C$6, 0))*G$8</f>
        <v>15000</v>
      </c>
      <c r="H109" s="240">
        <f>INDEX(H110:H112, MATCH(Scenario!$E$6, Formulas!$C$4:$C$6, 0))*H$8</f>
        <v>18000</v>
      </c>
      <c r="I109" s="240">
        <f>INDEX(I110:I112, MATCH(Scenario!$E$6, Formulas!$C$4:$C$6, 0))*I$8</f>
        <v>15000</v>
      </c>
      <c r="J109" s="240">
        <f>INDEX(J110:J112, MATCH(Scenario!$E$6, Formulas!$C$4:$C$6, 0))*J$8</f>
        <v>12000</v>
      </c>
      <c r="K109" s="240">
        <f>INDEX(K110:K112, MATCH(Scenario!$E$6, Formulas!$C$4:$C$6, 0))*K$8</f>
        <v>10000</v>
      </c>
      <c r="L109" s="240">
        <f>INDEX(L110:L112, MATCH(Scenario!$E$6, Formulas!$C$4:$C$6, 0))*L$8</f>
        <v>8000</v>
      </c>
    </row>
    <row r="110" spans="1:12" x14ac:dyDescent="0.2">
      <c r="B110" s="232" t="s">
        <v>21</v>
      </c>
      <c r="C110" s="240">
        <f>Scenario!G57</f>
        <v>8000</v>
      </c>
      <c r="D110" s="240">
        <f>Scenario!H57</f>
        <v>10000</v>
      </c>
      <c r="E110" s="240">
        <f>Scenario!I57</f>
        <v>12000</v>
      </c>
      <c r="F110" s="240">
        <f>Scenario!J57</f>
        <v>12000</v>
      </c>
      <c r="G110" s="240">
        <f>Scenario!K57</f>
        <v>15000</v>
      </c>
      <c r="H110" s="240">
        <f>Scenario!L57</f>
        <v>18000</v>
      </c>
      <c r="I110" s="240">
        <f>Scenario!M57</f>
        <v>15000</v>
      </c>
      <c r="J110" s="240">
        <f>Scenario!N57</f>
        <v>12000</v>
      </c>
      <c r="K110" s="240">
        <f>Scenario!O57</f>
        <v>10000</v>
      </c>
      <c r="L110" s="240">
        <f>Scenario!P57</f>
        <v>8000</v>
      </c>
    </row>
    <row r="111" spans="1:12" x14ac:dyDescent="0.2">
      <c r="B111" s="232" t="s">
        <v>24</v>
      </c>
      <c r="C111" s="240">
        <f>Scenario!G87</f>
        <v>12000</v>
      </c>
      <c r="D111" s="240">
        <f>Scenario!H87</f>
        <v>15000</v>
      </c>
      <c r="E111" s="240">
        <f>Scenario!I87</f>
        <v>20000</v>
      </c>
      <c r="F111" s="240">
        <f>Scenario!J87</f>
        <v>20000</v>
      </c>
      <c r="G111" s="240">
        <f>Scenario!K87</f>
        <v>25000</v>
      </c>
      <c r="H111" s="240">
        <f>Scenario!L87</f>
        <v>25000</v>
      </c>
      <c r="I111" s="240">
        <f>Scenario!M87</f>
        <v>20000</v>
      </c>
      <c r="J111" s="240">
        <f>Scenario!N87</f>
        <v>15000</v>
      </c>
      <c r="K111" s="240">
        <f>Scenario!O87</f>
        <v>10000</v>
      </c>
      <c r="L111" s="240">
        <f>Scenario!P87</f>
        <v>5000</v>
      </c>
    </row>
    <row r="112" spans="1:12" x14ac:dyDescent="0.2">
      <c r="B112" s="232" t="s">
        <v>25</v>
      </c>
      <c r="C112" s="240">
        <f>Scenario!G117</f>
        <v>8000</v>
      </c>
      <c r="D112" s="240">
        <f>Scenario!H117</f>
        <v>8000</v>
      </c>
      <c r="E112" s="240">
        <f>Scenario!I117</f>
        <v>10000</v>
      </c>
      <c r="F112" s="240">
        <f>Scenario!J117</f>
        <v>10000</v>
      </c>
      <c r="G112" s="240">
        <f>Scenario!K117</f>
        <v>12000</v>
      </c>
      <c r="H112" s="240">
        <f>Scenario!L117</f>
        <v>10000</v>
      </c>
      <c r="I112" s="240">
        <f>Scenario!M117</f>
        <v>8000</v>
      </c>
      <c r="J112" s="240">
        <f>Scenario!N117</f>
        <v>5000</v>
      </c>
      <c r="K112" s="240">
        <f>Scenario!O117</f>
        <v>4000</v>
      </c>
      <c r="L112" s="240">
        <f>Scenario!P117</f>
        <v>2000</v>
      </c>
    </row>
    <row r="113" spans="1:12" x14ac:dyDescent="0.2">
      <c r="A113" s="232" t="s">
        <v>111</v>
      </c>
      <c r="C113" s="240">
        <f>INDEX(C114:C116, MATCH(Scenario!$E$6, Formulas!$C$4:$C$6, 0))*C$8</f>
        <v>5.5E-2</v>
      </c>
      <c r="D113" s="240">
        <f>INDEX(D114:D116, MATCH(Scenario!$E$6, Formulas!$C$4:$C$6, 0))*D$8</f>
        <v>5.5E-2</v>
      </c>
      <c r="E113" s="240">
        <f>INDEX(E114:E116, MATCH(Scenario!$E$6, Formulas!$C$4:$C$6, 0))*E$8</f>
        <v>5.5E-2</v>
      </c>
      <c r="F113" s="240">
        <f>INDEX(F114:F116, MATCH(Scenario!$E$6, Formulas!$C$4:$C$6, 0))*F$8</f>
        <v>5.5E-2</v>
      </c>
      <c r="G113" s="240">
        <f>INDEX(G114:G116, MATCH(Scenario!$E$6, Formulas!$C$4:$C$6, 0))*G$8</f>
        <v>5.5E-2</v>
      </c>
      <c r="H113" s="240">
        <f>INDEX(H114:H116, MATCH(Scenario!$E$6, Formulas!$C$4:$C$6, 0))*H$8</f>
        <v>5.5E-2</v>
      </c>
      <c r="I113" s="240">
        <f>INDEX(I114:I116, MATCH(Scenario!$E$6, Formulas!$C$4:$C$6, 0))*I$8</f>
        <v>5.5E-2</v>
      </c>
      <c r="J113" s="240">
        <f>INDEX(J114:J116, MATCH(Scenario!$E$6, Formulas!$C$4:$C$6, 0))*J$8</f>
        <v>5.5E-2</v>
      </c>
      <c r="K113" s="240">
        <f>INDEX(K114:K116, MATCH(Scenario!$E$6, Formulas!$C$4:$C$6, 0))*K$8</f>
        <v>5.5E-2</v>
      </c>
      <c r="L113" s="240">
        <f>INDEX(L114:L116, MATCH(Scenario!$E$6, Formulas!$C$4:$C$6, 0))*L$8</f>
        <v>5.5E-2</v>
      </c>
    </row>
    <row r="114" spans="1:12" x14ac:dyDescent="0.2">
      <c r="B114" s="232" t="s">
        <v>21</v>
      </c>
      <c r="C114" s="240">
        <f>Scenario!G60</f>
        <v>5.5E-2</v>
      </c>
      <c r="D114" s="240">
        <f>Scenario!H60</f>
        <v>5.5E-2</v>
      </c>
      <c r="E114" s="240">
        <f>Scenario!I60</f>
        <v>5.5E-2</v>
      </c>
      <c r="F114" s="240">
        <f>Scenario!J60</f>
        <v>5.5E-2</v>
      </c>
      <c r="G114" s="240">
        <f>Scenario!K60</f>
        <v>5.5E-2</v>
      </c>
      <c r="H114" s="240">
        <f>Scenario!L60</f>
        <v>5.5E-2</v>
      </c>
      <c r="I114" s="240">
        <f>Scenario!M60</f>
        <v>5.5E-2</v>
      </c>
      <c r="J114" s="240">
        <f>Scenario!N60</f>
        <v>5.5E-2</v>
      </c>
      <c r="K114" s="240">
        <f>Scenario!O60</f>
        <v>5.5E-2</v>
      </c>
      <c r="L114" s="240">
        <f>Scenario!P60</f>
        <v>5.5E-2</v>
      </c>
    </row>
    <row r="115" spans="1:12" x14ac:dyDescent="0.2">
      <c r="B115" s="232" t="s">
        <v>24</v>
      </c>
      <c r="C115" s="240">
        <f>Scenario!G90</f>
        <v>5.5E-2</v>
      </c>
      <c r="D115" s="240">
        <f>Scenario!H90</f>
        <v>5.5E-2</v>
      </c>
      <c r="E115" s="240">
        <f>Scenario!I90</f>
        <v>5.5E-2</v>
      </c>
      <c r="F115" s="240">
        <f>Scenario!J90</f>
        <v>5.5E-2</v>
      </c>
      <c r="G115" s="240">
        <f>Scenario!K90</f>
        <v>5.5E-2</v>
      </c>
      <c r="H115" s="240">
        <f>Scenario!L90</f>
        <v>5.5E-2</v>
      </c>
      <c r="I115" s="240">
        <f>Scenario!M90</f>
        <v>5.5E-2</v>
      </c>
      <c r="J115" s="240">
        <f>Scenario!N90</f>
        <v>5.5E-2</v>
      </c>
      <c r="K115" s="240">
        <f>Scenario!O90</f>
        <v>5.5E-2</v>
      </c>
      <c r="L115" s="240">
        <f>Scenario!P90</f>
        <v>5.5E-2</v>
      </c>
    </row>
    <row r="116" spans="1:12" x14ac:dyDescent="0.2">
      <c r="B116" s="232" t="s">
        <v>25</v>
      </c>
      <c r="C116" s="240">
        <f>Scenario!G120</f>
        <v>7.4999999999999997E-2</v>
      </c>
      <c r="D116" s="240">
        <f>Scenario!H120</f>
        <v>7.4999999999999997E-2</v>
      </c>
      <c r="E116" s="240">
        <f>Scenario!I120</f>
        <v>7.4999999999999997E-2</v>
      </c>
      <c r="F116" s="240">
        <f>Scenario!J120</f>
        <v>7.4999999999999997E-2</v>
      </c>
      <c r="G116" s="240">
        <f>Scenario!K120</f>
        <v>7.4999999999999997E-2</v>
      </c>
      <c r="H116" s="240">
        <f>Scenario!L120</f>
        <v>7.4999999999999997E-2</v>
      </c>
      <c r="I116" s="240">
        <f>Scenario!M120</f>
        <v>7.4999999999999997E-2</v>
      </c>
      <c r="J116" s="240">
        <f>Scenario!N120</f>
        <v>7.4999999999999997E-2</v>
      </c>
      <c r="K116" s="240">
        <f>Scenario!O120</f>
        <v>7.4999999999999997E-2</v>
      </c>
      <c r="L116" s="240">
        <f>Scenario!P120</f>
        <v>7.4999999999999997E-2</v>
      </c>
    </row>
    <row r="117" spans="1:12" x14ac:dyDescent="0.2">
      <c r="A117" s="232" t="s">
        <v>157</v>
      </c>
      <c r="C117" s="240">
        <f>INDEX(C118:C120, MATCH(Scenario!$E$6, Formulas!$C$4:$C$6, 0))*C$8</f>
        <v>60000</v>
      </c>
      <c r="D117" s="240"/>
      <c r="E117" s="240"/>
      <c r="F117" s="240"/>
      <c r="G117" s="240"/>
      <c r="H117" s="240"/>
      <c r="I117" s="240"/>
      <c r="J117" s="240"/>
      <c r="K117" s="240"/>
      <c r="L117" s="240"/>
    </row>
    <row r="118" spans="1:12" x14ac:dyDescent="0.2">
      <c r="B118" s="232" t="s">
        <v>21</v>
      </c>
      <c r="C118" s="240">
        <f>Scenario!G61</f>
        <v>60000</v>
      </c>
      <c r="D118" s="240"/>
      <c r="E118" s="240"/>
      <c r="F118" s="240"/>
      <c r="G118" s="240"/>
      <c r="H118" s="240"/>
      <c r="I118" s="240"/>
      <c r="J118" s="240"/>
      <c r="K118" s="240"/>
      <c r="L118" s="240"/>
    </row>
    <row r="119" spans="1:12" x14ac:dyDescent="0.2">
      <c r="B119" s="232" t="s">
        <v>24</v>
      </c>
      <c r="C119" s="240">
        <f>Scenario!G91</f>
        <v>60000</v>
      </c>
      <c r="D119" s="240"/>
      <c r="E119" s="240"/>
      <c r="F119" s="240"/>
      <c r="G119" s="240"/>
      <c r="H119" s="240"/>
      <c r="I119" s="240"/>
      <c r="J119" s="240"/>
      <c r="K119" s="240"/>
      <c r="L119" s="240"/>
    </row>
    <row r="120" spans="1:12" x14ac:dyDescent="0.2">
      <c r="B120" s="232" t="s">
        <v>25</v>
      </c>
      <c r="C120" s="240">
        <f>Scenario!G121</f>
        <v>65000</v>
      </c>
      <c r="D120" s="240"/>
      <c r="E120" s="240"/>
      <c r="F120" s="240"/>
      <c r="G120" s="240"/>
      <c r="H120" s="240"/>
      <c r="I120" s="240"/>
      <c r="J120" s="240"/>
      <c r="K120" s="240"/>
      <c r="L120" s="240"/>
    </row>
    <row r="121" spans="1:12" x14ac:dyDescent="0.2">
      <c r="A121" s="232" t="s">
        <v>160</v>
      </c>
      <c r="C121" s="240">
        <f>INDEX(C122:C124, MATCH(Scenario!$E$6, Formulas!$C$4:$C$6, 0))*C$8</f>
        <v>110000</v>
      </c>
      <c r="D121" s="240">
        <f>INDEX(D122:D124, MATCH(Scenario!$E$6, Formulas!$C$4:$C$6, 0))*D$8</f>
        <v>110000</v>
      </c>
      <c r="E121" s="240">
        <f>INDEX(E122:E124, MATCH(Scenario!$E$6, Formulas!$C$4:$C$6, 0))*E$8</f>
        <v>110000</v>
      </c>
      <c r="F121" s="240">
        <f>INDEX(F122:F124, MATCH(Scenario!$E$6, Formulas!$C$4:$C$6, 0))*F$8</f>
        <v>110000</v>
      </c>
      <c r="G121" s="240">
        <f>INDEX(G122:G124, MATCH(Scenario!$E$6, Formulas!$C$4:$C$6, 0))*G$8</f>
        <v>110000</v>
      </c>
      <c r="H121" s="240">
        <f>INDEX(H122:H124, MATCH(Scenario!$E$6, Formulas!$C$4:$C$6, 0))*H$8</f>
        <v>110000</v>
      </c>
      <c r="I121" s="240">
        <f>INDEX(I122:I124, MATCH(Scenario!$E$6, Formulas!$C$4:$C$6, 0))*I$8</f>
        <v>110000</v>
      </c>
      <c r="J121" s="240">
        <f>INDEX(J122:J124, MATCH(Scenario!$E$6, Formulas!$C$4:$C$6, 0))*J$8</f>
        <v>110000</v>
      </c>
      <c r="K121" s="240">
        <f>INDEX(K122:K124, MATCH(Scenario!$E$6, Formulas!$C$4:$C$6, 0))*K$8</f>
        <v>110000</v>
      </c>
      <c r="L121" s="240">
        <f>INDEX(L122:L124, MATCH(Scenario!$E$6, Formulas!$C$4:$C$6, 0))*L$8</f>
        <v>110000</v>
      </c>
    </row>
    <row r="122" spans="1:12" x14ac:dyDescent="0.2">
      <c r="B122" s="232" t="s">
        <v>21</v>
      </c>
      <c r="C122" s="240">
        <f>Scenario!G62</f>
        <v>110000</v>
      </c>
      <c r="D122" s="240">
        <f>Scenario!H62</f>
        <v>110000</v>
      </c>
      <c r="E122" s="240">
        <f>Scenario!I62</f>
        <v>110000</v>
      </c>
      <c r="F122" s="240">
        <f>Scenario!J62</f>
        <v>110000</v>
      </c>
      <c r="G122" s="240">
        <f>Scenario!K62</f>
        <v>110000</v>
      </c>
      <c r="H122" s="240">
        <f>Scenario!L62</f>
        <v>110000</v>
      </c>
      <c r="I122" s="240">
        <f>Scenario!M62</f>
        <v>110000</v>
      </c>
      <c r="J122" s="240">
        <f>Scenario!N62</f>
        <v>110000</v>
      </c>
      <c r="K122" s="240">
        <f>Scenario!O62</f>
        <v>110000</v>
      </c>
      <c r="L122" s="240">
        <f>Scenario!P62</f>
        <v>110000</v>
      </c>
    </row>
    <row r="123" spans="1:12" x14ac:dyDescent="0.2">
      <c r="B123" s="232" t="s">
        <v>24</v>
      </c>
      <c r="C123" s="240">
        <f>Scenario!G92</f>
        <v>120000</v>
      </c>
      <c r="D123" s="240">
        <f>Scenario!H92</f>
        <v>120000</v>
      </c>
      <c r="E123" s="240">
        <f>Scenario!I92</f>
        <v>120000</v>
      </c>
      <c r="F123" s="240">
        <f>Scenario!J92</f>
        <v>120000</v>
      </c>
      <c r="G123" s="240">
        <f>Scenario!K92</f>
        <v>120000</v>
      </c>
      <c r="H123" s="240">
        <f>Scenario!L92</f>
        <v>120000</v>
      </c>
      <c r="I123" s="240">
        <f>Scenario!M92</f>
        <v>120000</v>
      </c>
      <c r="J123" s="240">
        <f>Scenario!N92</f>
        <v>120000</v>
      </c>
      <c r="K123" s="240">
        <f>Scenario!O92</f>
        <v>120000</v>
      </c>
      <c r="L123" s="240">
        <f>Scenario!P92</f>
        <v>120000</v>
      </c>
    </row>
    <row r="124" spans="1:12" x14ac:dyDescent="0.2">
      <c r="B124" s="232" t="s">
        <v>25</v>
      </c>
      <c r="C124" s="240">
        <f>Scenario!G122</f>
        <v>90000</v>
      </c>
      <c r="D124" s="240">
        <f>Scenario!H122</f>
        <v>90000</v>
      </c>
      <c r="E124" s="240">
        <f>Scenario!I122</f>
        <v>90000</v>
      </c>
      <c r="F124" s="240">
        <f>Scenario!J122</f>
        <v>90000</v>
      </c>
      <c r="G124" s="240">
        <f>Scenario!K122</f>
        <v>90000</v>
      </c>
      <c r="H124" s="240">
        <f>Scenario!L122</f>
        <v>90000</v>
      </c>
      <c r="I124" s="240">
        <f>Scenario!M122</f>
        <v>90000</v>
      </c>
      <c r="J124" s="240">
        <f>Scenario!N122</f>
        <v>90000</v>
      </c>
      <c r="K124" s="240">
        <f>Scenario!O122</f>
        <v>9000</v>
      </c>
      <c r="L124" s="240">
        <f>Scenario!P122</f>
        <v>90000</v>
      </c>
    </row>
    <row r="125" spans="1:12" x14ac:dyDescent="0.2">
      <c r="A125" s="232" t="s">
        <v>112</v>
      </c>
      <c r="C125" s="240">
        <f>INDEX(C126:C128, MATCH(Scenario!$E$6, Formulas!$C$4:$C$6, 0))*C$8</f>
        <v>-5000</v>
      </c>
      <c r="D125" s="240">
        <f>INDEX(D126:D128, MATCH(Scenario!$E$6, Formulas!$C$4:$C$6, 0))*D$8</f>
        <v>-5000</v>
      </c>
      <c r="E125" s="240">
        <f>INDEX(E126:E128, MATCH(Scenario!$E$6, Formulas!$C$4:$C$6, 0))*E$8</f>
        <v>-5000</v>
      </c>
      <c r="F125" s="240">
        <f>INDEX(F126:F128, MATCH(Scenario!$E$6, Formulas!$C$4:$C$6, 0))*F$8</f>
        <v>-5000</v>
      </c>
      <c r="G125" s="240">
        <f>INDEX(G126:G128, MATCH(Scenario!$E$6, Formulas!$C$4:$C$6, 0))*G$8</f>
        <v>-5000</v>
      </c>
      <c r="H125" s="240">
        <f>INDEX(H126:H128, MATCH(Scenario!$E$6, Formulas!$C$4:$C$6, 0))*H$8</f>
        <v>-5000</v>
      </c>
      <c r="I125" s="240">
        <f>INDEX(I126:I128, MATCH(Scenario!$E$6, Formulas!$C$4:$C$6, 0))*I$8</f>
        <v>-5000</v>
      </c>
      <c r="J125" s="240">
        <f>INDEX(J126:J128, MATCH(Scenario!$E$6, Formulas!$C$4:$C$6, 0))*J$8</f>
        <v>-5000</v>
      </c>
      <c r="K125" s="240">
        <f>INDEX(K126:K128, MATCH(Scenario!$E$6, Formulas!$C$4:$C$6, 0))*K$8</f>
        <v>-5000</v>
      </c>
      <c r="L125" s="240">
        <f>INDEX(L126:L128, MATCH(Scenario!$E$6, Formulas!$C$4:$C$6, 0))*L$8</f>
        <v>-5000</v>
      </c>
    </row>
    <row r="126" spans="1:12" x14ac:dyDescent="0.2">
      <c r="B126" s="232" t="s">
        <v>21</v>
      </c>
      <c r="C126" s="240">
        <f>Scenario!G63</f>
        <v>-5000</v>
      </c>
      <c r="D126" s="240">
        <f>Scenario!H63</f>
        <v>-5000</v>
      </c>
      <c r="E126" s="240">
        <f>Scenario!I63</f>
        <v>-5000</v>
      </c>
      <c r="F126" s="240">
        <f>Scenario!J63</f>
        <v>-5000</v>
      </c>
      <c r="G126" s="240">
        <f>Scenario!K63</f>
        <v>-5000</v>
      </c>
      <c r="H126" s="240">
        <f>Scenario!L63</f>
        <v>-5000</v>
      </c>
      <c r="I126" s="240">
        <f>Scenario!M63</f>
        <v>-5000</v>
      </c>
      <c r="J126" s="240">
        <f>Scenario!N63</f>
        <v>-5000</v>
      </c>
      <c r="K126" s="240">
        <f>Scenario!O63</f>
        <v>-5000</v>
      </c>
      <c r="L126" s="240">
        <f>Scenario!P63</f>
        <v>-5000</v>
      </c>
    </row>
    <row r="127" spans="1:12" x14ac:dyDescent="0.2">
      <c r="B127" s="232" t="s">
        <v>24</v>
      </c>
      <c r="C127" s="240">
        <f>Scenario!G93</f>
        <v>-5000</v>
      </c>
      <c r="D127" s="240">
        <f>Scenario!H93</f>
        <v>-5000</v>
      </c>
      <c r="E127" s="240">
        <f>Scenario!I93</f>
        <v>-5000</v>
      </c>
      <c r="F127" s="240">
        <f>Scenario!J93</f>
        <v>-5000</v>
      </c>
      <c r="G127" s="240">
        <f>Scenario!K93</f>
        <v>-5000</v>
      </c>
      <c r="H127" s="240">
        <f>Scenario!L93</f>
        <v>-5000</v>
      </c>
      <c r="I127" s="240">
        <f>Scenario!M93</f>
        <v>-5000</v>
      </c>
      <c r="J127" s="240">
        <f>Scenario!N93</f>
        <v>-5000</v>
      </c>
      <c r="K127" s="240">
        <f>Scenario!O93</f>
        <v>-5000</v>
      </c>
      <c r="L127" s="240">
        <f>Scenario!P93</f>
        <v>-5000</v>
      </c>
    </row>
    <row r="128" spans="1:12" x14ac:dyDescent="0.2">
      <c r="B128" s="232" t="s">
        <v>25</v>
      </c>
      <c r="C128" s="240">
        <f>Scenario!G123</f>
        <v>-3000</v>
      </c>
      <c r="D128" s="240">
        <f>Scenario!H123</f>
        <v>-3000</v>
      </c>
      <c r="E128" s="240">
        <f>Scenario!I123</f>
        <v>-3000</v>
      </c>
      <c r="F128" s="240">
        <f>Scenario!J123</f>
        <v>-3000</v>
      </c>
      <c r="G128" s="240">
        <f>Scenario!K123</f>
        <v>-3000</v>
      </c>
      <c r="H128" s="240">
        <f>Scenario!L123</f>
        <v>-3000</v>
      </c>
      <c r="I128" s="240">
        <f>Scenario!M123</f>
        <v>-3000</v>
      </c>
      <c r="J128" s="240">
        <f>Scenario!N123</f>
        <v>-3000</v>
      </c>
      <c r="K128" s="240">
        <f>Scenario!O123</f>
        <v>-3000</v>
      </c>
      <c r="L128" s="240">
        <f>Scenario!P123</f>
        <v>-3000</v>
      </c>
    </row>
    <row r="129" spans="1:16" x14ac:dyDescent="0.2">
      <c r="A129" s="232" t="s">
        <v>113</v>
      </c>
      <c r="C129" s="241">
        <f>INDEX(C130:C132, MATCH(Scenario!$E$6, Formulas!$C$4:$C$6, 0))*C$8</f>
        <v>0</v>
      </c>
      <c r="D129" s="241">
        <f>INDEX(D130:D132, MATCH(Scenario!$E$6, Formulas!$C$4:$C$6, 0))*D$8</f>
        <v>0</v>
      </c>
      <c r="E129" s="241">
        <f>INDEX(E130:E132, MATCH(Scenario!$E$6, Formulas!$C$4:$C$6, 0))*E$8</f>
        <v>0</v>
      </c>
      <c r="F129" s="241">
        <f>INDEX(F130:F132, MATCH(Scenario!$E$6, Formulas!$C$4:$C$6, 0))*F$8</f>
        <v>0</v>
      </c>
      <c r="G129" s="241">
        <f>INDEX(G130:G132, MATCH(Scenario!$E$6, Formulas!$C$4:$C$6, 0))*G$8</f>
        <v>0</v>
      </c>
      <c r="H129" s="241">
        <f>INDEX(H130:H132, MATCH(Scenario!$E$6, Formulas!$C$4:$C$6, 0))*H$8</f>
        <v>0</v>
      </c>
      <c r="I129" s="241">
        <f>INDEX(I130:I132, MATCH(Scenario!$E$6, Formulas!$C$4:$C$6, 0))*I$8</f>
        <v>0</v>
      </c>
      <c r="J129" s="241">
        <f>INDEX(J130:J132, MATCH(Scenario!$E$6, Formulas!$C$4:$C$6, 0))*J$8</f>
        <v>0</v>
      </c>
      <c r="K129" s="241">
        <f>INDEX(K130:K132, MATCH(Scenario!$E$6, Formulas!$C$4:$C$6, 0))*K$8</f>
        <v>0</v>
      </c>
      <c r="L129" s="241">
        <f>INDEX(L130:L132, MATCH(Scenario!$E$6, Formulas!$C$4:$C$6, 0))*L$8</f>
        <v>0</v>
      </c>
    </row>
    <row r="130" spans="1:16" x14ac:dyDescent="0.2">
      <c r="B130" s="232" t="s">
        <v>21</v>
      </c>
      <c r="C130" s="241">
        <f>Scenario!G64</f>
        <v>0</v>
      </c>
      <c r="D130" s="241">
        <f>Scenario!H64</f>
        <v>0</v>
      </c>
      <c r="E130" s="241">
        <f>Scenario!I64</f>
        <v>0</v>
      </c>
      <c r="F130" s="241">
        <f>Scenario!J64</f>
        <v>0</v>
      </c>
      <c r="G130" s="241">
        <f>Scenario!K64</f>
        <v>0</v>
      </c>
      <c r="H130" s="241">
        <f>Scenario!L64</f>
        <v>0</v>
      </c>
      <c r="I130" s="241">
        <f>Scenario!M64</f>
        <v>0</v>
      </c>
      <c r="J130" s="241">
        <f>Scenario!N64</f>
        <v>0</v>
      </c>
      <c r="K130" s="241">
        <f>Scenario!O64</f>
        <v>0</v>
      </c>
      <c r="L130" s="241">
        <f>Scenario!P64</f>
        <v>0</v>
      </c>
    </row>
    <row r="131" spans="1:16" x14ac:dyDescent="0.2">
      <c r="B131" s="232" t="s">
        <v>24</v>
      </c>
      <c r="C131" s="241">
        <f>Scenario!G94</f>
        <v>0</v>
      </c>
      <c r="D131" s="241">
        <f>Scenario!H94</f>
        <v>0</v>
      </c>
      <c r="E131" s="241">
        <f>Scenario!I94</f>
        <v>0</v>
      </c>
      <c r="F131" s="241">
        <f>Scenario!J94</f>
        <v>0</v>
      </c>
      <c r="G131" s="241">
        <f>Scenario!K94</f>
        <v>0</v>
      </c>
      <c r="H131" s="241">
        <f>Scenario!L94</f>
        <v>0</v>
      </c>
      <c r="I131" s="241">
        <f>Scenario!M94</f>
        <v>0</v>
      </c>
      <c r="J131" s="241">
        <f>Scenario!N94</f>
        <v>0</v>
      </c>
      <c r="K131" s="241">
        <f>Scenario!O94</f>
        <v>0</v>
      </c>
      <c r="L131" s="241">
        <f>Scenario!P94</f>
        <v>0</v>
      </c>
    </row>
    <row r="132" spans="1:16" x14ac:dyDescent="0.2">
      <c r="B132" s="232" t="s">
        <v>25</v>
      </c>
      <c r="C132" s="241">
        <f>Scenario!G124</f>
        <v>0</v>
      </c>
      <c r="D132" s="241">
        <f>Scenario!H124</f>
        <v>0</v>
      </c>
      <c r="E132" s="241">
        <f>Scenario!I124</f>
        <v>0</v>
      </c>
      <c r="F132" s="241">
        <f>Scenario!J124</f>
        <v>0</v>
      </c>
      <c r="G132" s="241">
        <f>Scenario!K124</f>
        <v>0</v>
      </c>
      <c r="H132" s="241">
        <f>Scenario!L124</f>
        <v>0</v>
      </c>
      <c r="I132" s="241">
        <f>Scenario!M124</f>
        <v>0</v>
      </c>
      <c r="J132" s="241">
        <f>Scenario!N124</f>
        <v>0</v>
      </c>
      <c r="K132" s="241">
        <f>Scenario!O124</f>
        <v>0</v>
      </c>
      <c r="L132" s="241">
        <f>Scenario!P124</f>
        <v>0</v>
      </c>
    </row>
    <row r="133" spans="1:16" x14ac:dyDescent="0.2">
      <c r="A133" s="232" t="s">
        <v>235</v>
      </c>
      <c r="C133" s="241">
        <f>INDEX(C134:C136, MATCH(Scenario!$E$6, Formulas!$C$4:$C$6, 0))*C$8</f>
        <v>0.15</v>
      </c>
      <c r="D133" s="241">
        <f>INDEX(D134:D136, MATCH(Scenario!$E$6, Formulas!$C$4:$C$6, 0))*D$8</f>
        <v>0.15</v>
      </c>
      <c r="E133" s="241">
        <f>INDEX(E134:E136, MATCH(Scenario!$E$6, Formulas!$C$4:$C$6, 0))*E$8</f>
        <v>0.15</v>
      </c>
      <c r="F133" s="241">
        <f>INDEX(F134:F136, MATCH(Scenario!$E$6, Formulas!$C$4:$C$6, 0))*F$8</f>
        <v>0.15</v>
      </c>
      <c r="G133" s="241">
        <f>INDEX(G134:G136, MATCH(Scenario!$E$6, Formulas!$C$4:$C$6, 0))*G$8</f>
        <v>0.15</v>
      </c>
      <c r="H133" s="241">
        <f>INDEX(H134:H136, MATCH(Scenario!$E$6, Formulas!$C$4:$C$6, 0))*H$8</f>
        <v>0.15</v>
      </c>
      <c r="I133" s="241">
        <f>INDEX(I134:I136, MATCH(Scenario!$E$6, Formulas!$C$4:$C$6, 0))*I$8</f>
        <v>0.15</v>
      </c>
      <c r="J133" s="241">
        <f>INDEX(J134:J136, MATCH(Scenario!$E$6, Formulas!$C$4:$C$6, 0))*J$8</f>
        <v>0.15</v>
      </c>
      <c r="K133" s="241">
        <f>INDEX(K134:K136, MATCH(Scenario!$E$6, Formulas!$C$4:$C$6, 0))*K$8</f>
        <v>0.15</v>
      </c>
      <c r="L133" s="241">
        <f>INDEX(L134:L136, MATCH(Scenario!$E$6, Formulas!$C$4:$C$6, 0))*L$8</f>
        <v>0.15</v>
      </c>
    </row>
    <row r="134" spans="1:16" x14ac:dyDescent="0.2">
      <c r="B134" s="232" t="s">
        <v>21</v>
      </c>
      <c r="C134" s="240">
        <f>Scenario!G65</f>
        <v>0.15</v>
      </c>
      <c r="D134" s="240">
        <f>Scenario!H65</f>
        <v>0.15</v>
      </c>
      <c r="E134" s="240">
        <f>Scenario!I65</f>
        <v>0.15</v>
      </c>
      <c r="F134" s="240">
        <f>Scenario!J65</f>
        <v>0.15</v>
      </c>
      <c r="G134" s="240">
        <f>Scenario!K65</f>
        <v>0.15</v>
      </c>
      <c r="H134" s="240">
        <f>Scenario!L65</f>
        <v>0.15</v>
      </c>
      <c r="I134" s="240">
        <f>Scenario!M65</f>
        <v>0.15</v>
      </c>
      <c r="J134" s="240">
        <f>Scenario!N65</f>
        <v>0.15</v>
      </c>
      <c r="K134" s="240">
        <f>Scenario!O65</f>
        <v>0.15</v>
      </c>
      <c r="L134" s="240">
        <f>Scenario!P65</f>
        <v>0.15</v>
      </c>
    </row>
    <row r="135" spans="1:16" x14ac:dyDescent="0.2">
      <c r="B135" s="232" t="s">
        <v>24</v>
      </c>
      <c r="C135" s="240">
        <f>Scenario!G95</f>
        <v>0.12</v>
      </c>
      <c r="D135" s="240">
        <f>Scenario!H95</f>
        <v>0.12</v>
      </c>
      <c r="E135" s="240">
        <f>Scenario!I95</f>
        <v>0.12</v>
      </c>
      <c r="F135" s="240">
        <f>Scenario!J95</f>
        <v>0.12</v>
      </c>
      <c r="G135" s="240">
        <f>Scenario!K95</f>
        <v>0.12</v>
      </c>
      <c r="H135" s="240">
        <f>Scenario!L95</f>
        <v>0.12</v>
      </c>
      <c r="I135" s="240">
        <f>Scenario!M95</f>
        <v>0.12</v>
      </c>
      <c r="J135" s="240">
        <f>Scenario!N95</f>
        <v>0.12</v>
      </c>
      <c r="K135" s="240">
        <f>Scenario!O95</f>
        <v>0.12</v>
      </c>
      <c r="L135" s="240">
        <f>Scenario!P95</f>
        <v>0.12</v>
      </c>
    </row>
    <row r="136" spans="1:16" x14ac:dyDescent="0.2">
      <c r="B136" s="232" t="s">
        <v>25</v>
      </c>
      <c r="C136" s="240">
        <f>Scenario!G125</f>
        <v>0.05</v>
      </c>
      <c r="D136" s="240">
        <f>Scenario!H125</f>
        <v>0.05</v>
      </c>
      <c r="E136" s="240">
        <f>Scenario!I125</f>
        <v>0.05</v>
      </c>
      <c r="F136" s="240">
        <f>Scenario!J125</f>
        <v>0.05</v>
      </c>
      <c r="G136" s="240">
        <f>Scenario!K125</f>
        <v>0.05</v>
      </c>
      <c r="H136" s="240">
        <f>Scenario!L125</f>
        <v>0.05</v>
      </c>
      <c r="I136" s="240">
        <f>Scenario!M125</f>
        <v>0.05</v>
      </c>
      <c r="J136" s="240">
        <f>Scenario!N125</f>
        <v>0.05</v>
      </c>
      <c r="K136" s="240">
        <f>Scenario!O125</f>
        <v>0.05</v>
      </c>
      <c r="L136" s="240">
        <f>Scenario!P125</f>
        <v>0.05</v>
      </c>
    </row>
    <row r="138" spans="1:16" x14ac:dyDescent="0.2">
      <c r="A138" s="234" t="s">
        <v>130</v>
      </c>
      <c r="C138" s="232" t="str">
        <f>Profile!$F$8-1&amp;"(LY)"</f>
        <v>2024(LY)</v>
      </c>
    </row>
    <row r="139" spans="1:16" x14ac:dyDescent="0.2">
      <c r="A139" s="232" t="s">
        <v>132</v>
      </c>
      <c r="C139" s="232" t="s">
        <v>137</v>
      </c>
    </row>
    <row r="140" spans="1:16" x14ac:dyDescent="0.2">
      <c r="C140" s="232" t="s">
        <v>138</v>
      </c>
    </row>
    <row r="142" spans="1:16" x14ac:dyDescent="0.2">
      <c r="A142" s="234" t="s">
        <v>182</v>
      </c>
    </row>
    <row r="143" spans="1:16" x14ac:dyDescent="0.2">
      <c r="A143" s="232" t="s">
        <v>181</v>
      </c>
    </row>
    <row r="144" spans="1:16" x14ac:dyDescent="0.2">
      <c r="A144" s="234"/>
      <c r="B144" s="232" t="s">
        <v>183</v>
      </c>
      <c r="C144" s="232" t="s">
        <v>184</v>
      </c>
      <c r="D144" s="232" t="s">
        <v>185</v>
      </c>
      <c r="E144" s="232" t="s">
        <v>186</v>
      </c>
      <c r="F144" s="232" t="s">
        <v>187</v>
      </c>
      <c r="G144" s="232" t="s">
        <v>188</v>
      </c>
      <c r="H144" s="232" t="s">
        <v>189</v>
      </c>
      <c r="I144" s="232" t="s">
        <v>190</v>
      </c>
      <c r="J144" s="232" t="s">
        <v>191</v>
      </c>
      <c r="K144" s="232" t="s">
        <v>192</v>
      </c>
      <c r="L144" s="232" t="s">
        <v>193</v>
      </c>
      <c r="M144" s="232" t="s">
        <v>194</v>
      </c>
      <c r="N144" s="232" t="s">
        <v>195</v>
      </c>
      <c r="O144" s="232" t="s">
        <v>245</v>
      </c>
      <c r="P144" s="232" t="s">
        <v>132</v>
      </c>
    </row>
    <row r="145" spans="1:16" x14ac:dyDescent="0.2">
      <c r="A145" s="234"/>
      <c r="B145" s="232" t="s">
        <v>133</v>
      </c>
      <c r="C145" s="232">
        <f>'Actual FS'!H8</f>
        <v>35000</v>
      </c>
      <c r="D145" s="232">
        <f>'Actual FS'!I8</f>
        <v>35000</v>
      </c>
      <c r="E145" s="232">
        <f>'Actual FS'!J8</f>
        <v>35000</v>
      </c>
      <c r="F145" s="232">
        <f>'Actual FS'!K8</f>
        <v>35000</v>
      </c>
      <c r="G145" s="232">
        <f>'Actual FS'!L8</f>
        <v>35000</v>
      </c>
      <c r="H145" s="232">
        <f>'Actual FS'!M8</f>
        <v>35000</v>
      </c>
      <c r="I145" s="232">
        <f>'Actual FS'!N8</f>
        <v>35000</v>
      </c>
      <c r="J145" s="232">
        <f>'Actual FS'!O8</f>
        <v>35000</v>
      </c>
      <c r="K145" s="232">
        <f>'Actual FS'!P8</f>
        <v>35000</v>
      </c>
      <c r="L145" s="232">
        <f>'Actual FS'!Q8</f>
        <v>35000</v>
      </c>
      <c r="M145" s="232">
        <f>'Actual FS'!R8</f>
        <v>35000</v>
      </c>
      <c r="N145" s="232">
        <f>'Actual FS'!S8</f>
        <v>35000</v>
      </c>
      <c r="O145" s="232">
        <f>SUM(C145:INDEX(C145:N145,MATCH(Variance!$M$6,$C$144:$N$144,0)))</f>
        <v>70000</v>
      </c>
      <c r="P145" s="232">
        <f>INDEX(C145:N145, MATCH(Variance!$M$6, Formulas!$C$144:$N$144, 0))</f>
        <v>35000</v>
      </c>
    </row>
    <row r="146" spans="1:16" x14ac:dyDescent="0.2">
      <c r="A146" s="234"/>
      <c r="B146" s="232" t="s">
        <v>134</v>
      </c>
      <c r="C146" s="232">
        <f>'Actual FS'!H9</f>
        <v>10000</v>
      </c>
      <c r="D146" s="232">
        <f>'Actual FS'!I9</f>
        <v>10000</v>
      </c>
      <c r="E146" s="232">
        <f>'Actual FS'!J9</f>
        <v>10000</v>
      </c>
      <c r="F146" s="232">
        <f>'Actual FS'!K9</f>
        <v>10000</v>
      </c>
      <c r="G146" s="232">
        <f>'Actual FS'!L9</f>
        <v>10000</v>
      </c>
      <c r="H146" s="232">
        <f>'Actual FS'!M9</f>
        <v>10000</v>
      </c>
      <c r="I146" s="232">
        <f>'Actual FS'!N9</f>
        <v>10000</v>
      </c>
      <c r="J146" s="232">
        <f>'Actual FS'!O9</f>
        <v>10000</v>
      </c>
      <c r="K146" s="232">
        <f>'Actual FS'!P9</f>
        <v>10000</v>
      </c>
      <c r="L146" s="232">
        <f>'Actual FS'!Q9</f>
        <v>10000</v>
      </c>
      <c r="M146" s="232">
        <f>'Actual FS'!R9</f>
        <v>10000</v>
      </c>
      <c r="N146" s="232">
        <f>'Actual FS'!S9</f>
        <v>10000</v>
      </c>
      <c r="O146" s="232">
        <f>SUM(C146:INDEX(C146:N146,MATCH(Variance!$M$6,$C$144:$N$144,0)))</f>
        <v>20000</v>
      </c>
      <c r="P146" s="232">
        <f>INDEX(C146:N146, MATCH(Variance!$M$6, Formulas!$C$144:$N$144, 0))</f>
        <v>10000</v>
      </c>
    </row>
    <row r="147" spans="1:16" x14ac:dyDescent="0.2">
      <c r="A147" s="234"/>
      <c r="B147" s="232" t="s">
        <v>197</v>
      </c>
      <c r="C147" s="232">
        <f>'Actual FS'!H16</f>
        <v>28000</v>
      </c>
      <c r="D147" s="232">
        <f>'Actual FS'!I16</f>
        <v>28000</v>
      </c>
      <c r="E147" s="232">
        <f>'Actual FS'!J16</f>
        <v>28000</v>
      </c>
      <c r="F147" s="232">
        <f>'Actual FS'!K16</f>
        <v>28000</v>
      </c>
      <c r="G147" s="232">
        <f>'Actual FS'!L16</f>
        <v>28000</v>
      </c>
      <c r="H147" s="232">
        <f>'Actual FS'!M16</f>
        <v>28000</v>
      </c>
      <c r="I147" s="232">
        <f>'Actual FS'!N16</f>
        <v>28000</v>
      </c>
      <c r="J147" s="232">
        <f>'Actual FS'!O16</f>
        <v>28000</v>
      </c>
      <c r="K147" s="232">
        <f>'Actual FS'!P16</f>
        <v>28000</v>
      </c>
      <c r="L147" s="232">
        <f>'Actual FS'!Q16</f>
        <v>28000</v>
      </c>
      <c r="M147" s="232">
        <f>'Actual FS'!R16</f>
        <v>28000</v>
      </c>
      <c r="N147" s="232">
        <f>'Actual FS'!S16</f>
        <v>28000</v>
      </c>
      <c r="O147" s="232">
        <f>SUM(C147:INDEX(C147:N147,MATCH(Variance!$M$6,$C$144:$N$144,0)))</f>
        <v>56000</v>
      </c>
      <c r="P147" s="232">
        <f>INDEX(C147:N147, MATCH(Variance!$M$6, Formulas!$C$144:$N$144, 0))</f>
        <v>28000</v>
      </c>
    </row>
    <row r="148" spans="1:16" x14ac:dyDescent="0.2">
      <c r="A148" s="234"/>
      <c r="B148" s="232" t="s">
        <v>103</v>
      </c>
      <c r="C148" s="232">
        <f>'Actual FS'!H21</f>
        <v>4000</v>
      </c>
      <c r="D148" s="232">
        <f>'Actual FS'!I21</f>
        <v>4000</v>
      </c>
      <c r="E148" s="232">
        <f>'Actual FS'!J21</f>
        <v>4000</v>
      </c>
      <c r="F148" s="232">
        <f>'Actual FS'!K21</f>
        <v>4000</v>
      </c>
      <c r="G148" s="232">
        <f>'Actual FS'!L21</f>
        <v>4000</v>
      </c>
      <c r="H148" s="232">
        <f>'Actual FS'!M21</f>
        <v>4000</v>
      </c>
      <c r="I148" s="232">
        <f>'Actual FS'!N21</f>
        <v>4000</v>
      </c>
      <c r="J148" s="232">
        <f>'Actual FS'!O21</f>
        <v>4000</v>
      </c>
      <c r="K148" s="232">
        <f>'Actual FS'!P21</f>
        <v>4000</v>
      </c>
      <c r="L148" s="232">
        <f>'Actual FS'!Q21</f>
        <v>4000</v>
      </c>
      <c r="M148" s="232">
        <f>'Actual FS'!R21</f>
        <v>4000</v>
      </c>
      <c r="N148" s="232">
        <f>'Actual FS'!S21</f>
        <v>4000</v>
      </c>
      <c r="O148" s="232">
        <f>SUM(C148:INDEX(C148:N148,MATCH(Variance!$M$6,$C$144:$N$144,0)))</f>
        <v>8000</v>
      </c>
      <c r="P148" s="232">
        <f>INDEX(C148:N148, MATCH(Variance!$M$6, Formulas!$C$144:$N$144, 0))</f>
        <v>4000</v>
      </c>
    </row>
    <row r="149" spans="1:16" x14ac:dyDescent="0.2">
      <c r="A149" s="234"/>
      <c r="B149" s="232" t="s">
        <v>119</v>
      </c>
      <c r="C149" s="232">
        <f>'Actual FS'!H22</f>
        <v>2500</v>
      </c>
      <c r="D149" s="232">
        <f>'Actual FS'!I22</f>
        <v>2500</v>
      </c>
      <c r="E149" s="232">
        <f>'Actual FS'!J22</f>
        <v>2500</v>
      </c>
      <c r="F149" s="232">
        <f>'Actual FS'!K22</f>
        <v>2500</v>
      </c>
      <c r="G149" s="232">
        <f>'Actual FS'!L22</f>
        <v>2500</v>
      </c>
      <c r="H149" s="232">
        <f>'Actual FS'!M22</f>
        <v>2500</v>
      </c>
      <c r="I149" s="232">
        <f>'Actual FS'!N22</f>
        <v>2500</v>
      </c>
      <c r="J149" s="232">
        <f>'Actual FS'!O22</f>
        <v>2500</v>
      </c>
      <c r="K149" s="232">
        <f>'Actual FS'!P22</f>
        <v>2500</v>
      </c>
      <c r="L149" s="232">
        <f>'Actual FS'!Q22</f>
        <v>2500</v>
      </c>
      <c r="M149" s="232">
        <f>'Actual FS'!R22</f>
        <v>2500</v>
      </c>
      <c r="N149" s="232">
        <f>'Actual FS'!S22</f>
        <v>2500</v>
      </c>
      <c r="O149" s="232">
        <f>SUM(C149:INDEX(C149:N149,MATCH(Variance!$M$6,$C$144:$N$144,0)))</f>
        <v>5000</v>
      </c>
      <c r="P149" s="232">
        <f>INDEX(C149:N149, MATCH(Variance!$M$6, Formulas!$C$144:$N$144, 0))</f>
        <v>2500</v>
      </c>
    </row>
    <row r="150" spans="1:16" x14ac:dyDescent="0.2">
      <c r="A150" s="234"/>
      <c r="B150" s="232" t="s">
        <v>100</v>
      </c>
      <c r="C150" s="232">
        <f>'Actual FS'!H23</f>
        <v>3500</v>
      </c>
      <c r="D150" s="232">
        <f>'Actual FS'!I23</f>
        <v>3500</v>
      </c>
      <c r="E150" s="232">
        <f>'Actual FS'!J23</f>
        <v>3500</v>
      </c>
      <c r="F150" s="232">
        <f>'Actual FS'!K23</f>
        <v>3500</v>
      </c>
      <c r="G150" s="232">
        <f>'Actual FS'!L23</f>
        <v>3500</v>
      </c>
      <c r="H150" s="232">
        <f>'Actual FS'!M23</f>
        <v>3500</v>
      </c>
      <c r="I150" s="232">
        <f>'Actual FS'!N23</f>
        <v>3500</v>
      </c>
      <c r="J150" s="232">
        <f>'Actual FS'!O23</f>
        <v>3500</v>
      </c>
      <c r="K150" s="232">
        <f>'Actual FS'!P23</f>
        <v>3500</v>
      </c>
      <c r="L150" s="232">
        <f>'Actual FS'!Q23</f>
        <v>3500</v>
      </c>
      <c r="M150" s="232">
        <f>'Actual FS'!R23</f>
        <v>3500</v>
      </c>
      <c r="N150" s="232">
        <f>'Actual FS'!S23</f>
        <v>3500</v>
      </c>
      <c r="O150" s="232">
        <f>SUM(C150:INDEX(C150:N150,MATCH(Variance!$M$6,$C$144:$N$144,0)))</f>
        <v>7000</v>
      </c>
      <c r="P150" s="232">
        <f>INDEX(C150:N150, MATCH(Variance!$M$6, Formulas!$C$144:$N$144, 0))</f>
        <v>3500</v>
      </c>
    </row>
    <row r="151" spans="1:16" x14ac:dyDescent="0.2">
      <c r="A151" s="234"/>
      <c r="B151" s="232" t="s">
        <v>140</v>
      </c>
      <c r="C151" s="232">
        <f>'Actual FS'!H24</f>
        <v>450</v>
      </c>
      <c r="D151" s="232">
        <f>'Actual FS'!I24</f>
        <v>450</v>
      </c>
      <c r="E151" s="232">
        <f>'Actual FS'!J24</f>
        <v>450</v>
      </c>
      <c r="F151" s="232">
        <f>'Actual FS'!K24</f>
        <v>450</v>
      </c>
      <c r="G151" s="232">
        <f>'Actual FS'!L24</f>
        <v>450</v>
      </c>
      <c r="H151" s="232">
        <f>'Actual FS'!M24</f>
        <v>450</v>
      </c>
      <c r="I151" s="232">
        <f>'Actual FS'!N24</f>
        <v>450</v>
      </c>
      <c r="J151" s="232">
        <f>'Actual FS'!O24</f>
        <v>450</v>
      </c>
      <c r="K151" s="232">
        <f>'Actual FS'!P24</f>
        <v>450</v>
      </c>
      <c r="L151" s="232">
        <f>'Actual FS'!Q24</f>
        <v>450</v>
      </c>
      <c r="M151" s="232">
        <f>'Actual FS'!R24</f>
        <v>450</v>
      </c>
      <c r="N151" s="232">
        <f>'Actual FS'!S24</f>
        <v>450</v>
      </c>
      <c r="O151" s="232">
        <f>SUM(C151:INDEX(C151:N151,MATCH(Variance!$M$6,$C$144:$N$144,0)))</f>
        <v>900</v>
      </c>
      <c r="P151" s="232">
        <f>INDEX(C151:N151, MATCH(Variance!$M$6, Formulas!$C$144:$N$144, 0))</f>
        <v>450</v>
      </c>
    </row>
    <row r="152" spans="1:16" x14ac:dyDescent="0.2">
      <c r="A152" s="234"/>
      <c r="B152" s="232" t="s">
        <v>141</v>
      </c>
      <c r="C152" s="232">
        <f>'Actual FS'!H25</f>
        <v>800</v>
      </c>
      <c r="D152" s="232">
        <f>'Actual FS'!I25</f>
        <v>800</v>
      </c>
      <c r="E152" s="232">
        <f>'Actual FS'!J25</f>
        <v>800</v>
      </c>
      <c r="F152" s="232">
        <f>'Actual FS'!K25</f>
        <v>800</v>
      </c>
      <c r="G152" s="232">
        <f>'Actual FS'!L25</f>
        <v>800</v>
      </c>
      <c r="H152" s="232">
        <f>'Actual FS'!M25</f>
        <v>800</v>
      </c>
      <c r="I152" s="232">
        <f>'Actual FS'!N25</f>
        <v>800</v>
      </c>
      <c r="J152" s="232">
        <f>'Actual FS'!O25</f>
        <v>800</v>
      </c>
      <c r="K152" s="232">
        <f>'Actual FS'!P25</f>
        <v>800</v>
      </c>
      <c r="L152" s="232">
        <f>'Actual FS'!Q25</f>
        <v>800</v>
      </c>
      <c r="M152" s="232">
        <f>'Actual FS'!R25</f>
        <v>800</v>
      </c>
      <c r="N152" s="232">
        <f>'Actual FS'!S25</f>
        <v>800</v>
      </c>
      <c r="O152" s="232">
        <f>SUM(C152:INDEX(C152:N152,MATCH(Variance!$M$6,$C$144:$N$144,0)))</f>
        <v>1600</v>
      </c>
      <c r="P152" s="232">
        <f>INDEX(C152:N152, MATCH(Variance!$M$6, Formulas!$C$144:$N$144, 0))</f>
        <v>800</v>
      </c>
    </row>
    <row r="153" spans="1:16" x14ac:dyDescent="0.2">
      <c r="A153" s="234"/>
      <c r="B153" s="232" t="s">
        <v>31</v>
      </c>
      <c r="C153" s="232">
        <f>'Actual FS'!H31</f>
        <v>450</v>
      </c>
      <c r="D153" s="232">
        <f>'Actual FS'!I31</f>
        <v>450</v>
      </c>
      <c r="E153" s="232">
        <f>'Actual FS'!J31</f>
        <v>450</v>
      </c>
      <c r="F153" s="232">
        <f>'Actual FS'!K31</f>
        <v>450</v>
      </c>
      <c r="G153" s="232">
        <f>'Actual FS'!L31</f>
        <v>450</v>
      </c>
      <c r="H153" s="232">
        <f>'Actual FS'!M31</f>
        <v>450</v>
      </c>
      <c r="I153" s="232">
        <f>'Actual FS'!N31</f>
        <v>450</v>
      </c>
      <c r="J153" s="232">
        <f>'Actual FS'!O31</f>
        <v>450</v>
      </c>
      <c r="K153" s="232">
        <f>'Actual FS'!P31</f>
        <v>450</v>
      </c>
      <c r="L153" s="232">
        <f>'Actual FS'!Q31</f>
        <v>450</v>
      </c>
      <c r="M153" s="232">
        <f>'Actual FS'!R31</f>
        <v>450</v>
      </c>
      <c r="N153" s="232">
        <f>'Actual FS'!S31</f>
        <v>450</v>
      </c>
      <c r="O153" s="232">
        <f>SUM(C153:INDEX(C153:N153,MATCH(Variance!$M$6,$C$144:$N$144,0)))</f>
        <v>900</v>
      </c>
      <c r="P153" s="232">
        <f>INDEX(C153:N153, MATCH(Variance!$M$6, Formulas!$C$144:$N$144, 0))</f>
        <v>450</v>
      </c>
    </row>
    <row r="154" spans="1:16" x14ac:dyDescent="0.2">
      <c r="A154" s="234"/>
      <c r="B154" s="232" t="s">
        <v>145</v>
      </c>
      <c r="C154" s="232">
        <f>'Actual FS'!H34</f>
        <v>1700</v>
      </c>
      <c r="D154" s="232">
        <f>'Actual FS'!I34</f>
        <v>1700</v>
      </c>
      <c r="E154" s="232">
        <f>'Actual FS'!J34</f>
        <v>1700</v>
      </c>
      <c r="F154" s="232">
        <f>'Actual FS'!K34</f>
        <v>1700</v>
      </c>
      <c r="G154" s="232">
        <f>'Actual FS'!L34</f>
        <v>1700</v>
      </c>
      <c r="H154" s="232">
        <f>'Actual FS'!M34</f>
        <v>1700</v>
      </c>
      <c r="I154" s="232">
        <f>'Actual FS'!N34</f>
        <v>1700</v>
      </c>
      <c r="J154" s="232">
        <f>'Actual FS'!O34</f>
        <v>1700</v>
      </c>
      <c r="K154" s="232">
        <f>'Actual FS'!P34</f>
        <v>1700</v>
      </c>
      <c r="L154" s="232">
        <f>'Actual FS'!Q34</f>
        <v>1700</v>
      </c>
      <c r="M154" s="232">
        <f>'Actual FS'!R34</f>
        <v>1700</v>
      </c>
      <c r="N154" s="232">
        <f>'Actual FS'!S34</f>
        <v>1700</v>
      </c>
      <c r="O154" s="232">
        <f>SUM(C154:INDEX(C154:N154,MATCH(Variance!$M$6,$C$144:$N$144,0)))</f>
        <v>3400</v>
      </c>
      <c r="P154" s="232">
        <f>INDEX(C154:N154, MATCH(Variance!$M$6, Formulas!$C$144:$N$144, 0))</f>
        <v>1700</v>
      </c>
    </row>
    <row r="155" spans="1:16" x14ac:dyDescent="0.2">
      <c r="A155" s="234"/>
    </row>
    <row r="156" spans="1:16" x14ac:dyDescent="0.2">
      <c r="A156" s="234"/>
      <c r="B156" s="232" t="s">
        <v>95</v>
      </c>
      <c r="C156" s="232" t="s">
        <v>181</v>
      </c>
      <c r="D156" s="232" t="s">
        <v>131</v>
      </c>
      <c r="E156" s="232" t="s">
        <v>182</v>
      </c>
      <c r="F156" s="232" t="s">
        <v>312</v>
      </c>
      <c r="G156" s="232" t="s">
        <v>313</v>
      </c>
      <c r="H156" s="232" t="s">
        <v>314</v>
      </c>
    </row>
    <row r="157" spans="1:16" x14ac:dyDescent="0.2">
      <c r="A157" s="234"/>
      <c r="B157" s="232" t="str">
        <f>Variance!D35</f>
        <v>Revenue</v>
      </c>
      <c r="C157" s="232">
        <f>Variance!E35</f>
        <v>45000</v>
      </c>
      <c r="D157" s="232">
        <f>Variance!F35</f>
        <v>36050</v>
      </c>
      <c r="E157" s="232">
        <f>C157-D157</f>
        <v>8950</v>
      </c>
      <c r="F157" s="232">
        <f>MIN(C157:D157)</f>
        <v>36050</v>
      </c>
      <c r="G157" s="232">
        <f>IF($E157&gt;0,$E157,"")</f>
        <v>8950</v>
      </c>
      <c r="H157" s="232" t="str">
        <f>IF($E157&lt;0,ABS($E157),"")</f>
        <v/>
      </c>
    </row>
    <row r="158" spans="1:16" x14ac:dyDescent="0.2">
      <c r="A158" s="234"/>
      <c r="B158" s="232" t="str">
        <f>Variance!D36</f>
        <v>COGS</v>
      </c>
      <c r="C158" s="232">
        <f>Variance!E36</f>
        <v>28000</v>
      </c>
      <c r="D158" s="232">
        <f>Variance!F36</f>
        <v>18926.25</v>
      </c>
      <c r="E158" s="232">
        <f t="shared" ref="E158:E160" si="12">C158-D158</f>
        <v>9073.75</v>
      </c>
      <c r="F158" s="232">
        <f t="shared" ref="F158:F160" si="13">MIN(C158:D158)</f>
        <v>18926.25</v>
      </c>
      <c r="G158" s="232">
        <f t="shared" ref="G158:G160" si="14">IF($E158&gt;0,$E158,"")</f>
        <v>9073.75</v>
      </c>
      <c r="H158" s="232" t="str">
        <f t="shared" ref="H158:H160" si="15">IF($E158&lt;0,ABS($E158),"")</f>
        <v/>
      </c>
    </row>
    <row r="159" spans="1:16" x14ac:dyDescent="0.2">
      <c r="A159" s="234"/>
      <c r="B159" s="232" t="str">
        <f>Variance!D37</f>
        <v>Opex</v>
      </c>
      <c r="C159" s="232">
        <f>Variance!E37</f>
        <v>11250</v>
      </c>
      <c r="D159" s="232">
        <f>Variance!F37</f>
        <v>9440.8166666666675</v>
      </c>
      <c r="E159" s="232">
        <f t="shared" si="12"/>
        <v>1809.1833333333325</v>
      </c>
      <c r="F159" s="232">
        <f t="shared" si="13"/>
        <v>9440.8166666666675</v>
      </c>
      <c r="G159" s="232">
        <f t="shared" si="14"/>
        <v>1809.1833333333325</v>
      </c>
      <c r="H159" s="232" t="str">
        <f t="shared" si="15"/>
        <v/>
      </c>
    </row>
    <row r="160" spans="1:16" x14ac:dyDescent="0.2">
      <c r="A160" s="234"/>
      <c r="B160" s="232" t="str">
        <f>Variance!D38</f>
        <v>Interest &amp; Taxes</v>
      </c>
      <c r="C160" s="232">
        <f>Variance!E38</f>
        <v>2150</v>
      </c>
      <c r="D160" s="232">
        <f>Variance!F38</f>
        <v>2125.0618305121525</v>
      </c>
      <c r="E160" s="232">
        <f t="shared" si="12"/>
        <v>24.938169487847517</v>
      </c>
      <c r="F160" s="232">
        <f t="shared" si="13"/>
        <v>2125.0618305121525</v>
      </c>
      <c r="G160" s="232">
        <f t="shared" si="14"/>
        <v>24.938169487847517</v>
      </c>
      <c r="H160" s="232" t="str">
        <f t="shared" si="15"/>
        <v/>
      </c>
    </row>
    <row r="161" spans="1:16" x14ac:dyDescent="0.2">
      <c r="A161" s="234"/>
    </row>
    <row r="162" spans="1:16" x14ac:dyDescent="0.2">
      <c r="A162" s="232" t="s">
        <v>131</v>
      </c>
    </row>
    <row r="163" spans="1:16" x14ac:dyDescent="0.2">
      <c r="B163" s="232" t="s">
        <v>183</v>
      </c>
      <c r="C163" s="232" t="s">
        <v>184</v>
      </c>
      <c r="D163" s="232" t="s">
        <v>185</v>
      </c>
      <c r="E163" s="232" t="s">
        <v>186</v>
      </c>
      <c r="F163" s="232" t="s">
        <v>187</v>
      </c>
      <c r="G163" s="232" t="s">
        <v>188</v>
      </c>
      <c r="H163" s="232" t="s">
        <v>189</v>
      </c>
      <c r="I163" s="232" t="s">
        <v>190</v>
      </c>
      <c r="J163" s="232" t="s">
        <v>191</v>
      </c>
      <c r="K163" s="232" t="s">
        <v>192</v>
      </c>
      <c r="L163" s="232" t="s">
        <v>193</v>
      </c>
      <c r="M163" s="232" t="s">
        <v>194</v>
      </c>
      <c r="N163" s="232" t="s">
        <v>195</v>
      </c>
      <c r="O163" s="232" t="s">
        <v>245</v>
      </c>
      <c r="P163" s="232" t="s">
        <v>132</v>
      </c>
    </row>
    <row r="164" spans="1:16" x14ac:dyDescent="0.2">
      <c r="B164" s="232" t="s">
        <v>133</v>
      </c>
      <c r="C164" s="232">
        <f>'12-Month Projection'!H9</f>
        <v>17850</v>
      </c>
      <c r="D164" s="232">
        <f>'12-Month Projection'!I9</f>
        <v>18025</v>
      </c>
      <c r="E164" s="232">
        <f>'12-Month Projection'!J9</f>
        <v>18200</v>
      </c>
      <c r="F164" s="232">
        <f>'12-Month Projection'!K9</f>
        <v>18375</v>
      </c>
      <c r="G164" s="232">
        <f>'12-Month Projection'!L9</f>
        <v>19250</v>
      </c>
      <c r="H164" s="232">
        <f>'12-Month Projection'!M9</f>
        <v>19600</v>
      </c>
      <c r="I164" s="232">
        <f>'12-Month Projection'!N9</f>
        <v>18900</v>
      </c>
      <c r="J164" s="232">
        <f>'12-Month Projection'!O9</f>
        <v>18375</v>
      </c>
      <c r="K164" s="232">
        <f>'12-Month Projection'!P9</f>
        <v>17150</v>
      </c>
      <c r="L164" s="232">
        <f>'12-Month Projection'!Q9</f>
        <v>18025</v>
      </c>
      <c r="M164" s="232">
        <f>'12-Month Projection'!R9</f>
        <v>18900</v>
      </c>
      <c r="N164" s="232">
        <f>'12-Month Projection'!S9</f>
        <v>19600</v>
      </c>
      <c r="O164" s="232">
        <f>SUM(C164:INDEX(C164:N164,MATCH(Variance!$M$6,$C$163:$N$163,0)))</f>
        <v>35875</v>
      </c>
      <c r="P164" s="241">
        <f>INDEX(C164:N164, MATCH(Variance!$M$6, Formulas!$C$163:$N$163, 0))</f>
        <v>18025</v>
      </c>
    </row>
    <row r="165" spans="1:16" x14ac:dyDescent="0.2">
      <c r="B165" s="232" t="s">
        <v>134</v>
      </c>
      <c r="C165" s="232">
        <f>'12-Month Projection'!H10</f>
        <v>17850</v>
      </c>
      <c r="D165" s="232">
        <f>'12-Month Projection'!I10</f>
        <v>18025</v>
      </c>
      <c r="E165" s="232">
        <f>'12-Month Projection'!J10</f>
        <v>18200</v>
      </c>
      <c r="F165" s="232">
        <f>'12-Month Projection'!K10</f>
        <v>18375</v>
      </c>
      <c r="G165" s="232">
        <f>'12-Month Projection'!L10</f>
        <v>19250</v>
      </c>
      <c r="H165" s="232">
        <f>'12-Month Projection'!M10</f>
        <v>19600</v>
      </c>
      <c r="I165" s="232">
        <f>'12-Month Projection'!N10</f>
        <v>18900</v>
      </c>
      <c r="J165" s="232">
        <f>'12-Month Projection'!O10</f>
        <v>18375</v>
      </c>
      <c r="K165" s="232">
        <f>'12-Month Projection'!P10</f>
        <v>17150</v>
      </c>
      <c r="L165" s="232">
        <f>'12-Month Projection'!Q10</f>
        <v>18025</v>
      </c>
      <c r="M165" s="232">
        <f>'12-Month Projection'!R10</f>
        <v>18900</v>
      </c>
      <c r="N165" s="232">
        <f>'12-Month Projection'!S10</f>
        <v>19600</v>
      </c>
      <c r="O165" s="232">
        <f>SUM(C165:INDEX(C165:N165,MATCH(Variance!$M$6,$C$163:$N$163,0)))</f>
        <v>35875</v>
      </c>
      <c r="P165" s="241">
        <f>INDEX(C165:N165, MATCH(Variance!$M$6, Formulas!$C$163:$N$163, 0))</f>
        <v>18025</v>
      </c>
    </row>
    <row r="166" spans="1:16" x14ac:dyDescent="0.2">
      <c r="B166" s="232" t="s">
        <v>197</v>
      </c>
      <c r="C166" s="232">
        <f>'12-Month Projection'!H17</f>
        <v>18742.5</v>
      </c>
      <c r="D166" s="232">
        <f>'12-Month Projection'!I17</f>
        <v>18926.25</v>
      </c>
      <c r="E166" s="232">
        <f>'12-Month Projection'!J17</f>
        <v>19110</v>
      </c>
      <c r="F166" s="232">
        <f>'12-Month Projection'!K17</f>
        <v>19293.75</v>
      </c>
      <c r="G166" s="232">
        <f>'12-Month Projection'!L17</f>
        <v>20212.5</v>
      </c>
      <c r="H166" s="232">
        <f>'12-Month Projection'!M17</f>
        <v>20580</v>
      </c>
      <c r="I166" s="232">
        <f>'12-Month Projection'!N17</f>
        <v>19845</v>
      </c>
      <c r="J166" s="232">
        <f>'12-Month Projection'!O17</f>
        <v>19293.75</v>
      </c>
      <c r="K166" s="232">
        <f>'12-Month Projection'!P17</f>
        <v>18007.5</v>
      </c>
      <c r="L166" s="232">
        <f>'12-Month Projection'!Q17</f>
        <v>18926.25</v>
      </c>
      <c r="M166" s="232">
        <f>'12-Month Projection'!R17</f>
        <v>19845</v>
      </c>
      <c r="N166" s="232">
        <f>'12-Month Projection'!S17</f>
        <v>20580</v>
      </c>
      <c r="O166" s="232">
        <f>SUM(C166:INDEX(C166:N166,MATCH(Variance!$M$6,$C$163:$N$163,0)))</f>
        <v>37668.75</v>
      </c>
      <c r="P166" s="241">
        <f>INDEX(C166:N166, MATCH(Variance!$M$6, Formulas!$C$163:$N$163, 0))</f>
        <v>18926.25</v>
      </c>
    </row>
    <row r="167" spans="1:16" x14ac:dyDescent="0.2">
      <c r="B167" s="232" t="s">
        <v>103</v>
      </c>
      <c r="C167" s="232">
        <f>'12-Month Projection'!H22</f>
        <v>4166.666666666667</v>
      </c>
      <c r="D167" s="232">
        <f>'12-Month Projection'!I22</f>
        <v>4166.666666666667</v>
      </c>
      <c r="E167" s="232">
        <f>'12-Month Projection'!J22</f>
        <v>4166.666666666667</v>
      </c>
      <c r="F167" s="232">
        <f>'12-Month Projection'!K22</f>
        <v>4166.666666666667</v>
      </c>
      <c r="G167" s="232">
        <f>'12-Month Projection'!L22</f>
        <v>4166.666666666667</v>
      </c>
      <c r="H167" s="232">
        <f>'12-Month Projection'!M22</f>
        <v>4166.666666666667</v>
      </c>
      <c r="I167" s="232">
        <f>'12-Month Projection'!N22</f>
        <v>4166.666666666667</v>
      </c>
      <c r="J167" s="232">
        <f>'12-Month Projection'!O22</f>
        <v>4166.666666666667</v>
      </c>
      <c r="K167" s="232">
        <f>'12-Month Projection'!P22</f>
        <v>4166.666666666667</v>
      </c>
      <c r="L167" s="232">
        <f>'12-Month Projection'!Q22</f>
        <v>4166.666666666667</v>
      </c>
      <c r="M167" s="232">
        <f>'12-Month Projection'!R22</f>
        <v>4166.666666666667</v>
      </c>
      <c r="N167" s="232">
        <f>'12-Month Projection'!S22</f>
        <v>4166.666666666667</v>
      </c>
      <c r="O167" s="232">
        <f>SUM(C167:INDEX(C167:N167,MATCH(Variance!$M$6,$C$163:$N$163,0)))</f>
        <v>8333.3333333333339</v>
      </c>
      <c r="P167" s="241">
        <f>INDEX(C167:N167, MATCH(Variance!$M$6, Formulas!$C$163:$N$163, 0))</f>
        <v>4166.666666666667</v>
      </c>
    </row>
    <row r="168" spans="1:16" x14ac:dyDescent="0.2">
      <c r="B168" s="232" t="s">
        <v>119</v>
      </c>
      <c r="C168" s="232">
        <f>'12-Month Projection'!H23</f>
        <v>1428</v>
      </c>
      <c r="D168" s="232">
        <f>'12-Month Projection'!I23</f>
        <v>1442</v>
      </c>
      <c r="E168" s="232">
        <f>'12-Month Projection'!J23</f>
        <v>1456</v>
      </c>
      <c r="F168" s="232">
        <f>'12-Month Projection'!K23</f>
        <v>1470</v>
      </c>
      <c r="G168" s="232">
        <f>'12-Month Projection'!L23</f>
        <v>1540</v>
      </c>
      <c r="H168" s="232">
        <f>'12-Month Projection'!M23</f>
        <v>1568</v>
      </c>
      <c r="I168" s="232">
        <f>'12-Month Projection'!N23</f>
        <v>1512</v>
      </c>
      <c r="J168" s="232">
        <f>'12-Month Projection'!O23</f>
        <v>1470</v>
      </c>
      <c r="K168" s="232">
        <f>'12-Month Projection'!P23</f>
        <v>1372</v>
      </c>
      <c r="L168" s="232">
        <f>'12-Month Projection'!Q23</f>
        <v>1442</v>
      </c>
      <c r="M168" s="232">
        <f>'12-Month Projection'!R23</f>
        <v>1512</v>
      </c>
      <c r="N168" s="232">
        <f>'12-Month Projection'!S23</f>
        <v>1568</v>
      </c>
      <c r="O168" s="232">
        <f>SUM(C168:INDEX(C168:N168,MATCH(Variance!$M$6,$C$163:$N$163,0)))</f>
        <v>2870</v>
      </c>
      <c r="P168" s="241">
        <f>INDEX(C168:N168, MATCH(Variance!$M$6, Formulas!$C$163:$N$163, 0))</f>
        <v>1442</v>
      </c>
    </row>
    <row r="169" spans="1:16" x14ac:dyDescent="0.2">
      <c r="B169" s="232" t="s">
        <v>100</v>
      </c>
      <c r="C169" s="232">
        <f>'12-Month Projection'!H24</f>
        <v>2916.6666666666665</v>
      </c>
      <c r="D169" s="232">
        <f>'12-Month Projection'!I24</f>
        <v>2916.6666666666665</v>
      </c>
      <c r="E169" s="232">
        <f>'12-Month Projection'!J24</f>
        <v>2916.6666666666665</v>
      </c>
      <c r="F169" s="232">
        <f>'12-Month Projection'!K24</f>
        <v>2916.6666666666665</v>
      </c>
      <c r="G169" s="232">
        <f>'12-Month Projection'!L24</f>
        <v>2916.6666666666665</v>
      </c>
      <c r="H169" s="232">
        <f>'12-Month Projection'!M24</f>
        <v>2916.6666666666665</v>
      </c>
      <c r="I169" s="232">
        <f>'12-Month Projection'!N24</f>
        <v>2916.6666666666665</v>
      </c>
      <c r="J169" s="232">
        <f>'12-Month Projection'!O24</f>
        <v>2916.6666666666665</v>
      </c>
      <c r="K169" s="232">
        <f>'12-Month Projection'!P24</f>
        <v>2916.6666666666665</v>
      </c>
      <c r="L169" s="232">
        <f>'12-Month Projection'!Q24</f>
        <v>2916.6666666666665</v>
      </c>
      <c r="M169" s="232">
        <f>'12-Month Projection'!R24</f>
        <v>2916.6666666666665</v>
      </c>
      <c r="N169" s="232">
        <f>'12-Month Projection'!S24</f>
        <v>2916.6666666666665</v>
      </c>
      <c r="O169" s="232">
        <f>SUM(C169:INDEX(C169:N169,MATCH(Variance!$M$6,$C$163:$N$163,0)))</f>
        <v>5833.333333333333</v>
      </c>
      <c r="P169" s="241">
        <f>INDEX(C169:N169, MATCH(Variance!$M$6, Formulas!$C$163:$N$163, 0))</f>
        <v>2916.6666666666665</v>
      </c>
    </row>
    <row r="170" spans="1:16" x14ac:dyDescent="0.2">
      <c r="B170" s="232" t="s">
        <v>140</v>
      </c>
      <c r="C170" s="232">
        <f>'12-Month Projection'!H25</f>
        <v>285.60000000000002</v>
      </c>
      <c r="D170" s="232">
        <f>'12-Month Projection'!I25</f>
        <v>288.40000000000003</v>
      </c>
      <c r="E170" s="232">
        <f>'12-Month Projection'!J25</f>
        <v>291.2</v>
      </c>
      <c r="F170" s="232">
        <f>'12-Month Projection'!K25</f>
        <v>294</v>
      </c>
      <c r="G170" s="232">
        <f>'12-Month Projection'!L25</f>
        <v>308</v>
      </c>
      <c r="H170" s="232">
        <f>'12-Month Projection'!M25</f>
        <v>313.60000000000002</v>
      </c>
      <c r="I170" s="232">
        <f>'12-Month Projection'!N25</f>
        <v>302.40000000000003</v>
      </c>
      <c r="J170" s="232">
        <f>'12-Month Projection'!O25</f>
        <v>294</v>
      </c>
      <c r="K170" s="232">
        <f>'12-Month Projection'!P25</f>
        <v>274.40000000000003</v>
      </c>
      <c r="L170" s="232">
        <f>'12-Month Projection'!Q25</f>
        <v>288.40000000000003</v>
      </c>
      <c r="M170" s="232">
        <f>'12-Month Projection'!R25</f>
        <v>302.40000000000003</v>
      </c>
      <c r="N170" s="232">
        <f>'12-Month Projection'!S25</f>
        <v>313.60000000000002</v>
      </c>
      <c r="O170" s="232">
        <f>SUM(C170:INDEX(C170:N170,MATCH(Variance!$M$6,$C$163:$N$163,0)))</f>
        <v>574</v>
      </c>
      <c r="P170" s="241">
        <f>INDEX(C170:N170, MATCH(Variance!$M$6, Formulas!$C$163:$N$163, 0))</f>
        <v>288.40000000000003</v>
      </c>
    </row>
    <row r="171" spans="1:16" x14ac:dyDescent="0.2">
      <c r="B171" s="232" t="s">
        <v>141</v>
      </c>
      <c r="C171" s="232">
        <f>'12-Month Projection'!H26</f>
        <v>627.08333333333337</v>
      </c>
      <c r="D171" s="232">
        <f>'12-Month Projection'!I26</f>
        <v>627.08333333333337</v>
      </c>
      <c r="E171" s="232">
        <f>'12-Month Projection'!J26</f>
        <v>627.08333333333337</v>
      </c>
      <c r="F171" s="232">
        <f>'12-Month Projection'!K26</f>
        <v>627.08333333333337</v>
      </c>
      <c r="G171" s="232">
        <f>'12-Month Projection'!L26</f>
        <v>627.08333333333337</v>
      </c>
      <c r="H171" s="232">
        <f>'12-Month Projection'!M26</f>
        <v>627.08333333333337</v>
      </c>
      <c r="I171" s="232">
        <f>'12-Month Projection'!N26</f>
        <v>627.08333333333337</v>
      </c>
      <c r="J171" s="232">
        <f>'12-Month Projection'!O26</f>
        <v>627.08333333333337</v>
      </c>
      <c r="K171" s="232">
        <f>'12-Month Projection'!P26</f>
        <v>627.08333333333337</v>
      </c>
      <c r="L171" s="232">
        <f>'12-Month Projection'!Q26</f>
        <v>627.08333333333337</v>
      </c>
      <c r="M171" s="232">
        <f>'12-Month Projection'!R26</f>
        <v>627.08333333333337</v>
      </c>
      <c r="N171" s="232">
        <f>'12-Month Projection'!S26</f>
        <v>627.08333333333337</v>
      </c>
      <c r="O171" s="232">
        <f>SUM(C171:INDEX(C171:N171,MATCH(Variance!$M$6,$C$163:$N$163,0)))</f>
        <v>1254.1666666666667</v>
      </c>
      <c r="P171" s="241">
        <f>INDEX(C171:N171, MATCH(Variance!$M$6, Formulas!$C$163:$N$163, 0))</f>
        <v>627.08333333333337</v>
      </c>
    </row>
    <row r="172" spans="1:16" x14ac:dyDescent="0.2">
      <c r="B172" s="232" t="s">
        <v>31</v>
      </c>
      <c r="C172" s="232">
        <f>'12-Month Projection'!H32</f>
        <v>274.35069444444446</v>
      </c>
      <c r="D172" s="232">
        <f>'12-Month Projection'!I32</f>
        <v>272.43799623842591</v>
      </c>
      <c r="E172" s="232">
        <f>'12-Month Projection'!J32</f>
        <v>270.51950748275948</v>
      </c>
      <c r="F172" s="232">
        <f>'12-Month Projection'!K32</f>
        <v>268.60099218707376</v>
      </c>
      <c r="G172" s="232">
        <f>'12-Month Projection'!L32</f>
        <v>266.68247676974636</v>
      </c>
      <c r="H172" s="232">
        <f>'12-Month Projection'!M32</f>
        <v>264.76396135186138</v>
      </c>
      <c r="I172" s="232">
        <f>'12-Month Projection'!N32</f>
        <v>262.84544593397385</v>
      </c>
      <c r="J172" s="232">
        <f>'12-Month Projection'!O32</f>
        <v>260.92693051608637</v>
      </c>
      <c r="K172" s="232">
        <f>'12-Month Projection'!P32</f>
        <v>259.00841509819878</v>
      </c>
      <c r="L172" s="232">
        <f>'12-Month Projection'!Q32</f>
        <v>257.08989968031131</v>
      </c>
      <c r="M172" s="232">
        <f>'12-Month Projection'!R32</f>
        <v>255.17138426242374</v>
      </c>
      <c r="N172" s="232">
        <f>'12-Month Projection'!S32</f>
        <v>253.25286884453627</v>
      </c>
      <c r="O172" s="232">
        <f>SUM(C172:INDEX(C172:N172,MATCH(Variance!$M$6,$C$163:$N$163,0)))</f>
        <v>546.78869068287031</v>
      </c>
      <c r="P172" s="241">
        <f>INDEX(C172:N172, MATCH(Variance!$M$6, Formulas!$C$163:$N$163, 0))</f>
        <v>272.43799623842591</v>
      </c>
    </row>
    <row r="173" spans="1:16" x14ac:dyDescent="0.2">
      <c r="B173" s="232" t="s">
        <v>145</v>
      </c>
      <c r="C173" s="232">
        <f>'12-Month Projection'!H35</f>
        <v>1814.7831597222219</v>
      </c>
      <c r="D173" s="232">
        <f>'12-Month Projection'!I35</f>
        <v>1852.6238342737267</v>
      </c>
      <c r="E173" s="232">
        <f>'12-Month Projection'!J35</f>
        <v>1890.4659564626429</v>
      </c>
      <c r="F173" s="232">
        <f>'12-Month Projection'!K35</f>
        <v>1928.3080852865646</v>
      </c>
      <c r="G173" s="232">
        <f>'12-Month Projection'!L35</f>
        <v>2115.6002141408962</v>
      </c>
      <c r="H173" s="232">
        <f>'12-Month Projection'!M35</f>
        <v>2190.8048429953674</v>
      </c>
      <c r="I173" s="232">
        <f>'12-Month Projection'!N35</f>
        <v>2041.8344718498397</v>
      </c>
      <c r="J173" s="232">
        <f>'12-Month Projection'!O35</f>
        <v>1930.2266007043115</v>
      </c>
      <c r="K173" s="232">
        <f>'12-Month Projection'!P35</f>
        <v>1669.1687295587835</v>
      </c>
      <c r="L173" s="232">
        <f>'12-Month Projection'!Q35</f>
        <v>1856.4608584132552</v>
      </c>
      <c r="M173" s="232">
        <f>'12-Month Projection'!R35</f>
        <v>2043.7529872677271</v>
      </c>
      <c r="N173" s="232">
        <f>'12-Month Projection'!S35</f>
        <v>2193.6826161221989</v>
      </c>
      <c r="O173" s="232">
        <f>SUM(C173:INDEX(C173:N173,MATCH(Variance!$M$6,$C$163:$N$163,0)))</f>
        <v>3667.4069939959486</v>
      </c>
      <c r="P173" s="241">
        <f>INDEX(C173:N173, MATCH(Variance!$M$6, Formulas!$C$163:$N$163, 0))</f>
        <v>1852.6238342737267</v>
      </c>
    </row>
    <row r="175" spans="1:16" s="234" customFormat="1" x14ac:dyDescent="0.2">
      <c r="A175" s="234" t="s">
        <v>203</v>
      </c>
      <c r="C175" s="242">
        <f>Profile!$F$8</f>
        <v>2025</v>
      </c>
      <c r="D175" s="242">
        <f>(C175+1)</f>
        <v>2026</v>
      </c>
      <c r="E175" s="242">
        <f t="shared" ref="E175:L175" si="16">(D175+1)</f>
        <v>2027</v>
      </c>
      <c r="F175" s="242">
        <f t="shared" si="16"/>
        <v>2028</v>
      </c>
      <c r="G175" s="242">
        <f t="shared" si="16"/>
        <v>2029</v>
      </c>
      <c r="H175" s="242">
        <f t="shared" si="16"/>
        <v>2030</v>
      </c>
      <c r="I175" s="242">
        <f t="shared" si="16"/>
        <v>2031</v>
      </c>
      <c r="J175" s="242">
        <f t="shared" si="16"/>
        <v>2032</v>
      </c>
      <c r="K175" s="242">
        <f t="shared" si="16"/>
        <v>2033</v>
      </c>
      <c r="L175" s="242">
        <f t="shared" si="16"/>
        <v>2034</v>
      </c>
      <c r="M175" s="234" t="s">
        <v>216</v>
      </c>
    </row>
    <row r="176" spans="1:16" x14ac:dyDescent="0.2">
      <c r="B176" s="232" t="s">
        <v>207</v>
      </c>
      <c r="C176" s="232">
        <f>Revenue!E34</f>
        <v>1500</v>
      </c>
      <c r="D176" s="232">
        <f>C176*(1+Scenario!H9)</f>
        <v>1590</v>
      </c>
      <c r="E176" s="232">
        <f>D176*(1+Scenario!I9)</f>
        <v>1669.5</v>
      </c>
      <c r="F176" s="232">
        <f>E176*(1+Scenario!J9)</f>
        <v>1736.28</v>
      </c>
      <c r="G176" s="232">
        <f>F176*(1+Scenario!K9)</f>
        <v>1788.3684000000001</v>
      </c>
      <c r="H176" s="232">
        <f>G176*(1+Scenario!L9)</f>
        <v>1842.019452</v>
      </c>
      <c r="I176" s="232">
        <f>H176*(1+Scenario!M9)</f>
        <v>1878.85984104</v>
      </c>
      <c r="J176" s="232">
        <f>I176*(1+Scenario!N9)</f>
        <v>1916.4370378608</v>
      </c>
      <c r="K176" s="232">
        <f>J176*(1+Scenario!O9)</f>
        <v>1954.7657786180162</v>
      </c>
      <c r="L176" s="232">
        <f>K176*(1+Scenario!P9)</f>
        <v>1993.8610941903764</v>
      </c>
      <c r="M176" s="232">
        <f>INDEX($C176:$L176, MATCH(Breakeven!F26, $C$175:$L$175, 0))</f>
        <v>1669.5</v>
      </c>
    </row>
    <row r="177" spans="1:13" x14ac:dyDescent="0.2">
      <c r="B177" s="232" t="s">
        <v>213</v>
      </c>
      <c r="C177" s="232">
        <f>Breakeven!H20*C8</f>
        <v>85000</v>
      </c>
      <c r="D177" s="232">
        <f>Breakeven!I20</f>
        <v>85000</v>
      </c>
      <c r="E177" s="232">
        <f>Breakeven!J20</f>
        <v>85000</v>
      </c>
      <c r="F177" s="232">
        <f>Breakeven!K20</f>
        <v>85000</v>
      </c>
      <c r="G177" s="232">
        <f>Breakeven!L20</f>
        <v>85000</v>
      </c>
      <c r="H177" s="232">
        <f>Breakeven!M20</f>
        <v>85000</v>
      </c>
      <c r="I177" s="232">
        <f>Breakeven!N20</f>
        <v>85000</v>
      </c>
      <c r="J177" s="232">
        <f>Breakeven!O20</f>
        <v>85000</v>
      </c>
      <c r="K177" s="232">
        <f>Breakeven!P20</f>
        <v>85000</v>
      </c>
      <c r="L177" s="232">
        <f>Breakeven!Q20</f>
        <v>85000</v>
      </c>
      <c r="M177" s="232">
        <f>INDEX($C177:$L177, MATCH(Breakeven!$F$26, $C$175:$L$175, 0))</f>
        <v>85000</v>
      </c>
    </row>
    <row r="178" spans="1:13" x14ac:dyDescent="0.2">
      <c r="B178" s="232" t="s">
        <v>214</v>
      </c>
      <c r="C178" s="232">
        <f>Breakeven!H16/C176*C8</f>
        <v>174.81566666666666</v>
      </c>
      <c r="D178" s="232">
        <f>Breakeven!I16/D176</f>
        <v>201.74651572327042</v>
      </c>
      <c r="E178" s="232">
        <f>Breakeven!J16/E176</f>
        <v>194.84342348008386</v>
      </c>
      <c r="F178" s="232">
        <f>Breakeven!K16/F176</f>
        <v>189.16718769150134</v>
      </c>
      <c r="G178" s="232">
        <f>Breakeven!L16/G176</f>
        <v>188.39532154048911</v>
      </c>
      <c r="H178" s="232">
        <f>Breakeven!M16/H176</f>
        <v>183.40110980868212</v>
      </c>
      <c r="I178" s="232">
        <f>Breakeven!N16/I176</f>
        <v>181.92946157903413</v>
      </c>
      <c r="J178" s="232">
        <f>Breakeven!O16/J176</f>
        <v>175.40649830982645</v>
      </c>
      <c r="K178" s="232">
        <f>Breakeven!P16/K176</f>
        <v>174.62543430807759</v>
      </c>
      <c r="L178" s="232">
        <f>Breakeven!Q16/L176</f>
        <v>172.25984539972157</v>
      </c>
      <c r="M178" s="232">
        <f>INDEX($C178:$L178, MATCH(Breakeven!$F$26, $C$175:$L$175, 0))</f>
        <v>194.84342348008386</v>
      </c>
    </row>
    <row r="179" spans="1:13" x14ac:dyDescent="0.2">
      <c r="B179" s="232" t="s">
        <v>208</v>
      </c>
      <c r="C179" s="232">
        <f>Breakeven!H8/Formulas!C176</f>
        <v>296.33333333333331</v>
      </c>
      <c r="D179" s="232">
        <f>Breakeven!I8/Formulas!D176</f>
        <v>296.33333333333331</v>
      </c>
      <c r="E179" s="232">
        <f>Breakeven!J8/Formulas!E176</f>
        <v>296.33333333333331</v>
      </c>
      <c r="F179" s="232">
        <f>Breakeven!K8/Formulas!F176</f>
        <v>296.33333333333337</v>
      </c>
      <c r="G179" s="232">
        <f>Breakeven!L8/Formulas!G176</f>
        <v>296.33333333333331</v>
      </c>
      <c r="H179" s="232">
        <f>Breakeven!M8/Formulas!H176</f>
        <v>296.33333333333331</v>
      </c>
      <c r="I179" s="232">
        <f>Breakeven!N8/Formulas!I176</f>
        <v>296.33333333333331</v>
      </c>
      <c r="J179" s="232">
        <f>Breakeven!O8/Formulas!J176</f>
        <v>296.33333333333331</v>
      </c>
      <c r="K179" s="232">
        <f>Breakeven!P8/Formulas!K176</f>
        <v>296.33333333333326</v>
      </c>
      <c r="L179" s="232">
        <f>Breakeven!Q8/Formulas!L176</f>
        <v>296.33333333333326</v>
      </c>
      <c r="M179" s="232">
        <f>INDEX($C179:$L179, MATCH(Breakeven!$F$26, $C$175:$L$175, 0))</f>
        <v>296.33333333333331</v>
      </c>
    </row>
    <row r="180" spans="1:13" x14ac:dyDescent="0.2">
      <c r="B180" s="232" t="s">
        <v>209</v>
      </c>
      <c r="C180" s="232">
        <f>Breakeven!H9/Formulas!C176</f>
        <v>121.51766666666667</v>
      </c>
      <c r="D180" s="232">
        <f>Breakeven!I9/Formulas!D176</f>
        <v>94.586817610062923</v>
      </c>
      <c r="E180" s="232">
        <f>Breakeven!J9/Formulas!E176</f>
        <v>101.48990985324947</v>
      </c>
      <c r="F180" s="232">
        <f>Breakeven!K9/Formulas!F176</f>
        <v>107.16614564183202</v>
      </c>
      <c r="G180" s="232">
        <f>Breakeven!L9/Formulas!G176</f>
        <v>107.93801179284421</v>
      </c>
      <c r="H180" s="232">
        <f>Breakeven!M9/Formulas!H176</f>
        <v>112.93222352465121</v>
      </c>
      <c r="I180" s="232">
        <f>Breakeven!N9/Formulas!I176</f>
        <v>114.40387175429922</v>
      </c>
      <c r="J180" s="232">
        <f>Breakeven!O9/Formulas!J176</f>
        <v>120.92683502350684</v>
      </c>
      <c r="K180" s="232">
        <f>Breakeven!P9/Formulas!K176</f>
        <v>121.70789902525568</v>
      </c>
      <c r="L180" s="232">
        <f>Breakeven!Q9/Formulas!L176</f>
        <v>124.0734879336117</v>
      </c>
      <c r="M180" s="232">
        <f>INDEX($C180:$L180, MATCH(Breakeven!$F$26, $C$175:$L$175, 0))</f>
        <v>101.48990985324947</v>
      </c>
    </row>
    <row r="181" spans="1:13" x14ac:dyDescent="0.2">
      <c r="B181" s="232" t="s">
        <v>210</v>
      </c>
      <c r="C181" s="243">
        <f>C180/C179</f>
        <v>0.41007086614173233</v>
      </c>
      <c r="D181" s="243">
        <f t="shared" ref="D181:L181" si="17">D180/D179</f>
        <v>0.31919061060763643</v>
      </c>
      <c r="E181" s="243">
        <f t="shared" si="17"/>
        <v>0.34248563505033569</v>
      </c>
      <c r="F181" s="243">
        <f t="shared" si="17"/>
        <v>0.36164053647412375</v>
      </c>
      <c r="G181" s="243">
        <f t="shared" si="17"/>
        <v>0.36424525914345629</v>
      </c>
      <c r="H181" s="243">
        <f t="shared" si="17"/>
        <v>0.38109861706856429</v>
      </c>
      <c r="I181" s="243">
        <f t="shared" si="17"/>
        <v>0.3860648090696262</v>
      </c>
      <c r="J181" s="243">
        <f t="shared" si="17"/>
        <v>0.4080770585720141</v>
      </c>
      <c r="K181" s="243">
        <f t="shared" si="17"/>
        <v>0.41071282010772459</v>
      </c>
      <c r="L181" s="243">
        <f t="shared" si="17"/>
        <v>0.4186956848153377</v>
      </c>
      <c r="M181" s="244">
        <f>INDEX($C181:$L181, MATCH(Breakeven!$F$26, $C$175:$L$175, 0))</f>
        <v>0.34248563505033569</v>
      </c>
    </row>
    <row r="182" spans="1:13" x14ac:dyDescent="0.2">
      <c r="B182" s="232" t="s">
        <v>215</v>
      </c>
      <c r="C182" s="232">
        <f>C183/C179</f>
        <v>699.48676872772955</v>
      </c>
      <c r="D182" s="232">
        <f t="shared" ref="D182:L182" si="18">D183/D179</f>
        <v>898.64530964996766</v>
      </c>
      <c r="E182" s="232">
        <f t="shared" si="18"/>
        <v>837.52168193770933</v>
      </c>
      <c r="F182" s="232">
        <f t="shared" si="18"/>
        <v>793.16093240942757</v>
      </c>
      <c r="G182" s="232">
        <f t="shared" si="18"/>
        <v>787.48902808338653</v>
      </c>
      <c r="H182" s="232">
        <f t="shared" si="18"/>
        <v>752.66383098749429</v>
      </c>
      <c r="I182" s="232">
        <f t="shared" si="18"/>
        <v>742.98184752480438</v>
      </c>
      <c r="J182" s="232">
        <f t="shared" si="18"/>
        <v>702.9043634812482</v>
      </c>
      <c r="K182" s="232">
        <f t="shared" si="18"/>
        <v>698.39345416982007</v>
      </c>
      <c r="L182" s="232">
        <f t="shared" si="18"/>
        <v>685.07786325376105</v>
      </c>
      <c r="M182" s="232">
        <f>INDEX($C182:$L182, MATCH(Breakeven!$F$26, $C$175:$L$175, 0))</f>
        <v>837.52168193770933</v>
      </c>
    </row>
    <row r="183" spans="1:13" x14ac:dyDescent="0.2">
      <c r="B183" s="232" t="s">
        <v>212</v>
      </c>
      <c r="C183" s="232">
        <f>Breakeven!H22</f>
        <v>207281.24579965053</v>
      </c>
      <c r="D183" s="232">
        <f>Breakeven!I22</f>
        <v>266298.5600929404</v>
      </c>
      <c r="E183" s="232">
        <f>Breakeven!J22</f>
        <v>248185.59174754118</v>
      </c>
      <c r="F183" s="232">
        <f>Breakeven!K22</f>
        <v>235040.02297066042</v>
      </c>
      <c r="G183" s="232">
        <f>Breakeven!L22</f>
        <v>233359.24865537687</v>
      </c>
      <c r="H183" s="232">
        <f>Breakeven!M22</f>
        <v>223039.38191596081</v>
      </c>
      <c r="I183" s="232">
        <f>Breakeven!N22</f>
        <v>220170.28748318367</v>
      </c>
      <c r="J183" s="232">
        <f>Breakeven!O22</f>
        <v>208293.9930449432</v>
      </c>
      <c r="K183" s="232">
        <f>Breakeven!P22</f>
        <v>206957.26025232329</v>
      </c>
      <c r="L183" s="232">
        <f>Breakeven!Q22</f>
        <v>203011.40681086446</v>
      </c>
      <c r="M183" s="232">
        <f>INDEX($C183:$L183, MATCH(Breakeven!$F$26, $C$175:$L$175, 0))</f>
        <v>248185.59174754118</v>
      </c>
    </row>
    <row r="184" spans="1:13" x14ac:dyDescent="0.2">
      <c r="A184" s="232" t="s">
        <v>10</v>
      </c>
      <c r="C184" s="232">
        <f>Breakeven!H8</f>
        <v>444500</v>
      </c>
      <c r="D184" s="232">
        <f>Breakeven!I8</f>
        <v>471170</v>
      </c>
      <c r="E184" s="232">
        <f>Breakeven!J8</f>
        <v>494728.5</v>
      </c>
      <c r="F184" s="232">
        <f>Breakeven!K8</f>
        <v>514517.64</v>
      </c>
      <c r="G184" s="232">
        <f>Breakeven!L8</f>
        <v>529953.1692</v>
      </c>
      <c r="H184" s="232">
        <f>Breakeven!M8</f>
        <v>545851.76427599997</v>
      </c>
      <c r="I184" s="232">
        <f>Breakeven!N8</f>
        <v>556768.79956151999</v>
      </c>
      <c r="J184" s="232">
        <f>Breakeven!O8</f>
        <v>567904.17555275036</v>
      </c>
      <c r="K184" s="232">
        <f>Breakeven!P8</f>
        <v>579262.25906380534</v>
      </c>
      <c r="L184" s="232">
        <f>Breakeven!Q8</f>
        <v>590847.50424508145</v>
      </c>
      <c r="M184" s="232">
        <f>INDEX($C184:$L184, MATCH(Breakeven!$F$26, $C$175:$L$175, 0))</f>
        <v>494728.5</v>
      </c>
    </row>
    <row r="185" spans="1:13" x14ac:dyDescent="0.2">
      <c r="A185" s="232" t="s">
        <v>214</v>
      </c>
      <c r="C185" s="232">
        <f>C178*C176</f>
        <v>262223.5</v>
      </c>
      <c r="D185" s="232">
        <f t="shared" ref="D185:L185" si="19">D178*D176</f>
        <v>320776.95999999996</v>
      </c>
      <c r="E185" s="232">
        <f t="shared" si="19"/>
        <v>325291.0955</v>
      </c>
      <c r="F185" s="232">
        <f t="shared" si="19"/>
        <v>328447.20464499993</v>
      </c>
      <c r="G185" s="232">
        <f t="shared" si="19"/>
        <v>336920.23975085007</v>
      </c>
      <c r="H185" s="232">
        <f t="shared" si="19"/>
        <v>337828.41178598045</v>
      </c>
      <c r="I185" s="232">
        <f t="shared" si="19"/>
        <v>341819.95926287683</v>
      </c>
      <c r="J185" s="232">
        <f t="shared" si="19"/>
        <v>336155.51004241925</v>
      </c>
      <c r="K185" s="232">
        <f t="shared" si="19"/>
        <v>341351.82306173851</v>
      </c>
      <c r="L185" s="232">
        <f t="shared" si="19"/>
        <v>343462.20383375394</v>
      </c>
      <c r="M185" s="232">
        <f>INDEX($C185:$L185, MATCH(Breakeven!$F$26, $C$175:$L$175, 0))</f>
        <v>325291.0955</v>
      </c>
    </row>
    <row r="187" spans="1:13" x14ac:dyDescent="0.2">
      <c r="B187" s="232" t="s">
        <v>69</v>
      </c>
      <c r="C187" s="232" t="s">
        <v>10</v>
      </c>
      <c r="D187" s="232" t="s">
        <v>213</v>
      </c>
      <c r="E187" s="232" t="s">
        <v>266</v>
      </c>
      <c r="F187" s="232" t="s">
        <v>214</v>
      </c>
    </row>
    <row r="188" spans="1:13" x14ac:dyDescent="0.2">
      <c r="A188" s="232">
        <v>1</v>
      </c>
      <c r="B188" s="232">
        <f>ROUNDUP(($B$203/15)*0,-1)</f>
        <v>0</v>
      </c>
      <c r="C188" s="232">
        <f>B188*$M$179</f>
        <v>0</v>
      </c>
      <c r="D188" s="232">
        <f>$M$177</f>
        <v>85000</v>
      </c>
      <c r="E188" s="232">
        <f t="shared" ref="E188:E196" si="20">F188+D188</f>
        <v>85000</v>
      </c>
      <c r="F188" s="232">
        <f>ROUNDUP(($F$203/15)*0,-1)</f>
        <v>0</v>
      </c>
    </row>
    <row r="189" spans="1:13" x14ac:dyDescent="0.2">
      <c r="A189" s="232">
        <v>2</v>
      </c>
      <c r="B189" s="232">
        <f>ROUNDUP(($B$203/15)*A188,-1)</f>
        <v>120</v>
      </c>
      <c r="C189" s="232">
        <f t="shared" ref="C189:C203" si="21">B189*$M$179</f>
        <v>35560</v>
      </c>
      <c r="D189" s="232">
        <f t="shared" ref="D189:D203" si="22">$M$177</f>
        <v>85000</v>
      </c>
      <c r="E189" s="232">
        <f t="shared" si="20"/>
        <v>106690</v>
      </c>
      <c r="F189" s="232">
        <f>ROUNDUP(($F$203/15)*A188,-1)</f>
        <v>21690</v>
      </c>
    </row>
    <row r="190" spans="1:13" x14ac:dyDescent="0.2">
      <c r="A190" s="232">
        <v>3</v>
      </c>
      <c r="B190" s="232">
        <f t="shared" ref="B190:B202" si="23">ROUNDUP(($B$203/15)*A189,-1)</f>
        <v>230</v>
      </c>
      <c r="C190" s="232">
        <f t="shared" si="21"/>
        <v>68156.666666666657</v>
      </c>
      <c r="D190" s="232">
        <f t="shared" si="22"/>
        <v>85000</v>
      </c>
      <c r="E190" s="232">
        <f t="shared" si="20"/>
        <v>128380</v>
      </c>
      <c r="F190" s="232">
        <f t="shared" ref="F190:F202" si="24">ROUNDUP(($F$203/15)*A189,-1)</f>
        <v>43380</v>
      </c>
    </row>
    <row r="191" spans="1:13" x14ac:dyDescent="0.2">
      <c r="A191" s="232">
        <v>4</v>
      </c>
      <c r="B191" s="232">
        <f t="shared" si="23"/>
        <v>340</v>
      </c>
      <c r="C191" s="232">
        <f t="shared" si="21"/>
        <v>100753.33333333333</v>
      </c>
      <c r="D191" s="232">
        <f t="shared" si="22"/>
        <v>85000</v>
      </c>
      <c r="E191" s="232">
        <f t="shared" si="20"/>
        <v>150060</v>
      </c>
      <c r="F191" s="232">
        <f t="shared" si="24"/>
        <v>65060</v>
      </c>
    </row>
    <row r="192" spans="1:13" x14ac:dyDescent="0.2">
      <c r="A192" s="232">
        <v>5</v>
      </c>
      <c r="B192" s="232">
        <f t="shared" si="23"/>
        <v>450</v>
      </c>
      <c r="C192" s="232">
        <f t="shared" si="21"/>
        <v>133350</v>
      </c>
      <c r="D192" s="232">
        <f t="shared" si="22"/>
        <v>85000</v>
      </c>
      <c r="E192" s="232">
        <f t="shared" si="20"/>
        <v>171750</v>
      </c>
      <c r="F192" s="232">
        <f t="shared" si="24"/>
        <v>86750</v>
      </c>
    </row>
    <row r="193" spans="1:14" x14ac:dyDescent="0.2">
      <c r="A193" s="232">
        <v>6</v>
      </c>
      <c r="B193" s="232">
        <f t="shared" si="23"/>
        <v>560</v>
      </c>
      <c r="C193" s="232">
        <f t="shared" si="21"/>
        <v>165946.66666666666</v>
      </c>
      <c r="D193" s="232">
        <f t="shared" si="22"/>
        <v>85000</v>
      </c>
      <c r="E193" s="232">
        <f t="shared" si="20"/>
        <v>193440</v>
      </c>
      <c r="F193" s="232">
        <f t="shared" si="24"/>
        <v>108440</v>
      </c>
    </row>
    <row r="194" spans="1:14" x14ac:dyDescent="0.2">
      <c r="A194" s="232">
        <v>7</v>
      </c>
      <c r="B194" s="232">
        <f t="shared" si="23"/>
        <v>670</v>
      </c>
      <c r="C194" s="232">
        <f t="shared" si="21"/>
        <v>198543.33333333331</v>
      </c>
      <c r="D194" s="232">
        <f t="shared" si="22"/>
        <v>85000</v>
      </c>
      <c r="E194" s="232">
        <f t="shared" si="20"/>
        <v>215120</v>
      </c>
      <c r="F194" s="232">
        <f t="shared" si="24"/>
        <v>130120</v>
      </c>
    </row>
    <row r="195" spans="1:14" x14ac:dyDescent="0.2">
      <c r="A195" s="232">
        <v>8</v>
      </c>
      <c r="B195" s="232">
        <f t="shared" si="23"/>
        <v>780</v>
      </c>
      <c r="C195" s="232">
        <f t="shared" si="21"/>
        <v>231139.99999999997</v>
      </c>
      <c r="D195" s="232">
        <f t="shared" si="22"/>
        <v>85000</v>
      </c>
      <c r="E195" s="232">
        <f t="shared" si="20"/>
        <v>236810</v>
      </c>
      <c r="F195" s="232">
        <f t="shared" si="24"/>
        <v>151810</v>
      </c>
    </row>
    <row r="196" spans="1:14" x14ac:dyDescent="0.2">
      <c r="A196" s="232">
        <v>9</v>
      </c>
      <c r="B196" s="232">
        <f t="shared" si="23"/>
        <v>900</v>
      </c>
      <c r="C196" s="232">
        <f t="shared" si="21"/>
        <v>266700</v>
      </c>
      <c r="D196" s="232">
        <f t="shared" si="22"/>
        <v>85000</v>
      </c>
      <c r="E196" s="232">
        <f t="shared" si="20"/>
        <v>258490</v>
      </c>
      <c r="F196" s="232">
        <f t="shared" si="24"/>
        <v>173490</v>
      </c>
    </row>
    <row r="197" spans="1:14" x14ac:dyDescent="0.2">
      <c r="A197" s="232">
        <v>10</v>
      </c>
      <c r="B197" s="232">
        <f t="shared" si="23"/>
        <v>1010</v>
      </c>
      <c r="C197" s="232">
        <f t="shared" si="21"/>
        <v>299296.66666666663</v>
      </c>
      <c r="D197" s="232">
        <f t="shared" si="22"/>
        <v>85000</v>
      </c>
      <c r="E197" s="232">
        <f t="shared" ref="E197:E203" si="25">F197+D197</f>
        <v>280180</v>
      </c>
      <c r="F197" s="232">
        <f t="shared" si="24"/>
        <v>195180</v>
      </c>
    </row>
    <row r="198" spans="1:14" x14ac:dyDescent="0.2">
      <c r="A198" s="232">
        <v>11</v>
      </c>
      <c r="B198" s="232">
        <f t="shared" si="23"/>
        <v>1120</v>
      </c>
      <c r="C198" s="232">
        <f t="shared" si="21"/>
        <v>331893.33333333331</v>
      </c>
      <c r="D198" s="232">
        <f t="shared" si="22"/>
        <v>85000</v>
      </c>
      <c r="E198" s="232">
        <f t="shared" si="25"/>
        <v>301870</v>
      </c>
      <c r="F198" s="232">
        <f t="shared" si="24"/>
        <v>216870</v>
      </c>
    </row>
    <row r="199" spans="1:14" x14ac:dyDescent="0.2">
      <c r="A199" s="232">
        <v>12</v>
      </c>
      <c r="B199" s="232">
        <f t="shared" si="23"/>
        <v>1230</v>
      </c>
      <c r="C199" s="232">
        <f t="shared" si="21"/>
        <v>364490</v>
      </c>
      <c r="D199" s="232">
        <f t="shared" si="22"/>
        <v>85000</v>
      </c>
      <c r="E199" s="232">
        <f t="shared" si="25"/>
        <v>323550</v>
      </c>
      <c r="F199" s="232">
        <f t="shared" si="24"/>
        <v>238550</v>
      </c>
    </row>
    <row r="200" spans="1:14" x14ac:dyDescent="0.2">
      <c r="A200" s="232">
        <v>13</v>
      </c>
      <c r="B200" s="232">
        <f t="shared" si="23"/>
        <v>1340</v>
      </c>
      <c r="C200" s="232">
        <f t="shared" si="21"/>
        <v>397086.66666666663</v>
      </c>
      <c r="D200" s="232">
        <f t="shared" si="22"/>
        <v>85000</v>
      </c>
      <c r="E200" s="232">
        <f t="shared" si="25"/>
        <v>345240</v>
      </c>
      <c r="F200" s="232">
        <f t="shared" si="24"/>
        <v>260240</v>
      </c>
    </row>
    <row r="201" spans="1:14" x14ac:dyDescent="0.2">
      <c r="A201" s="232">
        <v>14</v>
      </c>
      <c r="B201" s="232">
        <f t="shared" si="23"/>
        <v>1450</v>
      </c>
      <c r="C201" s="232">
        <f t="shared" si="21"/>
        <v>429683.33333333331</v>
      </c>
      <c r="D201" s="232">
        <f t="shared" si="22"/>
        <v>85000</v>
      </c>
      <c r="E201" s="232">
        <f t="shared" si="25"/>
        <v>366920</v>
      </c>
      <c r="F201" s="232">
        <f t="shared" si="24"/>
        <v>281920</v>
      </c>
    </row>
    <row r="202" spans="1:14" x14ac:dyDescent="0.2">
      <c r="A202" s="232">
        <v>15</v>
      </c>
      <c r="B202" s="232">
        <f t="shared" si="23"/>
        <v>1560</v>
      </c>
      <c r="C202" s="232">
        <f t="shared" si="21"/>
        <v>462279.99999999994</v>
      </c>
      <c r="D202" s="232">
        <f t="shared" si="22"/>
        <v>85000</v>
      </c>
      <c r="E202" s="232">
        <f t="shared" si="25"/>
        <v>388610</v>
      </c>
      <c r="F202" s="232">
        <f t="shared" si="24"/>
        <v>303610</v>
      </c>
    </row>
    <row r="203" spans="1:14" x14ac:dyDescent="0.2">
      <c r="A203" s="232">
        <v>16</v>
      </c>
      <c r="B203" s="232">
        <f>M176</f>
        <v>1669.5</v>
      </c>
      <c r="C203" s="232">
        <f t="shared" si="21"/>
        <v>494728.49999999994</v>
      </c>
      <c r="D203" s="232">
        <f t="shared" si="22"/>
        <v>85000</v>
      </c>
      <c r="E203" s="232">
        <f t="shared" si="25"/>
        <v>410291.0955</v>
      </c>
      <c r="F203" s="232">
        <f>M185</f>
        <v>325291.0955</v>
      </c>
    </row>
    <row r="205" spans="1:14" x14ac:dyDescent="0.2">
      <c r="A205" s="234" t="s">
        <v>273</v>
      </c>
    </row>
    <row r="206" spans="1:14" ht="16" x14ac:dyDescent="0.2">
      <c r="B206" s="245" t="s">
        <v>71</v>
      </c>
      <c r="C206" s="245" t="s">
        <v>269</v>
      </c>
      <c r="D206" s="232" t="s">
        <v>12</v>
      </c>
      <c r="E206" s="232" t="s">
        <v>269</v>
      </c>
      <c r="F206" s="232" t="s">
        <v>220</v>
      </c>
      <c r="G206" s="232" t="s">
        <v>269</v>
      </c>
      <c r="H206" s="232" t="s">
        <v>15</v>
      </c>
      <c r="I206" s="232" t="s">
        <v>269</v>
      </c>
      <c r="J206" s="232" t="s">
        <v>222</v>
      </c>
      <c r="K206" s="232" t="s">
        <v>269</v>
      </c>
      <c r="L206" s="232" t="s">
        <v>223</v>
      </c>
      <c r="M206" s="232" t="s">
        <v>269</v>
      </c>
      <c r="N206" s="232" t="s">
        <v>224</v>
      </c>
    </row>
    <row r="207" spans="1:14" ht="16" x14ac:dyDescent="0.2">
      <c r="B207" s="246" t="s">
        <v>270</v>
      </c>
      <c r="C207" s="246">
        <v>20</v>
      </c>
      <c r="D207" s="247">
        <f>INDEX(Formulas!$C$216:$L$216, MATCH(Ratios!$F$32, $C$175:$L$175, 0))*100</f>
        <v>47.5</v>
      </c>
      <c r="E207" s="232">
        <v>10</v>
      </c>
      <c r="F207" s="232">
        <f>INDEX(Formulas!C217:L217, MATCH(Ratios!$F$32, $C$175:$L$175, 0))*100</f>
        <v>21.884476940382452</v>
      </c>
      <c r="G207" s="232">
        <v>5</v>
      </c>
      <c r="H207" s="232">
        <f>INDEX(Formulas!$C$219:$L$219, MATCH(Ratios!$F$32, $C$175:$L$175, 0))*100</f>
        <v>15.879220938221062</v>
      </c>
      <c r="I207" s="232">
        <v>10</v>
      </c>
      <c r="J207" s="232">
        <f>INDEX(Formulas!C222:L222, MATCH(Ratios!$F$32, $C$175:$L$175, 0))*10</f>
        <v>50.604349733659021</v>
      </c>
      <c r="K207" s="232">
        <v>10</v>
      </c>
      <c r="L207" s="232">
        <f>INDEX(Formulas!$C$223:$L$223, MATCH(Ratios!$F$32, $C$175:$L$175, 0))*10</f>
        <v>42.607864672147599</v>
      </c>
      <c r="M207" s="232">
        <v>10</v>
      </c>
      <c r="N207" s="232">
        <f>INDEX(Formulas!C224:L224, MATCH(Ratios!$F$32, $C$175:$L$175, 0))*10</f>
        <v>7.6598219760455954</v>
      </c>
    </row>
    <row r="208" spans="1:14" ht="16" x14ac:dyDescent="0.2">
      <c r="B208" s="246" t="s">
        <v>271</v>
      </c>
      <c r="C208" s="246">
        <v>20</v>
      </c>
      <c r="D208" s="232">
        <v>2</v>
      </c>
      <c r="E208" s="232">
        <v>10</v>
      </c>
      <c r="F208" s="232">
        <v>2</v>
      </c>
      <c r="G208" s="232">
        <v>10</v>
      </c>
      <c r="H208" s="232">
        <v>2</v>
      </c>
      <c r="I208" s="232">
        <v>20</v>
      </c>
      <c r="J208" s="232">
        <v>2</v>
      </c>
      <c r="K208" s="232">
        <v>5</v>
      </c>
      <c r="L208" s="232">
        <v>2</v>
      </c>
      <c r="M208" s="232">
        <v>5</v>
      </c>
      <c r="N208" s="232">
        <v>2</v>
      </c>
    </row>
    <row r="209" spans="1:15" ht="16" x14ac:dyDescent="0.2">
      <c r="B209" s="246" t="s">
        <v>272</v>
      </c>
      <c r="C209" s="246">
        <v>60</v>
      </c>
      <c r="D209" s="248">
        <f>D210-D207-D208</f>
        <v>50.5</v>
      </c>
      <c r="E209" s="232">
        <v>80</v>
      </c>
      <c r="F209" s="248">
        <f>F210-F207-F208</f>
        <v>76.115523059617544</v>
      </c>
      <c r="G209" s="232">
        <v>85</v>
      </c>
      <c r="H209" s="248">
        <f>H210-H207-H208</f>
        <v>82.120779061778933</v>
      </c>
      <c r="I209" s="232">
        <v>70</v>
      </c>
      <c r="J209" s="248">
        <f>J210-J207-J208</f>
        <v>47.395650266340979</v>
      </c>
      <c r="K209" s="232">
        <v>85</v>
      </c>
      <c r="L209" s="248">
        <f>L210-L207-L208</f>
        <v>55.392135327852401</v>
      </c>
      <c r="M209" s="232">
        <v>85</v>
      </c>
      <c r="N209" s="248">
        <f>N210-N207-N208</f>
        <v>90.340178023954408</v>
      </c>
    </row>
    <row r="210" spans="1:15" ht="16" x14ac:dyDescent="0.2">
      <c r="B210" s="246" t="s">
        <v>50</v>
      </c>
      <c r="C210" s="246">
        <v>100</v>
      </c>
      <c r="D210" s="232">
        <v>100</v>
      </c>
      <c r="E210" s="232">
        <v>100</v>
      </c>
      <c r="F210" s="232">
        <v>100</v>
      </c>
      <c r="G210" s="232">
        <v>100</v>
      </c>
      <c r="H210" s="232">
        <v>100</v>
      </c>
      <c r="I210" s="232">
        <v>100</v>
      </c>
      <c r="J210" s="232">
        <v>100</v>
      </c>
      <c r="K210" s="232">
        <v>100</v>
      </c>
      <c r="L210" s="232">
        <v>100</v>
      </c>
      <c r="M210" s="232">
        <v>100</v>
      </c>
      <c r="N210" s="232">
        <v>100</v>
      </c>
    </row>
    <row r="212" spans="1:15" x14ac:dyDescent="0.2">
      <c r="A212" s="232" t="s">
        <v>218</v>
      </c>
      <c r="C212" s="249">
        <f>Formulas!C9</f>
        <v>2025</v>
      </c>
      <c r="D212" s="249">
        <f>Formulas!D9</f>
        <v>2026</v>
      </c>
      <c r="E212" s="249">
        <f>Formulas!E9</f>
        <v>2027</v>
      </c>
      <c r="F212" s="249">
        <f>Formulas!F9</f>
        <v>2028</v>
      </c>
      <c r="G212" s="249">
        <f>Formulas!G9</f>
        <v>2029</v>
      </c>
      <c r="H212" s="249">
        <f>Formulas!H9</f>
        <v>2030</v>
      </c>
      <c r="I212" s="249">
        <f>Formulas!I9</f>
        <v>2031</v>
      </c>
      <c r="J212" s="249">
        <f>Formulas!J9</f>
        <v>2032</v>
      </c>
      <c r="K212" s="249">
        <f>Formulas!K9</f>
        <v>2033</v>
      </c>
      <c r="L212" s="249">
        <f>Formulas!L9</f>
        <v>2034</v>
      </c>
    </row>
    <row r="213" spans="1:15" x14ac:dyDescent="0.2">
      <c r="A213" s="232" t="s">
        <v>19</v>
      </c>
      <c r="C213" s="243">
        <f>IFERROR('Annual Forecast'!H36/'Annual Forecast'!H64,"")</f>
        <v>0.4152055079963442</v>
      </c>
      <c r="D213" s="243">
        <f>IFERROR('Annual Forecast'!I36/'Annual Forecast'!I64,"")</f>
        <v>0.22300285991262167</v>
      </c>
      <c r="E213" s="243">
        <f>IFERROR('Annual Forecast'!J36/'Annual Forecast'!J64,"")</f>
        <v>0.23398891070403685</v>
      </c>
      <c r="F213" s="243">
        <f>IFERROR('Annual Forecast'!K36/'Annual Forecast'!K64,"")</f>
        <v>0.22774824619783651</v>
      </c>
      <c r="G213" s="243">
        <f>IFERROR('Annual Forecast'!L36/'Annual Forecast'!L64,"")</f>
        <v>0.20240690613917484</v>
      </c>
      <c r="H213" s="243">
        <f>IFERROR('Annual Forecast'!M36/'Annual Forecast'!M64,"")</f>
        <v>0.19350790096539439</v>
      </c>
      <c r="I213" s="243">
        <f>IFERROR('Annual Forecast'!N36/'Annual Forecast'!N64,"")</f>
        <v>0.17458956210958615</v>
      </c>
      <c r="J213" s="243">
        <f>IFERROR('Annual Forecast'!O36/'Annual Forecast'!O64,"")</f>
        <v>0.16934882663059878</v>
      </c>
      <c r="K213" s="243">
        <f>IFERROR('Annual Forecast'!P36/'Annual Forecast'!P64,"")</f>
        <v>0.15373734502556483</v>
      </c>
      <c r="L213" s="243">
        <f>IFERROR('Annual Forecast'!Q36/'Annual Forecast'!Q64,"")</f>
        <v>0.14363565100522191</v>
      </c>
      <c r="M213" s="232" t="str">
        <f>IFERROR('Annual Forecast'!O235/'Annual Forecast'!O263,"")</f>
        <v/>
      </c>
      <c r="N213" s="232" t="str">
        <f>IFERROR('Annual Forecast'!P235/'Annual Forecast'!P263,"")</f>
        <v/>
      </c>
      <c r="O213" s="232" t="str">
        <f>IFERROR('Annual Forecast'!Q235/'Annual Forecast'!Q263,"")</f>
        <v/>
      </c>
    </row>
    <row r="214" spans="1:15" x14ac:dyDescent="0.2">
      <c r="A214" s="232" t="s">
        <v>219</v>
      </c>
      <c r="C214" s="243">
        <f>IFERROR('Annual Forecast'!H36/'Annual Forecast'!H49,"")</f>
        <v>0.25484438806942911</v>
      </c>
      <c r="D214" s="243">
        <f>IFERROR('Annual Forecast'!I36/'Annual Forecast'!I49,"")</f>
        <v>0.14587768520265582</v>
      </c>
      <c r="E214" s="243">
        <f>IFERROR('Annual Forecast'!J36/'Annual Forecast'!J49,"")</f>
        <v>0.16584364318937736</v>
      </c>
      <c r="F214" s="243">
        <f>IFERROR('Annual Forecast'!K36/'Annual Forecast'!K49,"")</f>
        <v>0.17262476851863326</v>
      </c>
      <c r="G214" s="243">
        <f>IFERROR('Annual Forecast'!L36/'Annual Forecast'!L49,"")</f>
        <v>0.1612055566791499</v>
      </c>
      <c r="H214" s="243">
        <f>IFERROR('Annual Forecast'!M36/'Annual Forecast'!M49,"")</f>
        <v>0.16191614836203116</v>
      </c>
      <c r="I214" s="243">
        <f>IFERROR('Annual Forecast'!N36/'Annual Forecast'!N49,"")</f>
        <v>0.15059659312173304</v>
      </c>
      <c r="J214" s="243">
        <f>IFERROR('Annual Forecast'!O36/'Annual Forecast'!O49,"")</f>
        <v>0.15007925773122577</v>
      </c>
      <c r="K214" s="243">
        <f>IFERROR('Annual Forecast'!P36/'Annual Forecast'!P49,"")</f>
        <v>0.138932860995989</v>
      </c>
      <c r="L214" s="243">
        <f>IFERROR('Annual Forecast'!Q36/'Annual Forecast'!Q49,"")</f>
        <v>0.13193252742827216</v>
      </c>
      <c r="M214" s="232" t="str">
        <f>IFERROR('Annual Forecast'!O235/'Annual Forecast'!O248,"")</f>
        <v/>
      </c>
      <c r="N214" s="232" t="str">
        <f>IFERROR('Annual Forecast'!P235/'Annual Forecast'!P248,"")</f>
        <v/>
      </c>
      <c r="O214" s="232" t="str">
        <f>IFERROR('Annual Forecast'!Q235/'Annual Forecast'!Q248,"")</f>
        <v/>
      </c>
    </row>
    <row r="215" spans="1:15" x14ac:dyDescent="0.2">
      <c r="A215" s="232" t="s">
        <v>20</v>
      </c>
      <c r="C215" s="243">
        <f>IFERROR(('Annual Forecast'!H29*(1-Scenario!G19))/('Annual Forecast'!H49-'Annual Forecast'!H54),"")</f>
        <v>0.32426124525741168</v>
      </c>
      <c r="D215" s="243">
        <f>IFERROR(('Annual Forecast'!I29*(1-Scenario!H19))/('Annual Forecast'!I49-'Annual Forecast'!I54),"")</f>
        <v>0.18881147567974585</v>
      </c>
      <c r="E215" s="243">
        <f>IFERROR(('Annual Forecast'!J29*(1-Scenario!I19))/('Annual Forecast'!J49-'Annual Forecast'!J54),"")</f>
        <v>0.20639391332732238</v>
      </c>
      <c r="F215" s="243">
        <f>IFERROR(('Annual Forecast'!K29*(1-Scenario!J19))/('Annual Forecast'!K49-'Annual Forecast'!K54),"")</f>
        <v>0.20785801801270692</v>
      </c>
      <c r="G215" s="243">
        <f>IFERROR(('Annual Forecast'!L29*(1-Scenario!K19))/('Annual Forecast'!L49-'Annual Forecast'!L54),"")</f>
        <v>0.18968493582628626</v>
      </c>
      <c r="H215" s="243">
        <f>IFERROR(('Annual Forecast'!M29*(1-Scenario!L19))/('Annual Forecast'!M49-'Annual Forecast'!M54),"")</f>
        <v>0.1847736473990218</v>
      </c>
      <c r="I215" s="243">
        <f>IFERROR(('Annual Forecast'!N29*(1-Scenario!M19))/('Annual Forecast'!N49-'Annual Forecast'!N54),"")</f>
        <v>0.16916169219956853</v>
      </c>
      <c r="J215" s="243">
        <f>IFERROR(('Annual Forecast'!O29*(1-Scenario!N19))/('Annual Forecast'!O49-'Annual Forecast'!O54),"")</f>
        <v>0.16580008646378522</v>
      </c>
      <c r="K215" s="243">
        <f>IFERROR(('Annual Forecast'!P29*(1-Scenario!O19))/('Annual Forecast'!P49-'Annual Forecast'!P54),"")</f>
        <v>0.15177723276761548</v>
      </c>
      <c r="L215" s="243">
        <f>IFERROR(('Annual Forecast'!Q29*(1-Scenario!P19))/('Annual Forecast'!Q49-'Annual Forecast'!Q54),"")</f>
        <v>0.14267781137218116</v>
      </c>
      <c r="M215" s="232" t="str">
        <f>IFERROR(('Annual Forecast'!O228*(1-Scenario!N218))/('Annual Forecast'!O248-'Annual Forecast'!O253),"")</f>
        <v/>
      </c>
      <c r="N215" s="232" t="str">
        <f>IFERROR(('Annual Forecast'!P228*(1-Scenario!O218))/('Annual Forecast'!P248-'Annual Forecast'!P253),"")</f>
        <v/>
      </c>
      <c r="O215" s="232" t="str">
        <f>IFERROR(('Annual Forecast'!Q228*(1-Scenario!P218))/('Annual Forecast'!Q248-'Annual Forecast'!Q253),"")</f>
        <v/>
      </c>
    </row>
    <row r="216" spans="1:15" x14ac:dyDescent="0.2">
      <c r="A216" s="232" t="s">
        <v>12</v>
      </c>
      <c r="C216" s="243">
        <f>'Annual Forecast'!H19</f>
        <v>0.47499999999999998</v>
      </c>
      <c r="D216" s="243">
        <f>'Annual Forecast'!I19</f>
        <v>0.38500000000000001</v>
      </c>
      <c r="E216" s="243">
        <f>'Annual Forecast'!J19</f>
        <v>0.40499999999999997</v>
      </c>
      <c r="F216" s="243">
        <f>'Annual Forecast'!K19</f>
        <v>0.42500000000000004</v>
      </c>
      <c r="G216" s="243">
        <f>'Annual Forecast'!L19</f>
        <v>0.42999999999999994</v>
      </c>
      <c r="H216" s="243">
        <f>'Annual Forecast'!M19</f>
        <v>0.45</v>
      </c>
      <c r="I216" s="243">
        <f>'Annual Forecast'!N19</f>
        <v>0.45000000000000007</v>
      </c>
      <c r="J216" s="243">
        <f>'Annual Forecast'!O19</f>
        <v>0.47</v>
      </c>
      <c r="K216" s="243">
        <f>'Annual Forecast'!P19</f>
        <v>0.47</v>
      </c>
      <c r="L216" s="243">
        <f>'Annual Forecast'!Q19</f>
        <v>0.47499999999999998</v>
      </c>
      <c r="M216" s="232">
        <f>'Annual Forecast'!O218</f>
        <v>0</v>
      </c>
      <c r="N216" s="232">
        <f>'Annual Forecast'!P218</f>
        <v>0</v>
      </c>
      <c r="O216" s="232">
        <f>'Annual Forecast'!Q218</f>
        <v>0</v>
      </c>
    </row>
    <row r="217" spans="1:15" x14ac:dyDescent="0.2">
      <c r="A217" s="232" t="s">
        <v>220</v>
      </c>
      <c r="C217" s="243">
        <f>'Annual Forecast'!H30</f>
        <v>0.21884476940382452</v>
      </c>
      <c r="D217" s="243">
        <f>'Annual Forecast'!I30</f>
        <v>0.13878863255300636</v>
      </c>
      <c r="E217" s="243">
        <f>'Annual Forecast'!J30</f>
        <v>0.17067422737925952</v>
      </c>
      <c r="F217" s="243">
        <f>'Annual Forecast'!K30</f>
        <v>0.19643725986731966</v>
      </c>
      <c r="G217" s="243">
        <f>'Annual Forecast'!L30</f>
        <v>0.20385372845723884</v>
      </c>
      <c r="H217" s="243">
        <f>'Annual Forecast'!M30</f>
        <v>0.2253786843634987</v>
      </c>
      <c r="I217" s="243">
        <f>'Annual Forecast'!N30</f>
        <v>0.2333982083783854</v>
      </c>
      <c r="J217" s="243">
        <f>'Annual Forecast'!O30</f>
        <v>0.25840392063942519</v>
      </c>
      <c r="K217" s="243">
        <f>'Annual Forecast'!P30</f>
        <v>0.26397444958557853</v>
      </c>
      <c r="L217" s="243">
        <f>'Annual Forecast'!Q30</f>
        <v>0.27483453724460621</v>
      </c>
      <c r="M217" s="232">
        <f>'Annual Forecast'!O229</f>
        <v>0</v>
      </c>
      <c r="N217" s="232">
        <f>'Annual Forecast'!P229</f>
        <v>0</v>
      </c>
      <c r="O217" s="232">
        <f>'Annual Forecast'!Q229</f>
        <v>0</v>
      </c>
    </row>
    <row r="218" spans="1:15" x14ac:dyDescent="0.2">
      <c r="A218" s="232" t="s">
        <v>303</v>
      </c>
      <c r="C218" s="243">
        <f>IFERROR(Valuation!K14/Summary!E9,"")</f>
        <v>0.18284316680135537</v>
      </c>
      <c r="D218" s="243">
        <f>IFERROR(Valuation!L14/Summary!F9,"")</f>
        <v>0.12350591081775157</v>
      </c>
      <c r="E218" s="243">
        <f>IFERROR(Valuation!M14/Summary!G9,"")</f>
        <v>0.14890968657556616</v>
      </c>
      <c r="F218" s="243">
        <f>IFERROR(Valuation!N14/Summary!H9,"")</f>
        <v>0.16888999110166567</v>
      </c>
      <c r="G218" s="243">
        <f>IFERROR(Valuation!O14/Summary!I9,"")</f>
        <v>0.17668286475097178</v>
      </c>
      <c r="H218" s="243">
        <f>IFERROR(Valuation!P14/Summary!J9,"")</f>
        <v>0.19581704582305171</v>
      </c>
      <c r="I218" s="243">
        <f>IFERROR(Valuation!Q14/Summary!K9,"")</f>
        <v>0.20172472924692933</v>
      </c>
      <c r="J218" s="243">
        <f>IFERROR(Valuation!R14/Summary!L9,"")</f>
        <v>0.21833117768595861</v>
      </c>
      <c r="K218" s="243">
        <f>IFERROR(Valuation!S14/Summary!M9,"")</f>
        <v>0.21974275886844274</v>
      </c>
      <c r="L218" s="243">
        <f>IFERROR(Valuation!T14/Summary!N9,"")</f>
        <v>0.22477929296148716</v>
      </c>
    </row>
    <row r="219" spans="1:15" x14ac:dyDescent="0.2">
      <c r="A219" s="232" t="s">
        <v>15</v>
      </c>
      <c r="C219" s="243">
        <f>'Annual Forecast'!H37</f>
        <v>0.15879220938221061</v>
      </c>
      <c r="D219" s="243">
        <f>'Annual Forecast'!I37</f>
        <v>9.9276333382855464E-2</v>
      </c>
      <c r="E219" s="243">
        <f>'Annual Forecast'!J37</f>
        <v>0.12383671726007292</v>
      </c>
      <c r="F219" s="243">
        <f>'Annual Forecast'!K37</f>
        <v>0.14372019687459114</v>
      </c>
      <c r="G219" s="243">
        <f>'Annual Forecast'!L37</f>
        <v>0.14977681368843196</v>
      </c>
      <c r="H219" s="243">
        <f>'Annual Forecast'!M37</f>
        <v>0.16638906441564827</v>
      </c>
      <c r="I219" s="243">
        <f>'Annual Forecast'!N37</f>
        <v>0.17282601018549013</v>
      </c>
      <c r="J219" s="243">
        <f>'Annual Forecast'!O37</f>
        <v>0.19198705314435735</v>
      </c>
      <c r="K219" s="243">
        <f>'Annual Forecast'!P37</f>
        <v>0.19655661182823367</v>
      </c>
      <c r="L219" s="243">
        <f>'Annual Forecast'!Q37</f>
        <v>0.20507867840334421</v>
      </c>
      <c r="M219" s="232">
        <f>'Annual Forecast'!O236</f>
        <v>0</v>
      </c>
      <c r="N219" s="232">
        <f>'Annual Forecast'!P236</f>
        <v>0</v>
      </c>
      <c r="O219" s="232">
        <f>'Annual Forecast'!Q236</f>
        <v>0</v>
      </c>
    </row>
    <row r="221" spans="1:15" x14ac:dyDescent="0.2">
      <c r="A221" s="232" t="s">
        <v>221</v>
      </c>
    </row>
    <row r="222" spans="1:15" x14ac:dyDescent="0.2">
      <c r="A222" s="232" t="s">
        <v>222</v>
      </c>
      <c r="C222" s="250">
        <f>IFERROR('Annual Forecast'!H44/'Annual Forecast'!H54,"")</f>
        <v>5.0604349733659024</v>
      </c>
      <c r="D222" s="250">
        <f>IFERROR('Annual Forecast'!I44/'Annual Forecast'!I54,"")</f>
        <v>5.0095752721908946</v>
      </c>
      <c r="E222" s="250">
        <f>IFERROR('Annual Forecast'!J44/'Annual Forecast'!J54,"")</f>
        <v>5.6160333728519518</v>
      </c>
      <c r="F222" s="250">
        <f>IFERROR('Annual Forecast'!K44/'Annual Forecast'!K54,"")</f>
        <v>6.4213170854673827</v>
      </c>
      <c r="G222" s="250">
        <f>IFERROR('Annual Forecast'!L44/'Annual Forecast'!L54,"")</f>
        <v>7.2053131096090723</v>
      </c>
      <c r="H222" s="250">
        <f>IFERROR('Annual Forecast'!M44/'Annual Forecast'!M54,"")</f>
        <v>8.6830758474665881</v>
      </c>
      <c r="I222" s="250">
        <f>IFERROR('Annual Forecast'!N44/'Annual Forecast'!N54,"")</f>
        <v>9.7461309436173078</v>
      </c>
      <c r="J222" s="250">
        <f>IFERROR('Annual Forecast'!O44/'Annual Forecast'!O54,"")</f>
        <v>11.190700058407733</v>
      </c>
      <c r="K222" s="250">
        <f>IFERROR('Annual Forecast'!P44/'Annual Forecast'!P54,"")</f>
        <v>12.463255646330115</v>
      </c>
      <c r="L222" s="250">
        <f>IFERROR('Annual Forecast'!Q44/'Annual Forecast'!Q54,"")</f>
        <v>13.856577247329268</v>
      </c>
      <c r="M222" s="232" t="str">
        <f>IFERROR('Annual Forecast'!O243/'Annual Forecast'!O253,"")</f>
        <v/>
      </c>
      <c r="N222" s="232" t="str">
        <f>IFERROR('Annual Forecast'!P243/'Annual Forecast'!P253,"")</f>
        <v/>
      </c>
      <c r="O222" s="232" t="str">
        <f>IFERROR('Annual Forecast'!Q243/'Annual Forecast'!Q253,"")</f>
        <v/>
      </c>
    </row>
    <row r="223" spans="1:15" x14ac:dyDescent="0.2">
      <c r="A223" s="232" t="s">
        <v>223</v>
      </c>
      <c r="C223" s="250">
        <f>IFERROR(('Annual Forecast'!H41+'Annual Forecast'!H42)/'Annual Forecast'!H54,"")</f>
        <v>4.2607864672147597</v>
      </c>
      <c r="D223" s="250">
        <f>IFERROR(('Annual Forecast'!I41+'Annual Forecast'!I42)/'Annual Forecast'!I54,"")</f>
        <v>4.1621984836376349</v>
      </c>
      <c r="E223" s="250">
        <f>IFERROR(('Annual Forecast'!J41+'Annual Forecast'!J42)/'Annual Forecast'!J54,"")</f>
        <v>4.7784589278059304</v>
      </c>
      <c r="F223" s="250">
        <f>IFERROR(('Annual Forecast'!K41+'Annual Forecast'!K42)/'Annual Forecast'!K54,"")</f>
        <v>5.5303375613943331</v>
      </c>
      <c r="G223" s="250">
        <f>IFERROR(('Annual Forecast'!L41+'Annual Forecast'!L42)/'Annual Forecast'!L54,"")</f>
        <v>6.3171661980898746</v>
      </c>
      <c r="H223" s="250">
        <f>IFERROR(('Annual Forecast'!M41+'Annual Forecast'!M42)/'Annual Forecast'!M54,"")</f>
        <v>7.7480424534168009</v>
      </c>
      <c r="I223" s="250">
        <f>IFERROR(('Annual Forecast'!N41+'Annual Forecast'!N42)/'Annual Forecast'!N54,"")</f>
        <v>8.7443094499925351</v>
      </c>
      <c r="J223" s="250">
        <f>IFERROR(('Annual Forecast'!O41+'Annual Forecast'!O42)/'Annual Forecast'!O54,"")</f>
        <v>10.203735440158198</v>
      </c>
      <c r="K223" s="250">
        <f>IFERROR(('Annual Forecast'!P41+'Annual Forecast'!P42)/'Annual Forecast'!P54,"")</f>
        <v>11.410493386863944</v>
      </c>
      <c r="L223" s="250">
        <f>IFERROR(('Annual Forecast'!Q41+'Annual Forecast'!Q42)/'Annual Forecast'!Q54,"")</f>
        <v>12.807888108752488</v>
      </c>
      <c r="M223" s="232" t="str">
        <f>IFERROR(('Annual Forecast'!O240+'Annual Forecast'!O241)/'Annual Forecast'!O253,"")</f>
        <v/>
      </c>
      <c r="N223" s="232" t="str">
        <f>IFERROR(('Annual Forecast'!P240+'Annual Forecast'!P241)/'Annual Forecast'!P253,"")</f>
        <v/>
      </c>
      <c r="O223" s="232" t="str">
        <f>IFERROR(('Annual Forecast'!Q240+'Annual Forecast'!Q241)/'Annual Forecast'!Q253,"")</f>
        <v/>
      </c>
    </row>
    <row r="224" spans="1:15" x14ac:dyDescent="0.2">
      <c r="A224" s="232" t="s">
        <v>224</v>
      </c>
      <c r="C224" s="250">
        <f>IFERROR('Annual Forecast'!H78/'Annual Forecast'!H54,"")</f>
        <v>0.76598219760455954</v>
      </c>
      <c r="D224" s="250">
        <f>IFERROR('Annual Forecast'!I78/'Annual Forecast'!I54,"")</f>
        <v>0.8395569715677732</v>
      </c>
      <c r="E224" s="250">
        <f>IFERROR('Annual Forecast'!J78/'Annual Forecast'!J54,"")</f>
        <v>1.105820037783418</v>
      </c>
      <c r="F224" s="250">
        <f>IFERROR('Annual Forecast'!K78/'Annual Forecast'!K54,"")</f>
        <v>1.2410420818189409</v>
      </c>
      <c r="G224" s="250">
        <f>IFERROR('Annual Forecast'!L78/'Annual Forecast'!L54,"")</f>
        <v>1.3812446403376406</v>
      </c>
      <c r="H224" s="250">
        <f>IFERROR('Annual Forecast'!M78/'Annual Forecast'!M54,"")</f>
        <v>1.7441973032494797</v>
      </c>
      <c r="I224" s="250">
        <f>IFERROR('Annual Forecast'!N78/'Annual Forecast'!N54,"")</f>
        <v>1.6797574955161774</v>
      </c>
      <c r="J224" s="250">
        <f>IFERROR('Annual Forecast'!O78/'Annual Forecast'!O54,"")</f>
        <v>1.9545475585565748</v>
      </c>
      <c r="K224" s="250">
        <f>IFERROR('Annual Forecast'!P78/'Annual Forecast'!P54,"")</f>
        <v>1.891669859362606</v>
      </c>
      <c r="L224" s="250">
        <f>IFERROR('Annual Forecast'!Q78/'Annual Forecast'!Q54,"")</f>
        <v>2.0220187636242648</v>
      </c>
      <c r="M224" s="232" t="str">
        <f>IFERROR('Annual Forecast'!O277/'Annual Forecast'!O253,"")</f>
        <v/>
      </c>
      <c r="N224" s="232" t="str">
        <f>IFERROR('Annual Forecast'!P277/'Annual Forecast'!P253,"")</f>
        <v/>
      </c>
      <c r="O224" s="232" t="str">
        <f>IFERROR('Annual Forecast'!Q277/'Annual Forecast'!Q253,"")</f>
        <v/>
      </c>
    </row>
    <row r="226" spans="1:15" x14ac:dyDescent="0.2">
      <c r="A226" s="232" t="s">
        <v>225</v>
      </c>
      <c r="C226" s="234"/>
      <c r="D226" s="234"/>
      <c r="E226" s="234"/>
      <c r="F226" s="234"/>
      <c r="G226" s="234"/>
      <c r="H226" s="234"/>
      <c r="I226" s="234"/>
      <c r="J226" s="234"/>
      <c r="K226" s="234"/>
      <c r="L226" s="234"/>
    </row>
    <row r="227" spans="1:15" x14ac:dyDescent="0.2">
      <c r="A227" s="232" t="s">
        <v>275</v>
      </c>
      <c r="C227" s="232">
        <f>IFERROR('Annual Forecast'!H42/'Annual Forecast'!H10*365,"")</f>
        <v>40</v>
      </c>
      <c r="D227" s="232">
        <f>IFERROR('Annual Forecast'!I42/'Annual Forecast'!I10*365,"")</f>
        <v>40</v>
      </c>
      <c r="E227" s="232">
        <f>IFERROR('Annual Forecast'!J42/'Annual Forecast'!J10*365,"")</f>
        <v>40</v>
      </c>
      <c r="F227" s="232">
        <f>IFERROR('Annual Forecast'!K42/'Annual Forecast'!K10*365,"")</f>
        <v>40</v>
      </c>
      <c r="G227" s="232">
        <f>IFERROR('Annual Forecast'!L42/'Annual Forecast'!L10*365,"")</f>
        <v>40</v>
      </c>
      <c r="H227" s="232">
        <f>IFERROR('Annual Forecast'!M42/'Annual Forecast'!M10*365,"")</f>
        <v>35</v>
      </c>
      <c r="I227" s="232">
        <f>IFERROR('Annual Forecast'!N42/'Annual Forecast'!N10*365,"")</f>
        <v>35</v>
      </c>
      <c r="J227" s="232">
        <f>IFERROR('Annual Forecast'!O42/'Annual Forecast'!O10*365,"")</f>
        <v>35</v>
      </c>
      <c r="K227" s="232">
        <f>IFERROR('Annual Forecast'!P42/'Annual Forecast'!P10*365,"")</f>
        <v>35</v>
      </c>
      <c r="L227" s="232">
        <f>IFERROR('Annual Forecast'!Q42/'Annual Forecast'!Q10*365,"")</f>
        <v>35</v>
      </c>
      <c r="M227" s="232" t="str">
        <f>IFERROR('Annual Forecast'!O241/'Annual Forecast'!O209*365,"")</f>
        <v/>
      </c>
      <c r="N227" s="232" t="str">
        <f>IFERROR('Annual Forecast'!P241/'Annual Forecast'!P209*365,"")</f>
        <v/>
      </c>
      <c r="O227" s="232" t="str">
        <f>IFERROR('Annual Forecast'!Q241/'Annual Forecast'!Q209*365,"")</f>
        <v/>
      </c>
    </row>
    <row r="228" spans="1:15" x14ac:dyDescent="0.2">
      <c r="A228" s="232" t="s">
        <v>276</v>
      </c>
      <c r="C228" s="232">
        <f>IFERROR('Annual Forecast'!H52/'Annual Forecast'!H16*365,"")</f>
        <v>50.000000000000007</v>
      </c>
      <c r="D228" s="232">
        <f>IFERROR('Annual Forecast'!I52/'Annual Forecast'!I16*365,"")</f>
        <v>50.000000000000007</v>
      </c>
      <c r="E228" s="232">
        <f>IFERROR('Annual Forecast'!J52/'Annual Forecast'!J16*365,"")</f>
        <v>50</v>
      </c>
      <c r="F228" s="232">
        <f>IFERROR('Annual Forecast'!K52/'Annual Forecast'!K16*365,"")</f>
        <v>50</v>
      </c>
      <c r="G228" s="232">
        <f>IFERROR('Annual Forecast'!L52/'Annual Forecast'!L16*365,"")</f>
        <v>50</v>
      </c>
      <c r="H228" s="232">
        <f>IFERROR('Annual Forecast'!M52/'Annual Forecast'!M16*365,"")</f>
        <v>45</v>
      </c>
      <c r="I228" s="232">
        <f>IFERROR('Annual Forecast'!N52/'Annual Forecast'!N16*365,"")</f>
        <v>45</v>
      </c>
      <c r="J228" s="232">
        <f>IFERROR('Annual Forecast'!O52/'Annual Forecast'!O16*365,"")</f>
        <v>45</v>
      </c>
      <c r="K228" s="232">
        <f>IFERROR('Annual Forecast'!P52/'Annual Forecast'!P16*365,"")</f>
        <v>45</v>
      </c>
      <c r="L228" s="232">
        <f>IFERROR('Annual Forecast'!Q52/'Annual Forecast'!Q16*365,"")</f>
        <v>45.000000000000007</v>
      </c>
      <c r="M228" s="232" t="str">
        <f>IFERROR('Annual Forecast'!O251/'Annual Forecast'!O215*365,"")</f>
        <v/>
      </c>
      <c r="N228" s="232" t="str">
        <f>IFERROR('Annual Forecast'!P251/'Annual Forecast'!P215*365,"")</f>
        <v/>
      </c>
      <c r="O228" s="232" t="str">
        <f>IFERROR('Annual Forecast'!Q251/'Annual Forecast'!Q215*365,"")</f>
        <v/>
      </c>
    </row>
    <row r="229" spans="1:15" x14ac:dyDescent="0.2">
      <c r="A229" s="232" t="s">
        <v>277</v>
      </c>
      <c r="C229" s="232">
        <f>IFERROR('Annual Forecast'!H43/'Annual Forecast'!H16*365,"")</f>
        <v>65</v>
      </c>
      <c r="D229" s="232">
        <f>IFERROR('Annual Forecast'!I43/'Annual Forecast'!I16*365,"")</f>
        <v>65</v>
      </c>
      <c r="E229" s="232">
        <f>IFERROR('Annual Forecast'!J43/'Annual Forecast'!J16*365,"")</f>
        <v>65</v>
      </c>
      <c r="F229" s="232">
        <f>IFERROR('Annual Forecast'!K43/'Annual Forecast'!K16*365,"")</f>
        <v>70</v>
      </c>
      <c r="G229" s="232">
        <f>IFERROR('Annual Forecast'!L43/'Annual Forecast'!L16*365,"")</f>
        <v>70</v>
      </c>
      <c r="H229" s="232">
        <f>IFERROR('Annual Forecast'!M43/'Annual Forecast'!M16*365,"")</f>
        <v>70</v>
      </c>
      <c r="I229" s="232">
        <f>IFERROR('Annual Forecast'!N43/'Annual Forecast'!N16*365,"")</f>
        <v>75</v>
      </c>
      <c r="J229" s="232">
        <f>IFERROR('Annual Forecast'!O43/'Annual Forecast'!O16*365,"")</f>
        <v>75</v>
      </c>
      <c r="K229" s="232">
        <f>IFERROR('Annual Forecast'!P43/'Annual Forecast'!P16*365,"")</f>
        <v>80</v>
      </c>
      <c r="L229" s="232">
        <f>IFERROR('Annual Forecast'!Q43/'Annual Forecast'!Q16*365,"")</f>
        <v>80</v>
      </c>
      <c r="M229" s="232" t="str">
        <f>IFERROR('Annual Forecast'!O242/'Annual Forecast'!O215*365,"")</f>
        <v/>
      </c>
      <c r="N229" s="232" t="str">
        <f>IFERROR('Annual Forecast'!P242/'Annual Forecast'!P215*365,"")</f>
        <v/>
      </c>
      <c r="O229" s="232" t="str">
        <f>IFERROR('Annual Forecast'!Q242/'Annual Forecast'!Q215*365,"")</f>
        <v/>
      </c>
    </row>
    <row r="230" spans="1:15" x14ac:dyDescent="0.2">
      <c r="A230" s="232" t="s">
        <v>226</v>
      </c>
      <c r="C230" s="232">
        <f t="shared" ref="C230:L230" si="26">IFERROR(C229+C227-C228,"")</f>
        <v>54.999999999999993</v>
      </c>
      <c r="D230" s="232">
        <f t="shared" si="26"/>
        <v>54.999999999999993</v>
      </c>
      <c r="E230" s="232">
        <f t="shared" si="26"/>
        <v>55</v>
      </c>
      <c r="F230" s="232">
        <f t="shared" si="26"/>
        <v>60</v>
      </c>
      <c r="G230" s="232">
        <f t="shared" si="26"/>
        <v>60</v>
      </c>
      <c r="H230" s="232">
        <f t="shared" si="26"/>
        <v>60</v>
      </c>
      <c r="I230" s="232">
        <f t="shared" si="26"/>
        <v>65</v>
      </c>
      <c r="J230" s="232">
        <f t="shared" si="26"/>
        <v>65</v>
      </c>
      <c r="K230" s="232">
        <f t="shared" si="26"/>
        <v>70</v>
      </c>
      <c r="L230" s="232">
        <f t="shared" si="26"/>
        <v>70</v>
      </c>
      <c r="M230" s="232" t="str">
        <f t="shared" ref="M230:O230" si="27">IFERROR(M229+M227-M228,"")</f>
        <v/>
      </c>
      <c r="N230" s="232" t="str">
        <f t="shared" si="27"/>
        <v/>
      </c>
      <c r="O230" s="232" t="str">
        <f t="shared" si="27"/>
        <v/>
      </c>
    </row>
    <row r="232" spans="1:15" x14ac:dyDescent="0.2">
      <c r="A232" s="232" t="s">
        <v>227</v>
      </c>
      <c r="C232" s="234"/>
      <c r="D232" s="234"/>
      <c r="E232" s="234"/>
      <c r="F232" s="234"/>
      <c r="G232" s="234"/>
      <c r="H232" s="234"/>
      <c r="I232" s="234"/>
      <c r="J232" s="234"/>
      <c r="K232" s="234"/>
      <c r="L232" s="234"/>
    </row>
    <row r="233" spans="1:15" x14ac:dyDescent="0.2">
      <c r="A233" s="232" t="s">
        <v>228</v>
      </c>
      <c r="C233" s="243">
        <f>IFERROR('Annual Forecast'!H57/'Annual Forecast'!H64,"")</f>
        <v>0.32353765910155396</v>
      </c>
      <c r="D233" s="243">
        <f>IFERROR('Annual Forecast'!I57/'Annual Forecast'!I64,"")</f>
        <v>0.23837300847530432</v>
      </c>
      <c r="E233" s="243">
        <f>IFERROR('Annual Forecast'!J57/'Annual Forecast'!J64,"")</f>
        <v>0.17186657757307278</v>
      </c>
      <c r="F233" s="243">
        <f>IFERROR('Annual Forecast'!K57/'Annual Forecast'!K64,"")</f>
        <v>0.12319610017255538</v>
      </c>
      <c r="G233" s="243">
        <f>IFERROR('Annual Forecast'!L57/'Annual Forecast'!L64,"")</f>
        <v>8.9250629922008967E-2</v>
      </c>
      <c r="H233" s="243">
        <f>IFERROR('Annual Forecast'!M57/'Annual Forecast'!M64,"")</f>
        <v>6.3917599863744748E-2</v>
      </c>
      <c r="I233" s="243">
        <f>IFERROR('Annual Forecast'!N57/'Annual Forecast'!N64,"")</f>
        <v>4.5360129965111559E-2</v>
      </c>
      <c r="J233" s="243">
        <f>IFERROR('Annual Forecast'!O57/'Annual Forecast'!O64,"")</f>
        <v>3.1064558318015141E-2</v>
      </c>
      <c r="K233" s="243">
        <f>IFERROR('Annual Forecast'!P57/'Annual Forecast'!P64,"")</f>
        <v>2.0253857254381651E-2</v>
      </c>
      <c r="L233" s="243">
        <f>IFERROR('Annual Forecast'!Q57/'Annual Forecast'!Q64,"")</f>
        <v>1.1854038452064477E-2</v>
      </c>
      <c r="M233" s="232" t="str">
        <f>IFERROR('Annual Forecast'!O256/'Annual Forecast'!O263,"")</f>
        <v/>
      </c>
      <c r="N233" s="232" t="str">
        <f>IFERROR('Annual Forecast'!P256/'Annual Forecast'!P263,"")</f>
        <v/>
      </c>
      <c r="O233" s="232" t="str">
        <f>IFERROR('Annual Forecast'!Q256/'Annual Forecast'!Q263,"")</f>
        <v/>
      </c>
    </row>
    <row r="234" spans="1:15" x14ac:dyDescent="0.2">
      <c r="A234" s="232" t="s">
        <v>229</v>
      </c>
      <c r="C234" s="243">
        <f>IFERROR('Annual Forecast'!H64/'Annual Forecast'!H49,"")</f>
        <v>0.61377891950237085</v>
      </c>
      <c r="D234" s="243">
        <f>IFERROR('Annual Forecast'!I64/'Annual Forecast'!I49,"")</f>
        <v>0.65415163401857035</v>
      </c>
      <c r="E234" s="243">
        <f>IFERROR('Annual Forecast'!J64/'Annual Forecast'!J49,"")</f>
        <v>0.70876710648542784</v>
      </c>
      <c r="F234" s="243">
        <f>IFERROR('Annual Forecast'!K64/'Annual Forecast'!K49,"")</f>
        <v>0.75796310795157773</v>
      </c>
      <c r="G234" s="243">
        <f>IFERROR('Annual Forecast'!L64/'Annual Forecast'!L49,"")</f>
        <v>0.79644296607303044</v>
      </c>
      <c r="H234" s="243">
        <f>IFERROR('Annual Forecast'!M64/'Annual Forecast'!M49,"")</f>
        <v>0.83674179480137689</v>
      </c>
      <c r="I234" s="243">
        <f>IFERROR('Annual Forecast'!N64/'Annual Forecast'!N49,"")</f>
        <v>0.86257500907876028</v>
      </c>
      <c r="J234" s="243">
        <f>IFERROR('Annual Forecast'!O64/'Annual Forecast'!O49,"")</f>
        <v>0.88621374424160737</v>
      </c>
      <c r="K234" s="243">
        <f>IFERROR('Annual Forecast'!P64/'Annual Forecast'!P49,"")</f>
        <v>0.90370274686925278</v>
      </c>
      <c r="L234" s="243">
        <f>IFERROR('Annual Forecast'!Q64/'Annual Forecast'!Q49,"")</f>
        <v>0.91852215313505781</v>
      </c>
      <c r="M234" s="232" t="str">
        <f>IFERROR('Annual Forecast'!O263/'Annual Forecast'!O248,"")</f>
        <v/>
      </c>
      <c r="N234" s="232" t="str">
        <f>IFERROR('Annual Forecast'!P263/'Annual Forecast'!P248,"")</f>
        <v/>
      </c>
      <c r="O234" s="232" t="str">
        <f>IFERROR('Annual Forecast'!Q263/'Annual Forecast'!Q248,"")</f>
        <v/>
      </c>
    </row>
    <row r="235" spans="1:15" x14ac:dyDescent="0.2">
      <c r="A235" s="232" t="s">
        <v>230</v>
      </c>
      <c r="C235" s="243">
        <f>IFERROR('Annual Forecast'!H58/'Annual Forecast'!H49,"")</f>
        <v>0.19858059482167817</v>
      </c>
      <c r="D235" s="243">
        <f>IFERROR('Annual Forecast'!I58/'Annual Forecast'!I49,"")</f>
        <v>0.15593209300004285</v>
      </c>
      <c r="E235" s="243">
        <f>IFERROR('Annual Forecast'!J58/'Annual Forecast'!J49,"")</f>
        <v>0.12181337688802012</v>
      </c>
      <c r="F235" s="243">
        <f>IFERROR('Annual Forecast'!K58/'Annual Forecast'!K49,"")</f>
        <v>9.3378098974303977E-2</v>
      </c>
      <c r="G235" s="243">
        <f>IFERROR('Annual Forecast'!L58/'Annual Forecast'!L49,"")</f>
        <v>7.1083036418971193E-2</v>
      </c>
      <c r="H235" s="243">
        <f>IFERROR('Annual Forecast'!M58/'Annual Forecast'!M49,"")</f>
        <v>5.3482527229386019E-2</v>
      </c>
      <c r="I235" s="243">
        <f>IFERROR('Annual Forecast'!N58/'Annual Forecast'!N49,"")</f>
        <v>3.9126514516469847E-2</v>
      </c>
      <c r="J235" s="243">
        <f>IFERROR('Annual Forecast'!O58/'Annual Forecast'!O49,"")</f>
        <v>2.752983854021997E-2</v>
      </c>
      <c r="K235" s="243">
        <f>IFERROR('Annual Forecast'!P58/'Annual Forecast'!P49,"")</f>
        <v>1.8303466435482443E-2</v>
      </c>
      <c r="L235" s="243">
        <f>IFERROR('Annual Forecast'!Q58/'Annual Forecast'!Q49,"")</f>
        <v>1.0888196922336031E-2</v>
      </c>
      <c r="M235" s="232" t="str">
        <f>IFERROR('Annual Forecast'!O257/'Annual Forecast'!O248,"")</f>
        <v/>
      </c>
      <c r="N235" s="232" t="str">
        <f>IFERROR('Annual Forecast'!P257/'Annual Forecast'!P248,"")</f>
        <v/>
      </c>
      <c r="O235" s="232" t="str">
        <f>IFERROR('Annual Forecast'!Q257/'Annual Forecast'!Q248,"")</f>
        <v/>
      </c>
    </row>
    <row r="237" spans="1:15" x14ac:dyDescent="0.2">
      <c r="A237" s="234" t="s">
        <v>278</v>
      </c>
    </row>
    <row r="238" spans="1:15" x14ac:dyDescent="0.2">
      <c r="B238" s="232" t="s">
        <v>10</v>
      </c>
      <c r="C238" s="232">
        <f>INDEX('Annual Forecast'!$H$10:$Q$10, MATCH(Dashboard!$F$6, $C$175:$L$175, 0))</f>
        <v>444500</v>
      </c>
    </row>
    <row r="239" spans="1:15" x14ac:dyDescent="0.2">
      <c r="B239" s="232" t="s">
        <v>279</v>
      </c>
      <c r="C239" s="232">
        <f>IFERROR(INDEX('Annual Forecast'!$H$10:$Q$10, MATCH(Dashboard!$F$6-1, $C$175:$L$175, 0)),0)</f>
        <v>0</v>
      </c>
    </row>
    <row r="240" spans="1:15" x14ac:dyDescent="0.2">
      <c r="B240" s="232" t="s">
        <v>285</v>
      </c>
      <c r="C240" s="244">
        <f>IFERROR((C238-C239)/C239,0)</f>
        <v>0</v>
      </c>
    </row>
    <row r="242" spans="2:3" x14ac:dyDescent="0.2">
      <c r="B242" s="232" t="s">
        <v>280</v>
      </c>
      <c r="C242" s="232" cm="1">
        <f t="array" ref="C242">INDEX('Annual Forecast'!$H$26:$Q$26+'Annual Forecast'!$H$16:$Q$16, MATCH(Dashboard!$F$6, $C$175:$L$175, 0))</f>
        <v>347223.5</v>
      </c>
    </row>
    <row r="243" spans="2:3" x14ac:dyDescent="0.2">
      <c r="B243" s="232" t="s">
        <v>279</v>
      </c>
      <c r="C243" s="232" t="e" cm="1">
        <f t="array" ref="C243">INDEX('Annual Forecast'!$H$26:$Q$26+'Annual Forecast'!$H$16:$Q$16, MATCH(Dashboard!$F$6-1, $C$175:$L$175, 0))</f>
        <v>#N/A</v>
      </c>
    </row>
    <row r="244" spans="2:3" x14ac:dyDescent="0.2">
      <c r="B244" s="232" t="s">
        <v>285</v>
      </c>
      <c r="C244" s="244">
        <f>IFERROR((C242-C243)/C243,0)</f>
        <v>0</v>
      </c>
    </row>
    <row r="246" spans="2:3" x14ac:dyDescent="0.2">
      <c r="B246" s="232" t="s">
        <v>14</v>
      </c>
      <c r="C246" s="232">
        <f>INDEX('Annual Forecast'!$H$36:$Q$36, MATCH(Dashboard!$F$6, $C$175:$L$175, 0))</f>
        <v>70583.137070392622</v>
      </c>
    </row>
    <row r="247" spans="2:3" x14ac:dyDescent="0.2">
      <c r="B247" s="232" t="s">
        <v>279</v>
      </c>
      <c r="C247" s="232" t="e">
        <f>INDEX('Annual Forecast'!$H$36:$Q$36, MATCH(Dashboard!$F$6-1, $C$175:$L$175, 0))</f>
        <v>#N/A</v>
      </c>
    </row>
    <row r="248" spans="2:3" x14ac:dyDescent="0.2">
      <c r="B248" s="232" t="s">
        <v>285</v>
      </c>
      <c r="C248" s="244">
        <f>IFERROR((C246-C247)/C247,0)</f>
        <v>0</v>
      </c>
    </row>
    <row r="250" spans="2:3" x14ac:dyDescent="0.2">
      <c r="B250" s="232" t="s">
        <v>13</v>
      </c>
      <c r="C250" s="232" cm="1">
        <f t="array" ref="C250">INDEX('Annual Forecast'!$H$25:$Q$25+'Annual Forecast'!$H$29:$Q$29, MATCH(Dashboard!$F$6, $C$175:$L$175, 0))</f>
        <v>104801.5</v>
      </c>
    </row>
    <row r="251" spans="2:3" x14ac:dyDescent="0.2">
      <c r="B251" s="232" t="s">
        <v>279</v>
      </c>
      <c r="C251" s="232" t="e" cm="1">
        <f t="array" ref="C251">INDEX('Annual Forecast'!$H$25:$Q$25+'Annual Forecast'!$H$29:$Q$29, MATCH(Dashboard!$F$6-1, $C$175:$L$175, 0))</f>
        <v>#N/A</v>
      </c>
    </row>
    <row r="252" spans="2:3" x14ac:dyDescent="0.2">
      <c r="B252" s="232" t="s">
        <v>285</v>
      </c>
      <c r="C252" s="244">
        <f>IFERROR((C250-C251)/C251,0)</f>
        <v>0</v>
      </c>
    </row>
    <row r="254" spans="2:3" x14ac:dyDescent="0.2">
      <c r="B254" s="232" t="s">
        <v>178</v>
      </c>
      <c r="C254" s="232">
        <f>INDEX('Annual Forecast'!$H$92:$Q$92, MATCH(Dashboard!$F$6, $C$175:$L$175, 0))</f>
        <v>172720.59801668304</v>
      </c>
    </row>
    <row r="255" spans="2:3" x14ac:dyDescent="0.2">
      <c r="B255" s="232" t="s">
        <v>279</v>
      </c>
      <c r="C255" s="232" t="e">
        <f>INDEX('Annual Forecast'!$H$92:$Q$92, MATCH(Dashboard!$F$6-1, $C$175:$L$175, 0))</f>
        <v>#N/A</v>
      </c>
    </row>
    <row r="256" spans="2:3" x14ac:dyDescent="0.2">
      <c r="B256" s="232" t="s">
        <v>285</v>
      </c>
      <c r="C256" s="244">
        <f>IFERROR((C254-C255)/C255,0)</f>
        <v>0</v>
      </c>
    </row>
    <row r="258" spans="2:4" x14ac:dyDescent="0.2">
      <c r="B258" s="232" t="s">
        <v>157</v>
      </c>
      <c r="C258" s="232">
        <f>INDEX('Annual Forecast'!$H$57:$Q$57, MATCH(Dashboard!$F$6, $C$175:$L$175, 0))</f>
        <v>55000.000000000029</v>
      </c>
    </row>
    <row r="259" spans="2:4" x14ac:dyDescent="0.2">
      <c r="B259" s="232" t="s">
        <v>279</v>
      </c>
      <c r="C259" s="232" t="e">
        <f>INDEX('Annual Forecast'!$H$57:$Q$57, MATCH(Dashboard!$F$6-1, $C$175:$L$175, 0))</f>
        <v>#N/A</v>
      </c>
    </row>
    <row r="260" spans="2:4" x14ac:dyDescent="0.2">
      <c r="B260" s="232" t="s">
        <v>285</v>
      </c>
      <c r="C260" s="244">
        <f>IFERROR((C258-C259)/C259,0)</f>
        <v>0</v>
      </c>
    </row>
    <row r="262" spans="2:4" x14ac:dyDescent="0.2">
      <c r="B262" s="232" t="s">
        <v>222</v>
      </c>
      <c r="C262" s="248">
        <f>INDEX(Formulas!$C$222:$L$222, MATCH(Dashboard!$F$6, $C$175:$L$175, 0))</f>
        <v>5.0604349733659024</v>
      </c>
    </row>
    <row r="263" spans="2:4" x14ac:dyDescent="0.2">
      <c r="B263" s="232" t="s">
        <v>279</v>
      </c>
      <c r="C263" s="248" t="e">
        <f>INDEX(Formulas!$C$222:$L$222, MATCH(Dashboard!$F$6-1, $C$175:$L$175, 0))</f>
        <v>#N/A</v>
      </c>
    </row>
    <row r="264" spans="2:4" x14ac:dyDescent="0.2">
      <c r="B264" s="232" t="s">
        <v>285</v>
      </c>
      <c r="C264" s="244">
        <f>IFERROR((C262-C263)/C263,0)</f>
        <v>0</v>
      </c>
    </row>
    <row r="266" spans="2:4" x14ac:dyDescent="0.2">
      <c r="B266" s="232" t="s">
        <v>223</v>
      </c>
      <c r="C266" s="248">
        <f>INDEX(Formulas!$C$223:$L$223, MATCH(Dashboard!$F$6, $C$175:$L$175, 0))</f>
        <v>4.2607864672147597</v>
      </c>
    </row>
    <row r="267" spans="2:4" x14ac:dyDescent="0.2">
      <c r="B267" s="232" t="s">
        <v>279</v>
      </c>
      <c r="C267" s="248" t="e">
        <f>INDEX(Formulas!$C$223:$L$223, MATCH(Dashboard!$F$6-1, $C$175:$L$175, 0))</f>
        <v>#N/A</v>
      </c>
    </row>
    <row r="268" spans="2:4" x14ac:dyDescent="0.2">
      <c r="B268" s="232" t="s">
        <v>285</v>
      </c>
      <c r="C268" s="244">
        <f>IFERROR((C266-C267)/C267,0)</f>
        <v>0</v>
      </c>
    </row>
    <row r="270" spans="2:4" x14ac:dyDescent="0.2">
      <c r="B270" s="232" t="s">
        <v>15</v>
      </c>
      <c r="C270" s="244">
        <f>INDEX('Annual Forecast'!$H$37:$Q$37, MATCH(Dashboard!$F$6, $C$175:$L$175, 0))</f>
        <v>0.15879220938221061</v>
      </c>
      <c r="D270" s="232" t="s">
        <v>269</v>
      </c>
    </row>
    <row r="271" spans="2:4" x14ac:dyDescent="0.2">
      <c r="B271" s="232" t="s">
        <v>279</v>
      </c>
      <c r="C271" s="244" t="e">
        <f>INDEX('Annual Forecast'!$H$37:$Q$37, MATCH(Dashboard!$F$6-1, $C$175:$L$175, 0))</f>
        <v>#N/A</v>
      </c>
      <c r="D271" s="237">
        <f>C270*100</f>
        <v>15.879220938221062</v>
      </c>
    </row>
    <row r="272" spans="2:4" x14ac:dyDescent="0.2">
      <c r="B272" s="232" t="s">
        <v>285</v>
      </c>
      <c r="C272" s="244">
        <f>IFERROR((C270-C271)/C271,0)</f>
        <v>0</v>
      </c>
      <c r="D272" s="232">
        <f>100-D271</f>
        <v>84.120779061778933</v>
      </c>
    </row>
    <row r="274" spans="2:5" x14ac:dyDescent="0.2">
      <c r="B274" s="232" t="s">
        <v>12</v>
      </c>
      <c r="C274" s="244">
        <f>INDEX('Annual Forecast'!$H$19:$Q$19, MATCH(Dashboard!$F$6, $C$175:$L$175, 0))</f>
        <v>0.47499999999999998</v>
      </c>
      <c r="D274" s="232" t="s">
        <v>269</v>
      </c>
    </row>
    <row r="275" spans="2:5" x14ac:dyDescent="0.2">
      <c r="B275" s="232" t="s">
        <v>279</v>
      </c>
      <c r="C275" s="244">
        <f>INDEX('Annual Forecast'!$H$19:$Q$19, MATCH(Dashboard!$F$6, $C$175:$L$175, 0))</f>
        <v>0.47499999999999998</v>
      </c>
      <c r="D275" s="237">
        <f>C274*100</f>
        <v>47.5</v>
      </c>
      <c r="E275" s="237">
        <f>D275</f>
        <v>47.5</v>
      </c>
    </row>
    <row r="276" spans="2:5" x14ac:dyDescent="0.2">
      <c r="B276" s="232" t="s">
        <v>285</v>
      </c>
      <c r="C276" s="244">
        <f>IFERROR((C274-C275)/C275,0)</f>
        <v>0</v>
      </c>
      <c r="D276" s="232">
        <f>100-D275</f>
        <v>52.5</v>
      </c>
      <c r="E276" s="232">
        <v>2</v>
      </c>
    </row>
    <row r="277" spans="2:5" x14ac:dyDescent="0.2">
      <c r="D277" s="232">
        <v>100</v>
      </c>
      <c r="E277" s="232">
        <f>200-E275-E276</f>
        <v>150.5</v>
      </c>
    </row>
    <row r="278" spans="2:5" x14ac:dyDescent="0.2">
      <c r="B278" s="232" t="s">
        <v>303</v>
      </c>
      <c r="C278" s="244" cm="1">
        <f t="array" ref="C278">INDEX(('Annual Forecast'!$H$25:$Q$25+'Annual Forecast'!$H$29:$Q$29)/'Annual Forecast'!$H$10:$Q$10, MATCH(Dashboard!$F$6, $C$175:$L$175, 0))</f>
        <v>0.23577390326209224</v>
      </c>
      <c r="D278" s="232" t="s">
        <v>269</v>
      </c>
    </row>
    <row r="279" spans="2:5" x14ac:dyDescent="0.2">
      <c r="B279" s="232" t="s">
        <v>279</v>
      </c>
      <c r="C279" s="244" t="e" cm="1">
        <f t="array" ref="C279">INDEX(('Annual Forecast'!$H$25:$Q$25+'Annual Forecast'!$H$29:$Q$29)/'Annual Forecast'!$H$10:$Q$10, MATCH(Dashboard!$F$6-1, $C$175:$L$175, 0))</f>
        <v>#N/A</v>
      </c>
      <c r="D279" s="237">
        <f>C278*100</f>
        <v>23.577390326209226</v>
      </c>
      <c r="E279" s="237">
        <f>D279</f>
        <v>23.577390326209226</v>
      </c>
    </row>
    <row r="280" spans="2:5" x14ac:dyDescent="0.2">
      <c r="B280" s="232" t="s">
        <v>285</v>
      </c>
      <c r="C280" s="244">
        <f>IFERROR((C278-C279)/C279,0)</f>
        <v>0</v>
      </c>
      <c r="D280" s="232">
        <f>100-D279</f>
        <v>76.422609673790774</v>
      </c>
      <c r="E280" s="232">
        <v>2</v>
      </c>
    </row>
    <row r="281" spans="2:5" x14ac:dyDescent="0.2">
      <c r="D281" s="232">
        <v>100</v>
      </c>
      <c r="E281" s="232">
        <f>200-E279-E280</f>
        <v>174.42260967379076</v>
      </c>
    </row>
    <row r="282" spans="2:5" x14ac:dyDescent="0.2">
      <c r="B282" s="232" t="s">
        <v>220</v>
      </c>
      <c r="C282" s="244">
        <f>INDEX('Annual Forecast'!$H$30:$Q$30, MATCH(Dashboard!$F$6, $C$175:$L$175, 0))</f>
        <v>0.21884476940382452</v>
      </c>
      <c r="D282" s="232" t="s">
        <v>269</v>
      </c>
    </row>
    <row r="283" spans="2:5" x14ac:dyDescent="0.2">
      <c r="B283" s="232" t="s">
        <v>279</v>
      </c>
      <c r="C283" s="244" t="e">
        <f>INDEX('Annual Forecast'!$H$30:$Q$30, MATCH(Dashboard!$F$6-1, $C$175:$L$175, 0))</f>
        <v>#N/A</v>
      </c>
      <c r="D283" s="237">
        <f>C282*100</f>
        <v>21.884476940382452</v>
      </c>
      <c r="E283" s="237">
        <f>D283</f>
        <v>21.884476940382452</v>
      </c>
    </row>
    <row r="284" spans="2:5" x14ac:dyDescent="0.2">
      <c r="B284" s="232" t="s">
        <v>285</v>
      </c>
      <c r="C284" s="244">
        <f>IFERROR((C282-C283)/C283,0)</f>
        <v>0</v>
      </c>
      <c r="D284" s="232">
        <f>100-D283</f>
        <v>78.115523059617544</v>
      </c>
      <c r="E284" s="232">
        <v>2</v>
      </c>
    </row>
    <row r="285" spans="2:5" x14ac:dyDescent="0.2">
      <c r="D285" s="232">
        <v>100</v>
      </c>
      <c r="E285" s="232">
        <f>200-E283-E284</f>
        <v>176.11552305961754</v>
      </c>
    </row>
    <row r="286" spans="2:5" x14ac:dyDescent="0.2">
      <c r="B286" s="232" t="s">
        <v>305</v>
      </c>
      <c r="C286" s="244">
        <f>INDEX(Formulas!$C$213:$L$213, MATCH(Dashboard!$F$6, $C$175:$L$175, 0))</f>
        <v>0.4152055079963442</v>
      </c>
      <c r="D286" s="232" t="s">
        <v>269</v>
      </c>
    </row>
    <row r="287" spans="2:5" x14ac:dyDescent="0.2">
      <c r="C287" s="244"/>
      <c r="D287" s="237">
        <f>C286*100</f>
        <v>41.520550799634421</v>
      </c>
      <c r="E287" s="237">
        <f>D287</f>
        <v>41.520550799634421</v>
      </c>
    </row>
    <row r="288" spans="2:5" x14ac:dyDescent="0.2">
      <c r="C288" s="244"/>
      <c r="D288" s="232">
        <f>100-D287</f>
        <v>58.479449200365579</v>
      </c>
      <c r="E288" s="232">
        <v>2</v>
      </c>
    </row>
    <row r="289" spans="2:5" x14ac:dyDescent="0.2">
      <c r="D289" s="232">
        <v>100</v>
      </c>
      <c r="E289" s="232">
        <f>200-E287-E288</f>
        <v>156.47944920036559</v>
      </c>
    </row>
    <row r="290" spans="2:5" x14ac:dyDescent="0.2">
      <c r="B290" s="232" t="s">
        <v>304</v>
      </c>
      <c r="C290" s="244">
        <f>INDEX(Formulas!$C$214:$L$214, MATCH(Dashboard!$F$6, $C$175:$L$175, 0))</f>
        <v>0.25484438806942911</v>
      </c>
      <c r="D290" s="232" t="s">
        <v>269</v>
      </c>
    </row>
    <row r="291" spans="2:5" x14ac:dyDescent="0.2">
      <c r="C291" s="244"/>
      <c r="D291" s="237">
        <f>C290*100</f>
        <v>25.484438806942912</v>
      </c>
      <c r="E291" s="237">
        <f>D291</f>
        <v>25.484438806942912</v>
      </c>
    </row>
    <row r="292" spans="2:5" x14ac:dyDescent="0.2">
      <c r="C292" s="244"/>
      <c r="D292" s="232">
        <f>100-D291</f>
        <v>74.515561193057096</v>
      </c>
      <c r="E292" s="232">
        <v>2</v>
      </c>
    </row>
    <row r="293" spans="2:5" x14ac:dyDescent="0.2">
      <c r="D293" s="232">
        <v>100</v>
      </c>
      <c r="E293" s="232">
        <f>200-E291-E292</f>
        <v>172.5155611930571</v>
      </c>
    </row>
    <row r="297" spans="2:5" x14ac:dyDescent="0.2">
      <c r="B297" s="232" t="s">
        <v>291</v>
      </c>
      <c r="C297" s="247" cm="1">
        <f t="array" ref="C297">INDEX(('Annual Forecast'!$H$52:$Q$52/'Annual Forecast'!$H$16:$Q$16)*'12-Month Projection'!$F$7, MATCH(Dashboard!$F$6, $C$175:$L$175, 0))</f>
        <v>50.000000000000007</v>
      </c>
      <c r="D297" s="232" t="s">
        <v>269</v>
      </c>
    </row>
    <row r="298" spans="2:5" x14ac:dyDescent="0.2">
      <c r="B298" s="232" t="s">
        <v>279</v>
      </c>
      <c r="C298" s="247" t="e" cm="1">
        <f t="array" ref="C298">INDEX(('Annual Forecast'!$H$52:$Q$52/'Annual Forecast'!$H$16:$Q$16)*'12-Month Projection'!$F$7, MATCH(Dashboard!$F$6-1, $C$175:$L$175, 0))</f>
        <v>#N/A</v>
      </c>
      <c r="D298" s="237">
        <f>C297</f>
        <v>50.000000000000007</v>
      </c>
      <c r="E298" s="237">
        <f>D298</f>
        <v>50.000000000000007</v>
      </c>
    </row>
    <row r="299" spans="2:5" x14ac:dyDescent="0.2">
      <c r="B299" s="232" t="s">
        <v>285</v>
      </c>
      <c r="C299" s="244">
        <f>IFERROR((C297-C298)/C298,0)</f>
        <v>0</v>
      </c>
      <c r="D299" s="232">
        <f>100-D298</f>
        <v>49.999999999999993</v>
      </c>
      <c r="E299" s="232">
        <v>2</v>
      </c>
    </row>
    <row r="300" spans="2:5" x14ac:dyDescent="0.2">
      <c r="D300" s="232">
        <v>100</v>
      </c>
      <c r="E300" s="232">
        <f>200-E298-E299</f>
        <v>148</v>
      </c>
    </row>
    <row r="301" spans="2:5" x14ac:dyDescent="0.2">
      <c r="B301" s="232" t="s">
        <v>292</v>
      </c>
      <c r="C301" s="247" cm="1">
        <f t="array" ref="C301">INDEX(('Annual Forecast'!$H$43:$Q$43/'Annual Forecast'!$H$16:$Q$16)*'12-Month Projection'!$F$7, MATCH(Dashboard!$F$6, $C$175:$L$175, 0))</f>
        <v>65</v>
      </c>
      <c r="D301" s="232" t="s">
        <v>269</v>
      </c>
    </row>
    <row r="302" spans="2:5" x14ac:dyDescent="0.2">
      <c r="B302" s="232" t="s">
        <v>279</v>
      </c>
      <c r="C302" s="247" cm="1">
        <f t="array" ref="C302">INDEX(('Annual Forecast'!$H$43:$Q$43/'Annual Forecast'!$H$16:$Q$16)*'12-Month Projection'!$F$7-1, MATCH(Dashboard!$F$6, $C$175:$L$175, 0))</f>
        <v>64</v>
      </c>
      <c r="D302" s="237">
        <f>C301</f>
        <v>65</v>
      </c>
      <c r="E302" s="237">
        <f>D302</f>
        <v>65</v>
      </c>
    </row>
    <row r="303" spans="2:5" x14ac:dyDescent="0.2">
      <c r="B303" s="232" t="s">
        <v>285</v>
      </c>
      <c r="C303" s="244">
        <f>IFERROR((C301-C302)/C302,0)</f>
        <v>1.5625E-2</v>
      </c>
      <c r="D303" s="232">
        <f>100-D302</f>
        <v>35</v>
      </c>
      <c r="E303" s="232">
        <v>2</v>
      </c>
    </row>
    <row r="304" spans="2:5" x14ac:dyDescent="0.2">
      <c r="D304" s="232">
        <v>100</v>
      </c>
      <c r="E304" s="232">
        <f>200-E302-E303</f>
        <v>133</v>
      </c>
    </row>
    <row r="305" spans="2:3" x14ac:dyDescent="0.2">
      <c r="C305" s="251">
        <f>INDEX('Annual Forecast'!$H$7:$Q$7, MATCH(Dashboard!$F$6, $C$175:$L$175, 0))</f>
        <v>2025</v>
      </c>
    </row>
    <row r="306" spans="2:3" x14ac:dyDescent="0.2">
      <c r="B306" s="232" t="s">
        <v>74</v>
      </c>
      <c r="C306" s="251">
        <f>INDEX('Annual Forecast'!$H$10:$Q$10, MATCH(Dashboard!$F$6, $C$175:$L$175, 0))</f>
        <v>444500</v>
      </c>
    </row>
    <row r="307" spans="2:3" x14ac:dyDescent="0.2">
      <c r="B307" s="232" t="s">
        <v>136</v>
      </c>
      <c r="C307" s="251">
        <f>INDEX('Annual Forecast'!$H$16:$Q$16, MATCH(Dashboard!$F$6, $C$175:$L$175, 0))</f>
        <v>233362.5</v>
      </c>
    </row>
    <row r="308" spans="2:3" x14ac:dyDescent="0.2">
      <c r="B308" s="234" t="s">
        <v>11</v>
      </c>
      <c r="C308" s="251">
        <f>INDEX('Annual Forecast'!$H$18:$Q$18, MATCH(Dashboard!$F$6, $C$175:$L$175, 0))</f>
        <v>211137.5</v>
      </c>
    </row>
    <row r="309" spans="2:3" x14ac:dyDescent="0.2">
      <c r="B309" s="232" t="s">
        <v>142</v>
      </c>
      <c r="C309" s="251">
        <f>INDEX('Annual Forecast'!$H$26:$Q$26, MATCH(Dashboard!$F$6, $C$175:$L$175, 0))</f>
        <v>113861</v>
      </c>
    </row>
    <row r="310" spans="2:3" x14ac:dyDescent="0.2">
      <c r="B310" s="234" t="s">
        <v>143</v>
      </c>
      <c r="C310" s="251">
        <f>INDEX('Annual Forecast'!$H$29:$Q$29, MATCH(Dashboard!$F$6, $C$175:$L$175, 0))</f>
        <v>97276.5</v>
      </c>
    </row>
    <row r="311" spans="2:3" x14ac:dyDescent="0.2">
      <c r="B311" s="232" t="s">
        <v>31</v>
      </c>
      <c r="C311" s="251">
        <f>INDEX('Annual Forecast'!$H$32:$Q$32, MATCH(Dashboard!$F$6, $C$175:$L$175, 0))</f>
        <v>3165.6505728098414</v>
      </c>
    </row>
    <row r="312" spans="2:3" x14ac:dyDescent="0.2">
      <c r="B312" s="234" t="s">
        <v>196</v>
      </c>
      <c r="C312" s="251">
        <f>INDEX('Annual Forecast'!$H$33:$Q$33, MATCH(Dashboard!$F$6, $C$175:$L$175, 0))</f>
        <v>94110.849427190158</v>
      </c>
    </row>
    <row r="313" spans="2:3" x14ac:dyDescent="0.2">
      <c r="B313" s="232" t="s">
        <v>145</v>
      </c>
      <c r="C313" s="251">
        <f>INDEX('Annual Forecast'!$H$35:$Q$35, MATCH(Dashboard!$F$6, $C$175:$L$175, 0))</f>
        <v>23527.71235679754</v>
      </c>
    </row>
    <row r="314" spans="2:3" x14ac:dyDescent="0.2">
      <c r="B314" s="252" t="s">
        <v>14</v>
      </c>
      <c r="C314" s="251">
        <f>INDEX('Annual Forecast'!$H$36:$Q$36, MATCH(Dashboard!$F$6, $C$175:$L$175, 0))</f>
        <v>70583.137070392622</v>
      </c>
    </row>
    <row r="316" spans="2:3" x14ac:dyDescent="0.2">
      <c r="B316" s="232" t="s">
        <v>302</v>
      </c>
      <c r="C316" s="251">
        <f>INDEX('Annual Forecast'!$H$78:$Q$78, MATCH(Dashboard!$F$6, $C$175:$L$175, 0))</f>
        <v>39808.068577241924</v>
      </c>
    </row>
    <row r="317" spans="2:3" x14ac:dyDescent="0.2">
      <c r="B317" s="232" t="s">
        <v>172</v>
      </c>
      <c r="C317" s="251">
        <f>INDEX('Annual Forecast'!$H$82:$Q$82, MATCH(Dashboard!$F$6, $C$175:$L$175, 0))</f>
        <v>-21500.000000000007</v>
      </c>
    </row>
    <row r="318" spans="2:3" x14ac:dyDescent="0.2">
      <c r="B318" s="232" t="s">
        <v>175</v>
      </c>
      <c r="C318" s="251">
        <f>INDEX('Annual Forecast'!$H$88:$Q$88, MATCH(Dashboard!$F$6, $C$175:$L$175, 0))</f>
        <v>154412.52943944113</v>
      </c>
    </row>
    <row r="319" spans="2:3" x14ac:dyDescent="0.2">
      <c r="B319" s="232" t="s">
        <v>177</v>
      </c>
      <c r="C319" s="251">
        <f>INDEX('Annual Forecast'!$H$91:$Q$91, MATCH(Dashboard!$F$6, $C$175:$L$175, 0))</f>
        <v>0</v>
      </c>
    </row>
    <row r="320" spans="2:3" x14ac:dyDescent="0.2">
      <c r="B320" s="232" t="s">
        <v>178</v>
      </c>
      <c r="C320" s="251">
        <f>INDEX('Annual Forecast'!$H$92:$Q$92, MATCH(Dashboard!$F$6, $C$175:$L$175, 0))</f>
        <v>172720.59801668304</v>
      </c>
    </row>
    <row r="322" spans="2:12" x14ac:dyDescent="0.2">
      <c r="B322" s="232" t="s">
        <v>288</v>
      </c>
      <c r="C322" s="232" cm="1">
        <f t="array" ref="C322:L322">'Annual Forecast'!H10:Q10</f>
        <v>444500</v>
      </c>
      <c r="D322" s="232">
        <v>471170</v>
      </c>
      <c r="E322" s="232">
        <v>494728.5</v>
      </c>
      <c r="F322" s="232">
        <v>514517.64</v>
      </c>
      <c r="G322" s="232">
        <v>529953.1692</v>
      </c>
      <c r="H322" s="232">
        <v>545851.76427599997</v>
      </c>
      <c r="I322" s="232">
        <v>556768.79956151999</v>
      </c>
      <c r="J322" s="232">
        <v>567904.17555275036</v>
      </c>
      <c r="K322" s="232">
        <v>579262.25906380534</v>
      </c>
      <c r="L322" s="232">
        <v>590847.50424508145</v>
      </c>
    </row>
    <row r="323" spans="2:12" x14ac:dyDescent="0.2">
      <c r="B323" s="232" t="s">
        <v>289</v>
      </c>
      <c r="C323" s="232" cm="1">
        <f t="array" ref="C323:L323">-(('Annual Forecast'!H16:Q16)+('Annual Forecast'!H26:Q26))</f>
        <v>-347223.5</v>
      </c>
      <c r="D323" s="232">
        <v>-405776.95999999996</v>
      </c>
      <c r="E323" s="232">
        <v>-410291.0955</v>
      </c>
      <c r="F323" s="232">
        <v>-413447.20464499999</v>
      </c>
      <c r="G323" s="232">
        <v>-421920.23975085007</v>
      </c>
      <c r="H323" s="232">
        <v>-422828.41178598045</v>
      </c>
      <c r="I323" s="232">
        <v>-426819.95926287689</v>
      </c>
      <c r="J323" s="232">
        <v>-421155.51004241925</v>
      </c>
      <c r="K323" s="232">
        <v>-426351.82306173851</v>
      </c>
      <c r="L323" s="232">
        <v>-428462.20383375394</v>
      </c>
    </row>
    <row r="324" spans="2:12" x14ac:dyDescent="0.2">
      <c r="B324" s="232" t="s">
        <v>290</v>
      </c>
      <c r="C324" s="232" cm="1">
        <f t="array" ref="C324:L324">'Annual Forecast'!H29:Q29</f>
        <v>97276.5</v>
      </c>
      <c r="D324" s="232">
        <v>65393.040000000008</v>
      </c>
      <c r="E324" s="232">
        <v>84437.40449999999</v>
      </c>
      <c r="F324" s="232">
        <v>101070.43535500002</v>
      </c>
      <c r="G324" s="232">
        <v>108032.92944914995</v>
      </c>
      <c r="H324" s="232">
        <v>123023.35249001949</v>
      </c>
      <c r="I324" s="232">
        <v>129948.84029864313</v>
      </c>
      <c r="J324" s="232">
        <v>146748.66551033111</v>
      </c>
      <c r="K324" s="232">
        <v>152910.43600206682</v>
      </c>
      <c r="L324" s="232">
        <v>162385.30041132748</v>
      </c>
    </row>
  </sheetData>
  <sheetProtection algorithmName="SHA-512" hashValue="zYLm1HiJGGWts0cKf/QiSQnwwemPqtKoGa+aXaQ0i9Gm4eZpqE2EYA5D8OdbELEDman5YKqyaCYrm4tboKp/fg==" saltValue="ao9IVUZsrcfLbEuQCmVIKA==" spinCount="100000" sheet="1" objects="1" scenarios="1" selectLockedCells="1" selectUn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8</vt:i4>
      </vt:variant>
    </vt:vector>
  </HeadingPairs>
  <TitlesOfParts>
    <vt:vector size="21" baseType="lpstr">
      <vt:lpstr>Profile</vt:lpstr>
      <vt:lpstr>Summary</vt:lpstr>
      <vt:lpstr>Valuation</vt:lpstr>
      <vt:lpstr>Dashboard</vt:lpstr>
      <vt:lpstr>Revenue</vt:lpstr>
      <vt:lpstr>Scenario</vt:lpstr>
      <vt:lpstr>Actual FS</vt:lpstr>
      <vt:lpstr>12-Month Projection</vt:lpstr>
      <vt:lpstr>Variance</vt:lpstr>
      <vt:lpstr>Annual Forecast</vt:lpstr>
      <vt:lpstr>Breakeven</vt:lpstr>
      <vt:lpstr>Ratios</vt:lpstr>
      <vt:lpstr>Formulas</vt:lpstr>
      <vt:lpstr>'12-Month Projection'!Print_Area</vt:lpstr>
      <vt:lpstr>'Actual FS'!Print_Area</vt:lpstr>
      <vt:lpstr>Dashboard!Print_Area</vt:lpstr>
      <vt:lpstr>Ratios!Print_Area</vt:lpstr>
      <vt:lpstr>Revenue!Print_Area</vt:lpstr>
      <vt:lpstr>Valuation!Print_Area</vt:lpstr>
      <vt:lpstr>Variance!Print_Area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