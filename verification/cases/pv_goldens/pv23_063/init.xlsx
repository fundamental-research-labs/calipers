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bookViews>
    <workbookView xWindow="28680" yWindow="-120" windowWidth="29040" windowHeight="15720" xr2:uid="{CFCDA08E-4028-4807-A7C9-A5A2C0C6D042}"/>
  </bookViews>
  <sheets>
    <sheet name="FORECAST_ASSUMPTIONS" sheetId="1" r:id="rId1"/>
    <sheet name="VALUATION_MODEL" sheetId="2" r:id="rId2"/>
    <sheet name="D&amp;A_BUILD" sheetId="8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8" l="1"/>
  <c r="K45" i="8"/>
  <c r="L45" i="8"/>
  <c r="M45" i="8"/>
  <c r="N45" i="8"/>
  <c r="O45" i="8"/>
  <c r="J45" i="8"/>
  <c r="E45" i="8" a="1"/>
  <c r="E45" i="8" s="1"/>
  <c r="W108" i="2" l="1"/>
  <c r="X108" i="2" s="1"/>
  <c r="U108" i="2"/>
  <c r="T108" i="2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C6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E9" i="2"/>
  <c r="F9" i="2" s="1"/>
  <c r="G9" i="2" s="1"/>
  <c r="H9" i="2" s="1"/>
  <c r="I9" i="2" s="1"/>
  <c r="J9" i="2" s="1"/>
  <c r="K9" i="2" s="1"/>
  <c r="L9" i="2" s="1"/>
  <c r="M9" i="2" s="1"/>
  <c r="N9" i="2" s="1"/>
  <c r="O9" i="2" s="1"/>
  <c r="E10" i="2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E8" i="2"/>
  <c r="F8" i="2" s="1"/>
  <c r="G8" i="2" s="1"/>
  <c r="H8" i="2" s="1"/>
  <c r="I8" i="2" s="1"/>
  <c r="J8" i="2" s="1"/>
  <c r="K8" i="2" s="1"/>
  <c r="L8" i="2" s="1"/>
  <c r="M8" i="2" s="1"/>
  <c r="N8" i="2" s="1"/>
  <c r="O8" i="2" s="1"/>
  <c r="E44" i="2"/>
  <c r="F44" i="2" s="1"/>
  <c r="G44" i="2" s="1"/>
  <c r="H44" i="2" s="1"/>
  <c r="I44" i="2" s="1"/>
  <c r="C91" i="2"/>
  <c r="C92" i="2" s="1"/>
  <c r="E66" i="2" s="1"/>
  <c r="S112" i="2"/>
  <c r="S113" i="2" s="1"/>
  <c r="S110" i="2"/>
  <c r="S109" i="2" s="1"/>
  <c r="S102" i="2"/>
  <c r="S103" i="2" s="1"/>
  <c r="S100" i="2"/>
  <c r="S99" i="2" s="1"/>
  <c r="W98" i="2"/>
  <c r="X98" i="2" s="1"/>
  <c r="U98" i="2"/>
  <c r="T98" i="2" s="1"/>
  <c r="D9" i="2" l="1"/>
  <c r="D45" i="2"/>
  <c r="C45" i="2"/>
  <c r="E50" i="8"/>
  <c r="G27" i="8"/>
  <c r="D22" i="8"/>
  <c r="E15" i="2"/>
  <c r="J44" i="2"/>
  <c r="E16" i="2"/>
  <c r="F16" i="2" s="1"/>
  <c r="G16" i="2" s="1"/>
  <c r="D10" i="2"/>
  <c r="D36" i="2"/>
  <c r="E36" i="2" s="1"/>
  <c r="F36" i="2" s="1"/>
  <c r="G36" i="2" s="1"/>
  <c r="H36" i="2" s="1"/>
  <c r="I36" i="2" s="1"/>
  <c r="J36" i="2" s="1"/>
  <c r="K36" i="2" s="1"/>
  <c r="L36" i="2" s="1"/>
  <c r="M36" i="2" s="1"/>
  <c r="N36" i="2" s="1"/>
  <c r="O36" i="2" s="1"/>
  <c r="C35" i="2"/>
  <c r="C36" i="2"/>
  <c r="C22" i="2"/>
  <c r="D23" i="2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O23" i="2" s="1"/>
  <c r="C17" i="2"/>
  <c r="C23" i="2"/>
  <c r="F66" i="2"/>
  <c r="E67" i="2"/>
  <c r="E27" i="8" l="1"/>
  <c r="D34" i="2"/>
  <c r="E34" i="2" s="1"/>
  <c r="F34" i="2" s="1"/>
  <c r="G34" i="2" s="1"/>
  <c r="H34" i="2" s="1"/>
  <c r="I34" i="2" s="1"/>
  <c r="J34" i="2" s="1"/>
  <c r="K34" i="2" s="1"/>
  <c r="L34" i="2" s="1"/>
  <c r="M34" i="2" s="1"/>
  <c r="N34" i="2" s="1"/>
  <c r="O34" i="2" s="1"/>
  <c r="F50" i="8"/>
  <c r="G50" i="8"/>
  <c r="F15" i="2"/>
  <c r="G15" i="2" s="1"/>
  <c r="F27" i="8"/>
  <c r="K44" i="2"/>
  <c r="G29" i="2"/>
  <c r="G43" i="2" s="1"/>
  <c r="H16" i="2"/>
  <c r="H29" i="2" s="1"/>
  <c r="H43" i="2" s="1"/>
  <c r="F29" i="2"/>
  <c r="F43" i="2" s="1"/>
  <c r="E29" i="2"/>
  <c r="E43" i="2" s="1"/>
  <c r="D17" i="2"/>
  <c r="D8" i="2"/>
  <c r="E14" i="2"/>
  <c r="D46" i="2"/>
  <c r="C21" i="2"/>
  <c r="C34" i="2"/>
  <c r="D22" i="2"/>
  <c r="E22" i="2" s="1"/>
  <c r="F22" i="2" s="1"/>
  <c r="G22" i="2" s="1"/>
  <c r="H22" i="2" s="1"/>
  <c r="I22" i="2" s="1"/>
  <c r="J22" i="2" s="1"/>
  <c r="K22" i="2" s="1"/>
  <c r="L22" i="2" s="1"/>
  <c r="M22" i="2" s="1"/>
  <c r="N22" i="2" s="1"/>
  <c r="O22" i="2" s="1"/>
  <c r="D35" i="2"/>
  <c r="E35" i="2" s="1"/>
  <c r="F35" i="2" s="1"/>
  <c r="G35" i="2" s="1"/>
  <c r="H35" i="2" s="1"/>
  <c r="I35" i="2" s="1"/>
  <c r="J35" i="2" s="1"/>
  <c r="K35" i="2" s="1"/>
  <c r="L35" i="2" s="1"/>
  <c r="M35" i="2" s="1"/>
  <c r="N35" i="2" s="1"/>
  <c r="O35" i="2" s="1"/>
  <c r="C30" i="2"/>
  <c r="C38" i="2" s="1"/>
  <c r="D21" i="2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D30" i="2"/>
  <c r="D38" i="2" s="1"/>
  <c r="G66" i="2"/>
  <c r="F67" i="2"/>
  <c r="E28" i="2" l="1"/>
  <c r="E42" i="2" s="1"/>
  <c r="F28" i="2"/>
  <c r="F42" i="2" s="1"/>
  <c r="H50" i="8"/>
  <c r="I27" i="8"/>
  <c r="H27" i="8"/>
  <c r="I16" i="2"/>
  <c r="J16" i="2" s="1"/>
  <c r="L44" i="2"/>
  <c r="D11" i="2"/>
  <c r="E27" i="2"/>
  <c r="F14" i="2"/>
  <c r="E17" i="2"/>
  <c r="D18" i="2"/>
  <c r="H15" i="2"/>
  <c r="G28" i="2"/>
  <c r="G42" i="2" s="1"/>
  <c r="C24" i="2"/>
  <c r="D24" i="2"/>
  <c r="D31" i="2"/>
  <c r="H66" i="2"/>
  <c r="G67" i="2"/>
  <c r="E58" i="2" l="1"/>
  <c r="E56" i="2"/>
  <c r="E11" i="2"/>
  <c r="E57" i="2"/>
  <c r="I29" i="2"/>
  <c r="I43" i="2" s="1"/>
  <c r="I50" i="8"/>
  <c r="J27" i="8"/>
  <c r="E30" i="2"/>
  <c r="E31" i="2" s="1"/>
  <c r="E41" i="2"/>
  <c r="E45" i="2" s="1"/>
  <c r="M44" i="2"/>
  <c r="K16" i="2"/>
  <c r="J29" i="2"/>
  <c r="J43" i="2" s="1"/>
  <c r="F27" i="2"/>
  <c r="G14" i="2"/>
  <c r="F17" i="2"/>
  <c r="E18" i="2"/>
  <c r="I15" i="2"/>
  <c r="H28" i="2"/>
  <c r="H42" i="2" s="1"/>
  <c r="H67" i="2"/>
  <c r="I66" i="2"/>
  <c r="F57" i="2" l="1"/>
  <c r="F58" i="2"/>
  <c r="F56" i="2"/>
  <c r="E38" i="2"/>
  <c r="E24" i="2"/>
  <c r="K50" i="8"/>
  <c r="J50" i="8"/>
  <c r="K27" i="8"/>
  <c r="F30" i="2"/>
  <c r="F24" i="2" s="1"/>
  <c r="F41" i="2"/>
  <c r="F45" i="2" s="1"/>
  <c r="E46" i="2"/>
  <c r="N44" i="2"/>
  <c r="F11" i="2"/>
  <c r="F18" i="2"/>
  <c r="L16" i="2"/>
  <c r="K29" i="2"/>
  <c r="K43" i="2" s="1"/>
  <c r="G27" i="2"/>
  <c r="G17" i="2"/>
  <c r="H14" i="2"/>
  <c r="J15" i="2"/>
  <c r="I28" i="2"/>
  <c r="I42" i="2" s="1"/>
  <c r="I67" i="2"/>
  <c r="J66" i="2"/>
  <c r="G57" i="2" l="1"/>
  <c r="G58" i="2"/>
  <c r="G56" i="2"/>
  <c r="F31" i="2"/>
  <c r="F38" i="2"/>
  <c r="L50" i="8"/>
  <c r="L27" i="8"/>
  <c r="G30" i="2"/>
  <c r="G41" i="2"/>
  <c r="G45" i="2" s="1"/>
  <c r="F46" i="2"/>
  <c r="O44" i="2"/>
  <c r="G11" i="2"/>
  <c r="G18" i="2"/>
  <c r="M16" i="2"/>
  <c r="L29" i="2"/>
  <c r="L43" i="2" s="1"/>
  <c r="H27" i="2"/>
  <c r="I14" i="2"/>
  <c r="H17" i="2"/>
  <c r="K15" i="2"/>
  <c r="J28" i="2"/>
  <c r="J42" i="2" s="1"/>
  <c r="J67" i="2"/>
  <c r="K66" i="2"/>
  <c r="H57" i="2" l="1"/>
  <c r="H56" i="2"/>
  <c r="H58" i="2"/>
  <c r="G38" i="2"/>
  <c r="G31" i="2"/>
  <c r="M50" i="8"/>
  <c r="G24" i="2"/>
  <c r="M27" i="8"/>
  <c r="G46" i="2"/>
  <c r="H30" i="2"/>
  <c r="H31" i="2" s="1"/>
  <c r="H41" i="2"/>
  <c r="H45" i="2" s="1"/>
  <c r="N16" i="2"/>
  <c r="M29" i="2"/>
  <c r="M43" i="2" s="1"/>
  <c r="H11" i="2"/>
  <c r="H18" i="2"/>
  <c r="I27" i="2"/>
  <c r="J14" i="2"/>
  <c r="I17" i="2"/>
  <c r="L15" i="2"/>
  <c r="K28" i="2"/>
  <c r="K42" i="2" s="1"/>
  <c r="K67" i="2"/>
  <c r="L66" i="2"/>
  <c r="I57" i="2" l="1"/>
  <c r="I58" i="2"/>
  <c r="I56" i="2"/>
  <c r="N50" i="8"/>
  <c r="H24" i="2"/>
  <c r="H38" i="2"/>
  <c r="N27" i="8"/>
  <c r="H46" i="2"/>
  <c r="I30" i="2"/>
  <c r="I24" i="2" s="1"/>
  <c r="I41" i="2"/>
  <c r="I45" i="2" s="1"/>
  <c r="J27" i="2"/>
  <c r="J17" i="2"/>
  <c r="K14" i="2"/>
  <c r="I18" i="2"/>
  <c r="I11" i="2"/>
  <c r="O16" i="2"/>
  <c r="O29" i="2" s="1"/>
  <c r="O43" i="2" s="1"/>
  <c r="N29" i="2"/>
  <c r="N43" i="2" s="1"/>
  <c r="M15" i="2"/>
  <c r="L28" i="2"/>
  <c r="L42" i="2" s="1"/>
  <c r="L67" i="2"/>
  <c r="M66" i="2"/>
  <c r="J57" i="2" l="1"/>
  <c r="J56" i="2"/>
  <c r="J58" i="2"/>
  <c r="O50" i="8"/>
  <c r="I31" i="2"/>
  <c r="O27" i="8"/>
  <c r="I46" i="2"/>
  <c r="J30" i="2"/>
  <c r="J24" i="2" s="1"/>
  <c r="J41" i="2"/>
  <c r="J45" i="2" s="1"/>
  <c r="I38" i="2"/>
  <c r="J11" i="2"/>
  <c r="J18" i="2"/>
  <c r="K27" i="2"/>
  <c r="K17" i="2"/>
  <c r="L14" i="2"/>
  <c r="N15" i="2"/>
  <c r="M28" i="2"/>
  <c r="M42" i="2" s="1"/>
  <c r="N66" i="2"/>
  <c r="M67" i="2"/>
  <c r="J38" i="2" l="1"/>
  <c r="K57" i="2"/>
  <c r="K56" i="2"/>
  <c r="K58" i="2"/>
  <c r="K30" i="2"/>
  <c r="K24" i="2" s="1"/>
  <c r="K41" i="2"/>
  <c r="K45" i="2" s="1"/>
  <c r="J46" i="2"/>
  <c r="L27" i="2"/>
  <c r="M14" i="2"/>
  <c r="L17" i="2"/>
  <c r="K11" i="2"/>
  <c r="K18" i="2"/>
  <c r="O15" i="2"/>
  <c r="O28" i="2" s="1"/>
  <c r="O42" i="2" s="1"/>
  <c r="N28" i="2"/>
  <c r="N42" i="2" s="1"/>
  <c r="O66" i="2"/>
  <c r="N67" i="2"/>
  <c r="L57" i="2" l="1"/>
  <c r="L56" i="2"/>
  <c r="L58" i="2"/>
  <c r="K38" i="2"/>
  <c r="L30" i="2"/>
  <c r="L24" i="2" s="1"/>
  <c r="L41" i="2"/>
  <c r="L45" i="2" s="1"/>
  <c r="K46" i="2"/>
  <c r="L11" i="2"/>
  <c r="L18" i="2"/>
  <c r="M27" i="2"/>
  <c r="N14" i="2"/>
  <c r="M17" i="2"/>
  <c r="O67" i="2"/>
  <c r="P66" i="2"/>
  <c r="P67" i="2" s="1"/>
  <c r="L38" i="2" l="1"/>
  <c r="M57" i="2"/>
  <c r="M56" i="2"/>
  <c r="M58" i="2"/>
  <c r="M30" i="2"/>
  <c r="M24" i="2" s="1"/>
  <c r="M41" i="2"/>
  <c r="M45" i="2" s="1"/>
  <c r="L46" i="2"/>
  <c r="M11" i="2"/>
  <c r="M18" i="2"/>
  <c r="N27" i="2"/>
  <c r="N17" i="2"/>
  <c r="O14" i="2"/>
  <c r="N57" i="2" l="1"/>
  <c r="N56" i="2"/>
  <c r="N58" i="2"/>
  <c r="M38" i="2"/>
  <c r="N30" i="2"/>
  <c r="N24" i="2" s="1"/>
  <c r="N41" i="2"/>
  <c r="N45" i="2" s="1"/>
  <c r="M46" i="2"/>
  <c r="O27" i="2"/>
  <c r="O17" i="2"/>
  <c r="N18" i="2"/>
  <c r="N11" i="2"/>
  <c r="O57" i="2" l="1"/>
  <c r="O58" i="2"/>
  <c r="O56" i="2"/>
  <c r="N38" i="2"/>
  <c r="N46" i="2"/>
  <c r="O30" i="2"/>
  <c r="P30" i="2" s="1"/>
  <c r="O41" i="2"/>
  <c r="O45" i="2" s="1"/>
  <c r="O18" i="2"/>
  <c r="P17" i="2"/>
  <c r="O11" i="2"/>
  <c r="C11" i="8" l="1" a="1"/>
  <c r="C11" i="8" s="1"/>
  <c r="E11" i="8" s="1"/>
  <c r="O38" i="2"/>
  <c r="O24" i="2"/>
  <c r="O46" i="2"/>
  <c r="P45" i="2"/>
  <c r="P64" i="2" s="1"/>
  <c r="P69" i="2" s="1"/>
  <c r="C74" i="2" s="1"/>
  <c r="N31" i="2"/>
  <c r="M31" i="2"/>
  <c r="O31" i="2"/>
  <c r="L31" i="2"/>
  <c r="K31" i="2"/>
  <c r="J31" i="2"/>
  <c r="F12" i="8" l="1"/>
  <c r="N20" i="8"/>
  <c r="I15" i="8"/>
  <c r="I32" i="8" s="1"/>
  <c r="K17" i="8"/>
  <c r="L17" i="8" s="1"/>
  <c r="M17" i="8" s="1"/>
  <c r="N17" i="8" s="1"/>
  <c r="J16" i="8"/>
  <c r="H14" i="8"/>
  <c r="H31" i="8" s="1"/>
  <c r="E28" i="8"/>
  <c r="E39" i="8" s="1"/>
  <c r="E49" i="8" s="1"/>
  <c r="E51" i="8" s="1"/>
  <c r="E48" i="2" s="1"/>
  <c r="E50" i="2" s="1"/>
  <c r="E52" i="2" s="1"/>
  <c r="E54" i="2" s="1"/>
  <c r="F11" i="8"/>
  <c r="F28" i="8" s="1"/>
  <c r="E22" i="8"/>
  <c r="K16" i="8"/>
  <c r="L16" i="8" s="1"/>
  <c r="M16" i="8" s="1"/>
  <c r="J33" i="8"/>
  <c r="L18" i="8"/>
  <c r="L35" i="8" s="1"/>
  <c r="M19" i="8"/>
  <c r="O21" i="8"/>
  <c r="O38" i="8" s="1"/>
  <c r="G13" i="8"/>
  <c r="G30" i="8" s="1"/>
  <c r="G12" i="8"/>
  <c r="H12" i="8" s="1"/>
  <c r="I12" i="8" s="1"/>
  <c r="F29" i="8"/>
  <c r="O20" i="8"/>
  <c r="O37" i="8" s="1"/>
  <c r="N37" i="8"/>
  <c r="J15" i="8"/>
  <c r="J32" i="8" s="1"/>
  <c r="I14" i="8" l="1"/>
  <c r="I31" i="8" s="1"/>
  <c r="L33" i="8"/>
  <c r="E59" i="2"/>
  <c r="E61" i="2" s="1"/>
  <c r="E64" i="2" s="1"/>
  <c r="E69" i="2" s="1"/>
  <c r="F22" i="8"/>
  <c r="K34" i="8"/>
  <c r="F39" i="8"/>
  <c r="F49" i="8" s="1"/>
  <c r="F51" i="8" s="1"/>
  <c r="F48" i="2" s="1"/>
  <c r="F59" i="2" s="1"/>
  <c r="H29" i="8"/>
  <c r="M18" i="8"/>
  <c r="N18" i="8" s="1"/>
  <c r="O18" i="8" s="1"/>
  <c r="O35" i="8" s="1"/>
  <c r="H13" i="8"/>
  <c r="H30" i="8" s="1"/>
  <c r="G29" i="8"/>
  <c r="G11" i="8"/>
  <c r="G28" i="8" s="1"/>
  <c r="G39" i="8" s="1"/>
  <c r="G49" i="8" s="1"/>
  <c r="G51" i="8" s="1"/>
  <c r="G48" i="2" s="1"/>
  <c r="K33" i="8"/>
  <c r="M36" i="8"/>
  <c r="N19" i="8"/>
  <c r="L34" i="8"/>
  <c r="I13" i="8"/>
  <c r="I30" i="8" s="1"/>
  <c r="M34" i="8"/>
  <c r="K15" i="8"/>
  <c r="K32" i="8" s="1"/>
  <c r="I29" i="8"/>
  <c r="J12" i="8"/>
  <c r="M33" i="8"/>
  <c r="N16" i="8"/>
  <c r="N34" i="8"/>
  <c r="O17" i="8"/>
  <c r="O34" i="8" s="1"/>
  <c r="G22" i="8" l="1"/>
  <c r="J14" i="8"/>
  <c r="J31" i="8" s="1"/>
  <c r="H11" i="8"/>
  <c r="F50" i="2"/>
  <c r="F52" i="2" s="1"/>
  <c r="F54" i="2" s="1"/>
  <c r="F61" i="2" s="1"/>
  <c r="F64" i="2" s="1"/>
  <c r="F69" i="2" s="1"/>
  <c r="N35" i="8"/>
  <c r="M35" i="8"/>
  <c r="K14" i="8"/>
  <c r="K31" i="8" s="1"/>
  <c r="O19" i="8"/>
  <c r="O36" i="8" s="1"/>
  <c r="N36" i="8"/>
  <c r="L15" i="8"/>
  <c r="M15" i="8" s="1"/>
  <c r="N15" i="8" s="1"/>
  <c r="O15" i="8" s="1"/>
  <c r="O32" i="8" s="1"/>
  <c r="J13" i="8"/>
  <c r="K13" i="8" s="1"/>
  <c r="L13" i="8" s="1"/>
  <c r="M13" i="8" s="1"/>
  <c r="E62" i="2"/>
  <c r="F62" i="2"/>
  <c r="J30" i="8"/>
  <c r="L32" i="8"/>
  <c r="N33" i="8"/>
  <c r="O16" i="8"/>
  <c r="O33" i="8" s="1"/>
  <c r="G59" i="2"/>
  <c r="G50" i="2"/>
  <c r="G52" i="2" s="1"/>
  <c r="G54" i="2" s="1"/>
  <c r="J29" i="8"/>
  <c r="K12" i="8"/>
  <c r="H28" i="8"/>
  <c r="H39" i="8" s="1"/>
  <c r="H49" i="8" s="1"/>
  <c r="H51" i="8" s="1"/>
  <c r="H48" i="2" s="1"/>
  <c r="H22" i="8"/>
  <c r="I11" i="8"/>
  <c r="I28" i="8" s="1"/>
  <c r="I39" i="8" s="1"/>
  <c r="I49" i="8" s="1"/>
  <c r="I51" i="8" s="1"/>
  <c r="I48" i="2" s="1"/>
  <c r="L14" i="8" l="1"/>
  <c r="M14" i="8" s="1"/>
  <c r="M32" i="8"/>
  <c r="K30" i="8"/>
  <c r="G61" i="2"/>
  <c r="G64" i="2" s="1"/>
  <c r="G69" i="2" s="1"/>
  <c r="N32" i="8"/>
  <c r="H59" i="2"/>
  <c r="H50" i="2"/>
  <c r="H52" i="2" s="1"/>
  <c r="H54" i="2" s="1"/>
  <c r="L30" i="8"/>
  <c r="M31" i="8"/>
  <c r="N14" i="8"/>
  <c r="K29" i="8"/>
  <c r="L12" i="8"/>
  <c r="M30" i="8"/>
  <c r="N13" i="8"/>
  <c r="L31" i="8"/>
  <c r="I59" i="2"/>
  <c r="I50" i="2"/>
  <c r="I52" i="2" s="1"/>
  <c r="I54" i="2" s="1"/>
  <c r="I22" i="8"/>
  <c r="J11" i="8"/>
  <c r="G62" i="2" l="1"/>
  <c r="H61" i="2"/>
  <c r="H64" i="2" s="1"/>
  <c r="H69" i="2" s="1"/>
  <c r="N30" i="8"/>
  <c r="O13" i="8"/>
  <c r="O30" i="8" s="1"/>
  <c r="N31" i="8"/>
  <c r="O14" i="8"/>
  <c r="O31" i="8" s="1"/>
  <c r="J28" i="8"/>
  <c r="J39" i="8" s="1"/>
  <c r="J49" i="8" s="1"/>
  <c r="J51" i="8" s="1"/>
  <c r="J48" i="2" s="1"/>
  <c r="K11" i="8"/>
  <c r="J22" i="8"/>
  <c r="I61" i="2"/>
  <c r="L29" i="8"/>
  <c r="M12" i="8"/>
  <c r="N12" i="8" s="1"/>
  <c r="H62" i="2" l="1"/>
  <c r="M29" i="8"/>
  <c r="N29" i="8"/>
  <c r="O12" i="8"/>
  <c r="O29" i="8" s="1"/>
  <c r="J59" i="2"/>
  <c r="J50" i="2"/>
  <c r="J52" i="2" s="1"/>
  <c r="J54" i="2" s="1"/>
  <c r="K28" i="8"/>
  <c r="K39" i="8" s="1"/>
  <c r="K49" i="8" s="1"/>
  <c r="K51" i="8" s="1"/>
  <c r="K48" i="2" s="1"/>
  <c r="L11" i="8"/>
  <c r="L28" i="8" s="1"/>
  <c r="L39" i="8" s="1"/>
  <c r="L49" i="8" s="1"/>
  <c r="L51" i="8" s="1"/>
  <c r="L48" i="2" s="1"/>
  <c r="K22" i="8"/>
  <c r="I62" i="2"/>
  <c r="I64" i="2"/>
  <c r="I69" i="2" s="1"/>
  <c r="J61" i="2" l="1"/>
  <c r="J62" i="2" s="1"/>
  <c r="K59" i="2"/>
  <c r="K50" i="2"/>
  <c r="K52" i="2" s="1"/>
  <c r="K54" i="2" s="1"/>
  <c r="L59" i="2"/>
  <c r="L50" i="2"/>
  <c r="L52" i="2" s="1"/>
  <c r="L54" i="2" s="1"/>
  <c r="L22" i="8"/>
  <c r="M11" i="8"/>
  <c r="J64" i="2" l="1"/>
  <c r="J69" i="2" s="1"/>
  <c r="L61" i="2"/>
  <c r="L64" i="2" s="1"/>
  <c r="L69" i="2" s="1"/>
  <c r="K61" i="2"/>
  <c r="K62" i="2" s="1"/>
  <c r="M28" i="8"/>
  <c r="M39" i="8" s="1"/>
  <c r="M49" i="8" s="1"/>
  <c r="M51" i="8" s="1"/>
  <c r="M48" i="2" s="1"/>
  <c r="M22" i="8"/>
  <c r="N11" i="8"/>
  <c r="L62" i="2" l="1"/>
  <c r="K64" i="2"/>
  <c r="K69" i="2" s="1"/>
  <c r="N28" i="8"/>
  <c r="N39" i="8" s="1"/>
  <c r="N49" i="8" s="1"/>
  <c r="N51" i="8" s="1"/>
  <c r="N48" i="2" s="1"/>
  <c r="O11" i="8"/>
  <c r="O22" i="8" s="1"/>
  <c r="N22" i="8"/>
  <c r="M59" i="2"/>
  <c r="M50" i="2"/>
  <c r="M52" i="2" s="1"/>
  <c r="M54" i="2" s="1"/>
  <c r="M61" i="2" l="1"/>
  <c r="M62" i="2" s="1"/>
  <c r="O28" i="8"/>
  <c r="O39" i="8" s="1"/>
  <c r="O49" i="8" s="1"/>
  <c r="O51" i="8" s="1"/>
  <c r="O48" i="2" s="1"/>
  <c r="N59" i="2"/>
  <c r="N50" i="2"/>
  <c r="N52" i="2" s="1"/>
  <c r="N54" i="2" s="1"/>
  <c r="N61" i="2" l="1"/>
  <c r="N62" i="2" s="1"/>
  <c r="M64" i="2"/>
  <c r="M69" i="2" s="1"/>
  <c r="O59" i="2"/>
  <c r="O50" i="2"/>
  <c r="O52" i="2" s="1"/>
  <c r="O54" i="2" s="1"/>
  <c r="N64" i="2" l="1"/>
  <c r="N69" i="2" s="1"/>
  <c r="O61" i="2"/>
  <c r="O64" i="2" s="1"/>
  <c r="O69" i="2" s="1"/>
  <c r="O62" i="2" l="1"/>
  <c r="C80" i="2"/>
  <c r="C79" i="2"/>
  <c r="C73" i="2"/>
  <c r="C75" i="2" s="1"/>
  <c r="C76" i="2" s="1"/>
  <c r="C81" i="2" l="1"/>
  <c r="S98" i="2"/>
  <c r="S108" i="2" l="1"/>
  <c r="C8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<sst xmlns="http://schemas.openxmlformats.org/spreadsheetml/2006/main" count="205" uniqueCount="111">
  <si>
    <t>FY2025E</t>
  </si>
  <si>
    <t>FY2026E</t>
  </si>
  <si>
    <t>FY2027E</t>
  </si>
  <si>
    <t>($ in millions)</t>
  </si>
  <si>
    <t>Historical</t>
  </si>
  <si>
    <t>Projections</t>
  </si>
  <si>
    <t>Terminal</t>
  </si>
  <si>
    <t>Company2835 Company2746 (FYE 12/31)</t>
  </si>
  <si>
    <t>FY2023A</t>
  </si>
  <si>
    <t>FY2024A</t>
  </si>
  <si>
    <t>FY2028E</t>
  </si>
  <si>
    <t>FY2029E</t>
  </si>
  <si>
    <t>FY2030E</t>
  </si>
  <si>
    <t>FY2031E</t>
  </si>
  <si>
    <t>FY2032E</t>
  </si>
  <si>
    <t>FY2033E</t>
  </si>
  <si>
    <t>Value</t>
  </si>
  <si>
    <t>Total Cash Flow</t>
  </si>
  <si>
    <t>Projection Period</t>
  </si>
  <si>
    <t>Present Value Factor</t>
  </si>
  <si>
    <t>Present Value Cash Flow</t>
  </si>
  <si>
    <t>Net Present Value - Exit Multiple Method</t>
  </si>
  <si>
    <t>PV of FCF</t>
  </si>
  <si>
    <t>PV of TV</t>
  </si>
  <si>
    <t>Total Enterprise Value</t>
  </si>
  <si>
    <t>Net Present Value - PGR Method</t>
  </si>
  <si>
    <t>DCF Valuation Inputs / Assumptions</t>
  </si>
  <si>
    <t>WACC</t>
  </si>
  <si>
    <t>Discount Convention</t>
  </si>
  <si>
    <t>Mid-Period</t>
  </si>
  <si>
    <t>PGR</t>
  </si>
  <si>
    <t>Valuation Date</t>
  </si>
  <si>
    <t>Enterprise Value Sensitivity (Exit Multiple Method)</t>
  </si>
  <si>
    <t>Exit</t>
  </si>
  <si>
    <t>Multiple</t>
  </si>
  <si>
    <t>Enterprise Value Sensitivity (PGR Method)</t>
  </si>
  <si>
    <t>Mobility Segment</t>
  </si>
  <si>
    <t>Delivery Segment</t>
  </si>
  <si>
    <t>Freight Segment</t>
  </si>
  <si>
    <t>Total Gross Bookings</t>
  </si>
  <si>
    <t>Total Revenue</t>
  </si>
  <si>
    <t>FY2034E</t>
  </si>
  <si>
    <t>FY2035E</t>
  </si>
  <si>
    <t>(-) SBC</t>
  </si>
  <si>
    <t>(-) D&amp;A</t>
  </si>
  <si>
    <t>EBIT</t>
  </si>
  <si>
    <t>(-) Taxes</t>
  </si>
  <si>
    <t>EBT</t>
  </si>
  <si>
    <t>(-) CapEx</t>
  </si>
  <si>
    <t>(+) D&amp;A</t>
  </si>
  <si>
    <t>(-) Δ NWC</t>
  </si>
  <si>
    <t>Adj. EBITDA</t>
  </si>
  <si>
    <t>FY2025E Gross Bookings Growth Rate (%)</t>
  </si>
  <si>
    <t>FY2025E - FY2035E Forecast Assumptions</t>
  </si>
  <si>
    <t>Total Take Rate</t>
  </si>
  <si>
    <t>Depreciation &amp; Amortization ("D&amp;A")</t>
  </si>
  <si>
    <t>UFCF (Burdened by SBC)</t>
  </si>
  <si>
    <t>Amortization of Intangibles</t>
  </si>
  <si>
    <t>D&amp;A on PP&amp;E</t>
  </si>
  <si>
    <t>Total D&amp;A on PP&amp;E</t>
  </si>
  <si>
    <t>Total Net PP&amp;E</t>
  </si>
  <si>
    <t>Capital Expenditures ("CapEx")</t>
  </si>
  <si>
    <t>Tax Rate (% of EBIT)</t>
  </si>
  <si>
    <t>Stock Based Compensation ("SBC")</t>
  </si>
  <si>
    <t>Revenue ($)</t>
  </si>
  <si>
    <t>Gross Bookings ($)</t>
  </si>
  <si>
    <t>Perpetuity Growth Rate ("PGR")</t>
  </si>
  <si>
    <t>Adjusted EBITDA ($)</t>
  </si>
  <si>
    <t>Adjusted EBITDA Margin (%)</t>
  </si>
  <si>
    <t>N/A</t>
  </si>
  <si>
    <t>Year 1 (FY2025E) Fiscal Year End</t>
  </si>
  <si>
    <t>Total Days in FY2025E</t>
  </si>
  <si>
    <t>% Year-to-Go (FY2025E Stub)</t>
  </si>
  <si>
    <t>FY2025E Amortization of Intangibles</t>
  </si>
  <si>
    <t>FY2026E Amortization of Intangibles</t>
  </si>
  <si>
    <t>FY2027E Amortization of Intangibles</t>
  </si>
  <si>
    <t>FY2028E Amortization of Intangibles</t>
  </si>
  <si>
    <t>FY2029E Amortization of Intangibles</t>
  </si>
  <si>
    <t>Gross Bookings Growth Rate (%)</t>
  </si>
  <si>
    <t>FY2030E - FY2035E Amortization of Intangibles (Spread Evenly Across FY2030E - FY2035E)</t>
  </si>
  <si>
    <t>Δ in Net Working Capital ("NWC")</t>
  </si>
  <si>
    <t>Notes:</t>
  </si>
  <si>
    <t>• Take Rate defined as Revenue divided by Gross Bookings</t>
  </si>
  <si>
    <t>• CapEx occurs on December 31st of each year (e.g., FY2025E CapEx occurs on 12/31/2025)</t>
  </si>
  <si>
    <t>CapEx (% of Total Gross Bookings)</t>
  </si>
  <si>
    <t>Δ in NWC (% of the Y/Y $ Change in Total Gross Bookings)</t>
  </si>
  <si>
    <t>SBC (% of Total Gross Bookings)</t>
  </si>
  <si>
    <t xml:space="preserve">FY2026E - FY2035E Annual Change in Gross Bookings Growth Rate (Percentage Points) </t>
  </si>
  <si>
    <t xml:space="preserve">FY2025E - FY2035E Annual Change in Take Rate (Percentage Points) </t>
  </si>
  <si>
    <t xml:space="preserve">FY2025E - FY2035E Annual Change in Adjusted EBITDA Margin (Percentage Points) </t>
  </si>
  <si>
    <t>• Fiscal year ends on December 31st</t>
  </si>
  <si>
    <t>FY2025E - FY2035E Corporate Overhead Expense Annual Growth Rate (%)</t>
  </si>
  <si>
    <t>Corporate Overhead Expense Annual Growth Rate (%)</t>
  </si>
  <si>
    <t>Corporate Overhead Expense</t>
  </si>
  <si>
    <t>Take Rate (%)</t>
  </si>
  <si>
    <t>Adjusted EBITDA Margin</t>
  </si>
  <si>
    <t>Pre-FY2025E</t>
  </si>
  <si>
    <t>Net Property &amp; Equipment ("Net PP&amp;E") Balance at 12/31/2024</t>
  </si>
  <si>
    <t>CapEx (Additions)</t>
  </si>
  <si>
    <t>• D&amp;A modeled on a straight-line basis</t>
  </si>
  <si>
    <t>Grand Total D&amp;A</t>
  </si>
  <si>
    <t>Net PP&amp;E Balance</t>
  </si>
  <si>
    <t>Net Carrying Value of Intangibles at 12/31/2024</t>
  </si>
  <si>
    <t>Net Carrying Value of Intangibles</t>
  </si>
  <si>
    <t>Exit Multiple (x FY2035E Adjusted EBITDA)</t>
  </si>
  <si>
    <t>Annual Growth Rate (%)</t>
  </si>
  <si>
    <t>Total Gross Bookings Annual Growth Rate</t>
  </si>
  <si>
    <t>Weighted Average Useful Life on CapEx (Years)</t>
  </si>
  <si>
    <t>Vintage</t>
  </si>
  <si>
    <t>Enterprise Value / FY2025E EBITDA</t>
  </si>
  <si>
    <t>% Conversion (% of Adjusted EBITDA)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</si>
</sst>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\$* #,##0_);_(\$* \(#,##0\);_(\$* \-_);_(@_)"/>
    <numFmt numFmtId="165" formatCode="_(* #,##0_);_(* \(#,##0\);_(* &quot;-&quot;??_);_(@_)"/>
    <numFmt numFmtId="166" formatCode="0.0%"/>
    <numFmt numFmtId="167" formatCode="_(* #,##0.00000_);_(* \(#,##0.00000\);_(* &quot;-&quot;??_);_(@_)"/>
    <numFmt numFmtId="168" formatCode="_(* #,##0.000_);_(* \(#,##0.000\);_(* &quot;-&quot;??_);_(@_)"/>
    <numFmt numFmtId="169" formatCode="0.0\x"/>
    <numFmt numFmtId="170" formatCode="_(* #,##0.0_);_(* \(#,##0.0\);_(* &quot;-&quot;??_);_(@_)"/>
    <numFmt numFmtId="171" formatCode="_(* #,##0.00_)%;_(* \(#,##0.00\)%;_(* &quot;-&quot;?_)%;_(@_)"/>
    <numFmt numFmtId="172" formatCode="0.0"/>
    <numFmt numFmtId="173" formatCode="0.00000"/>
  </numFmts>
  <fonts count="26" x14ac:knownFonts="1">
    <font>
      <sz val="11"/>
      <color indexed="8"/>
      <name val="Calibri"/>
      <family val="2"/>
      <charset val="1"/>
    </font>
    <font>
      <b/>
      <u val="singleAccounting"/>
      <sz val="10"/>
      <color rgb="FF002060"/>
      <name val="Arial"/>
      <family val="2"/>
    </font>
    <font>
      <u val="singleAccounting"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u val="singleAccounting"/>
      <sz val="10"/>
      <color theme="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i/>
      <sz val="10"/>
      <name val="Arial"/>
      <family val="2"/>
    </font>
    <font>
      <b/>
      <u val="singleAccounting"/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rgb="FF0000FF"/>
      <name val="Arial"/>
      <family val="2"/>
    </font>
    <font>
      <b/>
      <u val="singleAccounting"/>
      <sz val="10"/>
      <name val="Arial"/>
      <family val="2"/>
    </font>
    <font>
      <b/>
      <u/>
      <sz val="10"/>
      <color indexed="8"/>
      <name val="Arial"/>
      <family val="2"/>
    </font>
    <font>
      <b/>
      <sz val="10"/>
      <color rgb="FFC00000"/>
      <name val="Arial"/>
      <family val="2"/>
    </font>
    <font>
      <sz val="10"/>
      <color rgb="FF7030A0"/>
      <name val="Arial"/>
      <family val="2"/>
    </font>
    <font>
      <u val="singleAccounting"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theme="0" tint="-0.499984740745262"/>
      <name val="Arial"/>
      <family val="2"/>
    </font>
    <font>
      <i/>
      <sz val="10"/>
      <color theme="0"/>
      <name val="Arial"/>
      <family val="2"/>
    </font>
    <font>
      <b/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7" fillId="0" borderId="0" applyFill="0" applyBorder="0" applyAlignment="0" applyProtection="0"/>
    <xf numFmtId="9" fontId="7" fillId="0" borderId="0" applyFill="0" applyBorder="0" applyAlignment="0" applyProtection="0"/>
  </cellStyleXfs>
  <cellXfs count="133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/>
    <xf numFmtId="0" fontId="5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14" fontId="7" fillId="0" borderId="0" xfId="0" applyNumberFormat="1" applyFont="1"/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3" fillId="0" borderId="1" xfId="0" applyFont="1" applyBorder="1"/>
    <xf numFmtId="0" fontId="8" fillId="0" borderId="0" xfId="0" applyFont="1" applyAlignment="1">
      <alignment horizontal="left" indent="1"/>
    </xf>
    <xf numFmtId="166" fontId="7" fillId="0" borderId="0" xfId="2" applyNumberFormat="1"/>
    <xf numFmtId="166" fontId="7" fillId="0" borderId="0" xfId="2" applyNumberFormat="1" applyBorder="1"/>
    <xf numFmtId="0" fontId="3" fillId="0" borderId="1" xfId="0" applyFont="1" applyBorder="1" applyAlignment="1">
      <alignment vertical="center"/>
    </xf>
    <xf numFmtId="167" fontId="7" fillId="0" borderId="0" xfId="1" applyNumberFormat="1"/>
    <xf numFmtId="165" fontId="3" fillId="0" borderId="0" xfId="0" applyNumberFormat="1" applyFont="1"/>
    <xf numFmtId="2" fontId="7" fillId="0" borderId="0" xfId="0" applyNumberFormat="1" applyFont="1"/>
    <xf numFmtId="168" fontId="7" fillId="0" borderId="0" xfId="1" applyNumberFormat="1"/>
    <xf numFmtId="0" fontId="9" fillId="0" borderId="4" xfId="0" applyFont="1" applyBorder="1"/>
    <xf numFmtId="0" fontId="3" fillId="0" borderId="4" xfId="0" applyFont="1" applyBorder="1"/>
    <xf numFmtId="166" fontId="6" fillId="3" borderId="0" xfId="0" applyNumberFormat="1" applyFont="1" applyFill="1"/>
    <xf numFmtId="0" fontId="6" fillId="3" borderId="0" xfId="0" applyFont="1" applyFill="1" applyAlignment="1">
      <alignment horizontal="right"/>
    </xf>
    <xf numFmtId="169" fontId="6" fillId="3" borderId="0" xfId="0" applyNumberFormat="1" applyFont="1" applyFill="1"/>
    <xf numFmtId="14" fontId="6" fillId="3" borderId="0" xfId="0" applyNumberFormat="1" applyFont="1" applyFill="1"/>
    <xf numFmtId="43" fontId="3" fillId="0" borderId="0" xfId="0" applyNumberFormat="1" applyFont="1"/>
    <xf numFmtId="0" fontId="14" fillId="0" borderId="0" xfId="0" applyFont="1" applyAlignment="1">
      <alignment horizontal="centerContinuous"/>
    </xf>
    <xf numFmtId="164" fontId="15" fillId="0" borderId="0" xfId="0" applyNumberFormat="1" applyFont="1"/>
    <xf numFmtId="0" fontId="9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164" fontId="10" fillId="0" borderId="0" xfId="0" applyNumberFormat="1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vertical="center"/>
    </xf>
    <xf numFmtId="9" fontId="7" fillId="0" borderId="1" xfId="2" applyBorder="1"/>
    <xf numFmtId="166" fontId="7" fillId="0" borderId="0" xfId="2" applyNumberFormat="1" applyFill="1" applyBorder="1" applyAlignment="1">
      <alignment horizontal="right" vertical="center"/>
    </xf>
    <xf numFmtId="171" fontId="6" fillId="3" borderId="0" xfId="2" applyNumberFormat="1" applyFont="1" applyFill="1"/>
    <xf numFmtId="171" fontId="6" fillId="3" borderId="0" xfId="2" applyNumberFormat="1" applyFont="1" applyFill="1" applyBorder="1"/>
    <xf numFmtId="171" fontId="6" fillId="0" borderId="0" xfId="2" applyNumberFormat="1" applyFont="1" applyFill="1"/>
    <xf numFmtId="164" fontId="20" fillId="0" borderId="0" xfId="0" applyNumberFormat="1" applyFont="1" applyAlignment="1">
      <alignment vertical="center"/>
    </xf>
    <xf numFmtId="0" fontId="21" fillId="2" borderId="0" xfId="0" applyFont="1" applyFill="1" applyAlignment="1">
      <alignment horizontal="centerContinuous"/>
    </xf>
    <xf numFmtId="0" fontId="22" fillId="0" borderId="0" xfId="0" applyFont="1"/>
    <xf numFmtId="0" fontId="1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164" fontId="6" fillId="3" borderId="0" xfId="0" applyNumberFormat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5" xfId="0" applyFont="1" applyBorder="1"/>
    <xf numFmtId="0" fontId="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170" fontId="6" fillId="3" borderId="0" xfId="1" applyNumberFormat="1" applyFont="1" applyFill="1"/>
    <xf numFmtId="173" fontId="7" fillId="0" borderId="0" xfId="0" applyNumberFormat="1" applyFont="1"/>
    <xf numFmtId="0" fontId="5" fillId="2" borderId="5" xfId="0" applyFont="1" applyFill="1" applyBorder="1" applyAlignment="1">
      <alignment horizontal="center"/>
    </xf>
    <xf numFmtId="165" fontId="3" fillId="0" borderId="5" xfId="0" applyNumberFormat="1" applyFont="1" applyBorder="1"/>
    <xf numFmtId="0" fontId="5" fillId="2" borderId="5" xfId="0" applyFont="1" applyFill="1" applyBorder="1" applyAlignment="1">
      <alignment horizontal="centerContinuous"/>
    </xf>
    <xf numFmtId="0" fontId="23" fillId="0" borderId="0" xfId="0" applyFont="1"/>
    <xf numFmtId="0" fontId="24" fillId="2" borderId="0" xfId="0" applyFont="1" applyFill="1" applyAlignment="1">
      <alignment horizontal="left"/>
    </xf>
    <xf numFmtId="0" fontId="17" fillId="0" borderId="0" xfId="0" applyFont="1" applyAlignment="1">
      <alignment horizontal="center" wrapText="1"/>
    </xf>
    <xf numFmtId="166" fontId="16" fillId="3" borderId="4" xfId="0" applyNumberFormat="1" applyFont="1" applyFill="1" applyBorder="1" applyAlignment="1">
      <alignment horizontal="center"/>
    </xf>
    <xf numFmtId="169" fontId="16" fillId="3" borderId="1" xfId="0" applyNumberFormat="1" applyFont="1" applyFill="1" applyBorder="1"/>
    <xf numFmtId="166" fontId="16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20" fillId="4" borderId="5" xfId="0" applyNumberFormat="1" applyFont="1" applyFill="1" applyBorder="1"/>
    <xf numFmtId="164" fontId="20" fillId="4" borderId="0" xfId="0" applyNumberFormat="1" applyFont="1" applyFill="1"/>
    <xf numFmtId="164" fontId="20" fillId="4" borderId="15" xfId="0" applyNumberFormat="1" applyFont="1" applyFill="1" applyBorder="1"/>
    <xf numFmtId="164" fontId="20" fillId="4" borderId="21" xfId="0" applyNumberFormat="1" applyFont="1" applyFill="1" applyBorder="1"/>
    <xf numFmtId="164" fontId="20" fillId="4" borderId="4" xfId="0" applyNumberFormat="1" applyFont="1" applyFill="1" applyBorder="1"/>
    <xf numFmtId="164" fontId="20" fillId="4" borderId="16" xfId="0" applyNumberFormat="1" applyFont="1" applyFill="1" applyBorder="1"/>
    <xf numFmtId="164" fontId="10" fillId="4" borderId="8" xfId="0" applyNumberFormat="1" applyFont="1" applyFill="1" applyBorder="1" applyAlignment="1">
      <alignment vertical="center"/>
    </xf>
    <xf numFmtId="164" fontId="3" fillId="4" borderId="18" xfId="0" applyNumberFormat="1" applyFont="1" applyFill="1" applyBorder="1" applyAlignment="1">
      <alignment vertical="center"/>
    </xf>
    <xf numFmtId="164" fontId="3" fillId="4" borderId="19" xfId="0" applyNumberFormat="1" applyFont="1" applyFill="1" applyBorder="1" applyAlignment="1">
      <alignment vertical="center"/>
    </xf>
    <xf numFmtId="164" fontId="3" fillId="4" borderId="20" xfId="0" applyNumberFormat="1" applyFont="1" applyFill="1" applyBorder="1" applyAlignment="1">
      <alignment vertical="center"/>
    </xf>
    <xf numFmtId="164" fontId="3" fillId="4" borderId="14" xfId="0" applyNumberFormat="1" applyFont="1" applyFill="1" applyBorder="1" applyAlignment="1">
      <alignment vertical="center"/>
    </xf>
    <xf numFmtId="164" fontId="3" fillId="4" borderId="15" xfId="0" applyNumberFormat="1" applyFont="1" applyFill="1" applyBorder="1" applyAlignment="1">
      <alignment vertical="center"/>
    </xf>
    <xf numFmtId="164" fontId="3" fillId="4" borderId="10" xfId="0" applyNumberFormat="1" applyFont="1" applyFill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4" borderId="0" xfId="0" applyNumberFormat="1" applyFont="1" applyFill="1" applyAlignment="1">
      <alignment vertical="center"/>
    </xf>
    <xf numFmtId="164" fontId="3" fillId="4" borderId="17" xfId="0" applyNumberFormat="1" applyFont="1" applyFill="1" applyBorder="1" applyAlignment="1">
      <alignment vertical="center"/>
    </xf>
    <xf numFmtId="164" fontId="3" fillId="4" borderId="12" xfId="0" applyNumberFormat="1" applyFont="1" applyFill="1" applyBorder="1" applyAlignment="1">
      <alignment vertical="center"/>
    </xf>
    <xf numFmtId="164" fontId="10" fillId="4" borderId="11" xfId="0" applyNumberFormat="1" applyFont="1" applyFill="1" applyBorder="1" applyAlignment="1">
      <alignment vertical="center"/>
    </xf>
    <xf numFmtId="164" fontId="10" fillId="4" borderId="9" xfId="0" applyNumberFormat="1" applyFont="1" applyFill="1" applyBorder="1" applyAlignment="1">
      <alignment vertical="center"/>
    </xf>
    <xf numFmtId="164" fontId="10" fillId="4" borderId="10" xfId="0" applyNumberFormat="1" applyFont="1" applyFill="1" applyBorder="1" applyAlignment="1">
      <alignment vertical="center"/>
    </xf>
    <xf numFmtId="172" fontId="10" fillId="4" borderId="8" xfId="0" applyNumberFormat="1" applyFont="1" applyFill="1" applyBorder="1" applyAlignment="1">
      <alignment vertical="center"/>
    </xf>
    <xf numFmtId="166" fontId="7" fillId="4" borderId="0" xfId="2" applyNumberFormat="1" applyFill="1" applyBorder="1" applyAlignment="1">
      <alignment horizontal="right" vertical="center"/>
    </xf>
    <xf numFmtId="166" fontId="10" fillId="4" borderId="5" xfId="2" applyNumberFormat="1" applyFont="1" applyFill="1" applyBorder="1" applyAlignment="1">
      <alignment horizontal="right" vertical="center"/>
    </xf>
    <xf numFmtId="166" fontId="10" fillId="4" borderId="0" xfId="2" applyNumberFormat="1" applyFont="1" applyFill="1" applyBorder="1" applyAlignment="1">
      <alignment horizontal="right" vertical="center"/>
    </xf>
    <xf numFmtId="164" fontId="6" fillId="4" borderId="0" xfId="0" applyNumberFormat="1" applyFont="1" applyFill="1" applyAlignment="1">
      <alignment vertical="center"/>
    </xf>
    <xf numFmtId="164" fontId="3" fillId="4" borderId="5" xfId="0" applyNumberFormat="1" applyFont="1" applyFill="1" applyBorder="1"/>
    <xf numFmtId="164" fontId="3" fillId="4" borderId="0" xfId="0" applyNumberFormat="1" applyFont="1" applyFill="1"/>
    <xf numFmtId="166" fontId="7" fillId="4" borderId="0" xfId="2" applyNumberFormat="1" applyFill="1"/>
    <xf numFmtId="166" fontId="10" fillId="4" borderId="5" xfId="2" applyNumberFormat="1" applyFont="1" applyFill="1" applyBorder="1"/>
    <xf numFmtId="166" fontId="10" fillId="4" borderId="0" xfId="2" applyNumberFormat="1" applyFont="1" applyFill="1"/>
    <xf numFmtId="166" fontId="7" fillId="4" borderId="0" xfId="2" applyNumberFormat="1" applyFill="1" applyBorder="1" applyAlignment="1">
      <alignment vertical="center"/>
    </xf>
    <xf numFmtId="166" fontId="10" fillId="4" borderId="5" xfId="0" applyNumberFormat="1" applyFont="1" applyFill="1" applyBorder="1"/>
    <xf numFmtId="166" fontId="10" fillId="4" borderId="0" xfId="0" applyNumberFormat="1" applyFont="1" applyFill="1"/>
    <xf numFmtId="166" fontId="6" fillId="4" borderId="0" xfId="2" applyNumberFormat="1" applyFont="1" applyFill="1" applyBorder="1" applyAlignment="1">
      <alignment horizontal="right" vertical="center"/>
    </xf>
    <xf numFmtId="166" fontId="6" fillId="4" borderId="5" xfId="2" applyNumberFormat="1" applyFont="1" applyFill="1" applyBorder="1" applyAlignment="1">
      <alignment horizontal="right" vertical="center"/>
    </xf>
    <xf numFmtId="164" fontId="7" fillId="4" borderId="5" xfId="0" applyNumberFormat="1" applyFont="1" applyFill="1" applyBorder="1" applyAlignment="1">
      <alignment vertical="center"/>
    </xf>
    <xf numFmtId="164" fontId="7" fillId="4" borderId="0" xfId="0" applyNumberFormat="1" applyFont="1" applyFill="1" applyAlignment="1">
      <alignment vertical="center"/>
    </xf>
    <xf numFmtId="164" fontId="10" fillId="4" borderId="5" xfId="0" applyNumberFormat="1" applyFont="1" applyFill="1" applyBorder="1" applyAlignment="1">
      <alignment vertical="center"/>
    </xf>
    <xf numFmtId="164" fontId="10" fillId="4" borderId="0" xfId="0" applyNumberFormat="1" applyFont="1" applyFill="1" applyAlignment="1">
      <alignment vertical="center"/>
    </xf>
    <xf numFmtId="164" fontId="20" fillId="4" borderId="5" xfId="0" applyNumberFormat="1" applyFont="1" applyFill="1" applyBorder="1" applyAlignment="1">
      <alignment vertical="center"/>
    </xf>
    <xf numFmtId="164" fontId="20" fillId="4" borderId="0" xfId="0" applyNumberFormat="1" applyFont="1" applyFill="1" applyAlignment="1">
      <alignment vertical="center"/>
    </xf>
    <xf numFmtId="166" fontId="7" fillId="4" borderId="0" xfId="2" applyNumberFormat="1" applyFill="1" applyBorder="1"/>
    <xf numFmtId="166" fontId="7" fillId="4" borderId="5" xfId="2" applyNumberFormat="1" applyFill="1" applyBorder="1"/>
    <xf numFmtId="166" fontId="7" fillId="4" borderId="0" xfId="0" applyNumberFormat="1" applyFont="1" applyFill="1"/>
    <xf numFmtId="2" fontId="7" fillId="4" borderId="5" xfId="0" applyNumberFormat="1" applyFont="1" applyFill="1" applyBorder="1"/>
    <xf numFmtId="2" fontId="7" fillId="4" borderId="0" xfId="0" applyNumberFormat="1" applyFont="1" applyFill="1"/>
    <xf numFmtId="2" fontId="3" fillId="4" borderId="0" xfId="0" applyNumberFormat="1" applyFont="1" applyFill="1"/>
    <xf numFmtId="2" fontId="3" fillId="4" borderId="1" xfId="0" applyNumberFormat="1" applyFont="1" applyFill="1" applyBorder="1"/>
    <xf numFmtId="168" fontId="7" fillId="4" borderId="5" xfId="1" applyNumberFormat="1" applyFill="1" applyBorder="1"/>
    <xf numFmtId="168" fontId="7" fillId="4" borderId="0" xfId="1" applyNumberFormat="1" applyFill="1"/>
    <xf numFmtId="168" fontId="7" fillId="4" borderId="1" xfId="1" applyNumberFormat="1" applyFill="1" applyBorder="1"/>
    <xf numFmtId="169" fontId="13" fillId="4" borderId="0" xfId="0" applyNumberFormat="1" applyFont="1" applyFill="1"/>
    <xf numFmtId="165" fontId="7" fillId="3" borderId="0" xfId="1" applyNumberFormat="1" applyFill="1"/>
    <xf numFmtId="9" fontId="7" fillId="3" borderId="0" xfId="2" applyFill="1" applyBorder="1"/>
    <xf numFmtId="0" fontId="9" fillId="5" borderId="2" xfId="0" applyFont="1" applyFill="1" applyBorder="1" applyAlignment="1">
      <alignment vertical="center"/>
    </xf>
    <xf numFmtId="166" fontId="11" fillId="5" borderId="2" xfId="2" applyNumberFormat="1" applyFont="1" applyFill="1" applyBorder="1" applyAlignment="1">
      <alignment horizontal="right" vertical="center"/>
    </xf>
    <xf numFmtId="166" fontId="11" fillId="5" borderId="6" xfId="2" applyNumberFormat="1" applyFont="1" applyFill="1" applyBorder="1" applyAlignment="1">
      <alignment horizontal="right" vertical="center"/>
    </xf>
    <xf numFmtId="164" fontId="11" fillId="5" borderId="2" xfId="0" applyNumberFormat="1" applyFont="1" applyFill="1" applyBorder="1" applyAlignment="1">
      <alignment vertical="center"/>
    </xf>
    <xf numFmtId="164" fontId="11" fillId="5" borderId="6" xfId="0" applyNumberFormat="1" applyFont="1" applyFill="1" applyBorder="1" applyAlignment="1">
      <alignment vertical="center"/>
    </xf>
    <xf numFmtId="164" fontId="9" fillId="5" borderId="3" xfId="0" applyNumberFormat="1" applyFont="1" applyFill="1" applyBorder="1" applyAlignment="1">
      <alignment vertical="center"/>
    </xf>
    <xf numFmtId="166" fontId="11" fillId="5" borderId="2" xfId="2" applyNumberFormat="1" applyFont="1" applyFill="1" applyBorder="1" applyAlignment="1">
      <alignment vertical="center"/>
    </xf>
    <xf numFmtId="166" fontId="11" fillId="5" borderId="6" xfId="2" applyNumberFormat="1" applyFont="1" applyFill="1" applyBorder="1" applyAlignment="1">
      <alignment vertical="center"/>
    </xf>
    <xf numFmtId="164" fontId="12" fillId="5" borderId="2" xfId="0" applyNumberFormat="1" applyFont="1" applyFill="1" applyBorder="1" applyAlignment="1">
      <alignment vertical="center"/>
    </xf>
    <xf numFmtId="164" fontId="11" fillId="5" borderId="3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164" fontId="11" fillId="5" borderId="7" xfId="0" applyNumberFormat="1" applyFont="1" applyFill="1" applyBorder="1" applyAlignment="1">
      <alignment vertical="center"/>
    </xf>
    <xf numFmtId="164" fontId="11" fillId="5" borderId="22" xfId="0" applyNumberFormat="1" applyFont="1" applyFill="1" applyBorder="1" applyAlignment="1">
      <alignment vertical="center"/>
    </xf>
    <xf numFmtId="164" fontId="11" fillId="5" borderId="23" xfId="0" applyNumberFormat="1" applyFont="1" applyFill="1" applyBorder="1" applyAlignment="1">
      <alignment vertical="center"/>
    </xf>
    <xf numFmtId="164" fontId="9" fillId="5" borderId="2" xfId="0" applyNumberFormat="1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164" fontId="25" fillId="5" borderId="2" xfId="0" applyNumberFormat="1" applyFont="1" applyFill="1" applyBorder="1" applyAlignment="1">
      <alignment vertical="center"/>
    </xf>
    <xf numFmtId="164" fontId="9" fillId="5" borderId="7" xfId="0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  <color rgb="FFFFFF99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A5D1-5CD1-483D-A313-11F39602D2CB}">
  <dimension ref="A1:D56"/>
  <sheetViews>
    <sheetView showGridLines="0" tabSelected="1" workbookViewId="0"/>
  </sheetViews>
  <sheetFormatPr defaultRowHeight="12.75" x14ac:dyDescent="0.2"/>
  <cols>
    <col min="1" max="1" width="2.7109375" style="54" customWidth="1"/>
    <col min="2" max="2" width="82.28515625" style="3" bestFit="1" customWidth="1"/>
    <col min="3" max="3" width="10.7109375" style="3" customWidth="1"/>
    <col min="4" max="16384" width="9.140625" style="3"/>
  </cols>
  <sheetData>
    <row r="1" spans="2:3" x14ac:dyDescent="0.2">
      <c r="B1" s="3" t="s">
        <v>3</v>
      </c>
    </row>
    <row r="2" spans="2:3" ht="8.1" customHeight="1" x14ac:dyDescent="0.2"/>
    <row r="3" spans="2:3" ht="15" x14ac:dyDescent="0.35">
      <c r="B3" s="4" t="s">
        <v>53</v>
      </c>
      <c r="C3" s="40"/>
    </row>
    <row r="4" spans="2:3" ht="8.1" customHeight="1" x14ac:dyDescent="0.35">
      <c r="B4" s="1"/>
      <c r="C4" s="2"/>
    </row>
    <row r="5" spans="2:3" ht="15" x14ac:dyDescent="0.35">
      <c r="B5" s="29" t="s">
        <v>52</v>
      </c>
      <c r="C5" s="29"/>
    </row>
    <row r="6" spans="2:3" x14ac:dyDescent="0.2">
      <c r="B6" s="3" t="s">
        <v>36</v>
      </c>
      <c r="C6" s="36">
        <v>0.21</v>
      </c>
    </row>
    <row r="7" spans="2:3" x14ac:dyDescent="0.2">
      <c r="B7" s="3" t="s">
        <v>37</v>
      </c>
      <c r="C7" s="36">
        <v>0.17499999999999999</v>
      </c>
    </row>
    <row r="8" spans="2:3" x14ac:dyDescent="0.2">
      <c r="B8" s="3" t="s">
        <v>38</v>
      </c>
      <c r="C8" s="36">
        <v>0.02</v>
      </c>
    </row>
    <row r="9" spans="2:3" x14ac:dyDescent="0.2">
      <c r="C9" s="38"/>
    </row>
    <row r="10" spans="2:3" ht="15" x14ac:dyDescent="0.35">
      <c r="B10" s="29" t="s">
        <v>87</v>
      </c>
      <c r="C10" s="38"/>
    </row>
    <row r="11" spans="2:3" x14ac:dyDescent="0.2">
      <c r="B11" s="3" t="s">
        <v>36</v>
      </c>
      <c r="C11" s="36">
        <v>-0.01</v>
      </c>
    </row>
    <row r="12" spans="2:3" x14ac:dyDescent="0.2">
      <c r="B12" s="3" t="s">
        <v>37</v>
      </c>
      <c r="C12" s="36">
        <v>-1.2500000000000001E-2</v>
      </c>
    </row>
    <row r="13" spans="2:3" x14ac:dyDescent="0.2">
      <c r="B13" s="3" t="s">
        <v>38</v>
      </c>
      <c r="C13" s="36">
        <v>-1E-3</v>
      </c>
    </row>
    <row r="15" spans="2:3" ht="15" x14ac:dyDescent="0.35">
      <c r="B15" s="29" t="s">
        <v>88</v>
      </c>
      <c r="C15" s="38"/>
    </row>
    <row r="16" spans="2:3" x14ac:dyDescent="0.2">
      <c r="B16" s="3" t="s">
        <v>36</v>
      </c>
      <c r="C16" s="37">
        <v>5.0000000000000001E-3</v>
      </c>
    </row>
    <row r="17" spans="2:4" x14ac:dyDescent="0.2">
      <c r="B17" s="3" t="s">
        <v>37</v>
      </c>
      <c r="C17" s="37">
        <v>-3.0000000000000001E-3</v>
      </c>
    </row>
    <row r="18" spans="2:4" x14ac:dyDescent="0.2">
      <c r="B18" s="3" t="s">
        <v>38</v>
      </c>
      <c r="C18" s="37">
        <v>0</v>
      </c>
    </row>
    <row r="20" spans="2:4" ht="15" x14ac:dyDescent="0.35">
      <c r="B20" s="29" t="s">
        <v>89</v>
      </c>
      <c r="C20" s="38"/>
    </row>
    <row r="21" spans="2:4" x14ac:dyDescent="0.2">
      <c r="B21" s="3" t="s">
        <v>36</v>
      </c>
      <c r="C21" s="36">
        <v>2.5000000000000001E-3</v>
      </c>
    </row>
    <row r="22" spans="2:4" x14ac:dyDescent="0.2">
      <c r="B22" s="3" t="s">
        <v>37</v>
      </c>
      <c r="C22" s="36">
        <v>1E-3</v>
      </c>
    </row>
    <row r="23" spans="2:4" x14ac:dyDescent="0.2">
      <c r="B23" s="3" t="s">
        <v>38</v>
      </c>
      <c r="C23" s="36">
        <v>0.01</v>
      </c>
    </row>
    <row r="25" spans="2:4" ht="15" x14ac:dyDescent="0.35">
      <c r="B25" s="29" t="s">
        <v>91</v>
      </c>
      <c r="C25" s="38"/>
    </row>
    <row r="26" spans="2:4" x14ac:dyDescent="0.2">
      <c r="B26" s="3" t="s">
        <v>92</v>
      </c>
      <c r="C26" s="36">
        <v>0.04</v>
      </c>
    </row>
    <row r="28" spans="2:4" ht="15" x14ac:dyDescent="0.35">
      <c r="B28" s="29" t="s">
        <v>62</v>
      </c>
      <c r="C28" s="38"/>
    </row>
    <row r="29" spans="2:4" x14ac:dyDescent="0.2">
      <c r="B29" s="3" t="s">
        <v>62</v>
      </c>
      <c r="C29" s="36">
        <v>0.25</v>
      </c>
    </row>
    <row r="31" spans="2:4" ht="15" x14ac:dyDescent="0.35">
      <c r="B31" s="29" t="s">
        <v>61</v>
      </c>
      <c r="C31" s="38"/>
      <c r="D31" s="41"/>
    </row>
    <row r="32" spans="2:4" x14ac:dyDescent="0.2">
      <c r="B32" s="3" t="s">
        <v>84</v>
      </c>
      <c r="C32" s="36">
        <v>2E-3</v>
      </c>
    </row>
    <row r="34" spans="2:3" ht="15" x14ac:dyDescent="0.35">
      <c r="B34" s="29" t="s">
        <v>55</v>
      </c>
      <c r="C34" s="38"/>
    </row>
    <row r="35" spans="2:3" x14ac:dyDescent="0.2">
      <c r="B35" s="6" t="s">
        <v>107</v>
      </c>
      <c r="C35" s="49">
        <v>5</v>
      </c>
    </row>
    <row r="36" spans="2:3" x14ac:dyDescent="0.2">
      <c r="B36" s="3" t="s">
        <v>97</v>
      </c>
      <c r="C36" s="44">
        <v>1952</v>
      </c>
    </row>
    <row r="37" spans="2:3" x14ac:dyDescent="0.2">
      <c r="B37" s="3" t="s">
        <v>102</v>
      </c>
      <c r="C37" s="44">
        <v>1125</v>
      </c>
    </row>
    <row r="38" spans="2:3" x14ac:dyDescent="0.2">
      <c r="B38" s="3" t="s">
        <v>73</v>
      </c>
      <c r="C38" s="44">
        <v>246</v>
      </c>
    </row>
    <row r="39" spans="2:3" x14ac:dyDescent="0.2">
      <c r="B39" s="3" t="s">
        <v>74</v>
      </c>
      <c r="C39" s="44">
        <v>185</v>
      </c>
    </row>
    <row r="40" spans="2:3" x14ac:dyDescent="0.2">
      <c r="B40" s="3" t="s">
        <v>75</v>
      </c>
      <c r="C40" s="44">
        <v>170</v>
      </c>
    </row>
    <row r="41" spans="2:3" x14ac:dyDescent="0.2">
      <c r="B41" s="3" t="s">
        <v>76</v>
      </c>
      <c r="C41" s="44">
        <v>127</v>
      </c>
    </row>
    <row r="42" spans="2:3" x14ac:dyDescent="0.2">
      <c r="B42" s="3" t="s">
        <v>77</v>
      </c>
      <c r="C42" s="44">
        <v>84</v>
      </c>
    </row>
    <row r="43" spans="2:3" x14ac:dyDescent="0.2">
      <c r="B43" s="3" t="s">
        <v>79</v>
      </c>
      <c r="C43" s="44">
        <v>311</v>
      </c>
    </row>
    <row r="45" spans="2:3" ht="15" x14ac:dyDescent="0.35">
      <c r="B45" s="29" t="s">
        <v>80</v>
      </c>
      <c r="C45" s="38"/>
    </row>
    <row r="46" spans="2:3" x14ac:dyDescent="0.2">
      <c r="B46" s="3" t="s">
        <v>85</v>
      </c>
      <c r="C46" s="36">
        <v>2.5000000000000001E-2</v>
      </c>
    </row>
    <row r="48" spans="2:3" ht="15" x14ac:dyDescent="0.35">
      <c r="B48" s="29" t="s">
        <v>63</v>
      </c>
      <c r="C48" s="38"/>
    </row>
    <row r="49" spans="2:3" x14ac:dyDescent="0.2">
      <c r="B49" s="3" t="s">
        <v>86</v>
      </c>
      <c r="C49" s="36">
        <v>1.2500000000000001E-2</v>
      </c>
    </row>
    <row r="52" spans="2:3" ht="15" x14ac:dyDescent="0.35">
      <c r="B52" s="29" t="s">
        <v>81</v>
      </c>
    </row>
    <row r="53" spans="2:3" x14ac:dyDescent="0.2">
      <c r="B53" s="3" t="s">
        <v>90</v>
      </c>
    </row>
    <row r="54" spans="2:3" x14ac:dyDescent="0.2">
      <c r="B54" s="3" t="s">
        <v>82</v>
      </c>
    </row>
    <row r="55" spans="2:3" x14ac:dyDescent="0.2">
      <c r="B55" s="3" t="s">
        <v>83</v>
      </c>
    </row>
    <row r="56" spans="2:3" x14ac:dyDescent="0.2">
      <c r="B56" s="3" t="s">
        <v>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B0AC-5027-4515-AEB0-ECEF902E1937}">
  <dimension ref="B1:X113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2.75" x14ac:dyDescent="0.2"/>
  <cols>
    <col min="1" max="1" width="2.7109375" style="3" customWidth="1"/>
    <col min="2" max="2" width="42.28515625" style="3" bestFit="1" customWidth="1"/>
    <col min="3" max="15" width="12.28515625" style="3" customWidth="1"/>
    <col min="16" max="16" width="12.7109375" style="3" customWidth="1"/>
    <col min="17" max="17" width="11.5703125" style="32" bestFit="1" customWidth="1"/>
    <col min="18" max="21" width="10.5703125" style="3" bestFit="1" customWidth="1"/>
    <col min="22" max="22" width="9.7109375" style="3" bestFit="1" customWidth="1"/>
    <col min="23" max="23" width="10.28515625" style="3" bestFit="1" customWidth="1"/>
    <col min="24" max="24" width="9.7109375" style="3" bestFit="1" customWidth="1"/>
    <col min="25" max="16384" width="8.7109375" style="3"/>
  </cols>
  <sheetData>
    <row r="1" spans="2:17" x14ac:dyDescent="0.2">
      <c r="B1" s="3" t="s">
        <v>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2:17" x14ac:dyDescent="0.2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7" ht="8.1" customHeight="1" x14ac:dyDescent="0.2"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7" ht="15" x14ac:dyDescent="0.35">
      <c r="B4" s="55"/>
      <c r="C4" s="4" t="s">
        <v>4</v>
      </c>
      <c r="D4" s="4"/>
      <c r="E4" s="53" t="s">
        <v>5</v>
      </c>
      <c r="F4" s="4"/>
      <c r="G4" s="4"/>
      <c r="H4" s="4"/>
      <c r="I4" s="4"/>
      <c r="J4" s="4"/>
      <c r="K4" s="4"/>
      <c r="L4" s="4"/>
      <c r="M4" s="4"/>
      <c r="N4" s="4"/>
      <c r="O4" s="4"/>
      <c r="P4" s="9" t="s">
        <v>6</v>
      </c>
    </row>
    <row r="5" spans="2:17" ht="15" x14ac:dyDescent="0.35">
      <c r="B5" s="8" t="s">
        <v>7</v>
      </c>
      <c r="C5" s="5" t="s">
        <v>8</v>
      </c>
      <c r="D5" s="5" t="s">
        <v>9</v>
      </c>
      <c r="E5" s="51" t="s">
        <v>0</v>
      </c>
      <c r="F5" s="5" t="s">
        <v>1</v>
      </c>
      <c r="G5" s="5" t="s">
        <v>2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41</v>
      </c>
      <c r="O5" s="5" t="s">
        <v>42</v>
      </c>
      <c r="P5" s="5" t="s">
        <v>16</v>
      </c>
    </row>
    <row r="6" spans="2:17" ht="8.1" customHeight="1" x14ac:dyDescent="0.2">
      <c r="E6" s="46"/>
      <c r="P6" s="10"/>
    </row>
    <row r="7" spans="2:17" x14ac:dyDescent="0.2">
      <c r="B7" s="30" t="s">
        <v>78</v>
      </c>
      <c r="E7" s="46"/>
      <c r="P7" s="10"/>
    </row>
    <row r="8" spans="2:17" x14ac:dyDescent="0.2">
      <c r="B8" s="3" t="s">
        <v>36</v>
      </c>
      <c r="C8" s="35"/>
      <c r="D8" s="82">
        <f t="shared" ref="D8:D11" si="0">IFERROR(D14/C14-1,"n/m")</f>
      </c>
      <c r="E8" s="83">
        <f>FORECAST_ASSUMPTIONS!C6</f>
      </c>
      <c r="F8" s="84">
        <f>E8+FORECAST_ASSUMPTIONS!$C$11</f>
      </c>
      <c r="G8" s="84">
        <f>F8+FORECAST_ASSUMPTIONS!$C$11</f>
      </c>
      <c r="H8" s="84">
        <f>G8+FORECAST_ASSUMPTIONS!$C$11</f>
      </c>
      <c r="I8" s="84">
        <f>H8+FORECAST_ASSUMPTIONS!$C$11</f>
      </c>
      <c r="J8" s="84">
        <f>I8+FORECAST_ASSUMPTIONS!$C$11</f>
      </c>
      <c r="K8" s="84">
        <f>J8+FORECAST_ASSUMPTIONS!$C$11</f>
      </c>
      <c r="L8" s="84">
        <f>K8+FORECAST_ASSUMPTIONS!$C$11</f>
      </c>
      <c r="M8" s="84">
        <f>L8+FORECAST_ASSUMPTIONS!$C$11</f>
      </c>
      <c r="N8" s="84">
        <f>M8+FORECAST_ASSUMPTIONS!$C$11</f>
      </c>
      <c r="O8" s="84">
        <f>N8+FORECAST_ASSUMPTIONS!$C$11</f>
      </c>
      <c r="P8" s="34"/>
    </row>
    <row r="9" spans="2:17" x14ac:dyDescent="0.2">
      <c r="B9" s="3" t="s">
        <v>37</v>
      </c>
      <c r="C9" s="35"/>
      <c r="D9" s="82">
        <f t="shared" si="0"/>
      </c>
      <c r="E9" s="83">
        <f>FORECAST_ASSUMPTIONS!C7</f>
      </c>
      <c r="F9" s="84">
        <f>E9+FORECAST_ASSUMPTIONS!$C$12</f>
      </c>
      <c r="G9" s="84">
        <f>F9+FORECAST_ASSUMPTIONS!$C$12</f>
      </c>
      <c r="H9" s="84">
        <f>G9+FORECAST_ASSUMPTIONS!$C$12</f>
      </c>
      <c r="I9" s="84">
        <f>H9+FORECAST_ASSUMPTIONS!$C$12</f>
      </c>
      <c r="J9" s="84">
        <f>I9+FORECAST_ASSUMPTIONS!$C$12</f>
      </c>
      <c r="K9" s="84">
        <f>J9+FORECAST_ASSUMPTIONS!$C$12</f>
      </c>
      <c r="L9" s="84">
        <f>K9+FORECAST_ASSUMPTIONS!$C$12</f>
      </c>
      <c r="M9" s="84">
        <f>L9+FORECAST_ASSUMPTIONS!$C$12</f>
      </c>
      <c r="N9" s="84">
        <f>M9+FORECAST_ASSUMPTIONS!$C$12</f>
      </c>
      <c r="O9" s="84">
        <f>N9+FORECAST_ASSUMPTIONS!$C$12</f>
      </c>
      <c r="P9" s="34"/>
    </row>
    <row r="10" spans="2:17" x14ac:dyDescent="0.2">
      <c r="B10" s="3" t="s">
        <v>38</v>
      </c>
      <c r="C10" s="35"/>
      <c r="D10" s="82">
        <f t="shared" si="0"/>
      </c>
      <c r="E10" s="83">
        <f>FORECAST_ASSUMPTIONS!C8</f>
      </c>
      <c r="F10" s="84">
        <f>E10+FORECAST_ASSUMPTIONS!$C$13</f>
      </c>
      <c r="G10" s="84">
        <f>F10+FORECAST_ASSUMPTIONS!$C$13</f>
      </c>
      <c r="H10" s="84">
        <f>G10+FORECAST_ASSUMPTIONS!$C$13</f>
      </c>
      <c r="I10" s="84">
        <f>H10+FORECAST_ASSUMPTIONS!$C$13</f>
      </c>
      <c r="J10" s="84">
        <f>I10+FORECAST_ASSUMPTIONS!$C$13</f>
      </c>
      <c r="K10" s="84">
        <f>J10+FORECAST_ASSUMPTIONS!$C$13</f>
      </c>
      <c r="L10" s="84">
        <f>K10+FORECAST_ASSUMPTIONS!$C$13</f>
      </c>
      <c r="M10" s="84">
        <f>L10+FORECAST_ASSUMPTIONS!$C$13</f>
      </c>
      <c r="N10" s="84">
        <f>M10+FORECAST_ASSUMPTIONS!$C$13</f>
      </c>
      <c r="O10" s="84">
        <f>N10+FORECAST_ASSUMPTIONS!$C$13</f>
      </c>
      <c r="P10" s="34"/>
    </row>
    <row r="11" spans="2:17" s="6" customFormat="1" ht="15" customHeight="1" x14ac:dyDescent="0.2">
      <c r="B11" s="115" t="s">
        <v>106</v>
      </c>
      <c r="C11" s="116"/>
      <c r="D11" s="116">
        <f t="shared" si="0"/>
      </c>
      <c r="E11" s="117">
        <f t="shared" ref="E11:O11" si="1">E17/D17-1</f>
      </c>
      <c r="F11" s="116">
        <f t="shared" si="1"/>
      </c>
      <c r="G11" s="116">
        <f t="shared" si="1"/>
      </c>
      <c r="H11" s="116">
        <f t="shared" si="1"/>
      </c>
      <c r="I11" s="116">
        <f t="shared" si="1"/>
      </c>
      <c r="J11" s="116">
        <f t="shared" si="1"/>
      </c>
      <c r="K11" s="116">
        <f t="shared" si="1"/>
      </c>
      <c r="L11" s="116">
        <f t="shared" si="1"/>
      </c>
      <c r="M11" s="116">
        <f t="shared" si="1"/>
      </c>
      <c r="N11" s="116">
        <f t="shared" si="1"/>
      </c>
      <c r="O11" s="116">
        <f t="shared" si="1"/>
      </c>
      <c r="P11" s="10"/>
      <c r="Q11" s="33"/>
    </row>
    <row r="12" spans="2:17" ht="8.1" customHeight="1" x14ac:dyDescent="0.2">
      <c r="E12" s="46"/>
      <c r="P12" s="10"/>
    </row>
    <row r="13" spans="2:17" x14ac:dyDescent="0.2">
      <c r="B13" s="30" t="s">
        <v>65</v>
      </c>
      <c r="E13" s="46"/>
      <c r="P13" s="10"/>
    </row>
    <row r="14" spans="2:17" x14ac:dyDescent="0.2">
      <c r="B14" s="3" t="s">
        <v>36</v>
      </c>
      <c r="C14" s="85">
        <v>68897</v>
      </c>
      <c r="D14" s="85">
        <v>83024</v>
      </c>
      <c r="E14" s="86">
        <f t="shared" ref="E14:O14" si="2">D14*(1+E8)</f>
      </c>
      <c r="F14" s="87">
        <f t="shared" si="2"/>
      </c>
      <c r="G14" s="87">
        <f t="shared" si="2"/>
      </c>
      <c r="H14" s="87">
        <f t="shared" si="2"/>
      </c>
      <c r="I14" s="87">
        <f t="shared" si="2"/>
      </c>
      <c r="J14" s="87">
        <f t="shared" si="2"/>
      </c>
      <c r="K14" s="87">
        <f t="shared" si="2"/>
      </c>
      <c r="L14" s="87">
        <f t="shared" si="2"/>
      </c>
      <c r="M14" s="87">
        <f t="shared" si="2"/>
      </c>
      <c r="N14" s="87">
        <f t="shared" si="2"/>
      </c>
      <c r="O14" s="87">
        <f t="shared" si="2"/>
      </c>
      <c r="P14" s="10"/>
    </row>
    <row r="15" spans="2:17" x14ac:dyDescent="0.2">
      <c r="B15" s="3" t="s">
        <v>37</v>
      </c>
      <c r="C15" s="85">
        <v>63726</v>
      </c>
      <c r="D15" s="85">
        <v>74614</v>
      </c>
      <c r="E15" s="86">
        <f t="shared" ref="E15:O15" si="3">D15*(1+E9)</f>
      </c>
      <c r="F15" s="87">
        <f t="shared" si="3"/>
      </c>
      <c r="G15" s="87">
        <f t="shared" si="3"/>
      </c>
      <c r="H15" s="87">
        <f t="shared" si="3"/>
      </c>
      <c r="I15" s="87">
        <f t="shared" si="3"/>
      </c>
      <c r="J15" s="87">
        <f t="shared" si="3"/>
      </c>
      <c r="K15" s="87">
        <f t="shared" si="3"/>
      </c>
      <c r="L15" s="87">
        <f t="shared" si="3"/>
      </c>
      <c r="M15" s="87">
        <f t="shared" si="3"/>
      </c>
      <c r="N15" s="87">
        <f t="shared" si="3"/>
      </c>
      <c r="O15" s="87">
        <f t="shared" si="3"/>
      </c>
      <c r="P15" s="10"/>
    </row>
    <row r="16" spans="2:17" x14ac:dyDescent="0.2">
      <c r="B16" s="3" t="s">
        <v>38</v>
      </c>
      <c r="C16" s="85">
        <v>5241</v>
      </c>
      <c r="D16" s="85">
        <v>5135</v>
      </c>
      <c r="E16" s="86">
        <f t="shared" ref="E16:O16" si="4">D16*(1+E10)</f>
      </c>
      <c r="F16" s="87">
        <f t="shared" si="4"/>
      </c>
      <c r="G16" s="87">
        <f t="shared" si="4"/>
      </c>
      <c r="H16" s="87">
        <f t="shared" si="4"/>
      </c>
      <c r="I16" s="87">
        <f t="shared" si="4"/>
      </c>
      <c r="J16" s="87">
        <f t="shared" si="4"/>
      </c>
      <c r="K16" s="87">
        <f t="shared" si="4"/>
      </c>
      <c r="L16" s="87">
        <f t="shared" si="4"/>
      </c>
      <c r="M16" s="87">
        <f t="shared" si="4"/>
      </c>
      <c r="N16" s="87">
        <f t="shared" si="4"/>
      </c>
      <c r="O16" s="87">
        <f t="shared" si="4"/>
      </c>
      <c r="P16" s="10"/>
    </row>
    <row r="17" spans="2:17" s="6" customFormat="1" ht="15" customHeight="1" x14ac:dyDescent="0.25">
      <c r="B17" s="115" t="s">
        <v>39</v>
      </c>
      <c r="C17" s="118">
        <f t="shared" ref="C17:O17" si="5">SUM(C14:C16)</f>
      </c>
      <c r="D17" s="118">
        <f t="shared" si="5"/>
      </c>
      <c r="E17" s="119">
        <f t="shared" si="5"/>
      </c>
      <c r="F17" s="118">
        <f t="shared" si="5"/>
      </c>
      <c r="G17" s="118">
        <f t="shared" si="5"/>
      </c>
      <c r="H17" s="118">
        <f t="shared" si="5"/>
      </c>
      <c r="I17" s="118">
        <f t="shared" si="5"/>
      </c>
      <c r="J17" s="118">
        <f t="shared" si="5"/>
      </c>
      <c r="K17" s="118">
        <f t="shared" si="5"/>
      </c>
      <c r="L17" s="118">
        <f t="shared" si="5"/>
      </c>
      <c r="M17" s="118">
        <f t="shared" si="5"/>
      </c>
      <c r="N17" s="118">
        <f t="shared" si="5"/>
      </c>
      <c r="O17" s="118">
        <f t="shared" si="5"/>
      </c>
      <c r="P17" s="120">
        <f>O17</f>
      </c>
      <c r="Q17" s="33"/>
    </row>
    <row r="18" spans="2:17" x14ac:dyDescent="0.2">
      <c r="B18" s="11" t="s">
        <v>105</v>
      </c>
      <c r="C18" s="12"/>
      <c r="D18" s="88">
        <f t="shared" ref="D18" si="6">D17/C17-1</f>
      </c>
      <c r="E18" s="103">
        <f t="shared" ref="E18" si="7">E17/D17-1</f>
      </c>
      <c r="F18" s="88">
        <f>F17/E17-1</f>
      </c>
      <c r="G18" s="88">
        <f t="shared" ref="G18" si="8">G17/F17-1</f>
      </c>
      <c r="H18" s="88">
        <f t="shared" ref="H18" si="9">H17/G17-1</f>
      </c>
      <c r="I18" s="88">
        <f t="shared" ref="I18" si="10">I17/H17-1</f>
      </c>
      <c r="J18" s="104">
        <f t="shared" ref="J18" si="11">J17/I17-1</f>
      </c>
      <c r="K18" s="104">
        <f t="shared" ref="K18" si="12">K17/J17-1</f>
      </c>
      <c r="L18" s="104">
        <f t="shared" ref="L18" si="13">L17/K17-1</f>
      </c>
      <c r="M18" s="104">
        <f t="shared" ref="M18" si="14">M17/L17-1</f>
      </c>
      <c r="N18" s="104">
        <f t="shared" ref="N18" si="15">N17/M17-1</f>
      </c>
      <c r="O18" s="104">
        <f t="shared" ref="O18" si="16">O17/N17-1</f>
      </c>
      <c r="P18" s="10"/>
    </row>
    <row r="19" spans="2:17" ht="8.1" customHeight="1" x14ac:dyDescent="0.2">
      <c r="E19" s="46"/>
      <c r="P19" s="10"/>
    </row>
    <row r="20" spans="2:17" x14ac:dyDescent="0.2">
      <c r="B20" s="30" t="s">
        <v>94</v>
      </c>
      <c r="E20" s="46"/>
      <c r="P20" s="10"/>
    </row>
    <row r="21" spans="2:17" x14ac:dyDescent="0.2">
      <c r="B21" s="3" t="s">
        <v>36</v>
      </c>
      <c r="C21" s="88">
        <f t="shared" ref="C21:D24" si="17">C27/C14</f>
      </c>
      <c r="D21" s="88">
        <f t="shared" si="17"/>
      </c>
      <c r="E21" s="89">
        <f>D21+FORECAST_ASSUMPTIONS!$C$16</f>
      </c>
      <c r="F21" s="90">
        <f>E21+FORECAST_ASSUMPTIONS!$C$16</f>
      </c>
      <c r="G21" s="90">
        <f>F21+FORECAST_ASSUMPTIONS!$C$16</f>
      </c>
      <c r="H21" s="90">
        <f>G21+FORECAST_ASSUMPTIONS!$C$16</f>
      </c>
      <c r="I21" s="90">
        <f>H21+FORECAST_ASSUMPTIONS!$C$16</f>
      </c>
      <c r="J21" s="90">
        <f>I21+FORECAST_ASSUMPTIONS!$C$16</f>
      </c>
      <c r="K21" s="90">
        <f>J21+FORECAST_ASSUMPTIONS!$C$16</f>
      </c>
      <c r="L21" s="90">
        <f>K21+FORECAST_ASSUMPTIONS!$C$16</f>
      </c>
      <c r="M21" s="90">
        <f>L21+FORECAST_ASSUMPTIONS!$C$16</f>
      </c>
      <c r="N21" s="90">
        <f>M21+FORECAST_ASSUMPTIONS!$C$16</f>
      </c>
      <c r="O21" s="90">
        <f>N21+FORECAST_ASSUMPTIONS!$C$16</f>
      </c>
      <c r="P21" s="10"/>
    </row>
    <row r="22" spans="2:17" x14ac:dyDescent="0.2">
      <c r="B22" s="3" t="s">
        <v>37</v>
      </c>
      <c r="C22" s="88">
        <f t="shared" si="17"/>
      </c>
      <c r="D22" s="88">
        <f t="shared" si="17"/>
      </c>
      <c r="E22" s="89">
        <f>D22+FORECAST_ASSUMPTIONS!$C$17</f>
      </c>
      <c r="F22" s="90">
        <f>E22+FORECAST_ASSUMPTIONS!$C$17</f>
      </c>
      <c r="G22" s="90">
        <f>F22+FORECAST_ASSUMPTIONS!$C$17</f>
      </c>
      <c r="H22" s="90">
        <f>G22+FORECAST_ASSUMPTIONS!$C$17</f>
      </c>
      <c r="I22" s="90">
        <f>H22+FORECAST_ASSUMPTIONS!$C$17</f>
      </c>
      <c r="J22" s="90">
        <f>I22+FORECAST_ASSUMPTIONS!$C$17</f>
      </c>
      <c r="K22" s="90">
        <f>J22+FORECAST_ASSUMPTIONS!$C$17</f>
      </c>
      <c r="L22" s="90">
        <f>K22+FORECAST_ASSUMPTIONS!$C$17</f>
      </c>
      <c r="M22" s="90">
        <f>L22+FORECAST_ASSUMPTIONS!$C$17</f>
      </c>
      <c r="N22" s="90">
        <f>M22+FORECAST_ASSUMPTIONS!$C$17</f>
      </c>
      <c r="O22" s="90">
        <f>N22+FORECAST_ASSUMPTIONS!$C$17</f>
      </c>
      <c r="P22" s="10"/>
    </row>
    <row r="23" spans="2:17" x14ac:dyDescent="0.2">
      <c r="B23" s="3" t="s">
        <v>38</v>
      </c>
      <c r="C23" s="88">
        <f t="shared" si="17"/>
      </c>
      <c r="D23" s="88">
        <f t="shared" si="17"/>
      </c>
      <c r="E23" s="89">
        <f>D23+FORECAST_ASSUMPTIONS!$C$18</f>
      </c>
      <c r="F23" s="90">
        <f>E23+FORECAST_ASSUMPTIONS!$C$18</f>
      </c>
      <c r="G23" s="90">
        <f>F23+FORECAST_ASSUMPTIONS!$C$18</f>
      </c>
      <c r="H23" s="90">
        <f>G23+FORECAST_ASSUMPTIONS!$C$18</f>
      </c>
      <c r="I23" s="90">
        <f>H23+FORECAST_ASSUMPTIONS!$C$18</f>
      </c>
      <c r="J23" s="90">
        <f>I23+FORECAST_ASSUMPTIONS!$C$18</f>
      </c>
      <c r="K23" s="90">
        <f>J23+FORECAST_ASSUMPTIONS!$C$18</f>
      </c>
      <c r="L23" s="90">
        <f>K23+FORECAST_ASSUMPTIONS!$C$18</f>
      </c>
      <c r="M23" s="90">
        <f>L23+FORECAST_ASSUMPTIONS!$C$18</f>
      </c>
      <c r="N23" s="90">
        <f>M23+FORECAST_ASSUMPTIONS!$C$18</f>
      </c>
      <c r="O23" s="90">
        <f>N23+FORECAST_ASSUMPTIONS!$C$18</f>
      </c>
      <c r="P23" s="10"/>
    </row>
    <row r="24" spans="2:17" s="6" customFormat="1" ht="15" customHeight="1" x14ac:dyDescent="0.2">
      <c r="B24" s="115" t="s">
        <v>54</v>
      </c>
      <c r="C24" s="121">
        <f t="shared" si="17"/>
      </c>
      <c r="D24" s="121">
        <f t="shared" si="17"/>
      </c>
      <c r="E24" s="122">
        <f>E30/E17</f>
      </c>
      <c r="F24" s="121">
        <f t="shared" ref="F24:O24" si="18">F30/F17</f>
      </c>
      <c r="G24" s="121">
        <f t="shared" si="18"/>
      </c>
      <c r="H24" s="121">
        <f t="shared" si="18"/>
      </c>
      <c r="I24" s="121">
        <f t="shared" si="18"/>
      </c>
      <c r="J24" s="121">
        <f t="shared" si="18"/>
      </c>
      <c r="K24" s="121">
        <f t="shared" si="18"/>
      </c>
      <c r="L24" s="121">
        <f t="shared" si="18"/>
      </c>
      <c r="M24" s="121">
        <f t="shared" si="18"/>
      </c>
      <c r="N24" s="121">
        <f t="shared" si="18"/>
      </c>
      <c r="O24" s="121">
        <f t="shared" si="18"/>
      </c>
      <c r="P24" s="10"/>
      <c r="Q24" s="33"/>
    </row>
    <row r="25" spans="2:17" ht="8.1" customHeight="1" x14ac:dyDescent="0.2">
      <c r="E25" s="46"/>
      <c r="P25" s="10"/>
    </row>
    <row r="26" spans="2:17" x14ac:dyDescent="0.2">
      <c r="B26" s="30" t="s">
        <v>64</v>
      </c>
      <c r="E26" s="46"/>
      <c r="P26" s="10"/>
    </row>
    <row r="27" spans="2:17" x14ac:dyDescent="0.2">
      <c r="B27" s="3" t="s">
        <v>36</v>
      </c>
      <c r="C27" s="85">
        <v>19832</v>
      </c>
      <c r="D27" s="85">
        <v>25087</v>
      </c>
      <c r="E27" s="86">
        <f>E14*E21</f>
      </c>
      <c r="F27" s="87">
        <f t="shared" ref="F27:O27" si="19">F14*F21</f>
      </c>
      <c r="G27" s="87">
        <f t="shared" si="19"/>
      </c>
      <c r="H27" s="87">
        <f t="shared" si="19"/>
      </c>
      <c r="I27" s="87">
        <f t="shared" si="19"/>
      </c>
      <c r="J27" s="87">
        <f t="shared" si="19"/>
      </c>
      <c r="K27" s="87">
        <f t="shared" si="19"/>
      </c>
      <c r="L27" s="87">
        <f t="shared" si="19"/>
      </c>
      <c r="M27" s="87">
        <f t="shared" si="19"/>
      </c>
      <c r="N27" s="87">
        <f t="shared" si="19"/>
      </c>
      <c r="O27" s="87">
        <f t="shared" si="19"/>
      </c>
      <c r="P27" s="10"/>
    </row>
    <row r="28" spans="2:17" x14ac:dyDescent="0.2">
      <c r="B28" s="3" t="s">
        <v>37</v>
      </c>
      <c r="C28" s="85">
        <v>12204</v>
      </c>
      <c r="D28" s="85">
        <v>13750</v>
      </c>
      <c r="E28" s="86">
        <f t="shared" ref="E28:O28" si="20">E15*E22</f>
      </c>
      <c r="F28" s="87">
        <f t="shared" si="20"/>
      </c>
      <c r="G28" s="87">
        <f t="shared" si="20"/>
      </c>
      <c r="H28" s="87">
        <f t="shared" si="20"/>
      </c>
      <c r="I28" s="87">
        <f t="shared" si="20"/>
      </c>
      <c r="J28" s="87">
        <f t="shared" si="20"/>
      </c>
      <c r="K28" s="87">
        <f t="shared" si="20"/>
      </c>
      <c r="L28" s="87">
        <f t="shared" si="20"/>
      </c>
      <c r="M28" s="87">
        <f t="shared" si="20"/>
      </c>
      <c r="N28" s="87">
        <f t="shared" si="20"/>
      </c>
      <c r="O28" s="87">
        <f t="shared" si="20"/>
      </c>
      <c r="P28" s="10"/>
    </row>
    <row r="29" spans="2:17" x14ac:dyDescent="0.2">
      <c r="B29" s="3" t="s">
        <v>38</v>
      </c>
      <c r="C29" s="85">
        <v>5245</v>
      </c>
      <c r="D29" s="85">
        <v>5141</v>
      </c>
      <c r="E29" s="86">
        <f t="shared" ref="E29:O29" si="21">E16*E23</f>
      </c>
      <c r="F29" s="87">
        <f t="shared" si="21"/>
      </c>
      <c r="G29" s="87">
        <f t="shared" si="21"/>
      </c>
      <c r="H29" s="87">
        <f t="shared" si="21"/>
      </c>
      <c r="I29" s="87">
        <f t="shared" si="21"/>
      </c>
      <c r="J29" s="87">
        <f t="shared" si="21"/>
      </c>
      <c r="K29" s="87">
        <f t="shared" si="21"/>
      </c>
      <c r="L29" s="87">
        <f t="shared" si="21"/>
      </c>
      <c r="M29" s="87">
        <f t="shared" si="21"/>
      </c>
      <c r="N29" s="87">
        <f t="shared" si="21"/>
      </c>
      <c r="O29" s="87">
        <f t="shared" si="21"/>
      </c>
      <c r="P29" s="10"/>
    </row>
    <row r="30" spans="2:17" s="6" customFormat="1" ht="15" customHeight="1" x14ac:dyDescent="0.25">
      <c r="B30" s="115" t="s">
        <v>40</v>
      </c>
      <c r="C30" s="118">
        <f t="shared" ref="C30:O30" si="22">SUM(C27:C29)</f>
      </c>
      <c r="D30" s="118">
        <f t="shared" si="22"/>
      </c>
      <c r="E30" s="119">
        <f t="shared" si="22"/>
      </c>
      <c r="F30" s="118">
        <f t="shared" si="22"/>
      </c>
      <c r="G30" s="118">
        <f t="shared" si="22"/>
      </c>
      <c r="H30" s="118">
        <f t="shared" si="22"/>
      </c>
      <c r="I30" s="118">
        <f t="shared" si="22"/>
      </c>
      <c r="J30" s="118">
        <f t="shared" si="22"/>
      </c>
      <c r="K30" s="118">
        <f t="shared" si="22"/>
      </c>
      <c r="L30" s="118">
        <f t="shared" si="22"/>
      </c>
      <c r="M30" s="118">
        <f t="shared" si="22"/>
      </c>
      <c r="N30" s="118">
        <f t="shared" si="22"/>
      </c>
      <c r="O30" s="118">
        <f t="shared" si="22"/>
      </c>
      <c r="P30" s="120">
        <f>O30</f>
      </c>
      <c r="Q30" s="33"/>
    </row>
    <row r="31" spans="2:17" x14ac:dyDescent="0.2">
      <c r="B31" s="11" t="s">
        <v>105</v>
      </c>
      <c r="C31" s="12"/>
      <c r="D31" s="88">
        <f t="shared" ref="D31:E31" si="23">D30/C30-1</f>
      </c>
      <c r="E31" s="103">
        <f t="shared" si="23"/>
      </c>
      <c r="F31" s="88">
        <f>F30/E30-1</f>
      </c>
      <c r="G31" s="88">
        <f t="shared" ref="G31:H31" si="24">G30/F30-1</f>
      </c>
      <c r="H31" s="88">
        <f t="shared" si="24"/>
      </c>
      <c r="I31" s="88">
        <f t="shared" ref="I31" si="25">I30/H30-1</f>
      </c>
      <c r="J31" s="104">
        <f t="shared" ref="J31" si="26">J30/I30-1</f>
      </c>
      <c r="K31" s="104">
        <f t="shared" ref="K31" si="27">K30/J30-1</f>
      </c>
      <c r="L31" s="104">
        <f t="shared" ref="L31" si="28">L30/K30-1</f>
      </c>
      <c r="M31" s="104">
        <f t="shared" ref="M31" si="29">M30/L30-1</f>
      </c>
      <c r="N31" s="104">
        <f t="shared" ref="N31" si="30">N30/M30-1</f>
      </c>
      <c r="O31" s="104">
        <f t="shared" ref="O31" si="31">O30/N30-1</f>
      </c>
      <c r="P31" s="10"/>
    </row>
    <row r="32" spans="2:17" ht="8.1" customHeight="1" x14ac:dyDescent="0.2">
      <c r="E32" s="46"/>
      <c r="P32" s="10"/>
    </row>
    <row r="33" spans="2:17" x14ac:dyDescent="0.2">
      <c r="B33" s="30" t="s">
        <v>68</v>
      </c>
      <c r="E33" s="46"/>
      <c r="P33" s="10"/>
    </row>
    <row r="34" spans="2:17" x14ac:dyDescent="0.2">
      <c r="B34" s="3" t="s">
        <v>36</v>
      </c>
      <c r="C34" s="91">
        <f t="shared" ref="C34:D36" si="32">IFERROR(C41/C27,"n/m")</f>
      </c>
      <c r="D34" s="91">
        <f t="shared" si="32"/>
      </c>
      <c r="E34" s="92">
        <f>D34+FORECAST_ASSUMPTIONS!$C$21</f>
      </c>
      <c r="F34" s="93">
        <f>E34+FORECAST_ASSUMPTIONS!$C$21</f>
      </c>
      <c r="G34" s="93">
        <f>F34+FORECAST_ASSUMPTIONS!$C$21</f>
      </c>
      <c r="H34" s="93">
        <f>G34+FORECAST_ASSUMPTIONS!$C$21</f>
      </c>
      <c r="I34" s="93">
        <f>H34+FORECAST_ASSUMPTIONS!$C$21</f>
      </c>
      <c r="J34" s="93">
        <f>I34+FORECAST_ASSUMPTIONS!$C$21</f>
      </c>
      <c r="K34" s="93">
        <f>J34+FORECAST_ASSUMPTIONS!$C$21</f>
      </c>
      <c r="L34" s="93">
        <f>K34+FORECAST_ASSUMPTIONS!$C$21</f>
      </c>
      <c r="M34" s="93">
        <f>L34+FORECAST_ASSUMPTIONS!$C$21</f>
      </c>
      <c r="N34" s="93">
        <f>M34+FORECAST_ASSUMPTIONS!$C$21</f>
      </c>
      <c r="O34" s="93">
        <f>N34+FORECAST_ASSUMPTIONS!$C$21</f>
      </c>
      <c r="P34" s="10"/>
    </row>
    <row r="35" spans="2:17" x14ac:dyDescent="0.2">
      <c r="B35" s="3" t="s">
        <v>37</v>
      </c>
      <c r="C35" s="91">
        <f t="shared" si="32"/>
      </c>
      <c r="D35" s="91">
        <f t="shared" si="32"/>
      </c>
      <c r="E35" s="92">
        <f>D35+FORECAST_ASSUMPTIONS!$C$22</f>
      </c>
      <c r="F35" s="93">
        <f>E35+FORECAST_ASSUMPTIONS!$C$22</f>
      </c>
      <c r="G35" s="93">
        <f>F35+FORECAST_ASSUMPTIONS!$C$22</f>
      </c>
      <c r="H35" s="93">
        <f>G35+FORECAST_ASSUMPTIONS!$C$22</f>
      </c>
      <c r="I35" s="93">
        <f>H35+FORECAST_ASSUMPTIONS!$C$22</f>
      </c>
      <c r="J35" s="93">
        <f>I35+FORECAST_ASSUMPTIONS!$C$22</f>
      </c>
      <c r="K35" s="93">
        <f>J35+FORECAST_ASSUMPTIONS!$C$22</f>
      </c>
      <c r="L35" s="93">
        <f>K35+FORECAST_ASSUMPTIONS!$C$22</f>
      </c>
      <c r="M35" s="93">
        <f>L35+FORECAST_ASSUMPTIONS!$C$22</f>
      </c>
      <c r="N35" s="93">
        <f>M35+FORECAST_ASSUMPTIONS!$C$22</f>
      </c>
      <c r="O35" s="93">
        <f>N35+FORECAST_ASSUMPTIONS!$C$22</f>
      </c>
      <c r="P35" s="10"/>
    </row>
    <row r="36" spans="2:17" x14ac:dyDescent="0.2">
      <c r="B36" s="3" t="s">
        <v>38</v>
      </c>
      <c r="C36" s="91">
        <f t="shared" si="32"/>
      </c>
      <c r="D36" s="91">
        <f t="shared" si="32"/>
      </c>
      <c r="E36" s="92">
        <f>D36+FORECAST_ASSUMPTIONS!$C$23</f>
      </c>
      <c r="F36" s="93">
        <f>E36+FORECAST_ASSUMPTIONS!$C$23</f>
      </c>
      <c r="G36" s="93">
        <f>F36+FORECAST_ASSUMPTIONS!$C$23</f>
      </c>
      <c r="H36" s="93">
        <f>G36+FORECAST_ASSUMPTIONS!$C$23</f>
      </c>
      <c r="I36" s="93">
        <f>H36+FORECAST_ASSUMPTIONS!$C$23</f>
      </c>
      <c r="J36" s="93">
        <f>I36+FORECAST_ASSUMPTIONS!$C$23</f>
      </c>
      <c r="K36" s="93">
        <f>J36+FORECAST_ASSUMPTIONS!$C$23</f>
      </c>
      <c r="L36" s="93">
        <f>K36+FORECAST_ASSUMPTIONS!$C$23</f>
      </c>
      <c r="M36" s="93">
        <f>L36+FORECAST_ASSUMPTIONS!$C$23</f>
      </c>
      <c r="N36" s="93">
        <f>M36+FORECAST_ASSUMPTIONS!$C$23</f>
      </c>
      <c r="O36" s="93">
        <f>N36+FORECAST_ASSUMPTIONS!$C$23</f>
      </c>
      <c r="P36" s="10"/>
    </row>
    <row r="37" spans="2:17" x14ac:dyDescent="0.2">
      <c r="B37" s="3" t="s">
        <v>93</v>
      </c>
      <c r="C37" s="94" t="s">
        <v>69</v>
      </c>
      <c r="D37" s="94" t="s">
        <v>69</v>
      </c>
      <c r="E37" s="95" t="s">
        <v>69</v>
      </c>
      <c r="F37" s="94" t="s">
        <v>69</v>
      </c>
      <c r="G37" s="94" t="s">
        <v>69</v>
      </c>
      <c r="H37" s="94" t="s">
        <v>69</v>
      </c>
      <c r="I37" s="94" t="s">
        <v>69</v>
      </c>
      <c r="J37" s="94" t="s">
        <v>69</v>
      </c>
      <c r="K37" s="94" t="s">
        <v>69</v>
      </c>
      <c r="L37" s="94" t="s">
        <v>69</v>
      </c>
      <c r="M37" s="94" t="s">
        <v>69</v>
      </c>
      <c r="N37" s="94" t="s">
        <v>69</v>
      </c>
      <c r="O37" s="94" t="s">
        <v>69</v>
      </c>
      <c r="P37" s="10"/>
    </row>
    <row r="38" spans="2:17" ht="15" customHeight="1" x14ac:dyDescent="0.2">
      <c r="B38" s="115" t="s">
        <v>95</v>
      </c>
      <c r="C38" s="116">
        <f t="shared" ref="C38:O38" si="33">IFERROR(C45/C30,"n/m")</f>
      </c>
      <c r="D38" s="116">
        <f t="shared" si="33"/>
      </c>
      <c r="E38" s="117">
        <f t="shared" si="33"/>
      </c>
      <c r="F38" s="116">
        <f t="shared" si="33"/>
      </c>
      <c r="G38" s="116">
        <f t="shared" si="33"/>
      </c>
      <c r="H38" s="116">
        <f t="shared" si="33"/>
      </c>
      <c r="I38" s="116">
        <f t="shared" si="33"/>
      </c>
      <c r="J38" s="116">
        <f t="shared" si="33"/>
      </c>
      <c r="K38" s="116">
        <f t="shared" si="33"/>
      </c>
      <c r="L38" s="116">
        <f t="shared" si="33"/>
      </c>
      <c r="M38" s="116">
        <f t="shared" si="33"/>
      </c>
      <c r="N38" s="116">
        <f t="shared" si="33"/>
      </c>
      <c r="O38" s="116">
        <f t="shared" si="33"/>
      </c>
      <c r="P38" s="10"/>
    </row>
    <row r="39" spans="2:17" ht="8.1" customHeight="1" x14ac:dyDescent="0.2">
      <c r="E39" s="46"/>
      <c r="P39" s="10"/>
    </row>
    <row r="40" spans="2:17" x14ac:dyDescent="0.2">
      <c r="B40" s="30" t="s">
        <v>67</v>
      </c>
      <c r="E40" s="46"/>
      <c r="P40" s="10"/>
    </row>
    <row r="41" spans="2:17" x14ac:dyDescent="0.2">
      <c r="B41" s="3" t="s">
        <v>36</v>
      </c>
      <c r="C41" s="85">
        <v>4963</v>
      </c>
      <c r="D41" s="85">
        <v>6497</v>
      </c>
      <c r="E41" s="96">
        <f>E27*E34</f>
      </c>
      <c r="F41" s="97">
        <f t="shared" ref="F41:O41" si="34">F27*F34</f>
      </c>
      <c r="G41" s="97">
        <f t="shared" si="34"/>
      </c>
      <c r="H41" s="97">
        <f t="shared" si="34"/>
      </c>
      <c r="I41" s="97">
        <f t="shared" si="34"/>
      </c>
      <c r="J41" s="97">
        <f t="shared" si="34"/>
      </c>
      <c r="K41" s="97">
        <f t="shared" si="34"/>
      </c>
      <c r="L41" s="97">
        <f t="shared" si="34"/>
      </c>
      <c r="M41" s="97">
        <f t="shared" si="34"/>
      </c>
      <c r="N41" s="97">
        <f t="shared" si="34"/>
      </c>
      <c r="O41" s="97">
        <f t="shared" si="34"/>
      </c>
      <c r="P41" s="10"/>
    </row>
    <row r="42" spans="2:17" x14ac:dyDescent="0.2">
      <c r="B42" s="3" t="s">
        <v>37</v>
      </c>
      <c r="C42" s="85">
        <v>1506</v>
      </c>
      <c r="D42" s="85">
        <v>2471</v>
      </c>
      <c r="E42" s="96">
        <f t="shared" ref="E42:O42" si="35">E28*E35</f>
      </c>
      <c r="F42" s="97">
        <f t="shared" si="35"/>
      </c>
      <c r="G42" s="97">
        <f t="shared" si="35"/>
      </c>
      <c r="H42" s="97">
        <f t="shared" si="35"/>
      </c>
      <c r="I42" s="97">
        <f t="shared" si="35"/>
      </c>
      <c r="J42" s="97">
        <f t="shared" si="35"/>
      </c>
      <c r="K42" s="97">
        <f t="shared" si="35"/>
      </c>
      <c r="L42" s="97">
        <f t="shared" si="35"/>
      </c>
      <c r="M42" s="97">
        <f t="shared" si="35"/>
      </c>
      <c r="N42" s="97">
        <f t="shared" si="35"/>
      </c>
      <c r="O42" s="97">
        <f t="shared" si="35"/>
      </c>
      <c r="P42" s="10"/>
    </row>
    <row r="43" spans="2:17" x14ac:dyDescent="0.2">
      <c r="B43" s="3" t="s">
        <v>38</v>
      </c>
      <c r="C43" s="85">
        <v>-64</v>
      </c>
      <c r="D43" s="85">
        <v>-74</v>
      </c>
      <c r="E43" s="96">
        <f t="shared" ref="E43:O43" si="36">E29*E36</f>
      </c>
      <c r="F43" s="97">
        <f t="shared" si="36"/>
      </c>
      <c r="G43" s="97">
        <f t="shared" si="36"/>
      </c>
      <c r="H43" s="97">
        <f t="shared" si="36"/>
      </c>
      <c r="I43" s="97">
        <f t="shared" si="36"/>
      </c>
      <c r="J43" s="97">
        <f t="shared" si="36"/>
      </c>
      <c r="K43" s="97">
        <f t="shared" si="36"/>
      </c>
      <c r="L43" s="97">
        <f t="shared" si="36"/>
      </c>
      <c r="M43" s="97">
        <f t="shared" si="36"/>
      </c>
      <c r="N43" s="97">
        <f t="shared" si="36"/>
      </c>
      <c r="O43" s="97">
        <f t="shared" si="36"/>
      </c>
      <c r="P43" s="10"/>
    </row>
    <row r="44" spans="2:17" x14ac:dyDescent="0.2">
      <c r="B44" s="3" t="s">
        <v>93</v>
      </c>
      <c r="C44" s="85">
        <v>-2353</v>
      </c>
      <c r="D44" s="85">
        <v>-2410</v>
      </c>
      <c r="E44" s="98">
        <f>D44*(1+FORECAST_ASSUMPTIONS!$C$26)</f>
      </c>
      <c r="F44" s="99">
        <f>E44*(1+FORECAST_ASSUMPTIONS!$C$26)</f>
      </c>
      <c r="G44" s="99">
        <f>F44*(1+FORECAST_ASSUMPTIONS!$C$26)</f>
      </c>
      <c r="H44" s="99">
        <f>G44*(1+FORECAST_ASSUMPTIONS!$C$26)</f>
      </c>
      <c r="I44" s="99">
        <f>H44*(1+FORECAST_ASSUMPTIONS!$C$26)</f>
      </c>
      <c r="J44" s="99">
        <f>I44*(1+FORECAST_ASSUMPTIONS!$C$26)</f>
      </c>
      <c r="K44" s="99">
        <f>J44*(1+FORECAST_ASSUMPTIONS!$C$26)</f>
      </c>
      <c r="L44" s="99">
        <f>K44*(1+FORECAST_ASSUMPTIONS!$C$26)</f>
      </c>
      <c r="M44" s="99">
        <f>L44*(1+FORECAST_ASSUMPTIONS!$C$26)</f>
      </c>
      <c r="N44" s="99">
        <f>M44*(1+FORECAST_ASSUMPTIONS!$C$26)</f>
      </c>
      <c r="O44" s="99">
        <f>N44*(1+FORECAST_ASSUMPTIONS!$C$26)</f>
      </c>
      <c r="P44" s="10"/>
    </row>
    <row r="45" spans="2:17" s="6" customFormat="1" ht="15" customHeight="1" x14ac:dyDescent="0.25">
      <c r="B45" s="115" t="s">
        <v>51</v>
      </c>
      <c r="C45" s="118">
        <f t="shared" ref="C45:O45" si="37">SUM(C41:C44)</f>
      </c>
      <c r="D45" s="118">
        <f t="shared" si="37"/>
      </c>
      <c r="E45" s="119">
        <f t="shared" si="37"/>
      </c>
      <c r="F45" s="118">
        <f t="shared" si="37"/>
      </c>
      <c r="G45" s="118">
        <f t="shared" si="37"/>
      </c>
      <c r="H45" s="118">
        <f t="shared" si="37"/>
      </c>
      <c r="I45" s="118">
        <f t="shared" si="37"/>
      </c>
      <c r="J45" s="118">
        <f t="shared" si="37"/>
      </c>
      <c r="K45" s="118">
        <f t="shared" si="37"/>
      </c>
      <c r="L45" s="118">
        <f t="shared" si="37"/>
      </c>
      <c r="M45" s="118">
        <f t="shared" si="37"/>
      </c>
      <c r="N45" s="118">
        <f t="shared" si="37"/>
      </c>
      <c r="O45" s="118">
        <f t="shared" si="37"/>
      </c>
      <c r="P45" s="120">
        <f>O45</f>
      </c>
      <c r="Q45" s="33"/>
    </row>
    <row r="46" spans="2:17" x14ac:dyDescent="0.2">
      <c r="B46" s="11" t="s">
        <v>105</v>
      </c>
      <c r="C46" s="13"/>
      <c r="D46" s="102">
        <f t="shared" ref="D46:O46" si="38">D45/C45-1</f>
      </c>
      <c r="E46" s="103">
        <f t="shared" si="38"/>
      </c>
      <c r="F46" s="102">
        <f t="shared" si="38"/>
      </c>
      <c r="G46" s="102">
        <f t="shared" si="38"/>
      </c>
      <c r="H46" s="102">
        <f t="shared" si="38"/>
      </c>
      <c r="I46" s="102">
        <f t="shared" si="38"/>
      </c>
      <c r="J46" s="102">
        <f t="shared" si="38"/>
      </c>
      <c r="K46" s="102">
        <f t="shared" si="38"/>
      </c>
      <c r="L46" s="102">
        <f t="shared" si="38"/>
      </c>
      <c r="M46" s="102">
        <f t="shared" si="38"/>
      </c>
      <c r="N46" s="102">
        <f t="shared" si="38"/>
      </c>
      <c r="O46" s="102">
        <f t="shared" si="38"/>
      </c>
      <c r="P46" s="10"/>
    </row>
    <row r="47" spans="2:17" ht="8.1" customHeight="1" x14ac:dyDescent="0.2">
      <c r="E47" s="46"/>
      <c r="P47" s="10"/>
    </row>
    <row r="48" spans="2:17" x14ac:dyDescent="0.2">
      <c r="B48" s="3" t="s">
        <v>44</v>
      </c>
      <c r="C48" s="31"/>
      <c r="D48" s="31"/>
      <c r="E48" s="98">
        <f>-'D&amp;A_BUILD'!E51</f>
      </c>
      <c r="F48" s="99">
        <f>-'D&amp;A_BUILD'!F51</f>
      </c>
      <c r="G48" s="99">
        <f>-'D&amp;A_BUILD'!G51</f>
      </c>
      <c r="H48" s="99">
        <f>-'D&amp;A_BUILD'!H51</f>
      </c>
      <c r="I48" s="99">
        <f>-'D&amp;A_BUILD'!I51</f>
      </c>
      <c r="J48" s="99">
        <f>-'D&amp;A_BUILD'!J51</f>
      </c>
      <c r="K48" s="99">
        <f>-'D&amp;A_BUILD'!K51</f>
      </c>
      <c r="L48" s="99">
        <f>-'D&amp;A_BUILD'!L51</f>
      </c>
      <c r="M48" s="99">
        <f>-'D&amp;A_BUILD'!M51</f>
      </c>
      <c r="N48" s="99">
        <f>-'D&amp;A_BUILD'!N51</f>
      </c>
      <c r="O48" s="99">
        <f>-'D&amp;A_BUILD'!O51</f>
      </c>
      <c r="P48" s="10"/>
    </row>
    <row r="49" spans="2:17" ht="8.1" customHeight="1" x14ac:dyDescent="0.2">
      <c r="E49" s="46"/>
      <c r="P49" s="10"/>
    </row>
    <row r="50" spans="2:17" s="6" customFormat="1" ht="15" customHeight="1" x14ac:dyDescent="0.2">
      <c r="B50" s="115" t="s">
        <v>45</v>
      </c>
      <c r="C50" s="118"/>
      <c r="D50" s="118"/>
      <c r="E50" s="119">
        <f t="shared" ref="E50:O50" si="39">SUM(E45,E48)</f>
      </c>
      <c r="F50" s="118">
        <f t="shared" si="39"/>
      </c>
      <c r="G50" s="118">
        <f t="shared" si="39"/>
      </c>
      <c r="H50" s="118">
        <f t="shared" si="39"/>
      </c>
      <c r="I50" s="118">
        <f t="shared" si="39"/>
      </c>
      <c r="J50" s="118">
        <f t="shared" si="39"/>
      </c>
      <c r="K50" s="118">
        <f t="shared" si="39"/>
      </c>
      <c r="L50" s="118">
        <f t="shared" si="39"/>
      </c>
      <c r="M50" s="118">
        <f t="shared" si="39"/>
      </c>
      <c r="N50" s="118">
        <f t="shared" si="39"/>
      </c>
      <c r="O50" s="118">
        <f t="shared" si="39"/>
      </c>
      <c r="P50" s="10"/>
      <c r="Q50" s="33"/>
    </row>
    <row r="51" spans="2:17" ht="8.1" customHeight="1" x14ac:dyDescent="0.2">
      <c r="E51" s="46"/>
      <c r="P51" s="10"/>
    </row>
    <row r="52" spans="2:17" x14ac:dyDescent="0.2">
      <c r="B52" s="3" t="s">
        <v>46</v>
      </c>
      <c r="C52" s="31"/>
      <c r="D52" s="31"/>
      <c r="E52" s="98">
        <f>E50*-FORECAST_ASSUMPTIONS!$C$29</f>
      </c>
      <c r="F52" s="99">
        <f>F50*-FORECAST_ASSUMPTIONS!$C$29</f>
      </c>
      <c r="G52" s="99">
        <f>G50*-FORECAST_ASSUMPTIONS!$C$29</f>
      </c>
      <c r="H52" s="99">
        <f>H50*-FORECAST_ASSUMPTIONS!$C$29</f>
      </c>
      <c r="I52" s="99">
        <f>I50*-FORECAST_ASSUMPTIONS!$C$29</f>
      </c>
      <c r="J52" s="99">
        <f>J50*-FORECAST_ASSUMPTIONS!$C$29</f>
      </c>
      <c r="K52" s="99">
        <f>K50*-FORECAST_ASSUMPTIONS!$C$29</f>
      </c>
      <c r="L52" s="99">
        <f>L50*-FORECAST_ASSUMPTIONS!$C$29</f>
      </c>
      <c r="M52" s="99">
        <f>M50*-FORECAST_ASSUMPTIONS!$C$29</f>
      </c>
      <c r="N52" s="99">
        <f>N50*-FORECAST_ASSUMPTIONS!$C$29</f>
      </c>
      <c r="O52" s="99">
        <f>O50*-FORECAST_ASSUMPTIONS!$C$29</f>
      </c>
      <c r="P52" s="10"/>
    </row>
    <row r="53" spans="2:17" ht="8.1" customHeight="1" x14ac:dyDescent="0.2">
      <c r="E53" s="46"/>
      <c r="P53" s="10"/>
    </row>
    <row r="54" spans="2:17" s="6" customFormat="1" ht="15" customHeight="1" x14ac:dyDescent="0.2">
      <c r="B54" s="115" t="s">
        <v>47</v>
      </c>
      <c r="C54" s="118"/>
      <c r="D54" s="118"/>
      <c r="E54" s="119">
        <f t="shared" ref="E54:O54" si="40">SUM(E50,E52)</f>
      </c>
      <c r="F54" s="118">
        <f t="shared" si="40"/>
      </c>
      <c r="G54" s="118">
        <f t="shared" si="40"/>
      </c>
      <c r="H54" s="118">
        <f t="shared" si="40"/>
      </c>
      <c r="I54" s="118">
        <f t="shared" si="40"/>
      </c>
      <c r="J54" s="118">
        <f t="shared" si="40"/>
      </c>
      <c r="K54" s="118">
        <f t="shared" si="40"/>
      </c>
      <c r="L54" s="118">
        <f t="shared" si="40"/>
      </c>
      <c r="M54" s="118">
        <f t="shared" si="40"/>
      </c>
      <c r="N54" s="118">
        <f t="shared" si="40"/>
      </c>
      <c r="O54" s="118">
        <f t="shared" si="40"/>
      </c>
      <c r="P54" s="10"/>
      <c r="Q54" s="33"/>
    </row>
    <row r="55" spans="2:17" ht="8.1" customHeight="1" x14ac:dyDescent="0.2">
      <c r="E55" s="46"/>
      <c r="P55" s="10"/>
    </row>
    <row r="56" spans="2:17" x14ac:dyDescent="0.2">
      <c r="B56" s="3" t="s">
        <v>43</v>
      </c>
      <c r="C56" s="31"/>
      <c r="D56" s="31"/>
      <c r="E56" s="98">
        <f>-FORECAST_ASSUMPTIONS!$C$49*VALUATION_MODEL!E17</f>
      </c>
      <c r="F56" s="99">
        <f>-FORECAST_ASSUMPTIONS!$C$49*VALUATION_MODEL!F17</f>
      </c>
      <c r="G56" s="99">
        <f>-FORECAST_ASSUMPTIONS!$C$49*VALUATION_MODEL!G17</f>
      </c>
      <c r="H56" s="99">
        <f>-FORECAST_ASSUMPTIONS!$C$49*VALUATION_MODEL!H17</f>
      </c>
      <c r="I56" s="99">
        <f>-FORECAST_ASSUMPTIONS!$C$49*VALUATION_MODEL!I17</f>
      </c>
      <c r="J56" s="99">
        <f>-FORECAST_ASSUMPTIONS!$C$49*VALUATION_MODEL!J17</f>
      </c>
      <c r="K56" s="99">
        <f>-FORECAST_ASSUMPTIONS!$C$49*VALUATION_MODEL!K17</f>
      </c>
      <c r="L56" s="99">
        <f>-FORECAST_ASSUMPTIONS!$C$49*VALUATION_MODEL!L17</f>
      </c>
      <c r="M56" s="99">
        <f>-FORECAST_ASSUMPTIONS!$C$49*VALUATION_MODEL!M17</f>
      </c>
      <c r="N56" s="99">
        <f>-FORECAST_ASSUMPTIONS!$C$49*VALUATION_MODEL!N17</f>
      </c>
      <c r="O56" s="99">
        <f>-FORECAST_ASSUMPTIONS!$C$49*VALUATION_MODEL!O17</f>
      </c>
      <c r="P56" s="10"/>
    </row>
    <row r="57" spans="2:17" x14ac:dyDescent="0.2">
      <c r="B57" s="3" t="s">
        <v>48</v>
      </c>
      <c r="C57" s="31"/>
      <c r="D57" s="31"/>
      <c r="E57" s="98">
        <f>-E17*FORECAST_ASSUMPTIONS!$C$32</f>
      </c>
      <c r="F57" s="99">
        <f>-F17*FORECAST_ASSUMPTIONS!$C$32</f>
      </c>
      <c r="G57" s="99">
        <f>-G17*FORECAST_ASSUMPTIONS!$C$32</f>
      </c>
      <c r="H57" s="99">
        <f>-H17*FORECAST_ASSUMPTIONS!$C$32</f>
      </c>
      <c r="I57" s="99">
        <f>-I17*FORECAST_ASSUMPTIONS!$C$32</f>
      </c>
      <c r="J57" s="99">
        <f>-J17*FORECAST_ASSUMPTIONS!$C$32</f>
      </c>
      <c r="K57" s="99">
        <f>-K17*FORECAST_ASSUMPTIONS!$C$32</f>
      </c>
      <c r="L57" s="99">
        <f>-L17*FORECAST_ASSUMPTIONS!$C$32</f>
      </c>
      <c r="M57" s="99">
        <f>-M17*FORECAST_ASSUMPTIONS!$C$32</f>
      </c>
      <c r="N57" s="99">
        <f>-N17*FORECAST_ASSUMPTIONS!$C$32</f>
      </c>
      <c r="O57" s="99">
        <f>-O17*FORECAST_ASSUMPTIONS!$C$32</f>
      </c>
      <c r="P57" s="10"/>
    </row>
    <row r="58" spans="2:17" x14ac:dyDescent="0.2">
      <c r="B58" s="3" t="s">
        <v>50</v>
      </c>
      <c r="C58" s="31"/>
      <c r="D58" s="31"/>
      <c r="E58" s="98">
        <f>-FORECAST_ASSUMPTIONS!$C$46*(E17-D17)</f>
      </c>
      <c r="F58" s="99">
        <f>-FORECAST_ASSUMPTIONS!$C$46*(F17-E17)</f>
      </c>
      <c r="G58" s="99">
        <f>-FORECAST_ASSUMPTIONS!$C$46*(G17-F17)</f>
      </c>
      <c r="H58" s="99">
        <f>-FORECAST_ASSUMPTIONS!$C$46*(H17-G17)</f>
      </c>
      <c r="I58" s="99">
        <f>-FORECAST_ASSUMPTIONS!$C$46*(I17-H17)</f>
      </c>
      <c r="J58" s="99">
        <f>-FORECAST_ASSUMPTIONS!$C$46*(J17-I17)</f>
      </c>
      <c r="K58" s="99">
        <f>-FORECAST_ASSUMPTIONS!$C$46*(K17-J17)</f>
      </c>
      <c r="L58" s="99">
        <f>-FORECAST_ASSUMPTIONS!$C$46*(L17-K17)</f>
      </c>
      <c r="M58" s="99">
        <f>-FORECAST_ASSUMPTIONS!$C$46*(M17-L17)</f>
      </c>
      <c r="N58" s="99">
        <f>-FORECAST_ASSUMPTIONS!$C$46*(N17-M17)</f>
      </c>
      <c r="O58" s="99">
        <f>-FORECAST_ASSUMPTIONS!$C$46*(O17-N17)</f>
      </c>
      <c r="P58" s="10"/>
    </row>
    <row r="59" spans="2:17" x14ac:dyDescent="0.2">
      <c r="B59" s="3" t="s">
        <v>49</v>
      </c>
      <c r="C59" s="39"/>
      <c r="D59" s="39"/>
      <c r="E59" s="100">
        <f>-E48</f>
      </c>
      <c r="F59" s="101">
        <f t="shared" ref="F59:O59" si="41">-F48</f>
      </c>
      <c r="G59" s="101">
        <f t="shared" si="41"/>
      </c>
      <c r="H59" s="101">
        <f t="shared" si="41"/>
      </c>
      <c r="I59" s="101">
        <f t="shared" si="41"/>
      </c>
      <c r="J59" s="101">
        <f t="shared" si="41"/>
      </c>
      <c r="K59" s="101">
        <f t="shared" si="41"/>
      </c>
      <c r="L59" s="101">
        <f t="shared" si="41"/>
      </c>
      <c r="M59" s="101">
        <f t="shared" si="41"/>
      </c>
      <c r="N59" s="101">
        <f t="shared" si="41"/>
      </c>
      <c r="O59" s="101">
        <f t="shared" si="41"/>
      </c>
      <c r="P59" s="10"/>
    </row>
    <row r="60" spans="2:17" x14ac:dyDescent="0.2">
      <c r="E60" s="46"/>
      <c r="P60" s="10"/>
    </row>
    <row r="61" spans="2:17" s="6" customFormat="1" ht="15" customHeight="1" x14ac:dyDescent="0.25">
      <c r="B61" s="115" t="s">
        <v>56</v>
      </c>
      <c r="C61" s="118"/>
      <c r="D61" s="118"/>
      <c r="E61" s="119">
        <f>SUM(E54,E56:E59)</f>
      </c>
      <c r="F61" s="118">
        <f t="shared" ref="F61:O61" si="42">SUM(F54,F56:F59)</f>
      </c>
      <c r="G61" s="118">
        <f t="shared" si="42"/>
      </c>
      <c r="H61" s="118">
        <f t="shared" si="42"/>
      </c>
      <c r="I61" s="118">
        <f t="shared" si="42"/>
      </c>
      <c r="J61" s="118">
        <f t="shared" si="42"/>
      </c>
      <c r="K61" s="118">
        <f t="shared" si="42"/>
      </c>
      <c r="L61" s="118">
        <f t="shared" si="42"/>
      </c>
      <c r="M61" s="118">
        <f t="shared" si="42"/>
      </c>
      <c r="N61" s="118">
        <f t="shared" si="42"/>
      </c>
      <c r="O61" s="118">
        <f t="shared" si="42"/>
      </c>
      <c r="P61" s="14"/>
      <c r="Q61" s="33"/>
    </row>
    <row r="62" spans="2:17" x14ac:dyDescent="0.2">
      <c r="B62" s="11" t="s">
        <v>110</v>
      </c>
      <c r="C62" s="12"/>
      <c r="D62" s="12"/>
      <c r="E62" s="103">
        <f t="shared" ref="E62:O62" si="43">E61/E45</f>
      </c>
      <c r="F62" s="88">
        <f t="shared" si="43"/>
      </c>
      <c r="G62" s="88">
        <f t="shared" si="43"/>
      </c>
      <c r="H62" s="88">
        <f t="shared" si="43"/>
      </c>
      <c r="I62" s="88">
        <f t="shared" si="43"/>
      </c>
      <c r="J62" s="88">
        <f t="shared" si="43"/>
      </c>
      <c r="K62" s="88">
        <f t="shared" si="43"/>
      </c>
      <c r="L62" s="88">
        <f t="shared" si="43"/>
      </c>
      <c r="M62" s="88">
        <f t="shared" si="43"/>
      </c>
      <c r="N62" s="88">
        <f t="shared" si="43"/>
      </c>
      <c r="O62" s="88">
        <f t="shared" si="43"/>
      </c>
      <c r="P62" s="10"/>
    </row>
    <row r="63" spans="2:17" x14ac:dyDescent="0.2">
      <c r="E63" s="46"/>
      <c r="O63" s="15"/>
      <c r="P63" s="10"/>
    </row>
    <row r="64" spans="2:17" ht="15" customHeight="1" x14ac:dyDescent="0.2">
      <c r="B64" s="115" t="s">
        <v>17</v>
      </c>
      <c r="C64" s="118"/>
      <c r="D64" s="118"/>
      <c r="E64" s="119">
        <f>E61*$C$92</f>
      </c>
      <c r="F64" s="123">
        <f>F61</f>
      </c>
      <c r="G64" s="123">
        <f t="shared" ref="G64:O64" si="44">G61</f>
      </c>
      <c r="H64" s="123">
        <f t="shared" si="44"/>
      </c>
      <c r="I64" s="123">
        <f t="shared" si="44"/>
      </c>
      <c r="J64" s="123">
        <f t="shared" si="44"/>
      </c>
      <c r="K64" s="123">
        <f t="shared" si="44"/>
      </c>
      <c r="L64" s="123">
        <f t="shared" si="44"/>
      </c>
      <c r="M64" s="123">
        <f t="shared" si="44"/>
      </c>
      <c r="N64" s="123">
        <f t="shared" si="44"/>
      </c>
      <c r="O64" s="123">
        <f t="shared" si="44"/>
      </c>
      <c r="P64" s="124">
        <f>P45*$C$87</f>
      </c>
    </row>
    <row r="65" spans="2:17" ht="9.9499999999999993" customHeight="1" x14ac:dyDescent="0.2">
      <c r="B65" s="11"/>
      <c r="C65" s="16"/>
      <c r="D65" s="16"/>
      <c r="E65" s="52"/>
      <c r="F65" s="16"/>
      <c r="P65" s="10"/>
    </row>
    <row r="66" spans="2:17" x14ac:dyDescent="0.2">
      <c r="B66" s="3" t="s">
        <v>18</v>
      </c>
      <c r="C66" s="17"/>
      <c r="D66" s="50"/>
      <c r="E66" s="105">
        <f>IF($C$86="Mid-Period",$C$92/2,$C$92)</f>
      </c>
      <c r="F66" s="106">
        <f>IF($C$86="Mid-Period",E66*2+0.5,E66+1)</f>
      </c>
      <c r="G66" s="107">
        <f>F66+1</f>
      </c>
      <c r="H66" s="107">
        <f t="shared" ref="H66:O66" si="45">G66+1</f>
      </c>
      <c r="I66" s="107">
        <f t="shared" si="45"/>
      </c>
      <c r="J66" s="107">
        <f t="shared" si="45"/>
      </c>
      <c r="K66" s="107">
        <f t="shared" si="45"/>
      </c>
      <c r="L66" s="107">
        <f t="shared" si="45"/>
      </c>
      <c r="M66" s="107">
        <f t="shared" si="45"/>
      </c>
      <c r="N66" s="107">
        <f t="shared" si="45"/>
      </c>
      <c r="O66" s="107">
        <f t="shared" si="45"/>
      </c>
      <c r="P66" s="108">
        <f>IF($C$86="Mid-Period",O66+0.5,O66)</f>
      </c>
    </row>
    <row r="67" spans="2:17" x14ac:dyDescent="0.2">
      <c r="B67" s="3" t="s">
        <v>19</v>
      </c>
      <c r="C67" s="18"/>
      <c r="D67" s="18"/>
      <c r="E67" s="109">
        <f t="shared" ref="E67:P67" si="46">1/(1+$C$85)^E66</f>
      </c>
      <c r="F67" s="110">
        <f t="shared" si="46"/>
      </c>
      <c r="G67" s="110">
        <f t="shared" si="46"/>
      </c>
      <c r="H67" s="110">
        <f t="shared" si="46"/>
      </c>
      <c r="I67" s="110">
        <f t="shared" si="46"/>
      </c>
      <c r="J67" s="110">
        <f t="shared" si="46"/>
      </c>
      <c r="K67" s="110">
        <f t="shared" si="46"/>
      </c>
      <c r="L67" s="110">
        <f t="shared" si="46"/>
      </c>
      <c r="M67" s="110">
        <f t="shared" si="46"/>
      </c>
      <c r="N67" s="110">
        <f t="shared" si="46"/>
      </c>
      <c r="O67" s="110">
        <f t="shared" si="46"/>
      </c>
      <c r="P67" s="111">
        <f t="shared" si="46"/>
      </c>
    </row>
    <row r="68" spans="2:17" ht="9.9499999999999993" customHeight="1" x14ac:dyDescent="0.2">
      <c r="E68" s="46"/>
      <c r="P68" s="10"/>
    </row>
    <row r="69" spans="2:17" s="6" customFormat="1" ht="15" customHeight="1" thickBot="1" x14ac:dyDescent="0.3">
      <c r="B69" s="125" t="s">
        <v>20</v>
      </c>
      <c r="C69" s="126"/>
      <c r="D69" s="126"/>
      <c r="E69" s="127">
        <f t="shared" ref="E69:P69" si="47">E64*E67</f>
      </c>
      <c r="F69" s="126">
        <f t="shared" si="47"/>
      </c>
      <c r="G69" s="126">
        <f t="shared" si="47"/>
      </c>
      <c r="H69" s="126">
        <f t="shared" si="47"/>
      </c>
      <c r="I69" s="126">
        <f t="shared" si="47"/>
      </c>
      <c r="J69" s="126">
        <f t="shared" si="47"/>
      </c>
      <c r="K69" s="126">
        <f t="shared" si="47"/>
      </c>
      <c r="L69" s="126">
        <f t="shared" si="47"/>
      </c>
      <c r="M69" s="126">
        <f t="shared" si="47"/>
      </c>
      <c r="N69" s="126">
        <f t="shared" si="47"/>
      </c>
      <c r="O69" s="126">
        <f t="shared" si="47"/>
      </c>
      <c r="P69" s="128">
        <f t="shared" si="47"/>
      </c>
      <c r="Q69" s="33"/>
    </row>
    <row r="70" spans="2:17" ht="13.5" thickTop="1" x14ac:dyDescent="0.2"/>
    <row r="72" spans="2:17" x14ac:dyDescent="0.2">
      <c r="B72" s="19" t="s">
        <v>21</v>
      </c>
      <c r="C72" s="20"/>
    </row>
    <row r="73" spans="2:17" x14ac:dyDescent="0.2">
      <c r="B73" s="3" t="s">
        <v>22</v>
      </c>
      <c r="C73" s="87">
        <f>SUM(E69:O69)</f>
      </c>
    </row>
    <row r="74" spans="2:17" x14ac:dyDescent="0.2">
      <c r="B74" s="3" t="s">
        <v>23</v>
      </c>
      <c r="C74" s="87">
        <f>P69</f>
      </c>
    </row>
    <row r="75" spans="2:17" ht="15" customHeight="1" x14ac:dyDescent="0.2">
      <c r="B75" s="115" t="s">
        <v>24</v>
      </c>
      <c r="C75" s="129">
        <f>SUM(C73:C74)</f>
      </c>
    </row>
    <row r="76" spans="2:17" x14ac:dyDescent="0.2">
      <c r="B76" s="11" t="s">
        <v>109</v>
      </c>
      <c r="C76" s="112">
        <f>C75/$E$45</f>
      </c>
    </row>
    <row r="78" spans="2:17" x14ac:dyDescent="0.2">
      <c r="B78" s="19" t="s">
        <v>25</v>
      </c>
      <c r="C78" s="20"/>
    </row>
    <row r="79" spans="2:17" x14ac:dyDescent="0.2">
      <c r="B79" s="3" t="s">
        <v>22</v>
      </c>
      <c r="C79" s="87">
        <f>SUM(E69:O69)</f>
      </c>
    </row>
    <row r="80" spans="2:17" x14ac:dyDescent="0.2">
      <c r="B80" s="3" t="s">
        <v>23</v>
      </c>
      <c r="C80" s="87">
        <f>O61*(1+$C$88)/($C$85-$C$88)*P67</f>
      </c>
    </row>
    <row r="81" spans="2:24" ht="15" customHeight="1" x14ac:dyDescent="0.2">
      <c r="B81" s="115" t="s">
        <v>24</v>
      </c>
      <c r="C81" s="129">
        <f>SUM(C79:C80)</f>
      </c>
    </row>
    <row r="82" spans="2:24" x14ac:dyDescent="0.2">
      <c r="B82" s="11" t="s">
        <v>109</v>
      </c>
      <c r="C82" s="112">
        <f>C81/$E$45</f>
      </c>
    </row>
    <row r="84" spans="2:24" x14ac:dyDescent="0.2">
      <c r="B84" s="19" t="s">
        <v>26</v>
      </c>
      <c r="C84" s="20"/>
    </row>
    <row r="85" spans="2:24" x14ac:dyDescent="0.2">
      <c r="B85" s="3" t="s">
        <v>27</v>
      </c>
      <c r="C85" s="21">
        <v>0.12</v>
      </c>
    </row>
    <row r="86" spans="2:24" x14ac:dyDescent="0.2">
      <c r="B86" s="3" t="s">
        <v>28</v>
      </c>
      <c r="C86" s="22" t="s">
        <v>29</v>
      </c>
    </row>
    <row r="87" spans="2:24" x14ac:dyDescent="0.2">
      <c r="B87" s="3" t="s">
        <v>104</v>
      </c>
      <c r="C87" s="23">
        <v>8</v>
      </c>
    </row>
    <row r="88" spans="2:24" x14ac:dyDescent="0.2">
      <c r="B88" s="3" t="s">
        <v>66</v>
      </c>
      <c r="C88" s="21">
        <v>0.02</v>
      </c>
    </row>
    <row r="89" spans="2:24" x14ac:dyDescent="0.2">
      <c r="B89" s="3" t="s">
        <v>31</v>
      </c>
      <c r="C89" s="24">
        <v>45930</v>
      </c>
    </row>
    <row r="90" spans="2:24" x14ac:dyDescent="0.2">
      <c r="B90" s="3" t="s">
        <v>70</v>
      </c>
      <c r="C90" s="24">
        <v>46022</v>
      </c>
    </row>
    <row r="91" spans="2:24" x14ac:dyDescent="0.2">
      <c r="B91" s="3" t="s">
        <v>71</v>
      </c>
      <c r="C91" s="113">
        <f>C90-EOMONTH(C90,-12)</f>
      </c>
    </row>
    <row r="92" spans="2:24" x14ac:dyDescent="0.2">
      <c r="B92" s="3" t="s">
        <v>72</v>
      </c>
      <c r="C92" s="114">
        <f>(C90-C89)/C91</f>
      </c>
    </row>
    <row r="94" spans="2:24" x14ac:dyDescent="0.2">
      <c r="C94" s="25"/>
    </row>
    <row r="96" spans="2:24" ht="15" x14ac:dyDescent="0.35">
      <c r="R96" s="26" t="s">
        <v>32</v>
      </c>
      <c r="S96" s="26"/>
      <c r="T96" s="26"/>
      <c r="U96" s="26"/>
      <c r="V96" s="26"/>
      <c r="W96" s="26"/>
      <c r="X96" s="26"/>
    </row>
    <row r="97" spans="18:24" ht="15" x14ac:dyDescent="0.35">
      <c r="T97" s="26" t="s">
        <v>27</v>
      </c>
      <c r="U97" s="26"/>
      <c r="V97" s="26"/>
      <c r="W97" s="26"/>
      <c r="X97" s="26"/>
    </row>
    <row r="98" spans="18:24" x14ac:dyDescent="0.2">
      <c r="S98" s="27">
        <f>$C$75</f>
      </c>
      <c r="T98" s="57">
        <f>U98-1%</f>
      </c>
      <c r="U98" s="57">
        <f>V98-1%</f>
      </c>
      <c r="V98" s="57">
        <v>0.12</v>
      </c>
      <c r="W98" s="57">
        <f>V98+1%</f>
      </c>
      <c r="X98" s="57">
        <f>W98+1%</f>
      </c>
    </row>
    <row r="99" spans="18:24" x14ac:dyDescent="0.2">
      <c r="S99" s="58">
        <f>S100-2</f>
      </c>
      <c r="T99" s="87">
        <f t="dataTable" ref="T99:X103" dt2D="1" dtr="1" r1="C85" r2="C87" ca="1"/>
      </c>
      <c r="U99" s="87"/>
      <c r="V99" s="87"/>
      <c r="W99" s="87"/>
      <c r="X99" s="87"/>
    </row>
    <row r="100" spans="18:24" x14ac:dyDescent="0.2">
      <c r="R100" s="28" t="s">
        <v>33</v>
      </c>
      <c r="S100" s="58">
        <f>S101-2</f>
      </c>
      <c r="T100" s="87"/>
      <c r="U100" s="87"/>
      <c r="V100" s="87"/>
      <c r="W100" s="87"/>
      <c r="X100" s="87"/>
    </row>
    <row r="101" spans="18:24" x14ac:dyDescent="0.2">
      <c r="R101" s="28" t="s">
        <v>34</v>
      </c>
      <c r="S101" s="58">
        <v>8</v>
      </c>
      <c r="T101" s="87"/>
      <c r="U101" s="87"/>
      <c r="V101" s="87"/>
      <c r="W101" s="87"/>
      <c r="X101" s="87"/>
    </row>
    <row r="102" spans="18:24" x14ac:dyDescent="0.2">
      <c r="S102" s="58">
        <f>S101+2</f>
      </c>
      <c r="T102" s="87"/>
      <c r="U102" s="87"/>
      <c r="V102" s="87"/>
      <c r="W102" s="87"/>
      <c r="X102" s="87"/>
    </row>
    <row r="103" spans="18:24" x14ac:dyDescent="0.2">
      <c r="S103" s="58">
        <f>S102+2</f>
      </c>
      <c r="T103" s="87"/>
      <c r="U103" s="87"/>
      <c r="V103" s="87"/>
      <c r="W103" s="87"/>
      <c r="X103" s="87"/>
    </row>
    <row r="106" spans="18:24" ht="15" x14ac:dyDescent="0.35">
      <c r="R106" s="26" t="s">
        <v>35</v>
      </c>
      <c r="S106" s="26"/>
      <c r="T106" s="26"/>
      <c r="U106" s="26"/>
      <c r="V106" s="26"/>
      <c r="W106" s="26"/>
      <c r="X106" s="26"/>
    </row>
    <row r="107" spans="18:24" ht="15" x14ac:dyDescent="0.35">
      <c r="T107" s="26" t="s">
        <v>27</v>
      </c>
      <c r="U107" s="26"/>
      <c r="V107" s="26"/>
      <c r="W107" s="26"/>
      <c r="X107" s="26"/>
    </row>
    <row r="108" spans="18:24" x14ac:dyDescent="0.2">
      <c r="S108" s="27">
        <f>$C$81</f>
      </c>
      <c r="T108" s="57">
        <f>U108-1%</f>
      </c>
      <c r="U108" s="57">
        <f>V108-1%</f>
      </c>
      <c r="V108" s="57">
        <v>0.12</v>
      </c>
      <c r="W108" s="57">
        <f>V108+1%</f>
      </c>
      <c r="X108" s="57">
        <f>W108+1%</f>
      </c>
    </row>
    <row r="109" spans="18:24" x14ac:dyDescent="0.2">
      <c r="S109" s="59">
        <f>S110-0.5%</f>
      </c>
      <c r="T109" s="87">
        <f t="dataTable" ref="T109:X113" dt2D="1" dtr="1" r1="C85" r2="C88"/>
      </c>
      <c r="U109" s="87"/>
      <c r="V109" s="87"/>
      <c r="W109" s="87"/>
      <c r="X109" s="87"/>
    </row>
    <row r="110" spans="18:24" x14ac:dyDescent="0.2">
      <c r="R110" s="28"/>
      <c r="S110" s="59">
        <f>S111-0.5%</f>
      </c>
      <c r="T110" s="87"/>
      <c r="U110" s="87"/>
      <c r="V110" s="87"/>
      <c r="W110" s="87"/>
      <c r="X110" s="87"/>
    </row>
    <row r="111" spans="18:24" x14ac:dyDescent="0.2">
      <c r="R111" s="28" t="s">
        <v>30</v>
      </c>
      <c r="S111" s="59">
        <v>0.02</v>
      </c>
      <c r="T111" s="87"/>
      <c r="U111" s="87"/>
      <c r="V111" s="87"/>
      <c r="W111" s="87"/>
      <c r="X111" s="87"/>
    </row>
    <row r="112" spans="18:24" x14ac:dyDescent="0.2">
      <c r="S112" s="59">
        <f>S111+0.5%</f>
      </c>
      <c r="T112" s="87"/>
      <c r="U112" s="87"/>
      <c r="V112" s="87"/>
      <c r="W112" s="87"/>
      <c r="X112" s="87"/>
    </row>
    <row r="113" spans="19:24" x14ac:dyDescent="0.2">
      <c r="S113" s="59">
        <f>S112+0.5%</f>
      </c>
      <c r="T113" s="87"/>
      <c r="U113" s="87"/>
      <c r="V113" s="87"/>
      <c r="W113" s="87"/>
      <c r="X113" s="87"/>
    </row>
  </sheetData>
  <sheetProtection selectLockedCells="1" selectUnlockedCells="1"/>
  <dataValidations disablePrompts="1" count="1">
    <dataValidation type="list" allowBlank="1" showInputMessage="1" showErrorMessage="1" sqref="C86" xr:uid="{A0D0A029-68FE-4505-9820-A14C734104E5}">
      <formula1>"Mid-Period,Year-End"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C163-85A9-41F0-BAB8-B685EB9CCA4D}">
  <dimension ref="B1:Q61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2.75" x14ac:dyDescent="0.2"/>
  <cols>
    <col min="1" max="1" width="2.7109375" style="3" customWidth="1"/>
    <col min="2" max="2" width="52.85546875" style="3" bestFit="1" customWidth="1"/>
    <col min="3" max="3" width="15.7109375" style="3" customWidth="1"/>
    <col min="4" max="4" width="10.42578125" style="3" bestFit="1" customWidth="1"/>
    <col min="5" max="15" width="11" style="3" bestFit="1" customWidth="1"/>
    <col min="16" max="16384" width="9.140625" style="3"/>
  </cols>
  <sheetData>
    <row r="1" spans="2:17" x14ac:dyDescent="0.2">
      <c r="B1" s="3" t="s">
        <v>3</v>
      </c>
    </row>
    <row r="2" spans="2:17" ht="8.1" customHeight="1" x14ac:dyDescent="0.2"/>
    <row r="3" spans="2:17" ht="15" x14ac:dyDescent="0.35">
      <c r="D3" s="4" t="s">
        <v>4</v>
      </c>
      <c r="E3" s="4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2:17" ht="15" x14ac:dyDescent="0.35">
      <c r="B4" s="29"/>
      <c r="C4" s="29"/>
      <c r="D4" s="5" t="s">
        <v>9</v>
      </c>
      <c r="E4" s="5" t="s">
        <v>0</v>
      </c>
      <c r="F4" s="5" t="s">
        <v>1</v>
      </c>
      <c r="G4" s="5" t="s">
        <v>2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41</v>
      </c>
      <c r="O4" s="5" t="s">
        <v>42</v>
      </c>
    </row>
    <row r="5" spans="2:17" ht="8.1" customHeight="1" x14ac:dyDescent="0.35">
      <c r="B5" s="29"/>
      <c r="C5" s="29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</row>
    <row r="6" spans="2:17" s="6" customFormat="1" ht="12.75" customHeight="1" x14ac:dyDescent="0.25">
      <c r="B6" s="6" t="s">
        <v>107</v>
      </c>
      <c r="C6" s="81">
        <f>FORECAST_ASSUMPTIONS!$C$35</f>
      </c>
    </row>
    <row r="7" spans="2:17" s="6" customFormat="1" ht="8.1" customHeight="1" x14ac:dyDescent="0.25"/>
    <row r="8" spans="2:17" x14ac:dyDescent="0.2">
      <c r="B8" s="47" t="s">
        <v>101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6"/>
      <c r="Q8" s="6"/>
    </row>
    <row r="9" spans="2:17" ht="30" x14ac:dyDescent="0.35">
      <c r="B9" s="29" t="s">
        <v>108</v>
      </c>
      <c r="C9" s="56" t="s">
        <v>98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2:17" x14ac:dyDescent="0.2">
      <c r="B10" s="6" t="s">
        <v>96</v>
      </c>
      <c r="C10" s="31"/>
      <c r="D10" s="67">
        <f>FORECAST_ASSUMPTIONS!$C$36</f>
      </c>
      <c r="E10" s="77">
        <f t="shared" ref="E10:O10" si="0">IF(D10+-$D10/$C$6&lt;0,0,D10+-$D10/$C$6)</f>
      </c>
      <c r="F10" s="74">
        <f t="shared" si="0"/>
      </c>
      <c r="G10" s="74">
        <f t="shared" si="0"/>
      </c>
      <c r="H10" s="74">
        <f t="shared" si="0"/>
      </c>
      <c r="I10" s="74">
        <f t="shared" si="0"/>
      </c>
      <c r="J10" s="74">
        <f t="shared" si="0"/>
      </c>
      <c r="K10" s="74">
        <f t="shared" si="0"/>
      </c>
      <c r="L10" s="74">
        <f t="shared" si="0"/>
      </c>
      <c r="M10" s="74">
        <f t="shared" si="0"/>
      </c>
      <c r="N10" s="74">
        <f t="shared" si="0"/>
      </c>
      <c r="O10" s="71">
        <f t="shared" si="0"/>
      </c>
      <c r="P10" s="6"/>
      <c r="Q10" s="6"/>
    </row>
    <row r="11" spans="2:17" x14ac:dyDescent="0.2">
      <c r="B11" s="6" t="s">
        <v>0</v>
      </c>
      <c r="C11" s="78" cm="1">
        <f t="array" ref="C11:C21">TRANSPOSE(VALUATION_MODEL!E57:O57)</f>
      </c>
      <c r="E11" s="76">
        <f>-$C11</f>
      </c>
      <c r="F11" s="75">
        <f t="shared" ref="F11:O11" si="1">IF(E11+$C11/$C$6&lt;0,0,E11+$C11/$C$6)</f>
      </c>
      <c r="G11" s="75">
        <f t="shared" si="1"/>
      </c>
      <c r="H11" s="75">
        <f t="shared" si="1"/>
      </c>
      <c r="I11" s="75">
        <f t="shared" si="1"/>
      </c>
      <c r="J11" s="75">
        <f t="shared" si="1"/>
      </c>
      <c r="K11" s="75">
        <f t="shared" si="1"/>
      </c>
      <c r="L11" s="75">
        <f t="shared" si="1"/>
      </c>
      <c r="M11" s="75">
        <f t="shared" si="1"/>
      </c>
      <c r="N11" s="75">
        <f t="shared" si="1"/>
      </c>
      <c r="O11" s="72">
        <f t="shared" si="1"/>
      </c>
      <c r="P11" s="6"/>
      <c r="Q11" s="6"/>
    </row>
    <row r="12" spans="2:17" x14ac:dyDescent="0.2">
      <c r="B12" s="6" t="s">
        <v>1</v>
      </c>
      <c r="C12" s="79"/>
      <c r="E12" s="45"/>
      <c r="F12" s="76">
        <f>-$C12</f>
      </c>
      <c r="G12" s="75">
        <f t="shared" ref="G12:O12" si="2">IF(F12+$C12/$C$6&lt;0,0,F12+$C12/$C$6)</f>
      </c>
      <c r="H12" s="75">
        <f t="shared" si="2"/>
      </c>
      <c r="I12" s="75">
        <f t="shared" si="2"/>
      </c>
      <c r="J12" s="75">
        <f t="shared" si="2"/>
      </c>
      <c r="K12" s="75">
        <f t="shared" si="2"/>
      </c>
      <c r="L12" s="75">
        <f t="shared" si="2"/>
      </c>
      <c r="M12" s="75">
        <f t="shared" si="2"/>
      </c>
      <c r="N12" s="75">
        <f t="shared" si="2"/>
      </c>
      <c r="O12" s="72">
        <f t="shared" si="2"/>
      </c>
      <c r="P12" s="6"/>
      <c r="Q12" s="6"/>
    </row>
    <row r="13" spans="2:17" x14ac:dyDescent="0.2">
      <c r="B13" s="6" t="s">
        <v>2</v>
      </c>
      <c r="C13" s="79"/>
      <c r="E13" s="6"/>
      <c r="F13" s="6"/>
      <c r="G13" s="76">
        <f>-$C13</f>
      </c>
      <c r="H13" s="75">
        <f t="shared" ref="H13:O13" si="3">IF(G13+$C13/$C$6&lt;0,0,G13+$C13/$C$6)</f>
      </c>
      <c r="I13" s="75">
        <f t="shared" si="3"/>
      </c>
      <c r="J13" s="75">
        <f t="shared" si="3"/>
      </c>
      <c r="K13" s="75">
        <f t="shared" si="3"/>
      </c>
      <c r="L13" s="75">
        <f t="shared" si="3"/>
      </c>
      <c r="M13" s="75">
        <f t="shared" si="3"/>
      </c>
      <c r="N13" s="75">
        <f t="shared" si="3"/>
      </c>
      <c r="O13" s="72">
        <f t="shared" si="3"/>
      </c>
      <c r="P13" s="6"/>
      <c r="Q13" s="6"/>
    </row>
    <row r="14" spans="2:17" x14ac:dyDescent="0.2">
      <c r="B14" s="6" t="s">
        <v>10</v>
      </c>
      <c r="C14" s="79"/>
      <c r="E14" s="6"/>
      <c r="F14" s="6"/>
      <c r="G14" s="6"/>
      <c r="H14" s="76">
        <f>-$C14</f>
      </c>
      <c r="I14" s="75">
        <f t="shared" ref="I14:O14" si="4">IF(H14+$C14/$C$6&lt;0,0,H14+$C14/$C$6)</f>
      </c>
      <c r="J14" s="75">
        <f t="shared" si="4"/>
      </c>
      <c r="K14" s="75">
        <f t="shared" si="4"/>
      </c>
      <c r="L14" s="75">
        <f t="shared" si="4"/>
      </c>
      <c r="M14" s="75">
        <f t="shared" si="4"/>
      </c>
      <c r="N14" s="75">
        <f t="shared" si="4"/>
      </c>
      <c r="O14" s="72">
        <f t="shared" si="4"/>
      </c>
      <c r="P14" s="6"/>
      <c r="Q14" s="6"/>
    </row>
    <row r="15" spans="2:17" x14ac:dyDescent="0.2">
      <c r="B15" s="6" t="s">
        <v>11</v>
      </c>
      <c r="C15" s="79"/>
      <c r="E15" s="6"/>
      <c r="F15" s="6"/>
      <c r="G15" s="6"/>
      <c r="H15" s="6"/>
      <c r="I15" s="76">
        <f>-$C15</f>
      </c>
      <c r="J15" s="75">
        <f t="shared" ref="J15:O15" si="5">IF(I15+$C15/$C$6&lt;0,0,I15+$C15/$C$6)</f>
      </c>
      <c r="K15" s="75">
        <f t="shared" si="5"/>
      </c>
      <c r="L15" s="75">
        <f t="shared" si="5"/>
      </c>
      <c r="M15" s="75">
        <f t="shared" si="5"/>
      </c>
      <c r="N15" s="75">
        <f t="shared" si="5"/>
      </c>
      <c r="O15" s="72">
        <f t="shared" si="5"/>
      </c>
      <c r="P15" s="6"/>
      <c r="Q15" s="6"/>
    </row>
    <row r="16" spans="2:17" x14ac:dyDescent="0.2">
      <c r="B16" s="6" t="s">
        <v>12</v>
      </c>
      <c r="C16" s="79"/>
      <c r="E16" s="6"/>
      <c r="F16" s="6"/>
      <c r="G16" s="6"/>
      <c r="H16" s="6"/>
      <c r="I16" s="6"/>
      <c r="J16" s="76">
        <f>-$C16</f>
      </c>
      <c r="K16" s="75">
        <f>IF(J16+$C16/$C$6&lt;0,0,J16+$C16/$C$6)</f>
      </c>
      <c r="L16" s="75">
        <f>IF(K16+$C16/$C$6&lt;0,0,K16+$C16/$C$6)</f>
      </c>
      <c r="M16" s="75">
        <f>IF(L16+$C16/$C$6&lt;0,0,L16+$C16/$C$6)</f>
      </c>
      <c r="N16" s="75">
        <f>IF(M16+$C16/$C$6&lt;0,0,M16+$C16/$C$6)</f>
      </c>
      <c r="O16" s="72">
        <f>IF(N16+$C16/$C$6&lt;0,0,N16+$C16/$C$6)</f>
      </c>
      <c r="P16" s="6"/>
      <c r="Q16" s="6"/>
    </row>
    <row r="17" spans="2:17" x14ac:dyDescent="0.2">
      <c r="B17" s="6" t="s">
        <v>13</v>
      </c>
      <c r="C17" s="79"/>
      <c r="E17" s="6"/>
      <c r="F17" s="6"/>
      <c r="G17" s="6"/>
      <c r="H17" s="6"/>
      <c r="I17" s="6"/>
      <c r="J17" s="6"/>
      <c r="K17" s="76">
        <f>-$C17</f>
      </c>
      <c r="L17" s="75">
        <f>IF(K17+$C17/$C$6&lt;0,0,K17+$C17/$C$6)</f>
      </c>
      <c r="M17" s="75">
        <f>IF(L17+$C17/$C$6&lt;0,0,L17+$C17/$C$6)</f>
      </c>
      <c r="N17" s="75">
        <f>IF(M17+$C17/$C$6&lt;0,0,M17+$C17/$C$6)</f>
      </c>
      <c r="O17" s="72">
        <f>IF(N17+$C17/$C$6&lt;0,0,N17+$C17/$C$6)</f>
      </c>
      <c r="P17" s="6"/>
      <c r="Q17" s="6"/>
    </row>
    <row r="18" spans="2:17" x14ac:dyDescent="0.2">
      <c r="B18" s="6" t="s">
        <v>14</v>
      </c>
      <c r="C18" s="79"/>
      <c r="E18" s="6"/>
      <c r="F18" s="6"/>
      <c r="G18" s="6"/>
      <c r="H18" s="6"/>
      <c r="I18" s="6"/>
      <c r="J18" s="6"/>
      <c r="K18" s="6"/>
      <c r="L18" s="76">
        <f>-$C18</f>
      </c>
      <c r="M18" s="75">
        <f>IF(L18+$C18/$C$6&lt;0,0,L18+$C18/$C$6)</f>
      </c>
      <c r="N18" s="75">
        <f>IF(M18+$C18/$C$6&lt;0,0,M18+$C18/$C$6)</f>
      </c>
      <c r="O18" s="72">
        <f>IF(N18+$C18/$C$6&lt;0,0,N18+$C18/$C$6)</f>
      </c>
      <c r="P18" s="6"/>
      <c r="Q18" s="6"/>
    </row>
    <row r="19" spans="2:17" x14ac:dyDescent="0.2">
      <c r="B19" s="6" t="s">
        <v>15</v>
      </c>
      <c r="C19" s="79"/>
      <c r="E19" s="6"/>
      <c r="F19" s="6"/>
      <c r="G19" s="6"/>
      <c r="H19" s="6"/>
      <c r="I19" s="6"/>
      <c r="J19" s="6"/>
      <c r="K19" s="6"/>
      <c r="L19" s="6"/>
      <c r="M19" s="76">
        <f>-$C19</f>
      </c>
      <c r="N19" s="75">
        <f>IF(M19+$C19/$C$6&lt;0,0,M19+$C19/$C$6)</f>
      </c>
      <c r="O19" s="72">
        <f>IF(N19+$C19/$C$6&lt;0,0,N19+$C19/$C$6)</f>
      </c>
      <c r="P19" s="6"/>
      <c r="Q19" s="6"/>
    </row>
    <row r="20" spans="2:17" x14ac:dyDescent="0.2">
      <c r="B20" s="6" t="s">
        <v>41</v>
      </c>
      <c r="C20" s="79"/>
      <c r="E20" s="6"/>
      <c r="F20" s="6"/>
      <c r="G20" s="6"/>
      <c r="H20" s="6"/>
      <c r="I20" s="6"/>
      <c r="J20" s="6"/>
      <c r="K20" s="6"/>
      <c r="L20" s="6"/>
      <c r="M20" s="6"/>
      <c r="N20" s="76">
        <f>-$C20</f>
      </c>
      <c r="O20" s="72">
        <f>IF(N20+$C20/$C$6&lt;0,0,N20+$C20/$C$6)</f>
      </c>
      <c r="P20" s="6"/>
      <c r="Q20" s="6"/>
    </row>
    <row r="21" spans="2:17" x14ac:dyDescent="0.2">
      <c r="B21" s="6" t="s">
        <v>42</v>
      </c>
      <c r="C21" s="80"/>
      <c r="E21" s="6"/>
      <c r="F21" s="6"/>
      <c r="G21" s="6"/>
      <c r="H21" s="6"/>
      <c r="I21" s="6"/>
      <c r="J21" s="6"/>
      <c r="K21" s="6"/>
      <c r="L21" s="6"/>
      <c r="M21" s="6"/>
      <c r="N21" s="6"/>
      <c r="O21" s="73">
        <f>-$C21</f>
      </c>
      <c r="P21" s="6"/>
      <c r="Q21" s="6"/>
    </row>
    <row r="22" spans="2:17" s="28" customFormat="1" x14ac:dyDescent="0.2">
      <c r="B22" s="115" t="s">
        <v>60</v>
      </c>
      <c r="C22" s="115"/>
      <c r="D22" s="129">
        <f>SUM(D10:D21)</f>
      </c>
      <c r="E22" s="129">
        <f t="shared" ref="E22:N22" si="6">SUM(E10:E21)</f>
      </c>
      <c r="F22" s="129">
        <f t="shared" si="6"/>
      </c>
      <c r="G22" s="129">
        <f t="shared" si="6"/>
      </c>
      <c r="H22" s="129">
        <f t="shared" si="6"/>
      </c>
      <c r="I22" s="129">
        <f t="shared" si="6"/>
      </c>
      <c r="J22" s="129">
        <f t="shared" si="6"/>
      </c>
      <c r="K22" s="129">
        <f t="shared" si="6"/>
      </c>
      <c r="L22" s="129">
        <f t="shared" si="6"/>
      </c>
      <c r="M22" s="129">
        <f t="shared" si="6"/>
      </c>
      <c r="N22" s="129">
        <f t="shared" si="6"/>
      </c>
      <c r="O22" s="129">
        <f>SUM(O10:O21)</f>
      </c>
      <c r="P22" s="43"/>
      <c r="Q22" s="43"/>
    </row>
    <row r="23" spans="2:17" s="6" customFormat="1" ht="12.75" customHeight="1" x14ac:dyDescent="0.25"/>
    <row r="24" spans="2:17" s="6" customFormat="1" ht="12.75" customHeight="1" x14ac:dyDescent="0.25"/>
    <row r="25" spans="2:17" s="6" customFormat="1" ht="12.75" customHeight="1" x14ac:dyDescent="0.25">
      <c r="B25" s="47" t="s">
        <v>58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</row>
    <row r="26" spans="2:17" s="6" customFormat="1" ht="15" x14ac:dyDescent="0.25">
      <c r="B26" s="42" t="s">
        <v>108</v>
      </c>
    </row>
    <row r="27" spans="2:17" s="6" customFormat="1" ht="12.75" customHeight="1" x14ac:dyDescent="0.25">
      <c r="B27" s="6" t="s">
        <v>96</v>
      </c>
      <c r="E27" s="77">
        <f>IF(D10-E10&lt;0,0,D10-E10)</f>
      </c>
      <c r="F27" s="74">
        <f t="shared" ref="F27:O27" si="7">IF(E10-F10&lt;0,0,E10-F10)</f>
      </c>
      <c r="G27" s="74">
        <f t="shared" si="7"/>
      </c>
      <c r="H27" s="74">
        <f t="shared" si="7"/>
      </c>
      <c r="I27" s="74">
        <f t="shared" si="7"/>
      </c>
      <c r="J27" s="74">
        <f t="shared" si="7"/>
      </c>
      <c r="K27" s="74">
        <f t="shared" si="7"/>
      </c>
      <c r="L27" s="74">
        <f t="shared" si="7"/>
      </c>
      <c r="M27" s="74">
        <f t="shared" si="7"/>
      </c>
      <c r="N27" s="74">
        <f t="shared" si="7"/>
      </c>
      <c r="O27" s="71">
        <f t="shared" si="7"/>
      </c>
    </row>
    <row r="28" spans="2:17" s="6" customFormat="1" ht="12.75" customHeight="1" x14ac:dyDescent="0.25">
      <c r="B28" s="6" t="s">
        <v>0</v>
      </c>
      <c r="E28" s="76">
        <f t="shared" ref="E28:O28" si="8">IF(D11-E11&lt;0,0,D11-E11)</f>
      </c>
      <c r="F28" s="75">
        <f t="shared" si="8"/>
      </c>
      <c r="G28" s="75">
        <f t="shared" si="8"/>
      </c>
      <c r="H28" s="75">
        <f t="shared" si="8"/>
      </c>
      <c r="I28" s="75">
        <f t="shared" si="8"/>
      </c>
      <c r="J28" s="75">
        <f t="shared" si="8"/>
      </c>
      <c r="K28" s="75">
        <f t="shared" si="8"/>
      </c>
      <c r="L28" s="75">
        <f t="shared" si="8"/>
      </c>
      <c r="M28" s="75">
        <f t="shared" si="8"/>
      </c>
      <c r="N28" s="75">
        <f t="shared" si="8"/>
      </c>
      <c r="O28" s="72">
        <f t="shared" si="8"/>
      </c>
    </row>
    <row r="29" spans="2:17" s="6" customFormat="1" ht="12.75" customHeight="1" x14ac:dyDescent="0.25">
      <c r="B29" s="6" t="s">
        <v>1</v>
      </c>
      <c r="E29" s="45"/>
      <c r="F29" s="76">
        <f t="shared" ref="F29:O29" si="9">IF(E12-F12&lt;0,0,E12-F12)</f>
      </c>
      <c r="G29" s="75">
        <f t="shared" si="9"/>
      </c>
      <c r="H29" s="75">
        <f t="shared" si="9"/>
      </c>
      <c r="I29" s="75">
        <f t="shared" si="9"/>
      </c>
      <c r="J29" s="75">
        <f t="shared" si="9"/>
      </c>
      <c r="K29" s="75">
        <f t="shared" si="9"/>
      </c>
      <c r="L29" s="75">
        <f t="shared" si="9"/>
      </c>
      <c r="M29" s="75">
        <f t="shared" si="9"/>
      </c>
      <c r="N29" s="75">
        <f t="shared" si="9"/>
      </c>
      <c r="O29" s="72">
        <f t="shared" si="9"/>
      </c>
    </row>
    <row r="30" spans="2:17" x14ac:dyDescent="0.2">
      <c r="B30" s="6" t="s">
        <v>2</v>
      </c>
      <c r="C30" s="6"/>
      <c r="D30" s="6"/>
      <c r="E30" s="6"/>
      <c r="F30" s="6"/>
      <c r="G30" s="76">
        <f t="shared" ref="G30:O30" si="10">IF(F13-G13&lt;0,0,F13-G13)</f>
      </c>
      <c r="H30" s="75">
        <f t="shared" si="10"/>
      </c>
      <c r="I30" s="75">
        <f t="shared" si="10"/>
      </c>
      <c r="J30" s="75">
        <f t="shared" si="10"/>
      </c>
      <c r="K30" s="75">
        <f t="shared" si="10"/>
      </c>
      <c r="L30" s="75">
        <f t="shared" si="10"/>
      </c>
      <c r="M30" s="75">
        <f t="shared" si="10"/>
      </c>
      <c r="N30" s="75">
        <f t="shared" si="10"/>
      </c>
      <c r="O30" s="72">
        <f t="shared" si="10"/>
      </c>
      <c r="P30" s="6"/>
      <c r="Q30" s="6"/>
    </row>
    <row r="31" spans="2:17" x14ac:dyDescent="0.2">
      <c r="B31" s="6" t="s">
        <v>10</v>
      </c>
      <c r="C31" s="6"/>
      <c r="D31" s="6"/>
      <c r="E31" s="6"/>
      <c r="F31" s="6"/>
      <c r="G31" s="6"/>
      <c r="H31" s="76">
        <f t="shared" ref="H31:O31" si="11">IF(G14-H14&lt;0,0,G14-H14)</f>
      </c>
      <c r="I31" s="75">
        <f t="shared" si="11"/>
      </c>
      <c r="J31" s="75">
        <f t="shared" si="11"/>
      </c>
      <c r="K31" s="75">
        <f t="shared" si="11"/>
      </c>
      <c r="L31" s="75">
        <f t="shared" si="11"/>
      </c>
      <c r="M31" s="75">
        <f t="shared" si="11"/>
      </c>
      <c r="N31" s="75">
        <f t="shared" si="11"/>
      </c>
      <c r="O31" s="72">
        <f t="shared" si="11"/>
      </c>
      <c r="P31" s="6"/>
      <c r="Q31" s="6"/>
    </row>
    <row r="32" spans="2:17" x14ac:dyDescent="0.2">
      <c r="B32" s="6" t="s">
        <v>11</v>
      </c>
      <c r="C32" s="6"/>
      <c r="D32" s="6"/>
      <c r="E32" s="6"/>
      <c r="F32" s="6"/>
      <c r="G32" s="6"/>
      <c r="H32" s="6"/>
      <c r="I32" s="76">
        <f t="shared" ref="I32:O32" si="12">IF(H15-I15&lt;0,0,H15-I15)</f>
      </c>
      <c r="J32" s="75">
        <f t="shared" si="12"/>
      </c>
      <c r="K32" s="75">
        <f t="shared" si="12"/>
      </c>
      <c r="L32" s="75">
        <f t="shared" si="12"/>
      </c>
      <c r="M32" s="75">
        <f t="shared" si="12"/>
      </c>
      <c r="N32" s="75">
        <f t="shared" si="12"/>
      </c>
      <c r="O32" s="72">
        <f t="shared" si="12"/>
      </c>
      <c r="P32" s="6"/>
      <c r="Q32" s="6"/>
    </row>
    <row r="33" spans="2:17" x14ac:dyDescent="0.2">
      <c r="B33" s="6" t="s">
        <v>12</v>
      </c>
      <c r="C33" s="6"/>
      <c r="D33" s="6"/>
      <c r="E33" s="6"/>
      <c r="F33" s="6"/>
      <c r="G33" s="6"/>
      <c r="H33" s="6"/>
      <c r="I33" s="6"/>
      <c r="J33" s="76">
        <f t="shared" ref="J33:O33" si="13">IF(I16-J16&lt;0,0,I16-J16)</f>
      </c>
      <c r="K33" s="75">
        <f t="shared" si="13"/>
      </c>
      <c r="L33" s="75">
        <f t="shared" si="13"/>
      </c>
      <c r="M33" s="75">
        <f t="shared" si="13"/>
      </c>
      <c r="N33" s="75">
        <f t="shared" si="13"/>
      </c>
      <c r="O33" s="72">
        <f t="shared" si="13"/>
      </c>
      <c r="P33" s="6"/>
      <c r="Q33" s="6"/>
    </row>
    <row r="34" spans="2:17" x14ac:dyDescent="0.2">
      <c r="B34" s="6" t="s">
        <v>13</v>
      </c>
      <c r="C34" s="6"/>
      <c r="D34" s="6"/>
      <c r="E34" s="6"/>
      <c r="F34" s="6"/>
      <c r="G34" s="6"/>
      <c r="H34" s="6"/>
      <c r="I34" s="6"/>
      <c r="J34" s="6"/>
      <c r="K34" s="76">
        <f t="shared" ref="K34:O34" si="14">IF(J17-K17&lt;0,0,J17-K17)</f>
      </c>
      <c r="L34" s="75">
        <f t="shared" si="14"/>
      </c>
      <c r="M34" s="75">
        <f t="shared" si="14"/>
      </c>
      <c r="N34" s="75">
        <f t="shared" si="14"/>
      </c>
      <c r="O34" s="72">
        <f t="shared" si="14"/>
      </c>
      <c r="P34" s="6"/>
      <c r="Q34" s="6"/>
    </row>
    <row r="35" spans="2:17" x14ac:dyDescent="0.2">
      <c r="B35" s="6" t="s">
        <v>14</v>
      </c>
      <c r="C35" s="6"/>
      <c r="D35" s="6"/>
      <c r="E35" s="6"/>
      <c r="F35" s="6"/>
      <c r="G35" s="6"/>
      <c r="H35" s="6"/>
      <c r="I35" s="6"/>
      <c r="J35" s="6"/>
      <c r="K35" s="6"/>
      <c r="L35" s="76">
        <f t="shared" ref="L35:O35" si="15">IF(K18-L18&lt;0,0,K18-L18)</f>
      </c>
      <c r="M35" s="75">
        <f t="shared" si="15"/>
      </c>
      <c r="N35" s="75">
        <f t="shared" si="15"/>
      </c>
      <c r="O35" s="72">
        <f t="shared" si="15"/>
      </c>
      <c r="P35" s="6"/>
      <c r="Q35" s="6"/>
    </row>
    <row r="36" spans="2:17" x14ac:dyDescent="0.2">
      <c r="B36" s="6" t="s">
        <v>15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76">
        <f t="shared" ref="M36:O36" si="16">IF(L19-M19&lt;0,0,L19-M19)</f>
      </c>
      <c r="N36" s="75">
        <f t="shared" si="16"/>
      </c>
      <c r="O36" s="72">
        <f t="shared" si="16"/>
      </c>
      <c r="P36" s="6"/>
      <c r="Q36" s="6"/>
    </row>
    <row r="37" spans="2:17" x14ac:dyDescent="0.2">
      <c r="B37" s="6" t="s">
        <v>41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6">
        <f t="shared" ref="N37:O37" si="17">IF(M20-N20&lt;0,0,M20-N20)</f>
      </c>
      <c r="O37" s="72">
        <f t="shared" si="17"/>
      </c>
      <c r="P37" s="6"/>
      <c r="Q37" s="6"/>
    </row>
    <row r="38" spans="2:17" x14ac:dyDescent="0.2">
      <c r="B38" s="6" t="s">
        <v>42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3">
        <f t="shared" ref="O38" si="18">IF(N21-O21&lt;0,0,N21-O21)</f>
      </c>
      <c r="P38" s="6"/>
      <c r="Q38" s="6"/>
    </row>
    <row r="39" spans="2:17" x14ac:dyDescent="0.2">
      <c r="B39" s="115" t="s">
        <v>59</v>
      </c>
      <c r="C39" s="130"/>
      <c r="D39" s="129"/>
      <c r="E39" s="129">
        <f>SUM(E27:E38)</f>
      </c>
      <c r="F39" s="129">
        <f t="shared" ref="F39:O39" si="19">SUM(F27:F38)</f>
      </c>
      <c r="G39" s="129">
        <f t="shared" si="19"/>
      </c>
      <c r="H39" s="129">
        <f t="shared" si="19"/>
      </c>
      <c r="I39" s="129">
        <f t="shared" si="19"/>
      </c>
      <c r="J39" s="129">
        <f t="shared" si="19"/>
      </c>
      <c r="K39" s="129">
        <f t="shared" si="19"/>
      </c>
      <c r="L39" s="129">
        <f t="shared" si="19"/>
      </c>
      <c r="M39" s="129">
        <f t="shared" si="19"/>
      </c>
      <c r="N39" s="129">
        <f t="shared" si="19"/>
      </c>
      <c r="O39" s="129">
        <f t="shared" si="19"/>
      </c>
      <c r="P39" s="6"/>
      <c r="Q39" s="6"/>
    </row>
    <row r="40" spans="2:17" x14ac:dyDescent="0.2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2">
      <c r="B42" s="47" t="s">
        <v>57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</row>
    <row r="43" spans="2:17" x14ac:dyDescent="0.2">
      <c r="B43" s="6" t="s">
        <v>103</v>
      </c>
      <c r="C43" s="45"/>
      <c r="D43" s="67">
        <f>FORECAST_ASSUMPTIONS!$C$37</f>
      </c>
      <c r="E43" s="68">
        <f t="shared" ref="E43:O43" si="20">D43-E45</f>
      </c>
      <c r="F43" s="69">
        <f t="shared" si="20"/>
      </c>
      <c r="G43" s="69">
        <f t="shared" si="20"/>
      </c>
      <c r="H43" s="69">
        <f t="shared" si="20"/>
      </c>
      <c r="I43" s="69">
        <f t="shared" si="20"/>
      </c>
      <c r="J43" s="69">
        <f t="shared" si="20"/>
      </c>
      <c r="K43" s="69">
        <f t="shared" si="20"/>
      </c>
      <c r="L43" s="69">
        <f t="shared" si="20"/>
      </c>
      <c r="M43" s="69">
        <f t="shared" si="20"/>
      </c>
      <c r="N43" s="69">
        <f t="shared" si="20"/>
      </c>
      <c r="O43" s="70">
        <f t="shared" si="20"/>
      </c>
    </row>
    <row r="44" spans="2:17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7" x14ac:dyDescent="0.2">
      <c r="B45" s="115" t="s">
        <v>57</v>
      </c>
      <c r="C45" s="115"/>
      <c r="D45" s="129"/>
      <c r="E45" s="131" cm="1">
        <f t="array" ref="E45:I45">TRANSPOSE(FORECAST_ASSUMPTIONS!$C$38:$C$42)</f>
      </c>
      <c r="F45" s="131"/>
      <c r="G45" s="131"/>
      <c r="H45" s="131"/>
      <c r="I45" s="131"/>
      <c r="J45" s="131">
        <f>FORECAST_ASSUMPTIONS!$C$43/COUNTA($J$4:$O$4)</f>
      </c>
      <c r="K45" s="131">
        <f>FORECAST_ASSUMPTIONS!$C$43/COUNTA($J$4:$O$4)</f>
      </c>
      <c r="L45" s="131">
        <f>FORECAST_ASSUMPTIONS!$C$43/COUNTA($J$4:$O$4)</f>
      </c>
      <c r="M45" s="131">
        <f>FORECAST_ASSUMPTIONS!$C$43/COUNTA($J$4:$O$4)</f>
      </c>
      <c r="N45" s="131">
        <f>FORECAST_ASSUMPTIONS!$C$43/COUNTA($J$4:$O$4)</f>
      </c>
      <c r="O45" s="131">
        <f>FORECAST_ASSUMPTIONS!$C$43/COUNTA($J$4:$O$4)</f>
      </c>
    </row>
    <row r="46" spans="2:17" x14ac:dyDescent="0.2">
      <c r="K46" s="6"/>
      <c r="L46" s="6"/>
      <c r="M46" s="6"/>
      <c r="N46" s="6"/>
      <c r="O46" s="6"/>
    </row>
    <row r="47" spans="2:17" x14ac:dyDescent="0.2">
      <c r="K47" s="6"/>
      <c r="L47" s="6"/>
      <c r="M47" s="6"/>
      <c r="N47" s="6"/>
      <c r="O47" s="6"/>
    </row>
    <row r="48" spans="2:17" x14ac:dyDescent="0.2">
      <c r="B48" s="47" t="s">
        <v>100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spans="2:17" x14ac:dyDescent="0.2">
      <c r="B49" s="3" t="s">
        <v>58</v>
      </c>
      <c r="E49" s="61">
        <f t="shared" ref="E49:O49" si="21">E39</f>
      </c>
      <c r="F49" s="62">
        <f t="shared" si="21"/>
      </c>
      <c r="G49" s="62">
        <f t="shared" si="21"/>
      </c>
      <c r="H49" s="62">
        <f t="shared" si="21"/>
      </c>
      <c r="I49" s="62">
        <f t="shared" si="21"/>
      </c>
      <c r="J49" s="62">
        <f t="shared" si="21"/>
      </c>
      <c r="K49" s="62">
        <f t="shared" si="21"/>
      </c>
      <c r="L49" s="62">
        <f t="shared" si="21"/>
      </c>
      <c r="M49" s="62">
        <f t="shared" si="21"/>
      </c>
      <c r="N49" s="62">
        <f t="shared" si="21"/>
      </c>
      <c r="O49" s="63">
        <f t="shared" si="21"/>
      </c>
    </row>
    <row r="50" spans="2:17" x14ac:dyDescent="0.2">
      <c r="B50" s="3" t="s">
        <v>57</v>
      </c>
      <c r="E50" s="64">
        <f t="shared" ref="E50:O50" si="22">E45</f>
      </c>
      <c r="F50" s="65">
        <f t="shared" si="22"/>
      </c>
      <c r="G50" s="65">
        <f t="shared" si="22"/>
      </c>
      <c r="H50" s="65">
        <f t="shared" si="22"/>
      </c>
      <c r="I50" s="65">
        <f t="shared" si="22"/>
      </c>
      <c r="J50" s="65">
        <f t="shared" si="22"/>
      </c>
      <c r="K50" s="65">
        <f t="shared" si="22"/>
      </c>
      <c r="L50" s="65">
        <f t="shared" si="22"/>
      </c>
      <c r="M50" s="65">
        <f t="shared" si="22"/>
      </c>
      <c r="N50" s="65">
        <f t="shared" si="22"/>
      </c>
      <c r="O50" s="66">
        <f t="shared" si="22"/>
      </c>
    </row>
    <row r="51" spans="2:17" ht="13.5" thickBot="1" x14ac:dyDescent="0.25">
      <c r="B51" s="125" t="s">
        <v>100</v>
      </c>
      <c r="C51" s="125"/>
      <c r="D51" s="132"/>
      <c r="E51" s="132">
        <f>SUM(E49:E50)</f>
      </c>
      <c r="F51" s="132">
        <f t="shared" ref="F51:O51" si="23">SUM(F49:F50)</f>
      </c>
      <c r="G51" s="132">
        <f t="shared" si="23"/>
      </c>
      <c r="H51" s="132">
        <f t="shared" si="23"/>
      </c>
      <c r="I51" s="132">
        <f t="shared" si="23"/>
      </c>
      <c r="J51" s="132">
        <f t="shared" si="23"/>
      </c>
      <c r="K51" s="132">
        <f t="shared" si="23"/>
      </c>
      <c r="L51" s="132">
        <f t="shared" si="23"/>
      </c>
      <c r="M51" s="132">
        <f t="shared" si="23"/>
      </c>
      <c r="N51" s="132">
        <f t="shared" si="23"/>
      </c>
      <c r="O51" s="132">
        <f t="shared" si="23"/>
      </c>
    </row>
    <row r="52" spans="2:17" ht="13.5" thickTop="1" x14ac:dyDescent="0.2">
      <c r="P52" s="6"/>
      <c r="Q52" s="6"/>
    </row>
    <row r="53" spans="2:17" x14ac:dyDescent="0.2">
      <c r="P53" s="6"/>
      <c r="Q53" s="6"/>
    </row>
    <row r="54" spans="2:17" x14ac:dyDescent="0.2">
      <c r="P54" s="6"/>
      <c r="Q54" s="6"/>
    </row>
    <row r="55" spans="2:17" x14ac:dyDescent="0.2">
      <c r="P55" s="6"/>
      <c r="Q55" s="6"/>
    </row>
    <row r="56" spans="2:17" x14ac:dyDescent="0.2">
      <c r="P56" s="6"/>
      <c r="Q56" s="6"/>
    </row>
    <row r="57" spans="2:17" x14ac:dyDescent="0.2">
      <c r="P57" s="6"/>
      <c r="Q57" s="6"/>
    </row>
    <row r="58" spans="2:17" x14ac:dyDescent="0.2">
      <c r="P58" s="6"/>
      <c r="Q58" s="6"/>
    </row>
    <row r="59" spans="2:17" x14ac:dyDescent="0.2">
      <c r="P59" s="6"/>
      <c r="Q59" s="6"/>
    </row>
    <row r="60" spans="2:17" x14ac:dyDescent="0.2">
      <c r="P60" s="6"/>
      <c r="Q60" s="6"/>
    </row>
    <row r="61" spans="2:17" x14ac:dyDescent="0.2">
      <c r="P61" s="6"/>
      <c r="Q6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FORECAST_ASSUMPTIONS</vt:lpstr>
      <vt:lpstr>VALUATION_MODEL</vt:lpstr>
      <vt:lpstr>D&amp;A_BUILD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