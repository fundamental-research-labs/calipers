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bookViews>
    <workbookView xWindow="-120" yWindow="-120" windowWidth="29040" windowHeight="15720" xr2:uid="{00000000-000D-0000-FFFF-FFFF00000000}"/>
  </bookViews>
  <sheets>
    <sheet name="Bond-Refinancing" sheetId="20" r:id="rId1"/>
  </sheets>
  <definedNames>
    <definedName name="Bond_Par_Value" localSheetId="0">'Bond-Refinancing'!$F$10</definedName>
    <definedName name="Bond_Par_Value">#REF!</definedName>
    <definedName name="Bond_Price" localSheetId="0">'Bond-Refinancing'!$F$13</definedName>
    <definedName name="Bond_Price">#REF!</definedName>
    <definedName name="Bond_Redemption_Pct">#REF!</definedName>
    <definedName name="CIQWBGuid" hidden="1">"fedf60f8-2cd9-49ba-9fee-91fc372c3a0f"</definedName>
    <definedName name="Coupon_Rate" localSheetId="0">'Bond-Refinancing'!$K$10</definedName>
    <definedName name="Coupon_Rate">#REF!</definedName>
    <definedName name="Dirty_Bond_Price">'Bond-Refinancing'!$F$15</definedName>
    <definedName name="Discount_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Last_Coupon_Date">'Bond-Refinancing'!$F$20</definedName>
    <definedName name="Maturity_Date" localSheetId="0">'Bond-Refinancing'!$K$11</definedName>
    <definedName name="Maturity_Date">#REF!</definedName>
    <definedName name="New_Coupon_Rate">'Bond-Refinancing'!$P$10</definedName>
    <definedName name="New_Maturity_Date">'Bond-Refinancing'!$P$11</definedName>
    <definedName name="New_YTM">'Bond-Refinancing'!$P$15</definedName>
    <definedName name="Num_Coupons">'Bond-Refinancing'!$F$17</definedName>
    <definedName name="Num_Years">#REF!</definedName>
    <definedName name="_xlnm.Print_Area" localSheetId="0">'Bond-Refinancing'!$A$1:$Q$51</definedName>
    <definedName name="Settlement_Date" localSheetId="0">'Bond-Refinancing'!$F$19</definedName>
    <definedName name="Settlement_Date">#REF!</definedName>
    <definedName name="Start_Year">#REF!</definedName>
    <definedName name="US_Treasury_Rate">'Bond-Refinancing'!#REF!</definedName>
    <definedName name="YTM" localSheetId="0">'Bond-Refinancing'!$K$15</definedName>
    <definedName name="YTM">#REF!</definedName>
  </definedNames>
  <calcPr calcId="191029" calcMode="autoNoTable" iterate="1"/>
  <webPublishing vml="1" allowPng="1" targetScreenSize="1920x1200" dpi="120" codePage="1252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0" l="1"/>
  <c r="C47" i="20"/>
  <c r="C46" i="20"/>
  <c r="C45" i="20"/>
  <c r="H44" i="20"/>
  <c r="C44" i="20"/>
  <c r="G41" i="20"/>
  <c r="F41" i="20"/>
  <c r="G36" i="20"/>
  <c r="H36" i="20" s="1"/>
  <c r="I36" i="20" s="1"/>
  <c r="J36" i="20" s="1"/>
  <c r="K36" i="20" s="1"/>
  <c r="L36" i="20" s="1"/>
  <c r="M36" i="20" s="1"/>
  <c r="N36" i="20" s="1"/>
  <c r="O36" i="20" s="1"/>
  <c r="P36" i="20" s="1"/>
  <c r="H33" i="20"/>
  <c r="I33" i="20" s="1"/>
  <c r="F31" i="20"/>
  <c r="F42" i="20" s="1"/>
  <c r="P26" i="20"/>
  <c r="O26" i="20"/>
  <c r="N26" i="20"/>
  <c r="M26" i="20"/>
  <c r="L26" i="20"/>
  <c r="K26" i="20"/>
  <c r="J26" i="20"/>
  <c r="I26" i="20"/>
  <c r="H26" i="20"/>
  <c r="G26" i="20"/>
  <c r="F20" i="20"/>
  <c r="F14" i="20" s="1"/>
  <c r="K16" i="20"/>
  <c r="P15" i="20"/>
  <c r="P20" i="20" s="1"/>
  <c r="F13" i="20"/>
  <c r="K15" i="20" s="1"/>
  <c r="K20" i="20" s="1"/>
  <c r="J33" i="20" l="1"/>
  <c r="I44" i="20"/>
  <c r="G31" i="20"/>
  <c r="G35" i="20" s="1"/>
  <c r="K13" i="20"/>
  <c r="P13" i="20"/>
  <c r="F15" i="20"/>
  <c r="P16" i="20"/>
  <c r="K33" i="20" l="1"/>
  <c r="J44" i="20"/>
  <c r="F33" i="20"/>
  <c r="F37" i="20" s="1"/>
  <c r="F39" i="20"/>
  <c r="K18" i="20" s="1"/>
  <c r="F44" i="20"/>
  <c r="F48" i="20" s="1"/>
  <c r="G42" i="20"/>
  <c r="H31" i="20"/>
  <c r="H35" i="20" s="1"/>
  <c r="G34" i="20"/>
  <c r="G37" i="20" s="1"/>
  <c r="G45" i="20" l="1"/>
  <c r="G28" i="20"/>
  <c r="G46" i="20"/>
  <c r="G47" i="20"/>
  <c r="K44" i="20"/>
  <c r="L33" i="20"/>
  <c r="H42" i="20"/>
  <c r="I31" i="20"/>
  <c r="H34" i="20"/>
  <c r="H37" i="20" s="1"/>
  <c r="I42" i="20" l="1"/>
  <c r="I47" i="20" s="1"/>
  <c r="J31" i="20"/>
  <c r="J35" i="20" s="1"/>
  <c r="I34" i="20"/>
  <c r="H45" i="20"/>
  <c r="H28" i="20"/>
  <c r="H47" i="20"/>
  <c r="L44" i="20"/>
  <c r="I35" i="20"/>
  <c r="M33" i="20"/>
  <c r="G48" i="20"/>
  <c r="H46" i="20"/>
  <c r="I46" i="20" l="1"/>
  <c r="I37" i="20"/>
  <c r="H48" i="20"/>
  <c r="N33" i="20"/>
  <c r="M44" i="20"/>
  <c r="J34" i="20"/>
  <c r="J37" i="20" s="1"/>
  <c r="J42" i="20"/>
  <c r="K31" i="20"/>
  <c r="K35" i="20" s="1"/>
  <c r="I45" i="20"/>
  <c r="I48" i="20" s="1"/>
  <c r="I28" i="20"/>
  <c r="J45" i="20" l="1"/>
  <c r="J28" i="20"/>
  <c r="K34" i="20"/>
  <c r="K37" i="20" s="1"/>
  <c r="K42" i="20"/>
  <c r="K47" i="20" s="1"/>
  <c r="L31" i="20"/>
  <c r="N44" i="20"/>
  <c r="J47" i="20"/>
  <c r="O33" i="20"/>
  <c r="J46" i="20"/>
  <c r="L34" i="20" l="1"/>
  <c r="L42" i="20"/>
  <c r="L47" i="20" s="1"/>
  <c r="M31" i="20"/>
  <c r="M35" i="20" s="1"/>
  <c r="K45" i="20"/>
  <c r="K48" i="20" s="1"/>
  <c r="K28" i="20"/>
  <c r="P33" i="20"/>
  <c r="L35" i="20"/>
  <c r="K46" i="20"/>
  <c r="O44" i="20"/>
  <c r="J48" i="20"/>
  <c r="L46" i="20" l="1"/>
  <c r="P44" i="20"/>
  <c r="M34" i="20"/>
  <c r="M37" i="20" s="1"/>
  <c r="M42" i="20"/>
  <c r="M47" i="20" s="1"/>
  <c r="N31" i="20"/>
  <c r="N35" i="20" s="1"/>
  <c r="L28" i="20"/>
  <c r="L45" i="20"/>
  <c r="L48" i="20" s="1"/>
  <c r="L37" i="20"/>
  <c r="M28" i="20" l="1"/>
  <c r="M45" i="20"/>
  <c r="N34" i="20"/>
  <c r="N37" i="20" s="1"/>
  <c r="N42" i="20"/>
  <c r="O31" i="20"/>
  <c r="O35" i="20" s="1"/>
  <c r="M46" i="20"/>
  <c r="O42" i="20" l="1"/>
  <c r="P31" i="20"/>
  <c r="P35" i="20" s="1"/>
  <c r="O34" i="20"/>
  <c r="O37" i="20" s="1"/>
  <c r="M48" i="20"/>
  <c r="O46" i="20"/>
  <c r="N28" i="20"/>
  <c r="N45" i="20"/>
  <c r="O47" i="20"/>
  <c r="N47" i="20"/>
  <c r="N46" i="20"/>
  <c r="N48" i="20" l="1"/>
  <c r="P42" i="20"/>
  <c r="P34" i="20"/>
  <c r="P37" i="20" s="1"/>
  <c r="P46" i="20"/>
  <c r="O45" i="20"/>
  <c r="O48" i="20" s="1"/>
  <c r="P47" i="20"/>
  <c r="O28" i="20"/>
  <c r="F50" i="20" s="1"/>
  <c r="P18" i="20" s="1"/>
  <c r="P45" i="20" l="1"/>
  <c r="P48" i="20" s="1"/>
  <c r="P2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this pretty much HAS to be 2 because of the way we've set up the Interest and Principal Payments below.</t>
        </r>
      </text>
    </comment>
  </commentList>
</comments>
</file>

<file path=xl/sharedStrings.xml><?xml version="1.0" encoding="utf-8"?>
<sst xmlns="http://schemas.openxmlformats.org/spreadsheetml/2006/main" count="63" uniqueCount="39">
  <si>
    <t>Projected</t>
  </si>
  <si>
    <t>($ USD in Millions Except Per Share Amounts in USD as Stated)</t>
  </si>
  <si>
    <t>Bond Yield and Pricing Assumptions:</t>
  </si>
  <si>
    <t>Bond Coupon Rate:</t>
  </si>
  <si>
    <t>Bond Principal or Par Value:</t>
  </si>
  <si>
    <t>Current Yield:</t>
  </si>
  <si>
    <t>Yield to Maturity (YTM):</t>
  </si>
  <si>
    <t>Settlement Date:</t>
  </si>
  <si>
    <t>(+) Future Interest Payments:</t>
  </si>
  <si>
    <t>(+) Future Principal Repayments:</t>
  </si>
  <si>
    <t>(-) Initial Investment:</t>
  </si>
  <si>
    <t>Approximate Yield to Maturity:</t>
  </si>
  <si>
    <t>Bond Redemption Value % Par Value:</t>
  </si>
  <si>
    <t>Distressed Company - Refinancing Analysis</t>
  </si>
  <si>
    <t>Assumptions and Calculations for BOTH Bonds:</t>
  </si>
  <si>
    <t>Assumptions and Calculations for the EXISTING Bond:</t>
  </si>
  <si>
    <t>Assumptions and Calculations for the NEW Bond:</t>
  </si>
  <si>
    <t>Coupon Rate:</t>
  </si>
  <si>
    <t>Trading Price @ Settlement:</t>
  </si>
  <si>
    <t>Bond Maturity Date:</t>
  </si>
  <si>
    <t>Maturity Date:</t>
  </si>
  <si>
    <t>"Clean" Bond Price @ Settlement:</t>
  </si>
  <si>
    <t>(+) Accrued Interest:</t>
  </si>
  <si>
    <t>"Dirty" Bond Price:</t>
  </si>
  <si>
    <t># of Interest Coupons per Year:</t>
  </si>
  <si>
    <t>Yield to Assumed Exit:</t>
  </si>
  <si>
    <t>Last Coupon Payment Date Before Settlement:</t>
  </si>
  <si>
    <t>Modified Duration:</t>
  </si>
  <si>
    <t>Early Bond Redemption Allowed?</t>
  </si>
  <si>
    <t>N/A</t>
  </si>
  <si>
    <t>% Equity to Investors:</t>
  </si>
  <si>
    <t>Company's Estimated Equity Value:</t>
  </si>
  <si>
    <t>Equity Granted to Investors:</t>
  </si>
  <si>
    <t>Yield to Exit:</t>
  </si>
  <si>
    <t>Settlement</t>
  </si>
  <si>
    <t>Scenario 1 - Original Bond Stays in Place:</t>
  </si>
  <si>
    <t>(+) Future Equity Grants:</t>
  </si>
  <si>
    <t>Net Cash Flow:</t>
  </si>
  <si>
    <t>Scenario 2 - Bond is Refinanced: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</si>
</sst>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yyyy\-mm\-dd"/>
    <numFmt numFmtId="167" formatCode="&quot;Yes&quot;;&quot;ERROR&quot;;&quot;No&quot;;&quot;ERROR&quot;"/>
    <numFmt numFmtId="168" formatCode="0.000%"/>
    <numFmt numFmtId="169" formatCode="0.000%;\(0.000%\)"/>
    <numFmt numFmtId="170" formatCode="0.0_);\(0.0\)"/>
    <numFmt numFmtId="171" formatCode="0.0%;\(0.0%\)"/>
    <numFmt numFmtId="172" formatCode="0_);\(0\)"/>
  </numFmts>
  <fonts count="25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9" fillId="2" borderId="3" applyNumberFormat="0" applyAlignment="0" applyProtection="0"/>
    <xf numFmtId="0" fontId="10" fillId="0" borderId="0"/>
    <xf numFmtId="0" fontId="7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3" fillId="0" borderId="0"/>
    <xf numFmtId="0" fontId="3" fillId="5" borderId="3" applyNumberFormat="0" applyFont="0" applyAlignment="0" applyProtection="0"/>
    <xf numFmtId="0" fontId="2" fillId="0" borderId="0"/>
  </cellStyleXfs>
  <cellXfs count="63">
    <xf numFmtId="0" fontId="0" fillId="0" borderId="0" xfId="0"/>
    <xf numFmtId="0" fontId="8" fillId="0" borderId="0" xfId="12" applyFont="1"/>
    <xf numFmtId="0" fontId="1" fillId="0" borderId="0" xfId="12" applyFont="1"/>
    <xf numFmtId="0" fontId="13" fillId="0" borderId="0" xfId="2" applyFont="1"/>
    <xf numFmtId="0" fontId="14" fillId="4" borderId="2" xfId="0" applyFont="1" applyFill="1" applyBorder="1"/>
    <xf numFmtId="0" fontId="15" fillId="4" borderId="2" xfId="0" applyFont="1" applyFill="1" applyBorder="1"/>
    <xf numFmtId="0" fontId="16" fillId="4" borderId="2" xfId="0" applyFont="1" applyFill="1" applyBorder="1"/>
    <xf numFmtId="0" fontId="17" fillId="0" borderId="0" xfId="0" applyFont="1"/>
    <xf numFmtId="0" fontId="17" fillId="3" borderId="0" xfId="0" applyFont="1" applyFill="1"/>
    <xf numFmtId="0" fontId="18" fillId="3" borderId="2" xfId="0" applyFont="1" applyFill="1" applyBorder="1"/>
    <xf numFmtId="0" fontId="17" fillId="3" borderId="2" xfId="0" applyFont="1" applyFill="1" applyBorder="1"/>
    <xf numFmtId="0" fontId="17" fillId="0" borderId="0" xfId="6" applyFont="1"/>
    <xf numFmtId="164" fontId="19" fillId="2" borderId="3" xfId="1" applyNumberFormat="1" applyFont="1" applyAlignment="1">
      <alignment horizontal="centerContinuous"/>
    </xf>
    <xf numFmtId="169" fontId="19" fillId="2" borderId="3" xfId="1" applyNumberFormat="1" applyFont="1" applyAlignment="1"/>
    <xf numFmtId="0" fontId="1" fillId="0" borderId="0" xfId="12" applyFont="1" applyAlignment="1">
      <alignment horizontal="left" indent="1"/>
    </xf>
    <xf numFmtId="171" fontId="19" fillId="2" borderId="3" xfId="1" applyNumberFormat="1" applyFont="1" applyAlignment="1"/>
    <xf numFmtId="166" fontId="20" fillId="2" borderId="3" xfId="0" applyNumberFormat="1" applyFont="1" applyFill="1" applyBorder="1" applyAlignment="1">
      <alignment horizontal="center"/>
    </xf>
    <xf numFmtId="0" fontId="1" fillId="0" borderId="6" xfId="12" applyFont="1" applyBorder="1"/>
    <xf numFmtId="164" fontId="21" fillId="0" borderId="0" xfId="1" applyNumberFormat="1" applyFont="1" applyFill="1" applyBorder="1" applyAlignment="1">
      <alignment horizontal="centerContinuous"/>
    </xf>
    <xf numFmtId="168" fontId="1" fillId="0" borderId="0" xfId="0" applyNumberFormat="1" applyFont="1"/>
    <xf numFmtId="0" fontId="1" fillId="0" borderId="2" xfId="12" applyFont="1" applyBorder="1" applyAlignment="1">
      <alignment horizontal="left" indent="1"/>
    </xf>
    <xf numFmtId="0" fontId="1" fillId="0" borderId="2" xfId="12" applyFont="1" applyBorder="1"/>
    <xf numFmtId="165" fontId="1" fillId="0" borderId="2" xfId="0" applyNumberFormat="1" applyFont="1" applyBorder="1"/>
    <xf numFmtId="0" fontId="12" fillId="0" borderId="0" xfId="12" applyFont="1"/>
    <xf numFmtId="165" fontId="12" fillId="0" borderId="0" xfId="0" applyNumberFormat="1" applyFont="1"/>
    <xf numFmtId="172" fontId="19" fillId="2" borderId="3" xfId="1" applyNumberFormat="1" applyFont="1" applyAlignment="1"/>
    <xf numFmtId="168" fontId="1" fillId="0" borderId="0" xfId="12" applyNumberFormat="1" applyFont="1"/>
    <xf numFmtId="0" fontId="12" fillId="3" borderId="7" xfId="12" applyFont="1" applyFill="1" applyBorder="1"/>
    <xf numFmtId="0" fontId="1" fillId="3" borderId="8" xfId="12" applyFont="1" applyFill="1" applyBorder="1"/>
    <xf numFmtId="168" fontId="12" fillId="3" borderId="5" xfId="12" applyNumberFormat="1" applyFont="1" applyFill="1" applyBorder="1"/>
    <xf numFmtId="0" fontId="17" fillId="3" borderId="8" xfId="0" applyFont="1" applyFill="1" applyBorder="1"/>
    <xf numFmtId="166" fontId="1" fillId="0" borderId="0" xfId="12" applyNumberFormat="1" applyFont="1" applyAlignment="1">
      <alignment horizontal="center"/>
    </xf>
    <xf numFmtId="43" fontId="1" fillId="0" borderId="0" xfId="12" applyNumberFormat="1" applyFont="1"/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67" fontId="19" fillId="2" borderId="3" xfId="1" applyNumberFormat="1" applyFont="1" applyAlignment="1">
      <alignment horizontal="center"/>
    </xf>
    <xf numFmtId="170" fontId="19" fillId="2" borderId="3" xfId="1" applyNumberFormat="1" applyFont="1" applyAlignment="1"/>
    <xf numFmtId="164" fontId="19" fillId="2" borderId="3" xfId="1" applyNumberFormat="1" applyFont="1" applyAlignment="1"/>
    <xf numFmtId="165" fontId="1" fillId="0" borderId="0" xfId="12" applyNumberFormat="1" applyFont="1"/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65" fontId="17" fillId="0" borderId="0" xfId="0" applyNumberFormat="1" applyFont="1" applyAlignment="1">
      <alignment horizontal="left" indent="1"/>
    </xf>
    <xf numFmtId="165" fontId="17" fillId="0" borderId="0" xfId="0" applyNumberFormat="1" applyFont="1"/>
    <xf numFmtId="0" fontId="18" fillId="0" borderId="0" xfId="6" applyFont="1"/>
    <xf numFmtId="0" fontId="1" fillId="3" borderId="0" xfId="0" applyFont="1" applyFill="1"/>
    <xf numFmtId="0" fontId="22" fillId="3" borderId="4" xfId="0" applyFont="1" applyFill="1" applyBorder="1" applyAlignment="1">
      <alignment horizontal="centerContinuous"/>
    </xf>
    <xf numFmtId="0" fontId="22" fillId="3" borderId="2" xfId="0" applyFont="1" applyFill="1" applyBorder="1" applyAlignment="1">
      <alignment horizontal="centerContinuous"/>
    </xf>
    <xf numFmtId="0" fontId="12" fillId="3" borderId="2" xfId="0" applyFont="1" applyFill="1" applyBorder="1"/>
    <xf numFmtId="0" fontId="1" fillId="3" borderId="2" xfId="0" applyFont="1" applyFill="1" applyBorder="1"/>
    <xf numFmtId="166" fontId="22" fillId="3" borderId="5" xfId="0" applyNumberFormat="1" applyFont="1" applyFill="1" applyBorder="1" applyAlignment="1">
      <alignment horizontal="center"/>
    </xf>
    <xf numFmtId="166" fontId="22" fillId="3" borderId="2" xfId="0" applyNumberFormat="1" applyFont="1" applyFill="1" applyBorder="1" applyAlignment="1">
      <alignment horizontal="center"/>
    </xf>
    <xf numFmtId="0" fontId="1" fillId="0" borderId="0" xfId="0" applyFont="1"/>
    <xf numFmtId="167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9" fillId="2" borderId="3" xfId="1" applyNumberFormat="1" applyFont="1" applyAlignment="1">
      <alignment horizontal="centerContinuous"/>
    </xf>
    <xf numFmtId="0" fontId="18" fillId="0" borderId="1" xfId="0" applyFont="1" applyBorder="1"/>
    <xf numFmtId="0" fontId="17" fillId="0" borderId="1" xfId="0" applyFont="1" applyBorder="1"/>
    <xf numFmtId="164" fontId="17" fillId="0" borderId="1" xfId="0" applyNumberFormat="1" applyFont="1" applyBorder="1"/>
    <xf numFmtId="165" fontId="18" fillId="0" borderId="1" xfId="0" applyNumberFormat="1" applyFont="1" applyBorder="1"/>
    <xf numFmtId="0" fontId="1" fillId="0" borderId="0" xfId="0" applyFont="1" applyAlignment="1">
      <alignment horizontal="left"/>
    </xf>
    <xf numFmtId="168" fontId="21" fillId="0" borderId="0" xfId="1" applyNumberFormat="1" applyFont="1" applyFill="1" applyBorder="1" applyAlignment="1"/>
  </cellXfs>
  <cellStyles count="13">
    <cellStyle name="Normal" xfId="0" builtinId="0" customBuiltin="1"/>
    <cellStyle name="Normal 2" xfId="2" xr:uid="{00000000-0005-0000-0000-000001000000}"/>
    <cellStyle name="Normal 2 2 2" xfId="9" xr:uid="{00000000-0005-0000-0000-000002000000}"/>
    <cellStyle name="Normal 3" xfId="3" xr:uid="{00000000-0005-0000-0000-000003000000}"/>
    <cellStyle name="Normal 3 2" xfId="5" xr:uid="{00000000-0005-0000-0000-000004000000}"/>
    <cellStyle name="Normal 3 4" xfId="8" xr:uid="{00000000-0005-0000-0000-000005000000}"/>
    <cellStyle name="Normal 4" xfId="4" xr:uid="{00000000-0005-0000-0000-000006000000}"/>
    <cellStyle name="Normal 5" xfId="6" xr:uid="{00000000-0005-0000-0000-000007000000}"/>
    <cellStyle name="Normal 5 3" xfId="7" xr:uid="{00000000-0005-0000-0000-000008000000}"/>
    <cellStyle name="Normal 6" xfId="10" xr:uid="{00000000-0005-0000-0000-000009000000}"/>
    <cellStyle name="Normal 6 2" xfId="12" xr:uid="{00000000-0005-0000-0000-00000A000000}"/>
    <cellStyle name="Note" xfId="1" builtinId="10" customBuiltin="1"/>
    <cellStyle name="Note 2" xfId="11" xr:uid="{00000000-0005-0000-0000-00000C000000}"/>
  </cellStyles>
  <dxfs count="0"/>
  <tableStyles count="0" defaultTableStyle="TableStyleMedium2" defaultPivotStyle="PivotStyleLight16"/>
  <colors>
    <mruColors>
      <color rgb="FF0000FF"/>
      <color rgb="FFFFFF99"/>
      <color rgb="FF007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P50"/>
  <sheetViews>
    <sheetView showGridLines="0" tabSelected="1" zoomScaleNormal="100" workbookViewId="0">
      <selection activeCell="B2" sqref="B2"/>
    </sheetView>
  </sheetViews>
  <sheetFormatPr defaultRowHeight="15.75" outlineLevelRow="1" x14ac:dyDescent="0.25"/>
  <cols>
    <col min="1" max="2" width="2.7109375" style="2" customWidth="1"/>
    <col min="3" max="3" width="16.7109375" style="2" customWidth="1"/>
    <col min="4" max="16" width="15.7109375" style="2" customWidth="1"/>
    <col min="17" max="17" width="2.7109375" style="2" customWidth="1"/>
    <col min="18" max="19" width="15.7109375" style="2" customWidth="1"/>
    <col min="20" max="16384" width="9.140625" style="2"/>
  </cols>
  <sheetData>
    <row r="2" spans="2:16" ht="18.75" x14ac:dyDescent="0.3">
      <c r="B2" s="1" t="s">
        <v>13</v>
      </c>
    </row>
    <row r="3" spans="2:16" x14ac:dyDescent="0.25">
      <c r="B3" s="3" t="s">
        <v>1</v>
      </c>
    </row>
    <row r="5" spans="2:16" x14ac:dyDescent="0.25">
      <c r="B5" s="4" t="s">
        <v>2</v>
      </c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5"/>
    </row>
    <row r="6" spans="2:16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6" x14ac:dyDescent="0.25">
      <c r="B7" s="7"/>
      <c r="C7" s="8"/>
      <c r="D7" s="8"/>
      <c r="E7" s="8"/>
      <c r="F7" s="8"/>
      <c r="G7" s="7"/>
      <c r="H7" s="8"/>
      <c r="I7" s="8"/>
      <c r="J7" s="8"/>
      <c r="K7" s="8"/>
      <c r="L7" s="7"/>
      <c r="M7" s="8"/>
      <c r="N7" s="8"/>
      <c r="O7" s="8"/>
      <c r="P7" s="8"/>
    </row>
    <row r="8" spans="2:16" x14ac:dyDescent="0.25">
      <c r="B8" s="7"/>
      <c r="C8" s="9" t="s">
        <v>14</v>
      </c>
      <c r="D8" s="10"/>
      <c r="E8" s="10"/>
      <c r="F8" s="10"/>
      <c r="G8" s="7"/>
      <c r="H8" s="9" t="s">
        <v>15</v>
      </c>
      <c r="I8" s="10"/>
      <c r="J8" s="10"/>
      <c r="K8" s="10"/>
      <c r="L8" s="7"/>
      <c r="M8" s="9" t="s">
        <v>16</v>
      </c>
      <c r="N8" s="10"/>
      <c r="O8" s="10"/>
      <c r="P8" s="10"/>
    </row>
    <row r="9" spans="2:1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2:16" x14ac:dyDescent="0.25">
      <c r="B10" s="7"/>
      <c r="C10" s="11" t="s">
        <v>4</v>
      </c>
      <c r="D10" s="11"/>
      <c r="E10" s="11"/>
      <c r="F10" s="12">
        <v>250</v>
      </c>
      <c r="G10" s="7"/>
      <c r="H10" s="11" t="s">
        <v>3</v>
      </c>
      <c r="I10" s="11"/>
      <c r="J10" s="11"/>
      <c r="K10" s="13">
        <v>0.13</v>
      </c>
      <c r="L10" s="7"/>
      <c r="M10" s="11" t="s">
        <v>17</v>
      </c>
      <c r="N10" s="11"/>
      <c r="O10" s="11"/>
      <c r="P10" s="13">
        <v>0.14000000000000001</v>
      </c>
    </row>
    <row r="11" spans="2:16" x14ac:dyDescent="0.25">
      <c r="B11" s="7"/>
      <c r="C11" s="14" t="s">
        <v>18</v>
      </c>
      <c r="F11" s="15">
        <v>0.8</v>
      </c>
      <c r="G11" s="7"/>
      <c r="H11" s="11" t="s">
        <v>19</v>
      </c>
      <c r="I11" s="11"/>
      <c r="J11" s="11"/>
      <c r="K11" s="16">
        <v>42993</v>
      </c>
      <c r="L11" s="7"/>
      <c r="M11" s="11" t="s">
        <v>20</v>
      </c>
      <c r="N11" s="11"/>
      <c r="O11" s="11"/>
      <c r="P11" s="16">
        <v>43723</v>
      </c>
    </row>
    <row r="12" spans="2:16" x14ac:dyDescent="0.25">
      <c r="B12" s="7"/>
      <c r="C12" s="14"/>
      <c r="F12" s="17"/>
      <c r="G12" s="7"/>
      <c r="H12" s="7"/>
      <c r="I12" s="7"/>
      <c r="J12" s="7"/>
      <c r="K12" s="7"/>
      <c r="L12" s="7"/>
      <c r="M12" s="7"/>
      <c r="N12" s="7"/>
      <c r="O12" s="7"/>
    </row>
    <row r="13" spans="2:16" x14ac:dyDescent="0.25">
      <c r="B13" s="7"/>
      <c r="C13" s="11" t="s">
        <v>21</v>
      </c>
      <c r="D13" s="7"/>
      <c r="E13" s="7"/>
      <c r="F13" s="18">
        <f>+Bond_Par_Value*F11</f>
        <v>200</v>
      </c>
      <c r="G13" s="7"/>
      <c r="H13" s="11" t="s">
        <v>5</v>
      </c>
      <c r="J13" s="7"/>
      <c r="K13" s="19">
        <f>+Bond_Par_Value*Coupon_Rate/Bond_Price</f>
        <v>0.16250000000000001</v>
      </c>
      <c r="L13" s="7"/>
      <c r="M13" s="11" t="s">
        <v>5</v>
      </c>
      <c r="N13" s="7"/>
      <c r="O13" s="7"/>
      <c r="P13" s="19">
        <f>+Bond_Par_Value*New_Coupon_Rate/Bond_Price</f>
        <v>0.17499999999999999</v>
      </c>
    </row>
    <row r="14" spans="2:16" x14ac:dyDescent="0.25">
      <c r="B14" s="7"/>
      <c r="C14" s="20" t="s">
        <v>22</v>
      </c>
      <c r="D14" s="21"/>
      <c r="E14" s="21"/>
      <c r="F14" s="22">
        <f>+Coupon_Rate*Bond_Par_Value*YEARFRAC(Last_Coupon_Date,Settlement_Date,1)</f>
        <v>8.1917808219178081</v>
      </c>
      <c r="G14" s="7"/>
      <c r="L14" s="7"/>
      <c r="M14" s="7"/>
      <c r="N14" s="7"/>
      <c r="O14" s="7"/>
    </row>
    <row r="15" spans="2:16" x14ac:dyDescent="0.25">
      <c r="B15" s="7"/>
      <c r="C15" s="23" t="s">
        <v>23</v>
      </c>
      <c r="F15" s="24">
        <f>SUM(F13:F14)</f>
        <v>208.1917808219178</v>
      </c>
      <c r="G15" s="7"/>
      <c r="H15" s="11" t="s">
        <v>6</v>
      </c>
      <c r="I15" s="7"/>
      <c r="J15" s="7"/>
      <c r="K15" s="19">
        <f>YIELD(Settlement_Date,Maturity_Date,Coupon_Rate,Bond_Price/Bond_Par_Value*100,100,Num_Coupons,1)</f>
        <v>0.25110153369355198</v>
      </c>
      <c r="L15" s="7"/>
      <c r="M15" s="11" t="s">
        <v>6</v>
      </c>
      <c r="N15" s="7"/>
      <c r="O15" s="7"/>
      <c r="P15" s="19">
        <f>YIELD(Settlement_Date,New_Maturity_Date,New_Coupon_Rate,Bond_Price/Bond_Par_Value*100,100,Num_Coupons,1)</f>
        <v>0.21359343320572396</v>
      </c>
    </row>
    <row r="16" spans="2:16" x14ac:dyDescent="0.25">
      <c r="B16" s="7"/>
      <c r="C16" s="7"/>
      <c r="D16" s="7"/>
      <c r="E16" s="7"/>
      <c r="F16" s="7"/>
      <c r="G16" s="7"/>
      <c r="H16" s="11" t="s">
        <v>11</v>
      </c>
      <c r="I16" s="11"/>
      <c r="J16" s="11"/>
      <c r="K16" s="19">
        <f>(Bond_Par_Value*Coupon_Rate+(Bond_Par_Value-Bond_Price)/(YEAR(Maturity_Date)-YEAR(Settlement_Date)))/((Bond_Par_Value+Bond_Price)/2)</f>
        <v>0.25555555555555554</v>
      </c>
      <c r="L16" s="7"/>
      <c r="M16" s="11" t="s">
        <v>11</v>
      </c>
      <c r="N16" s="7"/>
      <c r="O16" s="7"/>
      <c r="P16" s="19">
        <f>(Bond_Par_Value*New_Coupon_Rate+(Bond_Par_Value-Bond_Price)/(YEAR(New_Maturity_Date)-YEAR(Settlement_Date)))/((Bond_Par_Value+Bond_Price)/2)</f>
        <v>0.21111111111111111</v>
      </c>
    </row>
    <row r="17" spans="2:16" x14ac:dyDescent="0.25">
      <c r="B17" s="7"/>
      <c r="C17" s="2" t="s">
        <v>24</v>
      </c>
      <c r="F17" s="25">
        <v>2</v>
      </c>
      <c r="G17" s="7"/>
      <c r="K17" s="19"/>
      <c r="L17" s="7"/>
      <c r="N17" s="7"/>
      <c r="O17" s="7"/>
      <c r="P17" s="26"/>
    </row>
    <row r="18" spans="2:16" x14ac:dyDescent="0.25">
      <c r="B18" s="7"/>
      <c r="C18" s="7"/>
      <c r="D18" s="7"/>
      <c r="E18" s="7"/>
      <c r="F18" s="7"/>
      <c r="G18" s="7"/>
      <c r="H18" s="27" t="s">
        <v>25</v>
      </c>
      <c r="I18" s="28"/>
      <c r="J18" s="28"/>
      <c r="K18" s="29">
        <f>+F39</f>
        <v>0.22864023544312384</v>
      </c>
      <c r="L18" s="7"/>
      <c r="M18" s="27" t="s">
        <v>25</v>
      </c>
      <c r="N18" s="30"/>
      <c r="O18" s="30"/>
      <c r="P18" s="29">
        <f>+F50</f>
        <v>0.24923272181707529</v>
      </c>
    </row>
    <row r="19" spans="2:16" x14ac:dyDescent="0.25">
      <c r="B19" s="7"/>
      <c r="C19" s="2" t="s">
        <v>7</v>
      </c>
      <c r="F19" s="16">
        <v>42170</v>
      </c>
      <c r="G19" s="7"/>
      <c r="N19" s="7"/>
      <c r="O19" s="7"/>
    </row>
    <row r="20" spans="2:16" x14ac:dyDescent="0.25">
      <c r="B20" s="7"/>
      <c r="C20" s="2" t="s">
        <v>26</v>
      </c>
      <c r="F20" s="31">
        <f>COUPPCD(Settlement_Date,Maturity_Date,Num_Coupons,1)</f>
        <v>42078</v>
      </c>
      <c r="G20" s="7"/>
      <c r="H20" s="11" t="s">
        <v>27</v>
      </c>
      <c r="I20" s="11"/>
      <c r="J20" s="11"/>
      <c r="K20" s="32">
        <f>MDURATION(Settlement_Date,Maturity_Date,Coupon_Rate,YTM,Num_Coupons,1)</f>
        <v>1.7065727670290547</v>
      </c>
      <c r="L20" s="7"/>
      <c r="M20" s="11" t="s">
        <v>27</v>
      </c>
      <c r="N20" s="7"/>
      <c r="O20" s="7"/>
      <c r="P20" s="32">
        <f>MDURATION(Settlement_Date,New_Maturity_Date,New_Coupon_Rate,New_YTM,Num_Coupons,1)</f>
        <v>2.7973461756360067</v>
      </c>
    </row>
    <row r="21" spans="2:16" x14ac:dyDescent="0.25">
      <c r="B21" s="7"/>
      <c r="H21" s="33"/>
      <c r="I21" s="34"/>
      <c r="J21" s="34"/>
      <c r="K21" s="19"/>
      <c r="L21" s="35"/>
      <c r="M21" s="7"/>
      <c r="N21" s="7"/>
      <c r="O21" s="7"/>
      <c r="P21" s="32"/>
    </row>
    <row r="22" spans="2:16" x14ac:dyDescent="0.25">
      <c r="B22" s="7"/>
      <c r="C22" s="11" t="s">
        <v>28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1</v>
      </c>
      <c r="M22" s="36">
        <v>1</v>
      </c>
      <c r="N22" s="36">
        <v>1</v>
      </c>
      <c r="O22" s="36">
        <v>1</v>
      </c>
      <c r="P22" s="36">
        <v>0</v>
      </c>
    </row>
    <row r="23" spans="2:16" x14ac:dyDescent="0.25">
      <c r="B23" s="7"/>
      <c r="C23" s="11" t="s">
        <v>12</v>
      </c>
      <c r="D23" s="11"/>
      <c r="E23" s="11"/>
      <c r="G23" s="37" t="s">
        <v>29</v>
      </c>
      <c r="H23" s="37" t="s">
        <v>29</v>
      </c>
      <c r="I23" s="37" t="s">
        <v>29</v>
      </c>
      <c r="J23" s="37" t="s">
        <v>29</v>
      </c>
      <c r="K23" s="37" t="s">
        <v>29</v>
      </c>
      <c r="L23" s="37">
        <v>110</v>
      </c>
      <c r="M23" s="37">
        <v>110</v>
      </c>
      <c r="N23" s="37">
        <v>110</v>
      </c>
      <c r="O23" s="37">
        <v>110</v>
      </c>
      <c r="P23" s="37" t="s">
        <v>29</v>
      </c>
    </row>
    <row r="24" spans="2:16" x14ac:dyDescent="0.25">
      <c r="B24" s="7"/>
      <c r="C24" s="2" t="s">
        <v>30</v>
      </c>
      <c r="G24" s="15" t="s">
        <v>29</v>
      </c>
      <c r="H24" s="15" t="s">
        <v>29</v>
      </c>
      <c r="I24" s="15" t="s">
        <v>29</v>
      </c>
      <c r="J24" s="15" t="s">
        <v>29</v>
      </c>
      <c r="K24" s="15" t="s">
        <v>29</v>
      </c>
      <c r="L24" s="15">
        <v>0.1</v>
      </c>
      <c r="M24" s="15">
        <v>0.15</v>
      </c>
      <c r="N24" s="15">
        <v>0.2</v>
      </c>
      <c r="O24" s="15">
        <v>0.25</v>
      </c>
      <c r="P24" s="15" t="s">
        <v>29</v>
      </c>
    </row>
    <row r="25" spans="2:16" x14ac:dyDescent="0.25">
      <c r="B25" s="7"/>
      <c r="C25" s="2" t="s">
        <v>31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38">
        <v>150</v>
      </c>
      <c r="M25" s="38">
        <v>150</v>
      </c>
      <c r="N25" s="38">
        <v>200</v>
      </c>
      <c r="O25" s="38">
        <v>200</v>
      </c>
      <c r="P25" s="12" t="s">
        <v>29</v>
      </c>
    </row>
    <row r="26" spans="2:16" x14ac:dyDescent="0.25">
      <c r="B26" s="7"/>
      <c r="C26" s="2" t="s">
        <v>32</v>
      </c>
      <c r="G26" s="39" t="str">
        <f>IFERROR(+G24*G25,"N/A")</f>
        <v>N/A</v>
      </c>
      <c r="H26" s="40" t="str">
        <f t="shared" ref="H26:P26" si="0">IFERROR(+H24*H25,"N/A")</f>
        <v>N/A</v>
      </c>
      <c r="I26" s="41" t="str">
        <f t="shared" si="0"/>
        <v>N/A</v>
      </c>
      <c r="J26" s="41" t="str">
        <f t="shared" si="0"/>
        <v>N/A</v>
      </c>
      <c r="K26" s="42" t="str">
        <f t="shared" si="0"/>
        <v>N/A</v>
      </c>
      <c r="L26" s="43">
        <f t="shared" si="0"/>
        <v>15</v>
      </c>
      <c r="M26" s="44">
        <f t="shared" si="0"/>
        <v>22.5</v>
      </c>
      <c r="N26" s="44">
        <f t="shared" si="0"/>
        <v>40</v>
      </c>
      <c r="O26" s="44">
        <f t="shared" si="0"/>
        <v>50</v>
      </c>
      <c r="P26" s="39" t="str">
        <f t="shared" si="0"/>
        <v>N/A</v>
      </c>
    </row>
    <row r="27" spans="2:16" x14ac:dyDescent="0.25">
      <c r="B27" s="7"/>
      <c r="C27" s="45"/>
      <c r="D27" s="7"/>
      <c r="E27" s="7"/>
      <c r="F27" s="19"/>
      <c r="G27" s="7"/>
      <c r="I27" s="7"/>
      <c r="J27" s="7"/>
      <c r="K27" s="7"/>
      <c r="L27" s="7"/>
      <c r="M27" s="7"/>
      <c r="N27" s="7"/>
      <c r="O27" s="7"/>
    </row>
    <row r="28" spans="2:16" x14ac:dyDescent="0.25">
      <c r="B28" s="7"/>
      <c r="C28" s="11" t="s">
        <v>33</v>
      </c>
      <c r="D28" s="7"/>
      <c r="E28" s="7"/>
      <c r="F28" s="19"/>
      <c r="G28" s="19" t="str">
        <f t="shared" ref="G28:P28" si="1">IF(AND(G22,G42&lt;=New_Maturity_Date),YIELD(Settlement_Date,G42,New_Coupon_Rate,Dirty_Bond_Price/Bond_Par_Value*100,+G23+IFERROR(G26/Bond_Par_Value*100,0),Num_Coupons),"N/A")</f>
        <v>N/A</v>
      </c>
      <c r="H28" s="19" t="str">
        <f t="shared" si="1"/>
        <v>N/A</v>
      </c>
      <c r="I28" s="19" t="str">
        <f t="shared" si="1"/>
        <v>N/A</v>
      </c>
      <c r="J28" s="19" t="str">
        <f t="shared" si="1"/>
        <v>N/A</v>
      </c>
      <c r="K28" s="19" t="str">
        <f t="shared" si="1"/>
        <v>N/A</v>
      </c>
      <c r="L28" s="19">
        <f t="shared" si="1"/>
        <v>0.27248705683169372</v>
      </c>
      <c r="M28" s="19">
        <f>IF(AND(M22,M42&lt;=New_Maturity_Date),YIELD(Settlement_Date,M42,New_Coupon_Rate,Dirty_Bond_Price/Bond_Par_Value*100,+M23+IFERROR(M26/Bond_Par_Value*100,0),Num_Coupons),"N/A")</f>
        <v>0.25950696207796065</v>
      </c>
      <c r="N28" s="19">
        <f t="shared" si="1"/>
        <v>0.25690550322090788</v>
      </c>
      <c r="O28" s="19">
        <f t="shared" si="1"/>
        <v>0.24923272181707529</v>
      </c>
      <c r="P28" s="19" t="str">
        <f t="shared" si="1"/>
        <v>N/A</v>
      </c>
    </row>
    <row r="29" spans="2:16" x14ac:dyDescent="0.25">
      <c r="B29" s="7"/>
      <c r="C29" s="45"/>
      <c r="D29" s="7"/>
      <c r="E29" s="7"/>
      <c r="F29" s="19"/>
      <c r="G29" s="7"/>
      <c r="I29" s="7"/>
      <c r="J29" s="7"/>
      <c r="K29" s="7"/>
      <c r="L29" s="7"/>
      <c r="M29" s="7"/>
      <c r="N29" s="7"/>
      <c r="O29" s="7"/>
    </row>
    <row r="30" spans="2:16" outlineLevel="1" x14ac:dyDescent="0.25">
      <c r="B30" s="7"/>
      <c r="C30" s="46"/>
      <c r="D30" s="46"/>
      <c r="E30" s="46"/>
      <c r="F30" s="47" t="s">
        <v>34</v>
      </c>
      <c r="G30" s="48" t="s">
        <v>0</v>
      </c>
      <c r="H30" s="48"/>
      <c r="I30" s="48"/>
      <c r="J30" s="48"/>
      <c r="K30" s="48"/>
      <c r="L30" s="48"/>
      <c r="M30" s="48"/>
      <c r="N30" s="48"/>
      <c r="O30" s="48"/>
      <c r="P30" s="48"/>
    </row>
    <row r="31" spans="2:16" outlineLevel="1" x14ac:dyDescent="0.25">
      <c r="B31" s="7"/>
      <c r="C31" s="49" t="s">
        <v>35</v>
      </c>
      <c r="D31" s="50"/>
      <c r="E31" s="50"/>
      <c r="F31" s="51">
        <f>+Settlement_Date</f>
        <v>42170</v>
      </c>
      <c r="G31" s="52">
        <f>EDATE(Last_Coupon_Date,12/Num_Coupons)</f>
        <v>42262</v>
      </c>
      <c r="H31" s="52">
        <f t="shared" ref="H31:P31" si="2">EDATE(G31,12/Num_Coupons)</f>
        <v>42444</v>
      </c>
      <c r="I31" s="52">
        <f t="shared" si="2"/>
        <v>42628</v>
      </c>
      <c r="J31" s="52">
        <f t="shared" si="2"/>
        <v>42809</v>
      </c>
      <c r="K31" s="52">
        <f t="shared" si="2"/>
        <v>42993</v>
      </c>
      <c r="L31" s="52">
        <f t="shared" si="2"/>
        <v>43174</v>
      </c>
      <c r="M31" s="52">
        <f t="shared" si="2"/>
        <v>43358</v>
      </c>
      <c r="N31" s="52">
        <f t="shared" si="2"/>
        <v>43539</v>
      </c>
      <c r="O31" s="52">
        <f t="shared" si="2"/>
        <v>43723</v>
      </c>
      <c r="P31" s="52">
        <f t="shared" si="2"/>
        <v>43905</v>
      </c>
    </row>
    <row r="32" spans="2:16" outlineLevel="1" x14ac:dyDescent="0.25">
      <c r="B32" s="7"/>
      <c r="C32" s="34"/>
      <c r="D32" s="53"/>
      <c r="E32" s="53"/>
      <c r="G32" s="54"/>
      <c r="H32" s="54"/>
      <c r="I32" s="54"/>
      <c r="J32" s="54"/>
      <c r="K32" s="54"/>
      <c r="L32" s="54"/>
      <c r="M32" s="54"/>
      <c r="N32" s="54"/>
      <c r="O32" s="54"/>
      <c r="P32" s="54"/>
    </row>
    <row r="33" spans="2:16" outlineLevel="1" x14ac:dyDescent="0.25">
      <c r="B33" s="7"/>
      <c r="C33" s="34" t="s">
        <v>10</v>
      </c>
      <c r="D33" s="53"/>
      <c r="E33" s="53"/>
      <c r="F33" s="55">
        <f>-Dirty_Bond_Price</f>
        <v>-208.1917808219178</v>
      </c>
      <c r="G33" s="12">
        <v>0</v>
      </c>
      <c r="H33" s="55">
        <f>+G33</f>
        <v>0</v>
      </c>
      <c r="I33" s="55">
        <f t="shared" ref="I33:P33" si="3">+H33</f>
        <v>0</v>
      </c>
      <c r="J33" s="55">
        <f t="shared" si="3"/>
        <v>0</v>
      </c>
      <c r="K33" s="55">
        <f t="shared" si="3"/>
        <v>0</v>
      </c>
      <c r="L33" s="55">
        <f t="shared" si="3"/>
        <v>0</v>
      </c>
      <c r="M33" s="55">
        <f t="shared" si="3"/>
        <v>0</v>
      </c>
      <c r="N33" s="55">
        <f t="shared" si="3"/>
        <v>0</v>
      </c>
      <c r="O33" s="55">
        <f t="shared" si="3"/>
        <v>0</v>
      </c>
      <c r="P33" s="55">
        <f t="shared" si="3"/>
        <v>0</v>
      </c>
    </row>
    <row r="34" spans="2:16" outlineLevel="1" x14ac:dyDescent="0.25">
      <c r="B34" s="7"/>
      <c r="C34" s="34" t="s">
        <v>8</v>
      </c>
      <c r="D34" s="53"/>
      <c r="E34" s="53"/>
      <c r="F34" s="56">
        <v>0</v>
      </c>
      <c r="G34" s="42">
        <f t="shared" ref="G34:P34" si="4">IF(G31&lt;=Maturity_Date,+Coupon_Rate*Bond_Par_Value/Num_Coupons,0)</f>
        <v>16.25</v>
      </c>
      <c r="H34" s="42">
        <f t="shared" si="4"/>
        <v>16.25</v>
      </c>
      <c r="I34" s="42">
        <f t="shared" si="4"/>
        <v>16.25</v>
      </c>
      <c r="J34" s="42">
        <f t="shared" si="4"/>
        <v>16.25</v>
      </c>
      <c r="K34" s="42">
        <f t="shared" si="4"/>
        <v>16.25</v>
      </c>
      <c r="L34" s="42">
        <f t="shared" si="4"/>
        <v>0</v>
      </c>
      <c r="M34" s="42">
        <f t="shared" si="4"/>
        <v>0</v>
      </c>
      <c r="N34" s="42">
        <f t="shared" si="4"/>
        <v>0</v>
      </c>
      <c r="O34" s="42">
        <f t="shared" si="4"/>
        <v>0</v>
      </c>
      <c r="P34" s="42">
        <f t="shared" si="4"/>
        <v>0</v>
      </c>
    </row>
    <row r="35" spans="2:16" outlineLevel="1" x14ac:dyDescent="0.25">
      <c r="B35" s="7"/>
      <c r="C35" s="34" t="s">
        <v>9</v>
      </c>
      <c r="D35" s="53"/>
      <c r="E35" s="53"/>
      <c r="F35" s="56">
        <v>0</v>
      </c>
      <c r="G35" s="42">
        <f t="shared" ref="G35:P35" si="5">IF(AND(Maturity_Date&gt;F31,Maturity_Date&lt;=G31),Bond_Par_Value,0)</f>
        <v>0</v>
      </c>
      <c r="H35" s="42">
        <f t="shared" si="5"/>
        <v>0</v>
      </c>
      <c r="I35" s="42">
        <f t="shared" si="5"/>
        <v>0</v>
      </c>
      <c r="J35" s="42">
        <f t="shared" si="5"/>
        <v>0</v>
      </c>
      <c r="K35" s="42">
        <f t="shared" si="5"/>
        <v>250</v>
      </c>
      <c r="L35" s="42">
        <f t="shared" si="5"/>
        <v>0</v>
      </c>
      <c r="M35" s="42">
        <f t="shared" si="5"/>
        <v>0</v>
      </c>
      <c r="N35" s="42">
        <f t="shared" si="5"/>
        <v>0</v>
      </c>
      <c r="O35" s="42">
        <f t="shared" si="5"/>
        <v>0</v>
      </c>
      <c r="P35" s="42">
        <f t="shared" si="5"/>
        <v>0</v>
      </c>
    </row>
    <row r="36" spans="2:16" outlineLevel="1" x14ac:dyDescent="0.25">
      <c r="B36" s="7"/>
      <c r="C36" s="34" t="s">
        <v>36</v>
      </c>
      <c r="D36" s="53"/>
      <c r="E36" s="53"/>
      <c r="F36" s="56">
        <v>0</v>
      </c>
      <c r="G36" s="42">
        <f>+F36</f>
        <v>0</v>
      </c>
      <c r="H36" s="42">
        <f t="shared" ref="H36:P36" si="6">+G36</f>
        <v>0</v>
      </c>
      <c r="I36" s="42">
        <f t="shared" si="6"/>
        <v>0</v>
      </c>
      <c r="J36" s="42">
        <f t="shared" si="6"/>
        <v>0</v>
      </c>
      <c r="K36" s="42">
        <f t="shared" si="6"/>
        <v>0</v>
      </c>
      <c r="L36" s="42">
        <f t="shared" si="6"/>
        <v>0</v>
      </c>
      <c r="M36" s="42">
        <f t="shared" si="6"/>
        <v>0</v>
      </c>
      <c r="N36" s="42">
        <f t="shared" si="6"/>
        <v>0</v>
      </c>
      <c r="O36" s="42">
        <f t="shared" si="6"/>
        <v>0</v>
      </c>
      <c r="P36" s="42">
        <f t="shared" si="6"/>
        <v>0</v>
      </c>
    </row>
    <row r="37" spans="2:16" outlineLevel="1" x14ac:dyDescent="0.25">
      <c r="B37" s="7"/>
      <c r="C37" s="57" t="s">
        <v>37</v>
      </c>
      <c r="D37" s="58"/>
      <c r="E37" s="59"/>
      <c r="F37" s="60">
        <f>SUM(F33:F36)</f>
        <v>-208.1917808219178</v>
      </c>
      <c r="G37" s="60">
        <f>SUM(G33:G36)</f>
        <v>16.25</v>
      </c>
      <c r="H37" s="60">
        <f t="shared" ref="H37:P37" si="7">SUM(H33:H36)</f>
        <v>16.25</v>
      </c>
      <c r="I37" s="60">
        <f t="shared" si="7"/>
        <v>16.25</v>
      </c>
      <c r="J37" s="60">
        <f t="shared" si="7"/>
        <v>16.25</v>
      </c>
      <c r="K37" s="60">
        <f t="shared" si="7"/>
        <v>266.25</v>
      </c>
      <c r="L37" s="60">
        <f t="shared" si="7"/>
        <v>0</v>
      </c>
      <c r="M37" s="60">
        <f t="shared" si="7"/>
        <v>0</v>
      </c>
      <c r="N37" s="60">
        <f t="shared" si="7"/>
        <v>0</v>
      </c>
      <c r="O37" s="60">
        <f t="shared" si="7"/>
        <v>0</v>
      </c>
      <c r="P37" s="60">
        <f t="shared" si="7"/>
        <v>0</v>
      </c>
    </row>
    <row r="38" spans="2:16" outlineLevel="1" x14ac:dyDescent="0.25">
      <c r="B38" s="7"/>
      <c r="C38" s="61"/>
      <c r="E38" s="62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6" outlineLevel="1" x14ac:dyDescent="0.25">
      <c r="C39" s="27" t="s">
        <v>33</v>
      </c>
      <c r="D39" s="28"/>
      <c r="E39" s="28"/>
      <c r="F39" s="29">
        <f>YIELD(Settlement_Date,Maturity_Date,Coupon_Rate,Dirty_Bond_Price/Bond_Par_Value*100,100,Num_Coupons,1)</f>
        <v>0.22864023544312384</v>
      </c>
    </row>
    <row r="40" spans="2:16" outlineLevel="1" x14ac:dyDescent="0.25"/>
    <row r="41" spans="2:16" x14ac:dyDescent="0.25">
      <c r="C41" s="46"/>
      <c r="D41" s="46"/>
      <c r="E41" s="46"/>
      <c r="F41" s="47" t="str">
        <f>+$F$30</f>
        <v>Settlement</v>
      </c>
      <c r="G41" s="48" t="str">
        <f>+$G$30</f>
        <v>Projected</v>
      </c>
      <c r="H41" s="48"/>
      <c r="I41" s="48"/>
      <c r="J41" s="48"/>
      <c r="K41" s="48"/>
      <c r="L41" s="48"/>
      <c r="M41" s="48"/>
      <c r="N41" s="48"/>
      <c r="O41" s="48"/>
      <c r="P41" s="48"/>
    </row>
    <row r="42" spans="2:16" x14ac:dyDescent="0.25">
      <c r="C42" s="49" t="s">
        <v>38</v>
      </c>
      <c r="D42" s="50"/>
      <c r="E42" s="50"/>
      <c r="F42" s="51">
        <f>+$F$31</f>
        <v>42170</v>
      </c>
      <c r="G42" s="52">
        <f>+$G$31</f>
        <v>42262</v>
      </c>
      <c r="H42" s="52">
        <f>+$H$31</f>
        <v>42444</v>
      </c>
      <c r="I42" s="52">
        <f>+$I$31</f>
        <v>42628</v>
      </c>
      <c r="J42" s="52">
        <f>+$J$31</f>
        <v>42809</v>
      </c>
      <c r="K42" s="52">
        <f>+$K$31</f>
        <v>42993</v>
      </c>
      <c r="L42" s="52">
        <f>+$L$31</f>
        <v>43174</v>
      </c>
      <c r="M42" s="52">
        <f>+$M$31</f>
        <v>43358</v>
      </c>
      <c r="N42" s="52">
        <f>+$N$31</f>
        <v>43539</v>
      </c>
      <c r="O42" s="52">
        <f>+$O$31</f>
        <v>43723</v>
      </c>
      <c r="P42" s="52">
        <f>+$P$31</f>
        <v>43905</v>
      </c>
    </row>
    <row r="44" spans="2:16" x14ac:dyDescent="0.25">
      <c r="C44" s="34" t="str">
        <f>+C33</f>
        <v>(-) Initial Investment:</v>
      </c>
      <c r="D44" s="53"/>
      <c r="E44" s="53"/>
      <c r="F44" s="55">
        <f>-Dirty_Bond_Price</f>
        <v>-208.1917808219178</v>
      </c>
      <c r="G44" s="12">
        <v>0</v>
      </c>
      <c r="H44" s="55">
        <f>+G44</f>
        <v>0</v>
      </c>
      <c r="I44" s="55">
        <f t="shared" ref="I44:P44" si="8">+H44</f>
        <v>0</v>
      </c>
      <c r="J44" s="55">
        <f t="shared" si="8"/>
        <v>0</v>
      </c>
      <c r="K44" s="55">
        <f t="shared" si="8"/>
        <v>0</v>
      </c>
      <c r="L44" s="55">
        <f t="shared" si="8"/>
        <v>0</v>
      </c>
      <c r="M44" s="55">
        <f t="shared" si="8"/>
        <v>0</v>
      </c>
      <c r="N44" s="55">
        <f t="shared" si="8"/>
        <v>0</v>
      </c>
      <c r="O44" s="55">
        <f t="shared" si="8"/>
        <v>0</v>
      </c>
      <c r="P44" s="55">
        <f t="shared" si="8"/>
        <v>0</v>
      </c>
    </row>
    <row r="45" spans="2:16" x14ac:dyDescent="0.25">
      <c r="C45" s="34" t="str">
        <f>+C34</f>
        <v>(+) Future Interest Payments:</v>
      </c>
      <c r="D45" s="53"/>
      <c r="E45" s="53"/>
      <c r="F45" s="56">
        <v>0</v>
      </c>
      <c r="G45" s="42">
        <f t="shared" ref="G45:P45" si="9">IF(G42&lt;=New_Maturity_Date,+New_Coupon_Rate*Bond_Par_Value/Num_Coupons,0)</f>
        <v>17.5</v>
      </c>
      <c r="H45" s="42">
        <f t="shared" si="9"/>
        <v>17.5</v>
      </c>
      <c r="I45" s="42">
        <f t="shared" si="9"/>
        <v>17.5</v>
      </c>
      <c r="J45" s="42">
        <f t="shared" si="9"/>
        <v>17.5</v>
      </c>
      <c r="K45" s="42">
        <f t="shared" si="9"/>
        <v>17.5</v>
      </c>
      <c r="L45" s="42">
        <f t="shared" si="9"/>
        <v>17.5</v>
      </c>
      <c r="M45" s="42">
        <f t="shared" si="9"/>
        <v>17.5</v>
      </c>
      <c r="N45" s="42">
        <f t="shared" si="9"/>
        <v>17.5</v>
      </c>
      <c r="O45" s="42">
        <f t="shared" si="9"/>
        <v>17.5</v>
      </c>
      <c r="P45" s="42">
        <f t="shared" si="9"/>
        <v>0</v>
      </c>
    </row>
    <row r="46" spans="2:16" x14ac:dyDescent="0.25">
      <c r="C46" s="34" t="str">
        <f>+C35</f>
        <v>(+) Future Principal Repayments:</v>
      </c>
      <c r="D46" s="53"/>
      <c r="E46" s="53"/>
      <c r="F46" s="56">
        <v>0</v>
      </c>
      <c r="G46" s="42">
        <f t="shared" ref="G46:P46" si="10">IF(AND(New_Maturity_Date&gt;F42,New_Maturity_Date&lt;=G42),Bond_Par_Value*G23/100,0)</f>
        <v>0</v>
      </c>
      <c r="H46" s="42">
        <f t="shared" si="10"/>
        <v>0</v>
      </c>
      <c r="I46" s="42">
        <f t="shared" si="10"/>
        <v>0</v>
      </c>
      <c r="J46" s="42">
        <f t="shared" si="10"/>
        <v>0</v>
      </c>
      <c r="K46" s="42">
        <f t="shared" si="10"/>
        <v>0</v>
      </c>
      <c r="L46" s="42">
        <f t="shared" si="10"/>
        <v>0</v>
      </c>
      <c r="M46" s="42">
        <f t="shared" si="10"/>
        <v>0</v>
      </c>
      <c r="N46" s="42">
        <f t="shared" si="10"/>
        <v>0</v>
      </c>
      <c r="O46" s="42">
        <f t="shared" si="10"/>
        <v>275</v>
      </c>
      <c r="P46" s="42">
        <f t="shared" si="10"/>
        <v>0</v>
      </c>
    </row>
    <row r="47" spans="2:16" x14ac:dyDescent="0.25">
      <c r="C47" s="34" t="str">
        <f>+C36</f>
        <v>(+) Future Equity Grants:</v>
      </c>
      <c r="D47" s="53"/>
      <c r="E47" s="53"/>
      <c r="F47" s="56">
        <v>0</v>
      </c>
      <c r="G47" s="42">
        <f t="shared" ref="G47:P47" si="11">IF(AND(New_Maturity_Date&gt;F42,New_Maturity_Date&lt;=G42),IFERROR(G26,0),0)</f>
        <v>0</v>
      </c>
      <c r="H47" s="42">
        <f t="shared" si="11"/>
        <v>0</v>
      </c>
      <c r="I47" s="42">
        <f t="shared" si="11"/>
        <v>0</v>
      </c>
      <c r="J47" s="42">
        <f t="shared" si="11"/>
        <v>0</v>
      </c>
      <c r="K47" s="42">
        <f t="shared" si="11"/>
        <v>0</v>
      </c>
      <c r="L47" s="42">
        <f t="shared" si="11"/>
        <v>0</v>
      </c>
      <c r="M47" s="42">
        <f t="shared" si="11"/>
        <v>0</v>
      </c>
      <c r="N47" s="42">
        <f t="shared" si="11"/>
        <v>0</v>
      </c>
      <c r="O47" s="42">
        <f t="shared" si="11"/>
        <v>50</v>
      </c>
      <c r="P47" s="42">
        <f t="shared" si="11"/>
        <v>0</v>
      </c>
    </row>
    <row r="48" spans="2:16" x14ac:dyDescent="0.25">
      <c r="C48" s="57" t="str">
        <f>+C37</f>
        <v>Net Cash Flow:</v>
      </c>
      <c r="D48" s="58"/>
      <c r="E48" s="59"/>
      <c r="F48" s="60">
        <f>SUM(F44:F47)</f>
        <v>-208.1917808219178</v>
      </c>
      <c r="G48" s="60">
        <f t="shared" ref="G48:P48" si="12">SUM(G44:G47)</f>
        <v>17.5</v>
      </c>
      <c r="H48" s="60">
        <f t="shared" si="12"/>
        <v>17.5</v>
      </c>
      <c r="I48" s="60">
        <f t="shared" si="12"/>
        <v>17.5</v>
      </c>
      <c r="J48" s="60">
        <f t="shared" si="12"/>
        <v>17.5</v>
      </c>
      <c r="K48" s="60">
        <f t="shared" si="12"/>
        <v>17.5</v>
      </c>
      <c r="L48" s="60">
        <f t="shared" si="12"/>
        <v>17.5</v>
      </c>
      <c r="M48" s="60">
        <f t="shared" si="12"/>
        <v>17.5</v>
      </c>
      <c r="N48" s="60">
        <f t="shared" si="12"/>
        <v>17.5</v>
      </c>
      <c r="O48" s="60">
        <f t="shared" si="12"/>
        <v>342.5</v>
      </c>
      <c r="P48" s="60">
        <f t="shared" si="12"/>
        <v>0</v>
      </c>
    </row>
    <row r="50" spans="3:6" x14ac:dyDescent="0.25">
      <c r="C50" s="27" t="s">
        <v>33</v>
      </c>
      <c r="D50" s="28"/>
      <c r="E50" s="28"/>
      <c r="F50" s="29">
        <f>+O28</f>
        <v>0.24923272181707529</v>
      </c>
    </row>
  </sheetData>
  <dataValidations count="5">
    <dataValidation type="whole" allowBlank="1" showInputMessage="1" showErrorMessage="1" errorTitle="Error Msg" error="Please input a value of 0 or 1 ONLY." sqref="G22:P22" xr:uid="{00000000-0002-0000-0100-000000000000}">
      <formula1>0</formula1>
      <formula2>1</formula2>
    </dataValidation>
    <dataValidation type="time" allowBlank="1" showInputMessage="1" showErrorMessage="1" sqref="P11" xr:uid="{00000000-0002-0000-0100-000001000000}">
      <formula1>G38</formula1>
      <formula2>P38</formula2>
    </dataValidation>
    <dataValidation type="time" allowBlank="1" showInputMessage="1" showErrorMessage="1" sqref="K11" xr:uid="{00000000-0002-0000-0100-000002000000}">
      <formula1>G31</formula1>
      <formula2>P31</formula2>
    </dataValidation>
    <dataValidation type="whole" allowBlank="1" showInputMessage="1" showErrorMessage="1" sqref="F17" xr:uid="{00000000-0002-0000-0100-000003000000}">
      <formula1>1</formula1>
      <formula2>4</formula2>
    </dataValidation>
    <dataValidation type="date" operator="greaterThan" allowBlank="1" showInputMessage="1" showErrorMessage="1" sqref="F19" xr:uid="{00000000-0002-0000-0100-000004000000}">
      <formula1>F20</formula1>
    </dataValidation>
  </dataValidations>
  <pageMargins left="0.7" right="0.7" top="0.75" bottom="0.75" header="0.3" footer="0.3"/>
  <pageSetup paperSize="9"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Bond-Refinancing</vt:lpstr>
      <vt:lpstr>'Bond-Refinancing'!Bond_Par_Value</vt:lpstr>
      <vt:lpstr>'Bond-Refinancing'!Bond_Price</vt:lpstr>
      <vt:lpstr>'Bond-Refinancing'!Coupon_Rate</vt:lpstr>
      <vt:lpstr>Dirty_Bond_Price</vt:lpstr>
      <vt:lpstr>Last_Coupon_Date</vt:lpstr>
      <vt:lpstr>'Bond-Refinancing'!Maturity_Date</vt:lpstr>
      <vt:lpstr>New_Coupon_Rate</vt:lpstr>
      <vt:lpstr>New_Maturity_Date</vt:lpstr>
      <vt:lpstr>New_YTM</vt:lpstr>
      <vt:lpstr>Num_Coupons</vt:lpstr>
      <vt:lpstr>'Bond-Refinancing'!Print_Area</vt:lpstr>
      <vt:lpstr>'Bond-Refinancing'!Settlement_Date</vt:lpstr>
      <vt:lpstr>'Bond-Refinancing'!YTM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