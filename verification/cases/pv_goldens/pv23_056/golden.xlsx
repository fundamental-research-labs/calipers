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bookViews>
    <workbookView xWindow="17520" yWindow="-21100" windowWidth="38400" windowHeight="21100" activeTab="5" xr2:uid="{00000000-000D-0000-FFFF-FFFF00000000}"/>
  </bookViews>
  <sheets>
    <sheet name="T-12" sheetId="1" r:id="rId1"/>
    <sheet name="Rent Roll" sheetId="3" r:id="rId2"/>
    <sheet name="Summary" sheetId="5" r:id="rId3"/>
    <sheet name="Unit Mix" sheetId="4" r:id="rId4"/>
    <sheet name="Expenses" sheetId="6" r:id="rId5"/>
    <sheet name="Pro Forma" sheetId="2" r:id="rId6"/>
    <sheet name="Monthly Cash Flow Statement" sheetId="9" r:id="rId7"/>
    <sheet name="Rent Comps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4" l="1"/>
  <c r="F7" i="4"/>
  <c r="F3" i="4"/>
  <c r="E7" i="4"/>
  <c r="F6" i="4"/>
  <c r="F4" i="4"/>
  <c r="E6" i="4"/>
  <c r="E5" i="4"/>
  <c r="I6" i="5" s="1"/>
  <c r="E4" i="4"/>
  <c r="I5" i="5" s="1"/>
  <c r="E3" i="4"/>
  <c r="B3" i="6"/>
  <c r="C3" i="6" s="1"/>
  <c r="B4" i="6"/>
  <c r="C4" i="6"/>
  <c r="B5" i="6"/>
  <c r="C5" i="6"/>
  <c r="B6" i="6"/>
  <c r="C6" i="6" s="1"/>
  <c r="B7" i="6"/>
  <c r="C7" i="6"/>
  <c r="B8" i="6"/>
  <c r="C8" i="6" s="1"/>
  <c r="B9" i="6"/>
  <c r="C9" i="6" s="1"/>
  <c r="B10" i="6"/>
  <c r="C10" i="6"/>
  <c r="B11" i="6"/>
  <c r="C11" i="6"/>
  <c r="B12" i="6"/>
  <c r="C12" i="6" s="1"/>
  <c r="E15" i="10"/>
  <c r="D15" i="10"/>
  <c r="E7" i="10"/>
  <c r="D7" i="10"/>
  <c r="C7" i="4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8" i="5"/>
  <c r="L7" i="5"/>
  <c r="L6" i="5"/>
  <c r="L5" i="5"/>
  <c r="L4" i="5"/>
  <c r="L3" i="5"/>
  <c r="F8" i="5"/>
  <c r="E8" i="5"/>
  <c r="H7" i="5"/>
  <c r="G7" i="5"/>
  <c r="F7" i="5"/>
  <c r="E7" i="5"/>
  <c r="H6" i="5"/>
  <c r="G6" i="5"/>
  <c r="F6" i="5"/>
  <c r="E6" i="5"/>
  <c r="H5" i="5"/>
  <c r="G5" i="5"/>
  <c r="F5" i="5"/>
  <c r="E5" i="5"/>
  <c r="H4" i="5"/>
  <c r="G4" i="5"/>
  <c r="F4" i="5"/>
  <c r="E4" i="5"/>
  <c r="J3" i="5"/>
  <c r="I3" i="5"/>
  <c r="H3" i="5"/>
  <c r="G3" i="5"/>
  <c r="F3" i="5"/>
  <c r="E3" i="5"/>
  <c r="J4" i="5" l="1"/>
  <c r="I4" i="5"/>
  <c r="J6" i="5"/>
  <c r="J5" i="5"/>
  <c r="I44" i="5"/>
  <c r="F44" i="5"/>
  <c r="C44" i="5"/>
  <c r="B22" i="4"/>
  <c r="G8" i="5"/>
  <c r="B7" i="4"/>
  <c r="C22" i="4" s="1"/>
  <c r="D22" i="4" s="1"/>
  <c r="J7" i="5" l="1"/>
  <c r="I7" i="5"/>
  <c r="C12" i="4"/>
  <c r="D12" i="4" s="1"/>
  <c r="C20" i="4"/>
  <c r="D20" i="4" s="1"/>
  <c r="C14" i="4"/>
  <c r="D14" i="4" s="1"/>
  <c r="C15" i="4"/>
  <c r="D15" i="4" s="1"/>
  <c r="C18" i="4"/>
  <c r="D18" i="4" s="1"/>
  <c r="C13" i="4"/>
  <c r="D13" i="4" s="1"/>
  <c r="C19" i="4"/>
  <c r="D19" i="4" s="1"/>
  <c r="C21" i="4"/>
  <c r="D21" i="4" s="1"/>
  <c r="D7" i="4"/>
  <c r="H8" i="5" s="1"/>
  <c r="C16" i="4"/>
  <c r="D16" i="4" s="1"/>
  <c r="C17" i="4"/>
  <c r="D17" i="4" s="1"/>
  <c r="E32" i="9"/>
  <c r="A85" i="9"/>
  <c r="A86" i="9" s="1"/>
  <c r="A87" i="9" s="1"/>
  <c r="A88" i="9" s="1"/>
  <c r="F19" i="9"/>
  <c r="F18" i="9"/>
  <c r="F17" i="9"/>
  <c r="F16" i="9"/>
  <c r="F15" i="9"/>
  <c r="F14" i="9"/>
  <c r="F13" i="9"/>
  <c r="F12" i="9"/>
  <c r="I8" i="5" l="1"/>
  <c r="J8" i="5"/>
  <c r="C137" i="1" l="1"/>
  <c r="C15" i="1"/>
  <c r="E35" i="9"/>
  <c r="C2" i="2"/>
  <c r="I47" i="5"/>
  <c r="F47" i="5"/>
  <c r="C47" i="5"/>
  <c r="D2" i="2" l="1"/>
  <c r="E33" i="9"/>
  <c r="E2" i="2" l="1"/>
  <c r="F9" i="9"/>
  <c r="G19" i="9"/>
  <c r="E4" i="9"/>
  <c r="F4" i="9" s="1"/>
  <c r="G4" i="9" s="1"/>
  <c r="H4" i="9" s="1"/>
  <c r="I4" i="9" s="1"/>
  <c r="J4" i="9" s="1"/>
  <c r="K4" i="9" s="1"/>
  <c r="L4" i="9" s="1"/>
  <c r="M4" i="9" s="1"/>
  <c r="N4" i="9" s="1"/>
  <c r="O4" i="9" s="1"/>
  <c r="P4" i="9" s="1"/>
  <c r="Q4" i="9" s="1"/>
  <c r="R4" i="9" s="1"/>
  <c r="S4" i="9" s="1"/>
  <c r="T4" i="9" s="1"/>
  <c r="U4" i="9" s="1"/>
  <c r="V4" i="9" s="1"/>
  <c r="W4" i="9" s="1"/>
  <c r="X4" i="9" s="1"/>
  <c r="Y4" i="9" s="1"/>
  <c r="Z4" i="9" s="1"/>
  <c r="AA4" i="9" s="1"/>
  <c r="AB4" i="9" s="1"/>
  <c r="AC4" i="9" s="1"/>
  <c r="AD4" i="9" s="1"/>
  <c r="AE4" i="9" s="1"/>
  <c r="AF4" i="9" s="1"/>
  <c r="AG4" i="9" s="1"/>
  <c r="AH4" i="9" s="1"/>
  <c r="AI4" i="9" s="1"/>
  <c r="AJ4" i="9" s="1"/>
  <c r="AK4" i="9" s="1"/>
  <c r="AL4" i="9" s="1"/>
  <c r="AM4" i="9" s="1"/>
  <c r="AN4" i="9" s="1"/>
  <c r="AO4" i="9" s="1"/>
  <c r="AP4" i="9" s="1"/>
  <c r="AQ4" i="9" s="1"/>
  <c r="AR4" i="9" s="1"/>
  <c r="AS4" i="9" s="1"/>
  <c r="AT4" i="9" s="1"/>
  <c r="AU4" i="9" s="1"/>
  <c r="AV4" i="9" s="1"/>
  <c r="AW4" i="9" s="1"/>
  <c r="AX4" i="9" s="1"/>
  <c r="AY4" i="9" s="1"/>
  <c r="AZ4" i="9" s="1"/>
  <c r="BA4" i="9" s="1"/>
  <c r="BB4" i="9" s="1"/>
  <c r="BC4" i="9" s="1"/>
  <c r="BD4" i="9" s="1"/>
  <c r="BE4" i="9" s="1"/>
  <c r="BF4" i="9" s="1"/>
  <c r="BG4" i="9" s="1"/>
  <c r="BH4" i="9" s="1"/>
  <c r="BI4" i="9" s="1"/>
  <c r="BJ4" i="9" s="1"/>
  <c r="BK4" i="9" s="1"/>
  <c r="BL4" i="9" s="1"/>
  <c r="BM4" i="9" s="1"/>
  <c r="BN4" i="9" s="1"/>
  <c r="BO4" i="9" s="1"/>
  <c r="BP4" i="9" s="1"/>
  <c r="BQ4" i="9" s="1"/>
  <c r="BR4" i="9" s="1"/>
  <c r="BS4" i="9" s="1"/>
  <c r="BT4" i="9" s="1"/>
  <c r="BU4" i="9" s="1"/>
  <c r="BV4" i="9" s="1"/>
  <c r="BW4" i="9" s="1"/>
  <c r="BX4" i="9" s="1"/>
  <c r="BY4" i="9" s="1"/>
  <c r="AC2" i="9"/>
  <c r="AO2" i="9" s="1"/>
  <c r="BA2" i="9" s="1"/>
  <c r="BM2" i="9" s="1"/>
  <c r="BY2" i="9" s="1"/>
  <c r="AB2" i="9"/>
  <c r="AN2" i="9" s="1"/>
  <c r="AZ2" i="9" s="1"/>
  <c r="BL2" i="9" s="1"/>
  <c r="BX2" i="9" s="1"/>
  <c r="AA2" i="9"/>
  <c r="AM2" i="9" s="1"/>
  <c r="AY2" i="9" s="1"/>
  <c r="BK2" i="9" s="1"/>
  <c r="BW2" i="9" s="1"/>
  <c r="Z2" i="9"/>
  <c r="AL2" i="9" s="1"/>
  <c r="AX2" i="9" s="1"/>
  <c r="BJ2" i="9" s="1"/>
  <c r="BV2" i="9" s="1"/>
  <c r="Y2" i="9"/>
  <c r="AK2" i="9" s="1"/>
  <c r="AW2" i="9" s="1"/>
  <c r="BI2" i="9" s="1"/>
  <c r="BU2" i="9" s="1"/>
  <c r="X2" i="9"/>
  <c r="AJ2" i="9" s="1"/>
  <c r="AV2" i="9" s="1"/>
  <c r="BH2" i="9" s="1"/>
  <c r="BT2" i="9" s="1"/>
  <c r="W2" i="9"/>
  <c r="AI2" i="9" s="1"/>
  <c r="AU2" i="9" s="1"/>
  <c r="BG2" i="9" s="1"/>
  <c r="BS2" i="9" s="1"/>
  <c r="V2" i="9"/>
  <c r="AH2" i="9" s="1"/>
  <c r="AT2" i="9" s="1"/>
  <c r="BF2" i="9" s="1"/>
  <c r="BR2" i="9" s="1"/>
  <c r="U2" i="9"/>
  <c r="AG2" i="9" s="1"/>
  <c r="AS2" i="9" s="1"/>
  <c r="BE2" i="9" s="1"/>
  <c r="BQ2" i="9" s="1"/>
  <c r="T2" i="9"/>
  <c r="AF2" i="9" s="1"/>
  <c r="AR2" i="9" s="1"/>
  <c r="BD2" i="9" s="1"/>
  <c r="BP2" i="9" s="1"/>
  <c r="S2" i="9"/>
  <c r="AE2" i="9" s="1"/>
  <c r="AQ2" i="9" s="1"/>
  <c r="BC2" i="9" s="1"/>
  <c r="BO2" i="9" s="1"/>
  <c r="R2" i="9"/>
  <c r="F3" i="9"/>
  <c r="E30" i="9"/>
  <c r="D21" i="9"/>
  <c r="D20" i="9"/>
  <c r="D19" i="9"/>
  <c r="D18" i="9"/>
  <c r="D17" i="9"/>
  <c r="D16" i="9"/>
  <c r="D15" i="9"/>
  <c r="D14" i="9"/>
  <c r="D13" i="9"/>
  <c r="D12" i="9"/>
  <c r="F18" i="5"/>
  <c r="F17" i="5"/>
  <c r="F14" i="5"/>
  <c r="A19" i="2"/>
  <c r="A18" i="2"/>
  <c r="A17" i="2"/>
  <c r="A16" i="2"/>
  <c r="A15" i="2"/>
  <c r="A14" i="2"/>
  <c r="A13" i="2"/>
  <c r="A12" i="2"/>
  <c r="A11" i="2"/>
  <c r="A10" i="2"/>
  <c r="C21" i="5"/>
  <c r="C18" i="5"/>
  <c r="C19" i="5" s="1"/>
  <c r="AD2" i="9" l="1"/>
  <c r="AP2" i="9" s="1"/>
  <c r="BB2" i="9" s="1"/>
  <c r="BN2" i="9" s="1"/>
  <c r="F2" i="2"/>
  <c r="F37" i="9"/>
  <c r="F32" i="9"/>
  <c r="F33" i="9" s="1"/>
  <c r="F5" i="9"/>
  <c r="G13" i="9"/>
  <c r="H13" i="9" s="1"/>
  <c r="I13" i="9" s="1"/>
  <c r="J13" i="9" s="1"/>
  <c r="K13" i="9" s="1"/>
  <c r="L13" i="9" s="1"/>
  <c r="M13" i="9" s="1"/>
  <c r="N13" i="9" s="1"/>
  <c r="O13" i="9" s="1"/>
  <c r="P13" i="9" s="1"/>
  <c r="Q13" i="9" s="1"/>
  <c r="R13" i="9" s="1"/>
  <c r="G9" i="9"/>
  <c r="H9" i="9" s="1"/>
  <c r="I9" i="9" s="1"/>
  <c r="J9" i="9" s="1"/>
  <c r="K9" i="9" s="1"/>
  <c r="L9" i="9" s="1"/>
  <c r="M9" i="9" s="1"/>
  <c r="N9" i="9" s="1"/>
  <c r="O9" i="9" s="1"/>
  <c r="P9" i="9" s="1"/>
  <c r="Q9" i="9" s="1"/>
  <c r="R9" i="9" s="1"/>
  <c r="S9" i="9" s="1"/>
  <c r="T9" i="9" s="1"/>
  <c r="U9" i="9" s="1"/>
  <c r="V9" i="9" s="1"/>
  <c r="W9" i="9" s="1"/>
  <c r="X9" i="9" s="1"/>
  <c r="Y9" i="9" s="1"/>
  <c r="Z9" i="9" s="1"/>
  <c r="AA9" i="9" s="1"/>
  <c r="AB9" i="9" s="1"/>
  <c r="AC9" i="9" s="1"/>
  <c r="AD9" i="9" s="1"/>
  <c r="AE9" i="9" s="1"/>
  <c r="AF9" i="9" s="1"/>
  <c r="AG9" i="9" s="1"/>
  <c r="AH9" i="9" s="1"/>
  <c r="AI9" i="9" s="1"/>
  <c r="AJ9" i="9" s="1"/>
  <c r="AK9" i="9" s="1"/>
  <c r="AL9" i="9" s="1"/>
  <c r="AM9" i="9" s="1"/>
  <c r="AN9" i="9" s="1"/>
  <c r="AO9" i="9" s="1"/>
  <c r="AP9" i="9" s="1"/>
  <c r="AQ9" i="9" s="1"/>
  <c r="AR9" i="9" s="1"/>
  <c r="AS9" i="9" s="1"/>
  <c r="AT9" i="9" s="1"/>
  <c r="AU9" i="9" s="1"/>
  <c r="AV9" i="9" s="1"/>
  <c r="AW9" i="9" s="1"/>
  <c r="AX9" i="9" s="1"/>
  <c r="AY9" i="9" s="1"/>
  <c r="AZ9" i="9" s="1"/>
  <c r="BA9" i="9" s="1"/>
  <c r="BB9" i="9" s="1"/>
  <c r="BC9" i="9" s="1"/>
  <c r="BD9" i="9" s="1"/>
  <c r="BE9" i="9" s="1"/>
  <c r="BF9" i="9" s="1"/>
  <c r="BG9" i="9" s="1"/>
  <c r="BH9" i="9" s="1"/>
  <c r="BI9" i="9" s="1"/>
  <c r="BJ9" i="9" s="1"/>
  <c r="BK9" i="9" s="1"/>
  <c r="BL9" i="9" s="1"/>
  <c r="BM9" i="9" s="1"/>
  <c r="BN9" i="9" s="1"/>
  <c r="BO9" i="9" s="1"/>
  <c r="BP9" i="9" s="1"/>
  <c r="BQ9" i="9" s="1"/>
  <c r="BR9" i="9" s="1"/>
  <c r="G12" i="9"/>
  <c r="H12" i="9" s="1"/>
  <c r="F27" i="9"/>
  <c r="F28" i="9"/>
  <c r="H19" i="9"/>
  <c r="I19" i="9" s="1"/>
  <c r="J19" i="9" s="1"/>
  <c r="K19" i="9" s="1"/>
  <c r="L19" i="9" s="1"/>
  <c r="M19" i="9" s="1"/>
  <c r="N19" i="9" s="1"/>
  <c r="O19" i="9" s="1"/>
  <c r="P19" i="9" s="1"/>
  <c r="Q19" i="9" s="1"/>
  <c r="R19" i="9" s="1"/>
  <c r="G15" i="9"/>
  <c r="G16" i="9"/>
  <c r="G17" i="9"/>
  <c r="G18" i="9"/>
  <c r="G14" i="9"/>
  <c r="F6" i="9"/>
  <c r="F19" i="5"/>
  <c r="E31" i="9"/>
  <c r="E38" i="9" s="1"/>
  <c r="G3" i="9"/>
  <c r="C7" i="2" l="1"/>
  <c r="B7" i="2"/>
  <c r="M7" i="5" s="1"/>
  <c r="E7" i="2"/>
  <c r="D7" i="2"/>
  <c r="F7" i="2"/>
  <c r="G32" i="9"/>
  <c r="G33" i="9" s="1"/>
  <c r="G37" i="9"/>
  <c r="E34" i="9"/>
  <c r="F7" i="9"/>
  <c r="F8" i="9" s="1"/>
  <c r="I12" i="9"/>
  <c r="J12" i="9" s="1"/>
  <c r="K12" i="9" s="1"/>
  <c r="L12" i="9" s="1"/>
  <c r="M12" i="9" s="1"/>
  <c r="N12" i="9" s="1"/>
  <c r="O12" i="9" s="1"/>
  <c r="P12" i="9" s="1"/>
  <c r="Q12" i="9" s="1"/>
  <c r="R12" i="9" s="1"/>
  <c r="S12" i="9" s="1"/>
  <c r="T12" i="9" s="1"/>
  <c r="U12" i="9" s="1"/>
  <c r="V12" i="9" s="1"/>
  <c r="W12" i="9" s="1"/>
  <c r="X12" i="9" s="1"/>
  <c r="Y12" i="9" s="1"/>
  <c r="Z12" i="9" s="1"/>
  <c r="AA12" i="9" s="1"/>
  <c r="AB12" i="9" s="1"/>
  <c r="AC12" i="9" s="1"/>
  <c r="AD12" i="9" s="1"/>
  <c r="G27" i="9"/>
  <c r="G28" i="9"/>
  <c r="B17" i="2"/>
  <c r="M18" i="5" s="1"/>
  <c r="S13" i="9"/>
  <c r="T13" i="9" s="1"/>
  <c r="U13" i="9" s="1"/>
  <c r="V13" i="9" s="1"/>
  <c r="W13" i="9" s="1"/>
  <c r="X13" i="9" s="1"/>
  <c r="Y13" i="9" s="1"/>
  <c r="Z13" i="9" s="1"/>
  <c r="AA13" i="9" s="1"/>
  <c r="AB13" i="9" s="1"/>
  <c r="AC13" i="9" s="1"/>
  <c r="AD13" i="9" s="1"/>
  <c r="H15" i="9"/>
  <c r="I15" i="9" s="1"/>
  <c r="J15" i="9" s="1"/>
  <c r="K15" i="9" s="1"/>
  <c r="L15" i="9" s="1"/>
  <c r="M15" i="9" s="1"/>
  <c r="N15" i="9" s="1"/>
  <c r="O15" i="9" s="1"/>
  <c r="P15" i="9" s="1"/>
  <c r="Q15" i="9" s="1"/>
  <c r="R15" i="9" s="1"/>
  <c r="H14" i="9"/>
  <c r="I14" i="9" s="1"/>
  <c r="J14" i="9" s="1"/>
  <c r="K14" i="9" s="1"/>
  <c r="L14" i="9" s="1"/>
  <c r="M14" i="9" s="1"/>
  <c r="N14" i="9" s="1"/>
  <c r="O14" i="9" s="1"/>
  <c r="P14" i="9" s="1"/>
  <c r="Q14" i="9" s="1"/>
  <c r="R14" i="9" s="1"/>
  <c r="H18" i="9"/>
  <c r="I18" i="9" s="1"/>
  <c r="J18" i="9" s="1"/>
  <c r="K18" i="9" s="1"/>
  <c r="L18" i="9" s="1"/>
  <c r="M18" i="9" s="1"/>
  <c r="N18" i="9" s="1"/>
  <c r="O18" i="9" s="1"/>
  <c r="P18" i="9" s="1"/>
  <c r="Q18" i="9" s="1"/>
  <c r="R18" i="9" s="1"/>
  <c r="H17" i="9"/>
  <c r="I17" i="9" s="1"/>
  <c r="J17" i="9" s="1"/>
  <c r="K17" i="9" s="1"/>
  <c r="L17" i="9" s="1"/>
  <c r="M17" i="9" s="1"/>
  <c r="N17" i="9" s="1"/>
  <c r="O17" i="9" s="1"/>
  <c r="P17" i="9" s="1"/>
  <c r="Q17" i="9" s="1"/>
  <c r="R17" i="9" s="1"/>
  <c r="H16" i="9"/>
  <c r="I16" i="9" s="1"/>
  <c r="J16" i="9" s="1"/>
  <c r="K16" i="9" s="1"/>
  <c r="L16" i="9" s="1"/>
  <c r="M16" i="9" s="1"/>
  <c r="N16" i="9" s="1"/>
  <c r="O16" i="9" s="1"/>
  <c r="P16" i="9" s="1"/>
  <c r="Q16" i="9" s="1"/>
  <c r="R16" i="9" s="1"/>
  <c r="B11" i="2"/>
  <c r="M12" i="5" s="1"/>
  <c r="S19" i="9"/>
  <c r="T19" i="9" s="1"/>
  <c r="U19" i="9" s="1"/>
  <c r="V19" i="9" s="1"/>
  <c r="W19" i="9" s="1"/>
  <c r="X19" i="9" s="1"/>
  <c r="Y19" i="9" s="1"/>
  <c r="Z19" i="9" s="1"/>
  <c r="AA19" i="9" s="1"/>
  <c r="AB19" i="9" s="1"/>
  <c r="AC19" i="9" s="1"/>
  <c r="AD19" i="9" s="1"/>
  <c r="BS9" i="9"/>
  <c r="G5" i="9"/>
  <c r="H19" i="5"/>
  <c r="F15" i="5"/>
  <c r="H18" i="5"/>
  <c r="H17" i="5"/>
  <c r="H3" i="9"/>
  <c r="F10" i="9" l="1"/>
  <c r="B10" i="2"/>
  <c r="M11" i="5" s="1"/>
  <c r="H37" i="9"/>
  <c r="H32" i="9"/>
  <c r="H33" i="9" s="1"/>
  <c r="B12" i="2"/>
  <c r="M13" i="5" s="1"/>
  <c r="C11" i="2"/>
  <c r="B15" i="2"/>
  <c r="M16" i="5" s="1"/>
  <c r="C17" i="2"/>
  <c r="C10" i="2"/>
  <c r="B13" i="2"/>
  <c r="M14" i="5" s="1"/>
  <c r="H27" i="9"/>
  <c r="H28" i="9"/>
  <c r="B16" i="2"/>
  <c r="M17" i="5" s="1"/>
  <c r="S18" i="9"/>
  <c r="T18" i="9" s="1"/>
  <c r="U18" i="9" s="1"/>
  <c r="V18" i="9" s="1"/>
  <c r="W18" i="9" s="1"/>
  <c r="X18" i="9" s="1"/>
  <c r="Y18" i="9" s="1"/>
  <c r="Z18" i="9" s="1"/>
  <c r="AA18" i="9" s="1"/>
  <c r="AB18" i="9" s="1"/>
  <c r="AC18" i="9" s="1"/>
  <c r="AD18" i="9" s="1"/>
  <c r="S14" i="9"/>
  <c r="T14" i="9" s="1"/>
  <c r="U14" i="9" s="1"/>
  <c r="V14" i="9" s="1"/>
  <c r="W14" i="9" s="1"/>
  <c r="X14" i="9" s="1"/>
  <c r="Y14" i="9" s="1"/>
  <c r="Z14" i="9" s="1"/>
  <c r="AA14" i="9" s="1"/>
  <c r="AB14" i="9" s="1"/>
  <c r="AC14" i="9" s="1"/>
  <c r="AD14" i="9" s="1"/>
  <c r="AE19" i="9"/>
  <c r="AF19" i="9" s="1"/>
  <c r="AG19" i="9" s="1"/>
  <c r="AH19" i="9" s="1"/>
  <c r="AI19" i="9" s="1"/>
  <c r="AJ19" i="9" s="1"/>
  <c r="AK19" i="9" s="1"/>
  <c r="AL19" i="9" s="1"/>
  <c r="AM19" i="9" s="1"/>
  <c r="AN19" i="9" s="1"/>
  <c r="AO19" i="9" s="1"/>
  <c r="AP19" i="9" s="1"/>
  <c r="B14" i="2"/>
  <c r="M15" i="5" s="1"/>
  <c r="AE12" i="9"/>
  <c r="AF12" i="9" s="1"/>
  <c r="AG12" i="9" s="1"/>
  <c r="AH12" i="9" s="1"/>
  <c r="AI12" i="9" s="1"/>
  <c r="AJ12" i="9" s="1"/>
  <c r="AK12" i="9" s="1"/>
  <c r="AL12" i="9" s="1"/>
  <c r="AM12" i="9" s="1"/>
  <c r="AN12" i="9" s="1"/>
  <c r="AO12" i="9" s="1"/>
  <c r="AP12" i="9" s="1"/>
  <c r="S16" i="9"/>
  <c r="T16" i="9" s="1"/>
  <c r="U16" i="9" s="1"/>
  <c r="V16" i="9" s="1"/>
  <c r="W16" i="9" s="1"/>
  <c r="X16" i="9" s="1"/>
  <c r="Y16" i="9" s="1"/>
  <c r="Z16" i="9" s="1"/>
  <c r="AA16" i="9" s="1"/>
  <c r="AB16" i="9" s="1"/>
  <c r="AC16" i="9" s="1"/>
  <c r="AD16" i="9" s="1"/>
  <c r="AE13" i="9"/>
  <c r="AF13" i="9" s="1"/>
  <c r="AG13" i="9" s="1"/>
  <c r="AH13" i="9" s="1"/>
  <c r="AI13" i="9" s="1"/>
  <c r="AJ13" i="9" s="1"/>
  <c r="AK13" i="9" s="1"/>
  <c r="AL13" i="9" s="1"/>
  <c r="AM13" i="9" s="1"/>
  <c r="AN13" i="9" s="1"/>
  <c r="AO13" i="9" s="1"/>
  <c r="AP13" i="9" s="1"/>
  <c r="S15" i="9"/>
  <c r="T15" i="9" s="1"/>
  <c r="U15" i="9" s="1"/>
  <c r="V15" i="9" s="1"/>
  <c r="W15" i="9" s="1"/>
  <c r="X15" i="9" s="1"/>
  <c r="Y15" i="9" s="1"/>
  <c r="Z15" i="9" s="1"/>
  <c r="AA15" i="9" s="1"/>
  <c r="AB15" i="9" s="1"/>
  <c r="AC15" i="9" s="1"/>
  <c r="AD15" i="9" s="1"/>
  <c r="S17" i="9"/>
  <c r="T17" i="9" s="1"/>
  <c r="U17" i="9" s="1"/>
  <c r="V17" i="9" s="1"/>
  <c r="W17" i="9" s="1"/>
  <c r="X17" i="9" s="1"/>
  <c r="Y17" i="9" s="1"/>
  <c r="Z17" i="9" s="1"/>
  <c r="AA17" i="9" s="1"/>
  <c r="AB17" i="9" s="1"/>
  <c r="AC17" i="9" s="1"/>
  <c r="AD17" i="9" s="1"/>
  <c r="BT9" i="9"/>
  <c r="G7" i="9"/>
  <c r="G6" i="9"/>
  <c r="H5" i="9"/>
  <c r="F13" i="5"/>
  <c r="H14" i="5"/>
  <c r="H15" i="5"/>
  <c r="I3" i="9"/>
  <c r="C9" i="5"/>
  <c r="G15" i="5" s="1"/>
  <c r="C11" i="5"/>
  <c r="C22" i="5" s="1"/>
  <c r="E228" i="3"/>
  <c r="G8" i="9" l="1"/>
  <c r="AQ12" i="9"/>
  <c r="AR12" i="9" s="1"/>
  <c r="AS12" i="9" s="1"/>
  <c r="AT12" i="9" s="1"/>
  <c r="AU12" i="9" s="1"/>
  <c r="AV12" i="9" s="1"/>
  <c r="AW12" i="9" s="1"/>
  <c r="AX12" i="9" s="1"/>
  <c r="AY12" i="9" s="1"/>
  <c r="AZ12" i="9" s="1"/>
  <c r="BA12" i="9" s="1"/>
  <c r="BB12" i="9" s="1"/>
  <c r="AQ13" i="9"/>
  <c r="AR13" i="9" s="1"/>
  <c r="AS13" i="9" s="1"/>
  <c r="AT13" i="9" s="1"/>
  <c r="AU13" i="9" s="1"/>
  <c r="AV13" i="9" s="1"/>
  <c r="AW13" i="9" s="1"/>
  <c r="AX13" i="9" s="1"/>
  <c r="AY13" i="9" s="1"/>
  <c r="AZ13" i="9" s="1"/>
  <c r="BA13" i="9" s="1"/>
  <c r="BB13" i="9" s="1"/>
  <c r="AQ19" i="9"/>
  <c r="AR19" i="9" s="1"/>
  <c r="AS19" i="9" s="1"/>
  <c r="AT19" i="9" s="1"/>
  <c r="AU19" i="9" s="1"/>
  <c r="AV19" i="9" s="1"/>
  <c r="AW19" i="9" s="1"/>
  <c r="AX19" i="9" s="1"/>
  <c r="AY19" i="9" s="1"/>
  <c r="AZ19" i="9" s="1"/>
  <c r="BA19" i="9" s="1"/>
  <c r="BB19" i="9" s="1"/>
  <c r="E17" i="2"/>
  <c r="I32" i="9"/>
  <c r="I33" i="9" s="1"/>
  <c r="I37" i="9"/>
  <c r="G12" i="6"/>
  <c r="H12" i="6" s="1"/>
  <c r="G11" i="6"/>
  <c r="H11" i="6" s="1"/>
  <c r="C13" i="2"/>
  <c r="C14" i="2"/>
  <c r="D11" i="2"/>
  <c r="C16" i="2"/>
  <c r="C12" i="2"/>
  <c r="C15" i="2"/>
  <c r="I27" i="9"/>
  <c r="I28" i="9"/>
  <c r="D17" i="2"/>
  <c r="G10" i="9"/>
  <c r="AE17" i="9"/>
  <c r="AF17" i="9" s="1"/>
  <c r="AG17" i="9" s="1"/>
  <c r="AH17" i="9" s="1"/>
  <c r="AI17" i="9" s="1"/>
  <c r="AJ17" i="9" s="1"/>
  <c r="AK17" i="9" s="1"/>
  <c r="AL17" i="9" s="1"/>
  <c r="AM17" i="9" s="1"/>
  <c r="AN17" i="9" s="1"/>
  <c r="AO17" i="9" s="1"/>
  <c r="AP17" i="9" s="1"/>
  <c r="AE15" i="9"/>
  <c r="AF15" i="9" s="1"/>
  <c r="AG15" i="9" s="1"/>
  <c r="AH15" i="9" s="1"/>
  <c r="AI15" i="9" s="1"/>
  <c r="AJ15" i="9" s="1"/>
  <c r="AK15" i="9" s="1"/>
  <c r="AL15" i="9" s="1"/>
  <c r="AM15" i="9" s="1"/>
  <c r="AN15" i="9" s="1"/>
  <c r="AO15" i="9" s="1"/>
  <c r="AP15" i="9" s="1"/>
  <c r="AE18" i="9"/>
  <c r="AF18" i="9" s="1"/>
  <c r="AG18" i="9" s="1"/>
  <c r="AH18" i="9" s="1"/>
  <c r="AI18" i="9" s="1"/>
  <c r="AJ18" i="9" s="1"/>
  <c r="AK18" i="9" s="1"/>
  <c r="AL18" i="9" s="1"/>
  <c r="AM18" i="9" s="1"/>
  <c r="AN18" i="9" s="1"/>
  <c r="AO18" i="9" s="1"/>
  <c r="AP18" i="9" s="1"/>
  <c r="AE16" i="9"/>
  <c r="AF16" i="9" s="1"/>
  <c r="AG16" i="9" s="1"/>
  <c r="AH16" i="9" s="1"/>
  <c r="AI16" i="9" s="1"/>
  <c r="AJ16" i="9" s="1"/>
  <c r="AK16" i="9" s="1"/>
  <c r="AL16" i="9" s="1"/>
  <c r="AM16" i="9" s="1"/>
  <c r="AN16" i="9" s="1"/>
  <c r="AO16" i="9" s="1"/>
  <c r="AP16" i="9" s="1"/>
  <c r="AE14" i="9"/>
  <c r="AF14" i="9" s="1"/>
  <c r="AG14" i="9" s="1"/>
  <c r="AH14" i="9" s="1"/>
  <c r="AI14" i="9" s="1"/>
  <c r="AJ14" i="9" s="1"/>
  <c r="AK14" i="9" s="1"/>
  <c r="AL14" i="9" s="1"/>
  <c r="AM14" i="9" s="1"/>
  <c r="AN14" i="9" s="1"/>
  <c r="AO14" i="9" s="1"/>
  <c r="AP14" i="9" s="1"/>
  <c r="D10" i="2"/>
  <c r="BU9" i="9"/>
  <c r="I5" i="9"/>
  <c r="H6" i="9"/>
  <c r="H7" i="9"/>
  <c r="G18" i="5"/>
  <c r="G14" i="5"/>
  <c r="G17" i="5"/>
  <c r="G19" i="5"/>
  <c r="G13" i="5"/>
  <c r="H13" i="5"/>
  <c r="J3" i="9"/>
  <c r="C20" i="5"/>
  <c r="G10" i="6"/>
  <c r="G9" i="6"/>
  <c r="G6" i="6"/>
  <c r="G4" i="6"/>
  <c r="G8" i="6"/>
  <c r="G7" i="6"/>
  <c r="G5" i="6"/>
  <c r="G3" i="6"/>
  <c r="H8" i="9" l="1"/>
  <c r="E10" i="2"/>
  <c r="AQ14" i="9"/>
  <c r="AR14" i="9" s="1"/>
  <c r="AS14" i="9" s="1"/>
  <c r="AT14" i="9" s="1"/>
  <c r="AU14" i="9" s="1"/>
  <c r="AV14" i="9" s="1"/>
  <c r="AW14" i="9" s="1"/>
  <c r="AX14" i="9" s="1"/>
  <c r="AY14" i="9" s="1"/>
  <c r="AZ14" i="9" s="1"/>
  <c r="BA14" i="9" s="1"/>
  <c r="BB14" i="9" s="1"/>
  <c r="BC19" i="9"/>
  <c r="BD19" i="9" s="1"/>
  <c r="BE19" i="9" s="1"/>
  <c r="BF19" i="9" s="1"/>
  <c r="BG19" i="9" s="1"/>
  <c r="BH19" i="9" s="1"/>
  <c r="BI19" i="9" s="1"/>
  <c r="BJ19" i="9" s="1"/>
  <c r="BK19" i="9" s="1"/>
  <c r="BL19" i="9" s="1"/>
  <c r="BM19" i="9" s="1"/>
  <c r="BN19" i="9" s="1"/>
  <c r="BO19" i="9" s="1"/>
  <c r="BP19" i="9" s="1"/>
  <c r="BQ19" i="9" s="1"/>
  <c r="BR19" i="9" s="1"/>
  <c r="BS19" i="9" s="1"/>
  <c r="BT19" i="9" s="1"/>
  <c r="BU19" i="9" s="1"/>
  <c r="BV19" i="9" s="1"/>
  <c r="BW19" i="9" s="1"/>
  <c r="BX19" i="9" s="1"/>
  <c r="BY19" i="9" s="1"/>
  <c r="E11" i="2"/>
  <c r="AQ16" i="9"/>
  <c r="AR16" i="9" s="1"/>
  <c r="AS16" i="9" s="1"/>
  <c r="AT16" i="9" s="1"/>
  <c r="AU16" i="9" s="1"/>
  <c r="AV16" i="9" s="1"/>
  <c r="AW16" i="9" s="1"/>
  <c r="AX16" i="9" s="1"/>
  <c r="AY16" i="9" s="1"/>
  <c r="AZ16" i="9" s="1"/>
  <c r="BA16" i="9" s="1"/>
  <c r="BB16" i="9" s="1"/>
  <c r="BC13" i="9"/>
  <c r="BD13" i="9" s="1"/>
  <c r="BE13" i="9" s="1"/>
  <c r="BF13" i="9" s="1"/>
  <c r="BG13" i="9" s="1"/>
  <c r="BH13" i="9" s="1"/>
  <c r="BI13" i="9" s="1"/>
  <c r="BJ13" i="9" s="1"/>
  <c r="BK13" i="9" s="1"/>
  <c r="BL13" i="9" s="1"/>
  <c r="BM13" i="9" s="1"/>
  <c r="BN13" i="9" s="1"/>
  <c r="BO13" i="9" s="1"/>
  <c r="BP13" i="9" s="1"/>
  <c r="BQ13" i="9" s="1"/>
  <c r="BR13" i="9" s="1"/>
  <c r="BS13" i="9" s="1"/>
  <c r="BT13" i="9" s="1"/>
  <c r="BU13" i="9" s="1"/>
  <c r="BV13" i="9" s="1"/>
  <c r="BW13" i="9" s="1"/>
  <c r="BX13" i="9" s="1"/>
  <c r="BY13" i="9" s="1"/>
  <c r="AQ17" i="9"/>
  <c r="AR17" i="9" s="1"/>
  <c r="AS17" i="9" s="1"/>
  <c r="AT17" i="9" s="1"/>
  <c r="AU17" i="9" s="1"/>
  <c r="AV17" i="9" s="1"/>
  <c r="AW17" i="9" s="1"/>
  <c r="AX17" i="9" s="1"/>
  <c r="AY17" i="9" s="1"/>
  <c r="AZ17" i="9" s="1"/>
  <c r="BA17" i="9" s="1"/>
  <c r="BB17" i="9" s="1"/>
  <c r="AQ18" i="9"/>
  <c r="AR18" i="9" s="1"/>
  <c r="AS18" i="9" s="1"/>
  <c r="AT18" i="9" s="1"/>
  <c r="AU18" i="9" s="1"/>
  <c r="AV18" i="9" s="1"/>
  <c r="AW18" i="9" s="1"/>
  <c r="AX18" i="9" s="1"/>
  <c r="AY18" i="9" s="1"/>
  <c r="AZ18" i="9" s="1"/>
  <c r="BA18" i="9" s="1"/>
  <c r="BB18" i="9" s="1"/>
  <c r="AQ15" i="9"/>
  <c r="AR15" i="9" s="1"/>
  <c r="AS15" i="9" s="1"/>
  <c r="AT15" i="9" s="1"/>
  <c r="AU15" i="9" s="1"/>
  <c r="AV15" i="9" s="1"/>
  <c r="AW15" i="9" s="1"/>
  <c r="AX15" i="9" s="1"/>
  <c r="AY15" i="9" s="1"/>
  <c r="AZ15" i="9" s="1"/>
  <c r="BA15" i="9" s="1"/>
  <c r="BB15" i="9" s="1"/>
  <c r="BC12" i="9"/>
  <c r="BD12" i="9" s="1"/>
  <c r="BE12" i="9" s="1"/>
  <c r="BF12" i="9" s="1"/>
  <c r="BG12" i="9" s="1"/>
  <c r="BH12" i="9" s="1"/>
  <c r="BI12" i="9" s="1"/>
  <c r="BJ12" i="9" s="1"/>
  <c r="BK12" i="9" s="1"/>
  <c r="BL12" i="9" s="1"/>
  <c r="BM12" i="9" s="1"/>
  <c r="BN12" i="9" s="1"/>
  <c r="BO12" i="9" s="1"/>
  <c r="BP12" i="9" s="1"/>
  <c r="J37" i="9"/>
  <c r="J32" i="9"/>
  <c r="J33" i="9" s="1"/>
  <c r="D12" i="2"/>
  <c r="F21" i="9"/>
  <c r="G21" i="9" s="1"/>
  <c r="H21" i="9" s="1"/>
  <c r="I21" i="9" s="1"/>
  <c r="J21" i="9" s="1"/>
  <c r="K21" i="9" s="1"/>
  <c r="L21" i="9" s="1"/>
  <c r="M21" i="9" s="1"/>
  <c r="N21" i="9" s="1"/>
  <c r="O21" i="9" s="1"/>
  <c r="P21" i="9" s="1"/>
  <c r="Q21" i="9" s="1"/>
  <c r="R21" i="9" s="1"/>
  <c r="F20" i="9"/>
  <c r="G20" i="9" s="1"/>
  <c r="H20" i="9" s="1"/>
  <c r="I20" i="9" s="1"/>
  <c r="J20" i="9" s="1"/>
  <c r="K20" i="9" s="1"/>
  <c r="L20" i="9" s="1"/>
  <c r="M20" i="9" s="1"/>
  <c r="N20" i="9" s="1"/>
  <c r="O20" i="9" s="1"/>
  <c r="P20" i="9" s="1"/>
  <c r="Q20" i="9" s="1"/>
  <c r="R20" i="9" s="1"/>
  <c r="D13" i="2"/>
  <c r="D14" i="2"/>
  <c r="J27" i="9"/>
  <c r="J28" i="9"/>
  <c r="D16" i="2"/>
  <c r="D15" i="2"/>
  <c r="BV9" i="9"/>
  <c r="H10" i="9"/>
  <c r="J5" i="9"/>
  <c r="I7" i="9"/>
  <c r="I6" i="9"/>
  <c r="I8" i="9" s="1"/>
  <c r="K3" i="9"/>
  <c r="E12" i="2" l="1"/>
  <c r="F17" i="2"/>
  <c r="F10" i="2"/>
  <c r="E15" i="2"/>
  <c r="E13" i="2"/>
  <c r="E14" i="2"/>
  <c r="E16" i="2"/>
  <c r="F11" i="2"/>
  <c r="BC16" i="9"/>
  <c r="BD16" i="9" s="1"/>
  <c r="BE16" i="9" s="1"/>
  <c r="BF16" i="9" s="1"/>
  <c r="BG16" i="9" s="1"/>
  <c r="BH16" i="9" s="1"/>
  <c r="BI16" i="9" s="1"/>
  <c r="BJ16" i="9" s="1"/>
  <c r="BK16" i="9" s="1"/>
  <c r="BL16" i="9" s="1"/>
  <c r="BM16" i="9" s="1"/>
  <c r="BN16" i="9" s="1"/>
  <c r="BO16" i="9" s="1"/>
  <c r="BP16" i="9" s="1"/>
  <c r="BQ16" i="9" s="1"/>
  <c r="BR16" i="9" s="1"/>
  <c r="BS16" i="9" s="1"/>
  <c r="BT16" i="9" s="1"/>
  <c r="BU16" i="9" s="1"/>
  <c r="BV16" i="9" s="1"/>
  <c r="BW16" i="9" s="1"/>
  <c r="BX16" i="9" s="1"/>
  <c r="BY16" i="9" s="1"/>
  <c r="BC17" i="9"/>
  <c r="BD17" i="9" s="1"/>
  <c r="BE17" i="9" s="1"/>
  <c r="BF17" i="9" s="1"/>
  <c r="BG17" i="9" s="1"/>
  <c r="BH17" i="9" s="1"/>
  <c r="BI17" i="9" s="1"/>
  <c r="BJ17" i="9" s="1"/>
  <c r="BK17" i="9" s="1"/>
  <c r="BL17" i="9" s="1"/>
  <c r="BM17" i="9" s="1"/>
  <c r="BN17" i="9" s="1"/>
  <c r="BO17" i="9" s="1"/>
  <c r="BP17" i="9" s="1"/>
  <c r="BQ17" i="9" s="1"/>
  <c r="BR17" i="9" s="1"/>
  <c r="BS17" i="9" s="1"/>
  <c r="BT17" i="9" s="1"/>
  <c r="BU17" i="9" s="1"/>
  <c r="BV17" i="9" s="1"/>
  <c r="BW17" i="9" s="1"/>
  <c r="BX17" i="9" s="1"/>
  <c r="BY17" i="9" s="1"/>
  <c r="BC15" i="9"/>
  <c r="BD15" i="9" s="1"/>
  <c r="BE15" i="9" s="1"/>
  <c r="BF15" i="9" s="1"/>
  <c r="BG15" i="9" s="1"/>
  <c r="BH15" i="9" s="1"/>
  <c r="BI15" i="9" s="1"/>
  <c r="BJ15" i="9" s="1"/>
  <c r="BK15" i="9" s="1"/>
  <c r="BL15" i="9" s="1"/>
  <c r="BM15" i="9" s="1"/>
  <c r="BN15" i="9" s="1"/>
  <c r="BO15" i="9" s="1"/>
  <c r="BP15" i="9" s="1"/>
  <c r="BQ15" i="9" s="1"/>
  <c r="BR15" i="9" s="1"/>
  <c r="BS15" i="9" s="1"/>
  <c r="BT15" i="9" s="1"/>
  <c r="BU15" i="9" s="1"/>
  <c r="BV15" i="9" s="1"/>
  <c r="BW15" i="9" s="1"/>
  <c r="BX15" i="9" s="1"/>
  <c r="BY15" i="9" s="1"/>
  <c r="BC18" i="9"/>
  <c r="BD18" i="9" s="1"/>
  <c r="BE18" i="9" s="1"/>
  <c r="BF18" i="9" s="1"/>
  <c r="BG18" i="9" s="1"/>
  <c r="BH18" i="9" s="1"/>
  <c r="BI18" i="9" s="1"/>
  <c r="BJ18" i="9" s="1"/>
  <c r="BK18" i="9" s="1"/>
  <c r="BL18" i="9" s="1"/>
  <c r="BM18" i="9" s="1"/>
  <c r="BN18" i="9" s="1"/>
  <c r="BO18" i="9" s="1"/>
  <c r="BP18" i="9" s="1"/>
  <c r="BQ18" i="9" s="1"/>
  <c r="BR18" i="9" s="1"/>
  <c r="BS18" i="9" s="1"/>
  <c r="BT18" i="9" s="1"/>
  <c r="BU18" i="9" s="1"/>
  <c r="BV18" i="9" s="1"/>
  <c r="BW18" i="9" s="1"/>
  <c r="BX18" i="9" s="1"/>
  <c r="BY18" i="9" s="1"/>
  <c r="BC14" i="9"/>
  <c r="BD14" i="9" s="1"/>
  <c r="BE14" i="9" s="1"/>
  <c r="BF14" i="9" s="1"/>
  <c r="BG14" i="9" s="1"/>
  <c r="BH14" i="9" s="1"/>
  <c r="BI14" i="9" s="1"/>
  <c r="BJ14" i="9" s="1"/>
  <c r="BK14" i="9" s="1"/>
  <c r="BL14" i="9" s="1"/>
  <c r="BM14" i="9" s="1"/>
  <c r="BN14" i="9" s="1"/>
  <c r="BO14" i="9" s="1"/>
  <c r="BP14" i="9" s="1"/>
  <c r="BQ14" i="9" s="1"/>
  <c r="BR14" i="9" s="1"/>
  <c r="BS14" i="9" s="1"/>
  <c r="BT14" i="9" s="1"/>
  <c r="BU14" i="9" s="1"/>
  <c r="BV14" i="9" s="1"/>
  <c r="BW14" i="9" s="1"/>
  <c r="BX14" i="9" s="1"/>
  <c r="BY14" i="9" s="1"/>
  <c r="I10" i="9"/>
  <c r="K32" i="9"/>
  <c r="K33" i="9" s="1"/>
  <c r="K37" i="9"/>
  <c r="F22" i="9"/>
  <c r="F24" i="9" s="1"/>
  <c r="F25" i="9" s="1"/>
  <c r="B19" i="2"/>
  <c r="M20" i="5" s="1"/>
  <c r="B18" i="2"/>
  <c r="M19" i="5" s="1"/>
  <c r="K27" i="9"/>
  <c r="K28" i="9"/>
  <c r="Q22" i="9"/>
  <c r="BQ12" i="9"/>
  <c r="S21" i="9"/>
  <c r="T21" i="9" s="1"/>
  <c r="U21" i="9" s="1"/>
  <c r="V21" i="9" s="1"/>
  <c r="W21" i="9" s="1"/>
  <c r="X21" i="9" s="1"/>
  <c r="Y21" i="9" s="1"/>
  <c r="Z21" i="9" s="1"/>
  <c r="AA21" i="9" s="1"/>
  <c r="AB21" i="9" s="1"/>
  <c r="AC21" i="9" s="1"/>
  <c r="AD21" i="9" s="1"/>
  <c r="BW9" i="9"/>
  <c r="S20" i="9"/>
  <c r="R22" i="9"/>
  <c r="K5" i="9"/>
  <c r="J6" i="9"/>
  <c r="J7" i="9"/>
  <c r="G22" i="9"/>
  <c r="G23" i="9" s="1"/>
  <c r="L3" i="9"/>
  <c r="J8" i="9" l="1"/>
  <c r="M21" i="5"/>
  <c r="F14" i="2"/>
  <c r="F15" i="2"/>
  <c r="F13" i="2"/>
  <c r="F16" i="2"/>
  <c r="F26" i="9"/>
  <c r="F34" i="9" s="1"/>
  <c r="F12" i="2"/>
  <c r="F23" i="9"/>
  <c r="L37" i="9"/>
  <c r="L32" i="9"/>
  <c r="L33" i="9" s="1"/>
  <c r="B20" i="2"/>
  <c r="C19" i="2"/>
  <c r="L27" i="9"/>
  <c r="L28" i="9"/>
  <c r="BR12" i="9"/>
  <c r="AE21" i="9"/>
  <c r="AF21" i="9" s="1"/>
  <c r="AG21" i="9" s="1"/>
  <c r="AH21" i="9" s="1"/>
  <c r="AI21" i="9" s="1"/>
  <c r="AJ21" i="9" s="1"/>
  <c r="AK21" i="9" s="1"/>
  <c r="AL21" i="9" s="1"/>
  <c r="AM21" i="9" s="1"/>
  <c r="AN21" i="9" s="1"/>
  <c r="AO21" i="9" s="1"/>
  <c r="AP21" i="9" s="1"/>
  <c r="BX9" i="9"/>
  <c r="T20" i="9"/>
  <c r="S22" i="9"/>
  <c r="J10" i="9"/>
  <c r="L5" i="9"/>
  <c r="K7" i="9"/>
  <c r="K6" i="9"/>
  <c r="H22" i="9"/>
  <c r="H23" i="9" s="1"/>
  <c r="G24" i="9"/>
  <c r="M3" i="9"/>
  <c r="K8" i="9" l="1"/>
  <c r="F29" i="9"/>
  <c r="F38" i="9" s="1"/>
  <c r="D19" i="2"/>
  <c r="AQ21" i="9"/>
  <c r="AR21" i="9" s="1"/>
  <c r="AS21" i="9" s="1"/>
  <c r="AT21" i="9" s="1"/>
  <c r="AU21" i="9" s="1"/>
  <c r="AV21" i="9" s="1"/>
  <c r="AW21" i="9" s="1"/>
  <c r="AX21" i="9" s="1"/>
  <c r="AY21" i="9" s="1"/>
  <c r="AZ21" i="9" s="1"/>
  <c r="BA21" i="9" s="1"/>
  <c r="BB21" i="9" s="1"/>
  <c r="G25" i="9"/>
  <c r="G26" i="9" s="1"/>
  <c r="G34" i="9" s="1"/>
  <c r="M37" i="9"/>
  <c r="M32" i="9"/>
  <c r="M33" i="9" s="1"/>
  <c r="M27" i="9"/>
  <c r="M28" i="9"/>
  <c r="K10" i="9"/>
  <c r="BS12" i="9"/>
  <c r="BY9" i="9"/>
  <c r="U20" i="9"/>
  <c r="T22" i="9"/>
  <c r="M5" i="9"/>
  <c r="L6" i="9"/>
  <c r="L7" i="9"/>
  <c r="H24" i="9"/>
  <c r="H25" i="9" s="1"/>
  <c r="H26" i="9" s="1"/>
  <c r="H34" i="9" s="1"/>
  <c r="I22" i="9"/>
  <c r="I23" i="9" s="1"/>
  <c r="N3" i="9"/>
  <c r="G13" i="6"/>
  <c r="H13" i="6" s="1"/>
  <c r="L8" i="9" l="1"/>
  <c r="G29" i="9"/>
  <c r="G38" i="9" s="1"/>
  <c r="E19" i="2"/>
  <c r="BC21" i="9"/>
  <c r="BD21" i="9" s="1"/>
  <c r="BE21" i="9" s="1"/>
  <c r="BF21" i="9" s="1"/>
  <c r="BG21" i="9" s="1"/>
  <c r="BH21" i="9" s="1"/>
  <c r="BI21" i="9" s="1"/>
  <c r="BJ21" i="9" s="1"/>
  <c r="BK21" i="9" s="1"/>
  <c r="BL21" i="9" s="1"/>
  <c r="BM21" i="9" s="1"/>
  <c r="BN21" i="9" s="1"/>
  <c r="BO21" i="9" s="1"/>
  <c r="BP21" i="9" s="1"/>
  <c r="BQ21" i="9" s="1"/>
  <c r="BR21" i="9" s="1"/>
  <c r="BS21" i="9" s="1"/>
  <c r="BT21" i="9" s="1"/>
  <c r="BU21" i="9" s="1"/>
  <c r="BV21" i="9" s="1"/>
  <c r="BW21" i="9" s="1"/>
  <c r="BX21" i="9" s="1"/>
  <c r="BY21" i="9" s="1"/>
  <c r="N32" i="9"/>
  <c r="N33" i="9" s="1"/>
  <c r="N37" i="9"/>
  <c r="N27" i="9"/>
  <c r="N28" i="9"/>
  <c r="BT12" i="9"/>
  <c r="H29" i="9"/>
  <c r="H38" i="9" s="1"/>
  <c r="V20" i="9"/>
  <c r="U22" i="9"/>
  <c r="L10" i="9"/>
  <c r="N5" i="9"/>
  <c r="M7" i="9"/>
  <c r="M6" i="9"/>
  <c r="I24" i="9"/>
  <c r="I25" i="9" s="1"/>
  <c r="I26" i="9" s="1"/>
  <c r="I34" i="9" s="1"/>
  <c r="J22" i="9"/>
  <c r="J23" i="9" s="1"/>
  <c r="O3" i="9"/>
  <c r="F19" i="2" l="1"/>
  <c r="M8" i="9"/>
  <c r="O32" i="9"/>
  <c r="O33" i="9" s="1"/>
  <c r="O37" i="9"/>
  <c r="O27" i="9"/>
  <c r="O28" i="9"/>
  <c r="M10" i="9"/>
  <c r="BU12" i="9"/>
  <c r="I29" i="9"/>
  <c r="I38" i="9" s="1"/>
  <c r="W20" i="9"/>
  <c r="V22" i="9"/>
  <c r="O5" i="9"/>
  <c r="N7" i="9"/>
  <c r="N6" i="9"/>
  <c r="K22" i="9"/>
  <c r="K23" i="9" s="1"/>
  <c r="J24" i="9"/>
  <c r="J25" i="9" s="1"/>
  <c r="J26" i="9" s="1"/>
  <c r="J34" i="9" s="1"/>
  <c r="P3" i="9"/>
  <c r="N8" i="9" l="1"/>
  <c r="P37" i="9"/>
  <c r="P32" i="9"/>
  <c r="P33" i="9" s="1"/>
  <c r="P27" i="9"/>
  <c r="P28" i="9"/>
  <c r="BV12" i="9"/>
  <c r="J29" i="9"/>
  <c r="J38" i="9" s="1"/>
  <c r="X20" i="9"/>
  <c r="W22" i="9"/>
  <c r="N10" i="9"/>
  <c r="P5" i="9"/>
  <c r="O6" i="9"/>
  <c r="O7" i="9"/>
  <c r="K24" i="9"/>
  <c r="L22" i="9"/>
  <c r="L23" i="9" s="1"/>
  <c r="Q3" i="9"/>
  <c r="O8" i="9" l="1"/>
  <c r="K25" i="9"/>
  <c r="K26" i="9" s="1"/>
  <c r="K34" i="9" s="1"/>
  <c r="Q37" i="9"/>
  <c r="Q32" i="9"/>
  <c r="R3" i="9"/>
  <c r="Q27" i="9"/>
  <c r="Q28" i="9"/>
  <c r="BW12" i="9"/>
  <c r="K29" i="9"/>
  <c r="K38" i="9" s="1"/>
  <c r="Y20" i="9"/>
  <c r="X22" i="9"/>
  <c r="O10" i="9"/>
  <c r="Q5" i="9"/>
  <c r="P7" i="9"/>
  <c r="P6" i="9"/>
  <c r="P8" i="9" s="1"/>
  <c r="M22" i="9"/>
  <c r="M23" i="9" s="1"/>
  <c r="L24" i="9"/>
  <c r="L25" i="9" s="1"/>
  <c r="L26" i="9" s="1"/>
  <c r="L34" i="9" s="1"/>
  <c r="P10" i="9" l="1"/>
  <c r="R32" i="9"/>
  <c r="R33" i="9" s="1"/>
  <c r="R37" i="9"/>
  <c r="S3" i="9"/>
  <c r="T3" i="9" s="1"/>
  <c r="U3" i="9" s="1"/>
  <c r="R28" i="9"/>
  <c r="R27" i="9"/>
  <c r="BX12" i="9"/>
  <c r="L29" i="9"/>
  <c r="L38" i="9" s="1"/>
  <c r="Z20" i="9"/>
  <c r="Y22" i="9"/>
  <c r="R5" i="9"/>
  <c r="Q6" i="9"/>
  <c r="Q7" i="9"/>
  <c r="N22" i="9"/>
  <c r="N23" i="9" s="1"/>
  <c r="M24" i="9"/>
  <c r="M25" i="9" s="1"/>
  <c r="M26" i="9" s="1"/>
  <c r="M34" i="9" s="1"/>
  <c r="Q8" i="9" l="1"/>
  <c r="S27" i="9"/>
  <c r="S28" i="9"/>
  <c r="U32" i="9"/>
  <c r="U33" i="9" s="1"/>
  <c r="U37" i="9"/>
  <c r="T37" i="9"/>
  <c r="T32" i="9"/>
  <c r="T33" i="9" s="1"/>
  <c r="S37" i="9"/>
  <c r="S32" i="9"/>
  <c r="S33" i="9" s="1"/>
  <c r="V3" i="9"/>
  <c r="U28" i="9"/>
  <c r="U27" i="9"/>
  <c r="T28" i="9"/>
  <c r="T27" i="9"/>
  <c r="BY12" i="9"/>
  <c r="M29" i="9"/>
  <c r="M38" i="9" s="1"/>
  <c r="AA20" i="9"/>
  <c r="Z22" i="9"/>
  <c r="Q10" i="9"/>
  <c r="S5" i="9"/>
  <c r="R7" i="9"/>
  <c r="R6" i="9"/>
  <c r="N24" i="9"/>
  <c r="N25" i="9" s="1"/>
  <c r="N26" i="9" s="1"/>
  <c r="N34" i="9" s="1"/>
  <c r="P22" i="9"/>
  <c r="P23" i="9" s="1"/>
  <c r="O22" i="9"/>
  <c r="O23" i="9" s="1"/>
  <c r="R8" i="9" l="1"/>
  <c r="V32" i="9"/>
  <c r="V33" i="9" s="1"/>
  <c r="V37" i="9"/>
  <c r="R10" i="9"/>
  <c r="W3" i="9"/>
  <c r="V28" i="9"/>
  <c r="V27" i="9"/>
  <c r="N29" i="9"/>
  <c r="N38" i="9" s="1"/>
  <c r="AB20" i="9"/>
  <c r="AA22" i="9"/>
  <c r="Q24" i="9"/>
  <c r="Q25" i="9" s="1"/>
  <c r="Q26" i="9" s="1"/>
  <c r="Q23" i="9"/>
  <c r="T5" i="9"/>
  <c r="S7" i="9"/>
  <c r="S6" i="9"/>
  <c r="P24" i="9"/>
  <c r="P25" i="9" s="1"/>
  <c r="P26" i="9" s="1"/>
  <c r="P34" i="9" s="1"/>
  <c r="O24" i="9"/>
  <c r="O25" i="9" s="1"/>
  <c r="O26" i="9" s="1"/>
  <c r="O34" i="9" s="1"/>
  <c r="S8" i="9" l="1"/>
  <c r="R24" i="9"/>
  <c r="R25" i="9" s="1"/>
  <c r="R26" i="9" s="1"/>
  <c r="R34" i="9" s="1"/>
  <c r="W37" i="9"/>
  <c r="W32" i="9"/>
  <c r="W33" i="9" s="1"/>
  <c r="R23" i="9"/>
  <c r="S10" i="9"/>
  <c r="S24" i="9" s="1"/>
  <c r="S25" i="9" s="1"/>
  <c r="S26" i="9" s="1"/>
  <c r="S34" i="9" s="1"/>
  <c r="X3" i="9"/>
  <c r="W28" i="9"/>
  <c r="W27" i="9"/>
  <c r="O29" i="9"/>
  <c r="O38" i="9" s="1"/>
  <c r="Q29" i="9"/>
  <c r="P29" i="9"/>
  <c r="P38" i="9" s="1"/>
  <c r="AC20" i="9"/>
  <c r="AB22" i="9"/>
  <c r="U5" i="9"/>
  <c r="T7" i="9"/>
  <c r="T6" i="9"/>
  <c r="T8" i="9" s="1"/>
  <c r="R29" i="9" l="1"/>
  <c r="R38" i="9" s="1"/>
  <c r="S23" i="9"/>
  <c r="X32" i="9"/>
  <c r="X33" i="9" s="1"/>
  <c r="X37" i="9"/>
  <c r="T10" i="9"/>
  <c r="T24" i="9" s="1"/>
  <c r="T25" i="9" s="1"/>
  <c r="T26" i="9" s="1"/>
  <c r="T34" i="9" s="1"/>
  <c r="Y3" i="9"/>
  <c r="X27" i="9"/>
  <c r="X28" i="9"/>
  <c r="S29" i="9"/>
  <c r="S38" i="9" s="1"/>
  <c r="AD20" i="9"/>
  <c r="AC22" i="9"/>
  <c r="V5" i="9"/>
  <c r="U6" i="9"/>
  <c r="U7" i="9"/>
  <c r="U8" i="9" l="1"/>
  <c r="Y32" i="9"/>
  <c r="Y33" i="9" s="1"/>
  <c r="Y37" i="9"/>
  <c r="T23" i="9"/>
  <c r="Z3" i="9"/>
  <c r="Y27" i="9"/>
  <c r="Y28" i="9"/>
  <c r="T29" i="9"/>
  <c r="T38" i="9" s="1"/>
  <c r="AE20" i="9"/>
  <c r="AD22" i="9"/>
  <c r="W5" i="9"/>
  <c r="V6" i="9"/>
  <c r="V7" i="9"/>
  <c r="V8" i="9" l="1"/>
  <c r="Z37" i="9"/>
  <c r="Z32" i="9"/>
  <c r="Z33" i="9" s="1"/>
  <c r="U10" i="9"/>
  <c r="Z27" i="9"/>
  <c r="Z28" i="9"/>
  <c r="AA3" i="9"/>
  <c r="V10" i="9"/>
  <c r="V24" i="9" s="1"/>
  <c r="V25" i="9" s="1"/>
  <c r="V26" i="9" s="1"/>
  <c r="V34" i="9" s="1"/>
  <c r="AF20" i="9"/>
  <c r="AE22" i="9"/>
  <c r="X5" i="9"/>
  <c r="W6" i="9"/>
  <c r="W7" i="9"/>
  <c r="W8" i="9" l="1"/>
  <c r="U24" i="9"/>
  <c r="U25" i="9" s="1"/>
  <c r="AA37" i="9"/>
  <c r="AA32" i="9"/>
  <c r="AA33" i="9" s="1"/>
  <c r="U23" i="9"/>
  <c r="AA27" i="9"/>
  <c r="AA28" i="9"/>
  <c r="AB3" i="9"/>
  <c r="V29" i="9"/>
  <c r="V38" i="9" s="1"/>
  <c r="V23" i="9"/>
  <c r="AG20" i="9"/>
  <c r="AF22" i="9"/>
  <c r="W10" i="9"/>
  <c r="Y5" i="9"/>
  <c r="X6" i="9"/>
  <c r="X7" i="9"/>
  <c r="X8" i="9" l="1"/>
  <c r="U26" i="9"/>
  <c r="U34" i="9" s="1"/>
  <c r="AB37" i="9"/>
  <c r="AB32" i="9"/>
  <c r="AB33" i="9" s="1"/>
  <c r="AC3" i="9"/>
  <c r="AB27" i="9"/>
  <c r="AB28" i="9"/>
  <c r="AH20" i="9"/>
  <c r="AG22" i="9"/>
  <c r="W24" i="9"/>
  <c r="W23" i="9"/>
  <c r="Z5" i="9"/>
  <c r="Y6" i="9"/>
  <c r="Y7" i="9"/>
  <c r="X10" i="9"/>
  <c r="Y8" i="9" l="1"/>
  <c r="Y10" i="9" s="1"/>
  <c r="U29" i="9"/>
  <c r="U38" i="9" s="1"/>
  <c r="W25" i="9"/>
  <c r="W26" i="9" s="1"/>
  <c r="W34" i="9" s="1"/>
  <c r="AC32" i="9"/>
  <c r="AC37" i="9"/>
  <c r="AD3" i="9"/>
  <c r="AC28" i="9"/>
  <c r="AC27" i="9"/>
  <c r="AI20" i="9"/>
  <c r="AH22" i="9"/>
  <c r="X23" i="9"/>
  <c r="X24" i="9"/>
  <c r="AA5" i="9"/>
  <c r="Z7" i="9"/>
  <c r="Z6" i="9"/>
  <c r="Z8" i="9" l="1"/>
  <c r="W29" i="9"/>
  <c r="W38" i="9" s="1"/>
  <c r="X25" i="9"/>
  <c r="X26" i="9" s="1"/>
  <c r="AD32" i="9"/>
  <c r="AD33" i="9" s="1"/>
  <c r="AD37" i="9"/>
  <c r="AE3" i="9"/>
  <c r="AD28" i="9"/>
  <c r="AD27" i="9"/>
  <c r="Z10" i="9"/>
  <c r="Z23" i="9" s="1"/>
  <c r="AJ20" i="9"/>
  <c r="AI22" i="9"/>
  <c r="Y24" i="9"/>
  <c r="Y23" i="9"/>
  <c r="AB5" i="9"/>
  <c r="AA7" i="9"/>
  <c r="AA6" i="9"/>
  <c r="AA8" i="9" s="1"/>
  <c r="X34" i="9" l="1"/>
  <c r="X29" i="9"/>
  <c r="X38" i="9" s="1"/>
  <c r="Y25" i="9"/>
  <c r="Y26" i="9" s="1"/>
  <c r="Y34" i="9" s="1"/>
  <c r="AE37" i="9"/>
  <c r="AE32" i="9"/>
  <c r="AE33" i="9" s="1"/>
  <c r="Z24" i="9"/>
  <c r="AE27" i="9"/>
  <c r="AE28" i="9"/>
  <c r="AF3" i="9"/>
  <c r="AA10" i="9"/>
  <c r="AA24" i="9" s="1"/>
  <c r="AA25" i="9" s="1"/>
  <c r="AA26" i="9" s="1"/>
  <c r="AA34" i="9" s="1"/>
  <c r="AK20" i="9"/>
  <c r="AJ22" i="9"/>
  <c r="AC5" i="9"/>
  <c r="AB6" i="9"/>
  <c r="AB7" i="9"/>
  <c r="AB8" i="9" l="1"/>
  <c r="Y29" i="9"/>
  <c r="Y38" i="9" s="1"/>
  <c r="Z25" i="9"/>
  <c r="AF32" i="9"/>
  <c r="AF33" i="9" s="1"/>
  <c r="AF37" i="9"/>
  <c r="AG3" i="9"/>
  <c r="AF28" i="9"/>
  <c r="AF27" i="9"/>
  <c r="AA23" i="9"/>
  <c r="AA29" i="9"/>
  <c r="AA38" i="9" s="1"/>
  <c r="AL20" i="9"/>
  <c r="AK22" i="9"/>
  <c r="AB10" i="9"/>
  <c r="AD5" i="9"/>
  <c r="AC7" i="9"/>
  <c r="AC6" i="9"/>
  <c r="AC8" i="9" l="1"/>
  <c r="Z26" i="9"/>
  <c r="Z34" i="9" s="1"/>
  <c r="AG32" i="9"/>
  <c r="AG33" i="9" s="1"/>
  <c r="AG37" i="9"/>
  <c r="AG28" i="9"/>
  <c r="AG27" i="9"/>
  <c r="AH3" i="9"/>
  <c r="AM20" i="9"/>
  <c r="AL22" i="9"/>
  <c r="AB24" i="9"/>
  <c r="AB25" i="9" s="1"/>
  <c r="AB26" i="9" s="1"/>
  <c r="AB34" i="9" s="1"/>
  <c r="AB23" i="9"/>
  <c r="AE5" i="9"/>
  <c r="AD6" i="9"/>
  <c r="AD7" i="9"/>
  <c r="AD8" i="9" l="1"/>
  <c r="Z29" i="9"/>
  <c r="Z38" i="9" s="1"/>
  <c r="AH37" i="9"/>
  <c r="AH32" i="9"/>
  <c r="AH33" i="9" s="1"/>
  <c r="AC10" i="9"/>
  <c r="AC24" i="9" s="1"/>
  <c r="AC25" i="9" s="1"/>
  <c r="AC26" i="9" s="1"/>
  <c r="AI3" i="9"/>
  <c r="AH28" i="9"/>
  <c r="AH27" i="9"/>
  <c r="AB29" i="9"/>
  <c r="AB38" i="9" s="1"/>
  <c r="AN20" i="9"/>
  <c r="AM22" i="9"/>
  <c r="AF5" i="9"/>
  <c r="AE6" i="9"/>
  <c r="AE7" i="9"/>
  <c r="AE8" i="9" l="1"/>
  <c r="AI32" i="9"/>
  <c r="AI33" i="9" s="1"/>
  <c r="AI37" i="9"/>
  <c r="AC23" i="9"/>
  <c r="AI27" i="9"/>
  <c r="AI28" i="9"/>
  <c r="AJ3" i="9"/>
  <c r="Q33" i="9"/>
  <c r="Q34" i="9" s="1"/>
  <c r="AE10" i="9"/>
  <c r="AE23" i="9" s="1"/>
  <c r="AD10" i="9"/>
  <c r="AC29" i="9"/>
  <c r="AO20" i="9"/>
  <c r="AN22" i="9"/>
  <c r="AG5" i="9"/>
  <c r="AF7" i="9"/>
  <c r="AF6" i="9"/>
  <c r="AF8" i="9" l="1"/>
  <c r="AD24" i="9"/>
  <c r="AD25" i="9" s="1"/>
  <c r="AD26" i="9" s="1"/>
  <c r="AD34" i="9" s="1"/>
  <c r="AJ32" i="9"/>
  <c r="AJ33" i="9" s="1"/>
  <c r="AJ37" i="9"/>
  <c r="Q38" i="9"/>
  <c r="AK3" i="9"/>
  <c r="AJ27" i="9"/>
  <c r="AJ28" i="9"/>
  <c r="AD23" i="9"/>
  <c r="AE24" i="9"/>
  <c r="AE25" i="9" s="1"/>
  <c r="AE26" i="9" s="1"/>
  <c r="AE34" i="9" s="1"/>
  <c r="AP20" i="9"/>
  <c r="AO22" i="9"/>
  <c r="AH5" i="9"/>
  <c r="AG7" i="9"/>
  <c r="AG6" i="9"/>
  <c r="AG8" i="9" l="1"/>
  <c r="AD29" i="9"/>
  <c r="AD38" i="9" s="1"/>
  <c r="AG10" i="9"/>
  <c r="AG24" i="9" s="1"/>
  <c r="AG25" i="9" s="1"/>
  <c r="AG26" i="9" s="1"/>
  <c r="AG34" i="9" s="1"/>
  <c r="AK32" i="9"/>
  <c r="AK33" i="9" s="1"/>
  <c r="AK37" i="9"/>
  <c r="AE29" i="9"/>
  <c r="AE38" i="9" s="1"/>
  <c r="AK28" i="9"/>
  <c r="AK27" i="9"/>
  <c r="AL3" i="9"/>
  <c r="AF10" i="9"/>
  <c r="AQ20" i="9"/>
  <c r="AP22" i="9"/>
  <c r="AI5" i="9"/>
  <c r="AH7" i="9"/>
  <c r="AH6" i="9"/>
  <c r="AH8" i="9" s="1"/>
  <c r="AG23" i="9" l="1"/>
  <c r="AF23" i="9"/>
  <c r="AH10" i="9"/>
  <c r="AH24" i="9" s="1"/>
  <c r="AH25" i="9" s="1"/>
  <c r="AH26" i="9" s="1"/>
  <c r="AH34" i="9" s="1"/>
  <c r="AL37" i="9"/>
  <c r="AL32" i="9"/>
  <c r="AL33" i="9" s="1"/>
  <c r="AF24" i="9"/>
  <c r="AM3" i="9"/>
  <c r="AL27" i="9"/>
  <c r="AL28" i="9"/>
  <c r="AG29" i="9"/>
  <c r="AG38" i="9" s="1"/>
  <c r="AR20" i="9"/>
  <c r="AQ22" i="9"/>
  <c r="AJ5" i="9"/>
  <c r="AI6" i="9"/>
  <c r="AI7" i="9"/>
  <c r="AI8" i="9" l="1"/>
  <c r="AH23" i="9"/>
  <c r="AF25" i="9"/>
  <c r="AF26" i="9" s="1"/>
  <c r="AF34" i="9" s="1"/>
  <c r="AM37" i="9"/>
  <c r="AM32" i="9"/>
  <c r="AM33" i="9" s="1"/>
  <c r="AN3" i="9"/>
  <c r="AM27" i="9"/>
  <c r="AM28" i="9"/>
  <c r="AI10" i="9"/>
  <c r="AH29" i="9"/>
  <c r="AH38" i="9" s="1"/>
  <c r="AS20" i="9"/>
  <c r="AR22" i="9"/>
  <c r="AK5" i="9"/>
  <c r="AJ7" i="9"/>
  <c r="AJ6" i="9"/>
  <c r="AJ8" i="9" s="1"/>
  <c r="AI23" i="9" l="1"/>
  <c r="AF29" i="9"/>
  <c r="AF38" i="9" s="1"/>
  <c r="AN32" i="9"/>
  <c r="AN33" i="9" s="1"/>
  <c r="AN37" i="9"/>
  <c r="AI24" i="9"/>
  <c r="AN28" i="9"/>
  <c r="AN27" i="9"/>
  <c r="AO3" i="9"/>
  <c r="AT20" i="9"/>
  <c r="AS22" i="9"/>
  <c r="AL5" i="9"/>
  <c r="AK7" i="9"/>
  <c r="AK6" i="9"/>
  <c r="AK8" i="9" l="1"/>
  <c r="AI25" i="9"/>
  <c r="AI26" i="9" s="1"/>
  <c r="AI34" i="9" s="1"/>
  <c r="AP3" i="9"/>
  <c r="AO28" i="9"/>
  <c r="AO27" i="9"/>
  <c r="AO37" i="9" s="1"/>
  <c r="AK10" i="9"/>
  <c r="AK24" i="9" s="1"/>
  <c r="AK25" i="9" s="1"/>
  <c r="AK26" i="9" s="1"/>
  <c r="AK34" i="9" s="1"/>
  <c r="AJ10" i="9"/>
  <c r="AU20" i="9"/>
  <c r="AT22" i="9"/>
  <c r="AM5" i="9"/>
  <c r="AL7" i="9"/>
  <c r="AL6" i="9"/>
  <c r="AL8" i="9" l="1"/>
  <c r="AJ23" i="9"/>
  <c r="AI29" i="9"/>
  <c r="AI38" i="9" s="1"/>
  <c r="AK23" i="9"/>
  <c r="AP37" i="9"/>
  <c r="AP32" i="9"/>
  <c r="AP33" i="9" s="1"/>
  <c r="AP38" i="9"/>
  <c r="AJ24" i="9"/>
  <c r="AQ3" i="9"/>
  <c r="AP27" i="9"/>
  <c r="AP28" i="9"/>
  <c r="AL10" i="9"/>
  <c r="AL24" i="9" s="1"/>
  <c r="AL25" i="9" s="1"/>
  <c r="AL26" i="9" s="1"/>
  <c r="AL34" i="9" s="1"/>
  <c r="AK29" i="9"/>
  <c r="AK38" i="9" s="1"/>
  <c r="AV20" i="9"/>
  <c r="AU22" i="9"/>
  <c r="AN5" i="9"/>
  <c r="AM7" i="9"/>
  <c r="AM6" i="9"/>
  <c r="AM8" i="9" s="1"/>
  <c r="AP34" i="9" l="1"/>
  <c r="AJ25" i="9"/>
  <c r="AJ26" i="9" s="1"/>
  <c r="AJ34" i="9" s="1"/>
  <c r="AQ37" i="9"/>
  <c r="AQ32" i="9"/>
  <c r="AQ33" i="9" s="1"/>
  <c r="AQ38" i="9"/>
  <c r="AR3" i="9"/>
  <c r="AQ28" i="9"/>
  <c r="AQ27" i="9"/>
  <c r="AL23" i="9"/>
  <c r="AL29" i="9"/>
  <c r="AL38" i="9" s="1"/>
  <c r="AW20" i="9"/>
  <c r="AV22" i="9"/>
  <c r="AM10" i="9"/>
  <c r="AO5" i="9"/>
  <c r="AN6" i="9"/>
  <c r="AN7" i="9"/>
  <c r="AN8" i="9" l="1"/>
  <c r="AQ34" i="9"/>
  <c r="AN10" i="9"/>
  <c r="AN23" i="9" s="1"/>
  <c r="AJ29" i="9"/>
  <c r="AJ38" i="9" s="1"/>
  <c r="AR32" i="9"/>
  <c r="AR34" i="9" s="1"/>
  <c r="AR37" i="9"/>
  <c r="AS3" i="9"/>
  <c r="AR28" i="9"/>
  <c r="AR27" i="9"/>
  <c r="AX20" i="9"/>
  <c r="AW22" i="9"/>
  <c r="AM24" i="9"/>
  <c r="AM25" i="9" s="1"/>
  <c r="AM26" i="9" s="1"/>
  <c r="AM34" i="9" s="1"/>
  <c r="AM23" i="9"/>
  <c r="AP5" i="9"/>
  <c r="AO7" i="9"/>
  <c r="AO6" i="9"/>
  <c r="AO8" i="9" l="1"/>
  <c r="AN24" i="9"/>
  <c r="AN25" i="9" s="1"/>
  <c r="AN26" i="9" s="1"/>
  <c r="AN34" i="9" s="1"/>
  <c r="AR33" i="9"/>
  <c r="AR38" i="9" s="1"/>
  <c r="AS37" i="9"/>
  <c r="AS32" i="9"/>
  <c r="AS33" i="9" s="1"/>
  <c r="AS28" i="9"/>
  <c r="AS27" i="9"/>
  <c r="AT3" i="9"/>
  <c r="AM29" i="9"/>
  <c r="AM38" i="9" s="1"/>
  <c r="AY20" i="9"/>
  <c r="AX22" i="9"/>
  <c r="AQ5" i="9"/>
  <c r="AP6" i="9"/>
  <c r="AP7" i="9"/>
  <c r="AN29" i="9" l="1"/>
  <c r="AN38" i="9" s="1"/>
  <c r="AP8" i="9"/>
  <c r="AS38" i="9"/>
  <c r="AS34" i="9"/>
  <c r="AT37" i="9"/>
  <c r="AT32" i="9"/>
  <c r="AT33" i="9" s="1"/>
  <c r="AT27" i="9"/>
  <c r="AT28" i="9"/>
  <c r="AU3" i="9"/>
  <c r="AO10" i="9"/>
  <c r="AO23" i="9" s="1"/>
  <c r="AZ20" i="9"/>
  <c r="AY22" i="9"/>
  <c r="AR5" i="9"/>
  <c r="AQ7" i="9"/>
  <c r="AQ6" i="9"/>
  <c r="AQ8" i="9" s="1"/>
  <c r="AT38" i="9" l="1"/>
  <c r="AT34" i="9"/>
  <c r="AU32" i="9"/>
  <c r="AU33" i="9" s="1"/>
  <c r="AU37" i="9"/>
  <c r="AU38" i="9" s="1"/>
  <c r="AO24" i="9"/>
  <c r="AP10" i="9"/>
  <c r="AU27" i="9"/>
  <c r="AU28" i="9"/>
  <c r="AV3" i="9"/>
  <c r="AC33" i="9"/>
  <c r="AC34" i="9" s="1"/>
  <c r="BA20" i="9"/>
  <c r="AZ22" i="9"/>
  <c r="AQ10" i="9"/>
  <c r="AS5" i="9"/>
  <c r="AR7" i="9"/>
  <c r="AR6" i="9"/>
  <c r="AR8" i="9" l="1"/>
  <c r="AU34" i="9"/>
  <c r="AP23" i="9"/>
  <c r="AR10" i="9"/>
  <c r="AR24" i="9" s="1"/>
  <c r="AR25" i="9" s="1"/>
  <c r="AR26" i="9" s="1"/>
  <c r="AO25" i="9"/>
  <c r="AO26" i="9" s="1"/>
  <c r="AV32" i="9"/>
  <c r="AV33" i="9" s="1"/>
  <c r="AV37" i="9"/>
  <c r="AC38" i="9"/>
  <c r="AP24" i="9"/>
  <c r="AW3" i="9"/>
  <c r="AV27" i="9"/>
  <c r="AV28" i="9"/>
  <c r="BB20" i="9"/>
  <c r="BA22" i="9"/>
  <c r="AQ24" i="9"/>
  <c r="AQ25" i="9" s="1"/>
  <c r="AQ26" i="9" s="1"/>
  <c r="AQ23" i="9"/>
  <c r="AT5" i="9"/>
  <c r="AS7" i="9"/>
  <c r="AS6" i="9"/>
  <c r="AS8" i="9" s="1"/>
  <c r="AV38" i="9" l="1"/>
  <c r="AV34" i="9"/>
  <c r="AR23" i="9"/>
  <c r="AS10" i="9"/>
  <c r="AP25" i="9"/>
  <c r="AP26" i="9" s="1"/>
  <c r="AO29" i="9"/>
  <c r="AW32" i="9"/>
  <c r="AW33" i="9" s="1"/>
  <c r="AW37" i="9"/>
  <c r="AW38" i="9" s="1"/>
  <c r="AX3" i="9"/>
  <c r="AW27" i="9"/>
  <c r="AW28" i="9"/>
  <c r="AQ29" i="9"/>
  <c r="AR29" i="9"/>
  <c r="BC20" i="9"/>
  <c r="BB22" i="9"/>
  <c r="AS23" i="9"/>
  <c r="AS24" i="9"/>
  <c r="AU5" i="9"/>
  <c r="AT7" i="9"/>
  <c r="AT6" i="9"/>
  <c r="AT8" i="9" s="1"/>
  <c r="AP29" i="9" l="1"/>
  <c r="AW34" i="9"/>
  <c r="AS25" i="9"/>
  <c r="AS26" i="9" s="1"/>
  <c r="AS29" i="9" s="1"/>
  <c r="AX37" i="9"/>
  <c r="AX32" i="9"/>
  <c r="AX33" i="9" s="1"/>
  <c r="AX38" i="9"/>
  <c r="AY3" i="9"/>
  <c r="AX27" i="9"/>
  <c r="AX28" i="9"/>
  <c r="BD20" i="9"/>
  <c r="BC22" i="9"/>
  <c r="AV5" i="9"/>
  <c r="AU7" i="9"/>
  <c r="AU6" i="9"/>
  <c r="AU8" i="9" l="1"/>
  <c r="AX34" i="9"/>
  <c r="AU10" i="9"/>
  <c r="AU23" i="9" s="1"/>
  <c r="AY37" i="9"/>
  <c r="AY32" i="9"/>
  <c r="AY33" i="9" s="1"/>
  <c r="AT10" i="9"/>
  <c r="AZ3" i="9"/>
  <c r="AY28" i="9"/>
  <c r="AY27" i="9"/>
  <c r="BE20" i="9"/>
  <c r="BD22" i="9"/>
  <c r="AW5" i="9"/>
  <c r="AV7" i="9"/>
  <c r="AV6" i="9"/>
  <c r="AV8" i="9" s="1"/>
  <c r="AU24" i="9" l="1"/>
  <c r="AY38" i="9"/>
  <c r="AY34" i="9"/>
  <c r="AV10" i="9"/>
  <c r="AV24" i="9" s="1"/>
  <c r="AU25" i="9"/>
  <c r="AU26" i="9" s="1"/>
  <c r="AZ32" i="9"/>
  <c r="AZ37" i="9"/>
  <c r="AT23" i="9"/>
  <c r="AT24" i="9"/>
  <c r="BA3" i="9"/>
  <c r="AZ28" i="9"/>
  <c r="AZ27" i="9"/>
  <c r="BF20" i="9"/>
  <c r="BE22" i="9"/>
  <c r="AX5" i="9"/>
  <c r="AW7" i="9"/>
  <c r="AW6" i="9"/>
  <c r="AV23" i="9" l="1"/>
  <c r="AW8" i="9"/>
  <c r="AW10" i="9" s="1"/>
  <c r="AZ33" i="9"/>
  <c r="AZ38" i="9" s="1"/>
  <c r="AT25" i="9"/>
  <c r="AV25" i="9"/>
  <c r="AV26" i="9" s="1"/>
  <c r="AU29" i="9"/>
  <c r="BA37" i="9"/>
  <c r="BA32" i="9"/>
  <c r="BA33" i="9" s="1"/>
  <c r="BB3" i="9"/>
  <c r="BB34" i="9" s="1"/>
  <c r="BA27" i="9"/>
  <c r="BA28" i="9"/>
  <c r="BG20" i="9"/>
  <c r="BF22" i="9"/>
  <c r="AY5" i="9"/>
  <c r="AX7" i="9"/>
  <c r="AX6" i="9"/>
  <c r="AX8" i="9" l="1"/>
  <c r="AW23" i="9"/>
  <c r="AW24" i="9"/>
  <c r="AW25" i="9" s="1"/>
  <c r="AW26" i="9" s="1"/>
  <c r="BA38" i="9"/>
  <c r="BA34" i="9"/>
  <c r="AZ34" i="9"/>
  <c r="AV29" i="9"/>
  <c r="AT26" i="9"/>
  <c r="AT29" i="9" s="1"/>
  <c r="BB32" i="9"/>
  <c r="BB33" i="9" s="1"/>
  <c r="BB38" i="9"/>
  <c r="BB37" i="9"/>
  <c r="BC3" i="9"/>
  <c r="BC34" i="9" s="1"/>
  <c r="BB27" i="9"/>
  <c r="BB28" i="9"/>
  <c r="BH20" i="9"/>
  <c r="BG22" i="9"/>
  <c r="AX10" i="9"/>
  <c r="AZ5" i="9"/>
  <c r="AY7" i="9"/>
  <c r="AY6" i="9"/>
  <c r="AY8" i="9" l="1"/>
  <c r="AW29" i="9"/>
  <c r="BC32" i="9"/>
  <c r="BC33" i="9" s="1"/>
  <c r="BC38" i="9"/>
  <c r="BC37" i="9"/>
  <c r="BD3" i="9"/>
  <c r="BD34" i="9" s="1"/>
  <c r="BC28" i="9"/>
  <c r="BC27" i="9"/>
  <c r="BI20" i="9"/>
  <c r="BH22" i="9"/>
  <c r="AX24" i="9"/>
  <c r="AX23" i="9"/>
  <c r="BA5" i="9"/>
  <c r="AZ7" i="9"/>
  <c r="AZ6" i="9"/>
  <c r="AY10" i="9"/>
  <c r="AZ8" i="9" l="1"/>
  <c r="AX25" i="9"/>
  <c r="AX26" i="9" s="1"/>
  <c r="AX29" i="9" s="1"/>
  <c r="BD38" i="9"/>
  <c r="BD37" i="9"/>
  <c r="BD32" i="9"/>
  <c r="BD33" i="9" s="1"/>
  <c r="BD28" i="9"/>
  <c r="BD27" i="9"/>
  <c r="BE3" i="9"/>
  <c r="BE34" i="9" s="1"/>
  <c r="BJ20" i="9"/>
  <c r="BI22" i="9"/>
  <c r="AY23" i="9"/>
  <c r="AY24" i="9"/>
  <c r="AY25" i="9" s="1"/>
  <c r="AY26" i="9" s="1"/>
  <c r="AZ10" i="9"/>
  <c r="BB5" i="9"/>
  <c r="BA6" i="9"/>
  <c r="BA7" i="9"/>
  <c r="BA8" i="9" l="1"/>
  <c r="BE37" i="9"/>
  <c r="BE32" i="9"/>
  <c r="BE33" i="9" s="1"/>
  <c r="BE38" i="9"/>
  <c r="BE27" i="9"/>
  <c r="BE28" i="9"/>
  <c r="BF3" i="9"/>
  <c r="BF34" i="9" s="1"/>
  <c r="AY29" i="9"/>
  <c r="BK20" i="9"/>
  <c r="BJ22" i="9"/>
  <c r="AZ24" i="9"/>
  <c r="AZ25" i="9" s="1"/>
  <c r="AZ26" i="9" s="1"/>
  <c r="AZ23" i="9"/>
  <c r="BC5" i="9"/>
  <c r="BB6" i="9"/>
  <c r="BB7" i="9"/>
  <c r="BB8" i="9" l="1"/>
  <c r="BF37" i="9"/>
  <c r="BF32" i="9"/>
  <c r="BF33" i="9" s="1"/>
  <c r="BF38" i="9"/>
  <c r="BA10" i="9"/>
  <c r="BA24" i="9" s="1"/>
  <c r="BG3" i="9"/>
  <c r="BG34" i="9" s="1"/>
  <c r="BF27" i="9"/>
  <c r="BF28" i="9"/>
  <c r="AZ29" i="9"/>
  <c r="BL20" i="9"/>
  <c r="BK22" i="9"/>
  <c r="BB10" i="9"/>
  <c r="BD5" i="9"/>
  <c r="BC7" i="9"/>
  <c r="BC6" i="9"/>
  <c r="BC8" i="9" l="1"/>
  <c r="AO32" i="9"/>
  <c r="BA25" i="9"/>
  <c r="BA26" i="9" s="1"/>
  <c r="BG32" i="9"/>
  <c r="BG38" i="9"/>
  <c r="BG37" i="9"/>
  <c r="BC10" i="9"/>
  <c r="BC24" i="9" s="1"/>
  <c r="BC25" i="9" s="1"/>
  <c r="BC26" i="9" s="1"/>
  <c r="BA23" i="9"/>
  <c r="AO33" i="9"/>
  <c r="BH3" i="9"/>
  <c r="BH34" i="9" s="1"/>
  <c r="BG33" i="9"/>
  <c r="BG27" i="9"/>
  <c r="BG28" i="9"/>
  <c r="BM20" i="9"/>
  <c r="BL22" i="9"/>
  <c r="BB23" i="9"/>
  <c r="BB24" i="9"/>
  <c r="BE5" i="9"/>
  <c r="BD7" i="9"/>
  <c r="BD6" i="9"/>
  <c r="BD8" i="9" s="1"/>
  <c r="BD10" i="9" l="1"/>
  <c r="BA29" i="9"/>
  <c r="BB25" i="9"/>
  <c r="BB26" i="9" s="1"/>
  <c r="BB29" i="9" s="1"/>
  <c r="AO34" i="9"/>
  <c r="BC23" i="9"/>
  <c r="BH37" i="9"/>
  <c r="BH32" i="9"/>
  <c r="BH33" i="9" s="1"/>
  <c r="BH38" i="9"/>
  <c r="AO38" i="9"/>
  <c r="BI3" i="9"/>
  <c r="BI34" i="9" s="1"/>
  <c r="BH27" i="9"/>
  <c r="BH28" i="9"/>
  <c r="BM22" i="9"/>
  <c r="BN20" i="9"/>
  <c r="BC29" i="9"/>
  <c r="BD24" i="9"/>
  <c r="BD23" i="9"/>
  <c r="BF5" i="9"/>
  <c r="BE7" i="9"/>
  <c r="BE6" i="9"/>
  <c r="BE8" i="9" s="1"/>
  <c r="BD25" i="9" l="1"/>
  <c r="BD26" i="9" s="1"/>
  <c r="BD29" i="9" s="1"/>
  <c r="BI37" i="9"/>
  <c r="BI32" i="9"/>
  <c r="BI33" i="9" s="1"/>
  <c r="BI38" i="9"/>
  <c r="BI27" i="9"/>
  <c r="BI28" i="9"/>
  <c r="BJ3" i="9"/>
  <c r="BJ34" i="9" s="1"/>
  <c r="BE10" i="9"/>
  <c r="BE23" i="9" s="1"/>
  <c r="BO20" i="9"/>
  <c r="BN22" i="9"/>
  <c r="BG5" i="9"/>
  <c r="BF6" i="9"/>
  <c r="BF7" i="9"/>
  <c r="BF8" i="9" l="1"/>
  <c r="BJ37" i="9"/>
  <c r="BJ32" i="9"/>
  <c r="BJ38" i="9"/>
  <c r="BE24" i="9"/>
  <c r="BJ28" i="9"/>
  <c r="BJ27" i="9"/>
  <c r="BJ33" i="9"/>
  <c r="BK3" i="9"/>
  <c r="BK34" i="9" s="1"/>
  <c r="BP20" i="9"/>
  <c r="BO22" i="9"/>
  <c r="BF10" i="9"/>
  <c r="BH5" i="9"/>
  <c r="BG6" i="9"/>
  <c r="BG7" i="9"/>
  <c r="BG8" i="9" l="1"/>
  <c r="BE25" i="9"/>
  <c r="BE26" i="9" s="1"/>
  <c r="BK32" i="9"/>
  <c r="BK33" i="9" s="1"/>
  <c r="BK38" i="9"/>
  <c r="BK37" i="9"/>
  <c r="BL3" i="9"/>
  <c r="BL34" i="9" s="1"/>
  <c r="BK28" i="9"/>
  <c r="BK27" i="9"/>
  <c r="BQ20" i="9"/>
  <c r="BP22" i="9"/>
  <c r="BF24" i="9"/>
  <c r="BF25" i="9" s="1"/>
  <c r="BF26" i="9" s="1"/>
  <c r="BF23" i="9"/>
  <c r="BG10" i="9"/>
  <c r="BI5" i="9"/>
  <c r="BH7" i="9"/>
  <c r="BH6" i="9"/>
  <c r="BH8" i="9" s="1"/>
  <c r="BE29" i="9" l="1"/>
  <c r="BL32" i="9"/>
  <c r="BL37" i="9"/>
  <c r="BL38" i="9"/>
  <c r="BM3" i="9"/>
  <c r="BM34" i="9" s="1"/>
  <c r="BL33" i="9"/>
  <c r="BL27" i="9"/>
  <c r="BL28" i="9"/>
  <c r="BH10" i="9"/>
  <c r="BH24" i="9" s="1"/>
  <c r="BH25" i="9" s="1"/>
  <c r="BH26" i="9" s="1"/>
  <c r="BR20" i="9"/>
  <c r="BQ22" i="9"/>
  <c r="BF29" i="9"/>
  <c r="BG24" i="9"/>
  <c r="BG25" i="9" s="1"/>
  <c r="BG26" i="9" s="1"/>
  <c r="BG23" i="9"/>
  <c r="BJ5" i="9"/>
  <c r="BI6" i="9"/>
  <c r="BI7" i="9"/>
  <c r="BI8" i="9" l="1"/>
  <c r="BM32" i="9"/>
  <c r="BM33" i="9" s="1"/>
  <c r="BM37" i="9"/>
  <c r="BM38" i="9"/>
  <c r="BH23" i="9"/>
  <c r="BI10" i="9"/>
  <c r="BI23" i="9" s="1"/>
  <c r="BM28" i="9"/>
  <c r="BN3" i="9"/>
  <c r="BN34" i="9" s="1"/>
  <c r="BM27" i="9"/>
  <c r="BS20" i="9"/>
  <c r="BR22" i="9"/>
  <c r="BH29" i="9"/>
  <c r="BG29" i="9"/>
  <c r="BK5" i="9"/>
  <c r="BJ7" i="9"/>
  <c r="BJ6" i="9"/>
  <c r="BJ8" i="9" s="1"/>
  <c r="BJ10" i="9" l="1"/>
  <c r="BJ23" i="9" s="1"/>
  <c r="BN32" i="9"/>
  <c r="BN33" i="9" s="1"/>
  <c r="BN37" i="9"/>
  <c r="BN38" i="9"/>
  <c r="BI24" i="9"/>
  <c r="BN28" i="9"/>
  <c r="BO3" i="9"/>
  <c r="BO34" i="9" s="1"/>
  <c r="BN27" i="9"/>
  <c r="BT20" i="9"/>
  <c r="BS22" i="9"/>
  <c r="BJ24" i="9"/>
  <c r="BJ25" i="9" s="1"/>
  <c r="BJ26" i="9" s="1"/>
  <c r="BL5" i="9"/>
  <c r="BK7" i="9"/>
  <c r="BK6" i="9"/>
  <c r="BK8" i="9" l="1"/>
  <c r="BI25" i="9"/>
  <c r="BI26" i="9" s="1"/>
  <c r="BO38" i="9"/>
  <c r="BO37" i="9"/>
  <c r="BO32" i="9"/>
  <c r="BO33" i="9" s="1"/>
  <c r="BO28" i="9"/>
  <c r="BO27" i="9"/>
  <c r="BP3" i="9"/>
  <c r="BP34" i="9" s="1"/>
  <c r="BU20" i="9"/>
  <c r="BT22" i="9"/>
  <c r="BJ29" i="9"/>
  <c r="BK10" i="9"/>
  <c r="BM5" i="9"/>
  <c r="BL6" i="9"/>
  <c r="BL7" i="9"/>
  <c r="BL8" i="9" l="1"/>
  <c r="BN5" i="9"/>
  <c r="BN6" i="9" s="1"/>
  <c r="BI29" i="9"/>
  <c r="BP32" i="9"/>
  <c r="BP33" i="9" s="1"/>
  <c r="BP37" i="9"/>
  <c r="BP38" i="9"/>
  <c r="BP27" i="9"/>
  <c r="BP28" i="9"/>
  <c r="BQ3" i="9"/>
  <c r="BQ34" i="9" s="1"/>
  <c r="BN7" i="9"/>
  <c r="BV20" i="9"/>
  <c r="BU22" i="9"/>
  <c r="BK24" i="9"/>
  <c r="BK25" i="9" s="1"/>
  <c r="BK26" i="9" s="1"/>
  <c r="BK23" i="9"/>
  <c r="BL10" i="9"/>
  <c r="BM6" i="9"/>
  <c r="BM7" i="9"/>
  <c r="BO5" i="9" l="1"/>
  <c r="BM8" i="9"/>
  <c r="BN8" i="9"/>
  <c r="BN10" i="9"/>
  <c r="BQ38" i="9"/>
  <c r="BQ32" i="9"/>
  <c r="BQ33" i="9" s="1"/>
  <c r="BQ37" i="9"/>
  <c r="BQ27" i="9"/>
  <c r="BQ28" i="9"/>
  <c r="BR3" i="9"/>
  <c r="BR34" i="9" s="1"/>
  <c r="BM10" i="9"/>
  <c r="BM24" i="9" s="1"/>
  <c r="BM25" i="9" s="1"/>
  <c r="BM26" i="9" s="1"/>
  <c r="BO7" i="9"/>
  <c r="BO6" i="9"/>
  <c r="BP5" i="9"/>
  <c r="BN23" i="9"/>
  <c r="BN24" i="9"/>
  <c r="BW20" i="9"/>
  <c r="BV22" i="9"/>
  <c r="BK29" i="9"/>
  <c r="BL24" i="9"/>
  <c r="BL25" i="9" s="1"/>
  <c r="BL26" i="9" s="1"/>
  <c r="BL23" i="9"/>
  <c r="BO8" i="9" l="1"/>
  <c r="BO10" i="9" s="1"/>
  <c r="BN25" i="9"/>
  <c r="BN26" i="9" s="1"/>
  <c r="BR32" i="9"/>
  <c r="BR33" i="9" s="1"/>
  <c r="BR37" i="9"/>
  <c r="BR38" i="9"/>
  <c r="BM23" i="9"/>
  <c r="BR28" i="9"/>
  <c r="BR27" i="9"/>
  <c r="BS3" i="9"/>
  <c r="BS34" i="9" s="1"/>
  <c r="BP6" i="9"/>
  <c r="BP7" i="9"/>
  <c r="BQ5" i="9"/>
  <c r="BX20" i="9"/>
  <c r="BW22" i="9"/>
  <c r="BL29" i="9"/>
  <c r="BM29" i="9"/>
  <c r="BP8" i="9" l="1"/>
  <c r="BO24" i="9"/>
  <c r="BO23" i="9"/>
  <c r="BO25" i="9"/>
  <c r="BO26" i="9" s="1"/>
  <c r="BN29" i="9"/>
  <c r="BS32" i="9"/>
  <c r="BS33" i="9" s="1"/>
  <c r="BS37" i="9"/>
  <c r="BS38" i="9"/>
  <c r="BP10" i="9"/>
  <c r="BP23" i="9" s="1"/>
  <c r="BS27" i="9"/>
  <c r="BS28" i="9"/>
  <c r="BT3" i="9"/>
  <c r="BT34" i="9" s="1"/>
  <c r="BR5" i="9"/>
  <c r="BQ6" i="9"/>
  <c r="BQ7" i="9"/>
  <c r="BY20" i="9"/>
  <c r="BX22" i="9"/>
  <c r="BQ8" i="9" l="1"/>
  <c r="E18" i="2"/>
  <c r="E20" i="2" s="1"/>
  <c r="F18" i="2"/>
  <c r="F20" i="2" s="1"/>
  <c r="BO29" i="9"/>
  <c r="BP24" i="9"/>
  <c r="BT37" i="9"/>
  <c r="BT32" i="9"/>
  <c r="BT33" i="9" s="1"/>
  <c r="BT38" i="9"/>
  <c r="BT27" i="9"/>
  <c r="BT28" i="9"/>
  <c r="BU3" i="9"/>
  <c r="BU34" i="9" s="1"/>
  <c r="BQ10" i="9"/>
  <c r="BQ24" i="9" s="1"/>
  <c r="BR7" i="9"/>
  <c r="BR6" i="9"/>
  <c r="BS5" i="9"/>
  <c r="C18" i="2"/>
  <c r="C20" i="2" s="1"/>
  <c r="BY22" i="9"/>
  <c r="D18" i="2"/>
  <c r="D20" i="2" s="1"/>
  <c r="BR8" i="9" l="1"/>
  <c r="BR10" i="9" s="1"/>
  <c r="BR24" i="9" s="1"/>
  <c r="BQ25" i="9"/>
  <c r="BQ26" i="9" s="1"/>
  <c r="BP25" i="9"/>
  <c r="BP26" i="9" s="1"/>
  <c r="BU37" i="9"/>
  <c r="BU38" i="9"/>
  <c r="BU32" i="9"/>
  <c r="BU33" i="9" s="1"/>
  <c r="BU28" i="9"/>
  <c r="BU27" i="9"/>
  <c r="BV3" i="9"/>
  <c r="BV34" i="9" s="1"/>
  <c r="BQ23" i="9"/>
  <c r="BT5" i="9"/>
  <c r="BS7" i="9"/>
  <c r="BS6" i="9"/>
  <c r="BS8" i="9" l="1"/>
  <c r="BR23" i="9"/>
  <c r="BP29" i="9"/>
  <c r="BQ29" i="9"/>
  <c r="BR25" i="9"/>
  <c r="BR26" i="9" s="1"/>
  <c r="BV32" i="9"/>
  <c r="BV33" i="9" s="1"/>
  <c r="BV38" i="9"/>
  <c r="BV37" i="9"/>
  <c r="BS10" i="9"/>
  <c r="BS23" i="9" s="1"/>
  <c r="BV28" i="9"/>
  <c r="BV27" i="9"/>
  <c r="BW3" i="9"/>
  <c r="BW34" i="9" s="1"/>
  <c r="BU5" i="9"/>
  <c r="BT7" i="9"/>
  <c r="BT6" i="9"/>
  <c r="BT8" i="9" s="1"/>
  <c r="BR29" i="9" l="1"/>
  <c r="BS24" i="9"/>
  <c r="BW37" i="9"/>
  <c r="BW32" i="9"/>
  <c r="BW33" i="9" s="1"/>
  <c r="BW38" i="9"/>
  <c r="BT10" i="9"/>
  <c r="BT23" i="9" s="1"/>
  <c r="BW27" i="9"/>
  <c r="BW28" i="9"/>
  <c r="BX3" i="9"/>
  <c r="BX34" i="9" s="1"/>
  <c r="BV5" i="9"/>
  <c r="BU7" i="9"/>
  <c r="BU6" i="9"/>
  <c r="BU8" i="9" l="1"/>
  <c r="BT24" i="9"/>
  <c r="BT25" i="9" s="1"/>
  <c r="BT26" i="9" s="1"/>
  <c r="BS25" i="9"/>
  <c r="BS26" i="9" s="1"/>
  <c r="BS29" i="9" s="1"/>
  <c r="BX32" i="9"/>
  <c r="BX33" i="9" s="1"/>
  <c r="BX38" i="9"/>
  <c r="BX37" i="9"/>
  <c r="BX28" i="9"/>
  <c r="BX27" i="9"/>
  <c r="BY3" i="9"/>
  <c r="BU10" i="9"/>
  <c r="BU23" i="9" s="1"/>
  <c r="BV7" i="9"/>
  <c r="BV6" i="9"/>
  <c r="BW5" i="9"/>
  <c r="BV8" i="9" l="1"/>
  <c r="BY34" i="9"/>
  <c r="F22" i="5" s="1"/>
  <c r="BY27" i="9"/>
  <c r="BT29" i="9"/>
  <c r="BY32" i="9"/>
  <c r="BY38" i="9"/>
  <c r="BY37" i="9"/>
  <c r="BV10" i="9"/>
  <c r="BV23" i="9" s="1"/>
  <c r="BU24" i="9"/>
  <c r="BY28" i="9"/>
  <c r="BY33" i="9"/>
  <c r="BW7" i="9"/>
  <c r="BW6" i="9"/>
  <c r="BX5" i="9"/>
  <c r="BW8" i="9" l="1"/>
  <c r="I50" i="5"/>
  <c r="F50" i="5"/>
  <c r="C50" i="5"/>
  <c r="BU25" i="9"/>
  <c r="BU26" i="9" s="1"/>
  <c r="BW10" i="9"/>
  <c r="BW24" i="9" s="1"/>
  <c r="BV24" i="9"/>
  <c r="F23" i="5"/>
  <c r="F25" i="5"/>
  <c r="F24" i="5"/>
  <c r="BY5" i="9"/>
  <c r="BX7" i="9"/>
  <c r="BX6" i="9"/>
  <c r="BX8" i="9" s="1"/>
  <c r="BW23" i="9" l="1"/>
  <c r="E3" i="2"/>
  <c r="F3" i="2"/>
  <c r="BW25" i="9"/>
  <c r="BW26" i="9" s="1"/>
  <c r="BV25" i="9"/>
  <c r="BV26" i="9" s="1"/>
  <c r="BU29" i="9"/>
  <c r="BX10" i="9"/>
  <c r="BX24" i="9" s="1"/>
  <c r="B3" i="2"/>
  <c r="BY7" i="9"/>
  <c r="BY6" i="9"/>
  <c r="C3" i="2"/>
  <c r="D3" i="2"/>
  <c r="BY8" i="9" l="1"/>
  <c r="M3" i="5"/>
  <c r="B4" i="2"/>
  <c r="M4" i="5" s="1"/>
  <c r="C4" i="2"/>
  <c r="D4" i="2"/>
  <c r="E4" i="2"/>
  <c r="F4" i="2"/>
  <c r="B5" i="2"/>
  <c r="C5" i="2"/>
  <c r="D5" i="2"/>
  <c r="E5" i="2"/>
  <c r="F5" i="2"/>
  <c r="BX23" i="9"/>
  <c r="BV29" i="9"/>
  <c r="BX25" i="9"/>
  <c r="BX26" i="9" s="1"/>
  <c r="BW29" i="9"/>
  <c r="BY10" i="9"/>
  <c r="B6" i="2" l="1"/>
  <c r="B8" i="2" s="1"/>
  <c r="B21" i="2" s="1"/>
  <c r="M5" i="5"/>
  <c r="M6" i="5" s="1"/>
  <c r="M8" i="5" s="1"/>
  <c r="M22" i="5" s="1"/>
  <c r="M24" i="5" s="1"/>
  <c r="F6" i="2"/>
  <c r="F8" i="2" s="1"/>
  <c r="F21" i="2" s="1"/>
  <c r="BY24" i="9"/>
  <c r="BY25" i="9" s="1"/>
  <c r="BY26" i="9" s="1"/>
  <c r="E6" i="2"/>
  <c r="E8" i="2" s="1"/>
  <c r="E21" i="2" s="1"/>
  <c r="BY23" i="9"/>
  <c r="BX29" i="9"/>
  <c r="D6" i="2"/>
  <c r="D8" i="2" s="1"/>
  <c r="D21" i="2" s="1"/>
  <c r="C6" i="2"/>
  <c r="C8" i="2" s="1"/>
  <c r="C21" i="2" s="1"/>
  <c r="F23" i="2" l="1"/>
  <c r="B23" i="2"/>
  <c r="E23" i="2"/>
  <c r="C26" i="2"/>
  <c r="D26" i="2"/>
  <c r="E26" i="2"/>
  <c r="F26" i="2"/>
  <c r="BY29" i="9"/>
  <c r="D23" i="2"/>
  <c r="C23" i="2"/>
  <c r="B26" i="2" l="1"/>
  <c r="B27" i="2" s="1"/>
  <c r="E27" i="2"/>
  <c r="D27" i="2"/>
  <c r="C27" i="2"/>
  <c r="F27" i="2"/>
  <c r="E24" i="2"/>
  <c r="C24" i="2"/>
  <c r="D24" i="2"/>
  <c r="F53" i="5"/>
  <c r="C55" i="5"/>
  <c r="C54" i="5"/>
  <c r="B24" i="2"/>
  <c r="F54" i="5"/>
  <c r="C53" i="5"/>
  <c r="I53" i="5"/>
  <c r="I54" i="5"/>
  <c r="F24" i="2"/>
  <c r="C57" i="5" l="1"/>
  <c r="I57" i="5"/>
  <c r="F57" i="5"/>
</calcChain>
</file>

<file path=xl/sharedStrings.xml><?xml version="1.0" encoding="utf-8"?>
<sst xmlns="http://schemas.openxmlformats.org/spreadsheetml/2006/main" count="1053" uniqueCount="743">
  <si>
    <t>Income Statement (Date Range)</t>
  </si>
  <si>
    <r>
      <rPr>
        <b/>
        <sz val="9"/>
        <rFont val="Arial"/>
        <family val="2"/>
      </rPr>
      <t xml:space="preserve">Exported On: </t>
    </r>
    <r>
      <rPr>
        <sz val="9"/>
        <rFont val="Arial"/>
        <family val="2"/>
      </rPr>
      <t>03/05/2025 12:09 PM</t>
    </r>
  </si>
  <si>
    <r>
      <rPr>
        <b/>
        <sz val="11"/>
        <rFont val="Arial"/>
        <family val="2"/>
      </rPr>
      <t>Company1804 Living, LLC</t>
    </r>
  </si>
  <si>
    <r>
      <rPr>
        <b/>
        <sz val="11"/>
        <rFont val="Arial"/>
        <family val="2"/>
      </rPr>
      <t xml:space="preserve">Properties: </t>
    </r>
    <r>
      <rPr>
        <sz val="11"/>
        <rFont val="Arial"/>
        <family val="2"/>
      </rPr>
      <t>Active</t>
    </r>
  </si>
  <si>
    <r>
      <rPr>
        <b/>
        <sz val="11"/>
        <rFont val="Arial"/>
        <family val="2"/>
      </rPr>
      <t xml:space="preserve">Date Range: </t>
    </r>
    <r>
      <rPr>
        <sz val="11"/>
        <rFont val="Arial"/>
        <family val="2"/>
      </rPr>
      <t>01/01/2024 to 12/31/2024</t>
    </r>
  </si>
  <si>
    <r>
      <rPr>
        <b/>
        <sz val="11"/>
        <rFont val="Arial"/>
        <family val="2"/>
      </rPr>
      <t xml:space="preserve">Accounting Basis: </t>
    </r>
    <r>
      <rPr>
        <sz val="11"/>
        <rFont val="Arial"/>
        <family val="2"/>
      </rPr>
      <t>Accrual</t>
    </r>
  </si>
  <si>
    <r>
      <rPr>
        <b/>
        <sz val="11"/>
        <rFont val="Arial"/>
        <family val="2"/>
      </rPr>
      <t xml:space="preserve">GL Account Map: </t>
    </r>
    <r>
      <rPr>
        <sz val="11"/>
        <rFont val="Arial"/>
        <family val="2"/>
      </rPr>
      <t>None - use master chart of accounts</t>
    </r>
  </si>
  <si>
    <r>
      <rPr>
        <b/>
        <sz val="11"/>
        <rFont val="Arial"/>
        <family val="2"/>
      </rPr>
      <t xml:space="preserve">Level of Detail: </t>
    </r>
    <r>
      <rPr>
        <sz val="11"/>
        <rFont val="Arial"/>
        <family val="2"/>
      </rPr>
      <t>Detail View</t>
    </r>
  </si>
  <si>
    <r>
      <rPr>
        <b/>
        <sz val="11"/>
        <rFont val="Arial"/>
        <family val="2"/>
      </rPr>
      <t xml:space="preserve">Include Zero Balance GL Accounts: </t>
    </r>
    <r>
      <rPr>
        <sz val="11"/>
        <rFont val="Arial"/>
        <family val="2"/>
      </rPr>
      <t>No</t>
    </r>
  </si>
  <si>
    <t>Account Name</t>
  </si>
  <si>
    <t>Selected Period</t>
  </si>
  <si>
    <t>Operating Income &amp; Expense</t>
  </si>
  <si>
    <t xml:space="preserve">    Income</t>
  </si>
  <si>
    <t xml:space="preserve">        Gross Potential Rent</t>
  </si>
  <si>
    <t xml:space="preserve">        Gain/Loss to Lease</t>
  </si>
  <si>
    <t xml:space="preserve">        Vacancy</t>
  </si>
  <si>
    <t xml:space="preserve">        CONCESSIONS</t>
  </si>
  <si>
    <t xml:space="preserve">            One-Time Concessions</t>
  </si>
  <si>
    <t xml:space="preserve">            Hometown Hero Discount </t>
  </si>
  <si>
    <t xml:space="preserve">            Employee Units</t>
  </si>
  <si>
    <t xml:space="preserve">            Other Concession</t>
  </si>
  <si>
    <t xml:space="preserve">        Total CONCESSIONS</t>
  </si>
  <si>
    <t xml:space="preserve">        Interest Income</t>
  </si>
  <si>
    <t xml:space="preserve">        OTHER INCOME</t>
  </si>
  <si>
    <t xml:space="preserve">            Application Fee Income</t>
  </si>
  <si>
    <t xml:space="preserve">            CO Inspection Fee</t>
  </si>
  <si>
    <t xml:space="preserve">            Monthly Amenity Fee</t>
  </si>
  <si>
    <t xml:space="preserve">            Annual Amenity Fee</t>
  </si>
  <si>
    <t xml:space="preserve">            Transfer Fee</t>
  </si>
  <si>
    <t xml:space="preserve">            Company0240 Insurance Services</t>
  </si>
  <si>
    <t xml:space="preserve">            Company0240 Insurance Admin Fees</t>
  </si>
  <si>
    <t xml:space="preserve">            One-Time Pet Fee</t>
  </si>
  <si>
    <t xml:space="preserve">            Pet Rent</t>
  </si>
  <si>
    <t xml:space="preserve">            Resident Parking</t>
  </si>
  <si>
    <t xml:space="preserve">            NSF Fees Collected</t>
  </si>
  <si>
    <t xml:space="preserve">            Late Fee</t>
  </si>
  <si>
    <t xml:space="preserve">            Utility Reimbursement</t>
  </si>
  <si>
    <t xml:space="preserve">            Month to Month Premium</t>
  </si>
  <si>
    <t xml:space="preserve">            Move-Out Charges</t>
  </si>
  <si>
    <t xml:space="preserve">            Lease Termination Fee</t>
  </si>
  <si>
    <t xml:space="preserve">            Miscellaneous Income</t>
  </si>
  <si>
    <t xml:space="preserve">            Lock-Out Fee</t>
  </si>
  <si>
    <t xml:space="preserve">            Other Income-8520</t>
  </si>
  <si>
    <t xml:space="preserve">        Total OTHER INCOME</t>
  </si>
  <si>
    <t xml:space="preserve">    Total Operating Income</t>
  </si>
  <si>
    <t xml:space="preserve">    Expense</t>
  </si>
  <si>
    <t xml:space="preserve">        PAYROLL COSTS</t>
  </si>
  <si>
    <t xml:space="preserve">            Property Manager</t>
  </si>
  <si>
    <t xml:space="preserve">            Assistant Property Manager</t>
  </si>
  <si>
    <t xml:space="preserve">            Leasing - Salaries</t>
  </si>
  <si>
    <t xml:space="preserve">            Superintendent</t>
  </si>
  <si>
    <t xml:space="preserve">            Assistant Superintendent</t>
  </si>
  <si>
    <t xml:space="preserve">            Cleaning</t>
  </si>
  <si>
    <t xml:space="preserve">            Bonuses</t>
  </si>
  <si>
    <t xml:space="preserve">            Retirement</t>
  </si>
  <si>
    <t xml:space="preserve">            Payroll Tax Expense</t>
  </si>
  <si>
    <t xml:space="preserve">            Workers Compensation</t>
  </si>
  <si>
    <t xml:space="preserve">            Group Insurance</t>
  </si>
  <si>
    <t xml:space="preserve">        Total PAYROLL COSTS</t>
  </si>
  <si>
    <t xml:space="preserve">        REPAIRS &amp; MAINTENANCE</t>
  </si>
  <si>
    <t xml:space="preserve">            Building - Roof Repairs</t>
  </si>
  <si>
    <t xml:space="preserve">            Building - Garbage Disposal</t>
  </si>
  <si>
    <t xml:space="preserve">            Cleaning &amp; Supplies</t>
  </si>
  <si>
    <t xml:space="preserve">            CAM: Common Area Maintenance</t>
  </si>
  <si>
    <t xml:space="preserve">            Doors Repairs/Replacement</t>
  </si>
  <si>
    <t xml:space="preserve">            Elevator Repairs</t>
  </si>
  <si>
    <t xml:space="preserve">            HVAC (Heat, Ventilation, Air)</t>
  </si>
  <si>
    <t xml:space="preserve">            Landscape Supplies &amp; Maintenance</t>
  </si>
  <si>
    <t xml:space="preserve">            Lighting Supplies/Repairs</t>
  </si>
  <si>
    <t xml:space="preserve">            Electrical Repairs</t>
  </si>
  <si>
    <t xml:space="preserve">            Maintenance Supplies</t>
  </si>
  <si>
    <t xml:space="preserve">            Painting Supplies/Repairs</t>
  </si>
  <si>
    <t xml:space="preserve">            Plumbing</t>
  </si>
  <si>
    <t xml:space="preserve">            Window/Screen/Glass Repairs</t>
  </si>
  <si>
    <t xml:space="preserve">            Compactor Repairs</t>
  </si>
  <si>
    <t xml:space="preserve">        Total REPAIRS &amp; MAINTENANCE</t>
  </si>
  <si>
    <t xml:space="preserve">        CONTRACT SERVICES</t>
  </si>
  <si>
    <t xml:space="preserve">            Telephone/Cable/Internet</t>
  </si>
  <si>
    <t xml:space="preserve">            Elevator Contract</t>
  </si>
  <si>
    <t xml:space="preserve">            Cleaning Contract</t>
  </si>
  <si>
    <t xml:space="preserve">            Low Voltage Contract (Access Control, Cameras, Fire Alarm)</t>
  </si>
  <si>
    <t xml:space="preserve">            Fire Safety System (Alarm &amp; Sprinkler)</t>
  </si>
  <si>
    <t xml:space="preserve">            Exterminator</t>
  </si>
  <si>
    <t xml:space="preserve">            Garbage &amp; Recycling</t>
  </si>
  <si>
    <t xml:space="preserve">            Other Contract Services</t>
  </si>
  <si>
    <t xml:space="preserve">        Total CONTRACT SERVICES</t>
  </si>
  <si>
    <t xml:space="preserve">        MAKE &amp; READY</t>
  </si>
  <si>
    <t xml:space="preserve">            Appliance/Repairs</t>
  </si>
  <si>
    <t xml:space="preserve">            Unit Move in Fee/Turn Over Reserve Fund</t>
  </si>
  <si>
    <t xml:space="preserve">            Flooring</t>
  </si>
  <si>
    <t xml:space="preserve">            Unit Renovation Supplies</t>
  </si>
  <si>
    <t xml:space="preserve">            Cleaning Services/Supplies</t>
  </si>
  <si>
    <t xml:space="preserve">        Total MAKE &amp; READY</t>
  </si>
  <si>
    <t xml:space="preserve">        MARKETING</t>
  </si>
  <si>
    <t xml:space="preserve">            Internet Marketing</t>
  </si>
  <si>
    <t xml:space="preserve">            Amenity Rooms Furniture &amp; Equipment</t>
  </si>
  <si>
    <t xml:space="preserve">            Leasing Commissions (INT)</t>
  </si>
  <si>
    <t xml:space="preserve">            Resident Activities</t>
  </si>
  <si>
    <t xml:space="preserve">            Signage</t>
  </si>
  <si>
    <t xml:space="preserve">            Other Marketing Expenses</t>
  </si>
  <si>
    <t xml:space="preserve">        Total MARKETING</t>
  </si>
  <si>
    <t xml:space="preserve">        OFFICE EXPENSES</t>
  </si>
  <si>
    <t xml:space="preserve">            Office Expense</t>
  </si>
  <si>
    <t xml:space="preserve">            Office Supplies</t>
  </si>
  <si>
    <t xml:space="preserve">            Resident Screening</t>
  </si>
  <si>
    <t xml:space="preserve">            Computer &amp; Software</t>
  </si>
  <si>
    <t xml:space="preserve">        Total OFFICE EXPENSES</t>
  </si>
  <si>
    <t xml:space="preserve">        GENERAL &amp; ADMINISTRATIVE EXPENSE</t>
  </si>
  <si>
    <t xml:space="preserve">            Company0241 Fees</t>
  </si>
  <si>
    <t xml:space="preserve">            Legal Expenses</t>
  </si>
  <si>
    <t xml:space="preserve">            Eviction Fees</t>
  </si>
  <si>
    <t xml:space="preserve">            Internet Access</t>
  </si>
  <si>
    <t xml:space="preserve">            Professional Fees</t>
  </si>
  <si>
    <t xml:space="preserve">            Dues &amp; Subscriptions</t>
  </si>
  <si>
    <t xml:space="preserve">            Fees, Licenses &amp; Permits</t>
  </si>
  <si>
    <t xml:space="preserve">            Travel</t>
  </si>
  <si>
    <t xml:space="preserve">            Miscellaneous G &amp; A</t>
  </si>
  <si>
    <t xml:space="preserve">        Total GENERAL &amp; ADMINISTRATIVE EXPENSE</t>
  </si>
  <si>
    <t xml:space="preserve">        UTILITIES</t>
  </si>
  <si>
    <t xml:space="preserve">            Electric- Vacant</t>
  </si>
  <si>
    <t xml:space="preserve">            Electric - Common</t>
  </si>
  <si>
    <t xml:space="preserve">            Gas-Common</t>
  </si>
  <si>
    <t xml:space="preserve">            Water/Sewer</t>
  </si>
  <si>
    <t xml:space="preserve">        Total UTILITIES</t>
  </si>
  <si>
    <t xml:space="preserve">        MANAGEMENT  FEE</t>
  </si>
  <si>
    <t xml:space="preserve">            Management Expense- Company1804 Living</t>
  </si>
  <si>
    <t xml:space="preserve">        Total MANAGEMENT  FEE</t>
  </si>
  <si>
    <t xml:space="preserve">        INSURANCE</t>
  </si>
  <si>
    <t xml:space="preserve">            Insurance-General Liability</t>
  </si>
  <si>
    <t xml:space="preserve">            Insurance-Umbrella</t>
  </si>
  <si>
    <t xml:space="preserve">            Other Insurance</t>
  </si>
  <si>
    <t xml:space="preserve">            Company0241 Liability Insurance</t>
  </si>
  <si>
    <t xml:space="preserve">        Total INSURANCE</t>
  </si>
  <si>
    <t xml:space="preserve">        TAX</t>
  </si>
  <si>
    <t xml:space="preserve">            Real Estate Tax</t>
  </si>
  <si>
    <t xml:space="preserve">        Total TAX</t>
  </si>
  <si>
    <t xml:space="preserve">        DEBT SERVICE</t>
  </si>
  <si>
    <t xml:space="preserve">            Mortgage-Interest</t>
  </si>
  <si>
    <t xml:space="preserve">        Total DEBT SERVICE</t>
  </si>
  <si>
    <t xml:space="preserve">        Prior Period Adjustment</t>
  </si>
  <si>
    <t xml:space="preserve">    Total Operating Expense</t>
  </si>
  <si>
    <t xml:space="preserve">    NOI - Net Operating Income</t>
  </si>
  <si>
    <t xml:space="preserve">    Total Income</t>
  </si>
  <si>
    <t xml:space="preserve">    Total Expense</t>
  </si>
  <si>
    <t xml:space="preserve">    Net Income</t>
  </si>
  <si>
    <t>Case Study</t>
  </si>
  <si>
    <t>2. Estimate refinance options with bank, Company1219 and agency</t>
  </si>
  <si>
    <t>3. Provide recommendation for refinance / sale</t>
  </si>
  <si>
    <t>Mortgage in place</t>
  </si>
  <si>
    <t>Purchase Price</t>
  </si>
  <si>
    <t>1. Create financial model including NOI pro-forma, rent sensitivities, value sensitivities, sales comps</t>
  </si>
  <si>
    <t xml:space="preserve">2. What changed between projections (See OM) and outcome. </t>
  </si>
  <si>
    <t>91.6% Occupied</t>
  </si>
  <si>
    <t>Total 214 Units</t>
  </si>
  <si>
    <t>214 Units</t>
  </si>
  <si>
    <t>Vacant-Unrented</t>
  </si>
  <si>
    <t>446</t>
  </si>
  <si>
    <t>Vacant-Rented</t>
  </si>
  <si>
    <t>429</t>
  </si>
  <si>
    <t>402</t>
  </si>
  <si>
    <t>349</t>
  </si>
  <si>
    <t>331</t>
  </si>
  <si>
    <t>324</t>
  </si>
  <si>
    <t>323</t>
  </si>
  <si>
    <t>319</t>
  </si>
  <si>
    <t>250</t>
  </si>
  <si>
    <t>243</t>
  </si>
  <si>
    <t>242</t>
  </si>
  <si>
    <t>232</t>
  </si>
  <si>
    <t>226</t>
  </si>
  <si>
    <t>138</t>
  </si>
  <si>
    <t>137</t>
  </si>
  <si>
    <t>131</t>
  </si>
  <si>
    <t>125</t>
  </si>
  <si>
    <t>108</t>
  </si>
  <si>
    <t>Current</t>
  </si>
  <si>
    <t>Person0059 C. Person0971</t>
  </si>
  <si>
    <t>229</t>
  </si>
  <si>
    <t>Person1218 Person1153</t>
  </si>
  <si>
    <t>316</t>
  </si>
  <si>
    <t>Person0069 Person0098</t>
  </si>
  <si>
    <t>351</t>
  </si>
  <si>
    <t>Person0071 P. Person1060</t>
  </si>
  <si>
    <t>447</t>
  </si>
  <si>
    <t>Person0073 M. Person0404</t>
  </si>
  <si>
    <t>451</t>
  </si>
  <si>
    <t>Person0076 F. Person0166</t>
  </si>
  <si>
    <t>216</t>
  </si>
  <si>
    <t>Person0077 Person0953</t>
  </si>
  <si>
    <t>121</t>
  </si>
  <si>
    <t>Person0077 Person1151</t>
  </si>
  <si>
    <t>135</t>
  </si>
  <si>
    <t>Person0078  P. Person0099</t>
  </si>
  <si>
    <t>332</t>
  </si>
  <si>
    <t>Person0080 M. Person1218</t>
  </si>
  <si>
    <t>247</t>
  </si>
  <si>
    <t>Person0081 Person1029</t>
  </si>
  <si>
    <t>430</t>
  </si>
  <si>
    <t>Person0083 Person0514</t>
  </si>
  <si>
    <t>414</t>
  </si>
  <si>
    <t>Person1219 M. Person0633</t>
  </si>
  <si>
    <t>341</t>
  </si>
  <si>
    <t>Person0084 Person0453</t>
  </si>
  <si>
    <t>454</t>
  </si>
  <si>
    <t>Person0085 N. Person0250</t>
  </si>
  <si>
    <t>142</t>
  </si>
  <si>
    <t>Person0088 Person1057</t>
  </si>
  <si>
    <t>202</t>
  </si>
  <si>
    <t>Person0089 G. Person0918</t>
  </si>
  <si>
    <t>325</t>
  </si>
  <si>
    <t>Person0090 Person1065</t>
  </si>
  <si>
    <t>348</t>
  </si>
  <si>
    <t>Person0093 N. Person0657</t>
  </si>
  <si>
    <t>143</t>
  </si>
  <si>
    <t>Person0100 Person0946</t>
  </si>
  <si>
    <t>303</t>
  </si>
  <si>
    <t>Person0101 Person0675</t>
  </si>
  <si>
    <t>335</t>
  </si>
  <si>
    <t>Person0133 A. Person0814</t>
  </si>
  <si>
    <t>353</t>
  </si>
  <si>
    <t>Person0158 R. Person0415</t>
  </si>
  <si>
    <t>140</t>
  </si>
  <si>
    <t>Person0158 Person1151</t>
  </si>
  <si>
    <t>210</t>
  </si>
  <si>
    <t>Person0159 M. Person0659</t>
  </si>
  <si>
    <t>253</t>
  </si>
  <si>
    <t>Person0160 Person0780</t>
  </si>
  <si>
    <t>127</t>
  </si>
  <si>
    <t>Person0162 E. Company0650</t>
  </si>
  <si>
    <t>248</t>
  </si>
  <si>
    <t>Person0162 M. Person0379</t>
  </si>
  <si>
    <t>126</t>
  </si>
  <si>
    <t>Person0195 Person0759</t>
  </si>
  <si>
    <t>117</t>
  </si>
  <si>
    <t>Person0196 A. Person1184</t>
  </si>
  <si>
    <t>339</t>
  </si>
  <si>
    <t>Person0199  M. Person0977</t>
  </si>
  <si>
    <t>224</t>
  </si>
  <si>
    <t>Person0199  V. Person0169</t>
  </si>
  <si>
    <t>206</t>
  </si>
  <si>
    <t>Person0205 Person1154 Person0408</t>
  </si>
  <si>
    <t>204</t>
  </si>
  <si>
    <t>Person1227 A. Company2906</t>
  </si>
  <si>
    <t>350</t>
  </si>
  <si>
    <t>Person0217 R. Person0965</t>
  </si>
  <si>
    <t>416</t>
  </si>
  <si>
    <t>Person0238 A. Person1073</t>
  </si>
  <si>
    <t>134</t>
  </si>
  <si>
    <t>Person0238 R. Person0658</t>
  </si>
  <si>
    <t>439</t>
  </si>
  <si>
    <t>Person0239 M. Person1152</t>
  </si>
  <si>
    <t>144</t>
  </si>
  <si>
    <t>Person0241 Person0316</t>
  </si>
  <si>
    <t>217</t>
  </si>
  <si>
    <t>Person0259  E. Person0427</t>
  </si>
  <si>
    <t>221</t>
  </si>
  <si>
    <t>Person0265 E. Person0232</t>
  </si>
  <si>
    <t>413</t>
  </si>
  <si>
    <t>Person0289  V.  Person0760</t>
  </si>
  <si>
    <t>408</t>
  </si>
  <si>
    <t>Person1230  J. Person0905</t>
  </si>
  <si>
    <t>213</t>
  </si>
  <si>
    <t>Person1230 P. Person0224</t>
  </si>
  <si>
    <t>440</t>
  </si>
  <si>
    <t>Person1231 Person0614</t>
  </si>
  <si>
    <t>218</t>
  </si>
  <si>
    <t>Person0309 Person0543</t>
  </si>
  <si>
    <t>318</t>
  </si>
  <si>
    <t>Person0310 F. Person0139</t>
  </si>
  <si>
    <t>405</t>
  </si>
  <si>
    <t>Person0319 Y. Person1257</t>
  </si>
  <si>
    <t>330</t>
  </si>
  <si>
    <t>Notice-Unrented</t>
  </si>
  <si>
    <t>Person0326 Person0980</t>
  </si>
  <si>
    <t>132</t>
  </si>
  <si>
    <t>Person0340 Company0408</t>
  </si>
  <si>
    <t>233</t>
  </si>
  <si>
    <t>Person0341  F. Person0068 Person0216</t>
  </si>
  <si>
    <t>421</t>
  </si>
  <si>
    <t>Person0342 Person0826</t>
  </si>
  <si>
    <t>305</t>
  </si>
  <si>
    <t>Person0346 Person0952</t>
  </si>
  <si>
    <t>112</t>
  </si>
  <si>
    <t>Person0347 Person0254</t>
  </si>
  <si>
    <t>123</t>
  </si>
  <si>
    <t>Person1233 G. Person0628</t>
  </si>
  <si>
    <t>453</t>
  </si>
  <si>
    <t>Person0350 Person0761 Person0961</t>
  </si>
  <si>
    <t>424</t>
  </si>
  <si>
    <t>Person0352 F. Person0736</t>
  </si>
  <si>
    <t>212</t>
  </si>
  <si>
    <t>Person0353 Person0682</t>
  </si>
  <si>
    <t>329</t>
  </si>
  <si>
    <t>Person0356 Person0487</t>
  </si>
  <si>
    <t>249</t>
  </si>
  <si>
    <t>Person0357  R. Person0213</t>
  </si>
  <si>
    <t>438</t>
  </si>
  <si>
    <t>Person0358 Person1127</t>
  </si>
  <si>
    <t>215</t>
  </si>
  <si>
    <t>Person0373 C. Person0379</t>
  </si>
  <si>
    <t>432</t>
  </si>
  <si>
    <t>Person0376 Person1021</t>
  </si>
  <si>
    <t>427</t>
  </si>
  <si>
    <t>Person1234 Person1066</t>
  </si>
  <si>
    <t>116</t>
  </si>
  <si>
    <t>Person0407  R. Person0890</t>
  </si>
  <si>
    <t>128</t>
  </si>
  <si>
    <t>Person0407 Person1106 Person1045</t>
  </si>
  <si>
    <t>235</t>
  </si>
  <si>
    <t>Person0409 M. Person0137</t>
  </si>
  <si>
    <t>238</t>
  </si>
  <si>
    <t>Person0414 Person0942</t>
  </si>
  <si>
    <t>312</t>
  </si>
  <si>
    <t>Person0415 Person0370</t>
  </si>
  <si>
    <t>403</t>
  </si>
  <si>
    <t>Person0425 Person0079</t>
  </si>
  <si>
    <t>106</t>
  </si>
  <si>
    <t>Person0446 K. Person0451</t>
  </si>
  <si>
    <t>146</t>
  </si>
  <si>
    <t>Person1239 Person1229</t>
  </si>
  <si>
    <t>239</t>
  </si>
  <si>
    <t>Person0463 G. Person0223</t>
  </si>
  <si>
    <t>110</t>
  </si>
  <si>
    <t>Person0467 Person0121</t>
  </si>
  <si>
    <t>309</t>
  </si>
  <si>
    <t>Person0474  A. Person0531</t>
  </si>
  <si>
    <t>352</t>
  </si>
  <si>
    <t>Person0486 R. Person0754</t>
  </si>
  <si>
    <t>139</t>
  </si>
  <si>
    <t>Person0488 D. Person0962 Person1212</t>
  </si>
  <si>
    <t>423</t>
  </si>
  <si>
    <t>Person0489 U. Person0919</t>
  </si>
  <si>
    <t>434</t>
  </si>
  <si>
    <t>Person0513  N. Person0308</t>
  </si>
  <si>
    <t>308</t>
  </si>
  <si>
    <t>Person0513 N. Person1135</t>
  </si>
  <si>
    <t>231</t>
  </si>
  <si>
    <t>Person1242 A. Person0055</t>
  </si>
  <si>
    <t>444</t>
  </si>
  <si>
    <t>Person0517 S. Person0966</t>
  </si>
  <si>
    <t>313</t>
  </si>
  <si>
    <t>Person0518 S. Person0466</t>
  </si>
  <si>
    <t>442</t>
  </si>
  <si>
    <t>Person0523 Person0627</t>
  </si>
  <si>
    <t>149</t>
  </si>
  <si>
    <t>Person0524 Person0848- Person1024</t>
  </si>
  <si>
    <t>428</t>
  </si>
  <si>
    <t>Person0527 H. Person0900</t>
  </si>
  <si>
    <t>411</t>
  </si>
  <si>
    <t>Person0528 A. Person0884</t>
  </si>
  <si>
    <t>225</t>
  </si>
  <si>
    <t>Person0530 Person0972</t>
  </si>
  <si>
    <t>401</t>
  </si>
  <si>
    <t>Person0534 A. Person0673</t>
  </si>
  <si>
    <t>141</t>
  </si>
  <si>
    <t>Person0535 Person1059</t>
  </si>
  <si>
    <t>406</t>
  </si>
  <si>
    <t>Person0540 A. Person0675</t>
  </si>
  <si>
    <t>214</t>
  </si>
  <si>
    <t>Person0541 Person0490 Person0412</t>
  </si>
  <si>
    <t>420</t>
  </si>
  <si>
    <t>Person0541 Person1130</t>
  </si>
  <si>
    <t>101</t>
  </si>
  <si>
    <t>Person0542 D. Person0152</t>
  </si>
  <si>
    <t>151</t>
  </si>
  <si>
    <t>Person0542 D. Person0849</t>
  </si>
  <si>
    <t>228</t>
  </si>
  <si>
    <t>Person0544  P. Person0215 Person0472</t>
  </si>
  <si>
    <t>222</t>
  </si>
  <si>
    <t>Person0545 Person0049</t>
  </si>
  <si>
    <t>105</t>
  </si>
  <si>
    <t>Person0545 C. Person0740 Person0840</t>
  </si>
  <si>
    <t>236</t>
  </si>
  <si>
    <t>Person0546 Person0553</t>
  </si>
  <si>
    <t>148</t>
  </si>
  <si>
    <t>Person0547 Person1030</t>
  </si>
  <si>
    <t>431</t>
  </si>
  <si>
    <t>Person0550 M. Person0661</t>
  </si>
  <si>
    <t>315</t>
  </si>
  <si>
    <t>Person0551 N. Person0476</t>
  </si>
  <si>
    <t>437</t>
  </si>
  <si>
    <t>Person0552 C. Person0127</t>
  </si>
  <si>
    <t>310</t>
  </si>
  <si>
    <t>Person0593 E. Person0381</t>
  </si>
  <si>
    <t>227</t>
  </si>
  <si>
    <t>Person0595 Person0297</t>
  </si>
  <si>
    <t>311</t>
  </si>
  <si>
    <t>Person0597 N. Company0408</t>
  </si>
  <si>
    <t>340</t>
  </si>
  <si>
    <t>Person0599 K. Person0626</t>
  </si>
  <si>
    <t>119</t>
  </si>
  <si>
    <t>Person0601 T. Person1027</t>
  </si>
  <si>
    <t>302</t>
  </si>
  <si>
    <t>Person0606 Person0128</t>
  </si>
  <si>
    <t>314</t>
  </si>
  <si>
    <t>Person0613 M. Person1040</t>
  </si>
  <si>
    <t>328</t>
  </si>
  <si>
    <t>Person0631 K. Person0168</t>
  </si>
  <si>
    <t>449</t>
  </si>
  <si>
    <t>Person0635 D. Person0899</t>
  </si>
  <si>
    <t>419</t>
  </si>
  <si>
    <t>Person0635 M. Person0262</t>
  </si>
  <si>
    <t>252</t>
  </si>
  <si>
    <t>Person0662 J. Person0827</t>
  </si>
  <si>
    <t>251</t>
  </si>
  <si>
    <t>Person0663 Person0788</t>
  </si>
  <si>
    <t>337</t>
  </si>
  <si>
    <t>Person0669 Person0464</t>
  </si>
  <si>
    <t>113</t>
  </si>
  <si>
    <t>Person0670  M. Person0786 Person1126</t>
  </si>
  <si>
    <t>136</t>
  </si>
  <si>
    <t>Person0680 Person0125</t>
  </si>
  <si>
    <t>407</t>
  </si>
  <si>
    <t>Person0683 M. Person1241 Person1254</t>
  </si>
  <si>
    <t>240</t>
  </si>
  <si>
    <t>Person0684 Person0762</t>
  </si>
  <si>
    <t>209</t>
  </si>
  <si>
    <t>Person0729 M. Person0043</t>
  </si>
  <si>
    <t>441</t>
  </si>
  <si>
    <t>Person0735 Person0783</t>
  </si>
  <si>
    <t>152</t>
  </si>
  <si>
    <t>Person0738 Person0214</t>
  </si>
  <si>
    <t>304</t>
  </si>
  <si>
    <t>Person0742 O. Person1204</t>
  </si>
  <si>
    <t>433</t>
  </si>
  <si>
    <t>Person0698 Person0031</t>
  </si>
  <si>
    <t>124</t>
  </si>
  <si>
    <t>Person1246 Person1269</t>
  </si>
  <si>
    <t>320</t>
  </si>
  <si>
    <t>Person0746 Person0851</t>
  </si>
  <si>
    <t>333</t>
  </si>
  <si>
    <t>Person0756 Person0491</t>
  </si>
  <si>
    <t>301</t>
  </si>
  <si>
    <t>Person0763 C. Person0950</t>
  </si>
  <si>
    <t>129</t>
  </si>
  <si>
    <t>Person1250 R. Person1236</t>
  </si>
  <si>
    <t>345</t>
  </si>
  <si>
    <t>Person1251 L. Person0671</t>
  </si>
  <si>
    <t>254</t>
  </si>
  <si>
    <t>Person0767 A. Person1031</t>
  </si>
  <si>
    <t>322</t>
  </si>
  <si>
    <t>Person0719 Person1235</t>
  </si>
  <si>
    <t>114</t>
  </si>
  <si>
    <t>Person0812 Person0206</t>
  </si>
  <si>
    <t>412</t>
  </si>
  <si>
    <t>Person0812 G. Person1124</t>
  </si>
  <si>
    <t>306</t>
  </si>
  <si>
    <t>Person0815 P. Person0514</t>
  </si>
  <si>
    <t>409</t>
  </si>
  <si>
    <t>Person0816 A. Person0141</t>
  </si>
  <si>
    <t>211</t>
  </si>
  <si>
    <t>Person0819 Person1053</t>
  </si>
  <si>
    <t>418</t>
  </si>
  <si>
    <t>Person0842 Person0194 Person0413</t>
  </si>
  <si>
    <t>234</t>
  </si>
  <si>
    <t>Person0843 C. Person0045</t>
  </si>
  <si>
    <t>448</t>
  </si>
  <si>
    <t>Person0844 Person0221</t>
  </si>
  <si>
    <t>104</t>
  </si>
  <si>
    <t>Person0844 L. Person0216 Person0675</t>
  </si>
  <si>
    <t>435</t>
  </si>
  <si>
    <t>Person0845 R. Person0973</t>
  </si>
  <si>
    <t>107</t>
  </si>
  <si>
    <t>Person0885 E. Person0201</t>
  </si>
  <si>
    <t>207</t>
  </si>
  <si>
    <t>Person0888 A. Person0218</t>
  </si>
  <si>
    <t>109</t>
  </si>
  <si>
    <t>Person0888 Person1191</t>
  </si>
  <si>
    <t>120</t>
  </si>
  <si>
    <t>Person0891 D. Person1271</t>
  </si>
  <si>
    <t>334</t>
  </si>
  <si>
    <t>Person0895 L. Person0058</t>
  </si>
  <si>
    <t>336</t>
  </si>
  <si>
    <t>Person0915 Person1169</t>
  </si>
  <si>
    <t>344</t>
  </si>
  <si>
    <t>Person0936 L. Person0512</t>
  </si>
  <si>
    <t>321</t>
  </si>
  <si>
    <t>Person0920 Person0036</t>
  </si>
  <si>
    <t>445</t>
  </si>
  <si>
    <t>Person0947 A. Person0624</t>
  </si>
  <si>
    <t>241</t>
  </si>
  <si>
    <t>Person0948 N. Person0324</t>
  </si>
  <si>
    <t>237</t>
  </si>
  <si>
    <t>Person0951 G. Person0233</t>
  </si>
  <si>
    <t>443</t>
  </si>
  <si>
    <t>Person0956 A. Person1082</t>
  </si>
  <si>
    <t>111</t>
  </si>
  <si>
    <t>Person1259 F. Person0634</t>
  </si>
  <si>
    <t>205</t>
  </si>
  <si>
    <t>Person1259 Person0877</t>
  </si>
  <si>
    <t>245</t>
  </si>
  <si>
    <t>Person1259 Person1031 Person0209</t>
  </si>
  <si>
    <t>153</t>
  </si>
  <si>
    <t>Person0963 C. Person1128</t>
  </si>
  <si>
    <t>122</t>
  </si>
  <si>
    <t>Person0968 Person1167</t>
  </si>
  <si>
    <t>220</t>
  </si>
  <si>
    <t>Person0975 Person0374</t>
  </si>
  <si>
    <t>410</t>
  </si>
  <si>
    <t>Person1025 Person0417</t>
  </si>
  <si>
    <t>347</t>
  </si>
  <si>
    <t>Person1026 S. Person0304</t>
  </si>
  <si>
    <t>133</t>
  </si>
  <si>
    <t>Person1028 V. Person1157</t>
  </si>
  <si>
    <t>436</t>
  </si>
  <si>
    <t>Person1261 Person0377</t>
  </si>
  <si>
    <t>327</t>
  </si>
  <si>
    <t>Person1261 J. Person0308</t>
  </si>
  <si>
    <t>244</t>
  </si>
  <si>
    <t>Person1033 Person0879</t>
  </si>
  <si>
    <t>422</t>
  </si>
  <si>
    <t>Person1263 Person0151</t>
  </si>
  <si>
    <t>452</t>
  </si>
  <si>
    <t>Person1263 Person0263</t>
  </si>
  <si>
    <t>307</t>
  </si>
  <si>
    <t>Person1263 T. Person1110</t>
  </si>
  <si>
    <t>326</t>
  </si>
  <si>
    <t>Person1041 J. Person1183</t>
  </si>
  <si>
    <t>404</t>
  </si>
  <si>
    <t>Person1044  Person0966</t>
  </si>
  <si>
    <t>118</t>
  </si>
  <si>
    <t>Person1047 A. Person0138</t>
  </si>
  <si>
    <t>343</t>
  </si>
  <si>
    <t>Person1048  Person1253</t>
  </si>
  <si>
    <t>342</t>
  </si>
  <si>
    <t>Person1058 Person0473</t>
  </si>
  <si>
    <t>425</t>
  </si>
  <si>
    <t>Person1064 Person0146</t>
  </si>
  <si>
    <t>203</t>
  </si>
  <si>
    <t>Person1079 G. Person0449</t>
  </si>
  <si>
    <t>145</t>
  </si>
  <si>
    <t>Person1108 S. Person1242</t>
  </si>
  <si>
    <t>450</t>
  </si>
  <si>
    <t>Person1109 A. Person0784</t>
  </si>
  <si>
    <t>246</t>
  </si>
  <si>
    <t>Person1267 A. Person1069</t>
  </si>
  <si>
    <t>426</t>
  </si>
  <si>
    <t>Person1267 M. Person1270</t>
  </si>
  <si>
    <t>115</t>
  </si>
  <si>
    <t>Person1116 H. Person1076</t>
  </si>
  <si>
    <t>219</t>
  </si>
  <si>
    <t>Person1117 A. Person0323</t>
  </si>
  <si>
    <t>230</t>
  </si>
  <si>
    <t>Person1150 Person0308</t>
  </si>
  <si>
    <t>103</t>
  </si>
  <si>
    <t>Person1155 Person0212</t>
  </si>
  <si>
    <t>415</t>
  </si>
  <si>
    <t>Person1272 I. Person0846</t>
  </si>
  <si>
    <t>150</t>
  </si>
  <si>
    <t>Person1272 Person1082</t>
  </si>
  <si>
    <t>346</t>
  </si>
  <si>
    <t>Person1159 B. Person0147</t>
  </si>
  <si>
    <t>208</t>
  </si>
  <si>
    <t>Person1161 D. Person0030 Person1091</t>
  </si>
  <si>
    <t>201</t>
  </si>
  <si>
    <t>Person1275  A. Person0531</t>
  </si>
  <si>
    <t>417</t>
  </si>
  <si>
    <t>Person1275 A. Person1148 Person0325</t>
  </si>
  <si>
    <t>354</t>
  </si>
  <si>
    <t>Person1275 G. Person1112</t>
  </si>
  <si>
    <t>317</t>
  </si>
  <si>
    <t>Person1197 A. Person0718</t>
  </si>
  <si>
    <t>130</t>
  </si>
  <si>
    <t>Person1210 A. Person0666</t>
  </si>
  <si>
    <t>102</t>
  </si>
  <si>
    <t>Person1210 S. Person0622</t>
  </si>
  <si>
    <t>223</t>
  </si>
  <si>
    <t>Person1214 Person0154</t>
  </si>
  <si>
    <t>338</t>
  </si>
  <si>
    <t/>
  </si>
  <si>
    <t>Transit Plaza (New) - 1 West Dickerson Street Dover, NJ 07801</t>
  </si>
  <si>
    <t>Past Due</t>
  </si>
  <si>
    <t>Move-in</t>
  </si>
  <si>
    <t>Lease To</t>
  </si>
  <si>
    <t>Lease From</t>
  </si>
  <si>
    <t>Rent</t>
  </si>
  <si>
    <t>Market Rent</t>
  </si>
  <si>
    <t>Status</t>
  </si>
  <si>
    <t>Tenant</t>
  </si>
  <si>
    <t>Unit</t>
  </si>
  <si>
    <r>
      <rPr>
        <b/>
        <sz val="11"/>
        <rFont val="Arial"/>
        <family val="2"/>
      </rPr>
      <t xml:space="preserve">Include Non-Revenue Units: </t>
    </r>
    <r>
      <rPr>
        <sz val="11"/>
        <rFont val="Arial"/>
        <family val="2"/>
      </rPr>
      <t>No</t>
    </r>
  </si>
  <si>
    <r>
      <rPr>
        <b/>
        <sz val="11"/>
        <rFont val="Arial"/>
        <family val="2"/>
      </rPr>
      <t xml:space="preserve">As of: </t>
    </r>
    <r>
      <rPr>
        <sz val="11"/>
        <rFont val="Arial"/>
        <family val="2"/>
      </rPr>
      <t>03/01/2025</t>
    </r>
  </si>
  <si>
    <r>
      <rPr>
        <b/>
        <sz val="11"/>
        <rFont val="Arial"/>
        <family val="2"/>
      </rPr>
      <t xml:space="preserve">Units: </t>
    </r>
    <r>
      <rPr>
        <sz val="11"/>
        <rFont val="Arial"/>
        <family val="2"/>
      </rPr>
      <t>Active</t>
    </r>
  </si>
  <si>
    <r>
      <rPr>
        <b/>
        <sz val="11"/>
        <rFont val="Arial"/>
        <family val="2"/>
      </rPr>
      <t xml:space="preserve">Properties: </t>
    </r>
    <r>
      <rPr>
        <sz val="11"/>
        <rFont val="Arial"/>
        <family val="2"/>
      </rPr>
      <t>Transit Plaza (New) - 1 West Dickerson Street Dover, NJ 07801</t>
    </r>
  </si>
  <si>
    <r>
      <rPr>
        <b/>
        <sz val="9"/>
        <rFont val="Arial"/>
        <family val="2"/>
      </rPr>
      <t xml:space="preserve">Exported On: </t>
    </r>
    <r>
      <rPr>
        <sz val="9"/>
        <rFont val="Arial"/>
        <family val="2"/>
      </rPr>
      <t>03/05/2025 12:10 PM</t>
    </r>
  </si>
  <si>
    <t>Rent Roll</t>
  </si>
  <si>
    <t>Year</t>
  </si>
  <si>
    <t>Resi Gross Potential Rent</t>
  </si>
  <si>
    <t>Vacancy</t>
  </si>
  <si>
    <t>Bed Debt</t>
  </si>
  <si>
    <t>Net Rental Income</t>
  </si>
  <si>
    <t>Other Income</t>
  </si>
  <si>
    <t>Net Revenue</t>
  </si>
  <si>
    <t>Rental Growth</t>
  </si>
  <si>
    <t>Expense Growth</t>
  </si>
  <si>
    <t>Bad Debt</t>
  </si>
  <si>
    <t>Application Fee</t>
  </si>
  <si>
    <t>Late Fee</t>
  </si>
  <si>
    <t>Unit Mix</t>
  </si>
  <si>
    <t>Unit Type</t>
  </si>
  <si>
    <t># of Units</t>
  </si>
  <si>
    <t>Annual Rent</t>
  </si>
  <si>
    <t>SF</t>
  </si>
  <si>
    <t>1BD</t>
  </si>
  <si>
    <t>1 BD + Den</t>
  </si>
  <si>
    <t>2 BD</t>
  </si>
  <si>
    <t>2BD + 2 BA</t>
  </si>
  <si>
    <t>Total</t>
  </si>
  <si>
    <t>Monthly Avg Rent</t>
  </si>
  <si>
    <t>Other Income Growth</t>
  </si>
  <si>
    <t>Propert Address</t>
  </si>
  <si>
    <t>1 W Dickerson St</t>
  </si>
  <si>
    <t>City</t>
  </si>
  <si>
    <t>State</t>
  </si>
  <si>
    <t>Dover</t>
  </si>
  <si>
    <t>NJ</t>
  </si>
  <si>
    <t>Zip Code</t>
  </si>
  <si>
    <t>Property Details</t>
  </si>
  <si>
    <t>Gross SF</t>
  </si>
  <si>
    <t>NSF</t>
  </si>
  <si>
    <t># of Parking Spaces Covered</t>
  </si>
  <si>
    <t># of Parking Spaces uncovered</t>
  </si>
  <si>
    <t xml:space="preserve">Year Built </t>
  </si>
  <si>
    <t>Acquisition Info</t>
  </si>
  <si>
    <t>T-12 NOI</t>
  </si>
  <si>
    <t>Going In Cap Rate</t>
  </si>
  <si>
    <t>Price/GSF</t>
  </si>
  <si>
    <t>Price/Unit</t>
  </si>
  <si>
    <t>Price/NSF</t>
  </si>
  <si>
    <t>Exisiting Loan Info</t>
  </si>
  <si>
    <t>Exisiting Mortgage</t>
  </si>
  <si>
    <t>Floating/Fixed</t>
  </si>
  <si>
    <t>Fixed</t>
  </si>
  <si>
    <t>Rate</t>
  </si>
  <si>
    <t>Ammenity Fees</t>
  </si>
  <si>
    <t>Annual Income</t>
  </si>
  <si>
    <t>Item</t>
  </si>
  <si>
    <t>$/Unit</t>
  </si>
  <si>
    <t>$/Unit/MTH</t>
  </si>
  <si>
    <t>Monthly Income</t>
  </si>
  <si>
    <t>Pet Fees &amp; Rent</t>
  </si>
  <si>
    <t>Parking</t>
  </si>
  <si>
    <t>Tranfer Fee</t>
  </si>
  <si>
    <t>Lockout Fee</t>
  </si>
  <si>
    <t>Termination Fees</t>
  </si>
  <si>
    <t>Move-Out Charges</t>
  </si>
  <si>
    <t>Company0241 Insurance &amp; Fees</t>
  </si>
  <si>
    <t>Annual Expenses T-12</t>
  </si>
  <si>
    <t>Taxes</t>
  </si>
  <si>
    <t>Insurance</t>
  </si>
  <si>
    <t>Payroll</t>
  </si>
  <si>
    <t>Repairs &amp; Maintnence</t>
  </si>
  <si>
    <t>Contract Services</t>
  </si>
  <si>
    <t>Marketing</t>
  </si>
  <si>
    <t>General &amp; Administrative</t>
  </si>
  <si>
    <t>Utilities</t>
  </si>
  <si>
    <t>Management</t>
  </si>
  <si>
    <t>Annual Expense</t>
  </si>
  <si>
    <t>Reserves</t>
  </si>
  <si>
    <t>Pro Forma Annual Expenses</t>
  </si>
  <si>
    <t>Expenses</t>
  </si>
  <si>
    <t>Total Expenses</t>
  </si>
  <si>
    <t>Net Operating Income</t>
  </si>
  <si>
    <t>Principal Payment</t>
  </si>
  <si>
    <t>Exp Ratio</t>
  </si>
  <si>
    <t>NOI/Unit</t>
  </si>
  <si>
    <t>Interest Payments</t>
  </si>
  <si>
    <t>Cash Flow After Debt Service</t>
  </si>
  <si>
    <t>Acquisition Price</t>
  </si>
  <si>
    <t>Closing Cost</t>
  </si>
  <si>
    <t>Sale Proceeds</t>
  </si>
  <si>
    <t>Cost Of Sale</t>
  </si>
  <si>
    <t>Unlevered Cash Flows</t>
  </si>
  <si>
    <t>Loan Proceeds</t>
  </si>
  <si>
    <t>Loan Origination Fee</t>
  </si>
  <si>
    <t>Loan Payoff</t>
  </si>
  <si>
    <t>Total Levered Cash Flows</t>
  </si>
  <si>
    <t>Lender</t>
  </si>
  <si>
    <t>Company1921</t>
  </si>
  <si>
    <t>Amortization</t>
  </si>
  <si>
    <t>Term</t>
  </si>
  <si>
    <t>5+5</t>
  </si>
  <si>
    <t>Sources and Uses</t>
  </si>
  <si>
    <t>Sources</t>
  </si>
  <si>
    <t>Equity</t>
  </si>
  <si>
    <t>Debt</t>
  </si>
  <si>
    <t>Uses</t>
  </si>
  <si>
    <t>% of Total</t>
  </si>
  <si>
    <t>Exit Cap Rate</t>
  </si>
  <si>
    <t>Cost of Sale</t>
  </si>
  <si>
    <t>Month Ending</t>
  </si>
  <si>
    <t>Month</t>
  </si>
  <si>
    <t>Acquisition Date</t>
  </si>
  <si>
    <t xml:space="preserve"> Gross Potential Rent</t>
  </si>
  <si>
    <t>Pro Forma 5 - Year Analysis</t>
  </si>
  <si>
    <t>I/O Period (MTHs)</t>
  </si>
  <si>
    <t>LTV Constraint</t>
  </si>
  <si>
    <t>DSCR Constraint</t>
  </si>
  <si>
    <t>Debt Yield Constraint</t>
  </si>
  <si>
    <t>Cap Rate</t>
  </si>
  <si>
    <t>Spread</t>
  </si>
  <si>
    <t xml:space="preserve">Rate Index </t>
  </si>
  <si>
    <t>Projected Rate</t>
  </si>
  <si>
    <t>LTV Proceeds</t>
  </si>
  <si>
    <t>DSCR Proceeds</t>
  </si>
  <si>
    <t>Debt Yield Proceeds</t>
  </si>
  <si>
    <t>Loan Sizing</t>
  </si>
  <si>
    <t>Bank Refinance Loan Info</t>
  </si>
  <si>
    <t>Company1219 Refinance Loan Info</t>
  </si>
  <si>
    <t>Agency Refinance Loan Info</t>
  </si>
  <si>
    <t>Pro Forma</t>
  </si>
  <si>
    <t>Projected Value</t>
  </si>
  <si>
    <t>/Unit</t>
  </si>
  <si>
    <t>SOFR</t>
  </si>
  <si>
    <t>10-Yr Tres</t>
  </si>
  <si>
    <t>Unlevered IRR</t>
  </si>
  <si>
    <t>Levered IRR</t>
  </si>
  <si>
    <t>Unlevered Equity Multiple</t>
  </si>
  <si>
    <t>Levered Equity Multiple</t>
  </si>
  <si>
    <t>Exit Assumptions</t>
  </si>
  <si>
    <t>Returns</t>
  </si>
  <si>
    <t>Capital Improvements</t>
  </si>
  <si>
    <t>Cash Flow Before Debt Service</t>
  </si>
  <si>
    <t>5-Yr Pro Forma</t>
  </si>
  <si>
    <t>Address</t>
  </si>
  <si>
    <t>Yr Built</t>
  </si>
  <si>
    <t>Excess Proceeds/Shortfall</t>
  </si>
  <si>
    <t>Name</t>
  </si>
  <si>
    <t>Clinton Manor Apartments</t>
  </si>
  <si>
    <t>275-281 W Clinton St Dover, NJ</t>
  </si>
  <si>
    <t>Monthly Rent</t>
  </si>
  <si>
    <t>Notes</t>
  </si>
  <si>
    <t>Inferior</t>
  </si>
  <si>
    <t>Person0097 Person1178</t>
  </si>
  <si>
    <t>111 East Dewey Ave Dover, NJ</t>
  </si>
  <si>
    <t>comparable</t>
  </si>
  <si>
    <t>Avg</t>
  </si>
  <si>
    <t>2BD</t>
  </si>
  <si>
    <t>comparable / 2BA</t>
  </si>
  <si>
    <t>older / 2BA</t>
  </si>
  <si>
    <t>10 Mount Pleasant Ave, Dover, NJ </t>
  </si>
  <si>
    <t>Boulder at Rockaway</t>
  </si>
  <si>
    <t>Annual $/SF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</si>
</sst>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#,##0.00;[Red]\-#,##0.00"/>
    <numFmt numFmtId="165" formatCode="0.000%"/>
    <numFmt numFmtId="166" formatCode="mm/dd/yyyy"/>
    <numFmt numFmtId="167" formatCode="0.0%"/>
    <numFmt numFmtId="168" formatCode="0\ &quot;SF&quot;"/>
    <numFmt numFmtId="169" formatCode="&quot;Acquisition&quot;"/>
    <numFmt numFmtId="170" formatCode="0\ &quot;Years&quot;"/>
    <numFmt numFmtId="171" formatCode="mm/dd/yy;@"/>
    <numFmt numFmtId="172" formatCode="m/d/yy;@"/>
    <numFmt numFmtId="173" formatCode="&quot;Month&quot;\ 0"/>
    <numFmt numFmtId="174" formatCode="0.00&quot;x&quot;"/>
    <numFmt numFmtId="175" formatCode="0\ &quot;Months&quot;"/>
    <numFmt numFmtId="176" formatCode="&quot;$&quot;#,##0"/>
    <numFmt numFmtId="177" formatCode="&quot;Year&quot;\ 0"/>
    <numFmt numFmtId="178" formatCode="[$-409]mmm\-yy;@"/>
  </numFmts>
  <fonts count="27" x14ac:knownFonts="1">
    <font>
      <sz val="11"/>
      <name val="Arial"/>
      <family val="1"/>
    </font>
    <font>
      <b/>
      <sz val="13"/>
      <color rgb="FF303030"/>
      <name val="Arial"/>
      <family val="1"/>
    </font>
    <font>
      <b/>
      <sz val="18"/>
      <color rgb="FF303030"/>
      <name val="Arial"/>
      <family val="1"/>
    </font>
    <font>
      <sz val="13"/>
      <color rgb="FF303030"/>
      <name val="Arial"/>
      <family val="1"/>
    </font>
    <font>
      <sz val="9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b/>
      <sz val="12"/>
      <color rgb="FF303030"/>
      <name val="Arial"/>
      <family val="1"/>
    </font>
    <font>
      <b/>
      <sz val="12"/>
      <color rgb="FF303030"/>
      <name val="Arial"/>
      <family val="1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Arial"/>
      <family val="1"/>
    </font>
    <font>
      <b/>
      <sz val="12"/>
      <color rgb="FF3764A0"/>
      <name val="Arial"/>
      <family val="1"/>
    </font>
    <font>
      <sz val="11"/>
      <color theme="0"/>
      <name val="Arial"/>
      <family val="1"/>
    </font>
    <font>
      <sz val="11"/>
      <color rgb="FF0432FF"/>
      <name val="Arial"/>
      <family val="1"/>
    </font>
    <font>
      <i/>
      <sz val="11"/>
      <name val="Arial"/>
      <family val="2"/>
    </font>
    <font>
      <i/>
      <sz val="11"/>
      <color rgb="FF0432FF"/>
      <name val="Arial"/>
      <family val="2"/>
    </font>
    <font>
      <sz val="11"/>
      <color theme="1"/>
      <name val="Arial"/>
      <family val="1"/>
    </font>
    <font>
      <b/>
      <i/>
      <sz val="11"/>
      <name val="Arial"/>
      <family val="2"/>
    </font>
    <font>
      <sz val="11"/>
      <color rgb="FF0432FF"/>
      <name val="Arial"/>
      <family val="2"/>
    </font>
    <font>
      <b/>
      <sz val="11"/>
      <color theme="1"/>
      <name val="Arial"/>
      <family val="2"/>
    </font>
    <font>
      <sz val="7"/>
      <color rgb="FF000000"/>
      <name val="Helvetica"/>
      <family val="2"/>
    </font>
    <font>
      <i/>
      <sz val="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303030"/>
      </top>
      <bottom/>
      <diagonal/>
    </border>
    <border>
      <left/>
      <right/>
      <top style="medium">
        <color rgb="FF30303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9" fontId="15" fillId="0" borderId="0" applyFont="0" applyFill="0" applyBorder="0" applyAlignment="0" applyProtection="0"/>
    <xf numFmtId="44" fontId="15" fillId="0" borderId="0" applyFont="0" applyFill="0" applyBorder="0" applyAlignment="0" applyProtection="0"/>
  </cellStyleXfs>
  <cellXfs count="284">
    <xf numFmtId="0" fontId="0" fillId="0" borderId="0" xfId="0"/>
    <xf numFmtId="0" fontId="1" fillId="2" borderId="1" xfId="0" applyFont="1" applyFill="1" applyBorder="1" applyAlignment="1">
      <alignment horizontal="left"/>
    </xf>
    <xf numFmtId="0" fontId="5" fillId="0" borderId="0" xfId="0" applyFont="1"/>
    <xf numFmtId="0" fontId="6" fillId="0" borderId="0" xfId="0" applyFont="1"/>
    <xf numFmtId="164" fontId="7" fillId="0" borderId="0" xfId="0" applyNumberFormat="1" applyFont="1"/>
    <xf numFmtId="164" fontId="8" fillId="0" borderId="0" xfId="0" applyNumberFormat="1" applyFont="1"/>
    <xf numFmtId="164" fontId="9" fillId="0" borderId="2" xfId="0" applyNumberFormat="1" applyFont="1" applyBorder="1"/>
    <xf numFmtId="164" fontId="10" fillId="0" borderId="3" xfId="0" applyNumberFormat="1" applyFont="1" applyBorder="1"/>
    <xf numFmtId="8" fontId="0" fillId="0" borderId="0" xfId="0" applyNumberFormat="1"/>
    <xf numFmtId="165" fontId="0" fillId="0" borderId="0" xfId="0" applyNumberFormat="1"/>
    <xf numFmtId="0" fontId="0" fillId="6" borderId="0" xfId="0" applyFill="1"/>
    <xf numFmtId="40" fontId="0" fillId="6" borderId="0" xfId="0" applyNumberFormat="1" applyFill="1"/>
    <xf numFmtId="8" fontId="0" fillId="6" borderId="0" xfId="0" applyNumberFormat="1" applyFill="1"/>
    <xf numFmtId="10" fontId="0" fillId="6" borderId="0" xfId="0" applyNumberFormat="1" applyFill="1"/>
    <xf numFmtId="164" fontId="6" fillId="0" borderId="0" xfId="0" applyNumberFormat="1" applyFont="1"/>
    <xf numFmtId="166" fontId="6" fillId="0" borderId="0" xfId="0" applyNumberFormat="1" applyFont="1"/>
    <xf numFmtId="164" fontId="5" fillId="0" borderId="0" xfId="0" applyNumberFormat="1" applyFont="1"/>
    <xf numFmtId="166" fontId="5" fillId="0" borderId="0" xfId="0" applyNumberFormat="1" applyFont="1"/>
    <xf numFmtId="38" fontId="0" fillId="0" borderId="0" xfId="0" applyNumberFormat="1"/>
    <xf numFmtId="44" fontId="0" fillId="0" borderId="0" xfId="2" applyFont="1"/>
    <xf numFmtId="167" fontId="0" fillId="0" borderId="0" xfId="1" applyNumberFormat="1" applyFont="1"/>
    <xf numFmtId="38" fontId="13" fillId="0" borderId="0" xfId="0" applyNumberFormat="1" applyFont="1"/>
    <xf numFmtId="0" fontId="0" fillId="0" borderId="0" xfId="0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7" xfId="0" applyBorder="1" applyAlignment="1">
      <alignment horizontal="center"/>
    </xf>
    <xf numFmtId="0" fontId="0" fillId="0" borderId="16" xfId="0" applyBorder="1" applyAlignment="1">
      <alignment horizontal="center"/>
    </xf>
    <xf numFmtId="0" fontId="13" fillId="0" borderId="11" xfId="0" applyFont="1" applyBorder="1" applyAlignment="1">
      <alignment horizontal="center"/>
    </xf>
    <xf numFmtId="38" fontId="13" fillId="0" borderId="11" xfId="0" applyNumberFormat="1" applyFon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3" fontId="18" fillId="0" borderId="6" xfId="0" applyNumberFormat="1" applyFont="1" applyBorder="1" applyAlignment="1">
      <alignment horizontal="center"/>
    </xf>
    <xf numFmtId="3" fontId="18" fillId="0" borderId="0" xfId="0" applyNumberFormat="1" applyFont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3" fillId="8" borderId="10" xfId="0" applyFont="1" applyFill="1" applyBorder="1" applyAlignment="1">
      <alignment horizontal="center"/>
    </xf>
    <xf numFmtId="0" fontId="13" fillId="8" borderId="11" xfId="0" applyFont="1" applyFill="1" applyBorder="1" applyAlignment="1">
      <alignment horizontal="center"/>
    </xf>
    <xf numFmtId="0" fontId="13" fillId="8" borderId="12" xfId="0" applyFont="1" applyFill="1" applyBorder="1" applyAlignment="1">
      <alignment horizontal="center"/>
    </xf>
    <xf numFmtId="168" fontId="18" fillId="0" borderId="6" xfId="0" applyNumberFormat="1" applyFont="1" applyBorder="1" applyAlignment="1">
      <alignment horizontal="center"/>
    </xf>
    <xf numFmtId="168" fontId="18" fillId="0" borderId="0" xfId="0" applyNumberFormat="1" applyFont="1" applyAlignment="1">
      <alignment horizontal="center"/>
    </xf>
    <xf numFmtId="168" fontId="13" fillId="0" borderId="11" xfId="0" applyNumberFormat="1" applyFont="1" applyBorder="1" applyAlignment="1">
      <alignment horizontal="center"/>
    </xf>
    <xf numFmtId="10" fontId="20" fillId="0" borderId="0" xfId="1" applyNumberFormat="1" applyFont="1"/>
    <xf numFmtId="10" fontId="20" fillId="0" borderId="7" xfId="1" applyNumberFormat="1" applyFont="1" applyBorder="1"/>
    <xf numFmtId="10" fontId="20" fillId="0" borderId="16" xfId="1" applyNumberFormat="1" applyFont="1" applyBorder="1"/>
    <xf numFmtId="0" fontId="19" fillId="9" borderId="4" xfId="0" applyFont="1" applyFill="1" applyBorder="1" applyAlignment="1">
      <alignment horizontal="right"/>
    </xf>
    <xf numFmtId="0" fontId="19" fillId="9" borderId="18" xfId="0" applyFont="1" applyFill="1" applyBorder="1" applyAlignment="1">
      <alignment horizontal="right"/>
    </xf>
    <xf numFmtId="38" fontId="0" fillId="0" borderId="0" xfId="0" applyNumberFormat="1" applyAlignment="1">
      <alignment horizontal="center"/>
    </xf>
    <xf numFmtId="3" fontId="18" fillId="0" borderId="7" xfId="0" applyNumberFormat="1" applyFont="1" applyBorder="1" applyAlignment="1">
      <alignment horizontal="center"/>
    </xf>
    <xf numFmtId="10" fontId="18" fillId="0" borderId="16" xfId="1" applyNumberFormat="1" applyFont="1" applyBorder="1" applyAlignment="1">
      <alignment horizontal="center"/>
    </xf>
    <xf numFmtId="44" fontId="0" fillId="0" borderId="0" xfId="0" applyNumberFormat="1"/>
    <xf numFmtId="3" fontId="0" fillId="0" borderId="0" xfId="0" applyNumberFormat="1"/>
    <xf numFmtId="0" fontId="0" fillId="0" borderId="17" xfId="0" applyBorder="1"/>
    <xf numFmtId="0" fontId="14" fillId="0" borderId="17" xfId="0" applyFont="1" applyBorder="1"/>
    <xf numFmtId="0" fontId="13" fillId="8" borderId="17" xfId="0" applyFont="1" applyFill="1" applyBorder="1" applyAlignment="1">
      <alignment horizontal="center"/>
    </xf>
    <xf numFmtId="0" fontId="13" fillId="8" borderId="5" xfId="0" applyFont="1" applyFill="1" applyBorder="1" applyAlignment="1">
      <alignment horizontal="center"/>
    </xf>
    <xf numFmtId="0" fontId="13" fillId="8" borderId="8" xfId="0" applyFont="1" applyFill="1" applyBorder="1" applyAlignment="1">
      <alignment horizontal="center"/>
    </xf>
    <xf numFmtId="0" fontId="0" fillId="0" borderId="18" xfId="0" applyBorder="1"/>
    <xf numFmtId="0" fontId="0" fillId="0" borderId="9" xfId="0" applyBorder="1"/>
    <xf numFmtId="0" fontId="0" fillId="9" borderId="4" xfId="0" applyFill="1" applyBorder="1" applyAlignment="1">
      <alignment horizontal="right"/>
    </xf>
    <xf numFmtId="0" fontId="0" fillId="9" borderId="18" xfId="0" applyFill="1" applyBorder="1" applyAlignment="1">
      <alignment horizontal="right"/>
    </xf>
    <xf numFmtId="0" fontId="0" fillId="9" borderId="9" xfId="0" applyFill="1" applyBorder="1" applyAlignment="1">
      <alignment horizontal="right"/>
    </xf>
    <xf numFmtId="0" fontId="13" fillId="0" borderId="13" xfId="0" applyFont="1" applyBorder="1" applyAlignment="1">
      <alignment horizontal="center"/>
    </xf>
    <xf numFmtId="3" fontId="18" fillId="0" borderId="16" xfId="0" applyNumberFormat="1" applyFon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21" fillId="0" borderId="8" xfId="0" applyNumberFormat="1" applyFont="1" applyBorder="1" applyAlignment="1">
      <alignment horizontal="center"/>
    </xf>
    <xf numFmtId="3" fontId="0" fillId="0" borderId="16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13" fillId="0" borderId="5" xfId="0" applyNumberFormat="1" applyFont="1" applyBorder="1" applyAlignment="1">
      <alignment horizontal="center"/>
    </xf>
    <xf numFmtId="3" fontId="21" fillId="0" borderId="16" xfId="0" applyNumberFormat="1" applyFont="1" applyBorder="1" applyAlignment="1">
      <alignment horizontal="center"/>
    </xf>
    <xf numFmtId="0" fontId="13" fillId="9" borderId="17" xfId="0" applyFont="1" applyFill="1" applyBorder="1"/>
    <xf numFmtId="3" fontId="13" fillId="9" borderId="5" xfId="0" applyNumberFormat="1" applyFont="1" applyFill="1" applyBorder="1" applyAlignment="1">
      <alignment horizontal="center"/>
    </xf>
    <xf numFmtId="3" fontId="13" fillId="9" borderId="8" xfId="0" applyNumberFormat="1" applyFont="1" applyFill="1" applyBorder="1" applyAlignment="1">
      <alignment horizontal="center"/>
    </xf>
    <xf numFmtId="0" fontId="13" fillId="8" borderId="13" xfId="0" applyFont="1" applyFill="1" applyBorder="1" applyAlignment="1">
      <alignment horizontal="center"/>
    </xf>
    <xf numFmtId="0" fontId="13" fillId="8" borderId="13" xfId="0" applyFont="1" applyFill="1" applyBorder="1"/>
    <xf numFmtId="0" fontId="0" fillId="10" borderId="4" xfId="0" applyFill="1" applyBorder="1" applyAlignment="1">
      <alignment horizontal="right"/>
    </xf>
    <xf numFmtId="0" fontId="0" fillId="10" borderId="18" xfId="0" applyFill="1" applyBorder="1" applyAlignment="1">
      <alignment horizontal="right"/>
    </xf>
    <xf numFmtId="0" fontId="13" fillId="10" borderId="13" xfId="0" applyFont="1" applyFill="1" applyBorder="1" applyAlignment="1">
      <alignment horizontal="right"/>
    </xf>
    <xf numFmtId="0" fontId="14" fillId="10" borderId="9" xfId="0" applyFont="1" applyFill="1" applyBorder="1" applyAlignment="1">
      <alignment horizontal="right"/>
    </xf>
    <xf numFmtId="0" fontId="13" fillId="10" borderId="9" xfId="0" applyFont="1" applyFill="1" applyBorder="1" applyAlignment="1">
      <alignment horizontal="right"/>
    </xf>
    <xf numFmtId="0" fontId="13" fillId="10" borderId="18" xfId="0" applyFont="1" applyFill="1" applyBorder="1" applyAlignment="1">
      <alignment horizontal="right"/>
    </xf>
    <xf numFmtId="0" fontId="13" fillId="10" borderId="4" xfId="0" applyFont="1" applyFill="1" applyBorder="1" applyAlignment="1">
      <alignment horizontal="right"/>
    </xf>
    <xf numFmtId="0" fontId="14" fillId="10" borderId="4" xfId="0" applyFont="1" applyFill="1" applyBorder="1" applyAlignment="1">
      <alignment horizontal="right"/>
    </xf>
    <xf numFmtId="0" fontId="19" fillId="10" borderId="4" xfId="0" applyFont="1" applyFill="1" applyBorder="1" applyAlignment="1">
      <alignment horizontal="right"/>
    </xf>
    <xf numFmtId="38" fontId="0" fillId="0" borderId="5" xfId="0" applyNumberFormat="1" applyBorder="1" applyAlignment="1">
      <alignment horizontal="center"/>
    </xf>
    <xf numFmtId="0" fontId="0" fillId="10" borderId="9" xfId="0" applyFill="1" applyBorder="1" applyAlignment="1">
      <alignment horizontal="right"/>
    </xf>
    <xf numFmtId="170" fontId="23" fillId="0" borderId="8" xfId="0" applyNumberFormat="1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3" fillId="8" borderId="9" xfId="0" applyFont="1" applyFill="1" applyBorder="1" applyAlignment="1">
      <alignment horizontal="center"/>
    </xf>
    <xf numFmtId="0" fontId="13" fillId="9" borderId="9" xfId="0" applyFont="1" applyFill="1" applyBorder="1" applyAlignment="1">
      <alignment horizontal="right"/>
    </xf>
    <xf numFmtId="0" fontId="18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168" fontId="18" fillId="0" borderId="16" xfId="0" applyNumberFormat="1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38" fontId="18" fillId="0" borderId="16" xfId="0" applyNumberFormat="1" applyFont="1" applyBorder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18" fillId="0" borderId="8" xfId="1" applyNumberFormat="1" applyFont="1" applyBorder="1" applyAlignment="1">
      <alignment horizontal="center"/>
    </xf>
    <xf numFmtId="9" fontId="0" fillId="0" borderId="7" xfId="1" applyFont="1" applyBorder="1" applyAlignment="1">
      <alignment horizontal="center"/>
    </xf>
    <xf numFmtId="9" fontId="0" fillId="0" borderId="8" xfId="1" applyFont="1" applyBorder="1" applyAlignment="1">
      <alignment horizontal="center"/>
    </xf>
    <xf numFmtId="9" fontId="13" fillId="0" borderId="8" xfId="1" applyFont="1" applyBorder="1" applyAlignment="1">
      <alignment horizontal="center"/>
    </xf>
    <xf numFmtId="3" fontId="13" fillId="8" borderId="5" xfId="0" applyNumberFormat="1" applyFont="1" applyFill="1" applyBorder="1" applyAlignment="1">
      <alignment horizontal="center"/>
    </xf>
    <xf numFmtId="3" fontId="0" fillId="8" borderId="5" xfId="0" applyNumberFormat="1" applyFill="1" applyBorder="1" applyAlignment="1">
      <alignment horizontal="center"/>
    </xf>
    <xf numFmtId="3" fontId="0" fillId="8" borderId="8" xfId="0" applyNumberFormat="1" applyFill="1" applyBorder="1" applyAlignment="1">
      <alignment horizontal="center"/>
    </xf>
    <xf numFmtId="9" fontId="0" fillId="0" borderId="16" xfId="1" applyFont="1" applyBorder="1" applyAlignment="1">
      <alignment horizontal="center"/>
    </xf>
    <xf numFmtId="38" fontId="19" fillId="0" borderId="5" xfId="1" applyNumberFormat="1" applyFont="1" applyBorder="1" applyAlignment="1">
      <alignment horizontal="center"/>
    </xf>
    <xf numFmtId="38" fontId="0" fillId="0" borderId="6" xfId="0" applyNumberFormat="1" applyBorder="1" applyAlignment="1">
      <alignment horizontal="center"/>
    </xf>
    <xf numFmtId="38" fontId="13" fillId="0" borderId="5" xfId="0" applyNumberFormat="1" applyFont="1" applyBorder="1" applyAlignment="1">
      <alignment horizontal="center"/>
    </xf>
    <xf numFmtId="38" fontId="13" fillId="0" borderId="6" xfId="0" applyNumberFormat="1" applyFont="1" applyBorder="1" applyAlignment="1">
      <alignment horizontal="center"/>
    </xf>
    <xf numFmtId="10" fontId="21" fillId="0" borderId="16" xfId="1" applyNumberFormat="1" applyFont="1" applyBorder="1" applyAlignment="1">
      <alignment horizontal="center"/>
    </xf>
    <xf numFmtId="0" fontId="13" fillId="8" borderId="6" xfId="0" applyFont="1" applyFill="1" applyBorder="1"/>
    <xf numFmtId="0" fontId="13" fillId="8" borderId="6" xfId="0" applyFont="1" applyFill="1" applyBorder="1" applyAlignment="1">
      <alignment horizontal="center"/>
    </xf>
    <xf numFmtId="169" fontId="13" fillId="8" borderId="17" xfId="0" applyNumberFormat="1" applyFont="1" applyFill="1" applyBorder="1" applyAlignment="1">
      <alignment horizontal="center"/>
    </xf>
    <xf numFmtId="1" fontId="13" fillId="8" borderId="5" xfId="0" applyNumberFormat="1" applyFont="1" applyFill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17" fillId="7" borderId="4" xfId="0" applyFont="1" applyFill="1" applyBorder="1" applyAlignment="1">
      <alignment horizontal="right"/>
    </xf>
    <xf numFmtId="0" fontId="17" fillId="7" borderId="0" xfId="0" applyFont="1" applyFill="1" applyAlignment="1">
      <alignment horizontal="right"/>
    </xf>
    <xf numFmtId="171" fontId="18" fillId="0" borderId="16" xfId="0" applyNumberFormat="1" applyFont="1" applyBorder="1" applyAlignment="1">
      <alignment horizontal="center"/>
    </xf>
    <xf numFmtId="38" fontId="0" fillId="0" borderId="19" xfId="0" applyNumberFormat="1" applyBorder="1" applyAlignment="1">
      <alignment horizontal="center"/>
    </xf>
    <xf numFmtId="0" fontId="17" fillId="7" borderId="18" xfId="0" applyFont="1" applyFill="1" applyBorder="1" applyAlignment="1">
      <alignment horizontal="right"/>
    </xf>
    <xf numFmtId="0" fontId="24" fillId="9" borderId="9" xfId="0" applyFont="1" applyFill="1" applyBorder="1" applyAlignment="1">
      <alignment horizontal="right"/>
    </xf>
    <xf numFmtId="172" fontId="13" fillId="9" borderId="5" xfId="0" applyNumberFormat="1" applyFont="1" applyFill="1" applyBorder="1" applyAlignment="1">
      <alignment horizontal="center"/>
    </xf>
    <xf numFmtId="10" fontId="18" fillId="0" borderId="0" xfId="1" applyNumberFormat="1" applyFont="1" applyBorder="1" applyAlignment="1">
      <alignment horizontal="center"/>
    </xf>
    <xf numFmtId="40" fontId="0" fillId="0" borderId="0" xfId="0" applyNumberFormat="1"/>
    <xf numFmtId="0" fontId="0" fillId="9" borderId="10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175" fontId="18" fillId="0" borderId="16" xfId="1" applyNumberFormat="1" applyFont="1" applyBorder="1" applyAlignment="1">
      <alignment horizontal="center"/>
    </xf>
    <xf numFmtId="0" fontId="0" fillId="0" borderId="5" xfId="0" applyBorder="1"/>
    <xf numFmtId="10" fontId="18" fillId="11" borderId="7" xfId="1" applyNumberFormat="1" applyFont="1" applyFill="1" applyBorder="1" applyAlignment="1">
      <alignment horizontal="center"/>
    </xf>
    <xf numFmtId="174" fontId="18" fillId="11" borderId="16" xfId="0" applyNumberFormat="1" applyFont="1" applyFill="1" applyBorder="1" applyAlignment="1">
      <alignment horizontal="center"/>
    </xf>
    <xf numFmtId="10" fontId="18" fillId="11" borderId="8" xfId="1" applyNumberFormat="1" applyFont="1" applyFill="1" applyBorder="1" applyAlignment="1">
      <alignment horizontal="center"/>
    </xf>
    <xf numFmtId="10" fontId="18" fillId="0" borderId="0" xfId="1" applyNumberFormat="1" applyFont="1" applyFill="1" applyBorder="1" applyAlignment="1">
      <alignment horizontal="center"/>
    </xf>
    <xf numFmtId="175" fontId="18" fillId="0" borderId="0" xfId="1" applyNumberFormat="1" applyFont="1" applyFill="1" applyBorder="1" applyAlignment="1">
      <alignment horizontal="center"/>
    </xf>
    <xf numFmtId="0" fontId="14" fillId="0" borderId="0" xfId="0" applyFont="1"/>
    <xf numFmtId="170" fontId="23" fillId="0" borderId="0" xfId="0" applyNumberFormat="1" applyFont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3" fontId="0" fillId="12" borderId="16" xfId="0" applyNumberFormat="1" applyFill="1" applyBorder="1" applyAlignment="1">
      <alignment horizontal="center"/>
    </xf>
    <xf numFmtId="3" fontId="0" fillId="12" borderId="8" xfId="0" applyNumberFormat="1" applyFill="1" applyBorder="1" applyAlignment="1">
      <alignment horizontal="center"/>
    </xf>
    <xf numFmtId="10" fontId="19" fillId="0" borderId="0" xfId="1" applyNumberFormat="1" applyFont="1" applyFill="1" applyBorder="1" applyAlignment="1">
      <alignment horizontal="center"/>
    </xf>
    <xf numFmtId="0" fontId="0" fillId="0" borderId="19" xfId="0" applyBorder="1"/>
    <xf numFmtId="0" fontId="14" fillId="0" borderId="5" xfId="0" applyFont="1" applyBorder="1"/>
    <xf numFmtId="0" fontId="13" fillId="0" borderId="5" xfId="0" applyFont="1" applyBorder="1" applyAlignment="1">
      <alignment horizontal="center"/>
    </xf>
    <xf numFmtId="0" fontId="0" fillId="8" borderId="16" xfId="0" applyFill="1" applyBorder="1" applyAlignment="1">
      <alignment horizontal="center"/>
    </xf>
    <xf numFmtId="38" fontId="0" fillId="0" borderId="7" xfId="0" applyNumberFormat="1" applyBorder="1"/>
    <xf numFmtId="38" fontId="0" fillId="0" borderId="16" xfId="0" applyNumberFormat="1" applyBorder="1"/>
    <xf numFmtId="38" fontId="13" fillId="0" borderId="12" xfId="0" applyNumberFormat="1" applyFont="1" applyBorder="1"/>
    <xf numFmtId="38" fontId="0" fillId="0" borderId="8" xfId="0" applyNumberFormat="1" applyBorder="1"/>
    <xf numFmtId="10" fontId="0" fillId="0" borderId="0" xfId="1" applyNumberFormat="1" applyFont="1"/>
    <xf numFmtId="0" fontId="19" fillId="0" borderId="15" xfId="0" applyFont="1" applyBorder="1" applyAlignment="1">
      <alignment horizontal="right"/>
    </xf>
    <xf numFmtId="10" fontId="19" fillId="0" borderId="0" xfId="1" applyNumberFormat="1" applyFont="1" applyBorder="1" applyAlignment="1">
      <alignment horizontal="center"/>
    </xf>
    <xf numFmtId="38" fontId="0" fillId="0" borderId="16" xfId="0" applyNumberFormat="1" applyBorder="1" applyAlignment="1">
      <alignment horizontal="center"/>
    </xf>
    <xf numFmtId="0" fontId="19" fillId="0" borderId="17" xfId="0" applyFont="1" applyBorder="1" applyAlignment="1">
      <alignment horizontal="center"/>
    </xf>
    <xf numFmtId="38" fontId="13" fillId="0" borderId="16" xfId="0" applyNumberFormat="1" applyFont="1" applyBorder="1" applyAlignment="1">
      <alignment horizontal="center"/>
    </xf>
    <xf numFmtId="38" fontId="19" fillId="0" borderId="5" xfId="0" applyNumberFormat="1" applyFont="1" applyBorder="1" applyAlignment="1">
      <alignment horizontal="center"/>
    </xf>
    <xf numFmtId="10" fontId="21" fillId="0" borderId="0" xfId="1" applyNumberFormat="1" applyFont="1" applyFill="1" applyBorder="1" applyAlignment="1">
      <alignment horizontal="center"/>
    </xf>
    <xf numFmtId="38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38" fontId="13" fillId="0" borderId="0" xfId="0" applyNumberFormat="1" applyFont="1" applyAlignment="1">
      <alignment horizontal="right"/>
    </xf>
    <xf numFmtId="0" fontId="21" fillId="0" borderId="0" xfId="0" applyFont="1"/>
    <xf numFmtId="0" fontId="21" fillId="0" borderId="15" xfId="0" applyFont="1" applyBorder="1"/>
    <xf numFmtId="3" fontId="22" fillId="10" borderId="9" xfId="0" applyNumberFormat="1" applyFont="1" applyFill="1" applyBorder="1" applyAlignment="1">
      <alignment horizontal="right"/>
    </xf>
    <xf numFmtId="38" fontId="13" fillId="0" borderId="0" xfId="0" applyNumberFormat="1" applyFont="1" applyAlignment="1">
      <alignment horizontal="center"/>
    </xf>
    <xf numFmtId="1" fontId="13" fillId="8" borderId="8" xfId="0" applyNumberFormat="1" applyFont="1" applyFill="1" applyBorder="1" applyAlignment="1">
      <alignment horizontal="center"/>
    </xf>
    <xf numFmtId="172" fontId="13" fillId="9" borderId="8" xfId="0" applyNumberFormat="1" applyFont="1" applyFill="1" applyBorder="1" applyAlignment="1">
      <alignment horizontal="center"/>
    </xf>
    <xf numFmtId="38" fontId="13" fillId="0" borderId="12" xfId="0" applyNumberFormat="1" applyFont="1" applyBorder="1" applyAlignment="1">
      <alignment horizontal="center"/>
    </xf>
    <xf numFmtId="38" fontId="0" fillId="0" borderId="8" xfId="0" applyNumberFormat="1" applyBorder="1" applyAlignment="1">
      <alignment horizontal="center"/>
    </xf>
    <xf numFmtId="38" fontId="13" fillId="0" borderId="8" xfId="0" applyNumberFormat="1" applyFont="1" applyBorder="1" applyAlignment="1">
      <alignment horizontal="center"/>
    </xf>
    <xf numFmtId="177" fontId="0" fillId="0" borderId="0" xfId="0" applyNumberFormat="1"/>
    <xf numFmtId="9" fontId="0" fillId="0" borderId="0" xfId="1" applyFont="1"/>
    <xf numFmtId="164" fontId="0" fillId="0" borderId="0" xfId="0" applyNumberFormat="1"/>
    <xf numFmtId="3" fontId="0" fillId="0" borderId="0" xfId="1" applyNumberFormat="1" applyFont="1"/>
    <xf numFmtId="6" fontId="25" fillId="0" borderId="0" xfId="0" applyNumberFormat="1" applyFont="1"/>
    <xf numFmtId="173" fontId="18" fillId="0" borderId="7" xfId="0" applyNumberFormat="1" applyFont="1" applyBorder="1" applyAlignment="1">
      <alignment horizontal="center"/>
    </xf>
    <xf numFmtId="0" fontId="0" fillId="0" borderId="4" xfId="0" applyBorder="1" applyAlignment="1">
      <alignment horizontal="right"/>
    </xf>
    <xf numFmtId="0" fontId="0" fillId="0" borderId="18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177" fontId="21" fillId="0" borderId="0" xfId="0" applyNumberFormat="1" applyFont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10" fontId="21" fillId="13" borderId="7" xfId="1" applyNumberFormat="1" applyFont="1" applyFill="1" applyBorder="1" applyAlignment="1">
      <alignment horizontal="center"/>
    </xf>
    <xf numFmtId="10" fontId="21" fillId="13" borderId="16" xfId="1" applyNumberFormat="1" applyFont="1" applyFill="1" applyBorder="1" applyAlignment="1">
      <alignment horizontal="center"/>
    </xf>
    <xf numFmtId="174" fontId="21" fillId="13" borderId="16" xfId="0" applyNumberFormat="1" applyFont="1" applyFill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10" fontId="20" fillId="0" borderId="0" xfId="1" applyNumberFormat="1" applyFont="1" applyBorder="1"/>
    <xf numFmtId="3" fontId="23" fillId="0" borderId="0" xfId="1" applyNumberFormat="1" applyFont="1" applyFill="1" applyBorder="1"/>
    <xf numFmtId="0" fontId="0" fillId="0" borderId="10" xfId="0" applyBorder="1"/>
    <xf numFmtId="0" fontId="0" fillId="10" borderId="13" xfId="0" applyFill="1" applyBorder="1" applyAlignment="1">
      <alignment horizontal="right"/>
    </xf>
    <xf numFmtId="10" fontId="20" fillId="0" borderId="16" xfId="1" applyNumberFormat="1" applyFont="1" applyFill="1" applyBorder="1"/>
    <xf numFmtId="10" fontId="26" fillId="0" borderId="6" xfId="1" applyNumberFormat="1" applyFont="1" applyBorder="1" applyAlignment="1">
      <alignment horizontal="center"/>
    </xf>
    <xf numFmtId="10" fontId="26" fillId="0" borderId="7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38" fontId="0" fillId="0" borderId="15" xfId="0" applyNumberFormat="1" applyBorder="1"/>
    <xf numFmtId="38" fontId="13" fillId="0" borderId="15" xfId="0" applyNumberFormat="1" applyFont="1" applyBorder="1"/>
    <xf numFmtId="10" fontId="19" fillId="0" borderId="15" xfId="1" applyNumberFormat="1" applyFont="1" applyFill="1" applyBorder="1" applyAlignment="1">
      <alignment horizontal="center"/>
    </xf>
    <xf numFmtId="38" fontId="0" fillId="0" borderId="15" xfId="0" applyNumberFormat="1" applyBorder="1" applyAlignment="1">
      <alignment horizontal="center"/>
    </xf>
    <xf numFmtId="38" fontId="13" fillId="0" borderId="19" xfId="0" applyNumberFormat="1" applyFont="1" applyBorder="1" applyAlignment="1">
      <alignment horizontal="center"/>
    </xf>
    <xf numFmtId="0" fontId="13" fillId="13" borderId="15" xfId="0" applyFont="1" applyFill="1" applyBorder="1" applyAlignment="1">
      <alignment horizontal="center"/>
    </xf>
    <xf numFmtId="38" fontId="13" fillId="13" borderId="0" xfId="0" applyNumberFormat="1" applyFont="1" applyFill="1" applyAlignment="1">
      <alignment horizontal="center"/>
    </xf>
    <xf numFmtId="4" fontId="13" fillId="0" borderId="11" xfId="0" applyNumberFormat="1" applyFont="1" applyBorder="1" applyAlignment="1">
      <alignment horizontal="center"/>
    </xf>
    <xf numFmtId="3" fontId="13" fillId="0" borderId="11" xfId="0" applyNumberFormat="1" applyFont="1" applyBorder="1" applyAlignment="1">
      <alignment horizontal="center"/>
    </xf>
    <xf numFmtId="3" fontId="13" fillId="0" borderId="12" xfId="0" applyNumberFormat="1" applyFont="1" applyBorder="1" applyAlignment="1">
      <alignment horizontal="center"/>
    </xf>
    <xf numFmtId="4" fontId="18" fillId="0" borderId="6" xfId="0" applyNumberFormat="1" applyFont="1" applyBorder="1" applyAlignment="1">
      <alignment horizontal="center"/>
    </xf>
    <xf numFmtId="4" fontId="18" fillId="0" borderId="0" xfId="0" applyNumberFormat="1" applyFont="1" applyAlignment="1">
      <alignment horizontal="center"/>
    </xf>
    <xf numFmtId="4" fontId="18" fillId="0" borderId="5" xfId="0" applyNumberFormat="1" applyFont="1" applyBorder="1" applyAlignment="1">
      <alignment horizontal="center"/>
    </xf>
    <xf numFmtId="0" fontId="0" fillId="0" borderId="19" xfId="0" applyBorder="1" applyAlignment="1">
      <alignment horizontal="left"/>
    </xf>
    <xf numFmtId="38" fontId="21" fillId="0" borderId="19" xfId="2" applyNumberFormat="1" applyFont="1" applyBorder="1" applyAlignment="1">
      <alignment horizontal="center"/>
    </xf>
    <xf numFmtId="0" fontId="17" fillId="7" borderId="9" xfId="0" applyFont="1" applyFill="1" applyBorder="1" applyAlignment="1">
      <alignment horizontal="right"/>
    </xf>
    <xf numFmtId="0" fontId="13" fillId="8" borderId="19" xfId="0" applyFont="1" applyFill="1" applyBorder="1" applyAlignment="1">
      <alignment horizontal="center"/>
    </xf>
    <xf numFmtId="0" fontId="13" fillId="8" borderId="0" xfId="0" applyFont="1" applyFill="1" applyAlignment="1">
      <alignment horizontal="center"/>
    </xf>
    <xf numFmtId="0" fontId="0" fillId="0" borderId="19" xfId="0" applyBorder="1" applyAlignment="1">
      <alignment horizontal="center"/>
    </xf>
    <xf numFmtId="0" fontId="0" fillId="0" borderId="7" xfId="0" applyBorder="1"/>
    <xf numFmtId="0" fontId="13" fillId="0" borderId="17" xfId="0" applyFont="1" applyBorder="1"/>
    <xf numFmtId="0" fontId="0" fillId="9" borderId="5" xfId="0" applyFill="1" applyBorder="1"/>
    <xf numFmtId="37" fontId="13" fillId="9" borderId="5" xfId="0" applyNumberFormat="1" applyFont="1" applyFill="1" applyBorder="1" applyAlignment="1">
      <alignment horizontal="center"/>
    </xf>
    <xf numFmtId="37" fontId="0" fillId="9" borderId="5" xfId="0" applyNumberFormat="1" applyFill="1" applyBorder="1"/>
    <xf numFmtId="37" fontId="13" fillId="9" borderId="8" xfId="0" applyNumberFormat="1" applyFont="1" applyFill="1" applyBorder="1" applyAlignment="1">
      <alignment horizontal="center"/>
    </xf>
    <xf numFmtId="3" fontId="0" fillId="0" borderId="19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13" fillId="0" borderId="10" xfId="0" applyFont="1" applyBorder="1" applyAlignment="1">
      <alignment horizontal="center"/>
    </xf>
    <xf numFmtId="10" fontId="18" fillId="0" borderId="19" xfId="1" applyNumberFormat="1" applyFont="1" applyBorder="1" applyAlignment="1">
      <alignment horizontal="center"/>
    </xf>
    <xf numFmtId="10" fontId="21" fillId="0" borderId="19" xfId="1" applyNumberFormat="1" applyFont="1" applyFill="1" applyBorder="1" applyAlignment="1">
      <alignment horizontal="center"/>
    </xf>
    <xf numFmtId="0" fontId="13" fillId="0" borderId="10" xfId="0" applyFont="1" applyBorder="1"/>
    <xf numFmtId="0" fontId="13" fillId="9" borderId="10" xfId="0" applyFont="1" applyFill="1" applyBorder="1"/>
    <xf numFmtId="0" fontId="0" fillId="9" borderId="12" xfId="0" applyFill="1" applyBorder="1"/>
    <xf numFmtId="0" fontId="13" fillId="13" borderId="17" xfId="0" applyFont="1" applyFill="1" applyBorder="1"/>
    <xf numFmtId="38" fontId="13" fillId="0" borderId="8" xfId="0" applyNumberFormat="1" applyFont="1" applyBorder="1"/>
    <xf numFmtId="3" fontId="13" fillId="13" borderId="8" xfId="0" applyNumberFormat="1" applyFont="1" applyFill="1" applyBorder="1"/>
    <xf numFmtId="1" fontId="13" fillId="0" borderId="11" xfId="0" applyNumberFormat="1" applyFon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13" fillId="0" borderId="12" xfId="0" applyNumberFormat="1" applyFon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" fontId="13" fillId="0" borderId="12" xfId="0" applyNumberFormat="1" applyFont="1" applyBorder="1" applyAlignment="1">
      <alignment horizontal="center"/>
    </xf>
    <xf numFmtId="38" fontId="0" fillId="0" borderId="7" xfId="0" applyNumberFormat="1" applyBorder="1" applyAlignment="1">
      <alignment horizontal="center"/>
    </xf>
    <xf numFmtId="0" fontId="13" fillId="0" borderId="0" xfId="0" applyFont="1"/>
    <xf numFmtId="0" fontId="19" fillId="0" borderId="7" xfId="0" applyFont="1" applyBorder="1" applyAlignment="1">
      <alignment horizontal="center"/>
    </xf>
    <xf numFmtId="0" fontId="0" fillId="0" borderId="0" xfId="0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5" xfId="0" applyBorder="1" applyAlignment="1">
      <alignment horizontal="center" vertical="top"/>
    </xf>
    <xf numFmtId="176" fontId="0" fillId="0" borderId="5" xfId="0" applyNumberFormat="1" applyBorder="1" applyAlignment="1">
      <alignment horizontal="center"/>
    </xf>
    <xf numFmtId="178" fontId="13" fillId="9" borderId="5" xfId="0" applyNumberFormat="1" applyFont="1" applyFill="1" applyBorder="1" applyAlignment="1">
      <alignment horizontal="center"/>
    </xf>
    <xf numFmtId="3" fontId="13" fillId="0" borderId="0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167" fontId="0" fillId="0" borderId="0" xfId="0" applyNumberFormat="1" applyAlignment="1">
      <alignment horizontal="right"/>
    </xf>
    <xf numFmtId="3" fontId="0" fillId="0" borderId="0" xfId="1" applyNumberFormat="1" applyFont="1" applyBorder="1" applyAlignment="1">
      <alignment horizontal="center"/>
    </xf>
    <xf numFmtId="10" fontId="0" fillId="0" borderId="0" xfId="1" applyNumberFormat="1" applyFont="1" applyBorder="1" applyAlignment="1">
      <alignment horizontal="right"/>
    </xf>
    <xf numFmtId="10" fontId="0" fillId="0" borderId="0" xfId="0" applyNumberFormat="1" applyAlignment="1">
      <alignment horizontal="right"/>
    </xf>
    <xf numFmtId="0" fontId="2" fillId="3" borderId="0" xfId="0" applyFont="1" applyFill="1"/>
    <xf numFmtId="0" fontId="4" fillId="5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0" fontId="3" fillId="5" borderId="0" xfId="0" applyFont="1" applyFill="1" applyAlignment="1">
      <alignment horizontal="left" vertical="top" wrapText="1"/>
    </xf>
    <xf numFmtId="0" fontId="16" fillId="0" borderId="0" xfId="0" applyFont="1" applyAlignment="1">
      <alignment horizontal="left"/>
    </xf>
    <xf numFmtId="0" fontId="2" fillId="5" borderId="0" xfId="0" applyFont="1" applyFill="1"/>
    <xf numFmtId="0" fontId="13" fillId="9" borderId="10" xfId="0" applyFont="1" applyFill="1" applyBorder="1" applyAlignment="1">
      <alignment horizontal="center"/>
    </xf>
    <xf numFmtId="0" fontId="13" fillId="9" borderId="11" xfId="0" applyFont="1" applyFill="1" applyBorder="1" applyAlignment="1">
      <alignment horizontal="center"/>
    </xf>
    <xf numFmtId="0" fontId="13" fillId="9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3" fontId="24" fillId="0" borderId="0" xfId="0" applyNumberFormat="1" applyFont="1" applyAlignment="1">
      <alignment horizontal="right"/>
    </xf>
    <xf numFmtId="0" fontId="13" fillId="10" borderId="10" xfId="0" applyFont="1" applyFill="1" applyBorder="1" applyAlignment="1">
      <alignment horizontal="center"/>
    </xf>
    <xf numFmtId="0" fontId="13" fillId="10" borderId="11" xfId="0" applyFont="1" applyFill="1" applyBorder="1" applyAlignment="1">
      <alignment horizontal="center"/>
    </xf>
    <xf numFmtId="0" fontId="13" fillId="10" borderId="12" xfId="0" applyFont="1" applyFill="1" applyBorder="1" applyAlignment="1">
      <alignment horizontal="center"/>
    </xf>
    <xf numFmtId="0" fontId="13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13" fillId="0" borderId="0" xfId="0" applyFont="1" applyAlignment="1">
      <alignment horizontal="center"/>
    </xf>
    <xf numFmtId="0" fontId="13" fillId="9" borderId="14" xfId="0" applyFont="1" applyFill="1" applyBorder="1" applyAlignment="1">
      <alignment horizontal="center"/>
    </xf>
    <xf numFmtId="0" fontId="13" fillId="9" borderId="6" xfId="0" applyFont="1" applyFill="1" applyBorder="1" applyAlignment="1">
      <alignment horizontal="center"/>
    </xf>
    <xf numFmtId="0" fontId="13" fillId="9" borderId="7" xfId="0" applyFont="1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2"/>
  <sheetViews>
    <sheetView showGridLines="0" showWhiteSpace="0" topLeftCell="A10" zoomScale="88" zoomScaleNormal="110" workbookViewId="0">
      <selection activeCell="C44" sqref="C44:F48"/>
    </sheetView>
  </sheetViews>
  <sheetFormatPr baseColWidth="10" defaultColWidth="8.83203125" defaultRowHeight="14" x14ac:dyDescent="0.15"/>
  <cols>
    <col min="1" max="1" width="129.5" bestFit="1" customWidth="1"/>
    <col min="2" max="2" width="35" bestFit="1" customWidth="1"/>
    <col min="3" max="3" width="14.33203125" bestFit="1" customWidth="1"/>
    <col min="4" max="4" width="22" bestFit="1" customWidth="1"/>
    <col min="5" max="5" width="15.1640625" bestFit="1" customWidth="1"/>
    <col min="6" max="6" width="16" bestFit="1" customWidth="1"/>
    <col min="7" max="7" width="15.1640625" bestFit="1" customWidth="1"/>
    <col min="8" max="8" width="15.1640625" customWidth="1"/>
    <col min="9" max="9" width="14" bestFit="1" customWidth="1"/>
    <col min="10" max="10" width="15.1640625" bestFit="1" customWidth="1"/>
    <col min="12" max="12" width="15.1640625" bestFit="1" customWidth="1"/>
    <col min="13" max="13" width="14.33203125" bestFit="1" customWidth="1"/>
    <col min="14" max="15" width="15.1640625" bestFit="1" customWidth="1"/>
  </cols>
  <sheetData>
    <row r="1" spans="1:8" ht="23" x14ac:dyDescent="0.25">
      <c r="A1" s="255" t="s">
        <v>0</v>
      </c>
      <c r="B1" s="255"/>
    </row>
    <row r="2" spans="1:8" x14ac:dyDescent="0.15">
      <c r="A2" s="256" t="s">
        <v>1</v>
      </c>
      <c r="B2" s="256"/>
    </row>
    <row r="3" spans="1:8" x14ac:dyDescent="0.15">
      <c r="A3" s="256"/>
      <c r="B3" s="256"/>
    </row>
    <row r="4" spans="1:8" ht="17" x14ac:dyDescent="0.15">
      <c r="A4" s="257" t="s">
        <v>2</v>
      </c>
      <c r="B4" s="257"/>
    </row>
    <row r="5" spans="1:8" ht="17" x14ac:dyDescent="0.15">
      <c r="A5" s="257" t="s">
        <v>3</v>
      </c>
      <c r="B5" s="257"/>
    </row>
    <row r="6" spans="1:8" ht="17" x14ac:dyDescent="0.15">
      <c r="A6" s="257" t="s">
        <v>4</v>
      </c>
      <c r="B6" s="257"/>
    </row>
    <row r="7" spans="1:8" ht="17" x14ac:dyDescent="0.15">
      <c r="A7" s="257" t="s">
        <v>5</v>
      </c>
      <c r="B7" s="257"/>
    </row>
    <row r="8" spans="1:8" ht="17" x14ac:dyDescent="0.15">
      <c r="A8" s="257" t="s">
        <v>6</v>
      </c>
      <c r="B8" s="257"/>
    </row>
    <row r="9" spans="1:8" ht="17" x14ac:dyDescent="0.15">
      <c r="A9" s="257" t="s">
        <v>7</v>
      </c>
      <c r="B9" s="257"/>
    </row>
    <row r="10" spans="1:8" ht="17" x14ac:dyDescent="0.15">
      <c r="A10" s="257" t="s">
        <v>8</v>
      </c>
      <c r="B10" s="257"/>
    </row>
    <row r="11" spans="1:8" x14ac:dyDescent="0.15">
      <c r="A11" s="256"/>
      <c r="B11" s="256"/>
    </row>
    <row r="12" spans="1:8" ht="17" x14ac:dyDescent="0.2">
      <c r="A12" s="1" t="s">
        <v>9</v>
      </c>
      <c r="B12" s="1" t="s">
        <v>10</v>
      </c>
    </row>
    <row r="13" spans="1:8" ht="16" x14ac:dyDescent="0.2">
      <c r="A13" s="3" t="s">
        <v>11</v>
      </c>
      <c r="B13" s="5"/>
    </row>
    <row r="14" spans="1:8" ht="16" x14ac:dyDescent="0.2">
      <c r="A14" s="3" t="s">
        <v>12</v>
      </c>
      <c r="B14" s="5"/>
      <c r="E14" t="s">
        <v>149</v>
      </c>
      <c r="F14" s="8">
        <v>75000000</v>
      </c>
    </row>
    <row r="15" spans="1:8" ht="16" x14ac:dyDescent="0.2">
      <c r="A15" s="2" t="s">
        <v>13</v>
      </c>
      <c r="B15" s="4">
        <v>5616927.7300000004</v>
      </c>
      <c r="C15" s="171">
        <f>SUM(B15:B23)</f>
        <v>4992407.2200000007</v>
      </c>
      <c r="E15" t="s">
        <v>148</v>
      </c>
      <c r="F15" s="8">
        <v>55300000</v>
      </c>
    </row>
    <row r="16" spans="1:8" ht="16" x14ac:dyDescent="0.2">
      <c r="A16" s="2" t="s">
        <v>14</v>
      </c>
      <c r="B16" s="4">
        <v>-165399.57999999999</v>
      </c>
      <c r="F16" s="8"/>
      <c r="H16" s="8"/>
    </row>
    <row r="17" spans="1:8" ht="16" x14ac:dyDescent="0.2">
      <c r="A17" s="2" t="s">
        <v>15</v>
      </c>
      <c r="B17" s="4">
        <v>-409793.39</v>
      </c>
      <c r="H17" s="8"/>
    </row>
    <row r="18" spans="1:8" ht="16" x14ac:dyDescent="0.2">
      <c r="A18" s="3" t="s">
        <v>16</v>
      </c>
      <c r="B18" s="5"/>
    </row>
    <row r="19" spans="1:8" ht="16" x14ac:dyDescent="0.2">
      <c r="A19" s="2" t="s">
        <v>17</v>
      </c>
      <c r="B19" s="4">
        <v>-7676</v>
      </c>
      <c r="E19" t="s">
        <v>145</v>
      </c>
    </row>
    <row r="20" spans="1:8" ht="16" x14ac:dyDescent="0.2">
      <c r="A20" s="2" t="s">
        <v>18</v>
      </c>
      <c r="B20" s="4">
        <v>-2474.19</v>
      </c>
      <c r="E20" t="s">
        <v>150</v>
      </c>
    </row>
    <row r="21" spans="1:8" ht="16" x14ac:dyDescent="0.2">
      <c r="A21" s="2" t="s">
        <v>19</v>
      </c>
      <c r="B21" s="4">
        <v>-12647.58</v>
      </c>
      <c r="E21" t="s">
        <v>151</v>
      </c>
    </row>
    <row r="22" spans="1:8" ht="16" x14ac:dyDescent="0.2">
      <c r="A22" s="2" t="s">
        <v>20</v>
      </c>
      <c r="B22" s="4">
        <v>-1866</v>
      </c>
      <c r="E22" t="s">
        <v>146</v>
      </c>
    </row>
    <row r="23" spans="1:8" ht="16" x14ac:dyDescent="0.2">
      <c r="A23" s="3" t="s">
        <v>21</v>
      </c>
      <c r="B23" s="6">
        <v>-24663.77</v>
      </c>
      <c r="E23" t="s">
        <v>147</v>
      </c>
    </row>
    <row r="24" spans="1:8" ht="16" x14ac:dyDescent="0.2">
      <c r="A24" s="2" t="s">
        <v>22</v>
      </c>
      <c r="B24" s="4">
        <v>16653.78</v>
      </c>
    </row>
    <row r="25" spans="1:8" ht="16" x14ac:dyDescent="0.2">
      <c r="A25" s="3" t="s">
        <v>23</v>
      </c>
      <c r="B25" s="5"/>
    </row>
    <row r="26" spans="1:8" ht="16" x14ac:dyDescent="0.2">
      <c r="A26" s="2" t="s">
        <v>24</v>
      </c>
      <c r="B26" s="4">
        <v>33120</v>
      </c>
      <c r="C26" s="19"/>
      <c r="D26" s="19"/>
    </row>
    <row r="27" spans="1:8" ht="16" x14ac:dyDescent="0.2">
      <c r="A27" s="2" t="s">
        <v>25</v>
      </c>
      <c r="B27" s="4">
        <v>3290</v>
      </c>
      <c r="C27" s="19"/>
      <c r="D27" s="19"/>
    </row>
    <row r="28" spans="1:8" ht="16" x14ac:dyDescent="0.2">
      <c r="A28" s="2" t="s">
        <v>26</v>
      </c>
      <c r="B28" s="4">
        <v>117883.55</v>
      </c>
      <c r="C28" s="19"/>
      <c r="D28" s="19"/>
    </row>
    <row r="29" spans="1:8" ht="16" x14ac:dyDescent="0.2">
      <c r="A29" s="2" t="s">
        <v>27</v>
      </c>
      <c r="B29" s="4">
        <v>600</v>
      </c>
      <c r="C29" s="19"/>
      <c r="D29" s="19"/>
      <c r="E29" s="50"/>
    </row>
    <row r="30" spans="1:8" ht="16" x14ac:dyDescent="0.2">
      <c r="A30" s="2" t="s">
        <v>28</v>
      </c>
      <c r="B30" s="4">
        <v>3000</v>
      </c>
      <c r="C30" s="19"/>
      <c r="D30" s="19"/>
    </row>
    <row r="31" spans="1:8" ht="16" x14ac:dyDescent="0.2">
      <c r="A31" s="2" t="s">
        <v>29</v>
      </c>
      <c r="B31" s="4">
        <v>5893.5</v>
      </c>
      <c r="C31" s="19"/>
      <c r="D31" s="19"/>
    </row>
    <row r="32" spans="1:8" ht="16" x14ac:dyDescent="0.2">
      <c r="A32" s="2" t="s">
        <v>30</v>
      </c>
      <c r="B32" s="4">
        <v>1063</v>
      </c>
      <c r="C32" s="19"/>
      <c r="D32" s="19"/>
      <c r="E32" s="50"/>
    </row>
    <row r="33" spans="1:5" ht="16" x14ac:dyDescent="0.2">
      <c r="A33" s="2" t="s">
        <v>31</v>
      </c>
      <c r="B33" s="4">
        <v>7150</v>
      </c>
      <c r="C33" s="19"/>
      <c r="D33" s="19"/>
    </row>
    <row r="34" spans="1:5" ht="16" x14ac:dyDescent="0.2">
      <c r="A34" s="2" t="s">
        <v>32</v>
      </c>
      <c r="B34" s="4">
        <v>8826.58</v>
      </c>
      <c r="C34" s="19"/>
      <c r="D34" s="19"/>
      <c r="E34" s="50"/>
    </row>
    <row r="35" spans="1:5" ht="16" x14ac:dyDescent="0.2">
      <c r="A35" s="2" t="s">
        <v>33</v>
      </c>
      <c r="B35" s="4">
        <v>213565.33</v>
      </c>
      <c r="C35" s="19"/>
      <c r="D35" s="19"/>
    </row>
    <row r="36" spans="1:5" ht="16" x14ac:dyDescent="0.2">
      <c r="A36" s="2" t="s">
        <v>34</v>
      </c>
      <c r="B36" s="4">
        <v>1275</v>
      </c>
      <c r="C36" s="19"/>
      <c r="D36" s="19"/>
    </row>
    <row r="37" spans="1:5" ht="16" x14ac:dyDescent="0.2">
      <c r="A37" s="2" t="s">
        <v>35</v>
      </c>
      <c r="B37" s="4">
        <v>9300</v>
      </c>
      <c r="C37" s="19"/>
      <c r="D37" s="19"/>
    </row>
    <row r="38" spans="1:5" ht="16" x14ac:dyDescent="0.2">
      <c r="A38" s="2" t="s">
        <v>36</v>
      </c>
      <c r="B38" s="4">
        <v>400</v>
      </c>
      <c r="C38" s="19"/>
      <c r="D38" s="19"/>
    </row>
    <row r="39" spans="1:5" ht="16" x14ac:dyDescent="0.2">
      <c r="A39" s="2" t="s">
        <v>37</v>
      </c>
      <c r="B39" s="4">
        <v>15050</v>
      </c>
      <c r="C39" s="19"/>
      <c r="D39" s="19"/>
    </row>
    <row r="40" spans="1:5" ht="16" x14ac:dyDescent="0.2">
      <c r="A40" s="2" t="s">
        <v>38</v>
      </c>
      <c r="B40" s="4">
        <v>6595</v>
      </c>
      <c r="C40" s="19"/>
      <c r="D40" s="19"/>
    </row>
    <row r="41" spans="1:5" ht="16" x14ac:dyDescent="0.2">
      <c r="A41" s="2" t="s">
        <v>39</v>
      </c>
      <c r="B41" s="4">
        <v>36100</v>
      </c>
      <c r="C41" s="19"/>
      <c r="D41" s="19"/>
    </row>
    <row r="42" spans="1:5" ht="16" x14ac:dyDescent="0.2">
      <c r="A42" s="2" t="s">
        <v>40</v>
      </c>
      <c r="B42" s="4">
        <v>18040.72</v>
      </c>
      <c r="C42" s="19"/>
      <c r="D42" s="19"/>
    </row>
    <row r="43" spans="1:5" ht="16" x14ac:dyDescent="0.2">
      <c r="A43" s="2" t="s">
        <v>41</v>
      </c>
      <c r="B43" s="4">
        <v>1350</v>
      </c>
      <c r="C43" s="19"/>
      <c r="D43" s="19"/>
    </row>
    <row r="44" spans="1:5" ht="16" x14ac:dyDescent="0.2">
      <c r="A44" s="2" t="s">
        <v>42</v>
      </c>
      <c r="B44" s="4">
        <v>250</v>
      </c>
      <c r="C44" s="19"/>
      <c r="D44" s="19"/>
    </row>
    <row r="45" spans="1:5" ht="16" x14ac:dyDescent="0.2">
      <c r="A45" s="3" t="s">
        <v>43</v>
      </c>
      <c r="B45" s="6">
        <v>482752.68</v>
      </c>
      <c r="C45" s="20"/>
    </row>
    <row r="46" spans="1:5" ht="16" x14ac:dyDescent="0.2">
      <c r="A46" s="3" t="s">
        <v>44</v>
      </c>
      <c r="B46" s="6">
        <v>5516477.4500000002</v>
      </c>
      <c r="C46" s="170"/>
      <c r="D46" s="19"/>
      <c r="E46" s="50"/>
    </row>
    <row r="47" spans="1:5" ht="16" x14ac:dyDescent="0.2">
      <c r="A47" s="3" t="s">
        <v>45</v>
      </c>
      <c r="B47" s="5"/>
    </row>
    <row r="48" spans="1:5" ht="16" x14ac:dyDescent="0.2">
      <c r="A48" s="3" t="s">
        <v>46</v>
      </c>
      <c r="B48" s="5"/>
    </row>
    <row r="49" spans="1:2" ht="16" x14ac:dyDescent="0.2">
      <c r="A49" s="2" t="s">
        <v>47</v>
      </c>
      <c r="B49" s="4">
        <v>23999.21</v>
      </c>
    </row>
    <row r="50" spans="1:2" ht="16" x14ac:dyDescent="0.2">
      <c r="A50" s="2" t="s">
        <v>48</v>
      </c>
      <c r="B50" s="4">
        <v>61573.69</v>
      </c>
    </row>
    <row r="51" spans="1:2" ht="16" x14ac:dyDescent="0.2">
      <c r="A51" s="2" t="s">
        <v>49</v>
      </c>
      <c r="B51" s="4">
        <v>8944.08</v>
      </c>
    </row>
    <row r="52" spans="1:2" ht="16" x14ac:dyDescent="0.2">
      <c r="A52" s="2" t="s">
        <v>50</v>
      </c>
      <c r="B52" s="4">
        <v>75823.399999999994</v>
      </c>
    </row>
    <row r="53" spans="1:2" ht="16" x14ac:dyDescent="0.2">
      <c r="A53" s="2" t="s">
        <v>51</v>
      </c>
      <c r="B53" s="4">
        <v>46793.13</v>
      </c>
    </row>
    <row r="54" spans="1:2" ht="16" x14ac:dyDescent="0.2">
      <c r="A54" s="2" t="s">
        <v>52</v>
      </c>
      <c r="B54" s="4">
        <v>21984.46</v>
      </c>
    </row>
    <row r="55" spans="1:2" ht="16" x14ac:dyDescent="0.2">
      <c r="A55" s="2" t="s">
        <v>53</v>
      </c>
      <c r="B55" s="4">
        <v>4100</v>
      </c>
    </row>
    <row r="56" spans="1:2" ht="16" x14ac:dyDescent="0.2">
      <c r="A56" s="2" t="s">
        <v>54</v>
      </c>
      <c r="B56" s="4">
        <v>5429.45</v>
      </c>
    </row>
    <row r="57" spans="1:2" ht="16" x14ac:dyDescent="0.2">
      <c r="A57" s="2" t="s">
        <v>55</v>
      </c>
      <c r="B57" s="4">
        <v>27231.49</v>
      </c>
    </row>
    <row r="58" spans="1:2" ht="16" x14ac:dyDescent="0.2">
      <c r="A58" s="2" t="s">
        <v>56</v>
      </c>
      <c r="B58" s="4">
        <v>7113.94</v>
      </c>
    </row>
    <row r="59" spans="1:2" ht="16" x14ac:dyDescent="0.2">
      <c r="A59" s="2" t="s">
        <v>57</v>
      </c>
      <c r="B59" s="4">
        <v>9288.3700000000008</v>
      </c>
    </row>
    <row r="60" spans="1:2" ht="16" x14ac:dyDescent="0.2">
      <c r="A60" s="3" t="s">
        <v>58</v>
      </c>
      <c r="B60" s="6">
        <v>292281.21999999997</v>
      </c>
    </row>
    <row r="61" spans="1:2" ht="16" x14ac:dyDescent="0.2">
      <c r="A61" s="3" t="s">
        <v>59</v>
      </c>
      <c r="B61" s="5"/>
    </row>
    <row r="62" spans="1:2" ht="16" x14ac:dyDescent="0.2">
      <c r="A62" s="2" t="s">
        <v>60</v>
      </c>
      <c r="B62" s="4">
        <v>172.73</v>
      </c>
    </row>
    <row r="63" spans="1:2" ht="16" x14ac:dyDescent="0.2">
      <c r="A63" s="2" t="s">
        <v>61</v>
      </c>
      <c r="B63" s="4">
        <v>-225</v>
      </c>
    </row>
    <row r="64" spans="1:2" ht="16" x14ac:dyDescent="0.2">
      <c r="A64" s="2" t="s">
        <v>62</v>
      </c>
      <c r="B64" s="4">
        <v>2988.69</v>
      </c>
    </row>
    <row r="65" spans="1:2" ht="16" x14ac:dyDescent="0.2">
      <c r="A65" s="2" t="s">
        <v>63</v>
      </c>
      <c r="B65" s="4">
        <v>1667.87</v>
      </c>
    </row>
    <row r="66" spans="1:2" ht="16" x14ac:dyDescent="0.2">
      <c r="A66" s="2" t="s">
        <v>64</v>
      </c>
      <c r="B66" s="4">
        <v>1822.21</v>
      </c>
    </row>
    <row r="67" spans="1:2" ht="16" x14ac:dyDescent="0.2">
      <c r="A67" s="2" t="s">
        <v>65</v>
      </c>
      <c r="B67" s="4">
        <v>6834.4</v>
      </c>
    </row>
    <row r="68" spans="1:2" ht="16" x14ac:dyDescent="0.2">
      <c r="A68" s="2" t="s">
        <v>66</v>
      </c>
      <c r="B68" s="4">
        <v>30576.53</v>
      </c>
    </row>
    <row r="69" spans="1:2" ht="16" x14ac:dyDescent="0.2">
      <c r="A69" s="2" t="s">
        <v>67</v>
      </c>
      <c r="B69" s="4">
        <v>191.29</v>
      </c>
    </row>
    <row r="70" spans="1:2" ht="16" x14ac:dyDescent="0.2">
      <c r="A70" s="2" t="s">
        <v>68</v>
      </c>
      <c r="B70" s="4">
        <v>96.49</v>
      </c>
    </row>
    <row r="71" spans="1:2" ht="16" x14ac:dyDescent="0.2">
      <c r="A71" s="2" t="s">
        <v>69</v>
      </c>
      <c r="B71" s="4">
        <v>2989.31</v>
      </c>
    </row>
    <row r="72" spans="1:2" ht="16" x14ac:dyDescent="0.2">
      <c r="A72" s="2" t="s">
        <v>70</v>
      </c>
      <c r="B72" s="4">
        <v>17526.150000000001</v>
      </c>
    </row>
    <row r="73" spans="1:2" ht="16" x14ac:dyDescent="0.2">
      <c r="A73" s="2" t="s">
        <v>71</v>
      </c>
      <c r="B73" s="4">
        <v>12904.94</v>
      </c>
    </row>
    <row r="74" spans="1:2" ht="16" x14ac:dyDescent="0.2">
      <c r="A74" s="2" t="s">
        <v>72</v>
      </c>
      <c r="B74" s="4">
        <v>12252.25</v>
      </c>
    </row>
    <row r="75" spans="1:2" ht="16" x14ac:dyDescent="0.2">
      <c r="A75" s="2" t="s">
        <v>73</v>
      </c>
      <c r="B75" s="4">
        <v>1376.59</v>
      </c>
    </row>
    <row r="76" spans="1:2" ht="16" x14ac:dyDescent="0.2">
      <c r="A76" s="2" t="s">
        <v>74</v>
      </c>
      <c r="B76" s="4">
        <v>954.29</v>
      </c>
    </row>
    <row r="77" spans="1:2" ht="16" x14ac:dyDescent="0.2">
      <c r="A77" s="3" t="s">
        <v>75</v>
      </c>
      <c r="B77" s="6">
        <v>92128.74</v>
      </c>
    </row>
    <row r="78" spans="1:2" ht="16" x14ac:dyDescent="0.2">
      <c r="A78" s="3" t="s">
        <v>76</v>
      </c>
      <c r="B78" s="5"/>
    </row>
    <row r="79" spans="1:2" ht="16" x14ac:dyDescent="0.2">
      <c r="A79" s="2" t="s">
        <v>77</v>
      </c>
      <c r="B79" s="4">
        <v>15361.92</v>
      </c>
    </row>
    <row r="80" spans="1:2" ht="16" x14ac:dyDescent="0.2">
      <c r="A80" s="2" t="s">
        <v>78</v>
      </c>
      <c r="B80" s="4">
        <v>12426.9</v>
      </c>
    </row>
    <row r="81" spans="1:2" ht="16" x14ac:dyDescent="0.2">
      <c r="A81" s="2" t="s">
        <v>79</v>
      </c>
      <c r="B81" s="4">
        <v>53393.77</v>
      </c>
    </row>
    <row r="82" spans="1:2" ht="16" x14ac:dyDescent="0.2">
      <c r="A82" s="2" t="s">
        <v>80</v>
      </c>
      <c r="B82" s="4">
        <v>38881.410000000003</v>
      </c>
    </row>
    <row r="83" spans="1:2" ht="16" x14ac:dyDescent="0.2">
      <c r="A83" s="2" t="s">
        <v>81</v>
      </c>
      <c r="B83" s="4">
        <v>8604.6299999999992</v>
      </c>
    </row>
    <row r="84" spans="1:2" ht="16" x14ac:dyDescent="0.2">
      <c r="A84" s="2" t="s">
        <v>82</v>
      </c>
      <c r="B84" s="4">
        <v>4798.13</v>
      </c>
    </row>
    <row r="85" spans="1:2" ht="16" x14ac:dyDescent="0.2">
      <c r="A85" s="2" t="s">
        <v>83</v>
      </c>
      <c r="B85" s="4">
        <v>26035.74</v>
      </c>
    </row>
    <row r="86" spans="1:2" ht="16" x14ac:dyDescent="0.2">
      <c r="A86" s="2" t="s">
        <v>84</v>
      </c>
      <c r="B86" s="4">
        <v>2400</v>
      </c>
    </row>
    <row r="87" spans="1:2" ht="16" x14ac:dyDescent="0.2">
      <c r="A87" s="3" t="s">
        <v>85</v>
      </c>
      <c r="B87" s="6">
        <v>161902.5</v>
      </c>
    </row>
    <row r="88" spans="1:2" ht="16" x14ac:dyDescent="0.2">
      <c r="A88" s="3" t="s">
        <v>86</v>
      </c>
      <c r="B88" s="5"/>
    </row>
    <row r="89" spans="1:2" ht="16" x14ac:dyDescent="0.2">
      <c r="A89" s="2" t="s">
        <v>87</v>
      </c>
      <c r="B89" s="4">
        <v>724.89</v>
      </c>
    </row>
    <row r="90" spans="1:2" ht="16" x14ac:dyDescent="0.2">
      <c r="A90" s="2" t="s">
        <v>88</v>
      </c>
      <c r="B90" s="4">
        <v>-79500</v>
      </c>
    </row>
    <row r="91" spans="1:2" ht="16" x14ac:dyDescent="0.2">
      <c r="A91" s="2" t="s">
        <v>89</v>
      </c>
      <c r="B91" s="4">
        <v>599.16</v>
      </c>
    </row>
    <row r="92" spans="1:2" ht="16" x14ac:dyDescent="0.2">
      <c r="A92" s="2" t="s">
        <v>90</v>
      </c>
      <c r="B92" s="4">
        <v>714.71</v>
      </c>
    </row>
    <row r="93" spans="1:2" ht="16" x14ac:dyDescent="0.2">
      <c r="A93" s="2" t="s">
        <v>91</v>
      </c>
      <c r="B93" s="4">
        <v>11083.68</v>
      </c>
    </row>
    <row r="94" spans="1:2" ht="16" x14ac:dyDescent="0.2">
      <c r="A94" s="3" t="s">
        <v>92</v>
      </c>
      <c r="B94" s="6">
        <v>-66377.56</v>
      </c>
    </row>
    <row r="95" spans="1:2" ht="16" x14ac:dyDescent="0.2">
      <c r="A95" s="3" t="s">
        <v>93</v>
      </c>
      <c r="B95" s="5"/>
    </row>
    <row r="96" spans="1:2" ht="16" x14ac:dyDescent="0.2">
      <c r="A96" s="2" t="s">
        <v>94</v>
      </c>
      <c r="B96" s="4">
        <v>102255.12</v>
      </c>
    </row>
    <row r="97" spans="1:2" ht="16" x14ac:dyDescent="0.2">
      <c r="A97" s="2" t="s">
        <v>95</v>
      </c>
      <c r="B97" s="4">
        <v>2060.42</v>
      </c>
    </row>
    <row r="98" spans="1:2" ht="16" x14ac:dyDescent="0.2">
      <c r="A98" s="2" t="s">
        <v>96</v>
      </c>
      <c r="B98" s="4">
        <v>24643.74</v>
      </c>
    </row>
    <row r="99" spans="1:2" ht="16" x14ac:dyDescent="0.2">
      <c r="A99" s="2" t="s">
        <v>97</v>
      </c>
      <c r="B99" s="4">
        <v>2928.32</v>
      </c>
    </row>
    <row r="100" spans="1:2" ht="16" x14ac:dyDescent="0.2">
      <c r="A100" s="2" t="s">
        <v>98</v>
      </c>
      <c r="B100" s="4">
        <v>190.24</v>
      </c>
    </row>
    <row r="101" spans="1:2" ht="16" x14ac:dyDescent="0.2">
      <c r="A101" s="2" t="s">
        <v>99</v>
      </c>
      <c r="B101" s="4">
        <v>549.75</v>
      </c>
    </row>
    <row r="102" spans="1:2" ht="16" x14ac:dyDescent="0.2">
      <c r="A102" s="3" t="s">
        <v>100</v>
      </c>
      <c r="B102" s="6">
        <v>132627.59</v>
      </c>
    </row>
    <row r="103" spans="1:2" ht="16" x14ac:dyDescent="0.2">
      <c r="A103" s="3" t="s">
        <v>101</v>
      </c>
      <c r="B103" s="5"/>
    </row>
    <row r="104" spans="1:2" ht="16" x14ac:dyDescent="0.2">
      <c r="A104" s="2" t="s">
        <v>102</v>
      </c>
      <c r="B104" s="4">
        <v>743.85</v>
      </c>
    </row>
    <row r="105" spans="1:2" ht="16" x14ac:dyDescent="0.2">
      <c r="A105" s="2" t="s">
        <v>103</v>
      </c>
      <c r="B105" s="4">
        <v>2022.93</v>
      </c>
    </row>
    <row r="106" spans="1:2" ht="16" x14ac:dyDescent="0.2">
      <c r="A106" s="2" t="s">
        <v>104</v>
      </c>
      <c r="B106" s="4">
        <v>11473.71</v>
      </c>
    </row>
    <row r="107" spans="1:2" ht="16" x14ac:dyDescent="0.2">
      <c r="A107" s="2" t="s">
        <v>105</v>
      </c>
      <c r="B107" s="4">
        <v>2459.2800000000002</v>
      </c>
    </row>
    <row r="108" spans="1:2" ht="16" x14ac:dyDescent="0.2">
      <c r="A108" s="3" t="s">
        <v>106</v>
      </c>
      <c r="B108" s="6">
        <v>16699.77</v>
      </c>
    </row>
    <row r="109" spans="1:2" ht="16" x14ac:dyDescent="0.2">
      <c r="A109" s="3" t="s">
        <v>107</v>
      </c>
      <c r="B109" s="5"/>
    </row>
    <row r="110" spans="1:2" ht="16" x14ac:dyDescent="0.2">
      <c r="A110" s="2" t="s">
        <v>108</v>
      </c>
      <c r="B110" s="4">
        <v>15652</v>
      </c>
    </row>
    <row r="111" spans="1:2" ht="16" x14ac:dyDescent="0.2">
      <c r="A111" s="2" t="s">
        <v>109</v>
      </c>
      <c r="B111" s="4">
        <v>2461.9</v>
      </c>
    </row>
    <row r="112" spans="1:2" ht="16" x14ac:dyDescent="0.2">
      <c r="A112" s="2" t="s">
        <v>110</v>
      </c>
      <c r="B112" s="4">
        <v>-400</v>
      </c>
    </row>
    <row r="113" spans="1:2" ht="16" x14ac:dyDescent="0.2">
      <c r="A113" s="2" t="s">
        <v>111</v>
      </c>
      <c r="B113" s="4">
        <v>2716.64</v>
      </c>
    </row>
    <row r="114" spans="1:2" ht="16" x14ac:dyDescent="0.2">
      <c r="A114" s="2" t="s">
        <v>112</v>
      </c>
      <c r="B114" s="4">
        <v>22450.98</v>
      </c>
    </row>
    <row r="115" spans="1:2" ht="16" x14ac:dyDescent="0.2">
      <c r="A115" s="2" t="s">
        <v>113</v>
      </c>
      <c r="B115" s="4">
        <v>2641.27</v>
      </c>
    </row>
    <row r="116" spans="1:2" ht="16" x14ac:dyDescent="0.2">
      <c r="A116" s="2" t="s">
        <v>114</v>
      </c>
      <c r="B116" s="4">
        <v>18153.55</v>
      </c>
    </row>
    <row r="117" spans="1:2" ht="16" x14ac:dyDescent="0.2">
      <c r="A117" s="2" t="s">
        <v>115</v>
      </c>
      <c r="B117" s="4">
        <v>1152.3499999999999</v>
      </c>
    </row>
    <row r="118" spans="1:2" ht="16" x14ac:dyDescent="0.2">
      <c r="A118" s="2" t="s">
        <v>116</v>
      </c>
      <c r="B118" s="4">
        <v>1317.23</v>
      </c>
    </row>
    <row r="119" spans="1:2" ht="16" x14ac:dyDescent="0.2">
      <c r="A119" s="3" t="s">
        <v>117</v>
      </c>
      <c r="B119" s="6">
        <v>66145.919999999998</v>
      </c>
    </row>
    <row r="120" spans="1:2" ht="16" x14ac:dyDescent="0.2">
      <c r="A120" s="3" t="s">
        <v>118</v>
      </c>
      <c r="B120" s="5"/>
    </row>
    <row r="121" spans="1:2" ht="16" x14ac:dyDescent="0.2">
      <c r="A121" s="2" t="s">
        <v>119</v>
      </c>
      <c r="B121" s="4">
        <v>14143.21</v>
      </c>
    </row>
    <row r="122" spans="1:2" ht="16" x14ac:dyDescent="0.2">
      <c r="A122" s="2" t="s">
        <v>120</v>
      </c>
      <c r="B122" s="4">
        <v>54443.77</v>
      </c>
    </row>
    <row r="123" spans="1:2" ht="16" x14ac:dyDescent="0.2">
      <c r="A123" s="2" t="s">
        <v>121</v>
      </c>
      <c r="B123" s="4">
        <v>13365.68</v>
      </c>
    </row>
    <row r="124" spans="1:2" ht="16" x14ac:dyDescent="0.2">
      <c r="A124" s="2" t="s">
        <v>122</v>
      </c>
      <c r="B124" s="4">
        <v>48022.38</v>
      </c>
    </row>
    <row r="125" spans="1:2" ht="16" x14ac:dyDescent="0.2">
      <c r="A125" s="3" t="s">
        <v>123</v>
      </c>
      <c r="B125" s="6">
        <v>129975.03999999999</v>
      </c>
    </row>
    <row r="126" spans="1:2" ht="16" x14ac:dyDescent="0.2">
      <c r="A126" s="3" t="s">
        <v>124</v>
      </c>
      <c r="B126" s="5"/>
    </row>
    <row r="127" spans="1:2" ht="16" x14ac:dyDescent="0.2">
      <c r="A127" s="2" t="s">
        <v>125</v>
      </c>
      <c r="B127" s="4">
        <v>168000</v>
      </c>
    </row>
    <row r="128" spans="1:2" ht="16" x14ac:dyDescent="0.2">
      <c r="A128" s="3" t="s">
        <v>126</v>
      </c>
      <c r="B128" s="6">
        <v>168000</v>
      </c>
    </row>
    <row r="129" spans="1:15" ht="16" x14ac:dyDescent="0.2">
      <c r="A129" s="3" t="s">
        <v>127</v>
      </c>
      <c r="B129" s="5"/>
      <c r="F129" s="8"/>
    </row>
    <row r="130" spans="1:15" ht="16" x14ac:dyDescent="0.2">
      <c r="A130" s="2" t="s">
        <v>128</v>
      </c>
      <c r="B130" s="4">
        <v>168121.99</v>
      </c>
    </row>
    <row r="131" spans="1:15" ht="16" x14ac:dyDescent="0.2">
      <c r="A131" s="2" t="s">
        <v>129</v>
      </c>
      <c r="B131" s="4">
        <v>8017.94</v>
      </c>
    </row>
    <row r="132" spans="1:15" ht="16" x14ac:dyDescent="0.2">
      <c r="A132" s="2" t="s">
        <v>130</v>
      </c>
      <c r="B132" s="4">
        <v>5536.64</v>
      </c>
    </row>
    <row r="133" spans="1:15" ht="16" x14ac:dyDescent="0.2">
      <c r="A133" s="2" t="s">
        <v>131</v>
      </c>
      <c r="B133" s="4">
        <v>6487.5</v>
      </c>
    </row>
    <row r="134" spans="1:15" ht="16" x14ac:dyDescent="0.2">
      <c r="A134" s="3" t="s">
        <v>132</v>
      </c>
      <c r="B134" s="6">
        <v>188164.07</v>
      </c>
    </row>
    <row r="135" spans="1:15" ht="16" x14ac:dyDescent="0.2">
      <c r="A135" s="3" t="s">
        <v>133</v>
      </c>
      <c r="B135" s="5"/>
    </row>
    <row r="136" spans="1:15" ht="16" x14ac:dyDescent="0.2">
      <c r="A136" s="2" t="s">
        <v>134</v>
      </c>
      <c r="B136" s="4">
        <v>548581.38</v>
      </c>
      <c r="L136" s="8"/>
    </row>
    <row r="137" spans="1:15" ht="16" x14ac:dyDescent="0.2">
      <c r="A137" s="3" t="s">
        <v>135</v>
      </c>
      <c r="B137" s="6">
        <v>548581.38</v>
      </c>
      <c r="C137" s="124">
        <f>B137+B134+B128+B125+B119+B108+B102+B94+B87+B77+B60</f>
        <v>1730128.67</v>
      </c>
      <c r="D137" s="170"/>
      <c r="L137" s="8"/>
    </row>
    <row r="138" spans="1:15" ht="16" x14ac:dyDescent="0.2">
      <c r="A138" s="3" t="s">
        <v>136</v>
      </c>
      <c r="B138" s="5"/>
      <c r="L138" s="9"/>
    </row>
    <row r="139" spans="1:15" ht="16" x14ac:dyDescent="0.2">
      <c r="A139" s="2" t="s">
        <v>137</v>
      </c>
      <c r="B139" s="4">
        <v>1852550</v>
      </c>
    </row>
    <row r="140" spans="1:15" ht="16" x14ac:dyDescent="0.2">
      <c r="A140" s="3" t="s">
        <v>138</v>
      </c>
      <c r="B140" s="6">
        <v>1852550</v>
      </c>
      <c r="N140" s="8"/>
    </row>
    <row r="141" spans="1:15" ht="16" x14ac:dyDescent="0.2">
      <c r="A141" s="2" t="s">
        <v>139</v>
      </c>
      <c r="B141" s="4">
        <v>41670.620000000003</v>
      </c>
      <c r="D141" s="10"/>
      <c r="E141" s="10"/>
      <c r="F141" s="10"/>
      <c r="G141" s="10"/>
      <c r="H141" s="10"/>
      <c r="I141" s="10"/>
      <c r="J141" s="10"/>
      <c r="N141" s="8"/>
    </row>
    <row r="142" spans="1:15" ht="16" x14ac:dyDescent="0.2">
      <c r="A142" s="3" t="s">
        <v>140</v>
      </c>
      <c r="B142" s="6">
        <v>3624349.29</v>
      </c>
      <c r="D142" s="10"/>
      <c r="E142" s="11"/>
      <c r="F142" s="12"/>
      <c r="G142" s="12"/>
      <c r="H142" s="12"/>
      <c r="I142" s="10"/>
      <c r="J142" s="12"/>
      <c r="N142" s="8"/>
    </row>
    <row r="143" spans="1:15" ht="16" x14ac:dyDescent="0.2">
      <c r="A143" s="2"/>
      <c r="B143" s="4"/>
      <c r="D143" s="10"/>
      <c r="E143" s="10"/>
      <c r="F143" s="10"/>
      <c r="G143" s="10"/>
      <c r="H143" s="10"/>
      <c r="I143" s="10"/>
      <c r="J143" s="10"/>
      <c r="N143" s="8"/>
      <c r="O143" s="8"/>
    </row>
    <row r="144" spans="1:15" ht="16" x14ac:dyDescent="0.2">
      <c r="A144" s="3" t="s">
        <v>141</v>
      </c>
      <c r="B144" s="5">
        <v>1892128.16</v>
      </c>
      <c r="C144" s="124"/>
      <c r="D144" s="10"/>
      <c r="E144" s="10"/>
      <c r="F144" s="10"/>
      <c r="G144" s="10"/>
      <c r="H144" s="10"/>
      <c r="I144" s="10"/>
      <c r="J144" s="10"/>
    </row>
    <row r="145" spans="1:10" ht="16" x14ac:dyDescent="0.2">
      <c r="A145" s="2"/>
      <c r="B145" s="4"/>
      <c r="D145" s="13"/>
      <c r="E145" s="12"/>
      <c r="F145" s="12"/>
      <c r="G145" s="12"/>
      <c r="H145" s="12"/>
      <c r="I145" s="12"/>
      <c r="J145" s="12"/>
    </row>
    <row r="146" spans="1:10" ht="16" x14ac:dyDescent="0.2">
      <c r="A146" s="2" t="s">
        <v>142</v>
      </c>
      <c r="B146" s="4">
        <v>5516477.4500000002</v>
      </c>
      <c r="D146" s="13"/>
      <c r="E146" s="12"/>
      <c r="F146" s="12"/>
      <c r="G146" s="12"/>
      <c r="H146" s="12"/>
      <c r="I146" s="12"/>
      <c r="J146" s="12"/>
    </row>
    <row r="147" spans="1:10" ht="16" x14ac:dyDescent="0.2">
      <c r="A147" s="2" t="s">
        <v>143</v>
      </c>
      <c r="B147" s="4">
        <v>3624349.29</v>
      </c>
      <c r="D147" s="13"/>
      <c r="E147" s="12"/>
      <c r="F147" s="12"/>
      <c r="G147" s="12"/>
      <c r="H147" s="12"/>
      <c r="I147" s="12"/>
      <c r="J147" s="12"/>
    </row>
    <row r="148" spans="1:10" ht="16" x14ac:dyDescent="0.2">
      <c r="A148" s="2"/>
      <c r="B148" s="4"/>
      <c r="D148" s="13"/>
      <c r="E148" s="12"/>
      <c r="F148" s="12"/>
      <c r="G148" s="12"/>
      <c r="H148" s="12"/>
      <c r="I148" s="12"/>
      <c r="J148" s="12"/>
    </row>
    <row r="149" spans="1:10" ht="16" x14ac:dyDescent="0.2">
      <c r="A149" s="3" t="s">
        <v>144</v>
      </c>
      <c r="B149" s="7">
        <v>1892128.16</v>
      </c>
      <c r="D149" s="13"/>
      <c r="E149" s="12"/>
      <c r="F149" s="12"/>
      <c r="G149" s="12"/>
      <c r="H149" s="12"/>
      <c r="I149" s="12"/>
      <c r="J149" s="12"/>
    </row>
    <row r="150" spans="1:10" x14ac:dyDescent="0.15">
      <c r="D150" s="13"/>
      <c r="E150" s="12"/>
      <c r="F150" s="12"/>
      <c r="G150" s="12"/>
      <c r="H150" s="12"/>
      <c r="I150" s="12"/>
      <c r="J150" s="12"/>
    </row>
    <row r="151" spans="1:10" x14ac:dyDescent="0.15">
      <c r="D151" s="13"/>
      <c r="E151" s="12"/>
      <c r="F151" s="12"/>
      <c r="G151" s="12"/>
      <c r="H151" s="12"/>
      <c r="I151" s="12"/>
      <c r="J151" s="12"/>
    </row>
    <row r="152" spans="1:10" x14ac:dyDescent="0.15">
      <c r="D152" s="13"/>
      <c r="E152" s="12"/>
      <c r="F152" s="12"/>
      <c r="G152" s="12"/>
      <c r="H152" s="12"/>
      <c r="I152" s="12"/>
      <c r="J152" s="12"/>
    </row>
    <row r="153" spans="1:10" x14ac:dyDescent="0.15">
      <c r="D153" s="13"/>
      <c r="E153" s="12"/>
      <c r="F153" s="12"/>
      <c r="G153" s="12"/>
      <c r="H153" s="12"/>
      <c r="I153" s="12"/>
      <c r="J153" s="12"/>
    </row>
    <row r="154" spans="1:10" x14ac:dyDescent="0.15">
      <c r="D154" s="13"/>
      <c r="E154" s="12"/>
      <c r="F154" s="12"/>
      <c r="G154" s="12"/>
      <c r="H154" s="12"/>
      <c r="I154" s="12"/>
      <c r="J154" s="12"/>
    </row>
    <row r="155" spans="1:10" x14ac:dyDescent="0.15">
      <c r="D155" s="13"/>
      <c r="E155" s="12"/>
      <c r="F155" s="12"/>
      <c r="G155" s="12"/>
      <c r="H155" s="12"/>
      <c r="I155" s="12"/>
      <c r="J155" s="12"/>
    </row>
    <row r="156" spans="1:10" x14ac:dyDescent="0.15">
      <c r="D156" s="13"/>
      <c r="E156" s="12"/>
      <c r="F156" s="12"/>
      <c r="G156" s="12"/>
      <c r="H156" s="12"/>
      <c r="I156" s="12"/>
      <c r="J156" s="12"/>
    </row>
    <row r="157" spans="1:10" x14ac:dyDescent="0.15">
      <c r="D157" s="13"/>
      <c r="E157" s="12"/>
      <c r="F157" s="12"/>
      <c r="G157" s="12"/>
      <c r="H157" s="12"/>
      <c r="I157" s="12"/>
      <c r="J157" s="12"/>
    </row>
    <row r="158" spans="1:10" x14ac:dyDescent="0.15">
      <c r="D158" s="13"/>
      <c r="E158" s="12"/>
      <c r="F158" s="12"/>
      <c r="G158" s="12"/>
      <c r="H158" s="12"/>
      <c r="I158" s="12"/>
      <c r="J158" s="12"/>
    </row>
    <row r="159" spans="1:10" x14ac:dyDescent="0.15">
      <c r="D159" s="13"/>
      <c r="E159" s="12"/>
      <c r="F159" s="12"/>
      <c r="G159" s="12"/>
      <c r="H159" s="12"/>
      <c r="I159" s="12"/>
      <c r="J159" s="12"/>
    </row>
    <row r="160" spans="1:10" x14ac:dyDescent="0.15">
      <c r="D160" s="10"/>
      <c r="E160" s="10"/>
      <c r="F160" s="10"/>
      <c r="G160" s="10"/>
      <c r="H160" s="10"/>
      <c r="I160" s="12"/>
      <c r="J160" s="10"/>
    </row>
    <row r="161" spans="8:10" x14ac:dyDescent="0.15">
      <c r="H161" s="10"/>
    </row>
    <row r="162" spans="8:10" x14ac:dyDescent="0.15">
      <c r="J162" s="8"/>
    </row>
  </sheetData>
  <mergeCells count="11">
    <mergeCell ref="A11:B11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604B-0CFF-8842-BBED-9DBF1372586C}">
  <dimension ref="A1:I228"/>
  <sheetViews>
    <sheetView showWhiteSpace="0" workbookViewId="0">
      <selection activeCell="D26" sqref="D26"/>
    </sheetView>
  </sheetViews>
  <sheetFormatPr baseColWidth="10" defaultColWidth="8.83203125" defaultRowHeight="14" x14ac:dyDescent="0.15"/>
  <cols>
    <col min="1" max="1" width="26.6640625" bestFit="1" customWidth="1"/>
    <col min="2" max="2" width="37.1640625" bestFit="1" customWidth="1"/>
    <col min="3" max="3" width="30.6640625" bestFit="1" customWidth="1"/>
    <col min="4" max="4" width="27.33203125" bestFit="1" customWidth="1"/>
    <col min="5" max="5" width="21.6640625" bestFit="1" customWidth="1"/>
    <col min="6" max="6" width="25.33203125" bestFit="1" customWidth="1"/>
    <col min="7" max="7" width="21.5" bestFit="1" customWidth="1"/>
    <col min="8" max="8" width="19.5" bestFit="1" customWidth="1"/>
    <col min="9" max="9" width="21.6640625" bestFit="1" customWidth="1"/>
  </cols>
  <sheetData>
    <row r="1" spans="1:9" ht="23" x14ac:dyDescent="0.25">
      <c r="A1" s="260" t="s">
        <v>585</v>
      </c>
      <c r="B1" s="260"/>
      <c r="C1" s="260"/>
      <c r="D1" s="260"/>
      <c r="E1" s="260"/>
      <c r="F1" s="260"/>
      <c r="G1" s="260"/>
      <c r="H1" s="260"/>
      <c r="I1" s="260"/>
    </row>
    <row r="2" spans="1:9" x14ac:dyDescent="0.15">
      <c r="A2" s="256" t="s">
        <v>584</v>
      </c>
      <c r="B2" s="256"/>
      <c r="C2" s="256"/>
      <c r="D2" s="256"/>
      <c r="E2" s="256"/>
      <c r="F2" s="256"/>
      <c r="G2" s="256"/>
      <c r="H2" s="256"/>
      <c r="I2" s="256"/>
    </row>
    <row r="3" spans="1:9" x14ac:dyDescent="0.15">
      <c r="A3" s="256"/>
      <c r="B3" s="256"/>
      <c r="C3" s="256"/>
      <c r="D3" s="256"/>
      <c r="E3" s="256"/>
      <c r="F3" s="256"/>
      <c r="G3" s="256"/>
      <c r="H3" s="256"/>
      <c r="I3" s="256"/>
    </row>
    <row r="4" spans="1:9" ht="17" x14ac:dyDescent="0.15">
      <c r="A4" s="258" t="s">
        <v>583</v>
      </c>
      <c r="B4" s="258"/>
      <c r="C4" s="258"/>
      <c r="D4" s="258"/>
      <c r="E4" s="258"/>
      <c r="F4" s="258"/>
      <c r="G4" s="258"/>
      <c r="H4" s="258"/>
      <c r="I4" s="258"/>
    </row>
    <row r="5" spans="1:9" ht="17" x14ac:dyDescent="0.15">
      <c r="A5" s="258" t="s">
        <v>582</v>
      </c>
      <c r="B5" s="258"/>
      <c r="C5" s="258"/>
      <c r="D5" s="258"/>
      <c r="E5" s="258"/>
      <c r="F5" s="258"/>
      <c r="G5" s="258"/>
      <c r="H5" s="258"/>
      <c r="I5" s="258"/>
    </row>
    <row r="6" spans="1:9" ht="17" x14ac:dyDescent="0.15">
      <c r="A6" s="258" t="s">
        <v>581</v>
      </c>
      <c r="B6" s="258"/>
      <c r="C6" s="258"/>
      <c r="D6" s="258"/>
      <c r="E6" s="258"/>
      <c r="F6" s="258"/>
      <c r="G6" s="258"/>
      <c r="H6" s="258"/>
      <c r="I6" s="258"/>
    </row>
    <row r="7" spans="1:9" ht="17" x14ac:dyDescent="0.15">
      <c r="A7" s="258" t="s">
        <v>580</v>
      </c>
      <c r="B7" s="258"/>
      <c r="C7" s="258"/>
      <c r="D7" s="258"/>
      <c r="E7" s="258"/>
      <c r="F7" s="258"/>
      <c r="G7" s="258"/>
      <c r="H7" s="258"/>
      <c r="I7" s="258"/>
    </row>
    <row r="8" spans="1:9" x14ac:dyDescent="0.15">
      <c r="A8" s="256"/>
      <c r="B8" s="256"/>
      <c r="C8" s="256"/>
      <c r="D8" s="256"/>
      <c r="E8" s="256"/>
      <c r="F8" s="256"/>
      <c r="G8" s="256"/>
      <c r="H8" s="256"/>
      <c r="I8" s="256"/>
    </row>
    <row r="9" spans="1:9" ht="17" x14ac:dyDescent="0.2">
      <c r="A9" s="1" t="s">
        <v>579</v>
      </c>
      <c r="B9" s="1" t="s">
        <v>578</v>
      </c>
      <c r="C9" s="1" t="s">
        <v>577</v>
      </c>
      <c r="D9" s="1" t="s">
        <v>576</v>
      </c>
      <c r="E9" s="1" t="s">
        <v>575</v>
      </c>
      <c r="F9" s="1" t="s">
        <v>574</v>
      </c>
      <c r="G9" s="1" t="s">
        <v>573</v>
      </c>
      <c r="H9" s="1" t="s">
        <v>572</v>
      </c>
      <c r="I9" s="1" t="s">
        <v>571</v>
      </c>
    </row>
    <row r="10" spans="1:9" ht="16" x14ac:dyDescent="0.2">
      <c r="A10" s="259" t="s">
        <v>570</v>
      </c>
      <c r="B10" s="259" t="s">
        <v>569</v>
      </c>
      <c r="C10" s="259" t="s">
        <v>569</v>
      </c>
      <c r="D10" s="259" t="s">
        <v>569</v>
      </c>
      <c r="E10" s="259" t="s">
        <v>569</v>
      </c>
      <c r="F10" s="259" t="s">
        <v>569</v>
      </c>
      <c r="G10" s="259" t="s">
        <v>569</v>
      </c>
      <c r="H10" s="259" t="s">
        <v>569</v>
      </c>
      <c r="I10" s="259" t="s">
        <v>569</v>
      </c>
    </row>
    <row r="11" spans="1:9" ht="16" x14ac:dyDescent="0.2">
      <c r="A11" s="2" t="s">
        <v>568</v>
      </c>
      <c r="B11" s="2" t="s">
        <v>567</v>
      </c>
      <c r="C11" s="2" t="s">
        <v>175</v>
      </c>
      <c r="D11" s="16">
        <v>2060</v>
      </c>
      <c r="E11" s="16">
        <v>1945</v>
      </c>
      <c r="F11" s="17">
        <v>44434</v>
      </c>
      <c r="G11" s="17">
        <v>45747</v>
      </c>
      <c r="H11" s="17">
        <v>44434</v>
      </c>
      <c r="I11" s="16">
        <v>0</v>
      </c>
    </row>
    <row r="12" spans="1:9" ht="16" x14ac:dyDescent="0.2">
      <c r="A12" s="2" t="s">
        <v>566</v>
      </c>
      <c r="B12" s="2" t="s">
        <v>565</v>
      </c>
      <c r="C12" s="2" t="s">
        <v>175</v>
      </c>
      <c r="D12" s="16">
        <v>2095</v>
      </c>
      <c r="E12" s="16">
        <v>2095</v>
      </c>
      <c r="F12" s="17">
        <v>44974</v>
      </c>
      <c r="G12" s="17">
        <v>46081</v>
      </c>
      <c r="H12" s="17">
        <v>44974</v>
      </c>
      <c r="I12" s="16">
        <v>61.5</v>
      </c>
    </row>
    <row r="13" spans="1:9" ht="16" x14ac:dyDescent="0.2">
      <c r="A13" s="2" t="s">
        <v>564</v>
      </c>
      <c r="B13" s="2" t="s">
        <v>563</v>
      </c>
      <c r="C13" s="2" t="s">
        <v>175</v>
      </c>
      <c r="D13" s="16">
        <v>2550</v>
      </c>
      <c r="E13" s="16">
        <v>2440</v>
      </c>
      <c r="F13" s="17">
        <v>45564</v>
      </c>
      <c r="G13" s="17">
        <v>45930</v>
      </c>
      <c r="H13" s="17">
        <v>45564</v>
      </c>
      <c r="I13" s="16">
        <v>0</v>
      </c>
    </row>
    <row r="14" spans="1:9" ht="16" x14ac:dyDescent="0.2">
      <c r="A14" s="2" t="s">
        <v>562</v>
      </c>
      <c r="B14" s="2" t="s">
        <v>561</v>
      </c>
      <c r="C14" s="2" t="s">
        <v>175</v>
      </c>
      <c r="D14" s="16">
        <v>2455</v>
      </c>
      <c r="E14" s="16">
        <v>2350</v>
      </c>
      <c r="F14" s="17">
        <v>45381</v>
      </c>
      <c r="G14" s="17">
        <v>46112</v>
      </c>
      <c r="H14" s="17">
        <v>45381</v>
      </c>
      <c r="I14" s="16">
        <v>0</v>
      </c>
    </row>
    <row r="15" spans="1:9" ht="16" x14ac:dyDescent="0.2">
      <c r="A15" s="2" t="s">
        <v>560</v>
      </c>
      <c r="B15" s="2" t="s">
        <v>559</v>
      </c>
      <c r="C15" s="2" t="s">
        <v>175</v>
      </c>
      <c r="D15" s="16">
        <v>2275</v>
      </c>
      <c r="E15" s="16">
        <v>2195</v>
      </c>
      <c r="F15" s="17">
        <v>45658</v>
      </c>
      <c r="G15" s="17">
        <v>46022</v>
      </c>
      <c r="H15" s="17">
        <v>45658</v>
      </c>
      <c r="I15" s="16">
        <v>0</v>
      </c>
    </row>
    <row r="16" spans="1:9" ht="16" x14ac:dyDescent="0.2">
      <c r="A16" s="2" t="s">
        <v>558</v>
      </c>
      <c r="B16" s="2" t="s">
        <v>557</v>
      </c>
      <c r="C16" s="2" t="s">
        <v>272</v>
      </c>
      <c r="D16" s="16">
        <v>2160</v>
      </c>
      <c r="E16" s="16">
        <v>2040</v>
      </c>
      <c r="F16" s="17">
        <v>45383</v>
      </c>
      <c r="G16" s="17">
        <v>45747</v>
      </c>
      <c r="H16" s="17">
        <v>45383</v>
      </c>
      <c r="I16" s="16">
        <v>0</v>
      </c>
    </row>
    <row r="17" spans="1:9" ht="16" x14ac:dyDescent="0.2">
      <c r="A17" s="2" t="s">
        <v>556</v>
      </c>
      <c r="B17" s="2" t="s">
        <v>555</v>
      </c>
      <c r="C17" s="2" t="s">
        <v>175</v>
      </c>
      <c r="D17" s="16">
        <v>2080</v>
      </c>
      <c r="E17" s="16">
        <v>2080</v>
      </c>
      <c r="F17" s="17">
        <v>45627</v>
      </c>
      <c r="G17" s="17">
        <v>45991</v>
      </c>
      <c r="H17" s="17">
        <v>45627</v>
      </c>
      <c r="I17" s="16">
        <v>0</v>
      </c>
    </row>
    <row r="18" spans="1:9" ht="16" x14ac:dyDescent="0.2">
      <c r="A18" s="2" t="s">
        <v>554</v>
      </c>
      <c r="B18" s="2" t="s">
        <v>553</v>
      </c>
      <c r="C18" s="2" t="s">
        <v>175</v>
      </c>
      <c r="D18" s="16">
        <v>2450</v>
      </c>
      <c r="E18" s="16">
        <v>2350</v>
      </c>
      <c r="F18" s="17">
        <v>45505</v>
      </c>
      <c r="G18" s="17">
        <v>45869</v>
      </c>
      <c r="H18" s="17">
        <v>45505</v>
      </c>
      <c r="I18" s="16">
        <v>0</v>
      </c>
    </row>
    <row r="19" spans="1:9" ht="16" x14ac:dyDescent="0.2">
      <c r="A19" s="2" t="s">
        <v>552</v>
      </c>
      <c r="B19" s="2" t="s">
        <v>551</v>
      </c>
      <c r="C19" s="2" t="s">
        <v>175</v>
      </c>
      <c r="D19" s="16">
        <v>2055</v>
      </c>
      <c r="E19" s="16">
        <v>1975</v>
      </c>
      <c r="F19" s="17">
        <v>45564</v>
      </c>
      <c r="G19" s="17">
        <v>45838</v>
      </c>
      <c r="H19" s="17">
        <v>45564</v>
      </c>
      <c r="I19" s="16">
        <v>0</v>
      </c>
    </row>
    <row r="20" spans="1:9" ht="16" x14ac:dyDescent="0.2">
      <c r="A20" s="2" t="s">
        <v>550</v>
      </c>
      <c r="B20" s="2" t="s">
        <v>549</v>
      </c>
      <c r="C20" s="2" t="s">
        <v>175</v>
      </c>
      <c r="D20" s="16">
        <v>2100</v>
      </c>
      <c r="E20" s="16">
        <v>1975</v>
      </c>
      <c r="F20" s="17">
        <v>44440</v>
      </c>
      <c r="G20" s="17">
        <v>45930</v>
      </c>
      <c r="H20" s="17">
        <v>44440</v>
      </c>
      <c r="I20" s="16">
        <v>0</v>
      </c>
    </row>
    <row r="21" spans="1:9" ht="16" x14ac:dyDescent="0.2">
      <c r="A21" s="2" t="s">
        <v>548</v>
      </c>
      <c r="B21" s="2" t="s">
        <v>547</v>
      </c>
      <c r="C21" s="2" t="s">
        <v>175</v>
      </c>
      <c r="D21" s="16">
        <v>2180</v>
      </c>
      <c r="E21" s="16">
        <v>2025</v>
      </c>
      <c r="F21" s="17">
        <v>44925</v>
      </c>
      <c r="G21" s="17">
        <v>45838</v>
      </c>
      <c r="H21" s="17">
        <v>44925</v>
      </c>
      <c r="I21" s="16">
        <v>2178</v>
      </c>
    </row>
    <row r="22" spans="1:9" ht="16" x14ac:dyDescent="0.2">
      <c r="A22" s="2" t="s">
        <v>546</v>
      </c>
      <c r="B22" s="2" t="s">
        <v>545</v>
      </c>
      <c r="C22" s="2" t="s">
        <v>175</v>
      </c>
      <c r="D22" s="16">
        <v>2195</v>
      </c>
      <c r="E22" s="16">
        <v>2095</v>
      </c>
      <c r="F22" s="17">
        <v>45536</v>
      </c>
      <c r="G22" s="17">
        <v>45900</v>
      </c>
      <c r="H22" s="17">
        <v>45536</v>
      </c>
      <c r="I22" s="16">
        <v>2248</v>
      </c>
    </row>
    <row r="23" spans="1:9" ht="16" x14ac:dyDescent="0.2">
      <c r="A23" s="2" t="s">
        <v>544</v>
      </c>
      <c r="B23" s="2" t="s">
        <v>543</v>
      </c>
      <c r="C23" s="2" t="s">
        <v>175</v>
      </c>
      <c r="D23" s="16">
        <v>2350</v>
      </c>
      <c r="E23" s="16">
        <v>2265</v>
      </c>
      <c r="F23" s="17">
        <v>45275</v>
      </c>
      <c r="G23" s="17">
        <v>45991</v>
      </c>
      <c r="H23" s="17">
        <v>45275</v>
      </c>
      <c r="I23" s="16">
        <v>2566</v>
      </c>
    </row>
    <row r="24" spans="1:9" ht="16" x14ac:dyDescent="0.2">
      <c r="A24" s="2" t="s">
        <v>542</v>
      </c>
      <c r="B24" s="2" t="s">
        <v>541</v>
      </c>
      <c r="C24" s="2" t="s">
        <v>175</v>
      </c>
      <c r="D24" s="16">
        <v>2455</v>
      </c>
      <c r="E24" s="16">
        <v>2350</v>
      </c>
      <c r="F24" s="17">
        <v>45077</v>
      </c>
      <c r="G24" s="17">
        <v>45808</v>
      </c>
      <c r="H24" s="17">
        <v>45077</v>
      </c>
      <c r="I24" s="16">
        <v>2603</v>
      </c>
    </row>
    <row r="25" spans="1:9" ht="16" x14ac:dyDescent="0.2">
      <c r="A25" s="2" t="s">
        <v>540</v>
      </c>
      <c r="B25" s="2" t="s">
        <v>539</v>
      </c>
      <c r="C25" s="2" t="s">
        <v>175</v>
      </c>
      <c r="D25" s="16">
        <v>2255</v>
      </c>
      <c r="E25" s="16">
        <v>2140</v>
      </c>
      <c r="F25" s="17">
        <v>45397</v>
      </c>
      <c r="G25" s="17">
        <v>45777</v>
      </c>
      <c r="H25" s="17">
        <v>45397</v>
      </c>
      <c r="I25" s="16">
        <v>0</v>
      </c>
    </row>
    <row r="26" spans="1:9" ht="16" x14ac:dyDescent="0.2">
      <c r="A26" s="2" t="s">
        <v>538</v>
      </c>
      <c r="B26" s="2" t="s">
        <v>537</v>
      </c>
      <c r="C26" s="2" t="s">
        <v>175</v>
      </c>
      <c r="D26" s="16">
        <v>2340</v>
      </c>
      <c r="E26" s="16">
        <v>2240</v>
      </c>
      <c r="F26" s="17">
        <v>45402</v>
      </c>
      <c r="G26" s="17">
        <v>45777</v>
      </c>
      <c r="H26" s="17">
        <v>45402</v>
      </c>
      <c r="I26" s="16">
        <v>0</v>
      </c>
    </row>
    <row r="27" spans="1:9" ht="16" x14ac:dyDescent="0.2">
      <c r="A27" s="2" t="s">
        <v>536</v>
      </c>
      <c r="B27" s="2" t="s">
        <v>535</v>
      </c>
      <c r="C27" s="2" t="s">
        <v>175</v>
      </c>
      <c r="D27" s="16">
        <v>2110</v>
      </c>
      <c r="E27" s="16">
        <v>2070</v>
      </c>
      <c r="F27" s="17">
        <v>45324</v>
      </c>
      <c r="G27" s="17">
        <v>46053</v>
      </c>
      <c r="H27" s="17">
        <v>45324</v>
      </c>
      <c r="I27" s="16">
        <v>0</v>
      </c>
    </row>
    <row r="28" spans="1:9" ht="16" x14ac:dyDescent="0.2">
      <c r="A28" s="2" t="s">
        <v>534</v>
      </c>
      <c r="B28" s="2" t="s">
        <v>533</v>
      </c>
      <c r="C28" s="2" t="s">
        <v>175</v>
      </c>
      <c r="D28" s="16">
        <v>2100</v>
      </c>
      <c r="E28" s="16">
        <v>1995</v>
      </c>
      <c r="F28" s="17">
        <v>45444</v>
      </c>
      <c r="G28" s="17">
        <v>45808</v>
      </c>
      <c r="H28" s="17">
        <v>45444</v>
      </c>
      <c r="I28" s="16">
        <v>2148</v>
      </c>
    </row>
    <row r="29" spans="1:9" ht="16" x14ac:dyDescent="0.2">
      <c r="A29" s="2" t="s">
        <v>532</v>
      </c>
      <c r="B29" s="2" t="s">
        <v>531</v>
      </c>
      <c r="C29" s="2" t="s">
        <v>175</v>
      </c>
      <c r="D29" s="16">
        <v>2180</v>
      </c>
      <c r="E29" s="16">
        <v>2180</v>
      </c>
      <c r="F29" s="17">
        <v>45703</v>
      </c>
      <c r="G29" s="17">
        <v>46081</v>
      </c>
      <c r="H29" s="17">
        <v>45703</v>
      </c>
      <c r="I29" s="16">
        <v>0</v>
      </c>
    </row>
    <row r="30" spans="1:9" ht="16" x14ac:dyDescent="0.2">
      <c r="A30" s="2" t="s">
        <v>530</v>
      </c>
      <c r="B30" s="2" t="s">
        <v>529</v>
      </c>
      <c r="C30" s="2" t="s">
        <v>175</v>
      </c>
      <c r="D30" s="16">
        <v>2100</v>
      </c>
      <c r="E30" s="16">
        <v>2020</v>
      </c>
      <c r="F30" s="17">
        <v>45248</v>
      </c>
      <c r="G30" s="17">
        <v>45991</v>
      </c>
      <c r="H30" s="17">
        <v>45248</v>
      </c>
      <c r="I30" s="16">
        <v>0</v>
      </c>
    </row>
    <row r="31" spans="1:9" ht="16" x14ac:dyDescent="0.2">
      <c r="A31" s="2" t="s">
        <v>528</v>
      </c>
      <c r="B31" s="2" t="s">
        <v>527</v>
      </c>
      <c r="C31" s="2" t="s">
        <v>175</v>
      </c>
      <c r="D31" s="16">
        <v>2350</v>
      </c>
      <c r="E31" s="16">
        <v>2350</v>
      </c>
      <c r="F31" s="17">
        <v>45657</v>
      </c>
      <c r="G31" s="17">
        <v>46022</v>
      </c>
      <c r="H31" s="17">
        <v>45657</v>
      </c>
      <c r="I31" s="16">
        <v>0</v>
      </c>
    </row>
    <row r="32" spans="1:9" ht="16" x14ac:dyDescent="0.2">
      <c r="A32" s="2" t="s">
        <v>526</v>
      </c>
      <c r="B32" s="2" t="s">
        <v>525</v>
      </c>
      <c r="C32" s="2" t="s">
        <v>175</v>
      </c>
      <c r="D32" s="16">
        <v>1995</v>
      </c>
      <c r="E32" s="16">
        <v>1925</v>
      </c>
      <c r="F32" s="17">
        <v>44666</v>
      </c>
      <c r="G32" s="17">
        <v>45808</v>
      </c>
      <c r="H32" s="17">
        <v>44666</v>
      </c>
      <c r="I32" s="16">
        <v>0</v>
      </c>
    </row>
    <row r="33" spans="1:9" ht="16" x14ac:dyDescent="0.2">
      <c r="A33" s="2" t="s">
        <v>524</v>
      </c>
      <c r="B33" s="2" t="s">
        <v>523</v>
      </c>
      <c r="C33" s="2" t="s">
        <v>175</v>
      </c>
      <c r="D33" s="16">
        <v>2195</v>
      </c>
      <c r="E33" s="16">
        <v>2150</v>
      </c>
      <c r="F33" s="17">
        <v>45422</v>
      </c>
      <c r="G33" s="17">
        <v>45777</v>
      </c>
      <c r="H33" s="17">
        <v>45422</v>
      </c>
      <c r="I33" s="16">
        <v>0</v>
      </c>
    </row>
    <row r="34" spans="1:9" ht="16" x14ac:dyDescent="0.2">
      <c r="A34" s="2" t="s">
        <v>522</v>
      </c>
      <c r="B34" s="2" t="s">
        <v>521</v>
      </c>
      <c r="C34" s="2" t="s">
        <v>175</v>
      </c>
      <c r="D34" s="16">
        <v>2100</v>
      </c>
      <c r="E34" s="16">
        <v>2025</v>
      </c>
      <c r="F34" s="17">
        <v>45536</v>
      </c>
      <c r="G34" s="17">
        <v>45900</v>
      </c>
      <c r="H34" s="17">
        <v>45536</v>
      </c>
      <c r="I34" s="16">
        <v>2175</v>
      </c>
    </row>
    <row r="35" spans="1:9" ht="16" x14ac:dyDescent="0.2">
      <c r="A35" s="2" t="s">
        <v>520</v>
      </c>
      <c r="B35" s="2" t="s">
        <v>519</v>
      </c>
      <c r="C35" s="2" t="s">
        <v>272</v>
      </c>
      <c r="D35" s="16">
        <v>2580</v>
      </c>
      <c r="E35" s="16">
        <v>1047.74</v>
      </c>
      <c r="F35" s="17">
        <v>45366</v>
      </c>
      <c r="G35" s="17">
        <v>45730</v>
      </c>
      <c r="H35" s="17">
        <v>45366</v>
      </c>
      <c r="I35" s="16">
        <v>1071.67</v>
      </c>
    </row>
    <row r="36" spans="1:9" ht="16" x14ac:dyDescent="0.2">
      <c r="A36" s="2" t="s">
        <v>518</v>
      </c>
      <c r="B36" s="2" t="s">
        <v>517</v>
      </c>
      <c r="C36" s="2" t="s">
        <v>175</v>
      </c>
      <c r="D36" s="16">
        <v>2350</v>
      </c>
      <c r="E36" s="16">
        <v>2265</v>
      </c>
      <c r="F36" s="17">
        <v>45292</v>
      </c>
      <c r="G36" s="17">
        <v>46022</v>
      </c>
      <c r="H36" s="17">
        <v>45292</v>
      </c>
      <c r="I36" s="16">
        <v>1243</v>
      </c>
    </row>
    <row r="37" spans="1:9" ht="16" x14ac:dyDescent="0.2">
      <c r="A37" s="2" t="s">
        <v>516</v>
      </c>
      <c r="B37" s="2" t="s">
        <v>515</v>
      </c>
      <c r="C37" s="2" t="s">
        <v>175</v>
      </c>
      <c r="D37" s="16">
        <v>2240</v>
      </c>
      <c r="E37" s="16">
        <v>2140</v>
      </c>
      <c r="F37" s="17">
        <v>45527</v>
      </c>
      <c r="G37" s="17">
        <v>45900</v>
      </c>
      <c r="H37" s="17">
        <v>45527</v>
      </c>
      <c r="I37" s="16">
        <v>0</v>
      </c>
    </row>
    <row r="38" spans="1:9" ht="16" x14ac:dyDescent="0.2">
      <c r="A38" s="2" t="s">
        <v>514</v>
      </c>
      <c r="B38" s="2" t="s">
        <v>513</v>
      </c>
      <c r="C38" s="2" t="s">
        <v>175</v>
      </c>
      <c r="D38" s="16">
        <v>2290</v>
      </c>
      <c r="E38" s="16">
        <v>2095</v>
      </c>
      <c r="F38" s="17">
        <v>44378</v>
      </c>
      <c r="G38" s="17">
        <v>46022</v>
      </c>
      <c r="H38" s="17">
        <v>44378</v>
      </c>
      <c r="I38" s="16">
        <v>2248</v>
      </c>
    </row>
    <row r="39" spans="1:9" ht="16" x14ac:dyDescent="0.2">
      <c r="A39" s="2" t="s">
        <v>512</v>
      </c>
      <c r="B39" s="2" t="s">
        <v>511</v>
      </c>
      <c r="C39" s="2" t="s">
        <v>175</v>
      </c>
      <c r="D39" s="16">
        <v>2180</v>
      </c>
      <c r="E39" s="16">
        <v>2095</v>
      </c>
      <c r="F39" s="17">
        <v>44593</v>
      </c>
      <c r="G39" s="17">
        <v>46081</v>
      </c>
      <c r="H39" s="17">
        <v>44593</v>
      </c>
      <c r="I39" s="16">
        <v>0</v>
      </c>
    </row>
    <row r="40" spans="1:9" ht="16" x14ac:dyDescent="0.2">
      <c r="A40" s="2" t="s">
        <v>510</v>
      </c>
      <c r="B40" s="2" t="s">
        <v>509</v>
      </c>
      <c r="C40" s="2" t="s">
        <v>175</v>
      </c>
      <c r="D40" s="16">
        <v>2095</v>
      </c>
      <c r="E40" s="16">
        <v>2095</v>
      </c>
      <c r="F40" s="17">
        <v>45352</v>
      </c>
      <c r="G40" s="17">
        <v>46081</v>
      </c>
      <c r="H40" s="17">
        <v>45352</v>
      </c>
      <c r="I40" s="16">
        <v>0</v>
      </c>
    </row>
    <row r="41" spans="1:9" ht="16" x14ac:dyDescent="0.2">
      <c r="A41" s="2" t="s">
        <v>508</v>
      </c>
      <c r="B41" s="2" t="s">
        <v>507</v>
      </c>
      <c r="C41" s="2" t="s">
        <v>175</v>
      </c>
      <c r="D41" s="16">
        <v>2100</v>
      </c>
      <c r="E41" s="16">
        <v>1995</v>
      </c>
      <c r="F41" s="17">
        <v>45397</v>
      </c>
      <c r="G41" s="17">
        <v>45777</v>
      </c>
      <c r="H41" s="17">
        <v>45397</v>
      </c>
      <c r="I41" s="16">
        <v>0</v>
      </c>
    </row>
    <row r="42" spans="1:9" ht="16" x14ac:dyDescent="0.2">
      <c r="A42" s="2" t="s">
        <v>506</v>
      </c>
      <c r="B42" s="2" t="s">
        <v>505</v>
      </c>
      <c r="C42" s="2" t="s">
        <v>175</v>
      </c>
      <c r="D42" s="16">
        <v>2185</v>
      </c>
      <c r="E42" s="16">
        <v>2045</v>
      </c>
      <c r="F42" s="17">
        <v>44317</v>
      </c>
      <c r="G42" s="17">
        <v>45838</v>
      </c>
      <c r="H42" s="17">
        <v>44317</v>
      </c>
      <c r="I42" s="16">
        <v>0</v>
      </c>
    </row>
    <row r="43" spans="1:9" ht="16" x14ac:dyDescent="0.2">
      <c r="A43" s="2" t="s">
        <v>504</v>
      </c>
      <c r="B43" s="2" t="s">
        <v>503</v>
      </c>
      <c r="C43" s="2" t="s">
        <v>175</v>
      </c>
      <c r="D43" s="16">
        <v>2450</v>
      </c>
      <c r="E43" s="16">
        <v>2350</v>
      </c>
      <c r="F43" s="17">
        <v>44870</v>
      </c>
      <c r="G43" s="17"/>
      <c r="H43" s="17">
        <v>44870</v>
      </c>
      <c r="I43" s="16">
        <v>2766.5</v>
      </c>
    </row>
    <row r="44" spans="1:9" ht="16" x14ac:dyDescent="0.2">
      <c r="A44" s="2" t="s">
        <v>502</v>
      </c>
      <c r="B44" s="2" t="s">
        <v>501</v>
      </c>
      <c r="C44" s="2" t="s">
        <v>175</v>
      </c>
      <c r="D44" s="16">
        <v>2350</v>
      </c>
      <c r="E44" s="16">
        <v>2295</v>
      </c>
      <c r="F44" s="17">
        <v>45535</v>
      </c>
      <c r="G44" s="17">
        <v>45900</v>
      </c>
      <c r="H44" s="17">
        <v>45535</v>
      </c>
      <c r="I44" s="16">
        <v>0</v>
      </c>
    </row>
    <row r="45" spans="1:9" ht="16" x14ac:dyDescent="0.2">
      <c r="A45" s="2" t="s">
        <v>500</v>
      </c>
      <c r="B45" s="2" t="s">
        <v>499</v>
      </c>
      <c r="C45" s="2" t="s">
        <v>175</v>
      </c>
      <c r="D45" s="16">
        <v>2160</v>
      </c>
      <c r="E45" s="16">
        <v>2025</v>
      </c>
      <c r="F45" s="17">
        <v>44470</v>
      </c>
      <c r="G45" s="17">
        <v>45777</v>
      </c>
      <c r="H45" s="17">
        <v>44470</v>
      </c>
      <c r="I45" s="16">
        <v>0</v>
      </c>
    </row>
    <row r="46" spans="1:9" ht="16" x14ac:dyDescent="0.2">
      <c r="A46" s="2" t="s">
        <v>498</v>
      </c>
      <c r="B46" s="2" t="s">
        <v>497</v>
      </c>
      <c r="C46" s="2" t="s">
        <v>175</v>
      </c>
      <c r="D46" s="16">
        <v>2240</v>
      </c>
      <c r="E46" s="16">
        <v>1995</v>
      </c>
      <c r="F46" s="17">
        <v>44501</v>
      </c>
      <c r="G46" s="17">
        <v>46022</v>
      </c>
      <c r="H46" s="17">
        <v>44501</v>
      </c>
      <c r="I46" s="16">
        <v>2258.5</v>
      </c>
    </row>
    <row r="47" spans="1:9" ht="16" x14ac:dyDescent="0.2">
      <c r="A47" s="2" t="s">
        <v>496</v>
      </c>
      <c r="B47" s="2" t="s">
        <v>495</v>
      </c>
      <c r="C47" s="2" t="s">
        <v>272</v>
      </c>
      <c r="D47" s="16">
        <v>3100</v>
      </c>
      <c r="E47" s="16">
        <v>2800</v>
      </c>
      <c r="F47" s="17">
        <v>45139</v>
      </c>
      <c r="G47" s="17">
        <v>45838</v>
      </c>
      <c r="H47" s="17">
        <v>45139</v>
      </c>
      <c r="I47" s="16">
        <v>3100</v>
      </c>
    </row>
    <row r="48" spans="1:9" ht="16" x14ac:dyDescent="0.2">
      <c r="A48" s="2" t="s">
        <v>494</v>
      </c>
      <c r="B48" s="2" t="s">
        <v>493</v>
      </c>
      <c r="C48" s="2" t="s">
        <v>175</v>
      </c>
      <c r="D48" s="16">
        <v>2095</v>
      </c>
      <c r="E48" s="16">
        <v>1995</v>
      </c>
      <c r="F48" s="17">
        <v>45019</v>
      </c>
      <c r="G48" s="17">
        <v>46112</v>
      </c>
      <c r="H48" s="17">
        <v>45019</v>
      </c>
      <c r="I48" s="16">
        <v>0</v>
      </c>
    </row>
    <row r="49" spans="1:9" ht="16" x14ac:dyDescent="0.2">
      <c r="A49" s="2" t="s">
        <v>492</v>
      </c>
      <c r="B49" s="2" t="s">
        <v>491</v>
      </c>
      <c r="C49" s="2" t="s">
        <v>175</v>
      </c>
      <c r="D49" s="16">
        <v>2180</v>
      </c>
      <c r="E49" s="16">
        <v>2050</v>
      </c>
      <c r="F49" s="17">
        <v>44926</v>
      </c>
      <c r="G49" s="17">
        <v>46022</v>
      </c>
      <c r="H49" s="17">
        <v>44926</v>
      </c>
      <c r="I49" s="16">
        <v>0</v>
      </c>
    </row>
    <row r="50" spans="1:9" ht="16" x14ac:dyDescent="0.2">
      <c r="A50" s="2" t="s">
        <v>490</v>
      </c>
      <c r="B50" s="2" t="s">
        <v>489</v>
      </c>
      <c r="C50" s="2" t="s">
        <v>175</v>
      </c>
      <c r="D50" s="16">
        <v>2100</v>
      </c>
      <c r="E50" s="16">
        <v>2000</v>
      </c>
      <c r="F50" s="17">
        <v>44401</v>
      </c>
      <c r="G50" s="17">
        <v>45900</v>
      </c>
      <c r="H50" s="17">
        <v>44401</v>
      </c>
      <c r="I50" s="16">
        <v>0</v>
      </c>
    </row>
    <row r="51" spans="1:9" ht="16" x14ac:dyDescent="0.2">
      <c r="A51" s="2" t="s">
        <v>488</v>
      </c>
      <c r="B51" s="2" t="s">
        <v>487</v>
      </c>
      <c r="C51" s="2" t="s">
        <v>175</v>
      </c>
      <c r="D51" s="16">
        <v>2550</v>
      </c>
      <c r="E51" s="16">
        <v>2465</v>
      </c>
      <c r="F51" s="17">
        <v>45156</v>
      </c>
      <c r="G51" s="17">
        <v>45869</v>
      </c>
      <c r="H51" s="17">
        <v>45156</v>
      </c>
      <c r="I51" s="16">
        <v>0</v>
      </c>
    </row>
    <row r="52" spans="1:9" ht="16" x14ac:dyDescent="0.2">
      <c r="A52" s="2" t="s">
        <v>486</v>
      </c>
      <c r="B52" s="2" t="s">
        <v>485</v>
      </c>
      <c r="C52" s="2" t="s">
        <v>175</v>
      </c>
      <c r="D52" s="16">
        <v>2175</v>
      </c>
      <c r="E52" s="16">
        <v>2175</v>
      </c>
      <c r="F52" s="17">
        <v>45647</v>
      </c>
      <c r="G52" s="17">
        <v>46022</v>
      </c>
      <c r="H52" s="17">
        <v>45647</v>
      </c>
      <c r="I52" s="16">
        <v>0</v>
      </c>
    </row>
    <row r="53" spans="1:9" ht="16" x14ac:dyDescent="0.2">
      <c r="A53" s="2" t="s">
        <v>484</v>
      </c>
      <c r="B53" s="2" t="s">
        <v>483</v>
      </c>
      <c r="C53" s="2" t="s">
        <v>175</v>
      </c>
      <c r="D53" s="16">
        <v>2100</v>
      </c>
      <c r="E53" s="16">
        <v>1970</v>
      </c>
      <c r="F53" s="17">
        <v>44407</v>
      </c>
      <c r="G53" s="17">
        <v>46053</v>
      </c>
      <c r="H53" s="17">
        <v>44407</v>
      </c>
      <c r="I53" s="16">
        <v>0</v>
      </c>
    </row>
    <row r="54" spans="1:9" ht="16" x14ac:dyDescent="0.2">
      <c r="A54" s="2" t="s">
        <v>482</v>
      </c>
      <c r="B54" s="2" t="s">
        <v>481</v>
      </c>
      <c r="C54" s="2" t="s">
        <v>175</v>
      </c>
      <c r="D54" s="16">
        <v>2195</v>
      </c>
      <c r="E54" s="16">
        <v>2170</v>
      </c>
      <c r="F54" s="17">
        <v>45245</v>
      </c>
      <c r="G54" s="17">
        <v>46053</v>
      </c>
      <c r="H54" s="17">
        <v>45245</v>
      </c>
      <c r="I54" s="16">
        <v>0</v>
      </c>
    </row>
    <row r="55" spans="1:9" ht="16" x14ac:dyDescent="0.2">
      <c r="A55" s="2" t="s">
        <v>480</v>
      </c>
      <c r="B55" s="2" t="s">
        <v>479</v>
      </c>
      <c r="C55" s="2" t="s">
        <v>175</v>
      </c>
      <c r="D55" s="16">
        <v>2060</v>
      </c>
      <c r="E55" s="16">
        <v>1945</v>
      </c>
      <c r="F55" s="17">
        <v>45465</v>
      </c>
      <c r="G55" s="17">
        <v>45838</v>
      </c>
      <c r="H55" s="17">
        <v>45465</v>
      </c>
      <c r="I55" s="16">
        <v>0</v>
      </c>
    </row>
    <row r="56" spans="1:9" ht="16" x14ac:dyDescent="0.2">
      <c r="A56" s="2" t="s">
        <v>478</v>
      </c>
      <c r="B56" s="2" t="s">
        <v>477</v>
      </c>
      <c r="C56" s="2" t="s">
        <v>175</v>
      </c>
      <c r="D56" s="16">
        <v>2100</v>
      </c>
      <c r="E56" s="16">
        <v>1840</v>
      </c>
      <c r="F56" s="17">
        <v>44348</v>
      </c>
      <c r="G56" s="17">
        <v>45991</v>
      </c>
      <c r="H56" s="17">
        <v>44348</v>
      </c>
      <c r="I56" s="16">
        <v>0</v>
      </c>
    </row>
    <row r="57" spans="1:9" ht="16" x14ac:dyDescent="0.2">
      <c r="A57" s="2" t="s">
        <v>476</v>
      </c>
      <c r="B57" s="2" t="s">
        <v>475</v>
      </c>
      <c r="C57" s="2" t="s">
        <v>175</v>
      </c>
      <c r="D57" s="16">
        <v>2220</v>
      </c>
      <c r="E57" s="16">
        <v>2195</v>
      </c>
      <c r="F57" s="17">
        <v>45527</v>
      </c>
      <c r="G57" s="17">
        <v>45900</v>
      </c>
      <c r="H57" s="17">
        <v>45527</v>
      </c>
      <c r="I57" s="16">
        <v>0</v>
      </c>
    </row>
    <row r="58" spans="1:9" ht="16" x14ac:dyDescent="0.2">
      <c r="A58" s="2" t="s">
        <v>474</v>
      </c>
      <c r="B58" s="2" t="s">
        <v>473</v>
      </c>
      <c r="C58" s="2" t="s">
        <v>175</v>
      </c>
      <c r="D58" s="16">
        <v>2100</v>
      </c>
      <c r="E58" s="16">
        <v>2070</v>
      </c>
      <c r="F58" s="17">
        <v>45323</v>
      </c>
      <c r="G58" s="17">
        <v>46053</v>
      </c>
      <c r="H58" s="17">
        <v>45323</v>
      </c>
      <c r="I58" s="16">
        <v>0</v>
      </c>
    </row>
    <row r="59" spans="1:9" ht="16" x14ac:dyDescent="0.2">
      <c r="A59" s="2" t="s">
        <v>472</v>
      </c>
      <c r="B59" s="2" t="s">
        <v>471</v>
      </c>
      <c r="C59" s="2" t="s">
        <v>175</v>
      </c>
      <c r="D59" s="16">
        <v>2450</v>
      </c>
      <c r="E59" s="16">
        <v>2350</v>
      </c>
      <c r="F59" s="17">
        <v>45366</v>
      </c>
      <c r="G59" s="17">
        <v>46112</v>
      </c>
      <c r="H59" s="17">
        <v>45366</v>
      </c>
      <c r="I59" s="16">
        <v>703</v>
      </c>
    </row>
    <row r="60" spans="1:9" ht="16" x14ac:dyDescent="0.2">
      <c r="A60" s="2" t="s">
        <v>470</v>
      </c>
      <c r="B60" s="2" t="s">
        <v>469</v>
      </c>
      <c r="C60" s="2" t="s">
        <v>175</v>
      </c>
      <c r="D60" s="16">
        <v>2350</v>
      </c>
      <c r="E60" s="16">
        <v>2240</v>
      </c>
      <c r="F60" s="17">
        <v>45383</v>
      </c>
      <c r="G60" s="17">
        <v>45747</v>
      </c>
      <c r="H60" s="17">
        <v>45383</v>
      </c>
      <c r="I60" s="16">
        <v>2293</v>
      </c>
    </row>
    <row r="61" spans="1:9" ht="16" x14ac:dyDescent="0.2">
      <c r="A61" s="2" t="s">
        <v>468</v>
      </c>
      <c r="B61" s="2" t="s">
        <v>467</v>
      </c>
      <c r="C61" s="2" t="s">
        <v>175</v>
      </c>
      <c r="D61" s="16">
        <v>2995</v>
      </c>
      <c r="E61" s="16">
        <v>2645</v>
      </c>
      <c r="F61" s="17">
        <v>44585</v>
      </c>
      <c r="G61" s="17">
        <v>45900</v>
      </c>
      <c r="H61" s="17">
        <v>44585</v>
      </c>
      <c r="I61" s="16">
        <v>0</v>
      </c>
    </row>
    <row r="62" spans="1:9" ht="16" x14ac:dyDescent="0.2">
      <c r="A62" s="2" t="s">
        <v>466</v>
      </c>
      <c r="B62" s="2" t="s">
        <v>465</v>
      </c>
      <c r="C62" s="2" t="s">
        <v>175</v>
      </c>
      <c r="D62" s="16">
        <v>2475</v>
      </c>
      <c r="E62" s="16">
        <v>2375</v>
      </c>
      <c r="F62" s="17">
        <v>45437</v>
      </c>
      <c r="G62" s="17">
        <v>45808</v>
      </c>
      <c r="H62" s="17">
        <v>45437</v>
      </c>
      <c r="I62" s="16">
        <v>1531</v>
      </c>
    </row>
    <row r="63" spans="1:9" ht="16" x14ac:dyDescent="0.2">
      <c r="A63" s="2" t="s">
        <v>464</v>
      </c>
      <c r="B63" s="2" t="s">
        <v>463</v>
      </c>
      <c r="C63" s="2" t="s">
        <v>175</v>
      </c>
      <c r="D63" s="16">
        <v>2290</v>
      </c>
      <c r="E63" s="16">
        <v>2190</v>
      </c>
      <c r="F63" s="17">
        <v>44880</v>
      </c>
      <c r="G63" s="17">
        <v>45991</v>
      </c>
      <c r="H63" s="17">
        <v>44880</v>
      </c>
      <c r="I63" s="16">
        <v>2408</v>
      </c>
    </row>
    <row r="64" spans="1:9" ht="16" x14ac:dyDescent="0.2">
      <c r="A64" s="2" t="s">
        <v>462</v>
      </c>
      <c r="B64" s="2" t="s">
        <v>461</v>
      </c>
      <c r="C64" s="2" t="s">
        <v>175</v>
      </c>
      <c r="D64" s="16">
        <v>2290</v>
      </c>
      <c r="E64" s="16">
        <v>2195</v>
      </c>
      <c r="F64" s="17">
        <v>45473</v>
      </c>
      <c r="G64" s="17">
        <v>45838</v>
      </c>
      <c r="H64" s="17">
        <v>45473</v>
      </c>
      <c r="I64" s="16">
        <v>0</v>
      </c>
    </row>
    <row r="65" spans="1:9" ht="16" x14ac:dyDescent="0.2">
      <c r="A65" s="2" t="s">
        <v>460</v>
      </c>
      <c r="B65" s="2" t="s">
        <v>459</v>
      </c>
      <c r="C65" s="2" t="s">
        <v>175</v>
      </c>
      <c r="D65" s="16">
        <v>2480</v>
      </c>
      <c r="E65" s="16">
        <v>2450</v>
      </c>
      <c r="F65" s="17">
        <v>45245</v>
      </c>
      <c r="G65" s="17">
        <v>46053</v>
      </c>
      <c r="H65" s="17">
        <v>45245</v>
      </c>
      <c r="I65" s="16">
        <v>2503</v>
      </c>
    </row>
    <row r="66" spans="1:9" ht="16" x14ac:dyDescent="0.2">
      <c r="A66" s="2" t="s">
        <v>458</v>
      </c>
      <c r="B66" s="2" t="s">
        <v>457</v>
      </c>
      <c r="C66" s="2" t="s">
        <v>272</v>
      </c>
      <c r="D66" s="16">
        <v>2350</v>
      </c>
      <c r="E66" s="16">
        <v>2195</v>
      </c>
      <c r="F66" s="17">
        <v>45017</v>
      </c>
      <c r="G66" s="17">
        <v>45747</v>
      </c>
      <c r="H66" s="17">
        <v>45017</v>
      </c>
      <c r="I66" s="16">
        <v>2361.5</v>
      </c>
    </row>
    <row r="67" spans="1:9" ht="16" x14ac:dyDescent="0.2">
      <c r="A67" s="2" t="s">
        <v>456</v>
      </c>
      <c r="B67" s="2" t="s">
        <v>455</v>
      </c>
      <c r="C67" s="2" t="s">
        <v>175</v>
      </c>
      <c r="D67" s="16">
        <v>2180</v>
      </c>
      <c r="E67" s="16">
        <v>2095</v>
      </c>
      <c r="F67" s="17">
        <v>45467</v>
      </c>
      <c r="G67" s="17">
        <v>45838</v>
      </c>
      <c r="H67" s="17">
        <v>45467</v>
      </c>
      <c r="I67" s="16">
        <v>0</v>
      </c>
    </row>
    <row r="68" spans="1:9" ht="16" x14ac:dyDescent="0.2">
      <c r="A68" s="2" t="s">
        <v>454</v>
      </c>
      <c r="B68" s="2" t="s">
        <v>453</v>
      </c>
      <c r="C68" s="2" t="s">
        <v>175</v>
      </c>
      <c r="D68" s="16">
        <v>2350</v>
      </c>
      <c r="E68" s="16">
        <v>2195</v>
      </c>
      <c r="F68" s="17">
        <v>45017</v>
      </c>
      <c r="G68" s="17">
        <v>45747</v>
      </c>
      <c r="H68" s="17">
        <v>45017</v>
      </c>
      <c r="I68" s="16">
        <v>0</v>
      </c>
    </row>
    <row r="69" spans="1:9" ht="16" x14ac:dyDescent="0.2">
      <c r="A69" s="2" t="s">
        <v>452</v>
      </c>
      <c r="B69" s="2" t="s">
        <v>451</v>
      </c>
      <c r="C69" s="2" t="s">
        <v>175</v>
      </c>
      <c r="D69" s="16">
        <v>2100</v>
      </c>
      <c r="E69" s="16">
        <v>2095</v>
      </c>
      <c r="F69" s="17">
        <v>45473</v>
      </c>
      <c r="G69" s="17">
        <v>45838</v>
      </c>
      <c r="H69" s="17">
        <v>45473</v>
      </c>
      <c r="I69" s="16">
        <v>0</v>
      </c>
    </row>
    <row r="70" spans="1:9" ht="16" x14ac:dyDescent="0.2">
      <c r="A70" s="2" t="s">
        <v>450</v>
      </c>
      <c r="B70" s="2" t="s">
        <v>449</v>
      </c>
      <c r="C70" s="2" t="s">
        <v>175</v>
      </c>
      <c r="D70" s="16">
        <v>2175</v>
      </c>
      <c r="E70" s="16">
        <v>2125</v>
      </c>
      <c r="F70" s="17">
        <v>45591</v>
      </c>
      <c r="G70" s="17">
        <v>45961</v>
      </c>
      <c r="H70" s="17">
        <v>45591</v>
      </c>
      <c r="I70" s="16">
        <v>0</v>
      </c>
    </row>
    <row r="71" spans="1:9" ht="16" x14ac:dyDescent="0.2">
      <c r="A71" s="2" t="s">
        <v>448</v>
      </c>
      <c r="B71" s="2" t="s">
        <v>447</v>
      </c>
      <c r="C71" s="2" t="s">
        <v>175</v>
      </c>
      <c r="D71" s="16">
        <v>2475</v>
      </c>
      <c r="E71" s="16">
        <v>2375</v>
      </c>
      <c r="F71" s="17">
        <v>45520</v>
      </c>
      <c r="G71" s="17">
        <v>45808</v>
      </c>
      <c r="H71" s="17">
        <v>45520</v>
      </c>
      <c r="I71" s="16">
        <v>0</v>
      </c>
    </row>
    <row r="72" spans="1:9" ht="16" x14ac:dyDescent="0.2">
      <c r="A72" s="2" t="s">
        <v>446</v>
      </c>
      <c r="B72" s="2" t="s">
        <v>445</v>
      </c>
      <c r="C72" s="2" t="s">
        <v>175</v>
      </c>
      <c r="D72" s="16">
        <v>2230</v>
      </c>
      <c r="E72" s="16">
        <v>2115</v>
      </c>
      <c r="F72" s="17">
        <v>45163</v>
      </c>
      <c r="G72" s="17">
        <v>45900</v>
      </c>
      <c r="H72" s="17">
        <v>45163</v>
      </c>
      <c r="I72" s="16">
        <v>0</v>
      </c>
    </row>
    <row r="73" spans="1:9" ht="16" x14ac:dyDescent="0.2">
      <c r="A73" s="2" t="s">
        <v>444</v>
      </c>
      <c r="B73" s="2" t="s">
        <v>443</v>
      </c>
      <c r="C73" s="2" t="s">
        <v>175</v>
      </c>
      <c r="D73" s="16">
        <v>2365</v>
      </c>
      <c r="E73" s="16">
        <v>2320</v>
      </c>
      <c r="F73" s="17">
        <v>44757</v>
      </c>
      <c r="G73" s="17">
        <v>45869</v>
      </c>
      <c r="H73" s="17">
        <v>44757</v>
      </c>
      <c r="I73" s="16">
        <v>0</v>
      </c>
    </row>
    <row r="74" spans="1:9" ht="16" x14ac:dyDescent="0.2">
      <c r="A74" s="2" t="s">
        <v>442</v>
      </c>
      <c r="B74" s="2" t="s">
        <v>441</v>
      </c>
      <c r="C74" s="2" t="s">
        <v>175</v>
      </c>
      <c r="D74" s="16">
        <v>2295</v>
      </c>
      <c r="E74" s="16">
        <v>2200</v>
      </c>
      <c r="F74" s="17">
        <v>45122</v>
      </c>
      <c r="G74" s="17">
        <v>45838</v>
      </c>
      <c r="H74" s="17">
        <v>45122</v>
      </c>
      <c r="I74" s="16">
        <v>0</v>
      </c>
    </row>
    <row r="75" spans="1:9" ht="16" x14ac:dyDescent="0.2">
      <c r="A75" s="2" t="s">
        <v>440</v>
      </c>
      <c r="B75" s="2" t="s">
        <v>439</v>
      </c>
      <c r="C75" s="2" t="s">
        <v>175</v>
      </c>
      <c r="D75" s="16">
        <v>2095</v>
      </c>
      <c r="E75" s="16">
        <v>2050</v>
      </c>
      <c r="F75" s="17">
        <v>45620</v>
      </c>
      <c r="G75" s="17">
        <v>45991</v>
      </c>
      <c r="H75" s="17">
        <v>45620</v>
      </c>
      <c r="I75" s="16">
        <v>2181.0300000000002</v>
      </c>
    </row>
    <row r="76" spans="1:9" ht="16" x14ac:dyDescent="0.2">
      <c r="A76" s="2" t="s">
        <v>438</v>
      </c>
      <c r="B76" s="2" t="s">
        <v>437</v>
      </c>
      <c r="C76" s="2" t="s">
        <v>175</v>
      </c>
      <c r="D76" s="16">
        <v>2160</v>
      </c>
      <c r="E76" s="16">
        <v>2140</v>
      </c>
      <c r="F76" s="17">
        <v>45337</v>
      </c>
      <c r="G76" s="17">
        <v>46265</v>
      </c>
      <c r="H76" s="17">
        <v>45337</v>
      </c>
      <c r="I76" s="16">
        <v>2293</v>
      </c>
    </row>
    <row r="77" spans="1:9" ht="16" x14ac:dyDescent="0.2">
      <c r="A77" s="2" t="s">
        <v>436</v>
      </c>
      <c r="B77" s="2" t="s">
        <v>435</v>
      </c>
      <c r="C77" s="2" t="s">
        <v>175</v>
      </c>
      <c r="D77" s="16">
        <v>2100</v>
      </c>
      <c r="E77" s="16">
        <v>2025</v>
      </c>
      <c r="F77" s="17">
        <v>45541</v>
      </c>
      <c r="G77" s="17">
        <v>45900</v>
      </c>
      <c r="H77" s="17">
        <v>45541</v>
      </c>
      <c r="I77" s="16">
        <v>2213</v>
      </c>
    </row>
    <row r="78" spans="1:9" ht="16" x14ac:dyDescent="0.2">
      <c r="A78" s="2" t="s">
        <v>434</v>
      </c>
      <c r="B78" s="2" t="s">
        <v>433</v>
      </c>
      <c r="C78" s="2" t="s">
        <v>272</v>
      </c>
      <c r="D78" s="16">
        <v>2340</v>
      </c>
      <c r="E78" s="16">
        <v>2240</v>
      </c>
      <c r="F78" s="17">
        <v>45017</v>
      </c>
      <c r="G78" s="17">
        <v>45747</v>
      </c>
      <c r="H78" s="17">
        <v>45017</v>
      </c>
      <c r="I78" s="16">
        <v>0</v>
      </c>
    </row>
    <row r="79" spans="1:9" ht="16" x14ac:dyDescent="0.2">
      <c r="A79" s="2" t="s">
        <v>432</v>
      </c>
      <c r="B79" s="2" t="s">
        <v>431</v>
      </c>
      <c r="C79" s="2" t="s">
        <v>175</v>
      </c>
      <c r="D79" s="16">
        <v>2450</v>
      </c>
      <c r="E79" s="16">
        <v>2350</v>
      </c>
      <c r="F79" s="17">
        <v>45494</v>
      </c>
      <c r="G79" s="17">
        <v>45869</v>
      </c>
      <c r="H79" s="17">
        <v>45494</v>
      </c>
      <c r="I79" s="16">
        <v>0</v>
      </c>
    </row>
    <row r="80" spans="1:9" ht="16" x14ac:dyDescent="0.2">
      <c r="A80" s="2" t="s">
        <v>430</v>
      </c>
      <c r="B80" s="2" t="s">
        <v>429</v>
      </c>
      <c r="C80" s="2" t="s">
        <v>175</v>
      </c>
      <c r="D80" s="16">
        <v>2350</v>
      </c>
      <c r="E80" s="16">
        <v>2245</v>
      </c>
      <c r="F80" s="17">
        <v>45051</v>
      </c>
      <c r="G80" s="17">
        <v>45777</v>
      </c>
      <c r="H80" s="17">
        <v>45051</v>
      </c>
      <c r="I80" s="16">
        <v>0</v>
      </c>
    </row>
    <row r="81" spans="1:9" ht="16" x14ac:dyDescent="0.2">
      <c r="A81" s="2" t="s">
        <v>428</v>
      </c>
      <c r="B81" s="2" t="s">
        <v>427</v>
      </c>
      <c r="C81" s="2" t="s">
        <v>175</v>
      </c>
      <c r="D81" s="16">
        <v>3100</v>
      </c>
      <c r="E81" s="16">
        <v>2895</v>
      </c>
      <c r="F81" s="17">
        <v>45593</v>
      </c>
      <c r="G81" s="17">
        <v>45961</v>
      </c>
      <c r="H81" s="17">
        <v>45593</v>
      </c>
      <c r="I81" s="16">
        <v>3126.5</v>
      </c>
    </row>
    <row r="82" spans="1:9" ht="16" x14ac:dyDescent="0.2">
      <c r="A82" s="2" t="s">
        <v>426</v>
      </c>
      <c r="B82" s="2" t="s">
        <v>425</v>
      </c>
      <c r="C82" s="2" t="s">
        <v>175</v>
      </c>
      <c r="D82" s="16">
        <v>2190</v>
      </c>
      <c r="E82" s="16">
        <v>1975</v>
      </c>
      <c r="F82" s="17">
        <v>44652</v>
      </c>
      <c r="G82" s="17">
        <v>45777</v>
      </c>
      <c r="H82" s="17">
        <v>44652</v>
      </c>
      <c r="I82" s="16">
        <v>2128</v>
      </c>
    </row>
    <row r="83" spans="1:9" ht="16" x14ac:dyDescent="0.2">
      <c r="A83" s="2" t="s">
        <v>424</v>
      </c>
      <c r="B83" s="2" t="s">
        <v>423</v>
      </c>
      <c r="C83" s="2" t="s">
        <v>175</v>
      </c>
      <c r="D83" s="16">
        <v>2350</v>
      </c>
      <c r="E83" s="16">
        <v>2315</v>
      </c>
      <c r="F83" s="17">
        <v>45332</v>
      </c>
      <c r="G83" s="17">
        <v>46053</v>
      </c>
      <c r="H83" s="17">
        <v>45332</v>
      </c>
      <c r="I83" s="16">
        <v>2468</v>
      </c>
    </row>
    <row r="84" spans="1:9" ht="16" x14ac:dyDescent="0.2">
      <c r="A84" s="2" t="s">
        <v>422</v>
      </c>
      <c r="B84" s="2" t="s">
        <v>421</v>
      </c>
      <c r="C84" s="2" t="s">
        <v>175</v>
      </c>
      <c r="D84" s="16">
        <v>2350</v>
      </c>
      <c r="E84" s="16">
        <v>2050</v>
      </c>
      <c r="F84" s="17">
        <v>44575</v>
      </c>
      <c r="G84" s="17">
        <v>45716</v>
      </c>
      <c r="H84" s="17">
        <v>44575</v>
      </c>
      <c r="I84" s="16">
        <v>2116.5</v>
      </c>
    </row>
    <row r="85" spans="1:9" ht="16" x14ac:dyDescent="0.2">
      <c r="A85" s="2" t="s">
        <v>420</v>
      </c>
      <c r="B85" s="2" t="s">
        <v>419</v>
      </c>
      <c r="C85" s="2" t="s">
        <v>175</v>
      </c>
      <c r="D85" s="16">
        <v>2165</v>
      </c>
      <c r="E85" s="16">
        <v>2040</v>
      </c>
      <c r="F85" s="17">
        <v>45031</v>
      </c>
      <c r="G85" s="17"/>
      <c r="H85" s="17">
        <v>45031</v>
      </c>
      <c r="I85" s="16">
        <v>0</v>
      </c>
    </row>
    <row r="86" spans="1:9" ht="16" x14ac:dyDescent="0.2">
      <c r="A86" s="2" t="s">
        <v>418</v>
      </c>
      <c r="B86" s="2" t="s">
        <v>417</v>
      </c>
      <c r="C86" s="2" t="s">
        <v>175</v>
      </c>
      <c r="D86" s="16">
        <v>2060</v>
      </c>
      <c r="E86" s="16">
        <v>1970</v>
      </c>
      <c r="F86" s="17">
        <v>44926</v>
      </c>
      <c r="G86" s="17">
        <v>46022</v>
      </c>
      <c r="H86" s="17">
        <v>44926</v>
      </c>
      <c r="I86" s="16">
        <v>0</v>
      </c>
    </row>
    <row r="87" spans="1:9" ht="16" x14ac:dyDescent="0.2">
      <c r="A87" s="2" t="s">
        <v>416</v>
      </c>
      <c r="B87" s="2" t="s">
        <v>415</v>
      </c>
      <c r="C87" s="2" t="s">
        <v>175</v>
      </c>
      <c r="D87" s="16">
        <v>2475</v>
      </c>
      <c r="E87" s="16">
        <v>2220</v>
      </c>
      <c r="F87" s="17">
        <v>44455</v>
      </c>
      <c r="G87" s="17">
        <v>45930</v>
      </c>
      <c r="H87" s="17">
        <v>44455</v>
      </c>
      <c r="I87" s="16">
        <v>0</v>
      </c>
    </row>
    <row r="88" spans="1:9" ht="16" x14ac:dyDescent="0.2">
      <c r="A88" s="2" t="s">
        <v>414</v>
      </c>
      <c r="B88" s="2" t="s">
        <v>413</v>
      </c>
      <c r="C88" s="2" t="s">
        <v>175</v>
      </c>
      <c r="D88" s="16">
        <v>2185</v>
      </c>
      <c r="E88" s="16">
        <v>2100</v>
      </c>
      <c r="F88" s="17">
        <v>45296</v>
      </c>
      <c r="G88" s="17">
        <v>45838</v>
      </c>
      <c r="H88" s="17">
        <v>45296</v>
      </c>
      <c r="I88" s="16">
        <v>0</v>
      </c>
    </row>
    <row r="89" spans="1:9" ht="16" x14ac:dyDescent="0.2">
      <c r="A89" s="2" t="s">
        <v>412</v>
      </c>
      <c r="B89" s="2" t="s">
        <v>411</v>
      </c>
      <c r="C89" s="2" t="s">
        <v>175</v>
      </c>
      <c r="D89" s="16">
        <v>2290</v>
      </c>
      <c r="E89" s="16">
        <v>2130</v>
      </c>
      <c r="F89" s="17">
        <v>44618</v>
      </c>
      <c r="G89" s="17">
        <v>45747</v>
      </c>
      <c r="H89" s="17">
        <v>44618</v>
      </c>
      <c r="I89" s="16">
        <v>0</v>
      </c>
    </row>
    <row r="90" spans="1:9" ht="16" x14ac:dyDescent="0.2">
      <c r="A90" s="2" t="s">
        <v>410</v>
      </c>
      <c r="B90" s="2" t="s">
        <v>409</v>
      </c>
      <c r="C90" s="2" t="s">
        <v>175</v>
      </c>
      <c r="D90" s="16">
        <v>2450</v>
      </c>
      <c r="E90" s="16">
        <v>2350</v>
      </c>
      <c r="F90" s="17">
        <v>45576</v>
      </c>
      <c r="G90" s="17">
        <v>45930</v>
      </c>
      <c r="H90" s="17">
        <v>45576</v>
      </c>
      <c r="I90" s="16">
        <v>2503</v>
      </c>
    </row>
    <row r="91" spans="1:9" ht="16" x14ac:dyDescent="0.2">
      <c r="A91" s="2" t="s">
        <v>408</v>
      </c>
      <c r="B91" s="2" t="s">
        <v>407</v>
      </c>
      <c r="C91" s="2" t="s">
        <v>175</v>
      </c>
      <c r="D91" s="16">
        <v>2340</v>
      </c>
      <c r="E91" s="16">
        <v>2250</v>
      </c>
      <c r="F91" s="17">
        <v>44228</v>
      </c>
      <c r="G91" s="17">
        <v>46265</v>
      </c>
      <c r="H91" s="17">
        <v>44228</v>
      </c>
      <c r="I91" s="16">
        <v>0</v>
      </c>
    </row>
    <row r="92" spans="1:9" ht="16" x14ac:dyDescent="0.2">
      <c r="A92" s="2" t="s">
        <v>406</v>
      </c>
      <c r="B92" s="2" t="s">
        <v>405</v>
      </c>
      <c r="C92" s="2" t="s">
        <v>175</v>
      </c>
      <c r="D92" s="16">
        <v>2195</v>
      </c>
      <c r="E92" s="16">
        <v>2075</v>
      </c>
      <c r="F92" s="17">
        <v>44621</v>
      </c>
      <c r="G92" s="17">
        <v>45747</v>
      </c>
      <c r="H92" s="17">
        <v>44621</v>
      </c>
      <c r="I92" s="16">
        <v>0</v>
      </c>
    </row>
    <row r="93" spans="1:9" ht="16" x14ac:dyDescent="0.2">
      <c r="A93" s="2" t="s">
        <v>404</v>
      </c>
      <c r="B93" s="2" t="s">
        <v>403</v>
      </c>
      <c r="C93" s="2" t="s">
        <v>175</v>
      </c>
      <c r="D93" s="16">
        <v>2145</v>
      </c>
      <c r="E93" s="16">
        <v>2040</v>
      </c>
      <c r="F93" s="17">
        <v>45536</v>
      </c>
      <c r="G93" s="17">
        <v>45900</v>
      </c>
      <c r="H93" s="17">
        <v>45536</v>
      </c>
      <c r="I93" s="16">
        <v>0</v>
      </c>
    </row>
    <row r="94" spans="1:9" ht="16" x14ac:dyDescent="0.2">
      <c r="A94" s="2" t="s">
        <v>402</v>
      </c>
      <c r="B94" s="2" t="s">
        <v>401</v>
      </c>
      <c r="C94" s="2" t="s">
        <v>175</v>
      </c>
      <c r="D94" s="16">
        <v>2180</v>
      </c>
      <c r="E94" s="16">
        <v>2150</v>
      </c>
      <c r="F94" s="17">
        <v>45231</v>
      </c>
      <c r="G94" s="17">
        <v>46053</v>
      </c>
      <c r="H94" s="17">
        <v>45231</v>
      </c>
      <c r="I94" s="16">
        <v>-4</v>
      </c>
    </row>
    <row r="95" spans="1:9" ht="16" x14ac:dyDescent="0.2">
      <c r="A95" s="2" t="s">
        <v>400</v>
      </c>
      <c r="B95" s="2" t="s">
        <v>399</v>
      </c>
      <c r="C95" s="2" t="s">
        <v>175</v>
      </c>
      <c r="D95" s="16">
        <v>2140</v>
      </c>
      <c r="E95" s="16">
        <v>2140</v>
      </c>
      <c r="F95" s="17">
        <v>45338</v>
      </c>
      <c r="G95" s="17">
        <v>46081</v>
      </c>
      <c r="H95" s="17">
        <v>45338</v>
      </c>
      <c r="I95" s="16">
        <v>0</v>
      </c>
    </row>
    <row r="96" spans="1:9" ht="16" x14ac:dyDescent="0.2">
      <c r="A96" s="2" t="s">
        <v>398</v>
      </c>
      <c r="B96" s="2" t="s">
        <v>397</v>
      </c>
      <c r="C96" s="2" t="s">
        <v>175</v>
      </c>
      <c r="D96" s="16">
        <v>2180</v>
      </c>
      <c r="E96" s="16">
        <v>2075</v>
      </c>
      <c r="F96" s="17">
        <v>45488</v>
      </c>
      <c r="G96" s="17">
        <v>45838</v>
      </c>
      <c r="H96" s="17">
        <v>45488</v>
      </c>
      <c r="I96" s="16">
        <v>2228</v>
      </c>
    </row>
    <row r="97" spans="1:9" ht="16" x14ac:dyDescent="0.2">
      <c r="A97" s="2" t="s">
        <v>396</v>
      </c>
      <c r="B97" s="2" t="s">
        <v>395</v>
      </c>
      <c r="C97" s="2" t="s">
        <v>175</v>
      </c>
      <c r="D97" s="16">
        <v>2190</v>
      </c>
      <c r="E97" s="16">
        <v>2075</v>
      </c>
      <c r="F97" s="17">
        <v>45458</v>
      </c>
      <c r="G97" s="17">
        <v>45838</v>
      </c>
      <c r="H97" s="17">
        <v>45458</v>
      </c>
      <c r="I97" s="16">
        <v>2128</v>
      </c>
    </row>
    <row r="98" spans="1:9" ht="16" x14ac:dyDescent="0.2">
      <c r="A98" s="2" t="s">
        <v>394</v>
      </c>
      <c r="B98" s="2" t="s">
        <v>393</v>
      </c>
      <c r="C98" s="2" t="s">
        <v>175</v>
      </c>
      <c r="D98" s="16">
        <v>2295</v>
      </c>
      <c r="E98" s="16">
        <v>2100</v>
      </c>
      <c r="F98" s="17">
        <v>44560</v>
      </c>
      <c r="G98" s="17">
        <v>45869</v>
      </c>
      <c r="H98" s="17">
        <v>44560</v>
      </c>
      <c r="I98" s="16">
        <v>0</v>
      </c>
    </row>
    <row r="99" spans="1:9" ht="16" x14ac:dyDescent="0.2">
      <c r="A99" s="2" t="s">
        <v>392</v>
      </c>
      <c r="B99" s="2" t="s">
        <v>391</v>
      </c>
      <c r="C99" s="2" t="s">
        <v>175</v>
      </c>
      <c r="D99" s="16">
        <v>2550</v>
      </c>
      <c r="E99" s="16">
        <v>2440</v>
      </c>
      <c r="F99" s="17">
        <v>45402</v>
      </c>
      <c r="G99" s="17">
        <v>45777</v>
      </c>
      <c r="H99" s="17">
        <v>45402</v>
      </c>
      <c r="I99" s="16">
        <v>0</v>
      </c>
    </row>
    <row r="100" spans="1:9" ht="16" x14ac:dyDescent="0.2">
      <c r="A100" s="2" t="s">
        <v>390</v>
      </c>
      <c r="B100" s="2" t="s">
        <v>389</v>
      </c>
      <c r="C100" s="2" t="s">
        <v>175</v>
      </c>
      <c r="D100" s="16">
        <v>2255</v>
      </c>
      <c r="E100" s="16">
        <v>2255</v>
      </c>
      <c r="F100" s="17">
        <v>45689</v>
      </c>
      <c r="G100" s="17">
        <v>46053</v>
      </c>
      <c r="H100" s="17">
        <v>45689</v>
      </c>
      <c r="I100" s="16">
        <v>2408</v>
      </c>
    </row>
    <row r="101" spans="1:9" ht="16" x14ac:dyDescent="0.2">
      <c r="A101" s="2" t="s">
        <v>388</v>
      </c>
      <c r="B101" s="2" t="s">
        <v>387</v>
      </c>
      <c r="C101" s="2" t="s">
        <v>175</v>
      </c>
      <c r="D101" s="16">
        <v>2185</v>
      </c>
      <c r="E101" s="16">
        <v>2075</v>
      </c>
      <c r="F101" s="17">
        <v>45092</v>
      </c>
      <c r="G101" s="17">
        <v>45808</v>
      </c>
      <c r="H101" s="17">
        <v>45092</v>
      </c>
      <c r="I101" s="16">
        <v>2228</v>
      </c>
    </row>
    <row r="102" spans="1:9" ht="16" x14ac:dyDescent="0.2">
      <c r="A102" s="2" t="s">
        <v>386</v>
      </c>
      <c r="B102" s="2" t="s">
        <v>385</v>
      </c>
      <c r="C102" s="2" t="s">
        <v>175</v>
      </c>
      <c r="D102" s="16">
        <v>2175</v>
      </c>
      <c r="E102" s="16">
        <v>2075</v>
      </c>
      <c r="F102" s="17">
        <v>45458</v>
      </c>
      <c r="G102" s="17">
        <v>45838</v>
      </c>
      <c r="H102" s="17">
        <v>45458</v>
      </c>
      <c r="I102" s="16">
        <v>2228</v>
      </c>
    </row>
    <row r="103" spans="1:9" ht="16" x14ac:dyDescent="0.2">
      <c r="A103" s="2" t="s">
        <v>384</v>
      </c>
      <c r="B103" s="2" t="s">
        <v>383</v>
      </c>
      <c r="C103" s="2" t="s">
        <v>175</v>
      </c>
      <c r="D103" s="16">
        <v>2185</v>
      </c>
      <c r="E103" s="16">
        <v>1950</v>
      </c>
      <c r="F103" s="17">
        <v>44500</v>
      </c>
      <c r="G103" s="17">
        <v>45991</v>
      </c>
      <c r="H103" s="17">
        <v>44500</v>
      </c>
      <c r="I103" s="16">
        <v>0</v>
      </c>
    </row>
    <row r="104" spans="1:9" ht="16" x14ac:dyDescent="0.2">
      <c r="A104" s="2" t="s">
        <v>382</v>
      </c>
      <c r="B104" s="2" t="s">
        <v>381</v>
      </c>
      <c r="C104" s="2" t="s">
        <v>175</v>
      </c>
      <c r="D104" s="16">
        <v>2540</v>
      </c>
      <c r="E104" s="16">
        <v>2495</v>
      </c>
      <c r="F104" s="17">
        <v>45479</v>
      </c>
      <c r="G104" s="17">
        <v>45838</v>
      </c>
      <c r="H104" s="17">
        <v>45479</v>
      </c>
      <c r="I104" s="16">
        <v>0</v>
      </c>
    </row>
    <row r="105" spans="1:9" ht="16" x14ac:dyDescent="0.2">
      <c r="A105" s="2" t="s">
        <v>380</v>
      </c>
      <c r="B105" s="2" t="s">
        <v>379</v>
      </c>
      <c r="C105" s="2" t="s">
        <v>175</v>
      </c>
      <c r="D105" s="16">
        <v>2195</v>
      </c>
      <c r="E105" s="16">
        <v>2195</v>
      </c>
      <c r="F105" s="17">
        <v>44985</v>
      </c>
      <c r="G105" s="17">
        <v>45900</v>
      </c>
      <c r="H105" s="17">
        <v>44985</v>
      </c>
      <c r="I105" s="16">
        <v>0</v>
      </c>
    </row>
    <row r="106" spans="1:9" ht="16" x14ac:dyDescent="0.2">
      <c r="A106" s="2" t="s">
        <v>378</v>
      </c>
      <c r="B106" s="2" t="s">
        <v>377</v>
      </c>
      <c r="C106" s="2" t="s">
        <v>272</v>
      </c>
      <c r="D106" s="16">
        <v>2340</v>
      </c>
      <c r="E106" s="16">
        <v>2240</v>
      </c>
      <c r="F106" s="17">
        <v>45427</v>
      </c>
      <c r="G106" s="17">
        <v>45808</v>
      </c>
      <c r="H106" s="17">
        <v>45427</v>
      </c>
      <c r="I106" s="16">
        <v>0</v>
      </c>
    </row>
    <row r="107" spans="1:9" ht="16" x14ac:dyDescent="0.2">
      <c r="A107" s="2" t="s">
        <v>376</v>
      </c>
      <c r="B107" s="2" t="s">
        <v>375</v>
      </c>
      <c r="C107" s="2" t="s">
        <v>175</v>
      </c>
      <c r="D107" s="16">
        <v>2360</v>
      </c>
      <c r="E107" s="16">
        <v>2250</v>
      </c>
      <c r="F107" s="17">
        <v>44324</v>
      </c>
      <c r="G107" s="17">
        <v>45961</v>
      </c>
      <c r="H107" s="17">
        <v>44324</v>
      </c>
      <c r="I107" s="16">
        <v>0</v>
      </c>
    </row>
    <row r="108" spans="1:9" ht="16" x14ac:dyDescent="0.2">
      <c r="A108" s="2" t="s">
        <v>374</v>
      </c>
      <c r="B108" s="2" t="s">
        <v>373</v>
      </c>
      <c r="C108" s="2" t="s">
        <v>175</v>
      </c>
      <c r="D108" s="16">
        <v>2180</v>
      </c>
      <c r="E108" s="16">
        <v>1965</v>
      </c>
      <c r="F108" s="17">
        <v>44217</v>
      </c>
      <c r="G108" s="17">
        <v>45991</v>
      </c>
      <c r="H108" s="17">
        <v>44217</v>
      </c>
      <c r="I108" s="16">
        <v>2118</v>
      </c>
    </row>
    <row r="109" spans="1:9" ht="16" x14ac:dyDescent="0.2">
      <c r="A109" s="2" t="s">
        <v>372</v>
      </c>
      <c r="B109" s="2" t="s">
        <v>371</v>
      </c>
      <c r="C109" s="2" t="s">
        <v>175</v>
      </c>
      <c r="D109" s="16">
        <v>2450</v>
      </c>
      <c r="E109" s="16">
        <v>2375</v>
      </c>
      <c r="F109" s="17">
        <v>45205</v>
      </c>
      <c r="G109" s="17">
        <v>45930</v>
      </c>
      <c r="H109" s="17">
        <v>45205</v>
      </c>
      <c r="I109" s="16">
        <v>0</v>
      </c>
    </row>
    <row r="110" spans="1:9" ht="16" x14ac:dyDescent="0.2">
      <c r="A110" s="2" t="s">
        <v>370</v>
      </c>
      <c r="B110" s="2" t="s">
        <v>369</v>
      </c>
      <c r="C110" s="2" t="s">
        <v>175</v>
      </c>
      <c r="D110" s="16">
        <v>2550</v>
      </c>
      <c r="E110" s="16">
        <v>2440</v>
      </c>
      <c r="F110" s="17">
        <v>45383</v>
      </c>
      <c r="G110" s="17"/>
      <c r="H110" s="17">
        <v>45383</v>
      </c>
      <c r="I110" s="16">
        <v>0</v>
      </c>
    </row>
    <row r="111" spans="1:9" ht="16" x14ac:dyDescent="0.2">
      <c r="A111" s="2" t="s">
        <v>368</v>
      </c>
      <c r="B111" s="2" t="s">
        <v>367</v>
      </c>
      <c r="C111" s="2" t="s">
        <v>175</v>
      </c>
      <c r="D111" s="16">
        <v>2095</v>
      </c>
      <c r="E111" s="16">
        <v>1995</v>
      </c>
      <c r="F111" s="17">
        <v>45397</v>
      </c>
      <c r="G111" s="17">
        <v>45777</v>
      </c>
      <c r="H111" s="17">
        <v>45397</v>
      </c>
      <c r="I111" s="16">
        <v>2148</v>
      </c>
    </row>
    <row r="112" spans="1:9" ht="16" x14ac:dyDescent="0.2">
      <c r="A112" s="2" t="s">
        <v>366</v>
      </c>
      <c r="B112" s="2" t="s">
        <v>365</v>
      </c>
      <c r="C112" s="2" t="s">
        <v>175</v>
      </c>
      <c r="D112" s="16">
        <v>2190</v>
      </c>
      <c r="E112" s="16">
        <v>2100</v>
      </c>
      <c r="F112" s="17">
        <v>45163</v>
      </c>
      <c r="G112" s="17">
        <v>45808</v>
      </c>
      <c r="H112" s="17">
        <v>45163</v>
      </c>
      <c r="I112" s="16">
        <v>0</v>
      </c>
    </row>
    <row r="113" spans="1:9" ht="16" x14ac:dyDescent="0.2">
      <c r="A113" s="2" t="s">
        <v>364</v>
      </c>
      <c r="B113" s="2" t="s">
        <v>363</v>
      </c>
      <c r="C113" s="2" t="s">
        <v>175</v>
      </c>
      <c r="D113" s="16">
        <v>2145</v>
      </c>
      <c r="E113" s="16">
        <v>2040</v>
      </c>
      <c r="F113" s="17">
        <v>45389</v>
      </c>
      <c r="G113" s="17">
        <v>45747</v>
      </c>
      <c r="H113" s="17">
        <v>45389</v>
      </c>
      <c r="I113" s="16">
        <v>0</v>
      </c>
    </row>
    <row r="114" spans="1:9" ht="16" x14ac:dyDescent="0.2">
      <c r="A114" s="2" t="s">
        <v>362</v>
      </c>
      <c r="B114" s="2" t="s">
        <v>361</v>
      </c>
      <c r="C114" s="2" t="s">
        <v>175</v>
      </c>
      <c r="D114" s="16">
        <v>2450</v>
      </c>
      <c r="E114" s="16">
        <v>2295</v>
      </c>
      <c r="F114" s="17">
        <v>44228</v>
      </c>
      <c r="G114" s="17">
        <v>45808</v>
      </c>
      <c r="H114" s="17">
        <v>44228</v>
      </c>
      <c r="I114" s="16">
        <v>0</v>
      </c>
    </row>
    <row r="115" spans="1:9" ht="16" x14ac:dyDescent="0.2">
      <c r="A115" s="2" t="s">
        <v>360</v>
      </c>
      <c r="B115" s="2" t="s">
        <v>359</v>
      </c>
      <c r="C115" s="2" t="s">
        <v>175</v>
      </c>
      <c r="D115" s="16">
        <v>2995</v>
      </c>
      <c r="E115" s="16">
        <v>2995</v>
      </c>
      <c r="F115" s="17">
        <v>45474</v>
      </c>
      <c r="G115" s="17">
        <v>45838</v>
      </c>
      <c r="H115" s="17">
        <v>45474</v>
      </c>
      <c r="I115" s="16">
        <v>0</v>
      </c>
    </row>
    <row r="116" spans="1:9" ht="16" x14ac:dyDescent="0.2">
      <c r="A116" s="2" t="s">
        <v>358</v>
      </c>
      <c r="B116" s="2" t="s">
        <v>357</v>
      </c>
      <c r="C116" s="2" t="s">
        <v>175</v>
      </c>
      <c r="D116" s="16">
        <v>2295</v>
      </c>
      <c r="E116" s="16">
        <v>2075</v>
      </c>
      <c r="F116" s="17">
        <v>44498</v>
      </c>
      <c r="G116" s="17">
        <v>45991</v>
      </c>
      <c r="H116" s="17">
        <v>44498</v>
      </c>
      <c r="I116" s="16">
        <v>2241.5</v>
      </c>
    </row>
    <row r="117" spans="1:9" ht="16" x14ac:dyDescent="0.2">
      <c r="A117" s="2" t="s">
        <v>356</v>
      </c>
      <c r="B117" s="2" t="s">
        <v>355</v>
      </c>
      <c r="C117" s="2" t="s">
        <v>175</v>
      </c>
      <c r="D117" s="16">
        <v>2190</v>
      </c>
      <c r="E117" s="16">
        <v>2020</v>
      </c>
      <c r="F117" s="17">
        <v>44256</v>
      </c>
      <c r="G117" s="17">
        <v>45900</v>
      </c>
      <c r="H117" s="17">
        <v>44256</v>
      </c>
      <c r="I117" s="16">
        <v>2037</v>
      </c>
    </row>
    <row r="118" spans="1:9" ht="16" x14ac:dyDescent="0.2">
      <c r="A118" s="2" t="s">
        <v>354</v>
      </c>
      <c r="B118" s="2" t="s">
        <v>353</v>
      </c>
      <c r="C118" s="2" t="s">
        <v>175</v>
      </c>
      <c r="D118" s="16">
        <v>2060</v>
      </c>
      <c r="E118" s="16">
        <v>1995</v>
      </c>
      <c r="F118" s="17">
        <v>45657</v>
      </c>
      <c r="G118" s="17">
        <v>46022</v>
      </c>
      <c r="H118" s="17">
        <v>45657</v>
      </c>
      <c r="I118" s="16">
        <v>0</v>
      </c>
    </row>
    <row r="119" spans="1:9" ht="16" x14ac:dyDescent="0.2">
      <c r="A119" s="2" t="s">
        <v>352</v>
      </c>
      <c r="B119" s="2" t="s">
        <v>351</v>
      </c>
      <c r="C119" s="2" t="s">
        <v>175</v>
      </c>
      <c r="D119" s="16">
        <v>2355</v>
      </c>
      <c r="E119" s="16">
        <v>2245</v>
      </c>
      <c r="F119" s="17">
        <v>45115</v>
      </c>
      <c r="G119" s="17">
        <v>45838</v>
      </c>
      <c r="H119" s="17">
        <v>45115</v>
      </c>
      <c r="I119" s="16">
        <v>2311.5</v>
      </c>
    </row>
    <row r="120" spans="1:9" ht="16" x14ac:dyDescent="0.2">
      <c r="A120" s="2" t="s">
        <v>350</v>
      </c>
      <c r="B120" s="2" t="s">
        <v>349</v>
      </c>
      <c r="C120" s="2" t="s">
        <v>175</v>
      </c>
      <c r="D120" s="16">
        <v>2250</v>
      </c>
      <c r="E120" s="16">
        <v>2125</v>
      </c>
      <c r="F120" s="17">
        <v>44904</v>
      </c>
      <c r="G120" s="17">
        <v>45991</v>
      </c>
      <c r="H120" s="17">
        <v>44904</v>
      </c>
      <c r="I120" s="16">
        <v>2191</v>
      </c>
    </row>
    <row r="121" spans="1:9" ht="16" x14ac:dyDescent="0.2">
      <c r="A121" s="2" t="s">
        <v>348</v>
      </c>
      <c r="B121" s="2" t="s">
        <v>347</v>
      </c>
      <c r="C121" s="2" t="s">
        <v>175</v>
      </c>
      <c r="D121" s="16">
        <v>2080</v>
      </c>
      <c r="E121" s="16">
        <v>1995</v>
      </c>
      <c r="F121" s="17">
        <v>45083</v>
      </c>
      <c r="G121" s="17">
        <v>45808</v>
      </c>
      <c r="H121" s="17">
        <v>45083</v>
      </c>
      <c r="I121" s="16">
        <v>0</v>
      </c>
    </row>
    <row r="122" spans="1:9" ht="16" x14ac:dyDescent="0.2">
      <c r="A122" s="2" t="s">
        <v>346</v>
      </c>
      <c r="B122" s="2" t="s">
        <v>345</v>
      </c>
      <c r="C122" s="2" t="s">
        <v>175</v>
      </c>
      <c r="D122" s="16">
        <v>2060</v>
      </c>
      <c r="E122" s="16">
        <v>1995</v>
      </c>
      <c r="F122" s="17">
        <v>45689</v>
      </c>
      <c r="G122" s="17">
        <v>46053</v>
      </c>
      <c r="H122" s="17">
        <v>45689</v>
      </c>
      <c r="I122" s="16">
        <v>0</v>
      </c>
    </row>
    <row r="123" spans="1:9" ht="16" x14ac:dyDescent="0.2">
      <c r="A123" s="2" t="s">
        <v>344</v>
      </c>
      <c r="B123" s="2" t="s">
        <v>343</v>
      </c>
      <c r="C123" s="2" t="s">
        <v>175</v>
      </c>
      <c r="D123" s="16">
        <v>2180</v>
      </c>
      <c r="E123" s="16">
        <v>2075</v>
      </c>
      <c r="F123" s="17">
        <v>44336</v>
      </c>
      <c r="G123" s="17">
        <v>45838</v>
      </c>
      <c r="H123" s="17">
        <v>44336</v>
      </c>
      <c r="I123" s="16">
        <v>0</v>
      </c>
    </row>
    <row r="124" spans="1:9" ht="16" x14ac:dyDescent="0.2">
      <c r="A124" s="2" t="s">
        <v>342</v>
      </c>
      <c r="B124" s="2" t="s">
        <v>341</v>
      </c>
      <c r="C124" s="2" t="s">
        <v>175</v>
      </c>
      <c r="D124" s="16">
        <v>2195</v>
      </c>
      <c r="E124" s="16">
        <v>2085</v>
      </c>
      <c r="F124" s="17">
        <v>44820</v>
      </c>
      <c r="G124" s="17">
        <v>45930</v>
      </c>
      <c r="H124" s="17">
        <v>44820</v>
      </c>
      <c r="I124" s="16">
        <v>2238</v>
      </c>
    </row>
    <row r="125" spans="1:9" ht="16" x14ac:dyDescent="0.2">
      <c r="A125" s="2" t="s">
        <v>340</v>
      </c>
      <c r="B125" s="2" t="s">
        <v>339</v>
      </c>
      <c r="C125" s="2" t="s">
        <v>175</v>
      </c>
      <c r="D125" s="16">
        <v>2340</v>
      </c>
      <c r="E125" s="16">
        <v>2245</v>
      </c>
      <c r="F125" s="17">
        <v>45087</v>
      </c>
      <c r="G125" s="17">
        <v>45808</v>
      </c>
      <c r="H125" s="17">
        <v>45087</v>
      </c>
      <c r="I125" s="16">
        <v>2563</v>
      </c>
    </row>
    <row r="126" spans="1:9" ht="16" x14ac:dyDescent="0.2">
      <c r="A126" s="2" t="s">
        <v>338</v>
      </c>
      <c r="B126" s="2" t="s">
        <v>337</v>
      </c>
      <c r="C126" s="2" t="s">
        <v>175</v>
      </c>
      <c r="D126" s="16">
        <v>2100</v>
      </c>
      <c r="E126" s="16">
        <v>1995</v>
      </c>
      <c r="F126" s="17">
        <v>45444</v>
      </c>
      <c r="G126" s="17">
        <v>45808</v>
      </c>
      <c r="H126" s="17">
        <v>45444</v>
      </c>
      <c r="I126" s="16">
        <v>2148</v>
      </c>
    </row>
    <row r="127" spans="1:9" ht="16" x14ac:dyDescent="0.2">
      <c r="A127" s="2" t="s">
        <v>336</v>
      </c>
      <c r="B127" s="2" t="s">
        <v>335</v>
      </c>
      <c r="C127" s="2" t="s">
        <v>175</v>
      </c>
      <c r="D127" s="16">
        <v>2480</v>
      </c>
      <c r="E127" s="16">
        <v>2400</v>
      </c>
      <c r="F127" s="17">
        <v>45226</v>
      </c>
      <c r="G127" s="17">
        <v>45961</v>
      </c>
      <c r="H127" s="17">
        <v>45226</v>
      </c>
      <c r="I127" s="16">
        <v>2618</v>
      </c>
    </row>
    <row r="128" spans="1:9" ht="16" x14ac:dyDescent="0.2">
      <c r="A128" s="2" t="s">
        <v>334</v>
      </c>
      <c r="B128" s="2" t="s">
        <v>333</v>
      </c>
      <c r="C128" s="2" t="s">
        <v>175</v>
      </c>
      <c r="D128" s="16">
        <v>2055</v>
      </c>
      <c r="E128" s="16">
        <v>1945</v>
      </c>
      <c r="F128" s="17">
        <v>45566</v>
      </c>
      <c r="G128" s="17">
        <v>45930</v>
      </c>
      <c r="H128" s="17">
        <v>45566</v>
      </c>
      <c r="I128" s="16">
        <v>2098</v>
      </c>
    </row>
    <row r="129" spans="1:9" ht="16" x14ac:dyDescent="0.2">
      <c r="A129" s="2" t="s">
        <v>332</v>
      </c>
      <c r="B129" s="2" t="s">
        <v>331</v>
      </c>
      <c r="C129" s="2" t="s">
        <v>175</v>
      </c>
      <c r="D129" s="16">
        <v>2350</v>
      </c>
      <c r="E129" s="16">
        <v>2240</v>
      </c>
      <c r="F129" s="17">
        <v>45397</v>
      </c>
      <c r="G129" s="17">
        <v>45777</v>
      </c>
      <c r="H129" s="17">
        <v>45397</v>
      </c>
      <c r="I129" s="16">
        <v>0</v>
      </c>
    </row>
    <row r="130" spans="1:9" ht="16" x14ac:dyDescent="0.2">
      <c r="A130" s="2" t="s">
        <v>330</v>
      </c>
      <c r="B130" s="2" t="s">
        <v>329</v>
      </c>
      <c r="C130" s="2" t="s">
        <v>175</v>
      </c>
      <c r="D130" s="16">
        <v>2095</v>
      </c>
      <c r="E130" s="16">
        <v>2025</v>
      </c>
      <c r="F130" s="17">
        <v>45626</v>
      </c>
      <c r="G130" s="17">
        <v>45991</v>
      </c>
      <c r="H130" s="17">
        <v>45626</v>
      </c>
      <c r="I130" s="16">
        <v>0</v>
      </c>
    </row>
    <row r="131" spans="1:9" ht="16" x14ac:dyDescent="0.2">
      <c r="A131" s="2" t="s">
        <v>328</v>
      </c>
      <c r="B131" s="2" t="s">
        <v>327</v>
      </c>
      <c r="C131" s="2" t="s">
        <v>175</v>
      </c>
      <c r="D131" s="16">
        <v>2185</v>
      </c>
      <c r="E131" s="16">
        <v>2075</v>
      </c>
      <c r="F131" s="17">
        <v>45528</v>
      </c>
      <c r="G131" s="17">
        <v>45900</v>
      </c>
      <c r="H131" s="17">
        <v>45528</v>
      </c>
      <c r="I131" s="16">
        <v>0</v>
      </c>
    </row>
    <row r="132" spans="1:9" ht="16" x14ac:dyDescent="0.2">
      <c r="A132" s="2" t="s">
        <v>326</v>
      </c>
      <c r="B132" s="2" t="s">
        <v>325</v>
      </c>
      <c r="C132" s="2" t="s">
        <v>175</v>
      </c>
      <c r="D132" s="16">
        <v>2180</v>
      </c>
      <c r="E132" s="16">
        <v>2075</v>
      </c>
      <c r="F132" s="17">
        <v>45458</v>
      </c>
      <c r="G132" s="17">
        <v>45838</v>
      </c>
      <c r="H132" s="17">
        <v>45458</v>
      </c>
      <c r="I132" s="16">
        <v>2268</v>
      </c>
    </row>
    <row r="133" spans="1:9" ht="16" x14ac:dyDescent="0.2">
      <c r="A133" s="2" t="s">
        <v>324</v>
      </c>
      <c r="B133" s="2" t="s">
        <v>323</v>
      </c>
      <c r="C133" s="2" t="s">
        <v>175</v>
      </c>
      <c r="D133" s="16">
        <v>2475</v>
      </c>
      <c r="E133" s="16">
        <v>2215</v>
      </c>
      <c r="F133" s="17">
        <v>44513</v>
      </c>
      <c r="G133" s="17">
        <v>45991</v>
      </c>
      <c r="H133" s="17">
        <v>44513</v>
      </c>
      <c r="I133" s="16">
        <v>2365</v>
      </c>
    </row>
    <row r="134" spans="1:9" ht="16" x14ac:dyDescent="0.2">
      <c r="A134" s="2" t="s">
        <v>322</v>
      </c>
      <c r="B134" s="2" t="s">
        <v>321</v>
      </c>
      <c r="C134" s="2" t="s">
        <v>175</v>
      </c>
      <c r="D134" s="16">
        <v>2540</v>
      </c>
      <c r="E134" s="16">
        <v>2460</v>
      </c>
      <c r="F134" s="17">
        <v>45626</v>
      </c>
      <c r="G134" s="17">
        <v>45991</v>
      </c>
      <c r="H134" s="17">
        <v>45626</v>
      </c>
      <c r="I134" s="16">
        <v>2513</v>
      </c>
    </row>
    <row r="135" spans="1:9" ht="16" x14ac:dyDescent="0.2">
      <c r="A135" s="2" t="s">
        <v>320</v>
      </c>
      <c r="B135" s="2" t="s">
        <v>319</v>
      </c>
      <c r="C135" s="2" t="s">
        <v>175</v>
      </c>
      <c r="D135" s="16">
        <v>2185</v>
      </c>
      <c r="E135" s="16">
        <v>2150</v>
      </c>
      <c r="F135" s="17">
        <v>45323</v>
      </c>
      <c r="G135" s="17">
        <v>46053</v>
      </c>
      <c r="H135" s="17">
        <v>45323</v>
      </c>
      <c r="I135" s="16">
        <v>0</v>
      </c>
    </row>
    <row r="136" spans="1:9" ht="16" x14ac:dyDescent="0.2">
      <c r="A136" s="2" t="s">
        <v>318</v>
      </c>
      <c r="B136" s="2" t="s">
        <v>317</v>
      </c>
      <c r="C136" s="2" t="s">
        <v>175</v>
      </c>
      <c r="D136" s="16">
        <v>2100</v>
      </c>
      <c r="E136" s="16">
        <v>2020</v>
      </c>
      <c r="F136" s="17">
        <v>45184</v>
      </c>
      <c r="G136" s="17"/>
      <c r="H136" s="17">
        <v>45184</v>
      </c>
      <c r="I136" s="16">
        <v>0</v>
      </c>
    </row>
    <row r="137" spans="1:9" ht="16" x14ac:dyDescent="0.2">
      <c r="A137" s="2" t="s">
        <v>316</v>
      </c>
      <c r="B137" s="2" t="s">
        <v>315</v>
      </c>
      <c r="C137" s="2" t="s">
        <v>175</v>
      </c>
      <c r="D137" s="16">
        <v>2230</v>
      </c>
      <c r="E137" s="16">
        <v>2025</v>
      </c>
      <c r="F137" s="17">
        <v>44409</v>
      </c>
      <c r="G137" s="17">
        <v>45900</v>
      </c>
      <c r="H137" s="17">
        <v>44409</v>
      </c>
      <c r="I137" s="16">
        <v>0</v>
      </c>
    </row>
    <row r="138" spans="1:9" ht="16" x14ac:dyDescent="0.2">
      <c r="A138" s="2" t="s">
        <v>314</v>
      </c>
      <c r="B138" s="2" t="s">
        <v>313</v>
      </c>
      <c r="C138" s="2" t="s">
        <v>175</v>
      </c>
      <c r="D138" s="16">
        <v>2350</v>
      </c>
      <c r="E138" s="16">
        <v>2150</v>
      </c>
      <c r="F138" s="17">
        <v>44562</v>
      </c>
      <c r="G138" s="17">
        <v>46053</v>
      </c>
      <c r="H138" s="17">
        <v>44562</v>
      </c>
      <c r="I138" s="16">
        <v>2228</v>
      </c>
    </row>
    <row r="139" spans="1:9" ht="16" x14ac:dyDescent="0.2">
      <c r="A139" s="2" t="s">
        <v>312</v>
      </c>
      <c r="B139" s="2" t="s">
        <v>311</v>
      </c>
      <c r="C139" s="2" t="s">
        <v>175</v>
      </c>
      <c r="D139" s="16">
        <v>2795</v>
      </c>
      <c r="E139" s="16">
        <v>2700</v>
      </c>
      <c r="F139" s="17">
        <v>45519</v>
      </c>
      <c r="G139" s="17">
        <v>45900</v>
      </c>
      <c r="H139" s="17">
        <v>45519</v>
      </c>
      <c r="I139" s="16">
        <v>0</v>
      </c>
    </row>
    <row r="140" spans="1:9" ht="16" x14ac:dyDescent="0.2">
      <c r="A140" s="2" t="s">
        <v>310</v>
      </c>
      <c r="B140" s="2" t="s">
        <v>309</v>
      </c>
      <c r="C140" s="2" t="s">
        <v>175</v>
      </c>
      <c r="D140" s="16">
        <v>2060</v>
      </c>
      <c r="E140" s="16">
        <v>2025</v>
      </c>
      <c r="F140" s="17">
        <v>45689</v>
      </c>
      <c r="G140" s="17">
        <v>46053</v>
      </c>
      <c r="H140" s="17">
        <v>45689</v>
      </c>
      <c r="I140" s="16">
        <v>0</v>
      </c>
    </row>
    <row r="141" spans="1:9" ht="16" x14ac:dyDescent="0.2">
      <c r="A141" s="2" t="s">
        <v>308</v>
      </c>
      <c r="B141" s="2" t="s">
        <v>307</v>
      </c>
      <c r="C141" s="2" t="s">
        <v>175</v>
      </c>
      <c r="D141" s="16">
        <v>2550</v>
      </c>
      <c r="E141" s="16">
        <v>2400</v>
      </c>
      <c r="F141" s="17">
        <v>45078</v>
      </c>
      <c r="G141" s="17">
        <v>45808</v>
      </c>
      <c r="H141" s="17">
        <v>45078</v>
      </c>
      <c r="I141" s="16">
        <v>2453</v>
      </c>
    </row>
    <row r="142" spans="1:9" ht="16" x14ac:dyDescent="0.2">
      <c r="A142" s="2" t="s">
        <v>306</v>
      </c>
      <c r="B142" s="2" t="s">
        <v>305</v>
      </c>
      <c r="C142" s="2" t="s">
        <v>175</v>
      </c>
      <c r="D142" s="16">
        <v>2190</v>
      </c>
      <c r="E142" s="16">
        <v>2075</v>
      </c>
      <c r="F142" s="17">
        <v>45474</v>
      </c>
      <c r="G142" s="17">
        <v>45838</v>
      </c>
      <c r="H142" s="17">
        <v>45474</v>
      </c>
      <c r="I142" s="16">
        <v>0</v>
      </c>
    </row>
    <row r="143" spans="1:9" ht="16" x14ac:dyDescent="0.2">
      <c r="A143" s="2" t="s">
        <v>304</v>
      </c>
      <c r="B143" s="2" t="s">
        <v>303</v>
      </c>
      <c r="C143" s="2" t="s">
        <v>175</v>
      </c>
      <c r="D143" s="16">
        <v>2185</v>
      </c>
      <c r="E143" s="16">
        <v>1945</v>
      </c>
      <c r="F143" s="17">
        <v>44501</v>
      </c>
      <c r="G143" s="17">
        <v>45991</v>
      </c>
      <c r="H143" s="17">
        <v>44501</v>
      </c>
      <c r="I143" s="16">
        <v>0</v>
      </c>
    </row>
    <row r="144" spans="1:9" ht="16" x14ac:dyDescent="0.2">
      <c r="A144" s="2" t="s">
        <v>302</v>
      </c>
      <c r="B144" s="2" t="s">
        <v>301</v>
      </c>
      <c r="C144" s="2" t="s">
        <v>175</v>
      </c>
      <c r="D144" s="16">
        <v>2050</v>
      </c>
      <c r="E144" s="16">
        <v>1945</v>
      </c>
      <c r="F144" s="17">
        <v>45074</v>
      </c>
      <c r="G144" s="17">
        <v>45808</v>
      </c>
      <c r="H144" s="17">
        <v>45074</v>
      </c>
      <c r="I144" s="16">
        <v>0</v>
      </c>
    </row>
    <row r="145" spans="1:9" ht="16" x14ac:dyDescent="0.2">
      <c r="A145" s="2" t="s">
        <v>300</v>
      </c>
      <c r="B145" s="2" t="s">
        <v>299</v>
      </c>
      <c r="C145" s="2" t="s">
        <v>175</v>
      </c>
      <c r="D145" s="16">
        <v>2480</v>
      </c>
      <c r="E145" s="16">
        <v>2450</v>
      </c>
      <c r="F145" s="17">
        <v>45323</v>
      </c>
      <c r="G145" s="17">
        <v>46053</v>
      </c>
      <c r="H145" s="17">
        <v>45323</v>
      </c>
      <c r="I145" s="16">
        <v>0</v>
      </c>
    </row>
    <row r="146" spans="1:9" ht="16" x14ac:dyDescent="0.2">
      <c r="A146" s="2" t="s">
        <v>298</v>
      </c>
      <c r="B146" s="2" t="s">
        <v>297</v>
      </c>
      <c r="C146" s="2" t="s">
        <v>175</v>
      </c>
      <c r="D146" s="16">
        <v>2340</v>
      </c>
      <c r="E146" s="16">
        <v>2265</v>
      </c>
      <c r="F146" s="17">
        <v>45486</v>
      </c>
      <c r="G146" s="17">
        <v>45838</v>
      </c>
      <c r="H146" s="17">
        <v>45486</v>
      </c>
      <c r="I146" s="16">
        <v>2568</v>
      </c>
    </row>
    <row r="147" spans="1:9" ht="16" x14ac:dyDescent="0.2">
      <c r="A147" s="2" t="s">
        <v>296</v>
      </c>
      <c r="B147" s="2" t="s">
        <v>295</v>
      </c>
      <c r="C147" s="2" t="s">
        <v>175</v>
      </c>
      <c r="D147" s="16">
        <v>2060</v>
      </c>
      <c r="E147" s="16">
        <v>1945</v>
      </c>
      <c r="F147" s="17">
        <v>45410</v>
      </c>
      <c r="G147" s="17">
        <v>45777</v>
      </c>
      <c r="H147" s="17">
        <v>45410</v>
      </c>
      <c r="I147" s="16">
        <v>0</v>
      </c>
    </row>
    <row r="148" spans="1:9" ht="16" x14ac:dyDescent="0.2">
      <c r="A148" s="2" t="s">
        <v>294</v>
      </c>
      <c r="B148" s="2" t="s">
        <v>293</v>
      </c>
      <c r="C148" s="2" t="s">
        <v>175</v>
      </c>
      <c r="D148" s="16">
        <v>2180</v>
      </c>
      <c r="E148" s="16">
        <v>1985</v>
      </c>
      <c r="F148" s="17">
        <v>44470</v>
      </c>
      <c r="G148" s="17">
        <v>45961</v>
      </c>
      <c r="H148" s="17">
        <v>44470</v>
      </c>
      <c r="I148" s="16">
        <v>2138</v>
      </c>
    </row>
    <row r="149" spans="1:9" ht="16" x14ac:dyDescent="0.2">
      <c r="A149" s="2" t="s">
        <v>292</v>
      </c>
      <c r="B149" s="2" t="s">
        <v>291</v>
      </c>
      <c r="C149" s="2" t="s">
        <v>175</v>
      </c>
      <c r="D149" s="16">
        <v>2340</v>
      </c>
      <c r="E149" s="16">
        <v>2120</v>
      </c>
      <c r="F149" s="17">
        <v>44456</v>
      </c>
      <c r="G149" s="17">
        <v>45961</v>
      </c>
      <c r="H149" s="17">
        <v>44456</v>
      </c>
      <c r="I149" s="16">
        <v>2183.5</v>
      </c>
    </row>
    <row r="150" spans="1:9" ht="16" x14ac:dyDescent="0.2">
      <c r="A150" s="2" t="s">
        <v>290</v>
      </c>
      <c r="B150" s="2" t="s">
        <v>289</v>
      </c>
      <c r="C150" s="2" t="s">
        <v>175</v>
      </c>
      <c r="D150" s="16">
        <v>2795</v>
      </c>
      <c r="E150" s="16">
        <v>2695</v>
      </c>
      <c r="F150" s="17">
        <v>45672</v>
      </c>
      <c r="G150" s="17">
        <v>46203</v>
      </c>
      <c r="H150" s="17">
        <v>45672</v>
      </c>
      <c r="I150" s="16">
        <v>0</v>
      </c>
    </row>
    <row r="151" spans="1:9" ht="16" x14ac:dyDescent="0.2">
      <c r="A151" s="2" t="s">
        <v>288</v>
      </c>
      <c r="B151" s="2" t="s">
        <v>287</v>
      </c>
      <c r="C151" s="2" t="s">
        <v>175</v>
      </c>
      <c r="D151" s="16">
        <v>2190</v>
      </c>
      <c r="E151" s="16">
        <v>2050</v>
      </c>
      <c r="F151" s="17">
        <v>44385</v>
      </c>
      <c r="G151" s="17">
        <v>45900</v>
      </c>
      <c r="H151" s="17">
        <v>44385</v>
      </c>
      <c r="I151" s="16">
        <v>2213.5</v>
      </c>
    </row>
    <row r="152" spans="1:9" ht="16" x14ac:dyDescent="0.2">
      <c r="A152" s="2" t="s">
        <v>286</v>
      </c>
      <c r="B152" s="2" t="s">
        <v>285</v>
      </c>
      <c r="C152" s="2" t="s">
        <v>175</v>
      </c>
      <c r="D152" s="16">
        <v>2180</v>
      </c>
      <c r="E152" s="16">
        <v>2075</v>
      </c>
      <c r="F152" s="17">
        <v>44673</v>
      </c>
      <c r="G152" s="17">
        <v>45808</v>
      </c>
      <c r="H152" s="17">
        <v>44673</v>
      </c>
      <c r="I152" s="16">
        <v>2238.5</v>
      </c>
    </row>
    <row r="153" spans="1:9" ht="16" x14ac:dyDescent="0.2">
      <c r="A153" s="2" t="s">
        <v>284</v>
      </c>
      <c r="B153" s="2" t="s">
        <v>283</v>
      </c>
      <c r="C153" s="2" t="s">
        <v>175</v>
      </c>
      <c r="D153" s="16">
        <v>2095</v>
      </c>
      <c r="E153" s="16">
        <v>1950</v>
      </c>
      <c r="F153" s="17">
        <v>44270</v>
      </c>
      <c r="G153" s="17">
        <v>46112</v>
      </c>
      <c r="H153" s="17">
        <v>44270</v>
      </c>
      <c r="I153" s="16">
        <v>1069</v>
      </c>
    </row>
    <row r="154" spans="1:9" ht="16" x14ac:dyDescent="0.2">
      <c r="A154" s="2" t="s">
        <v>282</v>
      </c>
      <c r="B154" s="2" t="s">
        <v>281</v>
      </c>
      <c r="C154" s="2" t="s">
        <v>175</v>
      </c>
      <c r="D154" s="16">
        <v>2795</v>
      </c>
      <c r="E154" s="16">
        <v>2620</v>
      </c>
      <c r="F154" s="17">
        <v>45231</v>
      </c>
      <c r="G154" s="17">
        <v>45900</v>
      </c>
      <c r="H154" s="17">
        <v>45231</v>
      </c>
      <c r="I154" s="16">
        <v>0</v>
      </c>
    </row>
    <row r="155" spans="1:9" ht="16" x14ac:dyDescent="0.2">
      <c r="A155" s="2" t="s">
        <v>280</v>
      </c>
      <c r="B155" s="2" t="s">
        <v>279</v>
      </c>
      <c r="C155" s="2" t="s">
        <v>175</v>
      </c>
      <c r="D155" s="16">
        <v>2550</v>
      </c>
      <c r="E155" s="16">
        <v>2095</v>
      </c>
      <c r="F155" s="17">
        <v>44593</v>
      </c>
      <c r="G155" s="17"/>
      <c r="H155" s="17">
        <v>44593</v>
      </c>
      <c r="I155" s="16">
        <v>2744</v>
      </c>
    </row>
    <row r="156" spans="1:9" ht="16" x14ac:dyDescent="0.2">
      <c r="A156" s="2" t="s">
        <v>278</v>
      </c>
      <c r="B156" s="2" t="s">
        <v>277</v>
      </c>
      <c r="C156" s="2" t="s">
        <v>175</v>
      </c>
      <c r="D156" s="16">
        <v>2220</v>
      </c>
      <c r="E156" s="16">
        <v>2220</v>
      </c>
      <c r="F156" s="17">
        <v>45542</v>
      </c>
      <c r="G156" s="17">
        <v>45900</v>
      </c>
      <c r="H156" s="17">
        <v>45542</v>
      </c>
      <c r="I156" s="16">
        <v>2286.5</v>
      </c>
    </row>
    <row r="157" spans="1:9" ht="16" x14ac:dyDescent="0.2">
      <c r="A157" s="2" t="s">
        <v>276</v>
      </c>
      <c r="B157" s="2" t="s">
        <v>275</v>
      </c>
      <c r="C157" s="2" t="s">
        <v>175</v>
      </c>
      <c r="D157" s="16">
        <v>2350</v>
      </c>
      <c r="E157" s="16">
        <v>2240</v>
      </c>
      <c r="F157" s="17">
        <v>45407</v>
      </c>
      <c r="G157" s="17">
        <v>45777</v>
      </c>
      <c r="H157" s="17">
        <v>45407</v>
      </c>
      <c r="I157" s="16">
        <v>0</v>
      </c>
    </row>
    <row r="158" spans="1:9" ht="16" x14ac:dyDescent="0.2">
      <c r="A158" s="2" t="s">
        <v>274</v>
      </c>
      <c r="B158" s="2" t="s">
        <v>273</v>
      </c>
      <c r="C158" s="2" t="s">
        <v>272</v>
      </c>
      <c r="D158" s="16">
        <v>2550</v>
      </c>
      <c r="E158" s="16">
        <v>2250</v>
      </c>
      <c r="F158" s="17">
        <v>44682</v>
      </c>
      <c r="G158" s="17">
        <v>45808</v>
      </c>
      <c r="H158" s="17">
        <v>44682</v>
      </c>
      <c r="I158" s="16">
        <v>0</v>
      </c>
    </row>
    <row r="159" spans="1:9" ht="16" x14ac:dyDescent="0.2">
      <c r="A159" s="2" t="s">
        <v>271</v>
      </c>
      <c r="B159" s="2" t="s">
        <v>270</v>
      </c>
      <c r="C159" s="2" t="s">
        <v>175</v>
      </c>
      <c r="D159" s="16">
        <v>2455</v>
      </c>
      <c r="E159" s="16">
        <v>2350</v>
      </c>
      <c r="F159" s="17">
        <v>45437</v>
      </c>
      <c r="G159" s="17">
        <v>45808</v>
      </c>
      <c r="H159" s="17">
        <v>45437</v>
      </c>
      <c r="I159" s="16">
        <v>0</v>
      </c>
    </row>
    <row r="160" spans="1:9" ht="16" x14ac:dyDescent="0.2">
      <c r="A160" s="2" t="s">
        <v>269</v>
      </c>
      <c r="B160" s="2" t="s">
        <v>268</v>
      </c>
      <c r="C160" s="2" t="s">
        <v>175</v>
      </c>
      <c r="D160" s="16">
        <v>2480</v>
      </c>
      <c r="E160" s="16">
        <v>2400</v>
      </c>
      <c r="F160" s="17">
        <v>45038</v>
      </c>
      <c r="G160" s="17">
        <v>45808</v>
      </c>
      <c r="H160" s="17">
        <v>45038</v>
      </c>
      <c r="I160" s="16">
        <v>2566.5</v>
      </c>
    </row>
    <row r="161" spans="1:9" ht="16" x14ac:dyDescent="0.2">
      <c r="A161" s="2" t="s">
        <v>267</v>
      </c>
      <c r="B161" s="2" t="s">
        <v>266</v>
      </c>
      <c r="C161" s="2" t="s">
        <v>175</v>
      </c>
      <c r="D161" s="16">
        <v>2580</v>
      </c>
      <c r="E161" s="16">
        <v>2480</v>
      </c>
      <c r="F161" s="17">
        <v>45444</v>
      </c>
      <c r="G161" s="17">
        <v>45808</v>
      </c>
      <c r="H161" s="17">
        <v>45444</v>
      </c>
      <c r="I161" s="16">
        <v>2633</v>
      </c>
    </row>
    <row r="162" spans="1:9" ht="16" x14ac:dyDescent="0.2">
      <c r="A162" s="2" t="s">
        <v>265</v>
      </c>
      <c r="B162" s="2" t="s">
        <v>264</v>
      </c>
      <c r="C162" s="2" t="s">
        <v>175</v>
      </c>
      <c r="D162" s="16">
        <v>2580</v>
      </c>
      <c r="E162" s="16">
        <v>2480</v>
      </c>
      <c r="F162" s="17">
        <v>45473</v>
      </c>
      <c r="G162" s="17">
        <v>45838</v>
      </c>
      <c r="H162" s="17">
        <v>45473</v>
      </c>
      <c r="I162" s="16">
        <v>0</v>
      </c>
    </row>
    <row r="163" spans="1:9" ht="16" x14ac:dyDescent="0.2">
      <c r="A163" s="2" t="s">
        <v>263</v>
      </c>
      <c r="B163" s="2" t="s">
        <v>262</v>
      </c>
      <c r="C163" s="2" t="s">
        <v>175</v>
      </c>
      <c r="D163" s="16">
        <v>2185</v>
      </c>
      <c r="E163" s="16">
        <v>2075</v>
      </c>
      <c r="F163" s="17">
        <v>44757</v>
      </c>
      <c r="G163" s="17">
        <v>45869</v>
      </c>
      <c r="H163" s="17">
        <v>44757</v>
      </c>
      <c r="I163" s="16">
        <v>0</v>
      </c>
    </row>
    <row r="164" spans="1:9" ht="16" x14ac:dyDescent="0.2">
      <c r="A164" s="2" t="s">
        <v>261</v>
      </c>
      <c r="B164" s="2" t="s">
        <v>260</v>
      </c>
      <c r="C164" s="2" t="s">
        <v>175</v>
      </c>
      <c r="D164" s="16">
        <v>2340</v>
      </c>
      <c r="E164" s="16">
        <v>2340</v>
      </c>
      <c r="F164" s="17">
        <v>45352</v>
      </c>
      <c r="G164" s="17">
        <v>46081</v>
      </c>
      <c r="H164" s="17">
        <v>45352</v>
      </c>
      <c r="I164" s="16">
        <v>0</v>
      </c>
    </row>
    <row r="165" spans="1:9" ht="16" x14ac:dyDescent="0.2">
      <c r="A165" s="2" t="s">
        <v>259</v>
      </c>
      <c r="B165" s="2" t="s">
        <v>258</v>
      </c>
      <c r="C165" s="2" t="s">
        <v>175</v>
      </c>
      <c r="D165" s="16">
        <v>2055</v>
      </c>
      <c r="E165" s="16">
        <v>1970</v>
      </c>
      <c r="F165" s="17">
        <v>45212</v>
      </c>
      <c r="G165" s="17">
        <v>45930</v>
      </c>
      <c r="H165" s="17">
        <v>45212</v>
      </c>
      <c r="I165" s="16">
        <v>0</v>
      </c>
    </row>
    <row r="166" spans="1:9" ht="16" x14ac:dyDescent="0.2">
      <c r="A166" s="2" t="s">
        <v>257</v>
      </c>
      <c r="B166" s="2" t="s">
        <v>256</v>
      </c>
      <c r="C166" s="2" t="s">
        <v>175</v>
      </c>
      <c r="D166" s="16">
        <v>2340</v>
      </c>
      <c r="E166" s="16">
        <v>2340</v>
      </c>
      <c r="F166" s="17">
        <v>45349</v>
      </c>
      <c r="G166" s="17">
        <v>46265</v>
      </c>
      <c r="H166" s="17">
        <v>45349</v>
      </c>
      <c r="I166" s="16">
        <v>0</v>
      </c>
    </row>
    <row r="167" spans="1:9" ht="16" x14ac:dyDescent="0.2">
      <c r="A167" s="2" t="s">
        <v>255</v>
      </c>
      <c r="B167" s="2" t="s">
        <v>254</v>
      </c>
      <c r="C167" s="2" t="s">
        <v>175</v>
      </c>
      <c r="D167" s="16">
        <v>2220</v>
      </c>
      <c r="E167" s="16">
        <v>2100</v>
      </c>
      <c r="F167" s="17">
        <v>44866</v>
      </c>
      <c r="G167" s="17">
        <v>45961</v>
      </c>
      <c r="H167" s="17">
        <v>44866</v>
      </c>
      <c r="I167" s="16">
        <v>2318</v>
      </c>
    </row>
    <row r="168" spans="1:9" ht="16" x14ac:dyDescent="0.2">
      <c r="A168" s="2" t="s">
        <v>253</v>
      </c>
      <c r="B168" s="2" t="s">
        <v>252</v>
      </c>
      <c r="C168" s="2" t="s">
        <v>175</v>
      </c>
      <c r="D168" s="16">
        <v>2275</v>
      </c>
      <c r="E168" s="16">
        <v>2100</v>
      </c>
      <c r="F168" s="17">
        <v>44494</v>
      </c>
      <c r="G168" s="17">
        <v>45991</v>
      </c>
      <c r="H168" s="17">
        <v>44494</v>
      </c>
      <c r="I168" s="16">
        <v>2316.5</v>
      </c>
    </row>
    <row r="169" spans="1:9" ht="16" x14ac:dyDescent="0.2">
      <c r="A169" s="2" t="s">
        <v>251</v>
      </c>
      <c r="B169" s="2" t="s">
        <v>250</v>
      </c>
      <c r="C169" s="2" t="s">
        <v>175</v>
      </c>
      <c r="D169" s="16">
        <v>2100</v>
      </c>
      <c r="E169" s="16">
        <v>1995</v>
      </c>
      <c r="F169" s="17">
        <v>45381</v>
      </c>
      <c r="G169" s="17">
        <v>46112</v>
      </c>
      <c r="H169" s="17">
        <v>45381</v>
      </c>
      <c r="I169" s="16">
        <v>3</v>
      </c>
    </row>
    <row r="170" spans="1:9" ht="16" x14ac:dyDescent="0.2">
      <c r="A170" s="2" t="s">
        <v>249</v>
      </c>
      <c r="B170" s="2" t="s">
        <v>248</v>
      </c>
      <c r="C170" s="2" t="s">
        <v>175</v>
      </c>
      <c r="D170" s="16">
        <v>2185</v>
      </c>
      <c r="E170" s="16">
        <v>2125</v>
      </c>
      <c r="F170" s="17">
        <v>45261</v>
      </c>
      <c r="G170" s="17">
        <v>45991</v>
      </c>
      <c r="H170" s="17">
        <v>45261</v>
      </c>
      <c r="I170" s="16">
        <v>0</v>
      </c>
    </row>
    <row r="171" spans="1:9" ht="16" x14ac:dyDescent="0.2">
      <c r="A171" s="2" t="s">
        <v>247</v>
      </c>
      <c r="B171" s="2" t="s">
        <v>246</v>
      </c>
      <c r="C171" s="2" t="s">
        <v>175</v>
      </c>
      <c r="D171" s="16">
        <v>2350</v>
      </c>
      <c r="E171" s="16">
        <v>2245</v>
      </c>
      <c r="F171" s="17">
        <v>45078</v>
      </c>
      <c r="G171" s="17">
        <v>45808</v>
      </c>
      <c r="H171" s="17">
        <v>45078</v>
      </c>
      <c r="I171" s="16">
        <v>2298</v>
      </c>
    </row>
    <row r="172" spans="1:9" ht="16" x14ac:dyDescent="0.2">
      <c r="A172" s="2" t="s">
        <v>245</v>
      </c>
      <c r="B172" s="2" t="s">
        <v>244</v>
      </c>
      <c r="C172" s="2" t="s">
        <v>175</v>
      </c>
      <c r="D172" s="16">
        <v>2025</v>
      </c>
      <c r="E172" s="16">
        <v>1920</v>
      </c>
      <c r="F172" s="17">
        <v>45231</v>
      </c>
      <c r="G172" s="17">
        <v>45961</v>
      </c>
      <c r="H172" s="17">
        <v>45231</v>
      </c>
      <c r="I172" s="16">
        <v>2073</v>
      </c>
    </row>
    <row r="173" spans="1:9" ht="16" x14ac:dyDescent="0.2">
      <c r="A173" s="2" t="s">
        <v>243</v>
      </c>
      <c r="B173" s="2" t="s">
        <v>242</v>
      </c>
      <c r="C173" s="2" t="s">
        <v>175</v>
      </c>
      <c r="D173" s="16">
        <v>2180</v>
      </c>
      <c r="E173" s="16">
        <v>2175</v>
      </c>
      <c r="F173" s="17">
        <v>45352</v>
      </c>
      <c r="G173" s="17">
        <v>46081</v>
      </c>
      <c r="H173" s="17">
        <v>45352</v>
      </c>
      <c r="I173" s="16">
        <v>2034</v>
      </c>
    </row>
    <row r="174" spans="1:9" ht="16" x14ac:dyDescent="0.2">
      <c r="A174" s="2" t="s">
        <v>241</v>
      </c>
      <c r="B174" s="2" t="s">
        <v>240</v>
      </c>
      <c r="C174" s="2" t="s">
        <v>175</v>
      </c>
      <c r="D174" s="16">
        <v>2350</v>
      </c>
      <c r="E174" s="16">
        <v>2220</v>
      </c>
      <c r="F174" s="17">
        <v>45017</v>
      </c>
      <c r="G174" s="17">
        <v>45930</v>
      </c>
      <c r="H174" s="17">
        <v>45017</v>
      </c>
      <c r="I174" s="16">
        <v>0</v>
      </c>
    </row>
    <row r="175" spans="1:9" ht="16" x14ac:dyDescent="0.2">
      <c r="A175" s="2" t="s">
        <v>239</v>
      </c>
      <c r="B175" s="2" t="s">
        <v>238</v>
      </c>
      <c r="C175" s="2" t="s">
        <v>175</v>
      </c>
      <c r="D175" s="16">
        <v>2230</v>
      </c>
      <c r="E175" s="16">
        <v>2195</v>
      </c>
      <c r="F175" s="17">
        <v>45522</v>
      </c>
      <c r="G175" s="17">
        <v>45900</v>
      </c>
      <c r="H175" s="17">
        <v>45522</v>
      </c>
      <c r="I175" s="16">
        <v>0</v>
      </c>
    </row>
    <row r="176" spans="1:9" ht="16" x14ac:dyDescent="0.2">
      <c r="A176" s="2" t="s">
        <v>237</v>
      </c>
      <c r="B176" s="2" t="s">
        <v>236</v>
      </c>
      <c r="C176" s="2" t="s">
        <v>175</v>
      </c>
      <c r="D176" s="16">
        <v>2190</v>
      </c>
      <c r="E176" s="16">
        <v>2190</v>
      </c>
      <c r="F176" s="17">
        <v>45352</v>
      </c>
      <c r="G176" s="17">
        <v>46081</v>
      </c>
      <c r="H176" s="17">
        <v>45352</v>
      </c>
      <c r="I176" s="16">
        <v>0</v>
      </c>
    </row>
    <row r="177" spans="1:9" ht="16" x14ac:dyDescent="0.2">
      <c r="A177" s="2" t="s">
        <v>235</v>
      </c>
      <c r="B177" s="2" t="s">
        <v>234</v>
      </c>
      <c r="C177" s="2" t="s">
        <v>175</v>
      </c>
      <c r="D177" s="16">
        <v>2185</v>
      </c>
      <c r="E177" s="16">
        <v>2115</v>
      </c>
      <c r="F177" s="17">
        <v>44941</v>
      </c>
      <c r="G177" s="17">
        <v>46053</v>
      </c>
      <c r="H177" s="17">
        <v>44941</v>
      </c>
      <c r="I177" s="16">
        <v>2281.5</v>
      </c>
    </row>
    <row r="178" spans="1:9" ht="16" x14ac:dyDescent="0.2">
      <c r="A178" s="2" t="s">
        <v>233</v>
      </c>
      <c r="B178" s="2" t="s">
        <v>232</v>
      </c>
      <c r="C178" s="2" t="s">
        <v>175</v>
      </c>
      <c r="D178" s="16">
        <v>2275</v>
      </c>
      <c r="E178" s="16">
        <v>2045</v>
      </c>
      <c r="F178" s="17">
        <v>44256</v>
      </c>
      <c r="G178" s="17">
        <v>46112</v>
      </c>
      <c r="H178" s="17">
        <v>44256</v>
      </c>
      <c r="I178" s="16">
        <v>0</v>
      </c>
    </row>
    <row r="179" spans="1:9" ht="16" x14ac:dyDescent="0.2">
      <c r="A179" s="2" t="s">
        <v>231</v>
      </c>
      <c r="B179" s="2" t="s">
        <v>230</v>
      </c>
      <c r="C179" s="2" t="s">
        <v>175</v>
      </c>
      <c r="D179" s="16">
        <v>2240</v>
      </c>
      <c r="E179" s="16">
        <v>2140</v>
      </c>
      <c r="F179" s="17">
        <v>45444</v>
      </c>
      <c r="G179" s="17">
        <v>45808</v>
      </c>
      <c r="H179" s="17">
        <v>45444</v>
      </c>
      <c r="I179" s="16">
        <v>0</v>
      </c>
    </row>
    <row r="180" spans="1:9" ht="16" x14ac:dyDescent="0.2">
      <c r="A180" s="2" t="s">
        <v>229</v>
      </c>
      <c r="B180" s="2" t="s">
        <v>228</v>
      </c>
      <c r="C180" s="2" t="s">
        <v>175</v>
      </c>
      <c r="D180" s="16">
        <v>2180</v>
      </c>
      <c r="E180" s="16">
        <v>2150</v>
      </c>
      <c r="F180" s="17">
        <v>45337</v>
      </c>
      <c r="G180" s="17">
        <v>46053</v>
      </c>
      <c r="H180" s="17">
        <v>45337</v>
      </c>
      <c r="I180" s="16">
        <v>2351.5</v>
      </c>
    </row>
    <row r="181" spans="1:9" ht="16" x14ac:dyDescent="0.2">
      <c r="A181" s="2" t="s">
        <v>227</v>
      </c>
      <c r="B181" s="2" t="s">
        <v>226</v>
      </c>
      <c r="C181" s="2" t="s">
        <v>175</v>
      </c>
      <c r="D181" s="16">
        <v>2185</v>
      </c>
      <c r="E181" s="16">
        <v>1950</v>
      </c>
      <c r="F181" s="17">
        <v>44233</v>
      </c>
      <c r="G181" s="17">
        <v>45808</v>
      </c>
      <c r="H181" s="17">
        <v>44233</v>
      </c>
      <c r="I181" s="16">
        <v>1622.62</v>
      </c>
    </row>
    <row r="182" spans="1:9" ht="16" x14ac:dyDescent="0.2">
      <c r="A182" s="2" t="s">
        <v>225</v>
      </c>
      <c r="B182" s="2" t="s">
        <v>224</v>
      </c>
      <c r="C182" s="2" t="s">
        <v>175</v>
      </c>
      <c r="D182" s="16">
        <v>2180</v>
      </c>
      <c r="E182" s="16">
        <v>2075</v>
      </c>
      <c r="F182" s="17">
        <v>45514</v>
      </c>
      <c r="G182" s="17">
        <v>45869</v>
      </c>
      <c r="H182" s="17">
        <v>45514</v>
      </c>
      <c r="I182" s="16">
        <v>0</v>
      </c>
    </row>
    <row r="183" spans="1:9" ht="16" x14ac:dyDescent="0.2">
      <c r="A183" s="2" t="s">
        <v>223</v>
      </c>
      <c r="B183" s="2" t="s">
        <v>222</v>
      </c>
      <c r="C183" s="2" t="s">
        <v>175</v>
      </c>
      <c r="D183" s="16">
        <v>2540</v>
      </c>
      <c r="E183" s="16">
        <v>2470</v>
      </c>
      <c r="F183" s="17">
        <v>44893</v>
      </c>
      <c r="G183" s="17">
        <v>45991</v>
      </c>
      <c r="H183" s="17">
        <v>44893</v>
      </c>
      <c r="I183" s="16">
        <v>0</v>
      </c>
    </row>
    <row r="184" spans="1:9" ht="16" x14ac:dyDescent="0.2">
      <c r="A184" s="2" t="s">
        <v>221</v>
      </c>
      <c r="B184" s="2" t="s">
        <v>220</v>
      </c>
      <c r="C184" s="2" t="s">
        <v>175</v>
      </c>
      <c r="D184" s="16">
        <v>2185</v>
      </c>
      <c r="E184" s="16">
        <v>2075</v>
      </c>
      <c r="F184" s="17">
        <v>45542</v>
      </c>
      <c r="G184" s="17">
        <v>45900</v>
      </c>
      <c r="H184" s="17">
        <v>45542</v>
      </c>
      <c r="I184" s="16">
        <v>0</v>
      </c>
    </row>
    <row r="185" spans="1:9" ht="16" x14ac:dyDescent="0.2">
      <c r="A185" s="2" t="s">
        <v>219</v>
      </c>
      <c r="B185" s="2" t="s">
        <v>218</v>
      </c>
      <c r="C185" s="2" t="s">
        <v>175</v>
      </c>
      <c r="D185" s="16">
        <v>2180</v>
      </c>
      <c r="E185" s="16">
        <v>2075</v>
      </c>
      <c r="F185" s="17">
        <v>45527</v>
      </c>
      <c r="G185" s="17">
        <v>45900</v>
      </c>
      <c r="H185" s="17">
        <v>45527</v>
      </c>
      <c r="I185" s="16">
        <v>2228</v>
      </c>
    </row>
    <row r="186" spans="1:9" ht="16" x14ac:dyDescent="0.2">
      <c r="A186" s="2" t="s">
        <v>217</v>
      </c>
      <c r="B186" s="2" t="s">
        <v>216</v>
      </c>
      <c r="C186" s="2" t="s">
        <v>175</v>
      </c>
      <c r="D186" s="16">
        <v>2550</v>
      </c>
      <c r="E186" s="16">
        <v>2440</v>
      </c>
      <c r="F186" s="17">
        <v>45580</v>
      </c>
      <c r="G186" s="17">
        <v>45930</v>
      </c>
      <c r="H186" s="17">
        <v>45580</v>
      </c>
      <c r="I186" s="16">
        <v>0</v>
      </c>
    </row>
    <row r="187" spans="1:9" ht="16" x14ac:dyDescent="0.2">
      <c r="A187" s="2" t="s">
        <v>215</v>
      </c>
      <c r="B187" s="2" t="s">
        <v>214</v>
      </c>
      <c r="C187" s="2" t="s">
        <v>175</v>
      </c>
      <c r="D187" s="16">
        <v>2350</v>
      </c>
      <c r="E187" s="16">
        <v>2320</v>
      </c>
      <c r="F187" s="17">
        <v>44757</v>
      </c>
      <c r="G187" s="17">
        <v>45869</v>
      </c>
      <c r="H187" s="17">
        <v>44757</v>
      </c>
      <c r="I187" s="16">
        <v>2461</v>
      </c>
    </row>
    <row r="188" spans="1:9" ht="16" x14ac:dyDescent="0.2">
      <c r="A188" s="2" t="s">
        <v>213</v>
      </c>
      <c r="B188" s="2" t="s">
        <v>212</v>
      </c>
      <c r="C188" s="2" t="s">
        <v>175</v>
      </c>
      <c r="D188" s="16">
        <v>2100</v>
      </c>
      <c r="E188" s="16">
        <v>1995</v>
      </c>
      <c r="F188" s="17">
        <v>45611</v>
      </c>
      <c r="G188" s="17">
        <v>45991</v>
      </c>
      <c r="H188" s="17">
        <v>45611</v>
      </c>
      <c r="I188" s="16">
        <v>2048</v>
      </c>
    </row>
    <row r="189" spans="1:9" ht="16" x14ac:dyDescent="0.2">
      <c r="A189" s="2" t="s">
        <v>211</v>
      </c>
      <c r="B189" s="2" t="s">
        <v>210</v>
      </c>
      <c r="C189" s="2" t="s">
        <v>175</v>
      </c>
      <c r="D189" s="16">
        <v>2180</v>
      </c>
      <c r="E189" s="16">
        <v>2180</v>
      </c>
      <c r="F189" s="17">
        <v>45642</v>
      </c>
      <c r="G189" s="17">
        <v>46022</v>
      </c>
      <c r="H189" s="17">
        <v>45642</v>
      </c>
      <c r="I189" s="16">
        <v>0</v>
      </c>
    </row>
    <row r="190" spans="1:9" ht="16" x14ac:dyDescent="0.2">
      <c r="A190" s="2" t="s">
        <v>209</v>
      </c>
      <c r="B190" s="2" t="s">
        <v>208</v>
      </c>
      <c r="C190" s="2" t="s">
        <v>175</v>
      </c>
      <c r="D190" s="16">
        <v>2250</v>
      </c>
      <c r="E190" s="16">
        <v>2195</v>
      </c>
      <c r="F190" s="17">
        <v>45474</v>
      </c>
      <c r="G190" s="17">
        <v>45838</v>
      </c>
      <c r="H190" s="17">
        <v>45474</v>
      </c>
      <c r="I190" s="16">
        <v>15</v>
      </c>
    </row>
    <row r="191" spans="1:9" ht="16" x14ac:dyDescent="0.2">
      <c r="A191" s="2" t="s">
        <v>207</v>
      </c>
      <c r="B191" s="2" t="s">
        <v>206</v>
      </c>
      <c r="C191" s="2" t="s">
        <v>175</v>
      </c>
      <c r="D191" s="16">
        <v>2550</v>
      </c>
      <c r="E191" s="16">
        <v>2320</v>
      </c>
      <c r="F191" s="17">
        <v>44428</v>
      </c>
      <c r="G191" s="17">
        <v>45930</v>
      </c>
      <c r="H191" s="17">
        <v>44428</v>
      </c>
      <c r="I191" s="16">
        <v>2473</v>
      </c>
    </row>
    <row r="192" spans="1:9" ht="16" x14ac:dyDescent="0.2">
      <c r="A192" s="2" t="s">
        <v>205</v>
      </c>
      <c r="B192" s="2" t="s">
        <v>204</v>
      </c>
      <c r="C192" s="2" t="s">
        <v>175</v>
      </c>
      <c r="D192" s="16">
        <v>2145</v>
      </c>
      <c r="E192" s="16">
        <v>1950</v>
      </c>
      <c r="F192" s="17">
        <v>45580</v>
      </c>
      <c r="G192" s="17">
        <v>45961</v>
      </c>
      <c r="H192" s="17">
        <v>45580</v>
      </c>
      <c r="I192" s="16">
        <v>2103</v>
      </c>
    </row>
    <row r="193" spans="1:9" ht="16" x14ac:dyDescent="0.2">
      <c r="A193" s="2" t="s">
        <v>203</v>
      </c>
      <c r="B193" s="2" t="s">
        <v>202</v>
      </c>
      <c r="C193" s="2" t="s">
        <v>175</v>
      </c>
      <c r="D193" s="16">
        <v>2160</v>
      </c>
      <c r="E193" s="16">
        <v>2065</v>
      </c>
      <c r="F193" s="17">
        <v>45303</v>
      </c>
      <c r="G193" s="17">
        <v>46022</v>
      </c>
      <c r="H193" s="17">
        <v>45303</v>
      </c>
      <c r="I193" s="16">
        <v>0</v>
      </c>
    </row>
    <row r="194" spans="1:9" ht="16" x14ac:dyDescent="0.2">
      <c r="A194" s="2" t="s">
        <v>201</v>
      </c>
      <c r="B194" s="2" t="s">
        <v>200</v>
      </c>
      <c r="C194" s="2" t="s">
        <v>175</v>
      </c>
      <c r="D194" s="16">
        <v>2060</v>
      </c>
      <c r="E194" s="16">
        <v>1945</v>
      </c>
      <c r="F194" s="17">
        <v>45521</v>
      </c>
      <c r="G194" s="17">
        <v>45900</v>
      </c>
      <c r="H194" s="17">
        <v>45521</v>
      </c>
      <c r="I194" s="16">
        <v>2098</v>
      </c>
    </row>
    <row r="195" spans="1:9" ht="16" x14ac:dyDescent="0.2">
      <c r="A195" s="2" t="s">
        <v>199</v>
      </c>
      <c r="B195" s="2" t="s">
        <v>198</v>
      </c>
      <c r="C195" s="2" t="s">
        <v>175</v>
      </c>
      <c r="D195" s="16">
        <v>2250</v>
      </c>
      <c r="E195" s="16">
        <v>2145</v>
      </c>
      <c r="F195" s="17">
        <v>45114</v>
      </c>
      <c r="G195" s="17">
        <v>45838</v>
      </c>
      <c r="H195" s="17">
        <v>45114</v>
      </c>
      <c r="I195" s="16">
        <v>2345</v>
      </c>
    </row>
    <row r="196" spans="1:9" ht="16" x14ac:dyDescent="0.2">
      <c r="A196" s="2" t="s">
        <v>197</v>
      </c>
      <c r="B196" s="2" t="s">
        <v>196</v>
      </c>
      <c r="C196" s="2" t="s">
        <v>175</v>
      </c>
      <c r="D196" s="16">
        <v>2340</v>
      </c>
      <c r="E196" s="16">
        <v>2265</v>
      </c>
      <c r="F196" s="17">
        <v>44441</v>
      </c>
      <c r="G196" s="17">
        <v>45930</v>
      </c>
      <c r="H196" s="17">
        <v>44441</v>
      </c>
      <c r="I196" s="16">
        <v>-900</v>
      </c>
    </row>
    <row r="197" spans="1:9" ht="16" x14ac:dyDescent="0.2">
      <c r="A197" s="2" t="s">
        <v>195</v>
      </c>
      <c r="B197" s="2" t="s">
        <v>194</v>
      </c>
      <c r="C197" s="2" t="s">
        <v>175</v>
      </c>
      <c r="D197" s="16">
        <v>2160</v>
      </c>
      <c r="E197" s="16">
        <v>2095</v>
      </c>
      <c r="F197" s="17">
        <v>45566</v>
      </c>
      <c r="G197" s="17">
        <v>45930</v>
      </c>
      <c r="H197" s="17">
        <v>45566</v>
      </c>
      <c r="I197" s="16">
        <v>2313</v>
      </c>
    </row>
    <row r="198" spans="1:9" ht="16" x14ac:dyDescent="0.2">
      <c r="A198" s="2" t="s">
        <v>193</v>
      </c>
      <c r="B198" s="2" t="s">
        <v>192</v>
      </c>
      <c r="C198" s="2" t="s">
        <v>175</v>
      </c>
      <c r="D198" s="16">
        <v>2550</v>
      </c>
      <c r="E198" s="16">
        <v>2440</v>
      </c>
      <c r="F198" s="17">
        <v>45549</v>
      </c>
      <c r="G198" s="17">
        <v>45930</v>
      </c>
      <c r="H198" s="17">
        <v>45549</v>
      </c>
      <c r="I198" s="16">
        <v>2593</v>
      </c>
    </row>
    <row r="199" spans="1:9" ht="16" x14ac:dyDescent="0.2">
      <c r="A199" s="2" t="s">
        <v>191</v>
      </c>
      <c r="B199" s="2" t="s">
        <v>190</v>
      </c>
      <c r="C199" s="2" t="s">
        <v>175</v>
      </c>
      <c r="D199" s="16">
        <v>2550</v>
      </c>
      <c r="E199" s="16">
        <v>2295</v>
      </c>
      <c r="F199" s="17">
        <v>44593</v>
      </c>
      <c r="G199" s="17">
        <v>46081</v>
      </c>
      <c r="H199" s="17">
        <v>44593</v>
      </c>
      <c r="I199" s="16">
        <v>2526.5</v>
      </c>
    </row>
    <row r="200" spans="1:9" ht="16" x14ac:dyDescent="0.2">
      <c r="A200" s="2" t="s">
        <v>189</v>
      </c>
      <c r="B200" s="2" t="s">
        <v>188</v>
      </c>
      <c r="C200" s="2" t="s">
        <v>175</v>
      </c>
      <c r="D200" s="16">
        <v>2220</v>
      </c>
      <c r="E200" s="16">
        <v>1990</v>
      </c>
      <c r="F200" s="17">
        <v>44317</v>
      </c>
      <c r="G200" s="17">
        <v>45961</v>
      </c>
      <c r="H200" s="17">
        <v>44317</v>
      </c>
      <c r="I200" s="16">
        <v>0</v>
      </c>
    </row>
    <row r="201" spans="1:9" ht="16" x14ac:dyDescent="0.2">
      <c r="A201" s="2" t="s">
        <v>187</v>
      </c>
      <c r="B201" s="2" t="s">
        <v>186</v>
      </c>
      <c r="C201" s="2" t="s">
        <v>175</v>
      </c>
      <c r="D201" s="16">
        <v>2185</v>
      </c>
      <c r="E201" s="16">
        <v>2045</v>
      </c>
      <c r="F201" s="17">
        <v>45005</v>
      </c>
      <c r="G201" s="17">
        <v>45930</v>
      </c>
      <c r="H201" s="17">
        <v>45005</v>
      </c>
      <c r="I201" s="16">
        <v>0</v>
      </c>
    </row>
    <row r="202" spans="1:9" ht="16" x14ac:dyDescent="0.2">
      <c r="A202" s="2" t="s">
        <v>185</v>
      </c>
      <c r="B202" s="2" t="s">
        <v>184</v>
      </c>
      <c r="C202" s="2" t="s">
        <v>175</v>
      </c>
      <c r="D202" s="16">
        <v>2145</v>
      </c>
      <c r="E202" s="16">
        <v>2040</v>
      </c>
      <c r="F202" s="17">
        <v>45577</v>
      </c>
      <c r="G202" s="17">
        <v>45930</v>
      </c>
      <c r="H202" s="17">
        <v>45577</v>
      </c>
      <c r="I202" s="16">
        <v>2193</v>
      </c>
    </row>
    <row r="203" spans="1:9" ht="16" x14ac:dyDescent="0.2">
      <c r="A203" s="2" t="s">
        <v>183</v>
      </c>
      <c r="B203" s="2" t="s">
        <v>182</v>
      </c>
      <c r="C203" s="2" t="s">
        <v>175</v>
      </c>
      <c r="D203" s="16">
        <v>2160</v>
      </c>
      <c r="E203" s="16">
        <v>2065</v>
      </c>
      <c r="F203" s="17">
        <v>45136</v>
      </c>
      <c r="G203" s="17">
        <v>45869</v>
      </c>
      <c r="H203" s="17">
        <v>45136</v>
      </c>
      <c r="I203" s="16">
        <v>2118</v>
      </c>
    </row>
    <row r="204" spans="1:9" ht="16" x14ac:dyDescent="0.2">
      <c r="A204" s="2" t="s">
        <v>181</v>
      </c>
      <c r="B204" s="2" t="s">
        <v>180</v>
      </c>
      <c r="C204" s="2" t="s">
        <v>175</v>
      </c>
      <c r="D204" s="16">
        <v>2145</v>
      </c>
      <c r="E204" s="16">
        <v>2040</v>
      </c>
      <c r="F204" s="17">
        <v>45505</v>
      </c>
      <c r="G204" s="17">
        <v>45869</v>
      </c>
      <c r="H204" s="17">
        <v>45505</v>
      </c>
      <c r="I204" s="16">
        <v>0</v>
      </c>
    </row>
    <row r="205" spans="1:9" ht="16" x14ac:dyDescent="0.2">
      <c r="A205" s="2" t="s">
        <v>179</v>
      </c>
      <c r="B205" s="2" t="s">
        <v>178</v>
      </c>
      <c r="C205" s="2" t="s">
        <v>175</v>
      </c>
      <c r="D205" s="16">
        <v>2185</v>
      </c>
      <c r="E205" s="16">
        <v>2095</v>
      </c>
      <c r="F205" s="17">
        <v>44593</v>
      </c>
      <c r="G205" s="17">
        <v>45900</v>
      </c>
      <c r="H205" s="17">
        <v>44593</v>
      </c>
      <c r="I205" s="16">
        <v>0</v>
      </c>
    </row>
    <row r="206" spans="1:9" ht="16" x14ac:dyDescent="0.2">
      <c r="A206" s="2" t="s">
        <v>177</v>
      </c>
      <c r="B206" s="2" t="s">
        <v>176</v>
      </c>
      <c r="C206" s="2" t="s">
        <v>175</v>
      </c>
      <c r="D206" s="16">
        <v>2340</v>
      </c>
      <c r="E206" s="16">
        <v>2190</v>
      </c>
      <c r="F206" s="17">
        <v>45000</v>
      </c>
      <c r="G206" s="17">
        <v>46112</v>
      </c>
      <c r="H206" s="17">
        <v>45000</v>
      </c>
      <c r="I206" s="16">
        <v>0</v>
      </c>
    </row>
    <row r="207" spans="1:9" ht="16" x14ac:dyDescent="0.2">
      <c r="A207" s="2" t="s">
        <v>174</v>
      </c>
      <c r="B207" s="2"/>
      <c r="C207" s="2" t="s">
        <v>155</v>
      </c>
      <c r="D207" s="16">
        <v>2055</v>
      </c>
      <c r="E207" s="16"/>
      <c r="F207" s="17"/>
      <c r="G207" s="17"/>
      <c r="H207" s="17"/>
      <c r="I207" s="16"/>
    </row>
    <row r="208" spans="1:9" ht="16" x14ac:dyDescent="0.2">
      <c r="A208" s="2" t="s">
        <v>173</v>
      </c>
      <c r="B208" s="2"/>
      <c r="C208" s="2" t="s">
        <v>157</v>
      </c>
      <c r="D208" s="16">
        <v>2250</v>
      </c>
      <c r="E208" s="16"/>
      <c r="F208" s="17"/>
      <c r="G208" s="17"/>
      <c r="H208" s="17"/>
      <c r="I208" s="16"/>
    </row>
    <row r="209" spans="1:9" ht="16" x14ac:dyDescent="0.2">
      <c r="A209" s="2" t="s">
        <v>172</v>
      </c>
      <c r="B209" s="2"/>
      <c r="C209" s="2" t="s">
        <v>157</v>
      </c>
      <c r="D209" s="16">
        <v>2480</v>
      </c>
      <c r="E209" s="16"/>
      <c r="F209" s="17"/>
      <c r="G209" s="17"/>
      <c r="H209" s="17"/>
      <c r="I209" s="16"/>
    </row>
    <row r="210" spans="1:9" ht="16" x14ac:dyDescent="0.2">
      <c r="A210" s="2" t="s">
        <v>171</v>
      </c>
      <c r="B210" s="2"/>
      <c r="C210" s="2" t="s">
        <v>155</v>
      </c>
      <c r="D210" s="16">
        <v>2145</v>
      </c>
      <c r="E210" s="16"/>
      <c r="F210" s="17"/>
      <c r="G210" s="17"/>
      <c r="H210" s="17"/>
      <c r="I210" s="16"/>
    </row>
    <row r="211" spans="1:9" ht="16" x14ac:dyDescent="0.2">
      <c r="A211" s="2" t="s">
        <v>170</v>
      </c>
      <c r="B211" s="2"/>
      <c r="C211" s="2" t="s">
        <v>157</v>
      </c>
      <c r="D211" s="16">
        <v>2060</v>
      </c>
      <c r="E211" s="16"/>
      <c r="F211" s="17"/>
      <c r="G211" s="17"/>
      <c r="H211" s="17"/>
      <c r="I211" s="16"/>
    </row>
    <row r="212" spans="1:9" ht="16" x14ac:dyDescent="0.2">
      <c r="A212" s="2" t="s">
        <v>169</v>
      </c>
      <c r="B212" s="2"/>
      <c r="C212" s="2" t="s">
        <v>155</v>
      </c>
      <c r="D212" s="16">
        <v>2240</v>
      </c>
      <c r="E212" s="16"/>
      <c r="F212" s="17"/>
      <c r="G212" s="17"/>
      <c r="H212" s="17"/>
      <c r="I212" s="16"/>
    </row>
    <row r="213" spans="1:9" ht="16" x14ac:dyDescent="0.2">
      <c r="A213" s="2" t="s">
        <v>168</v>
      </c>
      <c r="B213" s="2"/>
      <c r="C213" s="2" t="s">
        <v>155</v>
      </c>
      <c r="D213" s="16">
        <v>2550</v>
      </c>
      <c r="E213" s="16"/>
      <c r="F213" s="17"/>
      <c r="G213" s="17"/>
      <c r="H213" s="17"/>
      <c r="I213" s="16"/>
    </row>
    <row r="214" spans="1:9" ht="16" x14ac:dyDescent="0.2">
      <c r="A214" s="2" t="s">
        <v>167</v>
      </c>
      <c r="B214" s="2"/>
      <c r="C214" s="2" t="s">
        <v>155</v>
      </c>
      <c r="D214" s="16">
        <v>2195</v>
      </c>
      <c r="E214" s="16"/>
      <c r="F214" s="17"/>
      <c r="G214" s="17"/>
      <c r="H214" s="17"/>
      <c r="I214" s="16"/>
    </row>
    <row r="215" spans="1:9" ht="16" x14ac:dyDescent="0.2">
      <c r="A215" s="2" t="s">
        <v>166</v>
      </c>
      <c r="B215" s="2"/>
      <c r="C215" s="2" t="s">
        <v>155</v>
      </c>
      <c r="D215" s="16">
        <v>2100</v>
      </c>
      <c r="E215" s="16"/>
      <c r="F215" s="17"/>
      <c r="G215" s="17"/>
      <c r="H215" s="17"/>
      <c r="I215" s="16"/>
    </row>
    <row r="216" spans="1:9" ht="16" x14ac:dyDescent="0.2">
      <c r="A216" s="2" t="s">
        <v>165</v>
      </c>
      <c r="B216" s="2"/>
      <c r="C216" s="2" t="s">
        <v>155</v>
      </c>
      <c r="D216" s="16">
        <v>2180</v>
      </c>
      <c r="E216" s="16"/>
      <c r="F216" s="17"/>
      <c r="G216" s="17"/>
      <c r="H216" s="17"/>
      <c r="I216" s="16"/>
    </row>
    <row r="217" spans="1:9" ht="16" x14ac:dyDescent="0.2">
      <c r="A217" s="2" t="s">
        <v>164</v>
      </c>
      <c r="B217" s="2"/>
      <c r="C217" s="2" t="s">
        <v>155</v>
      </c>
      <c r="D217" s="16">
        <v>2255</v>
      </c>
      <c r="E217" s="16"/>
      <c r="F217" s="17"/>
      <c r="G217" s="17"/>
      <c r="H217" s="17"/>
      <c r="I217" s="16"/>
    </row>
    <row r="218" spans="1:9" ht="16" x14ac:dyDescent="0.2">
      <c r="A218" s="2" t="s">
        <v>163</v>
      </c>
      <c r="B218" s="2"/>
      <c r="C218" s="2" t="s">
        <v>155</v>
      </c>
      <c r="D218" s="16">
        <v>2095</v>
      </c>
      <c r="E218" s="16"/>
      <c r="F218" s="17"/>
      <c r="G218" s="17"/>
      <c r="H218" s="17"/>
      <c r="I218" s="16"/>
    </row>
    <row r="219" spans="1:9" ht="16" x14ac:dyDescent="0.2">
      <c r="A219" s="2" t="s">
        <v>162</v>
      </c>
      <c r="B219" s="2"/>
      <c r="C219" s="2" t="s">
        <v>155</v>
      </c>
      <c r="D219" s="16">
        <v>2190</v>
      </c>
      <c r="E219" s="16"/>
      <c r="F219" s="17"/>
      <c r="G219" s="17"/>
      <c r="H219" s="17"/>
      <c r="I219" s="16"/>
    </row>
    <row r="220" spans="1:9" ht="16" x14ac:dyDescent="0.2">
      <c r="A220" s="2" t="s">
        <v>161</v>
      </c>
      <c r="B220" s="2"/>
      <c r="C220" s="2" t="s">
        <v>155</v>
      </c>
      <c r="D220" s="16">
        <v>2480</v>
      </c>
      <c r="E220" s="16"/>
      <c r="F220" s="17"/>
      <c r="G220" s="17"/>
      <c r="H220" s="17"/>
      <c r="I220" s="16"/>
    </row>
    <row r="221" spans="1:9" ht="16" x14ac:dyDescent="0.2">
      <c r="A221" s="2" t="s">
        <v>160</v>
      </c>
      <c r="B221" s="2"/>
      <c r="C221" s="2" t="s">
        <v>157</v>
      </c>
      <c r="D221" s="16">
        <v>2180</v>
      </c>
      <c r="E221" s="16"/>
      <c r="F221" s="17"/>
      <c r="G221" s="17"/>
      <c r="H221" s="17"/>
      <c r="I221" s="16"/>
    </row>
    <row r="222" spans="1:9" ht="16" x14ac:dyDescent="0.2">
      <c r="A222" s="2" t="s">
        <v>159</v>
      </c>
      <c r="B222" s="2"/>
      <c r="C222" s="2" t="s">
        <v>155</v>
      </c>
      <c r="D222" s="16">
        <v>2480</v>
      </c>
      <c r="E222" s="16"/>
      <c r="F222" s="17"/>
      <c r="G222" s="17"/>
      <c r="H222" s="17"/>
      <c r="I222" s="16"/>
    </row>
    <row r="223" spans="1:9" ht="16" x14ac:dyDescent="0.2">
      <c r="A223" s="2" t="s">
        <v>158</v>
      </c>
      <c r="B223" s="2"/>
      <c r="C223" s="2" t="s">
        <v>157</v>
      </c>
      <c r="D223" s="16">
        <v>2260</v>
      </c>
      <c r="E223" s="16"/>
      <c r="F223" s="17"/>
      <c r="G223" s="17"/>
      <c r="H223" s="17"/>
      <c r="I223" s="16"/>
    </row>
    <row r="224" spans="1:9" ht="16" x14ac:dyDescent="0.2">
      <c r="A224" s="2" t="s">
        <v>156</v>
      </c>
      <c r="B224" s="2"/>
      <c r="C224" s="2" t="s">
        <v>155</v>
      </c>
      <c r="D224" s="16">
        <v>2100</v>
      </c>
      <c r="E224" s="16"/>
      <c r="F224" s="17"/>
      <c r="G224" s="17"/>
      <c r="H224" s="17"/>
      <c r="I224" s="16"/>
    </row>
    <row r="225" spans="1:9" ht="16" x14ac:dyDescent="0.2">
      <c r="A225" s="3" t="s">
        <v>154</v>
      </c>
      <c r="B225" s="3"/>
      <c r="C225" s="3" t="s">
        <v>152</v>
      </c>
      <c r="D225" s="14">
        <v>487270</v>
      </c>
      <c r="E225" s="14">
        <v>424322.74</v>
      </c>
      <c r="F225" s="15"/>
      <c r="G225" s="15"/>
      <c r="H225" s="15"/>
      <c r="I225" s="14">
        <v>171803.82</v>
      </c>
    </row>
    <row r="227" spans="1:9" ht="16" x14ac:dyDescent="0.2">
      <c r="A227" s="3" t="s">
        <v>153</v>
      </c>
      <c r="B227" s="3"/>
      <c r="C227" s="3" t="s">
        <v>152</v>
      </c>
      <c r="D227" s="14">
        <v>487270</v>
      </c>
      <c r="E227" s="14">
        <v>424322.74</v>
      </c>
      <c r="F227" s="15"/>
      <c r="G227" s="15"/>
      <c r="H227" s="15"/>
      <c r="I227" s="14">
        <v>171803.82</v>
      </c>
    </row>
    <row r="228" spans="1:9" x14ac:dyDescent="0.15">
      <c r="E228" s="19">
        <f>E227*12</f>
        <v>5091872.88</v>
      </c>
    </row>
  </sheetData>
  <mergeCells count="9">
    <mergeCell ref="A6:I6"/>
    <mergeCell ref="A7:I7"/>
    <mergeCell ref="A8:I8"/>
    <mergeCell ref="A10:I10"/>
    <mergeCell ref="A1:I1"/>
    <mergeCell ref="A2:I2"/>
    <mergeCell ref="A3:I3"/>
    <mergeCell ref="A4:I4"/>
    <mergeCell ref="A5:I5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5A528-EDFE-DF4F-8738-85171B7E4EAF}">
  <dimension ref="A2:S57"/>
  <sheetViews>
    <sheetView showGridLines="0" zoomScale="70" zoomScaleNormal="70" workbookViewId="0">
      <selection activeCell="F23" sqref="F23"/>
    </sheetView>
  </sheetViews>
  <sheetFormatPr baseColWidth="10" defaultRowHeight="14" x14ac:dyDescent="0.15"/>
  <cols>
    <col min="1" max="1" width="27.1640625" bestFit="1" customWidth="1"/>
    <col min="2" max="2" width="27.1640625" customWidth="1"/>
    <col min="3" max="3" width="18" style="22" customWidth="1"/>
    <col min="4" max="4" width="18.33203125" bestFit="1" customWidth="1"/>
    <col min="5" max="5" width="22.6640625" bestFit="1" customWidth="1"/>
    <col min="6" max="6" width="17.5" customWidth="1"/>
    <col min="7" max="7" width="18.33203125" bestFit="1" customWidth="1"/>
    <col min="8" max="8" width="22.83203125" bestFit="1" customWidth="1"/>
    <col min="9" max="9" width="14.6640625" customWidth="1"/>
    <col min="11" max="11" width="4.33203125" customWidth="1"/>
    <col min="12" max="12" width="28.6640625" customWidth="1"/>
    <col min="13" max="13" width="11.33203125" bestFit="1" customWidth="1"/>
  </cols>
  <sheetData>
    <row r="2" spans="1:13" x14ac:dyDescent="0.15">
      <c r="A2" s="23" t="s">
        <v>610</v>
      </c>
      <c r="B2" s="141"/>
      <c r="C2" s="91" t="s">
        <v>611</v>
      </c>
      <c r="E2" s="270" t="s">
        <v>598</v>
      </c>
      <c r="F2" s="270"/>
      <c r="G2" s="270"/>
      <c r="H2" s="270"/>
      <c r="I2" s="270"/>
      <c r="J2" s="270"/>
      <c r="L2" s="228" t="s">
        <v>710</v>
      </c>
      <c r="M2" s="229"/>
    </row>
    <row r="3" spans="1:13" x14ac:dyDescent="0.15">
      <c r="A3" s="24" t="s">
        <v>612</v>
      </c>
      <c r="C3" s="87" t="s">
        <v>614</v>
      </c>
      <c r="E3" s="181" t="str">
        <f>'Unit Mix'!A2</f>
        <v>Unit Type</v>
      </c>
      <c r="F3" s="221" t="str">
        <f>'Unit Mix'!B2</f>
        <v># of Units</v>
      </c>
      <c r="G3" s="221" t="str">
        <f>'Unit Mix'!C2</f>
        <v>SF</v>
      </c>
      <c r="H3" s="221" t="str">
        <f>'Unit Mix'!D2</f>
        <v>Monthly Avg Rent</v>
      </c>
      <c r="I3" s="221" t="str">
        <f>'Unit Mix'!E2</f>
        <v>Annual Rent</v>
      </c>
      <c r="J3" s="182" t="str">
        <f>'Unit Mix'!F2</f>
        <v>Annual $/SF</v>
      </c>
      <c r="L3" s="24" t="str">
        <f>'Pro Forma'!A3</f>
        <v>Resi Gross Potential Rent</v>
      </c>
      <c r="M3" s="146">
        <f>'Pro Forma'!B3</f>
        <v>5894124.0586273363</v>
      </c>
    </row>
    <row r="4" spans="1:13" x14ac:dyDescent="0.15">
      <c r="A4" s="24" t="s">
        <v>613</v>
      </c>
      <c r="C4" s="87" t="s">
        <v>615</v>
      </c>
      <c r="E4" s="222" t="str">
        <f>'Unit Mix'!A3</f>
        <v>1BD</v>
      </c>
      <c r="F4" s="213">
        <f>'Unit Mix'!B3</f>
        <v>53</v>
      </c>
      <c r="G4" s="213">
        <f>'Unit Mix'!C3</f>
        <v>650</v>
      </c>
      <c r="H4" s="220">
        <f>'Unit Mix'!D3</f>
        <v>2050</v>
      </c>
      <c r="I4" s="220">
        <f>'Unit Mix'!E3</f>
        <v>1303800</v>
      </c>
      <c r="J4" s="234">
        <f>'Unit Mix'!F3</f>
        <v>37.846153846153847</v>
      </c>
      <c r="L4" s="24" t="str">
        <f>'Pro Forma'!A4</f>
        <v>Vacancy</v>
      </c>
      <c r="M4" s="146">
        <f>'Pro Forma'!B4</f>
        <v>-294706.20293136686</v>
      </c>
    </row>
    <row r="5" spans="1:13" x14ac:dyDescent="0.15">
      <c r="A5" s="24" t="s">
        <v>616</v>
      </c>
      <c r="C5" s="87">
        <v>7801</v>
      </c>
      <c r="E5" s="194" t="str">
        <f>'Unit Mix'!A4</f>
        <v>1 BD + Den</v>
      </c>
      <c r="F5" s="22">
        <f>'Unit Mix'!B4</f>
        <v>70</v>
      </c>
      <c r="G5" s="22">
        <f>'Unit Mix'!C4</f>
        <v>725</v>
      </c>
      <c r="H5" s="31">
        <f>'Unit Mix'!D4</f>
        <v>2150</v>
      </c>
      <c r="I5" s="31">
        <f>'Unit Mix'!E4</f>
        <v>1806000</v>
      </c>
      <c r="J5" s="235">
        <f>'Unit Mix'!F4</f>
        <v>35.586206896551722</v>
      </c>
      <c r="L5" s="24" t="str">
        <f>'Pro Forma'!A5</f>
        <v>Bed Debt</v>
      </c>
      <c r="M5" s="146">
        <f>'Pro Forma'!B5</f>
        <v>-353647.44351764012</v>
      </c>
    </row>
    <row r="6" spans="1:13" x14ac:dyDescent="0.15">
      <c r="A6" s="24" t="s">
        <v>622</v>
      </c>
      <c r="C6" s="87">
        <v>2021</v>
      </c>
      <c r="E6" s="194" t="str">
        <f>'Unit Mix'!A5</f>
        <v>2 BD</v>
      </c>
      <c r="F6" s="22">
        <f>'Unit Mix'!B5</f>
        <v>84</v>
      </c>
      <c r="G6" s="22">
        <f>'Unit Mix'!C5</f>
        <v>850</v>
      </c>
      <c r="H6" s="31">
        <f>'Unit Mix'!D5</f>
        <v>2450</v>
      </c>
      <c r="I6" s="31">
        <f>'Unit Mix'!E5</f>
        <v>2469600</v>
      </c>
      <c r="J6" s="235">
        <f>'Unit Mix'!F5</f>
        <v>34.588235294117645</v>
      </c>
      <c r="L6" s="227" t="str">
        <f>'Pro Forma'!A6</f>
        <v>Net Rental Income</v>
      </c>
      <c r="M6" s="147">
        <f>SUM(M3:M5)</f>
        <v>5245770.4121783292</v>
      </c>
    </row>
    <row r="7" spans="1:13" x14ac:dyDescent="0.15">
      <c r="A7" s="52"/>
      <c r="B7" s="128"/>
      <c r="C7" s="92"/>
      <c r="E7" s="223" t="str">
        <f>'Unit Mix'!A6</f>
        <v>2BD + 2 BA</v>
      </c>
      <c r="F7" s="88">
        <f>'Unit Mix'!B6</f>
        <v>7</v>
      </c>
      <c r="G7" s="88">
        <f>'Unit Mix'!C6</f>
        <v>1100</v>
      </c>
      <c r="H7" s="64">
        <f>'Unit Mix'!D6</f>
        <v>2800</v>
      </c>
      <c r="I7" s="64">
        <f>'Unit Mix'!E6</f>
        <v>235200</v>
      </c>
      <c r="J7" s="236">
        <f>'Unit Mix'!F6</f>
        <v>30.545454545454547</v>
      </c>
      <c r="L7" s="24" t="str">
        <f>'Pro Forma'!A7</f>
        <v>Other Income</v>
      </c>
      <c r="M7" s="146">
        <f>'Pro Forma'!B7</f>
        <v>438229.1999999999</v>
      </c>
    </row>
    <row r="8" spans="1:13" x14ac:dyDescent="0.15">
      <c r="A8" s="261" t="s">
        <v>617</v>
      </c>
      <c r="B8" s="262"/>
      <c r="C8" s="263"/>
      <c r="E8" s="224" t="str">
        <f>'Unit Mix'!A7</f>
        <v>Total</v>
      </c>
      <c r="F8" s="28">
        <f>'Unit Mix'!B7</f>
        <v>214</v>
      </c>
      <c r="G8" s="233">
        <f>'Unit Mix'!C7</f>
        <v>767.75700934579436</v>
      </c>
      <c r="H8" s="203">
        <f>'Unit Mix'!D7</f>
        <v>2264.2523364485983</v>
      </c>
      <c r="I8" s="203">
        <f>'Unit Mix'!E7</f>
        <v>5814600</v>
      </c>
      <c r="J8" s="237">
        <f>'Unit Mix'!F7</f>
        <v>35.390139987827148</v>
      </c>
      <c r="L8" s="227" t="str">
        <f>'Pro Forma'!A8</f>
        <v>Net Revenue</v>
      </c>
      <c r="M8" s="147">
        <f>SUM(M6:M7)</f>
        <v>5683999.6121783294</v>
      </c>
    </row>
    <row r="9" spans="1:13" x14ac:dyDescent="0.15">
      <c r="A9" s="23" t="s">
        <v>600</v>
      </c>
      <c r="B9" s="141"/>
      <c r="C9" s="26">
        <f>'Unit Mix'!B7</f>
        <v>214</v>
      </c>
      <c r="L9" s="24"/>
      <c r="M9" s="25"/>
    </row>
    <row r="10" spans="1:13" x14ac:dyDescent="0.15">
      <c r="A10" s="24" t="s">
        <v>618</v>
      </c>
      <c r="C10" s="93">
        <v>0</v>
      </c>
      <c r="E10" s="47"/>
      <c r="F10" s="47"/>
      <c r="G10" s="47"/>
      <c r="L10" s="215" t="str">
        <f>'Pro Forma'!A9</f>
        <v>Expenses</v>
      </c>
      <c r="M10" s="148"/>
    </row>
    <row r="11" spans="1:13" x14ac:dyDescent="0.15">
      <c r="A11" s="24" t="s">
        <v>619</v>
      </c>
      <c r="C11" s="66">
        <f>'Unit Mix'!C7*'Unit Mix'!B7</f>
        <v>164300</v>
      </c>
      <c r="E11" s="266" t="s">
        <v>682</v>
      </c>
      <c r="F11" s="267"/>
      <c r="G11" s="267"/>
      <c r="H11" s="268"/>
      <c r="I11" s="242"/>
      <c r="L11" s="24" t="str">
        <f>'Pro Forma'!A10</f>
        <v>Taxes</v>
      </c>
      <c r="M11" s="146">
        <f>'Pro Forma'!B10</f>
        <v>-563378.60766340501</v>
      </c>
    </row>
    <row r="12" spans="1:13" x14ac:dyDescent="0.15">
      <c r="A12" s="24" t="s">
        <v>620</v>
      </c>
      <c r="C12" s="87">
        <v>283</v>
      </c>
      <c r="E12" s="89" t="s">
        <v>683</v>
      </c>
      <c r="F12" s="55"/>
      <c r="G12" s="55" t="s">
        <v>637</v>
      </c>
      <c r="H12" s="56" t="s">
        <v>687</v>
      </c>
      <c r="L12" s="24" t="str">
        <f>'Pro Forma'!A11</f>
        <v>Insurance</v>
      </c>
      <c r="M12" s="146">
        <f>'Pro Forma'!B11</f>
        <v>-195015.67188348636</v>
      </c>
    </row>
    <row r="13" spans="1:13" x14ac:dyDescent="0.15">
      <c r="A13" s="52" t="s">
        <v>621</v>
      </c>
      <c r="B13" s="128"/>
      <c r="C13" s="94">
        <v>0</v>
      </c>
      <c r="E13" s="59" t="s">
        <v>684</v>
      </c>
      <c r="F13" s="30">
        <f>F15-F14</f>
        <v>22450000</v>
      </c>
      <c r="G13" s="30">
        <f>F13/$C$9</f>
        <v>104906.54205607477</v>
      </c>
      <c r="H13" s="98">
        <f>F13/$F$15</f>
        <v>0.29636963696369639</v>
      </c>
      <c r="L13" s="24" t="str">
        <f>'Pro Forma'!A12</f>
        <v>Payroll</v>
      </c>
      <c r="M13" s="146">
        <f>'Pro Forma'!B12</f>
        <v>-292523.50782522943</v>
      </c>
    </row>
    <row r="14" spans="1:13" x14ac:dyDescent="0.15">
      <c r="E14" s="61" t="s">
        <v>685</v>
      </c>
      <c r="F14" s="64">
        <f>C32</f>
        <v>53300000</v>
      </c>
      <c r="G14" s="64">
        <f t="shared" ref="G14:G19" si="0">F14/$C$9</f>
        <v>249065.42056074768</v>
      </c>
      <c r="H14" s="99">
        <f>F14/$F$15</f>
        <v>0.70363036303630366</v>
      </c>
      <c r="L14" s="24" t="str">
        <f>'Pro Forma'!A13</f>
        <v>Repairs &amp; Maintnence</v>
      </c>
      <c r="M14" s="146">
        <f>'Pro Forma'!B13</f>
        <v>-97507.835941743178</v>
      </c>
    </row>
    <row r="15" spans="1:13" x14ac:dyDescent="0.15">
      <c r="A15" s="261" t="s">
        <v>623</v>
      </c>
      <c r="B15" s="262"/>
      <c r="C15" s="263"/>
      <c r="E15" s="90" t="s">
        <v>607</v>
      </c>
      <c r="F15" s="68">
        <f>F19</f>
        <v>75750000</v>
      </c>
      <c r="G15" s="68">
        <f t="shared" si="0"/>
        <v>353971.96261682245</v>
      </c>
      <c r="H15" s="100">
        <f>F15/$F$15</f>
        <v>1</v>
      </c>
      <c r="L15" s="24" t="str">
        <f>'Pro Forma'!A14</f>
        <v>Contract Services</v>
      </c>
      <c r="M15" s="146">
        <f>'Pro Forma'!B14</f>
        <v>-164679.90070161066</v>
      </c>
    </row>
    <row r="16" spans="1:13" x14ac:dyDescent="0.15">
      <c r="A16" s="24" t="s">
        <v>149</v>
      </c>
      <c r="C16" s="95">
        <v>75000000</v>
      </c>
      <c r="E16" s="89" t="s">
        <v>686</v>
      </c>
      <c r="F16" s="101"/>
      <c r="G16" s="102"/>
      <c r="H16" s="103"/>
      <c r="L16" s="24" t="str">
        <f>'Pro Forma'!A15</f>
        <v>Marketing</v>
      </c>
      <c r="M16" s="146">
        <f>'Pro Forma'!B15</f>
        <v>-108342.03993527015</v>
      </c>
    </row>
    <row r="17" spans="1:19" x14ac:dyDescent="0.15">
      <c r="A17" s="24" t="s">
        <v>692</v>
      </c>
      <c r="C17" s="118">
        <v>45778</v>
      </c>
      <c r="E17" s="60" t="s">
        <v>149</v>
      </c>
      <c r="F17" s="31">
        <f>C16</f>
        <v>75000000</v>
      </c>
      <c r="G17" s="31">
        <f t="shared" si="0"/>
        <v>350467.28971962619</v>
      </c>
      <c r="H17" s="104">
        <f>F17/$F$19</f>
        <v>0.99009900990099009</v>
      </c>
      <c r="L17" s="24" t="str">
        <f>'Pro Forma'!A16</f>
        <v>General &amp; Administrative</v>
      </c>
      <c r="M17" s="146">
        <f>'Pro Forma'!B16</f>
        <v>-67172.064759867499</v>
      </c>
    </row>
    <row r="18" spans="1:19" x14ac:dyDescent="0.15">
      <c r="A18" s="24" t="s">
        <v>624</v>
      </c>
      <c r="C18" s="66">
        <f>'T-12'!B149</f>
        <v>1892128.16</v>
      </c>
      <c r="E18" s="61" t="s">
        <v>669</v>
      </c>
      <c r="F18" s="64">
        <f>C16*C23</f>
        <v>750000</v>
      </c>
      <c r="G18" s="64">
        <f t="shared" si="0"/>
        <v>3504.6728971962616</v>
      </c>
      <c r="H18" s="99">
        <f>F18/$F$19</f>
        <v>9.9009900990099011E-3</v>
      </c>
      <c r="L18" s="24" t="str">
        <f>'Pro Forma'!A17</f>
        <v>Utilities</v>
      </c>
      <c r="M18" s="146">
        <f>'Pro Forma'!B17</f>
        <v>-132177.28872102962</v>
      </c>
    </row>
    <row r="19" spans="1:19" x14ac:dyDescent="0.15">
      <c r="A19" s="24" t="s">
        <v>625</v>
      </c>
      <c r="C19" s="96">
        <f>C18/C16</f>
        <v>2.5228375466666664E-2</v>
      </c>
      <c r="E19" s="90" t="s">
        <v>607</v>
      </c>
      <c r="F19" s="68">
        <f>SUM(F17:F18)</f>
        <v>75750000</v>
      </c>
      <c r="G19" s="68">
        <f t="shared" si="0"/>
        <v>353971.96261682245</v>
      </c>
      <c r="H19" s="100">
        <f>F19/$F$19</f>
        <v>1</v>
      </c>
      <c r="L19" s="24" t="str">
        <f>'Pro Forma'!A18</f>
        <v>Reserves</v>
      </c>
      <c r="M19" s="146">
        <f>'Pro Forma'!B18</f>
        <v>-235501.16837668119</v>
      </c>
    </row>
    <row r="20" spans="1:19" x14ac:dyDescent="0.15">
      <c r="A20" s="24" t="s">
        <v>627</v>
      </c>
      <c r="C20" s="66">
        <f>C16/C9</f>
        <v>350467.28971962619</v>
      </c>
      <c r="G20" s="51"/>
      <c r="L20" s="52" t="str">
        <f>'Pro Forma'!A19</f>
        <v>Management</v>
      </c>
      <c r="M20" s="148">
        <f>'Pro Forma'!B19</f>
        <v>-176625.87628251081</v>
      </c>
    </row>
    <row r="21" spans="1:19" x14ac:dyDescent="0.15">
      <c r="A21" s="24" t="s">
        <v>626</v>
      </c>
      <c r="C21" s="66">
        <f>IFERROR(C16/C10,0)</f>
        <v>0</v>
      </c>
      <c r="E21" s="125" t="s">
        <v>720</v>
      </c>
      <c r="F21" s="126"/>
      <c r="L21" s="52" t="str">
        <f>'Pro Forma'!A20</f>
        <v>Total Expenses</v>
      </c>
      <c r="M21" s="148">
        <f>SUM(M11:M20)</f>
        <v>-2032923.9620908336</v>
      </c>
    </row>
    <row r="22" spans="1:19" x14ac:dyDescent="0.15">
      <c r="A22" s="24" t="s">
        <v>628</v>
      </c>
      <c r="C22" s="66">
        <f>IFERROR(C16/C11,0)</f>
        <v>456.4820450395618</v>
      </c>
      <c r="E22" s="175" t="s">
        <v>715</v>
      </c>
      <c r="F22" s="183">
        <f>XIRR('Monthly Cash Flow Statement'!E34:BY34,'Monthly Cash Flow Statement'!E4:BY4)</f>
        <v>4.8516094684600833E-4</v>
      </c>
      <c r="L22" s="215" t="str">
        <f>'Pro Forma'!A21</f>
        <v>Net Operating Income</v>
      </c>
      <c r="M22" s="231">
        <f>M21+M8</f>
        <v>3651075.6500874958</v>
      </c>
    </row>
    <row r="23" spans="1:19" x14ac:dyDescent="0.15">
      <c r="A23" s="52" t="s">
        <v>669</v>
      </c>
      <c r="B23" s="128"/>
      <c r="C23" s="97">
        <v>0.01</v>
      </c>
      <c r="E23" s="176" t="s">
        <v>716</v>
      </c>
      <c r="F23" s="184">
        <f>XIRR('Monthly Cash Flow Statement'!E38:BY38,'Monthly Cash Flow Statement'!E4:BY4,)</f>
        <v>0.11376532912254333</v>
      </c>
      <c r="L23" s="23"/>
      <c r="M23" s="145"/>
    </row>
    <row r="24" spans="1:19" x14ac:dyDescent="0.15">
      <c r="C24" s="123"/>
      <c r="D24" s="177"/>
      <c r="E24" s="176" t="s">
        <v>717</v>
      </c>
      <c r="F24" s="185">
        <f>SUMIF('Monthly Cash Flow Statement'!E34:BY34,"&gt;0",'Monthly Cash Flow Statement'!E34:BY34)/ABS(SUMIF('Monthly Cash Flow Statement'!E34:BY34,"&lt;0",'Monthly Cash Flow Statement'!E34:BY34))</f>
        <v>1.0013951617881602</v>
      </c>
      <c r="L24" s="230" t="s">
        <v>711</v>
      </c>
      <c r="M24" s="232">
        <f>M22/C27</f>
        <v>60851260.834791601</v>
      </c>
    </row>
    <row r="25" spans="1:19" x14ac:dyDescent="0.15">
      <c r="A25" s="261" t="s">
        <v>719</v>
      </c>
      <c r="B25" s="262"/>
      <c r="C25" s="263"/>
      <c r="D25" s="177"/>
      <c r="E25" s="176" t="s">
        <v>718</v>
      </c>
      <c r="F25" s="185">
        <f>SUMIF('Monthly Cash Flow Statement'!E38:BY38,"&gt;0",'Monthly Cash Flow Statement'!E38:BY38)/ABS(SUMIF('Monthly Cash Flow Statement'!E38:BY38,"&lt;0",'Monthly Cash Flow Statement'!E38:BY38))</f>
        <v>1.2671391994975485</v>
      </c>
    </row>
    <row r="26" spans="1:19" x14ac:dyDescent="0.15">
      <c r="A26" s="178" t="s">
        <v>691</v>
      </c>
      <c r="C26" s="174">
        <v>36</v>
      </c>
      <c r="D26" s="177"/>
      <c r="E26" s="225"/>
      <c r="F26" s="226"/>
      <c r="L26" s="269"/>
      <c r="M26" s="269"/>
      <c r="N26" s="269"/>
      <c r="O26" s="269"/>
      <c r="P26" s="269"/>
      <c r="Q26" s="269"/>
      <c r="R26" s="269"/>
    </row>
    <row r="27" spans="1:19" x14ac:dyDescent="0.15">
      <c r="A27" s="179" t="s">
        <v>688</v>
      </c>
      <c r="C27" s="49">
        <v>0.06</v>
      </c>
      <c r="D27" s="177"/>
      <c r="E27" s="123"/>
      <c r="F27" s="156"/>
      <c r="M27" s="271"/>
      <c r="N27" s="271"/>
      <c r="O27" s="271"/>
      <c r="P27" s="271"/>
      <c r="Q27" s="271"/>
      <c r="R27" s="271"/>
    </row>
    <row r="28" spans="1:19" x14ac:dyDescent="0.15">
      <c r="A28" s="179" t="s">
        <v>689</v>
      </c>
      <c r="C28" s="49">
        <v>0.02</v>
      </c>
      <c r="D28" s="177"/>
      <c r="E28" s="123"/>
      <c r="F28" s="156"/>
      <c r="L28" s="249"/>
      <c r="M28" s="250"/>
      <c r="N28" s="250"/>
      <c r="O28" s="250"/>
      <c r="P28" s="250"/>
      <c r="Q28" s="250"/>
      <c r="R28" s="250"/>
    </row>
    <row r="29" spans="1:19" x14ac:dyDescent="0.15">
      <c r="A29" s="208"/>
      <c r="B29" s="141"/>
      <c r="C29" s="209"/>
      <c r="D29" s="177"/>
      <c r="E29" s="123"/>
      <c r="F29" s="156"/>
      <c r="L29" s="251"/>
      <c r="M29" s="252"/>
      <c r="N29" s="252"/>
      <c r="O29" s="252"/>
      <c r="P29" s="252"/>
      <c r="Q29" s="252"/>
      <c r="R29" s="252"/>
      <c r="S29" s="51"/>
    </row>
    <row r="30" spans="1:19" x14ac:dyDescent="0.15">
      <c r="L30" s="251"/>
      <c r="M30" s="252"/>
      <c r="N30" s="252"/>
      <c r="O30" s="252"/>
      <c r="P30" s="252"/>
      <c r="Q30" s="252"/>
      <c r="R30" s="252"/>
      <c r="S30" s="51"/>
    </row>
    <row r="31" spans="1:19" x14ac:dyDescent="0.15">
      <c r="A31" s="261" t="s">
        <v>629</v>
      </c>
      <c r="B31" s="262"/>
      <c r="C31" s="263"/>
      <c r="I31" s="264"/>
      <c r="J31" s="264"/>
      <c r="L31" s="253"/>
      <c r="M31" s="252"/>
      <c r="N31" s="252"/>
      <c r="O31" s="252"/>
      <c r="P31" s="252"/>
      <c r="Q31" s="252"/>
      <c r="R31" s="252"/>
      <c r="S31" s="51"/>
    </row>
    <row r="32" spans="1:19" x14ac:dyDescent="0.15">
      <c r="A32" s="23" t="s">
        <v>630</v>
      </c>
      <c r="B32" s="141"/>
      <c r="C32" s="48">
        <v>53300000</v>
      </c>
      <c r="J32" s="265"/>
      <c r="K32" s="265"/>
      <c r="L32" s="254"/>
      <c r="M32" s="252"/>
      <c r="N32" s="252"/>
      <c r="O32" s="252"/>
      <c r="P32" s="252"/>
      <c r="Q32" s="252"/>
      <c r="R32" s="252"/>
      <c r="S32" s="51"/>
    </row>
    <row r="33" spans="1:19" x14ac:dyDescent="0.15">
      <c r="A33" s="24" t="s">
        <v>677</v>
      </c>
      <c r="C33" s="63" t="s">
        <v>678</v>
      </c>
      <c r="J33" s="33"/>
      <c r="L33" s="254"/>
      <c r="M33" s="252"/>
      <c r="N33" s="252"/>
      <c r="O33" s="252"/>
      <c r="P33" s="252"/>
      <c r="Q33" s="252"/>
      <c r="R33" s="252"/>
      <c r="S33" s="51"/>
    </row>
    <row r="34" spans="1:19" x14ac:dyDescent="0.15">
      <c r="A34" s="24" t="s">
        <v>631</v>
      </c>
      <c r="C34" s="27" t="s">
        <v>632</v>
      </c>
      <c r="J34" s="22"/>
      <c r="L34" s="254"/>
      <c r="M34" s="252"/>
      <c r="N34" s="252"/>
      <c r="O34" s="252"/>
      <c r="P34" s="252"/>
      <c r="Q34" s="252"/>
      <c r="R34" s="252"/>
      <c r="S34" s="51"/>
    </row>
    <row r="35" spans="1:19" x14ac:dyDescent="0.15">
      <c r="A35" s="24" t="s">
        <v>680</v>
      </c>
      <c r="C35" s="87" t="s">
        <v>681</v>
      </c>
      <c r="J35" s="35"/>
      <c r="L35" s="254"/>
      <c r="M35" s="252"/>
      <c r="N35" s="252"/>
      <c r="O35" s="252"/>
      <c r="P35" s="252"/>
      <c r="Q35" s="252"/>
      <c r="R35" s="252"/>
    </row>
    <row r="36" spans="1:19" x14ac:dyDescent="0.15">
      <c r="A36" s="24" t="s">
        <v>633</v>
      </c>
      <c r="C36" s="49">
        <v>3.3500000000000002E-2</v>
      </c>
      <c r="J36" s="132"/>
    </row>
    <row r="37" spans="1:19" x14ac:dyDescent="0.15">
      <c r="A37" s="24" t="s">
        <v>695</v>
      </c>
      <c r="C37" s="127">
        <v>24</v>
      </c>
      <c r="J37" s="133"/>
    </row>
    <row r="38" spans="1:19" x14ac:dyDescent="0.15">
      <c r="A38" s="53" t="s">
        <v>679</v>
      </c>
      <c r="B38" s="142"/>
      <c r="C38" s="86">
        <v>30</v>
      </c>
      <c r="I38" s="134"/>
      <c r="J38" s="135"/>
    </row>
    <row r="40" spans="1:19" x14ac:dyDescent="0.15">
      <c r="A40" s="261" t="s">
        <v>707</v>
      </c>
      <c r="B40" s="262"/>
      <c r="C40" s="263"/>
      <c r="D40" s="261" t="s">
        <v>708</v>
      </c>
      <c r="E40" s="262"/>
      <c r="F40" s="263"/>
      <c r="G40" s="261" t="s">
        <v>709</v>
      </c>
      <c r="H40" s="262"/>
      <c r="I40" s="263"/>
    </row>
    <row r="41" spans="1:19" x14ac:dyDescent="0.15">
      <c r="A41" s="23" t="s">
        <v>696</v>
      </c>
      <c r="B41" s="141"/>
      <c r="C41" s="129">
        <v>0.65</v>
      </c>
      <c r="D41" s="23" t="s">
        <v>696</v>
      </c>
      <c r="E41" s="141"/>
      <c r="F41" s="129">
        <v>0.85</v>
      </c>
      <c r="G41" s="23" t="s">
        <v>696</v>
      </c>
      <c r="H41" s="141"/>
      <c r="I41" s="129">
        <v>0.75</v>
      </c>
    </row>
    <row r="42" spans="1:19" x14ac:dyDescent="0.15">
      <c r="A42" s="24" t="s">
        <v>697</v>
      </c>
      <c r="C42" s="130">
        <v>1.25</v>
      </c>
      <c r="D42" s="24" t="s">
        <v>697</v>
      </c>
      <c r="F42" s="130">
        <v>1.1499999999999999</v>
      </c>
      <c r="G42" s="24" t="s">
        <v>697</v>
      </c>
      <c r="I42" s="130">
        <v>1.2</v>
      </c>
    </row>
    <row r="43" spans="1:19" x14ac:dyDescent="0.15">
      <c r="A43" s="52" t="s">
        <v>698</v>
      </c>
      <c r="B43" s="128"/>
      <c r="C43" s="131">
        <v>0.08</v>
      </c>
      <c r="D43" s="52" t="s">
        <v>698</v>
      </c>
      <c r="E43" s="128"/>
      <c r="F43" s="131"/>
      <c r="G43" s="52" t="s">
        <v>698</v>
      </c>
      <c r="H43" s="128"/>
      <c r="I43" s="131"/>
    </row>
    <row r="44" spans="1:19" x14ac:dyDescent="0.15">
      <c r="A44" s="24" t="s">
        <v>699</v>
      </c>
      <c r="B44" s="160"/>
      <c r="C44" s="109">
        <f>$C$27</f>
        <v>0.06</v>
      </c>
      <c r="D44" s="161" t="s">
        <v>699</v>
      </c>
      <c r="E44" s="160"/>
      <c r="F44" s="109">
        <f>$C$27</f>
        <v>0.06</v>
      </c>
      <c r="G44" s="161" t="s">
        <v>699</v>
      </c>
      <c r="H44" s="160"/>
      <c r="I44" s="109">
        <f>$C$27</f>
        <v>0.06</v>
      </c>
    </row>
    <row r="45" spans="1:19" x14ac:dyDescent="0.15">
      <c r="A45" s="24" t="s">
        <v>700</v>
      </c>
      <c r="C45" s="49">
        <v>0.02</v>
      </c>
      <c r="D45" s="24" t="s">
        <v>700</v>
      </c>
      <c r="F45" s="49">
        <v>1.7500000000000002E-2</v>
      </c>
      <c r="G45" s="24" t="s">
        <v>700</v>
      </c>
      <c r="I45" s="49">
        <v>1.7500000000000002E-2</v>
      </c>
    </row>
    <row r="46" spans="1:19" x14ac:dyDescent="0.15">
      <c r="A46" s="24" t="s">
        <v>701</v>
      </c>
      <c r="B46" s="22" t="s">
        <v>713</v>
      </c>
      <c r="C46" s="49">
        <v>4.3209999999999998E-2</v>
      </c>
      <c r="D46" s="24" t="s">
        <v>701</v>
      </c>
      <c r="E46" s="22" t="s">
        <v>714</v>
      </c>
      <c r="F46" s="49">
        <v>4.2450000000000002E-2</v>
      </c>
      <c r="G46" s="24" t="s">
        <v>701</v>
      </c>
      <c r="H46" s="22" t="s">
        <v>714</v>
      </c>
      <c r="I46" s="49">
        <v>4.2450000000000002E-2</v>
      </c>
    </row>
    <row r="47" spans="1:19" x14ac:dyDescent="0.15">
      <c r="A47" s="24" t="s">
        <v>702</v>
      </c>
      <c r="C47" s="109">
        <f>C46+C45</f>
        <v>6.3210000000000002E-2</v>
      </c>
      <c r="D47" s="24" t="s">
        <v>702</v>
      </c>
      <c r="F47" s="109">
        <f>F46+F45</f>
        <v>5.9950000000000003E-2</v>
      </c>
      <c r="G47" s="24" t="s">
        <v>702</v>
      </c>
      <c r="I47" s="109">
        <f>I46+I45</f>
        <v>5.9950000000000003E-2</v>
      </c>
    </row>
    <row r="48" spans="1:19" x14ac:dyDescent="0.15">
      <c r="A48" s="53" t="s">
        <v>679</v>
      </c>
      <c r="B48" s="142"/>
      <c r="C48" s="86">
        <v>25</v>
      </c>
      <c r="D48" s="53" t="s">
        <v>679</v>
      </c>
      <c r="E48" s="142"/>
      <c r="F48" s="86">
        <v>35</v>
      </c>
      <c r="G48" s="53" t="s">
        <v>679</v>
      </c>
      <c r="H48" s="142"/>
      <c r="I48" s="86">
        <v>30</v>
      </c>
    </row>
    <row r="49" spans="1:9" x14ac:dyDescent="0.15">
      <c r="A49" s="24"/>
      <c r="C49" s="27"/>
      <c r="D49" s="24"/>
      <c r="F49" s="27"/>
      <c r="G49" s="24"/>
      <c r="I49" s="27"/>
    </row>
    <row r="50" spans="1:9" x14ac:dyDescent="0.15">
      <c r="A50" s="24" t="s">
        <v>630</v>
      </c>
      <c r="C50" s="66">
        <f>ABS(SUMIF('Monthly Cash Flow Statement'!$E$37:$BY$37,"&lt;0",'Monthly Cash Flow Statement'!$E$37:$BY$37))</f>
        <v>52178128.210183047</v>
      </c>
      <c r="D50" s="24" t="s">
        <v>630</v>
      </c>
      <c r="F50" s="66">
        <f>ABS(SUMIF('Monthly Cash Flow Statement'!$E$37:$BY$37,"&lt;0",'Monthly Cash Flow Statement'!$E$37:$BY$37))</f>
        <v>52178128.210183047</v>
      </c>
      <c r="G50" s="24" t="s">
        <v>630</v>
      </c>
      <c r="I50" s="66">
        <f>ABS(SUMIF('Monthly Cash Flow Statement'!$E$37:$BY$37,"&lt;0",'Monthly Cash Flow Statement'!$E$37:$BY$37))</f>
        <v>52178128.210183047</v>
      </c>
    </row>
    <row r="51" spans="1:9" x14ac:dyDescent="0.15">
      <c r="A51" s="24"/>
      <c r="C51" s="27"/>
      <c r="D51" s="24"/>
      <c r="F51" s="27"/>
      <c r="G51" s="24"/>
      <c r="I51" s="27"/>
    </row>
    <row r="52" spans="1:9" x14ac:dyDescent="0.15">
      <c r="A52" s="136" t="s">
        <v>706</v>
      </c>
      <c r="B52" s="143"/>
      <c r="C52" s="137"/>
      <c r="D52" s="136" t="s">
        <v>706</v>
      </c>
      <c r="E52" s="143"/>
      <c r="F52" s="137"/>
      <c r="G52" s="136" t="s">
        <v>706</v>
      </c>
      <c r="H52" s="143"/>
      <c r="I52" s="137"/>
    </row>
    <row r="53" spans="1:9" x14ac:dyDescent="0.15">
      <c r="A53" s="24" t="s">
        <v>703</v>
      </c>
      <c r="C53" s="138">
        <f>C41*'Pro Forma'!B21/Summary!C44</f>
        <v>39553319.542614542</v>
      </c>
      <c r="D53" s="24" t="s">
        <v>703</v>
      </c>
      <c r="F53" s="138">
        <f>F41*'Pro Forma'!D21/Summary!F44</f>
        <v>54643593.72997769</v>
      </c>
      <c r="G53" s="24" t="s">
        <v>703</v>
      </c>
      <c r="I53" s="138">
        <f>I41*'Pro Forma'!B21/Summary!I44</f>
        <v>45638445.626093701</v>
      </c>
    </row>
    <row r="54" spans="1:9" x14ac:dyDescent="0.15">
      <c r="A54" s="24" t="s">
        <v>704</v>
      </c>
      <c r="C54" s="138">
        <f>PV(C47/12,C48*12,-'Pro Forma'!B21/Summary!C42/12,0,0)</f>
        <v>36653798.854479492</v>
      </c>
      <c r="D54" s="24" t="s">
        <v>704</v>
      </c>
      <c r="F54" s="138">
        <f>PV(F47/12,F48*12,-'Pro Forma'!B21/Summary!F42/12,0,0)</f>
        <v>46427806.815302007</v>
      </c>
      <c r="G54" s="24" t="s">
        <v>704</v>
      </c>
      <c r="I54" s="138">
        <f>PV(I47/12,I48*12,-'Pro Forma'!B21/Summary!I42/12,0,0)</f>
        <v>42312183.888428159</v>
      </c>
    </row>
    <row r="55" spans="1:9" x14ac:dyDescent="0.15">
      <c r="A55" s="52" t="s">
        <v>705</v>
      </c>
      <c r="B55" s="128"/>
      <c r="C55" s="139">
        <f>'Pro Forma'!B21/Summary!C43</f>
        <v>45638445.626093693</v>
      </c>
      <c r="D55" s="52" t="s">
        <v>705</v>
      </c>
      <c r="E55" s="128"/>
      <c r="F55" s="139"/>
      <c r="G55" s="52" t="s">
        <v>705</v>
      </c>
      <c r="H55" s="128"/>
      <c r="I55" s="139"/>
    </row>
    <row r="56" spans="1:9" x14ac:dyDescent="0.15">
      <c r="A56" s="23"/>
      <c r="B56" s="141"/>
      <c r="C56" s="213"/>
      <c r="D56" s="141"/>
      <c r="E56" s="141"/>
      <c r="F56" s="141"/>
      <c r="G56" s="141"/>
      <c r="H56" s="141"/>
      <c r="I56" s="214"/>
    </row>
    <row r="57" spans="1:9" x14ac:dyDescent="0.15">
      <c r="A57" s="70" t="s">
        <v>726</v>
      </c>
      <c r="B57" s="216"/>
      <c r="C57" s="217">
        <f>MIN(C53:C55)-C50</f>
        <v>-15524329.355703555</v>
      </c>
      <c r="D57" s="218"/>
      <c r="E57" s="218"/>
      <c r="F57" s="217">
        <f>MIN(F53:F55)-F50</f>
        <v>-5750321.3948810399</v>
      </c>
      <c r="G57" s="218"/>
      <c r="H57" s="218"/>
      <c r="I57" s="219">
        <f>MIN(I53:I55)-I50</f>
        <v>-9865944.3217548877</v>
      </c>
    </row>
  </sheetData>
  <mergeCells count="13">
    <mergeCell ref="L26:R26"/>
    <mergeCell ref="E2:J2"/>
    <mergeCell ref="M27:R27"/>
    <mergeCell ref="D40:F40"/>
    <mergeCell ref="G40:I40"/>
    <mergeCell ref="A8:C8"/>
    <mergeCell ref="A15:C15"/>
    <mergeCell ref="A31:C31"/>
    <mergeCell ref="A40:C40"/>
    <mergeCell ref="I31:J31"/>
    <mergeCell ref="A25:C25"/>
    <mergeCell ref="J32:K32"/>
    <mergeCell ref="E11:H11"/>
  </mergeCells>
  <dataValidations disablePrompts="1" count="2">
    <dataValidation type="list" allowBlank="1" showInputMessage="1" showErrorMessage="1" sqref="C34 J34" xr:uid="{EF8B35C5-7A0A-EC48-97B5-DA3580DDEAA8}">
      <formula1>"Floating,Fixed"</formula1>
    </dataValidation>
    <dataValidation type="list" allowBlank="1" showInputMessage="1" showErrorMessage="1" sqref="B46 E46 H46" xr:uid="{B2440DAC-0477-7E44-B643-5121FFD7A816}">
      <formula1>"SOFR, 10-Yr Tres"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7E554-20D8-8840-9018-641CB0C99177}">
  <dimension ref="A1:F22"/>
  <sheetViews>
    <sheetView showGridLines="0" zoomScale="125" workbookViewId="0">
      <selection activeCell="H28" sqref="H28:H29"/>
    </sheetView>
  </sheetViews>
  <sheetFormatPr baseColWidth="10" defaultRowHeight="14" x14ac:dyDescent="0.15"/>
  <cols>
    <col min="1" max="1" width="22.83203125" bestFit="1" customWidth="1"/>
    <col min="2" max="2" width="14.5" bestFit="1" customWidth="1"/>
    <col min="3" max="3" width="15.6640625" bestFit="1" customWidth="1"/>
    <col min="4" max="4" width="17.1640625" bestFit="1" customWidth="1"/>
    <col min="5" max="5" width="20" bestFit="1" customWidth="1"/>
    <col min="6" max="6" width="13.83203125" bestFit="1" customWidth="1"/>
  </cols>
  <sheetData>
    <row r="1" spans="1:6" x14ac:dyDescent="0.15">
      <c r="A1" s="272" t="s">
        <v>598</v>
      </c>
      <c r="B1" s="273"/>
      <c r="C1" s="273"/>
      <c r="D1" s="273"/>
      <c r="E1" s="273"/>
      <c r="F1" s="274"/>
    </row>
    <row r="2" spans="1:6" x14ac:dyDescent="0.15">
      <c r="A2" s="36" t="s">
        <v>599</v>
      </c>
      <c r="B2" s="37" t="s">
        <v>600</v>
      </c>
      <c r="C2" s="37" t="s">
        <v>602</v>
      </c>
      <c r="D2" s="37" t="s">
        <v>608</v>
      </c>
      <c r="E2" s="37" t="s">
        <v>601</v>
      </c>
      <c r="F2" s="38" t="s">
        <v>742</v>
      </c>
    </row>
    <row r="3" spans="1:6" x14ac:dyDescent="0.15">
      <c r="A3" s="59" t="s">
        <v>603</v>
      </c>
      <c r="B3" s="34">
        <v>53</v>
      </c>
      <c r="C3" s="39">
        <v>650</v>
      </c>
      <c r="D3" s="32">
        <v>2050</v>
      </c>
      <c r="E3" s="30">
        <f>D3*B3*12</f>
        <v>1303800</v>
      </c>
      <c r="F3" s="238">
        <f>E3/(C3*B3)</f>
        <v>37.846153846153847</v>
      </c>
    </row>
    <row r="4" spans="1:6" x14ac:dyDescent="0.15">
      <c r="A4" s="60" t="s">
        <v>604</v>
      </c>
      <c r="B4" s="35">
        <v>70</v>
      </c>
      <c r="C4" s="40">
        <v>725</v>
      </c>
      <c r="D4" s="33">
        <v>2150</v>
      </c>
      <c r="E4" s="31">
        <f t="shared" ref="E4:E6" si="0">D4*B4*12</f>
        <v>1806000</v>
      </c>
      <c r="F4" s="239">
        <f t="shared" ref="F4:F6" si="1">E4/(C4*B4)</f>
        <v>35.586206896551722</v>
      </c>
    </row>
    <row r="5" spans="1:6" x14ac:dyDescent="0.15">
      <c r="A5" s="60" t="s">
        <v>605</v>
      </c>
      <c r="B5" s="35">
        <v>84</v>
      </c>
      <c r="C5" s="40">
        <v>850</v>
      </c>
      <c r="D5" s="33">
        <v>2450</v>
      </c>
      <c r="E5" s="31">
        <f t="shared" si="0"/>
        <v>2469600</v>
      </c>
      <c r="F5" s="239">
        <f>E5/(C5*B5)</f>
        <v>34.588235294117645</v>
      </c>
    </row>
    <row r="6" spans="1:6" x14ac:dyDescent="0.15">
      <c r="A6" s="61" t="s">
        <v>606</v>
      </c>
      <c r="B6" s="35">
        <v>7</v>
      </c>
      <c r="C6" s="40">
        <v>1100</v>
      </c>
      <c r="D6" s="33">
        <v>2800</v>
      </c>
      <c r="E6" s="31">
        <f t="shared" si="0"/>
        <v>235200</v>
      </c>
      <c r="F6" s="239">
        <f t="shared" si="1"/>
        <v>30.545454545454547</v>
      </c>
    </row>
    <row r="7" spans="1:6" x14ac:dyDescent="0.15">
      <c r="A7" s="62" t="s">
        <v>607</v>
      </c>
      <c r="B7" s="28">
        <f>SUM(B3:B6)</f>
        <v>214</v>
      </c>
      <c r="C7" s="41">
        <f>SUMPRODUCT(B3:B6,C3:C6)/B7</f>
        <v>767.75700934579436</v>
      </c>
      <c r="D7" s="29">
        <f>SUMPRODUCT(D3:D6,$B$3:$B$6)/B7</f>
        <v>2264.2523364485983</v>
      </c>
      <c r="E7" s="29">
        <f>SUM(E3:E6)</f>
        <v>5814600</v>
      </c>
      <c r="F7" s="240">
        <f>E7/(C7*B7)</f>
        <v>35.390139987827148</v>
      </c>
    </row>
    <row r="8" spans="1:6" x14ac:dyDescent="0.15">
      <c r="E8" s="31"/>
    </row>
    <row r="10" spans="1:6" x14ac:dyDescent="0.15">
      <c r="A10" s="261" t="s">
        <v>591</v>
      </c>
      <c r="B10" s="262"/>
      <c r="C10" s="262"/>
      <c r="D10" s="263"/>
    </row>
    <row r="11" spans="1:6" x14ac:dyDescent="0.15">
      <c r="A11" s="54" t="s">
        <v>636</v>
      </c>
      <c r="B11" s="55" t="s">
        <v>638</v>
      </c>
      <c r="C11" s="55" t="s">
        <v>639</v>
      </c>
      <c r="D11" s="56" t="s">
        <v>635</v>
      </c>
    </row>
    <row r="12" spans="1:6" x14ac:dyDescent="0.15">
      <c r="A12" s="59" t="s">
        <v>640</v>
      </c>
      <c r="B12" s="205">
        <v>6</v>
      </c>
      <c r="C12" s="30">
        <f t="shared" ref="C12:C22" si="2">B12*$B$7</f>
        <v>1284</v>
      </c>
      <c r="D12" s="186">
        <f t="shared" ref="D12:D22" si="3">C12*12</f>
        <v>15408</v>
      </c>
    </row>
    <row r="13" spans="1:6" x14ac:dyDescent="0.15">
      <c r="A13" s="60" t="s">
        <v>596</v>
      </c>
      <c r="B13" s="206">
        <v>12.5</v>
      </c>
      <c r="C13" s="31">
        <f t="shared" si="2"/>
        <v>2675</v>
      </c>
      <c r="D13" s="66">
        <f t="shared" si="3"/>
        <v>32100</v>
      </c>
    </row>
    <row r="14" spans="1:6" x14ac:dyDescent="0.15">
      <c r="A14" s="60" t="s">
        <v>634</v>
      </c>
      <c r="B14" s="206">
        <v>45</v>
      </c>
      <c r="C14" s="31">
        <f t="shared" si="2"/>
        <v>9630</v>
      </c>
      <c r="D14" s="66">
        <f t="shared" si="3"/>
        <v>115560</v>
      </c>
    </row>
    <row r="15" spans="1:6" x14ac:dyDescent="0.15">
      <c r="A15" s="60" t="s">
        <v>641</v>
      </c>
      <c r="B15" s="206">
        <v>83</v>
      </c>
      <c r="C15" s="31">
        <f t="shared" si="2"/>
        <v>17762</v>
      </c>
      <c r="D15" s="66">
        <f t="shared" si="3"/>
        <v>213144</v>
      </c>
    </row>
    <row r="16" spans="1:6" x14ac:dyDescent="0.15">
      <c r="A16" s="60" t="s">
        <v>642</v>
      </c>
      <c r="B16" s="206">
        <v>1.1499999999999999</v>
      </c>
      <c r="C16" s="31">
        <f t="shared" si="2"/>
        <v>246.1</v>
      </c>
      <c r="D16" s="66">
        <f t="shared" si="3"/>
        <v>2953.2</v>
      </c>
    </row>
    <row r="17" spans="1:4" x14ac:dyDescent="0.15">
      <c r="A17" s="60" t="s">
        <v>597</v>
      </c>
      <c r="B17" s="206">
        <v>3.5</v>
      </c>
      <c r="C17" s="31">
        <f t="shared" si="2"/>
        <v>749</v>
      </c>
      <c r="D17" s="66">
        <f t="shared" si="3"/>
        <v>8988</v>
      </c>
    </row>
    <row r="18" spans="1:4" x14ac:dyDescent="0.15">
      <c r="A18" s="60" t="s">
        <v>643</v>
      </c>
      <c r="B18" s="206">
        <v>0.5</v>
      </c>
      <c r="C18" s="31">
        <f t="shared" si="2"/>
        <v>107</v>
      </c>
      <c r="D18" s="66">
        <f t="shared" si="3"/>
        <v>1284</v>
      </c>
    </row>
    <row r="19" spans="1:4" x14ac:dyDescent="0.15">
      <c r="A19" s="60" t="s">
        <v>645</v>
      </c>
      <c r="B19" s="206">
        <v>2.5</v>
      </c>
      <c r="C19" s="31">
        <f t="shared" si="2"/>
        <v>535</v>
      </c>
      <c r="D19" s="66">
        <f t="shared" si="3"/>
        <v>6420</v>
      </c>
    </row>
    <row r="20" spans="1:4" x14ac:dyDescent="0.15">
      <c r="A20" s="60" t="s">
        <v>644</v>
      </c>
      <c r="B20" s="206">
        <v>14</v>
      </c>
      <c r="C20" s="31">
        <f t="shared" si="2"/>
        <v>2996</v>
      </c>
      <c r="D20" s="66">
        <f t="shared" si="3"/>
        <v>35952</v>
      </c>
    </row>
    <row r="21" spans="1:4" x14ac:dyDescent="0.15">
      <c r="A21" s="61" t="s">
        <v>646</v>
      </c>
      <c r="B21" s="207">
        <v>2.5</v>
      </c>
      <c r="C21" s="64">
        <f t="shared" si="2"/>
        <v>535</v>
      </c>
      <c r="D21" s="67">
        <f t="shared" si="3"/>
        <v>6420</v>
      </c>
    </row>
    <row r="22" spans="1:4" x14ac:dyDescent="0.15">
      <c r="A22" s="62" t="s">
        <v>607</v>
      </c>
      <c r="B22" s="202">
        <f>SUM(B12:B21)</f>
        <v>170.65</v>
      </c>
      <c r="C22" s="203">
        <f t="shared" si="2"/>
        <v>36519.1</v>
      </c>
      <c r="D22" s="204">
        <f t="shared" si="3"/>
        <v>438229.19999999995</v>
      </c>
    </row>
  </sheetData>
  <mergeCells count="2">
    <mergeCell ref="A1:F1"/>
    <mergeCell ref="A10:D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DBB32-9819-1749-BFFB-8716FA36F6B2}">
  <dimension ref="A1:H13"/>
  <sheetViews>
    <sheetView showGridLines="0" zoomScale="136" workbookViewId="0">
      <selection activeCell="B9" sqref="B9"/>
    </sheetView>
  </sheetViews>
  <sheetFormatPr baseColWidth="10" defaultRowHeight="14" x14ac:dyDescent="0.15"/>
  <cols>
    <col min="1" max="1" width="21.83203125" bestFit="1" customWidth="1"/>
    <col min="2" max="2" width="15.5" bestFit="1" customWidth="1"/>
    <col min="4" max="4" width="6.6640625" customWidth="1"/>
    <col min="5" max="5" width="9.83203125" customWidth="1"/>
    <col min="6" max="6" width="21.83203125" bestFit="1" customWidth="1"/>
    <col min="7" max="7" width="15.5" bestFit="1" customWidth="1"/>
    <col min="8" max="8" width="13.6640625" customWidth="1"/>
  </cols>
  <sheetData>
    <row r="1" spans="1:8" x14ac:dyDescent="0.15">
      <c r="A1" s="275" t="s">
        <v>647</v>
      </c>
      <c r="B1" s="276"/>
      <c r="C1" s="277"/>
      <c r="F1" s="278" t="s">
        <v>659</v>
      </c>
      <c r="G1" s="279"/>
      <c r="H1" s="280"/>
    </row>
    <row r="2" spans="1:8" x14ac:dyDescent="0.15">
      <c r="A2" s="74" t="s">
        <v>636</v>
      </c>
      <c r="B2" s="37" t="s">
        <v>657</v>
      </c>
      <c r="C2" s="38" t="s">
        <v>637</v>
      </c>
      <c r="F2" s="73" t="s">
        <v>636</v>
      </c>
      <c r="G2" s="37" t="s">
        <v>657</v>
      </c>
      <c r="H2" s="38" t="s">
        <v>637</v>
      </c>
    </row>
    <row r="3" spans="1:8" x14ac:dyDescent="0.15">
      <c r="A3" s="57" t="s">
        <v>648</v>
      </c>
      <c r="B3" s="31">
        <f>'T-12'!B137</f>
        <v>548581.38</v>
      </c>
      <c r="C3" s="66">
        <f>B3/Summary!$C$9</f>
        <v>2563.4643925233645</v>
      </c>
      <c r="F3" s="57" t="s">
        <v>648</v>
      </c>
      <c r="G3" s="31">
        <f>H3*Summary!$C$9</f>
        <v>556400</v>
      </c>
      <c r="H3" s="63">
        <v>2600</v>
      </c>
    </row>
    <row r="4" spans="1:8" x14ac:dyDescent="0.15">
      <c r="A4" s="57" t="s">
        <v>649</v>
      </c>
      <c r="B4" s="31">
        <f>'T-12'!B134</f>
        <v>188164.07</v>
      </c>
      <c r="C4" s="66">
        <f>B4/Summary!$C$9</f>
        <v>879.27135514018698</v>
      </c>
      <c r="F4" s="57" t="s">
        <v>649</v>
      </c>
      <c r="G4" s="31">
        <f>H4*Summary!$C$9</f>
        <v>192600</v>
      </c>
      <c r="H4" s="63">
        <v>900</v>
      </c>
    </row>
    <row r="5" spans="1:8" x14ac:dyDescent="0.15">
      <c r="A5" s="57" t="s">
        <v>650</v>
      </c>
      <c r="B5" s="31">
        <f>'T-12'!B60</f>
        <v>292281.21999999997</v>
      </c>
      <c r="C5" s="66">
        <f>B5/Summary!$C$9</f>
        <v>1365.8000934579438</v>
      </c>
      <c r="F5" s="57" t="s">
        <v>650</v>
      </c>
      <c r="G5" s="31">
        <f>H5*Summary!$C$9</f>
        <v>288900</v>
      </c>
      <c r="H5" s="63">
        <v>1350</v>
      </c>
    </row>
    <row r="6" spans="1:8" x14ac:dyDescent="0.15">
      <c r="A6" s="57" t="s">
        <v>651</v>
      </c>
      <c r="B6" s="31">
        <f>'T-12'!B77</f>
        <v>92128.74</v>
      </c>
      <c r="C6" s="66">
        <f>B6/Summary!$C$9</f>
        <v>430.5081308411215</v>
      </c>
      <c r="F6" s="57" t="s">
        <v>651</v>
      </c>
      <c r="G6" s="31">
        <f>H6*Summary!$C$9</f>
        <v>96300</v>
      </c>
      <c r="H6" s="63">
        <v>450</v>
      </c>
    </row>
    <row r="7" spans="1:8" x14ac:dyDescent="0.15">
      <c r="A7" s="57" t="s">
        <v>652</v>
      </c>
      <c r="B7" s="31">
        <f>'T-12'!B87</f>
        <v>161902.5</v>
      </c>
      <c r="C7" s="66">
        <f>B7/Summary!$C$9</f>
        <v>756.55373831775705</v>
      </c>
      <c r="F7" s="57" t="s">
        <v>652</v>
      </c>
      <c r="G7" s="31">
        <f>H7*Summary!$C$9</f>
        <v>162640</v>
      </c>
      <c r="H7" s="63">
        <v>760</v>
      </c>
    </row>
    <row r="8" spans="1:8" x14ac:dyDescent="0.15">
      <c r="A8" s="57" t="s">
        <v>653</v>
      </c>
      <c r="B8" s="31">
        <f>'T-12'!B102</f>
        <v>132627.59</v>
      </c>
      <c r="C8" s="66">
        <f>B8/Summary!$C$9</f>
        <v>619.75509345794387</v>
      </c>
      <c r="F8" s="57" t="s">
        <v>653</v>
      </c>
      <c r="G8" s="31">
        <f>H8*Summary!$C$9</f>
        <v>107000</v>
      </c>
      <c r="H8" s="63">
        <v>500</v>
      </c>
    </row>
    <row r="9" spans="1:8" x14ac:dyDescent="0.15">
      <c r="A9" s="57" t="s">
        <v>654</v>
      </c>
      <c r="B9" s="31">
        <f>'T-12'!B119</f>
        <v>66145.919999999998</v>
      </c>
      <c r="C9" s="66">
        <f>B9/Summary!$C$9</f>
        <v>309.09308411214954</v>
      </c>
      <c r="F9" s="57" t="s">
        <v>654</v>
      </c>
      <c r="G9" s="31">
        <f>H9*Summary!$C$9</f>
        <v>66340</v>
      </c>
      <c r="H9" s="63">
        <v>310</v>
      </c>
    </row>
    <row r="10" spans="1:8" x14ac:dyDescent="0.15">
      <c r="A10" s="57" t="s">
        <v>655</v>
      </c>
      <c r="B10" s="31">
        <f>'T-12'!B125</f>
        <v>129975.03999999999</v>
      </c>
      <c r="C10" s="66">
        <f>B10/Summary!$C$9</f>
        <v>607.36</v>
      </c>
      <c r="F10" s="57" t="s">
        <v>655</v>
      </c>
      <c r="G10" s="31">
        <f>H10*Summary!$C$9</f>
        <v>130540</v>
      </c>
      <c r="H10" s="63">
        <v>610</v>
      </c>
    </row>
    <row r="11" spans="1:8" x14ac:dyDescent="0.15">
      <c r="A11" s="58" t="s">
        <v>656</v>
      </c>
      <c r="B11" s="64">
        <f>'T-12'!B128</f>
        <v>168000</v>
      </c>
      <c r="C11" s="67">
        <f>B11/Summary!$C$9</f>
        <v>785.04672897196258</v>
      </c>
      <c r="D11" s="20"/>
      <c r="E11" s="42">
        <v>0.04</v>
      </c>
      <c r="F11" s="57" t="s">
        <v>658</v>
      </c>
      <c r="G11" s="31">
        <f>E11*'Unit Mix'!$E$7</f>
        <v>232584</v>
      </c>
      <c r="H11" s="69">
        <f>G11/Summary!$C$9</f>
        <v>1086.8411214953271</v>
      </c>
    </row>
    <row r="12" spans="1:8" x14ac:dyDescent="0.15">
      <c r="A12" s="70" t="s">
        <v>607</v>
      </c>
      <c r="B12" s="71">
        <f>SUM(B3:B11)</f>
        <v>1779806.46</v>
      </c>
      <c r="C12" s="72">
        <f>B12/Summary!$C$9</f>
        <v>8316.8526168224289</v>
      </c>
      <c r="E12" s="42">
        <v>0.03</v>
      </c>
      <c r="F12" s="58" t="s">
        <v>656</v>
      </c>
      <c r="G12" s="64">
        <f>E12*'Unit Mix'!$E$7</f>
        <v>174438</v>
      </c>
      <c r="H12" s="65">
        <f>G12/Summary!$C$9</f>
        <v>815.13084112149534</v>
      </c>
    </row>
    <row r="13" spans="1:8" x14ac:dyDescent="0.15">
      <c r="B13" s="51"/>
      <c r="F13" s="70" t="s">
        <v>607</v>
      </c>
      <c r="G13" s="71">
        <f>SUM(G3:G12)</f>
        <v>2007742</v>
      </c>
      <c r="H13" s="72">
        <f>G13/Summary!$C$9</f>
        <v>9381.9719626168226</v>
      </c>
    </row>
  </sheetData>
  <mergeCells count="2">
    <mergeCell ref="A1:C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D22EE-33F0-9642-8B35-50034AA42997}">
  <dimension ref="A1:K40"/>
  <sheetViews>
    <sheetView showGridLines="0" tabSelected="1" zoomScale="125" workbookViewId="0">
      <selection activeCell="J17" sqref="J17"/>
    </sheetView>
  </sheetViews>
  <sheetFormatPr baseColWidth="10" defaultRowHeight="14" x14ac:dyDescent="0.15"/>
  <cols>
    <col min="1" max="1" width="33.5" customWidth="1"/>
    <col min="2" max="2" width="14.6640625" customWidth="1"/>
    <col min="3" max="3" width="15" customWidth="1"/>
    <col min="4" max="4" width="17.6640625" customWidth="1"/>
    <col min="5" max="6" width="12.6640625" bestFit="1" customWidth="1"/>
  </cols>
  <sheetData>
    <row r="1" spans="1:11" x14ac:dyDescent="0.15">
      <c r="A1" s="116" t="s">
        <v>723</v>
      </c>
      <c r="B1" s="111"/>
      <c r="C1" s="211"/>
      <c r="D1" s="211"/>
      <c r="E1" s="211"/>
      <c r="F1" s="211"/>
      <c r="G1" s="194"/>
      <c r="H1" s="22"/>
      <c r="I1" s="22"/>
      <c r="J1" s="22"/>
      <c r="K1" s="22"/>
    </row>
    <row r="2" spans="1:11" x14ac:dyDescent="0.15">
      <c r="A2" s="210" t="s">
        <v>586</v>
      </c>
      <c r="B2" s="55">
        <v>1</v>
      </c>
      <c r="C2" s="212">
        <f>B2+1</f>
        <v>2</v>
      </c>
      <c r="D2" s="212">
        <f t="shared" ref="D2" si="0">C2+1</f>
        <v>3</v>
      </c>
      <c r="E2" s="212">
        <f t="shared" ref="E2" si="1">D2+1</f>
        <v>4</v>
      </c>
      <c r="F2" s="212">
        <f t="shared" ref="F2" si="2">E2+1</f>
        <v>5</v>
      </c>
      <c r="G2" s="194"/>
      <c r="H2" s="22"/>
      <c r="I2" s="22"/>
      <c r="J2" s="22"/>
      <c r="K2" s="22"/>
    </row>
    <row r="3" spans="1:11" x14ac:dyDescent="0.15">
      <c r="A3" s="75" t="s">
        <v>587</v>
      </c>
      <c r="B3" s="106">
        <f>SUMIF('Monthly Cash Flow Statement'!$F$2:$BY$2,'Pro Forma'!B2,'Monthly Cash Flow Statement'!$F$5:$BY$5)</f>
        <v>5894124.0586273363</v>
      </c>
      <c r="C3" s="119">
        <f>SUMIF('Monthly Cash Flow Statement'!$F$2:$BY$2,'Pro Forma'!C2,'Monthly Cash Flow Statement'!$F$5:$BY$5)</f>
        <v>6070947.7803861629</v>
      </c>
      <c r="D3" s="119">
        <f>SUMIF('Monthly Cash Flow Statement'!$F$2:$BY$2,'Pro Forma'!D2,'Monthly Cash Flow Statement'!$F$5:$BY$5)</f>
        <v>6253076.2137977537</v>
      </c>
      <c r="E3" s="119">
        <f>SUMIF('Monthly Cash Flow Statement'!$F$2:$BY$2,'Pro Forma'!E2,'Monthly Cash Flow Statement'!$F$5:$BY$5)</f>
        <v>6440668.5002116933</v>
      </c>
      <c r="F3" s="119">
        <f>SUMIF('Monthly Cash Flow Statement'!$F$2:$BY$2,'Pro Forma'!F2,'Monthly Cash Flow Statement'!$F$5:$BY$5)</f>
        <v>6633888.5552180521</v>
      </c>
      <c r="G3" s="195"/>
      <c r="H3" s="18"/>
      <c r="I3" s="18"/>
      <c r="J3" s="18"/>
      <c r="K3" s="18"/>
    </row>
    <row r="4" spans="1:11" x14ac:dyDescent="0.15">
      <c r="A4" s="76" t="s">
        <v>588</v>
      </c>
      <c r="B4" s="47">
        <f>SUMIF('Monthly Cash Flow Statement'!$F$2:$BY$2,'Pro Forma'!B2,'Monthly Cash Flow Statement'!$F$6:$BY$6)</f>
        <v>-294706.20293136686</v>
      </c>
      <c r="C4" s="47">
        <f>SUMIF('Monthly Cash Flow Statement'!$F$2:$BY$2,'Pro Forma'!C2,'Monthly Cash Flow Statement'!$F6:$BY6)</f>
        <v>-303547.38901930809</v>
      </c>
      <c r="D4" s="47">
        <f>SUMIF('Monthly Cash Flow Statement'!$F$2:$BY$2,'Pro Forma'!D2,'Monthly Cash Flow Statement'!$F6:$BY6)</f>
        <v>-312653.81068988767</v>
      </c>
      <c r="E4" s="47">
        <f>SUMIF('Monthly Cash Flow Statement'!$F$2:$BY$2,'Pro Forma'!E2,'Monthly Cash Flow Statement'!$F6:$BY6)</f>
        <v>-322033.4250105847</v>
      </c>
      <c r="F4" s="47">
        <f>SUMIF('Monthly Cash Flow Statement'!$F$2:$BY$2,'Pro Forma'!F2,'Monthly Cash Flow Statement'!$F6:$BY6)</f>
        <v>-331694.42776090262</v>
      </c>
      <c r="G4" s="195"/>
      <c r="H4" s="18"/>
      <c r="I4" s="18"/>
      <c r="J4" s="18"/>
      <c r="K4" s="18"/>
    </row>
    <row r="5" spans="1:11" x14ac:dyDescent="0.15">
      <c r="A5" s="76" t="s">
        <v>589</v>
      </c>
      <c r="B5" s="47">
        <f>SUMIF('Monthly Cash Flow Statement'!$F$2:$BY$2,'Pro Forma'!B2,'Monthly Cash Flow Statement'!$F$7:$BY$7)</f>
        <v>-353647.44351764012</v>
      </c>
      <c r="C5" s="47">
        <f>SUMIF('Monthly Cash Flow Statement'!$F$2:$BY$2,'Pro Forma'!C2,'Monthly Cash Flow Statement'!$F$7:$BY$7)</f>
        <v>-364256.86682316975</v>
      </c>
      <c r="D5" s="47">
        <f>SUMIF('Monthly Cash Flow Statement'!$F$2:$BY$2,'Pro Forma'!D2,'Monthly Cash Flow Statement'!$F$7:$BY$7)</f>
        <v>-375184.57282786525</v>
      </c>
      <c r="E5" s="47">
        <f>SUMIF('Monthly Cash Flow Statement'!$F$2:$BY$2,'Pro Forma'!E2,'Monthly Cash Flow Statement'!$F$7:$BY$7)</f>
        <v>-386440.1100127016</v>
      </c>
      <c r="F5" s="47">
        <f>SUMIF('Monthly Cash Flow Statement'!$F$2:$BY$2,'Pro Forma'!F2,'Monthly Cash Flow Statement'!$F$7:$BY$7)</f>
        <v>-398033.31331308302</v>
      </c>
      <c r="G5" s="195"/>
      <c r="H5" s="18"/>
      <c r="I5" s="18"/>
      <c r="J5" s="18"/>
      <c r="K5" s="18"/>
    </row>
    <row r="6" spans="1:11" ht="22" customHeight="1" x14ac:dyDescent="0.15">
      <c r="A6" s="77" t="s">
        <v>590</v>
      </c>
      <c r="B6" s="29">
        <f>SUM(B3:B5)</f>
        <v>5245770.4121783292</v>
      </c>
      <c r="C6" s="29">
        <f t="shared" ref="C6:D6" si="3">SUM(C3:C5)</f>
        <v>5403143.5245436858</v>
      </c>
      <c r="D6" s="29">
        <f t="shared" si="3"/>
        <v>5565237.8302800003</v>
      </c>
      <c r="E6" s="29">
        <f t="shared" ref="E6:F6" si="4">SUM(E3:E5)</f>
        <v>5732194.9651884073</v>
      </c>
      <c r="F6" s="29">
        <f t="shared" si="4"/>
        <v>5904160.8141440665</v>
      </c>
      <c r="G6" s="196"/>
      <c r="H6" s="21"/>
      <c r="I6" s="21"/>
      <c r="J6" s="21"/>
      <c r="K6" s="21"/>
    </row>
    <row r="7" spans="1:11" ht="22" customHeight="1" x14ac:dyDescent="0.15">
      <c r="A7" s="78" t="s">
        <v>591</v>
      </c>
      <c r="B7" s="84">
        <f>SUMIF('Monthly Cash Flow Statement'!$F$2:$BY$2,'Pro Forma'!B2,'Monthly Cash Flow Statement'!$F$9:$BY$9)</f>
        <v>438229.1999999999</v>
      </c>
      <c r="C7" s="84">
        <f>SUMIF('Monthly Cash Flow Statement'!$F$2:$BY$2,'Pro Forma'!C2,'Monthly Cash Flow Statement'!$F$9:$BY$9)</f>
        <v>438229.1999999999</v>
      </c>
      <c r="D7" s="84">
        <f>SUMIF('Monthly Cash Flow Statement'!$F$2:$BY$2,'Pro Forma'!D2,'Monthly Cash Flow Statement'!$F$9:$BY$9)</f>
        <v>438229.1999999999</v>
      </c>
      <c r="E7" s="84">
        <f>SUMIF('Monthly Cash Flow Statement'!$F$2:$BY$2,'Pro Forma'!E2,'Monthly Cash Flow Statement'!$F$9:$BY$9)</f>
        <v>438229.1999999999</v>
      </c>
      <c r="F7" s="84">
        <f>SUMIF('Monthly Cash Flow Statement'!$F$2:$BY$2,'Pro Forma'!F2,'Monthly Cash Flow Statement'!$F$9:$BY$9)</f>
        <v>438229.1999999999</v>
      </c>
      <c r="G7" s="195"/>
      <c r="H7" s="18"/>
      <c r="I7" s="18"/>
      <c r="J7" s="18"/>
      <c r="K7" s="18"/>
    </row>
    <row r="8" spans="1:11" ht="20" customHeight="1" x14ac:dyDescent="0.15">
      <c r="A8" s="79" t="s">
        <v>592</v>
      </c>
      <c r="B8" s="107">
        <f>SUM(B6:B7)</f>
        <v>5683999.6121783294</v>
      </c>
      <c r="C8" s="107">
        <f t="shared" ref="C8:F8" si="5">SUM(C6:C7)</f>
        <v>5841372.724543686</v>
      </c>
      <c r="D8" s="107">
        <f t="shared" si="5"/>
        <v>6003467.0302800005</v>
      </c>
      <c r="E8" s="107">
        <f t="shared" si="5"/>
        <v>6170424.1651884075</v>
      </c>
      <c r="F8" s="107">
        <f t="shared" si="5"/>
        <v>6342390.0141440667</v>
      </c>
      <c r="G8" s="196"/>
      <c r="H8" s="21"/>
      <c r="I8" s="21"/>
      <c r="J8" s="21"/>
      <c r="K8" s="21"/>
    </row>
    <row r="9" spans="1:11" x14ac:dyDescent="0.15">
      <c r="A9" s="80" t="s">
        <v>660</v>
      </c>
      <c r="B9" s="47"/>
      <c r="C9" s="47"/>
      <c r="D9" s="47"/>
      <c r="E9" s="47"/>
      <c r="F9" s="47"/>
      <c r="G9" s="195"/>
      <c r="H9" s="18"/>
      <c r="I9" s="18"/>
      <c r="J9" s="18"/>
      <c r="K9" s="18"/>
    </row>
    <row r="10" spans="1:11" x14ac:dyDescent="0.15">
      <c r="A10" s="76" t="str">
        <f>Expenses!F3</f>
        <v>Taxes</v>
      </c>
      <c r="B10" s="47">
        <f>SUMIF('Monthly Cash Flow Statement'!$F$2:$BY$2,'Pro Forma'!B$2,'Monthly Cash Flow Statement'!$F12:$BY12)</f>
        <v>-563378.60766340501</v>
      </c>
      <c r="C10" s="47">
        <f>SUMIF('Monthly Cash Flow Statement'!$F$2:$BY$2,'Pro Forma'!C$2,'Monthly Cash Flow Statement'!$F12:$BY12)</f>
        <v>-578871.51937414892</v>
      </c>
      <c r="D10" s="47">
        <f>SUMIF('Monthly Cash Flow Statement'!$F$2:$BY$2,'Pro Forma'!D$2,'Monthly Cash Flow Statement'!$F12:$BY12)</f>
        <v>-594790.48615693836</v>
      </c>
      <c r="E10" s="47">
        <f>SUMIF('Monthly Cash Flow Statement'!$F$2:$BY$2,'Pro Forma'!E$2,'Monthly Cash Flow Statement'!$F12:$BY12)</f>
        <v>-611147.22452625446</v>
      </c>
      <c r="F10" s="47">
        <f>SUMIF('Monthly Cash Flow Statement'!$F$2:$BY$2,'Pro Forma'!F$2,'Monthly Cash Flow Statement'!$F12:$BY12)</f>
        <v>-627953.77320072707</v>
      </c>
      <c r="G10" s="195"/>
      <c r="H10" s="18"/>
      <c r="I10" s="18"/>
      <c r="J10" s="18"/>
      <c r="K10" s="18"/>
    </row>
    <row r="11" spans="1:11" x14ac:dyDescent="0.15">
      <c r="A11" s="76" t="str">
        <f>Expenses!F4</f>
        <v>Insurance</v>
      </c>
      <c r="B11" s="47">
        <f>SUMIF('Monthly Cash Flow Statement'!$F$2:$BY$2,'Pro Forma'!B$2,'Monthly Cash Flow Statement'!$F13:$BY13)</f>
        <v>-195015.67188348636</v>
      </c>
      <c r="C11" s="47">
        <f>SUMIF('Monthly Cash Flow Statement'!$F$2:$BY$2,'Pro Forma'!C$2,'Monthly Cash Flow Statement'!$F13:$BY13)</f>
        <v>-200378.60286028229</v>
      </c>
      <c r="D11" s="47">
        <f>SUMIF('Monthly Cash Flow Statement'!$F$2:$BY$2,'Pro Forma'!D$2,'Monthly Cash Flow Statement'!$F13:$BY13)</f>
        <v>-205889.01443894012</v>
      </c>
      <c r="E11" s="47">
        <f>SUMIF('Monthly Cash Flow Statement'!$F$2:$BY$2,'Pro Forma'!E$2,'Monthly Cash Flow Statement'!$F13:$BY13)</f>
        <v>-211550.96233601111</v>
      </c>
      <c r="F11" s="47">
        <f>SUMIF('Monthly Cash Flow Statement'!$F$2:$BY$2,'Pro Forma'!F$2,'Monthly Cash Flow Statement'!$F13:$BY13)</f>
        <v>-217368.61380025157</v>
      </c>
      <c r="G11" s="195"/>
      <c r="H11" s="18"/>
      <c r="I11" s="18"/>
      <c r="J11" s="18"/>
      <c r="K11" s="18"/>
    </row>
    <row r="12" spans="1:11" x14ac:dyDescent="0.15">
      <c r="A12" s="76" t="str">
        <f>Expenses!F5</f>
        <v>Payroll</v>
      </c>
      <c r="B12" s="47">
        <f>SUMIF('Monthly Cash Flow Statement'!$F$2:$BY$2,'Pro Forma'!B$2,'Monthly Cash Flow Statement'!$F14:$BY14)</f>
        <v>-292523.50782522943</v>
      </c>
      <c r="C12" s="47">
        <f>SUMIF('Monthly Cash Flow Statement'!$F$2:$BY$2,'Pro Forma'!C$2,'Monthly Cash Flow Statement'!$F14:$BY14)</f>
        <v>-300567.90429042355</v>
      </c>
      <c r="D12" s="47">
        <f>SUMIF('Monthly Cash Flow Statement'!$F$2:$BY$2,'Pro Forma'!D$2,'Monthly Cash Flow Statement'!$F14:$BY14)</f>
        <v>-308833.52165841038</v>
      </c>
      <c r="E12" s="47">
        <f>SUMIF('Monthly Cash Flow Statement'!$F$2:$BY$2,'Pro Forma'!E$2,'Monthly Cash Flow Statement'!$F14:$BY14)</f>
        <v>-317326.4435040169</v>
      </c>
      <c r="F12" s="47">
        <f>SUMIF('Monthly Cash Flow Statement'!$F$2:$BY$2,'Pro Forma'!F$2,'Monthly Cash Flow Statement'!$F14:$BY14)</f>
        <v>-326052.92070037755</v>
      </c>
      <c r="G12" s="195"/>
      <c r="H12" s="18"/>
      <c r="I12" s="18"/>
      <c r="J12" s="18"/>
      <c r="K12" s="18"/>
    </row>
    <row r="13" spans="1:11" x14ac:dyDescent="0.15">
      <c r="A13" s="76" t="str">
        <f>Expenses!F6</f>
        <v>Repairs &amp; Maintnence</v>
      </c>
      <c r="B13" s="47">
        <f>SUMIF('Monthly Cash Flow Statement'!$F$2:$BY$2,'Pro Forma'!B$2,'Monthly Cash Flow Statement'!$F15:$BY15)</f>
        <v>-97507.835941743178</v>
      </c>
      <c r="C13" s="47">
        <f>SUMIF('Monthly Cash Flow Statement'!$F$2:$BY$2,'Pro Forma'!C$2,'Monthly Cash Flow Statement'!$F15:$BY15)</f>
        <v>-100189.30143014115</v>
      </c>
      <c r="D13" s="47">
        <f>SUMIF('Monthly Cash Flow Statement'!$F$2:$BY$2,'Pro Forma'!D$2,'Monthly Cash Flow Statement'!$F15:$BY15)</f>
        <v>-102944.50721947006</v>
      </c>
      <c r="E13" s="47">
        <f>SUMIF('Monthly Cash Flow Statement'!$F$2:$BY$2,'Pro Forma'!E$2,'Monthly Cash Flow Statement'!$F15:$BY15)</f>
        <v>-105775.48116800556</v>
      </c>
      <c r="F13" s="47">
        <f>SUMIF('Monthly Cash Flow Statement'!$F$2:$BY$2,'Pro Forma'!F$2,'Monthly Cash Flow Statement'!$F15:$BY15)</f>
        <v>-108684.30690012578</v>
      </c>
      <c r="G13" s="195"/>
      <c r="H13" s="18"/>
      <c r="I13" s="18"/>
      <c r="J13" s="18"/>
      <c r="K13" s="18"/>
    </row>
    <row r="14" spans="1:11" x14ac:dyDescent="0.15">
      <c r="A14" s="76" t="str">
        <f>Expenses!F7</f>
        <v>Contract Services</v>
      </c>
      <c r="B14" s="47">
        <f>SUMIF('Monthly Cash Flow Statement'!$F$2:$BY$2,'Pro Forma'!B$2,'Monthly Cash Flow Statement'!$F16:$BY16)</f>
        <v>-164679.90070161066</v>
      </c>
      <c r="C14" s="47">
        <f>SUMIF('Monthly Cash Flow Statement'!$F$2:$BY$2,'Pro Forma'!C$2,'Monthly Cash Flow Statement'!$F16:$BY16)</f>
        <v>-169208.59797090502</v>
      </c>
      <c r="D14" s="47">
        <f>SUMIF('Monthly Cash Flow Statement'!$F$2:$BY$2,'Pro Forma'!D$2,'Monthly Cash Flow Statement'!$F16:$BY16)</f>
        <v>-173861.83441510503</v>
      </c>
      <c r="E14" s="47">
        <f>SUMIF('Monthly Cash Flow Statement'!$F$2:$BY$2,'Pro Forma'!E$2,'Monthly Cash Flow Statement'!$F16:$BY16)</f>
        <v>-178643.03486152054</v>
      </c>
      <c r="F14" s="47">
        <f>SUMIF('Monthly Cash Flow Statement'!$F$2:$BY$2,'Pro Forma'!F$2,'Monthly Cash Flow Statement'!$F16:$BY16)</f>
        <v>-183555.71832021239</v>
      </c>
      <c r="G14" s="195"/>
      <c r="H14" s="18"/>
      <c r="I14" s="18"/>
      <c r="J14" s="18"/>
      <c r="K14" s="18"/>
    </row>
    <row r="15" spans="1:11" x14ac:dyDescent="0.15">
      <c r="A15" s="76" t="str">
        <f>Expenses!F8</f>
        <v>Marketing</v>
      </c>
      <c r="B15" s="47">
        <f>SUMIF('Monthly Cash Flow Statement'!$F$2:$BY$2,'Pro Forma'!B$2,'Monthly Cash Flow Statement'!$F17:$BY17)</f>
        <v>-108342.03993527015</v>
      </c>
      <c r="C15" s="47">
        <f>SUMIF('Monthly Cash Flow Statement'!$F$2:$BY$2,'Pro Forma'!C$2,'Monthly Cash Flow Statement'!$F17:$BY17)</f>
        <v>-111321.44603349017</v>
      </c>
      <c r="D15" s="47">
        <f>SUMIF('Monthly Cash Flow Statement'!$F$2:$BY$2,'Pro Forma'!D$2,'Monthly Cash Flow Statement'!$F17:$BY17)</f>
        <v>-114382.78579941121</v>
      </c>
      <c r="E15" s="47">
        <f>SUMIF('Monthly Cash Flow Statement'!$F$2:$BY$2,'Pro Forma'!E$2,'Monthly Cash Flow Statement'!$F17:$BY17)</f>
        <v>-117528.31240889509</v>
      </c>
      <c r="F15" s="47">
        <f>SUMIF('Monthly Cash Flow Statement'!$F$2:$BY$2,'Pro Forma'!F$2,'Monthly Cash Flow Statement'!$F17:$BY17)</f>
        <v>-120760.34100013977</v>
      </c>
      <c r="G15" s="195"/>
      <c r="H15" s="18"/>
      <c r="I15" s="18"/>
      <c r="J15" s="18"/>
      <c r="K15" s="18"/>
    </row>
    <row r="16" spans="1:11" x14ac:dyDescent="0.15">
      <c r="A16" s="76" t="str">
        <f>Expenses!F9</f>
        <v>General &amp; Administrative</v>
      </c>
      <c r="B16" s="47">
        <f>SUMIF('Monthly Cash Flow Statement'!$F$2:$BY$2,'Pro Forma'!B$2,'Monthly Cash Flow Statement'!$F18:$BY18)</f>
        <v>-67172.064759867499</v>
      </c>
      <c r="C16" s="47">
        <f>SUMIF('Monthly Cash Flow Statement'!$F$2:$BY$2,'Pro Forma'!C$2,'Monthly Cash Flow Statement'!$F18:$BY18)</f>
        <v>-69019.296540763899</v>
      </c>
      <c r="D16" s="47">
        <f>SUMIF('Monthly Cash Flow Statement'!$F$2:$BY$2,'Pro Forma'!D$2,'Monthly Cash Flow Statement'!$F18:$BY18)</f>
        <v>-70917.327195634949</v>
      </c>
      <c r="E16" s="47">
        <f>SUMIF('Monthly Cash Flow Statement'!$F$2:$BY$2,'Pro Forma'!E$2,'Monthly Cash Flow Statement'!$F18:$BY18)</f>
        <v>-72867.553693514972</v>
      </c>
      <c r="F16" s="47">
        <f>SUMIF('Monthly Cash Flow Statement'!$F$2:$BY$2,'Pro Forma'!F$2,'Monthly Cash Flow Statement'!$F18:$BY18)</f>
        <v>-74871.41142008669</v>
      </c>
      <c r="G16" s="195"/>
      <c r="H16" s="18"/>
      <c r="I16" s="18"/>
      <c r="J16" s="18"/>
      <c r="K16" s="18"/>
    </row>
    <row r="17" spans="1:11" x14ac:dyDescent="0.15">
      <c r="A17" s="76" t="str">
        <f>Expenses!F10</f>
        <v>Utilities</v>
      </c>
      <c r="B17" s="47">
        <f>SUMIF('Monthly Cash Flow Statement'!$F$2:$BY$2,'Pro Forma'!B$2,'Monthly Cash Flow Statement'!$F19:$BY19)</f>
        <v>-132177.28872102962</v>
      </c>
      <c r="C17" s="47">
        <f>SUMIF('Monthly Cash Flow Statement'!$F$2:$BY$2,'Pro Forma'!C$2,'Monthly Cash Flow Statement'!$F19:$BY19)</f>
        <v>-135812.16416085805</v>
      </c>
      <c r="D17" s="47">
        <f>SUMIF('Monthly Cash Flow Statement'!$F$2:$BY$2,'Pro Forma'!D$2,'Monthly Cash Flow Statement'!$F19:$BY19)</f>
        <v>-139546.99867528173</v>
      </c>
      <c r="E17" s="47">
        <f>SUMIF('Monthly Cash Flow Statement'!$F$2:$BY$2,'Pro Forma'!E$2,'Monthly Cash Flow Statement'!$F19:$BY19)</f>
        <v>-143384.54113885207</v>
      </c>
      <c r="F17" s="47">
        <f>SUMIF('Monthly Cash Flow Statement'!$F$2:$BY$2,'Pro Forma'!F$2,'Monthly Cash Flow Statement'!$F19:$BY19)</f>
        <v>-147327.61602017062</v>
      </c>
      <c r="G17" s="195"/>
      <c r="H17" s="18"/>
      <c r="I17" s="18"/>
      <c r="J17" s="18"/>
      <c r="K17" s="18"/>
    </row>
    <row r="18" spans="1:11" x14ac:dyDescent="0.15">
      <c r="A18" s="76" t="str">
        <f>Expenses!F11</f>
        <v>Reserves</v>
      </c>
      <c r="B18" s="47">
        <f>SUMIF('Monthly Cash Flow Statement'!$F$2:$BY$2,'Pro Forma'!B$2,'Monthly Cash Flow Statement'!$F20:$BY20)</f>
        <v>-235501.16837668119</v>
      </c>
      <c r="C18" s="47">
        <f>SUMIF('Monthly Cash Flow Statement'!$F$2:$BY$2,'Pro Forma'!C$2,'Monthly Cash Flow Statement'!$F20:$BY20)</f>
        <v>-241977.45050704008</v>
      </c>
      <c r="D18" s="47">
        <f>SUMIF('Monthly Cash Flow Statement'!$F$2:$BY$2,'Pro Forma'!D$2,'Monthly Cash Flow Statement'!$F20:$BY20)</f>
        <v>-248631.83039598385</v>
      </c>
      <c r="E18" s="47">
        <f>SUMIF('Monthly Cash Flow Statement'!$F$2:$BY$2,'Pro Forma'!E$2,'Monthly Cash Flow Statement'!$F20:$BY20)</f>
        <v>-255469.20573187363</v>
      </c>
      <c r="F18" s="47">
        <f>SUMIF('Monthly Cash Flow Statement'!$F$2:$BY$2,'Pro Forma'!F$2,'Monthly Cash Flow Statement'!$F20:$BY20)</f>
        <v>-262494.60888950032</v>
      </c>
      <c r="G18" s="195"/>
      <c r="H18" s="18"/>
      <c r="I18" s="18"/>
      <c r="J18" s="18"/>
      <c r="K18" s="18"/>
    </row>
    <row r="19" spans="1:11" x14ac:dyDescent="0.15">
      <c r="A19" s="76" t="str">
        <f>Expenses!F12</f>
        <v>Management</v>
      </c>
      <c r="B19" s="47">
        <f>SUMIF('Monthly Cash Flow Statement'!$F$2:$BY$2,'Pro Forma'!B$2,'Monthly Cash Flow Statement'!$F21:$BY21)</f>
        <v>-176625.87628251081</v>
      </c>
      <c r="C19" s="84">
        <f>SUMIF('Monthly Cash Flow Statement'!$F$2:$BY$2,'Pro Forma'!C$2,'Monthly Cash Flow Statement'!$F21:$BY21)</f>
        <v>-181483.08788027999</v>
      </c>
      <c r="D19" s="84">
        <f>SUMIF('Monthly Cash Flow Statement'!$F$2:$BY$2,'Pro Forma'!D$2,'Monthly Cash Flow Statement'!$F21:$BY21)</f>
        <v>-186473.87279698774</v>
      </c>
      <c r="E19" s="84">
        <f>SUMIF('Monthly Cash Flow Statement'!$F$2:$BY$2,'Pro Forma'!E$2,'Monthly Cash Flow Statement'!$F21:$BY21)</f>
        <v>-191601.90429890502</v>
      </c>
      <c r="F19" s="84">
        <f>SUMIF('Monthly Cash Flow Statement'!$F$2:$BY$2,'Pro Forma'!F$2,'Monthly Cash Flow Statement'!$F21:$BY21)</f>
        <v>-196870.95666712502</v>
      </c>
      <c r="G19" s="195"/>
      <c r="H19" s="18"/>
      <c r="I19" s="18"/>
      <c r="J19" s="18"/>
      <c r="K19" s="18"/>
    </row>
    <row r="20" spans="1:11" ht="25" customHeight="1" x14ac:dyDescent="0.15">
      <c r="A20" s="81" t="s">
        <v>661</v>
      </c>
      <c r="B20" s="108">
        <f>SUM(B10:B19)</f>
        <v>-2032923.9620908336</v>
      </c>
      <c r="C20" s="199">
        <f t="shared" ref="C20:D20" si="6">SUM(C10:C19)</f>
        <v>-2088829.3710483331</v>
      </c>
      <c r="D20" s="199">
        <f t="shared" si="6"/>
        <v>-2146272.1787521634</v>
      </c>
      <c r="E20" s="199">
        <f t="shared" ref="E20:F20" si="7">SUM(E10:E19)</f>
        <v>-2205294.6636678493</v>
      </c>
      <c r="F20" s="199">
        <f t="shared" si="7"/>
        <v>-2265940.2669187165</v>
      </c>
      <c r="G20" s="196"/>
      <c r="H20" s="21"/>
      <c r="I20" s="21"/>
      <c r="J20" s="21"/>
      <c r="K20" s="21"/>
    </row>
    <row r="21" spans="1:11" ht="30" customHeight="1" x14ac:dyDescent="0.15">
      <c r="A21" s="77" t="s">
        <v>662</v>
      </c>
      <c r="B21" s="29">
        <f>B20+B8</f>
        <v>3651075.6500874958</v>
      </c>
      <c r="C21" s="29">
        <f t="shared" ref="C21:F21" si="8">C20+C8</f>
        <v>3752543.3534953529</v>
      </c>
      <c r="D21" s="29">
        <f t="shared" si="8"/>
        <v>3857194.8515278371</v>
      </c>
      <c r="E21" s="29">
        <f t="shared" si="8"/>
        <v>3965129.5015205583</v>
      </c>
      <c r="F21" s="29">
        <f t="shared" si="8"/>
        <v>4076449.7472253502</v>
      </c>
      <c r="G21" s="196"/>
      <c r="H21" s="21"/>
      <c r="I21" s="21"/>
      <c r="J21" s="21"/>
      <c r="K21" s="21"/>
    </row>
    <row r="22" spans="1:11" x14ac:dyDescent="0.15">
      <c r="A22" s="23"/>
      <c r="B22" s="119"/>
      <c r="C22" s="119"/>
      <c r="D22" s="119"/>
      <c r="E22" s="119"/>
      <c r="F22" s="119"/>
      <c r="G22" s="195"/>
      <c r="H22" s="18"/>
      <c r="I22" s="18"/>
      <c r="J22" s="18"/>
      <c r="K22" s="18"/>
    </row>
    <row r="23" spans="1:11" x14ac:dyDescent="0.15">
      <c r="A23" s="150" t="s">
        <v>664</v>
      </c>
      <c r="B23" s="151">
        <f>-B20/B8</f>
        <v>0.35765730133674978</v>
      </c>
      <c r="C23" s="151">
        <f t="shared" ref="C23:D23" si="9">-C20/C8</f>
        <v>0.35759220812459069</v>
      </c>
      <c r="D23" s="151">
        <f t="shared" si="9"/>
        <v>0.35750544942229184</v>
      </c>
      <c r="E23" s="151">
        <f t="shared" ref="E23:F23" si="10">-E20/E8</f>
        <v>0.35739757991183624</v>
      </c>
      <c r="F23" s="151">
        <f t="shared" si="10"/>
        <v>0.35726914646773184</v>
      </c>
      <c r="G23" s="197"/>
      <c r="H23" s="140"/>
      <c r="I23" s="140"/>
      <c r="J23" s="140"/>
      <c r="K23" s="140"/>
    </row>
    <row r="24" spans="1:11" x14ac:dyDescent="0.15">
      <c r="A24" s="150" t="s">
        <v>665</v>
      </c>
      <c r="B24" s="47">
        <f>B21/Summary!$C$9</f>
        <v>17061.101168633159</v>
      </c>
      <c r="C24" s="47">
        <f>C21/Summary!$C$9</f>
        <v>17535.249315398847</v>
      </c>
      <c r="D24" s="47">
        <f>D21/Summary!$C$9</f>
        <v>18024.275007139426</v>
      </c>
      <c r="E24" s="47">
        <f>E21/Summary!$C$9</f>
        <v>18528.642530469897</v>
      </c>
      <c r="F24" s="47">
        <f>F21/Summary!$C$9</f>
        <v>19048.830594510982</v>
      </c>
      <c r="G24" s="198"/>
      <c r="H24" s="47"/>
      <c r="I24" s="47"/>
      <c r="J24" s="47"/>
      <c r="K24" s="47"/>
    </row>
    <row r="25" spans="1:11" x14ac:dyDescent="0.15">
      <c r="A25" s="24"/>
      <c r="B25" s="18"/>
      <c r="C25" s="18"/>
      <c r="D25" s="18"/>
      <c r="E25" s="18"/>
      <c r="F25" s="18"/>
      <c r="G25" s="24"/>
    </row>
    <row r="26" spans="1:11" x14ac:dyDescent="0.15">
      <c r="A26" s="200" t="s">
        <v>711</v>
      </c>
      <c r="B26" s="201">
        <f>B21/Summary!$C$27</f>
        <v>60851260.834791601</v>
      </c>
      <c r="C26" s="201">
        <f>C21/Summary!$C$27</f>
        <v>62542389.224922553</v>
      </c>
      <c r="D26" s="201">
        <f>D21/Summary!$C$27</f>
        <v>64286580.858797289</v>
      </c>
      <c r="E26" s="201">
        <f>E21/Summary!$C$27</f>
        <v>66085491.692009307</v>
      </c>
      <c r="F26" s="201">
        <f>F21/Summary!$C$27</f>
        <v>67940829.120422512</v>
      </c>
      <c r="G26" s="24"/>
    </row>
    <row r="27" spans="1:11" x14ac:dyDescent="0.15">
      <c r="A27" s="153" t="s">
        <v>712</v>
      </c>
      <c r="B27" s="155">
        <f>B26/Summary!$C$9</f>
        <v>284351.68614388601</v>
      </c>
      <c r="C27" s="155">
        <f>C26/Summary!$C$9</f>
        <v>292254.15525664744</v>
      </c>
      <c r="D27" s="155">
        <f>D26/Summary!$C$9</f>
        <v>300404.5834523238</v>
      </c>
      <c r="E27" s="155">
        <f>E26/Summary!$C$9</f>
        <v>308810.708841165</v>
      </c>
      <c r="F27" s="155">
        <f>F26/Summary!$C$9</f>
        <v>317480.50990851643</v>
      </c>
      <c r="G27" s="24"/>
    </row>
    <row r="28" spans="1:11" x14ac:dyDescent="0.15">
      <c r="B28" s="18"/>
      <c r="C28" s="18"/>
      <c r="D28" s="18"/>
      <c r="E28" s="18"/>
      <c r="F28" s="18"/>
    </row>
    <row r="29" spans="1:11" x14ac:dyDescent="0.15">
      <c r="B29" s="18"/>
      <c r="C29" s="18"/>
      <c r="D29" s="18"/>
      <c r="E29" s="18"/>
      <c r="F29" s="18"/>
    </row>
    <row r="30" spans="1:11" x14ac:dyDescent="0.15">
      <c r="A30" s="159"/>
      <c r="B30" s="19"/>
      <c r="C30" s="149"/>
      <c r="D30" s="149"/>
      <c r="E30" s="149"/>
      <c r="F30" s="149"/>
      <c r="G30" s="149"/>
    </row>
    <row r="31" spans="1:11" x14ac:dyDescent="0.15">
      <c r="A31" s="157"/>
      <c r="B31" s="18"/>
      <c r="C31" s="18"/>
      <c r="D31" s="18"/>
      <c r="E31" s="18"/>
      <c r="F31" s="18"/>
    </row>
    <row r="32" spans="1:11" x14ac:dyDescent="0.15">
      <c r="A32" s="157"/>
      <c r="B32" s="18"/>
      <c r="C32" s="18"/>
      <c r="D32" s="18"/>
      <c r="E32" s="18"/>
      <c r="F32" s="18"/>
    </row>
    <row r="33" spans="1:6" x14ac:dyDescent="0.15">
      <c r="A33" s="158"/>
      <c r="B33" s="18"/>
      <c r="C33" s="18"/>
      <c r="D33" s="18"/>
      <c r="E33" s="18"/>
      <c r="F33" s="18"/>
    </row>
    <row r="34" spans="1:6" x14ac:dyDescent="0.15">
      <c r="A34" s="158"/>
      <c r="B34" s="18"/>
      <c r="C34" s="18"/>
      <c r="D34" s="18"/>
      <c r="E34" s="18"/>
      <c r="F34" s="18"/>
    </row>
    <row r="35" spans="1:6" x14ac:dyDescent="0.15">
      <c r="A35" s="158"/>
      <c r="B35" s="18"/>
      <c r="C35" s="18"/>
      <c r="D35" s="18"/>
      <c r="E35" s="18"/>
      <c r="F35" s="18"/>
    </row>
    <row r="36" spans="1:6" x14ac:dyDescent="0.15">
      <c r="A36" s="158"/>
      <c r="B36" s="18"/>
      <c r="C36" s="18"/>
      <c r="D36" s="18"/>
      <c r="E36" s="18"/>
      <c r="F36" s="18"/>
    </row>
    <row r="37" spans="1:6" x14ac:dyDescent="0.15">
      <c r="B37" s="18"/>
      <c r="C37" s="18"/>
      <c r="D37" s="18"/>
      <c r="E37" s="18"/>
      <c r="F37" s="18"/>
    </row>
    <row r="38" spans="1:6" x14ac:dyDescent="0.15">
      <c r="B38" s="18"/>
      <c r="C38" s="18"/>
      <c r="D38" s="18"/>
      <c r="E38" s="18"/>
      <c r="F38" s="18"/>
    </row>
    <row r="39" spans="1:6" x14ac:dyDescent="0.15">
      <c r="B39" s="18"/>
      <c r="C39" s="18"/>
      <c r="D39" s="18"/>
      <c r="E39" s="18"/>
      <c r="F39" s="18"/>
    </row>
    <row r="40" spans="1:6" x14ac:dyDescent="0.15">
      <c r="B40" s="18"/>
      <c r="C40" s="18"/>
      <c r="D40" s="18"/>
      <c r="E40" s="18"/>
      <c r="F40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37549-BB76-3C43-BB1D-2546AA05EA6B}">
  <dimension ref="A1:XFD88"/>
  <sheetViews>
    <sheetView showGridLines="0" zoomScale="90" zoomScaleNormal="90" workbookViewId="0">
      <selection activeCell="B12" sqref="B12"/>
    </sheetView>
  </sheetViews>
  <sheetFormatPr baseColWidth="10" defaultRowHeight="14" x14ac:dyDescent="0.15"/>
  <cols>
    <col min="1" max="1" width="27.6640625" bestFit="1" customWidth="1"/>
    <col min="2" max="2" width="29.83203125" customWidth="1"/>
    <col min="3" max="3" width="14.6640625" customWidth="1"/>
    <col min="4" max="4" width="28" bestFit="1" customWidth="1"/>
    <col min="5" max="5" width="16.5" customWidth="1"/>
    <col min="6" max="6" width="20.5" bestFit="1" customWidth="1"/>
    <col min="7" max="9" width="16.1640625" bestFit="1" customWidth="1"/>
    <col min="10" max="16" width="13.6640625" bestFit="1" customWidth="1"/>
    <col min="17" max="17" width="11.5" bestFit="1" customWidth="1"/>
    <col min="41" max="41" width="15" style="22" bestFit="1" customWidth="1"/>
    <col min="42" max="42" width="15" bestFit="1" customWidth="1"/>
    <col min="65" max="65" width="11.5" bestFit="1" customWidth="1"/>
  </cols>
  <sheetData>
    <row r="1" spans="1:77" x14ac:dyDescent="0.15">
      <c r="A1" s="45" t="s">
        <v>593</v>
      </c>
      <c r="B1" s="43">
        <v>0.03</v>
      </c>
      <c r="C1" s="43"/>
      <c r="D1" s="116" t="s">
        <v>694</v>
      </c>
      <c r="E1" s="110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5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>
        <v>0</v>
      </c>
    </row>
    <row r="2" spans="1:77" x14ac:dyDescent="0.15">
      <c r="A2" s="46" t="s">
        <v>609</v>
      </c>
      <c r="B2" s="44">
        <v>0</v>
      </c>
      <c r="C2" s="44"/>
      <c r="D2" s="120" t="s">
        <v>586</v>
      </c>
      <c r="E2" s="114"/>
      <c r="F2" s="115">
        <v>1</v>
      </c>
      <c r="G2" s="115">
        <v>1</v>
      </c>
      <c r="H2" s="115">
        <v>1</v>
      </c>
      <c r="I2" s="115">
        <v>1</v>
      </c>
      <c r="J2" s="115">
        <v>1</v>
      </c>
      <c r="K2" s="115">
        <v>1</v>
      </c>
      <c r="L2" s="115">
        <v>1</v>
      </c>
      <c r="M2" s="115">
        <v>1</v>
      </c>
      <c r="N2" s="115">
        <v>1</v>
      </c>
      <c r="O2" s="115">
        <v>1</v>
      </c>
      <c r="P2" s="115">
        <v>1</v>
      </c>
      <c r="Q2" s="115">
        <v>1</v>
      </c>
      <c r="R2" s="115">
        <f>F2+1</f>
        <v>2</v>
      </c>
      <c r="S2" s="115">
        <f t="shared" ref="S2:BM2" si="0">G2+1</f>
        <v>2</v>
      </c>
      <c r="T2" s="115">
        <f t="shared" si="0"/>
        <v>2</v>
      </c>
      <c r="U2" s="115">
        <f t="shared" si="0"/>
        <v>2</v>
      </c>
      <c r="V2" s="115">
        <f t="shared" si="0"/>
        <v>2</v>
      </c>
      <c r="W2" s="115">
        <f t="shared" si="0"/>
        <v>2</v>
      </c>
      <c r="X2" s="115">
        <f t="shared" si="0"/>
        <v>2</v>
      </c>
      <c r="Y2" s="115">
        <f t="shared" si="0"/>
        <v>2</v>
      </c>
      <c r="Z2" s="115">
        <f t="shared" si="0"/>
        <v>2</v>
      </c>
      <c r="AA2" s="115">
        <f t="shared" si="0"/>
        <v>2</v>
      </c>
      <c r="AB2" s="115">
        <f t="shared" si="0"/>
        <v>2</v>
      </c>
      <c r="AC2" s="115">
        <f t="shared" si="0"/>
        <v>2</v>
      </c>
      <c r="AD2" s="115">
        <f t="shared" si="0"/>
        <v>3</v>
      </c>
      <c r="AE2" s="115">
        <f t="shared" si="0"/>
        <v>3</v>
      </c>
      <c r="AF2" s="115">
        <f t="shared" si="0"/>
        <v>3</v>
      </c>
      <c r="AG2" s="115">
        <f t="shared" si="0"/>
        <v>3</v>
      </c>
      <c r="AH2" s="115">
        <f t="shared" si="0"/>
        <v>3</v>
      </c>
      <c r="AI2" s="115">
        <f t="shared" si="0"/>
        <v>3</v>
      </c>
      <c r="AJ2" s="115">
        <f t="shared" si="0"/>
        <v>3</v>
      </c>
      <c r="AK2" s="115">
        <f t="shared" si="0"/>
        <v>3</v>
      </c>
      <c r="AL2" s="115">
        <f t="shared" si="0"/>
        <v>3</v>
      </c>
      <c r="AM2" s="115">
        <f t="shared" si="0"/>
        <v>3</v>
      </c>
      <c r="AN2" s="115">
        <f t="shared" si="0"/>
        <v>3</v>
      </c>
      <c r="AO2" s="115">
        <f t="shared" si="0"/>
        <v>3</v>
      </c>
      <c r="AP2" s="115">
        <f t="shared" si="0"/>
        <v>4</v>
      </c>
      <c r="AQ2" s="115">
        <f t="shared" si="0"/>
        <v>4</v>
      </c>
      <c r="AR2" s="115">
        <f t="shared" si="0"/>
        <v>4</v>
      </c>
      <c r="AS2" s="115">
        <f t="shared" si="0"/>
        <v>4</v>
      </c>
      <c r="AT2" s="115">
        <f t="shared" si="0"/>
        <v>4</v>
      </c>
      <c r="AU2" s="115">
        <f t="shared" si="0"/>
        <v>4</v>
      </c>
      <c r="AV2" s="115">
        <f t="shared" si="0"/>
        <v>4</v>
      </c>
      <c r="AW2" s="115">
        <f t="shared" si="0"/>
        <v>4</v>
      </c>
      <c r="AX2" s="115">
        <f t="shared" si="0"/>
        <v>4</v>
      </c>
      <c r="AY2" s="115">
        <f t="shared" si="0"/>
        <v>4</v>
      </c>
      <c r="AZ2" s="115">
        <f t="shared" si="0"/>
        <v>4</v>
      </c>
      <c r="BA2" s="115">
        <f t="shared" si="0"/>
        <v>4</v>
      </c>
      <c r="BB2" s="115">
        <f t="shared" si="0"/>
        <v>5</v>
      </c>
      <c r="BC2" s="115">
        <f t="shared" si="0"/>
        <v>5</v>
      </c>
      <c r="BD2" s="115">
        <f t="shared" si="0"/>
        <v>5</v>
      </c>
      <c r="BE2" s="115">
        <f t="shared" si="0"/>
        <v>5</v>
      </c>
      <c r="BF2" s="115">
        <f t="shared" si="0"/>
        <v>5</v>
      </c>
      <c r="BG2" s="115">
        <f t="shared" si="0"/>
        <v>5</v>
      </c>
      <c r="BH2" s="115">
        <f t="shared" si="0"/>
        <v>5</v>
      </c>
      <c r="BI2" s="115">
        <f t="shared" si="0"/>
        <v>5</v>
      </c>
      <c r="BJ2" s="115">
        <f t="shared" si="0"/>
        <v>5</v>
      </c>
      <c r="BK2" s="115">
        <f t="shared" si="0"/>
        <v>5</v>
      </c>
      <c r="BL2" s="115">
        <f t="shared" si="0"/>
        <v>5</v>
      </c>
      <c r="BM2" s="115">
        <f t="shared" si="0"/>
        <v>5</v>
      </c>
      <c r="BN2" s="115">
        <f t="shared" ref="BN2" si="1">BB2+1</f>
        <v>6</v>
      </c>
      <c r="BO2" s="115">
        <f t="shared" ref="BO2" si="2">BC2+1</f>
        <v>6</v>
      </c>
      <c r="BP2" s="115">
        <f t="shared" ref="BP2" si="3">BD2+1</f>
        <v>6</v>
      </c>
      <c r="BQ2" s="115">
        <f t="shared" ref="BQ2" si="4">BE2+1</f>
        <v>6</v>
      </c>
      <c r="BR2" s="115">
        <f t="shared" ref="BR2" si="5">BF2+1</f>
        <v>6</v>
      </c>
      <c r="BS2" s="115">
        <f t="shared" ref="BS2" si="6">BG2+1</f>
        <v>6</v>
      </c>
      <c r="BT2" s="115">
        <f t="shared" ref="BT2" si="7">BH2+1</f>
        <v>6</v>
      </c>
      <c r="BU2" s="115">
        <f t="shared" ref="BU2" si="8">BI2+1</f>
        <v>6</v>
      </c>
      <c r="BV2" s="115">
        <f t="shared" ref="BV2" si="9">BJ2+1</f>
        <v>6</v>
      </c>
      <c r="BW2" s="115">
        <f t="shared" ref="BW2" si="10">BK2+1</f>
        <v>6</v>
      </c>
      <c r="BX2" s="115">
        <f t="shared" ref="BX2" si="11">BL2+1</f>
        <v>6</v>
      </c>
      <c r="BY2" s="144">
        <f t="shared" ref="BY2" si="12">BM2+1</f>
        <v>6</v>
      </c>
    </row>
    <row r="3" spans="1:77" x14ac:dyDescent="0.15">
      <c r="A3" s="46" t="s">
        <v>594</v>
      </c>
      <c r="B3" s="44">
        <v>2.75E-2</v>
      </c>
      <c r="C3" s="187"/>
      <c r="D3" s="117" t="s">
        <v>691</v>
      </c>
      <c r="E3" s="112">
        <v>0</v>
      </c>
      <c r="F3" s="113">
        <f>E3+1</f>
        <v>1</v>
      </c>
      <c r="G3" s="113">
        <f t="shared" ref="G3:BM3" si="13">F3+1</f>
        <v>2</v>
      </c>
      <c r="H3" s="113">
        <f t="shared" si="13"/>
        <v>3</v>
      </c>
      <c r="I3" s="113">
        <f t="shared" si="13"/>
        <v>4</v>
      </c>
      <c r="J3" s="113">
        <f t="shared" si="13"/>
        <v>5</v>
      </c>
      <c r="K3" s="113">
        <f t="shared" si="13"/>
        <v>6</v>
      </c>
      <c r="L3" s="113">
        <f t="shared" si="13"/>
        <v>7</v>
      </c>
      <c r="M3" s="113">
        <f t="shared" si="13"/>
        <v>8</v>
      </c>
      <c r="N3" s="113">
        <f t="shared" si="13"/>
        <v>9</v>
      </c>
      <c r="O3" s="113">
        <f t="shared" si="13"/>
        <v>10</v>
      </c>
      <c r="P3" s="113">
        <f t="shared" si="13"/>
        <v>11</v>
      </c>
      <c r="Q3" s="113">
        <f t="shared" si="13"/>
        <v>12</v>
      </c>
      <c r="R3" s="113">
        <f t="shared" si="13"/>
        <v>13</v>
      </c>
      <c r="S3" s="113">
        <f t="shared" si="13"/>
        <v>14</v>
      </c>
      <c r="T3" s="113">
        <f t="shared" si="13"/>
        <v>15</v>
      </c>
      <c r="U3" s="113">
        <f t="shared" si="13"/>
        <v>16</v>
      </c>
      <c r="V3" s="113">
        <f t="shared" si="13"/>
        <v>17</v>
      </c>
      <c r="W3" s="113">
        <f t="shared" si="13"/>
        <v>18</v>
      </c>
      <c r="X3" s="113">
        <f t="shared" si="13"/>
        <v>19</v>
      </c>
      <c r="Y3" s="113">
        <f t="shared" si="13"/>
        <v>20</v>
      </c>
      <c r="Z3" s="113">
        <f t="shared" si="13"/>
        <v>21</v>
      </c>
      <c r="AA3" s="113">
        <f t="shared" si="13"/>
        <v>22</v>
      </c>
      <c r="AB3" s="113">
        <f t="shared" si="13"/>
        <v>23</v>
      </c>
      <c r="AC3" s="113">
        <f t="shared" si="13"/>
        <v>24</v>
      </c>
      <c r="AD3" s="113">
        <f t="shared" si="13"/>
        <v>25</v>
      </c>
      <c r="AE3" s="113">
        <f t="shared" si="13"/>
        <v>26</v>
      </c>
      <c r="AF3" s="113">
        <f t="shared" si="13"/>
        <v>27</v>
      </c>
      <c r="AG3" s="113">
        <f t="shared" si="13"/>
        <v>28</v>
      </c>
      <c r="AH3" s="113">
        <f t="shared" si="13"/>
        <v>29</v>
      </c>
      <c r="AI3" s="113">
        <f t="shared" si="13"/>
        <v>30</v>
      </c>
      <c r="AJ3" s="113">
        <f t="shared" si="13"/>
        <v>31</v>
      </c>
      <c r="AK3" s="113">
        <f t="shared" si="13"/>
        <v>32</v>
      </c>
      <c r="AL3" s="113">
        <f t="shared" si="13"/>
        <v>33</v>
      </c>
      <c r="AM3" s="113">
        <f t="shared" si="13"/>
        <v>34</v>
      </c>
      <c r="AN3" s="113">
        <f t="shared" si="13"/>
        <v>35</v>
      </c>
      <c r="AO3" s="113">
        <f t="shared" si="13"/>
        <v>36</v>
      </c>
      <c r="AP3" s="113">
        <f t="shared" si="13"/>
        <v>37</v>
      </c>
      <c r="AQ3" s="113">
        <f t="shared" si="13"/>
        <v>38</v>
      </c>
      <c r="AR3" s="113">
        <f t="shared" si="13"/>
        <v>39</v>
      </c>
      <c r="AS3" s="113">
        <f t="shared" si="13"/>
        <v>40</v>
      </c>
      <c r="AT3" s="113">
        <f t="shared" si="13"/>
        <v>41</v>
      </c>
      <c r="AU3" s="113">
        <f t="shared" si="13"/>
        <v>42</v>
      </c>
      <c r="AV3" s="113">
        <f t="shared" si="13"/>
        <v>43</v>
      </c>
      <c r="AW3" s="113">
        <f t="shared" si="13"/>
        <v>44</v>
      </c>
      <c r="AX3" s="113">
        <f t="shared" si="13"/>
        <v>45</v>
      </c>
      <c r="AY3" s="113">
        <f t="shared" si="13"/>
        <v>46</v>
      </c>
      <c r="AZ3" s="113">
        <f t="shared" si="13"/>
        <v>47</v>
      </c>
      <c r="BA3" s="113">
        <f t="shared" si="13"/>
        <v>48</v>
      </c>
      <c r="BB3" s="113">
        <f t="shared" si="13"/>
        <v>49</v>
      </c>
      <c r="BC3" s="113">
        <f t="shared" si="13"/>
        <v>50</v>
      </c>
      <c r="BD3" s="113">
        <f t="shared" si="13"/>
        <v>51</v>
      </c>
      <c r="BE3" s="113">
        <f t="shared" si="13"/>
        <v>52</v>
      </c>
      <c r="BF3" s="113">
        <f t="shared" si="13"/>
        <v>53</v>
      </c>
      <c r="BG3" s="113">
        <f t="shared" si="13"/>
        <v>54</v>
      </c>
      <c r="BH3" s="113">
        <f t="shared" si="13"/>
        <v>55</v>
      </c>
      <c r="BI3" s="113">
        <f t="shared" si="13"/>
        <v>56</v>
      </c>
      <c r="BJ3" s="113">
        <f t="shared" si="13"/>
        <v>57</v>
      </c>
      <c r="BK3" s="113">
        <f t="shared" si="13"/>
        <v>58</v>
      </c>
      <c r="BL3" s="113">
        <f t="shared" si="13"/>
        <v>59</v>
      </c>
      <c r="BM3" s="113">
        <f t="shared" si="13"/>
        <v>60</v>
      </c>
      <c r="BN3" s="113">
        <f t="shared" ref="BN3" si="14">BM3+1</f>
        <v>61</v>
      </c>
      <c r="BO3" s="113">
        <f t="shared" ref="BO3" si="15">BN3+1</f>
        <v>62</v>
      </c>
      <c r="BP3" s="113">
        <f t="shared" ref="BP3" si="16">BO3+1</f>
        <v>63</v>
      </c>
      <c r="BQ3" s="113">
        <f t="shared" ref="BQ3" si="17">BP3+1</f>
        <v>64</v>
      </c>
      <c r="BR3" s="113">
        <f t="shared" ref="BR3" si="18">BQ3+1</f>
        <v>65</v>
      </c>
      <c r="BS3" s="113">
        <f t="shared" ref="BS3" si="19">BR3+1</f>
        <v>66</v>
      </c>
      <c r="BT3" s="113">
        <f t="shared" ref="BT3" si="20">BS3+1</f>
        <v>67</v>
      </c>
      <c r="BU3" s="113">
        <f t="shared" ref="BU3" si="21">BT3+1</f>
        <v>68</v>
      </c>
      <c r="BV3" s="113">
        <f t="shared" ref="BV3" si="22">BU3+1</f>
        <v>69</v>
      </c>
      <c r="BW3" s="113">
        <f t="shared" ref="BW3" si="23">BV3+1</f>
        <v>70</v>
      </c>
      <c r="BX3" s="113">
        <f t="shared" ref="BX3" si="24">BW3+1</f>
        <v>71</v>
      </c>
      <c r="BY3" s="164">
        <f t="shared" ref="BY3" si="25">BX3+1</f>
        <v>72</v>
      </c>
    </row>
    <row r="4" spans="1:77" x14ac:dyDescent="0.15">
      <c r="A4" s="46" t="s">
        <v>588</v>
      </c>
      <c r="B4" s="44">
        <v>0.05</v>
      </c>
      <c r="C4" s="44"/>
      <c r="D4" s="121" t="s">
        <v>690</v>
      </c>
      <c r="E4" s="248">
        <f>Summary!C17</f>
        <v>45778</v>
      </c>
      <c r="F4" s="122">
        <f>EOMONTH(E4,1)</f>
        <v>45838</v>
      </c>
      <c r="G4" s="122">
        <f t="shared" ref="G4:BM4" si="26">EOMONTH(F4,1)</f>
        <v>45869</v>
      </c>
      <c r="H4" s="122">
        <f t="shared" si="26"/>
        <v>45900</v>
      </c>
      <c r="I4" s="122">
        <f t="shared" si="26"/>
        <v>45930</v>
      </c>
      <c r="J4" s="122">
        <f t="shared" si="26"/>
        <v>45961</v>
      </c>
      <c r="K4" s="122">
        <f t="shared" si="26"/>
        <v>45991</v>
      </c>
      <c r="L4" s="122">
        <f t="shared" si="26"/>
        <v>46022</v>
      </c>
      <c r="M4" s="122">
        <f t="shared" si="26"/>
        <v>46053</v>
      </c>
      <c r="N4" s="122">
        <f t="shared" si="26"/>
        <v>46081</v>
      </c>
      <c r="O4" s="122">
        <f t="shared" si="26"/>
        <v>46112</v>
      </c>
      <c r="P4" s="122">
        <f t="shared" si="26"/>
        <v>46142</v>
      </c>
      <c r="Q4" s="122">
        <f t="shared" si="26"/>
        <v>46173</v>
      </c>
      <c r="R4" s="122">
        <f t="shared" si="26"/>
        <v>46203</v>
      </c>
      <c r="S4" s="122">
        <f t="shared" si="26"/>
        <v>46234</v>
      </c>
      <c r="T4" s="122">
        <f t="shared" si="26"/>
        <v>46265</v>
      </c>
      <c r="U4" s="122">
        <f t="shared" si="26"/>
        <v>46295</v>
      </c>
      <c r="V4" s="122">
        <f t="shared" si="26"/>
        <v>46326</v>
      </c>
      <c r="W4" s="122">
        <f t="shared" si="26"/>
        <v>46356</v>
      </c>
      <c r="X4" s="122">
        <f t="shared" si="26"/>
        <v>46387</v>
      </c>
      <c r="Y4" s="122">
        <f t="shared" si="26"/>
        <v>46418</v>
      </c>
      <c r="Z4" s="122">
        <f t="shared" si="26"/>
        <v>46446</v>
      </c>
      <c r="AA4" s="122">
        <f t="shared" si="26"/>
        <v>46477</v>
      </c>
      <c r="AB4" s="122">
        <f t="shared" si="26"/>
        <v>46507</v>
      </c>
      <c r="AC4" s="122">
        <f t="shared" si="26"/>
        <v>46538</v>
      </c>
      <c r="AD4" s="122">
        <f t="shared" si="26"/>
        <v>46568</v>
      </c>
      <c r="AE4" s="122">
        <f t="shared" si="26"/>
        <v>46599</v>
      </c>
      <c r="AF4" s="122">
        <f t="shared" si="26"/>
        <v>46630</v>
      </c>
      <c r="AG4" s="122">
        <f t="shared" si="26"/>
        <v>46660</v>
      </c>
      <c r="AH4" s="122">
        <f t="shared" si="26"/>
        <v>46691</v>
      </c>
      <c r="AI4" s="122">
        <f t="shared" si="26"/>
        <v>46721</v>
      </c>
      <c r="AJ4" s="122">
        <f t="shared" si="26"/>
        <v>46752</v>
      </c>
      <c r="AK4" s="122">
        <f t="shared" si="26"/>
        <v>46783</v>
      </c>
      <c r="AL4" s="122">
        <f t="shared" si="26"/>
        <v>46812</v>
      </c>
      <c r="AM4" s="122">
        <f t="shared" si="26"/>
        <v>46843</v>
      </c>
      <c r="AN4" s="122">
        <f t="shared" si="26"/>
        <v>46873</v>
      </c>
      <c r="AO4" s="122">
        <f t="shared" si="26"/>
        <v>46904</v>
      </c>
      <c r="AP4" s="122">
        <f t="shared" si="26"/>
        <v>46934</v>
      </c>
      <c r="AQ4" s="122">
        <f t="shared" si="26"/>
        <v>46965</v>
      </c>
      <c r="AR4" s="122">
        <f t="shared" si="26"/>
        <v>46996</v>
      </c>
      <c r="AS4" s="122">
        <f t="shared" si="26"/>
        <v>47026</v>
      </c>
      <c r="AT4" s="122">
        <f t="shared" si="26"/>
        <v>47057</v>
      </c>
      <c r="AU4" s="122">
        <f t="shared" si="26"/>
        <v>47087</v>
      </c>
      <c r="AV4" s="122">
        <f t="shared" si="26"/>
        <v>47118</v>
      </c>
      <c r="AW4" s="122">
        <f t="shared" si="26"/>
        <v>47149</v>
      </c>
      <c r="AX4" s="122">
        <f t="shared" si="26"/>
        <v>47177</v>
      </c>
      <c r="AY4" s="122">
        <f t="shared" si="26"/>
        <v>47208</v>
      </c>
      <c r="AZ4" s="122">
        <f t="shared" si="26"/>
        <v>47238</v>
      </c>
      <c r="BA4" s="122">
        <f t="shared" si="26"/>
        <v>47269</v>
      </c>
      <c r="BB4" s="122">
        <f t="shared" si="26"/>
        <v>47299</v>
      </c>
      <c r="BC4" s="122">
        <f t="shared" si="26"/>
        <v>47330</v>
      </c>
      <c r="BD4" s="122">
        <f t="shared" si="26"/>
        <v>47361</v>
      </c>
      <c r="BE4" s="122">
        <f t="shared" si="26"/>
        <v>47391</v>
      </c>
      <c r="BF4" s="122">
        <f t="shared" si="26"/>
        <v>47422</v>
      </c>
      <c r="BG4" s="122">
        <f t="shared" si="26"/>
        <v>47452</v>
      </c>
      <c r="BH4" s="122">
        <f t="shared" si="26"/>
        <v>47483</v>
      </c>
      <c r="BI4" s="122">
        <f t="shared" si="26"/>
        <v>47514</v>
      </c>
      <c r="BJ4" s="122">
        <f t="shared" si="26"/>
        <v>47542</v>
      </c>
      <c r="BK4" s="122">
        <f t="shared" si="26"/>
        <v>47573</v>
      </c>
      <c r="BL4" s="122">
        <f t="shared" si="26"/>
        <v>47603</v>
      </c>
      <c r="BM4" s="122">
        <f t="shared" si="26"/>
        <v>47634</v>
      </c>
      <c r="BN4" s="122">
        <f t="shared" ref="BN4" si="27">EOMONTH(BM4,1)</f>
        <v>47664</v>
      </c>
      <c r="BO4" s="122">
        <f t="shared" ref="BO4" si="28">EOMONTH(BN4,1)</f>
        <v>47695</v>
      </c>
      <c r="BP4" s="122">
        <f t="shared" ref="BP4" si="29">EOMONTH(BO4,1)</f>
        <v>47726</v>
      </c>
      <c r="BQ4" s="122">
        <f t="shared" ref="BQ4" si="30">EOMONTH(BP4,1)</f>
        <v>47756</v>
      </c>
      <c r="BR4" s="122">
        <f t="shared" ref="BR4" si="31">EOMONTH(BQ4,1)</f>
        <v>47787</v>
      </c>
      <c r="BS4" s="122">
        <f t="shared" ref="BS4" si="32">EOMONTH(BR4,1)</f>
        <v>47817</v>
      </c>
      <c r="BT4" s="122">
        <f t="shared" ref="BT4" si="33">EOMONTH(BS4,1)</f>
        <v>47848</v>
      </c>
      <c r="BU4" s="122">
        <f t="shared" ref="BU4" si="34">EOMONTH(BT4,1)</f>
        <v>47879</v>
      </c>
      <c r="BV4" s="122">
        <f t="shared" ref="BV4" si="35">EOMONTH(BU4,1)</f>
        <v>47907</v>
      </c>
      <c r="BW4" s="122">
        <f t="shared" ref="BW4" si="36">EOMONTH(BV4,1)</f>
        <v>47938</v>
      </c>
      <c r="BX4" s="122">
        <f t="shared" ref="BX4" si="37">EOMONTH(BW4,1)</f>
        <v>47968</v>
      </c>
      <c r="BY4" s="165">
        <f t="shared" ref="BY4" si="38">EOMONTH(BX4,1)</f>
        <v>47999</v>
      </c>
    </row>
    <row r="5" spans="1:77" x14ac:dyDescent="0.15">
      <c r="A5" s="46" t="s">
        <v>595</v>
      </c>
      <c r="B5" s="44">
        <v>0.06</v>
      </c>
      <c r="C5" s="44"/>
      <c r="D5" s="75" t="s">
        <v>693</v>
      </c>
      <c r="E5" s="119"/>
      <c r="F5" s="119">
        <f>'Unit Mix'!D7*'Unit Mix'!B7</f>
        <v>484550.00000000006</v>
      </c>
      <c r="G5" s="119">
        <f t="shared" ref="G5:AL5" si="39">F5*(1+$B$1)^(1/12)</f>
        <v>485745.03101816983</v>
      </c>
      <c r="H5" s="119">
        <f t="shared" si="39"/>
        <v>486943.00930521666</v>
      </c>
      <c r="I5" s="119">
        <f t="shared" si="39"/>
        <v>488143.94212990074</v>
      </c>
      <c r="J5" s="119">
        <f t="shared" si="39"/>
        <v>489347.83677890885</v>
      </c>
      <c r="K5" s="119">
        <f t="shared" si="39"/>
        <v>490554.7005568989</v>
      </c>
      <c r="L5" s="119">
        <f t="shared" si="39"/>
        <v>491764.54078654386</v>
      </c>
      <c r="M5" s="119">
        <f t="shared" si="39"/>
        <v>492977.36480857653</v>
      </c>
      <c r="N5" s="119">
        <f t="shared" si="39"/>
        <v>494193.17998183385</v>
      </c>
      <c r="O5" s="119">
        <f t="shared" si="39"/>
        <v>495411.99368330167</v>
      </c>
      <c r="P5" s="119">
        <f t="shared" si="39"/>
        <v>496633.81330815953</v>
      </c>
      <c r="Q5" s="47">
        <f t="shared" si="39"/>
        <v>497858.64626982535</v>
      </c>
      <c r="R5" s="47">
        <f t="shared" si="39"/>
        <v>499086.50000000064</v>
      </c>
      <c r="S5" s="47">
        <f t="shared" si="39"/>
        <v>500317.38194871548</v>
      </c>
      <c r="T5" s="47">
        <f t="shared" si="39"/>
        <v>501551.29958437372</v>
      </c>
      <c r="U5" s="47">
        <f t="shared" si="39"/>
        <v>502788.26039379829</v>
      </c>
      <c r="V5" s="47">
        <f t="shared" si="39"/>
        <v>504028.27188227669</v>
      </c>
      <c r="W5" s="47">
        <f t="shared" si="39"/>
        <v>505271.34157360642</v>
      </c>
      <c r="X5" s="47">
        <f t="shared" si="39"/>
        <v>506517.47701014072</v>
      </c>
      <c r="Y5" s="47">
        <f t="shared" si="39"/>
        <v>507766.68575283437</v>
      </c>
      <c r="Z5" s="47">
        <f t="shared" si="39"/>
        <v>509018.97538128943</v>
      </c>
      <c r="AA5" s="47">
        <f t="shared" si="39"/>
        <v>510274.35349380132</v>
      </c>
      <c r="AB5" s="47">
        <f t="shared" si="39"/>
        <v>511532.82770740491</v>
      </c>
      <c r="AC5" s="47">
        <f t="shared" si="39"/>
        <v>512794.4056579207</v>
      </c>
      <c r="AD5" s="47">
        <f t="shared" si="39"/>
        <v>514059.09500000125</v>
      </c>
      <c r="AE5" s="47">
        <f t="shared" si="39"/>
        <v>515326.90340717754</v>
      </c>
      <c r="AF5" s="47">
        <f t="shared" si="39"/>
        <v>516597.83857190551</v>
      </c>
      <c r="AG5" s="47">
        <f t="shared" si="39"/>
        <v>517871.9082056128</v>
      </c>
      <c r="AH5" s="47">
        <f t="shared" si="39"/>
        <v>519149.12003874552</v>
      </c>
      <c r="AI5" s="47">
        <f t="shared" si="39"/>
        <v>520429.48182081513</v>
      </c>
      <c r="AJ5" s="47">
        <f t="shared" si="39"/>
        <v>521713.0013204455</v>
      </c>
      <c r="AK5" s="47">
        <f t="shared" si="39"/>
        <v>522999.68632541993</v>
      </c>
      <c r="AL5" s="47">
        <f t="shared" si="39"/>
        <v>524289.54464272864</v>
      </c>
      <c r="AM5" s="47">
        <f t="shared" ref="AM5:BR5" si="40">AL5*(1+$B$1)^(1/12)</f>
        <v>525582.58409861592</v>
      </c>
      <c r="AN5" s="47">
        <f t="shared" si="40"/>
        <v>526878.81253862754</v>
      </c>
      <c r="AO5" s="47">
        <f t="shared" si="40"/>
        <v>528178.23782765877</v>
      </c>
      <c r="AP5" s="47">
        <f t="shared" si="40"/>
        <v>529480.86785000178</v>
      </c>
      <c r="AQ5" s="47">
        <f t="shared" si="40"/>
        <v>530786.71050939336</v>
      </c>
      <c r="AR5" s="47">
        <f t="shared" si="40"/>
        <v>532095.77372906322</v>
      </c>
      <c r="AS5" s="47">
        <f t="shared" si="40"/>
        <v>533408.06545178173</v>
      </c>
      <c r="AT5" s="47">
        <f t="shared" si="40"/>
        <v>534723.59363990847</v>
      </c>
      <c r="AU5" s="47">
        <f t="shared" si="40"/>
        <v>536042.3662754402</v>
      </c>
      <c r="AV5" s="47">
        <f t="shared" si="40"/>
        <v>537364.3913600595</v>
      </c>
      <c r="AW5" s="47">
        <f t="shared" si="40"/>
        <v>538689.6769151832</v>
      </c>
      <c r="AX5" s="47">
        <f t="shared" si="40"/>
        <v>540018.23098201118</v>
      </c>
      <c r="AY5" s="47">
        <f t="shared" si="40"/>
        <v>541350.06162157503</v>
      </c>
      <c r="AZ5" s="47">
        <f t="shared" si="40"/>
        <v>542685.17691478704</v>
      </c>
      <c r="BA5" s="47">
        <f t="shared" si="40"/>
        <v>544023.5849624892</v>
      </c>
      <c r="BB5" s="47">
        <f t="shared" si="40"/>
        <v>545365.2938855025</v>
      </c>
      <c r="BC5" s="47">
        <f t="shared" si="40"/>
        <v>546710.31182467588</v>
      </c>
      <c r="BD5" s="47">
        <f t="shared" si="40"/>
        <v>548058.64694093575</v>
      </c>
      <c r="BE5" s="47">
        <f t="shared" si="40"/>
        <v>549410.30741533579</v>
      </c>
      <c r="BF5" s="47">
        <f t="shared" si="40"/>
        <v>550765.30144910631</v>
      </c>
      <c r="BG5" s="47">
        <f t="shared" si="40"/>
        <v>552123.63726370397</v>
      </c>
      <c r="BH5" s="47">
        <f t="shared" si="40"/>
        <v>553485.32310086186</v>
      </c>
      <c r="BI5" s="47">
        <f t="shared" si="40"/>
        <v>554850.36722263927</v>
      </c>
      <c r="BJ5" s="47">
        <f t="shared" si="40"/>
        <v>556218.77791147202</v>
      </c>
      <c r="BK5" s="47">
        <f t="shared" si="40"/>
        <v>557590.56347022275</v>
      </c>
      <c r="BL5" s="47">
        <f t="shared" si="40"/>
        <v>558965.7322222311</v>
      </c>
      <c r="BM5" s="47">
        <f t="shared" si="40"/>
        <v>560344.29251136445</v>
      </c>
      <c r="BN5" s="47">
        <f t="shared" si="40"/>
        <v>561726.25270206807</v>
      </c>
      <c r="BO5" s="47">
        <f t="shared" si="40"/>
        <v>563111.62117941666</v>
      </c>
      <c r="BP5" s="47">
        <f t="shared" si="40"/>
        <v>564500.40634916443</v>
      </c>
      <c r="BQ5" s="47">
        <f t="shared" si="40"/>
        <v>565892.61663779651</v>
      </c>
      <c r="BR5" s="47">
        <f t="shared" si="40"/>
        <v>567288.26049258013</v>
      </c>
      <c r="BS5" s="47">
        <f t="shared" ref="BS5:BY5" si="41">BR5*(1+$B$1)^(1/12)</f>
        <v>568687.34638161573</v>
      </c>
      <c r="BT5" s="47">
        <f t="shared" si="41"/>
        <v>570089.88279388833</v>
      </c>
      <c r="BU5" s="47">
        <f t="shared" si="41"/>
        <v>571495.87823931908</v>
      </c>
      <c r="BV5" s="47">
        <f t="shared" si="41"/>
        <v>572905.34124881681</v>
      </c>
      <c r="BW5" s="47">
        <f t="shared" si="41"/>
        <v>574318.28037433012</v>
      </c>
      <c r="BX5" s="47">
        <f t="shared" si="41"/>
        <v>575734.70418889879</v>
      </c>
      <c r="BY5" s="152">
        <f t="shared" si="41"/>
        <v>577154.62128670607</v>
      </c>
    </row>
    <row r="6" spans="1:77" x14ac:dyDescent="0.15">
      <c r="A6" s="46" t="s">
        <v>721</v>
      </c>
      <c r="B6" s="191">
        <v>1.4999999999999999E-2</v>
      </c>
      <c r="D6" s="76" t="s">
        <v>588</v>
      </c>
      <c r="E6" s="47"/>
      <c r="F6" s="47">
        <f t="shared" ref="F6:AK6" si="42">F5*-$B$4</f>
        <v>-24227.500000000004</v>
      </c>
      <c r="G6" s="47">
        <f t="shared" si="42"/>
        <v>-24287.251550908491</v>
      </c>
      <c r="H6" s="47">
        <f t="shared" si="42"/>
        <v>-24347.150465260835</v>
      </c>
      <c r="I6" s="47">
        <f t="shared" si="42"/>
        <v>-24407.197106495038</v>
      </c>
      <c r="J6" s="47">
        <f t="shared" si="42"/>
        <v>-24467.391838945445</v>
      </c>
      <c r="K6" s="47">
        <f t="shared" si="42"/>
        <v>-24527.735027844945</v>
      </c>
      <c r="L6" s="47">
        <f t="shared" si="42"/>
        <v>-24588.227039327194</v>
      </c>
      <c r="M6" s="47">
        <f t="shared" si="42"/>
        <v>-24648.868240428827</v>
      </c>
      <c r="N6" s="47">
        <f t="shared" si="42"/>
        <v>-24709.658999091695</v>
      </c>
      <c r="O6" s="47">
        <f t="shared" si="42"/>
        <v>-24770.599684165085</v>
      </c>
      <c r="P6" s="47">
        <f t="shared" si="42"/>
        <v>-24831.690665407979</v>
      </c>
      <c r="Q6" s="47">
        <f t="shared" si="42"/>
        <v>-24892.93231349127</v>
      </c>
      <c r="R6" s="47">
        <f t="shared" si="42"/>
        <v>-24954.325000000033</v>
      </c>
      <c r="S6" s="47">
        <f t="shared" si="42"/>
        <v>-25015.869097435774</v>
      </c>
      <c r="T6" s="47">
        <f t="shared" si="42"/>
        <v>-25077.564979218689</v>
      </c>
      <c r="U6" s="47">
        <f t="shared" si="42"/>
        <v>-25139.413019689917</v>
      </c>
      <c r="V6" s="47">
        <f t="shared" si="42"/>
        <v>-25201.413594113837</v>
      </c>
      <c r="W6" s="47">
        <f t="shared" si="42"/>
        <v>-25263.567078680324</v>
      </c>
      <c r="X6" s="47">
        <f t="shared" si="42"/>
        <v>-25325.873850507036</v>
      </c>
      <c r="Y6" s="47">
        <f t="shared" si="42"/>
        <v>-25388.334287641719</v>
      </c>
      <c r="Z6" s="47">
        <f t="shared" si="42"/>
        <v>-25450.948769064475</v>
      </c>
      <c r="AA6" s="47">
        <f t="shared" si="42"/>
        <v>-25513.717674690066</v>
      </c>
      <c r="AB6" s="47">
        <f t="shared" si="42"/>
        <v>-25576.641385370247</v>
      </c>
      <c r="AC6" s="47">
        <f t="shared" si="42"/>
        <v>-25639.720282896036</v>
      </c>
      <c r="AD6" s="47">
        <f t="shared" si="42"/>
        <v>-25702.954750000063</v>
      </c>
      <c r="AE6" s="47">
        <f t="shared" si="42"/>
        <v>-25766.34517035888</v>
      </c>
      <c r="AF6" s="47">
        <f t="shared" si="42"/>
        <v>-25829.891928595276</v>
      </c>
      <c r="AG6" s="47">
        <f t="shared" si="42"/>
        <v>-25893.595410280643</v>
      </c>
      <c r="AH6" s="47">
        <f t="shared" si="42"/>
        <v>-25957.456001937277</v>
      </c>
      <c r="AI6" s="47">
        <f t="shared" si="42"/>
        <v>-26021.474091040756</v>
      </c>
      <c r="AJ6" s="47">
        <f t="shared" si="42"/>
        <v>-26085.650066022277</v>
      </c>
      <c r="AK6" s="47">
        <f t="shared" si="42"/>
        <v>-26149.984316270999</v>
      </c>
      <c r="AL6" s="47">
        <f t="shared" ref="AL6:BQ6" si="43">AL5*-$B$4</f>
        <v>-26214.477232136433</v>
      </c>
      <c r="AM6" s="47">
        <f t="shared" si="43"/>
        <v>-26279.129204930796</v>
      </c>
      <c r="AN6" s="47">
        <f t="shared" si="43"/>
        <v>-26343.940626931377</v>
      </c>
      <c r="AO6" s="47">
        <f t="shared" si="43"/>
        <v>-26408.911891382941</v>
      </c>
      <c r="AP6" s="47">
        <f t="shared" si="43"/>
        <v>-26474.043392500091</v>
      </c>
      <c r="AQ6" s="47">
        <f t="shared" si="43"/>
        <v>-26539.335525469669</v>
      </c>
      <c r="AR6" s="47">
        <f t="shared" si="43"/>
        <v>-26604.788686453161</v>
      </c>
      <c r="AS6" s="47">
        <f t="shared" si="43"/>
        <v>-26670.403272589087</v>
      </c>
      <c r="AT6" s="47">
        <f t="shared" si="43"/>
        <v>-26736.179681995425</v>
      </c>
      <c r="AU6" s="47">
        <f t="shared" si="43"/>
        <v>-26802.118313772011</v>
      </c>
      <c r="AV6" s="47">
        <f t="shared" si="43"/>
        <v>-26868.219568002976</v>
      </c>
      <c r="AW6" s="47">
        <f t="shared" si="43"/>
        <v>-26934.483845759161</v>
      </c>
      <c r="AX6" s="47">
        <f t="shared" si="43"/>
        <v>-27000.911549100561</v>
      </c>
      <c r="AY6" s="47">
        <f t="shared" si="43"/>
        <v>-27067.503081078754</v>
      </c>
      <c r="AZ6" s="47">
        <f t="shared" si="43"/>
        <v>-27134.258845739354</v>
      </c>
      <c r="BA6" s="47">
        <f t="shared" si="43"/>
        <v>-27201.179248124463</v>
      </c>
      <c r="BB6" s="47">
        <f t="shared" si="43"/>
        <v>-27268.264694275127</v>
      </c>
      <c r="BC6" s="47">
        <f t="shared" si="43"/>
        <v>-27335.515591233794</v>
      </c>
      <c r="BD6" s="47">
        <f t="shared" si="43"/>
        <v>-27402.93234704679</v>
      </c>
      <c r="BE6" s="47">
        <f t="shared" si="43"/>
        <v>-27470.515370766792</v>
      </c>
      <c r="BF6" s="47">
        <f t="shared" si="43"/>
        <v>-27538.265072455317</v>
      </c>
      <c r="BG6" s="47">
        <f t="shared" si="43"/>
        <v>-27606.1818631852</v>
      </c>
      <c r="BH6" s="47">
        <f t="shared" si="43"/>
        <v>-27674.266155043093</v>
      </c>
      <c r="BI6" s="47">
        <f t="shared" si="43"/>
        <v>-27742.518361131966</v>
      </c>
      <c r="BJ6" s="47">
        <f t="shared" si="43"/>
        <v>-27810.938895573603</v>
      </c>
      <c r="BK6" s="47">
        <f t="shared" si="43"/>
        <v>-27879.528173511138</v>
      </c>
      <c r="BL6" s="47">
        <f t="shared" si="43"/>
        <v>-27948.286611111558</v>
      </c>
      <c r="BM6" s="47">
        <f t="shared" si="43"/>
        <v>-28017.214625568224</v>
      </c>
      <c r="BN6" s="47">
        <f t="shared" si="43"/>
        <v>-28086.312635103404</v>
      </c>
      <c r="BO6" s="47">
        <f t="shared" si="43"/>
        <v>-28155.581058970834</v>
      </c>
      <c r="BP6" s="47">
        <f t="shared" si="43"/>
        <v>-28225.020317458224</v>
      </c>
      <c r="BQ6" s="47">
        <f t="shared" si="43"/>
        <v>-28294.630831889826</v>
      </c>
      <c r="BR6" s="47">
        <f t="shared" ref="BR6:BY6" si="44">BR5*-$B$4</f>
        <v>-28364.413024629008</v>
      </c>
      <c r="BS6" s="47">
        <f t="shared" si="44"/>
        <v>-28434.367319080789</v>
      </c>
      <c r="BT6" s="47">
        <f t="shared" si="44"/>
        <v>-28504.49413969442</v>
      </c>
      <c r="BU6" s="47">
        <f t="shared" si="44"/>
        <v>-28574.793911965957</v>
      </c>
      <c r="BV6" s="47">
        <f t="shared" si="44"/>
        <v>-28645.267062440842</v>
      </c>
      <c r="BW6" s="47">
        <f t="shared" si="44"/>
        <v>-28715.914018716507</v>
      </c>
      <c r="BX6" s="47">
        <f t="shared" si="44"/>
        <v>-28786.735209444942</v>
      </c>
      <c r="BY6" s="152">
        <f t="shared" si="44"/>
        <v>-28857.731064335305</v>
      </c>
    </row>
    <row r="7" spans="1:77" x14ac:dyDescent="0.15">
      <c r="A7" s="141"/>
      <c r="B7" s="141"/>
      <c r="D7" s="76" t="s">
        <v>595</v>
      </c>
      <c r="E7" s="84"/>
      <c r="F7" s="47">
        <f t="shared" ref="F7:AK7" si="45">F5*-$B$5</f>
        <v>-29073.000000000004</v>
      </c>
      <c r="G7" s="47">
        <f t="shared" si="45"/>
        <v>-29144.701861090191</v>
      </c>
      <c r="H7" s="47">
        <f t="shared" si="45"/>
        <v>-29216.580558312999</v>
      </c>
      <c r="I7" s="47">
        <f t="shared" si="45"/>
        <v>-29288.636527794042</v>
      </c>
      <c r="J7" s="47">
        <f t="shared" si="45"/>
        <v>-29360.870206734529</v>
      </c>
      <c r="K7" s="47">
        <f t="shared" si="45"/>
        <v>-29433.282033413932</v>
      </c>
      <c r="L7" s="47">
        <f t="shared" si="45"/>
        <v>-29505.872447192629</v>
      </c>
      <c r="M7" s="47">
        <f t="shared" si="45"/>
        <v>-29578.64188851459</v>
      </c>
      <c r="N7" s="47">
        <f t="shared" si="45"/>
        <v>-29651.590798910031</v>
      </c>
      <c r="O7" s="47">
        <f t="shared" si="45"/>
        <v>-29724.719620998098</v>
      </c>
      <c r="P7" s="84">
        <f t="shared" si="45"/>
        <v>-29798.028798489569</v>
      </c>
      <c r="Q7" s="84">
        <f t="shared" si="45"/>
        <v>-29871.518776189521</v>
      </c>
      <c r="R7" s="84">
        <f t="shared" si="45"/>
        <v>-29945.190000000039</v>
      </c>
      <c r="S7" s="84">
        <f t="shared" si="45"/>
        <v>-30019.042916922928</v>
      </c>
      <c r="T7" s="84">
        <f t="shared" si="45"/>
        <v>-30093.077975062421</v>
      </c>
      <c r="U7" s="84">
        <f t="shared" si="45"/>
        <v>-30167.295623627895</v>
      </c>
      <c r="V7" s="84">
        <f t="shared" si="45"/>
        <v>-30241.696312936601</v>
      </c>
      <c r="W7" s="84">
        <f t="shared" si="45"/>
        <v>-30316.280494416384</v>
      </c>
      <c r="X7" s="84">
        <f t="shared" si="45"/>
        <v>-30391.048620608442</v>
      </c>
      <c r="Y7" s="84">
        <f t="shared" si="45"/>
        <v>-30466.001145170059</v>
      </c>
      <c r="Z7" s="84">
        <f t="shared" si="45"/>
        <v>-30541.138522877365</v>
      </c>
      <c r="AA7" s="84">
        <f t="shared" si="45"/>
        <v>-30616.461209628076</v>
      </c>
      <c r="AB7" s="84">
        <f t="shared" si="45"/>
        <v>-30691.969662444295</v>
      </c>
      <c r="AC7" s="84">
        <f t="shared" si="45"/>
        <v>-30767.664339475239</v>
      </c>
      <c r="AD7" s="84">
        <f t="shared" si="45"/>
        <v>-30843.545700000075</v>
      </c>
      <c r="AE7" s="84">
        <f t="shared" si="45"/>
        <v>-30919.614204430651</v>
      </c>
      <c r="AF7" s="84">
        <f t="shared" si="45"/>
        <v>-30995.870314314328</v>
      </c>
      <c r="AG7" s="84">
        <f t="shared" si="45"/>
        <v>-31072.314492336765</v>
      </c>
      <c r="AH7" s="84">
        <f t="shared" si="45"/>
        <v>-31148.947202324729</v>
      </c>
      <c r="AI7" s="84">
        <f t="shared" si="45"/>
        <v>-31225.768909248905</v>
      </c>
      <c r="AJ7" s="84">
        <f t="shared" si="45"/>
        <v>-31302.78007922673</v>
      </c>
      <c r="AK7" s="84">
        <f t="shared" si="45"/>
        <v>-31379.981179525195</v>
      </c>
      <c r="AL7" s="84">
        <f t="shared" ref="AL7:BQ7" si="46">AL5*-$B$5</f>
        <v>-31457.372678563715</v>
      </c>
      <c r="AM7" s="84">
        <f t="shared" si="46"/>
        <v>-31534.955045916955</v>
      </c>
      <c r="AN7" s="84">
        <f t="shared" si="46"/>
        <v>-31612.728752317649</v>
      </c>
      <c r="AO7" s="84">
        <f t="shared" si="46"/>
        <v>-31690.694269659525</v>
      </c>
      <c r="AP7" s="84">
        <f t="shared" si="46"/>
        <v>-31768.852071000107</v>
      </c>
      <c r="AQ7" s="84">
        <f t="shared" si="46"/>
        <v>-31847.202630563599</v>
      </c>
      <c r="AR7" s="84">
        <f t="shared" si="46"/>
        <v>-31925.746423743793</v>
      </c>
      <c r="AS7" s="84">
        <f t="shared" si="46"/>
        <v>-32004.483927106903</v>
      </c>
      <c r="AT7" s="84">
        <f t="shared" si="46"/>
        <v>-32083.415618394509</v>
      </c>
      <c r="AU7" s="84">
        <f t="shared" si="46"/>
        <v>-32162.541976526412</v>
      </c>
      <c r="AV7" s="84">
        <f t="shared" si="46"/>
        <v>-32241.86348160357</v>
      </c>
      <c r="AW7" s="84">
        <f t="shared" si="46"/>
        <v>-32321.380614910991</v>
      </c>
      <c r="AX7" s="84">
        <f t="shared" si="46"/>
        <v>-32401.093858920671</v>
      </c>
      <c r="AY7" s="84">
        <f t="shared" si="46"/>
        <v>-32481.003697294502</v>
      </c>
      <c r="AZ7" s="84">
        <f t="shared" si="46"/>
        <v>-32561.11061488722</v>
      </c>
      <c r="BA7" s="84">
        <f t="shared" si="46"/>
        <v>-32641.415097749352</v>
      </c>
      <c r="BB7" s="84">
        <f t="shared" si="46"/>
        <v>-32721.91763313015</v>
      </c>
      <c r="BC7" s="84">
        <f t="shared" si="46"/>
        <v>-32802.61870948055</v>
      </c>
      <c r="BD7" s="84">
        <f t="shared" si="46"/>
        <v>-32883.51881645614</v>
      </c>
      <c r="BE7" s="84">
        <f t="shared" si="46"/>
        <v>-32964.618444920146</v>
      </c>
      <c r="BF7" s="84">
        <f t="shared" si="46"/>
        <v>-33045.918086946374</v>
      </c>
      <c r="BG7" s="84">
        <f t="shared" si="46"/>
        <v>-33127.418235822239</v>
      </c>
      <c r="BH7" s="84">
        <f t="shared" si="46"/>
        <v>-33209.119386051709</v>
      </c>
      <c r="BI7" s="84">
        <f t="shared" si="46"/>
        <v>-33291.022033358357</v>
      </c>
      <c r="BJ7" s="84">
        <f t="shared" si="46"/>
        <v>-33373.126674688319</v>
      </c>
      <c r="BK7" s="84">
        <f t="shared" si="46"/>
        <v>-33455.433808213362</v>
      </c>
      <c r="BL7" s="84">
        <f t="shared" si="46"/>
        <v>-33537.943933333867</v>
      </c>
      <c r="BM7" s="84">
        <f t="shared" si="46"/>
        <v>-33620.657550681863</v>
      </c>
      <c r="BN7" s="84">
        <f t="shared" si="46"/>
        <v>-33703.575162124085</v>
      </c>
      <c r="BO7" s="84">
        <f t="shared" si="46"/>
        <v>-33786.697270764998</v>
      </c>
      <c r="BP7" s="84">
        <f t="shared" si="46"/>
        <v>-33870.024380949864</v>
      </c>
      <c r="BQ7" s="84">
        <f t="shared" si="46"/>
        <v>-33953.556998267792</v>
      </c>
      <c r="BR7" s="84">
        <f t="shared" ref="BR7:BY7" si="47">BR5*-$B$5</f>
        <v>-34037.295629554807</v>
      </c>
      <c r="BS7" s="84">
        <f t="shared" si="47"/>
        <v>-34121.240782896944</v>
      </c>
      <c r="BT7" s="84">
        <f t="shared" si="47"/>
        <v>-34205.392967633299</v>
      </c>
      <c r="BU7" s="84">
        <f t="shared" si="47"/>
        <v>-34289.752694359144</v>
      </c>
      <c r="BV7" s="84">
        <f t="shared" si="47"/>
        <v>-34374.320474929009</v>
      </c>
      <c r="BW7" s="84">
        <f t="shared" si="47"/>
        <v>-34459.096822459804</v>
      </c>
      <c r="BX7" s="84">
        <f t="shared" si="47"/>
        <v>-34544.082251333923</v>
      </c>
      <c r="BY7" s="167">
        <f t="shared" si="47"/>
        <v>-34629.27727720236</v>
      </c>
    </row>
    <row r="8" spans="1:77" x14ac:dyDescent="0.15">
      <c r="B8" s="188"/>
      <c r="D8" s="77" t="s">
        <v>590</v>
      </c>
      <c r="E8" s="84"/>
      <c r="F8" s="29">
        <f>SUM(F5:F7)</f>
        <v>431249.50000000006</v>
      </c>
      <c r="G8" s="29">
        <f t="shared" ref="G8:BR8" si="48">SUM(G5:G7)</f>
        <v>432313.07760617114</v>
      </c>
      <c r="H8" s="29">
        <f t="shared" si="48"/>
        <v>433379.27828164282</v>
      </c>
      <c r="I8" s="29">
        <f t="shared" si="48"/>
        <v>434448.10849561164</v>
      </c>
      <c r="J8" s="29">
        <f t="shared" si="48"/>
        <v>435519.57473322889</v>
      </c>
      <c r="K8" s="29">
        <f t="shared" si="48"/>
        <v>436593.68349564</v>
      </c>
      <c r="L8" s="29">
        <f t="shared" si="48"/>
        <v>437670.44130002405</v>
      </c>
      <c r="M8" s="29">
        <f t="shared" si="48"/>
        <v>438749.85467963311</v>
      </c>
      <c r="N8" s="29">
        <f t="shared" si="48"/>
        <v>439831.93018383213</v>
      </c>
      <c r="O8" s="29">
        <f t="shared" si="48"/>
        <v>440916.6743781385</v>
      </c>
      <c r="P8" s="108">
        <f t="shared" si="48"/>
        <v>442004.09384426195</v>
      </c>
      <c r="Q8" s="163">
        <f t="shared" si="48"/>
        <v>443094.19518014451</v>
      </c>
      <c r="R8" s="163">
        <f t="shared" si="48"/>
        <v>444186.98500000057</v>
      </c>
      <c r="S8" s="163">
        <f t="shared" si="48"/>
        <v>445282.46993435675</v>
      </c>
      <c r="T8" s="163">
        <f t="shared" si="48"/>
        <v>446380.65663009259</v>
      </c>
      <c r="U8" s="163">
        <f t="shared" si="48"/>
        <v>447481.55175048049</v>
      </c>
      <c r="V8" s="163">
        <f t="shared" si="48"/>
        <v>448585.16197522625</v>
      </c>
      <c r="W8" s="163">
        <f t="shared" si="48"/>
        <v>449691.49400050973</v>
      </c>
      <c r="X8" s="163">
        <f t="shared" si="48"/>
        <v>450800.55453902524</v>
      </c>
      <c r="Y8" s="163">
        <f t="shared" si="48"/>
        <v>451912.35032002255</v>
      </c>
      <c r="Z8" s="163">
        <f t="shared" si="48"/>
        <v>453026.88808934763</v>
      </c>
      <c r="AA8" s="163">
        <f t="shared" si="48"/>
        <v>454144.17460948316</v>
      </c>
      <c r="AB8" s="163">
        <f t="shared" si="48"/>
        <v>455264.21665959037</v>
      </c>
      <c r="AC8" s="163">
        <f t="shared" si="48"/>
        <v>456387.02103554946</v>
      </c>
      <c r="AD8" s="163">
        <f t="shared" si="48"/>
        <v>457512.59455000114</v>
      </c>
      <c r="AE8" s="163">
        <f t="shared" si="48"/>
        <v>458640.94403238798</v>
      </c>
      <c r="AF8" s="163">
        <f t="shared" si="48"/>
        <v>459772.07632899593</v>
      </c>
      <c r="AG8" s="163">
        <f t="shared" si="48"/>
        <v>460905.9983029954</v>
      </c>
      <c r="AH8" s="163">
        <f t="shared" si="48"/>
        <v>462042.71683448349</v>
      </c>
      <c r="AI8" s="163">
        <f t="shared" si="48"/>
        <v>463182.23882052541</v>
      </c>
      <c r="AJ8" s="163">
        <f t="shared" si="48"/>
        <v>464324.5711751965</v>
      </c>
      <c r="AK8" s="163">
        <f t="shared" si="48"/>
        <v>465469.72082962375</v>
      </c>
      <c r="AL8" s="163">
        <f t="shared" si="48"/>
        <v>466617.69473202853</v>
      </c>
      <c r="AM8" s="163">
        <f t="shared" si="48"/>
        <v>467768.49984776817</v>
      </c>
      <c r="AN8" s="163">
        <f t="shared" si="48"/>
        <v>468922.14315937849</v>
      </c>
      <c r="AO8" s="163">
        <f t="shared" si="48"/>
        <v>470078.6316666163</v>
      </c>
      <c r="AP8" s="163">
        <f t="shared" si="48"/>
        <v>471237.97238650161</v>
      </c>
      <c r="AQ8" s="163">
        <f t="shared" si="48"/>
        <v>472400.1723533601</v>
      </c>
      <c r="AR8" s="163">
        <f t="shared" si="48"/>
        <v>473565.23861886631</v>
      </c>
      <c r="AS8" s="163">
        <f t="shared" si="48"/>
        <v>474733.17825208575</v>
      </c>
      <c r="AT8" s="163">
        <f t="shared" si="48"/>
        <v>475903.99833951856</v>
      </c>
      <c r="AU8" s="163">
        <f t="shared" si="48"/>
        <v>477077.70598514174</v>
      </c>
      <c r="AV8" s="163">
        <f t="shared" si="48"/>
        <v>478254.30831045297</v>
      </c>
      <c r="AW8" s="163">
        <f t="shared" si="48"/>
        <v>479433.81245451304</v>
      </c>
      <c r="AX8" s="163">
        <f t="shared" si="48"/>
        <v>480616.22557398997</v>
      </c>
      <c r="AY8" s="163">
        <f t="shared" si="48"/>
        <v>481801.55484320177</v>
      </c>
      <c r="AZ8" s="163">
        <f t="shared" si="48"/>
        <v>482989.80745416047</v>
      </c>
      <c r="BA8" s="163">
        <f t="shared" si="48"/>
        <v>484180.9906166154</v>
      </c>
      <c r="BB8" s="163">
        <f t="shared" si="48"/>
        <v>485375.11155809724</v>
      </c>
      <c r="BC8" s="163">
        <f t="shared" si="48"/>
        <v>486572.17752396152</v>
      </c>
      <c r="BD8" s="163">
        <f t="shared" si="48"/>
        <v>487772.19577743282</v>
      </c>
      <c r="BE8" s="163">
        <f t="shared" si="48"/>
        <v>488975.17359964881</v>
      </c>
      <c r="BF8" s="163">
        <f t="shared" si="48"/>
        <v>490181.11828970461</v>
      </c>
      <c r="BG8" s="163">
        <f t="shared" si="48"/>
        <v>491390.03716469649</v>
      </c>
      <c r="BH8" s="163">
        <f t="shared" si="48"/>
        <v>492601.93755976699</v>
      </c>
      <c r="BI8" s="163">
        <f t="shared" si="48"/>
        <v>493816.82682814891</v>
      </c>
      <c r="BJ8" s="163">
        <f t="shared" si="48"/>
        <v>495034.71234121011</v>
      </c>
      <c r="BK8" s="163">
        <f t="shared" si="48"/>
        <v>496255.60148849827</v>
      </c>
      <c r="BL8" s="163">
        <f t="shared" si="48"/>
        <v>497479.50167778565</v>
      </c>
      <c r="BM8" s="163">
        <f t="shared" si="48"/>
        <v>498706.42033511435</v>
      </c>
      <c r="BN8" s="163">
        <f t="shared" si="48"/>
        <v>499936.36490484065</v>
      </c>
      <c r="BO8" s="163">
        <f t="shared" si="48"/>
        <v>501169.3428496808</v>
      </c>
      <c r="BP8" s="163">
        <f t="shared" si="48"/>
        <v>502405.36165075639</v>
      </c>
      <c r="BQ8" s="163">
        <f t="shared" si="48"/>
        <v>503644.42880763893</v>
      </c>
      <c r="BR8" s="163">
        <f t="shared" si="48"/>
        <v>504886.55183839635</v>
      </c>
      <c r="BS8" s="163">
        <f t="shared" ref="BS8:BY8" si="49">SUM(BS5:BS7)</f>
        <v>506131.73827963806</v>
      </c>
      <c r="BT8" s="163">
        <f t="shared" si="49"/>
        <v>507379.99568656064</v>
      </c>
      <c r="BU8" s="163">
        <f t="shared" si="49"/>
        <v>508631.331632994</v>
      </c>
      <c r="BV8" s="163">
        <f t="shared" si="49"/>
        <v>509885.75371144695</v>
      </c>
      <c r="BW8" s="163">
        <f t="shared" si="49"/>
        <v>511143.26953315374</v>
      </c>
      <c r="BX8" s="163">
        <f t="shared" si="49"/>
        <v>512403.88672811998</v>
      </c>
      <c r="BY8" s="154">
        <f t="shared" si="49"/>
        <v>513667.6129451684</v>
      </c>
    </row>
    <row r="9" spans="1:77" x14ac:dyDescent="0.15">
      <c r="D9" s="78" t="s">
        <v>591</v>
      </c>
      <c r="E9" s="84"/>
      <c r="F9" s="84">
        <f>'Unit Mix'!C22</f>
        <v>36519.1</v>
      </c>
      <c r="G9" s="84">
        <f t="shared" ref="G9:AL9" si="50">F9*(1+$B$2)^(1/12)</f>
        <v>36519.1</v>
      </c>
      <c r="H9" s="84">
        <f t="shared" si="50"/>
        <v>36519.1</v>
      </c>
      <c r="I9" s="84">
        <f t="shared" si="50"/>
        <v>36519.1</v>
      </c>
      <c r="J9" s="84">
        <f t="shared" si="50"/>
        <v>36519.1</v>
      </c>
      <c r="K9" s="84">
        <f t="shared" si="50"/>
        <v>36519.1</v>
      </c>
      <c r="L9" s="84">
        <f t="shared" si="50"/>
        <v>36519.1</v>
      </c>
      <c r="M9" s="84">
        <f t="shared" si="50"/>
        <v>36519.1</v>
      </c>
      <c r="N9" s="84">
        <f t="shared" si="50"/>
        <v>36519.1</v>
      </c>
      <c r="O9" s="84">
        <f t="shared" si="50"/>
        <v>36519.1</v>
      </c>
      <c r="P9" s="106">
        <f t="shared" si="50"/>
        <v>36519.1</v>
      </c>
      <c r="Q9" s="106">
        <f t="shared" si="50"/>
        <v>36519.1</v>
      </c>
      <c r="R9" s="106">
        <f t="shared" si="50"/>
        <v>36519.1</v>
      </c>
      <c r="S9" s="106">
        <f t="shared" si="50"/>
        <v>36519.1</v>
      </c>
      <c r="T9" s="106">
        <f t="shared" si="50"/>
        <v>36519.1</v>
      </c>
      <c r="U9" s="106">
        <f t="shared" si="50"/>
        <v>36519.1</v>
      </c>
      <c r="V9" s="106">
        <f t="shared" si="50"/>
        <v>36519.1</v>
      </c>
      <c r="W9" s="106">
        <f t="shared" si="50"/>
        <v>36519.1</v>
      </c>
      <c r="X9" s="106">
        <f t="shared" si="50"/>
        <v>36519.1</v>
      </c>
      <c r="Y9" s="106">
        <f t="shared" si="50"/>
        <v>36519.1</v>
      </c>
      <c r="Z9" s="106">
        <f t="shared" si="50"/>
        <v>36519.1</v>
      </c>
      <c r="AA9" s="106">
        <f t="shared" si="50"/>
        <v>36519.1</v>
      </c>
      <c r="AB9" s="106">
        <f t="shared" si="50"/>
        <v>36519.1</v>
      </c>
      <c r="AC9" s="106">
        <f t="shared" si="50"/>
        <v>36519.1</v>
      </c>
      <c r="AD9" s="106">
        <f t="shared" si="50"/>
        <v>36519.1</v>
      </c>
      <c r="AE9" s="106">
        <f t="shared" si="50"/>
        <v>36519.1</v>
      </c>
      <c r="AF9" s="106">
        <f t="shared" si="50"/>
        <v>36519.1</v>
      </c>
      <c r="AG9" s="106">
        <f t="shared" si="50"/>
        <v>36519.1</v>
      </c>
      <c r="AH9" s="106">
        <f t="shared" si="50"/>
        <v>36519.1</v>
      </c>
      <c r="AI9" s="106">
        <f t="shared" si="50"/>
        <v>36519.1</v>
      </c>
      <c r="AJ9" s="106">
        <f t="shared" si="50"/>
        <v>36519.1</v>
      </c>
      <c r="AK9" s="106">
        <f t="shared" si="50"/>
        <v>36519.1</v>
      </c>
      <c r="AL9" s="106">
        <f t="shared" si="50"/>
        <v>36519.1</v>
      </c>
      <c r="AM9" s="106">
        <f t="shared" ref="AM9:BR9" si="51">AL9*(1+$B$2)^(1/12)</f>
        <v>36519.1</v>
      </c>
      <c r="AN9" s="106">
        <f t="shared" si="51"/>
        <v>36519.1</v>
      </c>
      <c r="AO9" s="106">
        <f t="shared" si="51"/>
        <v>36519.1</v>
      </c>
      <c r="AP9" s="106">
        <f t="shared" si="51"/>
        <v>36519.1</v>
      </c>
      <c r="AQ9" s="106">
        <f t="shared" si="51"/>
        <v>36519.1</v>
      </c>
      <c r="AR9" s="106">
        <f t="shared" si="51"/>
        <v>36519.1</v>
      </c>
      <c r="AS9" s="106">
        <f t="shared" si="51"/>
        <v>36519.1</v>
      </c>
      <c r="AT9" s="106">
        <f t="shared" si="51"/>
        <v>36519.1</v>
      </c>
      <c r="AU9" s="106">
        <f t="shared" si="51"/>
        <v>36519.1</v>
      </c>
      <c r="AV9" s="106">
        <f t="shared" si="51"/>
        <v>36519.1</v>
      </c>
      <c r="AW9" s="106">
        <f t="shared" si="51"/>
        <v>36519.1</v>
      </c>
      <c r="AX9" s="106">
        <f t="shared" si="51"/>
        <v>36519.1</v>
      </c>
      <c r="AY9" s="106">
        <f t="shared" si="51"/>
        <v>36519.1</v>
      </c>
      <c r="AZ9" s="106">
        <f t="shared" si="51"/>
        <v>36519.1</v>
      </c>
      <c r="BA9" s="106">
        <f t="shared" si="51"/>
        <v>36519.1</v>
      </c>
      <c r="BB9" s="106">
        <f t="shared" si="51"/>
        <v>36519.1</v>
      </c>
      <c r="BC9" s="106">
        <f t="shared" si="51"/>
        <v>36519.1</v>
      </c>
      <c r="BD9" s="106">
        <f t="shared" si="51"/>
        <v>36519.1</v>
      </c>
      <c r="BE9" s="106">
        <f t="shared" si="51"/>
        <v>36519.1</v>
      </c>
      <c r="BF9" s="106">
        <f t="shared" si="51"/>
        <v>36519.1</v>
      </c>
      <c r="BG9" s="106">
        <f t="shared" si="51"/>
        <v>36519.1</v>
      </c>
      <c r="BH9" s="106">
        <f t="shared" si="51"/>
        <v>36519.1</v>
      </c>
      <c r="BI9" s="106">
        <f t="shared" si="51"/>
        <v>36519.1</v>
      </c>
      <c r="BJ9" s="106">
        <f t="shared" si="51"/>
        <v>36519.1</v>
      </c>
      <c r="BK9" s="106">
        <f t="shared" si="51"/>
        <v>36519.1</v>
      </c>
      <c r="BL9" s="106">
        <f t="shared" si="51"/>
        <v>36519.1</v>
      </c>
      <c r="BM9" s="106">
        <f t="shared" si="51"/>
        <v>36519.1</v>
      </c>
      <c r="BN9" s="106">
        <f t="shared" si="51"/>
        <v>36519.1</v>
      </c>
      <c r="BO9" s="106">
        <f t="shared" si="51"/>
        <v>36519.1</v>
      </c>
      <c r="BP9" s="106">
        <f t="shared" si="51"/>
        <v>36519.1</v>
      </c>
      <c r="BQ9" s="106">
        <f t="shared" si="51"/>
        <v>36519.1</v>
      </c>
      <c r="BR9" s="106">
        <f t="shared" si="51"/>
        <v>36519.1</v>
      </c>
      <c r="BS9" s="106">
        <f t="shared" ref="BS9:BY9" si="52">BR9*(1+$B$2)^(1/12)</f>
        <v>36519.1</v>
      </c>
      <c r="BT9" s="106">
        <f t="shared" si="52"/>
        <v>36519.1</v>
      </c>
      <c r="BU9" s="106">
        <f t="shared" si="52"/>
        <v>36519.1</v>
      </c>
      <c r="BV9" s="106">
        <f t="shared" si="52"/>
        <v>36519.1</v>
      </c>
      <c r="BW9" s="106">
        <f t="shared" si="52"/>
        <v>36519.1</v>
      </c>
      <c r="BX9" s="106">
        <f t="shared" si="52"/>
        <v>36519.1</v>
      </c>
      <c r="BY9" s="241">
        <f t="shared" si="52"/>
        <v>36519.1</v>
      </c>
    </row>
    <row r="10" spans="1:77" ht="20" customHeight="1" x14ac:dyDescent="0.15">
      <c r="D10" s="79" t="s">
        <v>592</v>
      </c>
      <c r="E10" s="84"/>
      <c r="F10" s="107">
        <f>F9+F8</f>
        <v>467768.60000000003</v>
      </c>
      <c r="G10" s="107">
        <f t="shared" ref="G10:BM10" si="53">G9+G8</f>
        <v>468832.17760617111</v>
      </c>
      <c r="H10" s="107">
        <f t="shared" si="53"/>
        <v>469898.3782816428</v>
      </c>
      <c r="I10" s="107">
        <f t="shared" si="53"/>
        <v>470967.20849561162</v>
      </c>
      <c r="J10" s="107">
        <f t="shared" si="53"/>
        <v>472038.67473322887</v>
      </c>
      <c r="K10" s="107">
        <f t="shared" si="53"/>
        <v>473112.78349563997</v>
      </c>
      <c r="L10" s="107">
        <f t="shared" si="53"/>
        <v>474189.54130002402</v>
      </c>
      <c r="M10" s="107">
        <f t="shared" si="53"/>
        <v>475268.95467963308</v>
      </c>
      <c r="N10" s="107">
        <f t="shared" si="53"/>
        <v>476351.0301838321</v>
      </c>
      <c r="O10" s="107">
        <f t="shared" si="53"/>
        <v>477435.77437813848</v>
      </c>
      <c r="P10" s="29">
        <f t="shared" si="53"/>
        <v>478523.19384426193</v>
      </c>
      <c r="Q10" s="29">
        <f t="shared" si="53"/>
        <v>479613.29518014449</v>
      </c>
      <c r="R10" s="29">
        <f t="shared" si="53"/>
        <v>480706.08500000054</v>
      </c>
      <c r="S10" s="29">
        <f t="shared" si="53"/>
        <v>481801.56993435672</v>
      </c>
      <c r="T10" s="29">
        <f t="shared" si="53"/>
        <v>482899.75663009257</v>
      </c>
      <c r="U10" s="29">
        <f t="shared" si="53"/>
        <v>484000.65175048047</v>
      </c>
      <c r="V10" s="29">
        <f t="shared" si="53"/>
        <v>485104.26197522623</v>
      </c>
      <c r="W10" s="29">
        <f t="shared" si="53"/>
        <v>486210.59400050971</v>
      </c>
      <c r="X10" s="29">
        <f t="shared" si="53"/>
        <v>487319.65453902521</v>
      </c>
      <c r="Y10" s="29">
        <f t="shared" si="53"/>
        <v>488431.45032002253</v>
      </c>
      <c r="Z10" s="29">
        <f t="shared" si="53"/>
        <v>489545.98808934761</v>
      </c>
      <c r="AA10" s="29">
        <f t="shared" si="53"/>
        <v>490663.27460948314</v>
      </c>
      <c r="AB10" s="29">
        <f t="shared" si="53"/>
        <v>491783.31665959035</v>
      </c>
      <c r="AC10" s="29">
        <f t="shared" si="53"/>
        <v>492906.12103554944</v>
      </c>
      <c r="AD10" s="29">
        <f t="shared" si="53"/>
        <v>494031.69455000112</v>
      </c>
      <c r="AE10" s="29">
        <f t="shared" si="53"/>
        <v>495160.04403238796</v>
      </c>
      <c r="AF10" s="29">
        <f t="shared" si="53"/>
        <v>496291.17632899591</v>
      </c>
      <c r="AG10" s="29">
        <f t="shared" si="53"/>
        <v>497425.09830299538</v>
      </c>
      <c r="AH10" s="29">
        <f t="shared" si="53"/>
        <v>498561.81683448347</v>
      </c>
      <c r="AI10" s="29">
        <f t="shared" si="53"/>
        <v>499701.33882052539</v>
      </c>
      <c r="AJ10" s="29">
        <f t="shared" si="53"/>
        <v>500843.67117519648</v>
      </c>
      <c r="AK10" s="29">
        <f t="shared" si="53"/>
        <v>501988.82082962373</v>
      </c>
      <c r="AL10" s="29">
        <f t="shared" si="53"/>
        <v>503136.7947320285</v>
      </c>
      <c r="AM10" s="29">
        <f t="shared" si="53"/>
        <v>504287.59984776814</v>
      </c>
      <c r="AN10" s="29">
        <f t="shared" si="53"/>
        <v>505441.24315937847</v>
      </c>
      <c r="AO10" s="29">
        <f t="shared" si="53"/>
        <v>506597.73166661628</v>
      </c>
      <c r="AP10" s="29">
        <f t="shared" si="53"/>
        <v>507757.07238650159</v>
      </c>
      <c r="AQ10" s="29">
        <f t="shared" si="53"/>
        <v>508919.27235336008</v>
      </c>
      <c r="AR10" s="29">
        <f t="shared" si="53"/>
        <v>510084.33861886628</v>
      </c>
      <c r="AS10" s="29">
        <f t="shared" si="53"/>
        <v>511252.27825208573</v>
      </c>
      <c r="AT10" s="29">
        <f t="shared" si="53"/>
        <v>512423.09833951853</v>
      </c>
      <c r="AU10" s="29">
        <f t="shared" si="53"/>
        <v>513596.80598514172</v>
      </c>
      <c r="AV10" s="29">
        <f t="shared" si="53"/>
        <v>514773.40831045294</v>
      </c>
      <c r="AW10" s="29">
        <f t="shared" si="53"/>
        <v>515952.91245451302</v>
      </c>
      <c r="AX10" s="29">
        <f t="shared" si="53"/>
        <v>517135.32557398995</v>
      </c>
      <c r="AY10" s="29">
        <f t="shared" si="53"/>
        <v>518320.65484320174</v>
      </c>
      <c r="AZ10" s="29">
        <f t="shared" si="53"/>
        <v>519508.90745416045</v>
      </c>
      <c r="BA10" s="29">
        <f t="shared" si="53"/>
        <v>520700.09061661537</v>
      </c>
      <c r="BB10" s="29">
        <f t="shared" si="53"/>
        <v>521894.21155809722</v>
      </c>
      <c r="BC10" s="29">
        <f t="shared" si="53"/>
        <v>523091.2775239615</v>
      </c>
      <c r="BD10" s="29">
        <f t="shared" si="53"/>
        <v>524291.29577743285</v>
      </c>
      <c r="BE10" s="29">
        <f t="shared" si="53"/>
        <v>525494.27359964885</v>
      </c>
      <c r="BF10" s="29">
        <f t="shared" si="53"/>
        <v>526700.21828970464</v>
      </c>
      <c r="BG10" s="29">
        <f t="shared" si="53"/>
        <v>527909.13716469647</v>
      </c>
      <c r="BH10" s="29">
        <f t="shared" si="53"/>
        <v>529121.03755976702</v>
      </c>
      <c r="BI10" s="29">
        <f t="shared" si="53"/>
        <v>530335.92682814889</v>
      </c>
      <c r="BJ10" s="29">
        <f t="shared" si="53"/>
        <v>531553.81234121008</v>
      </c>
      <c r="BK10" s="29">
        <f t="shared" si="53"/>
        <v>532774.70148849825</v>
      </c>
      <c r="BL10" s="29">
        <f t="shared" si="53"/>
        <v>533998.60167778563</v>
      </c>
      <c r="BM10" s="29">
        <f t="shared" si="53"/>
        <v>535225.52033511433</v>
      </c>
      <c r="BN10" s="29">
        <f t="shared" ref="BN10:BY10" si="54">BN9+BN8</f>
        <v>536455.46490484069</v>
      </c>
      <c r="BO10" s="29">
        <f t="shared" si="54"/>
        <v>537688.44284968078</v>
      </c>
      <c r="BP10" s="29">
        <f t="shared" si="54"/>
        <v>538924.46165075642</v>
      </c>
      <c r="BQ10" s="29">
        <f t="shared" si="54"/>
        <v>540163.52880763891</v>
      </c>
      <c r="BR10" s="29">
        <f t="shared" si="54"/>
        <v>541405.65183839633</v>
      </c>
      <c r="BS10" s="29">
        <f t="shared" si="54"/>
        <v>542650.83827963809</v>
      </c>
      <c r="BT10" s="29">
        <f t="shared" si="54"/>
        <v>543899.09568656061</v>
      </c>
      <c r="BU10" s="29">
        <f t="shared" si="54"/>
        <v>545150.43163299398</v>
      </c>
      <c r="BV10" s="29">
        <f t="shared" si="54"/>
        <v>546404.85371144698</v>
      </c>
      <c r="BW10" s="29">
        <f t="shared" si="54"/>
        <v>547662.36953315372</v>
      </c>
      <c r="BX10" s="29">
        <f t="shared" si="54"/>
        <v>548922.98672812001</v>
      </c>
      <c r="BY10" s="166">
        <f t="shared" si="54"/>
        <v>550186.71294516837</v>
      </c>
    </row>
    <row r="11" spans="1:77" x14ac:dyDescent="0.15">
      <c r="A11" s="22"/>
      <c r="D11" s="80" t="s">
        <v>660</v>
      </c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>
        <v>0</v>
      </c>
      <c r="BN11" s="47">
        <v>0</v>
      </c>
      <c r="BO11" s="47">
        <v>0</v>
      </c>
      <c r="BP11" s="47">
        <v>0</v>
      </c>
      <c r="BQ11" s="47">
        <v>0</v>
      </c>
      <c r="BR11" s="47">
        <v>0</v>
      </c>
      <c r="BS11" s="47">
        <v>0</v>
      </c>
      <c r="BT11" s="47">
        <v>0</v>
      </c>
      <c r="BU11" s="47">
        <v>0</v>
      </c>
      <c r="BV11" s="47">
        <v>0</v>
      </c>
      <c r="BW11" s="47">
        <v>0</v>
      </c>
      <c r="BX11" s="47">
        <v>0</v>
      </c>
      <c r="BY11" s="152">
        <v>0</v>
      </c>
    </row>
    <row r="12" spans="1:77" ht="22" customHeight="1" x14ac:dyDescent="0.15">
      <c r="A12" s="180"/>
      <c r="D12" s="76" t="str">
        <f>Expenses!F3</f>
        <v>Taxes</v>
      </c>
      <c r="E12" s="47"/>
      <c r="F12" s="47">
        <f>-Expenses!$H3/12*'Unit Mix'!$B$7</f>
        <v>-46366.666666666664</v>
      </c>
      <c r="G12" s="47">
        <f t="shared" ref="G12:AL12" si="55">F12*(1+$B$3)^(1/12)</f>
        <v>-46471.607399390072</v>
      </c>
      <c r="H12" s="47">
        <f t="shared" si="55"/>
        <v>-46576.785642337447</v>
      </c>
      <c r="I12" s="47">
        <f t="shared" si="55"/>
        <v>-46682.201933060838</v>
      </c>
      <c r="J12" s="47">
        <f t="shared" si="55"/>
        <v>-46787.856810328936</v>
      </c>
      <c r="K12" s="47">
        <f t="shared" si="55"/>
        <v>-46893.750814129809</v>
      </c>
      <c r="L12" s="47">
        <f t="shared" si="55"/>
        <v>-46999.884485673669</v>
      </c>
      <c r="M12" s="47">
        <f t="shared" si="55"/>
        <v>-47106.25836739564</v>
      </c>
      <c r="N12" s="47">
        <f t="shared" si="55"/>
        <v>-47212.873002958528</v>
      </c>
      <c r="O12" s="47">
        <f t="shared" si="55"/>
        <v>-47319.728937255597</v>
      </c>
      <c r="P12" s="47">
        <f t="shared" si="55"/>
        <v>-47426.826716413365</v>
      </c>
      <c r="Q12" s="47">
        <f t="shared" si="55"/>
        <v>-47534.166887794381</v>
      </c>
      <c r="R12" s="47">
        <f t="shared" si="55"/>
        <v>-47641.750000000029</v>
      </c>
      <c r="S12" s="47">
        <f t="shared" si="55"/>
        <v>-47749.576602873327</v>
      </c>
      <c r="T12" s="47">
        <f t="shared" si="55"/>
        <v>-47857.647247501751</v>
      </c>
      <c r="U12" s="47">
        <f t="shared" si="55"/>
        <v>-47965.962486220036</v>
      </c>
      <c r="V12" s="47">
        <f t="shared" si="55"/>
        <v>-48074.522872613008</v>
      </c>
      <c r="W12" s="47">
        <f t="shared" si="55"/>
        <v>-48183.328961518404</v>
      </c>
      <c r="X12" s="47">
        <f t="shared" si="55"/>
        <v>-48292.381309029719</v>
      </c>
      <c r="Y12" s="47">
        <f t="shared" si="55"/>
        <v>-48401.680472499043</v>
      </c>
      <c r="Z12" s="47">
        <f t="shared" si="55"/>
        <v>-48511.227010539915</v>
      </c>
      <c r="AA12" s="47">
        <f t="shared" si="55"/>
        <v>-48621.021483030156</v>
      </c>
      <c r="AB12" s="47">
        <f t="shared" si="55"/>
        <v>-48731.064451114762</v>
      </c>
      <c r="AC12" s="47">
        <f t="shared" si="55"/>
        <v>-48841.356477208756</v>
      </c>
      <c r="AD12" s="47">
        <f t="shared" si="55"/>
        <v>-48951.898125000058</v>
      </c>
      <c r="AE12" s="47">
        <f t="shared" si="55"/>
        <v>-49062.689959452371</v>
      </c>
      <c r="AF12" s="47">
        <f t="shared" si="55"/>
        <v>-49173.732546808074</v>
      </c>
      <c r="AG12" s="47">
        <f t="shared" si="55"/>
        <v>-49285.026454591112</v>
      </c>
      <c r="AH12" s="47">
        <f t="shared" si="55"/>
        <v>-49396.57225160989</v>
      </c>
      <c r="AI12" s="47">
        <f t="shared" si="55"/>
        <v>-49508.370507960186</v>
      </c>
      <c r="AJ12" s="47">
        <f t="shared" si="55"/>
        <v>-49620.421795028065</v>
      </c>
      <c r="AK12" s="47">
        <f t="shared" si="55"/>
        <v>-49732.726685492795</v>
      </c>
      <c r="AL12" s="47">
        <f t="shared" si="55"/>
        <v>-49845.285753329787</v>
      </c>
      <c r="AM12" s="47">
        <f t="shared" ref="AM12:BR12" si="56">AL12*(1+$B$3)^(1/12)</f>
        <v>-49958.09957381351</v>
      </c>
      <c r="AN12" s="47">
        <f t="shared" si="56"/>
        <v>-50071.168723520444</v>
      </c>
      <c r="AO12" s="47">
        <f t="shared" si="56"/>
        <v>-50184.493780332021</v>
      </c>
      <c r="AP12" s="47">
        <f t="shared" si="56"/>
        <v>-50298.075323437581</v>
      </c>
      <c r="AQ12" s="47">
        <f t="shared" si="56"/>
        <v>-50411.913933337339</v>
      </c>
      <c r="AR12" s="47">
        <f t="shared" si="56"/>
        <v>-50526.010191845329</v>
      </c>
      <c r="AS12" s="47">
        <f t="shared" si="56"/>
        <v>-50640.364682092404</v>
      </c>
      <c r="AT12" s="47">
        <f t="shared" si="56"/>
        <v>-50754.977988529194</v>
      </c>
      <c r="AU12" s="47">
        <f t="shared" si="56"/>
        <v>-50869.850696929119</v>
      </c>
      <c r="AV12" s="47">
        <f t="shared" si="56"/>
        <v>-50984.983394391362</v>
      </c>
      <c r="AW12" s="47">
        <f t="shared" si="56"/>
        <v>-51100.376669343874</v>
      </c>
      <c r="AX12" s="47">
        <f t="shared" si="56"/>
        <v>-51216.031111546385</v>
      </c>
      <c r="AY12" s="47">
        <f t="shared" si="56"/>
        <v>-51331.947312093413</v>
      </c>
      <c r="AZ12" s="47">
        <f t="shared" si="56"/>
        <v>-51448.125863417292</v>
      </c>
      <c r="BA12" s="47">
        <f t="shared" si="56"/>
        <v>-51564.567359291192</v>
      </c>
      <c r="BB12" s="47">
        <f t="shared" si="56"/>
        <v>-51681.272394832158</v>
      </c>
      <c r="BC12" s="47">
        <f t="shared" si="56"/>
        <v>-51798.241566504155</v>
      </c>
      <c r="BD12" s="47">
        <f t="shared" si="56"/>
        <v>-51915.475472121114</v>
      </c>
      <c r="BE12" s="47">
        <f t="shared" si="56"/>
        <v>-52032.97471084998</v>
      </c>
      <c r="BF12" s="47">
        <f t="shared" si="56"/>
        <v>-52150.739883213784</v>
      </c>
      <c r="BG12" s="47">
        <f t="shared" si="56"/>
        <v>-52268.771591094708</v>
      </c>
      <c r="BH12" s="47">
        <f t="shared" si="56"/>
        <v>-52387.070437737166</v>
      </c>
      <c r="BI12" s="47">
        <f t="shared" si="56"/>
        <v>-52505.637027750869</v>
      </c>
      <c r="BJ12" s="47">
        <f t="shared" si="56"/>
        <v>-52624.471967113946</v>
      </c>
      <c r="BK12" s="47">
        <f t="shared" si="56"/>
        <v>-52743.575863176018</v>
      </c>
      <c r="BL12" s="47">
        <f t="shared" si="56"/>
        <v>-52862.949324661298</v>
      </c>
      <c r="BM12" s="47">
        <f t="shared" si="56"/>
        <v>-52982.592961671726</v>
      </c>
      <c r="BN12" s="47">
        <f t="shared" si="56"/>
        <v>-53102.507385690071</v>
      </c>
      <c r="BO12" s="47">
        <f t="shared" si="56"/>
        <v>-53222.693209583049</v>
      </c>
      <c r="BP12" s="47">
        <f t="shared" si="56"/>
        <v>-53343.151047604471</v>
      </c>
      <c r="BQ12" s="47">
        <f t="shared" si="56"/>
        <v>-53463.881515398381</v>
      </c>
      <c r="BR12" s="47">
        <f t="shared" si="56"/>
        <v>-53584.88523000219</v>
      </c>
      <c r="BS12" s="47">
        <f t="shared" ref="BS12:BY12" si="57">BR12*(1+$B$3)^(1/12)</f>
        <v>-53706.16280984984</v>
      </c>
      <c r="BT12" s="47">
        <f t="shared" si="57"/>
        <v>-53827.714874774967</v>
      </c>
      <c r="BU12" s="47">
        <f t="shared" si="57"/>
        <v>-53949.542046014052</v>
      </c>
      <c r="BV12" s="47">
        <f t="shared" si="57"/>
        <v>-54071.644946209613</v>
      </c>
      <c r="BW12" s="47">
        <f t="shared" si="57"/>
        <v>-54194.02419941339</v>
      </c>
      <c r="BX12" s="47">
        <f t="shared" si="57"/>
        <v>-54316.680431089517</v>
      </c>
      <c r="BY12" s="152">
        <f t="shared" si="57"/>
        <v>-54439.61426811773</v>
      </c>
    </row>
    <row r="13" spans="1:77" ht="22" customHeight="1" x14ac:dyDescent="0.15">
      <c r="D13" s="76" t="str">
        <f>Expenses!F4</f>
        <v>Insurance</v>
      </c>
      <c r="E13" s="47"/>
      <c r="F13" s="47">
        <f>-Expenses!$H4/12*'Unit Mix'!$B$7</f>
        <v>-16050</v>
      </c>
      <c r="G13" s="47">
        <f t="shared" ref="G13:AL13" si="58">F13*(1+$B$3)^(1/12)</f>
        <v>-16086.32563825041</v>
      </c>
      <c r="H13" s="47">
        <f t="shared" si="58"/>
        <v>-16122.733491578347</v>
      </c>
      <c r="I13" s="47">
        <f t="shared" si="58"/>
        <v>-16159.223746059521</v>
      </c>
      <c r="J13" s="47">
        <f t="shared" si="58"/>
        <v>-16195.796588190786</v>
      </c>
      <c r="K13" s="47">
        <f t="shared" si="58"/>
        <v>-16232.452204891088</v>
      </c>
      <c r="L13" s="47">
        <f t="shared" si="58"/>
        <v>-16269.190783502423</v>
      </c>
      <c r="M13" s="47">
        <f t="shared" si="58"/>
        <v>-16306.012511790797</v>
      </c>
      <c r="N13" s="47">
        <f t="shared" si="58"/>
        <v>-16342.917577947183</v>
      </c>
      <c r="O13" s="47">
        <f t="shared" si="58"/>
        <v>-16379.906170588476</v>
      </c>
      <c r="P13" s="47">
        <f t="shared" si="58"/>
        <v>-16416.978478758472</v>
      </c>
      <c r="Q13" s="47">
        <f t="shared" si="58"/>
        <v>-16454.134691928823</v>
      </c>
      <c r="R13" s="47">
        <f t="shared" si="58"/>
        <v>-16491.375000000007</v>
      </c>
      <c r="S13" s="47">
        <f t="shared" si="58"/>
        <v>-16528.699593302303</v>
      </c>
      <c r="T13" s="47">
        <f t="shared" si="58"/>
        <v>-16566.108662596758</v>
      </c>
      <c r="U13" s="47">
        <f t="shared" si="58"/>
        <v>-16603.602399076164</v>
      </c>
      <c r="V13" s="47">
        <f t="shared" si="58"/>
        <v>-16641.180994366037</v>
      </c>
      <c r="W13" s="47">
        <f t="shared" si="58"/>
        <v>-16678.844640525596</v>
      </c>
      <c r="X13" s="47">
        <f t="shared" si="58"/>
        <v>-16716.593530048744</v>
      </c>
      <c r="Y13" s="47">
        <f t="shared" si="58"/>
        <v>-16754.427855865048</v>
      </c>
      <c r="Z13" s="47">
        <f t="shared" si="58"/>
        <v>-16792.347811340733</v>
      </c>
      <c r="AA13" s="47">
        <f t="shared" si="58"/>
        <v>-16830.353590279661</v>
      </c>
      <c r="AB13" s="47">
        <f t="shared" si="58"/>
        <v>-16868.445386924333</v>
      </c>
      <c r="AC13" s="47">
        <f t="shared" si="58"/>
        <v>-16906.623395956871</v>
      </c>
      <c r="AD13" s="47">
        <f t="shared" si="58"/>
        <v>-16944.887812500016</v>
      </c>
      <c r="AE13" s="47">
        <f t="shared" si="58"/>
        <v>-16983.238832118124</v>
      </c>
      <c r="AF13" s="47">
        <f t="shared" si="58"/>
        <v>-17021.676650818175</v>
      </c>
      <c r="AG13" s="47">
        <f t="shared" si="58"/>
        <v>-17060.201465050766</v>
      </c>
      <c r="AH13" s="47">
        <f t="shared" si="58"/>
        <v>-17098.813471711113</v>
      </c>
      <c r="AI13" s="47">
        <f t="shared" si="58"/>
        <v>-17137.51286814006</v>
      </c>
      <c r="AJ13" s="47">
        <f t="shared" si="58"/>
        <v>-17176.299852125096</v>
      </c>
      <c r="AK13" s="47">
        <f t="shared" si="58"/>
        <v>-17215.174621901348</v>
      </c>
      <c r="AL13" s="47">
        <f t="shared" si="58"/>
        <v>-17254.137376152616</v>
      </c>
      <c r="AM13" s="47">
        <f t="shared" ref="AM13:BR13" si="59">AL13*(1+$B$3)^(1/12)</f>
        <v>-17293.188314012365</v>
      </c>
      <c r="AN13" s="47">
        <f t="shared" si="59"/>
        <v>-17332.327635064765</v>
      </c>
      <c r="AO13" s="47">
        <f t="shared" si="59"/>
        <v>-17371.555539345696</v>
      </c>
      <c r="AP13" s="47">
        <f t="shared" si="59"/>
        <v>-17410.872227343774</v>
      </c>
      <c r="AQ13" s="47">
        <f t="shared" si="59"/>
        <v>-17450.277900001383</v>
      </c>
      <c r="AR13" s="47">
        <f t="shared" si="59"/>
        <v>-17489.772758715688</v>
      </c>
      <c r="AS13" s="47">
        <f t="shared" si="59"/>
        <v>-17529.357005339672</v>
      </c>
      <c r="AT13" s="47">
        <f t="shared" si="59"/>
        <v>-17569.030842183176</v>
      </c>
      <c r="AU13" s="47">
        <f t="shared" si="59"/>
        <v>-17608.79447201392</v>
      </c>
      <c r="AV13" s="47">
        <f t="shared" si="59"/>
        <v>-17648.648098058544</v>
      </c>
      <c r="AW13" s="47">
        <f t="shared" si="59"/>
        <v>-17688.591924003646</v>
      </c>
      <c r="AX13" s="47">
        <f t="shared" si="59"/>
        <v>-17728.626153996822</v>
      </c>
      <c r="AY13" s="47">
        <f t="shared" si="59"/>
        <v>-17768.750992647714</v>
      </c>
      <c r="AZ13" s="47">
        <f t="shared" si="59"/>
        <v>-17808.966645029057</v>
      </c>
      <c r="BA13" s="47">
        <f t="shared" si="59"/>
        <v>-17849.273316677714</v>
      </c>
      <c r="BB13" s="47">
        <f t="shared" si="59"/>
        <v>-17889.671213595742</v>
      </c>
      <c r="BC13" s="47">
        <f t="shared" si="59"/>
        <v>-17930.160542251433</v>
      </c>
      <c r="BD13" s="47">
        <f t="shared" si="59"/>
        <v>-17970.741509580381</v>
      </c>
      <c r="BE13" s="47">
        <f t="shared" si="59"/>
        <v>-18011.414322986526</v>
      </c>
      <c r="BF13" s="47">
        <f t="shared" si="59"/>
        <v>-18052.179190343228</v>
      </c>
      <c r="BG13" s="47">
        <f t="shared" si="59"/>
        <v>-18093.036319994317</v>
      </c>
      <c r="BH13" s="47">
        <f t="shared" si="59"/>
        <v>-18133.985920755167</v>
      </c>
      <c r="BI13" s="47">
        <f t="shared" si="59"/>
        <v>-18175.028201913759</v>
      </c>
      <c r="BJ13" s="47">
        <f t="shared" si="59"/>
        <v>-18216.16337323175</v>
      </c>
      <c r="BK13" s="47">
        <f t="shared" si="59"/>
        <v>-18257.391644945543</v>
      </c>
      <c r="BL13" s="47">
        <f t="shared" si="59"/>
        <v>-18298.71322776737</v>
      </c>
      <c r="BM13" s="47">
        <f t="shared" si="59"/>
        <v>-18340.128332886365</v>
      </c>
      <c r="BN13" s="47">
        <f t="shared" si="59"/>
        <v>-18381.637171969636</v>
      </c>
      <c r="BO13" s="47">
        <f t="shared" si="59"/>
        <v>-18423.239957163358</v>
      </c>
      <c r="BP13" s="47">
        <f t="shared" si="59"/>
        <v>-18464.93690109385</v>
      </c>
      <c r="BQ13" s="47">
        <f t="shared" si="59"/>
        <v>-18506.728216868665</v>
      </c>
      <c r="BR13" s="47">
        <f t="shared" si="59"/>
        <v>-18548.614118077676</v>
      </c>
      <c r="BS13" s="47">
        <f t="shared" ref="BS13:BY13" si="60">BR13*(1+$B$3)^(1/12)</f>
        <v>-18590.594818794169</v>
      </c>
      <c r="BT13" s="47">
        <f t="shared" si="60"/>
        <v>-18632.670533575943</v>
      </c>
      <c r="BU13" s="47">
        <f t="shared" si="60"/>
        <v>-18674.841477466394</v>
      </c>
      <c r="BV13" s="47">
        <f t="shared" si="60"/>
        <v>-18717.107865995629</v>
      </c>
      <c r="BW13" s="47">
        <f t="shared" si="60"/>
        <v>-18759.469915181551</v>
      </c>
      <c r="BX13" s="47">
        <f t="shared" si="60"/>
        <v>-18801.927841530982</v>
      </c>
      <c r="BY13" s="152">
        <f t="shared" si="60"/>
        <v>-18844.48186204075</v>
      </c>
    </row>
    <row r="14" spans="1:77" ht="20" customHeight="1" x14ac:dyDescent="0.15">
      <c r="D14" s="76" t="str">
        <f>Expenses!F5</f>
        <v>Payroll</v>
      </c>
      <c r="E14" s="47"/>
      <c r="F14" s="47">
        <f>-Expenses!$H5/12*'Unit Mix'!$B$7</f>
        <v>-24075</v>
      </c>
      <c r="G14" s="47">
        <f t="shared" ref="G14:AL14" si="61">F14*(1+$B$3)^(1/12)</f>
        <v>-24129.488457375614</v>
      </c>
      <c r="H14" s="47">
        <f t="shared" si="61"/>
        <v>-24184.100237367518</v>
      </c>
      <c r="I14" s="47">
        <f t="shared" si="61"/>
        <v>-24238.835619089281</v>
      </c>
      <c r="J14" s="47">
        <f t="shared" si="61"/>
        <v>-24293.694882286178</v>
      </c>
      <c r="K14" s="47">
        <f t="shared" si="61"/>
        <v>-24348.678307336631</v>
      </c>
      <c r="L14" s="47">
        <f t="shared" si="61"/>
        <v>-24403.786175253634</v>
      </c>
      <c r="M14" s="47">
        <f t="shared" si="61"/>
        <v>-24459.018767686197</v>
      </c>
      <c r="N14" s="47">
        <f t="shared" si="61"/>
        <v>-24514.376366920773</v>
      </c>
      <c r="O14" s="47">
        <f t="shared" si="61"/>
        <v>-24569.859255882715</v>
      </c>
      <c r="P14" s="47">
        <f t="shared" si="61"/>
        <v>-24625.467718137712</v>
      </c>
      <c r="Q14" s="47">
        <f t="shared" si="61"/>
        <v>-24681.202037893239</v>
      </c>
      <c r="R14" s="47">
        <f t="shared" si="61"/>
        <v>-24737.062500000018</v>
      </c>
      <c r="S14" s="47">
        <f t="shared" si="61"/>
        <v>-24793.049389953463</v>
      </c>
      <c r="T14" s="47">
        <f t="shared" si="61"/>
        <v>-24849.162993895145</v>
      </c>
      <c r="U14" s="47">
        <f t="shared" si="61"/>
        <v>-24905.403598614255</v>
      </c>
      <c r="V14" s="47">
        <f t="shared" si="61"/>
        <v>-24961.771491549065</v>
      </c>
      <c r="W14" s="47">
        <f t="shared" si="61"/>
        <v>-25018.266960788405</v>
      </c>
      <c r="X14" s="47">
        <f t="shared" si="61"/>
        <v>-25074.890295073128</v>
      </c>
      <c r="Y14" s="47">
        <f t="shared" si="61"/>
        <v>-25131.641783797586</v>
      </c>
      <c r="Z14" s="47">
        <f t="shared" si="61"/>
        <v>-25188.521717011114</v>
      </c>
      <c r="AA14" s="47">
        <f t="shared" si="61"/>
        <v>-25245.530385419508</v>
      </c>
      <c r="AB14" s="47">
        <f t="shared" si="61"/>
        <v>-25302.668080386517</v>
      </c>
      <c r="AC14" s="47">
        <f t="shared" si="61"/>
        <v>-25359.935093935321</v>
      </c>
      <c r="AD14" s="47">
        <f t="shared" si="61"/>
        <v>-25417.331718750036</v>
      </c>
      <c r="AE14" s="47">
        <f t="shared" si="61"/>
        <v>-25474.858248177199</v>
      </c>
      <c r="AF14" s="47">
        <f t="shared" si="61"/>
        <v>-25532.514976227278</v>
      </c>
      <c r="AG14" s="47">
        <f t="shared" si="61"/>
        <v>-25590.302197576162</v>
      </c>
      <c r="AH14" s="47">
        <f t="shared" si="61"/>
        <v>-25648.220207566679</v>
      </c>
      <c r="AI14" s="47">
        <f t="shared" si="61"/>
        <v>-25706.269302210101</v>
      </c>
      <c r="AJ14" s="47">
        <f t="shared" si="61"/>
        <v>-25764.449778187653</v>
      </c>
      <c r="AK14" s="47">
        <f t="shared" si="61"/>
        <v>-25822.761932852034</v>
      </c>
      <c r="AL14" s="47">
        <f t="shared" si="61"/>
        <v>-25881.206064228933</v>
      </c>
      <c r="AM14" s="47">
        <f t="shared" ref="AM14:BR14" si="62">AL14*(1+$B$3)^(1/12)</f>
        <v>-25939.78247101856</v>
      </c>
      <c r="AN14" s="47">
        <f t="shared" si="62"/>
        <v>-25998.491452597162</v>
      </c>
      <c r="AO14" s="47">
        <f t="shared" si="62"/>
        <v>-26057.333309018559</v>
      </c>
      <c r="AP14" s="47">
        <f t="shared" si="62"/>
        <v>-26116.30834101568</v>
      </c>
      <c r="AQ14" s="47">
        <f t="shared" si="62"/>
        <v>-26175.41685000209</v>
      </c>
      <c r="AR14" s="47">
        <f t="shared" si="62"/>
        <v>-26234.659138073544</v>
      </c>
      <c r="AS14" s="47">
        <f t="shared" si="62"/>
        <v>-26294.035508009525</v>
      </c>
      <c r="AT14" s="47">
        <f t="shared" si="62"/>
        <v>-26353.546263274784</v>
      </c>
      <c r="AU14" s="47">
        <f t="shared" si="62"/>
        <v>-26413.191708020899</v>
      </c>
      <c r="AV14" s="47">
        <f t="shared" si="62"/>
        <v>-26472.972147087832</v>
      </c>
      <c r="AW14" s="47">
        <f t="shared" si="62"/>
        <v>-26532.887886005483</v>
      </c>
      <c r="AX14" s="47">
        <f t="shared" si="62"/>
        <v>-26592.939230995249</v>
      </c>
      <c r="AY14" s="47">
        <f t="shared" si="62"/>
        <v>-26653.126488971589</v>
      </c>
      <c r="AZ14" s="47">
        <f t="shared" si="62"/>
        <v>-26713.449967543602</v>
      </c>
      <c r="BA14" s="47">
        <f t="shared" si="62"/>
        <v>-26773.909975016588</v>
      </c>
      <c r="BB14" s="47">
        <f t="shared" si="62"/>
        <v>-26834.506820393628</v>
      </c>
      <c r="BC14" s="47">
        <f t="shared" si="62"/>
        <v>-26895.240813377164</v>
      </c>
      <c r="BD14" s="47">
        <f t="shared" si="62"/>
        <v>-26956.112264370586</v>
      </c>
      <c r="BE14" s="47">
        <f t="shared" si="62"/>
        <v>-27017.121484479805</v>
      </c>
      <c r="BF14" s="47">
        <f t="shared" si="62"/>
        <v>-27078.268785514858</v>
      </c>
      <c r="BG14" s="47">
        <f t="shared" si="62"/>
        <v>-27139.554479991493</v>
      </c>
      <c r="BH14" s="47">
        <f t="shared" si="62"/>
        <v>-27200.978881132767</v>
      </c>
      <c r="BI14" s="47">
        <f t="shared" si="62"/>
        <v>-27262.542302870654</v>
      </c>
      <c r="BJ14" s="47">
        <f t="shared" si="62"/>
        <v>-27324.245059847635</v>
      </c>
      <c r="BK14" s="47">
        <f t="shared" si="62"/>
        <v>-27386.087467418325</v>
      </c>
      <c r="BL14" s="47">
        <f t="shared" si="62"/>
        <v>-27448.069841651068</v>
      </c>
      <c r="BM14" s="47">
        <f t="shared" si="62"/>
        <v>-27510.192499329562</v>
      </c>
      <c r="BN14" s="47">
        <f t="shared" si="62"/>
        <v>-27572.455757954471</v>
      </c>
      <c r="BO14" s="47">
        <f t="shared" si="62"/>
        <v>-27634.859935745055</v>
      </c>
      <c r="BP14" s="47">
        <f t="shared" si="62"/>
        <v>-27697.405351640795</v>
      </c>
      <c r="BQ14" s="47">
        <f t="shared" si="62"/>
        <v>-27760.092325303016</v>
      </c>
      <c r="BR14" s="47">
        <f t="shared" si="62"/>
        <v>-27822.921177116532</v>
      </c>
      <c r="BS14" s="47">
        <f t="shared" ref="BS14:BY14" si="63">BR14*(1+$B$3)^(1/12)</f>
        <v>-27885.892228191275</v>
      </c>
      <c r="BT14" s="47">
        <f t="shared" si="63"/>
        <v>-27949.005800363935</v>
      </c>
      <c r="BU14" s="47">
        <f t="shared" si="63"/>
        <v>-28012.262216199611</v>
      </c>
      <c r="BV14" s="47">
        <f t="shared" si="63"/>
        <v>-28075.66179899346</v>
      </c>
      <c r="BW14" s="47">
        <f t="shared" si="63"/>
        <v>-28139.204872772345</v>
      </c>
      <c r="BX14" s="47">
        <f t="shared" si="63"/>
        <v>-28202.891762296487</v>
      </c>
      <c r="BY14" s="152">
        <f t="shared" si="63"/>
        <v>-28266.722793061137</v>
      </c>
    </row>
    <row r="15" spans="1:77" x14ac:dyDescent="0.15">
      <c r="D15" s="76" t="str">
        <f>Expenses!F6</f>
        <v>Repairs &amp; Maintnence</v>
      </c>
      <c r="E15" s="47"/>
      <c r="F15" s="47">
        <f>-Expenses!$H6/12*'Unit Mix'!$B$7</f>
        <v>-8025</v>
      </c>
      <c r="G15" s="47">
        <f t="shared" ref="G15:AL15" si="64">F15*(1+$B$3)^(1/12)</f>
        <v>-8043.1628191252048</v>
      </c>
      <c r="H15" s="47">
        <f t="shared" si="64"/>
        <v>-8061.3667457891734</v>
      </c>
      <c r="I15" s="47">
        <f t="shared" si="64"/>
        <v>-8079.6118730297603</v>
      </c>
      <c r="J15" s="47">
        <f t="shared" si="64"/>
        <v>-8097.8982940953929</v>
      </c>
      <c r="K15" s="47">
        <f t="shared" si="64"/>
        <v>-8116.2261024455438</v>
      </c>
      <c r="L15" s="47">
        <f t="shared" si="64"/>
        <v>-8134.5953917512115</v>
      </c>
      <c r="M15" s="47">
        <f t="shared" si="64"/>
        <v>-8153.0062558953987</v>
      </c>
      <c r="N15" s="47">
        <f t="shared" si="64"/>
        <v>-8171.4587889735913</v>
      </c>
      <c r="O15" s="47">
        <f t="shared" si="64"/>
        <v>-8189.953085294238</v>
      </c>
      <c r="P15" s="47">
        <f t="shared" si="64"/>
        <v>-8208.4892393792361</v>
      </c>
      <c r="Q15" s="47">
        <f t="shared" si="64"/>
        <v>-8227.0673459644113</v>
      </c>
      <c r="R15" s="47">
        <f t="shared" si="64"/>
        <v>-8245.6875000000036</v>
      </c>
      <c r="S15" s="47">
        <f t="shared" si="64"/>
        <v>-8264.3497966511513</v>
      </c>
      <c r="T15" s="47">
        <f t="shared" si="64"/>
        <v>-8283.0543312983791</v>
      </c>
      <c r="U15" s="47">
        <f t="shared" si="64"/>
        <v>-8301.8011995380821</v>
      </c>
      <c r="V15" s="47">
        <f t="shared" si="64"/>
        <v>-8320.5904971830187</v>
      </c>
      <c r="W15" s="47">
        <f t="shared" si="64"/>
        <v>-8339.4223202627982</v>
      </c>
      <c r="X15" s="47">
        <f t="shared" si="64"/>
        <v>-8358.2967650243718</v>
      </c>
      <c r="Y15" s="47">
        <f t="shared" si="64"/>
        <v>-8377.2139279325238</v>
      </c>
      <c r="Z15" s="47">
        <f t="shared" si="64"/>
        <v>-8396.1739056703664</v>
      </c>
      <c r="AA15" s="47">
        <f t="shared" si="64"/>
        <v>-8415.1767951398306</v>
      </c>
      <c r="AB15" s="47">
        <f t="shared" si="64"/>
        <v>-8434.2226934621667</v>
      </c>
      <c r="AC15" s="47">
        <f t="shared" si="64"/>
        <v>-8453.3116979784354</v>
      </c>
      <c r="AD15" s="47">
        <f t="shared" si="64"/>
        <v>-8472.4439062500078</v>
      </c>
      <c r="AE15" s="47">
        <f t="shared" si="64"/>
        <v>-8491.6194160590621</v>
      </c>
      <c r="AF15" s="47">
        <f t="shared" si="64"/>
        <v>-8510.8383254090877</v>
      </c>
      <c r="AG15" s="47">
        <f t="shared" si="64"/>
        <v>-8530.1007325253831</v>
      </c>
      <c r="AH15" s="47">
        <f t="shared" si="64"/>
        <v>-8549.4067358555567</v>
      </c>
      <c r="AI15" s="47">
        <f t="shared" si="64"/>
        <v>-8568.7564340700301</v>
      </c>
      <c r="AJ15" s="47">
        <f t="shared" si="64"/>
        <v>-8588.1499260625478</v>
      </c>
      <c r="AK15" s="47">
        <f t="shared" si="64"/>
        <v>-8607.5873109506738</v>
      </c>
      <c r="AL15" s="47">
        <f t="shared" si="64"/>
        <v>-8627.0686880763078</v>
      </c>
      <c r="AM15" s="47">
        <f t="shared" ref="AM15:BR15" si="65">AL15*(1+$B$3)^(1/12)</f>
        <v>-8646.5941570061823</v>
      </c>
      <c r="AN15" s="47">
        <f t="shared" si="65"/>
        <v>-8666.1638175323824</v>
      </c>
      <c r="AO15" s="47">
        <f t="shared" si="65"/>
        <v>-8685.7777696728481</v>
      </c>
      <c r="AP15" s="47">
        <f t="shared" si="65"/>
        <v>-8705.4361136718871</v>
      </c>
      <c r="AQ15" s="47">
        <f t="shared" si="65"/>
        <v>-8725.1389500006917</v>
      </c>
      <c r="AR15" s="47">
        <f t="shared" si="65"/>
        <v>-8744.8863793578439</v>
      </c>
      <c r="AS15" s="47">
        <f t="shared" si="65"/>
        <v>-8764.6785026698362</v>
      </c>
      <c r="AT15" s="47">
        <f t="shared" si="65"/>
        <v>-8784.515421091588</v>
      </c>
      <c r="AU15" s="47">
        <f t="shared" si="65"/>
        <v>-8804.3972360069602</v>
      </c>
      <c r="AV15" s="47">
        <f t="shared" si="65"/>
        <v>-8824.3240490292719</v>
      </c>
      <c r="AW15" s="47">
        <f t="shared" si="65"/>
        <v>-8844.2959620018228</v>
      </c>
      <c r="AX15" s="47">
        <f t="shared" si="65"/>
        <v>-8864.3130769984109</v>
      </c>
      <c r="AY15" s="47">
        <f t="shared" si="65"/>
        <v>-8884.3754963238571</v>
      </c>
      <c r="AZ15" s="47">
        <f t="shared" si="65"/>
        <v>-8904.4833225145285</v>
      </c>
      <c r="BA15" s="47">
        <f t="shared" si="65"/>
        <v>-8924.6366583388572</v>
      </c>
      <c r="BB15" s="47">
        <f t="shared" si="65"/>
        <v>-8944.8356067978712</v>
      </c>
      <c r="BC15" s="47">
        <f t="shared" si="65"/>
        <v>-8965.0802711257165</v>
      </c>
      <c r="BD15" s="47">
        <f t="shared" si="65"/>
        <v>-8985.3707547901904</v>
      </c>
      <c r="BE15" s="47">
        <f t="shared" si="65"/>
        <v>-9005.7071614932629</v>
      </c>
      <c r="BF15" s="47">
        <f t="shared" si="65"/>
        <v>-9026.0895951716138</v>
      </c>
      <c r="BG15" s="47">
        <f t="shared" si="65"/>
        <v>-9046.5181599971584</v>
      </c>
      <c r="BH15" s="47">
        <f t="shared" si="65"/>
        <v>-9066.9929603775836</v>
      </c>
      <c r="BI15" s="47">
        <f t="shared" si="65"/>
        <v>-9087.5141009568797</v>
      </c>
      <c r="BJ15" s="47">
        <f t="shared" si="65"/>
        <v>-9108.0816866158748</v>
      </c>
      <c r="BK15" s="47">
        <f t="shared" si="65"/>
        <v>-9128.6958224727714</v>
      </c>
      <c r="BL15" s="47">
        <f t="shared" si="65"/>
        <v>-9149.356613883685</v>
      </c>
      <c r="BM15" s="47">
        <f t="shared" si="65"/>
        <v>-9170.0641664431823</v>
      </c>
      <c r="BN15" s="47">
        <f t="shared" si="65"/>
        <v>-9190.8185859848181</v>
      </c>
      <c r="BO15" s="47">
        <f t="shared" si="65"/>
        <v>-9211.6199785816789</v>
      </c>
      <c r="BP15" s="47">
        <f t="shared" si="65"/>
        <v>-9232.4684505469249</v>
      </c>
      <c r="BQ15" s="47">
        <f t="shared" si="65"/>
        <v>-9253.3641084343326</v>
      </c>
      <c r="BR15" s="47">
        <f t="shared" si="65"/>
        <v>-9274.3070590388379</v>
      </c>
      <c r="BS15" s="47">
        <f t="shared" ref="BS15:BY15" si="66">BR15*(1+$B$3)^(1/12)</f>
        <v>-9295.2974093970843</v>
      </c>
      <c r="BT15" s="47">
        <f t="shared" si="66"/>
        <v>-9316.3352667879717</v>
      </c>
      <c r="BU15" s="47">
        <f t="shared" si="66"/>
        <v>-9337.4207387331971</v>
      </c>
      <c r="BV15" s="47">
        <f t="shared" si="66"/>
        <v>-9358.5539329978146</v>
      </c>
      <c r="BW15" s="47">
        <f t="shared" si="66"/>
        <v>-9379.7349575907756</v>
      </c>
      <c r="BX15" s="47">
        <f t="shared" si="66"/>
        <v>-9400.9639207654909</v>
      </c>
      <c r="BY15" s="152">
        <f t="shared" si="66"/>
        <v>-9422.2409310203748</v>
      </c>
    </row>
    <row r="16" spans="1:77" x14ac:dyDescent="0.15">
      <c r="D16" s="76" t="str">
        <f>Expenses!F7</f>
        <v>Contract Services</v>
      </c>
      <c r="E16" s="47"/>
      <c r="F16" s="47">
        <f>-Expenses!$H7/12*'Unit Mix'!$B$7</f>
        <v>-13553.333333333334</v>
      </c>
      <c r="G16" s="47">
        <f t="shared" ref="G16:AL16" si="67">F16*(1+$B$3)^(1/12)</f>
        <v>-13584.008316744792</v>
      </c>
      <c r="H16" s="47">
        <f t="shared" si="67"/>
        <v>-13614.752726221715</v>
      </c>
      <c r="I16" s="47">
        <f t="shared" si="67"/>
        <v>-13645.566718894706</v>
      </c>
      <c r="J16" s="47">
        <f t="shared" si="67"/>
        <v>-13676.450452249996</v>
      </c>
      <c r="K16" s="47">
        <f t="shared" si="67"/>
        <v>-13707.40408413025</v>
      </c>
      <c r="L16" s="47">
        <f t="shared" si="67"/>
        <v>-13738.427772735378</v>
      </c>
      <c r="M16" s="47">
        <f t="shared" si="67"/>
        <v>-13769.521676623339</v>
      </c>
      <c r="N16" s="47">
        <f t="shared" si="67"/>
        <v>-13800.685954710953</v>
      </c>
      <c r="O16" s="47">
        <f t="shared" si="67"/>
        <v>-13831.920766274712</v>
      </c>
      <c r="P16" s="47">
        <f t="shared" si="67"/>
        <v>-13863.226270951598</v>
      </c>
      <c r="Q16" s="47">
        <f t="shared" si="67"/>
        <v>-13894.602628739894</v>
      </c>
      <c r="R16" s="47">
        <f t="shared" si="67"/>
        <v>-13926.050000000007</v>
      </c>
      <c r="S16" s="47">
        <f t="shared" si="67"/>
        <v>-13957.568545455279</v>
      </c>
      <c r="T16" s="47">
        <f t="shared" si="67"/>
        <v>-13989.158426192818</v>
      </c>
      <c r="U16" s="47">
        <f t="shared" si="67"/>
        <v>-14020.819803664317</v>
      </c>
      <c r="V16" s="47">
        <f t="shared" si="67"/>
        <v>-14052.552839686878</v>
      </c>
      <c r="W16" s="47">
        <f t="shared" si="67"/>
        <v>-14084.35769644384</v>
      </c>
      <c r="X16" s="47">
        <f t="shared" si="67"/>
        <v>-14116.234536485608</v>
      </c>
      <c r="Y16" s="47">
        <f t="shared" si="67"/>
        <v>-14148.183522730487</v>
      </c>
      <c r="Z16" s="47">
        <f t="shared" si="67"/>
        <v>-14180.20481846551</v>
      </c>
      <c r="AA16" s="47">
        <f t="shared" si="67"/>
        <v>-14212.298587347273</v>
      </c>
      <c r="AB16" s="47">
        <f t="shared" si="67"/>
        <v>-14244.464993402775</v>
      </c>
      <c r="AC16" s="47">
        <f t="shared" si="67"/>
        <v>-14276.70420103025</v>
      </c>
      <c r="AD16" s="47">
        <f t="shared" si="67"/>
        <v>-14309.016375000016</v>
      </c>
      <c r="AE16" s="47">
        <f t="shared" si="67"/>
        <v>-14341.401680455308</v>
      </c>
      <c r="AF16" s="47">
        <f t="shared" si="67"/>
        <v>-14373.860282913131</v>
      </c>
      <c r="AG16" s="47">
        <f t="shared" si="67"/>
        <v>-14406.392348265095</v>
      </c>
      <c r="AH16" s="47">
        <f t="shared" si="67"/>
        <v>-14438.998042778276</v>
      </c>
      <c r="AI16" s="47">
        <f t="shared" si="67"/>
        <v>-14471.677533096054</v>
      </c>
      <c r="AJ16" s="47">
        <f t="shared" si="67"/>
        <v>-14504.430986238971</v>
      </c>
      <c r="AK16" s="47">
        <f t="shared" si="67"/>
        <v>-14537.258569605585</v>
      </c>
      <c r="AL16" s="47">
        <f t="shared" si="67"/>
        <v>-14570.160450973321</v>
      </c>
      <c r="AM16" s="47">
        <f t="shared" ref="AM16:BR16" si="68">AL16*(1+$B$3)^(1/12)</f>
        <v>-14603.136798499332</v>
      </c>
      <c r="AN16" s="47">
        <f t="shared" si="68"/>
        <v>-14636.187780721359</v>
      </c>
      <c r="AO16" s="47">
        <f t="shared" si="68"/>
        <v>-14669.313566558589</v>
      </c>
      <c r="AP16" s="47">
        <f t="shared" si="68"/>
        <v>-14702.514325312522</v>
      </c>
      <c r="AQ16" s="47">
        <f t="shared" si="68"/>
        <v>-14735.790226667836</v>
      </c>
      <c r="AR16" s="47">
        <f t="shared" si="68"/>
        <v>-14769.141440693247</v>
      </c>
      <c r="AS16" s="47">
        <f t="shared" si="68"/>
        <v>-14802.568137842391</v>
      </c>
      <c r="AT16" s="47">
        <f t="shared" si="68"/>
        <v>-14836.070488954683</v>
      </c>
      <c r="AU16" s="47">
        <f t="shared" si="68"/>
        <v>-14869.6486652562</v>
      </c>
      <c r="AV16" s="47">
        <f t="shared" si="68"/>
        <v>-14903.302838360549</v>
      </c>
      <c r="AW16" s="47">
        <f t="shared" si="68"/>
        <v>-14937.033180269744</v>
      </c>
      <c r="AX16" s="47">
        <f t="shared" si="68"/>
        <v>-14970.839863375093</v>
      </c>
      <c r="AY16" s="47">
        <f t="shared" si="68"/>
        <v>-15004.723060458069</v>
      </c>
      <c r="AZ16" s="47">
        <f t="shared" si="68"/>
        <v>-15038.682944691202</v>
      </c>
      <c r="BA16" s="47">
        <f t="shared" si="68"/>
        <v>-15072.719689638956</v>
      </c>
      <c r="BB16" s="47">
        <f t="shared" si="68"/>
        <v>-15106.833469258623</v>
      </c>
      <c r="BC16" s="47">
        <f t="shared" si="68"/>
        <v>-15141.024457901207</v>
      </c>
      <c r="BD16" s="47">
        <f t="shared" si="68"/>
        <v>-15175.292830312317</v>
      </c>
      <c r="BE16" s="47">
        <f t="shared" si="68"/>
        <v>-15209.638761633063</v>
      </c>
      <c r="BF16" s="47">
        <f t="shared" si="68"/>
        <v>-15244.062427400944</v>
      </c>
      <c r="BG16" s="47">
        <f t="shared" si="68"/>
        <v>-15278.564003550753</v>
      </c>
      <c r="BH16" s="47">
        <f t="shared" si="68"/>
        <v>-15313.143666415472</v>
      </c>
      <c r="BI16" s="47">
        <f t="shared" si="68"/>
        <v>-15347.80159272717</v>
      </c>
      <c r="BJ16" s="47">
        <f t="shared" si="68"/>
        <v>-15382.537959617915</v>
      </c>
      <c r="BK16" s="47">
        <f t="shared" si="68"/>
        <v>-15417.352944620674</v>
      </c>
      <c r="BL16" s="47">
        <f t="shared" si="68"/>
        <v>-15452.246725670218</v>
      </c>
      <c r="BM16" s="47">
        <f t="shared" si="68"/>
        <v>-15487.219481104037</v>
      </c>
      <c r="BN16" s="47">
        <f t="shared" si="68"/>
        <v>-15522.271389663245</v>
      </c>
      <c r="BO16" s="47">
        <f t="shared" si="68"/>
        <v>-15557.4026304935</v>
      </c>
      <c r="BP16" s="47">
        <f t="shared" si="68"/>
        <v>-15592.613383145916</v>
      </c>
      <c r="BQ16" s="47">
        <f t="shared" si="68"/>
        <v>-15627.903827577982</v>
      </c>
      <c r="BR16" s="47">
        <f t="shared" si="68"/>
        <v>-15663.27414415448</v>
      </c>
      <c r="BS16" s="47">
        <f t="shared" ref="BS16:BY16" si="69">BR16*(1+$B$3)^(1/12)</f>
        <v>-15698.724513648409</v>
      </c>
      <c r="BT16" s="47">
        <f t="shared" si="69"/>
        <v>-15734.255117241906</v>
      </c>
      <c r="BU16" s="47">
        <f t="shared" si="69"/>
        <v>-15769.866136527176</v>
      </c>
      <c r="BV16" s="47">
        <f t="shared" si="69"/>
        <v>-15805.557753507417</v>
      </c>
      <c r="BW16" s="47">
        <f t="shared" si="69"/>
        <v>-15841.330150597752</v>
      </c>
      <c r="BX16" s="47">
        <f t="shared" si="69"/>
        <v>-15877.183510626159</v>
      </c>
      <c r="BY16" s="152">
        <f t="shared" si="69"/>
        <v>-15913.118016834407</v>
      </c>
    </row>
    <row r="17" spans="2:77 16384:16384" x14ac:dyDescent="0.15">
      <c r="D17" s="76" t="str">
        <f>Expenses!F8</f>
        <v>Marketing</v>
      </c>
      <c r="E17" s="47"/>
      <c r="F17" s="47">
        <f>-Expenses!$H8/12*'Unit Mix'!$B$7</f>
        <v>-8916.6666666666661</v>
      </c>
      <c r="G17" s="47">
        <f t="shared" ref="G17:AL17" si="70">F17*(1+$B$3)^(1/12)</f>
        <v>-8936.8475768057833</v>
      </c>
      <c r="H17" s="47">
        <f t="shared" si="70"/>
        <v>-8957.07416198797</v>
      </c>
      <c r="I17" s="47">
        <f t="shared" si="70"/>
        <v>-8977.3465255886222</v>
      </c>
      <c r="J17" s="47">
        <f t="shared" si="70"/>
        <v>-8997.6647712171016</v>
      </c>
      <c r="K17" s="47">
        <f t="shared" si="70"/>
        <v>-9018.0290027172687</v>
      </c>
      <c r="L17" s="47">
        <f t="shared" si="70"/>
        <v>-9038.43932416801</v>
      </c>
      <c r="M17" s="47">
        <f t="shared" si="70"/>
        <v>-9058.8958398837731</v>
      </c>
      <c r="N17" s="47">
        <f t="shared" si="70"/>
        <v>-9079.3986544150976</v>
      </c>
      <c r="O17" s="47">
        <f t="shared" si="70"/>
        <v>-9099.9478725491499</v>
      </c>
      <c r="P17" s="47">
        <f t="shared" si="70"/>
        <v>-9120.5435993102601</v>
      </c>
      <c r="Q17" s="47">
        <f t="shared" si="70"/>
        <v>-9141.1859399604564</v>
      </c>
      <c r="R17" s="47">
        <f t="shared" si="70"/>
        <v>-9161.8750000000036</v>
      </c>
      <c r="S17" s="47">
        <f t="shared" si="70"/>
        <v>-9182.6108851679455</v>
      </c>
      <c r="T17" s="47">
        <f t="shared" si="70"/>
        <v>-9203.3937014426429</v>
      </c>
      <c r="U17" s="47">
        <f t="shared" si="70"/>
        <v>-9224.2235550423138</v>
      </c>
      <c r="V17" s="47">
        <f t="shared" si="70"/>
        <v>-9245.1005524255779</v>
      </c>
      <c r="W17" s="47">
        <f t="shared" si="70"/>
        <v>-9266.0248002919998</v>
      </c>
      <c r="X17" s="47">
        <f t="shared" si="70"/>
        <v>-9286.9964055826367</v>
      </c>
      <c r="Y17" s="47">
        <f t="shared" si="70"/>
        <v>-9308.0154754805844</v>
      </c>
      <c r="Z17" s="47">
        <f t="shared" si="70"/>
        <v>-9329.0821174115208</v>
      </c>
      <c r="AA17" s="47">
        <f t="shared" si="70"/>
        <v>-9350.196439044259</v>
      </c>
      <c r="AB17" s="47">
        <f t="shared" si="70"/>
        <v>-9371.3585482912986</v>
      </c>
      <c r="AC17" s="47">
        <f t="shared" si="70"/>
        <v>-9392.5685533093747</v>
      </c>
      <c r="AD17" s="47">
        <f t="shared" si="70"/>
        <v>-9413.8265625000095</v>
      </c>
      <c r="AE17" s="47">
        <f t="shared" si="70"/>
        <v>-9435.1326845100702</v>
      </c>
      <c r="AF17" s="47">
        <f t="shared" si="70"/>
        <v>-9456.4870282323209</v>
      </c>
      <c r="AG17" s="47">
        <f t="shared" si="70"/>
        <v>-9477.8897028059819</v>
      </c>
      <c r="AH17" s="47">
        <f t="shared" si="70"/>
        <v>-9499.3408176172852</v>
      </c>
      <c r="AI17" s="47">
        <f t="shared" si="70"/>
        <v>-9520.8404823000346</v>
      </c>
      <c r="AJ17" s="47">
        <f t="shared" si="70"/>
        <v>-9542.388806736164</v>
      </c>
      <c r="AK17" s="47">
        <f t="shared" si="70"/>
        <v>-9563.985901056305</v>
      </c>
      <c r="AL17" s="47">
        <f t="shared" si="70"/>
        <v>-9585.6318756403416</v>
      </c>
      <c r="AM17" s="47">
        <f t="shared" ref="AM17:BR17" si="71">AL17*(1+$B$3)^(1/12)</f>
        <v>-9607.3268411179815</v>
      </c>
      <c r="AN17" s="47">
        <f t="shared" si="71"/>
        <v>-9629.0709083693146</v>
      </c>
      <c r="AO17" s="47">
        <f t="shared" si="71"/>
        <v>-9650.8641885253874</v>
      </c>
      <c r="AP17" s="47">
        <f t="shared" si="71"/>
        <v>-9672.7067929687655</v>
      </c>
      <c r="AQ17" s="47">
        <f t="shared" si="71"/>
        <v>-9694.5988333341029</v>
      </c>
      <c r="AR17" s="47">
        <f t="shared" si="71"/>
        <v>-9716.5404215087165</v>
      </c>
      <c r="AS17" s="47">
        <f t="shared" si="71"/>
        <v>-9738.5316696331538</v>
      </c>
      <c r="AT17" s="47">
        <f t="shared" si="71"/>
        <v>-9760.5726901017679</v>
      </c>
      <c r="AU17" s="47">
        <f t="shared" si="71"/>
        <v>-9782.6635955632919</v>
      </c>
      <c r="AV17" s="47">
        <f t="shared" si="71"/>
        <v>-9804.8044989214159</v>
      </c>
      <c r="AW17" s="47">
        <f t="shared" si="71"/>
        <v>-9826.9955133353596</v>
      </c>
      <c r="AX17" s="47">
        <f t="shared" si="71"/>
        <v>-9849.2367522204568</v>
      </c>
      <c r="AY17" s="47">
        <f t="shared" si="71"/>
        <v>-9871.5283292487311</v>
      </c>
      <c r="AZ17" s="47">
        <f t="shared" si="71"/>
        <v>-9893.8703583494771</v>
      </c>
      <c r="BA17" s="47">
        <f t="shared" si="71"/>
        <v>-9916.2629537098419</v>
      </c>
      <c r="BB17" s="47">
        <f t="shared" si="71"/>
        <v>-9938.7062297754128</v>
      </c>
      <c r="BC17" s="47">
        <f t="shared" si="71"/>
        <v>-9961.2003012507976</v>
      </c>
      <c r="BD17" s="47">
        <f t="shared" si="71"/>
        <v>-9983.745283100212</v>
      </c>
      <c r="BE17" s="47">
        <f t="shared" si="71"/>
        <v>-10006.341290548071</v>
      </c>
      <c r="BF17" s="47">
        <f t="shared" si="71"/>
        <v>-10028.988439079572</v>
      </c>
      <c r="BG17" s="47">
        <f t="shared" si="71"/>
        <v>-10051.686844441288</v>
      </c>
      <c r="BH17" s="47">
        <f t="shared" si="71"/>
        <v>-10074.436622641761</v>
      </c>
      <c r="BI17" s="47">
        <f t="shared" si="71"/>
        <v>-10097.237889952088</v>
      </c>
      <c r="BJ17" s="47">
        <f t="shared" si="71"/>
        <v>-10120.090762906526</v>
      </c>
      <c r="BK17" s="47">
        <f t="shared" si="71"/>
        <v>-10142.995358303078</v>
      </c>
      <c r="BL17" s="47">
        <f t="shared" si="71"/>
        <v>-10165.951793204094</v>
      </c>
      <c r="BM17" s="47">
        <f t="shared" si="71"/>
        <v>-10188.96018493687</v>
      </c>
      <c r="BN17" s="47">
        <f t="shared" si="71"/>
        <v>-10212.020651094244</v>
      </c>
      <c r="BO17" s="47">
        <f t="shared" si="71"/>
        <v>-10235.133309535202</v>
      </c>
      <c r="BP17" s="47">
        <f t="shared" si="71"/>
        <v>-10258.298278385477</v>
      </c>
      <c r="BQ17" s="47">
        <f t="shared" si="71"/>
        <v>-10281.515676038152</v>
      </c>
      <c r="BR17" s="47">
        <f t="shared" si="71"/>
        <v>-10304.785621154269</v>
      </c>
      <c r="BS17" s="47">
        <f t="shared" ref="BS17:BY17" si="72">BR17*(1+$B$3)^(1/12)</f>
        <v>-10328.108232663433</v>
      </c>
      <c r="BT17" s="47">
        <f t="shared" si="72"/>
        <v>-10351.483629764418</v>
      </c>
      <c r="BU17" s="47">
        <f t="shared" si="72"/>
        <v>-10374.911931925781</v>
      </c>
      <c r="BV17" s="47">
        <f t="shared" si="72"/>
        <v>-10398.393258886466</v>
      </c>
      <c r="BW17" s="47">
        <f t="shared" si="72"/>
        <v>-10421.927730656424</v>
      </c>
      <c r="BX17" s="47">
        <f t="shared" si="72"/>
        <v>-10445.515467517218</v>
      </c>
      <c r="BY17" s="152">
        <f t="shared" si="72"/>
        <v>-10469.156590022645</v>
      </c>
    </row>
    <row r="18" spans="2:77 16384:16384" x14ac:dyDescent="0.15">
      <c r="D18" s="76" t="str">
        <f>Expenses!F9</f>
        <v>General &amp; Administrative</v>
      </c>
      <c r="E18" s="47"/>
      <c r="F18" s="47">
        <f>-Expenses!$H9/12*'Unit Mix'!$B$7</f>
        <v>-5528.333333333333</v>
      </c>
      <c r="G18" s="47">
        <f t="shared" ref="G18:AL18" si="73">F18*(1+$B$3)^(1/12)</f>
        <v>-5540.8454976195853</v>
      </c>
      <c r="H18" s="47">
        <f t="shared" si="73"/>
        <v>-5553.3859804325411</v>
      </c>
      <c r="I18" s="47">
        <f t="shared" si="73"/>
        <v>-5565.9548458649451</v>
      </c>
      <c r="J18" s="47">
        <f t="shared" si="73"/>
        <v>-5578.5521581546027</v>
      </c>
      <c r="K18" s="47">
        <f t="shared" si="73"/>
        <v>-5591.1779816847065</v>
      </c>
      <c r="L18" s="47">
        <f t="shared" si="73"/>
        <v>-5603.8323809841668</v>
      </c>
      <c r="M18" s="47">
        <f t="shared" si="73"/>
        <v>-5616.5154207279402</v>
      </c>
      <c r="N18" s="47">
        <f t="shared" si="73"/>
        <v>-5629.2271657373612</v>
      </c>
      <c r="O18" s="47">
        <f t="shared" si="73"/>
        <v>-5641.9676809804741</v>
      </c>
      <c r="P18" s="47">
        <f t="shared" si="73"/>
        <v>-5654.737031572362</v>
      </c>
      <c r="Q18" s="47">
        <f t="shared" si="73"/>
        <v>-5667.5352827754832</v>
      </c>
      <c r="R18" s="47">
        <f t="shared" si="73"/>
        <v>-5680.3625000000029</v>
      </c>
      <c r="S18" s="47">
        <f t="shared" si="73"/>
        <v>-5693.2187488041272</v>
      </c>
      <c r="T18" s="47">
        <f t="shared" si="73"/>
        <v>-5706.1040948944392</v>
      </c>
      <c r="U18" s="47">
        <f t="shared" si="73"/>
        <v>-5719.018604126235</v>
      </c>
      <c r="V18" s="47">
        <f t="shared" si="73"/>
        <v>-5731.9623425038581</v>
      </c>
      <c r="W18" s="47">
        <f t="shared" si="73"/>
        <v>-5744.9353761810398</v>
      </c>
      <c r="X18" s="47">
        <f t="shared" si="73"/>
        <v>-5757.9377714612356</v>
      </c>
      <c r="Y18" s="47">
        <f t="shared" si="73"/>
        <v>-5770.9695947979626</v>
      </c>
      <c r="Z18" s="47">
        <f t="shared" si="73"/>
        <v>-5784.0309127951432</v>
      </c>
      <c r="AA18" s="47">
        <f t="shared" si="73"/>
        <v>-5797.1217922074411</v>
      </c>
      <c r="AB18" s="47">
        <f t="shared" si="73"/>
        <v>-5810.2422999406062</v>
      </c>
      <c r="AC18" s="47">
        <f t="shared" si="73"/>
        <v>-5823.392503051813</v>
      </c>
      <c r="AD18" s="47">
        <f t="shared" si="73"/>
        <v>-5836.5724687500069</v>
      </c>
      <c r="AE18" s="47">
        <f t="shared" si="73"/>
        <v>-5849.7822643962445</v>
      </c>
      <c r="AF18" s="47">
        <f t="shared" si="73"/>
        <v>-5863.0219575040401</v>
      </c>
      <c r="AG18" s="47">
        <f t="shared" si="73"/>
        <v>-5876.2916157397103</v>
      </c>
      <c r="AH18" s="47">
        <f t="shared" si="73"/>
        <v>-5889.5913069227181</v>
      </c>
      <c r="AI18" s="47">
        <f t="shared" si="73"/>
        <v>-5902.9210990260226</v>
      </c>
      <c r="AJ18" s="47">
        <f t="shared" si="73"/>
        <v>-5916.2810601764231</v>
      </c>
      <c r="AK18" s="47">
        <f t="shared" si="73"/>
        <v>-5929.6712586549102</v>
      </c>
      <c r="AL18" s="47">
        <f t="shared" si="73"/>
        <v>-5943.0917628970128</v>
      </c>
      <c r="AM18" s="47">
        <f t="shared" ref="AM18:BR18" si="74">AL18*(1+$B$3)^(1/12)</f>
        <v>-5956.5426414931489</v>
      </c>
      <c r="AN18" s="47">
        <f t="shared" si="74"/>
        <v>-5970.0239631889763</v>
      </c>
      <c r="AO18" s="47">
        <f t="shared" si="74"/>
        <v>-5983.5357968857415</v>
      </c>
      <c r="AP18" s="47">
        <f t="shared" si="74"/>
        <v>-5997.0782116406353</v>
      </c>
      <c r="AQ18" s="47">
        <f t="shared" si="74"/>
        <v>-6010.6512766671449</v>
      </c>
      <c r="AR18" s="47">
        <f t="shared" si="74"/>
        <v>-6024.2550613354051</v>
      </c>
      <c r="AS18" s="47">
        <f t="shared" si="74"/>
        <v>-6037.8896351725562</v>
      </c>
      <c r="AT18" s="47">
        <f t="shared" si="74"/>
        <v>-6051.5550678630971</v>
      </c>
      <c r="AU18" s="47">
        <f t="shared" si="74"/>
        <v>-6065.2514292492424</v>
      </c>
      <c r="AV18" s="47">
        <f t="shared" si="74"/>
        <v>-6078.9787893312796</v>
      </c>
      <c r="AW18" s="47">
        <f t="shared" si="74"/>
        <v>-6092.7372182679255</v>
      </c>
      <c r="AX18" s="47">
        <f t="shared" si="74"/>
        <v>-6106.5267863766867</v>
      </c>
      <c r="AY18" s="47">
        <f t="shared" si="74"/>
        <v>-6120.3475641342166</v>
      </c>
      <c r="AZ18" s="47">
        <f t="shared" si="74"/>
        <v>-6134.1996221766785</v>
      </c>
      <c r="BA18" s="47">
        <f t="shared" si="74"/>
        <v>-6148.0830313001052</v>
      </c>
      <c r="BB18" s="47">
        <f t="shared" si="74"/>
        <v>-6161.9978624607593</v>
      </c>
      <c r="BC18" s="47">
        <f t="shared" si="74"/>
        <v>-6175.9441867754977</v>
      </c>
      <c r="BD18" s="47">
        <f t="shared" si="74"/>
        <v>-6189.9220755221349</v>
      </c>
      <c r="BE18" s="47">
        <f t="shared" si="74"/>
        <v>-6203.9316001398074</v>
      </c>
      <c r="BF18" s="47">
        <f t="shared" si="74"/>
        <v>-6217.9728322293377</v>
      </c>
      <c r="BG18" s="47">
        <f t="shared" si="74"/>
        <v>-6232.045843553602</v>
      </c>
      <c r="BH18" s="47">
        <f t="shared" si="74"/>
        <v>-6246.1507060378945</v>
      </c>
      <c r="BI18" s="47">
        <f t="shared" si="74"/>
        <v>-6260.2874917702975</v>
      </c>
      <c r="BJ18" s="47">
        <f t="shared" si="74"/>
        <v>-6274.4562730020489</v>
      </c>
      <c r="BK18" s="47">
        <f t="shared" si="74"/>
        <v>-6288.6571221479107</v>
      </c>
      <c r="BL18" s="47">
        <f t="shared" si="74"/>
        <v>-6302.8901117865407</v>
      </c>
      <c r="BM18" s="47">
        <f t="shared" si="74"/>
        <v>-6317.1553146608612</v>
      </c>
      <c r="BN18" s="47">
        <f t="shared" si="74"/>
        <v>-6331.4528036784332</v>
      </c>
      <c r="BO18" s="47">
        <f t="shared" si="74"/>
        <v>-6345.7826519118271</v>
      </c>
      <c r="BP18" s="47">
        <f t="shared" si="74"/>
        <v>-6360.144932598997</v>
      </c>
      <c r="BQ18" s="47">
        <f t="shared" si="74"/>
        <v>-6374.5397191436559</v>
      </c>
      <c r="BR18" s="47">
        <f t="shared" si="74"/>
        <v>-6388.9670851156488</v>
      </c>
      <c r="BS18" s="47">
        <f t="shared" ref="BS18:BY18" si="75">BR18*(1+$B$3)^(1/12)</f>
        <v>-6403.4271042513301</v>
      </c>
      <c r="BT18" s="47">
        <f t="shared" si="75"/>
        <v>-6417.9198504539409</v>
      </c>
      <c r="BU18" s="47">
        <f t="shared" si="75"/>
        <v>-6432.4453977939856</v>
      </c>
      <c r="BV18" s="47">
        <f t="shared" si="75"/>
        <v>-6447.0038205096107</v>
      </c>
      <c r="BW18" s="47">
        <f t="shared" si="75"/>
        <v>-6461.5951930069841</v>
      </c>
      <c r="BX18" s="47">
        <f t="shared" si="75"/>
        <v>-6476.219589860676</v>
      </c>
      <c r="BY18" s="152">
        <f t="shared" si="75"/>
        <v>-6490.8770858140406</v>
      </c>
    </row>
    <row r="19" spans="2:77 16384:16384" x14ac:dyDescent="0.15">
      <c r="D19" s="76" t="str">
        <f>Expenses!F10</f>
        <v>Utilities</v>
      </c>
      <c r="E19" s="47"/>
      <c r="F19" s="47">
        <f>-Expenses!$H10/12*'Unit Mix'!$B$7</f>
        <v>-10878.333333333334</v>
      </c>
      <c r="G19" s="47">
        <f t="shared" ref="G19:AL19" si="76">F19*(1+$B$3)^(1/12)</f>
        <v>-10902.954043703056</v>
      </c>
      <c r="H19" s="47">
        <f t="shared" si="76"/>
        <v>-10927.630477625324</v>
      </c>
      <c r="I19" s="47">
        <f t="shared" si="76"/>
        <v>-10952.362761218119</v>
      </c>
      <c r="J19" s="47">
        <f t="shared" si="76"/>
        <v>-10977.151020884865</v>
      </c>
      <c r="K19" s="47">
        <f t="shared" si="76"/>
        <v>-11001.99538331507</v>
      </c>
      <c r="L19" s="47">
        <f t="shared" si="76"/>
        <v>-11026.895975484977</v>
      </c>
      <c r="M19" s="47">
        <f t="shared" si="76"/>
        <v>-11051.852924658207</v>
      </c>
      <c r="N19" s="47">
        <f t="shared" si="76"/>
        <v>-11076.866358386424</v>
      </c>
      <c r="O19" s="47">
        <f t="shared" si="76"/>
        <v>-11101.936404509968</v>
      </c>
      <c r="P19" s="47">
        <f t="shared" si="76"/>
        <v>-11127.063191158522</v>
      </c>
      <c r="Q19" s="47">
        <f t="shared" si="76"/>
        <v>-11152.246846751761</v>
      </c>
      <c r="R19" s="47">
        <f t="shared" si="76"/>
        <v>-11177.487500000008</v>
      </c>
      <c r="S19" s="47">
        <f t="shared" si="76"/>
        <v>-11202.785279904898</v>
      </c>
      <c r="T19" s="47">
        <f t="shared" si="76"/>
        <v>-11228.140315760029</v>
      </c>
      <c r="U19" s="47">
        <f t="shared" si="76"/>
        <v>-11253.552737151627</v>
      </c>
      <c r="V19" s="47">
        <f t="shared" si="76"/>
        <v>-11279.022673959209</v>
      </c>
      <c r="W19" s="47">
        <f t="shared" si="76"/>
        <v>-11304.550256356244</v>
      </c>
      <c r="X19" s="47">
        <f t="shared" si="76"/>
        <v>-11330.135614810823</v>
      </c>
      <c r="Y19" s="47">
        <f t="shared" si="76"/>
        <v>-11355.778880086318</v>
      </c>
      <c r="Z19" s="47">
        <f t="shared" si="76"/>
        <v>-11381.48018324206</v>
      </c>
      <c r="AA19" s="47">
        <f t="shared" si="76"/>
        <v>-11407.239655634001</v>
      </c>
      <c r="AB19" s="47">
        <f t="shared" si="76"/>
        <v>-11433.05742891539</v>
      </c>
      <c r="AC19" s="47">
        <f t="shared" si="76"/>
        <v>-11458.933635037443</v>
      </c>
      <c r="AD19" s="47">
        <f t="shared" si="76"/>
        <v>-11484.868406250018</v>
      </c>
      <c r="AE19" s="47">
        <f t="shared" si="76"/>
        <v>-11510.861875102291</v>
      </c>
      <c r="AF19" s="47">
        <f t="shared" si="76"/>
        <v>-11536.914174443438</v>
      </c>
      <c r="AG19" s="47">
        <f t="shared" si="76"/>
        <v>-11563.025437423305</v>
      </c>
      <c r="AH19" s="47">
        <f t="shared" si="76"/>
        <v>-11589.195797493094</v>
      </c>
      <c r="AI19" s="47">
        <f t="shared" si="76"/>
        <v>-11615.425388406047</v>
      </c>
      <c r="AJ19" s="47">
        <f t="shared" si="76"/>
        <v>-11641.714344218126</v>
      </c>
      <c r="AK19" s="47">
        <f t="shared" si="76"/>
        <v>-11668.062799288698</v>
      </c>
      <c r="AL19" s="47">
        <f t="shared" si="76"/>
        <v>-11694.470888281223</v>
      </c>
      <c r="AM19" s="47">
        <f t="shared" ref="AM19:BR19" si="77">AL19*(1+$B$3)^(1/12)</f>
        <v>-11720.938746163944</v>
      </c>
      <c r="AN19" s="47">
        <f t="shared" si="77"/>
        <v>-11747.466508210571</v>
      </c>
      <c r="AO19" s="47">
        <f t="shared" si="77"/>
        <v>-11774.05431000098</v>
      </c>
      <c r="AP19" s="47">
        <f t="shared" si="77"/>
        <v>-11800.7022874219</v>
      </c>
      <c r="AQ19" s="47">
        <f t="shared" si="77"/>
        <v>-11827.410576667611</v>
      </c>
      <c r="AR19" s="47">
        <f t="shared" si="77"/>
        <v>-11854.179314240639</v>
      </c>
      <c r="AS19" s="47">
        <f t="shared" si="77"/>
        <v>-11881.008636952452</v>
      </c>
      <c r="AT19" s="47">
        <f t="shared" si="77"/>
        <v>-11907.898681924162</v>
      </c>
      <c r="AU19" s="47">
        <f t="shared" si="77"/>
        <v>-11934.849586587221</v>
      </c>
      <c r="AV19" s="47">
        <f t="shared" si="77"/>
        <v>-11961.861488684131</v>
      </c>
      <c r="AW19" s="47">
        <f t="shared" si="77"/>
        <v>-11988.934526269144</v>
      </c>
      <c r="AX19" s="47">
        <f t="shared" si="77"/>
        <v>-12016.068837708963</v>
      </c>
      <c r="AY19" s="47">
        <f t="shared" si="77"/>
        <v>-12043.264561683458</v>
      </c>
      <c r="AZ19" s="47">
        <f t="shared" si="77"/>
        <v>-12070.521837186367</v>
      </c>
      <c r="BA19" s="47">
        <f t="shared" si="77"/>
        <v>-12097.840803526013</v>
      </c>
      <c r="BB19" s="47">
        <f t="shared" si="77"/>
        <v>-12125.221600326009</v>
      </c>
      <c r="BC19" s="47">
        <f t="shared" si="77"/>
        <v>-12152.664367525978</v>
      </c>
      <c r="BD19" s="47">
        <f t="shared" si="77"/>
        <v>-12180.169245382265</v>
      </c>
      <c r="BE19" s="47">
        <f t="shared" si="77"/>
        <v>-12207.736374468654</v>
      </c>
      <c r="BF19" s="47">
        <f t="shared" si="77"/>
        <v>-12235.365895677085</v>
      </c>
      <c r="BG19" s="47">
        <f t="shared" si="77"/>
        <v>-12263.057950218379</v>
      </c>
      <c r="BH19" s="47">
        <f t="shared" si="77"/>
        <v>-12290.812679622955</v>
      </c>
      <c r="BI19" s="47">
        <f t="shared" si="77"/>
        <v>-12318.630225741555</v>
      </c>
      <c r="BJ19" s="47">
        <f t="shared" si="77"/>
        <v>-12346.510730745969</v>
      </c>
      <c r="BK19" s="47">
        <f t="shared" si="77"/>
        <v>-12374.454337129762</v>
      </c>
      <c r="BL19" s="47">
        <f t="shared" si="77"/>
        <v>-12402.461187709001</v>
      </c>
      <c r="BM19" s="47">
        <f t="shared" si="77"/>
        <v>-12430.531425622987</v>
      </c>
      <c r="BN19" s="47">
        <f t="shared" si="77"/>
        <v>-12458.665194334983</v>
      </c>
      <c r="BO19" s="47">
        <f t="shared" si="77"/>
        <v>-12486.86263763295</v>
      </c>
      <c r="BP19" s="47">
        <f t="shared" si="77"/>
        <v>-12515.123899630284</v>
      </c>
      <c r="BQ19" s="47">
        <f t="shared" si="77"/>
        <v>-12543.449124766546</v>
      </c>
      <c r="BR19" s="47">
        <f t="shared" si="77"/>
        <v>-12571.83845780821</v>
      </c>
      <c r="BS19" s="47">
        <f t="shared" ref="BS19:BY19" si="78">BR19*(1+$B$3)^(1/12)</f>
        <v>-12600.292043849389</v>
      </c>
      <c r="BT19" s="47">
        <f t="shared" si="78"/>
        <v>-12628.810028312591</v>
      </c>
      <c r="BU19" s="47">
        <f t="shared" si="78"/>
        <v>-12657.392556949453</v>
      </c>
      <c r="BV19" s="47">
        <f t="shared" si="78"/>
        <v>-12686.039775841489</v>
      </c>
      <c r="BW19" s="47">
        <f t="shared" si="78"/>
        <v>-12714.751831400838</v>
      </c>
      <c r="BX19" s="47">
        <f t="shared" si="78"/>
        <v>-12743.528870371007</v>
      </c>
      <c r="BY19" s="152">
        <f t="shared" si="78"/>
        <v>-12772.371039827627</v>
      </c>
    </row>
    <row r="20" spans="2:77 16384:16384" x14ac:dyDescent="0.15">
      <c r="D20" s="76" t="str">
        <f>Expenses!F11</f>
        <v>Reserves</v>
      </c>
      <c r="E20" s="47"/>
      <c r="F20" s="47">
        <f>-Expenses!$H11/12*'Unit Mix'!$B$7</f>
        <v>-19382</v>
      </c>
      <c r="G20" s="47">
        <f t="shared" ref="G20:AL20" si="79">F20*(1+$B$3)^(1/12)</f>
        <v>-19425.866886016789</v>
      </c>
      <c r="H20" s="47">
        <f t="shared" si="79"/>
        <v>-19469.833055063646</v>
      </c>
      <c r="I20" s="47">
        <f t="shared" si="79"/>
        <v>-19513.898731845835</v>
      </c>
      <c r="J20" s="47">
        <f t="shared" si="79"/>
        <v>-19558.064141577186</v>
      </c>
      <c r="K20" s="47">
        <f t="shared" si="79"/>
        <v>-19602.329509981253</v>
      </c>
      <c r="L20" s="47">
        <f t="shared" si="79"/>
        <v>-19646.695063292464</v>
      </c>
      <c r="M20" s="47">
        <f t="shared" si="79"/>
        <v>-19691.16102825728</v>
      </c>
      <c r="N20" s="47">
        <f t="shared" si="79"/>
        <v>-19735.727632135353</v>
      </c>
      <c r="O20" s="47">
        <f t="shared" si="79"/>
        <v>-19780.395102700684</v>
      </c>
      <c r="P20" s="47">
        <f t="shared" si="79"/>
        <v>-19825.163668242796</v>
      </c>
      <c r="Q20" s="47">
        <f t="shared" si="79"/>
        <v>-19870.033557567891</v>
      </c>
      <c r="R20" s="47">
        <f t="shared" si="79"/>
        <v>-19915.005000000023</v>
      </c>
      <c r="S20" s="47">
        <f t="shared" si="79"/>
        <v>-19960.078225382273</v>
      </c>
      <c r="T20" s="47">
        <f t="shared" si="79"/>
        <v>-20005.253464077919</v>
      </c>
      <c r="U20" s="47">
        <f t="shared" si="79"/>
        <v>-20050.530946971616</v>
      </c>
      <c r="V20" s="47">
        <f t="shared" si="79"/>
        <v>-20095.910905470577</v>
      </c>
      <c r="W20" s="47">
        <f t="shared" si="79"/>
        <v>-20141.393571505752</v>
      </c>
      <c r="X20" s="47">
        <f t="shared" si="79"/>
        <v>-20186.97917753302</v>
      </c>
      <c r="Y20" s="47">
        <f t="shared" si="79"/>
        <v>-20232.667956534366</v>
      </c>
      <c r="Z20" s="47">
        <f t="shared" si="79"/>
        <v>-20278.460142019085</v>
      </c>
      <c r="AA20" s="47">
        <f t="shared" si="79"/>
        <v>-20324.355968024964</v>
      </c>
      <c r="AB20" s="47">
        <f t="shared" si="79"/>
        <v>-20370.355669119483</v>
      </c>
      <c r="AC20" s="47">
        <f t="shared" si="79"/>
        <v>-20416.459480401016</v>
      </c>
      <c r="AD20" s="47">
        <f t="shared" si="79"/>
        <v>-20462.667637500032</v>
      </c>
      <c r="AE20" s="47">
        <f t="shared" si="79"/>
        <v>-20508.980376580294</v>
      </c>
      <c r="AF20" s="47">
        <f t="shared" si="79"/>
        <v>-20555.397934340072</v>
      </c>
      <c r="AG20" s="47">
        <f t="shared" si="79"/>
        <v>-20601.920548013346</v>
      </c>
      <c r="AH20" s="47">
        <f t="shared" si="79"/>
        <v>-20648.54845537103</v>
      </c>
      <c r="AI20" s="47">
        <f t="shared" si="79"/>
        <v>-20695.281894722175</v>
      </c>
      <c r="AJ20" s="47">
        <f t="shared" si="79"/>
        <v>-20742.121104915193</v>
      </c>
      <c r="AK20" s="47">
        <f t="shared" si="79"/>
        <v>-20789.066325339078</v>
      </c>
      <c r="AL20" s="47">
        <f t="shared" si="79"/>
        <v>-20836.117795924627</v>
      </c>
      <c r="AM20" s="47">
        <f t="shared" ref="AM20:BR20" si="80">AL20*(1+$B$3)^(1/12)</f>
        <v>-20883.275757145668</v>
      </c>
      <c r="AN20" s="47">
        <f t="shared" si="80"/>
        <v>-20930.540450020286</v>
      </c>
      <c r="AO20" s="47">
        <f t="shared" si="80"/>
        <v>-20977.912116112064</v>
      </c>
      <c r="AP20" s="47">
        <f t="shared" si="80"/>
        <v>-21025.390997531304</v>
      </c>
      <c r="AQ20" s="47">
        <f t="shared" si="80"/>
        <v>-21072.977336936274</v>
      </c>
      <c r="AR20" s="47">
        <f t="shared" si="80"/>
        <v>-21120.671377534443</v>
      </c>
      <c r="AS20" s="47">
        <f t="shared" si="80"/>
        <v>-21168.473363083733</v>
      </c>
      <c r="AT20" s="47">
        <f t="shared" si="80"/>
        <v>-21216.383537893751</v>
      </c>
      <c r="AU20" s="47">
        <f t="shared" si="80"/>
        <v>-21264.402146827051</v>
      </c>
      <c r="AV20" s="47">
        <f t="shared" si="80"/>
        <v>-21312.529435300377</v>
      </c>
      <c r="AW20" s="47">
        <f t="shared" si="80"/>
        <v>-21360.765649285917</v>
      </c>
      <c r="AX20" s="47">
        <f t="shared" si="80"/>
        <v>-21409.111035312566</v>
      </c>
      <c r="AY20" s="47">
        <f t="shared" si="80"/>
        <v>-21457.565840467185</v>
      </c>
      <c r="AZ20" s="47">
        <f t="shared" si="80"/>
        <v>-21506.130312395857</v>
      </c>
      <c r="BA20" s="47">
        <f t="shared" si="80"/>
        <v>-21554.804699305158</v>
      </c>
      <c r="BB20" s="47">
        <f t="shared" si="80"/>
        <v>-21603.589249963425</v>
      </c>
      <c r="BC20" s="47">
        <f t="shared" si="80"/>
        <v>-21652.484213702031</v>
      </c>
      <c r="BD20" s="47">
        <f t="shared" si="80"/>
        <v>-21701.489840416652</v>
      </c>
      <c r="BE20" s="47">
        <f t="shared" si="80"/>
        <v>-21750.606380568548</v>
      </c>
      <c r="BF20" s="47">
        <f t="shared" si="80"/>
        <v>-21799.834085185845</v>
      </c>
      <c r="BG20" s="47">
        <f t="shared" si="80"/>
        <v>-21849.173205864812</v>
      </c>
      <c r="BH20" s="47">
        <f t="shared" si="80"/>
        <v>-21898.623994771155</v>
      </c>
      <c r="BI20" s="47">
        <f t="shared" si="80"/>
        <v>-21948.186704641299</v>
      </c>
      <c r="BJ20" s="47">
        <f t="shared" si="80"/>
        <v>-21997.861588783682</v>
      </c>
      <c r="BK20" s="47">
        <f t="shared" si="80"/>
        <v>-22047.648901080054</v>
      </c>
      <c r="BL20" s="47">
        <f t="shared" si="80"/>
        <v>-22097.548895986762</v>
      </c>
      <c r="BM20" s="47">
        <f t="shared" si="80"/>
        <v>-22147.561828536069</v>
      </c>
      <c r="BN20" s="47">
        <f t="shared" si="80"/>
        <v>-22197.687954337438</v>
      </c>
      <c r="BO20" s="47">
        <f t="shared" si="80"/>
        <v>-22247.927529578854</v>
      </c>
      <c r="BP20" s="47">
        <f t="shared" si="80"/>
        <v>-22298.280811028126</v>
      </c>
      <c r="BQ20" s="47">
        <f t="shared" si="80"/>
        <v>-22348.748056034197</v>
      </c>
      <c r="BR20" s="47">
        <f t="shared" si="80"/>
        <v>-22399.329522528467</v>
      </c>
      <c r="BS20" s="47">
        <f t="shared" ref="BS20:BY20" si="81">BR20*(1+$B$3)^(1/12)</f>
        <v>-22450.025469026106</v>
      </c>
      <c r="BT20" s="47">
        <f t="shared" si="81"/>
        <v>-22500.836154627374</v>
      </c>
      <c r="BU20" s="47">
        <f t="shared" si="81"/>
        <v>-22551.761839018945</v>
      </c>
      <c r="BV20" s="47">
        <f t="shared" si="81"/>
        <v>-22602.802782475246</v>
      </c>
      <c r="BW20" s="47">
        <f t="shared" si="81"/>
        <v>-22653.959245859765</v>
      </c>
      <c r="BX20" s="47">
        <f t="shared" si="81"/>
        <v>-22705.231490626407</v>
      </c>
      <c r="BY20" s="152">
        <f t="shared" si="81"/>
        <v>-22756.619778820819</v>
      </c>
    </row>
    <row r="21" spans="2:77 16384:16384" x14ac:dyDescent="0.15">
      <c r="D21" s="76" t="str">
        <f>Expenses!F12</f>
        <v>Management</v>
      </c>
      <c r="E21" s="84"/>
      <c r="F21" s="47">
        <f>-Expenses!$H12/12*'Unit Mix'!$B$7</f>
        <v>-14536.5</v>
      </c>
      <c r="G21" s="47">
        <f t="shared" ref="G21:AL21" si="82">F21*(1+$B$3)^(1/12)</f>
        <v>-14569.40016451259</v>
      </c>
      <c r="H21" s="47">
        <f t="shared" si="82"/>
        <v>-14602.374791297732</v>
      </c>
      <c r="I21" s="47">
        <f t="shared" si="82"/>
        <v>-14635.424048884373</v>
      </c>
      <c r="J21" s="47">
        <f t="shared" si="82"/>
        <v>-14668.548106182885</v>
      </c>
      <c r="K21" s="47">
        <f t="shared" si="82"/>
        <v>-14701.747132485934</v>
      </c>
      <c r="L21" s="47">
        <f t="shared" si="82"/>
        <v>-14735.021297469342</v>
      </c>
      <c r="M21" s="47">
        <f t="shared" si="82"/>
        <v>-14768.370771192953</v>
      </c>
      <c r="N21" s="47">
        <f t="shared" si="82"/>
        <v>-14801.795724101506</v>
      </c>
      <c r="O21" s="47">
        <f t="shared" si="82"/>
        <v>-14835.296327025504</v>
      </c>
      <c r="P21" s="47">
        <f t="shared" si="82"/>
        <v>-14868.872751182087</v>
      </c>
      <c r="Q21" s="47">
        <f t="shared" si="82"/>
        <v>-14902.525168175907</v>
      </c>
      <c r="R21" s="47">
        <f t="shared" si="82"/>
        <v>-14936.253750000005</v>
      </c>
      <c r="S21" s="47">
        <f t="shared" si="82"/>
        <v>-14970.058669036693</v>
      </c>
      <c r="T21" s="47">
        <f t="shared" si="82"/>
        <v>-15003.940098058427</v>
      </c>
      <c r="U21" s="47">
        <f t="shared" si="82"/>
        <v>-15037.898210228701</v>
      </c>
      <c r="V21" s="47">
        <f t="shared" si="82"/>
        <v>-15071.933179102922</v>
      </c>
      <c r="W21" s="47">
        <f t="shared" si="82"/>
        <v>-15106.045178629305</v>
      </c>
      <c r="X21" s="47">
        <f t="shared" si="82"/>
        <v>-15140.234383149756</v>
      </c>
      <c r="Y21" s="47">
        <f t="shared" si="82"/>
        <v>-15174.500967400767</v>
      </c>
      <c r="Z21" s="47">
        <f t="shared" si="82"/>
        <v>-15208.845106514305</v>
      </c>
      <c r="AA21" s="47">
        <f t="shared" si="82"/>
        <v>-15243.266976018715</v>
      </c>
      <c r="AB21" s="47">
        <f t="shared" si="82"/>
        <v>-15277.766751839605</v>
      </c>
      <c r="AC21" s="47">
        <f t="shared" si="82"/>
        <v>-15312.344610300755</v>
      </c>
      <c r="AD21" s="47">
        <f t="shared" si="82"/>
        <v>-15347.000728125016</v>
      </c>
      <c r="AE21" s="47">
        <f t="shared" si="82"/>
        <v>-15381.735282435213</v>
      </c>
      <c r="AF21" s="47">
        <f t="shared" si="82"/>
        <v>-15416.548450755045</v>
      </c>
      <c r="AG21" s="47">
        <f t="shared" si="82"/>
        <v>-15451.44041101</v>
      </c>
      <c r="AH21" s="47">
        <f t="shared" si="82"/>
        <v>-15486.411341528263</v>
      </c>
      <c r="AI21" s="47">
        <f t="shared" si="82"/>
        <v>-15521.46142104162</v>
      </c>
      <c r="AJ21" s="47">
        <f t="shared" si="82"/>
        <v>-15556.590828686383</v>
      </c>
      <c r="AK21" s="47">
        <f t="shared" si="82"/>
        <v>-15591.799744004296</v>
      </c>
      <c r="AL21" s="47">
        <f t="shared" si="82"/>
        <v>-15627.088346943458</v>
      </c>
      <c r="AM21" s="47">
        <f t="shared" ref="AM21:BR21" si="83">AL21*(1+$B$3)^(1/12)</f>
        <v>-15662.456817859238</v>
      </c>
      <c r="AN21" s="47">
        <f t="shared" si="83"/>
        <v>-15697.905337515202</v>
      </c>
      <c r="AO21" s="47">
        <f t="shared" si="83"/>
        <v>-15733.434087084033</v>
      </c>
      <c r="AP21" s="47">
        <f t="shared" si="83"/>
        <v>-15769.043248148462</v>
      </c>
      <c r="AQ21" s="47">
        <f t="shared" si="83"/>
        <v>-15804.733002702189</v>
      </c>
      <c r="AR21" s="47">
        <f t="shared" si="83"/>
        <v>-15840.503533150817</v>
      </c>
      <c r="AS21" s="47">
        <f t="shared" si="83"/>
        <v>-15876.355022312784</v>
      </c>
      <c r="AT21" s="47">
        <f t="shared" si="83"/>
        <v>-15912.287653420299</v>
      </c>
      <c r="AU21" s="47">
        <f t="shared" si="83"/>
        <v>-15948.301610120274</v>
      </c>
      <c r="AV21" s="47">
        <f t="shared" si="83"/>
        <v>-15984.397076475268</v>
      </c>
      <c r="AW21" s="47">
        <f t="shared" si="83"/>
        <v>-16020.574236964425</v>
      </c>
      <c r="AX21" s="47">
        <f t="shared" si="83"/>
        <v>-16056.833276484413</v>
      </c>
      <c r="AY21" s="47">
        <f t="shared" si="83"/>
        <v>-16093.174380350376</v>
      </c>
      <c r="AZ21" s="47">
        <f t="shared" si="83"/>
        <v>-16129.597734296878</v>
      </c>
      <c r="BA21" s="47">
        <f t="shared" si="83"/>
        <v>-16166.103524478853</v>
      </c>
      <c r="BB21" s="47">
        <f t="shared" si="83"/>
        <v>-16202.691937472553</v>
      </c>
      <c r="BC21" s="47">
        <f t="shared" si="83"/>
        <v>-16239.363160276507</v>
      </c>
      <c r="BD21" s="47">
        <f t="shared" si="83"/>
        <v>-16276.117380312473</v>
      </c>
      <c r="BE21" s="47">
        <f t="shared" si="83"/>
        <v>-16312.954785426395</v>
      </c>
      <c r="BF21" s="47">
        <f t="shared" si="83"/>
        <v>-16349.875563889365</v>
      </c>
      <c r="BG21" s="47">
        <f t="shared" si="83"/>
        <v>-16386.879904398589</v>
      </c>
      <c r="BH21" s="47">
        <f t="shared" si="83"/>
        <v>-16423.967996078347</v>
      </c>
      <c r="BI21" s="47">
        <f t="shared" si="83"/>
        <v>-16461.140028480953</v>
      </c>
      <c r="BJ21" s="47">
        <f t="shared" si="83"/>
        <v>-16498.396191587741</v>
      </c>
      <c r="BK21" s="47">
        <f t="shared" si="83"/>
        <v>-16535.736675810018</v>
      </c>
      <c r="BL21" s="47">
        <f t="shared" si="83"/>
        <v>-16573.161671990048</v>
      </c>
      <c r="BM21" s="47">
        <f t="shared" si="83"/>
        <v>-16610.671371402026</v>
      </c>
      <c r="BN21" s="47">
        <f t="shared" si="83"/>
        <v>-16648.265965753053</v>
      </c>
      <c r="BO21" s="47">
        <f t="shared" si="83"/>
        <v>-16685.945647184115</v>
      </c>
      <c r="BP21" s="47">
        <f t="shared" si="83"/>
        <v>-16723.710608271071</v>
      </c>
      <c r="BQ21" s="47">
        <f t="shared" si="83"/>
        <v>-16761.561042025623</v>
      </c>
      <c r="BR21" s="47">
        <f t="shared" si="83"/>
        <v>-16799.497141896325</v>
      </c>
      <c r="BS21" s="47">
        <f t="shared" ref="BS21:BY21" si="84">BR21*(1+$B$3)^(1/12)</f>
        <v>-16837.519101769554</v>
      </c>
      <c r="BT21" s="47">
        <f t="shared" si="84"/>
        <v>-16875.627115970503</v>
      </c>
      <c r="BU21" s="47">
        <f t="shared" si="84"/>
        <v>-16913.821379264184</v>
      </c>
      <c r="BV21" s="47">
        <f t="shared" si="84"/>
        <v>-16952.102086856408</v>
      </c>
      <c r="BW21" s="47">
        <f t="shared" si="84"/>
        <v>-16990.469434394799</v>
      </c>
      <c r="BX21" s="47">
        <f t="shared" si="84"/>
        <v>-17028.923617969784</v>
      </c>
      <c r="BY21" s="152">
        <f t="shared" si="84"/>
        <v>-17067.464834115592</v>
      </c>
    </row>
    <row r="22" spans="2:77 16384:16384" x14ac:dyDescent="0.15">
      <c r="D22" s="81" t="s">
        <v>661</v>
      </c>
      <c r="E22" s="84"/>
      <c r="F22" s="108">
        <f>SUM(F12:F21)</f>
        <v>-167311.83333333331</v>
      </c>
      <c r="G22" s="108">
        <f>SUM(G12:G21)</f>
        <v>-167690.50679954392</v>
      </c>
      <c r="H22" s="108">
        <f t="shared" ref="H22:P22" si="85">SUM(H12:H21)</f>
        <v>-168070.03730970144</v>
      </c>
      <c r="I22" s="108">
        <f t="shared" si="85"/>
        <v>-168450.42680353601</v>
      </c>
      <c r="J22" s="108">
        <f t="shared" si="85"/>
        <v>-168831.67722516795</v>
      </c>
      <c r="K22" s="108">
        <f t="shared" si="85"/>
        <v>-169213.79052311755</v>
      </c>
      <c r="L22" s="108">
        <f t="shared" si="85"/>
        <v>-169596.76865031524</v>
      </c>
      <c r="M22" s="108">
        <f t="shared" si="85"/>
        <v>-169980.61356411153</v>
      </c>
      <c r="N22" s="108">
        <f t="shared" si="85"/>
        <v>-170365.32722628675</v>
      </c>
      <c r="O22" s="108">
        <f t="shared" si="85"/>
        <v>-170750.91160306154</v>
      </c>
      <c r="P22" s="108">
        <f t="shared" si="85"/>
        <v>-171137.36866510642</v>
      </c>
      <c r="Q22" s="163">
        <f t="shared" ref="Q22" si="86">SUM(Q12:Q21)</f>
        <v>-171524.70038755226</v>
      </c>
      <c r="R22" s="163">
        <f t="shared" ref="R22" si="87">SUM(R12:R21)</f>
        <v>-171912.90875000012</v>
      </c>
      <c r="S22" s="163">
        <f t="shared" ref="S22" si="88">SUM(S12:S21)</f>
        <v>-172301.99573653145</v>
      </c>
      <c r="T22" s="163">
        <f t="shared" ref="T22" si="89">SUM(T12:T21)</f>
        <v>-172691.96333571832</v>
      </c>
      <c r="U22" s="163">
        <f t="shared" ref="U22" si="90">SUM(U12:U21)</f>
        <v>-173082.81354063336</v>
      </c>
      <c r="V22" s="163">
        <f t="shared" ref="V22" si="91">SUM(V12:V21)</f>
        <v>-173474.54834886015</v>
      </c>
      <c r="W22" s="163">
        <f t="shared" ref="W22" si="92">SUM(W12:W21)</f>
        <v>-173867.16976250338</v>
      </c>
      <c r="X22" s="163">
        <f t="shared" ref="X22" si="93">SUM(X12:X21)</f>
        <v>-174260.67978819902</v>
      </c>
      <c r="Y22" s="163">
        <f t="shared" ref="Y22" si="94">SUM(Y12:Y21)</f>
        <v>-174655.08043712468</v>
      </c>
      <c r="Z22" s="163">
        <f t="shared" ref="Z22" si="95">SUM(Z12:Z21)</f>
        <v>-175050.37372500976</v>
      </c>
      <c r="AA22" s="163">
        <f t="shared" ref="AA22" si="96">SUM(AA12:AA21)</f>
        <v>-175446.56167214582</v>
      </c>
      <c r="AB22" s="163">
        <f t="shared" ref="AB22" si="97">SUM(AB12:AB21)</f>
        <v>-175843.64630339696</v>
      </c>
      <c r="AC22" s="163">
        <f t="shared" ref="AC22" si="98">SUM(AC12:AC21)</f>
        <v>-176241.62964821004</v>
      </c>
      <c r="AD22" s="163">
        <f t="shared" ref="AD22" si="99">SUM(AD12:AD21)</f>
        <v>-176640.5137406252</v>
      </c>
      <c r="AE22" s="163">
        <f t="shared" ref="AE22" si="100">SUM(AE12:AE21)</f>
        <v>-177040.30061928619</v>
      </c>
      <c r="AF22" s="163">
        <f t="shared" ref="AF22" si="101">SUM(AF12:AF21)</f>
        <v>-177440.99232745069</v>
      </c>
      <c r="AG22" s="163">
        <f t="shared" ref="AG22" si="102">SUM(AG12:AG21)</f>
        <v>-177842.59091300089</v>
      </c>
      <c r="AH22" s="163">
        <f t="shared" ref="AH22" si="103">SUM(AH12:AH21)</f>
        <v>-178245.0984284539</v>
      </c>
      <c r="AI22" s="163">
        <f t="shared" ref="AI22" si="104">SUM(AI12:AI21)</f>
        <v>-178648.51693097234</v>
      </c>
      <c r="AJ22" s="163">
        <f t="shared" ref="AJ22" si="105">SUM(AJ12:AJ21)</f>
        <v>-179052.8484823746</v>
      </c>
      <c r="AK22" s="163">
        <f t="shared" ref="AK22" si="106">SUM(AK12:AK21)</f>
        <v>-179458.09514914572</v>
      </c>
      <c r="AL22" s="163">
        <f t="shared" ref="AL22" si="107">SUM(AL12:AL21)</f>
        <v>-179864.25900244759</v>
      </c>
      <c r="AM22" s="163">
        <f t="shared" ref="AM22" si="108">SUM(AM12:AM21)</f>
        <v>-180271.34211812992</v>
      </c>
      <c r="AN22" s="163">
        <f t="shared" ref="AN22" si="109">SUM(AN12:AN21)</f>
        <v>-180679.34657674047</v>
      </c>
      <c r="AO22" s="163">
        <f t="shared" ref="AO22" si="110">SUM(AO12:AO21)</f>
        <v>-181088.2744635359</v>
      </c>
      <c r="AP22" s="163">
        <f t="shared" ref="AP22" si="111">SUM(AP12:AP21)</f>
        <v>-181498.12786849253</v>
      </c>
      <c r="AQ22" s="163">
        <f t="shared" ref="AQ22" si="112">SUM(AQ12:AQ21)</f>
        <v>-181908.90888631667</v>
      </c>
      <c r="AR22" s="163">
        <f t="shared" ref="AR22" si="113">SUM(AR12:AR21)</f>
        <v>-182320.61961645569</v>
      </c>
      <c r="AS22" s="163">
        <f t="shared" ref="AS22" si="114">SUM(AS12:AS21)</f>
        <v>-182733.26216310853</v>
      </c>
      <c r="AT22" s="163">
        <f t="shared" ref="AT22" si="115">SUM(AT12:AT21)</f>
        <v>-183146.83863523649</v>
      </c>
      <c r="AU22" s="163">
        <f t="shared" ref="AU22" si="116">SUM(AU12:AU21)</f>
        <v>-183561.35114657419</v>
      </c>
      <c r="AV22" s="163">
        <f t="shared" ref="AV22" si="117">SUM(AV12:AV21)</f>
        <v>-183976.80181564001</v>
      </c>
      <c r="AW22" s="163">
        <f t="shared" ref="AW22" si="118">SUM(AW12:AW21)</f>
        <v>-184393.19276574737</v>
      </c>
      <c r="AX22" s="163">
        <f t="shared" ref="AX22" si="119">SUM(AX12:AX21)</f>
        <v>-184810.52612501505</v>
      </c>
      <c r="AY22" s="163">
        <f t="shared" ref="AY22" si="120">SUM(AY12:AY21)</f>
        <v>-185228.80402637858</v>
      </c>
      <c r="AZ22" s="163">
        <f t="shared" ref="AZ22" si="121">SUM(AZ12:AZ21)</f>
        <v>-185648.02860760095</v>
      </c>
      <c r="BA22" s="163">
        <f t="shared" ref="BA22" si="122">SUM(BA12:BA21)</f>
        <v>-186068.20201128328</v>
      </c>
      <c r="BB22" s="163">
        <f t="shared" ref="BB22" si="123">SUM(BB12:BB21)</f>
        <v>-186489.32638487619</v>
      </c>
      <c r="BC22" s="163">
        <f t="shared" ref="BC22" si="124">SUM(BC12:BC21)</f>
        <v>-186911.40388069049</v>
      </c>
      <c r="BD22" s="163">
        <f t="shared" ref="BD22" si="125">SUM(BD12:BD21)</f>
        <v>-187334.43665590833</v>
      </c>
      <c r="BE22" s="163">
        <f t="shared" ref="BE22" si="126">SUM(BE12:BE21)</f>
        <v>-187758.42687259411</v>
      </c>
      <c r="BF22" s="163">
        <f t="shared" ref="BF22" si="127">SUM(BF12:BF21)</f>
        <v>-188183.37669770562</v>
      </c>
      <c r="BG22" s="163">
        <f t="shared" ref="BG22" si="128">SUM(BG12:BG21)</f>
        <v>-188609.2883031051</v>
      </c>
      <c r="BH22" s="163">
        <f t="shared" ref="BH22" si="129">SUM(BH12:BH21)</f>
        <v>-189036.1638655703</v>
      </c>
      <c r="BI22" s="163">
        <f t="shared" ref="BI22" si="130">SUM(BI12:BI21)</f>
        <v>-189464.00556680551</v>
      </c>
      <c r="BJ22" s="163">
        <f t="shared" ref="BJ22" si="131">SUM(BJ12:BJ21)</f>
        <v>-189892.81559345307</v>
      </c>
      <c r="BK22" s="163">
        <f t="shared" ref="BK22" si="132">SUM(BK12:BK21)</f>
        <v>-190322.59613710412</v>
      </c>
      <c r="BL22" s="163">
        <f t="shared" ref="BL22" si="133">SUM(BL12:BL21)</f>
        <v>-190753.34939431009</v>
      </c>
      <c r="BM22" s="163">
        <f t="shared" ref="BM22:BY22" si="134">SUM(BM12:BM21)</f>
        <v>-191185.07756659368</v>
      </c>
      <c r="BN22" s="163">
        <f t="shared" si="134"/>
        <v>-191617.7828604604</v>
      </c>
      <c r="BO22" s="163">
        <f t="shared" si="134"/>
        <v>-192051.46748740962</v>
      </c>
      <c r="BP22" s="163">
        <f t="shared" si="134"/>
        <v>-192486.13366394589</v>
      </c>
      <c r="BQ22" s="163">
        <f t="shared" si="134"/>
        <v>-192921.78361159057</v>
      </c>
      <c r="BR22" s="163">
        <f t="shared" si="134"/>
        <v>-193358.41955689265</v>
      </c>
      <c r="BS22" s="163">
        <f t="shared" si="134"/>
        <v>-193796.04373144062</v>
      </c>
      <c r="BT22" s="163">
        <f t="shared" si="134"/>
        <v>-194234.65837187352</v>
      </c>
      <c r="BU22" s="163">
        <f t="shared" si="134"/>
        <v>-194674.26571989275</v>
      </c>
      <c r="BV22" s="163">
        <f t="shared" si="134"/>
        <v>-195114.86802227318</v>
      </c>
      <c r="BW22" s="163">
        <f t="shared" si="134"/>
        <v>-195556.46753087462</v>
      </c>
      <c r="BX22" s="163">
        <f t="shared" si="134"/>
        <v>-195999.06650265373</v>
      </c>
      <c r="BY22" s="154">
        <f t="shared" si="134"/>
        <v>-196442.66719967511</v>
      </c>
    </row>
    <row r="23" spans="2:77 16384:16384" ht="19" customHeight="1" x14ac:dyDescent="0.15">
      <c r="D23" s="83" t="s">
        <v>664</v>
      </c>
      <c r="E23" s="84"/>
      <c r="F23" s="192">
        <f>-F22/F10</f>
        <v>0.35768077064884923</v>
      </c>
      <c r="G23" s="192">
        <f t="shared" ref="G23:BM23" si="135">-G22/G10</f>
        <v>0.35767704268030737</v>
      </c>
      <c r="H23" s="192">
        <f t="shared" si="135"/>
        <v>0.3576731588738648</v>
      </c>
      <c r="I23" s="192">
        <f t="shared" si="135"/>
        <v>0.35766911955847053</v>
      </c>
      <c r="J23" s="192">
        <f t="shared" si="135"/>
        <v>0.35766492506272424</v>
      </c>
      <c r="K23" s="192">
        <f t="shared" si="135"/>
        <v>0.35766057571487492</v>
      </c>
      <c r="L23" s="192">
        <f t="shared" si="135"/>
        <v>0.35765607184281994</v>
      </c>
      <c r="M23" s="192">
        <f t="shared" si="135"/>
        <v>0.35765141377410442</v>
      </c>
      <c r="N23" s="192">
        <f t="shared" si="135"/>
        <v>0.35764660183591884</v>
      </c>
      <c r="O23" s="192">
        <f t="shared" si="135"/>
        <v>0.35764163635509949</v>
      </c>
      <c r="P23" s="192">
        <f t="shared" si="135"/>
        <v>0.35763651765812637</v>
      </c>
      <c r="Q23" s="192">
        <f t="shared" si="135"/>
        <v>0.35763124607112273</v>
      </c>
      <c r="R23" s="192">
        <f t="shared" si="135"/>
        <v>0.35762582191985343</v>
      </c>
      <c r="S23" s="192">
        <f t="shared" si="135"/>
        <v>0.35762024552972466</v>
      </c>
      <c r="T23" s="192">
        <f t="shared" si="135"/>
        <v>0.3576145172257823</v>
      </c>
      <c r="U23" s="192">
        <f t="shared" si="135"/>
        <v>0.35760863733271109</v>
      </c>
      <c r="V23" s="192">
        <f t="shared" si="135"/>
        <v>0.35760260617483364</v>
      </c>
      <c r="W23" s="192">
        <f t="shared" si="135"/>
        <v>0.35759642407610953</v>
      </c>
      <c r="X23" s="192">
        <f t="shared" si="135"/>
        <v>0.35759009136013409</v>
      </c>
      <c r="Y23" s="192">
        <f t="shared" si="135"/>
        <v>0.35758360835013769</v>
      </c>
      <c r="Z23" s="192">
        <f t="shared" si="135"/>
        <v>0.35757697536898436</v>
      </c>
      <c r="AA23" s="192">
        <f t="shared" si="135"/>
        <v>0.35757019273917129</v>
      </c>
      <c r="AB23" s="192">
        <f t="shared" si="135"/>
        <v>0.35756326078282757</v>
      </c>
      <c r="AC23" s="192">
        <f t="shared" si="135"/>
        <v>0.35755617982171317</v>
      </c>
      <c r="AD23" s="192">
        <f t="shared" si="135"/>
        <v>0.35754895017721855</v>
      </c>
      <c r="AE23" s="192">
        <f t="shared" si="135"/>
        <v>0.35754157217036309</v>
      </c>
      <c r="AF23" s="192">
        <f t="shared" si="135"/>
        <v>0.35753404612179412</v>
      </c>
      <c r="AG23" s="192">
        <f t="shared" si="135"/>
        <v>0.35752637235178686</v>
      </c>
      <c r="AH23" s="192">
        <f t="shared" si="135"/>
        <v>0.35751855118024239</v>
      </c>
      <c r="AI23" s="192">
        <f t="shared" si="135"/>
        <v>0.35751058292668775</v>
      </c>
      <c r="AJ23" s="192">
        <f t="shared" si="135"/>
        <v>0.35750246791027418</v>
      </c>
      <c r="AK23" s="192">
        <f t="shared" si="135"/>
        <v>0.3574942064497772</v>
      </c>
      <c r="AL23" s="192">
        <f t="shared" si="135"/>
        <v>0.35748579886359455</v>
      </c>
      <c r="AM23" s="192">
        <f t="shared" si="135"/>
        <v>0.35747724546974652</v>
      </c>
      <c r="AN23" s="192">
        <f t="shared" si="135"/>
        <v>0.35746854658587424</v>
      </c>
      <c r="AO23" s="192">
        <f t="shared" si="135"/>
        <v>0.35745970252923898</v>
      </c>
      <c r="AP23" s="192">
        <f t="shared" si="135"/>
        <v>0.35745071361672193</v>
      </c>
      <c r="AQ23" s="192">
        <f t="shared" si="135"/>
        <v>0.35744158016482247</v>
      </c>
      <c r="AR23" s="192">
        <f t="shared" si="135"/>
        <v>0.35743230248965785</v>
      </c>
      <c r="AS23" s="192">
        <f t="shared" si="135"/>
        <v>0.35742288090696256</v>
      </c>
      <c r="AT23" s="192">
        <f t="shared" si="135"/>
        <v>0.35741331573208679</v>
      </c>
      <c r="AU23" s="192">
        <f t="shared" si="135"/>
        <v>0.35740360727999659</v>
      </c>
      <c r="AV23" s="192">
        <f t="shared" si="135"/>
        <v>0.357393755865272</v>
      </c>
      <c r="AW23" s="192">
        <f t="shared" si="135"/>
        <v>0.35738376180210762</v>
      </c>
      <c r="AX23" s="192">
        <f t="shared" si="135"/>
        <v>0.35737362540431017</v>
      </c>
      <c r="AY23" s="192">
        <f t="shared" si="135"/>
        <v>0.35736334698529915</v>
      </c>
      <c r="AZ23" s="192">
        <f t="shared" si="135"/>
        <v>0.3573529268581056</v>
      </c>
      <c r="BA23" s="192">
        <f t="shared" si="135"/>
        <v>0.35734236533537084</v>
      </c>
      <c r="BB23" s="192">
        <f t="shared" si="135"/>
        <v>0.35733166272934647</v>
      </c>
      <c r="BC23" s="192">
        <f t="shared" si="135"/>
        <v>0.35732081935189319</v>
      </c>
      <c r="BD23" s="192">
        <f t="shared" si="135"/>
        <v>0.35730983551448042</v>
      </c>
      <c r="BE23" s="192">
        <f t="shared" si="135"/>
        <v>0.3572987115281851</v>
      </c>
      <c r="BF23" s="192">
        <f t="shared" si="135"/>
        <v>0.35728744770369125</v>
      </c>
      <c r="BG23" s="192">
        <f t="shared" si="135"/>
        <v>0.35727604435128957</v>
      </c>
      <c r="BH23" s="192">
        <f t="shared" si="135"/>
        <v>0.35726450178087593</v>
      </c>
      <c r="BI23" s="192">
        <f t="shared" si="135"/>
        <v>0.35725282030195138</v>
      </c>
      <c r="BJ23" s="192">
        <f t="shared" si="135"/>
        <v>0.35724100022362143</v>
      </c>
      <c r="BK23" s="192">
        <f t="shared" si="135"/>
        <v>0.35722904185459503</v>
      </c>
      <c r="BL23" s="192">
        <f t="shared" si="135"/>
        <v>0.35721694550318417</v>
      </c>
      <c r="BM23" s="192">
        <f t="shared" si="135"/>
        <v>0.35720471147730265</v>
      </c>
      <c r="BN23" s="192">
        <f t="shared" ref="BN23:BY23" si="136">-BN22/BN10</f>
        <v>0.35719234008446643</v>
      </c>
      <c r="BO23" s="192">
        <f t="shared" si="136"/>
        <v>0.3571798316317924</v>
      </c>
      <c r="BP23" s="192">
        <f t="shared" si="136"/>
        <v>0.35716718642599721</v>
      </c>
      <c r="BQ23" s="192">
        <f t="shared" si="136"/>
        <v>0.3571544047733981</v>
      </c>
      <c r="BR23" s="192">
        <f t="shared" si="136"/>
        <v>0.35714148697991066</v>
      </c>
      <c r="BS23" s="192">
        <f t="shared" si="136"/>
        <v>0.35712843335104905</v>
      </c>
      <c r="BT23" s="192">
        <f t="shared" si="136"/>
        <v>0.35711524419192547</v>
      </c>
      <c r="BU23" s="192">
        <f t="shared" si="136"/>
        <v>0.35710191980724926</v>
      </c>
      <c r="BV23" s="192">
        <f t="shared" si="136"/>
        <v>0.35708846050132659</v>
      </c>
      <c r="BW23" s="192">
        <f t="shared" si="136"/>
        <v>0.3570748665780592</v>
      </c>
      <c r="BX23" s="192">
        <f t="shared" si="136"/>
        <v>0.35706113834094455</v>
      </c>
      <c r="BY23" s="193">
        <f t="shared" si="136"/>
        <v>0.35704727609307535</v>
      </c>
    </row>
    <row r="24" spans="2:77 16384:16384" x14ac:dyDescent="0.15">
      <c r="D24" s="77" t="s">
        <v>662</v>
      </c>
      <c r="E24" s="84"/>
      <c r="F24" s="29">
        <f>F10+F22</f>
        <v>300456.76666666672</v>
      </c>
      <c r="G24" s="29">
        <f t="shared" ref="G24:P24" si="137">G10+G22</f>
        <v>301141.6708066272</v>
      </c>
      <c r="H24" s="29">
        <f t="shared" si="137"/>
        <v>301828.34097194136</v>
      </c>
      <c r="I24" s="29">
        <f t="shared" si="137"/>
        <v>302516.7816920756</v>
      </c>
      <c r="J24" s="29">
        <f t="shared" si="137"/>
        <v>303206.99750806089</v>
      </c>
      <c r="K24" s="29">
        <f t="shared" si="137"/>
        <v>303898.99297252239</v>
      </c>
      <c r="L24" s="29">
        <f t="shared" si="137"/>
        <v>304592.77264970879</v>
      </c>
      <c r="M24" s="29">
        <f t="shared" si="137"/>
        <v>305288.34111552156</v>
      </c>
      <c r="N24" s="29">
        <f t="shared" si="137"/>
        <v>305985.70295754535</v>
      </c>
      <c r="O24" s="29">
        <f t="shared" si="137"/>
        <v>306684.86277507694</v>
      </c>
      <c r="P24" s="29">
        <f t="shared" si="137"/>
        <v>307385.82517915551</v>
      </c>
      <c r="Q24" s="29">
        <f t="shared" ref="Q24" si="138">Q10+Q22</f>
        <v>308088.59479259222</v>
      </c>
      <c r="R24" s="29">
        <f t="shared" ref="R24" si="139">R10+R22</f>
        <v>308793.17625000043</v>
      </c>
      <c r="S24" s="29">
        <f t="shared" ref="S24" si="140">S10+S22</f>
        <v>309499.57419782528</v>
      </c>
      <c r="T24" s="29">
        <f t="shared" ref="T24" si="141">T10+T22</f>
        <v>310207.79329437425</v>
      </c>
      <c r="U24" s="29">
        <f t="shared" ref="U24" si="142">U10+U22</f>
        <v>310917.8382098471</v>
      </c>
      <c r="V24" s="29">
        <f t="shared" ref="V24" si="143">V10+V22</f>
        <v>311629.71362636611</v>
      </c>
      <c r="W24" s="29">
        <f t="shared" ref="W24" si="144">W10+W22</f>
        <v>312343.42423800635</v>
      </c>
      <c r="X24" s="29">
        <f t="shared" ref="X24" si="145">X10+X22</f>
        <v>313058.97475082619</v>
      </c>
      <c r="Y24" s="29">
        <f t="shared" ref="Y24" si="146">Y10+Y22</f>
        <v>313776.36988289782</v>
      </c>
      <c r="Z24" s="29">
        <f t="shared" ref="Z24" si="147">Z10+Z22</f>
        <v>314495.61436433787</v>
      </c>
      <c r="AA24" s="29">
        <f t="shared" ref="AA24" si="148">AA10+AA22</f>
        <v>315216.71293733735</v>
      </c>
      <c r="AB24" s="29">
        <f t="shared" ref="AB24" si="149">AB10+AB22</f>
        <v>315939.67035619338</v>
      </c>
      <c r="AC24" s="29">
        <f t="shared" ref="AC24" si="150">AC10+AC22</f>
        <v>316664.49138733943</v>
      </c>
      <c r="AD24" s="29">
        <f t="shared" ref="AD24" si="151">AD10+AD22</f>
        <v>317391.18080937595</v>
      </c>
      <c r="AE24" s="29">
        <f t="shared" ref="AE24" si="152">AE10+AE22</f>
        <v>318119.74341310177</v>
      </c>
      <c r="AF24" s="29">
        <f t="shared" ref="AF24" si="153">AF10+AF22</f>
        <v>318850.18400154519</v>
      </c>
      <c r="AG24" s="29">
        <f t="shared" ref="AG24" si="154">AG10+AG22</f>
        <v>319582.50738999445</v>
      </c>
      <c r="AH24" s="29">
        <f t="shared" ref="AH24" si="155">AH10+AH22</f>
        <v>320316.71840602957</v>
      </c>
      <c r="AI24" s="29">
        <f t="shared" ref="AI24" si="156">AI10+AI22</f>
        <v>321052.82188955304</v>
      </c>
      <c r="AJ24" s="29">
        <f t="shared" ref="AJ24" si="157">AJ10+AJ22</f>
        <v>321790.82269282185</v>
      </c>
      <c r="AK24" s="29">
        <f t="shared" ref="AK24" si="158">AK10+AK22</f>
        <v>322530.72568047803</v>
      </c>
      <c r="AL24" s="29">
        <f t="shared" ref="AL24" si="159">AL10+AL22</f>
        <v>323272.53572958091</v>
      </c>
      <c r="AM24" s="29">
        <f t="shared" ref="AM24" si="160">AM10+AM22</f>
        <v>324016.25772963825</v>
      </c>
      <c r="AN24" s="29">
        <f t="shared" ref="AN24" si="161">AN10+AN22</f>
        <v>324761.89658263803</v>
      </c>
      <c r="AO24" s="29">
        <f t="shared" ref="AO24" si="162">AO10+AO22</f>
        <v>325509.45720308041</v>
      </c>
      <c r="AP24" s="29">
        <f t="shared" ref="AP24" si="163">AP10+AP22</f>
        <v>326258.94451800908</v>
      </c>
      <c r="AQ24" s="29">
        <f t="shared" ref="AQ24" si="164">AQ10+AQ22</f>
        <v>327010.36346704338</v>
      </c>
      <c r="AR24" s="29">
        <f t="shared" ref="AR24" si="165">AR10+AR22</f>
        <v>327763.71900241059</v>
      </c>
      <c r="AS24" s="29">
        <f t="shared" ref="AS24" si="166">AS10+AS22</f>
        <v>328519.01608897722</v>
      </c>
      <c r="AT24" s="29">
        <f t="shared" ref="AT24" si="167">AT10+AT22</f>
        <v>329276.25970428204</v>
      </c>
      <c r="AU24" s="29">
        <f t="shared" ref="AU24" si="168">AU10+AU22</f>
        <v>330035.45483856753</v>
      </c>
      <c r="AV24" s="29">
        <f t="shared" ref="AV24" si="169">AV10+AV22</f>
        <v>330796.60649481294</v>
      </c>
      <c r="AW24" s="29">
        <f t="shared" ref="AW24" si="170">AW10+AW22</f>
        <v>331559.71968876565</v>
      </c>
      <c r="AX24" s="29">
        <f t="shared" ref="AX24" si="171">AX10+AX22</f>
        <v>332324.7994489749</v>
      </c>
      <c r="AY24" s="29">
        <f t="shared" ref="AY24" si="172">AY10+AY22</f>
        <v>333091.85081682319</v>
      </c>
      <c r="AZ24" s="29">
        <f t="shared" ref="AZ24" si="173">AZ10+AZ22</f>
        <v>333860.8788465595</v>
      </c>
      <c r="BA24" s="29">
        <f t="shared" ref="BA24" si="174">BA10+BA22</f>
        <v>334631.88860533212</v>
      </c>
      <c r="BB24" s="29">
        <f t="shared" ref="BB24" si="175">BB10+BB22</f>
        <v>335404.885173221</v>
      </c>
      <c r="BC24" s="29">
        <f t="shared" ref="BC24" si="176">BC10+BC22</f>
        <v>336179.87364327104</v>
      </c>
      <c r="BD24" s="29">
        <f t="shared" ref="BD24" si="177">BD10+BD22</f>
        <v>336956.8591215245</v>
      </c>
      <c r="BE24" s="29">
        <f t="shared" ref="BE24" si="178">BE10+BE22</f>
        <v>337735.84672705474</v>
      </c>
      <c r="BF24" s="29">
        <f t="shared" ref="BF24" si="179">BF10+BF22</f>
        <v>338516.84159199905</v>
      </c>
      <c r="BG24" s="29">
        <f t="shared" ref="BG24" si="180">BG10+BG22</f>
        <v>339299.84886159137</v>
      </c>
      <c r="BH24" s="29">
        <f t="shared" ref="BH24" si="181">BH10+BH22</f>
        <v>340084.87369419669</v>
      </c>
      <c r="BI24" s="29">
        <f t="shared" ref="BI24" si="182">BI10+BI22</f>
        <v>340871.92126134341</v>
      </c>
      <c r="BJ24" s="29">
        <f t="shared" ref="BJ24" si="183">BJ10+BJ22</f>
        <v>341660.99674775702</v>
      </c>
      <c r="BK24" s="29">
        <f t="shared" ref="BK24" si="184">BK10+BK22</f>
        <v>342452.10535139416</v>
      </c>
      <c r="BL24" s="29">
        <f t="shared" ref="BL24" si="185">BL10+BL22</f>
        <v>343245.25228347554</v>
      </c>
      <c r="BM24" s="29">
        <f t="shared" ref="BM24:BY24" si="186">BM10+BM22</f>
        <v>344040.44276852068</v>
      </c>
      <c r="BN24" s="29">
        <f t="shared" si="186"/>
        <v>344837.68204438029</v>
      </c>
      <c r="BO24" s="29">
        <f t="shared" si="186"/>
        <v>345636.97536227119</v>
      </c>
      <c r="BP24" s="29">
        <f t="shared" si="186"/>
        <v>346438.32798681053</v>
      </c>
      <c r="BQ24" s="29">
        <f t="shared" si="186"/>
        <v>347241.74519604834</v>
      </c>
      <c r="BR24" s="29">
        <f t="shared" si="186"/>
        <v>348047.23228150368</v>
      </c>
      <c r="BS24" s="29">
        <f t="shared" si="186"/>
        <v>348854.79454819747</v>
      </c>
      <c r="BT24" s="29">
        <f t="shared" si="186"/>
        <v>349664.43731468706</v>
      </c>
      <c r="BU24" s="29">
        <f t="shared" si="186"/>
        <v>350476.16591310123</v>
      </c>
      <c r="BV24" s="29">
        <f t="shared" si="186"/>
        <v>351289.9856891738</v>
      </c>
      <c r="BW24" s="29">
        <f t="shared" si="186"/>
        <v>352105.90200227906</v>
      </c>
      <c r="BX24" s="29">
        <f t="shared" si="186"/>
        <v>352923.92022546625</v>
      </c>
      <c r="BY24" s="166">
        <f t="shared" si="186"/>
        <v>353744.04574549326</v>
      </c>
    </row>
    <row r="25" spans="2:77 16384:16384" x14ac:dyDescent="0.15">
      <c r="D25" s="190" t="s">
        <v>721</v>
      </c>
      <c r="F25" s="47">
        <f>F24*-$B$6</f>
        <v>-4506.8515000000007</v>
      </c>
      <c r="G25" s="47">
        <f t="shared" ref="G25:BR25" si="187">G24*-$B$6</f>
        <v>-4517.1250620994078</v>
      </c>
      <c r="H25" s="47">
        <f t="shared" si="187"/>
        <v>-4527.4251145791204</v>
      </c>
      <c r="I25" s="47">
        <f t="shared" si="187"/>
        <v>-4537.7517253811338</v>
      </c>
      <c r="J25" s="47">
        <f t="shared" si="187"/>
        <v>-4548.1049626209133</v>
      </c>
      <c r="K25" s="47">
        <f t="shared" si="187"/>
        <v>-4558.4848945878357</v>
      </c>
      <c r="L25" s="47">
        <f t="shared" si="187"/>
        <v>-4568.8915897456318</v>
      </c>
      <c r="M25" s="47">
        <f t="shared" si="187"/>
        <v>-4579.3251167328235</v>
      </c>
      <c r="N25" s="47">
        <f t="shared" si="187"/>
        <v>-4589.7855443631797</v>
      </c>
      <c r="O25" s="47">
        <f t="shared" si="187"/>
        <v>-4600.2729416261536</v>
      </c>
      <c r="P25" s="47">
        <f t="shared" si="187"/>
        <v>-4610.7873776873321</v>
      </c>
      <c r="Q25" s="47">
        <f t="shared" si="187"/>
        <v>-4621.3289218888831</v>
      </c>
      <c r="R25" s="47">
        <f t="shared" si="187"/>
        <v>-4631.897643750006</v>
      </c>
      <c r="S25" s="47">
        <f t="shared" si="187"/>
        <v>-4642.4936129673788</v>
      </c>
      <c r="T25" s="47">
        <f t="shared" si="187"/>
        <v>-4653.1168994156133</v>
      </c>
      <c r="U25" s="47">
        <f t="shared" si="187"/>
        <v>-4663.7675731477066</v>
      </c>
      <c r="V25" s="47">
        <f t="shared" si="187"/>
        <v>-4674.4457043954917</v>
      </c>
      <c r="W25" s="47">
        <f t="shared" si="187"/>
        <v>-4685.1513635700949</v>
      </c>
      <c r="X25" s="47">
        <f t="shared" si="187"/>
        <v>-4695.884621262393</v>
      </c>
      <c r="Y25" s="47">
        <f t="shared" si="187"/>
        <v>-4706.6455482434676</v>
      </c>
      <c r="Z25" s="47">
        <f t="shared" si="187"/>
        <v>-4717.4342154650676</v>
      </c>
      <c r="AA25" s="47">
        <f t="shared" si="187"/>
        <v>-4728.2506940600597</v>
      </c>
      <c r="AB25" s="47">
        <f t="shared" si="187"/>
        <v>-4739.0950553429002</v>
      </c>
      <c r="AC25" s="47">
        <f t="shared" si="187"/>
        <v>-4749.9673708100909</v>
      </c>
      <c r="AD25" s="47">
        <f t="shared" si="187"/>
        <v>-4760.867712140639</v>
      </c>
      <c r="AE25" s="47">
        <f t="shared" si="187"/>
        <v>-4771.7961511965259</v>
      </c>
      <c r="AF25" s="47">
        <f t="shared" si="187"/>
        <v>-4782.7527600231779</v>
      </c>
      <c r="AG25" s="47">
        <f t="shared" si="187"/>
        <v>-4793.7376108499166</v>
      </c>
      <c r="AH25" s="47">
        <f t="shared" si="187"/>
        <v>-4804.7507760904437</v>
      </c>
      <c r="AI25" s="47">
        <f t="shared" si="187"/>
        <v>-4815.7923283432956</v>
      </c>
      <c r="AJ25" s="47">
        <f t="shared" si="187"/>
        <v>-4826.8623403923275</v>
      </c>
      <c r="AK25" s="47">
        <f t="shared" si="187"/>
        <v>-4837.9608852071706</v>
      </c>
      <c r="AL25" s="47">
        <f t="shared" si="187"/>
        <v>-4849.0880359437133</v>
      </c>
      <c r="AM25" s="47">
        <f t="shared" si="187"/>
        <v>-4860.2438659445734</v>
      </c>
      <c r="AN25" s="47">
        <f t="shared" si="187"/>
        <v>-4871.4284487395698</v>
      </c>
      <c r="AO25" s="47">
        <f t="shared" si="187"/>
        <v>-4882.6418580462059</v>
      </c>
      <c r="AP25" s="47">
        <f t="shared" si="187"/>
        <v>-4893.8841677701357</v>
      </c>
      <c r="AQ25" s="47">
        <f t="shared" si="187"/>
        <v>-4905.1554520056507</v>
      </c>
      <c r="AR25" s="47">
        <f t="shared" si="187"/>
        <v>-4916.4557850361589</v>
      </c>
      <c r="AS25" s="47">
        <f t="shared" si="187"/>
        <v>-4927.7852413346582</v>
      </c>
      <c r="AT25" s="47">
        <f t="shared" si="187"/>
        <v>-4939.1438955642307</v>
      </c>
      <c r="AU25" s="47">
        <f t="shared" si="187"/>
        <v>-4950.5318225785131</v>
      </c>
      <c r="AV25" s="47">
        <f t="shared" si="187"/>
        <v>-4961.9490974221935</v>
      </c>
      <c r="AW25" s="47">
        <f t="shared" si="187"/>
        <v>-4973.3957953314848</v>
      </c>
      <c r="AX25" s="47">
        <f t="shared" si="187"/>
        <v>-4984.8719917346234</v>
      </c>
      <c r="AY25" s="47">
        <f t="shared" si="187"/>
        <v>-4996.3777622523476</v>
      </c>
      <c r="AZ25" s="47">
        <f t="shared" si="187"/>
        <v>-5007.9131826983921</v>
      </c>
      <c r="BA25" s="47">
        <f t="shared" si="187"/>
        <v>-5019.4783290799814</v>
      </c>
      <c r="BB25" s="47">
        <f t="shared" si="187"/>
        <v>-5031.0732775983151</v>
      </c>
      <c r="BC25" s="47">
        <f t="shared" si="187"/>
        <v>-5042.6981046490655</v>
      </c>
      <c r="BD25" s="47">
        <f t="shared" si="187"/>
        <v>-5054.3528868228668</v>
      </c>
      <c r="BE25" s="47">
        <f t="shared" si="187"/>
        <v>-5066.0377009058211</v>
      </c>
      <c r="BF25" s="47">
        <f t="shared" si="187"/>
        <v>-5077.7526238799855</v>
      </c>
      <c r="BG25" s="47">
        <f t="shared" si="187"/>
        <v>-5089.49773292387</v>
      </c>
      <c r="BH25" s="47">
        <f t="shared" si="187"/>
        <v>-5101.2731054129499</v>
      </c>
      <c r="BI25" s="47">
        <f t="shared" si="187"/>
        <v>-5113.0788189201512</v>
      </c>
      <c r="BJ25" s="47">
        <f t="shared" si="187"/>
        <v>-5124.9149512163549</v>
      </c>
      <c r="BK25" s="47">
        <f t="shared" si="187"/>
        <v>-5136.7815802709119</v>
      </c>
      <c r="BL25" s="47">
        <f t="shared" si="187"/>
        <v>-5148.6787842521326</v>
      </c>
      <c r="BM25" s="47">
        <f t="shared" si="187"/>
        <v>-5160.6066415278101</v>
      </c>
      <c r="BN25" s="47">
        <f t="shared" si="187"/>
        <v>-5172.5652306657039</v>
      </c>
      <c r="BO25" s="47">
        <f t="shared" si="187"/>
        <v>-5184.5546304340678</v>
      </c>
      <c r="BP25" s="47">
        <f t="shared" si="187"/>
        <v>-5196.5749198021576</v>
      </c>
      <c r="BQ25" s="47">
        <f t="shared" si="187"/>
        <v>-5208.626177940725</v>
      </c>
      <c r="BR25" s="47">
        <f t="shared" si="187"/>
        <v>-5220.7084842225549</v>
      </c>
      <c r="BS25" s="47">
        <f t="shared" ref="BS25:BY25" si="188">BS24*-$B$6</f>
        <v>-5232.8219182229623</v>
      </c>
      <c r="BT25" s="47">
        <f t="shared" si="188"/>
        <v>-5244.9665597203057</v>
      </c>
      <c r="BU25" s="47">
        <f t="shared" si="188"/>
        <v>-5257.1424886965178</v>
      </c>
      <c r="BV25" s="47">
        <f t="shared" si="188"/>
        <v>-5269.3497853376066</v>
      </c>
      <c r="BW25" s="47">
        <f t="shared" si="188"/>
        <v>-5281.5885300341861</v>
      </c>
      <c r="BX25" s="47">
        <f t="shared" si="188"/>
        <v>-5293.8588033819933</v>
      </c>
      <c r="BY25" s="152">
        <f t="shared" si="188"/>
        <v>-5306.1606861823984</v>
      </c>
      <c r="XFD25" s="24"/>
    </row>
    <row r="26" spans="2:77 16384:16384" ht="14" customHeight="1" x14ac:dyDescent="0.15">
      <c r="D26" s="77" t="s">
        <v>722</v>
      </c>
      <c r="E26" s="189"/>
      <c r="F26" s="29">
        <f>SUM(F24:F25)</f>
        <v>295949.91516666673</v>
      </c>
      <c r="G26" s="29">
        <f t="shared" ref="G26:BR26" si="189">SUM(G24:G25)</f>
        <v>296624.54574452777</v>
      </c>
      <c r="H26" s="29">
        <f t="shared" si="189"/>
        <v>297300.91585736221</v>
      </c>
      <c r="I26" s="29">
        <f t="shared" si="189"/>
        <v>297979.02996669448</v>
      </c>
      <c r="J26" s="29">
        <f t="shared" si="189"/>
        <v>298658.89254544</v>
      </c>
      <c r="K26" s="29">
        <f t="shared" si="189"/>
        <v>299340.50807793456</v>
      </c>
      <c r="L26" s="29">
        <f t="shared" si="189"/>
        <v>300023.88105996314</v>
      </c>
      <c r="M26" s="29">
        <f t="shared" si="189"/>
        <v>300709.01599878876</v>
      </c>
      <c r="N26" s="29">
        <f t="shared" si="189"/>
        <v>301395.91741318215</v>
      </c>
      <c r="O26" s="29">
        <f t="shared" si="189"/>
        <v>302084.58983345079</v>
      </c>
      <c r="P26" s="29">
        <f t="shared" si="189"/>
        <v>302775.03780146816</v>
      </c>
      <c r="Q26" s="29">
        <f t="shared" si="189"/>
        <v>303467.26587070333</v>
      </c>
      <c r="R26" s="29">
        <f t="shared" si="189"/>
        <v>304161.27860625042</v>
      </c>
      <c r="S26" s="29">
        <f t="shared" si="189"/>
        <v>304857.0805848579</v>
      </c>
      <c r="T26" s="29">
        <f t="shared" si="189"/>
        <v>305554.67639495863</v>
      </c>
      <c r="U26" s="29">
        <f t="shared" si="189"/>
        <v>306254.07063669938</v>
      </c>
      <c r="V26" s="29">
        <f t="shared" si="189"/>
        <v>306955.26792197063</v>
      </c>
      <c r="W26" s="29">
        <f t="shared" si="189"/>
        <v>307658.27287443628</v>
      </c>
      <c r="X26" s="29">
        <f t="shared" si="189"/>
        <v>308363.09012956382</v>
      </c>
      <c r="Y26" s="29">
        <f t="shared" si="189"/>
        <v>309069.72433465434</v>
      </c>
      <c r="Z26" s="29">
        <f t="shared" si="189"/>
        <v>309778.18014887278</v>
      </c>
      <c r="AA26" s="29">
        <f t="shared" si="189"/>
        <v>310488.46224327729</v>
      </c>
      <c r="AB26" s="29">
        <f t="shared" si="189"/>
        <v>311200.5753008505</v>
      </c>
      <c r="AC26" s="29">
        <f t="shared" si="189"/>
        <v>311914.52401652932</v>
      </c>
      <c r="AD26" s="29">
        <f t="shared" si="189"/>
        <v>312630.31309723528</v>
      </c>
      <c r="AE26" s="29">
        <f t="shared" si="189"/>
        <v>313347.94726190524</v>
      </c>
      <c r="AF26" s="29">
        <f t="shared" si="189"/>
        <v>314067.43124152202</v>
      </c>
      <c r="AG26" s="29">
        <f t="shared" si="189"/>
        <v>314788.76977914455</v>
      </c>
      <c r="AH26" s="29">
        <f t="shared" si="189"/>
        <v>315511.96762993914</v>
      </c>
      <c r="AI26" s="29">
        <f t="shared" si="189"/>
        <v>316237.02956120973</v>
      </c>
      <c r="AJ26" s="29">
        <f t="shared" si="189"/>
        <v>316963.96035242954</v>
      </c>
      <c r="AK26" s="29">
        <f t="shared" si="189"/>
        <v>317692.76479527086</v>
      </c>
      <c r="AL26" s="29">
        <f t="shared" si="189"/>
        <v>318423.44769363722</v>
      </c>
      <c r="AM26" s="29">
        <f t="shared" si="189"/>
        <v>319156.01386369369</v>
      </c>
      <c r="AN26" s="29">
        <f t="shared" si="189"/>
        <v>319890.46813389845</v>
      </c>
      <c r="AO26" s="29">
        <f t="shared" si="189"/>
        <v>320626.81534503418</v>
      </c>
      <c r="AP26" s="29">
        <f t="shared" si="189"/>
        <v>321365.06035023893</v>
      </c>
      <c r="AQ26" s="29">
        <f t="shared" si="189"/>
        <v>322105.20801503776</v>
      </c>
      <c r="AR26" s="29">
        <f t="shared" si="189"/>
        <v>322847.26321737445</v>
      </c>
      <c r="AS26" s="29">
        <f t="shared" si="189"/>
        <v>323591.23084764258</v>
      </c>
      <c r="AT26" s="29">
        <f t="shared" si="189"/>
        <v>324337.11580871779</v>
      </c>
      <c r="AU26" s="29">
        <f t="shared" si="189"/>
        <v>325084.92301598901</v>
      </c>
      <c r="AV26" s="29">
        <f t="shared" si="189"/>
        <v>325834.65739739075</v>
      </c>
      <c r="AW26" s="29">
        <f t="shared" si="189"/>
        <v>326586.32389343414</v>
      </c>
      <c r="AX26" s="29">
        <f t="shared" si="189"/>
        <v>327339.92745724029</v>
      </c>
      <c r="AY26" s="29">
        <f t="shared" si="189"/>
        <v>328095.47305457084</v>
      </c>
      <c r="AZ26" s="29">
        <f t="shared" si="189"/>
        <v>328852.96566386113</v>
      </c>
      <c r="BA26" s="29">
        <f t="shared" si="189"/>
        <v>329612.41027625214</v>
      </c>
      <c r="BB26" s="29">
        <f t="shared" si="189"/>
        <v>330373.8118956227</v>
      </c>
      <c r="BC26" s="29">
        <f t="shared" si="189"/>
        <v>331137.17553862196</v>
      </c>
      <c r="BD26" s="29">
        <f t="shared" si="189"/>
        <v>331902.50623470161</v>
      </c>
      <c r="BE26" s="29">
        <f t="shared" si="189"/>
        <v>332669.80902614893</v>
      </c>
      <c r="BF26" s="29">
        <f t="shared" si="189"/>
        <v>333439.08896811906</v>
      </c>
      <c r="BG26" s="29">
        <f t="shared" si="189"/>
        <v>334210.35112866748</v>
      </c>
      <c r="BH26" s="29">
        <f t="shared" si="189"/>
        <v>334983.60058878374</v>
      </c>
      <c r="BI26" s="29">
        <f t="shared" si="189"/>
        <v>335758.84244242328</v>
      </c>
      <c r="BJ26" s="29">
        <f t="shared" si="189"/>
        <v>336536.08179654065</v>
      </c>
      <c r="BK26" s="29">
        <f t="shared" si="189"/>
        <v>337315.32377112325</v>
      </c>
      <c r="BL26" s="29">
        <f t="shared" si="189"/>
        <v>338096.57349922339</v>
      </c>
      <c r="BM26" s="29">
        <f t="shared" si="189"/>
        <v>338879.83612699289</v>
      </c>
      <c r="BN26" s="29">
        <f t="shared" si="189"/>
        <v>339665.11681371456</v>
      </c>
      <c r="BO26" s="29">
        <f t="shared" si="189"/>
        <v>340452.4207318371</v>
      </c>
      <c r="BP26" s="29">
        <f t="shared" si="189"/>
        <v>341241.75306700839</v>
      </c>
      <c r="BQ26" s="29">
        <f t="shared" si="189"/>
        <v>342033.11901810759</v>
      </c>
      <c r="BR26" s="29">
        <f t="shared" si="189"/>
        <v>342826.52379728114</v>
      </c>
      <c r="BS26" s="29">
        <f t="shared" ref="BS26:BY26" si="190">SUM(BS24:BS25)</f>
        <v>343621.97262997454</v>
      </c>
      <c r="BT26" s="29">
        <f t="shared" si="190"/>
        <v>344419.47075496678</v>
      </c>
      <c r="BU26" s="29">
        <f t="shared" si="190"/>
        <v>345219.02342440473</v>
      </c>
      <c r="BV26" s="29">
        <f t="shared" si="190"/>
        <v>346020.63590383617</v>
      </c>
      <c r="BW26" s="29">
        <f t="shared" si="190"/>
        <v>346824.31347224489</v>
      </c>
      <c r="BX26" s="29">
        <f t="shared" si="190"/>
        <v>347630.06142208428</v>
      </c>
      <c r="BY26" s="166">
        <f t="shared" si="190"/>
        <v>348437.88505931088</v>
      </c>
    </row>
    <row r="27" spans="2:77 16384:16384" ht="13" customHeight="1" x14ac:dyDescent="0.15">
      <c r="D27" s="82" t="s">
        <v>663</v>
      </c>
      <c r="E27" s="47"/>
      <c r="F27" s="47">
        <f>IF(F3&lt;=Summary!$C$37,0,PPMT(Summary!$C$36/12,'Monthly Cash Flow Statement'!F3,Summary!$C$38*12,Summary!$C$32,0,))</f>
        <v>0</v>
      </c>
      <c r="G27" s="47">
        <f>IF(G3&lt;=Summary!$C$37,0,PPMT(Summary!$C$36/12,'Monthly Cash Flow Statement'!G3,Summary!$C$38*12,Summary!$C$32,0,))</f>
        <v>0</v>
      </c>
      <c r="H27" s="47">
        <f>IF(H3&lt;=Summary!$C$37,0,PPMT(Summary!$C$36/12,'Monthly Cash Flow Statement'!H3,Summary!$C$38*12,Summary!$C$32,0,))</f>
        <v>0</v>
      </c>
      <c r="I27" s="47">
        <f>IF(I3&lt;=Summary!$C$37,0,PPMT(Summary!$C$36/12,'Monthly Cash Flow Statement'!I3,Summary!$C$38*12,Summary!$C$32,0,))</f>
        <v>0</v>
      </c>
      <c r="J27" s="47">
        <f>IF(J3&lt;=Summary!$C$37,0,PPMT(Summary!$C$36/12,'Monthly Cash Flow Statement'!J3,Summary!$C$38*12,Summary!$C$32,0,))</f>
        <v>0</v>
      </c>
      <c r="K27" s="47">
        <f>IF(K3&lt;=Summary!$C$37,0,PPMT(Summary!$C$36/12,'Monthly Cash Flow Statement'!K3,Summary!$C$38*12,Summary!$C$32,0,))</f>
        <v>0</v>
      </c>
      <c r="L27" s="47">
        <f>IF(L3&lt;=Summary!$C$37,0,PPMT(Summary!$C$36/12,'Monthly Cash Flow Statement'!L3,Summary!$C$38*12,Summary!$C$32,0,))</f>
        <v>0</v>
      </c>
      <c r="M27" s="47">
        <f>IF(M3&lt;=Summary!$C$37,0,PPMT(Summary!$C$36/12,'Monthly Cash Flow Statement'!M3,Summary!$C$38*12,Summary!$C$32,0,))</f>
        <v>0</v>
      </c>
      <c r="N27" s="47">
        <f>IF(N3&lt;=Summary!$C$37,0,PPMT(Summary!$C$36/12,'Monthly Cash Flow Statement'!N3,Summary!$C$38*12,Summary!$C$32,0,))</f>
        <v>0</v>
      </c>
      <c r="O27" s="47">
        <f>IF(O3&lt;=Summary!$C$37,0,PPMT(Summary!$C$36/12,'Monthly Cash Flow Statement'!O3,Summary!$C$38*12,Summary!$C$32,0,))</f>
        <v>0</v>
      </c>
      <c r="P27" s="47">
        <f>IF(P3&lt;=Summary!$C$37,0,PPMT(Summary!$C$36/12,'Monthly Cash Flow Statement'!P3,Summary!$C$38*12,Summary!$C$32,0,))</f>
        <v>0</v>
      </c>
      <c r="Q27" s="47">
        <f>IF(Q3&lt;=Summary!$C$37,0,PPMT(Summary!$C$36/12,'Monthly Cash Flow Statement'!Q3,Summary!$C$38*12,Summary!$C$32,0,))</f>
        <v>0</v>
      </c>
      <c r="R27" s="47">
        <f>IF(R3&lt;=Summary!$C$37,0,PPMT(Summary!$C$36/12,'Monthly Cash Flow Statement'!R3,Summary!$C$38*12,Summary!$C$32,0,))</f>
        <v>0</v>
      </c>
      <c r="S27" s="47">
        <f>IF(S3&lt;=Summary!$C$37,0,PPMT(Summary!$C$36/12,'Monthly Cash Flow Statement'!S3,Summary!$C$38*12,Summary!$C$32,0,))</f>
        <v>0</v>
      </c>
      <c r="T27" s="47">
        <f>IF(T3&lt;=Summary!$C$37,0,PPMT(Summary!$C$36/12,'Monthly Cash Flow Statement'!T3,Summary!$C$38*12,Summary!$C$32,0,))</f>
        <v>0</v>
      </c>
      <c r="U27" s="47">
        <f>IF(U3&lt;=Summary!$C$37,0,PPMT(Summary!$C$36/12,'Monthly Cash Flow Statement'!U3,Summary!$C$38*12,Summary!$C$32,0,))</f>
        <v>0</v>
      </c>
      <c r="V27" s="47">
        <f>IF(V3&lt;=Summary!$C$37,0,PPMT(Summary!$C$36/12,'Monthly Cash Flow Statement'!V3,Summary!$C$38*12,Summary!$C$32,0,))</f>
        <v>0</v>
      </c>
      <c r="W27" s="47">
        <f>IF(W3&lt;=Summary!$C$37,0,PPMT(Summary!$C$36/12,'Monthly Cash Flow Statement'!W3,Summary!$C$38*12,Summary!$C$32,0,))</f>
        <v>0</v>
      </c>
      <c r="X27" s="47">
        <f>IF(X3&lt;=Summary!$C$37,0,PPMT(Summary!$C$36/12,'Monthly Cash Flow Statement'!X3,Summary!$C$38*12,Summary!$C$32,0,))</f>
        <v>0</v>
      </c>
      <c r="Y27" s="47">
        <f>IF(Y3&lt;=Summary!$C$37,0,PPMT(Summary!$C$36/12,'Monthly Cash Flow Statement'!Y3,Summary!$C$38*12,Summary!$C$32,0,))</f>
        <v>0</v>
      </c>
      <c r="Z27" s="47">
        <f>IF(Z3&lt;=Summary!$C$37,0,PPMT(Summary!$C$36/12,'Monthly Cash Flow Statement'!Z3,Summary!$C$38*12,Summary!$C$32,0,))</f>
        <v>0</v>
      </c>
      <c r="AA27" s="47">
        <f>IF(AA3&lt;=Summary!$C$37,0,PPMT(Summary!$C$36/12,'Monthly Cash Flow Statement'!AA3,Summary!$C$38*12,Summary!$C$32,0,))</f>
        <v>0</v>
      </c>
      <c r="AB27" s="47">
        <f>IF(AB3&lt;=Summary!$C$37,0,PPMT(Summary!$C$36/12,'Monthly Cash Flow Statement'!AB3,Summary!$C$38*12,Summary!$C$32,0,))</f>
        <v>0</v>
      </c>
      <c r="AC27" s="47">
        <f>IF(AC3&lt;=Summary!$C$37,0,PPMT(Summary!$C$36/12,'Monthly Cash Flow Statement'!AC3,Summary!$C$38*12,Summary!$C$32,0,))</f>
        <v>0</v>
      </c>
      <c r="AD27" s="47">
        <f>IF(AD3&lt;=Summary!$C$37,0,PPMT(Summary!$C$36/12,'Monthly Cash Flow Statement'!AD3,Summary!$C$38*12,Summary!$C$32,0,))</f>
        <v>-92062.535503891952</v>
      </c>
      <c r="AE27" s="47">
        <f>IF(AE3&lt;=Summary!$C$37,0,PPMT(Summary!$C$36/12,'Monthly Cash Flow Statement'!AE3,Summary!$C$38*12,Summary!$C$32,0,))</f>
        <v>-92319.543415506996</v>
      </c>
      <c r="AF27" s="47">
        <f>IF(AF3&lt;=Summary!$C$37,0,PPMT(Summary!$C$36/12,'Monthly Cash Flow Statement'!AF3,Summary!$C$38*12,Summary!$C$32,0,))</f>
        <v>-92577.268807541943</v>
      </c>
      <c r="AG27" s="47">
        <f>IF(AG3&lt;=Summary!$C$37,0,PPMT(Summary!$C$36/12,'Monthly Cash Flow Statement'!AG3,Summary!$C$38*12,Summary!$C$32,0,))</f>
        <v>-92835.713682963018</v>
      </c>
      <c r="AH27" s="47">
        <f>IF(AH3&lt;=Summary!$C$37,0,PPMT(Summary!$C$36/12,'Monthly Cash Flow Statement'!AH3,Summary!$C$38*12,Summary!$C$32,0,))</f>
        <v>-93094.880050327949</v>
      </c>
      <c r="AI27" s="47">
        <f>IF(AI3&lt;=Summary!$C$37,0,PPMT(Summary!$C$36/12,'Monthly Cash Flow Statement'!AI3,Summary!$C$38*12,Summary!$C$32,0,))</f>
        <v>-93354.769923801781</v>
      </c>
      <c r="AJ27" s="47">
        <f>IF(AJ3&lt;=Summary!$C$37,0,PPMT(Summary!$C$36/12,'Monthly Cash Flow Statement'!AJ3,Summary!$C$38*12,Summary!$C$32,0,))</f>
        <v>-93615.385323172392</v>
      </c>
      <c r="AK27" s="47">
        <f>IF(AK3&lt;=Summary!$C$37,0,PPMT(Summary!$C$36/12,'Monthly Cash Flow Statement'!AK3,Summary!$C$38*12,Summary!$C$32,0,))</f>
        <v>-93876.728273866247</v>
      </c>
      <c r="AL27" s="47">
        <f>IF(AL3&lt;=Summary!$C$37,0,PPMT(Summary!$C$36/12,'Monthly Cash Flow Statement'!AL3,Summary!$C$38*12,Summary!$C$32,0,))</f>
        <v>-94138.800806964107</v>
      </c>
      <c r="AM27" s="47">
        <f>IF(AM3&lt;=Summary!$C$37,0,PPMT(Summary!$C$36/12,'Monthly Cash Flow Statement'!AM3,Summary!$C$38*12,Summary!$C$32,0,))</f>
        <v>-94401.604959216886</v>
      </c>
      <c r="AN27" s="47">
        <f>IF(AN3&lt;=Summary!$C$37,0,PPMT(Summary!$C$36/12,'Monthly Cash Flow Statement'!AN3,Summary!$C$38*12,Summary!$C$32,0,))</f>
        <v>-94665.142773061365</v>
      </c>
      <c r="AO27" s="47">
        <f>IF(AO3&lt;=Summary!$C$37,0,PPMT(Summary!$C$36/12,'Monthly Cash Flow Statement'!AO3,Summary!$C$38*12,Summary!$C$32,0,))</f>
        <v>-94929.416296636162</v>
      </c>
      <c r="AP27" s="47">
        <f>IF(AP3&lt;=Summary!$C$37,0,PPMT(Summary!$C$36/12,'Monthly Cash Flow Statement'!AP3,Summary!$C$38*12,Summary!$C$32,0,))</f>
        <v>-95194.427583797617</v>
      </c>
      <c r="AQ27" s="47">
        <f>IF(AQ3&lt;=Summary!$C$37,0,PPMT(Summary!$C$36/12,'Monthly Cash Flow Statement'!AQ3,Summary!$C$38*12,Summary!$C$32,0,))</f>
        <v>-95460.178694135728</v>
      </c>
      <c r="AR27" s="47">
        <f>IF(AR3&lt;=Summary!$C$37,0,PPMT(Summary!$C$36/12,'Monthly Cash Flow Statement'!AR3,Summary!$C$38*12,Summary!$C$32,0,))</f>
        <v>-95726.671692990189</v>
      </c>
      <c r="AS27" s="47">
        <f>IF(AS3&lt;=Summary!$C$37,0,PPMT(Summary!$C$36/12,'Monthly Cash Flow Statement'!AS3,Summary!$C$38*12,Summary!$C$32,0,))</f>
        <v>-95993.908651466423</v>
      </c>
      <c r="AT27" s="47">
        <f>IF(AT3&lt;=Summary!$C$37,0,PPMT(Summary!$C$36/12,'Monthly Cash Flow Statement'!AT3,Summary!$C$38*12,Summary!$C$32,0,))</f>
        <v>-96261.891646451782</v>
      </c>
      <c r="AU27" s="47">
        <f>IF(AU3&lt;=Summary!$C$37,0,PPMT(Summary!$C$36/12,'Monthly Cash Flow Statement'!AU3,Summary!$C$38*12,Summary!$C$32,0,))</f>
        <v>-96530.622760631464</v>
      </c>
      <c r="AV27" s="47">
        <f>IF(AV3&lt;=Summary!$C$37,0,PPMT(Summary!$C$36/12,'Monthly Cash Flow Statement'!AV3,Summary!$C$38*12,Summary!$C$32,0,))</f>
        <v>-96800.104082504899</v>
      </c>
      <c r="AW27" s="47">
        <f>IF(AW3&lt;=Summary!$C$37,0,PPMT(Summary!$C$36/12,'Monthly Cash Flow Statement'!AW3,Summary!$C$38*12,Summary!$C$32,0,))</f>
        <v>-97070.337706401886</v>
      </c>
      <c r="AX27" s="47">
        <f>IF(AX3&lt;=Summary!$C$37,0,PPMT(Summary!$C$36/12,'Monthly Cash Flow Statement'!AX3,Summary!$C$38*12,Summary!$C$32,0,))</f>
        <v>-97341.325732498924</v>
      </c>
      <c r="AY27" s="47">
        <f>IF(AY3&lt;=Summary!$C$37,0,PPMT(Summary!$C$36/12,'Monthly Cash Flow Statement'!AY3,Summary!$C$38*12,Summary!$C$32,0,))</f>
        <v>-97613.070266835493</v>
      </c>
      <c r="AZ27" s="47">
        <f>IF(AZ3&lt;=Summary!$C$37,0,PPMT(Summary!$C$36/12,'Monthly Cash Flow Statement'!AZ3,Summary!$C$38*12,Summary!$C$32,0,))</f>
        <v>-97885.573421330395</v>
      </c>
      <c r="BA27" s="47">
        <f>IF(BA3&lt;=Summary!$C$37,0,PPMT(Summary!$C$36/12,'Monthly Cash Flow Statement'!BA3,Summary!$C$38*12,Summary!$C$32,0,))</f>
        <v>-98158.8373137983</v>
      </c>
      <c r="BB27" s="47">
        <f>IF(BB3&lt;=Summary!$C$37,0,PPMT(Summary!$C$36/12,'Monthly Cash Flow Statement'!BB3,Summary!$C$38*12,Summary!$C$32,0,))</f>
        <v>-98432.864067965973</v>
      </c>
      <c r="BC27" s="47">
        <f>IF(BC3&lt;=Summary!$C$37,0,PPMT(Summary!$C$36/12,'Monthly Cash Flow Statement'!BC3,Summary!$C$38*12,Summary!$C$32,0,))</f>
        <v>-98707.655813489037</v>
      </c>
      <c r="BD27" s="47">
        <f>IF(BD3&lt;=Summary!$C$37,0,PPMT(Summary!$C$36/12,'Monthly Cash Flow Statement'!BD3,Summary!$C$38*12,Summary!$C$32,0,))</f>
        <v>-98983.214685968371</v>
      </c>
      <c r="BE27" s="47">
        <f>IF(BE3&lt;=Summary!$C$37,0,PPMT(Summary!$C$36/12,'Monthly Cash Flow Statement'!BE3,Summary!$C$38*12,Summary!$C$32,0,))</f>
        <v>-99259.542826966703</v>
      </c>
      <c r="BF27" s="47">
        <f>IF(BF3&lt;=Summary!$C$37,0,PPMT(Summary!$C$36/12,'Monthly Cash Flow Statement'!BF3,Summary!$C$38*12,Summary!$C$32,0,))</f>
        <v>-99536.642384025312</v>
      </c>
      <c r="BG27" s="47">
        <f>IF(BG3&lt;=Summary!$C$37,0,PPMT(Summary!$C$36/12,'Monthly Cash Flow Statement'!BG3,Summary!$C$38*12,Summary!$C$32,0,))</f>
        <v>-99814.515510680721</v>
      </c>
      <c r="BH27" s="47">
        <f>IF(BH3&lt;=Summary!$C$37,0,PPMT(Summary!$C$36/12,'Monthly Cash Flow Statement'!BH3,Summary!$C$38*12,Summary!$C$32,0,))</f>
        <v>-100093.16436648135</v>
      </c>
      <c r="BI27" s="47">
        <f>IF(BI3&lt;=Summary!$C$37,0,PPMT(Summary!$C$36/12,'Monthly Cash Flow Statement'!BI3,Summary!$C$38*12,Summary!$C$32,0,))</f>
        <v>-100372.59111700446</v>
      </c>
      <c r="BJ27" s="47">
        <f>IF(BJ3&lt;=Summary!$C$37,0,PPMT(Summary!$C$36/12,'Monthly Cash Flow Statement'!BJ3,Summary!$C$38*12,Summary!$C$32,0,))</f>
        <v>-100652.79793387277</v>
      </c>
      <c r="BK27" s="47">
        <f>IF(BK3&lt;=Summary!$C$37,0,PPMT(Summary!$C$36/12,'Monthly Cash Flow Statement'!BK3,Summary!$C$38*12,Summary!$C$32,0,))</f>
        <v>-100933.78699477149</v>
      </c>
      <c r="BL27" s="47">
        <f>IF(BL3&lt;=Summary!$C$37,0,PPMT(Summary!$C$36/12,'Monthly Cash Flow Statement'!BL3,Summary!$C$38*12,Summary!$C$32,0,))</f>
        <v>-101215.56048346522</v>
      </c>
      <c r="BM27" s="47">
        <f>IF(BM3&lt;=Summary!$C$37,0,PPMT(Summary!$C$36/12,'Monthly Cash Flow Statement'!BM3,Summary!$C$38*12,Summary!$C$32,0,))</f>
        <v>-101498.12058981491</v>
      </c>
      <c r="BN27" s="47">
        <f>IF(BN3&lt;=Summary!$C$37,0,PPMT(Summary!$C$36/12,'Monthly Cash Flow Statement'!BN3,Summary!$C$38*12,Summary!$C$32,0,))</f>
        <v>-101781.46950979481</v>
      </c>
      <c r="BO27" s="47">
        <f>IF(BO3&lt;=Summary!$C$37,0,PPMT(Summary!$C$36/12,'Monthly Cash Flow Statement'!BO3,Summary!$C$38*12,Summary!$C$32,0,))</f>
        <v>-102065.60944550966</v>
      </c>
      <c r="BP27" s="47">
        <f>IF(BP3&lt;=Summary!$C$37,0,PPMT(Summary!$C$36/12,'Monthly Cash Flow Statement'!BP3,Summary!$C$38*12,Summary!$C$32,0,))</f>
        <v>-102350.54260521168</v>
      </c>
      <c r="BQ27" s="47">
        <f>IF(BQ3&lt;=Summary!$C$37,0,PPMT(Summary!$C$36/12,'Monthly Cash Flow Statement'!BQ3,Summary!$C$38*12,Summary!$C$32,0,))</f>
        <v>-102636.27120331788</v>
      </c>
      <c r="BR27" s="47">
        <f>IF(BR3&lt;=Summary!$C$37,0,PPMT(Summary!$C$36/12,'Monthly Cash Flow Statement'!BR3,Summary!$C$38*12,Summary!$C$32,0,))</f>
        <v>-102922.79746042717</v>
      </c>
      <c r="BS27" s="47">
        <f>IF(BS3&lt;=Summary!$C$37,0,PPMT(Summary!$C$36/12,'Monthly Cash Flow Statement'!BS3,Summary!$C$38*12,Summary!$C$32,0,))</f>
        <v>-103210.12360333753</v>
      </c>
      <c r="BT27" s="47">
        <f>IF(BT3&lt;=Summary!$C$37,0,PPMT(Summary!$C$36/12,'Monthly Cash Flow Statement'!BT3,Summary!$C$38*12,Summary!$C$32,0,))</f>
        <v>-103498.25186506352</v>
      </c>
      <c r="BU27" s="47">
        <f>IF(BU3&lt;=Summary!$C$37,0,PPMT(Summary!$C$36/12,'Monthly Cash Flow Statement'!BU3,Summary!$C$38*12,Summary!$C$32,0,))</f>
        <v>-103787.1844848535</v>
      </c>
      <c r="BV27" s="47">
        <f>IF(BV3&lt;=Summary!$C$37,0,PPMT(Summary!$C$36/12,'Monthly Cash Flow Statement'!BV3,Summary!$C$38*12,Summary!$C$32,0,))</f>
        <v>-104076.92370820702</v>
      </c>
      <c r="BW27" s="47">
        <f>IF(BW3&lt;=Summary!$C$37,0,PPMT(Summary!$C$36/12,'Monthly Cash Flow Statement'!BW3,Summary!$C$38*12,Summary!$C$32,0,))</f>
        <v>-104367.47178689246</v>
      </c>
      <c r="BX27" s="47">
        <f>IF(BX3&lt;=Summary!$C$37,0,PPMT(Summary!$C$36/12,'Monthly Cash Flow Statement'!BX3,Summary!$C$38*12,Summary!$C$32,0,))</f>
        <v>-104658.83097896418</v>
      </c>
      <c r="BY27" s="152">
        <f>IF(BY3&lt;=Summary!$C$37,0,PPMT(Summary!$C$36/12,'Monthly Cash Flow Statement'!BY3,Summary!$C$38*12,Summary!$C$32,0,))</f>
        <v>-104951.00354878047</v>
      </c>
    </row>
    <row r="28" spans="2:77 16384:16384" x14ac:dyDescent="0.15">
      <c r="D28" s="78" t="s">
        <v>666</v>
      </c>
      <c r="E28" s="105"/>
      <c r="F28" s="105">
        <f>IPMT(Summary!$C$36/12,'Monthly Cash Flow Statement'!F3,Summary!$C$38*12,Summary!$C$32,0,)</f>
        <v>-148795.83333333334</v>
      </c>
      <c r="G28" s="105">
        <f>IPMT(Summary!$C$36/12,'Monthly Cash Flow Statement'!G3,Summary!$C$38*12,Summary!$C$32,0,0)</f>
        <v>-148555.45833041254</v>
      </c>
      <c r="H28" s="105">
        <f>IPMT(Summary!$C$36/12,'Monthly Cash Flow Statement'!H3,Summary!$C$38*12,Summary!$C$32,0,0)</f>
        <v>-148314.41228060858</v>
      </c>
      <c r="I28" s="105">
        <f>IPMT(Summary!$C$36/12,'Monthly Cash Flow Statement'!I3,Summary!$C$38*12,Summary!$C$32,0,0)</f>
        <v>-148072.69331058231</v>
      </c>
      <c r="J28" s="84">
        <f>IPMT(Summary!$C$36/12,'Monthly Cash Flow Statement'!J3,Summary!$C$38*12,Summary!$C$32,0,0)</f>
        <v>-147830.29954176463</v>
      </c>
      <c r="K28" s="84">
        <f>IPMT(Summary!$C$36/12,'Monthly Cash Flow Statement'!K3,Summary!$C$38*12,Summary!$C$32,0,0)</f>
        <v>-147587.22909034236</v>
      </c>
      <c r="L28" s="84">
        <f>IPMT(Summary!$C$36/12,'Monthly Cash Flow Statement'!L3,Summary!$C$38*12,Summary!$C$32,0,0)</f>
        <v>-147343.48006724322</v>
      </c>
      <c r="M28" s="84">
        <f>IPMT(Summary!$C$36/12,'Monthly Cash Flow Statement'!M3,Summary!$C$38*12,Summary!$C$32,0,0)</f>
        <v>-147099.05057812127</v>
      </c>
      <c r="N28" s="84">
        <f>IPMT(Summary!$C$36/12,'Monthly Cash Flow Statement'!N3,Summary!$C$38*12,Summary!$C$32,0,0)</f>
        <v>-146853.93872334214</v>
      </c>
      <c r="O28" s="84">
        <f>IPMT(Summary!$C$36/12,'Monthly Cash Flow Statement'!O3,Summary!$C$38*12,Summary!$C$32,0,0)</f>
        <v>-146608.14259796846</v>
      </c>
      <c r="P28" s="84">
        <f>IPMT(Summary!$C$36/12,'Monthly Cash Flow Statement'!P3,Summary!$C$38*12,Summary!$C$32,0,0)</f>
        <v>-146361.66029174475</v>
      </c>
      <c r="Q28" s="84">
        <f>IPMT(Summary!$C$36/12,'Monthly Cash Flow Statement'!Q3,Summary!$C$38*12,Summary!$C$32,0,0)</f>
        <v>-146114.48988908288</v>
      </c>
      <c r="R28" s="84">
        <f>IPMT(Summary!$C$36/12,'Monthly Cash Flow Statement'!R3,Summary!$C$38*12,Summary!$C$32,0,0)</f>
        <v>-145866.62946904686</v>
      </c>
      <c r="S28" s="84">
        <f>IPMT(Summary!$C$36/12,'Monthly Cash Flow Statement'!S3,Summary!$C$38*12,Summary!$C$32,0,0)</f>
        <v>-145618.07710533825</v>
      </c>
      <c r="T28" s="84">
        <f>IPMT(Summary!$C$36/12,'Monthly Cash Flow Statement'!T3,Summary!$C$38*12,Summary!$C$32,0,0)</f>
        <v>-145368.83086628097</v>
      </c>
      <c r="U28" s="84">
        <f>IPMT(Summary!$C$36/12,'Monthly Cash Flow Statement'!U3,Summary!$C$38*12,Summary!$C$32,0,0)</f>
        <v>-145118.88881480636</v>
      </c>
      <c r="V28" s="84">
        <f>IPMT(Summary!$C$36/12,'Monthly Cash Flow Statement'!V3,Summary!$C$38*12,Summary!$C$32,0,0)</f>
        <v>-144868.249008438</v>
      </c>
      <c r="W28" s="84">
        <f>IPMT(Summary!$C$36/12,'Monthly Cash Flow Statement'!W3,Summary!$C$38*12,Summary!$C$32,0,0)</f>
        <v>-144616.90949927684</v>
      </c>
      <c r="X28" s="84">
        <f>IPMT(Summary!$C$36/12,'Monthly Cash Flow Statement'!X3,Summary!$C$38*12,Summary!$C$32,0,0)</f>
        <v>-144364.868333986</v>
      </c>
      <c r="Y28" s="84">
        <f>IPMT(Summary!$C$36/12,'Monthly Cash Flow Statement'!Y3,Summary!$C$38*12,Summary!$C$32,0,0)</f>
        <v>-144112.12355377534</v>
      </c>
      <c r="Z28" s="84">
        <f>IPMT(Summary!$C$36/12,'Monthly Cash Flow Statement'!Z3,Summary!$C$38*12,Summary!$C$32,0,0)</f>
        <v>-143858.67319438662</v>
      </c>
      <c r="AA28" s="84">
        <f>IPMT(Summary!$C$36/12,'Monthly Cash Flow Statement'!AA3,Summary!$C$38*12,Summary!$C$32,0,0)</f>
        <v>-143604.51528607792</v>
      </c>
      <c r="AB28" s="84">
        <f>IPMT(Summary!$C$36/12,'Monthly Cash Flow Statement'!AB3,Summary!$C$38*12,Summary!$C$32,0,0)</f>
        <v>-143349.64785360851</v>
      </c>
      <c r="AC28" s="84">
        <f>IPMT(Summary!$C$36/12,'Monthly Cash Flow Statement'!AC3,Summary!$C$38*12,Summary!$C$32,0,0)</f>
        <v>-143094.06891622348</v>
      </c>
      <c r="AD28" s="84">
        <f>IPMT(Summary!$C$36/12,'Monthly Cash Flow Statement'!AD3,Summary!$C$38*12,Summary!$C$32,0,0)</f>
        <v>-142837.77648763824</v>
      </c>
      <c r="AE28" s="84">
        <f>IPMT(Summary!$C$36/12,'Monthly Cash Flow Statement'!AE3,Summary!$C$38*12,Summary!$C$32,0,0)</f>
        <v>-142580.76857602323</v>
      </c>
      <c r="AF28" s="84">
        <f>IPMT(Summary!$C$36/12,'Monthly Cash Flow Statement'!AF3,Summary!$C$38*12,Summary!$C$32,0,0)</f>
        <v>-142323.04318398828</v>
      </c>
      <c r="AG28" s="84">
        <f>IPMT(Summary!$C$36/12,'Monthly Cash Flow Statement'!AG3,Summary!$C$38*12,Summary!$C$32,0,0)</f>
        <v>-142064.59830856722</v>
      </c>
      <c r="AH28" s="84">
        <f>IPMT(Summary!$C$36/12,'Monthly Cash Flow Statement'!AH3,Summary!$C$38*12,Summary!$C$32,0,0)</f>
        <v>-141805.43194120226</v>
      </c>
      <c r="AI28" s="84">
        <f>IPMT(Summary!$C$36/12,'Monthly Cash Flow Statement'!AI3,Summary!$C$38*12,Summary!$C$32,0,0)</f>
        <v>-141545.54206772844</v>
      </c>
      <c r="AJ28" s="84">
        <f>IPMT(Summary!$C$36/12,'Monthly Cash Flow Statement'!AJ3,Summary!$C$38*12,Summary!$C$32,0,0)</f>
        <v>-141284.92666835783</v>
      </c>
      <c r="AK28" s="84">
        <f>IPMT(Summary!$C$36/12,'Monthly Cash Flow Statement'!AK3,Summary!$C$38*12,Summary!$C$32,0,0)</f>
        <v>-141023.58371766395</v>
      </c>
      <c r="AL28" s="84">
        <f>IPMT(Summary!$C$36/12,'Monthly Cash Flow Statement'!AL3,Summary!$C$38*12,Summary!$C$32,0,0)</f>
        <v>-140761.5111845661</v>
      </c>
      <c r="AM28" s="84">
        <f>IPMT(Summary!$C$36/12,'Monthly Cash Flow Statement'!AM3,Summary!$C$38*12,Summary!$C$32,0,0)</f>
        <v>-140498.70703231331</v>
      </c>
      <c r="AN28" s="84">
        <f>IPMT(Summary!$C$36/12,'Monthly Cash Flow Statement'!AN3,Summary!$C$38*12,Summary!$C$32,0,0)</f>
        <v>-140235.16921846883</v>
      </c>
      <c r="AO28" s="84">
        <f>IPMT(Summary!$C$36/12,'Monthly Cash Flow Statement'!AO3,Summary!$C$38*12,Summary!$C$32,0,0)</f>
        <v>-139970.89569489402</v>
      </c>
      <c r="AP28" s="84">
        <f>IPMT(Summary!$C$36/12,'Monthly Cash Flow Statement'!AP3,Summary!$C$38*12,Summary!$C$32,0,0)</f>
        <v>-139705.88440773261</v>
      </c>
      <c r="AQ28" s="84">
        <f>IPMT(Summary!$C$36/12,'Monthly Cash Flow Statement'!AQ3,Summary!$C$38*12,Summary!$C$32,0,0)</f>
        <v>-139440.13329739447</v>
      </c>
      <c r="AR28" s="84">
        <f>IPMT(Summary!$C$36/12,'Monthly Cash Flow Statement'!AR3,Summary!$C$38*12,Summary!$C$32,0,0)</f>
        <v>-139173.64029854003</v>
      </c>
      <c r="AS28" s="84">
        <f>IPMT(Summary!$C$36/12,'Monthly Cash Flow Statement'!AS3,Summary!$C$38*12,Summary!$C$32,0,0)</f>
        <v>-138906.40334006379</v>
      </c>
      <c r="AT28" s="84">
        <f>IPMT(Summary!$C$36/12,'Monthly Cash Flow Statement'!AT3,Summary!$C$38*12,Summary!$C$32,0,0)</f>
        <v>-138638.4203450784</v>
      </c>
      <c r="AU28" s="84">
        <f>IPMT(Summary!$C$36/12,'Monthly Cash Flow Statement'!AU3,Summary!$C$38*12,Summary!$C$32,0,0)</f>
        <v>-138369.6892308988</v>
      </c>
      <c r="AV28" s="84">
        <f>IPMT(Summary!$C$36/12,'Monthly Cash Flow Statement'!AV3,Summary!$C$38*12,Summary!$C$32,0,0)</f>
        <v>-138100.20790902531</v>
      </c>
      <c r="AW28" s="84">
        <f>IPMT(Summary!$C$36/12,'Monthly Cash Flow Statement'!AW3,Summary!$C$38*12,Summary!$C$32,0,0)</f>
        <v>-137829.97428512832</v>
      </c>
      <c r="AX28" s="84">
        <f>IPMT(Summary!$C$36/12,'Monthly Cash Flow Statement'!AX3,Summary!$C$38*12,Summary!$C$32,0,0)</f>
        <v>-137558.98625903128</v>
      </c>
      <c r="AY28" s="84">
        <f>IPMT(Summary!$C$36/12,'Monthly Cash Flow Statement'!AY3,Summary!$C$38*12,Summary!$C$32,0,0)</f>
        <v>-137287.2417246947</v>
      </c>
      <c r="AZ28" s="84">
        <f>IPMT(Summary!$C$36/12,'Monthly Cash Flow Statement'!AZ3,Summary!$C$38*12,Summary!$C$32,0,0)</f>
        <v>-137014.73857019978</v>
      </c>
      <c r="BA28" s="84">
        <f>IPMT(Summary!$C$36/12,'Monthly Cash Flow Statement'!BA3,Summary!$C$38*12,Summary!$C$32,0,0)</f>
        <v>-136741.47467773195</v>
      </c>
      <c r="BB28" s="84">
        <f>IPMT(Summary!$C$36/12,'Monthly Cash Flow Statement'!BB3,Summary!$C$38*12,Summary!$C$32,0,0)</f>
        <v>-136467.44792356424</v>
      </c>
      <c r="BC28" s="84">
        <f>IPMT(Summary!$C$36/12,'Monthly Cash Flow Statement'!BC3,Summary!$C$38*12,Summary!$C$32,0,0)</f>
        <v>-136192.65617804119</v>
      </c>
      <c r="BD28" s="84">
        <f>IPMT(Summary!$C$36/12,'Monthly Cash Flow Statement'!BD3,Summary!$C$38*12,Summary!$C$32,0,0)</f>
        <v>-135917.09730556185</v>
      </c>
      <c r="BE28" s="84">
        <f>IPMT(Summary!$C$36/12,'Monthly Cash Flow Statement'!BE3,Summary!$C$38*12,Summary!$C$32,0,0)</f>
        <v>-135640.76916456351</v>
      </c>
      <c r="BF28" s="84">
        <f>IPMT(Summary!$C$36/12,'Monthly Cash Flow Statement'!BF3,Summary!$C$38*12,Summary!$C$32,0,0)</f>
        <v>-135363.66960750491</v>
      </c>
      <c r="BG28" s="84">
        <f>IPMT(Summary!$C$36/12,'Monthly Cash Flow Statement'!BG3,Summary!$C$38*12,Summary!$C$32,0,0)</f>
        <v>-135085.7964808495</v>
      </c>
      <c r="BH28" s="84">
        <f>IPMT(Summary!$C$36/12,'Monthly Cash Flow Statement'!BH3,Summary!$C$38*12,Summary!$C$32,0,0)</f>
        <v>-134807.14762504885</v>
      </c>
      <c r="BI28" s="84">
        <f>IPMT(Summary!$C$36/12,'Monthly Cash Flow Statement'!BI3,Summary!$C$38*12,Summary!$C$32,0,0)</f>
        <v>-134527.72087452575</v>
      </c>
      <c r="BJ28" s="84">
        <f>IPMT(Summary!$C$36/12,'Monthly Cash Flow Statement'!BJ3,Summary!$C$38*12,Summary!$C$32,0,0)</f>
        <v>-134247.51405765745</v>
      </c>
      <c r="BK28" s="84">
        <f>IPMT(Summary!$C$36/12,'Monthly Cash Flow Statement'!BK3,Summary!$C$38*12,Summary!$C$32,0,0)</f>
        <v>-133966.52499675873</v>
      </c>
      <c r="BL28" s="84">
        <f>IPMT(Summary!$C$36/12,'Monthly Cash Flow Statement'!BL3,Summary!$C$38*12,Summary!$C$32,0,0)</f>
        <v>-133684.751508065</v>
      </c>
      <c r="BM28" s="84">
        <f>IPMT(Summary!$C$36/12,'Monthly Cash Flow Statement'!BM3,Summary!$C$38*12,Summary!$C$32,0,0)</f>
        <v>-133402.1914017153</v>
      </c>
      <c r="BN28" s="84">
        <f>IPMT(Summary!$C$36/12,'Monthly Cash Flow Statement'!BN3,Summary!$C$38*12,Summary!$C$32,0,0)</f>
        <v>-133118.8424817354</v>
      </c>
      <c r="BO28" s="84">
        <f>IPMT(Summary!$C$36/12,'Monthly Cash Flow Statement'!BO3,Summary!$C$38*12,Summary!$C$32,0,0)</f>
        <v>-132834.70254602059</v>
      </c>
      <c r="BP28" s="84">
        <f>IPMT(Summary!$C$36/12,'Monthly Cash Flow Statement'!BP3,Summary!$C$38*12,Summary!$C$32,0,0)</f>
        <v>-132549.76938631851</v>
      </c>
      <c r="BQ28" s="84">
        <f>IPMT(Summary!$C$36/12,'Monthly Cash Flow Statement'!BQ3,Summary!$C$38*12,Summary!$C$32,0,0)</f>
        <v>-132264.04078821233</v>
      </c>
      <c r="BR28" s="84">
        <f>IPMT(Summary!$C$36/12,'Monthly Cash Flow Statement'!BR3,Summary!$C$38*12,Summary!$C$32,0,0)</f>
        <v>-131977.51453110305</v>
      </c>
      <c r="BS28" s="84">
        <f>IPMT(Summary!$C$36/12,'Monthly Cash Flow Statement'!BS3,Summary!$C$38*12,Summary!$C$32,0,0)</f>
        <v>-131690.18838819271</v>
      </c>
      <c r="BT28" s="84">
        <f>IPMT(Summary!$C$36/12,'Monthly Cash Flow Statement'!BT3,Summary!$C$38*12,Summary!$C$32,0,0)</f>
        <v>-131402.06012646671</v>
      </c>
      <c r="BU28" s="84">
        <f>IPMT(Summary!$C$36/12,'Monthly Cash Flow Statement'!BU3,Summary!$C$38*12,Summary!$C$32,0,0)</f>
        <v>-131113.12750667671</v>
      </c>
      <c r="BV28" s="84">
        <f>IPMT(Summary!$C$36/12,'Monthly Cash Flow Statement'!BV3,Summary!$C$38*12,Summary!$C$32,0,0)</f>
        <v>-130823.38828332319</v>
      </c>
      <c r="BW28" s="84">
        <f>IPMT(Summary!$C$36/12,'Monthly Cash Flow Statement'!BW3,Summary!$C$38*12,Summary!$C$32,0,0)</f>
        <v>-130532.84020463776</v>
      </c>
      <c r="BX28" s="84">
        <f>IPMT(Summary!$C$36/12,'Monthly Cash Flow Statement'!BX3,Summary!$C$38*12,Summary!$C$32,0,0)</f>
        <v>-130241.48101256603</v>
      </c>
      <c r="BY28" s="167">
        <f>IPMT(Summary!$C$36/12,'Monthly Cash Flow Statement'!BY3,Summary!$C$38*12,Summary!$C$32,0,0)</f>
        <v>-129949.30844274975</v>
      </c>
    </row>
    <row r="29" spans="2:77 16384:16384" x14ac:dyDescent="0.15">
      <c r="B29" s="18"/>
      <c r="C29" s="18"/>
      <c r="D29" s="162" t="s">
        <v>667</v>
      </c>
      <c r="E29" s="68"/>
      <c r="F29" s="107">
        <f>SUM(F24:F28)</f>
        <v>443103.99700000009</v>
      </c>
      <c r="G29" s="107">
        <f>SUM(G24:G28)</f>
        <v>444693.63315864303</v>
      </c>
      <c r="H29" s="107">
        <f>SUM(H24:H28)</f>
        <v>446287.41943411587</v>
      </c>
      <c r="I29" s="107">
        <f>SUM(I24:I28)</f>
        <v>447885.36662280664</v>
      </c>
      <c r="J29" s="107">
        <f>SUM(J24:J28)</f>
        <v>449487.48554911534</v>
      </c>
      <c r="K29" s="107">
        <f>SUM(K24:K28)</f>
        <v>451093.78706552676</v>
      </c>
      <c r="L29" s="107">
        <f>SUM(L24:L28)</f>
        <v>452704.28205268306</v>
      </c>
      <c r="M29" s="107">
        <f>SUM(M24:M28)</f>
        <v>454318.98141945625</v>
      </c>
      <c r="N29" s="107">
        <f>SUM(N24:N28)</f>
        <v>455937.89610302215</v>
      </c>
      <c r="O29" s="107">
        <f>SUM(O24:O28)</f>
        <v>457561.03706893313</v>
      </c>
      <c r="P29" s="107">
        <f>SUM(P24:P28)</f>
        <v>459188.41531119158</v>
      </c>
      <c r="Q29" s="107">
        <f>SUM(Q24:Q28)</f>
        <v>460820.0418523238</v>
      </c>
      <c r="R29" s="107">
        <f>SUM(R24:R28)</f>
        <v>462455.927743454</v>
      </c>
      <c r="S29" s="107">
        <f>SUM(S24:S28)</f>
        <v>464096.08406437759</v>
      </c>
      <c r="T29" s="107">
        <f>SUM(T24:T28)</f>
        <v>465740.52192363632</v>
      </c>
      <c r="U29" s="107">
        <f>SUM(U24:U28)</f>
        <v>467389.25245859241</v>
      </c>
      <c r="V29" s="107">
        <f>SUM(V24:V28)</f>
        <v>469042.2868355033</v>
      </c>
      <c r="W29" s="107">
        <f>SUM(W24:W28)</f>
        <v>470699.63624959573</v>
      </c>
      <c r="X29" s="107">
        <f>SUM(X24:X28)</f>
        <v>472361.31192514161</v>
      </c>
      <c r="Y29" s="107">
        <f>SUM(Y24:Y28)</f>
        <v>474027.32511553331</v>
      </c>
      <c r="Z29" s="107">
        <f>SUM(Z24:Z28)</f>
        <v>475697.68710335891</v>
      </c>
      <c r="AA29" s="107">
        <f>SUM(AA24:AA28)</f>
        <v>477372.40920047666</v>
      </c>
      <c r="AB29" s="107">
        <f>SUM(AB24:AB28)</f>
        <v>479051.50274809252</v>
      </c>
      <c r="AC29" s="107">
        <f>SUM(AC24:AC28)</f>
        <v>480734.97911683517</v>
      </c>
      <c r="AD29" s="107">
        <f>SUM(AD24:AD28)</f>
        <v>390360.31420294032</v>
      </c>
      <c r="AE29" s="107">
        <f>SUM(AE24:AE28)</f>
        <v>391795.5825322803</v>
      </c>
      <c r="AF29" s="107">
        <f>SUM(AF24:AF28)</f>
        <v>393234.5504915138</v>
      </c>
      <c r="AG29" s="107">
        <f>SUM(AG24:AG28)</f>
        <v>394677.22756675887</v>
      </c>
      <c r="AH29" s="107">
        <f>SUM(AH24:AH28)</f>
        <v>396123.62326834805</v>
      </c>
      <c r="AI29" s="107">
        <f>SUM(AI24:AI28)</f>
        <v>397573.74713088921</v>
      </c>
      <c r="AJ29" s="107">
        <f>SUM(AJ24:AJ28)</f>
        <v>399027.60871332884</v>
      </c>
      <c r="AK29" s="107">
        <f>SUM(AK24:AK28)</f>
        <v>400485.21759901155</v>
      </c>
      <c r="AL29" s="107">
        <f>SUM(AL24:AL28)</f>
        <v>401946.58339574432</v>
      </c>
      <c r="AM29" s="107">
        <f>SUM(AM24:AM28)</f>
        <v>403411.71573585714</v>
      </c>
      <c r="AN29" s="107">
        <f>SUM(AN24:AN28)</f>
        <v>404880.62427626667</v>
      </c>
      <c r="AO29" s="107">
        <f>SUM(AO24:AO28)</f>
        <v>406353.31869853823</v>
      </c>
      <c r="AP29" s="107">
        <f>SUM(AP24:AP28)</f>
        <v>407829.80870894762</v>
      </c>
      <c r="AQ29" s="107">
        <f>SUM(AQ24:AQ28)</f>
        <v>409310.10403854528</v>
      </c>
      <c r="AR29" s="107">
        <f>SUM(AR24:AR28)</f>
        <v>410794.21444321866</v>
      </c>
      <c r="AS29" s="107">
        <f>SUM(AS24:AS28)</f>
        <v>412282.14970375504</v>
      </c>
      <c r="AT29" s="107">
        <f>SUM(AT24:AT28)</f>
        <v>413773.9196259054</v>
      </c>
      <c r="AU29" s="107">
        <f>SUM(AU24:AU28)</f>
        <v>415269.53404044773</v>
      </c>
      <c r="AV29" s="107">
        <f>SUM(AV24:AV28)</f>
        <v>416769.00280325132</v>
      </c>
      <c r="AW29" s="107">
        <f>SUM(AW24:AW28)</f>
        <v>418272.33579533803</v>
      </c>
      <c r="AX29" s="107">
        <f>SUM(AX24:AX28)</f>
        <v>419779.54292295041</v>
      </c>
      <c r="AY29" s="107">
        <f>SUM(AY24:AY28)</f>
        <v>421290.63411761145</v>
      </c>
      <c r="AZ29" s="107">
        <f>SUM(AZ24:AZ28)</f>
        <v>422805.61933619203</v>
      </c>
      <c r="BA29" s="107">
        <f>SUM(BA24:BA28)</f>
        <v>424324.50856097403</v>
      </c>
      <c r="BB29" s="107">
        <f>SUM(BB24:BB28)</f>
        <v>425847.31179971516</v>
      </c>
      <c r="BC29" s="107">
        <f>SUM(BC24:BC28)</f>
        <v>427374.03908571374</v>
      </c>
      <c r="BD29" s="107">
        <f>SUM(BD24:BD28)</f>
        <v>428904.70047787298</v>
      </c>
      <c r="BE29" s="107">
        <f>SUM(BE24:BE28)</f>
        <v>430439.30606076762</v>
      </c>
      <c r="BF29" s="107">
        <f>SUM(BF24:BF28)</f>
        <v>431977.86594470794</v>
      </c>
      <c r="BG29" s="107">
        <f>SUM(BG24:BG28)</f>
        <v>433520.39026580472</v>
      </c>
      <c r="BH29" s="107">
        <f>SUM(BH24:BH28)</f>
        <v>435066.88918603724</v>
      </c>
      <c r="BI29" s="107">
        <f>SUM(BI24:BI28)</f>
        <v>436617.37289331632</v>
      </c>
      <c r="BJ29" s="107">
        <f>SUM(BJ24:BJ28)</f>
        <v>438171.85160155105</v>
      </c>
      <c r="BK29" s="107">
        <f>SUM(BK24:BK28)</f>
        <v>439730.33555071632</v>
      </c>
      <c r="BL29" s="107">
        <f>SUM(BL24:BL28)</f>
        <v>441292.83500691655</v>
      </c>
      <c r="BM29" s="107">
        <f>SUM(BM24:BM28)</f>
        <v>442859.36026245554</v>
      </c>
      <c r="BN29" s="107">
        <f>SUM(BN24:BN28)</f>
        <v>444429.92163589888</v>
      </c>
      <c r="BO29" s="107">
        <f>SUM(BO24:BO28)</f>
        <v>446004.52947214397</v>
      </c>
      <c r="BP29" s="107">
        <f>SUM(BP24:BP28)</f>
        <v>447583.19414248655</v>
      </c>
      <c r="BQ29" s="107">
        <f>SUM(BQ24:BQ28)</f>
        <v>449165.92604468495</v>
      </c>
      <c r="BR29" s="107">
        <f>SUM(BR24:BR28)</f>
        <v>450752.73560303205</v>
      </c>
      <c r="BS29" s="107">
        <f>SUM(BS24:BS28)</f>
        <v>452343.63326841884</v>
      </c>
      <c r="BT29" s="107">
        <f>SUM(BT24:BT28)</f>
        <v>453938.62951840332</v>
      </c>
      <c r="BU29" s="107">
        <f>SUM(BU24:BU28)</f>
        <v>455537.73485727923</v>
      </c>
      <c r="BV29" s="107">
        <f>SUM(BV24:BV28)</f>
        <v>457140.95981614216</v>
      </c>
      <c r="BW29" s="107">
        <f>SUM(BW24:BW28)</f>
        <v>458748.31495295954</v>
      </c>
      <c r="BX29" s="107">
        <f>SUM(BX24:BX28)</f>
        <v>460359.81085263833</v>
      </c>
      <c r="BY29" s="168">
        <f>SUM(BY24:BY28)</f>
        <v>461975.45812709152</v>
      </c>
    </row>
    <row r="30" spans="2:77 16384:16384" x14ac:dyDescent="0.15">
      <c r="D30" s="76" t="s">
        <v>668</v>
      </c>
      <c r="E30" s="47">
        <f>-Summary!C16</f>
        <v>-75000000</v>
      </c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>
        <v>0</v>
      </c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7"/>
    </row>
    <row r="31" spans="2:77 16384:16384" x14ac:dyDescent="0.15">
      <c r="D31" s="76" t="s">
        <v>669</v>
      </c>
      <c r="E31" s="47">
        <f>-Summary!F18</f>
        <v>-750000</v>
      </c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>
        <v>0</v>
      </c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7"/>
    </row>
    <row r="32" spans="2:77 16384:16384" x14ac:dyDescent="0.15">
      <c r="D32" s="76" t="s">
        <v>670</v>
      </c>
      <c r="E32" s="47">
        <f>IF(E3=Summary!$C$26,((SUM(F24:Q24)/Summary!$C$27)),0)</f>
        <v>0</v>
      </c>
      <c r="F32" s="47">
        <f>IF(F3=Summary!$C$26,((SUM(G24:R24)/Summary!$C$27)),0)</f>
        <v>0</v>
      </c>
      <c r="G32" s="47">
        <f>IF(G3=Summary!$C$26,((SUM(H24:S24)/Summary!$C$27)),0)</f>
        <v>0</v>
      </c>
      <c r="H32" s="47">
        <f>IF(H3=Summary!$C$26,((SUM(I24:T24)/Summary!$C$27)),0)</f>
        <v>0</v>
      </c>
      <c r="I32" s="47">
        <f>IF(I3=Summary!$C$26,((SUM(J24:U24)/Summary!$C$27)),0)</f>
        <v>0</v>
      </c>
      <c r="J32" s="47">
        <f>IF(J3=Summary!$C$26,((SUM(K24:V24)/Summary!$C$27)),0)</f>
        <v>0</v>
      </c>
      <c r="K32" s="47">
        <f>IF(K3=Summary!$C$26,((SUM(L24:W24)/Summary!$C$27)),0)</f>
        <v>0</v>
      </c>
      <c r="L32" s="47">
        <f>IF(L3=Summary!$C$26,((SUM(M24:X24)/Summary!$C$27)),0)</f>
        <v>0</v>
      </c>
      <c r="M32" s="47">
        <f>IF(M3=Summary!$C$26,((SUM(N24:Y24)/Summary!$C$27)),0)</f>
        <v>0</v>
      </c>
      <c r="N32" s="47">
        <f>IF(N3=Summary!$C$26,((SUM(O24:Z24)/Summary!$C$27)),0)</f>
        <v>0</v>
      </c>
      <c r="O32" s="47">
        <f>IF(O3=Summary!$C$26,((SUM(P24:AA24)/Summary!$C$27)),0)</f>
        <v>0</v>
      </c>
      <c r="P32" s="47">
        <f>IF(P3=Summary!$C$26,((SUM(Q24:AB24)/Summary!$C$27)),0)</f>
        <v>0</v>
      </c>
      <c r="Q32" s="47">
        <f>IF(Q3=Summary!$C$26,((SUM(R24:AC24)/Summary!$C$27)),0)</f>
        <v>0</v>
      </c>
      <c r="R32" s="47">
        <f>IF(R3=Summary!$C$26,((SUM(S24:AD24)/Summary!$C$27)),0)</f>
        <v>0</v>
      </c>
      <c r="S32" s="47">
        <f>IF(S3=Summary!$C$26,((SUM(T24:AE24)/Summary!$C$27)),0)</f>
        <v>0</v>
      </c>
      <c r="T32" s="47">
        <f>IF(T3=Summary!$C$26,((SUM(U24:AF24)/Summary!$C$27)),0)</f>
        <v>0</v>
      </c>
      <c r="U32" s="47">
        <f>IF(U3=Summary!$C$26,((SUM(V24:AG24)/Summary!$C$27)),0)</f>
        <v>0</v>
      </c>
      <c r="V32" s="47">
        <f>IF(V3=Summary!$C$26,((SUM(W24:AH24)/Summary!$C$27)),0)</f>
        <v>0</v>
      </c>
      <c r="W32" s="47">
        <f>IF(W3=Summary!$C$26,((SUM(X24:AI24)/Summary!$C$27)),0)</f>
        <v>0</v>
      </c>
      <c r="X32" s="47">
        <f>IF(X3=Summary!$C$26,((SUM(Y24:AJ24)/Summary!$C$27)),0)</f>
        <v>0</v>
      </c>
      <c r="Y32" s="47">
        <f>IF(Y3=Summary!$C$26,((SUM(Z24:AK24)/Summary!$C$27)),0)</f>
        <v>0</v>
      </c>
      <c r="Z32" s="47">
        <f>IF(Z3=Summary!$C$26,((SUM(AA24:AL24)/Summary!$C$27)),0)</f>
        <v>0</v>
      </c>
      <c r="AA32" s="47">
        <f>IF(AA3=Summary!$C$26,((SUM(AB24:AM24)/Summary!$C$27)),0)</f>
        <v>0</v>
      </c>
      <c r="AB32" s="47">
        <f>IF(AB3=Summary!$C$26,((SUM(AC24:AN24)/Summary!$C$27)),0)</f>
        <v>0</v>
      </c>
      <c r="AC32" s="47">
        <f>IF(AC3=Summary!$C$26,((SUM(AD24:AO24)/Summary!$C$27)),0)</f>
        <v>0</v>
      </c>
      <c r="AD32" s="47">
        <f>IF(AD3=Summary!$C$26,((SUM(AE24:AP24)/Summary!$C$27)),0)</f>
        <v>0</v>
      </c>
      <c r="AE32" s="47">
        <f>IF(AE3=Summary!$C$26,((SUM(AF24:AQ24)/Summary!$C$27)),0)</f>
        <v>0</v>
      </c>
      <c r="AF32" s="47">
        <f>IF(AF3=Summary!$C$26,((SUM(AG24:AR24)/Summary!$C$27)),0)</f>
        <v>0</v>
      </c>
      <c r="AG32" s="47">
        <f>IF(AG3=Summary!$C$26,((SUM(AH24:AS24)/Summary!$C$27)),0)</f>
        <v>0</v>
      </c>
      <c r="AH32" s="47">
        <f>IF(AH3=Summary!$C$26,((SUM(AI24:AT24)/Summary!$C$27)),0)</f>
        <v>0</v>
      </c>
      <c r="AI32" s="47">
        <f>IF(AI3=Summary!$C$26,((SUM(AJ24:AU24)/Summary!$C$27)),0)</f>
        <v>0</v>
      </c>
      <c r="AJ32" s="47">
        <f>IF(AJ3=Summary!$C$26,((SUM(AK24:AV24)/Summary!$C$27)),0)</f>
        <v>0</v>
      </c>
      <c r="AK32" s="47">
        <f>IF(AK3=Summary!$C$26,((SUM(AL24:AW24)/Summary!$C$27)),0)</f>
        <v>0</v>
      </c>
      <c r="AL32" s="47">
        <f>IF(AL3=Summary!$C$26,((SUM(AM24:AX24)/Summary!$C$27)),0)</f>
        <v>0</v>
      </c>
      <c r="AM32" s="47">
        <f>IF(AM3=Summary!$C$26,((SUM(AN24:AY24)/Summary!$C$27)),0)</f>
        <v>0</v>
      </c>
      <c r="AN32" s="47">
        <f>IF(AN3=Summary!$C$26,((SUM(AO24:AZ24)/Summary!$C$27)),0)</f>
        <v>0</v>
      </c>
      <c r="AO32" s="47">
        <f>IF(AO3=Summary!$C$26,((SUM(AP24:BA24)/Summary!$C$27)),0)</f>
        <v>66085491.6920093</v>
      </c>
      <c r="AP32" s="47">
        <f>IF(AP3=Summary!$C$26,((SUM(AQ24:BB24)/Summary!$C$27)),0)</f>
        <v>0</v>
      </c>
      <c r="AQ32" s="47">
        <f>IF(AQ3=Summary!$C$26,((SUM(AR24:BC24)/Summary!$C$27)),0)</f>
        <v>0</v>
      </c>
      <c r="AR32" s="47">
        <f>IF(AR3=Summary!$C$26,((SUM(AS24:BD24)/Summary!$C$27)),0)</f>
        <v>0</v>
      </c>
      <c r="AS32" s="47">
        <f>IF(AS3=Summary!$C$26,((SUM(AT24:BE24)/Summary!$C$27)),0)</f>
        <v>0</v>
      </c>
      <c r="AT32" s="47">
        <f>IF(AT3=Summary!$C$26,((SUM(AU24:BF24)/Summary!$C$27)),0)</f>
        <v>0</v>
      </c>
      <c r="AU32" s="47">
        <f>IF(AU3=Summary!$C$26,((SUM(AV24:BG24)/Summary!$C$27)),0)</f>
        <v>0</v>
      </c>
      <c r="AV32" s="47">
        <f>IF(AV3=Summary!$C$26,((SUM(AW24:BH24)/Summary!$C$27)),0)</f>
        <v>0</v>
      </c>
      <c r="AW32" s="47">
        <f>IF(AW3=Summary!$C$26,((SUM(AX24:BI24)/Summary!$C$27)),0)</f>
        <v>0</v>
      </c>
      <c r="AX32" s="47">
        <f>IF(AX3=Summary!$C$26,((SUM(AY24:BJ24)/Summary!$C$27)),0)</f>
        <v>0</v>
      </c>
      <c r="AY32" s="47">
        <f>IF(AY3=Summary!$C$26,((SUM(AZ24:BK24)/Summary!$C$27)),0)</f>
        <v>0</v>
      </c>
      <c r="AZ32" s="47">
        <f>IF(AZ3=Summary!$C$26,((SUM(BA24:BL24)/Summary!$C$27)),0)</f>
        <v>0</v>
      </c>
      <c r="BA32" s="47">
        <f>IF(BA3=Summary!$C$26,((SUM(BB24:BM24)/Summary!$C$27)),0)</f>
        <v>0</v>
      </c>
      <c r="BB32" s="47">
        <f>IF(BB3=Summary!$C$26,((SUM(BC24:BN24)/Summary!$C$27)),0)</f>
        <v>0</v>
      </c>
      <c r="BC32" s="47">
        <f>IF(BC3=Summary!$C$26,((SUM(BD24:BO24)/Summary!$C$27)),0)</f>
        <v>0</v>
      </c>
      <c r="BD32" s="47">
        <f>IF(BD3=Summary!$C$26,((SUM(BE24:BP24)/Summary!$C$27)),0)</f>
        <v>0</v>
      </c>
      <c r="BE32" s="47">
        <f>IF(BE3=Summary!$C$26,((SUM(BF24:BQ24)/Summary!$C$27)),0)</f>
        <v>0</v>
      </c>
      <c r="BF32" s="47">
        <f>IF(BF3=Summary!$C$26,((SUM(BG24:BR24)/Summary!$C$27)),0)</f>
        <v>0</v>
      </c>
      <c r="BG32" s="47">
        <f>IF(BG3=Summary!$C$26,((SUM(BH24:BS24)/Summary!$C$27)),0)</f>
        <v>0</v>
      </c>
      <c r="BH32" s="47">
        <f>IF(BH3=Summary!$C$26,((SUM(BI24:BT24)/Summary!$C$27)),0)</f>
        <v>0</v>
      </c>
      <c r="BI32" s="47">
        <f>IF(BI3=Summary!$C$26,((SUM(BJ24:BU24)/Summary!$C$27)),0)</f>
        <v>0</v>
      </c>
      <c r="BJ32" s="47">
        <f>IF(BJ3=Summary!$C$26,((SUM(BK24:BV24)/Summary!$C$27)),0)</f>
        <v>0</v>
      </c>
      <c r="BK32" s="47">
        <f>IF(BK3=Summary!$C$26,((SUM(BL24:BW24)/Summary!$C$27)),0)</f>
        <v>0</v>
      </c>
      <c r="BL32" s="47">
        <f>IF(BL3=Summary!$C$26,((SUM(BM24:BX24)/Summary!$C$27)),0)</f>
        <v>0</v>
      </c>
      <c r="BM32" s="47">
        <f>IF(BM3=Summary!$C$26,((SUM(BN24:BY24)/Summary!$C$27)),0)</f>
        <v>0</v>
      </c>
      <c r="BN32" s="47">
        <f>IF(BN3=Summary!$C$26,((SUM(BO29:BZ29)/Summary!$C$27)),0)</f>
        <v>0</v>
      </c>
      <c r="BO32" s="47">
        <f>IF(BO3=Summary!$C$26,((SUM(BP29:CA29)/Summary!$C$27)),0)</f>
        <v>0</v>
      </c>
      <c r="BP32" s="47">
        <f>IF(BP3=Summary!$C$26,((SUM(BQ29:CB29)/Summary!$C$27)),0)</f>
        <v>0</v>
      </c>
      <c r="BQ32" s="47">
        <f>IF(BQ3=Summary!$C$26,((SUM(BR29:CC29)/Summary!$C$27)),0)</f>
        <v>0</v>
      </c>
      <c r="BR32" s="47">
        <f>IF(BR3=Summary!$C$26,((SUM(BS29:CD29)/Summary!$C$27)),0)</f>
        <v>0</v>
      </c>
      <c r="BS32" s="47">
        <f>IF(BS3=Summary!$C$26,((SUM(BT29:CE29)/Summary!$C$27)),0)</f>
        <v>0</v>
      </c>
      <c r="BT32" s="47">
        <f>IF(BT3=Summary!$C$26,((SUM(BU29:CF29)/Summary!$C$27)),0)</f>
        <v>0</v>
      </c>
      <c r="BU32" s="47">
        <f>IF(BU3=Summary!$C$26,((SUM(BV29:CG29)/Summary!$C$27)),0)</f>
        <v>0</v>
      </c>
      <c r="BV32" s="47">
        <f>IF(BV3=Summary!$C$26,((SUM(BW29:CH29)/Summary!$C$27)),0)</f>
        <v>0</v>
      </c>
      <c r="BW32" s="47">
        <f>IF(BW3=Summary!$C$26,((SUM(BX29:CI29)/Summary!$C$27)),0)</f>
        <v>0</v>
      </c>
      <c r="BX32" s="47">
        <f>IF(BX3=Summary!$C$26,((SUM(BY29:CJ29)/Summary!$C$27)),0)</f>
        <v>0</v>
      </c>
      <c r="BY32" s="152">
        <f>IF(BY3=Summary!$C$26,((SUM(BZ29:CK29)/Summary!$C$27)),0)</f>
        <v>0</v>
      </c>
    </row>
    <row r="33" spans="4:77" x14ac:dyDescent="0.15">
      <c r="D33" s="85" t="s">
        <v>671</v>
      </c>
      <c r="E33" s="84">
        <f>E32*-Summary!$C$28</f>
        <v>0</v>
      </c>
      <c r="F33" s="84">
        <f>F32*-Summary!$C$28</f>
        <v>0</v>
      </c>
      <c r="G33" s="84">
        <f>G32*-Summary!$C$28</f>
        <v>0</v>
      </c>
      <c r="H33" s="84">
        <f>H32*-Summary!$C$28</f>
        <v>0</v>
      </c>
      <c r="I33" s="84">
        <f>I32*-Summary!$C$28</f>
        <v>0</v>
      </c>
      <c r="J33" s="84">
        <f>J32*-Summary!$C$28</f>
        <v>0</v>
      </c>
      <c r="K33" s="84">
        <f>K32*-Summary!$C$28</f>
        <v>0</v>
      </c>
      <c r="L33" s="84">
        <f>L32*-Summary!$C$28</f>
        <v>0</v>
      </c>
      <c r="M33" s="84">
        <f>M32*-Summary!$C$28</f>
        <v>0</v>
      </c>
      <c r="N33" s="84">
        <f>N32*-Summary!$C$28</f>
        <v>0</v>
      </c>
      <c r="O33" s="84">
        <f>O32*-Summary!$C$28</f>
        <v>0</v>
      </c>
      <c r="P33" s="84">
        <f>P32*-Summary!$C$28</f>
        <v>0</v>
      </c>
      <c r="Q33" s="84">
        <f>Q32*-Summary!$C$28</f>
        <v>0</v>
      </c>
      <c r="R33" s="84">
        <f>R32*-Summary!$C$28</f>
        <v>0</v>
      </c>
      <c r="S33" s="84">
        <f>S32*-Summary!$C$28</f>
        <v>0</v>
      </c>
      <c r="T33" s="84">
        <f>T32*-Summary!$C$28</f>
        <v>0</v>
      </c>
      <c r="U33" s="84">
        <f>U32*-Summary!$C$28</f>
        <v>0</v>
      </c>
      <c r="V33" s="84">
        <f>V32*-Summary!$C$28</f>
        <v>0</v>
      </c>
      <c r="W33" s="84">
        <f>W32*-Summary!$C$28</f>
        <v>0</v>
      </c>
      <c r="X33" s="84">
        <f>X32*-Summary!$C$28</f>
        <v>0</v>
      </c>
      <c r="Y33" s="84">
        <f>Y32*-Summary!$C$28</f>
        <v>0</v>
      </c>
      <c r="Z33" s="84">
        <f>Z32*-Summary!$C$28</f>
        <v>0</v>
      </c>
      <c r="AA33" s="84">
        <f>AA32*-Summary!$C$28</f>
        <v>0</v>
      </c>
      <c r="AB33" s="84">
        <f>AB32*-Summary!$C$28</f>
        <v>0</v>
      </c>
      <c r="AC33" s="84">
        <f>AC32*-Summary!$C$28</f>
        <v>0</v>
      </c>
      <c r="AD33" s="84">
        <f>AD32*-Summary!$C$28</f>
        <v>0</v>
      </c>
      <c r="AE33" s="84">
        <f>AE32*-Summary!$C$28</f>
        <v>0</v>
      </c>
      <c r="AF33" s="84">
        <f>AF32*-Summary!$C$28</f>
        <v>0</v>
      </c>
      <c r="AG33" s="84">
        <f>AG32*-Summary!$C$28</f>
        <v>0</v>
      </c>
      <c r="AH33" s="84">
        <f>AH32*-Summary!$C$28</f>
        <v>0</v>
      </c>
      <c r="AI33" s="84">
        <f>AI32*-Summary!$C$28</f>
        <v>0</v>
      </c>
      <c r="AJ33" s="84">
        <f>AJ32*-Summary!$C$28</f>
        <v>0</v>
      </c>
      <c r="AK33" s="84">
        <f>AK32*-Summary!$C$28</f>
        <v>0</v>
      </c>
      <c r="AL33" s="84">
        <f>AL32*-Summary!$C$28</f>
        <v>0</v>
      </c>
      <c r="AM33" s="84">
        <f>AM32*-Summary!$C$28</f>
        <v>0</v>
      </c>
      <c r="AN33" s="84">
        <f>AN32*-Summary!$C$28</f>
        <v>0</v>
      </c>
      <c r="AO33" s="84">
        <f>AO32*-Summary!$C$28</f>
        <v>-1321709.833840186</v>
      </c>
      <c r="AP33" s="84">
        <f>AP32*-Summary!$C$28</f>
        <v>0</v>
      </c>
      <c r="AQ33" s="84">
        <f>AQ32*-Summary!$C$28</f>
        <v>0</v>
      </c>
      <c r="AR33" s="84">
        <f>AR32*-Summary!$C$28</f>
        <v>0</v>
      </c>
      <c r="AS33" s="84">
        <f>AS32*-Summary!$C$28</f>
        <v>0</v>
      </c>
      <c r="AT33" s="84">
        <f>AT32*-Summary!$C$28</f>
        <v>0</v>
      </c>
      <c r="AU33" s="84">
        <f>AU32*-Summary!$C$28</f>
        <v>0</v>
      </c>
      <c r="AV33" s="84">
        <f>AV32*-Summary!$C$28</f>
        <v>0</v>
      </c>
      <c r="AW33" s="84">
        <f>AW32*-Summary!$C$28</f>
        <v>0</v>
      </c>
      <c r="AX33" s="84">
        <f>AX32*-Summary!$C$28</f>
        <v>0</v>
      </c>
      <c r="AY33" s="84">
        <f>AY32*-Summary!$C$28</f>
        <v>0</v>
      </c>
      <c r="AZ33" s="84">
        <f>AZ32*-Summary!$C$28</f>
        <v>0</v>
      </c>
      <c r="BA33" s="84">
        <f>BA32*-Summary!$C$28</f>
        <v>0</v>
      </c>
      <c r="BB33" s="84">
        <f>BB32*-Summary!$C$28</f>
        <v>0</v>
      </c>
      <c r="BC33" s="84">
        <f>BC32*-Summary!$C$28</f>
        <v>0</v>
      </c>
      <c r="BD33" s="84">
        <f>BD32*-Summary!$C$28</f>
        <v>0</v>
      </c>
      <c r="BE33" s="84">
        <f>BE32*-Summary!$C$28</f>
        <v>0</v>
      </c>
      <c r="BF33" s="84">
        <f>BF32*-Summary!$C$28</f>
        <v>0</v>
      </c>
      <c r="BG33" s="84">
        <f>BG32*-Summary!$C$28</f>
        <v>0</v>
      </c>
      <c r="BH33" s="84">
        <f>BH32*-Summary!$C$28</f>
        <v>0</v>
      </c>
      <c r="BI33" s="84">
        <f>BI32*-Summary!$C$28</f>
        <v>0</v>
      </c>
      <c r="BJ33" s="84">
        <f>BJ32*-Summary!$C$28</f>
        <v>0</v>
      </c>
      <c r="BK33" s="84">
        <f>BK32*-Summary!$C$28</f>
        <v>0</v>
      </c>
      <c r="BL33" s="84">
        <f>BL32*-Summary!$C$28</f>
        <v>0</v>
      </c>
      <c r="BM33" s="84">
        <f>BM32*-Summary!$C$28</f>
        <v>0</v>
      </c>
      <c r="BN33" s="84">
        <f>BN32*-Summary!$C$28</f>
        <v>0</v>
      </c>
      <c r="BO33" s="84">
        <f>BO32*-Summary!$C$28</f>
        <v>0</v>
      </c>
      <c r="BP33" s="84">
        <f>BP32*-Summary!$C$28</f>
        <v>0</v>
      </c>
      <c r="BQ33" s="84">
        <f>BQ32*-Summary!$C$28</f>
        <v>0</v>
      </c>
      <c r="BR33" s="84">
        <f>BR32*-Summary!$C$28</f>
        <v>0</v>
      </c>
      <c r="BS33" s="84">
        <f>BS32*-Summary!$C$28</f>
        <v>0</v>
      </c>
      <c r="BT33" s="84">
        <f>BT32*-Summary!$C$28</f>
        <v>0</v>
      </c>
      <c r="BU33" s="84">
        <f>BU32*-Summary!$C$28</f>
        <v>0</v>
      </c>
      <c r="BV33" s="84">
        <f>BV32*-Summary!$C$28</f>
        <v>0</v>
      </c>
      <c r="BW33" s="84">
        <f>BW32*-Summary!$C$28</f>
        <v>0</v>
      </c>
      <c r="BX33" s="84">
        <f>BX32*-Summary!$C$28</f>
        <v>0</v>
      </c>
      <c r="BY33" s="167">
        <f>BY32*-Summary!$C$28</f>
        <v>0</v>
      </c>
    </row>
    <row r="34" spans="4:77" x14ac:dyDescent="0.15">
      <c r="D34" s="79" t="s">
        <v>672</v>
      </c>
      <c r="E34" s="107">
        <f>SUM(E30:E33)</f>
        <v>-75750000</v>
      </c>
      <c r="F34" s="107">
        <f>IF(F3&gt;Summary!$C$26,0,SUM(F26,F30:F33))</f>
        <v>295949.91516666673</v>
      </c>
      <c r="G34" s="107">
        <f>IF(G3&gt;Summary!$C$26,0,SUM(G26,G30:G33))</f>
        <v>296624.54574452777</v>
      </c>
      <c r="H34" s="107">
        <f>IF(H3&gt;Summary!$C$26,0,SUM(H26,H30:H33))</f>
        <v>297300.91585736221</v>
      </c>
      <c r="I34" s="107">
        <f>IF(I3&gt;Summary!$C$26,0,SUM(I26,I30:I33))</f>
        <v>297979.02996669448</v>
      </c>
      <c r="J34" s="107">
        <f>IF(J3&gt;Summary!$C$26,0,SUM(J26,J30:J33))</f>
        <v>298658.89254544</v>
      </c>
      <c r="K34" s="107">
        <f>IF(K3&gt;Summary!$C$26,0,SUM(K26,K30:K33))</f>
        <v>299340.50807793456</v>
      </c>
      <c r="L34" s="107">
        <f>IF(L3&gt;Summary!$C$26,0,SUM(L26,L30:L33))</f>
        <v>300023.88105996314</v>
      </c>
      <c r="M34" s="107">
        <f>IF(M3&gt;Summary!$C$26,0,SUM(M26,M30:M33))</f>
        <v>300709.01599878876</v>
      </c>
      <c r="N34" s="107">
        <f>IF(N3&gt;Summary!$C$26,0,SUM(N26,N30:N33))</f>
        <v>301395.91741318215</v>
      </c>
      <c r="O34" s="107">
        <f>IF(O3&gt;Summary!$C$26,0,SUM(O26,O30:O33))</f>
        <v>302084.58983345079</v>
      </c>
      <c r="P34" s="107">
        <f>IF(P3&gt;Summary!$C$26,0,SUM(P26,P30:P33))</f>
        <v>302775.03780146816</v>
      </c>
      <c r="Q34" s="107">
        <f>IF(Q3&gt;Summary!$C$26,0,SUM(Q26,Q30:Q33))</f>
        <v>303467.26587070333</v>
      </c>
      <c r="R34" s="107">
        <f>IF(R3&gt;Summary!$C$26,0,SUM(R26,R30:R33))</f>
        <v>304161.27860625042</v>
      </c>
      <c r="S34" s="107">
        <f>IF(S3&gt;Summary!$C$26,0,SUM(S26,S30:S33))</f>
        <v>304857.0805848579</v>
      </c>
      <c r="T34" s="107">
        <f>IF(T3&gt;Summary!$C$26,0,SUM(T26,T30:T33))</f>
        <v>305554.67639495863</v>
      </c>
      <c r="U34" s="107">
        <f>IF(U3&gt;Summary!$C$26,0,SUM(U26,U30:U33))</f>
        <v>306254.07063669938</v>
      </c>
      <c r="V34" s="107">
        <f>IF(V3&gt;Summary!$C$26,0,SUM(V26,V30:V33))</f>
        <v>306955.26792197063</v>
      </c>
      <c r="W34" s="107">
        <f>IF(W3&gt;Summary!$C$26,0,SUM(W26,W30:W33))</f>
        <v>307658.27287443628</v>
      </c>
      <c r="X34" s="107">
        <f>IF(X3&gt;Summary!$C$26,0,SUM(X26,X30:X33))</f>
        <v>308363.09012956382</v>
      </c>
      <c r="Y34" s="107">
        <f>IF(Y3&gt;Summary!$C$26,0,SUM(Y26,Y30:Y33))</f>
        <v>309069.72433465434</v>
      </c>
      <c r="Z34" s="107">
        <f>IF(Z3&gt;Summary!$C$26,0,SUM(Z26,Z30:Z33))</f>
        <v>309778.18014887278</v>
      </c>
      <c r="AA34" s="107">
        <f>IF(AA3&gt;Summary!$C$26,0,SUM(AA26,AA30:AA33))</f>
        <v>310488.46224327729</v>
      </c>
      <c r="AB34" s="107">
        <f>IF(AB3&gt;Summary!$C$26,0,SUM(AB26,AB30:AB33))</f>
        <v>311200.5753008505</v>
      </c>
      <c r="AC34" s="107">
        <f>IF(AC3&gt;Summary!$C$26,0,SUM(AC26,AC30:AC33))</f>
        <v>311914.52401652932</v>
      </c>
      <c r="AD34" s="107">
        <f>IF(AD3&gt;Summary!$C$26,0,SUM(AD26,AD30:AD33))</f>
        <v>312630.31309723528</v>
      </c>
      <c r="AE34" s="107">
        <f>IF(AE3&gt;Summary!$C$26,0,SUM(AE26,AE30:AE33))</f>
        <v>313347.94726190524</v>
      </c>
      <c r="AF34" s="107">
        <f>IF(AF3&gt;Summary!$C$26,0,SUM(AF26,AF30:AF33))</f>
        <v>314067.43124152202</v>
      </c>
      <c r="AG34" s="107">
        <f>IF(AG3&gt;Summary!$C$26,0,SUM(AG26,AG30:AG33))</f>
        <v>314788.76977914455</v>
      </c>
      <c r="AH34" s="107">
        <f>IF(AH3&gt;Summary!$C$26,0,SUM(AH26,AH30:AH33))</f>
        <v>315511.96762993914</v>
      </c>
      <c r="AI34" s="107">
        <f>IF(AI3&gt;Summary!$C$26,0,SUM(AI26,AI30:AI33))</f>
        <v>316237.02956120973</v>
      </c>
      <c r="AJ34" s="107">
        <f>IF(AJ3&gt;Summary!$C$26,0,SUM(AJ26,AJ30:AJ33))</f>
        <v>316963.96035242954</v>
      </c>
      <c r="AK34" s="107">
        <f>IF(AK3&gt;Summary!$C$26,0,SUM(AK26,AK30:AK33))</f>
        <v>317692.76479527086</v>
      </c>
      <c r="AL34" s="107">
        <f>IF(AL3&gt;Summary!$C$26,0,SUM(AL26,AL30:AL33))</f>
        <v>318423.44769363722</v>
      </c>
      <c r="AM34" s="107">
        <f>IF(AM3&gt;Summary!$C$26,0,SUM(AM26,AM30:AM33))</f>
        <v>319156.01386369369</v>
      </c>
      <c r="AN34" s="107">
        <f>IF(AN3&gt;Summary!$C$26,0,SUM(AN26,AN30:AN33))</f>
        <v>319890.46813389845</v>
      </c>
      <c r="AO34" s="107">
        <f>IF(AO3&gt;Summary!$C$26,0,SUM(AO26,AO30:AO33))</f>
        <v>65084408.67351415</v>
      </c>
      <c r="AP34" s="107">
        <f>IF(AP3&gt;Summary!$C$26,0,SUM(AP26,AP30:AP33))</f>
        <v>0</v>
      </c>
      <c r="AQ34" s="107">
        <f>IF(AQ3&gt;Summary!$C$26,0,SUM(AQ26,AQ30:AQ33))</f>
        <v>0</v>
      </c>
      <c r="AR34" s="107">
        <f>IF(AR3&gt;Summary!$C$26,0,SUM(AR26,AR30:AR33))</f>
        <v>0</v>
      </c>
      <c r="AS34" s="107">
        <f>IF(AS3&gt;Summary!$C$26,0,SUM(AS26,AS30:AS33))</f>
        <v>0</v>
      </c>
      <c r="AT34" s="107">
        <f>IF(AT3&gt;Summary!$C$26,0,SUM(AT26,AT30:AT33))</f>
        <v>0</v>
      </c>
      <c r="AU34" s="107">
        <f>IF(AU3&gt;Summary!$C$26,0,SUM(AU26,AU30:AU33))</f>
        <v>0</v>
      </c>
      <c r="AV34" s="107">
        <f>IF(AV3&gt;Summary!$C$26,0,SUM(AV26,AV30:AV33))</f>
        <v>0</v>
      </c>
      <c r="AW34" s="107">
        <f>IF(AW3&gt;Summary!$C$26,0,SUM(AW26,AW30:AW33))</f>
        <v>0</v>
      </c>
      <c r="AX34" s="107">
        <f>IF(AX3&gt;Summary!$C$26,0,SUM(AX26,AX30:AX33))</f>
        <v>0</v>
      </c>
      <c r="AY34" s="107">
        <f>IF(AY3&gt;Summary!$C$26,0,SUM(AY26,AY30:AY33))</f>
        <v>0</v>
      </c>
      <c r="AZ34" s="107">
        <f>IF(AZ3&gt;Summary!$C$26,0,SUM(AZ26,AZ30:AZ33))</f>
        <v>0</v>
      </c>
      <c r="BA34" s="107">
        <f>IF(BA3&gt;Summary!$C$26,0,SUM(BA26,BA30:BA33))</f>
        <v>0</v>
      </c>
      <c r="BB34" s="107">
        <f>IF(BB3&gt;Summary!$C$26,0,SUM(BB26,BB30:BB33))</f>
        <v>0</v>
      </c>
      <c r="BC34" s="107">
        <f>IF(BC3&gt;Summary!$C$26,0,SUM(BC26,BC30:BC33))</f>
        <v>0</v>
      </c>
      <c r="BD34" s="107">
        <f>IF(BD3&gt;Summary!$C$26,0,SUM(BD26,BD30:BD33))</f>
        <v>0</v>
      </c>
      <c r="BE34" s="107">
        <f>IF(BE3&gt;Summary!$C$26,0,SUM(BE26,BE30:BE33))</f>
        <v>0</v>
      </c>
      <c r="BF34" s="107">
        <f>IF(BF3&gt;Summary!$C$26,0,SUM(BF26,BF30:BF33))</f>
        <v>0</v>
      </c>
      <c r="BG34" s="107">
        <f>IF(BG3&gt;Summary!$C$26,0,SUM(BG26,BG30:BG33))</f>
        <v>0</v>
      </c>
      <c r="BH34" s="107">
        <f>IF(BH3&gt;Summary!$C$26,0,SUM(BH26,BH30:BH33))</f>
        <v>0</v>
      </c>
      <c r="BI34" s="107">
        <f>IF(BI3&gt;Summary!$C$26,0,SUM(BI26,BI30:BI33))</f>
        <v>0</v>
      </c>
      <c r="BJ34" s="107">
        <f>IF(BJ3&gt;Summary!$C$26,0,SUM(BJ26,BJ30:BJ33))</f>
        <v>0</v>
      </c>
      <c r="BK34" s="107">
        <f>IF(BK3&gt;Summary!$C$26,0,SUM(BK26,BK30:BK33))</f>
        <v>0</v>
      </c>
      <c r="BL34" s="107">
        <f>IF(BL3&gt;Summary!$C$26,0,SUM(BL26,BL30:BL33))</f>
        <v>0</v>
      </c>
      <c r="BM34" s="107">
        <f>IF(BM3&gt;Summary!$C$26,0,SUM(BM26,BM30:BM33))</f>
        <v>0</v>
      </c>
      <c r="BN34" s="107">
        <f>IF(BN3&gt;Summary!$C$26,0,SUM(BN26,BN30:BN33))</f>
        <v>0</v>
      </c>
      <c r="BO34" s="107">
        <f>IF(BO3&gt;Summary!$C$26,0,SUM(BO26,BO30:BO33))</f>
        <v>0</v>
      </c>
      <c r="BP34" s="107">
        <f>IF(BP3&gt;Summary!$C$26,0,SUM(BP26,BP30:BP33))</f>
        <v>0</v>
      </c>
      <c r="BQ34" s="107">
        <f>IF(BQ3&gt;Summary!$C$26,0,SUM(BQ26,BQ30:BQ33))</f>
        <v>0</v>
      </c>
      <c r="BR34" s="107">
        <f>IF(BR3&gt;Summary!$C$26,0,SUM(BR26,BR30:BR33))</f>
        <v>0</v>
      </c>
      <c r="BS34" s="107">
        <f>IF(BS3&gt;Summary!$C$26,0,SUM(BS26,BS30:BS33))</f>
        <v>0</v>
      </c>
      <c r="BT34" s="107">
        <f>IF(BT3&gt;Summary!$C$26,0,SUM(BT26,BT30:BT33))</f>
        <v>0</v>
      </c>
      <c r="BU34" s="107">
        <f>IF(BU3&gt;Summary!$C$26,0,SUM(BU26,BU30:BU33))</f>
        <v>0</v>
      </c>
      <c r="BV34" s="107">
        <f>IF(BV3&gt;Summary!$C$26,0,SUM(BV26,BV30:BV33))</f>
        <v>0</v>
      </c>
      <c r="BW34" s="107">
        <f>IF(BW3&gt;Summary!$C$26,0,SUM(BW26,BW30:BW33))</f>
        <v>0</v>
      </c>
      <c r="BX34" s="107">
        <f>IF(BX3&gt;Summary!$C$26,0,SUM(BX26,BX30:BX33))</f>
        <v>0</v>
      </c>
      <c r="BY34" s="168">
        <f>IF(BY3&gt;Summary!$C$26,0,SUM(BY26,BY30:BY33))</f>
        <v>0</v>
      </c>
    </row>
    <row r="35" spans="4:77" x14ac:dyDescent="0.15">
      <c r="D35" s="76" t="s">
        <v>673</v>
      </c>
      <c r="E35" s="47">
        <f>Summary!C32</f>
        <v>53300000</v>
      </c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>
        <v>0</v>
      </c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7"/>
    </row>
    <row r="36" spans="4:77" x14ac:dyDescent="0.15">
      <c r="D36" s="76" t="s">
        <v>674</v>
      </c>
      <c r="E36" s="47">
        <v>0</v>
      </c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>
        <v>0</v>
      </c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7"/>
    </row>
    <row r="37" spans="4:77" x14ac:dyDescent="0.15">
      <c r="D37" s="85" t="s">
        <v>675</v>
      </c>
      <c r="E37" s="84">
        <v>0</v>
      </c>
      <c r="F37" s="84">
        <f>IF(F3=Summary!$C$26,-($E$35+SUM($F$27:F27)),0)</f>
        <v>0</v>
      </c>
      <c r="G37" s="84">
        <f>IF(G3=Summary!$C$26,-($E$35+SUM($F$27:G27)),0)</f>
        <v>0</v>
      </c>
      <c r="H37" s="84">
        <f>IF(H3=Summary!$C$26,-($E$35+SUM($F$27:H27)),0)</f>
        <v>0</v>
      </c>
      <c r="I37" s="84">
        <f>IF(I3=Summary!$C$26,-($E$35+SUM($F$27:I27)),0)</f>
        <v>0</v>
      </c>
      <c r="J37" s="84">
        <f>IF(J3=Summary!$C$26,-($E$35+SUM($F$27:J27)),0)</f>
        <v>0</v>
      </c>
      <c r="K37" s="84">
        <f>IF(K3=Summary!$C$26,-($E$35+SUM($F$27:K27)),0)</f>
        <v>0</v>
      </c>
      <c r="L37" s="84">
        <f>IF(L3=Summary!$C$26,-($E$35+SUM($F$27:L27)),0)</f>
        <v>0</v>
      </c>
      <c r="M37" s="84">
        <f>IF(M3=Summary!$C$26,-($E$35+SUM($F$27:M27)),0)</f>
        <v>0</v>
      </c>
      <c r="N37" s="84">
        <f>IF(N3=Summary!$C$26,-($E$35+SUM($F$27:N27)),0)</f>
        <v>0</v>
      </c>
      <c r="O37" s="84">
        <f>IF(O3=Summary!$C$26,-($E$35+SUM($F$27:O27)),0)</f>
        <v>0</v>
      </c>
      <c r="P37" s="84">
        <f>IF(P3=Summary!$C$26,-($E$35+SUM($F$27:P27)),0)</f>
        <v>0</v>
      </c>
      <c r="Q37" s="84">
        <f>IF(Q3=Summary!$C$26,-($E$35+SUM($F$27:Q27)),0)</f>
        <v>0</v>
      </c>
      <c r="R37" s="84">
        <f>IF(R3=Summary!$C$26,-($E$35+SUM($F$27:R27)),0)</f>
        <v>0</v>
      </c>
      <c r="S37" s="84">
        <f>IF(S3=Summary!$C$26,-($E$35+SUM($F$27:S27)),0)</f>
        <v>0</v>
      </c>
      <c r="T37" s="84">
        <f>IF(T3=Summary!$C$26,-($E$35+SUM($F$27:T27)),0)</f>
        <v>0</v>
      </c>
      <c r="U37" s="84">
        <f>IF(U3=Summary!$C$26,-($E$35+SUM($F$27:U27)),0)</f>
        <v>0</v>
      </c>
      <c r="V37" s="84">
        <f>IF(V3=Summary!$C$26,-($E$35+SUM($F$27:V27)),0)</f>
        <v>0</v>
      </c>
      <c r="W37" s="84">
        <f>IF(W3=Summary!$C$26,-($E$35+SUM($F$27:W27)),0)</f>
        <v>0</v>
      </c>
      <c r="X37" s="84">
        <f>IF(X3=Summary!$C$26,-($E$35+SUM($F$27:X27)),0)</f>
        <v>0</v>
      </c>
      <c r="Y37" s="84">
        <f>IF(Y3=Summary!$C$26,-($E$35+SUM($F$27:Y27)),0)</f>
        <v>0</v>
      </c>
      <c r="Z37" s="84">
        <f>IF(Z3=Summary!$C$26,-($E$35+SUM($F$27:Z27)),0)</f>
        <v>0</v>
      </c>
      <c r="AA37" s="84">
        <f>IF(AA3=Summary!$C$26,-($E$35+SUM($F$27:AA27)),0)</f>
        <v>0</v>
      </c>
      <c r="AB37" s="84">
        <f>IF(AB3=Summary!$C$26,-($E$35+SUM($F$27:AB27)),0)</f>
        <v>0</v>
      </c>
      <c r="AC37" s="84">
        <f>IF(AC3=Summary!$C$26,-($E$35+SUM($F$27:AC27)),0)</f>
        <v>0</v>
      </c>
      <c r="AD37" s="84">
        <f>IF(AD3=Summary!$C$26,-($E$35+SUM($F$27:AD27)),0)</f>
        <v>0</v>
      </c>
      <c r="AE37" s="84">
        <f>IF(AE3=Summary!$C$26,-($E$35+SUM($F$27:AE27)),0)</f>
        <v>0</v>
      </c>
      <c r="AF37" s="84">
        <f>IF(AF3=Summary!$C$26,-($E$35+SUM($F$27:AF27)),0)</f>
        <v>0</v>
      </c>
      <c r="AG37" s="84">
        <f>IF(AG3=Summary!$C$26,-($E$35+SUM($F$27:AG27)),0)</f>
        <v>0</v>
      </c>
      <c r="AH37" s="84">
        <f>IF(AH3=Summary!$C$26,-($E$35+SUM($F$27:AH27)),0)</f>
        <v>0</v>
      </c>
      <c r="AI37" s="84">
        <f>IF(AI3=Summary!$C$26,-($E$35+SUM($F$27:AI27)),0)</f>
        <v>0</v>
      </c>
      <c r="AJ37" s="84">
        <f>IF(AJ3=Summary!$C$26,-($E$35+SUM($F$27:AJ27)),0)</f>
        <v>0</v>
      </c>
      <c r="AK37" s="84">
        <f>IF(AK3=Summary!$C$26,-($E$35+SUM($F$27:AK27)),0)</f>
        <v>0</v>
      </c>
      <c r="AL37" s="84">
        <f>IF(AL3=Summary!$C$26,-($E$35+SUM($F$27:AL27)),0)</f>
        <v>0</v>
      </c>
      <c r="AM37" s="84">
        <f>IF(AM3=Summary!$C$26,-($E$35+SUM($F$27:AM27)),0)</f>
        <v>0</v>
      </c>
      <c r="AN37" s="84">
        <f>IF(AN3=Summary!$C$26,-($E$35+SUM($F$27:AN27)),0)</f>
        <v>0</v>
      </c>
      <c r="AO37" s="84">
        <f>IF(AO3=Summary!$C$26,-($E$35+SUM($F$27:AO27)),0)</f>
        <v>-52178128.210183047</v>
      </c>
      <c r="AP37" s="84">
        <f>IF(AP3=Summary!$C$26,-($E$35+SUM($F$27:AP27)),0)</f>
        <v>0</v>
      </c>
      <c r="AQ37" s="84">
        <f>IF(AQ3=Summary!$C$26,-($E$35+SUM($F$27:AQ27)),0)</f>
        <v>0</v>
      </c>
      <c r="AR37" s="84">
        <f>IF(AR3=Summary!$C$26,-($E$35+SUM($F$27:AR27)),0)</f>
        <v>0</v>
      </c>
      <c r="AS37" s="84">
        <f>IF(AS3=Summary!$C$26,-($E$35+SUM($F$27:AS27)),0)</f>
        <v>0</v>
      </c>
      <c r="AT37" s="84">
        <f>IF(AT3=Summary!$C$26,-($E$35+SUM($F$27:AT27)),0)</f>
        <v>0</v>
      </c>
      <c r="AU37" s="84">
        <f>IF(AU3=Summary!$C$26,-($E$35+SUM($F$27:AU27)),0)</f>
        <v>0</v>
      </c>
      <c r="AV37" s="84">
        <f>IF(AV3=Summary!$C$26,-($E$35+SUM($F$27:AV27)),0)</f>
        <v>0</v>
      </c>
      <c r="AW37" s="84">
        <f>IF(AW3=Summary!$C$26,-($E$35+SUM($F$27:AW27)),0)</f>
        <v>0</v>
      </c>
      <c r="AX37" s="84">
        <f>IF(AX3=Summary!$C$26,-($E$35+SUM($F$27:AX27)),0)</f>
        <v>0</v>
      </c>
      <c r="AY37" s="84">
        <f>IF(AY3=Summary!$C$26,-($E$35+SUM($F$27:AY27)),0)</f>
        <v>0</v>
      </c>
      <c r="AZ37" s="84">
        <f>IF(AZ3=Summary!$C$26,-($E$35+SUM($F$27:AZ27)),0)</f>
        <v>0</v>
      </c>
      <c r="BA37" s="84">
        <f>IF(BA3=Summary!$C$26,-($E$35+SUM($F$27:BA27)),0)</f>
        <v>0</v>
      </c>
      <c r="BB37" s="84">
        <f>IF(BB3=Summary!$C$26,-($E$35+SUM($F$27:BB27)),0)</f>
        <v>0</v>
      </c>
      <c r="BC37" s="84">
        <f>IF(BC3=Summary!$C$26,-($E$35+SUM($F$27:BC27)),0)</f>
        <v>0</v>
      </c>
      <c r="BD37" s="84">
        <f>IF(BD3=Summary!$C$26,-($E$35+SUM($F$27:BD27)),0)</f>
        <v>0</v>
      </c>
      <c r="BE37" s="84">
        <f>IF(BE3=Summary!$C$26,-($E$35+SUM($F$27:BE27)),0)</f>
        <v>0</v>
      </c>
      <c r="BF37" s="84">
        <f>IF(BF3=Summary!$C$26,-($E$35+SUM($F$27:BF27)),0)</f>
        <v>0</v>
      </c>
      <c r="BG37" s="84">
        <f>IF(BG3=Summary!$C$26,-($E$35+SUM($F$27:BG27)),0)</f>
        <v>0</v>
      </c>
      <c r="BH37" s="84">
        <f>IF(BH3=Summary!$C$26,-($E$35+SUM($F$27:BH27)),0)</f>
        <v>0</v>
      </c>
      <c r="BI37" s="84">
        <f>IF(BI3=Summary!$C$26,-($E$35+SUM($F$27:BI27)),0)</f>
        <v>0</v>
      </c>
      <c r="BJ37" s="84">
        <f>IF(BJ3=Summary!$C$26,-($E$35+SUM($F$27:BJ27)),0)</f>
        <v>0</v>
      </c>
      <c r="BK37" s="84">
        <f>IF(BK3=Summary!$C$26,-($E$35+SUM($F$27:BK27)),0)</f>
        <v>0</v>
      </c>
      <c r="BL37" s="84">
        <f>IF(BL3=Summary!$C$26,-($E$35+SUM($F$27:BL27)),0)</f>
        <v>0</v>
      </c>
      <c r="BM37" s="84">
        <f>IF(BM3=Summary!$C$26,-($E$35+SUM($F$27:BM27)),0)</f>
        <v>0</v>
      </c>
      <c r="BN37" s="88">
        <f>IF(BN3=Summary!$C$26,-($E$35+SUM($F$27:BN27)),0)</f>
        <v>0</v>
      </c>
      <c r="BO37" s="88">
        <f>IF(BO3=Summary!$C$26,-($E$35+SUM($F$27:BO27)),0)</f>
        <v>0</v>
      </c>
      <c r="BP37" s="88">
        <f>IF(BP3=Summary!$C$26,-($E$35+SUM($F$27:BP27)),0)</f>
        <v>0</v>
      </c>
      <c r="BQ37" s="88">
        <f>IF(BQ3=Summary!$C$26,-($E$35+SUM($F$27:BQ27)),0)</f>
        <v>0</v>
      </c>
      <c r="BR37" s="88">
        <f>IF(BR3=Summary!$C$26,-($E$35+SUM($F$27:BR27)),0)</f>
        <v>0</v>
      </c>
      <c r="BS37" s="88">
        <f>IF(BS3=Summary!$C$26,-($E$35+SUM($F$27:BS27)),0)</f>
        <v>0</v>
      </c>
      <c r="BT37" s="88">
        <f>IF(BT3=Summary!$C$26,-($E$35+SUM($F$27:BT27)),0)</f>
        <v>0</v>
      </c>
      <c r="BU37" s="88">
        <f>IF(BU3=Summary!$C$26,-($E$35+SUM($F$27:BU27)),0)</f>
        <v>0</v>
      </c>
      <c r="BV37" s="88">
        <f>IF(BV3=Summary!$C$26,-($E$35+SUM($F$27:BV27)),0)</f>
        <v>0</v>
      </c>
      <c r="BW37" s="88">
        <f>IF(BW3=Summary!$C$26,-($E$35+SUM($F$27:BW27)),0)</f>
        <v>0</v>
      </c>
      <c r="BX37" s="88">
        <f>IF(BX3=Summary!$C$26,-($E$35+SUM($F$27:BX27)),0)</f>
        <v>0</v>
      </c>
      <c r="BY37" s="92">
        <f>IF(BY3=Summary!$C$26,-($E$35+SUM($F$27:BY27)),0)</f>
        <v>0</v>
      </c>
    </row>
    <row r="38" spans="4:77" x14ac:dyDescent="0.15">
      <c r="D38" s="79" t="s">
        <v>676</v>
      </c>
      <c r="E38" s="107">
        <f>IF(E3&gt;Summary!$C$26,0,SUM(E29:E33,E35:E37))</f>
        <v>-22450000</v>
      </c>
      <c r="F38" s="107">
        <f>IF(F3&gt;Summary!$C$26,0,SUM(F29:F33,F35:F37))</f>
        <v>443103.99700000009</v>
      </c>
      <c r="G38" s="107">
        <f>IF(G3&gt;Summary!$C$26,0,SUM(G29:G33,G35:G37))</f>
        <v>444693.63315864303</v>
      </c>
      <c r="H38" s="107">
        <f>IF(H3&gt;Summary!$C$26,0,SUM(H29:H33,H35:H37))</f>
        <v>446287.41943411587</v>
      </c>
      <c r="I38" s="107">
        <f>IF(I3&gt;Summary!$C$26,0,SUM(I29:I33,I35:I37))</f>
        <v>447885.36662280664</v>
      </c>
      <c r="J38" s="107">
        <f>IF(J3&gt;Summary!$C$26,0,SUM(J29:J33,J35:J37))</f>
        <v>449487.48554911534</v>
      </c>
      <c r="K38" s="107">
        <f>IF(K3&gt;Summary!$C$26,0,SUM(K29:K33,K35:K37))</f>
        <v>451093.78706552676</v>
      </c>
      <c r="L38" s="107">
        <f>IF(L3&gt;Summary!$C$26,0,SUM(L29:L33,L35:L37))</f>
        <v>452704.28205268306</v>
      </c>
      <c r="M38" s="107">
        <f>IF(M3&gt;Summary!$C$26,0,SUM(M29:M33,M35:M37))</f>
        <v>454318.98141945625</v>
      </c>
      <c r="N38" s="107">
        <f>IF(N3&gt;Summary!$C$26,0,SUM(N29:N33,N35:N37))</f>
        <v>455937.89610302215</v>
      </c>
      <c r="O38" s="107">
        <f>IF(O3&gt;Summary!$C$26,0,SUM(O29:O33,O35:O37))</f>
        <v>457561.03706893313</v>
      </c>
      <c r="P38" s="107">
        <f>IF(P3&gt;Summary!$C$26,0,SUM(P29:P33,P35:P37))</f>
        <v>459188.41531119158</v>
      </c>
      <c r="Q38" s="107">
        <f>IF(Q3&gt;Summary!$C$26,0,SUM(Q29:Q33,Q35:Q37))</f>
        <v>460820.0418523238</v>
      </c>
      <c r="R38" s="107">
        <f>IF(R3&gt;Summary!$C$26,0,SUM(R29:R33,R35:R37))</f>
        <v>462455.927743454</v>
      </c>
      <c r="S38" s="107">
        <f>IF(S3&gt;Summary!$C$26,0,SUM(S29:S33,S35:S37))</f>
        <v>464096.08406437759</v>
      </c>
      <c r="T38" s="107">
        <f>IF(T3&gt;Summary!$C$26,0,SUM(T29:T33,T35:T37))</f>
        <v>465740.52192363632</v>
      </c>
      <c r="U38" s="107">
        <f>IF(U3&gt;Summary!$C$26,0,SUM(U29:U33,U35:U37))</f>
        <v>467389.25245859241</v>
      </c>
      <c r="V38" s="107">
        <f>IF(V3&gt;Summary!$C$26,0,SUM(V29:V33,V35:V37))</f>
        <v>469042.2868355033</v>
      </c>
      <c r="W38" s="107">
        <f>IF(W3&gt;Summary!$C$26,0,SUM(W29:W33,W35:W37))</f>
        <v>470699.63624959573</v>
      </c>
      <c r="X38" s="107">
        <f>IF(X3&gt;Summary!$C$26,0,SUM(X29:X33,X35:X37))</f>
        <v>472361.31192514161</v>
      </c>
      <c r="Y38" s="107">
        <f>IF(Y3&gt;Summary!$C$26,0,SUM(Y29:Y33,Y35:Y37))</f>
        <v>474027.32511553331</v>
      </c>
      <c r="Z38" s="107">
        <f>IF(Z3&gt;Summary!$C$26,0,SUM(Z29:Z33,Z35:Z37))</f>
        <v>475697.68710335891</v>
      </c>
      <c r="AA38" s="107">
        <f>IF(AA3&gt;Summary!$C$26,0,SUM(AA29:AA33,AA35:AA37))</f>
        <v>477372.40920047666</v>
      </c>
      <c r="AB38" s="107">
        <f>IF(AB3&gt;Summary!$C$26,0,SUM(AB29:AB33,AB35:AB37))</f>
        <v>479051.50274809252</v>
      </c>
      <c r="AC38" s="107">
        <f>IF(AC3&gt;Summary!$C$26,0,SUM(AC29:AC33,AC35:AC37))</f>
        <v>480734.97911683517</v>
      </c>
      <c r="AD38" s="107">
        <f>IF(AD3&gt;Summary!$C$26,0,SUM(AD29:AD33,AD35:AD37))</f>
        <v>390360.31420294032</v>
      </c>
      <c r="AE38" s="107">
        <f>IF(AE3&gt;Summary!$C$26,0,SUM(AE29:AE33,AE35:AE37))</f>
        <v>391795.5825322803</v>
      </c>
      <c r="AF38" s="107">
        <f>IF(AF3&gt;Summary!$C$26,0,SUM(AF29:AF33,AF35:AF37))</f>
        <v>393234.5504915138</v>
      </c>
      <c r="AG38" s="107">
        <f>IF(AG3&gt;Summary!$C$26,0,SUM(AG29:AG33,AG35:AG37))</f>
        <v>394677.22756675887</v>
      </c>
      <c r="AH38" s="107">
        <f>IF(AH3&gt;Summary!$C$26,0,SUM(AH29:AH33,AH35:AH37))</f>
        <v>396123.62326834805</v>
      </c>
      <c r="AI38" s="107">
        <f>IF(AI3&gt;Summary!$C$26,0,SUM(AI29:AI33,AI35:AI37))</f>
        <v>397573.74713088921</v>
      </c>
      <c r="AJ38" s="107">
        <f>IF(AJ3&gt;Summary!$C$26,0,SUM(AJ29:AJ33,AJ35:AJ37))</f>
        <v>399027.60871332884</v>
      </c>
      <c r="AK38" s="107">
        <f>IF(AK3&gt;Summary!$C$26,0,SUM(AK29:AK33,AK35:AK37))</f>
        <v>400485.21759901155</v>
      </c>
      <c r="AL38" s="107">
        <f>IF(AL3&gt;Summary!$C$26,0,SUM(AL29:AL33,AL35:AL37))</f>
        <v>401946.58339574432</v>
      </c>
      <c r="AM38" s="107">
        <f>IF(AM3&gt;Summary!$C$26,0,SUM(AM29:AM33,AM35:AM37))</f>
        <v>403411.71573585714</v>
      </c>
      <c r="AN38" s="107">
        <f>IF(AN3&gt;Summary!$C$26,0,SUM(AN29:AN33,AN35:AN37))</f>
        <v>404880.62427626667</v>
      </c>
      <c r="AO38" s="107">
        <f>IF(AO3&gt;Summary!$C$26,0,SUM(AO29:AO33,AO35:AO37))</f>
        <v>12992006.96668461</v>
      </c>
      <c r="AP38" s="107">
        <f>IF(AP3&gt;Summary!$C$26,0,SUM(AP29:AP33,AP35:AP37))</f>
        <v>0</v>
      </c>
      <c r="AQ38" s="107">
        <f>IF(AQ3&gt;Summary!$C$26,0,SUM(AQ29:AQ33,AQ35:AQ37))</f>
        <v>0</v>
      </c>
      <c r="AR38" s="107">
        <f>IF(AR3&gt;Summary!$C$26,0,SUM(AR29:AR33,AR35:AR37))</f>
        <v>0</v>
      </c>
      <c r="AS38" s="107">
        <f>IF(AS3&gt;Summary!$C$26,0,SUM(AS29:AS33,AS35:AS37))</f>
        <v>0</v>
      </c>
      <c r="AT38" s="107">
        <f>IF(AT3&gt;Summary!$C$26,0,SUM(AT29:AT33,AT35:AT37))</f>
        <v>0</v>
      </c>
      <c r="AU38" s="107">
        <f>IF(AU3&gt;Summary!$C$26,0,SUM(AU29:AU33,AU35:AU37))</f>
        <v>0</v>
      </c>
      <c r="AV38" s="107">
        <f>IF(AV3&gt;Summary!$C$26,0,SUM(AV29:AV33,AV35:AV37))</f>
        <v>0</v>
      </c>
      <c r="AW38" s="107">
        <f>IF(AW3&gt;Summary!$C$26,0,SUM(AW29:AW33,AW35:AW37))</f>
        <v>0</v>
      </c>
      <c r="AX38" s="107">
        <f>IF(AX3&gt;Summary!$C$26,0,SUM(AX29:AX33,AX35:AX37))</f>
        <v>0</v>
      </c>
      <c r="AY38" s="107">
        <f>IF(AY3&gt;Summary!$C$26,0,SUM(AY29:AY33,AY35:AY37))</f>
        <v>0</v>
      </c>
      <c r="AZ38" s="107">
        <f>IF(AZ3&gt;Summary!$C$26,0,SUM(AZ29:AZ33,AZ35:AZ37))</f>
        <v>0</v>
      </c>
      <c r="BA38" s="107">
        <f>IF(BA3&gt;Summary!$C$26,0,SUM(BA29:BA33,BA35:BA37))</f>
        <v>0</v>
      </c>
      <c r="BB38" s="107">
        <f>IF(BB3&gt;Summary!$C$26,0,SUM(BB29:BB33,BB35:BB37))</f>
        <v>0</v>
      </c>
      <c r="BC38" s="107">
        <f>IF(BC3&gt;Summary!$C$26,0,SUM(BC29:BC33,BC35:BC37))</f>
        <v>0</v>
      </c>
      <c r="BD38" s="107">
        <f>IF(BD3&gt;Summary!$C$26,0,SUM(BD29:BD33,BD35:BD37))</f>
        <v>0</v>
      </c>
      <c r="BE38" s="107">
        <f>IF(BE3&gt;Summary!$C$26,0,SUM(BE29:BE33,BE35:BE37))</f>
        <v>0</v>
      </c>
      <c r="BF38" s="107">
        <f>IF(BF3&gt;Summary!$C$26,0,SUM(BF29:BF33,BF35:BF37))</f>
        <v>0</v>
      </c>
      <c r="BG38" s="107">
        <f>IF(BG3&gt;Summary!$C$26,0,SUM(BG29:BG33,BG35:BG37))</f>
        <v>0</v>
      </c>
      <c r="BH38" s="107">
        <f>IF(BH3&gt;Summary!$C$26,0,SUM(BH29:BH33,BH35:BH37))</f>
        <v>0</v>
      </c>
      <c r="BI38" s="107">
        <f>IF(BI3&gt;Summary!$C$26,0,SUM(BI29:BI33,BI35:BI37))</f>
        <v>0</v>
      </c>
      <c r="BJ38" s="107">
        <f>IF(BJ3&gt;Summary!$C$26,0,SUM(BJ29:BJ33,BJ35:BJ37))</f>
        <v>0</v>
      </c>
      <c r="BK38" s="107">
        <f>IF(BK3&gt;Summary!$C$26,0,SUM(BK29:BK33,BK35:BK37))</f>
        <v>0</v>
      </c>
      <c r="BL38" s="107">
        <f>IF(BL3&gt;Summary!$C$26,0,SUM(BL29:BL33,BL35:BL37))</f>
        <v>0</v>
      </c>
      <c r="BM38" s="107">
        <f>IF(BM3&gt;Summary!$C$26,0,SUM(BM29:BM33,BM35:BM37))</f>
        <v>0</v>
      </c>
      <c r="BN38" s="107">
        <f>IF(BN3&gt;Summary!$C$26,0,SUM(BN29:BN33,BN35:BN37))</f>
        <v>0</v>
      </c>
      <c r="BO38" s="107">
        <f>IF(BO3&gt;Summary!$C$26,0,SUM(BO29:BO33,BO35:BO37))</f>
        <v>0</v>
      </c>
      <c r="BP38" s="107">
        <f>IF(BP3&gt;Summary!$C$26,0,SUM(BP29:BP33,BP35:BP37))</f>
        <v>0</v>
      </c>
      <c r="BQ38" s="107">
        <f>IF(BQ3&gt;Summary!$C$26,0,SUM(BQ29:BQ33,BQ35:BQ37))</f>
        <v>0</v>
      </c>
      <c r="BR38" s="107">
        <f>IF(BR3&gt;Summary!$C$26,0,SUM(BR29:BR33,BR35:BR37))</f>
        <v>0</v>
      </c>
      <c r="BS38" s="107">
        <f>IF(BS3&gt;Summary!$C$26,0,SUM(BS29:BS33,BS35:BS37))</f>
        <v>0</v>
      </c>
      <c r="BT38" s="107">
        <f>IF(BT3&gt;Summary!$C$26,0,SUM(BT29:BT33,BT35:BT37))</f>
        <v>0</v>
      </c>
      <c r="BU38" s="107">
        <f>IF(BU3&gt;Summary!$C$26,0,SUM(BU29:BU33,BU35:BU37))</f>
        <v>0</v>
      </c>
      <c r="BV38" s="107">
        <f>IF(BV3&gt;Summary!$C$26,0,SUM(BV29:BV33,BV35:BV37))</f>
        <v>0</v>
      </c>
      <c r="BW38" s="107">
        <f>IF(BW3&gt;Summary!$C$26,0,SUM(BW29:BW33,BW35:BW37))</f>
        <v>0</v>
      </c>
      <c r="BX38" s="107">
        <f>IF(BX3&gt;Summary!$C$26,0,SUM(BX29:BX33,BX35:BX37))</f>
        <v>0</v>
      </c>
      <c r="BY38" s="168">
        <f>IF(BY3&gt;Summary!$C$26,0,SUM(BY29:BY33,BY35:BY37))</f>
        <v>0</v>
      </c>
    </row>
    <row r="45" spans="4:77" x14ac:dyDescent="0.15">
      <c r="D45" s="51"/>
      <c r="E45" s="18"/>
      <c r="F45" s="18"/>
      <c r="G45" s="18"/>
      <c r="H45" s="18"/>
      <c r="I45" s="18"/>
      <c r="J45" s="18"/>
      <c r="K45" s="18"/>
    </row>
    <row r="46" spans="4:77" x14ac:dyDescent="0.15">
      <c r="D46" s="149"/>
      <c r="E46" s="172"/>
      <c r="F46" s="51"/>
      <c r="G46" s="51"/>
      <c r="H46" s="51"/>
      <c r="I46" s="51"/>
    </row>
    <row r="47" spans="4:77" x14ac:dyDescent="0.15">
      <c r="D47" s="149"/>
      <c r="E47" s="172"/>
      <c r="F47" s="51"/>
      <c r="G47" s="51"/>
      <c r="H47" s="51"/>
      <c r="I47" s="51"/>
    </row>
    <row r="48" spans="4:77" x14ac:dyDescent="0.15">
      <c r="D48" s="149"/>
      <c r="E48" s="172"/>
      <c r="F48" s="51"/>
      <c r="G48" s="51"/>
      <c r="H48" s="51"/>
      <c r="I48" s="51"/>
    </row>
    <row r="49" spans="4:9" x14ac:dyDescent="0.15">
      <c r="D49" s="149"/>
      <c r="E49" s="172"/>
      <c r="F49" s="51"/>
      <c r="G49" s="51"/>
      <c r="H49" s="51"/>
      <c r="I49" s="51"/>
    </row>
    <row r="50" spans="4:9" x14ac:dyDescent="0.15">
      <c r="D50" s="149"/>
      <c r="E50" s="172"/>
      <c r="F50" s="51"/>
      <c r="G50" s="51"/>
      <c r="H50" s="51"/>
      <c r="I50" s="51"/>
    </row>
    <row r="51" spans="4:9" x14ac:dyDescent="0.15">
      <c r="E51" s="149"/>
    </row>
    <row r="53" spans="4:9" x14ac:dyDescent="0.15">
      <c r="D53" s="173"/>
    </row>
    <row r="54" spans="4:9" x14ac:dyDescent="0.15">
      <c r="D54" s="8"/>
    </row>
    <row r="84" spans="1:1" x14ac:dyDescent="0.15">
      <c r="A84" s="169">
        <v>1</v>
      </c>
    </row>
    <row r="85" spans="1:1" x14ac:dyDescent="0.15">
      <c r="A85" s="169">
        <f>A84+1</f>
        <v>2</v>
      </c>
    </row>
    <row r="86" spans="1:1" x14ac:dyDescent="0.15">
      <c r="A86" s="169">
        <f t="shared" ref="A86:A88" si="191">A85+1</f>
        <v>3</v>
      </c>
    </row>
    <row r="87" spans="1:1" x14ac:dyDescent="0.15">
      <c r="A87" s="169">
        <f t="shared" si="191"/>
        <v>4</v>
      </c>
    </row>
    <row r="88" spans="1:1" x14ac:dyDescent="0.15">
      <c r="A88" s="169">
        <f t="shared" si="191"/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3A9A0-4E7D-6D45-B7EA-9CC728FF0D29}">
  <dimension ref="A1:G15"/>
  <sheetViews>
    <sheetView showGridLines="0" zoomScale="114" workbookViewId="0">
      <selection activeCell="D23" sqref="D23"/>
    </sheetView>
  </sheetViews>
  <sheetFormatPr baseColWidth="10" defaultRowHeight="14" x14ac:dyDescent="0.15"/>
  <cols>
    <col min="1" max="1" width="25.83203125" customWidth="1"/>
    <col min="2" max="2" width="28.83203125" customWidth="1"/>
    <col min="5" max="5" width="11.83203125" bestFit="1" customWidth="1"/>
    <col min="6" max="6" width="16.1640625" bestFit="1" customWidth="1"/>
  </cols>
  <sheetData>
    <row r="1" spans="1:7" x14ac:dyDescent="0.15">
      <c r="A1" s="281" t="s">
        <v>603</v>
      </c>
      <c r="B1" s="282"/>
      <c r="C1" s="282"/>
      <c r="D1" s="282"/>
      <c r="E1" s="282"/>
      <c r="F1" s="283"/>
    </row>
    <row r="2" spans="1:7" x14ac:dyDescent="0.15">
      <c r="A2" s="181" t="s">
        <v>727</v>
      </c>
      <c r="B2" s="221" t="s">
        <v>724</v>
      </c>
      <c r="C2" s="221" t="s">
        <v>725</v>
      </c>
      <c r="D2" s="221" t="s">
        <v>602</v>
      </c>
      <c r="E2" s="221" t="s">
        <v>730</v>
      </c>
      <c r="F2" s="213" t="s">
        <v>731</v>
      </c>
      <c r="G2" s="24"/>
    </row>
    <row r="3" spans="1:7" x14ac:dyDescent="0.15">
      <c r="A3" s="222" t="s">
        <v>728</v>
      </c>
      <c r="B3" s="213" t="s">
        <v>729</v>
      </c>
      <c r="C3" s="213"/>
      <c r="D3" s="213">
        <v>610</v>
      </c>
      <c r="E3" s="220">
        <v>2095</v>
      </c>
      <c r="F3" s="243" t="s">
        <v>732</v>
      </c>
    </row>
    <row r="4" spans="1:7" x14ac:dyDescent="0.15">
      <c r="A4" s="194" t="s">
        <v>733</v>
      </c>
      <c r="B4" s="244" t="s">
        <v>734</v>
      </c>
      <c r="C4" s="22">
        <v>2015</v>
      </c>
      <c r="D4" s="22">
        <v>823</v>
      </c>
      <c r="E4" s="245">
        <v>2165</v>
      </c>
      <c r="F4" s="27" t="s">
        <v>735</v>
      </c>
    </row>
    <row r="5" spans="1:7" x14ac:dyDescent="0.15">
      <c r="A5" s="194" t="s">
        <v>733</v>
      </c>
      <c r="B5" s="244" t="s">
        <v>734</v>
      </c>
      <c r="C5" s="22">
        <v>2015</v>
      </c>
      <c r="D5" s="22">
        <v>847</v>
      </c>
      <c r="E5" s="245">
        <v>2171</v>
      </c>
      <c r="F5" s="27" t="s">
        <v>735</v>
      </c>
    </row>
    <row r="6" spans="1:7" x14ac:dyDescent="0.15">
      <c r="A6" s="223" t="s">
        <v>733</v>
      </c>
      <c r="B6" s="246" t="s">
        <v>734</v>
      </c>
      <c r="C6" s="88">
        <v>2015</v>
      </c>
      <c r="D6" s="88">
        <v>934</v>
      </c>
      <c r="E6" s="247">
        <v>2255</v>
      </c>
      <c r="F6" s="92" t="s">
        <v>735</v>
      </c>
    </row>
    <row r="7" spans="1:7" x14ac:dyDescent="0.15">
      <c r="A7" s="181"/>
      <c r="B7" s="221"/>
      <c r="C7" s="28" t="s">
        <v>736</v>
      </c>
      <c r="D7" s="28">
        <f>AVERAGE(D3:D6)</f>
        <v>803.5</v>
      </c>
      <c r="E7" s="28">
        <f t="shared" ref="E7" si="0">AVERAGE(E3:E6)</f>
        <v>2171.5</v>
      </c>
      <c r="F7" s="182"/>
    </row>
    <row r="8" spans="1:7" x14ac:dyDescent="0.15">
      <c r="A8" s="22"/>
      <c r="B8" s="22"/>
      <c r="C8" s="22"/>
      <c r="D8" s="22"/>
      <c r="E8" s="22"/>
      <c r="F8" s="22"/>
    </row>
    <row r="9" spans="1:7" x14ac:dyDescent="0.15">
      <c r="A9" s="281" t="s">
        <v>737</v>
      </c>
      <c r="B9" s="282"/>
      <c r="C9" s="282"/>
      <c r="D9" s="282"/>
      <c r="E9" s="282"/>
      <c r="F9" s="283"/>
    </row>
    <row r="10" spans="1:7" x14ac:dyDescent="0.15">
      <c r="A10" s="181" t="s">
        <v>727</v>
      </c>
      <c r="B10" s="221" t="s">
        <v>724</v>
      </c>
      <c r="C10" s="221" t="s">
        <v>725</v>
      </c>
      <c r="D10" s="221" t="s">
        <v>602</v>
      </c>
      <c r="E10" s="221" t="s">
        <v>730</v>
      </c>
      <c r="F10" s="213" t="s">
        <v>731</v>
      </c>
    </row>
    <row r="11" spans="1:7" x14ac:dyDescent="0.15">
      <c r="A11" s="222" t="s">
        <v>741</v>
      </c>
      <c r="B11" s="213" t="s">
        <v>740</v>
      </c>
      <c r="C11" s="213"/>
      <c r="D11" s="213">
        <v>1077</v>
      </c>
      <c r="E11" s="220">
        <v>2800</v>
      </c>
      <c r="F11" s="243" t="s">
        <v>739</v>
      </c>
    </row>
    <row r="12" spans="1:7" x14ac:dyDescent="0.15">
      <c r="A12" s="194" t="s">
        <v>733</v>
      </c>
      <c r="B12" s="244" t="s">
        <v>734</v>
      </c>
      <c r="C12" s="22">
        <v>2015</v>
      </c>
      <c r="D12" s="22">
        <v>1100</v>
      </c>
      <c r="E12" s="245">
        <v>2625</v>
      </c>
      <c r="F12" s="27" t="s">
        <v>738</v>
      </c>
    </row>
    <row r="13" spans="1:7" x14ac:dyDescent="0.15">
      <c r="A13" s="194" t="s">
        <v>733</v>
      </c>
      <c r="B13" s="244" t="s">
        <v>734</v>
      </c>
      <c r="C13" s="22">
        <v>2015</v>
      </c>
      <c r="D13" s="22">
        <v>1089</v>
      </c>
      <c r="E13" s="245">
        <v>2720</v>
      </c>
      <c r="F13" s="27" t="s">
        <v>738</v>
      </c>
    </row>
    <row r="14" spans="1:7" x14ac:dyDescent="0.15">
      <c r="A14" s="223" t="s">
        <v>733</v>
      </c>
      <c r="B14" s="246" t="s">
        <v>734</v>
      </c>
      <c r="C14" s="88">
        <v>2015</v>
      </c>
      <c r="D14" s="88">
        <v>1404</v>
      </c>
      <c r="E14" s="247">
        <v>2815</v>
      </c>
      <c r="F14" s="27" t="s">
        <v>738</v>
      </c>
    </row>
    <row r="15" spans="1:7" x14ac:dyDescent="0.15">
      <c r="A15" s="181"/>
      <c r="B15" s="221"/>
      <c r="C15" s="28" t="s">
        <v>736</v>
      </c>
      <c r="D15" s="233">
        <f>AVERAGE(D11:D14)</f>
        <v>1167.5</v>
      </c>
      <c r="E15" s="28">
        <f t="shared" ref="E15" si="1">AVERAGE(E11:E14)</f>
        <v>2740</v>
      </c>
      <c r="F15" s="182"/>
    </row>
  </sheetData>
  <mergeCells count="2">
    <mergeCell ref="A1:F1"/>
    <mergeCell ref="A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T-12</vt:lpstr>
      <vt:lpstr>Rent Roll</vt:lpstr>
      <vt:lpstr>Summary</vt:lpstr>
      <vt:lpstr>Unit Mix</vt:lpstr>
      <vt:lpstr>Expenses</vt:lpstr>
      <vt:lpstr>Pro Forma</vt:lpstr>
      <vt:lpstr>Monthly Cash Flow Statement</vt:lpstr>
      <vt:lpstr>Rent Comps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cp:revision>0</cp:revision>
  <dcterms:created xsi:type="dcterms:W3CDTF">2026-01-01T00:00:00Z</dcterms:created>
  <dcterms:modified xsi:type="dcterms:W3CDTF">2026-01-01T00:00:00Z</dcterms:modified>
</cp:coreProperties>
</file>