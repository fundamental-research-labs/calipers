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bookViews>
    <workbookView xWindow="28680" yWindow="-120" windowWidth="29040" windowHeight="15720" xr2:uid="{522FEB5D-399A-46BE-A2BF-175103F490F3}"/>
  </bookViews>
  <sheets>
    <sheet name="Summary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43424.459537037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1" l="1"/>
  <c r="J25" i="1"/>
  <c r="K12" i="1"/>
  <c r="J12" i="1"/>
  <c r="J11" i="1"/>
  <c r="L5" i="1"/>
  <c r="I6" i="1"/>
  <c r="J5" i="1"/>
  <c r="I5" i="1"/>
  <c r="D57" i="1"/>
  <c r="D51" i="1"/>
  <c r="D76" i="1"/>
  <c r="D59" i="1"/>
  <c r="D39" i="1"/>
  <c r="D21" i="1"/>
  <c r="D8" i="1"/>
  <c r="I74" i="1"/>
  <c r="J74" i="1" s="1"/>
  <c r="D68" i="1"/>
  <c r="D33" i="1"/>
  <c r="D43" i="1"/>
  <c r="J6" i="1"/>
  <c r="K6" i="1" s="1"/>
  <c r="L6" i="1" s="1"/>
  <c r="M6" i="1" s="1"/>
  <c r="N6" i="1" s="1"/>
  <c r="I7" i="1"/>
  <c r="K4" i="1"/>
  <c r="L4" i="1" s="1"/>
  <c r="M4" i="1" s="1"/>
  <c r="N4" i="1" s="1"/>
  <c r="K74" i="1" l="1"/>
  <c r="L74" i="1" s="1"/>
  <c r="M74" i="1" s="1"/>
  <c r="N74" i="1" s="1"/>
  <c r="I78" i="1"/>
  <c r="J78" i="1"/>
  <c r="I8" i="1"/>
  <c r="J8" i="1" s="1"/>
  <c r="K8" i="1" s="1"/>
  <c r="L8" i="1" s="1"/>
  <c r="M8" i="1" s="1"/>
  <c r="N8" i="1" s="1"/>
  <c r="I61" i="1"/>
  <c r="I43" i="1"/>
  <c r="J43" i="1" s="1"/>
  <c r="K43" i="1" s="1"/>
  <c r="L43" i="1" s="1"/>
  <c r="M43" i="1" s="1"/>
  <c r="N43" i="1" s="1"/>
  <c r="I42" i="1"/>
  <c r="I25" i="1"/>
  <c r="I24" i="1"/>
  <c r="J24" i="1" s="1"/>
  <c r="K24" i="1" s="1"/>
  <c r="I55" i="1"/>
  <c r="J55" i="1" s="1"/>
  <c r="K55" i="1" s="1"/>
  <c r="L55" i="1" s="1"/>
  <c r="M55" i="1" s="1"/>
  <c r="N55" i="1" s="1"/>
  <c r="I37" i="1"/>
  <c r="J37" i="1" s="1"/>
  <c r="K37" i="1" s="1"/>
  <c r="L37" i="1" s="1"/>
  <c r="M37" i="1" s="1"/>
  <c r="N37" i="1" s="1"/>
  <c r="I19" i="1"/>
  <c r="J19" i="1" s="1"/>
  <c r="K19" i="1" s="1"/>
  <c r="L19" i="1" s="1"/>
  <c r="M19" i="1" s="1"/>
  <c r="N19" i="1" s="1"/>
  <c r="I71" i="1"/>
  <c r="K70" i="1"/>
  <c r="L70" i="1" s="1"/>
  <c r="M70" i="1" s="1"/>
  <c r="N70" i="1" s="1"/>
  <c r="D15" i="1"/>
  <c r="J57" i="1"/>
  <c r="J61" i="1" s="1"/>
  <c r="I54" i="1"/>
  <c r="J54" i="1" s="1"/>
  <c r="K53" i="1"/>
  <c r="L53" i="1" s="1"/>
  <c r="M53" i="1" s="1"/>
  <c r="N53" i="1" s="1"/>
  <c r="N57" i="1" s="1"/>
  <c r="N61" i="1" s="1"/>
  <c r="I36" i="1"/>
  <c r="J36" i="1" s="1"/>
  <c r="K35" i="1"/>
  <c r="L35" i="1" s="1"/>
  <c r="M35" i="1" s="1"/>
  <c r="N35" i="1" s="1"/>
  <c r="K25" i="1"/>
  <c r="L25" i="1" s="1"/>
  <c r="M25" i="1" s="1"/>
  <c r="N25" i="1" s="1"/>
  <c r="I18" i="1"/>
  <c r="K17" i="1"/>
  <c r="L17" i="1" s="1"/>
  <c r="M17" i="1" s="1"/>
  <c r="N17" i="1" s="1"/>
  <c r="J71" i="1" l="1"/>
  <c r="J73" i="1" s="1"/>
  <c r="J75" i="1" s="1"/>
  <c r="I73" i="1"/>
  <c r="J7" i="1"/>
  <c r="J9" i="1" s="1"/>
  <c r="K5" i="1"/>
  <c r="I9" i="1"/>
  <c r="I11" i="1" s="1"/>
  <c r="I44" i="1"/>
  <c r="I26" i="1"/>
  <c r="I38" i="1"/>
  <c r="J42" i="1"/>
  <c r="J44" i="1" s="1"/>
  <c r="K71" i="1"/>
  <c r="K73" i="1" s="1"/>
  <c r="K75" i="1" s="1"/>
  <c r="M57" i="1"/>
  <c r="M61" i="1" s="1"/>
  <c r="K57" i="1"/>
  <c r="K61" i="1" s="1"/>
  <c r="L57" i="1"/>
  <c r="L61" i="1" s="1"/>
  <c r="I56" i="1"/>
  <c r="K54" i="1"/>
  <c r="J56" i="1"/>
  <c r="I20" i="1"/>
  <c r="K36" i="1"/>
  <c r="J38" i="1"/>
  <c r="J26" i="1"/>
  <c r="K26" i="1"/>
  <c r="L24" i="1"/>
  <c r="J18" i="1"/>
  <c r="K18" i="1" s="1"/>
  <c r="L18" i="1" s="1"/>
  <c r="M18" i="1" s="1"/>
  <c r="N18" i="1" s="1"/>
  <c r="I76" i="1" l="1"/>
  <c r="I82" i="1" s="1"/>
  <c r="I75" i="1"/>
  <c r="K78" i="1"/>
  <c r="K7" i="1"/>
  <c r="K9" i="1" s="1"/>
  <c r="K11" i="1" s="1"/>
  <c r="K42" i="1"/>
  <c r="K44" i="1" s="1"/>
  <c r="I12" i="1"/>
  <c r="I39" i="1"/>
  <c r="J39" i="1" s="1"/>
  <c r="K39" i="1" s="1"/>
  <c r="L39" i="1" s="1"/>
  <c r="M39" i="1" s="1"/>
  <c r="N39" i="1" s="1"/>
  <c r="I59" i="1"/>
  <c r="J59" i="1" s="1"/>
  <c r="K59" i="1" s="1"/>
  <c r="L59" i="1" s="1"/>
  <c r="M59" i="1" s="1"/>
  <c r="N59" i="1" s="1"/>
  <c r="I58" i="1"/>
  <c r="I60" i="1" s="1"/>
  <c r="I62" i="1" s="1"/>
  <c r="I64" i="1" s="1"/>
  <c r="I66" i="1" s="1"/>
  <c r="J76" i="1"/>
  <c r="I77" i="1"/>
  <c r="I79" i="1" s="1"/>
  <c r="I81" i="1" s="1"/>
  <c r="I83" i="1" s="1"/>
  <c r="I21" i="1"/>
  <c r="J21" i="1" s="1"/>
  <c r="K21" i="1" s="1"/>
  <c r="L21" i="1" s="1"/>
  <c r="M21" i="1" s="1"/>
  <c r="N21" i="1" s="1"/>
  <c r="J58" i="1"/>
  <c r="L71" i="1"/>
  <c r="L73" i="1" s="1"/>
  <c r="L75" i="1" s="1"/>
  <c r="J20" i="1"/>
  <c r="K56" i="1"/>
  <c r="L54" i="1"/>
  <c r="K38" i="1"/>
  <c r="L36" i="1"/>
  <c r="L42" i="1"/>
  <c r="M24" i="1"/>
  <c r="L26" i="1"/>
  <c r="K20" i="1"/>
  <c r="K76" i="1" l="1"/>
  <c r="J82" i="1"/>
  <c r="L78" i="1"/>
  <c r="K65" i="1"/>
  <c r="J60" i="1"/>
  <c r="J62" i="1" s="1"/>
  <c r="J64" i="1" s="1"/>
  <c r="J66" i="1" s="1"/>
  <c r="J65" i="1"/>
  <c r="I65" i="1"/>
  <c r="L7" i="1"/>
  <c r="L9" i="1" s="1"/>
  <c r="L11" i="1" s="1"/>
  <c r="M5" i="1"/>
  <c r="K22" i="1"/>
  <c r="K28" i="1" s="1"/>
  <c r="K30" i="1" s="1"/>
  <c r="J40" i="1"/>
  <c r="J48" i="1" s="1"/>
  <c r="J22" i="1"/>
  <c r="J28" i="1" s="1"/>
  <c r="K40" i="1"/>
  <c r="K47" i="1" s="1"/>
  <c r="K49" i="1" s="1"/>
  <c r="J77" i="1"/>
  <c r="J79" i="1" s="1"/>
  <c r="J81" i="1" s="1"/>
  <c r="J83" i="1" s="1"/>
  <c r="K77" i="1"/>
  <c r="I22" i="1"/>
  <c r="I40" i="1"/>
  <c r="M71" i="1"/>
  <c r="M73" i="1" s="1"/>
  <c r="M75" i="1" s="1"/>
  <c r="K58" i="1"/>
  <c r="K60" i="1" s="1"/>
  <c r="K62" i="1" s="1"/>
  <c r="K64" i="1" s="1"/>
  <c r="M54" i="1"/>
  <c r="L56" i="1"/>
  <c r="L65" i="1" s="1"/>
  <c r="L44" i="1"/>
  <c r="M42" i="1"/>
  <c r="M36" i="1"/>
  <c r="L38" i="1"/>
  <c r="L40" i="1" s="1"/>
  <c r="N24" i="1"/>
  <c r="N26" i="1" s="1"/>
  <c r="M26" i="1"/>
  <c r="L20" i="1"/>
  <c r="L22" i="1" s="1"/>
  <c r="L76" i="1" l="1"/>
  <c r="K82" i="1"/>
  <c r="K79" i="1"/>
  <c r="K81" i="1" s="1"/>
  <c r="K83" i="1" s="1"/>
  <c r="M78" i="1"/>
  <c r="M7" i="1"/>
  <c r="M9" i="1" s="1"/>
  <c r="M11" i="1" s="1"/>
  <c r="N5" i="1"/>
  <c r="N7" i="1" s="1"/>
  <c r="N9" i="1" s="1"/>
  <c r="N11" i="1" s="1"/>
  <c r="K29" i="1"/>
  <c r="L12" i="1"/>
  <c r="K48" i="1"/>
  <c r="J29" i="1"/>
  <c r="I28" i="1"/>
  <c r="I30" i="1" s="1"/>
  <c r="I29" i="1"/>
  <c r="J47" i="1"/>
  <c r="J49" i="1" s="1"/>
  <c r="I47" i="1"/>
  <c r="I49" i="1" s="1"/>
  <c r="I48" i="1"/>
  <c r="N71" i="1"/>
  <c r="N73" i="1" s="1"/>
  <c r="N75" i="1" s="1"/>
  <c r="K66" i="1"/>
  <c r="L58" i="1"/>
  <c r="L60" i="1" s="1"/>
  <c r="L62" i="1" s="1"/>
  <c r="L64" i="1" s="1"/>
  <c r="L66" i="1" s="1"/>
  <c r="M56" i="1"/>
  <c r="M65" i="1" s="1"/>
  <c r="N54" i="1"/>
  <c r="N56" i="1" s="1"/>
  <c r="N65" i="1" s="1"/>
  <c r="M38" i="1"/>
  <c r="M40" i="1" s="1"/>
  <c r="N36" i="1"/>
  <c r="N38" i="1" s="1"/>
  <c r="N40" i="1" s="1"/>
  <c r="L48" i="1"/>
  <c r="L47" i="1"/>
  <c r="L49" i="1" s="1"/>
  <c r="M44" i="1"/>
  <c r="N42" i="1"/>
  <c r="N44" i="1" s="1"/>
  <c r="L28" i="1"/>
  <c r="L30" i="1" s="1"/>
  <c r="L29" i="1"/>
  <c r="N20" i="1"/>
  <c r="N22" i="1" s="1"/>
  <c r="M20" i="1"/>
  <c r="M22" i="1" s="1"/>
  <c r="M76" i="1" l="1"/>
  <c r="L82" i="1"/>
  <c r="L77" i="1"/>
  <c r="L79" i="1" s="1"/>
  <c r="L81" i="1" s="1"/>
  <c r="L83" i="1" s="1"/>
  <c r="N12" i="1"/>
  <c r="M12" i="1"/>
  <c r="N58" i="1"/>
  <c r="N60" i="1" s="1"/>
  <c r="N62" i="1" s="1"/>
  <c r="N64" i="1" s="1"/>
  <c r="M58" i="1"/>
  <c r="M60" i="1" s="1"/>
  <c r="N47" i="1"/>
  <c r="N49" i="1" s="1"/>
  <c r="N48" i="1"/>
  <c r="M47" i="1"/>
  <c r="M49" i="1" s="1"/>
  <c r="M48" i="1"/>
  <c r="N29" i="1"/>
  <c r="N28" i="1"/>
  <c r="N30" i="1" s="1"/>
  <c r="M28" i="1"/>
  <c r="M30" i="1" s="1"/>
  <c r="M29" i="1"/>
  <c r="N76" i="1" l="1"/>
  <c r="N82" i="1" s="1"/>
  <c r="M82" i="1"/>
  <c r="M77" i="1"/>
  <c r="M79" i="1" s="1"/>
  <c r="M81" i="1" s="1"/>
  <c r="M83" i="1" s="1"/>
  <c r="N78" i="1"/>
  <c r="M62" i="1"/>
  <c r="M64" i="1" s="1"/>
  <c r="M66" i="1" s="1"/>
  <c r="N66" i="1"/>
  <c r="N77" i="1" l="1"/>
  <c r="N79" i="1" s="1"/>
  <c r="N81" i="1" s="1"/>
  <c r="N83" i="1" s="1"/>
</calcChain>
</file>

<file path=xl/sharedStrings.xml><?xml version="1.0" encoding="utf-8"?>
<sst xmlns="http://schemas.openxmlformats.org/spreadsheetml/2006/main" count="87" uniqueCount="40">
  <si>
    <t>Assumptions</t>
  </si>
  <si>
    <t>Capital Invested</t>
  </si>
  <si>
    <t>TEV</t>
  </si>
  <si>
    <t>General</t>
  </si>
  <si>
    <t>Liquidation Preference</t>
  </si>
  <si>
    <t>Escalation</t>
  </si>
  <si>
    <t>Recap Amount</t>
  </si>
  <si>
    <t>Close</t>
  </si>
  <si>
    <t>Growth</t>
  </si>
  <si>
    <t>Year 1</t>
  </si>
  <si>
    <t>Year 2</t>
  </si>
  <si>
    <t>Year 3</t>
  </si>
  <si>
    <t>Year 4</t>
  </si>
  <si>
    <t>Year 5</t>
  </si>
  <si>
    <t>Leverage</t>
  </si>
  <si>
    <t>Equity Value</t>
  </si>
  <si>
    <t xml:space="preserve"> </t>
  </si>
  <si>
    <t>A</t>
  </si>
  <si>
    <t>B</t>
  </si>
  <si>
    <t>Implied Ownership</t>
  </si>
  <si>
    <t>Max(A,B)</t>
  </si>
  <si>
    <t>Equity Value Availablie to Common</t>
  </si>
  <si>
    <t>Illustrative TEV</t>
  </si>
  <si>
    <t>Common Equity</t>
  </si>
  <si>
    <t>Participating Preferred</t>
  </si>
  <si>
    <t>Participation</t>
  </si>
  <si>
    <t>Equity Value Before Participating Preferred</t>
  </si>
  <si>
    <t>Equity Value After Participating Preferred</t>
  </si>
  <si>
    <t>Growth Fund Value</t>
  </si>
  <si>
    <t>Growth Fund Security Value</t>
  </si>
  <si>
    <t>Growth Fund Convert Value</t>
  </si>
  <si>
    <t>Growth Fund Cost Basis</t>
  </si>
  <si>
    <t>Growth Fund Liquidation Preference ($)</t>
  </si>
  <si>
    <t>vs. If Growth Fund Security Was Common Equity</t>
  </si>
  <si>
    <t>Less: Growth Fund Participating Cost Basis</t>
  </si>
  <si>
    <t>Plus: Growth Fund Participating Cost Basis</t>
  </si>
  <si>
    <t>Partner Recap</t>
  </si>
  <si>
    <t>Party 2 Dividend</t>
  </si>
  <si>
    <t>Plus: Party 2 Dividend</t>
  </si>
  <si>
    <t>Liquidation Preference, Flat no annual escalation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</si>
</sst>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.0_);\(&quot;$&quot;#,##0.0\);&quot;--&quot;_);@_)"/>
    <numFmt numFmtId="165" formatCode="#,##0.0_);\(#,##0.0\);&quot;--&quot;_);@_)"/>
    <numFmt numFmtId="166" formatCode="0.00\ \x_);\(0.00\ \x\);&quot;--&quot;_ _x_);@_ _x_)"/>
    <numFmt numFmtId="167" formatCode="#,##0.0%_);\(#,##0.0%\);&quot;--&quot;_%_);@_%_)"/>
    <numFmt numFmtId="168" formatCode="&quot;Year &quot;0"/>
    <numFmt numFmtId="169" formatCode="&quot;$&quot;#,##0_);\(&quot;$&quot;#,##0\);&quot;--&quot;_);@_)"/>
    <numFmt numFmtId="170" formatCode="#,##0_);\(#,##0\);&quot;--&quot;_);@_)"/>
    <numFmt numFmtId="171" formatCode="0.0\ \x_);\(0.0\ \x\);&quot;--&quot;_ _x_);@_ _x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12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75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theme="0"/>
      </right>
      <top style="thin">
        <color indexed="64"/>
      </top>
      <bottom/>
      <diagonal/>
    </border>
    <border>
      <left style="thick">
        <color theme="0"/>
      </left>
      <right style="thick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0" fontId="3" fillId="0" borderId="0" xfId="0" applyFont="1" applyAlignment="1">
      <alignment horizontal="center"/>
    </xf>
    <xf numFmtId="168" fontId="3" fillId="0" borderId="0" xfId="0" applyNumberFormat="1" applyFont="1" applyAlignment="1">
      <alignment horizontal="center"/>
    </xf>
    <xf numFmtId="164" fontId="1" fillId="0" borderId="0" xfId="0" applyNumberFormat="1" applyFont="1"/>
    <xf numFmtId="164" fontId="1" fillId="0" borderId="6" xfId="0" applyNumberFormat="1" applyFont="1" applyBorder="1"/>
    <xf numFmtId="167" fontId="1" fillId="0" borderId="6" xfId="0" applyNumberFormat="1" applyFont="1" applyBorder="1"/>
    <xf numFmtId="0" fontId="5" fillId="2" borderId="0" xfId="0" applyFont="1" applyFill="1"/>
    <xf numFmtId="166" fontId="1" fillId="0" borderId="6" xfId="0" applyNumberFormat="1" applyFont="1" applyBorder="1"/>
    <xf numFmtId="0" fontId="1" fillId="0" borderId="0" xfId="0" applyFont="1" applyAlignment="1">
      <alignment horizontal="centerContinuous"/>
    </xf>
    <xf numFmtId="0" fontId="3" fillId="4" borderId="7" xfId="0" applyFont="1" applyFill="1" applyBorder="1" applyAlignment="1">
      <alignment horizontal="center"/>
    </xf>
    <xf numFmtId="0" fontId="3" fillId="3" borderId="0" xfId="0" applyFont="1" applyFill="1"/>
    <xf numFmtId="0" fontId="3" fillId="3" borderId="3" xfId="0" applyFont="1" applyFill="1" applyBorder="1"/>
    <xf numFmtId="0" fontId="3" fillId="3" borderId="1" xfId="0" applyFont="1" applyFill="1" applyBorder="1"/>
    <xf numFmtId="0" fontId="3" fillId="3" borderId="8" xfId="0" applyFont="1" applyFill="1" applyBorder="1"/>
    <xf numFmtId="0" fontId="3" fillId="3" borderId="10" xfId="0" applyFont="1" applyFill="1" applyBorder="1"/>
    <xf numFmtId="0" fontId="3" fillId="3" borderId="6" xfId="0" applyFont="1" applyFill="1" applyBorder="1"/>
    <xf numFmtId="167" fontId="3" fillId="3" borderId="6" xfId="0" applyNumberFormat="1" applyFont="1" applyFill="1" applyBorder="1"/>
    <xf numFmtId="167" fontId="3" fillId="3" borderId="11" xfId="0" applyNumberFormat="1" applyFont="1" applyFill="1" applyBorder="1"/>
    <xf numFmtId="169" fontId="1" fillId="0" borderId="4" xfId="0" applyNumberFormat="1" applyFont="1" applyBorder="1"/>
    <xf numFmtId="169" fontId="1" fillId="0" borderId="5" xfId="0" applyNumberFormat="1" applyFont="1" applyBorder="1"/>
    <xf numFmtId="169" fontId="1" fillId="0" borderId="0" xfId="0" applyNumberFormat="1" applyFont="1"/>
    <xf numFmtId="170" fontId="1" fillId="0" borderId="0" xfId="0" applyNumberFormat="1" applyFont="1"/>
    <xf numFmtId="170" fontId="1" fillId="0" borderId="6" xfId="0" applyNumberFormat="1" applyFont="1" applyBorder="1"/>
    <xf numFmtId="169" fontId="3" fillId="3" borderId="1" xfId="0" applyNumberFormat="1" applyFont="1" applyFill="1" applyBorder="1"/>
    <xf numFmtId="169" fontId="3" fillId="3" borderId="2" xfId="0" applyNumberFormat="1" applyFont="1" applyFill="1" applyBorder="1"/>
    <xf numFmtId="169" fontId="3" fillId="3" borderId="0" xfId="0" applyNumberFormat="1" applyFont="1" applyFill="1"/>
    <xf numFmtId="169" fontId="3" fillId="3" borderId="9" xfId="0" applyNumberFormat="1" applyFont="1" applyFill="1" applyBorder="1"/>
    <xf numFmtId="170" fontId="1" fillId="0" borderId="0" xfId="0" applyNumberFormat="1" applyFont="1" applyAlignment="1">
      <alignment horizontal="left"/>
    </xf>
    <xf numFmtId="17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1737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Summary!$D$28</c:f>
              <c:strCache>
                <c:ptCount val="1"/>
                <c:pt idx="0">
                  <c:v>Growth Fund Security Value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6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Summary!$I$28:$N$28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121.83750000000001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E-429D-A185-52D08D6ABEC3}"/>
            </c:ext>
          </c:extLst>
        </c:ser>
        <c:ser>
          <c:idx val="1"/>
          <c:order val="1"/>
          <c:tx>
            <c:strRef>
              <c:f>Summary!$D$29</c:f>
              <c:strCache>
                <c:ptCount val="1"/>
                <c:pt idx="0">
                  <c:v>vs. If Growth Fund Security Was Common 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Summary!$I$29:$N$29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95</c:v>
                </c:pt>
                <c:pt idx="2">
                  <c:v>90.25</c:v>
                </c:pt>
                <c:pt idx="3">
                  <c:v>81.225000000000009</c:v>
                </c:pt>
                <c:pt idx="4">
                  <c:v>121.83750000000001</c:v>
                </c:pt>
                <c:pt idx="5">
                  <c:v>85.286249999999995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E-429D-A185-52D08D6AB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554992"/>
        <c:axId val="353998368"/>
      </c:barChart>
      <c:lineChart>
        <c:grouping val="standard"/>
        <c:varyColors val="0"/>
        <c:ser>
          <c:idx val="2"/>
          <c:order val="2"/>
          <c:tx>
            <c:v>TEV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Summary!$I$18:$N$18</c:f>
              <c:numCache>
                <c:formatCode>"$"#,##0_);\("$"#,##0\);"--"_);@_)</c:formatCode>
                <c:ptCount val="6"/>
                <c:pt idx="0">
                  <c:v>1000</c:v>
                </c:pt>
                <c:pt idx="1">
                  <c:v>950</c:v>
                </c:pt>
                <c:pt idx="2">
                  <c:v>902.5</c:v>
                </c:pt>
                <c:pt idx="3">
                  <c:v>812.25</c:v>
                </c:pt>
                <c:pt idx="4">
                  <c:v>1218.375</c:v>
                </c:pt>
                <c:pt idx="5">
                  <c:v>852.86249999999995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9E-49EA-9FD7-1BA229311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210175"/>
        <c:axId val="1634688351"/>
      </c:lineChart>
      <c:catAx>
        <c:axId val="18745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3998368"/>
        <c:crosses val="autoZero"/>
        <c:auto val="1"/>
        <c:lblAlgn val="ctr"/>
        <c:lblOffset val="100"/>
        <c:noMultiLvlLbl val="0"/>
      </c:catAx>
      <c:valAx>
        <c:axId val="353998368"/>
        <c:scaling>
          <c:orientation val="minMax"/>
          <c:min val="80"/>
        </c:scaling>
        <c:delete val="0"/>
        <c:axPos val="l"/>
        <c:numFmt formatCode="&quot;$&quot;#,##0_);\(&quot;$&quot;#,##0\);&quot;--&quot;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74554992"/>
        <c:crosses val="autoZero"/>
        <c:crossBetween val="between"/>
      </c:valAx>
      <c:valAx>
        <c:axId val="1634688351"/>
        <c:scaling>
          <c:orientation val="minMax"/>
        </c:scaling>
        <c:delete val="0"/>
        <c:axPos val="r"/>
        <c:numFmt formatCode="&quot;$&quot;#,##0_);\(&quot;$&quot;#,##0\);&quot;--&quot;_);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210175"/>
        <c:crosses val="max"/>
        <c:crossBetween val="between"/>
      </c:valAx>
      <c:catAx>
        <c:axId val="1607210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4688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Summary!$D$28</c:f>
              <c:strCache>
                <c:ptCount val="1"/>
                <c:pt idx="0">
                  <c:v>Growth Fund Security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Summary!$I$64:$N$64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104.00000000000001</c:v>
                </c:pt>
                <c:pt idx="2">
                  <c:v>109.15000000000002</c:v>
                </c:pt>
                <c:pt idx="3">
                  <c:v>111.01500000000006</c:v>
                </c:pt>
                <c:pt idx="4">
                  <c:v>163.60650000000004</c:v>
                </c:pt>
                <c:pt idx="5">
                  <c:v>140.23215000000005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3-42A9-B1D9-D036B181BA66}"/>
            </c:ext>
          </c:extLst>
        </c:ser>
        <c:ser>
          <c:idx val="1"/>
          <c:order val="1"/>
          <c:tx>
            <c:strRef>
              <c:f>Summary!$D$29</c:f>
              <c:strCache>
                <c:ptCount val="1"/>
                <c:pt idx="0">
                  <c:v>vs. If Growth Fund Security Was Common 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Summary!$I$65:$N$65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95</c:v>
                </c:pt>
                <c:pt idx="2">
                  <c:v>90.25</c:v>
                </c:pt>
                <c:pt idx="3">
                  <c:v>81.225000000000009</c:v>
                </c:pt>
                <c:pt idx="4">
                  <c:v>121.83750000000001</c:v>
                </c:pt>
                <c:pt idx="5">
                  <c:v>85.286249999999995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03-42A9-B1D9-D036B181B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554992"/>
        <c:axId val="353998368"/>
      </c:barChart>
      <c:lineChart>
        <c:grouping val="standard"/>
        <c:varyColors val="0"/>
        <c:ser>
          <c:idx val="2"/>
          <c:order val="2"/>
          <c:tx>
            <c:v>TEV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Summary!$I$54:$N$54</c:f>
              <c:numCache>
                <c:formatCode>"$"#,##0_);\("$"#,##0\);"--"_);@_)</c:formatCode>
                <c:ptCount val="6"/>
                <c:pt idx="0">
                  <c:v>1000</c:v>
                </c:pt>
                <c:pt idx="1">
                  <c:v>950</c:v>
                </c:pt>
                <c:pt idx="2">
                  <c:v>902.5</c:v>
                </c:pt>
                <c:pt idx="3">
                  <c:v>812.25</c:v>
                </c:pt>
                <c:pt idx="4">
                  <c:v>1218.375</c:v>
                </c:pt>
                <c:pt idx="5">
                  <c:v>852.86249999999995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03-42A9-B1D9-D036B181B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210175"/>
        <c:axId val="1634688351"/>
      </c:lineChart>
      <c:catAx>
        <c:axId val="18745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3998368"/>
        <c:crosses val="autoZero"/>
        <c:auto val="1"/>
        <c:lblAlgn val="ctr"/>
        <c:lblOffset val="100"/>
        <c:noMultiLvlLbl val="0"/>
      </c:catAx>
      <c:valAx>
        <c:axId val="353998368"/>
        <c:scaling>
          <c:orientation val="minMax"/>
          <c:min val="80"/>
        </c:scaling>
        <c:delete val="0"/>
        <c:axPos val="l"/>
        <c:numFmt formatCode="&quot;$&quot;#,##0_);\(&quot;$&quot;#,##0\);&quot;--&quot;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74554992"/>
        <c:crosses val="autoZero"/>
        <c:crossBetween val="between"/>
      </c:valAx>
      <c:valAx>
        <c:axId val="1634688351"/>
        <c:scaling>
          <c:orientation val="minMax"/>
        </c:scaling>
        <c:delete val="0"/>
        <c:axPos val="r"/>
        <c:numFmt formatCode="&quot;$&quot;#,##0_);\(&quot;$&quot;#,##0\);&quot;--&quot;_);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210175"/>
        <c:crosses val="max"/>
        <c:crossBetween val="between"/>
      </c:valAx>
      <c:catAx>
        <c:axId val="1607210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4688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Summary!$D$28</c:f>
              <c:strCache>
                <c:ptCount val="1"/>
                <c:pt idx="0">
                  <c:v>Growth Fund Security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Summary!$I$81:$N$81</c:f>
              <c:numCache>
                <c:formatCode>"$"#,##0_);\("$"#,##0\);"--"_);@_)</c:formatCode>
                <c:ptCount val="6"/>
                <c:pt idx="0">
                  <c:v>190</c:v>
                </c:pt>
                <c:pt idx="1">
                  <c:v>185</c:v>
                </c:pt>
                <c:pt idx="2">
                  <c:v>180.25</c:v>
                </c:pt>
                <c:pt idx="3">
                  <c:v>171.22500000000002</c:v>
                </c:pt>
                <c:pt idx="4">
                  <c:v>211.83750000000001</c:v>
                </c:pt>
                <c:pt idx="5">
                  <c:v>175.28625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4-49C2-BA8F-905850BA03C1}"/>
            </c:ext>
          </c:extLst>
        </c:ser>
        <c:ser>
          <c:idx val="1"/>
          <c:order val="1"/>
          <c:tx>
            <c:strRef>
              <c:f>Summary!$D$82</c:f>
              <c:strCache>
                <c:ptCount val="1"/>
                <c:pt idx="0">
                  <c:v>vs. If Growth Fund Security Was Common 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Summary!$I$82:$N$82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95</c:v>
                </c:pt>
                <c:pt idx="2">
                  <c:v>90.25</c:v>
                </c:pt>
                <c:pt idx="3">
                  <c:v>81.225000000000009</c:v>
                </c:pt>
                <c:pt idx="4">
                  <c:v>121.83750000000001</c:v>
                </c:pt>
                <c:pt idx="5">
                  <c:v>85.286249999999995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4-49C2-BA8F-905850BA0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554992"/>
        <c:axId val="353998368"/>
      </c:barChart>
      <c:lineChart>
        <c:grouping val="standard"/>
        <c:varyColors val="0"/>
        <c:ser>
          <c:idx val="2"/>
          <c:order val="2"/>
          <c:tx>
            <c:v>TEV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Summary!$I$71:$N$71</c:f>
              <c:numCache>
                <c:formatCode>"$"#,##0_);\("$"#,##0\);"--"_);@_)</c:formatCode>
                <c:ptCount val="6"/>
                <c:pt idx="0">
                  <c:v>1000</c:v>
                </c:pt>
                <c:pt idx="1">
                  <c:v>950</c:v>
                </c:pt>
                <c:pt idx="2">
                  <c:v>902.5</c:v>
                </c:pt>
                <c:pt idx="3">
                  <c:v>812.25</c:v>
                </c:pt>
                <c:pt idx="4">
                  <c:v>1218.375</c:v>
                </c:pt>
                <c:pt idx="5">
                  <c:v>852.86249999999995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94-49C2-BA8F-905850BA0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210175"/>
        <c:axId val="1634688351"/>
      </c:lineChart>
      <c:catAx>
        <c:axId val="18745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3998368"/>
        <c:crosses val="autoZero"/>
        <c:auto val="1"/>
        <c:lblAlgn val="ctr"/>
        <c:lblOffset val="100"/>
        <c:noMultiLvlLbl val="0"/>
      </c:catAx>
      <c:valAx>
        <c:axId val="353998368"/>
        <c:scaling>
          <c:orientation val="minMax"/>
          <c:min val="80"/>
        </c:scaling>
        <c:delete val="0"/>
        <c:axPos val="l"/>
        <c:numFmt formatCode="&quot;$&quot;#,##0_);\(&quot;$&quot;#,##0\);&quot;--&quot;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74554992"/>
        <c:crosses val="autoZero"/>
        <c:crossBetween val="between"/>
      </c:valAx>
      <c:valAx>
        <c:axId val="1634688351"/>
        <c:scaling>
          <c:orientation val="minMax"/>
        </c:scaling>
        <c:delete val="0"/>
        <c:axPos val="r"/>
        <c:numFmt formatCode="&quot;$&quot;#,##0_);\(&quot;$&quot;#,##0\);&quot;--&quot;_);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210175"/>
        <c:crosses val="max"/>
        <c:crossBetween val="between"/>
      </c:valAx>
      <c:catAx>
        <c:axId val="1607210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4688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Summary!$D$11</c:f>
              <c:strCache>
                <c:ptCount val="1"/>
                <c:pt idx="0">
                  <c:v>Growth Fund Security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Summary!$I$11:$N$11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95</c:v>
                </c:pt>
                <c:pt idx="2">
                  <c:v>90.25</c:v>
                </c:pt>
                <c:pt idx="3">
                  <c:v>81.225000000000009</c:v>
                </c:pt>
                <c:pt idx="4">
                  <c:v>121.83750000000001</c:v>
                </c:pt>
                <c:pt idx="5">
                  <c:v>85.286249999999995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8-45E4-9730-CA8BF3FDD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554992"/>
        <c:axId val="353998368"/>
      </c:barChart>
      <c:lineChart>
        <c:grouping val="standard"/>
        <c:varyColors val="0"/>
        <c:ser>
          <c:idx val="2"/>
          <c:order val="1"/>
          <c:tx>
            <c:v>TEV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Summary!$I$5:$N$5</c:f>
              <c:numCache>
                <c:formatCode>"$"#,##0_);\("$"#,##0\);"--"_);@_)</c:formatCode>
                <c:ptCount val="6"/>
                <c:pt idx="0">
                  <c:v>1000</c:v>
                </c:pt>
                <c:pt idx="1">
                  <c:v>950</c:v>
                </c:pt>
                <c:pt idx="2">
                  <c:v>902.5</c:v>
                </c:pt>
                <c:pt idx="3">
                  <c:v>812.25</c:v>
                </c:pt>
                <c:pt idx="4">
                  <c:v>1218.375</c:v>
                </c:pt>
                <c:pt idx="5">
                  <c:v>852.86249999999995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E8-45E4-9730-CA8BF3FDD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210175"/>
        <c:axId val="1634688351"/>
      </c:lineChart>
      <c:catAx>
        <c:axId val="18745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3998368"/>
        <c:crosses val="autoZero"/>
        <c:auto val="1"/>
        <c:lblAlgn val="ctr"/>
        <c:lblOffset val="100"/>
        <c:noMultiLvlLbl val="0"/>
      </c:catAx>
      <c:valAx>
        <c:axId val="353998368"/>
        <c:scaling>
          <c:orientation val="minMax"/>
          <c:min val="80"/>
        </c:scaling>
        <c:delete val="0"/>
        <c:axPos val="l"/>
        <c:numFmt formatCode="&quot;$&quot;#,##0_);\(&quot;$&quot;#,##0\);&quot;--&quot;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74554992"/>
        <c:crosses val="autoZero"/>
        <c:crossBetween val="between"/>
      </c:valAx>
      <c:valAx>
        <c:axId val="1634688351"/>
        <c:scaling>
          <c:orientation val="minMax"/>
        </c:scaling>
        <c:delete val="0"/>
        <c:axPos val="r"/>
        <c:numFmt formatCode="&quot;$&quot;#,##0_);\(&quot;$&quot;#,##0\);&quot;--&quot;_);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210175"/>
        <c:crosses val="max"/>
        <c:crossBetween val="between"/>
      </c:valAx>
      <c:catAx>
        <c:axId val="1607210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4688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Summary!$D$47</c:f>
              <c:strCache>
                <c:ptCount val="1"/>
                <c:pt idx="0">
                  <c:v>Growth Fund Security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Summary!$I$35:$N$35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Summary!$I$47:$N$47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108</c:v>
                </c:pt>
                <c:pt idx="2">
                  <c:v>116.64000000000001</c:v>
                </c:pt>
                <c:pt idx="3">
                  <c:v>125.97120000000001</c:v>
                </c:pt>
                <c:pt idx="4">
                  <c:v>136.04889600000004</c:v>
                </c:pt>
                <c:pt idx="5">
                  <c:v>146.93280768000002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F-4904-A8E0-E83FA28F9A87}"/>
            </c:ext>
          </c:extLst>
        </c:ser>
        <c:ser>
          <c:idx val="1"/>
          <c:order val="1"/>
          <c:tx>
            <c:strRef>
              <c:f>Summary!$D$48</c:f>
              <c:strCache>
                <c:ptCount val="1"/>
                <c:pt idx="0">
                  <c:v>vs. If Growth Fund Security Was Common 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Summary!$I$35:$N$35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Summary!$I$48:$N$48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95</c:v>
                </c:pt>
                <c:pt idx="2">
                  <c:v>90.25</c:v>
                </c:pt>
                <c:pt idx="3">
                  <c:v>81.225000000000009</c:v>
                </c:pt>
                <c:pt idx="4">
                  <c:v>121.83750000000001</c:v>
                </c:pt>
                <c:pt idx="5">
                  <c:v>85.286249999999995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4F-4904-A8E0-E83FA28F9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554992"/>
        <c:axId val="353998368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Summary!$I$35:$N$35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Summary!$I$36:$N$36</c:f>
              <c:numCache>
                <c:formatCode>"$"#,##0_);\("$"#,##0\);"--"_);@_)</c:formatCode>
                <c:ptCount val="6"/>
                <c:pt idx="0">
                  <c:v>1000</c:v>
                </c:pt>
                <c:pt idx="1">
                  <c:v>950</c:v>
                </c:pt>
                <c:pt idx="2">
                  <c:v>902.5</c:v>
                </c:pt>
                <c:pt idx="3">
                  <c:v>812.25</c:v>
                </c:pt>
                <c:pt idx="4">
                  <c:v>1218.375</c:v>
                </c:pt>
                <c:pt idx="5">
                  <c:v>852.86249999999995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4F-4904-A8E0-E83FA28F9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210175"/>
        <c:axId val="1634688351"/>
      </c:lineChart>
      <c:catAx>
        <c:axId val="18745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3998368"/>
        <c:crosses val="autoZero"/>
        <c:auto val="1"/>
        <c:lblAlgn val="ctr"/>
        <c:lblOffset val="100"/>
        <c:noMultiLvlLbl val="0"/>
      </c:catAx>
      <c:valAx>
        <c:axId val="353998368"/>
        <c:scaling>
          <c:orientation val="minMax"/>
          <c:min val="80"/>
        </c:scaling>
        <c:delete val="0"/>
        <c:axPos val="l"/>
        <c:numFmt formatCode="&quot;$&quot;#,##0_);\(&quot;$&quot;#,##0\);&quot;--&quot;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74554992"/>
        <c:crosses val="autoZero"/>
        <c:crossBetween val="between"/>
      </c:valAx>
      <c:valAx>
        <c:axId val="1634688351"/>
        <c:scaling>
          <c:orientation val="minMax"/>
        </c:scaling>
        <c:delete val="0"/>
        <c:axPos val="r"/>
        <c:numFmt formatCode="&quot;$&quot;#,##0_);\(&quot;$&quot;#,##0\);&quot;--&quot;_);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210175"/>
        <c:crosses val="max"/>
        <c:crossBetween val="between"/>
      </c:valAx>
      <c:catAx>
        <c:axId val="1607210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4688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333373</xdr:colOff>
      <xdr:row>16</xdr:row>
      <xdr:rowOff>114300</xdr:rowOff>
    </xdr:from>
    <xdr:to>
      <xdr:col>34</xdr:col>
      <xdr:colOff>561973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3A5F3-97EC-473D-9E07-DF754C6CA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438150</xdr:colOff>
      <xdr:row>52</xdr:row>
      <xdr:rowOff>76200</xdr:rowOff>
    </xdr:from>
    <xdr:to>
      <xdr:col>30</xdr:col>
      <xdr:colOff>57150</xdr:colOff>
      <xdr:row>66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C0E46A-D6E6-48E7-B03F-7CC47F17F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457200</xdr:colOff>
      <xdr:row>69</xdr:row>
      <xdr:rowOff>95250</xdr:rowOff>
    </xdr:from>
    <xdr:to>
      <xdr:col>30</xdr:col>
      <xdr:colOff>76200</xdr:colOff>
      <xdr:row>83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FFD95A-CA30-4C82-8595-56AA21C36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400050</xdr:colOff>
      <xdr:row>0</xdr:row>
      <xdr:rowOff>66675</xdr:rowOff>
    </xdr:from>
    <xdr:to>
      <xdr:col>34</xdr:col>
      <xdr:colOff>628650</xdr:colOff>
      <xdr:row>16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13F22B-1E97-46AF-9A4C-F0F35A8F5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33</xdr:row>
      <xdr:rowOff>0</xdr:rowOff>
    </xdr:from>
    <xdr:to>
      <xdr:col>35</xdr:col>
      <xdr:colOff>228600</xdr:colOff>
      <xdr:row>47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1A27C2-8DF5-4B1B-906A-66A1023E5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77A3-E43C-412A-8698-15EB3F964A89}">
  <dimension ref="B2:S113"/>
  <sheetViews>
    <sheetView showGridLines="0" tabSelected="1" zoomScale="85" zoomScaleNormal="85" workbookViewId="0">
      <selection activeCell="I75" sqref="I75"/>
    </sheetView>
  </sheetViews>
  <sheetFormatPr defaultColWidth="9.140625" defaultRowHeight="12.75" x14ac:dyDescent="0.2"/>
  <cols>
    <col min="1" max="1" width="9.140625" style="1"/>
    <col min="2" max="2" width="10.140625" style="1" bestFit="1" customWidth="1"/>
    <col min="3" max="3" width="2.7109375" style="1" customWidth="1"/>
    <col min="4" max="14" width="10.7109375" style="1" customWidth="1"/>
    <col min="15" max="16384" width="9.140625" style="1"/>
  </cols>
  <sheetData>
    <row r="2" spans="4:16" x14ac:dyDescent="0.2">
      <c r="D2" s="13" t="s">
        <v>23</v>
      </c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4:16" x14ac:dyDescent="0.2">
      <c r="D3" s="1" t="s">
        <v>16</v>
      </c>
    </row>
    <row r="4" spans="4:16" x14ac:dyDescent="0.2">
      <c r="I4" s="8" t="s">
        <v>7</v>
      </c>
      <c r="J4" s="9">
        <v>1</v>
      </c>
      <c r="K4" s="9">
        <f>+J4+1</f>
      </c>
      <c r="L4" s="9">
        <f t="shared" ref="L4" si="0">+K4+1</f>
      </c>
      <c r="M4" s="9">
        <f t="shared" ref="M4" si="1">+L4+1</f>
      </c>
      <c r="N4" s="9">
        <f t="shared" ref="N4" si="2">+M4+1</f>
      </c>
    </row>
    <row r="5" spans="4:16" x14ac:dyDescent="0.2">
      <c r="D5" s="3" t="s">
        <v>22</v>
      </c>
      <c r="E5" s="3"/>
      <c r="F5" s="3"/>
      <c r="G5" s="3"/>
      <c r="H5" s="3"/>
      <c r="I5" s="25">
        <f>+$S$20</f>
      </c>
      <c r="J5" s="26">
        <f>+I5*(1+$S$35)</f>
      </c>
      <c r="K5" s="26">
        <f>+J5*(1+$S$36)</f>
      </c>
      <c r="L5" s="26">
        <f>+K5*(1+$S$37)</f>
      </c>
      <c r="M5" s="26">
        <f>+L5*(1+$S$38)</f>
      </c>
      <c r="N5" s="26">
        <f>+M5*(1+$S$39)</f>
      </c>
    </row>
    <row r="6" spans="4:16" x14ac:dyDescent="0.2">
      <c r="D6" s="1" t="s">
        <v>14</v>
      </c>
      <c r="I6" s="29">
        <f>-$S$21</f>
      </c>
      <c r="J6" s="29">
        <f>+I6</f>
      </c>
      <c r="K6" s="29">
        <f t="shared" ref="K6" si="3">+J6</f>
      </c>
      <c r="L6" s="29">
        <f t="shared" ref="L6" si="4">+K6</f>
      </c>
      <c r="M6" s="29">
        <f t="shared" ref="M6" si="5">+L6</f>
      </c>
      <c r="N6" s="29">
        <f t="shared" ref="N6" si="6">+M6</f>
      </c>
    </row>
    <row r="7" spans="4:16" x14ac:dyDescent="0.2">
      <c r="D7" s="1" t="s">
        <v>15</v>
      </c>
      <c r="I7" s="28">
        <f>SUM(I5:I6)</f>
      </c>
      <c r="J7" s="28">
        <f t="shared" ref="J7:N7" si="7">SUM(J5:J6)</f>
      </c>
      <c r="K7" s="28">
        <f t="shared" si="7"/>
      </c>
      <c r="L7" s="28">
        <f t="shared" si="7"/>
      </c>
      <c r="M7" s="28">
        <f t="shared" si="7"/>
      </c>
      <c r="N7" s="28">
        <f t="shared" si="7"/>
      </c>
    </row>
    <row r="8" spans="4:16" x14ac:dyDescent="0.2">
      <c r="D8" s="1" t="str">
        <f>+"Growth Fund Ownership (Assumes "&amp;TEXT($S$19,"$0")&amp;"m Investment)"</f>
      </c>
      <c r="I8" s="12">
        <f>+$S$19/I7</f>
      </c>
      <c r="J8" s="12">
        <f>+I8</f>
      </c>
      <c r="K8" s="12">
        <f t="shared" ref="K8" si="8">+J8</f>
      </c>
      <c r="L8" s="12">
        <f t="shared" ref="L8" si="9">+K8</f>
      </c>
      <c r="M8" s="12">
        <f t="shared" ref="M8" si="10">+L8</f>
      </c>
      <c r="N8" s="12">
        <f t="shared" ref="N8" si="11">+M8</f>
      </c>
    </row>
    <row r="9" spans="4:16" x14ac:dyDescent="0.2">
      <c r="D9" s="1" t="s">
        <v>28</v>
      </c>
      <c r="I9" s="27">
        <f t="shared" ref="I9:N9" si="12">+I7*I8</f>
      </c>
      <c r="J9" s="27">
        <f t="shared" si="12"/>
      </c>
      <c r="K9" s="27">
        <f t="shared" si="12"/>
      </c>
      <c r="L9" s="27">
        <f t="shared" si="12"/>
      </c>
      <c r="M9" s="27">
        <f t="shared" si="12"/>
      </c>
      <c r="N9" s="27">
        <f t="shared" si="12"/>
      </c>
    </row>
    <row r="11" spans="4:16" x14ac:dyDescent="0.2">
      <c r="D11" s="18" t="s">
        <v>29</v>
      </c>
      <c r="E11" s="19"/>
      <c r="F11" s="19"/>
      <c r="G11" s="19"/>
      <c r="H11" s="19"/>
      <c r="I11" s="30">
        <f>+I9</f>
      </c>
      <c r="J11" s="30">
        <f>+J9</f>
      </c>
      <c r="K11" s="30">
        <f t="shared" ref="K11:N11" si="13">+K9</f>
      </c>
      <c r="L11" s="30">
        <f t="shared" si="13"/>
      </c>
      <c r="M11" s="30">
        <f t="shared" si="13"/>
      </c>
      <c r="N11" s="31">
        <f t="shared" si="13"/>
      </c>
    </row>
    <row r="12" spans="4:16" x14ac:dyDescent="0.2">
      <c r="D12" s="21" t="s">
        <v>19</v>
      </c>
      <c r="E12" s="22"/>
      <c r="F12" s="22"/>
      <c r="G12" s="22"/>
      <c r="H12" s="22"/>
      <c r="I12" s="23">
        <f t="shared" ref="I12:N12" si="14">+I11/I7</f>
      </c>
      <c r="J12" s="23">
        <f>+J11/J7</f>
      </c>
      <c r="K12" s="23">
        <f>+K11/K7</f>
      </c>
      <c r="L12" s="23">
        <f t="shared" si="14"/>
      </c>
      <c r="M12" s="23">
        <f t="shared" si="14"/>
      </c>
      <c r="N12" s="24">
        <f t="shared" si="14"/>
      </c>
    </row>
    <row r="15" spans="4:16" ht="15" customHeight="1" x14ac:dyDescent="0.2">
      <c r="D15" s="13" t="str">
        <f>+TEXT(S24,"0.00x")&amp;" Flat Liquidation Preference"</f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4:16" ht="15" customHeight="1" x14ac:dyDescent="0.2">
      <c r="D16" s="1" t="s">
        <v>16</v>
      </c>
      <c r="P16" s="3" t="s">
        <v>0</v>
      </c>
    </row>
    <row r="17" spans="2:19" ht="15" customHeight="1" x14ac:dyDescent="0.2">
      <c r="I17" s="8" t="s">
        <v>7</v>
      </c>
      <c r="J17" s="9">
        <v>1</v>
      </c>
      <c r="K17" s="9">
        <f>+J17+1</f>
      </c>
      <c r="L17" s="9">
        <f t="shared" ref="L17:N17" si="15">+K17+1</f>
      </c>
      <c r="M17" s="9">
        <f t="shared" si="15"/>
      </c>
      <c r="N17" s="9">
        <f t="shared" si="15"/>
      </c>
      <c r="P17" s="2"/>
    </row>
    <row r="18" spans="2:19" ht="15" customHeight="1" x14ac:dyDescent="0.2">
      <c r="D18" s="3" t="s">
        <v>22</v>
      </c>
      <c r="E18" s="3"/>
      <c r="F18" s="3"/>
      <c r="G18" s="3"/>
      <c r="H18" s="3"/>
      <c r="I18" s="25">
        <f>+$S$20</f>
      </c>
      <c r="J18" s="26">
        <f>+I18*(1+$S$35)</f>
      </c>
      <c r="K18" s="26">
        <f>+J18*(1+$S$36)</f>
      </c>
      <c r="L18" s="26">
        <f>+K18*(1+$S$37)</f>
      </c>
      <c r="M18" s="26">
        <f>+L18*(1+$S$38)</f>
      </c>
      <c r="N18" s="26">
        <f>+M18*(1+$S$39)</f>
      </c>
      <c r="P18" s="2" t="s">
        <v>3</v>
      </c>
    </row>
    <row r="19" spans="2:19" ht="15" customHeight="1" x14ac:dyDescent="0.2">
      <c r="D19" s="1" t="s">
        <v>14</v>
      </c>
      <c r="I19" s="29">
        <f>-$S$21</f>
      </c>
      <c r="J19" s="29">
        <f>+I19</f>
      </c>
      <c r="K19" s="29">
        <f t="shared" ref="K19:N19" si="16">+J19</f>
      </c>
      <c r="L19" s="29">
        <f t="shared" si="16"/>
      </c>
      <c r="M19" s="29">
        <f t="shared" si="16"/>
      </c>
      <c r="N19" s="29">
        <f t="shared" si="16"/>
      </c>
      <c r="P19" s="1" t="s">
        <v>1</v>
      </c>
      <c r="S19" s="4">
        <v>100</v>
      </c>
    </row>
    <row r="20" spans="2:19" ht="15" customHeight="1" x14ac:dyDescent="0.2">
      <c r="D20" s="1" t="s">
        <v>15</v>
      </c>
      <c r="I20" s="28">
        <f>SUM(I18:I19)</f>
      </c>
      <c r="J20" s="28">
        <f t="shared" ref="J20:N20" si="17">SUM(J18:J19)</f>
      </c>
      <c r="K20" s="28">
        <f t="shared" si="17"/>
      </c>
      <c r="L20" s="28">
        <f t="shared" si="17"/>
      </c>
      <c r="M20" s="28">
        <f t="shared" si="17"/>
      </c>
      <c r="N20" s="28">
        <f t="shared" si="17"/>
      </c>
      <c r="P20" s="1" t="s">
        <v>2</v>
      </c>
      <c r="S20" s="5">
        <v>1000</v>
      </c>
    </row>
    <row r="21" spans="2:19" ht="15" customHeight="1" x14ac:dyDescent="0.2">
      <c r="D21" s="1" t="str">
        <f>+"Growth Fund Ownership (Assumes "&amp;TEXT($S$19,"$0")&amp;"m Investment)"</f>
      </c>
      <c r="I21" s="12">
        <f>+$S$19/I20</f>
      </c>
      <c r="J21" s="12">
        <f>+I21</f>
      </c>
      <c r="K21" s="12">
        <f t="shared" ref="K21:N21" si="18">+J21</f>
      </c>
      <c r="L21" s="12">
        <f t="shared" si="18"/>
      </c>
      <c r="M21" s="12">
        <f t="shared" si="18"/>
      </c>
      <c r="N21" s="12">
        <f t="shared" si="18"/>
      </c>
      <c r="P21" s="1" t="s">
        <v>14</v>
      </c>
      <c r="S21" s="4">
        <v>0</v>
      </c>
    </row>
    <row r="22" spans="2:19" ht="15" customHeight="1" x14ac:dyDescent="0.2">
      <c r="B22" s="16" t="s">
        <v>17</v>
      </c>
      <c r="C22" s="8"/>
      <c r="D22" s="1" t="s">
        <v>30</v>
      </c>
      <c r="I22" s="27">
        <f t="shared" ref="I22:N22" si="19">+I20*I21</f>
      </c>
      <c r="J22" s="27">
        <f t="shared" si="19"/>
      </c>
      <c r="K22" s="27">
        <f t="shared" si="19"/>
      </c>
      <c r="L22" s="27">
        <f t="shared" si="19"/>
      </c>
      <c r="M22" s="27">
        <f t="shared" si="19"/>
      </c>
      <c r="N22" s="27">
        <f t="shared" si="19"/>
      </c>
    </row>
    <row r="23" spans="2:19" ht="15" customHeight="1" x14ac:dyDescent="0.2">
      <c r="P23" s="2" t="s">
        <v>4</v>
      </c>
    </row>
    <row r="24" spans="2:19" ht="15" customHeight="1" x14ac:dyDescent="0.2">
      <c r="D24" s="1" t="s">
        <v>31</v>
      </c>
      <c r="I24" s="10">
        <f>+$S$19</f>
      </c>
      <c r="J24" s="27">
        <f>+I24</f>
      </c>
      <c r="K24" s="27">
        <f>+J24</f>
      </c>
      <c r="L24" s="27">
        <f t="shared" ref="L24:N24" si="20">+K24</f>
      </c>
      <c r="M24" s="27">
        <f t="shared" si="20"/>
      </c>
      <c r="N24" s="27">
        <f t="shared" si="20"/>
      </c>
      <c r="P24" s="1" t="s">
        <v>4</v>
      </c>
      <c r="S24" s="6">
        <v>1</v>
      </c>
    </row>
    <row r="25" spans="2:19" ht="15" customHeight="1" x14ac:dyDescent="0.2">
      <c r="D25" s="1" t="s">
        <v>39</v>
      </c>
      <c r="I25" s="14">
        <f>+$S$24</f>
      </c>
      <c r="J25" s="14">
        <f>+$S$24</f>
      </c>
      <c r="K25" s="14">
        <f>+J25</f>
      </c>
      <c r="L25" s="14">
        <f t="shared" ref="L25:N25" si="21">+K25</f>
      </c>
      <c r="M25" s="14">
        <f t="shared" si="21"/>
      </c>
      <c r="N25" s="14">
        <f t="shared" si="21"/>
      </c>
      <c r="P25" s="1" t="s">
        <v>5</v>
      </c>
      <c r="S25" s="7">
        <v>0.08</v>
      </c>
    </row>
    <row r="26" spans="2:19" ht="15" customHeight="1" x14ac:dyDescent="0.2">
      <c r="B26" s="16" t="s">
        <v>18</v>
      </c>
      <c r="C26" s="8"/>
      <c r="D26" s="1" t="s">
        <v>32</v>
      </c>
      <c r="I26" s="27">
        <f>+I24*I25</f>
      </c>
      <c r="J26" s="27">
        <f>+J24*J25</f>
      </c>
      <c r="K26" s="27">
        <f t="shared" ref="K26:N26" si="22">+K24*K25</f>
      </c>
      <c r="L26" s="27">
        <f t="shared" si="22"/>
      </c>
      <c r="M26" s="27">
        <f t="shared" si="22"/>
      </c>
      <c r="N26" s="27">
        <f t="shared" si="22"/>
      </c>
    </row>
    <row r="27" spans="2:19" ht="15" customHeight="1" x14ac:dyDescent="0.2">
      <c r="P27" s="2" t="s">
        <v>37</v>
      </c>
    </row>
    <row r="28" spans="2:19" ht="15" customHeight="1" x14ac:dyDescent="0.2">
      <c r="B28" s="16" t="s">
        <v>20</v>
      </c>
      <c r="C28" s="15"/>
      <c r="D28" s="18" t="s">
        <v>29</v>
      </c>
      <c r="E28" s="19"/>
      <c r="F28" s="19"/>
      <c r="G28" s="19"/>
      <c r="H28" s="19"/>
      <c r="I28" s="30">
        <f t="shared" ref="I28:N28" si="23">+MAX(I22,I26)</f>
      </c>
      <c r="J28" s="30">
        <f t="shared" si="23"/>
      </c>
      <c r="K28" s="30">
        <f t="shared" si="23"/>
      </c>
      <c r="L28" s="30">
        <f t="shared" si="23"/>
      </c>
      <c r="M28" s="30">
        <f t="shared" si="23"/>
      </c>
      <c r="N28" s="31">
        <f t="shared" si="23"/>
      </c>
      <c r="P28" s="2"/>
    </row>
    <row r="29" spans="2:19" ht="15" customHeight="1" x14ac:dyDescent="0.2">
      <c r="D29" s="20" t="s">
        <v>33</v>
      </c>
      <c r="E29" s="17"/>
      <c r="F29" s="17"/>
      <c r="G29" s="17"/>
      <c r="H29" s="17"/>
      <c r="I29" s="32">
        <f t="shared" ref="I29:N29" si="24">+I22</f>
      </c>
      <c r="J29" s="32">
        <f t="shared" si="24"/>
      </c>
      <c r="K29" s="32">
        <f t="shared" si="24"/>
      </c>
      <c r="L29" s="32">
        <f t="shared" si="24"/>
      </c>
      <c r="M29" s="32">
        <f t="shared" si="24"/>
      </c>
      <c r="N29" s="33">
        <f t="shared" si="24"/>
      </c>
      <c r="P29" s="1" t="s">
        <v>37</v>
      </c>
      <c r="S29" s="7">
        <v>0.1</v>
      </c>
    </row>
    <row r="30" spans="2:19" ht="15" customHeight="1" x14ac:dyDescent="0.2">
      <c r="D30" s="21" t="s">
        <v>19</v>
      </c>
      <c r="E30" s="22"/>
      <c r="F30" s="22"/>
      <c r="G30" s="22"/>
      <c r="H30" s="22"/>
      <c r="I30" s="23">
        <f t="shared" ref="I30:N30" si="25">+I28/I20</f>
      </c>
      <c r="J30" s="23">
        <f>+J28/J20</f>
      </c>
      <c r="K30" s="23">
        <f t="shared" si="25"/>
      </c>
      <c r="L30" s="23">
        <f t="shared" si="25"/>
      </c>
      <c r="M30" s="23">
        <f t="shared" si="25"/>
      </c>
      <c r="N30" s="24">
        <f t="shared" si="25"/>
      </c>
    </row>
    <row r="31" spans="2:19" ht="15" customHeight="1" x14ac:dyDescent="0.2">
      <c r="P31" s="2" t="s">
        <v>36</v>
      </c>
    </row>
    <row r="32" spans="2:19" ht="15" customHeight="1" x14ac:dyDescent="0.2">
      <c r="P32" s="1" t="s">
        <v>6</v>
      </c>
      <c r="S32" s="4">
        <v>25</v>
      </c>
    </row>
    <row r="33" spans="2:19" ht="15" customHeight="1" x14ac:dyDescent="0.2">
      <c r="D33" s="13" t="str">
        <f>+TEXT(S24,"0.00x")&amp;" Liquidation Preference with "&amp;TEXT(S25,"0.0%")&amp;" (OR) Dividend"</f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2:19" ht="15" customHeight="1" x14ac:dyDescent="0.2">
      <c r="D34" s="1" t="s">
        <v>16</v>
      </c>
      <c r="P34" s="2" t="s">
        <v>8</v>
      </c>
    </row>
    <row r="35" spans="2:19" ht="15" customHeight="1" x14ac:dyDescent="0.2">
      <c r="I35" s="8" t="s">
        <v>7</v>
      </c>
      <c r="J35" s="9">
        <v>1</v>
      </c>
      <c r="K35" s="9">
        <f>+J35+1</f>
      </c>
      <c r="L35" s="9">
        <f t="shared" ref="L35:N35" si="26">+K35+1</f>
      </c>
      <c r="M35" s="9">
        <f t="shared" si="26"/>
      </c>
      <c r="N35" s="9">
        <f t="shared" si="26"/>
      </c>
      <c r="P35" s="1" t="s">
        <v>9</v>
      </c>
      <c r="S35" s="7">
        <v>-0.05</v>
      </c>
    </row>
    <row r="36" spans="2:19" ht="15" customHeight="1" x14ac:dyDescent="0.2">
      <c r="D36" s="3" t="s">
        <v>22</v>
      </c>
      <c r="E36" s="3"/>
      <c r="F36" s="3"/>
      <c r="G36" s="3"/>
      <c r="H36" s="3"/>
      <c r="I36" s="25">
        <f>+$S$20</f>
      </c>
      <c r="J36" s="26">
        <f>+I36*(1+$S$35)</f>
      </c>
      <c r="K36" s="26">
        <f>+J36*(1+$S$36)</f>
      </c>
      <c r="L36" s="26">
        <f>+K36*(1+$S$37)</f>
      </c>
      <c r="M36" s="26">
        <f>+L36*(1+$S$38)</f>
      </c>
      <c r="N36" s="26">
        <f>+M36*(1+$S$39)</f>
      </c>
      <c r="P36" s="1" t="s">
        <v>10</v>
      </c>
      <c r="S36" s="7">
        <v>-0.05</v>
      </c>
    </row>
    <row r="37" spans="2:19" ht="15" customHeight="1" x14ac:dyDescent="0.2">
      <c r="D37" s="1" t="s">
        <v>14</v>
      </c>
      <c r="I37" s="29">
        <f>-$S$21</f>
      </c>
      <c r="J37" s="29">
        <f>+I37</f>
      </c>
      <c r="K37" s="29">
        <f t="shared" ref="K37:N37" si="27">+J37</f>
      </c>
      <c r="L37" s="29">
        <f t="shared" si="27"/>
      </c>
      <c r="M37" s="29">
        <f t="shared" si="27"/>
      </c>
      <c r="N37" s="29">
        <f t="shared" si="27"/>
      </c>
      <c r="P37" s="1" t="s">
        <v>11</v>
      </c>
      <c r="S37" s="7">
        <v>-0.1</v>
      </c>
    </row>
    <row r="38" spans="2:19" ht="15" customHeight="1" x14ac:dyDescent="0.2">
      <c r="D38" s="1" t="s">
        <v>15</v>
      </c>
      <c r="I38" s="28">
        <f>SUM(I36:I37)</f>
      </c>
      <c r="J38" s="28">
        <f t="shared" ref="J38" si="28">SUM(J36:J37)</f>
      </c>
      <c r="K38" s="28">
        <f t="shared" ref="K38" si="29">SUM(K36:K37)</f>
      </c>
      <c r="L38" s="28">
        <f t="shared" ref="L38" si="30">SUM(L36:L37)</f>
      </c>
      <c r="M38" s="28">
        <f t="shared" ref="M38" si="31">SUM(M36:M37)</f>
      </c>
      <c r="N38" s="28">
        <f t="shared" ref="N38" si="32">SUM(N36:N37)</f>
      </c>
      <c r="P38" s="1" t="s">
        <v>12</v>
      </c>
      <c r="S38" s="7">
        <v>0.5</v>
      </c>
    </row>
    <row r="39" spans="2:19" ht="15" customHeight="1" x14ac:dyDescent="0.2">
      <c r="D39" s="1" t="str">
        <f>+"Growth Fund Ownership (Assumes "&amp;TEXT($S$19,"$0")&amp;"m Investment)"</f>
      </c>
      <c r="I39" s="12">
        <f>+$S$19/I38</f>
      </c>
      <c r="J39" s="12">
        <f>+I39</f>
      </c>
      <c r="K39" s="12">
        <f t="shared" ref="K39:N39" si="33">+J39</f>
      </c>
      <c r="L39" s="12">
        <f t="shared" si="33"/>
      </c>
      <c r="M39" s="12">
        <f t="shared" si="33"/>
      </c>
      <c r="N39" s="12">
        <f t="shared" si="33"/>
      </c>
      <c r="P39" s="1" t="s">
        <v>13</v>
      </c>
      <c r="S39" s="7">
        <v>-0.3</v>
      </c>
    </row>
    <row r="40" spans="2:19" ht="15" customHeight="1" x14ac:dyDescent="0.2">
      <c r="B40" s="16" t="s">
        <v>17</v>
      </c>
      <c r="C40" s="8"/>
      <c r="D40" s="1" t="s">
        <v>30</v>
      </c>
      <c r="I40" s="27">
        <f t="shared" ref="I40:J40" si="34">+I38*I39</f>
      </c>
      <c r="J40" s="27">
        <f t="shared" si="34"/>
      </c>
      <c r="K40" s="27">
        <f t="shared" ref="K40" si="35">+K38*K39</f>
      </c>
      <c r="L40" s="27">
        <f t="shared" ref="L40" si="36">+L38*L39</f>
      </c>
      <c r="M40" s="27">
        <f t="shared" ref="M40" si="37">+M38*M39</f>
      </c>
      <c r="N40" s="27">
        <f t="shared" ref="N40" si="38">+N38*N39</f>
      </c>
    </row>
    <row r="41" spans="2:19" ht="15" customHeight="1" x14ac:dyDescent="0.2">
      <c r="P41" s="2" t="s">
        <v>24</v>
      </c>
    </row>
    <row r="42" spans="2:19" ht="15" customHeight="1" x14ac:dyDescent="0.2">
      <c r="D42" s="1" t="s">
        <v>31</v>
      </c>
      <c r="I42" s="10">
        <f>+$S$19</f>
      </c>
      <c r="J42" s="27">
        <f>+I42</f>
      </c>
      <c r="K42" s="27">
        <f>+J42</f>
      </c>
      <c r="L42" s="27">
        <f t="shared" ref="L42:N42" si="39">+K42</f>
      </c>
      <c r="M42" s="27">
        <f t="shared" si="39"/>
      </c>
      <c r="N42" s="27">
        <f t="shared" si="39"/>
      </c>
      <c r="P42" s="1" t="s">
        <v>25</v>
      </c>
      <c r="S42" s="35">
        <v>1</v>
      </c>
    </row>
    <row r="43" spans="2:19" ht="15" customHeight="1" x14ac:dyDescent="0.2">
      <c r="D43" s="1" t="str">
        <f>+"Liquidation Preference, Escalating "&amp;TEXT($S$25,"0.0%")&amp;" Annually"</f>
      </c>
      <c r="I43" s="14">
        <f>+$S$24</f>
      </c>
      <c r="J43" s="14">
        <f>+I43*(1+$S$25)</f>
      </c>
      <c r="K43" s="14">
        <f>+J43*(1+$S$25)</f>
      </c>
      <c r="L43" s="14">
        <f t="shared" ref="L43:N43" si="40">+K43*(1+$S$25)</f>
      </c>
      <c r="M43" s="14">
        <f t="shared" si="40"/>
      </c>
      <c r="N43" s="14">
        <f t="shared" si="40"/>
      </c>
    </row>
    <row r="44" spans="2:19" ht="15" customHeight="1" x14ac:dyDescent="0.2">
      <c r="B44" s="16" t="s">
        <v>18</v>
      </c>
      <c r="C44" s="8"/>
      <c r="D44" s="1" t="s">
        <v>32</v>
      </c>
      <c r="I44" s="27">
        <f>+I42*I43</f>
      </c>
      <c r="J44" s="27">
        <f>+J42*J43</f>
      </c>
      <c r="K44" s="27">
        <f t="shared" ref="K44" si="41">+K42*K43</f>
      </c>
      <c r="L44" s="27">
        <f t="shared" ref="L44" si="42">+L42*L43</f>
      </c>
      <c r="M44" s="27">
        <f t="shared" ref="M44" si="43">+M42*M43</f>
      </c>
      <c r="N44" s="27">
        <f t="shared" ref="N44" si="44">+N42*N43</f>
      </c>
    </row>
    <row r="45" spans="2:19" ht="15" customHeight="1" x14ac:dyDescent="0.2"/>
    <row r="46" spans="2:19" ht="15" customHeight="1" x14ac:dyDescent="0.2">
      <c r="B46" s="8"/>
    </row>
    <row r="47" spans="2:19" ht="15" customHeight="1" x14ac:dyDescent="0.2">
      <c r="B47" s="16" t="s">
        <v>20</v>
      </c>
      <c r="C47" s="15"/>
      <c r="D47" s="18" t="s">
        <v>29</v>
      </c>
      <c r="E47" s="19"/>
      <c r="F47" s="19"/>
      <c r="G47" s="19"/>
      <c r="H47" s="19"/>
      <c r="I47" s="30">
        <f t="shared" ref="I47:N47" si="45">+MAX(I40,I44)</f>
      </c>
      <c r="J47" s="30">
        <f t="shared" si="45"/>
      </c>
      <c r="K47" s="30">
        <f t="shared" si="45"/>
      </c>
      <c r="L47" s="30">
        <f t="shared" si="45"/>
      </c>
      <c r="M47" s="30">
        <f t="shared" si="45"/>
      </c>
      <c r="N47" s="31">
        <f t="shared" si="45"/>
      </c>
    </row>
    <row r="48" spans="2:19" ht="15" customHeight="1" x14ac:dyDescent="0.2">
      <c r="D48" s="20" t="s">
        <v>33</v>
      </c>
      <c r="E48" s="17"/>
      <c r="F48" s="17"/>
      <c r="G48" s="17"/>
      <c r="H48" s="17"/>
      <c r="I48" s="32">
        <f t="shared" ref="I48:N48" si="46">+I40</f>
      </c>
      <c r="J48" s="32">
        <f t="shared" si="46"/>
      </c>
      <c r="K48" s="32">
        <f t="shared" si="46"/>
      </c>
      <c r="L48" s="32">
        <f t="shared" si="46"/>
      </c>
      <c r="M48" s="32">
        <f t="shared" si="46"/>
      </c>
      <c r="N48" s="33">
        <f t="shared" si="46"/>
      </c>
    </row>
    <row r="49" spans="2:14" ht="15" customHeight="1" x14ac:dyDescent="0.2">
      <c r="D49" s="21" t="s">
        <v>19</v>
      </c>
      <c r="E49" s="22"/>
      <c r="F49" s="22"/>
      <c r="G49" s="22"/>
      <c r="H49" s="22"/>
      <c r="I49" s="23">
        <f t="shared" ref="I49:N49" si="47">+I47/I38</f>
      </c>
      <c r="J49" s="23">
        <f t="shared" si="47"/>
      </c>
      <c r="K49" s="23">
        <f t="shared" si="47"/>
      </c>
      <c r="L49" s="23">
        <f t="shared" si="47"/>
      </c>
      <c r="M49" s="23">
        <f t="shared" si="47"/>
      </c>
      <c r="N49" s="24">
        <f t="shared" si="47"/>
      </c>
    </row>
    <row r="50" spans="2:14" ht="15" customHeight="1" x14ac:dyDescent="0.2"/>
    <row r="51" spans="2:14" ht="15" customHeight="1" x14ac:dyDescent="0.2">
      <c r="D51" s="13" t="str">
        <f>+TEXT(S29,"0.0%")&amp;" Party 2 Dividend"</f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2:14" ht="15" customHeight="1" x14ac:dyDescent="0.2">
      <c r="D52" s="1" t="s">
        <v>16</v>
      </c>
    </row>
    <row r="53" spans="2:14" ht="15" customHeight="1" x14ac:dyDescent="0.2">
      <c r="I53" s="8" t="s">
        <v>7</v>
      </c>
      <c r="J53" s="9">
        <v>1</v>
      </c>
      <c r="K53" s="9">
        <f>+J53+1</f>
      </c>
      <c r="L53" s="9">
        <f t="shared" ref="L53:N53" si="48">+K53+1</f>
      </c>
      <c r="M53" s="9">
        <f t="shared" si="48"/>
      </c>
      <c r="N53" s="9">
        <f t="shared" si="48"/>
      </c>
    </row>
    <row r="54" spans="2:14" ht="15" customHeight="1" x14ac:dyDescent="0.2">
      <c r="D54" s="3" t="s">
        <v>22</v>
      </c>
      <c r="E54" s="3"/>
      <c r="F54" s="3"/>
      <c r="G54" s="3"/>
      <c r="H54" s="3"/>
      <c r="I54" s="25">
        <f>+$S$20</f>
      </c>
      <c r="J54" s="26">
        <f>+I54*(1+$S$35)</f>
      </c>
      <c r="K54" s="26">
        <f>+J54*(1+$S$36)</f>
      </c>
      <c r="L54" s="26">
        <f>+K54*(1+$S$37)</f>
      </c>
      <c r="M54" s="26">
        <f>+L54*(1+$S$38)</f>
      </c>
      <c r="N54" s="26">
        <f>+M54*(1+$S$39)</f>
      </c>
    </row>
    <row r="55" spans="2:14" ht="15" customHeight="1" x14ac:dyDescent="0.2">
      <c r="D55" s="1" t="s">
        <v>14</v>
      </c>
      <c r="I55" s="29">
        <f>-$S$21</f>
      </c>
      <c r="J55" s="29">
        <f>+I55</f>
      </c>
      <c r="K55" s="29">
        <f t="shared" ref="K55:N55" si="49">+J55</f>
      </c>
      <c r="L55" s="29">
        <f t="shared" si="49"/>
      </c>
      <c r="M55" s="29">
        <f t="shared" si="49"/>
      </c>
      <c r="N55" s="29">
        <f t="shared" si="49"/>
      </c>
    </row>
    <row r="56" spans="2:14" ht="15" customHeight="1" x14ac:dyDescent="0.2">
      <c r="D56" s="1" t="s">
        <v>15</v>
      </c>
      <c r="I56" s="28">
        <f>SUM(I54:I55)</f>
      </c>
      <c r="J56" s="28">
        <f t="shared" ref="J56" si="50">SUM(J54:J55)</f>
      </c>
      <c r="K56" s="28">
        <f t="shared" ref="K56" si="51">SUM(K54:K55)</f>
      </c>
      <c r="L56" s="28">
        <f t="shared" ref="L56" si="52">SUM(L54:L55)</f>
      </c>
      <c r="M56" s="28">
        <f t="shared" ref="M56" si="53">SUM(M54:M55)</f>
      </c>
      <c r="N56" s="28">
        <f t="shared" ref="N56" si="54">SUM(N54:N55)</f>
      </c>
    </row>
    <row r="57" spans="2:14" ht="15" customHeight="1" x14ac:dyDescent="0.2">
      <c r="B57" s="16" t="s">
        <v>17</v>
      </c>
      <c r="D57" s="1" t="str">
        <f>+"Less: "&amp;TEXT(S29,"0.0%")&amp;"  Party 2 Dividend"</f>
      </c>
      <c r="I57" s="11">
        <v>0</v>
      </c>
      <c r="J57" s="29">
        <f>+-($S$19*(1+$S$29)^J$53-$S$19)</f>
      </c>
      <c r="K57" s="29">
        <f t="shared" ref="K57:N57" si="55">+-($S$19*(1+$S$29)^K$53-$S$19)</f>
      </c>
      <c r="L57" s="29">
        <f t="shared" si="55"/>
      </c>
      <c r="M57" s="29">
        <f t="shared" si="55"/>
      </c>
      <c r="N57" s="29">
        <f t="shared" si="55"/>
      </c>
    </row>
    <row r="58" spans="2:14" ht="15" customHeight="1" x14ac:dyDescent="0.2">
      <c r="D58" s="34" t="s">
        <v>21</v>
      </c>
      <c r="I58" s="28">
        <f>+SUM(I56:I57)</f>
      </c>
      <c r="J58" s="28">
        <f>+SUM(J56:J57)</f>
      </c>
      <c r="K58" s="28">
        <f t="shared" ref="K58:N58" si="56">+SUM(K56:K57)</f>
      </c>
      <c r="L58" s="28">
        <f t="shared" si="56"/>
      </c>
      <c r="M58" s="28">
        <f t="shared" si="56"/>
      </c>
      <c r="N58" s="28">
        <f t="shared" si="56"/>
      </c>
    </row>
    <row r="59" spans="2:14" ht="15" customHeight="1" x14ac:dyDescent="0.2">
      <c r="D59" s="1" t="str">
        <f>+"Growth Fund Ownership (Assumes "&amp;TEXT($S$19,"$0")&amp;"m Investment)"</f>
      </c>
      <c r="I59" s="12">
        <f>+$S$19/I56</f>
      </c>
      <c r="J59" s="12">
        <f>+I59</f>
      </c>
      <c r="K59" s="12">
        <f t="shared" ref="K59:N59" si="57">+J59</f>
      </c>
      <c r="L59" s="12">
        <f t="shared" si="57"/>
      </c>
      <c r="M59" s="12">
        <f t="shared" si="57"/>
      </c>
      <c r="N59" s="12">
        <f t="shared" si="57"/>
      </c>
    </row>
    <row r="60" spans="2:14" ht="15" customHeight="1" x14ac:dyDescent="0.2">
      <c r="B60" s="8"/>
      <c r="C60" s="8"/>
      <c r="D60" s="1" t="s">
        <v>30</v>
      </c>
      <c r="I60" s="27">
        <f>+I58*I59</f>
      </c>
      <c r="J60" s="27">
        <f>+J58*J59</f>
      </c>
      <c r="K60" s="27">
        <f t="shared" ref="K60:N60" si="58">+K58*K59</f>
      </c>
      <c r="L60" s="27">
        <f t="shared" si="58"/>
      </c>
      <c r="M60" s="27">
        <f t="shared" si="58"/>
      </c>
      <c r="N60" s="27">
        <f t="shared" si="58"/>
      </c>
    </row>
    <row r="61" spans="2:14" ht="15" customHeight="1" x14ac:dyDescent="0.2">
      <c r="B61" s="16" t="s">
        <v>17</v>
      </c>
      <c r="C61" s="8"/>
      <c r="D61" s="1" t="s">
        <v>38</v>
      </c>
      <c r="I61" s="29">
        <f>-I57</f>
      </c>
      <c r="J61" s="29">
        <f>-J57</f>
      </c>
      <c r="K61" s="29">
        <f t="shared" ref="K61:N61" si="59">-K57</f>
      </c>
      <c r="L61" s="29">
        <f t="shared" si="59"/>
      </c>
      <c r="M61" s="29">
        <f t="shared" si="59"/>
      </c>
      <c r="N61" s="29">
        <f t="shared" si="59"/>
      </c>
    </row>
    <row r="62" spans="2:14" ht="15" customHeight="1" x14ac:dyDescent="0.2">
      <c r="B62" s="8"/>
      <c r="C62" s="8"/>
      <c r="D62" s="1" t="s">
        <v>29</v>
      </c>
      <c r="I62" s="28">
        <f>+SUM(I60:I61)</f>
      </c>
      <c r="J62" s="28">
        <f>+SUM(J60:J61)</f>
      </c>
      <c r="K62" s="28">
        <f t="shared" ref="K62:N62" si="60">+SUM(K60:K61)</f>
      </c>
      <c r="L62" s="28">
        <f t="shared" si="60"/>
      </c>
      <c r="M62" s="28">
        <f t="shared" si="60"/>
      </c>
      <c r="N62" s="28">
        <f t="shared" si="60"/>
      </c>
    </row>
    <row r="63" spans="2:14" ht="15" customHeight="1" x14ac:dyDescent="0.2"/>
    <row r="64" spans="2:14" ht="15" customHeight="1" x14ac:dyDescent="0.2">
      <c r="B64" s="8"/>
      <c r="C64" s="15"/>
      <c r="D64" s="18" t="s">
        <v>29</v>
      </c>
      <c r="E64" s="19"/>
      <c r="F64" s="19"/>
      <c r="G64" s="19"/>
      <c r="H64" s="19"/>
      <c r="I64" s="30">
        <f>+I62</f>
      </c>
      <c r="J64" s="30">
        <f>+J62</f>
      </c>
      <c r="K64" s="30">
        <f t="shared" ref="K64:N64" si="61">+K62</f>
      </c>
      <c r="L64" s="30">
        <f t="shared" si="61"/>
      </c>
      <c r="M64" s="30">
        <f t="shared" si="61"/>
      </c>
      <c r="N64" s="31">
        <f t="shared" si="61"/>
      </c>
    </row>
    <row r="65" spans="2:14" ht="15" customHeight="1" x14ac:dyDescent="0.2">
      <c r="D65" s="20" t="s">
        <v>33</v>
      </c>
      <c r="E65" s="17"/>
      <c r="F65" s="17"/>
      <c r="G65" s="17"/>
      <c r="H65" s="17"/>
      <c r="I65" s="32">
        <f>+I56*I59</f>
      </c>
      <c r="J65" s="32">
        <f>+J56*J59</f>
      </c>
      <c r="K65" s="32">
        <f t="shared" ref="K65:N65" si="62">+K56*K59</f>
      </c>
      <c r="L65" s="32">
        <f t="shared" si="62"/>
      </c>
      <c r="M65" s="32">
        <f t="shared" si="62"/>
      </c>
      <c r="N65" s="33">
        <f t="shared" si="62"/>
      </c>
    </row>
    <row r="66" spans="2:14" ht="15" customHeight="1" x14ac:dyDescent="0.2">
      <c r="D66" s="21" t="s">
        <v>19</v>
      </c>
      <c r="E66" s="22"/>
      <c r="F66" s="22"/>
      <c r="G66" s="22"/>
      <c r="H66" s="22"/>
      <c r="I66" s="23">
        <f t="shared" ref="I66:N66" si="63">+I64/I56</f>
      </c>
      <c r="J66" s="23">
        <f t="shared" si="63"/>
      </c>
      <c r="K66" s="23">
        <f t="shared" si="63"/>
      </c>
      <c r="L66" s="23">
        <f t="shared" si="63"/>
      </c>
      <c r="M66" s="23">
        <f t="shared" si="63"/>
      </c>
      <c r="N66" s="24">
        <f t="shared" si="63"/>
      </c>
    </row>
    <row r="67" spans="2:14" ht="15" customHeight="1" x14ac:dyDescent="0.2"/>
    <row r="68" spans="2:14" ht="15" customHeight="1" x14ac:dyDescent="0.2">
      <c r="D68" s="13" t="str">
        <f>+TEXT(S24,"0.00x")&amp;" Flat Participating Preferred"</f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2:14" ht="15" customHeight="1" x14ac:dyDescent="0.2">
      <c r="D69" s="1" t="s">
        <v>16</v>
      </c>
    </row>
    <row r="70" spans="2:14" ht="15" customHeight="1" x14ac:dyDescent="0.2">
      <c r="I70" s="8" t="s">
        <v>7</v>
      </c>
      <c r="J70" s="9">
        <v>1</v>
      </c>
      <c r="K70" s="9">
        <f>+J70+1</f>
      </c>
      <c r="L70" s="9">
        <f t="shared" ref="L70:N70" si="64">+K70+1</f>
      </c>
      <c r="M70" s="9">
        <f t="shared" si="64"/>
      </c>
      <c r="N70" s="9">
        <f t="shared" si="64"/>
      </c>
    </row>
    <row r="71" spans="2:14" ht="15" customHeight="1" x14ac:dyDescent="0.2">
      <c r="D71" s="3" t="s">
        <v>22</v>
      </c>
      <c r="E71" s="3"/>
      <c r="F71" s="3"/>
      <c r="G71" s="3"/>
      <c r="H71" s="3"/>
      <c r="I71" s="25">
        <f>+$S$20</f>
      </c>
      <c r="J71" s="26">
        <f>+I71*(1+$S$35)</f>
      </c>
      <c r="K71" s="26">
        <f>+J71*(1+$S$36)</f>
      </c>
      <c r="L71" s="26">
        <f>+K71*(1+$S$37)</f>
      </c>
      <c r="M71" s="26">
        <f>+L71*(1+$S$38)</f>
      </c>
      <c r="N71" s="26">
        <f>+M71*(1+$S$39)</f>
      </c>
    </row>
    <row r="72" spans="2:14" ht="15" customHeight="1" x14ac:dyDescent="0.2">
      <c r="D72" s="1" t="s">
        <v>14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</row>
    <row r="73" spans="2:14" ht="15" customHeight="1" x14ac:dyDescent="0.2">
      <c r="D73" s="1" t="s">
        <v>26</v>
      </c>
      <c r="I73" s="27">
        <f>+SUM(I71:I72)</f>
      </c>
      <c r="J73" s="27">
        <f t="shared" ref="J73:N73" si="65">+SUM(J71:J72)</f>
      </c>
      <c r="K73" s="27">
        <f t="shared" si="65"/>
      </c>
      <c r="L73" s="27">
        <f t="shared" si="65"/>
      </c>
      <c r="M73" s="27">
        <f t="shared" si="65"/>
      </c>
      <c r="N73" s="27">
        <f t="shared" si="65"/>
      </c>
    </row>
    <row r="74" spans="2:14" ht="15" customHeight="1" x14ac:dyDescent="0.2">
      <c r="D74" s="1" t="s">
        <v>34</v>
      </c>
      <c r="I74" s="29">
        <f>-$S$19</f>
      </c>
      <c r="J74" s="29">
        <f>+I74</f>
      </c>
      <c r="K74" s="29">
        <f t="shared" ref="K74:N74" si="66">+J74</f>
      </c>
      <c r="L74" s="29">
        <f t="shared" si="66"/>
      </c>
      <c r="M74" s="29">
        <f t="shared" si="66"/>
      </c>
      <c r="N74" s="29">
        <f t="shared" si="66"/>
      </c>
    </row>
    <row r="75" spans="2:14" ht="15" customHeight="1" x14ac:dyDescent="0.2">
      <c r="B75" s="16" t="s">
        <v>17</v>
      </c>
      <c r="D75" s="1" t="s">
        <v>27</v>
      </c>
      <c r="I75" s="28">
        <f>+SUM(I73:I74)</f>
      </c>
      <c r="J75" s="28">
        <f t="shared" ref="J75:N75" si="67">+SUM(J73:J74)</f>
      </c>
      <c r="K75" s="28">
        <f t="shared" si="67"/>
      </c>
      <c r="L75" s="28">
        <f t="shared" si="67"/>
      </c>
      <c r="M75" s="28">
        <f t="shared" si="67"/>
      </c>
      <c r="N75" s="28">
        <f t="shared" si="67"/>
      </c>
    </row>
    <row r="76" spans="2:14" ht="15" customHeight="1" x14ac:dyDescent="0.2">
      <c r="D76" s="1" t="str">
        <f>+"Growth Fund Ownership (Assumes "&amp;TEXT($S$19,"$0")&amp;"m Investment)"</f>
      </c>
      <c r="I76" s="12">
        <f>+$S$19/I73</f>
      </c>
      <c r="J76" s="12">
        <f>+I76</f>
      </c>
      <c r="K76" s="12">
        <f t="shared" ref="K76:N76" si="68">+J76</f>
      </c>
      <c r="L76" s="12">
        <f t="shared" si="68"/>
      </c>
      <c r="M76" s="12">
        <f t="shared" si="68"/>
      </c>
      <c r="N76" s="12">
        <f t="shared" si="68"/>
      </c>
    </row>
    <row r="77" spans="2:14" ht="15" customHeight="1" x14ac:dyDescent="0.2">
      <c r="B77" s="8"/>
      <c r="C77" s="8"/>
      <c r="D77" s="1" t="s">
        <v>30</v>
      </c>
      <c r="I77" s="27">
        <f t="shared" ref="I77:J77" si="69">+I75*I76</f>
      </c>
      <c r="J77" s="27">
        <f t="shared" si="69"/>
      </c>
      <c r="K77" s="27">
        <f t="shared" ref="K77" si="70">+K75*K76</f>
      </c>
      <c r="L77" s="27">
        <f t="shared" ref="L77" si="71">+L75*L76</f>
      </c>
      <c r="M77" s="27">
        <f t="shared" ref="M77" si="72">+M75*M76</f>
      </c>
      <c r="N77" s="27">
        <f t="shared" ref="N77" si="73">+N75*N76</f>
      </c>
    </row>
    <row r="78" spans="2:14" ht="15" customHeight="1" x14ac:dyDescent="0.2">
      <c r="D78" s="1" t="s">
        <v>35</v>
      </c>
      <c r="I78" s="29">
        <f>-I74</f>
      </c>
      <c r="J78" s="29">
        <f t="shared" ref="J78:N78" si="74">-J74</f>
      </c>
      <c r="K78" s="29">
        <f t="shared" si="74"/>
      </c>
      <c r="L78" s="29">
        <f t="shared" si="74"/>
      </c>
      <c r="M78" s="29">
        <f t="shared" si="74"/>
      </c>
      <c r="N78" s="29">
        <f t="shared" si="74"/>
      </c>
    </row>
    <row r="79" spans="2:14" ht="15" customHeight="1" x14ac:dyDescent="0.2">
      <c r="B79" s="16" t="s">
        <v>17</v>
      </c>
      <c r="D79" s="1" t="s">
        <v>29</v>
      </c>
      <c r="I79" s="27">
        <f>+SUM(I77:I78)</f>
      </c>
      <c r="J79" s="27">
        <f t="shared" ref="J79:N79" si="75">+SUM(J77:J78)</f>
      </c>
      <c r="K79" s="27">
        <f t="shared" si="75"/>
      </c>
      <c r="L79" s="27">
        <f t="shared" si="75"/>
      </c>
      <c r="M79" s="27">
        <f t="shared" si="75"/>
      </c>
      <c r="N79" s="27">
        <f t="shared" si="75"/>
      </c>
    </row>
    <row r="80" spans="2:14" ht="15" customHeight="1" x14ac:dyDescent="0.2"/>
    <row r="81" spans="2:14" ht="15" customHeight="1" x14ac:dyDescent="0.2">
      <c r="B81" s="8"/>
      <c r="C81" s="8"/>
      <c r="D81" s="18" t="s">
        <v>29</v>
      </c>
      <c r="E81" s="19"/>
      <c r="F81" s="19"/>
      <c r="G81" s="19"/>
      <c r="H81" s="19"/>
      <c r="I81" s="30">
        <f>+I79</f>
      </c>
      <c r="J81" s="30">
        <f t="shared" ref="J81:N81" si="76">+J79</f>
      </c>
      <c r="K81" s="30">
        <f t="shared" si="76"/>
      </c>
      <c r="L81" s="30">
        <f t="shared" si="76"/>
      </c>
      <c r="M81" s="30">
        <f t="shared" si="76"/>
      </c>
      <c r="N81" s="31">
        <f t="shared" si="76"/>
      </c>
    </row>
    <row r="82" spans="2:14" ht="15" customHeight="1" x14ac:dyDescent="0.2">
      <c r="D82" s="20" t="s">
        <v>33</v>
      </c>
      <c r="E82" s="17"/>
      <c r="F82" s="17"/>
      <c r="G82" s="17"/>
      <c r="H82" s="17"/>
      <c r="I82" s="32">
        <f t="shared" ref="I82:N82" si="77">+SUM(I71:I72)*I76</f>
      </c>
      <c r="J82" s="32">
        <f t="shared" si="77"/>
      </c>
      <c r="K82" s="32">
        <f t="shared" si="77"/>
      </c>
      <c r="L82" s="32">
        <f t="shared" si="77"/>
      </c>
      <c r="M82" s="32">
        <f t="shared" si="77"/>
      </c>
      <c r="N82" s="33">
        <f t="shared" si="77"/>
      </c>
    </row>
    <row r="83" spans="2:14" ht="15" customHeight="1" x14ac:dyDescent="0.2">
      <c r="D83" s="21" t="s">
        <v>19</v>
      </c>
      <c r="E83" s="22"/>
      <c r="F83" s="22"/>
      <c r="G83" s="22"/>
      <c r="H83" s="22"/>
      <c r="I83" s="23">
        <f t="shared" ref="I83:N83" si="78">+I81/SUM(I71:I72)</f>
      </c>
      <c r="J83" s="23">
        <f t="shared" si="78"/>
      </c>
      <c r="K83" s="23">
        <f t="shared" si="78"/>
      </c>
      <c r="L83" s="23">
        <f t="shared" si="78"/>
      </c>
      <c r="M83" s="23">
        <f t="shared" si="78"/>
      </c>
      <c r="N83" s="24">
        <f t="shared" si="78"/>
      </c>
    </row>
    <row r="84" spans="2:14" ht="15" customHeight="1" x14ac:dyDescent="0.2">
      <c r="B84" s="8"/>
    </row>
    <row r="85" spans="2:14" ht="15" customHeight="1" x14ac:dyDescent="0.2">
      <c r="B85" s="8"/>
      <c r="C85" s="15"/>
      <c r="I85" s="28"/>
      <c r="J85" s="28"/>
      <c r="K85" s="28"/>
      <c r="L85" s="28"/>
      <c r="M85" s="28"/>
      <c r="N85" s="28"/>
    </row>
    <row r="86" spans="2:14" ht="15" customHeight="1" x14ac:dyDescent="0.2">
      <c r="I86" s="28"/>
      <c r="J86" s="28"/>
      <c r="K86" s="28"/>
      <c r="L86" s="28"/>
      <c r="M86" s="28"/>
      <c r="N86" s="28"/>
    </row>
    <row r="87" spans="2:14" ht="15" customHeight="1" x14ac:dyDescent="0.2"/>
    <row r="88" spans="2:14" ht="15" customHeight="1" x14ac:dyDescent="0.2"/>
    <row r="89" spans="2:14" ht="15" customHeight="1" x14ac:dyDescent="0.2"/>
    <row r="90" spans="2:14" ht="15" customHeight="1" x14ac:dyDescent="0.2"/>
    <row r="91" spans="2:14" ht="15" customHeight="1" x14ac:dyDescent="0.2"/>
    <row r="92" spans="2:14" ht="15" customHeight="1" x14ac:dyDescent="0.2"/>
    <row r="93" spans="2:14" ht="15" customHeight="1" x14ac:dyDescent="0.2"/>
    <row r="94" spans="2:14" ht="15" customHeight="1" x14ac:dyDescent="0.2"/>
    <row r="95" spans="2:14" ht="15" customHeight="1" x14ac:dyDescent="0.2"/>
    <row r="96" spans="2:14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