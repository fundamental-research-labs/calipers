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bookViews>
    <workbookView xWindow="25960" yWindow="500" windowWidth="25040" windowHeight="28300" xr2:uid="{918F5959-A027-9E42-9C9B-DEC78D466CD1}"/>
  </bookViews>
  <sheets>
    <sheet name="IPO-Model" sheetId="1" r:id="rId1"/>
  </sheets>
  <externalReferences>
    <externalReference r:id="rId2"/>
  </externalReferences>
  <definedNames>
    <definedName name="CIQWBGuid" hidden="1">"fedf60f8-2cd9-49ba-9fee-91fc372c3a0f"</definedName>
    <definedName name="Diluted_Shares">'[1]FO-Model'!$F$8</definedName>
    <definedName name="FO_Forward_Year_1_EBITDA">'[1]FO-Model'!$K$17</definedName>
    <definedName name="FO_Forward_Year_1_Net_Income">'[1]FO-Model'!$K$18</definedName>
    <definedName name="FO_Forward_Year_1_Revenue">'[1]FO-Model'!$K$16</definedName>
    <definedName name="FO_Greenshoe_Pct">'[1]FO-Model'!$F$18</definedName>
    <definedName name="FO_Greenshoe_Primary_Pct">'[1]FO-Model'!$F$19</definedName>
    <definedName name="FO_Offering_Size">'[1]FO-Model'!$F$11</definedName>
    <definedName name="FO_Pre_Transaction_EPS">'[1]FO-Model'!$K$14</definedName>
    <definedName name="FO_Primary_Pct">'[1]FO-Model'!$F$15</definedName>
    <definedName name="FO_Spread">'[1]FO-Model'!$F$13</definedName>
    <definedName name="Forward_Year_1_EBITDA">'IPO-Model'!$J$16</definedName>
    <definedName name="Forward_Year_1_Net_Income">'IPO-Model'!$J$17</definedName>
    <definedName name="Forward_Year_1_Revenue">'IPO-Model'!$J$15</definedName>
    <definedName name="Greenshoe_Pct">'IPO-Model'!$E$15</definedName>
    <definedName name="Greenshoe_Primary_Pct">'IPO-Model'!$E$16</definedName>
    <definedName name="IPO_Discount">'IPO-Model'!$E$10</definedName>
    <definedName name="IPO_Offering_Size">'IPO-Model'!$E$7</definedName>
    <definedName name="IPO_Spread">'IPO-Model'!$E$9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"08/30/2015 13:55:30"</definedName>
    <definedName name="IQ_QTD" hidden="1">750000</definedName>
    <definedName name="IQ_TODAY" hidden="1">0</definedName>
    <definedName name="IQ_YTDMONTH" hidden="1">130000</definedName>
    <definedName name="Issuer_Existing_Shares">'IPO-Model'!$E$18</definedName>
    <definedName name="Primary_Share_Pct">'IPO-Model'!$E$12</definedName>
    <definedName name="Primary_Shares">'[1]Alt-IPO-Model'!$E$10</definedName>
    <definedName name="_xlnm.Print_Area" localSheetId="0">'IPO-Model'!$A$1:$K$50</definedName>
    <definedName name="Secondary_Shares">'[1]Alt-IPO-Model'!$E$11</definedName>
    <definedName name="Share_Price">'[1]FO-Model'!$F$7</definedName>
  </definedNames>
  <calcPr calcId="18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" l="1"/>
  <c r="I31" i="1"/>
  <c r="H31" i="1"/>
  <c r="G31" i="1"/>
  <c r="J26" i="1"/>
  <c r="I26" i="1"/>
  <c r="H26" i="1"/>
  <c r="G26" i="1"/>
  <c r="J23" i="1"/>
  <c r="I23" i="1"/>
  <c r="H23" i="1"/>
  <c r="G23" i="1"/>
  <c r="G24" i="1" s="1"/>
  <c r="G29" i="1" s="1"/>
  <c r="H21" i="1"/>
  <c r="I21" i="1" s="1"/>
  <c r="B21" i="1"/>
  <c r="J13" i="1"/>
  <c r="E13" i="1"/>
  <c r="H24" i="1" l="1"/>
  <c r="G32" i="1"/>
  <c r="G42" i="1" s="1"/>
  <c r="J21" i="1"/>
  <c r="J24" i="1" s="1"/>
  <c r="I24" i="1"/>
  <c r="G27" i="1"/>
  <c r="G35" i="1" l="1"/>
  <c r="H29" i="1"/>
  <c r="H27" i="1" s="1"/>
  <c r="I29" i="1"/>
  <c r="I27" i="1"/>
  <c r="J29" i="1"/>
  <c r="J27" i="1" s="1"/>
  <c r="G36" i="1"/>
  <c r="H32" i="1" l="1"/>
  <c r="H42" i="1" s="1"/>
  <c r="H35" i="1"/>
  <c r="H36" i="1" s="1"/>
  <c r="H37" i="1" s="1"/>
  <c r="G37" i="1"/>
  <c r="J32" i="1"/>
  <c r="J42" i="1" s="1"/>
  <c r="I32" i="1"/>
  <c r="I35" i="1" s="1"/>
  <c r="J35" i="1" l="1"/>
  <c r="I36" i="1"/>
  <c r="I42" i="1"/>
  <c r="H39" i="1"/>
  <c r="G39" i="1"/>
  <c r="G40" i="1"/>
  <c r="J36" i="1"/>
  <c r="G48" i="1" l="1"/>
  <c r="G47" i="1" s="1"/>
  <c r="G45" i="1"/>
  <c r="G44" i="1" s="1"/>
  <c r="H40" i="1"/>
  <c r="J37" i="1"/>
  <c r="I37" i="1"/>
  <c r="H48" i="1" l="1"/>
  <c r="H47" i="1" s="1"/>
  <c r="H45" i="1"/>
  <c r="H44" i="1" s="1"/>
  <c r="I39" i="1"/>
  <c r="J39" i="1"/>
  <c r="J40" i="1" s="1"/>
  <c r="J48" i="1" l="1"/>
  <c r="J47" i="1" s="1"/>
  <c r="J45" i="1"/>
  <c r="J44" i="1" s="1"/>
  <c r="I40" i="1"/>
  <c r="I45" i="1" l="1"/>
  <c r="I44" i="1" s="1"/>
  <c r="I48" i="1"/>
  <c r="I4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Author1</author>
  </authors>
  <commentList>
    <comment ref="E9" authorId="0" shapeId="0" xr:uid="{8F3D8B6E-F844-9F49-ACAF-09125CC42BC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This represents the fee that the banks taking the company public receive; up to 7% for smaller deals, but scales down as the deal size gets bigger and can be much larger for the biggest IPOs.</t>
        </r>
      </text>
    </comment>
    <comment ref="E15" authorId="0" shapeId="0" xr:uid="{6E7F6540-EE9D-B34A-9835-5EC8706DACD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the assumptions; allows the issuer to issue more shares if there's strong market demand. Set to 0.0% if there is no Greenshoe Provision.</t>
        </r>
      </text>
    </comment>
    <comment ref="E16" authorId="0" shapeId="0" xr:uid="{EB48606A-98AB-F047-A878-19DAFF1E682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Often similar to the Primary/Secondary split in the main offering, but sometimes more Primary shares.</t>
        </r>
      </text>
    </comment>
    <comment ref="E18" authorId="0" shapeId="0" xr:uid="{56B4CBD6-2422-D34A-A561-6B9B7EDCDDE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Determine from issuer's documents / filings prior to the IPO.</t>
        </r>
      </text>
    </comment>
  </commentList>
</comments>
</file>

<file path=xl/sharedStrings.xml><?xml version="1.0" encoding="utf-8"?>
<sst xmlns="http://schemas.openxmlformats.org/spreadsheetml/2006/main" count="58" uniqueCount="44">
  <si>
    <t>IPO Valuation &amp; Financing Model</t>
  </si>
  <si>
    <t>($ USD in Millions Except Per Share Values in $ as Stated)</t>
  </si>
  <si>
    <t>IPO Transaction Assumptions:</t>
  </si>
  <si>
    <t>Funds Raised in IPO:</t>
  </si>
  <si>
    <t>Expense Assumptions:</t>
  </si>
  <si>
    <t>$ in Millions</t>
  </si>
  <si>
    <t>Underwriting Discount:</t>
  </si>
  <si>
    <t>(+) SEC Filing &amp; Registration Fees:</t>
  </si>
  <si>
    <t>IPO Pricing Discount:</t>
  </si>
  <si>
    <t>(+) Printing Fees:</t>
  </si>
  <si>
    <t>(+) Accounting &amp; Legal Fees:</t>
  </si>
  <si>
    <t>Primary Share %:</t>
  </si>
  <si>
    <t>(+) Miscellaneous / Other Fees:</t>
  </si>
  <si>
    <t>Secondary Share %:</t>
  </si>
  <si>
    <t>Total Fees:</t>
  </si>
  <si>
    <t>Greenshoe Provision %:</t>
  </si>
  <si>
    <t>Forward Year 1 Revenue:</t>
  </si>
  <si>
    <t>Primary Allocation %:</t>
  </si>
  <si>
    <t>Forward Year 1 EBITDA:</t>
  </si>
  <si>
    <t>Forward Year 1 Net Income:</t>
  </si>
  <si>
    <t>Issuer - Existing Shares:</t>
  </si>
  <si>
    <t>Filing Range - 1-Year Forward P / E Multiples</t>
  </si>
  <si>
    <t>Units:</t>
  </si>
  <si>
    <t>$ M</t>
  </si>
  <si>
    <t>Implied Post-Money Equity Value @ Trading:</t>
  </si>
  <si>
    <t>Pricing Discount %:</t>
  </si>
  <si>
    <t>%</t>
  </si>
  <si>
    <t>Pricing Discount Amount:</t>
  </si>
  <si>
    <t>Implied Post-Money Equity Value @ Pricing:</t>
  </si>
  <si>
    <t>Issuer - Existing Shares Outstanding:</t>
  </si>
  <si>
    <t>M Shares</t>
  </si>
  <si>
    <t>Implied Offering Price per Share:</t>
  </si>
  <si>
    <t>$ as Stated</t>
  </si>
  <si>
    <t>Post-Transaction Shares Outstanding Calculations:</t>
  </si>
  <si>
    <t>(+) Primary Shares Issued in IPO:</t>
  </si>
  <si>
    <t>(+) Secondary Shares Sold in IPO:</t>
  </si>
  <si>
    <t>Total Shares Issued or Sold in IPO:</t>
  </si>
  <si>
    <t>Total Shares Issued or Sold in Base Deal:</t>
  </si>
  <si>
    <t>Total Overallotment Shares:</t>
  </si>
  <si>
    <t>Pro-Forma Shares Outstanding, Post-IPO:</t>
  </si>
  <si>
    <t>Primary Shares Issued - Basic Offering:</t>
  </si>
  <si>
    <t>Primary Shares Issued - Overallotment:</t>
  </si>
  <si>
    <t>Secondary Shares Sold - Basic Offering:</t>
  </si>
  <si>
    <t>Secondary Shares Sold - Overallotment: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</si>
</sst>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_);_(&quot;$&quot;* \(#,##0.0\);_(&quot;$&quot;* &quot;-&quot;?_);_(@_)"/>
    <numFmt numFmtId="165" formatCode="_(0.0%_);\(0.0%\);_(&quot;–&quot;_)_%;_(@_)_%"/>
    <numFmt numFmtId="166" formatCode="_(* #,##0.0_);_(* \(#,##0.0\);_(* &quot;-&quot;?_);_(@_)"/>
    <numFmt numFmtId="167" formatCode="0.0%;\(0.0%\)"/>
    <numFmt numFmtId="168" formatCode="#,##0.000"/>
    <numFmt numFmtId="169" formatCode="_(* #,##0_);_(* \(#,##0\);_(* &quot;-&quot;??_);_(@_)"/>
    <numFmt numFmtId="170" formatCode="0.0\ \x;[Red]\ 0.0\ \x"/>
    <numFmt numFmtId="171" formatCode="_-* #,##0.0_-;\-* #,##0.0_-;_-* &quot;-&quot;??_-;_-@_-"/>
    <numFmt numFmtId="172" formatCode="0.0%"/>
  </numFmts>
  <fonts count="1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i/>
      <sz val="12"/>
      <color theme="0"/>
      <name val="Calibri"/>
      <family val="2"/>
      <scheme val="minor"/>
    </font>
    <font>
      <sz val="12"/>
      <color rgb="FF0000FF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B050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theme="0"/>
      </bottom>
      <diagonal/>
    </border>
  </borders>
  <cellStyleXfs count="3">
    <xf numFmtId="0" fontId="0" fillId="0" borderId="0"/>
    <xf numFmtId="0" fontId="5" fillId="2" borderId="1" applyNumberFormat="0" applyFont="0" applyAlignment="0" applyProtection="0"/>
    <xf numFmtId="0" fontId="7" fillId="0" borderId="0"/>
  </cellStyleXfs>
  <cellXfs count="38">
    <xf numFmtId="0" fontId="0" fillId="0" borderId="0" xfId="0"/>
    <xf numFmtId="0" fontId="6" fillId="0" borderId="0" xfId="0" applyFont="1"/>
    <xf numFmtId="0" fontId="1" fillId="0" borderId="0" xfId="0" applyFont="1"/>
    <xf numFmtId="0" fontId="8" fillId="0" borderId="0" xfId="2" applyFont="1"/>
    <xf numFmtId="0" fontId="2" fillId="3" borderId="2" xfId="0" applyFont="1" applyFill="1" applyBorder="1"/>
    <xf numFmtId="0" fontId="9" fillId="3" borderId="2" xfId="0" applyFont="1" applyFill="1" applyBorder="1"/>
    <xf numFmtId="0" fontId="1" fillId="0" borderId="0" xfId="0" applyFont="1" applyAlignment="1">
      <alignment horizontal="left"/>
    </xf>
    <xf numFmtId="164" fontId="10" fillId="4" borderId="1" xfId="1" applyNumberFormat="1" applyFont="1" applyFill="1" applyAlignment="1">
      <alignment horizontal="center" wrapText="1"/>
    </xf>
    <xf numFmtId="0" fontId="3" fillId="5" borderId="2" xfId="0" applyFont="1" applyFill="1" applyBorder="1"/>
    <xf numFmtId="0" fontId="1" fillId="5" borderId="2" xfId="0" applyFont="1" applyFill="1" applyBorder="1"/>
    <xf numFmtId="0" fontId="3" fillId="5" borderId="2" xfId="0" applyFont="1" applyFill="1" applyBorder="1" applyAlignment="1">
      <alignment horizontal="center"/>
    </xf>
    <xf numFmtId="165" fontId="10" fillId="4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left" indent="1"/>
    </xf>
    <xf numFmtId="166" fontId="10" fillId="4" borderId="1" xfId="1" applyNumberFormat="1" applyFont="1" applyFill="1" applyAlignment="1">
      <alignment horizontal="center" wrapText="1"/>
    </xf>
    <xf numFmtId="0" fontId="1" fillId="0" borderId="3" xfId="0" applyFont="1" applyBorder="1"/>
    <xf numFmtId="166" fontId="10" fillId="4" borderId="4" xfId="1" applyNumberFormat="1" applyFont="1" applyFill="1" applyBorder="1" applyAlignment="1">
      <alignment horizontal="center" wrapText="1"/>
    </xf>
    <xf numFmtId="167" fontId="8" fillId="0" borderId="0" xfId="0" applyNumberFormat="1" applyFont="1" applyAlignment="1">
      <alignment horizontal="center"/>
    </xf>
    <xf numFmtId="0" fontId="3" fillId="0" borderId="5" xfId="0" applyFont="1" applyBorder="1"/>
    <xf numFmtId="0" fontId="1" fillId="0" borderId="5" xfId="0" applyFont="1" applyBorder="1"/>
    <xf numFmtId="164" fontId="3" fillId="0" borderId="0" xfId="0" applyNumberFormat="1" applyFont="1"/>
    <xf numFmtId="168" fontId="10" fillId="4" borderId="1" xfId="0" applyNumberFormat="1" applyFont="1" applyFill="1" applyBorder="1" applyAlignment="1">
      <alignment horizontal="center"/>
    </xf>
    <xf numFmtId="169" fontId="1" fillId="0" borderId="0" xfId="0" applyNumberFormat="1" applyFont="1"/>
    <xf numFmtId="0" fontId="11" fillId="3" borderId="0" xfId="0" applyFont="1" applyFill="1"/>
    <xf numFmtId="0" fontId="2" fillId="3" borderId="6" xfId="0" applyFont="1" applyFill="1" applyBorder="1" applyAlignment="1">
      <alignment horizontal="centerContinuous"/>
    </xf>
    <xf numFmtId="0" fontId="4" fillId="3" borderId="6" xfId="0" applyFont="1" applyFill="1" applyBorder="1" applyAlignment="1">
      <alignment horizontal="centerContinuous"/>
    </xf>
    <xf numFmtId="0" fontId="11" fillId="3" borderId="2" xfId="0" applyFont="1" applyFill="1" applyBorder="1" applyAlignment="1">
      <alignment horizontal="center"/>
    </xf>
    <xf numFmtId="170" fontId="2" fillId="3" borderId="2" xfId="0" applyNumberFormat="1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164" fontId="8" fillId="0" borderId="0" xfId="0" applyNumberFormat="1" applyFont="1"/>
    <xf numFmtId="166" fontId="1" fillId="0" borderId="0" xfId="0" applyNumberFormat="1" applyFont="1"/>
    <xf numFmtId="167" fontId="8" fillId="0" borderId="0" xfId="0" applyNumberFormat="1" applyFont="1"/>
    <xf numFmtId="43" fontId="1" fillId="0" borderId="0" xfId="0" applyNumberFormat="1" applyFont="1"/>
    <xf numFmtId="168" fontId="13" fillId="0" borderId="0" xfId="0" applyNumberFormat="1" applyFont="1"/>
    <xf numFmtId="44" fontId="1" fillId="0" borderId="0" xfId="0" applyNumberFormat="1" applyFont="1"/>
    <xf numFmtId="171" fontId="8" fillId="0" borderId="0" xfId="0" applyNumberFormat="1" applyFont="1"/>
    <xf numFmtId="0" fontId="12" fillId="0" borderId="2" xfId="0" applyFont="1" applyBorder="1" applyAlignment="1">
      <alignment horizontal="center"/>
    </xf>
    <xf numFmtId="171" fontId="14" fillId="0" borderId="5" xfId="0" applyNumberFormat="1" applyFont="1" applyBorder="1"/>
    <xf numFmtId="172" fontId="8" fillId="0" borderId="0" xfId="0" applyNumberFormat="1" applyFont="1"/>
  </cellXfs>
  <cellStyles count="3">
    <cellStyle name="Normal" xfId="0" builtinId="0"/>
    <cellStyle name="Normal 2" xfId="2" xr:uid="{7DA929CD-83BB-1648-8D4E-A62863554596}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external_workbook_1.xlsx" TargetMode="External"/><Relationship Id="rId1" Type="http://schemas.openxmlformats.org/officeDocument/2006/relationships/externalLinkPath" Target="external_workbook_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PO-Model"/>
      <sheetName val="Alt-IPO-Model"/>
      <sheetName val="FO-Model"/>
      <sheetName val="FO-Comps"/>
    </sheetNames>
    <sheetDataSet>
      <sheetData sheetId="0"/>
      <sheetData sheetId="1">
        <row r="10">
          <cell r="E10">
            <v>30</v>
          </cell>
        </row>
        <row r="11">
          <cell r="E11">
            <v>10</v>
          </cell>
        </row>
      </sheetData>
      <sheetData sheetId="2">
        <row r="7">
          <cell r="F7">
            <v>442.47</v>
          </cell>
        </row>
        <row r="8">
          <cell r="F8">
            <v>62.644037213099189</v>
          </cell>
        </row>
        <row r="11">
          <cell r="F11">
            <v>1500</v>
          </cell>
        </row>
        <row r="13">
          <cell r="F13">
            <v>2.2499999999999999E-2</v>
          </cell>
        </row>
        <row r="14">
          <cell r="K14">
            <v>5.3112066201738157</v>
          </cell>
        </row>
        <row r="15">
          <cell r="F15">
            <v>0.9</v>
          </cell>
        </row>
        <row r="16">
          <cell r="K16">
            <v>6829.1301882019725</v>
          </cell>
        </row>
        <row r="17">
          <cell r="K17">
            <v>678.26096848946554</v>
          </cell>
        </row>
        <row r="18">
          <cell r="F18">
            <v>0.15</v>
          </cell>
          <cell r="K18">
            <v>327.69613725810427</v>
          </cell>
        </row>
        <row r="19">
          <cell r="F19">
            <v>0.9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1490A-73A1-0847-AACC-687D5ABA2E68}">
  <sheetPr>
    <pageSetUpPr autoPageBreaks="0"/>
  </sheetPr>
  <dimension ref="B2:J48"/>
  <sheetViews>
    <sheetView showGridLines="0" tabSelected="1" zoomScaleNormal="100" workbookViewId="0">
      <selection activeCell="E75" sqref="E75"/>
    </sheetView>
  </sheetViews>
  <sheetFormatPr baseColWidth="10" defaultColWidth="9.1640625" defaultRowHeight="16" x14ac:dyDescent="0.2"/>
  <cols>
    <col min="1" max="2" width="2.6640625" style="2" customWidth="1"/>
    <col min="3" max="5" width="16.6640625" style="2" customWidth="1"/>
    <col min="6" max="10" width="13.6640625" style="2" customWidth="1"/>
    <col min="11" max="11" width="2.6640625" style="2" customWidth="1"/>
    <col min="12" max="16384" width="9.1640625" style="2"/>
  </cols>
  <sheetData>
    <row r="2" spans="2:10" ht="19" x14ac:dyDescent="0.25">
      <c r="B2" s="1" t="s">
        <v>0</v>
      </c>
    </row>
    <row r="3" spans="2:10" x14ac:dyDescent="0.2">
      <c r="B3" s="3" t="s">
        <v>1</v>
      </c>
    </row>
    <row r="5" spans="2:10" x14ac:dyDescent="0.2">
      <c r="B5" s="4" t="s">
        <v>2</v>
      </c>
      <c r="C5" s="5"/>
      <c r="D5" s="5"/>
      <c r="E5" s="5"/>
      <c r="F5" s="5"/>
      <c r="G5" s="5"/>
      <c r="H5" s="5"/>
      <c r="I5" s="5"/>
      <c r="J5" s="5"/>
    </row>
    <row r="7" spans="2:10" x14ac:dyDescent="0.2">
      <c r="C7" s="6" t="s">
        <v>3</v>
      </c>
      <c r="E7" s="7">
        <v>1000</v>
      </c>
      <c r="G7" s="8" t="s">
        <v>4</v>
      </c>
      <c r="H7" s="9"/>
      <c r="I7" s="9"/>
      <c r="J7" s="10" t="s">
        <v>5</v>
      </c>
    </row>
    <row r="9" spans="2:10" x14ac:dyDescent="0.2">
      <c r="C9" s="2" t="s">
        <v>6</v>
      </c>
      <c r="E9" s="11">
        <v>0.05</v>
      </c>
      <c r="G9" s="12" t="s">
        <v>7</v>
      </c>
      <c r="J9" s="7">
        <v>1.5</v>
      </c>
    </row>
    <row r="10" spans="2:10" x14ac:dyDescent="0.2">
      <c r="C10" s="2" t="s">
        <v>8</v>
      </c>
      <c r="E10" s="11">
        <v>0.15</v>
      </c>
      <c r="G10" s="12" t="s">
        <v>9</v>
      </c>
      <c r="J10" s="13">
        <v>1</v>
      </c>
    </row>
    <row r="11" spans="2:10" x14ac:dyDescent="0.2">
      <c r="G11" s="12" t="s">
        <v>10</v>
      </c>
      <c r="J11" s="13">
        <v>6</v>
      </c>
    </row>
    <row r="12" spans="2:10" x14ac:dyDescent="0.2">
      <c r="C12" s="2" t="s">
        <v>11</v>
      </c>
      <c r="E12" s="11">
        <v>0.75</v>
      </c>
      <c r="G12" s="12" t="s">
        <v>12</v>
      </c>
      <c r="I12" s="14"/>
      <c r="J12" s="15">
        <v>1.5</v>
      </c>
    </row>
    <row r="13" spans="2:10" x14ac:dyDescent="0.2">
      <c r="C13" s="2" t="s">
        <v>13</v>
      </c>
      <c r="E13" s="16">
        <f>1-E12</f>
      </c>
      <c r="G13" s="17" t="s">
        <v>14</v>
      </c>
      <c r="H13" s="18"/>
      <c r="J13" s="19">
        <f>SUM(J9:J12)</f>
      </c>
    </row>
    <row r="15" spans="2:10" x14ac:dyDescent="0.2">
      <c r="C15" s="2" t="s">
        <v>15</v>
      </c>
      <c r="E15" s="11">
        <v>0.15</v>
      </c>
      <c r="G15" s="6" t="s">
        <v>16</v>
      </c>
      <c r="J15" s="7">
        <v>483.95526455862995</v>
      </c>
    </row>
    <row r="16" spans="2:10" x14ac:dyDescent="0.2">
      <c r="C16" s="2" t="s">
        <v>17</v>
      </c>
      <c r="E16" s="11">
        <v>0.75</v>
      </c>
      <c r="G16" s="6" t="s">
        <v>18</v>
      </c>
      <c r="J16" s="13">
        <v>249.74513505701393</v>
      </c>
    </row>
    <row r="17" spans="2:10" x14ac:dyDescent="0.2">
      <c r="G17" s="6" t="s">
        <v>19</v>
      </c>
      <c r="J17" s="13">
        <v>175.94641926452886</v>
      </c>
    </row>
    <row r="18" spans="2:10" x14ac:dyDescent="0.2">
      <c r="C18" s="2" t="s">
        <v>20</v>
      </c>
      <c r="E18" s="20">
        <v>66.914438478351997</v>
      </c>
      <c r="J18" s="21"/>
    </row>
    <row r="20" spans="2:10" x14ac:dyDescent="0.2">
      <c r="B20" s="22"/>
      <c r="C20" s="22"/>
      <c r="D20" s="22"/>
      <c r="E20" s="22"/>
      <c r="F20" s="22"/>
      <c r="G20" s="23" t="s">
        <v>21</v>
      </c>
      <c r="H20" s="24"/>
      <c r="I20" s="24"/>
      <c r="J20" s="24"/>
    </row>
    <row r="21" spans="2:10" x14ac:dyDescent="0.2">
      <c r="B21" s="4" t="str">
        <f>"Forward Year 1 P / E Multiple at Trading:"</f>
      </c>
      <c r="C21" s="4"/>
      <c r="D21" s="25"/>
      <c r="E21" s="25"/>
      <c r="F21" s="25" t="s">
        <v>22</v>
      </c>
      <c r="G21" s="26">
        <v>17.5</v>
      </c>
      <c r="H21" s="26">
        <f>+G21+2.5</f>
      </c>
      <c r="I21" s="26">
        <f t="shared" ref="I21:J21" si="0">+H21+2.5</f>
      </c>
      <c r="J21" s="26">
        <f t="shared" si="0"/>
      </c>
    </row>
    <row r="23" spans="2:10" x14ac:dyDescent="0.2">
      <c r="C23" s="2" t="s">
        <v>19</v>
      </c>
      <c r="F23" s="27" t="s">
        <v>23</v>
      </c>
      <c r="G23" s="28">
        <f>+Forward_Year_1_Net_Income</f>
      </c>
      <c r="H23" s="28">
        <f>+Forward_Year_1_Net_Income</f>
      </c>
      <c r="I23" s="28">
        <f>+Forward_Year_1_Net_Income</f>
      </c>
      <c r="J23" s="28">
        <f>+Forward_Year_1_Net_Income</f>
      </c>
    </row>
    <row r="24" spans="2:10" x14ac:dyDescent="0.2">
      <c r="C24" s="2" t="s">
        <v>24</v>
      </c>
      <c r="F24" s="27" t="s">
        <v>23</v>
      </c>
      <c r="G24" s="29">
        <f>+G21*G23</f>
      </c>
      <c r="H24" s="29">
        <f t="shared" ref="H24:J24" si="1">+H21*H23</f>
      </c>
      <c r="I24" s="29">
        <f t="shared" si="1"/>
      </c>
      <c r="J24" s="29">
        <f t="shared" si="1"/>
      </c>
    </row>
    <row r="25" spans="2:10" x14ac:dyDescent="0.2">
      <c r="G25" s="16"/>
      <c r="H25" s="16"/>
      <c r="I25" s="16"/>
      <c r="J25" s="16"/>
    </row>
    <row r="26" spans="2:10" x14ac:dyDescent="0.2">
      <c r="C26" s="2" t="s">
        <v>25</v>
      </c>
      <c r="F26" s="27" t="s">
        <v>26</v>
      </c>
      <c r="G26" s="30">
        <f>+IPO_Discount</f>
      </c>
      <c r="H26" s="30">
        <f>+IPO_Discount</f>
      </c>
      <c r="I26" s="30">
        <f>+IPO_Discount</f>
      </c>
      <c r="J26" s="30">
        <f>+IPO_Discount</f>
      </c>
    </row>
    <row r="27" spans="2:10" x14ac:dyDescent="0.2">
      <c r="C27" s="2" t="s">
        <v>27</v>
      </c>
      <c r="F27" s="27" t="s">
        <v>23</v>
      </c>
      <c r="G27" s="29">
        <f>+G24-G29</f>
      </c>
      <c r="H27" s="29">
        <f t="shared" ref="H27:J27" si="2">+H24-H29</f>
      </c>
      <c r="I27" s="29">
        <f t="shared" si="2"/>
      </c>
      <c r="J27" s="29">
        <f t="shared" si="2"/>
      </c>
    </row>
    <row r="28" spans="2:10" x14ac:dyDescent="0.2">
      <c r="G28" s="31"/>
      <c r="H28" s="31"/>
      <c r="I28" s="31"/>
      <c r="J28" s="31"/>
    </row>
    <row r="29" spans="2:10" x14ac:dyDescent="0.2">
      <c r="C29" s="2" t="s">
        <v>28</v>
      </c>
      <c r="F29" s="27" t="s">
        <v>23</v>
      </c>
      <c r="G29" s="29">
        <f>+G24/(1+G26)</f>
      </c>
      <c r="H29" s="29">
        <f t="shared" ref="H29:J29" si="3">+H24/(1+H26)</f>
      </c>
      <c r="I29" s="29">
        <f t="shared" si="3"/>
      </c>
      <c r="J29" s="29">
        <f t="shared" si="3"/>
      </c>
    </row>
    <row r="31" spans="2:10" x14ac:dyDescent="0.2">
      <c r="C31" s="2" t="s">
        <v>29</v>
      </c>
      <c r="F31" s="27" t="s">
        <v>30</v>
      </c>
      <c r="G31" s="32">
        <f>+Issuer_Existing_Shares</f>
      </c>
      <c r="H31" s="32">
        <f>+Issuer_Existing_Shares</f>
      </c>
      <c r="I31" s="32">
        <f>+Issuer_Existing_Shares</f>
      </c>
      <c r="J31" s="32">
        <f>+Issuer_Existing_Shares</f>
      </c>
    </row>
    <row r="32" spans="2:10" x14ac:dyDescent="0.2">
      <c r="C32" s="2" t="s">
        <v>31</v>
      </c>
      <c r="F32" s="27" t="s">
        <v>32</v>
      </c>
      <c r="G32" s="33">
        <f>(+G29-IPO_Offering_Size)/G31</f>
      </c>
      <c r="H32" s="33">
        <f>(+H29-IPO_Offering_Size)/H31</f>
      </c>
      <c r="I32" s="33">
        <f>(+I29-IPO_Offering_Size)/I31</f>
      </c>
      <c r="J32" s="33">
        <f>(+J29-IPO_Offering_Size)/J31</f>
      </c>
    </row>
    <row r="33" spans="3:10" x14ac:dyDescent="0.2">
      <c r="G33" s="31"/>
    </row>
    <row r="34" spans="3:10" x14ac:dyDescent="0.2">
      <c r="C34" s="8" t="s">
        <v>33</v>
      </c>
      <c r="D34" s="9"/>
      <c r="E34" s="9"/>
      <c r="F34" s="9"/>
      <c r="G34" s="9"/>
      <c r="H34" s="9"/>
      <c r="I34" s="9"/>
      <c r="J34" s="9"/>
    </row>
    <row r="35" spans="3:10" x14ac:dyDescent="0.2">
      <c r="C35" s="12" t="s">
        <v>34</v>
      </c>
      <c r="F35" s="27" t="s">
        <v>30</v>
      </c>
      <c r="G35" s="34">
        <f>+G29/G32-G31</f>
      </c>
      <c r="H35" s="34">
        <f t="shared" ref="H35:J35" si="4">+H29/H32-H31</f>
      </c>
      <c r="I35" s="34">
        <f t="shared" si="4"/>
      </c>
      <c r="J35" s="34">
        <f t="shared" si="4"/>
      </c>
    </row>
    <row r="36" spans="3:10" x14ac:dyDescent="0.2">
      <c r="C36" s="12" t="s">
        <v>35</v>
      </c>
      <c r="F36" s="35" t="s">
        <v>30</v>
      </c>
      <c r="G36" s="34">
        <f>+G35/Primary_Share_Pct-G35</f>
      </c>
      <c r="H36" s="34">
        <f>+H35/Primary_Share_Pct-H35</f>
      </c>
      <c r="I36" s="34">
        <f>+I35/Primary_Share_Pct-I35</f>
      </c>
      <c r="J36" s="34">
        <f>+J35/Primary_Share_Pct-J35</f>
      </c>
    </row>
    <row r="37" spans="3:10" x14ac:dyDescent="0.2">
      <c r="C37" s="17" t="s">
        <v>36</v>
      </c>
      <c r="D37" s="18"/>
      <c r="E37" s="18"/>
      <c r="F37" s="27" t="s">
        <v>30</v>
      </c>
      <c r="G37" s="36">
        <f>SUM(G35:G36)</f>
      </c>
      <c r="H37" s="36">
        <f t="shared" ref="H37:J37" si="5">SUM(H35:H36)</f>
      </c>
      <c r="I37" s="36">
        <f t="shared" si="5"/>
      </c>
      <c r="J37" s="36">
        <f t="shared" si="5"/>
      </c>
    </row>
    <row r="38" spans="3:10" x14ac:dyDescent="0.2">
      <c r="F38" s="27"/>
      <c r="G38" s="37"/>
      <c r="H38" s="37"/>
      <c r="I38" s="37"/>
      <c r="J38" s="37"/>
    </row>
    <row r="39" spans="3:10" x14ac:dyDescent="0.2">
      <c r="C39" s="2" t="s">
        <v>37</v>
      </c>
      <c r="F39" s="27" t="s">
        <v>30</v>
      </c>
      <c r="G39" s="34">
        <f>+G37/(1+Greenshoe_Pct)</f>
      </c>
      <c r="H39" s="34">
        <f>+H37/(1+Greenshoe_Pct)</f>
      </c>
      <c r="I39" s="34">
        <f>+I37/(1+Greenshoe_Pct)</f>
      </c>
      <c r="J39" s="34">
        <f>+J37/(1+Greenshoe_Pct)</f>
      </c>
    </row>
    <row r="40" spans="3:10" x14ac:dyDescent="0.2">
      <c r="C40" s="2" t="s">
        <v>38</v>
      </c>
      <c r="F40" s="27" t="s">
        <v>30</v>
      </c>
      <c r="G40" s="34">
        <f>+G37-G39</f>
      </c>
      <c r="H40" s="34">
        <f t="shared" ref="H40:J40" si="6">+H37-H39</f>
      </c>
      <c r="I40" s="34">
        <f t="shared" si="6"/>
      </c>
      <c r="J40" s="34">
        <f t="shared" si="6"/>
      </c>
    </row>
    <row r="41" spans="3:10" x14ac:dyDescent="0.2">
      <c r="F41" s="27"/>
      <c r="G41" s="37"/>
      <c r="H41" s="37"/>
      <c r="I41" s="37"/>
      <c r="J41" s="37"/>
    </row>
    <row r="42" spans="3:10" x14ac:dyDescent="0.2">
      <c r="C42" s="2" t="s">
        <v>39</v>
      </c>
      <c r="F42" s="27" t="s">
        <v>30</v>
      </c>
      <c r="G42" s="34">
        <f>+G29/G32</f>
      </c>
      <c r="H42" s="34">
        <f>+H29/H32</f>
      </c>
      <c r="I42" s="34">
        <f t="shared" ref="I42:J42" si="7">+I29/I32</f>
      </c>
      <c r="J42" s="34">
        <f t="shared" si="7"/>
      </c>
    </row>
    <row r="44" spans="3:10" x14ac:dyDescent="0.2">
      <c r="C44" s="2" t="s">
        <v>40</v>
      </c>
      <c r="F44" s="27" t="s">
        <v>30</v>
      </c>
      <c r="G44" s="34">
        <f>+G35-G45</f>
      </c>
      <c r="H44" s="34">
        <f t="shared" ref="H44:J44" si="8">+H35-H45</f>
      </c>
      <c r="I44" s="34">
        <f t="shared" si="8"/>
      </c>
      <c r="J44" s="34">
        <f t="shared" si="8"/>
      </c>
    </row>
    <row r="45" spans="3:10" x14ac:dyDescent="0.2">
      <c r="C45" s="2" t="s">
        <v>41</v>
      </c>
      <c r="F45" s="27" t="s">
        <v>30</v>
      </c>
      <c r="G45" s="34">
        <f>+G40*Greenshoe_Primary_Pct</f>
      </c>
      <c r="H45" s="34">
        <f>+H40*Greenshoe_Primary_Pct</f>
      </c>
      <c r="I45" s="34">
        <f>+I40*Greenshoe_Primary_Pct</f>
      </c>
      <c r="J45" s="34">
        <f>+J40*Greenshoe_Primary_Pct</f>
      </c>
    </row>
    <row r="46" spans="3:10" x14ac:dyDescent="0.2">
      <c r="G46" s="31"/>
      <c r="H46" s="31"/>
      <c r="I46" s="31"/>
      <c r="J46" s="31"/>
    </row>
    <row r="47" spans="3:10" x14ac:dyDescent="0.2">
      <c r="C47" s="2" t="s">
        <v>42</v>
      </c>
      <c r="F47" s="27" t="s">
        <v>30</v>
      </c>
      <c r="G47" s="34">
        <f>+G36-G48</f>
      </c>
      <c r="H47" s="34">
        <f t="shared" ref="H47:J47" si="9">+H36-H48</f>
      </c>
      <c r="I47" s="34">
        <f t="shared" si="9"/>
      </c>
      <c r="J47" s="34">
        <f t="shared" si="9"/>
      </c>
    </row>
    <row r="48" spans="3:10" x14ac:dyDescent="0.2">
      <c r="C48" s="2" t="s">
        <v>43</v>
      </c>
      <c r="F48" s="27" t="s">
        <v>30</v>
      </c>
      <c r="G48" s="34">
        <f>+G40*(1-Greenshoe_Primary_Pct)</f>
      </c>
      <c r="H48" s="34">
        <f>+H40*(1-Greenshoe_Primary_Pct)</f>
      </c>
      <c r="I48" s="34">
        <f>+I40*(1-Greenshoe_Primary_Pct)</f>
      </c>
      <c r="J48" s="34">
        <f>+J40*(1-Greenshoe_Primary_Pct)</f>
      </c>
    </row>
  </sheetData>
  <dataValidations count="1">
    <dataValidation type="decimal" allowBlank="1" showInputMessage="1" showErrorMessage="1" sqref="E15:E16 E12:E13" xr:uid="{8596F004-AEA3-A446-935A-57B484AF7DB4}">
      <formula1>0</formula1>
      <formula2>1</formula2>
    </dataValidation>
  </dataValidations>
  <pageMargins left="0.7" right="0.7" top="0.75" bottom="0.75" header="0.3" footer="0.3"/>
  <pageSetup paperSize="9" scale="6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11</vt:i4>
      </vt:variant>
    </vt:vector>
  </HeadingPairs>
  <TitlesOfParts>
    <vt:vector size="12" baseType="lpstr">
      <vt:lpstr>IPO-Model</vt:lpstr>
      <vt:lpstr>Forward_Year_1_EBITDA</vt:lpstr>
      <vt:lpstr>Forward_Year_1_Net_Income</vt:lpstr>
      <vt:lpstr>Forward_Year_1_Revenue</vt:lpstr>
      <vt:lpstr>Greenshoe_Pct</vt:lpstr>
      <vt:lpstr>Greenshoe_Primary_Pct</vt:lpstr>
      <vt:lpstr>IPO_Discount</vt:lpstr>
      <vt:lpstr>IPO_Offering_Size</vt:lpstr>
      <vt:lpstr>IPO_Spread</vt:lpstr>
      <vt:lpstr>Issuer_Existing_Shares</vt:lpstr>
      <vt:lpstr>Primary_Share_Pct</vt:lpstr>
      <vt:lpstr>'IPO-Model'!Print_Area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