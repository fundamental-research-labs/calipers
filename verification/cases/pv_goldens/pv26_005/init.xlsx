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bookViews>
    <workbookView xWindow="5610" yWindow="-12660" windowWidth="17280" windowHeight="9900" xr2:uid="{00000000-000D-0000-FFFF-FFFF00000000}"/>
  </bookViews>
  <sheets>
    <sheet name="Assumptions" sheetId="1" r:id="rId1"/>
    <sheet name="Model" sheetId="2" r:id="rId2"/>
    <sheet name="Outp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3" l="1"/>
  <c r="F16" i="3"/>
  <c r="E16" i="3"/>
  <c r="D16" i="3"/>
  <c r="C16" i="3"/>
  <c r="D8" i="3"/>
  <c r="C8" i="3"/>
  <c r="G6" i="3"/>
  <c r="F6" i="3"/>
  <c r="E6" i="3"/>
  <c r="D6" i="3"/>
  <c r="C6" i="3"/>
  <c r="G22" i="2"/>
  <c r="F22" i="2"/>
  <c r="E22" i="2"/>
  <c r="D22" i="2"/>
  <c r="C22" i="2"/>
  <c r="C16" i="2"/>
  <c r="C15" i="2"/>
  <c r="C17" i="2" s="1"/>
  <c r="C11" i="2"/>
  <c r="C12" i="2" s="1"/>
  <c r="D8" i="2"/>
  <c r="G6" i="2"/>
  <c r="F6" i="2"/>
  <c r="E6" i="2"/>
  <c r="D6" i="2"/>
  <c r="C6" i="2"/>
  <c r="D12" i="2" l="1"/>
  <c r="C19" i="2"/>
  <c r="C13" i="2"/>
  <c r="D15" i="2"/>
  <c r="E8" i="2"/>
  <c r="D11" i="2"/>
  <c r="D9" i="2"/>
  <c r="D9" i="3" s="1"/>
  <c r="D16" i="2"/>
  <c r="C23" i="2" l="1"/>
  <c r="C17" i="3"/>
  <c r="C11" i="3"/>
  <c r="C20" i="2"/>
  <c r="C12" i="3" s="1"/>
  <c r="D13" i="2"/>
  <c r="E16" i="2"/>
  <c r="E9" i="2"/>
  <c r="E9" i="3" s="1"/>
  <c r="F8" i="2"/>
  <c r="E15" i="2"/>
  <c r="E8" i="3"/>
  <c r="E11" i="2"/>
  <c r="E12" i="2" s="1"/>
  <c r="D17" i="2"/>
  <c r="D19" i="2" s="1"/>
  <c r="D23" i="2" l="1"/>
  <c r="D17" i="3"/>
  <c r="D20" i="2"/>
  <c r="D12" i="3" s="1"/>
  <c r="D11" i="3"/>
  <c r="E13" i="2"/>
  <c r="E17" i="2"/>
  <c r="E19" i="2" s="1"/>
  <c r="F9" i="2"/>
  <c r="F9" i="3" s="1"/>
  <c r="G8" i="2"/>
  <c r="F15" i="2"/>
  <c r="F8" i="3"/>
  <c r="F16" i="2"/>
  <c r="F11" i="2"/>
  <c r="F12" i="2" s="1"/>
  <c r="C25" i="2"/>
  <c r="C26" i="2" s="1"/>
  <c r="E20" i="2" l="1"/>
  <c r="E12" i="3" s="1"/>
  <c r="E11" i="3"/>
  <c r="E23" i="2"/>
  <c r="E17" i="3"/>
  <c r="C27" i="2"/>
  <c r="C14" i="3"/>
  <c r="F13" i="2"/>
  <c r="F17" i="2"/>
  <c r="F19" i="2" s="1"/>
  <c r="G11" i="2"/>
  <c r="G12" i="2" s="1"/>
  <c r="G8" i="3"/>
  <c r="G16" i="2"/>
  <c r="G9" i="2"/>
  <c r="G9" i="3" s="1"/>
  <c r="G15" i="2"/>
  <c r="G17" i="2" s="1"/>
  <c r="D25" i="2"/>
  <c r="D26" i="2"/>
  <c r="F17" i="3" l="1"/>
  <c r="F20" i="2"/>
  <c r="F12" i="3" s="1"/>
  <c r="F11" i="3"/>
  <c r="F23" i="2"/>
  <c r="G13" i="2"/>
  <c r="G19" i="2"/>
  <c r="D27" i="2"/>
  <c r="D14" i="3"/>
  <c r="E25" i="2"/>
  <c r="E26" i="2"/>
  <c r="G23" i="2" l="1"/>
  <c r="G17" i="3"/>
  <c r="G20" i="2"/>
  <c r="G12" i="3" s="1"/>
  <c r="G11" i="3"/>
  <c r="F25" i="2"/>
  <c r="F26" i="2"/>
  <c r="E27" i="2"/>
  <c r="E14" i="3"/>
  <c r="G25" i="2" l="1"/>
  <c r="G26" i="2"/>
  <c r="F27" i="2"/>
  <c r="F14" i="3"/>
  <c r="G14" i="3" l="1"/>
  <c r="G27" i="2"/>
</calcChain>
</file>

<file path=xl/sharedStrings.xml><?xml version="1.0" encoding="utf-8"?>
<sst xmlns="http://schemas.openxmlformats.org/spreadsheetml/2006/main" count="46" uniqueCount="39">
  <si>
    <t>Company0191 Corp — Operating Assumptions</t>
  </si>
  <si>
    <t>Period</t>
  </si>
  <si>
    <t>FY2024A</t>
  </si>
  <si>
    <t>FY2025E</t>
  </si>
  <si>
    <t>FY2026E</t>
  </si>
  <si>
    <t>FY2027E</t>
  </si>
  <si>
    <t>FY2028E</t>
  </si>
  <si>
    <t>Growth</t>
  </si>
  <si>
    <t>Revenue Growth %</t>
  </si>
  <si>
    <t>Margins (% of Revenue)</t>
  </si>
  <si>
    <t>COGS % of Revenue</t>
  </si>
  <si>
    <t>SG&amp;A % of Revenue</t>
  </si>
  <si>
    <t>R&amp;D % of Revenue</t>
  </si>
  <si>
    <t>Capital</t>
  </si>
  <si>
    <t>Capex % of Revenue</t>
  </si>
  <si>
    <t>Δ NWC % of Revenue</t>
  </si>
  <si>
    <t>Depreciation</t>
  </si>
  <si>
    <t>Other</t>
  </si>
  <si>
    <t>Tax Rate</t>
  </si>
  <si>
    <t>Net Debt (year-end)</t>
  </si>
  <si>
    <t>Company0191 Corp — Operating Model</t>
  </si>
  <si>
    <t>Revenue</t>
  </si>
  <si>
    <t>% YoY Growth</t>
  </si>
  <si>
    <t>COGS</t>
  </si>
  <si>
    <t>Gross Profit</t>
  </si>
  <si>
    <t>% Gross Margin</t>
  </si>
  <si>
    <t>SG&amp;A</t>
  </si>
  <si>
    <t>R&amp;D</t>
  </si>
  <si>
    <t>Total OpEx</t>
  </si>
  <si>
    <t>EBITDA</t>
  </si>
  <si>
    <t>% EBITDA Margin</t>
  </si>
  <si>
    <t>D&amp;A</t>
  </si>
  <si>
    <t>EBIT</t>
  </si>
  <si>
    <t>Tax Expense</t>
  </si>
  <si>
    <t>Net Income</t>
  </si>
  <si>
    <t>% Net Income Margin</t>
  </si>
  <si>
    <t>Company0191 Corp — Summary Output</t>
  </si>
  <si>
    <t>Net Debt</t>
  </si>
  <si>
    <t>Net Debt /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</si>
</sst>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_);\(0.0%\);\–_);@_)"/>
    <numFmt numFmtId="165" formatCode="#,##0_);\(#,##0\);\–_);@_)"/>
    <numFmt numFmtId="166" formatCode="#,##0.0\x_);\(#,##0.0\x\);\–_);@_)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i/>
      <sz val="11"/>
      <name val="Calibri"/>
    </font>
    <font>
      <sz val="11"/>
      <name val="Calibri"/>
    </font>
    <font>
      <sz val="11"/>
      <color rgb="FF0000FF"/>
      <name val="Calibri"/>
    </font>
    <font>
      <b/>
      <sz val="11"/>
      <color rgb="FF006100"/>
      <name val="Calibri"/>
    </font>
    <font>
      <sz val="11"/>
      <color rgb="FF006100"/>
      <name val="Calibri"/>
    </font>
    <font>
      <i/>
      <sz val="11"/>
      <name val="Calibri"/>
    </font>
    <font>
      <i/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indent="1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6" fillId="2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"/>
    </xf>
    <xf numFmtId="164" fontId="8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65" fontId="2" fillId="0" borderId="2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6" fontId="7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23"/>
  <sheetViews>
    <sheetView showGridLines="0" tabSelected="1" workbookViewId="0"/>
  </sheetViews>
  <sheetFormatPr defaultRowHeight="14.4" x14ac:dyDescent="0.3"/>
  <cols>
    <col min="1" max="1" width="2" customWidth="1"/>
    <col min="2" max="2" width="32" customWidth="1"/>
    <col min="3" max="7" width="12" customWidth="1"/>
  </cols>
  <sheetData>
    <row r="4" spans="2:7" ht="18" x14ac:dyDescent="0.35">
      <c r="B4" s="1" t="s">
        <v>0</v>
      </c>
    </row>
    <row r="6" spans="2:7" x14ac:dyDescent="0.3">
      <c r="B6" s="2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</row>
    <row r="8" spans="2:7" x14ac:dyDescent="0.3">
      <c r="B8" s="4" t="s">
        <v>7</v>
      </c>
    </row>
    <row r="9" spans="2:7" x14ac:dyDescent="0.3">
      <c r="B9" s="5" t="s">
        <v>8</v>
      </c>
      <c r="C9" s="6">
        <v>0</v>
      </c>
      <c r="D9" s="6">
        <v>0.1</v>
      </c>
      <c r="E9" s="6">
        <v>0.12</v>
      </c>
      <c r="F9" s="6">
        <v>0.1</v>
      </c>
      <c r="G9" s="6">
        <v>0.08</v>
      </c>
    </row>
    <row r="11" spans="2:7" x14ac:dyDescent="0.3">
      <c r="B11" s="4" t="s">
        <v>9</v>
      </c>
    </row>
    <row r="12" spans="2:7" x14ac:dyDescent="0.3">
      <c r="B12" s="5" t="s">
        <v>10</v>
      </c>
      <c r="C12" s="6">
        <v>0.42</v>
      </c>
      <c r="D12" s="6">
        <v>0.41</v>
      </c>
      <c r="E12" s="6">
        <v>0.4</v>
      </c>
      <c r="F12" s="6">
        <v>0.4</v>
      </c>
      <c r="G12" s="6">
        <v>0.39</v>
      </c>
    </row>
    <row r="13" spans="2:7" x14ac:dyDescent="0.3">
      <c r="B13" s="5" t="s">
        <v>11</v>
      </c>
      <c r="C13" s="6">
        <v>0.18</v>
      </c>
      <c r="D13" s="6">
        <v>0.18</v>
      </c>
      <c r="E13" s="6">
        <v>0.17</v>
      </c>
      <c r="F13" s="6">
        <v>0.16</v>
      </c>
      <c r="G13" s="6">
        <v>0.16</v>
      </c>
    </row>
    <row r="14" spans="2:7" x14ac:dyDescent="0.3">
      <c r="B14" s="5" t="s">
        <v>12</v>
      </c>
      <c r="C14" s="6">
        <v>0.08</v>
      </c>
      <c r="D14" s="6">
        <v>0.08</v>
      </c>
      <c r="E14" s="6">
        <v>0.08</v>
      </c>
      <c r="F14" s="6">
        <v>7.0000000000000007E-2</v>
      </c>
      <c r="G14" s="6">
        <v>7.0000000000000007E-2</v>
      </c>
    </row>
    <row r="16" spans="2:7" x14ac:dyDescent="0.3">
      <c r="B16" s="4" t="s">
        <v>13</v>
      </c>
    </row>
    <row r="17" spans="2:7" x14ac:dyDescent="0.3">
      <c r="B17" s="5" t="s">
        <v>14</v>
      </c>
      <c r="C17" s="6">
        <v>0.05</v>
      </c>
      <c r="D17" s="6">
        <v>0.05</v>
      </c>
      <c r="E17" s="6">
        <v>0.05</v>
      </c>
      <c r="F17" s="6">
        <v>0.04</v>
      </c>
      <c r="G17" s="6">
        <v>0.04</v>
      </c>
    </row>
    <row r="18" spans="2:7" x14ac:dyDescent="0.3">
      <c r="B18" s="5" t="s">
        <v>15</v>
      </c>
      <c r="C18" s="6">
        <v>0.02</v>
      </c>
      <c r="D18" s="6">
        <v>0.02</v>
      </c>
      <c r="E18" s="6">
        <v>0.02</v>
      </c>
      <c r="F18" s="6">
        <v>0.02</v>
      </c>
      <c r="G18" s="6">
        <v>0.02</v>
      </c>
    </row>
    <row r="19" spans="2:7" x14ac:dyDescent="0.3">
      <c r="B19" s="5" t="s">
        <v>16</v>
      </c>
      <c r="C19" s="7">
        <v>30</v>
      </c>
      <c r="D19" s="7">
        <v>33</v>
      </c>
      <c r="E19" s="7">
        <v>37</v>
      </c>
      <c r="F19" s="7">
        <v>41</v>
      </c>
      <c r="G19" s="7">
        <v>45</v>
      </c>
    </row>
    <row r="21" spans="2:7" x14ac:dyDescent="0.3">
      <c r="B21" s="4" t="s">
        <v>17</v>
      </c>
    </row>
    <row r="22" spans="2:7" x14ac:dyDescent="0.3">
      <c r="B22" s="5" t="s">
        <v>18</v>
      </c>
      <c r="C22" s="6">
        <v>0.25</v>
      </c>
      <c r="D22" s="6">
        <v>0.25</v>
      </c>
      <c r="E22" s="6">
        <v>0.25</v>
      </c>
      <c r="F22" s="6">
        <v>0.25</v>
      </c>
      <c r="G22" s="6">
        <v>0.25</v>
      </c>
    </row>
    <row r="23" spans="2:7" x14ac:dyDescent="0.3">
      <c r="B23" s="5" t="s">
        <v>19</v>
      </c>
      <c r="C23" s="7">
        <v>450</v>
      </c>
      <c r="D23" s="7">
        <v>420</v>
      </c>
      <c r="E23" s="7">
        <v>380</v>
      </c>
      <c r="F23" s="7">
        <v>320</v>
      </c>
      <c r="G23" s="7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G27"/>
  <sheetViews>
    <sheetView showGridLines="0" workbookViewId="0"/>
  </sheetViews>
  <sheetFormatPr defaultRowHeight="14.4" x14ac:dyDescent="0.3"/>
  <cols>
    <col min="1" max="1" width="2" customWidth="1"/>
    <col min="2" max="2" width="32" customWidth="1"/>
    <col min="3" max="7" width="12" customWidth="1"/>
  </cols>
  <sheetData>
    <row r="4" spans="2:7" ht="18" x14ac:dyDescent="0.35">
      <c r="B4" s="1" t="s">
        <v>20</v>
      </c>
    </row>
    <row r="6" spans="2:7" x14ac:dyDescent="0.3">
      <c r="B6" s="2" t="s">
        <v>1</v>
      </c>
      <c r="C6" s="8" t="str">
        <f>Assumptions!C6</f>
      </c>
      <c r="D6" s="8" t="str">
        <f>Assumptions!D6</f>
      </c>
      <c r="E6" s="8" t="str">
        <f>Assumptions!E6</f>
      </c>
      <c r="F6" s="8" t="str">
        <f>Assumptions!F6</f>
      </c>
      <c r="G6" s="8" t="str">
        <f>Assumptions!G6</f>
      </c>
    </row>
    <row r="8" spans="2:7" x14ac:dyDescent="0.3">
      <c r="B8" s="5" t="s">
        <v>21</v>
      </c>
      <c r="C8" s="7">
        <v>1000</v>
      </c>
      <c r="D8" s="9">
        <f>C8*(1+Assumptions!D9)</f>
      </c>
      <c r="E8" s="9">
        <f>D8*(1+Assumptions!E9)</f>
      </c>
      <c r="F8" s="9">
        <f>E8*(1+Assumptions!F9)</f>
      </c>
      <c r="G8" s="9">
        <f>F8*(1+Assumptions!G9)</f>
      </c>
    </row>
    <row r="9" spans="2:7" x14ac:dyDescent="0.3">
      <c r="B9" s="10" t="s">
        <v>22</v>
      </c>
      <c r="D9" s="11">
        <f>D8/C8-1</f>
      </c>
      <c r="E9" s="11">
        <f>E8/D8-1</f>
      </c>
      <c r="F9" s="11">
        <f>F8/E8-1</f>
      </c>
      <c r="G9" s="11">
        <f>G8/F8-1</f>
      </c>
    </row>
    <row r="11" spans="2:7" x14ac:dyDescent="0.3">
      <c r="B11" s="5" t="s">
        <v>23</v>
      </c>
      <c r="C11" s="9">
        <f>-C8*Assumptions!C12</f>
      </c>
      <c r="D11" s="9">
        <f>-D8*Assumptions!D12</f>
      </c>
      <c r="E11" s="9">
        <f>-E8*Assumptions!E12</f>
      </c>
      <c r="F11" s="9">
        <f>-F8*Assumptions!F12</f>
      </c>
      <c r="G11" s="9">
        <f>-G8*Assumptions!G12</f>
      </c>
    </row>
    <row r="12" spans="2:7" x14ac:dyDescent="0.3">
      <c r="B12" s="12" t="s">
        <v>24</v>
      </c>
      <c r="C12" s="13">
        <f>C8+C11</f>
      </c>
      <c r="D12" s="13">
        <f>D8+D11</f>
      </c>
      <c r="E12" s="13">
        <f>E8+E11</f>
      </c>
      <c r="F12" s="13">
        <f>F8+F11</f>
      </c>
      <c r="G12" s="13">
        <f>G8+G11</f>
      </c>
    </row>
    <row r="13" spans="2:7" x14ac:dyDescent="0.3">
      <c r="B13" s="10" t="s">
        <v>25</v>
      </c>
      <c r="C13" s="11">
        <f>C12/C8</f>
      </c>
      <c r="D13" s="11">
        <f>D12/D8</f>
      </c>
      <c r="E13" s="11">
        <f>E12/E8</f>
      </c>
      <c r="F13" s="11">
        <f>F12/F8</f>
      </c>
      <c r="G13" s="11">
        <f>G12/G8</f>
      </c>
    </row>
    <row r="15" spans="2:7" x14ac:dyDescent="0.3">
      <c r="B15" s="5" t="s">
        <v>26</v>
      </c>
      <c r="C15" s="9">
        <f>-C8*Assumptions!C13</f>
      </c>
      <c r="D15" s="9">
        <f>-D8*Assumptions!D13</f>
      </c>
      <c r="E15" s="9">
        <f>-E8*Assumptions!E13</f>
      </c>
      <c r="F15" s="9">
        <f>-F8*Assumptions!F13</f>
      </c>
      <c r="G15" s="9">
        <f>-G8*Assumptions!G13</f>
      </c>
    </row>
    <row r="16" spans="2:7" x14ac:dyDescent="0.3">
      <c r="B16" s="5" t="s">
        <v>27</v>
      </c>
      <c r="C16" s="9">
        <f>-C8*Assumptions!C14</f>
      </c>
      <c r="D16" s="9">
        <f>-D8*Assumptions!D14</f>
      </c>
      <c r="E16" s="9">
        <f>-E8*Assumptions!E14</f>
      </c>
      <c r="F16" s="9">
        <f>-F8*Assumptions!F14</f>
      </c>
      <c r="G16" s="9">
        <f>-G8*Assumptions!G14</f>
      </c>
    </row>
    <row r="17" spans="2:7" x14ac:dyDescent="0.3">
      <c r="B17" s="12" t="s">
        <v>28</v>
      </c>
      <c r="C17" s="13">
        <f>C15+C16</f>
      </c>
      <c r="D17" s="13">
        <f>D15+D16</f>
      </c>
      <c r="E17" s="13">
        <f>E15+E16</f>
      </c>
      <c r="F17" s="13">
        <f>F15+F16</f>
      </c>
      <c r="G17" s="13">
        <f>G15+G16</f>
      </c>
    </row>
    <row r="19" spans="2:7" x14ac:dyDescent="0.3">
      <c r="B19" s="12" t="s">
        <v>29</v>
      </c>
      <c r="C19" s="13">
        <f>C12+C17</f>
      </c>
      <c r="D19" s="13">
        <f>D12+D17</f>
      </c>
      <c r="E19" s="13">
        <f>E12+E17</f>
      </c>
      <c r="F19" s="13">
        <f>F12+F17</f>
      </c>
      <c r="G19" s="13">
        <f>G12+G17</f>
      </c>
    </row>
    <row r="20" spans="2:7" x14ac:dyDescent="0.3">
      <c r="B20" s="10" t="s">
        <v>30</v>
      </c>
      <c r="C20" s="11">
        <f>C19/C8</f>
      </c>
      <c r="D20" s="11">
        <f>D19/D8</f>
      </c>
      <c r="E20" s="11">
        <f>E19/E8</f>
      </c>
      <c r="F20" s="11">
        <f>F19/F8</f>
      </c>
      <c r="G20" s="11">
        <f>G19/G8</f>
      </c>
    </row>
    <row r="22" spans="2:7" x14ac:dyDescent="0.3">
      <c r="B22" s="5" t="s">
        <v>31</v>
      </c>
      <c r="C22" s="9">
        <f>-Assumptions!C19</f>
      </c>
      <c r="D22" s="9">
        <f>-Assumptions!D19</f>
      </c>
      <c r="E22" s="9">
        <f>-Assumptions!E19</f>
      </c>
      <c r="F22" s="9">
        <f>-Assumptions!F19</f>
      </c>
      <c r="G22" s="9">
        <f>-Assumptions!G19</f>
      </c>
    </row>
    <row r="23" spans="2:7" x14ac:dyDescent="0.3">
      <c r="B23" s="12" t="s">
        <v>32</v>
      </c>
      <c r="C23" s="13">
        <f>C19+C22</f>
      </c>
      <c r="D23" s="13">
        <f>D19+D22</f>
      </c>
      <c r="E23" s="13">
        <f>E19+E22</f>
      </c>
      <c r="F23" s="13">
        <f>F19+F22</f>
      </c>
      <c r="G23" s="13">
        <f>G19+G22</f>
      </c>
    </row>
    <row r="25" spans="2:7" x14ac:dyDescent="0.3">
      <c r="B25" s="5" t="s">
        <v>33</v>
      </c>
      <c r="C25" s="9">
        <f>-C23*Assumptions!C22</f>
      </c>
      <c r="D25" s="9">
        <f>-D23*Assumptions!D22</f>
      </c>
      <c r="E25" s="9">
        <f>-E23*Assumptions!E22</f>
      </c>
      <c r="F25" s="9">
        <f>-F23*Assumptions!F22</f>
      </c>
      <c r="G25" s="9">
        <f>-G23*Assumptions!G22</f>
      </c>
    </row>
    <row r="26" spans="2:7" x14ac:dyDescent="0.3">
      <c r="B26" s="12" t="s">
        <v>34</v>
      </c>
      <c r="C26" s="13">
        <f>C23+C25</f>
      </c>
      <c r="D26" s="13">
        <f>D23+D25</f>
      </c>
      <c r="E26" s="13">
        <f>E23+E25</f>
      </c>
      <c r="F26" s="13">
        <f>F23+F25</f>
      </c>
      <c r="G26" s="13">
        <f>G23+G25</f>
      </c>
    </row>
    <row r="27" spans="2:7" x14ac:dyDescent="0.3">
      <c r="B27" s="10" t="s">
        <v>35</v>
      </c>
      <c r="C27" s="11">
        <f>C26/C8</f>
      </c>
      <c r="D27" s="11">
        <f>D26/D8</f>
      </c>
      <c r="E27" s="11">
        <f>E26/E8</f>
      </c>
      <c r="F27" s="11">
        <f>F26/F8</f>
      </c>
      <c r="G27" s="11">
        <f>G26/G8</f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G17"/>
  <sheetViews>
    <sheetView showGridLines="0" workbookViewId="0"/>
  </sheetViews>
  <sheetFormatPr defaultRowHeight="14.4" x14ac:dyDescent="0.3"/>
  <cols>
    <col min="1" max="1" width="2" customWidth="1"/>
    <col min="2" max="2" width="32" customWidth="1"/>
    <col min="3" max="7" width="12" customWidth="1"/>
  </cols>
  <sheetData>
    <row r="4" spans="2:7" ht="18" x14ac:dyDescent="0.35">
      <c r="B4" s="1" t="s">
        <v>36</v>
      </c>
    </row>
    <row r="6" spans="2:7" x14ac:dyDescent="0.3">
      <c r="B6" s="2" t="s">
        <v>1</v>
      </c>
      <c r="C6" s="8" t="str">
        <f>Assumptions!C6</f>
      </c>
      <c r="D6" s="8" t="str">
        <f>Assumptions!D6</f>
      </c>
      <c r="E6" s="8" t="str">
        <f>Assumptions!E6</f>
      </c>
      <c r="F6" s="8" t="str">
        <f>Assumptions!F6</f>
      </c>
      <c r="G6" s="8" t="str">
        <f>Assumptions!G6</f>
      </c>
    </row>
    <row r="8" spans="2:7" x14ac:dyDescent="0.3">
      <c r="B8" s="5" t="s">
        <v>21</v>
      </c>
      <c r="C8" s="9">
        <f>Model!C8</f>
      </c>
      <c r="D8" s="9">
        <f>Model!D8</f>
      </c>
      <c r="E8" s="9">
        <f>Model!E8</f>
      </c>
      <c r="F8" s="9">
        <f>Model!F8</f>
      </c>
      <c r="G8" s="9">
        <f>Model!G8</f>
      </c>
    </row>
    <row r="9" spans="2:7" x14ac:dyDescent="0.3">
      <c r="B9" s="10" t="s">
        <v>22</v>
      </c>
      <c r="D9" s="14">
        <f>Model!D9</f>
      </c>
      <c r="E9" s="14">
        <f>Model!E9</f>
      </c>
      <c r="F9" s="14">
        <f>Model!F9</f>
      </c>
      <c r="G9" s="14">
        <f>Model!G9</f>
      </c>
    </row>
    <row r="11" spans="2:7" x14ac:dyDescent="0.3">
      <c r="B11" s="12" t="s">
        <v>29</v>
      </c>
      <c r="C11" s="15">
        <f>Model!C19</f>
      </c>
      <c r="D11" s="15">
        <f>Model!D19</f>
      </c>
      <c r="E11" s="15">
        <f>Model!E19</f>
      </c>
      <c r="F11" s="15">
        <f>Model!F19</f>
      </c>
      <c r="G11" s="15">
        <f>Model!G19</f>
      </c>
    </row>
    <row r="12" spans="2:7" x14ac:dyDescent="0.3">
      <c r="B12" s="10" t="s">
        <v>30</v>
      </c>
      <c r="C12" s="14">
        <f>Model!C20</f>
      </c>
      <c r="D12" s="14">
        <f>Model!D20</f>
      </c>
      <c r="E12" s="14">
        <f>Model!E20</f>
      </c>
      <c r="F12" s="14">
        <f>Model!F20</f>
      </c>
      <c r="G12" s="14">
        <f>Model!G20</f>
      </c>
    </row>
    <row r="14" spans="2:7" x14ac:dyDescent="0.3">
      <c r="B14" s="12" t="s">
        <v>34</v>
      </c>
      <c r="C14" s="15">
        <f>Model!C26</f>
      </c>
      <c r="D14" s="15">
        <f>Model!D26</f>
      </c>
      <c r="E14" s="15">
        <f>Model!E26</f>
      </c>
      <c r="F14" s="15">
        <f>Model!F26</f>
      </c>
      <c r="G14" s="15">
        <f>Model!G26</f>
      </c>
    </row>
    <row r="16" spans="2:7" x14ac:dyDescent="0.3">
      <c r="B16" s="5" t="s">
        <v>37</v>
      </c>
      <c r="C16" s="9">
        <f>Assumptions!C23</f>
      </c>
      <c r="D16" s="9">
        <f>Assumptions!D23</f>
      </c>
      <c r="E16" s="9">
        <f>Assumptions!E23</f>
      </c>
      <c r="F16" s="9">
        <f>Assumptions!F23</f>
      </c>
      <c r="G16" s="9">
        <f>Assumptions!G23</f>
      </c>
    </row>
    <row r="17" spans="2:7" x14ac:dyDescent="0.3">
      <c r="B17" s="5" t="s">
        <v>38</v>
      </c>
      <c r="C17" s="16">
        <f>Assumptions!C23/Model!C19</f>
      </c>
      <c r="D17" s="16">
        <f>Assumptions!D23/Model!D19</f>
      </c>
      <c r="E17" s="16">
        <f>Assumptions!E23/Model!E19</f>
      </c>
      <c r="F17" s="16">
        <f>Assumptions!F23/Model!F19</f>
      </c>
      <c r="G17" s="16">
        <f>Assumptions!G23/Model!G19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Model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