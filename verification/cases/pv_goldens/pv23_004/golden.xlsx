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bookViews>
    <workbookView xWindow="-120" yWindow="-120" windowWidth="29040" windowHeight="15720" xr2:uid="{00000000-000D-0000-FFFF-FFFF00000000}"/>
  </bookViews>
  <sheets>
    <sheet name="Bonds-Calls-Puts" sheetId="21" r:id="rId1"/>
  </sheets>
  <definedNames>
    <definedName name="Bond_Par_Value" localSheetId="0">'Bonds-Calls-Puts'!$F$15</definedName>
    <definedName name="Bond_Par_Value">#REF!</definedName>
    <definedName name="Bond_Price" localSheetId="0">'Bonds-Calls-Puts'!$F$7</definedName>
    <definedName name="Bond_Price">#REF!</definedName>
    <definedName name="Bond_Redemption_Pct">#REF!</definedName>
    <definedName name="CIQWBGuid" hidden="1">"fedf60f8-2cd9-49ba-9fee-91fc372c3a0f"</definedName>
    <definedName name="Coupon_Rate" localSheetId="0">'Bonds-Calls-Puts'!$F$14</definedName>
    <definedName name="Coupon_Rate">#REF!</definedName>
    <definedName name="Dirty_Bond_Price" localSheetId="0">'Bonds-Calls-Puts'!$K$9</definedName>
    <definedName name="Dirty_Bond_Price">#REF!</definedName>
    <definedName name="Discount_Rate" localSheetId="0">'Bonds-Calls-Puts'!$F$8</definedName>
    <definedName name="Discount_Rate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Last_Coupon_Date" localSheetId="0">'Bonds-Calls-Puts'!$F$12</definedName>
    <definedName name="Last_Coupon_Date">#REF!</definedName>
    <definedName name="Maturity_Date" localSheetId="0">'Bonds-Calls-Puts'!$F$16</definedName>
    <definedName name="Maturity_Date">#REF!</definedName>
    <definedName name="New_Coupon_Rate">#REF!</definedName>
    <definedName name="New_Maturity_Date">#REF!</definedName>
    <definedName name="New_YTM">#REF!</definedName>
    <definedName name="Num_Coupons" localSheetId="0">'Bonds-Calls-Puts'!$F$9</definedName>
    <definedName name="Num_Coupons">#REF!</definedName>
    <definedName name="Num_Years">#REF!</definedName>
    <definedName name="_xlnm.Print_Area" localSheetId="0">'Bonds-Calls-Puts'!$A$1:$Q$41</definedName>
    <definedName name="Settlement_Date" localSheetId="0">'Bonds-Calls-Puts'!$F$10</definedName>
    <definedName name="Settlement_Date">#REF!</definedName>
    <definedName name="Start_Year">#REF!</definedName>
    <definedName name="US_Treasury_Rate">#REF!</definedName>
    <definedName name="YTM" localSheetId="0">'Bonds-Calls-Puts'!$K$13</definedName>
    <definedName name="YTM">#REF!</definedName>
  </definedNames>
  <calcPr calcId="191029" calcMode="autoNoTable" iterate="1"/>
  <webPublishing vml="1" allowPng="1" targetScreenSize="1920x1200" dpi="120" codePage="1252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1" l="1"/>
  <c r="G22" i="21" s="1"/>
  <c r="F12" i="21"/>
  <c r="K8" i="21" s="1"/>
  <c r="F7" i="21"/>
  <c r="K14" i="21" s="1"/>
  <c r="K7" i="21" l="1"/>
  <c r="K9" i="21" s="1"/>
  <c r="H32" i="21"/>
  <c r="G40" i="21"/>
  <c r="G38" i="21"/>
  <c r="G35" i="21"/>
  <c r="G34" i="21"/>
  <c r="G23" i="21"/>
  <c r="G27" i="21"/>
  <c r="G20" i="21"/>
  <c r="G29" i="21"/>
  <c r="K13" i="21"/>
  <c r="K11" i="21"/>
  <c r="H29" i="21" l="1"/>
  <c r="H38" i="21" s="1"/>
  <c r="G36" i="21"/>
  <c r="H34" i="21"/>
  <c r="H36" i="21" s="1"/>
  <c r="H27" i="21"/>
  <c r="H23" i="21"/>
  <c r="H22" i="21"/>
  <c r="H20" i="21"/>
  <c r="I32" i="21"/>
  <c r="H35" i="21"/>
  <c r="I29" i="21" l="1"/>
  <c r="I38" i="21" s="1"/>
  <c r="H40" i="21"/>
  <c r="I35" i="21"/>
  <c r="J32" i="21"/>
  <c r="I34" i="21"/>
  <c r="I36" i="21" s="1"/>
  <c r="I27" i="21"/>
  <c r="I22" i="21"/>
  <c r="I20" i="21"/>
  <c r="I23" i="21"/>
  <c r="I40" i="21" l="1"/>
  <c r="J22" i="21"/>
  <c r="J34" i="21"/>
  <c r="J27" i="21"/>
  <c r="J23" i="21"/>
  <c r="J20" i="21"/>
  <c r="K32" i="21"/>
  <c r="K35" i="21" s="1"/>
  <c r="J29" i="21"/>
  <c r="J38" i="21" s="1"/>
  <c r="J35" i="21"/>
  <c r="K29" i="21" l="1"/>
  <c r="K38" i="21" s="1"/>
  <c r="J36" i="21"/>
  <c r="J40" i="21" s="1"/>
  <c r="L32" i="21"/>
  <c r="K34" i="21"/>
  <c r="K36" i="21" s="1"/>
  <c r="K27" i="21"/>
  <c r="K22" i="21"/>
  <c r="K23" i="21" s="1"/>
  <c r="K20" i="21"/>
  <c r="L29" i="21" l="1"/>
  <c r="L38" i="21" s="1"/>
  <c r="K40" i="21"/>
  <c r="M35" i="21"/>
  <c r="M32" i="21"/>
  <c r="L34" i="21"/>
  <c r="L27" i="21"/>
  <c r="L22" i="21"/>
  <c r="L23" i="21" s="1"/>
  <c r="L20" i="21"/>
  <c r="L35" i="21"/>
  <c r="L40" i="21" l="1"/>
  <c r="L36" i="21"/>
  <c r="M29" i="21"/>
  <c r="M38" i="21" s="1"/>
  <c r="N32" i="21"/>
  <c r="M34" i="21"/>
  <c r="M36" i="21" s="1"/>
  <c r="M27" i="21"/>
  <c r="M22" i="21"/>
  <c r="M23" i="21" s="1"/>
  <c r="M20" i="21"/>
  <c r="N29" i="21" l="1"/>
  <c r="O29" i="21" s="1"/>
  <c r="M40" i="21"/>
  <c r="N34" i="21"/>
  <c r="N27" i="21"/>
  <c r="N22" i="21"/>
  <c r="N23" i="21" s="1"/>
  <c r="N20" i="21"/>
  <c r="O32" i="21"/>
  <c r="O35" i="21" s="1"/>
  <c r="N35" i="21"/>
  <c r="N38" i="21" l="1"/>
  <c r="N36" i="21"/>
  <c r="P32" i="21"/>
  <c r="P29" i="21" s="1"/>
  <c r="O38" i="21"/>
  <c r="O34" i="21"/>
  <c r="O36" i="21" s="1"/>
  <c r="O27" i="21"/>
  <c r="O20" i="21"/>
  <c r="O22" i="21"/>
  <c r="O23" i="21" s="1"/>
  <c r="P35" i="21" l="1"/>
  <c r="O40" i="21"/>
  <c r="N40" i="21"/>
  <c r="P38" i="21"/>
  <c r="P34" i="21"/>
  <c r="P36" i="21" s="1"/>
  <c r="P27" i="21"/>
  <c r="P22" i="21"/>
  <c r="P23" i="21" s="1"/>
  <c r="P20" i="21"/>
  <c r="Q32" i="21"/>
  <c r="Q35" i="21" s="1"/>
  <c r="Q29" i="21" l="1"/>
  <c r="P40" i="21"/>
  <c r="R32" i="21"/>
  <c r="R35" i="21"/>
  <c r="Q38" i="21"/>
  <c r="Q20" i="21"/>
  <c r="Q27" i="21"/>
  <c r="Q34" i="21"/>
  <c r="Q36" i="21" s="1"/>
  <c r="Q22" i="21"/>
  <c r="Q23" i="21" s="1"/>
  <c r="R29" i="21" l="1"/>
  <c r="Q40" i="21"/>
  <c r="R34" i="21"/>
  <c r="R36" i="21" s="1"/>
  <c r="R27" i="21"/>
  <c r="R20" i="21"/>
  <c r="R38" i="21"/>
  <c r="R40" i="21" s="1"/>
  <c r="R22" i="21"/>
  <c r="R23" i="21" s="1"/>
  <c r="S32" i="21"/>
  <c r="S35" i="21" s="1"/>
  <c r="S29" i="21"/>
  <c r="T32" i="21" l="1"/>
  <c r="T29" i="21" s="1"/>
  <c r="S38" i="21"/>
  <c r="S34" i="21"/>
  <c r="S36" i="21" s="1"/>
  <c r="S27" i="21"/>
  <c r="S22" i="21"/>
  <c r="S23" i="21" s="1"/>
  <c r="S20" i="21"/>
  <c r="S40" i="21" l="1"/>
  <c r="U32" i="21"/>
  <c r="U29" i="21" s="1"/>
  <c r="T38" i="21"/>
  <c r="T34" i="21"/>
  <c r="T27" i="21"/>
  <c r="T22" i="21"/>
  <c r="T23" i="21" s="1"/>
  <c r="T20" i="21"/>
  <c r="T35" i="21"/>
  <c r="T36" i="21" l="1"/>
  <c r="T40" i="21" s="1"/>
  <c r="V32" i="21"/>
  <c r="V29" i="21" s="1"/>
  <c r="U38" i="21"/>
  <c r="U34" i="21"/>
  <c r="U27" i="21"/>
  <c r="U22" i="21"/>
  <c r="U23" i="21" s="1"/>
  <c r="U20" i="21"/>
  <c r="U35" i="21"/>
  <c r="U36" i="21" l="1"/>
  <c r="U40" i="21"/>
  <c r="V38" i="21"/>
  <c r="V34" i="21"/>
  <c r="V27" i="21"/>
  <c r="V22" i="21"/>
  <c r="V23" i="21" s="1"/>
  <c r="V20" i="21"/>
  <c r="W32" i="21"/>
  <c r="W35" i="21" s="1"/>
  <c r="V35" i="21"/>
  <c r="W29" i="21" l="1"/>
  <c r="W38" i="21" s="1"/>
  <c r="V36" i="21"/>
  <c r="V40" i="21" s="1"/>
  <c r="X32" i="21"/>
  <c r="X29" i="21" s="1"/>
  <c r="W34" i="21"/>
  <c r="W36" i="21" s="1"/>
  <c r="W22" i="21"/>
  <c r="W23" i="21" s="1"/>
  <c r="W20" i="21"/>
  <c r="W27" i="21"/>
  <c r="X35" i="21" l="1"/>
  <c r="W40" i="21"/>
  <c r="X38" i="21"/>
  <c r="X34" i="21"/>
  <c r="X27" i="21"/>
  <c r="X22" i="21"/>
  <c r="X23" i="21" s="1"/>
  <c r="X20" i="21"/>
  <c r="Y32" i="21"/>
  <c r="Y35" i="21" s="1"/>
  <c r="Y29" i="21"/>
  <c r="X36" i="21" l="1"/>
  <c r="X40" i="21"/>
  <c r="Z32" i="21"/>
  <c r="Z29" i="21" s="1"/>
  <c r="Y27" i="21"/>
  <c r="Y22" i="21"/>
  <c r="Y38" i="21"/>
  <c r="Y23" i="21"/>
  <c r="Y20" i="21"/>
  <c r="Y34" i="21"/>
  <c r="Y36" i="21" s="1"/>
  <c r="Y40" i="21" l="1"/>
  <c r="Z22" i="21"/>
  <c r="Z38" i="21"/>
  <c r="Z34" i="21"/>
  <c r="Z27" i="21"/>
  <c r="Z23" i="21"/>
  <c r="Z20" i="21"/>
  <c r="AA32" i="21"/>
  <c r="AA29" i="21" s="1"/>
  <c r="Z35" i="21"/>
  <c r="AA35" i="21" l="1"/>
  <c r="Z36" i="21"/>
  <c r="Z40" i="21"/>
  <c r="AB32" i="21"/>
  <c r="AB29" i="21" s="1"/>
  <c r="AA38" i="21"/>
  <c r="AA34" i="21"/>
  <c r="AA27" i="21"/>
  <c r="AA23" i="21"/>
  <c r="AA22" i="21"/>
  <c r="AA20" i="21"/>
  <c r="AA36" i="21" l="1"/>
  <c r="AA40" i="21" s="1"/>
  <c r="AC32" i="21"/>
  <c r="AC29" i="21" s="1"/>
  <c r="AB38" i="21"/>
  <c r="AB34" i="21"/>
  <c r="AB36" i="21" s="1"/>
  <c r="AB27" i="21"/>
  <c r="AB23" i="21"/>
  <c r="AB22" i="21"/>
  <c r="AB20" i="21"/>
  <c r="AB35" i="21"/>
  <c r="AB40" i="21" l="1"/>
  <c r="AD32" i="21"/>
  <c r="AD29" i="21" s="1"/>
  <c r="AC38" i="21"/>
  <c r="AC34" i="21"/>
  <c r="AC27" i="21"/>
  <c r="AC23" i="21"/>
  <c r="AC22" i="21"/>
  <c r="AC20" i="21"/>
  <c r="AC35" i="21"/>
  <c r="AC36" i="21" l="1"/>
  <c r="AC40" i="21"/>
  <c r="AD38" i="21"/>
  <c r="AD34" i="21"/>
  <c r="AD27" i="21"/>
  <c r="AD23" i="21"/>
  <c r="AD22" i="21"/>
  <c r="AD20" i="21"/>
  <c r="AE32" i="21"/>
  <c r="AE35" i="21" s="1"/>
  <c r="AD35" i="21"/>
  <c r="AE29" i="21" l="1"/>
  <c r="AE38" i="21" s="1"/>
  <c r="AD36" i="21"/>
  <c r="AD40" i="21" s="1"/>
  <c r="AF32" i="21"/>
  <c r="AE34" i="21"/>
  <c r="AE36" i="21" s="1"/>
  <c r="AE22" i="21"/>
  <c r="AE20" i="21"/>
  <c r="AE27" i="21"/>
  <c r="AE23" i="21"/>
  <c r="AF29" i="21" l="1"/>
  <c r="AF35" i="21"/>
  <c r="AE40" i="21"/>
  <c r="AF38" i="21"/>
  <c r="AF34" i="21"/>
  <c r="AF36" i="21" s="1"/>
  <c r="AF40" i="21" s="1"/>
  <c r="AF27" i="21"/>
  <c r="AF23" i="21"/>
  <c r="AF22" i="21"/>
  <c r="AF20" i="21"/>
  <c r="AG32" i="21"/>
  <c r="AG35" i="21" s="1"/>
  <c r="AH32" i="21" l="1"/>
  <c r="AG22" i="21"/>
  <c r="AG20" i="21"/>
  <c r="AG34" i="21"/>
  <c r="AG36" i="21" s="1"/>
  <c r="AG23" i="21"/>
  <c r="AG27" i="21"/>
  <c r="AG29" i="21"/>
  <c r="AG38" i="21" s="1"/>
  <c r="AG40" i="21" l="1"/>
  <c r="AH29" i="21"/>
  <c r="AH38" i="21" s="1"/>
  <c r="AH34" i="21"/>
  <c r="AH27" i="21"/>
  <c r="AH23" i="21"/>
  <c r="AH20" i="21"/>
  <c r="AH22" i="21"/>
  <c r="AI32" i="21"/>
  <c r="AI35" i="21" s="1"/>
  <c r="AH35" i="21"/>
  <c r="AI29" i="21" l="1"/>
  <c r="AI38" i="21" s="1"/>
  <c r="AH36" i="21"/>
  <c r="AH40" i="21" s="1"/>
  <c r="AJ32" i="21"/>
  <c r="AJ35" i="21" s="1"/>
  <c r="AI34" i="21"/>
  <c r="AI36" i="21" s="1"/>
  <c r="AI27" i="21"/>
  <c r="AI23" i="21"/>
  <c r="AI22" i="21"/>
  <c r="AI20" i="21"/>
  <c r="AJ29" i="21" l="1"/>
  <c r="AJ38" i="21" s="1"/>
  <c r="AI40" i="21"/>
  <c r="AK32" i="21"/>
  <c r="AJ34" i="21"/>
  <c r="AJ36" i="21" s="1"/>
  <c r="AJ27" i="21"/>
  <c r="AJ23" i="21"/>
  <c r="AJ22" i="21"/>
  <c r="AJ20" i="21"/>
  <c r="AJ40" i="21" l="1"/>
  <c r="AK29" i="21"/>
  <c r="AL32" i="21"/>
  <c r="AL29" i="21" s="1"/>
  <c r="AK38" i="21"/>
  <c r="AK34" i="21"/>
  <c r="AK27" i="21"/>
  <c r="AK23" i="21"/>
  <c r="AK22" i="21"/>
  <c r="AK20" i="21"/>
  <c r="AK35" i="21"/>
  <c r="AK36" i="21" l="1"/>
  <c r="AK40" i="21"/>
  <c r="AL38" i="21"/>
  <c r="AL34" i="21"/>
  <c r="AL27" i="21"/>
  <c r="AL23" i="21"/>
  <c r="AL22" i="21"/>
  <c r="AL20" i="21"/>
  <c r="AM32" i="21"/>
  <c r="AM35" i="21" s="1"/>
  <c r="AL35" i="21"/>
  <c r="AM29" i="21" l="1"/>
  <c r="AM38" i="21" s="1"/>
  <c r="AL36" i="21"/>
  <c r="AL40" i="21" s="1"/>
  <c r="AN32" i="21"/>
  <c r="AM34" i="21"/>
  <c r="AM36" i="21" s="1"/>
  <c r="AM20" i="21"/>
  <c r="AM23" i="21"/>
  <c r="AM27" i="21"/>
  <c r="AM22" i="21"/>
  <c r="AN29" i="21" l="1"/>
  <c r="AN38" i="21" s="1"/>
  <c r="AN35" i="21"/>
  <c r="AM40" i="21"/>
  <c r="AN34" i="21"/>
  <c r="AN36" i="21" s="1"/>
  <c r="AN27" i="21"/>
  <c r="AN23" i="21"/>
  <c r="AN22" i="21"/>
  <c r="AN20" i="21"/>
  <c r="AO32" i="21"/>
  <c r="AN40" i="21" l="1"/>
  <c r="AP32" i="21"/>
  <c r="AO22" i="21"/>
  <c r="AO27" i="21"/>
  <c r="AO34" i="21"/>
  <c r="AO20" i="21"/>
  <c r="AO23" i="21"/>
  <c r="AO29" i="21"/>
  <c r="AO38" i="21" s="1"/>
  <c r="AO35" i="21"/>
  <c r="AO36" i="21" l="1"/>
  <c r="AO40" i="21"/>
  <c r="AP29" i="21"/>
  <c r="AP38" i="21" s="1"/>
  <c r="AP40" i="21" s="1"/>
  <c r="AP22" i="21"/>
  <c r="AP34" i="21"/>
  <c r="AP36" i="21" s="1"/>
  <c r="AP27" i="21"/>
  <c r="AP23" i="21"/>
  <c r="AP20" i="21"/>
  <c r="AQ32" i="21"/>
  <c r="AQ35" i="21" s="1"/>
  <c r="AP35" i="21"/>
  <c r="AQ29" i="21" l="1"/>
  <c r="AR32" i="21"/>
  <c r="AQ38" i="21"/>
  <c r="AQ34" i="21"/>
  <c r="AQ36" i="21" s="1"/>
  <c r="AQ27" i="21"/>
  <c r="AQ23" i="21"/>
  <c r="AQ22" i="21"/>
  <c r="AQ20" i="21"/>
  <c r="AR29" i="21" l="1"/>
  <c r="AR38" i="21" s="1"/>
  <c r="AQ40" i="21"/>
  <c r="AS32" i="21"/>
  <c r="AS29" i="21" s="1"/>
  <c r="AR34" i="21"/>
  <c r="AR36" i="21" s="1"/>
  <c r="AR27" i="21"/>
  <c r="AR23" i="21"/>
  <c r="AR22" i="21"/>
  <c r="AR20" i="21"/>
  <c r="AR35" i="21"/>
  <c r="AR40" i="21" l="1"/>
  <c r="AT32" i="21"/>
  <c r="AT29" i="21" s="1"/>
  <c r="AS38" i="21"/>
  <c r="AS34" i="21"/>
  <c r="AS27" i="21"/>
  <c r="AS23" i="21"/>
  <c r="AS22" i="21"/>
  <c r="AS20" i="21"/>
  <c r="AS35" i="21"/>
  <c r="AS36" i="21" l="1"/>
  <c r="AS40" i="21"/>
  <c r="AT38" i="21"/>
  <c r="AT34" i="21"/>
  <c r="AT27" i="21"/>
  <c r="AT23" i="21"/>
  <c r="AT22" i="21"/>
  <c r="AT20" i="21"/>
  <c r="K16" i="21" s="1"/>
  <c r="AT35" i="21"/>
  <c r="AT36" i="21" l="1"/>
  <c r="AT4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Note that this pretty much HAS to be 2 because of the way we've set up the Interest and Principal Payments below.</t>
        </r>
      </text>
    </comment>
  </commentList>
</comments>
</file>

<file path=xl/sharedStrings.xml><?xml version="1.0" encoding="utf-8"?>
<sst xmlns="http://schemas.openxmlformats.org/spreadsheetml/2006/main" count="71" uniqueCount="34">
  <si>
    <t>Historical</t>
  </si>
  <si>
    <t>Projected</t>
  </si>
  <si>
    <t>($ USD in Millions Except Per Share Amounts in USD as Stated)</t>
  </si>
  <si>
    <t>Bond Yield and Pricing Assumptions:</t>
  </si>
  <si>
    <t>Bond Coupon Rate:</t>
  </si>
  <si>
    <t>Interest and Principal Payments:</t>
  </si>
  <si>
    <t>Bond Principal or Par Value:</t>
  </si>
  <si>
    <t>Current Yield:</t>
  </si>
  <si>
    <t>Yield to Maturity (YTM):</t>
  </si>
  <si>
    <t>Settlement Date:</t>
  </si>
  <si>
    <t>(+) Future Interest Payments:</t>
  </si>
  <si>
    <t>(+) Future Principal Repayments:</t>
  </si>
  <si>
    <t>Approximate Yield to Maturity:</t>
  </si>
  <si>
    <t>Bond Redemption Value % Par Value:</t>
  </si>
  <si>
    <t>Bond Maturity Date:</t>
  </si>
  <si>
    <t>(+) Accrued Interest:</t>
  </si>
  <si>
    <t>"Dirty" Bond Price:</t>
  </si>
  <si>
    <t># of Interest Coupons per Year:</t>
  </si>
  <si>
    <t>Last Coupon Payment Date Before Settlement:</t>
  </si>
  <si>
    <t>Early Bond Redemption Allowed?</t>
  </si>
  <si>
    <t>N/A</t>
  </si>
  <si>
    <t>Bonds - Call and Put Options and Different Yield Metrics</t>
  </si>
  <si>
    <t>"Clean" Bond Price:</t>
  </si>
  <si>
    <t>Prevailing Interest Rate on Similar Bonds:</t>
  </si>
  <si>
    <t>Yield to Worst (YTW):</t>
  </si>
  <si>
    <t>Yield to Call (YTC):</t>
  </si>
  <si>
    <t>Accrued Interest Upon Call:</t>
  </si>
  <si>
    <t>Bond Put Allowed?</t>
  </si>
  <si>
    <t>Yield to Put (YTP):</t>
  </si>
  <si>
    <t>Period #:</t>
  </si>
  <si>
    <t>Positive Cash Flow from Bond:</t>
  </si>
  <si>
    <t>Discount Factor:</t>
  </si>
  <si>
    <t>Present Value of Cash Flow from Bond:</t>
  </si>
  <si>
    <r>
      <t xml:space="preserve">Yield to Call (YTC) Including </t>
    </r>
    <r>
      <rPr>
        <b/>
        <sz val="12"/>
        <color theme="1"/>
        <rFont val="Calibri"/>
        <family val="2"/>
      </rPr>
      <t>ALL</t>
    </r>
    <r>
      <rPr>
        <sz val="12"/>
        <color theme="1"/>
        <rFont val="Calibri"/>
        <family val="2"/>
      </rPr>
      <t xml:space="preserve"> Accrued Interest: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</si>
</sst>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.0_);_(&quot;$&quot;* \(#,##0.0\);_(&quot;$&quot;* &quot;-&quot;?_);_(@_)"/>
    <numFmt numFmtId="165" formatCode="_(* #,##0.0_);_(* \(#,##0.0\);_(* &quot;-&quot;?_);_(@_)"/>
    <numFmt numFmtId="166" formatCode="yyyy\-mm\-dd"/>
    <numFmt numFmtId="167" formatCode="&quot;Yes&quot;;&quot;ERROR&quot;;&quot;No&quot;;&quot;ERROR&quot;"/>
    <numFmt numFmtId="168" formatCode="0.000%"/>
    <numFmt numFmtId="169" formatCode="0.000%;\(0.000%\)"/>
    <numFmt numFmtId="170" formatCode="0.0_);\(0.0\)"/>
    <numFmt numFmtId="172" formatCode="0_);\(0\)"/>
    <numFmt numFmtId="173" formatCode="_(* #,##0.000_);_(* \(#,##0.000\);_(* &quot;-&quot;???_);_(@_)"/>
  </numFmts>
  <fonts count="25" x14ac:knownFonts="1"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FF"/>
      <name val="Calibri"/>
      <family val="2"/>
    </font>
    <font>
      <sz val="12"/>
      <color rgb="FF0000FF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rgb="FFB2B2B2"/>
      </bottom>
      <diagonal/>
    </border>
  </borders>
  <cellStyleXfs count="13">
    <xf numFmtId="0" fontId="0" fillId="0" borderId="0"/>
    <xf numFmtId="0" fontId="9" fillId="2" borderId="3" applyNumberFormat="0" applyAlignment="0" applyProtection="0"/>
    <xf numFmtId="0" fontId="10" fillId="0" borderId="0"/>
    <xf numFmtId="0" fontId="7" fillId="0" borderId="0"/>
    <xf numFmtId="0" fontId="6" fillId="0" borderId="0"/>
    <xf numFmtId="0" fontId="5" fillId="0" borderId="0"/>
    <xf numFmtId="0" fontId="11" fillId="0" borderId="0"/>
    <xf numFmtId="0" fontId="11" fillId="0" borderId="0"/>
    <xf numFmtId="0" fontId="4" fillId="0" borderId="0"/>
    <xf numFmtId="0" fontId="10" fillId="0" borderId="0"/>
    <xf numFmtId="0" fontId="3" fillId="0" borderId="0"/>
    <xf numFmtId="0" fontId="3" fillId="5" borderId="3" applyNumberFormat="0" applyFont="0" applyAlignment="0" applyProtection="0"/>
    <xf numFmtId="0" fontId="2" fillId="0" borderId="0"/>
  </cellStyleXfs>
  <cellXfs count="48">
    <xf numFmtId="0" fontId="0" fillId="0" borderId="0" xfId="0"/>
    <xf numFmtId="0" fontId="8" fillId="0" borderId="0" xfId="12" applyFont="1"/>
    <xf numFmtId="0" fontId="1" fillId="0" borderId="0" xfId="12" applyFont="1"/>
    <xf numFmtId="0" fontId="13" fillId="0" borderId="0" xfId="2" applyFont="1"/>
    <xf numFmtId="0" fontId="14" fillId="4" borderId="2" xfId="0" applyFont="1" applyFill="1" applyBorder="1"/>
    <xf numFmtId="0" fontId="15" fillId="4" borderId="2" xfId="0" applyFont="1" applyFill="1" applyBorder="1"/>
    <xf numFmtId="0" fontId="16" fillId="4" borderId="2" xfId="0" applyFont="1" applyFill="1" applyBorder="1"/>
    <xf numFmtId="0" fontId="17" fillId="0" borderId="0" xfId="0" applyFont="1"/>
    <xf numFmtId="0" fontId="17" fillId="0" borderId="0" xfId="6" applyFont="1"/>
    <xf numFmtId="164" fontId="19" fillId="2" borderId="3" xfId="1" applyNumberFormat="1" applyFont="1" applyAlignment="1">
      <alignment horizontal="centerContinuous"/>
    </xf>
    <xf numFmtId="169" fontId="19" fillId="2" borderId="3" xfId="1" applyNumberFormat="1" applyFont="1" applyAlignment="1"/>
    <xf numFmtId="166" fontId="20" fillId="2" borderId="3" xfId="0" applyNumberFormat="1" applyFont="1" applyFill="1" applyBorder="1" applyAlignment="1">
      <alignment horizontal="center"/>
    </xf>
    <xf numFmtId="168" fontId="1" fillId="0" borderId="0" xfId="0" applyNumberFormat="1" applyFont="1"/>
    <xf numFmtId="0" fontId="1" fillId="0" borderId="2" xfId="12" applyFont="1" applyBorder="1" applyAlignment="1">
      <alignment horizontal="left" indent="1"/>
    </xf>
    <xf numFmtId="0" fontId="1" fillId="0" borderId="2" xfId="12" applyFont="1" applyBorder="1"/>
    <xf numFmtId="165" fontId="1" fillId="0" borderId="2" xfId="0" applyNumberFormat="1" applyFont="1" applyBorder="1"/>
    <xf numFmtId="0" fontId="12" fillId="0" borderId="0" xfId="12" applyFont="1"/>
    <xf numFmtId="165" fontId="12" fillId="0" borderId="0" xfId="0" applyNumberFormat="1" applyFont="1"/>
    <xf numFmtId="172" fontId="19" fillId="2" borderId="3" xfId="1" applyNumberFormat="1" applyFont="1" applyAlignment="1"/>
    <xf numFmtId="166" fontId="1" fillId="0" borderId="0" xfId="12" applyNumberFormat="1" applyFont="1" applyAlignment="1">
      <alignment horizontal="center"/>
    </xf>
    <xf numFmtId="168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167" fontId="19" fillId="2" borderId="3" xfId="1" applyNumberFormat="1" applyFont="1" applyAlignment="1">
      <alignment horizontal="center"/>
    </xf>
    <xf numFmtId="170" fontId="19" fillId="2" borderId="3" xfId="1" applyNumberFormat="1" applyFont="1" applyAlignment="1"/>
    <xf numFmtId="165" fontId="1" fillId="0" borderId="0" xfId="0" applyNumberFormat="1" applyFont="1"/>
    <xf numFmtId="165" fontId="17" fillId="0" borderId="0" xfId="0" applyNumberFormat="1" applyFont="1"/>
    <xf numFmtId="0" fontId="18" fillId="0" borderId="0" xfId="6" applyFont="1"/>
    <xf numFmtId="0" fontId="1" fillId="3" borderId="0" xfId="0" applyFont="1" applyFill="1"/>
    <xf numFmtId="0" fontId="22" fillId="3" borderId="4" xfId="0" applyFont="1" applyFill="1" applyBorder="1" applyAlignment="1">
      <alignment horizontal="centerContinuous"/>
    </xf>
    <xf numFmtId="0" fontId="22" fillId="3" borderId="2" xfId="0" applyFont="1" applyFill="1" applyBorder="1" applyAlignment="1">
      <alignment horizontal="centerContinuous"/>
    </xf>
    <xf numFmtId="0" fontId="12" fillId="3" borderId="2" xfId="0" applyFont="1" applyFill="1" applyBorder="1"/>
    <xf numFmtId="0" fontId="1" fillId="3" borderId="2" xfId="0" applyFont="1" applyFill="1" applyBorder="1"/>
    <xf numFmtId="166" fontId="22" fillId="3" borderId="5" xfId="0" applyNumberFormat="1" applyFont="1" applyFill="1" applyBorder="1" applyAlignment="1">
      <alignment horizontal="center"/>
    </xf>
    <xf numFmtId="166" fontId="22" fillId="3" borderId="2" xfId="0" applyNumberFormat="1" applyFont="1" applyFill="1" applyBorder="1" applyAlignment="1">
      <alignment horizontal="center"/>
    </xf>
    <xf numFmtId="0" fontId="1" fillId="0" borderId="0" xfId="0" applyFont="1"/>
    <xf numFmtId="167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8" fillId="0" borderId="1" xfId="0" applyFont="1" applyBorder="1"/>
    <xf numFmtId="0" fontId="17" fillId="0" borderId="1" xfId="0" applyFont="1" applyBorder="1"/>
    <xf numFmtId="164" fontId="17" fillId="0" borderId="1" xfId="0" applyNumberFormat="1" applyFont="1" applyBorder="1"/>
    <xf numFmtId="165" fontId="18" fillId="0" borderId="1" xfId="0" applyNumberFormat="1" applyFont="1" applyBorder="1"/>
    <xf numFmtId="0" fontId="1" fillId="0" borderId="0" xfId="0" applyFont="1" applyAlignment="1">
      <alignment horizontal="left"/>
    </xf>
    <xf numFmtId="168" fontId="21" fillId="0" borderId="0" xfId="1" applyNumberFormat="1" applyFont="1" applyFill="1" applyBorder="1" applyAlignment="1"/>
    <xf numFmtId="164" fontId="21" fillId="0" borderId="6" xfId="1" applyNumberFormat="1" applyFont="1" applyFill="1" applyBorder="1" applyAlignment="1">
      <alignment horizontal="centerContinuous"/>
    </xf>
    <xf numFmtId="0" fontId="17" fillId="0" borderId="0" xfId="0" applyFont="1" applyAlignment="1">
      <alignment horizontal="center"/>
    </xf>
    <xf numFmtId="164" fontId="18" fillId="0" borderId="1" xfId="0" applyNumberFormat="1" applyFont="1" applyBorder="1"/>
    <xf numFmtId="173" fontId="1" fillId="0" borderId="0" xfId="0" applyNumberFormat="1" applyFont="1"/>
  </cellXfs>
  <cellStyles count="13">
    <cellStyle name="Normal" xfId="0" builtinId="0" customBuiltin="1"/>
    <cellStyle name="Normal 2" xfId="2" xr:uid="{00000000-0005-0000-0000-000001000000}"/>
    <cellStyle name="Normal 2 2 2" xfId="9" xr:uid="{00000000-0005-0000-0000-000002000000}"/>
    <cellStyle name="Normal 3" xfId="3" xr:uid="{00000000-0005-0000-0000-000003000000}"/>
    <cellStyle name="Normal 3 2" xfId="5" xr:uid="{00000000-0005-0000-0000-000004000000}"/>
    <cellStyle name="Normal 3 4" xfId="8" xr:uid="{00000000-0005-0000-0000-000005000000}"/>
    <cellStyle name="Normal 4" xfId="4" xr:uid="{00000000-0005-0000-0000-000006000000}"/>
    <cellStyle name="Normal 5" xfId="6" xr:uid="{00000000-0005-0000-0000-000007000000}"/>
    <cellStyle name="Normal 5 3" xfId="7" xr:uid="{00000000-0005-0000-0000-000008000000}"/>
    <cellStyle name="Normal 6" xfId="10" xr:uid="{00000000-0005-0000-0000-000009000000}"/>
    <cellStyle name="Normal 6 2" xfId="12" xr:uid="{00000000-0005-0000-0000-00000A000000}"/>
    <cellStyle name="Note" xfId="1" builtinId="10" customBuiltin="1"/>
    <cellStyle name="Note 2" xfId="11" xr:uid="{00000000-0005-0000-0000-00000C000000}"/>
  </cellStyles>
  <dxfs count="0"/>
  <tableStyles count="0" defaultTableStyle="TableStyleMedium2" defaultPivotStyle="PivotStyleLight16"/>
  <colors>
    <mruColors>
      <color rgb="FF0000FF"/>
      <color rgb="FFFFFF99"/>
      <color rgb="FF007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AT40"/>
  <sheetViews>
    <sheetView showGridLines="0" tabSelected="1" topLeftCell="A3" zoomScale="85" zoomScaleNormal="85" workbookViewId="0">
      <selection activeCell="B2" sqref="B2"/>
    </sheetView>
  </sheetViews>
  <sheetFormatPr defaultRowHeight="15.75" outlineLevelRow="1" x14ac:dyDescent="0.25"/>
  <cols>
    <col min="1" max="2" width="2.7109375" style="2" customWidth="1"/>
    <col min="3" max="46" width="15.7109375" style="2" customWidth="1"/>
    <col min="47" max="16384" width="9.140625" style="2"/>
  </cols>
  <sheetData>
    <row r="2" spans="2:16" ht="18.75" x14ac:dyDescent="0.3">
      <c r="B2" s="1" t="s">
        <v>21</v>
      </c>
    </row>
    <row r="3" spans="2:16" x14ac:dyDescent="0.25">
      <c r="B3" s="3" t="s">
        <v>2</v>
      </c>
    </row>
    <row r="5" spans="2:16" x14ac:dyDescent="0.25">
      <c r="B5" s="4" t="s">
        <v>3</v>
      </c>
      <c r="C5" s="5"/>
      <c r="D5" s="6"/>
      <c r="E5" s="6"/>
      <c r="F5" s="5"/>
      <c r="G5" s="5"/>
      <c r="H5" s="5"/>
      <c r="I5" s="5"/>
      <c r="J5" s="5"/>
      <c r="K5" s="6"/>
      <c r="L5" s="5"/>
      <c r="M5" s="5"/>
      <c r="N5" s="5"/>
      <c r="O5" s="5"/>
      <c r="P5" s="5"/>
    </row>
    <row r="6" spans="2:16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2:16" x14ac:dyDescent="0.25">
      <c r="B7" s="7"/>
      <c r="C7" s="8" t="s">
        <v>22</v>
      </c>
      <c r="D7" s="7"/>
      <c r="E7" s="7"/>
      <c r="F7" s="44">
        <f>PRICE(Settlement_Date,Maturity_Date,Coupon_Rate,Discount_Rate,100,Num_Coupons)/100*Bond_Par_Value</f>
        <v>534.38378269864324</v>
      </c>
      <c r="G7" s="7"/>
      <c r="H7" s="8" t="s">
        <v>22</v>
      </c>
      <c r="J7" s="7"/>
      <c r="K7" s="37">
        <f>+F7</f>
        <v>534.38378269864324</v>
      </c>
      <c r="L7" s="7"/>
      <c r="M7" s="7"/>
      <c r="N7" s="7"/>
      <c r="O7" s="7"/>
    </row>
    <row r="8" spans="2:16" x14ac:dyDescent="0.25">
      <c r="B8" s="7"/>
      <c r="C8" s="8" t="s">
        <v>23</v>
      </c>
      <c r="D8" s="8"/>
      <c r="E8" s="8"/>
      <c r="F8" s="10">
        <v>0.06</v>
      </c>
      <c r="H8" s="13" t="s">
        <v>15</v>
      </c>
      <c r="I8" s="14"/>
      <c r="J8" s="14"/>
      <c r="K8" s="15">
        <f>+Coupon_Rate*Bond_Par_Value*YEARFRAC(Last_Coupon_Date,Settlement_Date,1)</f>
        <v>0</v>
      </c>
      <c r="L8" s="35"/>
      <c r="M8" s="7"/>
      <c r="N8" s="7"/>
      <c r="O8" s="7"/>
    </row>
    <row r="9" spans="2:16" x14ac:dyDescent="0.25">
      <c r="B9" s="7"/>
      <c r="C9" s="2" t="s">
        <v>17</v>
      </c>
      <c r="F9" s="18">
        <v>2</v>
      </c>
      <c r="H9" s="16" t="s">
        <v>16</v>
      </c>
      <c r="K9" s="17">
        <f>SUM(K7:K8)</f>
        <v>534.38378269864324</v>
      </c>
      <c r="L9" s="22"/>
      <c r="M9" s="7"/>
      <c r="N9" s="7"/>
      <c r="O9" s="7"/>
    </row>
    <row r="10" spans="2:16" x14ac:dyDescent="0.25">
      <c r="B10" s="7"/>
      <c r="C10" s="2" t="s">
        <v>9</v>
      </c>
      <c r="F10" s="11">
        <v>42185</v>
      </c>
      <c r="L10" s="22"/>
      <c r="M10" s="7"/>
      <c r="N10" s="7"/>
      <c r="O10" s="7"/>
    </row>
    <row r="11" spans="2:16" x14ac:dyDescent="0.25">
      <c r="B11" s="7"/>
      <c r="H11" s="8" t="s">
        <v>7</v>
      </c>
      <c r="J11" s="7"/>
      <c r="K11" s="12">
        <f>+Coupon_Rate*Bond_Par_Value/Bond_Price</f>
        <v>6.5495999566546836E-2</v>
      </c>
      <c r="L11" s="22"/>
      <c r="M11" s="7"/>
      <c r="N11" s="7"/>
      <c r="O11" s="7"/>
    </row>
    <row r="12" spans="2:16" x14ac:dyDescent="0.25">
      <c r="B12" s="7"/>
      <c r="C12" s="2" t="s">
        <v>18</v>
      </c>
      <c r="F12" s="19">
        <f>COUPPCD(Settlement_Date,Maturity_Date,Num_Coupons)</f>
        <v>42185</v>
      </c>
      <c r="L12" s="22"/>
      <c r="M12" s="7"/>
      <c r="N12" s="7"/>
      <c r="O12" s="7"/>
    </row>
    <row r="13" spans="2:16" x14ac:dyDescent="0.25">
      <c r="B13" s="7"/>
      <c r="H13" s="8" t="s">
        <v>8</v>
      </c>
      <c r="I13" s="7"/>
      <c r="J13" s="7"/>
      <c r="K13" s="12">
        <f>YIELD(Settlement_Date,Maturity_Date,Coupon_Rate,Bond_Price/Bond_Par_Value*100,100,Num_Coupons)</f>
        <v>5.9999999999931053E-2</v>
      </c>
      <c r="L13" s="22"/>
      <c r="M13" s="7"/>
      <c r="N13" s="7"/>
      <c r="O13" s="7"/>
    </row>
    <row r="14" spans="2:16" x14ac:dyDescent="0.25">
      <c r="B14" s="7"/>
      <c r="C14" s="8" t="s">
        <v>4</v>
      </c>
      <c r="D14" s="8"/>
      <c r="E14" s="8"/>
      <c r="F14" s="10">
        <v>7.0000000000000007E-2</v>
      </c>
      <c r="H14" s="8" t="s">
        <v>12</v>
      </c>
      <c r="I14" s="8"/>
      <c r="J14" s="8"/>
      <c r="K14" s="12">
        <f>(Bond_Par_Value*Coupon_Rate+(Bond_Par_Value-Bond_Price)/(YEAR(Maturity_Date)-YEAR(Settlement_Date)))/((Bond_Par_Value+Bond_Price)/2)</f>
        <v>6.0286288748273215E-2</v>
      </c>
      <c r="L14" s="22"/>
      <c r="M14" s="7"/>
      <c r="N14" s="7"/>
      <c r="O14" s="7"/>
    </row>
    <row r="15" spans="2:16" x14ac:dyDescent="0.25">
      <c r="B15" s="7"/>
      <c r="C15" s="8" t="s">
        <v>6</v>
      </c>
      <c r="D15" s="8"/>
      <c r="E15" s="8"/>
      <c r="F15" s="9">
        <v>500</v>
      </c>
      <c r="H15" s="8"/>
      <c r="I15" s="8"/>
      <c r="J15" s="8"/>
      <c r="K15" s="12"/>
      <c r="L15" s="22"/>
      <c r="M15" s="7"/>
      <c r="N15" s="7"/>
      <c r="O15" s="7"/>
    </row>
    <row r="16" spans="2:16" x14ac:dyDescent="0.25">
      <c r="B16" s="7"/>
      <c r="C16" s="8" t="s">
        <v>14</v>
      </c>
      <c r="D16" s="8"/>
      <c r="E16" s="8"/>
      <c r="F16" s="11">
        <v>45473</v>
      </c>
      <c r="H16" s="20" t="s">
        <v>24</v>
      </c>
      <c r="I16" s="21"/>
      <c r="J16" s="21"/>
      <c r="K16" s="12">
        <f>MIN(YTM,G20:AT20)</f>
        <v>5.7083075241819797E-2</v>
      </c>
      <c r="L16" s="22"/>
      <c r="M16" s="7"/>
      <c r="N16" s="7"/>
      <c r="O16" s="7"/>
    </row>
    <row r="17" spans="2:46" x14ac:dyDescent="0.25">
      <c r="B17" s="7"/>
      <c r="C17" s="27"/>
      <c r="D17" s="7"/>
      <c r="E17" s="7"/>
      <c r="F17" s="12"/>
      <c r="G17" s="7"/>
      <c r="H17" s="7"/>
      <c r="I17" s="7"/>
      <c r="J17" s="7"/>
      <c r="K17" s="7"/>
      <c r="L17" s="7"/>
      <c r="M17" s="7"/>
      <c r="N17" s="7"/>
      <c r="O17" s="7"/>
    </row>
    <row r="18" spans="2:46" x14ac:dyDescent="0.25">
      <c r="B18" s="7"/>
      <c r="C18" s="8" t="s">
        <v>19</v>
      </c>
      <c r="D18" s="7"/>
      <c r="E18" s="7"/>
      <c r="F18" s="12"/>
      <c r="G18" s="23">
        <v>0</v>
      </c>
      <c r="H18" s="23">
        <v>0</v>
      </c>
      <c r="I18" s="23">
        <v>0</v>
      </c>
      <c r="J18" s="23">
        <v>0</v>
      </c>
      <c r="K18" s="23">
        <v>1</v>
      </c>
      <c r="L18" s="23">
        <v>1</v>
      </c>
      <c r="M18" s="23">
        <v>1</v>
      </c>
      <c r="N18" s="23">
        <v>1</v>
      </c>
      <c r="O18" s="23">
        <v>1</v>
      </c>
      <c r="P18" s="23">
        <v>1</v>
      </c>
      <c r="Q18" s="23">
        <v>1</v>
      </c>
      <c r="R18" s="23">
        <v>1</v>
      </c>
      <c r="S18" s="23">
        <v>1</v>
      </c>
      <c r="T18" s="23">
        <v>1</v>
      </c>
      <c r="U18" s="23">
        <v>1</v>
      </c>
      <c r="V18" s="23">
        <v>1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B18" s="23">
        <v>1</v>
      </c>
      <c r="AC18" s="23">
        <v>1</v>
      </c>
      <c r="AD18" s="23">
        <v>1</v>
      </c>
      <c r="AE18" s="23">
        <v>1</v>
      </c>
      <c r="AF18" s="23">
        <v>1</v>
      </c>
      <c r="AG18" s="23">
        <v>1</v>
      </c>
      <c r="AH18" s="23">
        <v>1</v>
      </c>
      <c r="AI18" s="23">
        <v>1</v>
      </c>
      <c r="AJ18" s="23">
        <v>1</v>
      </c>
      <c r="AK18" s="23">
        <v>1</v>
      </c>
      <c r="AL18" s="23">
        <v>1</v>
      </c>
      <c r="AM18" s="23">
        <v>1</v>
      </c>
      <c r="AN18" s="23">
        <v>1</v>
      </c>
      <c r="AO18" s="23">
        <v>1</v>
      </c>
      <c r="AP18" s="23">
        <v>1</v>
      </c>
      <c r="AQ18" s="23">
        <v>1</v>
      </c>
      <c r="AR18" s="23">
        <v>1</v>
      </c>
      <c r="AS18" s="23">
        <v>1</v>
      </c>
      <c r="AT18" s="23">
        <v>1</v>
      </c>
    </row>
    <row r="19" spans="2:46" x14ac:dyDescent="0.25">
      <c r="B19" s="7"/>
      <c r="C19" s="8" t="s">
        <v>13</v>
      </c>
      <c r="D19" s="8"/>
      <c r="E19" s="8"/>
      <c r="G19" s="24" t="s">
        <v>20</v>
      </c>
      <c r="H19" s="24" t="s">
        <v>20</v>
      </c>
      <c r="I19" s="24" t="s">
        <v>20</v>
      </c>
      <c r="J19" s="24" t="s">
        <v>20</v>
      </c>
      <c r="K19" s="24">
        <v>105</v>
      </c>
      <c r="L19" s="24">
        <v>105</v>
      </c>
      <c r="M19" s="24">
        <v>104</v>
      </c>
      <c r="N19" s="24">
        <v>104</v>
      </c>
      <c r="O19" s="24">
        <v>103</v>
      </c>
      <c r="P19" s="24">
        <v>103</v>
      </c>
      <c r="Q19" s="24">
        <v>102</v>
      </c>
      <c r="R19" s="24">
        <v>102</v>
      </c>
      <c r="S19" s="24">
        <v>101</v>
      </c>
      <c r="T19" s="24">
        <v>101</v>
      </c>
      <c r="U19" s="24">
        <v>100</v>
      </c>
      <c r="V19" s="24">
        <v>100</v>
      </c>
      <c r="W19" s="24">
        <v>100</v>
      </c>
      <c r="X19" s="24">
        <v>100</v>
      </c>
      <c r="Y19" s="24">
        <v>100</v>
      </c>
      <c r="Z19" s="24">
        <v>100</v>
      </c>
      <c r="AA19" s="24">
        <v>100</v>
      </c>
      <c r="AB19" s="24">
        <v>100</v>
      </c>
      <c r="AC19" s="24">
        <v>100</v>
      </c>
      <c r="AD19" s="24">
        <v>100</v>
      </c>
      <c r="AE19" s="24">
        <v>100</v>
      </c>
      <c r="AF19" s="24">
        <v>100</v>
      </c>
      <c r="AG19" s="24">
        <v>100</v>
      </c>
      <c r="AH19" s="24">
        <v>100</v>
      </c>
      <c r="AI19" s="24">
        <v>100</v>
      </c>
      <c r="AJ19" s="24">
        <v>100</v>
      </c>
      <c r="AK19" s="24">
        <v>100</v>
      </c>
      <c r="AL19" s="24">
        <v>100</v>
      </c>
      <c r="AM19" s="24">
        <v>100</v>
      </c>
      <c r="AN19" s="24">
        <v>100</v>
      </c>
      <c r="AO19" s="24">
        <v>100</v>
      </c>
      <c r="AP19" s="24">
        <v>100</v>
      </c>
      <c r="AQ19" s="24">
        <v>100</v>
      </c>
      <c r="AR19" s="24">
        <v>100</v>
      </c>
      <c r="AS19" s="24">
        <v>100</v>
      </c>
      <c r="AT19" s="24">
        <v>100</v>
      </c>
    </row>
    <row r="20" spans="2:46" x14ac:dyDescent="0.25">
      <c r="B20" s="7"/>
      <c r="C20" s="8" t="s">
        <v>25</v>
      </c>
      <c r="D20" s="7"/>
      <c r="E20" s="7"/>
      <c r="F20" s="12"/>
      <c r="G20" s="12" t="str">
        <f t="shared" ref="G20:AT20" si="0">IF(AND(G18,G32&lt;=Maturity_Date),YIELD(Settlement_Date,G32,Coupon_Rate,Bond_Price/Bond_Par_Value*100,G19,Num_Coupons),"N/A")</f>
        <v>N/A</v>
      </c>
      <c r="H20" s="12" t="str">
        <f t="shared" si="0"/>
        <v>N/A</v>
      </c>
      <c r="I20" s="12" t="str">
        <f t="shared" si="0"/>
        <v>N/A</v>
      </c>
      <c r="J20" s="12" t="str">
        <f t="shared" si="0"/>
        <v>N/A</v>
      </c>
      <c r="K20" s="12">
        <f t="shared" si="0"/>
        <v>5.7083075241819797E-2</v>
      </c>
      <c r="L20" s="12">
        <f t="shared" si="0"/>
        <v>5.8873531984244561E-2</v>
      </c>
      <c r="M20" s="12">
        <f t="shared" si="0"/>
        <v>5.714363340659618E-2</v>
      </c>
      <c r="N20" s="12">
        <f t="shared" si="0"/>
        <v>5.8453972173311719E-2</v>
      </c>
      <c r="O20" s="12">
        <f t="shared" si="0"/>
        <v>5.7298517675790139E-2</v>
      </c>
      <c r="P20" s="12">
        <f t="shared" si="0"/>
        <v>5.8330665985026293E-2</v>
      </c>
      <c r="Q20" s="12">
        <f t="shared" si="0"/>
        <v>5.748925606854341E-2</v>
      </c>
      <c r="R20" s="12">
        <f t="shared" si="0"/>
        <v>5.8340242698329353E-2</v>
      </c>
      <c r="S20" s="12">
        <f t="shared" si="0"/>
        <v>5.7696257180238915E-2</v>
      </c>
      <c r="T20" s="12">
        <f t="shared" si="0"/>
        <v>5.8419796939604599E-2</v>
      </c>
      <c r="U20" s="12">
        <f t="shared" si="0"/>
        <v>5.7911040756773023E-2</v>
      </c>
      <c r="V20" s="12">
        <f t="shared" si="0"/>
        <v>5.853990238522816E-2</v>
      </c>
      <c r="W20" s="12">
        <f t="shared" si="0"/>
        <v>5.9088811842520926E-2</v>
      </c>
      <c r="X20" s="12">
        <f t="shared" si="0"/>
        <v>5.9571856714359425E-2</v>
      </c>
      <c r="Y20" s="12">
        <f t="shared" si="0"/>
        <v>5.9999999999931053E-2</v>
      </c>
      <c r="Z20" s="12" t="str">
        <f t="shared" si="0"/>
        <v>N/A</v>
      </c>
      <c r="AA20" s="12" t="str">
        <f t="shared" si="0"/>
        <v>N/A</v>
      </c>
      <c r="AB20" s="12" t="str">
        <f t="shared" si="0"/>
        <v>N/A</v>
      </c>
      <c r="AC20" s="12" t="str">
        <f t="shared" si="0"/>
        <v>N/A</v>
      </c>
      <c r="AD20" s="12" t="str">
        <f t="shared" si="0"/>
        <v>N/A</v>
      </c>
      <c r="AE20" s="12" t="str">
        <f t="shared" si="0"/>
        <v>N/A</v>
      </c>
      <c r="AF20" s="12" t="str">
        <f t="shared" si="0"/>
        <v>N/A</v>
      </c>
      <c r="AG20" s="12" t="str">
        <f t="shared" si="0"/>
        <v>N/A</v>
      </c>
      <c r="AH20" s="12" t="str">
        <f t="shared" si="0"/>
        <v>N/A</v>
      </c>
      <c r="AI20" s="12" t="str">
        <f t="shared" si="0"/>
        <v>N/A</v>
      </c>
      <c r="AJ20" s="12" t="str">
        <f t="shared" si="0"/>
        <v>N/A</v>
      </c>
      <c r="AK20" s="12" t="str">
        <f t="shared" si="0"/>
        <v>N/A</v>
      </c>
      <c r="AL20" s="12" t="str">
        <f t="shared" si="0"/>
        <v>N/A</v>
      </c>
      <c r="AM20" s="12" t="str">
        <f t="shared" si="0"/>
        <v>N/A</v>
      </c>
      <c r="AN20" s="12" t="str">
        <f t="shared" si="0"/>
        <v>N/A</v>
      </c>
      <c r="AO20" s="12" t="str">
        <f t="shared" si="0"/>
        <v>N/A</v>
      </c>
      <c r="AP20" s="12" t="str">
        <f t="shared" si="0"/>
        <v>N/A</v>
      </c>
      <c r="AQ20" s="12" t="str">
        <f t="shared" si="0"/>
        <v>N/A</v>
      </c>
      <c r="AR20" s="12" t="str">
        <f t="shared" si="0"/>
        <v>N/A</v>
      </c>
      <c r="AS20" s="12" t="str">
        <f t="shared" si="0"/>
        <v>N/A</v>
      </c>
      <c r="AT20" s="12" t="str">
        <f t="shared" si="0"/>
        <v>N/A</v>
      </c>
    </row>
    <row r="21" spans="2:46" x14ac:dyDescent="0.25">
      <c r="B21" s="7"/>
      <c r="C21" s="8"/>
      <c r="D21" s="7"/>
      <c r="E21" s="7"/>
      <c r="F21" s="12"/>
      <c r="G21" s="12"/>
      <c r="H21" s="12"/>
      <c r="I21" s="12"/>
      <c r="J21" s="12"/>
      <c r="K21" s="12"/>
      <c r="L21" s="12"/>
      <c r="M21" s="25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2:46" x14ac:dyDescent="0.25">
      <c r="B22" s="7"/>
      <c r="C22" s="8" t="s">
        <v>26</v>
      </c>
      <c r="D22" s="7"/>
      <c r="E22" s="7"/>
      <c r="F22" s="12"/>
      <c r="G22" s="25">
        <f t="shared" ref="G22:AT22" si="1">IF(AND(G18,G32&lt;Maturity_Date),+Coupon_Rate*Bond_Par_Value*YEARFRAC(COUPPCD(G32,Maturity_Date,Num_Coupons),G32,1),0)</f>
        <v>0</v>
      </c>
      <c r="H22" s="25">
        <f t="shared" si="1"/>
        <v>0</v>
      </c>
      <c r="I22" s="25">
        <f t="shared" si="1"/>
        <v>0</v>
      </c>
      <c r="J22" s="25">
        <f t="shared" si="1"/>
        <v>0</v>
      </c>
      <c r="K22" s="25">
        <f t="shared" si="1"/>
        <v>0</v>
      </c>
      <c r="L22" s="25">
        <f t="shared" si="1"/>
        <v>0</v>
      </c>
      <c r="M22" s="25">
        <f t="shared" si="1"/>
        <v>0</v>
      </c>
      <c r="N22" s="25">
        <f t="shared" si="1"/>
        <v>0</v>
      </c>
      <c r="O22" s="25">
        <f t="shared" si="1"/>
        <v>0</v>
      </c>
      <c r="P22" s="25">
        <f t="shared" si="1"/>
        <v>0</v>
      </c>
      <c r="Q22" s="25">
        <f t="shared" si="1"/>
        <v>0</v>
      </c>
      <c r="R22" s="25">
        <f t="shared" si="1"/>
        <v>0</v>
      </c>
      <c r="S22" s="25">
        <f t="shared" si="1"/>
        <v>0</v>
      </c>
      <c r="T22" s="25">
        <f t="shared" si="1"/>
        <v>0</v>
      </c>
      <c r="U22" s="25">
        <f t="shared" si="1"/>
        <v>0</v>
      </c>
      <c r="V22" s="25">
        <f t="shared" si="1"/>
        <v>0</v>
      </c>
      <c r="W22" s="25">
        <f t="shared" si="1"/>
        <v>0</v>
      </c>
      <c r="X22" s="25">
        <f t="shared" si="1"/>
        <v>0</v>
      </c>
      <c r="Y22" s="25">
        <f t="shared" si="1"/>
        <v>0</v>
      </c>
      <c r="Z22" s="25">
        <f t="shared" si="1"/>
        <v>0</v>
      </c>
      <c r="AA22" s="25">
        <f t="shared" si="1"/>
        <v>0</v>
      </c>
      <c r="AB22" s="25">
        <f t="shared" si="1"/>
        <v>0</v>
      </c>
      <c r="AC22" s="25">
        <f t="shared" si="1"/>
        <v>0</v>
      </c>
      <c r="AD22" s="25">
        <f t="shared" si="1"/>
        <v>0</v>
      </c>
      <c r="AE22" s="25">
        <f t="shared" si="1"/>
        <v>0</v>
      </c>
      <c r="AF22" s="25">
        <f t="shared" si="1"/>
        <v>0</v>
      </c>
      <c r="AG22" s="25">
        <f t="shared" si="1"/>
        <v>0</v>
      </c>
      <c r="AH22" s="25">
        <f t="shared" si="1"/>
        <v>0</v>
      </c>
      <c r="AI22" s="25">
        <f t="shared" si="1"/>
        <v>0</v>
      </c>
      <c r="AJ22" s="25">
        <f t="shared" si="1"/>
        <v>0</v>
      </c>
      <c r="AK22" s="25">
        <f t="shared" si="1"/>
        <v>0</v>
      </c>
      <c r="AL22" s="25">
        <f t="shared" si="1"/>
        <v>0</v>
      </c>
      <c r="AM22" s="25">
        <f t="shared" si="1"/>
        <v>0</v>
      </c>
      <c r="AN22" s="25">
        <f t="shared" si="1"/>
        <v>0</v>
      </c>
      <c r="AO22" s="25">
        <f t="shared" si="1"/>
        <v>0</v>
      </c>
      <c r="AP22" s="25">
        <f t="shared" si="1"/>
        <v>0</v>
      </c>
      <c r="AQ22" s="25">
        <f t="shared" si="1"/>
        <v>0</v>
      </c>
      <c r="AR22" s="25">
        <f t="shared" si="1"/>
        <v>0</v>
      </c>
      <c r="AS22" s="25">
        <f t="shared" si="1"/>
        <v>0</v>
      </c>
      <c r="AT22" s="25">
        <f t="shared" si="1"/>
        <v>0</v>
      </c>
    </row>
    <row r="23" spans="2:46" x14ac:dyDescent="0.25">
      <c r="B23" s="7"/>
      <c r="C23" s="8" t="s">
        <v>33</v>
      </c>
      <c r="D23" s="7"/>
      <c r="E23" s="7"/>
      <c r="F23" s="12"/>
      <c r="G23" s="12" t="str">
        <f t="shared" ref="G23:AT23" si="2">IF(AND(G18,G32&lt;=Maturity_Date),YIELD(Settlement_Date,G32,Coupon_Rate,Dirty_Bond_Price/Bond_Par_Value*100,G19+G22/Bond_Par_Value*100,Num_Coupons),"N/A")</f>
        <v>N/A</v>
      </c>
      <c r="H23" s="12" t="str">
        <f t="shared" si="2"/>
        <v>N/A</v>
      </c>
      <c r="I23" s="12" t="str">
        <f t="shared" si="2"/>
        <v>N/A</v>
      </c>
      <c r="J23" s="12" t="str">
        <f t="shared" si="2"/>
        <v>N/A</v>
      </c>
      <c r="K23" s="12">
        <f t="shared" si="2"/>
        <v>5.7083075241819797E-2</v>
      </c>
      <c r="L23" s="12">
        <f t="shared" si="2"/>
        <v>5.8873531984244561E-2</v>
      </c>
      <c r="M23" s="12">
        <f t="shared" si="2"/>
        <v>5.714363340659618E-2</v>
      </c>
      <c r="N23" s="12">
        <f t="shared" si="2"/>
        <v>5.8453972173311719E-2</v>
      </c>
      <c r="O23" s="12">
        <f t="shared" si="2"/>
        <v>5.7298517675790139E-2</v>
      </c>
      <c r="P23" s="12">
        <f t="shared" si="2"/>
        <v>5.8330665985026293E-2</v>
      </c>
      <c r="Q23" s="12">
        <f t="shared" si="2"/>
        <v>5.748925606854341E-2</v>
      </c>
      <c r="R23" s="12">
        <f t="shared" si="2"/>
        <v>5.8340242698329353E-2</v>
      </c>
      <c r="S23" s="12">
        <f t="shared" si="2"/>
        <v>5.7696257180238915E-2</v>
      </c>
      <c r="T23" s="12">
        <f t="shared" si="2"/>
        <v>5.8419796939604599E-2</v>
      </c>
      <c r="U23" s="12">
        <f t="shared" si="2"/>
        <v>5.7911040756773023E-2</v>
      </c>
      <c r="V23" s="12">
        <f t="shared" si="2"/>
        <v>5.853990238522816E-2</v>
      </c>
      <c r="W23" s="12">
        <f t="shared" si="2"/>
        <v>5.9088811842520926E-2</v>
      </c>
      <c r="X23" s="12">
        <f t="shared" si="2"/>
        <v>5.9571856714359425E-2</v>
      </c>
      <c r="Y23" s="12">
        <f t="shared" si="2"/>
        <v>5.9999999999931053E-2</v>
      </c>
      <c r="Z23" s="12" t="str">
        <f t="shared" si="2"/>
        <v>N/A</v>
      </c>
      <c r="AA23" s="12" t="str">
        <f t="shared" si="2"/>
        <v>N/A</v>
      </c>
      <c r="AB23" s="12" t="str">
        <f t="shared" si="2"/>
        <v>N/A</v>
      </c>
      <c r="AC23" s="12" t="str">
        <f t="shared" si="2"/>
        <v>N/A</v>
      </c>
      <c r="AD23" s="12" t="str">
        <f t="shared" si="2"/>
        <v>N/A</v>
      </c>
      <c r="AE23" s="12" t="str">
        <f t="shared" si="2"/>
        <v>N/A</v>
      </c>
      <c r="AF23" s="12" t="str">
        <f t="shared" si="2"/>
        <v>N/A</v>
      </c>
      <c r="AG23" s="12" t="str">
        <f t="shared" si="2"/>
        <v>N/A</v>
      </c>
      <c r="AH23" s="12" t="str">
        <f t="shared" si="2"/>
        <v>N/A</v>
      </c>
      <c r="AI23" s="12" t="str">
        <f t="shared" si="2"/>
        <v>N/A</v>
      </c>
      <c r="AJ23" s="12" t="str">
        <f t="shared" si="2"/>
        <v>N/A</v>
      </c>
      <c r="AK23" s="12" t="str">
        <f t="shared" si="2"/>
        <v>N/A</v>
      </c>
      <c r="AL23" s="12" t="str">
        <f t="shared" si="2"/>
        <v>N/A</v>
      </c>
      <c r="AM23" s="12" t="str">
        <f t="shared" si="2"/>
        <v>N/A</v>
      </c>
      <c r="AN23" s="12" t="str">
        <f t="shared" si="2"/>
        <v>N/A</v>
      </c>
      <c r="AO23" s="12" t="str">
        <f t="shared" si="2"/>
        <v>N/A</v>
      </c>
      <c r="AP23" s="12" t="str">
        <f t="shared" si="2"/>
        <v>N/A</v>
      </c>
      <c r="AQ23" s="12" t="str">
        <f t="shared" si="2"/>
        <v>N/A</v>
      </c>
      <c r="AR23" s="12" t="str">
        <f t="shared" si="2"/>
        <v>N/A</v>
      </c>
      <c r="AS23" s="12" t="str">
        <f t="shared" si="2"/>
        <v>N/A</v>
      </c>
      <c r="AT23" s="12" t="str">
        <f t="shared" si="2"/>
        <v>N/A</v>
      </c>
    </row>
    <row r="24" spans="2:46" x14ac:dyDescent="0.25">
      <c r="B24" s="7"/>
      <c r="C24" s="27"/>
      <c r="D24" s="7"/>
      <c r="E24" s="7"/>
      <c r="F24" s="12"/>
      <c r="G24" s="7"/>
      <c r="H24" s="7"/>
      <c r="I24" s="7"/>
      <c r="J24" s="7"/>
      <c r="K24" s="7"/>
      <c r="L24" s="7"/>
      <c r="M24" s="7"/>
      <c r="N24" s="7"/>
      <c r="O24" s="7"/>
    </row>
    <row r="25" spans="2:46" x14ac:dyDescent="0.25">
      <c r="B25" s="7"/>
      <c r="C25" s="8" t="s">
        <v>27</v>
      </c>
      <c r="D25" s="7"/>
      <c r="E25" s="7"/>
      <c r="F25" s="12"/>
      <c r="G25" s="23">
        <v>0</v>
      </c>
      <c r="H25" s="23">
        <v>0</v>
      </c>
      <c r="I25" s="23">
        <v>0</v>
      </c>
      <c r="J25" s="23">
        <v>0</v>
      </c>
      <c r="K25" s="23">
        <v>1</v>
      </c>
      <c r="L25" s="23">
        <v>0</v>
      </c>
      <c r="M25" s="23">
        <v>1</v>
      </c>
      <c r="N25" s="23">
        <v>0</v>
      </c>
      <c r="O25" s="23">
        <v>1</v>
      </c>
      <c r="P25" s="23">
        <v>0</v>
      </c>
      <c r="Q25" s="23">
        <v>1</v>
      </c>
      <c r="R25" s="23">
        <v>0</v>
      </c>
      <c r="S25" s="23">
        <v>1</v>
      </c>
      <c r="T25" s="23">
        <v>0</v>
      </c>
      <c r="U25" s="23">
        <v>1</v>
      </c>
      <c r="V25" s="23">
        <v>0</v>
      </c>
      <c r="W25" s="23">
        <v>1</v>
      </c>
      <c r="X25" s="23">
        <v>0</v>
      </c>
      <c r="Y25" s="23">
        <v>1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</row>
    <row r="26" spans="2:46" x14ac:dyDescent="0.25">
      <c r="B26" s="7"/>
      <c r="C26" s="8" t="s">
        <v>13</v>
      </c>
      <c r="D26" s="7"/>
      <c r="E26" s="7"/>
      <c r="F26" s="12"/>
      <c r="G26" s="24" t="s">
        <v>20</v>
      </c>
      <c r="H26" s="24" t="s">
        <v>20</v>
      </c>
      <c r="I26" s="24" t="s">
        <v>20</v>
      </c>
      <c r="J26" s="24" t="s">
        <v>20</v>
      </c>
      <c r="K26" s="24">
        <v>100</v>
      </c>
      <c r="L26" s="24" t="s">
        <v>20</v>
      </c>
      <c r="M26" s="24">
        <v>100</v>
      </c>
      <c r="N26" s="24" t="s">
        <v>20</v>
      </c>
      <c r="O26" s="24">
        <v>100</v>
      </c>
      <c r="P26" s="24" t="s">
        <v>20</v>
      </c>
      <c r="Q26" s="24">
        <v>100</v>
      </c>
      <c r="R26" s="24" t="s">
        <v>20</v>
      </c>
      <c r="S26" s="24">
        <v>100</v>
      </c>
      <c r="T26" s="24" t="s">
        <v>20</v>
      </c>
      <c r="U26" s="24">
        <v>100</v>
      </c>
      <c r="V26" s="24" t="s">
        <v>20</v>
      </c>
      <c r="W26" s="24">
        <v>100</v>
      </c>
      <c r="X26" s="24" t="s">
        <v>20</v>
      </c>
      <c r="Y26" s="24">
        <v>100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24" t="s">
        <v>20</v>
      </c>
      <c r="AE26" s="24" t="s">
        <v>20</v>
      </c>
      <c r="AF26" s="24" t="s">
        <v>20</v>
      </c>
      <c r="AG26" s="24" t="s">
        <v>20</v>
      </c>
      <c r="AH26" s="24" t="s">
        <v>20</v>
      </c>
      <c r="AI26" s="24" t="s">
        <v>20</v>
      </c>
      <c r="AJ26" s="24" t="s">
        <v>20</v>
      </c>
      <c r="AK26" s="24" t="s">
        <v>20</v>
      </c>
      <c r="AL26" s="24" t="s">
        <v>20</v>
      </c>
      <c r="AM26" s="24" t="s">
        <v>20</v>
      </c>
      <c r="AN26" s="24" t="s">
        <v>20</v>
      </c>
      <c r="AO26" s="24" t="s">
        <v>20</v>
      </c>
      <c r="AP26" s="24" t="s">
        <v>20</v>
      </c>
      <c r="AQ26" s="24" t="s">
        <v>20</v>
      </c>
      <c r="AR26" s="24" t="s">
        <v>20</v>
      </c>
      <c r="AS26" s="24" t="s">
        <v>20</v>
      </c>
      <c r="AT26" s="24" t="s">
        <v>20</v>
      </c>
    </row>
    <row r="27" spans="2:46" x14ac:dyDescent="0.25">
      <c r="B27" s="7"/>
      <c r="C27" s="8" t="s">
        <v>28</v>
      </c>
      <c r="D27" s="7"/>
      <c r="E27" s="7"/>
      <c r="F27" s="12"/>
      <c r="G27" s="12" t="str">
        <f t="shared" ref="G27:AT27" si="3">IF(AND(G25,G32&lt;=Maturity_Date),YIELD(Settlement_Date,G32,Coupon_Rate,Bond_Price/Bond_Par_Value*100,G26,Num_Coupons,1),"N/A")</f>
        <v>N/A</v>
      </c>
      <c r="H27" s="12" t="str">
        <f t="shared" si="3"/>
        <v>N/A</v>
      </c>
      <c r="I27" s="12" t="str">
        <f t="shared" si="3"/>
        <v>N/A</v>
      </c>
      <c r="J27" s="12" t="str">
        <f t="shared" si="3"/>
        <v>N/A</v>
      </c>
      <c r="K27" s="12">
        <f t="shared" si="3"/>
        <v>3.4136620140319131E-2</v>
      </c>
      <c r="L27" s="12" t="str">
        <f t="shared" si="3"/>
        <v>N/A</v>
      </c>
      <c r="M27" s="12">
        <f t="shared" si="3"/>
        <v>4.5229329128647994E-2</v>
      </c>
      <c r="N27" s="12" t="str">
        <f t="shared" si="3"/>
        <v>N/A</v>
      </c>
      <c r="O27" s="12">
        <f t="shared" si="3"/>
        <v>5.0786177125500126E-2</v>
      </c>
      <c r="P27" s="12" t="str">
        <f t="shared" si="3"/>
        <v>N/A</v>
      </c>
      <c r="Q27" s="12">
        <f t="shared" si="3"/>
        <v>5.4117760374817525E-2</v>
      </c>
      <c r="R27" s="12" t="str">
        <f t="shared" si="3"/>
        <v>N/A</v>
      </c>
      <c r="S27" s="12">
        <f t="shared" si="3"/>
        <v>5.6333697725925724E-2</v>
      </c>
      <c r="T27" s="12" t="str">
        <f t="shared" si="3"/>
        <v>N/A</v>
      </c>
      <c r="U27" s="12">
        <f t="shared" si="3"/>
        <v>5.7911040756773023E-2</v>
      </c>
      <c r="V27" s="12" t="str">
        <f t="shared" si="3"/>
        <v>N/A</v>
      </c>
      <c r="W27" s="12">
        <f t="shared" si="3"/>
        <v>5.9088811842520926E-2</v>
      </c>
      <c r="X27" s="12" t="str">
        <f t="shared" si="3"/>
        <v>N/A</v>
      </c>
      <c r="Y27" s="12">
        <f t="shared" si="3"/>
        <v>5.9999999999931053E-2</v>
      </c>
      <c r="Z27" s="12" t="str">
        <f t="shared" si="3"/>
        <v>N/A</v>
      </c>
      <c r="AA27" s="12" t="str">
        <f t="shared" si="3"/>
        <v>N/A</v>
      </c>
      <c r="AB27" s="12" t="str">
        <f t="shared" si="3"/>
        <v>N/A</v>
      </c>
      <c r="AC27" s="12" t="str">
        <f t="shared" si="3"/>
        <v>N/A</v>
      </c>
      <c r="AD27" s="12" t="str">
        <f t="shared" si="3"/>
        <v>N/A</v>
      </c>
      <c r="AE27" s="12" t="str">
        <f t="shared" si="3"/>
        <v>N/A</v>
      </c>
      <c r="AF27" s="12" t="str">
        <f t="shared" si="3"/>
        <v>N/A</v>
      </c>
      <c r="AG27" s="12" t="str">
        <f t="shared" si="3"/>
        <v>N/A</v>
      </c>
      <c r="AH27" s="12" t="str">
        <f t="shared" si="3"/>
        <v>N/A</v>
      </c>
      <c r="AI27" s="12" t="str">
        <f t="shared" si="3"/>
        <v>N/A</v>
      </c>
      <c r="AJ27" s="12" t="str">
        <f t="shared" si="3"/>
        <v>N/A</v>
      </c>
      <c r="AK27" s="12" t="str">
        <f t="shared" si="3"/>
        <v>N/A</v>
      </c>
      <c r="AL27" s="12" t="str">
        <f t="shared" si="3"/>
        <v>N/A</v>
      </c>
      <c r="AM27" s="12" t="str">
        <f t="shared" si="3"/>
        <v>N/A</v>
      </c>
      <c r="AN27" s="12" t="str">
        <f t="shared" si="3"/>
        <v>N/A</v>
      </c>
      <c r="AO27" s="12" t="str">
        <f t="shared" si="3"/>
        <v>N/A</v>
      </c>
      <c r="AP27" s="12" t="str">
        <f t="shared" si="3"/>
        <v>N/A</v>
      </c>
      <c r="AQ27" s="12" t="str">
        <f t="shared" si="3"/>
        <v>N/A</v>
      </c>
      <c r="AR27" s="12" t="str">
        <f t="shared" si="3"/>
        <v>N/A</v>
      </c>
      <c r="AS27" s="12" t="str">
        <f t="shared" si="3"/>
        <v>N/A</v>
      </c>
      <c r="AT27" s="12" t="str">
        <f t="shared" si="3"/>
        <v>N/A</v>
      </c>
    </row>
    <row r="28" spans="2:46" x14ac:dyDescent="0.25">
      <c r="B28" s="7"/>
      <c r="C28" s="8"/>
      <c r="D28" s="7"/>
      <c r="E28" s="7"/>
      <c r="F28" s="12"/>
      <c r="G28" s="7"/>
      <c r="H28" s="7"/>
      <c r="I28" s="7"/>
      <c r="J28" s="7"/>
      <c r="K28" s="7"/>
      <c r="L28" s="7"/>
      <c r="M28" s="7"/>
      <c r="N28" s="7"/>
      <c r="O28" s="7"/>
    </row>
    <row r="29" spans="2:46" outlineLevel="1" x14ac:dyDescent="0.25">
      <c r="B29" s="7"/>
      <c r="C29" s="8" t="s">
        <v>29</v>
      </c>
      <c r="D29" s="7"/>
      <c r="E29" s="7"/>
      <c r="F29" s="12"/>
      <c r="G29" s="45">
        <f>IF(AND(Settlement_Date&gt;F32,Settlement_Date&lt;G32),1,IF(G32&gt;Settlement_Date,F29+1,0))</f>
        <v>0</v>
      </c>
      <c r="H29" s="45">
        <f t="shared" ref="H29:AT29" si="4">IF(AND(Settlement_Date&gt;G32,Settlement_Date&lt;H32),1,IF(H32&gt;Settlement_Date,G29+1,0))</f>
        <v>1</v>
      </c>
      <c r="I29" s="45">
        <f t="shared" si="4"/>
        <v>2</v>
      </c>
      <c r="J29" s="45">
        <f t="shared" si="4"/>
        <v>3</v>
      </c>
      <c r="K29" s="45">
        <f t="shared" si="4"/>
        <v>4</v>
      </c>
      <c r="L29" s="45">
        <f t="shared" si="4"/>
        <v>5</v>
      </c>
      <c r="M29" s="45">
        <f t="shared" si="4"/>
        <v>6</v>
      </c>
      <c r="N29" s="45">
        <f t="shared" si="4"/>
        <v>7</v>
      </c>
      <c r="O29" s="45">
        <f t="shared" si="4"/>
        <v>8</v>
      </c>
      <c r="P29" s="45">
        <f t="shared" si="4"/>
        <v>9</v>
      </c>
      <c r="Q29" s="45">
        <f t="shared" si="4"/>
        <v>10</v>
      </c>
      <c r="R29" s="45">
        <f t="shared" si="4"/>
        <v>11</v>
      </c>
      <c r="S29" s="45">
        <f t="shared" si="4"/>
        <v>12</v>
      </c>
      <c r="T29" s="45">
        <f t="shared" si="4"/>
        <v>13</v>
      </c>
      <c r="U29" s="45">
        <f t="shared" si="4"/>
        <v>14</v>
      </c>
      <c r="V29" s="45">
        <f t="shared" si="4"/>
        <v>15</v>
      </c>
      <c r="W29" s="45">
        <f t="shared" si="4"/>
        <v>16</v>
      </c>
      <c r="X29" s="45">
        <f t="shared" si="4"/>
        <v>17</v>
      </c>
      <c r="Y29" s="45">
        <f t="shared" si="4"/>
        <v>18</v>
      </c>
      <c r="Z29" s="45">
        <f t="shared" si="4"/>
        <v>19</v>
      </c>
      <c r="AA29" s="45">
        <f t="shared" si="4"/>
        <v>20</v>
      </c>
      <c r="AB29" s="45">
        <f t="shared" si="4"/>
        <v>21</v>
      </c>
      <c r="AC29" s="45">
        <f t="shared" si="4"/>
        <v>22</v>
      </c>
      <c r="AD29" s="45">
        <f t="shared" si="4"/>
        <v>23</v>
      </c>
      <c r="AE29" s="45">
        <f t="shared" si="4"/>
        <v>24</v>
      </c>
      <c r="AF29" s="45">
        <f t="shared" si="4"/>
        <v>25</v>
      </c>
      <c r="AG29" s="45">
        <f t="shared" si="4"/>
        <v>26</v>
      </c>
      <c r="AH29" s="45">
        <f t="shared" si="4"/>
        <v>27</v>
      </c>
      <c r="AI29" s="45">
        <f t="shared" si="4"/>
        <v>28</v>
      </c>
      <c r="AJ29" s="45">
        <f t="shared" si="4"/>
        <v>29</v>
      </c>
      <c r="AK29" s="45">
        <f t="shared" si="4"/>
        <v>30</v>
      </c>
      <c r="AL29" s="45">
        <f t="shared" si="4"/>
        <v>31</v>
      </c>
      <c r="AM29" s="45">
        <f t="shared" si="4"/>
        <v>32</v>
      </c>
      <c r="AN29" s="45">
        <f t="shared" si="4"/>
        <v>33</v>
      </c>
      <c r="AO29" s="45">
        <f t="shared" si="4"/>
        <v>34</v>
      </c>
      <c r="AP29" s="45">
        <f t="shared" si="4"/>
        <v>35</v>
      </c>
      <c r="AQ29" s="45">
        <f t="shared" si="4"/>
        <v>36</v>
      </c>
      <c r="AR29" s="45">
        <f t="shared" si="4"/>
        <v>37</v>
      </c>
      <c r="AS29" s="45">
        <f t="shared" si="4"/>
        <v>38</v>
      </c>
      <c r="AT29" s="45">
        <f t="shared" si="4"/>
        <v>39</v>
      </c>
    </row>
    <row r="30" spans="2:46" outlineLevel="1" x14ac:dyDescent="0.25">
      <c r="B30" s="7"/>
      <c r="C30" s="27"/>
      <c r="D30" s="7"/>
      <c r="E30" s="7"/>
      <c r="F30" s="12"/>
      <c r="G30" s="7"/>
      <c r="H30" s="7"/>
      <c r="I30" s="7"/>
      <c r="J30" s="7"/>
      <c r="K30" s="7"/>
      <c r="L30" s="7"/>
      <c r="M30" s="7"/>
      <c r="N30" s="7"/>
      <c r="O30" s="7"/>
    </row>
    <row r="31" spans="2:46" x14ac:dyDescent="0.25">
      <c r="B31" s="7"/>
      <c r="C31" s="28"/>
      <c r="D31" s="28"/>
      <c r="E31" s="28"/>
      <c r="F31" s="29" t="s">
        <v>0</v>
      </c>
      <c r="G31" s="30" t="s">
        <v>1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</row>
    <row r="32" spans="2:46" x14ac:dyDescent="0.25">
      <c r="B32" s="7"/>
      <c r="C32" s="31" t="s">
        <v>5</v>
      </c>
      <c r="D32" s="32"/>
      <c r="E32" s="32"/>
      <c r="F32" s="33">
        <v>42004</v>
      </c>
      <c r="G32" s="34">
        <f>EOMONTH(F32,12/Num_Coupons)</f>
        <v>42185</v>
      </c>
      <c r="H32" s="34">
        <f t="shared" ref="H32:AT32" si="5">EOMONTH(G32,12/Num_Coupons)</f>
        <v>42369</v>
      </c>
      <c r="I32" s="34">
        <f t="shared" si="5"/>
        <v>42551</v>
      </c>
      <c r="J32" s="34">
        <f t="shared" si="5"/>
        <v>42735</v>
      </c>
      <c r="K32" s="34">
        <f t="shared" si="5"/>
        <v>42916</v>
      </c>
      <c r="L32" s="34">
        <f t="shared" si="5"/>
        <v>43100</v>
      </c>
      <c r="M32" s="34">
        <f t="shared" si="5"/>
        <v>43281</v>
      </c>
      <c r="N32" s="34">
        <f t="shared" si="5"/>
        <v>43465</v>
      </c>
      <c r="O32" s="34">
        <f t="shared" si="5"/>
        <v>43646</v>
      </c>
      <c r="P32" s="34">
        <f t="shared" si="5"/>
        <v>43830</v>
      </c>
      <c r="Q32" s="34">
        <f t="shared" si="5"/>
        <v>44012</v>
      </c>
      <c r="R32" s="34">
        <f t="shared" si="5"/>
        <v>44196</v>
      </c>
      <c r="S32" s="34">
        <f t="shared" si="5"/>
        <v>44377</v>
      </c>
      <c r="T32" s="34">
        <f t="shared" si="5"/>
        <v>44561</v>
      </c>
      <c r="U32" s="34">
        <f t="shared" si="5"/>
        <v>44742</v>
      </c>
      <c r="V32" s="34">
        <f t="shared" si="5"/>
        <v>44926</v>
      </c>
      <c r="W32" s="34">
        <f t="shared" si="5"/>
        <v>45107</v>
      </c>
      <c r="X32" s="34">
        <f t="shared" si="5"/>
        <v>45291</v>
      </c>
      <c r="Y32" s="34">
        <f t="shared" si="5"/>
        <v>45473</v>
      </c>
      <c r="Z32" s="34">
        <f t="shared" si="5"/>
        <v>45657</v>
      </c>
      <c r="AA32" s="34">
        <f t="shared" si="5"/>
        <v>45838</v>
      </c>
      <c r="AB32" s="34">
        <f t="shared" si="5"/>
        <v>46022</v>
      </c>
      <c r="AC32" s="34">
        <f t="shared" si="5"/>
        <v>46203</v>
      </c>
      <c r="AD32" s="34">
        <f t="shared" si="5"/>
        <v>46387</v>
      </c>
      <c r="AE32" s="34">
        <f t="shared" si="5"/>
        <v>46568</v>
      </c>
      <c r="AF32" s="34">
        <f t="shared" si="5"/>
        <v>46752</v>
      </c>
      <c r="AG32" s="34">
        <f t="shared" si="5"/>
        <v>46934</v>
      </c>
      <c r="AH32" s="34">
        <f t="shared" si="5"/>
        <v>47118</v>
      </c>
      <c r="AI32" s="34">
        <f t="shared" si="5"/>
        <v>47299</v>
      </c>
      <c r="AJ32" s="34">
        <f t="shared" si="5"/>
        <v>47483</v>
      </c>
      <c r="AK32" s="34">
        <f t="shared" si="5"/>
        <v>47664</v>
      </c>
      <c r="AL32" s="34">
        <f t="shared" si="5"/>
        <v>47848</v>
      </c>
      <c r="AM32" s="34">
        <f t="shared" si="5"/>
        <v>48029</v>
      </c>
      <c r="AN32" s="34">
        <f t="shared" si="5"/>
        <v>48213</v>
      </c>
      <c r="AO32" s="34">
        <f t="shared" si="5"/>
        <v>48395</v>
      </c>
      <c r="AP32" s="34">
        <f t="shared" si="5"/>
        <v>48579</v>
      </c>
      <c r="AQ32" s="34">
        <f t="shared" si="5"/>
        <v>48760</v>
      </c>
      <c r="AR32" s="34">
        <f t="shared" si="5"/>
        <v>48944</v>
      </c>
      <c r="AS32" s="34">
        <f t="shared" si="5"/>
        <v>49125</v>
      </c>
      <c r="AT32" s="34">
        <f t="shared" si="5"/>
        <v>49309</v>
      </c>
    </row>
    <row r="33" spans="2:46" x14ac:dyDescent="0.25">
      <c r="B33" s="7"/>
      <c r="C33" s="21"/>
      <c r="D33" s="35"/>
      <c r="E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2:46" x14ac:dyDescent="0.25">
      <c r="B34" s="7"/>
      <c r="C34" s="21" t="s">
        <v>10</v>
      </c>
      <c r="D34" s="35"/>
      <c r="E34" s="35"/>
      <c r="F34" s="25"/>
      <c r="G34" s="37">
        <f>IF(AND(G32&gt;Settlement_Date,OR(G32&lt;=Maturity_Date,AND(Maturity_Date&gt;F32,Maturity_Date&lt;=G32))),+Coupon_Rate*Bond_Par_Value/Num_Coupons,0)</f>
        <v>0</v>
      </c>
      <c r="H34" s="37">
        <f t="shared" ref="H34:AT34" si="6">IF(AND(H32&gt;Settlement_Date,OR(H32&lt;=Maturity_Date,AND(Maturity_Date&gt;G32,Maturity_Date&lt;=H32))),+Coupon_Rate*Bond_Par_Value/Num_Coupons,0)</f>
        <v>17.5</v>
      </c>
      <c r="I34" s="37">
        <f t="shared" si="6"/>
        <v>17.5</v>
      </c>
      <c r="J34" s="37">
        <f t="shared" si="6"/>
        <v>17.5</v>
      </c>
      <c r="K34" s="37">
        <f t="shared" si="6"/>
        <v>17.5</v>
      </c>
      <c r="L34" s="37">
        <f t="shared" si="6"/>
        <v>17.5</v>
      </c>
      <c r="M34" s="37">
        <f t="shared" si="6"/>
        <v>17.5</v>
      </c>
      <c r="N34" s="37">
        <f t="shared" si="6"/>
        <v>17.5</v>
      </c>
      <c r="O34" s="37">
        <f t="shared" si="6"/>
        <v>17.5</v>
      </c>
      <c r="P34" s="37">
        <f t="shared" si="6"/>
        <v>17.5</v>
      </c>
      <c r="Q34" s="37">
        <f t="shared" si="6"/>
        <v>17.5</v>
      </c>
      <c r="R34" s="37">
        <f t="shared" si="6"/>
        <v>17.5</v>
      </c>
      <c r="S34" s="37">
        <f t="shared" si="6"/>
        <v>17.5</v>
      </c>
      <c r="T34" s="37">
        <f t="shared" si="6"/>
        <v>17.5</v>
      </c>
      <c r="U34" s="37">
        <f t="shared" si="6"/>
        <v>17.5</v>
      </c>
      <c r="V34" s="37">
        <f t="shared" si="6"/>
        <v>17.5</v>
      </c>
      <c r="W34" s="37">
        <f t="shared" si="6"/>
        <v>17.5</v>
      </c>
      <c r="X34" s="37">
        <f t="shared" si="6"/>
        <v>17.5</v>
      </c>
      <c r="Y34" s="37">
        <f t="shared" si="6"/>
        <v>17.5</v>
      </c>
      <c r="Z34" s="37">
        <f t="shared" si="6"/>
        <v>0</v>
      </c>
      <c r="AA34" s="37">
        <f t="shared" si="6"/>
        <v>0</v>
      </c>
      <c r="AB34" s="37">
        <f t="shared" si="6"/>
        <v>0</v>
      </c>
      <c r="AC34" s="37">
        <f t="shared" si="6"/>
        <v>0</v>
      </c>
      <c r="AD34" s="37">
        <f t="shared" si="6"/>
        <v>0</v>
      </c>
      <c r="AE34" s="37">
        <f t="shared" si="6"/>
        <v>0</v>
      </c>
      <c r="AF34" s="37">
        <f t="shared" si="6"/>
        <v>0</v>
      </c>
      <c r="AG34" s="37">
        <f t="shared" si="6"/>
        <v>0</v>
      </c>
      <c r="AH34" s="37">
        <f t="shared" si="6"/>
        <v>0</v>
      </c>
      <c r="AI34" s="37">
        <f t="shared" si="6"/>
        <v>0</v>
      </c>
      <c r="AJ34" s="37">
        <f t="shared" si="6"/>
        <v>0</v>
      </c>
      <c r="AK34" s="37">
        <f t="shared" si="6"/>
        <v>0</v>
      </c>
      <c r="AL34" s="37">
        <f t="shared" si="6"/>
        <v>0</v>
      </c>
      <c r="AM34" s="37">
        <f t="shared" si="6"/>
        <v>0</v>
      </c>
      <c r="AN34" s="37">
        <f t="shared" si="6"/>
        <v>0</v>
      </c>
      <c r="AO34" s="37">
        <f t="shared" si="6"/>
        <v>0</v>
      </c>
      <c r="AP34" s="37">
        <f t="shared" si="6"/>
        <v>0</v>
      </c>
      <c r="AQ34" s="37">
        <f t="shared" si="6"/>
        <v>0</v>
      </c>
      <c r="AR34" s="37">
        <f t="shared" si="6"/>
        <v>0</v>
      </c>
      <c r="AS34" s="37">
        <f t="shared" si="6"/>
        <v>0</v>
      </c>
      <c r="AT34" s="37">
        <f t="shared" si="6"/>
        <v>0</v>
      </c>
    </row>
    <row r="35" spans="2:46" x14ac:dyDescent="0.25">
      <c r="B35" s="7"/>
      <c r="C35" s="21" t="s">
        <v>11</v>
      </c>
      <c r="D35" s="35"/>
      <c r="E35" s="35"/>
      <c r="F35" s="25"/>
      <c r="G35" s="25">
        <f t="shared" ref="G35:AT35" si="7">IF(AND(Maturity_Date&gt;F32,Maturity_Date&lt;=G32),Bond_Par_Value,0)</f>
        <v>0</v>
      </c>
      <c r="H35" s="25">
        <f t="shared" si="7"/>
        <v>0</v>
      </c>
      <c r="I35" s="25">
        <f t="shared" si="7"/>
        <v>0</v>
      </c>
      <c r="J35" s="25">
        <f t="shared" si="7"/>
        <v>0</v>
      </c>
      <c r="K35" s="25">
        <f t="shared" si="7"/>
        <v>0</v>
      </c>
      <c r="L35" s="25">
        <f t="shared" si="7"/>
        <v>0</v>
      </c>
      <c r="M35" s="25">
        <f t="shared" si="7"/>
        <v>0</v>
      </c>
      <c r="N35" s="25">
        <f t="shared" si="7"/>
        <v>0</v>
      </c>
      <c r="O35" s="25">
        <f t="shared" si="7"/>
        <v>0</v>
      </c>
      <c r="P35" s="25">
        <f t="shared" si="7"/>
        <v>0</v>
      </c>
      <c r="Q35" s="25">
        <f t="shared" si="7"/>
        <v>0</v>
      </c>
      <c r="R35" s="25">
        <f t="shared" si="7"/>
        <v>0</v>
      </c>
      <c r="S35" s="25">
        <f t="shared" si="7"/>
        <v>0</v>
      </c>
      <c r="T35" s="25">
        <f t="shared" si="7"/>
        <v>0</v>
      </c>
      <c r="U35" s="25">
        <f t="shared" si="7"/>
        <v>0</v>
      </c>
      <c r="V35" s="25">
        <f t="shared" si="7"/>
        <v>0</v>
      </c>
      <c r="W35" s="25">
        <f t="shared" si="7"/>
        <v>0</v>
      </c>
      <c r="X35" s="25">
        <f t="shared" si="7"/>
        <v>0</v>
      </c>
      <c r="Y35" s="25">
        <f t="shared" si="7"/>
        <v>500</v>
      </c>
      <c r="Z35" s="25">
        <f t="shared" si="7"/>
        <v>0</v>
      </c>
      <c r="AA35" s="25">
        <f t="shared" si="7"/>
        <v>0</v>
      </c>
      <c r="AB35" s="25">
        <f t="shared" si="7"/>
        <v>0</v>
      </c>
      <c r="AC35" s="25">
        <f t="shared" si="7"/>
        <v>0</v>
      </c>
      <c r="AD35" s="25">
        <f t="shared" si="7"/>
        <v>0</v>
      </c>
      <c r="AE35" s="25">
        <f t="shared" si="7"/>
        <v>0</v>
      </c>
      <c r="AF35" s="25">
        <f t="shared" si="7"/>
        <v>0</v>
      </c>
      <c r="AG35" s="25">
        <f t="shared" si="7"/>
        <v>0</v>
      </c>
      <c r="AH35" s="25">
        <f t="shared" si="7"/>
        <v>0</v>
      </c>
      <c r="AI35" s="25">
        <f t="shared" si="7"/>
        <v>0</v>
      </c>
      <c r="AJ35" s="25">
        <f t="shared" si="7"/>
        <v>0</v>
      </c>
      <c r="AK35" s="25">
        <f t="shared" si="7"/>
        <v>0</v>
      </c>
      <c r="AL35" s="25">
        <f t="shared" si="7"/>
        <v>0</v>
      </c>
      <c r="AM35" s="25">
        <f t="shared" si="7"/>
        <v>0</v>
      </c>
      <c r="AN35" s="25">
        <f t="shared" si="7"/>
        <v>0</v>
      </c>
      <c r="AO35" s="25">
        <f t="shared" si="7"/>
        <v>0</v>
      </c>
      <c r="AP35" s="25">
        <f t="shared" si="7"/>
        <v>0</v>
      </c>
      <c r="AQ35" s="25">
        <f t="shared" si="7"/>
        <v>0</v>
      </c>
      <c r="AR35" s="25">
        <f t="shared" si="7"/>
        <v>0</v>
      </c>
      <c r="AS35" s="25">
        <f t="shared" si="7"/>
        <v>0</v>
      </c>
      <c r="AT35" s="25">
        <f t="shared" si="7"/>
        <v>0</v>
      </c>
    </row>
    <row r="36" spans="2:46" x14ac:dyDescent="0.25">
      <c r="B36" s="7"/>
      <c r="C36" s="38" t="s">
        <v>30</v>
      </c>
      <c r="D36" s="39"/>
      <c r="E36" s="40"/>
      <c r="F36" s="46"/>
      <c r="G36" s="41">
        <f>SUM(G34:G35)</f>
        <v>0</v>
      </c>
      <c r="H36" s="41">
        <f t="shared" ref="H36:AT36" si="8">SUM(H34:H35)</f>
        <v>17.5</v>
      </c>
      <c r="I36" s="41">
        <f t="shared" si="8"/>
        <v>17.5</v>
      </c>
      <c r="J36" s="41">
        <f t="shared" si="8"/>
        <v>17.5</v>
      </c>
      <c r="K36" s="41">
        <f t="shared" si="8"/>
        <v>17.5</v>
      </c>
      <c r="L36" s="41">
        <f t="shared" si="8"/>
        <v>17.5</v>
      </c>
      <c r="M36" s="41">
        <f t="shared" si="8"/>
        <v>17.5</v>
      </c>
      <c r="N36" s="41">
        <f t="shared" si="8"/>
        <v>17.5</v>
      </c>
      <c r="O36" s="41">
        <f t="shared" si="8"/>
        <v>17.5</v>
      </c>
      <c r="P36" s="41">
        <f t="shared" si="8"/>
        <v>17.5</v>
      </c>
      <c r="Q36" s="41">
        <f t="shared" si="8"/>
        <v>17.5</v>
      </c>
      <c r="R36" s="41">
        <f t="shared" si="8"/>
        <v>17.5</v>
      </c>
      <c r="S36" s="41">
        <f t="shared" si="8"/>
        <v>17.5</v>
      </c>
      <c r="T36" s="41">
        <f t="shared" si="8"/>
        <v>17.5</v>
      </c>
      <c r="U36" s="41">
        <f t="shared" si="8"/>
        <v>17.5</v>
      </c>
      <c r="V36" s="41">
        <f t="shared" si="8"/>
        <v>17.5</v>
      </c>
      <c r="W36" s="41">
        <f t="shared" si="8"/>
        <v>17.5</v>
      </c>
      <c r="X36" s="41">
        <f t="shared" si="8"/>
        <v>17.5</v>
      </c>
      <c r="Y36" s="41">
        <f t="shared" si="8"/>
        <v>517.5</v>
      </c>
      <c r="Z36" s="41">
        <f t="shared" si="8"/>
        <v>0</v>
      </c>
      <c r="AA36" s="41">
        <f t="shared" si="8"/>
        <v>0</v>
      </c>
      <c r="AB36" s="41">
        <f t="shared" si="8"/>
        <v>0</v>
      </c>
      <c r="AC36" s="41">
        <f t="shared" si="8"/>
        <v>0</v>
      </c>
      <c r="AD36" s="41">
        <f t="shared" si="8"/>
        <v>0</v>
      </c>
      <c r="AE36" s="41">
        <f t="shared" si="8"/>
        <v>0</v>
      </c>
      <c r="AF36" s="41">
        <f t="shared" si="8"/>
        <v>0</v>
      </c>
      <c r="AG36" s="41">
        <f t="shared" si="8"/>
        <v>0</v>
      </c>
      <c r="AH36" s="41">
        <f t="shared" si="8"/>
        <v>0</v>
      </c>
      <c r="AI36" s="41">
        <f t="shared" si="8"/>
        <v>0</v>
      </c>
      <c r="AJ36" s="41">
        <f t="shared" si="8"/>
        <v>0</v>
      </c>
      <c r="AK36" s="41">
        <f t="shared" si="8"/>
        <v>0</v>
      </c>
      <c r="AL36" s="41">
        <f t="shared" si="8"/>
        <v>0</v>
      </c>
      <c r="AM36" s="41">
        <f t="shared" si="8"/>
        <v>0</v>
      </c>
      <c r="AN36" s="41">
        <f t="shared" si="8"/>
        <v>0</v>
      </c>
      <c r="AO36" s="41">
        <f t="shared" si="8"/>
        <v>0</v>
      </c>
      <c r="AP36" s="41">
        <f t="shared" si="8"/>
        <v>0</v>
      </c>
      <c r="AQ36" s="41">
        <f t="shared" si="8"/>
        <v>0</v>
      </c>
      <c r="AR36" s="41">
        <f t="shared" si="8"/>
        <v>0</v>
      </c>
      <c r="AS36" s="41">
        <f t="shared" si="8"/>
        <v>0</v>
      </c>
      <c r="AT36" s="41">
        <f t="shared" si="8"/>
        <v>0</v>
      </c>
    </row>
    <row r="37" spans="2:46" x14ac:dyDescent="0.25">
      <c r="B37" s="7"/>
      <c r="C37" s="42"/>
      <c r="E37" s="43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2:46" x14ac:dyDescent="0.25">
      <c r="B38" s="7"/>
      <c r="C38" s="21" t="s">
        <v>31</v>
      </c>
      <c r="E38" s="43"/>
      <c r="F38" s="7"/>
      <c r="G38" s="47">
        <f t="shared" ref="G38:AT38" si="9">IF(G32&gt;Settlement_Date,(1+Discount_Rate/Num_Coupons)^G29,0)</f>
        <v>0</v>
      </c>
      <c r="H38" s="47">
        <f t="shared" si="9"/>
        <v>1.03</v>
      </c>
      <c r="I38" s="47">
        <f t="shared" si="9"/>
        <v>1.0609</v>
      </c>
      <c r="J38" s="47">
        <f t="shared" si="9"/>
        <v>1.092727</v>
      </c>
      <c r="K38" s="47">
        <f t="shared" si="9"/>
        <v>1.1255088099999999</v>
      </c>
      <c r="L38" s="47">
        <f t="shared" si="9"/>
        <v>1.1592740742999998</v>
      </c>
      <c r="M38" s="47">
        <f t="shared" si="9"/>
        <v>1.1940522965289999</v>
      </c>
      <c r="N38" s="47">
        <f t="shared" si="9"/>
        <v>1.22987386542487</v>
      </c>
      <c r="O38" s="47">
        <f t="shared" si="9"/>
        <v>1.2667700813876159</v>
      </c>
      <c r="P38" s="47">
        <f t="shared" si="9"/>
        <v>1.3047731838292445</v>
      </c>
      <c r="Q38" s="47">
        <f t="shared" si="9"/>
        <v>1.3439163793441218</v>
      </c>
      <c r="R38" s="47">
        <f t="shared" si="9"/>
        <v>1.3842338707244455</v>
      </c>
      <c r="S38" s="47">
        <f t="shared" si="9"/>
        <v>1.4257608868461786</v>
      </c>
      <c r="T38" s="47">
        <f t="shared" si="9"/>
        <v>1.4685337134515639</v>
      </c>
      <c r="U38" s="47">
        <f t="shared" si="9"/>
        <v>1.512589724855111</v>
      </c>
      <c r="V38" s="47">
        <f t="shared" si="9"/>
        <v>1.5579674166007644</v>
      </c>
      <c r="W38" s="47">
        <f t="shared" si="9"/>
        <v>1.6047064390987871</v>
      </c>
      <c r="X38" s="47">
        <f t="shared" si="9"/>
        <v>1.6528476322717507</v>
      </c>
      <c r="Y38" s="47">
        <f t="shared" si="9"/>
        <v>1.7024330612399032</v>
      </c>
      <c r="Z38" s="47">
        <f t="shared" si="9"/>
        <v>1.7535060530771003</v>
      </c>
      <c r="AA38" s="47">
        <f t="shared" si="9"/>
        <v>1.8061112346694133</v>
      </c>
      <c r="AB38" s="47">
        <f t="shared" si="9"/>
        <v>1.8602945717094954</v>
      </c>
      <c r="AC38" s="47">
        <f t="shared" si="9"/>
        <v>1.9161034088607805</v>
      </c>
      <c r="AD38" s="47">
        <f t="shared" si="9"/>
        <v>1.973586511126604</v>
      </c>
      <c r="AE38" s="47">
        <f t="shared" si="9"/>
        <v>2.0327941064604018</v>
      </c>
      <c r="AF38" s="47">
        <f t="shared" si="9"/>
        <v>2.0937779296542138</v>
      </c>
      <c r="AG38" s="47">
        <f t="shared" si="9"/>
        <v>2.1565912675438406</v>
      </c>
      <c r="AH38" s="47">
        <f t="shared" si="9"/>
        <v>2.2212890055701555</v>
      </c>
      <c r="AI38" s="47">
        <f t="shared" si="9"/>
        <v>2.2879276757372602</v>
      </c>
      <c r="AJ38" s="47">
        <f t="shared" si="9"/>
        <v>2.3565655060093778</v>
      </c>
      <c r="AK38" s="47">
        <f t="shared" si="9"/>
        <v>2.4272624711896591</v>
      </c>
      <c r="AL38" s="47">
        <f t="shared" si="9"/>
        <v>2.5000803453253493</v>
      </c>
      <c r="AM38" s="47">
        <f t="shared" si="9"/>
        <v>2.5750827556851092</v>
      </c>
      <c r="AN38" s="47">
        <f t="shared" si="9"/>
        <v>2.6523352383556626</v>
      </c>
      <c r="AO38" s="47">
        <f t="shared" si="9"/>
        <v>2.7319052955063321</v>
      </c>
      <c r="AP38" s="47">
        <f t="shared" si="9"/>
        <v>2.8138624543715225</v>
      </c>
      <c r="AQ38" s="47">
        <f t="shared" si="9"/>
        <v>2.898278328002668</v>
      </c>
      <c r="AR38" s="47">
        <f t="shared" si="9"/>
        <v>2.9852266778427476</v>
      </c>
      <c r="AS38" s="47">
        <f t="shared" si="9"/>
        <v>3.0747834781780301</v>
      </c>
      <c r="AT38" s="47">
        <f t="shared" si="9"/>
        <v>3.1670269825233714</v>
      </c>
    </row>
    <row r="39" spans="2:46" x14ac:dyDescent="0.25">
      <c r="B39" s="7"/>
      <c r="C39" s="42"/>
      <c r="E39" s="43"/>
      <c r="F39" s="26"/>
      <c r="G39" s="7"/>
      <c r="H39" s="7"/>
      <c r="I39" s="7"/>
      <c r="J39" s="7"/>
      <c r="K39" s="7"/>
      <c r="L39" s="7"/>
      <c r="M39" s="7"/>
      <c r="N39" s="7"/>
      <c r="O39" s="7"/>
    </row>
    <row r="40" spans="2:46" x14ac:dyDescent="0.25">
      <c r="B40" s="7"/>
      <c r="C40" s="21" t="s">
        <v>32</v>
      </c>
      <c r="D40" s="7"/>
      <c r="E40" s="7"/>
      <c r="G40" s="25">
        <f t="shared" ref="G40:AT40" si="10">IF(G32&gt;Settlement_Date,+G36/G38,0)</f>
        <v>0</v>
      </c>
      <c r="H40" s="25">
        <f t="shared" si="10"/>
        <v>16.990291262135923</v>
      </c>
      <c r="I40" s="25">
        <f t="shared" si="10"/>
        <v>16.495428409840702</v>
      </c>
      <c r="J40" s="25">
        <f t="shared" si="10"/>
        <v>16.014979038680291</v>
      </c>
      <c r="K40" s="25">
        <f t="shared" si="10"/>
        <v>15.548523338524557</v>
      </c>
      <c r="L40" s="25">
        <f t="shared" si="10"/>
        <v>15.095653726722873</v>
      </c>
      <c r="M40" s="25">
        <f t="shared" si="10"/>
        <v>14.655974491963953</v>
      </c>
      <c r="N40" s="25">
        <f t="shared" si="10"/>
        <v>14.229101448508692</v>
      </c>
      <c r="O40" s="25">
        <f t="shared" si="10"/>
        <v>13.814661600493876</v>
      </c>
      <c r="P40" s="25">
        <f t="shared" si="10"/>
        <v>13.412292816013471</v>
      </c>
      <c r="Q40" s="25">
        <f t="shared" si="10"/>
        <v>13.021643510692691</v>
      </c>
      <c r="R40" s="25">
        <f t="shared" si="10"/>
        <v>12.642372340478341</v>
      </c>
      <c r="S40" s="25">
        <f t="shared" si="10"/>
        <v>12.274147903377031</v>
      </c>
      <c r="T40" s="25">
        <f t="shared" si="10"/>
        <v>11.916648449880613</v>
      </c>
      <c r="U40" s="25">
        <f t="shared" si="10"/>
        <v>11.569561601825837</v>
      </c>
      <c r="V40" s="25">
        <f t="shared" si="10"/>
        <v>11.23258407944256</v>
      </c>
      <c r="W40" s="25">
        <f t="shared" si="10"/>
        <v>10.905421436352002</v>
      </c>
      <c r="X40" s="25">
        <f t="shared" si="10"/>
        <v>10.587787802283497</v>
      </c>
      <c r="Y40" s="25">
        <f t="shared" si="10"/>
        <v>303.97670944142629</v>
      </c>
      <c r="Z40" s="25">
        <f t="shared" si="10"/>
        <v>0</v>
      </c>
      <c r="AA40" s="25">
        <f t="shared" si="10"/>
        <v>0</v>
      </c>
      <c r="AB40" s="25">
        <f t="shared" si="10"/>
        <v>0</v>
      </c>
      <c r="AC40" s="25">
        <f t="shared" si="10"/>
        <v>0</v>
      </c>
      <c r="AD40" s="25">
        <f t="shared" si="10"/>
        <v>0</v>
      </c>
      <c r="AE40" s="25">
        <f t="shared" si="10"/>
        <v>0</v>
      </c>
      <c r="AF40" s="25">
        <f t="shared" si="10"/>
        <v>0</v>
      </c>
      <c r="AG40" s="25">
        <f t="shared" si="10"/>
        <v>0</v>
      </c>
      <c r="AH40" s="25">
        <f t="shared" si="10"/>
        <v>0</v>
      </c>
      <c r="AI40" s="25">
        <f t="shared" si="10"/>
        <v>0</v>
      </c>
      <c r="AJ40" s="25">
        <f t="shared" si="10"/>
        <v>0</v>
      </c>
      <c r="AK40" s="25">
        <f t="shared" si="10"/>
        <v>0</v>
      </c>
      <c r="AL40" s="25">
        <f t="shared" si="10"/>
        <v>0</v>
      </c>
      <c r="AM40" s="25">
        <f t="shared" si="10"/>
        <v>0</v>
      </c>
      <c r="AN40" s="25">
        <f t="shared" si="10"/>
        <v>0</v>
      </c>
      <c r="AO40" s="25">
        <f t="shared" si="10"/>
        <v>0</v>
      </c>
      <c r="AP40" s="25">
        <f t="shared" si="10"/>
        <v>0</v>
      </c>
      <c r="AQ40" s="25">
        <f t="shared" si="10"/>
        <v>0</v>
      </c>
      <c r="AR40" s="25">
        <f t="shared" si="10"/>
        <v>0</v>
      </c>
      <c r="AS40" s="25">
        <f t="shared" si="10"/>
        <v>0</v>
      </c>
      <c r="AT40" s="25">
        <f t="shared" si="10"/>
        <v>0</v>
      </c>
    </row>
  </sheetData>
  <dataValidations count="4">
    <dataValidation type="whole" allowBlank="1" showInputMessage="1" showErrorMessage="1" errorTitle="Error Msg" error="Please input a value of 0 or 1 ONLY." sqref="G18:AT18 G25:AT25" xr:uid="{00000000-0002-0000-0000-000000000000}">
      <formula1>0</formula1>
      <formula2>1</formula2>
    </dataValidation>
    <dataValidation type="whole" allowBlank="1" showInputMessage="1" showErrorMessage="1" sqref="F9" xr:uid="{00000000-0002-0000-0000-000001000000}">
      <formula1>1</formula1>
      <formula2>4</formula2>
    </dataValidation>
    <dataValidation type="time" allowBlank="1" showInputMessage="1" showErrorMessage="1" sqref="F16" xr:uid="{00000000-0002-0000-0000-000002000000}">
      <formula1>F32</formula1>
      <formula2>Z32</formula2>
    </dataValidation>
    <dataValidation type="date" allowBlank="1" showInputMessage="1" showErrorMessage="1" sqref="F10" xr:uid="{00000000-0002-0000-0000-000003000000}">
      <formula1>F32</formula1>
      <formula2>P32</formula2>
    </dataValidation>
  </dataValidations>
  <pageMargins left="0.7" right="0.7" top="0.75" bottom="0.75" header="0.3" footer="0.3"/>
  <pageSetup paperSize="9" scale="3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Bonds-Calls-Puts</vt:lpstr>
      <vt:lpstr>'Bonds-Calls-Puts'!Bond_Par_Value</vt:lpstr>
      <vt:lpstr>'Bonds-Calls-Puts'!Bond_Price</vt:lpstr>
      <vt:lpstr>'Bonds-Calls-Puts'!Coupon_Rate</vt:lpstr>
      <vt:lpstr>'Bonds-Calls-Puts'!Dirty_Bond_Price</vt:lpstr>
      <vt:lpstr>'Bonds-Calls-Puts'!Discount_Rate</vt:lpstr>
      <vt:lpstr>'Bonds-Calls-Puts'!Last_Coupon_Date</vt:lpstr>
      <vt:lpstr>'Bonds-Calls-Puts'!Maturity_Date</vt:lpstr>
      <vt:lpstr>'Bonds-Calls-Puts'!Num_Coupons</vt:lpstr>
      <vt:lpstr>'Bonds-Calls-Puts'!Print_Area</vt:lpstr>
      <vt:lpstr>'Bonds-Calls-Puts'!Settlement_Date</vt:lpstr>
      <vt:lpstr>'Bonds-Calls-Puts'!YTM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