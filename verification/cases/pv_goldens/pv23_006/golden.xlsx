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bookViews>
    <workbookView xWindow="-12900" yWindow="-19940" windowWidth="38400" windowHeight="21100" activeTab="13" xr2:uid="{00000000-000D-0000-FFFF-FFFF00000000}"/>
  </bookViews>
  <sheets>
    <sheet name="COMPS" sheetId="3" r:id="rId1"/>
    <sheet name="REVENUE" sheetId="4" r:id="rId2"/>
    <sheet name="COST OF REV" sheetId="5" r:id="rId3"/>
    <sheet name="OPER EXP" sheetId="6" r:id="rId4"/>
    <sheet name="PERSONNEL" sheetId="7" r:id="rId5"/>
    <sheet name="EXTRA" sheetId="8" r:id="rId6"/>
    <sheet name="TAXES" sheetId="9" r:id="rId7"/>
    <sheet name="PROP &amp; EQUIP" sheetId="10" r:id="rId8"/>
    <sheet name="WORKCAP" sheetId="11" r:id="rId9"/>
    <sheet name="FUNDING" sheetId="12" r:id="rId10"/>
    <sheet name="INCOME" sheetId="13" r:id="rId11"/>
    <sheet name="BALANCE" sheetId="14" r:id="rId12"/>
    <sheet name="CASHFLOW" sheetId="15" r:id="rId13"/>
    <sheet name="BREAKEVEN" sheetId="16" r:id="rId14"/>
    <sheet name="INCOME-MOS" sheetId="17" r:id="rId15"/>
    <sheet name="CASHFLOW-MOS" sheetId="18" r:id="rId16"/>
    <sheet name="Sheet1" sheetId="22" r:id="rId17"/>
    <sheet name="SUMMARY" sheetId="19" r:id="rId18"/>
    <sheet name="VAL-1" sheetId="20" r:id="rId19"/>
    <sheet name="VAL-2" sheetId="21" r:id="rId20"/>
  </sheets>
  <definedNames>
    <definedName name="AP" localSheetId="8">WORKCAP!$C$31:$G$31</definedName>
    <definedName name="AP_CHANGE" localSheetId="8">WORKCAP!$C$32:$G$32</definedName>
    <definedName name="AR" localSheetId="8">WORKCAP!$C$12:$G$12</definedName>
    <definedName name="AR_CHANGE" localSheetId="8">WORKCAP!$C$13:$G$13</definedName>
    <definedName name="ARdata">WORKCAP!$A$67:$G$78</definedName>
    <definedName name="ARMonths">WORKCAP!$A$67:$A$78</definedName>
    <definedName name="CAP_EXPEND" localSheetId="7">'PROP &amp; EQUIP'!$C$13:$G$13</definedName>
    <definedName name="Cash_Begin" localSheetId="11">#REF!</definedName>
    <definedName name="Cash_Begin" localSheetId="15">'CASHFLOW-MOS'!#REF!</definedName>
    <definedName name="DEPRECIATION" localSheetId="7">'PROP &amp; EQUIP'!$C$34:$G$34</definedName>
    <definedName name="EARNINGS_BEFORE_INTEREST___TAXES" localSheetId="15">'CASHFLOW-MOS'!#REF!</definedName>
    <definedName name="EARNINGS_BEFORE_INTEREST___TAXES" localSheetId="14">'INCOME-MOS'!$B$27</definedName>
    <definedName name="EXTR_INC_EXCL_INT_INCOME" localSheetId="5">EXTRA!$C$21:$G$21</definedName>
    <definedName name="FUNDINGf14">#REF!</definedName>
    <definedName name="INC_TAX_CHANGE" localSheetId="8">WORKCAP!$C$38:$G$38</definedName>
    <definedName name="INC_TAX_LIAB" localSheetId="8">WORKCAP!$C$37:$G$37</definedName>
    <definedName name="INC_TAX_RATE" localSheetId="6">TAXES!$C$9:$G$9</definedName>
    <definedName name="INV" localSheetId="8">WORKCAP!$C$19:$G$19</definedName>
    <definedName name="INV_CHANGE" localSheetId="8">WORKCAP!$C$20:$G$20</definedName>
    <definedName name="investment">'VAL-2'!$B$8</definedName>
    <definedName name="Name" localSheetId="15">REVENUE!$A$1</definedName>
    <definedName name="Name" localSheetId="14">REVENUE!$A$1</definedName>
    <definedName name="NET_EARNINGS" localSheetId="14">'INCOME-MOS'!$B$35</definedName>
    <definedName name="NET_PL_EQUIP" localSheetId="7">'PROP &amp; EQUIP'!$C$53:$G$53</definedName>
    <definedName name="OTHER_CA" localSheetId="8">WORKCAP!$C$25:$G$25</definedName>
    <definedName name="OTHER_CA_CHANGE" localSheetId="8">WORKCAP!$C$26:$G$26</definedName>
    <definedName name="PE">'VAL-2'!$B$7</definedName>
    <definedName name="Rate">'VAL-2'!$B$6</definedName>
    <definedName name="TAXES" localSheetId="14">'INCOME-MOS'!$B$33</definedName>
    <definedName name="TOT_EXTR_INC_EXP" localSheetId="5">EXTRA!$C$16:$G$16</definedName>
    <definedName name="TOTAL_COG" localSheetId="8">WORKCAP!$C$28:$G$28</definedName>
    <definedName name="WORK_CAP_CHANGE" localSheetId="8">WORKCAP!$C$40:$G$40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4" l="1"/>
  <c r="N1" i="7"/>
  <c r="E25" i="4"/>
  <c r="C25" i="4"/>
  <c r="D13" i="12"/>
  <c r="D14" i="12" s="1"/>
  <c r="C13" i="12"/>
  <c r="C29" i="14" s="1"/>
  <c r="B13" i="12"/>
  <c r="D29" i="14"/>
  <c r="E13" i="12"/>
  <c r="E14" i="12" s="1"/>
  <c r="F13" i="12"/>
  <c r="F29" i="14" s="1"/>
  <c r="G13" i="12"/>
  <c r="G15" i="12" s="1"/>
  <c r="G9" i="12"/>
  <c r="F9" i="12"/>
  <c r="E9" i="12"/>
  <c r="D9" i="12"/>
  <c r="D26" i="15" s="1"/>
  <c r="O67" i="18" s="1"/>
  <c r="C9" i="12"/>
  <c r="B15" i="12"/>
  <c r="D76" i="10"/>
  <c r="E76" i="10"/>
  <c r="F76" i="10"/>
  <c r="J95" i="18" s="1"/>
  <c r="J97" i="18" s="1"/>
  <c r="G76" i="10"/>
  <c r="O95" i="18" s="1"/>
  <c r="O97" i="18" s="1"/>
  <c r="D72" i="10"/>
  <c r="E72" i="10"/>
  <c r="D95" i="18" s="1"/>
  <c r="D97" i="18" s="1"/>
  <c r="F72" i="10"/>
  <c r="I95" i="18" s="1"/>
  <c r="I97" i="18" s="1"/>
  <c r="G72" i="10"/>
  <c r="N95" i="18" s="1"/>
  <c r="N97" i="18" s="1"/>
  <c r="D64" i="10"/>
  <c r="E64" i="10"/>
  <c r="B95" i="18" s="1"/>
  <c r="B97" i="18" s="1"/>
  <c r="F64" i="10"/>
  <c r="G95" i="18" s="1"/>
  <c r="G97" i="18" s="1"/>
  <c r="G64" i="10"/>
  <c r="L95" i="18" s="1"/>
  <c r="L97" i="18" s="1"/>
  <c r="D68" i="10"/>
  <c r="E68" i="10"/>
  <c r="C95" i="18" s="1"/>
  <c r="F68" i="10"/>
  <c r="H95" i="18" s="1"/>
  <c r="H97" i="18" s="1"/>
  <c r="G68" i="10"/>
  <c r="M95" i="18" s="1"/>
  <c r="M97" i="18" s="1"/>
  <c r="C68" i="10"/>
  <c r="C64" i="10"/>
  <c r="C72" i="10"/>
  <c r="C76" i="10"/>
  <c r="G13" i="10"/>
  <c r="E26" i="8"/>
  <c r="F26" i="8"/>
  <c r="H92" i="17" s="1"/>
  <c r="G26" i="8"/>
  <c r="M92" i="17" s="1"/>
  <c r="D34" i="8"/>
  <c r="E34" i="8"/>
  <c r="E92" i="17" s="1"/>
  <c r="F34" i="8"/>
  <c r="J92" i="17" s="1"/>
  <c r="G34" i="8"/>
  <c r="O92" i="17" s="1"/>
  <c r="E30" i="8"/>
  <c r="F30" i="8"/>
  <c r="G30" i="8"/>
  <c r="D23" i="8"/>
  <c r="C58" i="17" s="1"/>
  <c r="D25" i="17"/>
  <c r="C25" i="17"/>
  <c r="C13" i="4"/>
  <c r="C9" i="4"/>
  <c r="D18" i="21"/>
  <c r="D24" i="21" s="1"/>
  <c r="D26" i="21" s="1"/>
  <c r="C18" i="21"/>
  <c r="C24" i="21" s="1"/>
  <c r="B18" i="21"/>
  <c r="B24" i="21" s="1"/>
  <c r="D17" i="21"/>
  <c r="C17" i="21"/>
  <c r="B17" i="21"/>
  <c r="J27" i="20"/>
  <c r="J26" i="20"/>
  <c r="J25" i="20"/>
  <c r="J24" i="20"/>
  <c r="J23" i="20"/>
  <c r="J18" i="20"/>
  <c r="E18" i="20"/>
  <c r="J17" i="20"/>
  <c r="E17" i="20"/>
  <c r="J16" i="20"/>
  <c r="E16" i="20"/>
  <c r="J15" i="20"/>
  <c r="E15" i="20"/>
  <c r="J14" i="20"/>
  <c r="E14" i="20"/>
  <c r="G15" i="19"/>
  <c r="F15" i="19"/>
  <c r="E15" i="19"/>
  <c r="D15" i="19"/>
  <c r="C15" i="19"/>
  <c r="N106" i="18"/>
  <c r="M106" i="18"/>
  <c r="I106" i="18"/>
  <c r="H106" i="18"/>
  <c r="D106" i="18"/>
  <c r="C106" i="18"/>
  <c r="O105" i="18"/>
  <c r="P105" i="18" s="1"/>
  <c r="J105" i="18"/>
  <c r="K105" i="18" s="1"/>
  <c r="E105" i="18"/>
  <c r="F105" i="18" s="1"/>
  <c r="S96" i="18"/>
  <c r="R96" i="18"/>
  <c r="Q96" i="18"/>
  <c r="K96" i="18"/>
  <c r="F96" i="18"/>
  <c r="E95" i="18"/>
  <c r="E97" i="18" s="1"/>
  <c r="O71" i="18"/>
  <c r="L70" i="18"/>
  <c r="K70" i="18"/>
  <c r="J70" i="18"/>
  <c r="I70" i="18"/>
  <c r="H70" i="18"/>
  <c r="G70" i="18"/>
  <c r="F70" i="18"/>
  <c r="E70" i="18"/>
  <c r="D70" i="18"/>
  <c r="C70" i="18"/>
  <c r="M69" i="18"/>
  <c r="N69" i="18" s="1"/>
  <c r="O63" i="18"/>
  <c r="O62" i="18"/>
  <c r="O60" i="18"/>
  <c r="N60" i="18"/>
  <c r="M59" i="18"/>
  <c r="M61" i="18" s="1"/>
  <c r="L59" i="18"/>
  <c r="L61" i="18" s="1"/>
  <c r="K59" i="18"/>
  <c r="K61" i="18" s="1"/>
  <c r="J59" i="18"/>
  <c r="J61" i="18" s="1"/>
  <c r="I59" i="18"/>
  <c r="I61" i="18" s="1"/>
  <c r="H59" i="18"/>
  <c r="H61" i="18" s="1"/>
  <c r="G59" i="18"/>
  <c r="G61" i="18" s="1"/>
  <c r="F59" i="18"/>
  <c r="F61" i="18" s="1"/>
  <c r="E59" i="18"/>
  <c r="E61" i="18" s="1"/>
  <c r="D59" i="18"/>
  <c r="D61" i="18" s="1"/>
  <c r="C59" i="18"/>
  <c r="B59" i="18"/>
  <c r="B61" i="18" s="1"/>
  <c r="O58" i="18"/>
  <c r="O57" i="18"/>
  <c r="O50" i="18"/>
  <c r="L34" i="18"/>
  <c r="K34" i="18"/>
  <c r="J34" i="18"/>
  <c r="I34" i="18"/>
  <c r="H34" i="18"/>
  <c r="G34" i="18"/>
  <c r="F34" i="18"/>
  <c r="E34" i="18"/>
  <c r="D34" i="18"/>
  <c r="C34" i="18"/>
  <c r="M33" i="18"/>
  <c r="N33" i="18" s="1"/>
  <c r="O24" i="18"/>
  <c r="N24" i="18"/>
  <c r="M23" i="18"/>
  <c r="M25" i="18" s="1"/>
  <c r="L23" i="18"/>
  <c r="L25" i="18" s="1"/>
  <c r="K23" i="18"/>
  <c r="K25" i="18" s="1"/>
  <c r="J23" i="18"/>
  <c r="J25" i="18" s="1"/>
  <c r="I23" i="18"/>
  <c r="I25" i="18" s="1"/>
  <c r="H23" i="18"/>
  <c r="H25" i="18" s="1"/>
  <c r="G23" i="18"/>
  <c r="G25" i="18" s="1"/>
  <c r="F23" i="18"/>
  <c r="F25" i="18" s="1"/>
  <c r="E23" i="18"/>
  <c r="E25" i="18" s="1"/>
  <c r="D23" i="18"/>
  <c r="D25" i="18" s="1"/>
  <c r="C23" i="18"/>
  <c r="C25" i="18" s="1"/>
  <c r="B23" i="18"/>
  <c r="T79" i="17"/>
  <c r="S79" i="17"/>
  <c r="R79" i="17"/>
  <c r="N58" i="17"/>
  <c r="M58" i="17"/>
  <c r="L58" i="17"/>
  <c r="K58" i="17"/>
  <c r="J58" i="17"/>
  <c r="I58" i="17"/>
  <c r="H58" i="17"/>
  <c r="G58" i="17"/>
  <c r="F58" i="17"/>
  <c r="E58" i="17"/>
  <c r="D58" i="17"/>
  <c r="N25" i="17"/>
  <c r="M25" i="17"/>
  <c r="L25" i="17"/>
  <c r="K25" i="17"/>
  <c r="J25" i="17"/>
  <c r="I25" i="17"/>
  <c r="H25" i="17"/>
  <c r="G25" i="17"/>
  <c r="F25" i="17"/>
  <c r="E25" i="17"/>
  <c r="E11" i="17"/>
  <c r="D11" i="17"/>
  <c r="C11" i="17"/>
  <c r="A39" i="17"/>
  <c r="B8" i="16"/>
  <c r="A8" i="16"/>
  <c r="G28" i="15"/>
  <c r="S105" i="18" s="1"/>
  <c r="F28" i="15"/>
  <c r="R105" i="18" s="1"/>
  <c r="E28" i="15"/>
  <c r="Q105" i="18" s="1"/>
  <c r="D28" i="15"/>
  <c r="O69" i="18" s="1"/>
  <c r="C28" i="15"/>
  <c r="O33" i="18" s="1"/>
  <c r="G28" i="14"/>
  <c r="F28" i="14"/>
  <c r="E28" i="14"/>
  <c r="D28" i="14"/>
  <c r="C28" i="14"/>
  <c r="B28" i="14"/>
  <c r="G25" i="14"/>
  <c r="F25" i="14"/>
  <c r="E25" i="14"/>
  <c r="D25" i="14"/>
  <c r="C25" i="14"/>
  <c r="B25" i="14"/>
  <c r="G22" i="14"/>
  <c r="F22" i="14"/>
  <c r="E22" i="14"/>
  <c r="D22" i="14"/>
  <c r="C22" i="14"/>
  <c r="B22" i="14"/>
  <c r="B23" i="14" s="1"/>
  <c r="G19" i="14"/>
  <c r="F19" i="14"/>
  <c r="E19" i="14"/>
  <c r="D19" i="14"/>
  <c r="C19" i="14"/>
  <c r="B19" i="14"/>
  <c r="B9" i="14"/>
  <c r="G39" i="12"/>
  <c r="F39" i="12"/>
  <c r="E39" i="12"/>
  <c r="D39" i="12"/>
  <c r="C39" i="12"/>
  <c r="G28" i="12"/>
  <c r="F28" i="12"/>
  <c r="E28" i="12"/>
  <c r="D28" i="12"/>
  <c r="C28" i="12"/>
  <c r="G27" i="12"/>
  <c r="F27" i="12"/>
  <c r="E27" i="12"/>
  <c r="D27" i="12"/>
  <c r="C27" i="12"/>
  <c r="G24" i="12"/>
  <c r="G18" i="19" s="1"/>
  <c r="F24" i="12"/>
  <c r="F18" i="19" s="1"/>
  <c r="E24" i="12"/>
  <c r="D24" i="12"/>
  <c r="D18" i="19" s="1"/>
  <c r="C24" i="12"/>
  <c r="C18" i="19" s="1"/>
  <c r="G19" i="12"/>
  <c r="F19" i="12"/>
  <c r="E19" i="12"/>
  <c r="E23" i="15" s="1"/>
  <c r="D19" i="12"/>
  <c r="C19" i="12"/>
  <c r="C23" i="15" s="1"/>
  <c r="D15" i="12"/>
  <c r="E26" i="15"/>
  <c r="Q103" i="18" s="1"/>
  <c r="C26" i="15"/>
  <c r="O31" i="18" s="1"/>
  <c r="D119" i="11"/>
  <c r="C119" i="11"/>
  <c r="C118" i="11"/>
  <c r="B18" i="18" s="1"/>
  <c r="C47" i="11"/>
  <c r="C69" i="11" s="1"/>
  <c r="C46" i="11"/>
  <c r="C68" i="11" s="1"/>
  <c r="C45" i="11"/>
  <c r="C67" i="11" s="1"/>
  <c r="B15" i="18" s="1"/>
  <c r="G36" i="11"/>
  <c r="F36" i="11"/>
  <c r="E36" i="11"/>
  <c r="D36" i="11"/>
  <c r="C36" i="11"/>
  <c r="G30" i="11"/>
  <c r="F30" i="11"/>
  <c r="E30" i="11"/>
  <c r="D30" i="11"/>
  <c r="C30" i="11"/>
  <c r="C120" i="11" s="1"/>
  <c r="G24" i="11"/>
  <c r="F24" i="11"/>
  <c r="E24" i="11"/>
  <c r="D24" i="11"/>
  <c r="C24" i="11"/>
  <c r="G18" i="11"/>
  <c r="F18" i="11"/>
  <c r="E18" i="11"/>
  <c r="D18" i="11"/>
  <c r="C18" i="11"/>
  <c r="C85" i="11" s="1"/>
  <c r="G11" i="11"/>
  <c r="F11" i="11"/>
  <c r="E11" i="11"/>
  <c r="D11" i="11"/>
  <c r="C11" i="11"/>
  <c r="G43" i="10"/>
  <c r="F42" i="10"/>
  <c r="G42" i="10" s="1"/>
  <c r="E41" i="10"/>
  <c r="D40" i="10"/>
  <c r="C39" i="10"/>
  <c r="C38" i="10"/>
  <c r="G33" i="10"/>
  <c r="F32" i="10"/>
  <c r="G32" i="10" s="1"/>
  <c r="E31" i="10"/>
  <c r="F31" i="10" s="1"/>
  <c r="D30" i="10"/>
  <c r="E30" i="10" s="1"/>
  <c r="F30" i="10" s="1"/>
  <c r="C29" i="10"/>
  <c r="C28" i="10"/>
  <c r="G23" i="10"/>
  <c r="F22" i="10"/>
  <c r="G22" i="10" s="1"/>
  <c r="E21" i="10"/>
  <c r="D20" i="10"/>
  <c r="E20" i="10" s="1"/>
  <c r="C19" i="10"/>
  <c r="D19" i="10" s="1"/>
  <c r="C18" i="10"/>
  <c r="D18" i="10" s="1"/>
  <c r="F13" i="10"/>
  <c r="E13" i="10"/>
  <c r="D13" i="10"/>
  <c r="D13" i="19" s="1"/>
  <c r="C13" i="10"/>
  <c r="C51" i="10" s="1"/>
  <c r="B13" i="10"/>
  <c r="B51" i="10" s="1"/>
  <c r="B53" i="10" s="1"/>
  <c r="B14" i="14" s="1"/>
  <c r="G38" i="8"/>
  <c r="P92" i="17" s="1"/>
  <c r="F38" i="8"/>
  <c r="E38" i="8"/>
  <c r="F92" i="17" s="1"/>
  <c r="D38" i="8"/>
  <c r="C38" i="8"/>
  <c r="C34" i="8"/>
  <c r="N92" i="17"/>
  <c r="I92" i="17"/>
  <c r="D30" i="8"/>
  <c r="C30" i="8"/>
  <c r="C92" i="17"/>
  <c r="G15" i="8"/>
  <c r="F15" i="8"/>
  <c r="E15" i="8"/>
  <c r="D15" i="8"/>
  <c r="C15" i="8"/>
  <c r="G11" i="8"/>
  <c r="F11" i="8"/>
  <c r="E11" i="8"/>
  <c r="D11" i="8"/>
  <c r="C11" i="8"/>
  <c r="G69" i="7"/>
  <c r="F69" i="7"/>
  <c r="F72" i="7" s="1"/>
  <c r="E69" i="7"/>
  <c r="D69" i="7"/>
  <c r="D72" i="7" s="1"/>
  <c r="D73" i="7" s="1"/>
  <c r="D21" i="5" s="1"/>
  <c r="C69" i="7"/>
  <c r="C72" i="7" s="1"/>
  <c r="G61" i="7"/>
  <c r="G64" i="7" s="1"/>
  <c r="F61" i="7"/>
  <c r="F64" i="7" s="1"/>
  <c r="E61" i="7"/>
  <c r="D61" i="7"/>
  <c r="D64" i="7" s="1"/>
  <c r="D65" i="7" s="1"/>
  <c r="C61" i="7"/>
  <c r="C64" i="7" s="1"/>
  <c r="C65" i="7" s="1"/>
  <c r="C17" i="5" s="1"/>
  <c r="G53" i="7"/>
  <c r="G56" i="7" s="1"/>
  <c r="F53" i="7"/>
  <c r="E53" i="7"/>
  <c r="E56" i="7" s="1"/>
  <c r="D53" i="7"/>
  <c r="D56" i="7" s="1"/>
  <c r="D57" i="7" s="1"/>
  <c r="D24" i="5" s="1"/>
  <c r="C53" i="7"/>
  <c r="G40" i="7"/>
  <c r="F40" i="7"/>
  <c r="E40" i="7"/>
  <c r="E43" i="7" s="1"/>
  <c r="E44" i="7" s="1"/>
  <c r="E30" i="6" s="1"/>
  <c r="D40" i="7"/>
  <c r="C40" i="7"/>
  <c r="G27" i="7"/>
  <c r="G30" i="7" s="1"/>
  <c r="F27" i="7"/>
  <c r="E27" i="7"/>
  <c r="E30" i="7" s="1"/>
  <c r="D27" i="7"/>
  <c r="C27" i="7"/>
  <c r="C30" i="7" s="1"/>
  <c r="C31" i="7" s="1"/>
  <c r="G14" i="7"/>
  <c r="F14" i="7"/>
  <c r="F17" i="7" s="1"/>
  <c r="E14" i="7"/>
  <c r="D14" i="7"/>
  <c r="C14" i="7"/>
  <c r="G15" i="5"/>
  <c r="F15" i="5"/>
  <c r="E15" i="5"/>
  <c r="D15" i="5"/>
  <c r="C15" i="5"/>
  <c r="G14" i="5"/>
  <c r="F14" i="5"/>
  <c r="E14" i="5"/>
  <c r="D14" i="5"/>
  <c r="C14" i="5"/>
  <c r="G13" i="4"/>
  <c r="F13" i="4"/>
  <c r="E13" i="4"/>
  <c r="D13" i="4"/>
  <c r="G9" i="4"/>
  <c r="G16" i="4" s="1"/>
  <c r="G27" i="4" s="1"/>
  <c r="F9" i="4"/>
  <c r="E9" i="4"/>
  <c r="D9" i="4"/>
  <c r="J11" i="3"/>
  <c r="I11" i="3"/>
  <c r="H11" i="3"/>
  <c r="G11" i="3"/>
  <c r="F11" i="3"/>
  <c r="J10" i="3"/>
  <c r="I10" i="3"/>
  <c r="H10" i="3"/>
  <c r="G10" i="3"/>
  <c r="F10" i="3"/>
  <c r="J9" i="3"/>
  <c r="I9" i="3"/>
  <c r="H9" i="3"/>
  <c r="G9" i="3"/>
  <c r="F9" i="3"/>
  <c r="J8" i="3"/>
  <c r="I8" i="3"/>
  <c r="H8" i="3"/>
  <c r="G8" i="3"/>
  <c r="F8" i="3"/>
  <c r="D29" i="12" l="1"/>
  <c r="E29" i="14"/>
  <c r="C18" i="18"/>
  <c r="C29" i="12"/>
  <c r="F29" i="12"/>
  <c r="F14" i="12"/>
  <c r="E15" i="12"/>
  <c r="E31" i="12" s="1"/>
  <c r="F40" i="12"/>
  <c r="F41" i="12" s="1"/>
  <c r="F14" i="19" s="1"/>
  <c r="G31" i="12"/>
  <c r="G40" i="12"/>
  <c r="G41" i="12" s="1"/>
  <c r="G28" i="13" s="1"/>
  <c r="T96" i="17" s="1"/>
  <c r="C40" i="12"/>
  <c r="C41" i="12" s="1"/>
  <c r="D31" i="12"/>
  <c r="D40" i="12"/>
  <c r="D41" i="12" s="1"/>
  <c r="D77" i="10"/>
  <c r="C77" i="10"/>
  <c r="G77" i="10"/>
  <c r="E77" i="10"/>
  <c r="F77" i="10"/>
  <c r="K97" i="18"/>
  <c r="G31" i="10"/>
  <c r="F41" i="10"/>
  <c r="G41" i="10" s="1"/>
  <c r="F39" i="8"/>
  <c r="D26" i="8"/>
  <c r="C26" i="8"/>
  <c r="D39" i="8"/>
  <c r="G16" i="8"/>
  <c r="G24" i="13" s="1"/>
  <c r="T92" i="17" s="1"/>
  <c r="F16" i="8"/>
  <c r="F24" i="13" s="1"/>
  <c r="S92" i="17" s="1"/>
  <c r="C39" i="8"/>
  <c r="D16" i="8"/>
  <c r="D24" i="13" s="1"/>
  <c r="P58" i="17" s="1"/>
  <c r="E16" i="8"/>
  <c r="E24" i="13" s="1"/>
  <c r="R92" i="17" s="1"/>
  <c r="G39" i="8"/>
  <c r="Q92" i="17" s="1"/>
  <c r="C16" i="8"/>
  <c r="C24" i="13" s="1"/>
  <c r="P25" i="17" s="1"/>
  <c r="O58" i="17"/>
  <c r="C43" i="7"/>
  <c r="C44" i="7" s="1"/>
  <c r="C30" i="6" s="1"/>
  <c r="F65" i="7"/>
  <c r="F17" i="5" s="1"/>
  <c r="F73" i="7"/>
  <c r="F21" i="5" s="1"/>
  <c r="E72" i="7"/>
  <c r="E73" i="7" s="1"/>
  <c r="E21" i="5" s="1"/>
  <c r="E57" i="7"/>
  <c r="E24" i="5" s="1"/>
  <c r="F56" i="7"/>
  <c r="F57" i="7" s="1"/>
  <c r="F43" i="7"/>
  <c r="F44" i="7" s="1"/>
  <c r="F30" i="6" s="1"/>
  <c r="G43" i="7"/>
  <c r="G44" i="7" s="1"/>
  <c r="G30" i="6" s="1"/>
  <c r="E31" i="7"/>
  <c r="E21" i="6" s="1"/>
  <c r="E17" i="7"/>
  <c r="E18" i="7" s="1"/>
  <c r="E11" i="6" s="1"/>
  <c r="G17" i="7"/>
  <c r="G18" i="7" s="1"/>
  <c r="G11" i="6" s="1"/>
  <c r="F18" i="7"/>
  <c r="F11" i="6" s="1"/>
  <c r="C16" i="5"/>
  <c r="C18" i="5" s="1"/>
  <c r="D16" i="5"/>
  <c r="C16" i="4"/>
  <c r="C26" i="4" s="1"/>
  <c r="D16" i="4"/>
  <c r="D22" i="4" s="1"/>
  <c r="G24" i="4"/>
  <c r="G47" i="11" s="1"/>
  <c r="G30" i="4"/>
  <c r="G53" i="11" s="1"/>
  <c r="G22" i="4"/>
  <c r="G45" i="11" s="1"/>
  <c r="G26" i="4"/>
  <c r="G49" i="11" s="1"/>
  <c r="G35" i="4"/>
  <c r="G58" i="11" s="1"/>
  <c r="C7" i="5"/>
  <c r="C31" i="5" s="1"/>
  <c r="C42" i="4"/>
  <c r="C31" i="4"/>
  <c r="G50" i="11"/>
  <c r="G28" i="4"/>
  <c r="G51" i="11" s="1"/>
  <c r="G34" i="4"/>
  <c r="G31" i="4"/>
  <c r="G32" i="4"/>
  <c r="G55" i="11" s="1"/>
  <c r="G23" i="4"/>
  <c r="G36" i="4"/>
  <c r="G59" i="11" s="1"/>
  <c r="C84" i="11"/>
  <c r="B16" i="18" s="1"/>
  <c r="E16" i="4"/>
  <c r="F16" i="4"/>
  <c r="F42" i="4" s="1"/>
  <c r="G16" i="5"/>
  <c r="F16" i="5"/>
  <c r="F18" i="5" s="1"/>
  <c r="E16" i="5"/>
  <c r="C21" i="6"/>
  <c r="D75" i="7"/>
  <c r="D17" i="5"/>
  <c r="E18" i="10"/>
  <c r="D24" i="10"/>
  <c r="C34" i="10"/>
  <c r="D28" i="10"/>
  <c r="E28" i="10" s="1"/>
  <c r="C6" i="11"/>
  <c r="C7" i="7"/>
  <c r="D17" i="7"/>
  <c r="D18" i="7" s="1"/>
  <c r="D78" i="7"/>
  <c r="G6" i="16"/>
  <c r="G7" i="13"/>
  <c r="G7" i="9"/>
  <c r="G7" i="6"/>
  <c r="G42" i="4"/>
  <c r="G6" i="11"/>
  <c r="G7" i="10"/>
  <c r="G14" i="10" s="1"/>
  <c r="G7" i="7"/>
  <c r="G7" i="5"/>
  <c r="G31" i="5" s="1"/>
  <c r="D30" i="7"/>
  <c r="D31" i="7" s="1"/>
  <c r="C56" i="7"/>
  <c r="C57" i="7" s="1"/>
  <c r="D51" i="10"/>
  <c r="C73" i="7"/>
  <c r="C21" i="5" s="1"/>
  <c r="G41" i="4"/>
  <c r="F30" i="7"/>
  <c r="F21" i="10"/>
  <c r="G21" i="10" s="1"/>
  <c r="C48" i="11"/>
  <c r="G57" i="7"/>
  <c r="F78" i="7"/>
  <c r="D92" i="17"/>
  <c r="E39" i="8"/>
  <c r="G92" i="17" s="1"/>
  <c r="G72" i="7"/>
  <c r="G73" i="7" s="1"/>
  <c r="G21" i="5" s="1"/>
  <c r="C137" i="11"/>
  <c r="C135" i="11"/>
  <c r="B19" i="18" s="1"/>
  <c r="C136" i="11"/>
  <c r="B31" i="12"/>
  <c r="B29" i="14"/>
  <c r="B31" i="14" s="1"/>
  <c r="B32" i="14" s="1"/>
  <c r="C14" i="12"/>
  <c r="C78" i="7"/>
  <c r="E78" i="7"/>
  <c r="C13" i="19"/>
  <c r="C18" i="15"/>
  <c r="F20" i="10"/>
  <c r="G20" i="10" s="1"/>
  <c r="G30" i="10"/>
  <c r="D17" i="11"/>
  <c r="G65" i="7"/>
  <c r="G17" i="5" s="1"/>
  <c r="G18" i="5" s="1"/>
  <c r="G78" i="7"/>
  <c r="E40" i="10"/>
  <c r="C17" i="11"/>
  <c r="C103" i="11"/>
  <c r="C86" i="11"/>
  <c r="D16" i="18" s="1"/>
  <c r="C101" i="11"/>
  <c r="B17" i="18" s="1"/>
  <c r="C15" i="18"/>
  <c r="D18" i="18"/>
  <c r="B38" i="18"/>
  <c r="B13" i="14"/>
  <c r="B15" i="14" s="1"/>
  <c r="B34" i="15"/>
  <c r="C33" i="15" s="1"/>
  <c r="C44" i="10"/>
  <c r="F13" i="19"/>
  <c r="F18" i="15"/>
  <c r="D38" i="10"/>
  <c r="E38" i="10" s="1"/>
  <c r="F38" i="10" s="1"/>
  <c r="E17" i="11"/>
  <c r="C17" i="7"/>
  <c r="E64" i="7"/>
  <c r="E65" i="7" s="1"/>
  <c r="E17" i="5" s="1"/>
  <c r="C102" i="11"/>
  <c r="E104" i="18"/>
  <c r="B104" i="18"/>
  <c r="E27" i="15"/>
  <c r="Q104" i="18" s="1"/>
  <c r="O100" i="18"/>
  <c r="G23" i="15"/>
  <c r="L100" i="18"/>
  <c r="E101" i="18"/>
  <c r="B101" i="18"/>
  <c r="E29" i="12"/>
  <c r="E24" i="15"/>
  <c r="Q101" i="18" s="1"/>
  <c r="D43" i="7"/>
  <c r="D44" i="7" s="1"/>
  <c r="K92" i="17"/>
  <c r="L92" i="17"/>
  <c r="E19" i="10"/>
  <c r="C24" i="10"/>
  <c r="D29" i="10"/>
  <c r="E29" i="10" s="1"/>
  <c r="D39" i="10"/>
  <c r="E39" i="10" s="1"/>
  <c r="G101" i="18"/>
  <c r="J101" i="18"/>
  <c r="F24" i="15"/>
  <c r="R101" i="18" s="1"/>
  <c r="G13" i="19"/>
  <c r="G18" i="15"/>
  <c r="E103" i="18"/>
  <c r="B103" i="18"/>
  <c r="G29" i="14"/>
  <c r="G14" i="12"/>
  <c r="G17" i="11"/>
  <c r="G103" i="18"/>
  <c r="J103" i="18"/>
  <c r="F26" i="15"/>
  <c r="R103" i="18" s="1"/>
  <c r="G31" i="7"/>
  <c r="F17" i="11"/>
  <c r="D120" i="11"/>
  <c r="D54" i="18" s="1"/>
  <c r="E18" i="19"/>
  <c r="E40" i="12"/>
  <c r="E41" i="12" s="1"/>
  <c r="M30" i="18"/>
  <c r="B30" i="18"/>
  <c r="C25" i="15"/>
  <c r="O30" i="18" s="1"/>
  <c r="D18" i="15"/>
  <c r="D15" i="18"/>
  <c r="O28" i="18"/>
  <c r="Q100" i="18"/>
  <c r="B67" i="18"/>
  <c r="M67" i="18"/>
  <c r="C15" i="12"/>
  <c r="C31" i="12" s="1"/>
  <c r="J100" i="18"/>
  <c r="G100" i="18"/>
  <c r="F23" i="15"/>
  <c r="M65" i="18"/>
  <c r="B65" i="18"/>
  <c r="N65" i="18" s="1"/>
  <c r="O102" i="18"/>
  <c r="L102" i="18"/>
  <c r="G25" i="15"/>
  <c r="S102" i="18" s="1"/>
  <c r="O103" i="18"/>
  <c r="L103" i="18"/>
  <c r="G26" i="15"/>
  <c r="S103" i="18" s="1"/>
  <c r="F15" i="12"/>
  <c r="F31" i="12" s="1"/>
  <c r="O101" i="18"/>
  <c r="L101" i="18"/>
  <c r="P101" i="18" s="1"/>
  <c r="D24" i="15"/>
  <c r="O65" i="18" s="1"/>
  <c r="M28" i="18"/>
  <c r="B28" i="18"/>
  <c r="B66" i="18"/>
  <c r="M66" i="18"/>
  <c r="G29" i="12"/>
  <c r="B64" i="18"/>
  <c r="M64" i="18"/>
  <c r="D23" i="15"/>
  <c r="E25" i="15"/>
  <c r="Q102" i="18" s="1"/>
  <c r="B102" i="18"/>
  <c r="E102" i="18"/>
  <c r="G24" i="15"/>
  <c r="S101" i="18" s="1"/>
  <c r="E18" i="15"/>
  <c r="E13" i="19"/>
  <c r="B31" i="18"/>
  <c r="M31" i="18"/>
  <c r="E100" i="18"/>
  <c r="B100" i="18"/>
  <c r="B29" i="18"/>
  <c r="M29" i="18"/>
  <c r="C24" i="15"/>
  <c r="O29" i="18" s="1"/>
  <c r="J102" i="18"/>
  <c r="G102" i="18"/>
  <c r="F25" i="15"/>
  <c r="R102" i="18" s="1"/>
  <c r="D25" i="15"/>
  <c r="O66" i="18" s="1"/>
  <c r="N23" i="18"/>
  <c r="N25" i="18" s="1"/>
  <c r="B25" i="18"/>
  <c r="A72" i="17"/>
  <c r="A6" i="17"/>
  <c r="O25" i="17"/>
  <c r="N59" i="18"/>
  <c r="A78" i="18"/>
  <c r="A7" i="18"/>
  <c r="A43" i="18"/>
  <c r="C61" i="18"/>
  <c r="N61" i="18" s="1"/>
  <c r="F95" i="18"/>
  <c r="C97" i="18"/>
  <c r="F97" i="18" s="1"/>
  <c r="P95" i="18"/>
  <c r="P97" i="18"/>
  <c r="B27" i="21"/>
  <c r="B26" i="21"/>
  <c r="C27" i="21"/>
  <c r="C26" i="21"/>
  <c r="D27" i="21"/>
  <c r="K95" i="18"/>
  <c r="K102" i="18" l="1"/>
  <c r="G14" i="19"/>
  <c r="N30" i="18"/>
  <c r="C124" i="17"/>
  <c r="D124" i="17" s="1"/>
  <c r="F101" i="18"/>
  <c r="C123" i="17"/>
  <c r="D123" i="17" s="1"/>
  <c r="I96" i="17" s="1"/>
  <c r="F28" i="13"/>
  <c r="S96" i="17" s="1"/>
  <c r="N67" i="18"/>
  <c r="F102" i="18"/>
  <c r="E106" i="18"/>
  <c r="F29" i="10"/>
  <c r="F7" i="9"/>
  <c r="F7" i="13"/>
  <c r="F7" i="6"/>
  <c r="F7" i="7"/>
  <c r="F45" i="7" s="1"/>
  <c r="F6" i="16"/>
  <c r="F7" i="10"/>
  <c r="F14" i="10" s="1"/>
  <c r="F6" i="11"/>
  <c r="F41" i="4"/>
  <c r="D34" i="4"/>
  <c r="D23" i="4"/>
  <c r="D32" i="4"/>
  <c r="D35" i="4"/>
  <c r="D18" i="5"/>
  <c r="D7" i="5"/>
  <c r="D31" i="5" s="1"/>
  <c r="C27" i="4"/>
  <c r="C30" i="4"/>
  <c r="C7" i="9"/>
  <c r="C6" i="16"/>
  <c r="C28" i="4"/>
  <c r="C29" i="4" s="1"/>
  <c r="C36" i="4"/>
  <c r="C59" i="11" s="1"/>
  <c r="C34" i="4"/>
  <c r="C57" i="11" s="1"/>
  <c r="C7" i="10"/>
  <c r="C14" i="10" s="1"/>
  <c r="C41" i="4"/>
  <c r="C7" i="6"/>
  <c r="C24" i="6" s="1"/>
  <c r="C25" i="6" s="1"/>
  <c r="C7" i="13"/>
  <c r="C32" i="4"/>
  <c r="C55" i="11" s="1"/>
  <c r="C35" i="4"/>
  <c r="M11" i="17" s="1"/>
  <c r="C45" i="7"/>
  <c r="E79" i="7"/>
  <c r="F79" i="7"/>
  <c r="C79" i="7"/>
  <c r="F24" i="5"/>
  <c r="F75" i="7"/>
  <c r="G45" i="7"/>
  <c r="G79" i="7"/>
  <c r="D30" i="4"/>
  <c r="C19" i="18"/>
  <c r="D26" i="4"/>
  <c r="F44" i="17" s="1"/>
  <c r="D36" i="4"/>
  <c r="D59" i="11" s="1"/>
  <c r="D28" i="4"/>
  <c r="D31" i="4"/>
  <c r="D24" i="4"/>
  <c r="C36" i="5"/>
  <c r="C9" i="16" s="1"/>
  <c r="D27" i="4"/>
  <c r="D50" i="11" s="1"/>
  <c r="G25" i="4"/>
  <c r="M78" i="17" s="1"/>
  <c r="E7" i="9"/>
  <c r="E32" i="4"/>
  <c r="E55" i="11" s="1"/>
  <c r="E35" i="4"/>
  <c r="E58" i="11" s="1"/>
  <c r="E22" i="4"/>
  <c r="E45" i="11" s="1"/>
  <c r="E31" i="4"/>
  <c r="E54" i="11" s="1"/>
  <c r="E34" i="4"/>
  <c r="E57" i="11" s="1"/>
  <c r="E28" i="4"/>
  <c r="E51" i="11" s="1"/>
  <c r="E30" i="4"/>
  <c r="E24" i="4"/>
  <c r="E47" i="11" s="1"/>
  <c r="E36" i="4"/>
  <c r="E23" i="4"/>
  <c r="E26" i="4"/>
  <c r="E49" i="11" s="1"/>
  <c r="E27" i="4"/>
  <c r="G57" i="11"/>
  <c r="G37" i="4"/>
  <c r="G33" i="4"/>
  <c r="G54" i="11"/>
  <c r="F7" i="5"/>
  <c r="F31" i="5" s="1"/>
  <c r="F36" i="5" s="1"/>
  <c r="F36" i="4"/>
  <c r="F23" i="4"/>
  <c r="F26" i="4"/>
  <c r="F49" i="11" s="1"/>
  <c r="F32" i="4"/>
  <c r="F55" i="11" s="1"/>
  <c r="F22" i="4"/>
  <c r="F45" i="11" s="1"/>
  <c r="F31" i="4"/>
  <c r="F54" i="11" s="1"/>
  <c r="F34" i="4"/>
  <c r="F57" i="11" s="1"/>
  <c r="F28" i="4"/>
  <c r="F51" i="11" s="1"/>
  <c r="F27" i="4"/>
  <c r="F30" i="4"/>
  <c r="F24" i="4"/>
  <c r="F47" i="11" s="1"/>
  <c r="F35" i="4"/>
  <c r="F58" i="11" s="1"/>
  <c r="G46" i="11"/>
  <c r="G29" i="4"/>
  <c r="E18" i="5"/>
  <c r="D41" i="4"/>
  <c r="D7" i="6"/>
  <c r="D12" i="6" s="1"/>
  <c r="E42" i="4"/>
  <c r="D7" i="9"/>
  <c r="E7" i="5"/>
  <c r="E31" i="5" s="1"/>
  <c r="D7" i="7"/>
  <c r="D76" i="7" s="1"/>
  <c r="E7" i="13"/>
  <c r="I34" i="3" s="1"/>
  <c r="D7" i="10"/>
  <c r="D14" i="10" s="1"/>
  <c r="C16" i="18"/>
  <c r="D6" i="11"/>
  <c r="E6" i="11"/>
  <c r="E44" i="17"/>
  <c r="H44" i="17"/>
  <c r="C17" i="18"/>
  <c r="E7" i="7"/>
  <c r="D45" i="11"/>
  <c r="E7" i="10"/>
  <c r="E14" i="10" s="1"/>
  <c r="D42" i="4"/>
  <c r="K44" i="17"/>
  <c r="D7" i="13"/>
  <c r="E41" i="4"/>
  <c r="E6" i="16"/>
  <c r="D58" i="11"/>
  <c r="D17" i="18"/>
  <c r="D19" i="18"/>
  <c r="D6" i="16"/>
  <c r="E7" i="6"/>
  <c r="E12" i="6" s="1"/>
  <c r="G19" i="7"/>
  <c r="C44" i="17"/>
  <c r="G36" i="5"/>
  <c r="I11" i="17"/>
  <c r="C53" i="11"/>
  <c r="E75" i="7"/>
  <c r="C75" i="7"/>
  <c r="C76" i="7" s="1"/>
  <c r="C24" i="5"/>
  <c r="E34" i="10"/>
  <c r="F40" i="10"/>
  <c r="G40" i="10" s="1"/>
  <c r="J96" i="17"/>
  <c r="H96" i="17"/>
  <c r="K96" i="17"/>
  <c r="D21" i="6"/>
  <c r="G7" i="19"/>
  <c r="T78" i="17"/>
  <c r="J34" i="3"/>
  <c r="C25" i="5"/>
  <c r="D36" i="5"/>
  <c r="K101" i="18"/>
  <c r="N31" i="18"/>
  <c r="O64" i="18"/>
  <c r="J104" i="18"/>
  <c r="J106" i="18" s="1"/>
  <c r="G104" i="18"/>
  <c r="G106" i="18" s="1"/>
  <c r="F27" i="15"/>
  <c r="R104" i="18" s="1"/>
  <c r="F19" i="10"/>
  <c r="G19" i="10" s="1"/>
  <c r="F12" i="6"/>
  <c r="F24" i="6"/>
  <c r="F36" i="6"/>
  <c r="F15" i="6"/>
  <c r="G11" i="17"/>
  <c r="C50" i="11"/>
  <c r="C7" i="19"/>
  <c r="P11" i="17"/>
  <c r="D31" i="6"/>
  <c r="B68" i="18"/>
  <c r="B70" i="18" s="1"/>
  <c r="M68" i="18"/>
  <c r="M70" i="18" s="1"/>
  <c r="D27" i="15"/>
  <c r="O68" i="18" s="1"/>
  <c r="E29" i="15"/>
  <c r="Q106" i="18" s="1"/>
  <c r="P103" i="18"/>
  <c r="R100" i="18"/>
  <c r="C14" i="19"/>
  <c r="C120" i="17"/>
  <c r="D120" i="17" s="1"/>
  <c r="C28" i="13"/>
  <c r="P29" i="17" s="1"/>
  <c r="K103" i="18"/>
  <c r="F104" i="18"/>
  <c r="D44" i="10"/>
  <c r="G38" i="10"/>
  <c r="M32" i="18"/>
  <c r="M34" i="18" s="1"/>
  <c r="C27" i="15"/>
  <c r="O32" i="18" s="1"/>
  <c r="B32" i="18"/>
  <c r="B34" i="18" s="1"/>
  <c r="G75" i="7"/>
  <c r="G76" i="7" s="1"/>
  <c r="G24" i="5"/>
  <c r="F31" i="7"/>
  <c r="D44" i="17"/>
  <c r="D46" i="11"/>
  <c r="J11" i="17"/>
  <c r="C54" i="11"/>
  <c r="F18" i="10"/>
  <c r="N64" i="18"/>
  <c r="K100" i="18"/>
  <c r="E14" i="19"/>
  <c r="C122" i="17"/>
  <c r="D122" i="17" s="1"/>
  <c r="E28" i="13"/>
  <c r="R96" i="17" s="1"/>
  <c r="D14" i="19"/>
  <c r="D28" i="13"/>
  <c r="P62" i="17" s="1"/>
  <c r="C121" i="17"/>
  <c r="D121" i="17" s="1"/>
  <c r="E44" i="10"/>
  <c r="R95" i="18"/>
  <c r="F20" i="15"/>
  <c r="R97" i="18" s="1"/>
  <c r="O38" i="18"/>
  <c r="D30" i="6"/>
  <c r="N28" i="18"/>
  <c r="D11" i="6"/>
  <c r="D80" i="7"/>
  <c r="E51" i="10"/>
  <c r="D79" i="7"/>
  <c r="F28" i="10"/>
  <c r="E24" i="10"/>
  <c r="S100" i="18"/>
  <c r="S95" i="18"/>
  <c r="G20" i="15"/>
  <c r="S97" i="18" s="1"/>
  <c r="F39" i="10"/>
  <c r="G39" i="10" s="1"/>
  <c r="N29" i="18"/>
  <c r="G29" i="10"/>
  <c r="C18" i="7"/>
  <c r="F7" i="19"/>
  <c r="S78" i="17"/>
  <c r="D55" i="11"/>
  <c r="H11" i="17"/>
  <c r="C51" i="11"/>
  <c r="C32" i="7"/>
  <c r="Q95" i="18"/>
  <c r="E20" i="15"/>
  <c r="Q97" i="18" s="1"/>
  <c r="O104" i="18"/>
  <c r="O106" i="18" s="1"/>
  <c r="P106" i="18" s="1"/>
  <c r="L104" i="18"/>
  <c r="G27" i="15"/>
  <c r="S104" i="18" s="1"/>
  <c r="O23" i="18"/>
  <c r="C20" i="15"/>
  <c r="O25" i="18" s="1"/>
  <c r="D20" i="15"/>
  <c r="O61" i="18" s="1"/>
  <c r="O59" i="18"/>
  <c r="B106" i="18"/>
  <c r="F100" i="18"/>
  <c r="N66" i="18"/>
  <c r="P102" i="18"/>
  <c r="G32" i="7"/>
  <c r="G21" i="6"/>
  <c r="P96" i="17"/>
  <c r="O96" i="17"/>
  <c r="N96" i="17"/>
  <c r="M96" i="17"/>
  <c r="F103" i="18"/>
  <c r="C47" i="10"/>
  <c r="C31" i="6"/>
  <c r="P100" i="18"/>
  <c r="J44" i="17"/>
  <c r="D54" i="11"/>
  <c r="G15" i="6"/>
  <c r="G12" i="6"/>
  <c r="G24" i="6"/>
  <c r="G36" i="6"/>
  <c r="D34" i="10"/>
  <c r="D25" i="5" s="1"/>
  <c r="D37" i="5" s="1"/>
  <c r="D10" i="16" s="1"/>
  <c r="F11" i="17"/>
  <c r="C49" i="11"/>
  <c r="F106" i="18" l="1"/>
  <c r="F19" i="7"/>
  <c r="F29" i="15"/>
  <c r="R106" i="18" s="1"/>
  <c r="P104" i="18"/>
  <c r="C29" i="15"/>
  <c r="O34" i="18" s="1"/>
  <c r="G48" i="11"/>
  <c r="G103" i="11" s="1"/>
  <c r="F76" i="7"/>
  <c r="D29" i="4"/>
  <c r="G44" i="17"/>
  <c r="K11" i="17"/>
  <c r="N11" i="17"/>
  <c r="C33" i="4"/>
  <c r="C58" i="11"/>
  <c r="C128" i="11" s="1"/>
  <c r="C12" i="6"/>
  <c r="C45" i="6" s="1"/>
  <c r="C36" i="6"/>
  <c r="C38" i="6" s="1"/>
  <c r="C18" i="13" s="1"/>
  <c r="P20" i="17" s="1"/>
  <c r="C37" i="4"/>
  <c r="C38" i="4" s="1"/>
  <c r="L11" i="17"/>
  <c r="C15" i="6"/>
  <c r="C32" i="5"/>
  <c r="C9" i="13" s="1"/>
  <c r="D49" i="11"/>
  <c r="D87" i="11" s="1"/>
  <c r="E36" i="5"/>
  <c r="E9" i="16" s="1"/>
  <c r="D19" i="7"/>
  <c r="P78" i="17"/>
  <c r="G60" i="11"/>
  <c r="D15" i="6"/>
  <c r="D24" i="6"/>
  <c r="D25" i="6" s="1"/>
  <c r="F53" i="11"/>
  <c r="F33" i="4"/>
  <c r="F25" i="4"/>
  <c r="F46" i="11"/>
  <c r="E29" i="4"/>
  <c r="E50" i="11"/>
  <c r="D36" i="6"/>
  <c r="F29" i="4"/>
  <c r="F50" i="11"/>
  <c r="F37" i="4"/>
  <c r="F59" i="11"/>
  <c r="E36" i="6"/>
  <c r="E46" i="11"/>
  <c r="E37" i="4"/>
  <c r="E59" i="11"/>
  <c r="N78" i="17"/>
  <c r="G52" i="11"/>
  <c r="O78" i="17"/>
  <c r="G56" i="11"/>
  <c r="G69" i="11"/>
  <c r="E33" i="4"/>
  <c r="E53" i="11"/>
  <c r="G38" i="4"/>
  <c r="G61" i="11" s="1"/>
  <c r="R78" i="17"/>
  <c r="E7" i="19"/>
  <c r="F21" i="19" s="1"/>
  <c r="N44" i="17"/>
  <c r="D51" i="11"/>
  <c r="D106" i="11" s="1"/>
  <c r="D45" i="7"/>
  <c r="D25" i="4"/>
  <c r="D47" i="11"/>
  <c r="D137" i="11" s="1"/>
  <c r="D81" i="7"/>
  <c r="D33" i="4"/>
  <c r="D56" i="11" s="1"/>
  <c r="D111" i="11"/>
  <c r="D145" i="11"/>
  <c r="D94" i="11"/>
  <c r="E15" i="6"/>
  <c r="E16" i="6" s="1"/>
  <c r="E16" i="13" s="1"/>
  <c r="R85" i="17" s="1"/>
  <c r="H34" i="3"/>
  <c r="M44" i="17"/>
  <c r="D32" i="7"/>
  <c r="F16" i="6"/>
  <c r="F16" i="13" s="1"/>
  <c r="S85" i="17" s="1"/>
  <c r="D37" i="4"/>
  <c r="D60" i="11" s="1"/>
  <c r="D84" i="11"/>
  <c r="D135" i="11"/>
  <c r="D77" i="11"/>
  <c r="E19" i="7"/>
  <c r="E45" i="7"/>
  <c r="E32" i="7"/>
  <c r="G34" i="3"/>
  <c r="P44" i="17"/>
  <c r="I44" i="17"/>
  <c r="D53" i="11"/>
  <c r="D7" i="19"/>
  <c r="D21" i="19" s="1"/>
  <c r="D70" i="11"/>
  <c r="E24" i="6"/>
  <c r="E25" i="6" s="1"/>
  <c r="E17" i="13" s="1"/>
  <c r="R86" i="17" s="1"/>
  <c r="L44" i="17"/>
  <c r="D57" i="11"/>
  <c r="D38" i="6"/>
  <c r="D18" i="13" s="1"/>
  <c r="P53" i="17" s="1"/>
  <c r="D67" i="11"/>
  <c r="D101" i="11"/>
  <c r="G21" i="19"/>
  <c r="C17" i="13"/>
  <c r="P19" i="17" s="1"/>
  <c r="C26" i="6"/>
  <c r="C90" i="6" s="1"/>
  <c r="F34" i="10"/>
  <c r="G28" i="10"/>
  <c r="G34" i="10" s="1"/>
  <c r="J62" i="17"/>
  <c r="H62" i="17"/>
  <c r="G62" i="17"/>
  <c r="F62" i="17"/>
  <c r="D62" i="17"/>
  <c r="C62" i="17"/>
  <c r="N62" i="17"/>
  <c r="M62" i="17"/>
  <c r="L62" i="17"/>
  <c r="E62" i="17"/>
  <c r="I62" i="17"/>
  <c r="K62" i="17"/>
  <c r="F24" i="10"/>
  <c r="N32" i="18"/>
  <c r="G18" i="10"/>
  <c r="G24" i="10" s="1"/>
  <c r="Q96" i="17"/>
  <c r="G29" i="15"/>
  <c r="S106" i="18" s="1"/>
  <c r="D91" i="11"/>
  <c r="D74" i="11"/>
  <c r="D142" i="11"/>
  <c r="D108" i="11"/>
  <c r="K106" i="18"/>
  <c r="D52" i="11"/>
  <c r="G29" i="17"/>
  <c r="F29" i="17"/>
  <c r="N29" i="17"/>
  <c r="E29" i="17"/>
  <c r="K29" i="17"/>
  <c r="J29" i="17"/>
  <c r="I29" i="17"/>
  <c r="H29" i="17"/>
  <c r="L29" i="17"/>
  <c r="M29" i="17"/>
  <c r="D29" i="17"/>
  <c r="C29" i="17"/>
  <c r="D47" i="10"/>
  <c r="D139" i="11"/>
  <c r="D122" i="11"/>
  <c r="D105" i="11"/>
  <c r="D88" i="11"/>
  <c r="D71" i="11"/>
  <c r="K104" i="18"/>
  <c r="O11" i="17"/>
  <c r="G45" i="6"/>
  <c r="G16" i="6"/>
  <c r="K13" i="18"/>
  <c r="C13" i="18"/>
  <c r="I13" i="18"/>
  <c r="H13" i="18"/>
  <c r="F13" i="18"/>
  <c r="M13" i="18"/>
  <c r="E13" i="18"/>
  <c r="G13" i="18"/>
  <c r="D13" i="18"/>
  <c r="B13" i="18"/>
  <c r="J13" i="18"/>
  <c r="L13" i="18"/>
  <c r="C8" i="15"/>
  <c r="O13" i="18" s="1"/>
  <c r="C48" i="10"/>
  <c r="F24" i="3" s="1"/>
  <c r="C52" i="10"/>
  <c r="C52" i="11"/>
  <c r="D112" i="11"/>
  <c r="D146" i="11"/>
  <c r="D78" i="11"/>
  <c r="D95" i="11"/>
  <c r="D129" i="11"/>
  <c r="C75" i="11"/>
  <c r="C126" i="11"/>
  <c r="C109" i="11"/>
  <c r="C143" i="11"/>
  <c r="C92" i="11"/>
  <c r="L106" i="18"/>
  <c r="F51" i="10"/>
  <c r="N34" i="18"/>
  <c r="F21" i="6"/>
  <c r="F32" i="7"/>
  <c r="F80" i="7"/>
  <c r="F81" i="7" s="1"/>
  <c r="D32" i="5"/>
  <c r="L96" i="17"/>
  <c r="G44" i="10"/>
  <c r="D29" i="15"/>
  <c r="O70" i="18" s="1"/>
  <c r="D9" i="16"/>
  <c r="D38" i="5"/>
  <c r="D11" i="16" s="1"/>
  <c r="C76" i="11"/>
  <c r="C127" i="11"/>
  <c r="C144" i="11"/>
  <c r="C110" i="11"/>
  <c r="C93" i="11"/>
  <c r="G9" i="16"/>
  <c r="F9" i="16"/>
  <c r="N70" i="18"/>
  <c r="C125" i="11"/>
  <c r="C74" i="11"/>
  <c r="C91" i="11"/>
  <c r="C108" i="11"/>
  <c r="C142" i="11"/>
  <c r="E25" i="5"/>
  <c r="C37" i="5"/>
  <c r="C124" i="11"/>
  <c r="C73" i="11"/>
  <c r="C90" i="11"/>
  <c r="C107" i="11"/>
  <c r="C141" i="11"/>
  <c r="F44" i="10"/>
  <c r="C70" i="11"/>
  <c r="E15" i="18" s="1"/>
  <c r="C87" i="11"/>
  <c r="E16" i="18" s="1"/>
  <c r="C138" i="11"/>
  <c r="E19" i="18" s="1"/>
  <c r="C121" i="11"/>
  <c r="E18" i="18" s="1"/>
  <c r="C104" i="11"/>
  <c r="E17" i="18" s="1"/>
  <c r="G25" i="6"/>
  <c r="C19" i="7"/>
  <c r="C80" i="7"/>
  <c r="C81" i="7" s="1"/>
  <c r="C11" i="6"/>
  <c r="D89" i="11"/>
  <c r="C77" i="11"/>
  <c r="C145" i="11"/>
  <c r="C94" i="11"/>
  <c r="F96" i="17"/>
  <c r="E96" i="17"/>
  <c r="D96" i="17"/>
  <c r="C96" i="17"/>
  <c r="N68" i="18"/>
  <c r="C123" i="11"/>
  <c r="C106" i="11"/>
  <c r="C72" i="11"/>
  <c r="C140" i="11"/>
  <c r="C89" i="11"/>
  <c r="D143" i="11"/>
  <c r="D109" i="11"/>
  <c r="D126" i="11"/>
  <c r="D75" i="11"/>
  <c r="D92" i="11"/>
  <c r="F45" i="6"/>
  <c r="E76" i="7"/>
  <c r="E80" i="7"/>
  <c r="E81" i="7" s="1"/>
  <c r="G80" i="7"/>
  <c r="G81" i="7" s="1"/>
  <c r="E47" i="10"/>
  <c r="E31" i="6"/>
  <c r="D46" i="6"/>
  <c r="D15" i="16" s="1"/>
  <c r="D20" i="16" s="1"/>
  <c r="D16" i="6"/>
  <c r="D136" i="11"/>
  <c r="D102" i="11"/>
  <c r="D85" i="11"/>
  <c r="D68" i="11"/>
  <c r="C122" i="11"/>
  <c r="C105" i="11"/>
  <c r="C71" i="11"/>
  <c r="C139" i="11"/>
  <c r="C88" i="11"/>
  <c r="C129" i="11"/>
  <c r="C78" i="11"/>
  <c r="C112" i="11"/>
  <c r="D118" i="11"/>
  <c r="C95" i="11"/>
  <c r="C146" i="11"/>
  <c r="C56" i="11"/>
  <c r="G86" i="11" l="1"/>
  <c r="G137" i="11"/>
  <c r="G120" i="11"/>
  <c r="D138" i="11"/>
  <c r="F55" i="18" s="1"/>
  <c r="C111" i="11"/>
  <c r="L17" i="18" s="1"/>
  <c r="N13" i="18"/>
  <c r="D103" i="11"/>
  <c r="D69" i="11"/>
  <c r="D121" i="11"/>
  <c r="E54" i="18" s="1"/>
  <c r="F52" i="18"/>
  <c r="D104" i="11"/>
  <c r="F53" i="18" s="1"/>
  <c r="D86" i="11"/>
  <c r="D52" i="18" s="1"/>
  <c r="C60" i="11"/>
  <c r="C33" i="5"/>
  <c r="C58" i="5" s="1"/>
  <c r="F17" i="6"/>
  <c r="F60" i="6" s="1"/>
  <c r="I85" i="17" s="1"/>
  <c r="Q78" i="17"/>
  <c r="D45" i="6"/>
  <c r="D14" i="16" s="1"/>
  <c r="D19" i="16" s="1"/>
  <c r="G143" i="11"/>
  <c r="G92" i="11"/>
  <c r="G109" i="11"/>
  <c r="G75" i="11"/>
  <c r="G126" i="11"/>
  <c r="H78" i="17"/>
  <c r="F48" i="11"/>
  <c r="F38" i="4"/>
  <c r="F61" i="11" s="1"/>
  <c r="E78" i="17"/>
  <c r="E56" i="11"/>
  <c r="G140" i="11"/>
  <c r="M91" i="18" s="1"/>
  <c r="G123" i="11"/>
  <c r="M90" i="18" s="1"/>
  <c r="G106" i="11"/>
  <c r="M89" i="18" s="1"/>
  <c r="G72" i="11"/>
  <c r="M87" i="18" s="1"/>
  <c r="G89" i="11"/>
  <c r="M88" i="18" s="1"/>
  <c r="K78" i="17"/>
  <c r="F60" i="11"/>
  <c r="J78" i="17"/>
  <c r="F56" i="11"/>
  <c r="F52" i="11"/>
  <c r="I78" i="17"/>
  <c r="E60" i="11"/>
  <c r="F78" i="17"/>
  <c r="G95" i="11"/>
  <c r="G78" i="11"/>
  <c r="G146" i="11"/>
  <c r="G112" i="11"/>
  <c r="G129" i="11"/>
  <c r="E38" i="4"/>
  <c r="E61" i="11" s="1"/>
  <c r="C78" i="17"/>
  <c r="E48" i="11"/>
  <c r="D78" i="17"/>
  <c r="E52" i="11"/>
  <c r="K17" i="18"/>
  <c r="D123" i="11"/>
  <c r="G54" i="18" s="1"/>
  <c r="D140" i="11"/>
  <c r="G55" i="18" s="1"/>
  <c r="D72" i="11"/>
  <c r="G51" i="18" s="1"/>
  <c r="D124" i="11"/>
  <c r="G53" i="18"/>
  <c r="C55" i="18"/>
  <c r="C52" i="18"/>
  <c r="C53" i="18"/>
  <c r="F51" i="18"/>
  <c r="D48" i="11"/>
  <c r="D38" i="4"/>
  <c r="E45" i="6"/>
  <c r="E26" i="6"/>
  <c r="E82" i="6" s="1"/>
  <c r="D86" i="17" s="1"/>
  <c r="E21" i="19"/>
  <c r="O44" i="17"/>
  <c r="B51" i="18"/>
  <c r="L15" i="18"/>
  <c r="C86" i="6"/>
  <c r="F16" i="18"/>
  <c r="J53" i="18"/>
  <c r="E17" i="6"/>
  <c r="E60" i="6" s="1"/>
  <c r="D85" i="17" s="1"/>
  <c r="D39" i="6"/>
  <c r="D110" i="6" s="1"/>
  <c r="M53" i="17" s="1"/>
  <c r="J55" i="18"/>
  <c r="C82" i="6"/>
  <c r="F15" i="18"/>
  <c r="C51" i="18"/>
  <c r="D93" i="11"/>
  <c r="L52" i="18" s="1"/>
  <c r="D76" i="11"/>
  <c r="L51" i="18" s="1"/>
  <c r="D144" i="11"/>
  <c r="L55" i="18" s="1"/>
  <c r="D110" i="11"/>
  <c r="L53" i="18" s="1"/>
  <c r="D90" i="11"/>
  <c r="H52" i="18" s="1"/>
  <c r="D141" i="11"/>
  <c r="I55" i="18" s="1"/>
  <c r="D107" i="11"/>
  <c r="H53" i="18" s="1"/>
  <c r="D73" i="11"/>
  <c r="D128" i="11"/>
  <c r="M54" i="18" s="1"/>
  <c r="L19" i="18"/>
  <c r="C50" i="5"/>
  <c r="C54" i="5"/>
  <c r="K15" i="18"/>
  <c r="C39" i="6"/>
  <c r="C101" i="6" s="1"/>
  <c r="F20" i="17" s="1"/>
  <c r="D127" i="11"/>
  <c r="D125" i="11"/>
  <c r="J54" i="18" s="1"/>
  <c r="J51" i="18"/>
  <c r="G52" i="18"/>
  <c r="L16" i="18"/>
  <c r="K18" i="18"/>
  <c r="D51" i="18"/>
  <c r="F19" i="18"/>
  <c r="F17" i="18"/>
  <c r="F18" i="18"/>
  <c r="H19" i="18"/>
  <c r="D53" i="18"/>
  <c r="G17" i="13"/>
  <c r="T86" i="17" s="1"/>
  <c r="G26" i="6"/>
  <c r="I19" i="18"/>
  <c r="G51" i="10"/>
  <c r="J18" i="18"/>
  <c r="F54" i="18"/>
  <c r="E38" i="6"/>
  <c r="E46" i="6"/>
  <c r="E15" i="16" s="1"/>
  <c r="E85" i="18"/>
  <c r="D85" i="18"/>
  <c r="C85" i="18"/>
  <c r="B85" i="18"/>
  <c r="E8" i="15"/>
  <c r="Q85" i="18" s="1"/>
  <c r="E48" i="10"/>
  <c r="H24" i="3" s="1"/>
  <c r="H17" i="18"/>
  <c r="I17" i="18"/>
  <c r="K19" i="18"/>
  <c r="J15" i="18"/>
  <c r="G16" i="13"/>
  <c r="T85" i="17" s="1"/>
  <c r="G17" i="6"/>
  <c r="O62" i="17"/>
  <c r="C77" i="6"/>
  <c r="E19" i="17" s="1"/>
  <c r="F19" i="3"/>
  <c r="C76" i="6"/>
  <c r="D19" i="17" s="1"/>
  <c r="C75" i="6"/>
  <c r="C19" i="17" s="1"/>
  <c r="C78" i="6"/>
  <c r="C87" i="6"/>
  <c r="L19" i="17" s="1"/>
  <c r="C88" i="6"/>
  <c r="M19" i="17" s="1"/>
  <c r="C80" i="6"/>
  <c r="G19" i="17" s="1"/>
  <c r="C81" i="6"/>
  <c r="H19" i="17" s="1"/>
  <c r="C83" i="6"/>
  <c r="I19" i="17" s="1"/>
  <c r="C84" i="6"/>
  <c r="J19" i="17" s="1"/>
  <c r="C79" i="6"/>
  <c r="F19" i="17" s="1"/>
  <c r="C89" i="6"/>
  <c r="N19" i="17" s="1"/>
  <c r="C85" i="6"/>
  <c r="K19" i="17" s="1"/>
  <c r="G16" i="18"/>
  <c r="C16" i="6"/>
  <c r="C46" i="6"/>
  <c r="C15" i="16" s="1"/>
  <c r="H16" i="18"/>
  <c r="I16" i="18"/>
  <c r="D31" i="11"/>
  <c r="G14" i="16"/>
  <c r="G19" i="16" s="1"/>
  <c r="F47" i="10"/>
  <c r="F31" i="6"/>
  <c r="F38" i="6" s="1"/>
  <c r="G25" i="5"/>
  <c r="M19" i="18"/>
  <c r="C37" i="11"/>
  <c r="M16" i="18"/>
  <c r="C19" i="11"/>
  <c r="B52" i="18"/>
  <c r="G19" i="18"/>
  <c r="D17" i="13"/>
  <c r="P52" i="17" s="1"/>
  <c r="D26" i="6"/>
  <c r="G96" i="17"/>
  <c r="L18" i="18"/>
  <c r="D55" i="18"/>
  <c r="H15" i="18"/>
  <c r="I15" i="18"/>
  <c r="M52" i="18"/>
  <c r="D19" i="11"/>
  <c r="M49" i="18"/>
  <c r="E49" i="18"/>
  <c r="H49" i="18"/>
  <c r="G49" i="18"/>
  <c r="F49" i="18"/>
  <c r="D49" i="18"/>
  <c r="K49" i="18"/>
  <c r="B49" i="18"/>
  <c r="J49" i="18"/>
  <c r="L49" i="18"/>
  <c r="I49" i="18"/>
  <c r="C49" i="18"/>
  <c r="D8" i="15"/>
  <c r="O49" i="18" s="1"/>
  <c r="D48" i="10"/>
  <c r="G24" i="3" s="1"/>
  <c r="F25" i="5"/>
  <c r="C106" i="6"/>
  <c r="J20" i="17" s="1"/>
  <c r="B54" i="18"/>
  <c r="C54" i="18"/>
  <c r="G15" i="18"/>
  <c r="H18" i="18"/>
  <c r="I18" i="18"/>
  <c r="M51" i="18"/>
  <c r="D12" i="11"/>
  <c r="O29" i="17"/>
  <c r="M13" i="17"/>
  <c r="M15" i="17" s="1"/>
  <c r="E13" i="17"/>
  <c r="E15" i="17" s="1"/>
  <c r="G13" i="17"/>
  <c r="G15" i="17" s="1"/>
  <c r="J13" i="17"/>
  <c r="J15" i="17" s="1"/>
  <c r="I13" i="17"/>
  <c r="I15" i="17" s="1"/>
  <c r="H13" i="17"/>
  <c r="H15" i="17" s="1"/>
  <c r="F13" i="17"/>
  <c r="F15" i="17" s="1"/>
  <c r="K13" i="17"/>
  <c r="K15" i="17" s="1"/>
  <c r="N13" i="17"/>
  <c r="N15" i="17" s="1"/>
  <c r="C13" i="17"/>
  <c r="L13" i="17"/>
  <c r="L15" i="17" s="1"/>
  <c r="D13" i="17"/>
  <c r="D15" i="17" s="1"/>
  <c r="C45" i="5"/>
  <c r="C43" i="5"/>
  <c r="C44" i="5"/>
  <c r="C46" i="5"/>
  <c r="C56" i="5"/>
  <c r="C53" i="5"/>
  <c r="C49" i="5"/>
  <c r="C57" i="5"/>
  <c r="C55" i="5"/>
  <c r="C48" i="5"/>
  <c r="C52" i="5"/>
  <c r="C47" i="5"/>
  <c r="C51" i="5"/>
  <c r="M17" i="18"/>
  <c r="C25" i="11"/>
  <c r="G17" i="18"/>
  <c r="C10" i="16"/>
  <c r="C38" i="5"/>
  <c r="C11" i="16" s="1"/>
  <c r="J16" i="18"/>
  <c r="M55" i="18"/>
  <c r="D37" i="11"/>
  <c r="D52" i="10"/>
  <c r="C53" i="10"/>
  <c r="E14" i="16"/>
  <c r="E19" i="16" s="1"/>
  <c r="G31" i="6"/>
  <c r="G47" i="10"/>
  <c r="P13" i="17"/>
  <c r="C10" i="13"/>
  <c r="C12" i="13"/>
  <c r="F68" i="6"/>
  <c r="K85" i="17" s="1"/>
  <c r="I18" i="3"/>
  <c r="F64" i="6"/>
  <c r="J85" i="17" s="1"/>
  <c r="J52" i="18"/>
  <c r="E37" i="5"/>
  <c r="E32" i="5"/>
  <c r="B53" i="18"/>
  <c r="E51" i="18"/>
  <c r="M15" i="18"/>
  <c r="C12" i="11"/>
  <c r="D17" i="6"/>
  <c r="D16" i="13"/>
  <c r="P51" i="17" s="1"/>
  <c r="D41" i="6"/>
  <c r="G18" i="18"/>
  <c r="D9" i="13"/>
  <c r="D33" i="5"/>
  <c r="F25" i="6"/>
  <c r="J19" i="18"/>
  <c r="M53" i="18"/>
  <c r="D25" i="11"/>
  <c r="M18" i="18"/>
  <c r="C31" i="11"/>
  <c r="F14" i="16"/>
  <c r="F19" i="16" s="1"/>
  <c r="E52" i="18"/>
  <c r="B55" i="18"/>
  <c r="K16" i="18"/>
  <c r="J17" i="18"/>
  <c r="C61" i="11"/>
  <c r="C91" i="6"/>
  <c r="C59" i="5"/>
  <c r="C113" i="6"/>
  <c r="C14" i="16"/>
  <c r="C19" i="16" s="1"/>
  <c r="E53" i="18" l="1"/>
  <c r="E55" i="18"/>
  <c r="F56" i="6"/>
  <c r="H85" i="17" s="1"/>
  <c r="E90" i="6"/>
  <c r="F86" i="17" s="1"/>
  <c r="F69" i="6"/>
  <c r="L85" i="17" s="1"/>
  <c r="E78" i="6"/>
  <c r="C86" i="17" s="1"/>
  <c r="E91" i="6"/>
  <c r="G86" i="17" s="1"/>
  <c r="D47" i="6"/>
  <c r="D16" i="16" s="1"/>
  <c r="C97" i="6"/>
  <c r="C20" i="17" s="1"/>
  <c r="E86" i="6"/>
  <c r="E86" i="17" s="1"/>
  <c r="H19" i="3"/>
  <c r="H54" i="18"/>
  <c r="F46" i="6"/>
  <c r="F15" i="16" s="1"/>
  <c r="D107" i="6"/>
  <c r="K53" i="17" s="1"/>
  <c r="D102" i="6"/>
  <c r="G53" i="17" s="1"/>
  <c r="D105" i="6"/>
  <c r="I53" i="17" s="1"/>
  <c r="D106" i="6"/>
  <c r="J53" i="17" s="1"/>
  <c r="D111" i="6"/>
  <c r="N53" i="17" s="1"/>
  <c r="D109" i="6"/>
  <c r="L53" i="17" s="1"/>
  <c r="D101" i="6"/>
  <c r="F53" i="17" s="1"/>
  <c r="G20" i="3"/>
  <c r="D108" i="6"/>
  <c r="D103" i="6"/>
  <c r="H53" i="17" s="1"/>
  <c r="D112" i="6"/>
  <c r="E47" i="6"/>
  <c r="E16" i="16" s="1"/>
  <c r="C47" i="6"/>
  <c r="C16" i="16" s="1"/>
  <c r="H51" i="18"/>
  <c r="D113" i="6"/>
  <c r="D98" i="6"/>
  <c r="D53" i="17" s="1"/>
  <c r="N87" i="18"/>
  <c r="D104" i="6"/>
  <c r="D99" i="6"/>
  <c r="E53" i="17" s="1"/>
  <c r="D97" i="6"/>
  <c r="C53" i="17" s="1"/>
  <c r="L78" i="17"/>
  <c r="D100" i="6"/>
  <c r="C111" i="6"/>
  <c r="N20" i="17" s="1"/>
  <c r="O90" i="18"/>
  <c r="G31" i="11"/>
  <c r="C100" i="6"/>
  <c r="G25" i="11"/>
  <c r="O89" i="18"/>
  <c r="F120" i="11"/>
  <c r="F103" i="11"/>
  <c r="F86" i="11"/>
  <c r="F69" i="11"/>
  <c r="F137" i="11"/>
  <c r="E140" i="11"/>
  <c r="E72" i="11"/>
  <c r="E123" i="11"/>
  <c r="E106" i="11"/>
  <c r="E89" i="11"/>
  <c r="O91" i="18"/>
  <c r="G37" i="11"/>
  <c r="F89" i="11"/>
  <c r="F140" i="11"/>
  <c r="F106" i="11"/>
  <c r="F123" i="11"/>
  <c r="F72" i="11"/>
  <c r="O87" i="18"/>
  <c r="G12" i="11"/>
  <c r="N90" i="18"/>
  <c r="E69" i="11"/>
  <c r="B87" i="18" s="1"/>
  <c r="E103" i="11"/>
  <c r="B89" i="18" s="1"/>
  <c r="E86" i="11"/>
  <c r="B88" i="18" s="1"/>
  <c r="E137" i="11"/>
  <c r="E120" i="11"/>
  <c r="B90" i="18" s="1"/>
  <c r="O88" i="18"/>
  <c r="G19" i="11"/>
  <c r="C107" i="6"/>
  <c r="K20" i="17" s="1"/>
  <c r="G78" i="17"/>
  <c r="F92" i="11"/>
  <c r="F109" i="11"/>
  <c r="I89" i="18" s="1"/>
  <c r="F126" i="11"/>
  <c r="F75" i="11"/>
  <c r="F143" i="11"/>
  <c r="N89" i="18"/>
  <c r="C109" i="6"/>
  <c r="L20" i="17" s="1"/>
  <c r="E69" i="6"/>
  <c r="G85" i="17" s="1"/>
  <c r="E75" i="11"/>
  <c r="E92" i="11"/>
  <c r="E126" i="11"/>
  <c r="D90" i="18" s="1"/>
  <c r="E143" i="11"/>
  <c r="E109" i="11"/>
  <c r="N88" i="18"/>
  <c r="E78" i="11"/>
  <c r="E12" i="11" s="1"/>
  <c r="E10" i="14" s="1"/>
  <c r="E129" i="11"/>
  <c r="E95" i="11"/>
  <c r="E112" i="11"/>
  <c r="E146" i="11"/>
  <c r="F95" i="11"/>
  <c r="F146" i="11"/>
  <c r="F78" i="11"/>
  <c r="F112" i="11"/>
  <c r="F129" i="11"/>
  <c r="N91" i="18"/>
  <c r="N15" i="18"/>
  <c r="N19" i="18"/>
  <c r="K51" i="18"/>
  <c r="K53" i="18"/>
  <c r="H55" i="18"/>
  <c r="D61" i="11"/>
  <c r="D59" i="5"/>
  <c r="K52" i="18"/>
  <c r="L54" i="18"/>
  <c r="I54" i="18"/>
  <c r="K54" i="18"/>
  <c r="C102" i="6"/>
  <c r="G20" i="17" s="1"/>
  <c r="F20" i="3"/>
  <c r="C103" i="6"/>
  <c r="H20" i="17" s="1"/>
  <c r="H18" i="3"/>
  <c r="E56" i="6"/>
  <c r="C85" i="17" s="1"/>
  <c r="C105" i="6"/>
  <c r="I20" i="17" s="1"/>
  <c r="C99" i="6"/>
  <c r="E20" i="17" s="1"/>
  <c r="E64" i="6"/>
  <c r="E85" i="17" s="1"/>
  <c r="I53" i="18"/>
  <c r="E68" i="6"/>
  <c r="F85" i="17" s="1"/>
  <c r="C110" i="6"/>
  <c r="M20" i="17" s="1"/>
  <c r="C98" i="6"/>
  <c r="D20" i="17" s="1"/>
  <c r="K55" i="18"/>
  <c r="N16" i="18"/>
  <c r="I52" i="18"/>
  <c r="C104" i="6"/>
  <c r="C112" i="6"/>
  <c r="C108" i="6"/>
  <c r="I51" i="18"/>
  <c r="N18" i="18"/>
  <c r="N17" i="18"/>
  <c r="E23" i="16"/>
  <c r="P46" i="17"/>
  <c r="D10" i="13"/>
  <c r="D12" i="13"/>
  <c r="C23" i="16"/>
  <c r="F23" i="16"/>
  <c r="E10" i="16"/>
  <c r="E20" i="16" s="1"/>
  <c r="E25" i="16" s="1"/>
  <c r="E38" i="5"/>
  <c r="E11" i="16" s="1"/>
  <c r="N85" i="18"/>
  <c r="M85" i="18"/>
  <c r="L85" i="18"/>
  <c r="O85" i="18"/>
  <c r="G8" i="15"/>
  <c r="S85" i="18" s="1"/>
  <c r="G48" i="10"/>
  <c r="J24" i="3" s="1"/>
  <c r="C12" i="14"/>
  <c r="C26" i="11"/>
  <c r="C12" i="15" s="1"/>
  <c r="O17" i="18" s="1"/>
  <c r="D12" i="14"/>
  <c r="D26" i="11"/>
  <c r="D12" i="15" s="1"/>
  <c r="O53" i="18" s="1"/>
  <c r="D19" i="13"/>
  <c r="P54" i="17" s="1"/>
  <c r="D42" i="6"/>
  <c r="G38" i="6"/>
  <c r="G46" i="6"/>
  <c r="G18" i="3"/>
  <c r="D65" i="6"/>
  <c r="L51" i="17" s="1"/>
  <c r="D61" i="6"/>
  <c r="I51" i="17" s="1"/>
  <c r="D53" i="6"/>
  <c r="C51" i="17" s="1"/>
  <c r="D66" i="6"/>
  <c r="M51" i="17" s="1"/>
  <c r="D57" i="6"/>
  <c r="F51" i="17" s="1"/>
  <c r="D59" i="6"/>
  <c r="H51" i="17" s="1"/>
  <c r="D58" i="6"/>
  <c r="G51" i="17" s="1"/>
  <c r="D54" i="6"/>
  <c r="D51" i="17" s="1"/>
  <c r="D62" i="6"/>
  <c r="J51" i="17" s="1"/>
  <c r="D56" i="6"/>
  <c r="D55" i="6"/>
  <c r="E51" i="17" s="1"/>
  <c r="D68" i="6"/>
  <c r="D63" i="6"/>
  <c r="K51" i="17" s="1"/>
  <c r="D67" i="6"/>
  <c r="N51" i="17" s="1"/>
  <c r="D64" i="6"/>
  <c r="D60" i="6"/>
  <c r="F17" i="13"/>
  <c r="S86" i="17" s="1"/>
  <c r="F26" i="6"/>
  <c r="F41" i="6"/>
  <c r="C8" i="19"/>
  <c r="P15" i="17"/>
  <c r="C13" i="13"/>
  <c r="E52" i="10"/>
  <c r="D53" i="10"/>
  <c r="C20" i="16"/>
  <c r="C25" i="16" s="1"/>
  <c r="D11" i="14"/>
  <c r="D20" i="11"/>
  <c r="D11" i="15" s="1"/>
  <c r="O52" i="18" s="1"/>
  <c r="C21" i="14"/>
  <c r="C38" i="11"/>
  <c r="C14" i="15" s="1"/>
  <c r="O19" i="18" s="1"/>
  <c r="G19" i="3"/>
  <c r="D83" i="6"/>
  <c r="I52" i="17" s="1"/>
  <c r="D87" i="6"/>
  <c r="L52" i="17" s="1"/>
  <c r="D75" i="6"/>
  <c r="C52" i="17" s="1"/>
  <c r="D79" i="6"/>
  <c r="F52" i="17" s="1"/>
  <c r="D88" i="6"/>
  <c r="M52" i="17" s="1"/>
  <c r="D81" i="6"/>
  <c r="H52" i="17" s="1"/>
  <c r="D84" i="6"/>
  <c r="J52" i="17" s="1"/>
  <c r="D77" i="6"/>
  <c r="E52" i="17" s="1"/>
  <c r="D85" i="6"/>
  <c r="K52" i="17" s="1"/>
  <c r="D76" i="6"/>
  <c r="D52" i="17" s="1"/>
  <c r="D89" i="6"/>
  <c r="N52" i="17" s="1"/>
  <c r="D78" i="6"/>
  <c r="D90" i="6"/>
  <c r="D80" i="6"/>
  <c r="G52" i="17" s="1"/>
  <c r="D82" i="6"/>
  <c r="D86" i="6"/>
  <c r="O19" i="17"/>
  <c r="E9" i="13"/>
  <c r="E33" i="5"/>
  <c r="D21" i="14"/>
  <c r="D38" i="11"/>
  <c r="D14" i="15" s="1"/>
  <c r="O55" i="18" s="1"/>
  <c r="D10" i="14"/>
  <c r="D13" i="11"/>
  <c r="D10" i="15" s="1"/>
  <c r="O51" i="18" s="1"/>
  <c r="G32" i="5"/>
  <c r="G37" i="5"/>
  <c r="D20" i="14"/>
  <c r="D32" i="11"/>
  <c r="D13" i="15" s="1"/>
  <c r="O54" i="18" s="1"/>
  <c r="F18" i="13"/>
  <c r="S87" i="17" s="1"/>
  <c r="F39" i="6"/>
  <c r="H85" i="18"/>
  <c r="J85" i="18"/>
  <c r="I85" i="18"/>
  <c r="G85" i="18"/>
  <c r="F8" i="15"/>
  <c r="R85" i="18" s="1"/>
  <c r="F48" i="10"/>
  <c r="I24" i="3" s="1"/>
  <c r="D69" i="6"/>
  <c r="E18" i="13"/>
  <c r="R87" i="17" s="1"/>
  <c r="E39" i="6"/>
  <c r="E41" i="6"/>
  <c r="G90" i="6"/>
  <c r="P86" i="17" s="1"/>
  <c r="G86" i="6"/>
  <c r="O86" i="17" s="1"/>
  <c r="G82" i="6"/>
  <c r="N86" i="17" s="1"/>
  <c r="G78" i="6"/>
  <c r="M86" i="17" s="1"/>
  <c r="J19" i="3"/>
  <c r="G91" i="6"/>
  <c r="Q86" i="17" s="1"/>
  <c r="D91" i="6"/>
  <c r="C41" i="6"/>
  <c r="C16" i="13"/>
  <c r="P18" i="17" s="1"/>
  <c r="C17" i="6"/>
  <c r="D21" i="16"/>
  <c r="D23" i="16"/>
  <c r="G23" i="16"/>
  <c r="C11" i="14"/>
  <c r="C20" i="11"/>
  <c r="C11" i="15" s="1"/>
  <c r="O16" i="18" s="1"/>
  <c r="G68" i="6"/>
  <c r="P85" i="17" s="1"/>
  <c r="G60" i="6"/>
  <c r="N85" i="17" s="1"/>
  <c r="G64" i="6"/>
  <c r="O85" i="17" s="1"/>
  <c r="G69" i="6"/>
  <c r="Q85" i="17" s="1"/>
  <c r="G56" i="6"/>
  <c r="M85" i="17" s="1"/>
  <c r="J18" i="3"/>
  <c r="C20" i="14"/>
  <c r="C32" i="11"/>
  <c r="C13" i="15" s="1"/>
  <c r="O18" i="18" s="1"/>
  <c r="H46" i="17"/>
  <c r="H48" i="17" s="1"/>
  <c r="I46" i="17"/>
  <c r="I48" i="17" s="1"/>
  <c r="G46" i="17"/>
  <c r="G48" i="17" s="1"/>
  <c r="F46" i="17"/>
  <c r="F48" i="17" s="1"/>
  <c r="E46" i="17"/>
  <c r="E48" i="17" s="1"/>
  <c r="D46" i="17"/>
  <c r="D48" i="17" s="1"/>
  <c r="C46" i="17"/>
  <c r="N46" i="17"/>
  <c r="N48" i="17" s="1"/>
  <c r="M46" i="17"/>
  <c r="M48" i="17" s="1"/>
  <c r="J46" i="17"/>
  <c r="J48" i="17" s="1"/>
  <c r="L46" i="17"/>
  <c r="L48" i="17" s="1"/>
  <c r="K46" i="17"/>
  <c r="K48" i="17" s="1"/>
  <c r="D56" i="5"/>
  <c r="D55" i="5"/>
  <c r="D43" i="5"/>
  <c r="D51" i="5"/>
  <c r="D47" i="5"/>
  <c r="D48" i="5"/>
  <c r="D57" i="5"/>
  <c r="D49" i="5"/>
  <c r="D46" i="5"/>
  <c r="D44" i="5"/>
  <c r="D45" i="5"/>
  <c r="D52" i="5"/>
  <c r="D58" i="5"/>
  <c r="D53" i="5"/>
  <c r="D54" i="5"/>
  <c r="D50" i="5"/>
  <c r="C15" i="17"/>
  <c r="O13" i="17"/>
  <c r="D25" i="16"/>
  <c r="C13" i="11"/>
  <c r="C10" i="15" s="1"/>
  <c r="O15" i="18" s="1"/>
  <c r="C10" i="14"/>
  <c r="C14" i="14"/>
  <c r="C54" i="10"/>
  <c r="F12" i="3" s="1"/>
  <c r="F37" i="5"/>
  <c r="F32" i="5"/>
  <c r="N49" i="18"/>
  <c r="F85" i="18"/>
  <c r="N55" i="18" l="1"/>
  <c r="I88" i="18"/>
  <c r="I87" i="18"/>
  <c r="D88" i="18"/>
  <c r="H89" i="18"/>
  <c r="N53" i="18"/>
  <c r="F47" i="6"/>
  <c r="F16" i="16" s="1"/>
  <c r="H91" i="18"/>
  <c r="E13" i="11"/>
  <c r="E10" i="15" s="1"/>
  <c r="Q87" i="18" s="1"/>
  <c r="O53" i="17"/>
  <c r="N51" i="18"/>
  <c r="D89" i="18"/>
  <c r="H90" i="18"/>
  <c r="H88" i="18"/>
  <c r="D91" i="18"/>
  <c r="H87" i="18"/>
  <c r="C89" i="18"/>
  <c r="N52" i="18"/>
  <c r="F37" i="11"/>
  <c r="F21" i="14" s="1"/>
  <c r="J91" i="18"/>
  <c r="L91" i="18"/>
  <c r="P91" i="18" s="1"/>
  <c r="I91" i="18"/>
  <c r="C88" i="18"/>
  <c r="G89" i="18"/>
  <c r="F19" i="11"/>
  <c r="G20" i="11" s="1"/>
  <c r="G11" i="15" s="1"/>
  <c r="S88" i="18" s="1"/>
  <c r="L88" i="18"/>
  <c r="P88" i="18" s="1"/>
  <c r="J88" i="18"/>
  <c r="G90" i="18"/>
  <c r="E37" i="11"/>
  <c r="E91" i="18"/>
  <c r="J90" i="18"/>
  <c r="I90" i="18"/>
  <c r="C91" i="18"/>
  <c r="B91" i="18"/>
  <c r="C90" i="18"/>
  <c r="E25" i="11"/>
  <c r="E89" i="18"/>
  <c r="C87" i="18"/>
  <c r="G12" i="14"/>
  <c r="E19" i="11"/>
  <c r="E88" i="18"/>
  <c r="E87" i="18"/>
  <c r="D87" i="18"/>
  <c r="F31" i="11"/>
  <c r="G32" i="11" s="1"/>
  <c r="G13" i="15" s="1"/>
  <c r="S90" i="18" s="1"/>
  <c r="L90" i="18"/>
  <c r="P90" i="18" s="1"/>
  <c r="E90" i="18"/>
  <c r="E31" i="11"/>
  <c r="G91" i="18"/>
  <c r="G20" i="14"/>
  <c r="O20" i="17"/>
  <c r="F25" i="11"/>
  <c r="L89" i="18"/>
  <c r="P89" i="18" s="1"/>
  <c r="J89" i="18"/>
  <c r="G21" i="14"/>
  <c r="G87" i="18"/>
  <c r="F12" i="11"/>
  <c r="L87" i="18"/>
  <c r="P87" i="18" s="1"/>
  <c r="J87" i="18"/>
  <c r="G11" i="14"/>
  <c r="G10" i="14"/>
  <c r="G88" i="18"/>
  <c r="N54" i="18"/>
  <c r="J54" i="17"/>
  <c r="J56" i="17" s="1"/>
  <c r="J60" i="17" s="1"/>
  <c r="J64" i="17" s="1"/>
  <c r="K54" i="17"/>
  <c r="K56" i="17" s="1"/>
  <c r="K60" i="17" s="1"/>
  <c r="K64" i="17" s="1"/>
  <c r="D23" i="14"/>
  <c r="G54" i="17"/>
  <c r="G56" i="17" s="1"/>
  <c r="G60" i="17" s="1"/>
  <c r="G64" i="17" s="1"/>
  <c r="M54" i="17"/>
  <c r="M56" i="17" s="1"/>
  <c r="M60" i="17" s="1"/>
  <c r="M64" i="17" s="1"/>
  <c r="C54" i="6"/>
  <c r="D18" i="17" s="1"/>
  <c r="D21" i="17" s="1"/>
  <c r="D23" i="17" s="1"/>
  <c r="D27" i="17" s="1"/>
  <c r="D31" i="17" s="1"/>
  <c r="C53" i="6"/>
  <c r="C18" i="17" s="1"/>
  <c r="C55" i="6"/>
  <c r="E18" i="17" s="1"/>
  <c r="E21" i="17" s="1"/>
  <c r="E23" i="17" s="1"/>
  <c r="E27" i="17" s="1"/>
  <c r="E31" i="17" s="1"/>
  <c r="F18" i="3"/>
  <c r="C56" i="6"/>
  <c r="C65" i="6"/>
  <c r="L18" i="17" s="1"/>
  <c r="L21" i="17" s="1"/>
  <c r="L23" i="17" s="1"/>
  <c r="L27" i="17" s="1"/>
  <c r="L31" i="17" s="1"/>
  <c r="C62" i="6"/>
  <c r="J18" i="17" s="1"/>
  <c r="J21" i="17" s="1"/>
  <c r="J23" i="17" s="1"/>
  <c r="J27" i="17" s="1"/>
  <c r="J31" i="17" s="1"/>
  <c r="C59" i="6"/>
  <c r="H18" i="17" s="1"/>
  <c r="H21" i="17" s="1"/>
  <c r="H23" i="17" s="1"/>
  <c r="H27" i="17" s="1"/>
  <c r="H31" i="17" s="1"/>
  <c r="C61" i="6"/>
  <c r="I18" i="17" s="1"/>
  <c r="I21" i="17" s="1"/>
  <c r="I23" i="17" s="1"/>
  <c r="I27" i="17" s="1"/>
  <c r="I31" i="17" s="1"/>
  <c r="C57" i="6"/>
  <c r="F18" i="17" s="1"/>
  <c r="F21" i="17" s="1"/>
  <c r="F23" i="17" s="1"/>
  <c r="F27" i="17" s="1"/>
  <c r="F31" i="17" s="1"/>
  <c r="C63" i="6"/>
  <c r="K18" i="17" s="1"/>
  <c r="K21" i="17" s="1"/>
  <c r="K23" i="17" s="1"/>
  <c r="K27" i="17" s="1"/>
  <c r="K31" i="17" s="1"/>
  <c r="C66" i="6"/>
  <c r="M18" i="17" s="1"/>
  <c r="M21" i="17" s="1"/>
  <c r="M23" i="17" s="1"/>
  <c r="M27" i="17" s="1"/>
  <c r="M31" i="17" s="1"/>
  <c r="C67" i="6"/>
  <c r="N18" i="17" s="1"/>
  <c r="N21" i="17" s="1"/>
  <c r="N23" i="17" s="1"/>
  <c r="N27" i="17" s="1"/>
  <c r="N31" i="17" s="1"/>
  <c r="C58" i="6"/>
  <c r="G18" i="17" s="1"/>
  <c r="G21" i="17" s="1"/>
  <c r="G23" i="17" s="1"/>
  <c r="G27" i="17" s="1"/>
  <c r="G31" i="17" s="1"/>
  <c r="C68" i="6"/>
  <c r="C60" i="6"/>
  <c r="C64" i="6"/>
  <c r="C69" i="6"/>
  <c r="G10" i="16"/>
  <c r="G38" i="5"/>
  <c r="G11" i="16" s="1"/>
  <c r="F52" i="10"/>
  <c r="E53" i="10"/>
  <c r="D54" i="17"/>
  <c r="D56" i="17" s="1"/>
  <c r="D60" i="17" s="1"/>
  <c r="D64" i="17" s="1"/>
  <c r="G9" i="13"/>
  <c r="G33" i="5"/>
  <c r="O15" i="17"/>
  <c r="O46" i="17"/>
  <c r="C48" i="17"/>
  <c r="C23" i="14"/>
  <c r="C19" i="13"/>
  <c r="C42" i="6"/>
  <c r="F108" i="6"/>
  <c r="J87" i="17" s="1"/>
  <c r="F104" i="6"/>
  <c r="I87" i="17" s="1"/>
  <c r="F112" i="6"/>
  <c r="K87" i="17" s="1"/>
  <c r="F100" i="6"/>
  <c r="H87" i="17" s="1"/>
  <c r="I20" i="3"/>
  <c r="F113" i="6"/>
  <c r="L87" i="17" s="1"/>
  <c r="C29" i="19"/>
  <c r="F17" i="3"/>
  <c r="N54" i="17"/>
  <c r="N56" i="17" s="1"/>
  <c r="N60" i="17" s="1"/>
  <c r="N64" i="17" s="1"/>
  <c r="H54" i="17"/>
  <c r="H56" i="17" s="1"/>
  <c r="H60" i="17" s="1"/>
  <c r="H64" i="17" s="1"/>
  <c r="P85" i="18"/>
  <c r="C21" i="16"/>
  <c r="D80" i="17"/>
  <c r="D82" i="17" s="1"/>
  <c r="C80" i="17"/>
  <c r="F80" i="17"/>
  <c r="F82" i="17" s="1"/>
  <c r="E80" i="17"/>
  <c r="E82" i="17" s="1"/>
  <c r="E54" i="5"/>
  <c r="E46" i="5"/>
  <c r="E50" i="5"/>
  <c r="E59" i="5"/>
  <c r="E55" i="5"/>
  <c r="E44" i="5"/>
  <c r="E51" i="5"/>
  <c r="E49" i="5"/>
  <c r="E56" i="5"/>
  <c r="E45" i="5"/>
  <c r="E52" i="5"/>
  <c r="E43" i="5"/>
  <c r="E57" i="5"/>
  <c r="E48" i="5"/>
  <c r="E47" i="5"/>
  <c r="E53" i="5"/>
  <c r="E58" i="5"/>
  <c r="F54" i="17"/>
  <c r="F56" i="17" s="1"/>
  <c r="F60" i="17" s="1"/>
  <c r="F64" i="17" s="1"/>
  <c r="G15" i="16"/>
  <c r="G47" i="6"/>
  <c r="G16" i="16" s="1"/>
  <c r="D8" i="19"/>
  <c r="P48" i="17"/>
  <c r="D22" i="13"/>
  <c r="D13" i="13"/>
  <c r="O52" i="17"/>
  <c r="G18" i="13"/>
  <c r="T87" i="17" s="1"/>
  <c r="G39" i="6"/>
  <c r="G41" i="6"/>
  <c r="E19" i="13"/>
  <c r="R88" i="17" s="1"/>
  <c r="E42" i="6"/>
  <c r="K85" i="18"/>
  <c r="F42" i="6"/>
  <c r="F19" i="13"/>
  <c r="S88" i="17" s="1"/>
  <c r="E54" i="17"/>
  <c r="E56" i="17" s="1"/>
  <c r="E60" i="17" s="1"/>
  <c r="E64" i="17" s="1"/>
  <c r="R80" i="17"/>
  <c r="E10" i="13"/>
  <c r="E12" i="13"/>
  <c r="C54" i="17"/>
  <c r="O51" i="17"/>
  <c r="F9" i="13"/>
  <c r="F33" i="5"/>
  <c r="E112" i="6"/>
  <c r="F87" i="17" s="1"/>
  <c r="F88" i="17" s="1"/>
  <c r="E104" i="6"/>
  <c r="D87" i="17" s="1"/>
  <c r="D88" i="17" s="1"/>
  <c r="E100" i="6"/>
  <c r="C87" i="17" s="1"/>
  <c r="C88" i="17" s="1"/>
  <c r="E108" i="6"/>
  <c r="E87" i="17" s="1"/>
  <c r="E88" i="17" s="1"/>
  <c r="E113" i="6"/>
  <c r="G87" i="17" s="1"/>
  <c r="H20" i="3"/>
  <c r="F86" i="6"/>
  <c r="J86" i="17" s="1"/>
  <c r="F78" i="6"/>
  <c r="H86" i="17" s="1"/>
  <c r="F90" i="6"/>
  <c r="K86" i="17" s="1"/>
  <c r="F82" i="6"/>
  <c r="I86" i="17" s="1"/>
  <c r="I19" i="3"/>
  <c r="F91" i="6"/>
  <c r="L86" i="17" s="1"/>
  <c r="I54" i="17"/>
  <c r="I56" i="17" s="1"/>
  <c r="I60" i="17" s="1"/>
  <c r="I64" i="17" s="1"/>
  <c r="D20" i="13"/>
  <c r="D30" i="19" s="1"/>
  <c r="G21" i="3"/>
  <c r="E21" i="16"/>
  <c r="F10" i="16"/>
  <c r="F20" i="16" s="1"/>
  <c r="F38" i="5"/>
  <c r="F11" i="16" s="1"/>
  <c r="D14" i="14"/>
  <c r="D54" i="10"/>
  <c r="G12" i="3" s="1"/>
  <c r="L54" i="17"/>
  <c r="L56" i="17" s="1"/>
  <c r="L60" i="17" s="1"/>
  <c r="L64" i="17" s="1"/>
  <c r="K87" i="18" l="1"/>
  <c r="F88" i="18"/>
  <c r="F89" i="18"/>
  <c r="F87" i="18"/>
  <c r="F90" i="18"/>
  <c r="K88" i="18"/>
  <c r="F10" i="14"/>
  <c r="F13" i="11"/>
  <c r="F10" i="15" s="1"/>
  <c r="R87" i="18" s="1"/>
  <c r="F11" i="14"/>
  <c r="F20" i="11"/>
  <c r="F11" i="15" s="1"/>
  <c r="R88" i="18" s="1"/>
  <c r="G23" i="14"/>
  <c r="K89" i="18"/>
  <c r="G13" i="11"/>
  <c r="G10" i="15" s="1"/>
  <c r="S87" i="18" s="1"/>
  <c r="G38" i="11"/>
  <c r="G14" i="15" s="1"/>
  <c r="S91" i="18" s="1"/>
  <c r="K91" i="18"/>
  <c r="F38" i="11"/>
  <c r="F14" i="15" s="1"/>
  <c r="R91" i="18" s="1"/>
  <c r="E21" i="14"/>
  <c r="E38" i="11"/>
  <c r="E14" i="15" s="1"/>
  <c r="Q91" i="18" s="1"/>
  <c r="E20" i="14"/>
  <c r="E32" i="11"/>
  <c r="E13" i="15" s="1"/>
  <c r="Q90" i="18" s="1"/>
  <c r="E11" i="14"/>
  <c r="E20" i="11"/>
  <c r="E11" i="15" s="1"/>
  <c r="Q88" i="18" s="1"/>
  <c r="F91" i="18"/>
  <c r="E12" i="14"/>
  <c r="E26" i="11"/>
  <c r="E12" i="15" s="1"/>
  <c r="Q89" i="18" s="1"/>
  <c r="F12" i="14"/>
  <c r="F26" i="11"/>
  <c r="F12" i="15" s="1"/>
  <c r="R89" i="18" s="1"/>
  <c r="F20" i="14"/>
  <c r="F23" i="14" s="1"/>
  <c r="F32" i="11"/>
  <c r="F13" i="15" s="1"/>
  <c r="R90" i="18" s="1"/>
  <c r="G26" i="11"/>
  <c r="G12" i="15" s="1"/>
  <c r="S89" i="18" s="1"/>
  <c r="K90" i="18"/>
  <c r="J88" i="17"/>
  <c r="K88" i="17"/>
  <c r="H88" i="17"/>
  <c r="I88" i="17"/>
  <c r="G88" i="17"/>
  <c r="F107" i="6"/>
  <c r="F99" i="6"/>
  <c r="F65" i="6"/>
  <c r="F57" i="6"/>
  <c r="F20" i="13"/>
  <c r="F30" i="19" s="1"/>
  <c r="F109" i="6"/>
  <c r="F98" i="6"/>
  <c r="F110" i="6"/>
  <c r="F106" i="6"/>
  <c r="F61" i="6"/>
  <c r="F84" i="6"/>
  <c r="F75" i="6"/>
  <c r="F59" i="6"/>
  <c r="F97" i="6"/>
  <c r="F88" i="6"/>
  <c r="F66" i="6"/>
  <c r="F55" i="6"/>
  <c r="F76" i="6"/>
  <c r="F62" i="6"/>
  <c r="F83" i="6"/>
  <c r="F81" i="6"/>
  <c r="F67" i="6"/>
  <c r="F102" i="6"/>
  <c r="F79" i="6"/>
  <c r="F63" i="6"/>
  <c r="F54" i="6"/>
  <c r="F77" i="6"/>
  <c r="F105" i="6"/>
  <c r="I21" i="3"/>
  <c r="F103" i="6"/>
  <c r="F111" i="6"/>
  <c r="F89" i="6"/>
  <c r="F101" i="6"/>
  <c r="F80" i="6"/>
  <c r="F53" i="6"/>
  <c r="F87" i="6"/>
  <c r="F85" i="6"/>
  <c r="F58" i="6"/>
  <c r="O54" i="17"/>
  <c r="M80" i="17"/>
  <c r="P80" i="17"/>
  <c r="P82" i="17" s="1"/>
  <c r="O80" i="17"/>
  <c r="O82" i="17" s="1"/>
  <c r="N80" i="17"/>
  <c r="N82" i="17" s="1"/>
  <c r="G52" i="5"/>
  <c r="G44" i="5"/>
  <c r="G55" i="5"/>
  <c r="G51" i="5"/>
  <c r="G56" i="5"/>
  <c r="G45" i="5"/>
  <c r="G50" i="5"/>
  <c r="G48" i="5"/>
  <c r="G57" i="5"/>
  <c r="G46" i="5"/>
  <c r="G53" i="5"/>
  <c r="G49" i="5"/>
  <c r="G47" i="5"/>
  <c r="G54" i="5"/>
  <c r="G58" i="5"/>
  <c r="G43" i="5"/>
  <c r="G59" i="5"/>
  <c r="E90" i="17"/>
  <c r="E94" i="17" s="1"/>
  <c r="E98" i="17" s="1"/>
  <c r="C20" i="13"/>
  <c r="C30" i="19" s="1"/>
  <c r="F21" i="3"/>
  <c r="T80" i="17"/>
  <c r="G10" i="13"/>
  <c r="G12" i="13"/>
  <c r="G20" i="16"/>
  <c r="E8" i="19"/>
  <c r="R82" i="17"/>
  <c r="E22" i="13"/>
  <c r="E13" i="13"/>
  <c r="P56" i="17"/>
  <c r="D26" i="13"/>
  <c r="G22" i="3"/>
  <c r="F90" i="17"/>
  <c r="F94" i="17" s="1"/>
  <c r="F98" i="17" s="1"/>
  <c r="P21" i="17"/>
  <c r="C22" i="13"/>
  <c r="O18" i="17"/>
  <c r="C21" i="17"/>
  <c r="D29" i="19"/>
  <c r="G17" i="3"/>
  <c r="E83" i="6"/>
  <c r="E75" i="6"/>
  <c r="E62" i="6"/>
  <c r="E54" i="6"/>
  <c r="E20" i="13"/>
  <c r="E30" i="19" s="1"/>
  <c r="E111" i="6"/>
  <c r="E102" i="6"/>
  <c r="E79" i="6"/>
  <c r="E63" i="6"/>
  <c r="E110" i="6"/>
  <c r="E106" i="6"/>
  <c r="E77" i="6"/>
  <c r="E61" i="6"/>
  <c r="E84" i="6"/>
  <c r="E59" i="6"/>
  <c r="E57" i="6"/>
  <c r="E107" i="6"/>
  <c r="E105" i="6"/>
  <c r="E103" i="6"/>
  <c r="E101" i="6"/>
  <c r="E80" i="6"/>
  <c r="E53" i="6"/>
  <c r="E89" i="6"/>
  <c r="E87" i="6"/>
  <c r="E85" i="6"/>
  <c r="E58" i="6"/>
  <c r="E98" i="6"/>
  <c r="E81" i="6"/>
  <c r="E67" i="6"/>
  <c r="E65" i="6"/>
  <c r="E97" i="6"/>
  <c r="E76" i="6"/>
  <c r="H21" i="3"/>
  <c r="E55" i="6"/>
  <c r="E88" i="6"/>
  <c r="E109" i="6"/>
  <c r="E99" i="6"/>
  <c r="E66" i="6"/>
  <c r="G80" i="17"/>
  <c r="G82" i="17" s="1"/>
  <c r="C82" i="17"/>
  <c r="C90" i="17" s="1"/>
  <c r="K80" i="17"/>
  <c r="K82" i="17" s="1"/>
  <c r="J80" i="17"/>
  <c r="J82" i="17" s="1"/>
  <c r="I80" i="17"/>
  <c r="I82" i="17" s="1"/>
  <c r="F57" i="5"/>
  <c r="F49" i="5"/>
  <c r="H80" i="17"/>
  <c r="F48" i="5"/>
  <c r="F55" i="5"/>
  <c r="F53" i="5"/>
  <c r="F58" i="5"/>
  <c r="F47" i="5"/>
  <c r="F54" i="5"/>
  <c r="F52" i="5"/>
  <c r="F43" i="5"/>
  <c r="F50" i="5"/>
  <c r="F46" i="5"/>
  <c r="F44" i="5"/>
  <c r="F56" i="5"/>
  <c r="F45" i="5"/>
  <c r="F51" i="5"/>
  <c r="F59" i="5"/>
  <c r="D90" i="17"/>
  <c r="D94" i="17" s="1"/>
  <c r="D98" i="17" s="1"/>
  <c r="C56" i="17"/>
  <c r="O48" i="17"/>
  <c r="S80" i="17"/>
  <c r="F10" i="13"/>
  <c r="F12" i="13"/>
  <c r="G19" i="13"/>
  <c r="T88" i="17" s="1"/>
  <c r="G42" i="6"/>
  <c r="G112" i="6"/>
  <c r="P87" i="17" s="1"/>
  <c r="P88" i="17" s="1"/>
  <c r="G113" i="6"/>
  <c r="Q87" i="17" s="1"/>
  <c r="G100" i="6"/>
  <c r="M87" i="17" s="1"/>
  <c r="M88" i="17" s="1"/>
  <c r="G108" i="6"/>
  <c r="O87" i="17" s="1"/>
  <c r="O88" i="17" s="1"/>
  <c r="G104" i="6"/>
  <c r="N87" i="17" s="1"/>
  <c r="N88" i="17" s="1"/>
  <c r="J20" i="3"/>
  <c r="E54" i="10"/>
  <c r="H12" i="3" s="1"/>
  <c r="E14" i="14"/>
  <c r="F25" i="16"/>
  <c r="F21" i="16"/>
  <c r="G52" i="10"/>
  <c r="G53" i="10" s="1"/>
  <c r="F53" i="10"/>
  <c r="K90" i="17" l="1"/>
  <c r="K94" i="17" s="1"/>
  <c r="K98" i="17" s="1"/>
  <c r="E23" i="14"/>
  <c r="J90" i="17"/>
  <c r="J94" i="17" s="1"/>
  <c r="J98" i="17" s="1"/>
  <c r="I90" i="17"/>
  <c r="I94" i="17" s="1"/>
  <c r="I98" i="17" s="1"/>
  <c r="L88" i="17"/>
  <c r="Q88" i="17"/>
  <c r="G14" i="14"/>
  <c r="G54" i="10"/>
  <c r="J12" i="3" s="1"/>
  <c r="E29" i="19"/>
  <c r="H17" i="3"/>
  <c r="T82" i="17"/>
  <c r="G8" i="19"/>
  <c r="G13" i="13"/>
  <c r="G22" i="13"/>
  <c r="N90" i="17"/>
  <c r="N94" i="17" s="1"/>
  <c r="N98" i="17" s="1"/>
  <c r="F8" i="19"/>
  <c r="S82" i="17"/>
  <c r="F13" i="13"/>
  <c r="F22" i="13"/>
  <c r="R90" i="17"/>
  <c r="E26" i="13"/>
  <c r="H22" i="3"/>
  <c r="O90" i="17"/>
  <c r="O94" i="17" s="1"/>
  <c r="O98" i="17" s="1"/>
  <c r="C60" i="17"/>
  <c r="O56" i="17"/>
  <c r="C26" i="13"/>
  <c r="P23" i="17"/>
  <c r="F22" i="3"/>
  <c r="P90" i="17"/>
  <c r="P94" i="17" s="1"/>
  <c r="P98" i="17" s="1"/>
  <c r="M82" i="17"/>
  <c r="M90" i="17" s="1"/>
  <c r="Q80" i="17"/>
  <c r="Q82" i="17" s="1"/>
  <c r="F14" i="14"/>
  <c r="F54" i="10"/>
  <c r="I12" i="3" s="1"/>
  <c r="G20" i="13"/>
  <c r="G30" i="19" s="1"/>
  <c r="G110" i="6"/>
  <c r="G102" i="6"/>
  <c r="G89" i="6"/>
  <c r="G81" i="6"/>
  <c r="G107" i="6"/>
  <c r="G105" i="6"/>
  <c r="G84" i="6"/>
  <c r="G75" i="6"/>
  <c r="G59" i="6"/>
  <c r="G97" i="6"/>
  <c r="G88" i="6"/>
  <c r="G66" i="6"/>
  <c r="G57" i="6"/>
  <c r="G55" i="6"/>
  <c r="G103" i="6"/>
  <c r="G101" i="6"/>
  <c r="G99" i="6"/>
  <c r="G80" i="6"/>
  <c r="G53" i="6"/>
  <c r="J21" i="3"/>
  <c r="G111" i="6"/>
  <c r="G109" i="6"/>
  <c r="G87" i="6"/>
  <c r="G85" i="6"/>
  <c r="G58" i="6"/>
  <c r="G98" i="6"/>
  <c r="G79" i="6"/>
  <c r="G65" i="6"/>
  <c r="G63" i="6"/>
  <c r="G54" i="6"/>
  <c r="G106" i="6"/>
  <c r="G77" i="6"/>
  <c r="G61" i="6"/>
  <c r="G76" i="6"/>
  <c r="G83" i="6"/>
  <c r="G62" i="6"/>
  <c r="G67" i="6"/>
  <c r="L80" i="17"/>
  <c r="L82" i="17" s="1"/>
  <c r="H82" i="17"/>
  <c r="H90" i="17" s="1"/>
  <c r="C94" i="17"/>
  <c r="G90" i="17"/>
  <c r="O21" i="17"/>
  <c r="C23" i="17"/>
  <c r="D9" i="19"/>
  <c r="P60" i="17"/>
  <c r="D10" i="19"/>
  <c r="D30" i="13"/>
  <c r="G23" i="3"/>
  <c r="G25" i="3"/>
  <c r="G25" i="16"/>
  <c r="G21" i="16"/>
  <c r="E9" i="19" l="1"/>
  <c r="E10" i="19"/>
  <c r="R94" i="17"/>
  <c r="E30" i="13"/>
  <c r="H25" i="3"/>
  <c r="H23" i="3"/>
  <c r="G29" i="19"/>
  <c r="J17" i="3"/>
  <c r="P64" i="17"/>
  <c r="D11" i="9"/>
  <c r="G94" i="17"/>
  <c r="C98" i="17"/>
  <c r="C10" i="19"/>
  <c r="C9" i="19"/>
  <c r="P27" i="17"/>
  <c r="C30" i="13"/>
  <c r="F25" i="3"/>
  <c r="F23" i="3"/>
  <c r="L90" i="17"/>
  <c r="H94" i="17"/>
  <c r="F29" i="19"/>
  <c r="I17" i="3"/>
  <c r="C27" i="17"/>
  <c r="O23" i="17"/>
  <c r="C64" i="17"/>
  <c r="O60" i="17"/>
  <c r="S90" i="17"/>
  <c r="F26" i="13"/>
  <c r="I22" i="3"/>
  <c r="M94" i="17"/>
  <c r="Q90" i="17"/>
  <c r="T90" i="17"/>
  <c r="G26" i="13"/>
  <c r="J22" i="3"/>
  <c r="M98" i="17" l="1"/>
  <c r="Q94" i="17"/>
  <c r="F9" i="19"/>
  <c r="F10" i="19"/>
  <c r="S94" i="17"/>
  <c r="F30" i="13"/>
  <c r="I25" i="3"/>
  <c r="I23" i="3"/>
  <c r="G98" i="17"/>
  <c r="P31" i="17"/>
  <c r="C11" i="9"/>
  <c r="H98" i="17"/>
  <c r="L94" i="17"/>
  <c r="G9" i="19"/>
  <c r="G10" i="19"/>
  <c r="T94" i="17"/>
  <c r="G30" i="13"/>
  <c r="G11" i="9" s="1"/>
  <c r="J23" i="3"/>
  <c r="J25" i="3"/>
  <c r="R98" i="17"/>
  <c r="E11" i="9"/>
  <c r="O64" i="17"/>
  <c r="O27" i="17"/>
  <c r="C31" i="17"/>
  <c r="L98" i="17" l="1"/>
  <c r="S98" i="17"/>
  <c r="F11" i="9"/>
  <c r="C112" i="17"/>
  <c r="D112" i="17" s="1"/>
  <c r="E112" i="17" s="1"/>
  <c r="F112" i="17" s="1"/>
  <c r="G112" i="17" s="1"/>
  <c r="H112" i="17" s="1"/>
  <c r="I112" i="17" s="1"/>
  <c r="J112" i="17" s="1"/>
  <c r="K112" i="17" s="1"/>
  <c r="L112" i="17" s="1"/>
  <c r="M112" i="17" s="1"/>
  <c r="N112" i="17" s="1"/>
  <c r="C113" i="17" s="1"/>
  <c r="D113" i="17" s="1"/>
  <c r="E113" i="17" s="1"/>
  <c r="F113" i="17" s="1"/>
  <c r="G113" i="17" s="1"/>
  <c r="H113" i="17" s="1"/>
  <c r="I113" i="17" s="1"/>
  <c r="J113" i="17" s="1"/>
  <c r="K113" i="17" s="1"/>
  <c r="L113" i="17" s="1"/>
  <c r="M113" i="17" s="1"/>
  <c r="N113" i="17" s="1"/>
  <c r="C117" i="17" s="1"/>
  <c r="D117" i="17" s="1"/>
  <c r="E117" i="17" s="1"/>
  <c r="F117" i="17" s="1"/>
  <c r="H117" i="17" s="1"/>
  <c r="I117" i="17" s="1"/>
  <c r="J117" i="17" s="1"/>
  <c r="K117" i="17" s="1"/>
  <c r="M117" i="17" s="1"/>
  <c r="N117" i="17" s="1"/>
  <c r="O117" i="17" s="1"/>
  <c r="P117" i="17" s="1"/>
  <c r="O31" i="17"/>
  <c r="K33" i="17"/>
  <c r="K35" i="17" s="1"/>
  <c r="J12" i="18" s="1"/>
  <c r="J20" i="18" s="1"/>
  <c r="J36" i="18" s="1"/>
  <c r="C33" i="17"/>
  <c r="C35" i="17" s="1"/>
  <c r="F33" i="17"/>
  <c r="F35" i="17" s="1"/>
  <c r="E12" i="18" s="1"/>
  <c r="E20" i="18" s="1"/>
  <c r="E36" i="18" s="1"/>
  <c r="N33" i="17"/>
  <c r="N35" i="17" s="1"/>
  <c r="M12" i="18" s="1"/>
  <c r="M20" i="18" s="1"/>
  <c r="M36" i="18" s="1"/>
  <c r="E33" i="17"/>
  <c r="E35" i="17" s="1"/>
  <c r="D12" i="18" s="1"/>
  <c r="D20" i="18" s="1"/>
  <c r="D36" i="18" s="1"/>
  <c r="H33" i="17"/>
  <c r="H35" i="17" s="1"/>
  <c r="G12" i="18" s="1"/>
  <c r="G20" i="18" s="1"/>
  <c r="G36" i="18" s="1"/>
  <c r="G33" i="17"/>
  <c r="G35" i="17" s="1"/>
  <c r="F12" i="18" s="1"/>
  <c r="F20" i="18" s="1"/>
  <c r="F36" i="18" s="1"/>
  <c r="D33" i="17"/>
  <c r="D35" i="17" s="1"/>
  <c r="C12" i="18" s="1"/>
  <c r="C20" i="18" s="1"/>
  <c r="C36" i="18" s="1"/>
  <c r="I33" i="17"/>
  <c r="I35" i="17" s="1"/>
  <c r="H12" i="18" s="1"/>
  <c r="H20" i="18" s="1"/>
  <c r="H36" i="18" s="1"/>
  <c r="M33" i="17"/>
  <c r="M35" i="17" s="1"/>
  <c r="L12" i="18" s="1"/>
  <c r="L20" i="18" s="1"/>
  <c r="L36" i="18" s="1"/>
  <c r="C12" i="9"/>
  <c r="L33" i="17"/>
  <c r="L35" i="17" s="1"/>
  <c r="K12" i="18" s="1"/>
  <c r="K20" i="18" s="1"/>
  <c r="K36" i="18" s="1"/>
  <c r="J33" i="17"/>
  <c r="J35" i="17" s="1"/>
  <c r="I12" i="18" s="1"/>
  <c r="I20" i="18" s="1"/>
  <c r="I36" i="18" s="1"/>
  <c r="T98" i="17"/>
  <c r="Q98" i="17"/>
  <c r="B12" i="18" l="1"/>
  <c r="O35" i="17"/>
  <c r="C14" i="9"/>
  <c r="D12" i="9"/>
  <c r="O33" i="17"/>
  <c r="N66" i="17" l="1"/>
  <c r="N68" i="17" s="1"/>
  <c r="M48" i="18" s="1"/>
  <c r="M56" i="18" s="1"/>
  <c r="M72" i="18" s="1"/>
  <c r="F66" i="17"/>
  <c r="F68" i="17" s="1"/>
  <c r="E48" i="18" s="1"/>
  <c r="E56" i="18" s="1"/>
  <c r="E72" i="18" s="1"/>
  <c r="H66" i="17"/>
  <c r="H68" i="17" s="1"/>
  <c r="G48" i="18" s="1"/>
  <c r="G56" i="18" s="1"/>
  <c r="G72" i="18" s="1"/>
  <c r="G66" i="17"/>
  <c r="G68" i="17" s="1"/>
  <c r="F48" i="18" s="1"/>
  <c r="F56" i="18" s="1"/>
  <c r="F72" i="18" s="1"/>
  <c r="E66" i="17"/>
  <c r="E68" i="17" s="1"/>
  <c r="D48" i="18" s="1"/>
  <c r="D56" i="18" s="1"/>
  <c r="D72" i="18" s="1"/>
  <c r="D66" i="17"/>
  <c r="D68" i="17" s="1"/>
  <c r="C48" i="18" s="1"/>
  <c r="C56" i="18" s="1"/>
  <c r="C72" i="18" s="1"/>
  <c r="C66" i="17"/>
  <c r="M66" i="17"/>
  <c r="M68" i="17" s="1"/>
  <c r="L48" i="18" s="1"/>
  <c r="L56" i="18" s="1"/>
  <c r="L72" i="18" s="1"/>
  <c r="L66" i="17"/>
  <c r="L68" i="17" s="1"/>
  <c r="K48" i="18" s="1"/>
  <c r="K56" i="18" s="1"/>
  <c r="K72" i="18" s="1"/>
  <c r="I66" i="17"/>
  <c r="I68" i="17" s="1"/>
  <c r="H48" i="18" s="1"/>
  <c r="H56" i="18" s="1"/>
  <c r="H72" i="18" s="1"/>
  <c r="K66" i="17"/>
  <c r="K68" i="17" s="1"/>
  <c r="J48" i="18" s="1"/>
  <c r="J56" i="18" s="1"/>
  <c r="J72" i="18" s="1"/>
  <c r="J66" i="17"/>
  <c r="J68" i="17" s="1"/>
  <c r="I48" i="18" s="1"/>
  <c r="I56" i="18" s="1"/>
  <c r="I72" i="18" s="1"/>
  <c r="D14" i="9"/>
  <c r="E12" i="9"/>
  <c r="C32" i="13"/>
  <c r="C15" i="9"/>
  <c r="N12" i="18"/>
  <c r="N20" i="18" s="1"/>
  <c r="B20" i="18"/>
  <c r="B36" i="18" l="1"/>
  <c r="F100" i="17"/>
  <c r="F102" i="17" s="1"/>
  <c r="E84" i="18" s="1"/>
  <c r="E92" i="18" s="1"/>
  <c r="E108" i="18" s="1"/>
  <c r="D100" i="17"/>
  <c r="D102" i="17" s="1"/>
  <c r="C84" i="18" s="1"/>
  <c r="C92" i="18" s="1"/>
  <c r="C108" i="18" s="1"/>
  <c r="C100" i="17"/>
  <c r="E100" i="17"/>
  <c r="E102" i="17" s="1"/>
  <c r="D84" i="18" s="1"/>
  <c r="D92" i="18" s="1"/>
  <c r="D108" i="18" s="1"/>
  <c r="E14" i="9"/>
  <c r="F12" i="9"/>
  <c r="G12" i="9" s="1"/>
  <c r="P33" i="17"/>
  <c r="C34" i="13"/>
  <c r="O66" i="17"/>
  <c r="C68" i="17"/>
  <c r="D32" i="13"/>
  <c r="D15" i="9"/>
  <c r="N36" i="18"/>
  <c r="B39" i="18"/>
  <c r="C38" i="18" s="1"/>
  <c r="C39" i="18" s="1"/>
  <c r="D38" i="18" s="1"/>
  <c r="D39" i="18" s="1"/>
  <c r="E38" i="18" s="1"/>
  <c r="E39" i="18" s="1"/>
  <c r="F38" i="18" s="1"/>
  <c r="F39" i="18" s="1"/>
  <c r="G38" i="18" s="1"/>
  <c r="G39" i="18" s="1"/>
  <c r="H38" i="18" s="1"/>
  <c r="H39" i="18" s="1"/>
  <c r="I38" i="18" s="1"/>
  <c r="I39" i="18" s="1"/>
  <c r="J38" i="18" s="1"/>
  <c r="J39" i="18" s="1"/>
  <c r="K38" i="18" s="1"/>
  <c r="K39" i="18" s="1"/>
  <c r="L38" i="18" s="1"/>
  <c r="L39" i="18" s="1"/>
  <c r="M38" i="18" s="1"/>
  <c r="M39" i="18" s="1"/>
  <c r="B74" i="18" s="1"/>
  <c r="E32" i="13" l="1"/>
  <c r="E15" i="9"/>
  <c r="P66" i="17"/>
  <c r="D34" i="13"/>
  <c r="G100" i="17"/>
  <c r="C102" i="17"/>
  <c r="C14" i="20"/>
  <c r="C11" i="19"/>
  <c r="C31" i="19" s="1"/>
  <c r="P35" i="17"/>
  <c r="C35" i="13"/>
  <c r="F26" i="3" s="1"/>
  <c r="C48" i="12"/>
  <c r="C50" i="12" s="1"/>
  <c r="C52" i="12" s="1"/>
  <c r="C7" i="15"/>
  <c r="K100" i="17"/>
  <c r="K102" i="17" s="1"/>
  <c r="J84" i="18" s="1"/>
  <c r="J92" i="18" s="1"/>
  <c r="J108" i="18" s="1"/>
  <c r="J100" i="17"/>
  <c r="J102" i="17" s="1"/>
  <c r="I84" i="18" s="1"/>
  <c r="I92" i="18" s="1"/>
  <c r="I108" i="18" s="1"/>
  <c r="I100" i="17"/>
  <c r="I102" i="17" s="1"/>
  <c r="H84" i="18" s="1"/>
  <c r="H92" i="18" s="1"/>
  <c r="H108" i="18" s="1"/>
  <c r="H100" i="17"/>
  <c r="F14" i="9"/>
  <c r="B48" i="18"/>
  <c r="O68" i="17"/>
  <c r="L100" i="17" l="1"/>
  <c r="H102" i="17"/>
  <c r="D14" i="20"/>
  <c r="F14" i="20"/>
  <c r="B84" i="18"/>
  <c r="G102" i="17"/>
  <c r="O12" i="18"/>
  <c r="C15" i="15"/>
  <c r="C17" i="19"/>
  <c r="C30" i="14"/>
  <c r="C31" i="14" s="1"/>
  <c r="D51" i="12"/>
  <c r="C15" i="20"/>
  <c r="D11" i="19"/>
  <c r="D31" i="19" s="1"/>
  <c r="D22" i="19"/>
  <c r="P68" i="17"/>
  <c r="D7" i="15"/>
  <c r="D35" i="13"/>
  <c r="G26" i="3" s="1"/>
  <c r="D48" i="12"/>
  <c r="D50" i="12" s="1"/>
  <c r="G35" i="3"/>
  <c r="B56" i="18"/>
  <c r="N48" i="18"/>
  <c r="N100" i="17"/>
  <c r="N102" i="17" s="1"/>
  <c r="M84" i="18" s="1"/>
  <c r="M92" i="18" s="1"/>
  <c r="M108" i="18" s="1"/>
  <c r="P100" i="17"/>
  <c r="P102" i="17" s="1"/>
  <c r="O84" i="18" s="1"/>
  <c r="O92" i="18" s="1"/>
  <c r="O108" i="18" s="1"/>
  <c r="O100" i="17"/>
  <c r="O102" i="17" s="1"/>
  <c r="N84" i="18" s="1"/>
  <c r="N92" i="18" s="1"/>
  <c r="N108" i="18" s="1"/>
  <c r="M100" i="17"/>
  <c r="G14" i="9"/>
  <c r="R100" i="17"/>
  <c r="E34" i="13"/>
  <c r="F32" i="13"/>
  <c r="F15" i="9"/>
  <c r="D52" i="12" l="1"/>
  <c r="E51" i="12" s="1"/>
  <c r="B92" i="18"/>
  <c r="F84" i="18"/>
  <c r="E11" i="19"/>
  <c r="E31" i="19" s="1"/>
  <c r="C16" i="20"/>
  <c r="E22" i="19"/>
  <c r="R102" i="17"/>
  <c r="E7" i="15"/>
  <c r="E48" i="12"/>
  <c r="E50" i="12" s="1"/>
  <c r="E35" i="13"/>
  <c r="H26" i="3" s="1"/>
  <c r="H35" i="3"/>
  <c r="B72" i="18"/>
  <c r="N56" i="18"/>
  <c r="S100" i="17"/>
  <c r="F34" i="13"/>
  <c r="O48" i="18"/>
  <c r="D15" i="15"/>
  <c r="F14" i="3"/>
  <c r="C26" i="19"/>
  <c r="C32" i="14"/>
  <c r="F30" i="3"/>
  <c r="F31" i="3"/>
  <c r="C35" i="19"/>
  <c r="C36" i="19"/>
  <c r="I14" i="20"/>
  <c r="G23" i="20"/>
  <c r="G14" i="20"/>
  <c r="G32" i="13"/>
  <c r="G15" i="9"/>
  <c r="Q100" i="17"/>
  <c r="M102" i="17"/>
  <c r="G84" i="18"/>
  <c r="L102" i="17"/>
  <c r="D15" i="20"/>
  <c r="F15" i="20"/>
  <c r="O20" i="18"/>
  <c r="C12" i="19"/>
  <c r="C31" i="15"/>
  <c r="D17" i="19" l="1"/>
  <c r="E52" i="12"/>
  <c r="F51" i="12" s="1"/>
  <c r="D30" i="14"/>
  <c r="D31" i="14" s="1"/>
  <c r="G31" i="3" s="1"/>
  <c r="L84" i="18"/>
  <c r="Q102" i="17"/>
  <c r="C17" i="20"/>
  <c r="F11" i="19"/>
  <c r="F31" i="19" s="1"/>
  <c r="F22" i="19"/>
  <c r="S102" i="17"/>
  <c r="F48" i="12"/>
  <c r="F50" i="12" s="1"/>
  <c r="F7" i="15"/>
  <c r="F35" i="13"/>
  <c r="I26" i="3" s="1"/>
  <c r="I35" i="3"/>
  <c r="Q84" i="18"/>
  <c r="E15" i="15"/>
  <c r="B108" i="18"/>
  <c r="F92" i="18"/>
  <c r="K14" i="20"/>
  <c r="H14" i="20"/>
  <c r="O36" i="18"/>
  <c r="C34" i="15"/>
  <c r="T100" i="17"/>
  <c r="G34" i="13"/>
  <c r="N72" i="18"/>
  <c r="B75" i="18"/>
  <c r="C74" i="18" s="1"/>
  <c r="C75" i="18" s="1"/>
  <c r="D74" i="18" s="1"/>
  <c r="D75" i="18" s="1"/>
  <c r="E74" i="18" s="1"/>
  <c r="E75" i="18" s="1"/>
  <c r="F74" i="18" s="1"/>
  <c r="F75" i="18" s="1"/>
  <c r="G74" i="18" s="1"/>
  <c r="G75" i="18" s="1"/>
  <c r="H74" i="18" s="1"/>
  <c r="H75" i="18" s="1"/>
  <c r="I74" i="18" s="1"/>
  <c r="I75" i="18" s="1"/>
  <c r="J74" i="18" s="1"/>
  <c r="J75" i="18" s="1"/>
  <c r="K74" i="18" s="1"/>
  <c r="K75" i="18" s="1"/>
  <c r="L74" i="18" s="1"/>
  <c r="L75" i="18" s="1"/>
  <c r="M74" i="18" s="1"/>
  <c r="M75" i="18" s="1"/>
  <c r="B110" i="18" s="1"/>
  <c r="K23" i="20"/>
  <c r="I23" i="20"/>
  <c r="H23" i="20"/>
  <c r="I15" i="20"/>
  <c r="G24" i="20"/>
  <c r="G15" i="20"/>
  <c r="D31" i="15"/>
  <c r="O72" i="18" s="1"/>
  <c r="O56" i="18"/>
  <c r="D12" i="19"/>
  <c r="K84" i="18"/>
  <c r="G92" i="18"/>
  <c r="D16" i="20"/>
  <c r="D36" i="19" l="1"/>
  <c r="D35" i="19"/>
  <c r="G30" i="3"/>
  <c r="D26" i="19"/>
  <c r="E17" i="19"/>
  <c r="E30" i="14"/>
  <c r="E31" i="14" s="1"/>
  <c r="E26" i="19" s="1"/>
  <c r="G14" i="3"/>
  <c r="D32" i="14"/>
  <c r="F52" i="12"/>
  <c r="G51" i="12" s="1"/>
  <c r="G25" i="20"/>
  <c r="G16" i="20"/>
  <c r="O39" i="18"/>
  <c r="C9" i="14"/>
  <c r="D33" i="15"/>
  <c r="B10" i="21"/>
  <c r="B21" i="21" s="1"/>
  <c r="G22" i="19"/>
  <c r="G11" i="19"/>
  <c r="G31" i="19" s="1"/>
  <c r="T102" i="17"/>
  <c r="C18" i="20"/>
  <c r="G48" i="12"/>
  <c r="G50" i="12" s="1"/>
  <c r="G7" i="15"/>
  <c r="G35" i="13"/>
  <c r="J26" i="3" s="1"/>
  <c r="J35" i="3"/>
  <c r="L15" i="20"/>
  <c r="H15" i="20"/>
  <c r="D17" i="20"/>
  <c r="F16" i="20"/>
  <c r="L24" i="20"/>
  <c r="H24" i="20"/>
  <c r="I24" i="20"/>
  <c r="F108" i="18"/>
  <c r="B111" i="18"/>
  <c r="C110" i="18" s="1"/>
  <c r="C111" i="18" s="1"/>
  <c r="D110" i="18" s="1"/>
  <c r="D111" i="18" s="1"/>
  <c r="E110" i="18" s="1"/>
  <c r="E111" i="18" s="1"/>
  <c r="G110" i="18" s="1"/>
  <c r="R84" i="18"/>
  <c r="F15" i="15"/>
  <c r="Q92" i="18"/>
  <c r="E12" i="19"/>
  <c r="E31" i="15"/>
  <c r="Q108" i="18" s="1"/>
  <c r="G108" i="18"/>
  <c r="K92" i="18"/>
  <c r="P84" i="18"/>
  <c r="L92" i="18"/>
  <c r="E35" i="19" l="1"/>
  <c r="H14" i="3"/>
  <c r="E36" i="19"/>
  <c r="H30" i="3"/>
  <c r="H31" i="3"/>
  <c r="E32" i="14"/>
  <c r="F17" i="19"/>
  <c r="F30" i="14"/>
  <c r="F31" i="14" s="1"/>
  <c r="I14" i="3" s="1"/>
  <c r="S84" i="18"/>
  <c r="G15" i="15"/>
  <c r="B35" i="21"/>
  <c r="D35" i="21"/>
  <c r="C35" i="21"/>
  <c r="D25" i="21"/>
  <c r="B25" i="21"/>
  <c r="C25" i="21"/>
  <c r="G52" i="12"/>
  <c r="D18" i="20"/>
  <c r="O74" i="18"/>
  <c r="D34" i="15"/>
  <c r="C16" i="19"/>
  <c r="C13" i="14"/>
  <c r="R92" i="18"/>
  <c r="F12" i="19"/>
  <c r="F31" i="15"/>
  <c r="R108" i="18" s="1"/>
  <c r="G17" i="20"/>
  <c r="G26" i="20"/>
  <c r="F17" i="20"/>
  <c r="H16" i="20"/>
  <c r="M16" i="20"/>
  <c r="I16" i="20" s="1"/>
  <c r="G111" i="18"/>
  <c r="H110" i="18" s="1"/>
  <c r="H111" i="18" s="1"/>
  <c r="I110" i="18" s="1"/>
  <c r="I111" i="18" s="1"/>
  <c r="J110" i="18" s="1"/>
  <c r="J111" i="18" s="1"/>
  <c r="L110" i="18" s="1"/>
  <c r="K108" i="18"/>
  <c r="P92" i="18"/>
  <c r="L108" i="18"/>
  <c r="H25" i="20"/>
  <c r="M25" i="20"/>
  <c r="I25" i="20" s="1"/>
  <c r="I31" i="3" l="1"/>
  <c r="F35" i="19"/>
  <c r="F36" i="19"/>
  <c r="F32" i="14"/>
  <c r="F26" i="19"/>
  <c r="I30" i="3"/>
  <c r="D29" i="21"/>
  <c r="D30" i="21" s="1"/>
  <c r="C29" i="21"/>
  <c r="C30" i="21" s="1"/>
  <c r="B29" i="21"/>
  <c r="B30" i="21" s="1"/>
  <c r="C25" i="19"/>
  <c r="C15" i="14"/>
  <c r="F13" i="3"/>
  <c r="C37" i="21"/>
  <c r="C36" i="21"/>
  <c r="O75" i="18"/>
  <c r="D9" i="14"/>
  <c r="E33" i="15"/>
  <c r="D37" i="21"/>
  <c r="D36" i="21"/>
  <c r="N26" i="20"/>
  <c r="I26" i="20" s="1"/>
  <c r="H26" i="20"/>
  <c r="P108" i="18"/>
  <c r="L111" i="18"/>
  <c r="M110" i="18" s="1"/>
  <c r="M111" i="18" s="1"/>
  <c r="N110" i="18" s="1"/>
  <c r="N111" i="18" s="1"/>
  <c r="O110" i="18" s="1"/>
  <c r="O111" i="18" s="1"/>
  <c r="H17" i="20"/>
  <c r="N17" i="20"/>
  <c r="I17" i="20" s="1"/>
  <c r="B37" i="21"/>
  <c r="B36" i="21"/>
  <c r="G27" i="20"/>
  <c r="G18" i="20"/>
  <c r="G12" i="19"/>
  <c r="S92" i="18"/>
  <c r="G31" i="15"/>
  <c r="S108" i="18" s="1"/>
  <c r="F18" i="20"/>
  <c r="G17" i="19"/>
  <c r="G30" i="14"/>
  <c r="G31" i="14" s="1"/>
  <c r="J14" i="3" l="1"/>
  <c r="G26" i="19"/>
  <c r="G32" i="14"/>
  <c r="J31" i="3"/>
  <c r="J30" i="3"/>
  <c r="G36" i="19"/>
  <c r="G35" i="19"/>
  <c r="Q110" i="18"/>
  <c r="E34" i="15"/>
  <c r="H18" i="20"/>
  <c r="O18" i="20"/>
  <c r="I18" i="20" s="1"/>
  <c r="H27" i="20"/>
  <c r="O27" i="20"/>
  <c r="I27" i="20" s="1"/>
  <c r="C34" i="19"/>
  <c r="F29" i="3"/>
  <c r="D16" i="19"/>
  <c r="D13" i="14"/>
  <c r="D25" i="19" l="1"/>
  <c r="D15" i="14"/>
  <c r="G13" i="3"/>
  <c r="Q111" i="18"/>
  <c r="E9" i="14"/>
  <c r="F33" i="15"/>
  <c r="R110" i="18" l="1"/>
  <c r="F34" i="15"/>
  <c r="E16" i="19"/>
  <c r="E13" i="14"/>
  <c r="G29" i="3"/>
  <c r="D34" i="19"/>
  <c r="E25" i="19" l="1"/>
  <c r="E15" i="14"/>
  <c r="H13" i="3"/>
  <c r="R111" i="18"/>
  <c r="G33" i="15"/>
  <c r="F9" i="14"/>
  <c r="F16" i="19" l="1"/>
  <c r="F13" i="14"/>
  <c r="S110" i="18"/>
  <c r="G34" i="15"/>
  <c r="E34" i="19"/>
  <c r="H29" i="3"/>
  <c r="S111" i="18" l="1"/>
  <c r="N1" i="13" s="1"/>
  <c r="G9" i="14"/>
  <c r="F25" i="19"/>
  <c r="F15" i="14"/>
  <c r="I13" i="3"/>
  <c r="F34" i="19" l="1"/>
  <c r="I29" i="3"/>
  <c r="G16" i="19"/>
  <c r="G13" i="14"/>
  <c r="G25" i="19" l="1"/>
  <c r="G15" i="14"/>
  <c r="N1" i="14" s="1"/>
  <c r="J13" i="3"/>
  <c r="G34" i="19" l="1"/>
  <c r="J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7" authorId="0" shapeId="0" xr:uid="{00000000-0006-0000-0A00-000004000000}">
      <text>
        <r>
          <rPr>
            <sz val="10"/>
            <color rgb="FF000000"/>
            <rFont val="Arimo"/>
            <scheme val="minor"/>
          </rPr>
          <t>Author:
Inventory turns chancges each year to reflect the differnet mix of product and services</t>
        </r>
      </text>
    </comment>
  </commentList>
</comments>
</file>

<file path=xl/sharedStrings.xml><?xml version="1.0" encoding="utf-8"?>
<sst xmlns="http://schemas.openxmlformats.org/spreadsheetml/2006/main" count="1214" uniqueCount="426">
  <si>
    <t>XYZ Company</t>
  </si>
  <si>
    <t>Peer Company Comparisons</t>
  </si>
  <si>
    <t>Select Best</t>
  </si>
  <si>
    <t>Company A</t>
  </si>
  <si>
    <t>Company B</t>
  </si>
  <si>
    <t>Company C</t>
  </si>
  <si>
    <t>Comparison</t>
  </si>
  <si>
    <t>Projections</t>
  </si>
  <si>
    <t>Ratios</t>
  </si>
  <si>
    <t>Year 1</t>
  </si>
  <si>
    <t>Year 2</t>
  </si>
  <si>
    <t>Year 3</t>
  </si>
  <si>
    <t>Year 4</t>
  </si>
  <si>
    <t>Year 5</t>
  </si>
  <si>
    <t>Accounts Receivable % of Rev</t>
  </si>
  <si>
    <t>Inventory % of Rev</t>
  </si>
  <si>
    <t>Accounts Payable % of Rev</t>
  </si>
  <si>
    <t>Working Capital % of Rev</t>
  </si>
  <si>
    <t>Net Fixed Assets % of Rev</t>
  </si>
  <si>
    <t>Current Ratio</t>
  </si>
  <si>
    <t>Debt to Capital (LT Debt + Equity)</t>
  </si>
  <si>
    <t>Profitability</t>
  </si>
  <si>
    <t>Gross Profit % of Rev</t>
  </si>
  <si>
    <t>Sales &amp; Marketing % of Rev</t>
  </si>
  <si>
    <t>Research &amp; Development % of Rev</t>
  </si>
  <si>
    <t>General &amp; Administration % of Rev</t>
  </si>
  <si>
    <t>Operating Expenses % of Rev</t>
  </si>
  <si>
    <t>Earnings from Operations % of Rev</t>
  </si>
  <si>
    <t>EBIT % of Rev</t>
  </si>
  <si>
    <t>Depreciation % of Rev</t>
  </si>
  <si>
    <t>EBITDA % of Rev</t>
  </si>
  <si>
    <t>Net Earnings % of Rev</t>
  </si>
  <si>
    <t>Returns</t>
  </si>
  <si>
    <t>Return on Assets</t>
  </si>
  <si>
    <t>Return on Equity</t>
  </si>
  <si>
    <t>Return on Capital (LT Debt + Equity)</t>
  </si>
  <si>
    <t>Growth</t>
  </si>
  <si>
    <t xml:space="preserve">   Revenue Growth Rate - CAGR:</t>
  </si>
  <si>
    <t xml:space="preserve">   Net Earnings Growth Rate - CAGR:</t>
  </si>
  <si>
    <t>Revenue Projections</t>
  </si>
  <si>
    <t>Years 1 to 5</t>
  </si>
  <si>
    <t>($)</t>
  </si>
  <si>
    <t>Product A</t>
  </si>
  <si>
    <t>Number of Units</t>
  </si>
  <si>
    <t>Price per unit</t>
  </si>
  <si>
    <t xml:space="preserve">Total </t>
  </si>
  <si>
    <t>Service B</t>
  </si>
  <si>
    <t>Number of Customers</t>
  </si>
  <si>
    <t>Fee per Customer</t>
  </si>
  <si>
    <t>Net Revenue</t>
  </si>
  <si>
    <t>Revenues by Months &amp; Quarters</t>
  </si>
  <si>
    <t>Months</t>
  </si>
  <si>
    <t>Month 1</t>
  </si>
  <si>
    <t>Month 2</t>
  </si>
  <si>
    <t>Month 3</t>
  </si>
  <si>
    <t>Total 1st Quarter</t>
  </si>
  <si>
    <t>Month 4</t>
  </si>
  <si>
    <t>Month 5</t>
  </si>
  <si>
    <t>Month 6</t>
  </si>
  <si>
    <t>Total 2nd Quarter</t>
  </si>
  <si>
    <t>Month 7</t>
  </si>
  <si>
    <t>Month 8</t>
  </si>
  <si>
    <t>Month 9</t>
  </si>
  <si>
    <t>Total 3rd Quarter</t>
  </si>
  <si>
    <t>Month 10</t>
  </si>
  <si>
    <t>Month 11</t>
  </si>
  <si>
    <t>Month 12</t>
  </si>
  <si>
    <t>Total 4th Quarter</t>
  </si>
  <si>
    <t>Total for year</t>
  </si>
  <si>
    <t xml:space="preserve">Average Revenue </t>
  </si>
  <si>
    <t>by Month</t>
  </si>
  <si>
    <t>by Quarter</t>
  </si>
  <si>
    <t>Cost of Revenues</t>
  </si>
  <si>
    <t>Revenue</t>
  </si>
  <si>
    <t>Cost of Revenue</t>
  </si>
  <si>
    <t>Material Costs per Unit</t>
  </si>
  <si>
    <t>Total Direct Costs per Unit</t>
  </si>
  <si>
    <t>Unit Sales</t>
  </si>
  <si>
    <t xml:space="preserve">Total Direct Costs </t>
  </si>
  <si>
    <t>Labor Costs</t>
  </si>
  <si>
    <t>Total Direct Costs</t>
  </si>
  <si>
    <t>Service Personnel Costs</t>
  </si>
  <si>
    <t>Other Expenses</t>
  </si>
  <si>
    <t>Salary Expenses</t>
  </si>
  <si>
    <t>Depreciation</t>
  </si>
  <si>
    <t>Facility costs (rent, energy)</t>
  </si>
  <si>
    <t>System Costs</t>
  </si>
  <si>
    <t>All other costs % of Revenue</t>
  </si>
  <si>
    <t>Total Cost of Revenues</t>
  </si>
  <si>
    <t xml:space="preserve">      % of Revenue</t>
  </si>
  <si>
    <t>Allocation of Cost of Revenue between:</t>
  </si>
  <si>
    <t>Variable</t>
  </si>
  <si>
    <t>Fixed</t>
  </si>
  <si>
    <t>Total</t>
  </si>
  <si>
    <t xml:space="preserve"> Cost of Revenues by Months &amp; Quarters</t>
  </si>
  <si>
    <t>Operating Expenses</t>
  </si>
  <si>
    <t>Net Revenues</t>
  </si>
  <si>
    <t>Sales &amp; Marketing</t>
  </si>
  <si>
    <t>Drivers</t>
  </si>
  <si>
    <t>Salaries and Benefits</t>
  </si>
  <si>
    <t>Commissions % of Revenue</t>
  </si>
  <si>
    <t>Direct Mail Campaign</t>
  </si>
  <si>
    <t>All other expenses % of Revenue</t>
  </si>
  <si>
    <t>Total Sales and Marketing</t>
  </si>
  <si>
    <t>Research &amp; Development</t>
  </si>
  <si>
    <t>Testing</t>
  </si>
  <si>
    <t>General &amp; Administration</t>
  </si>
  <si>
    <t>Rent and Utilities</t>
  </si>
  <si>
    <t>Total General &amp; Administration</t>
  </si>
  <si>
    <t>Total Operating Expenses</t>
  </si>
  <si>
    <t>% of Revenue</t>
  </si>
  <si>
    <t>Allocation of Operating Expenses between:</t>
  </si>
  <si>
    <t>Sales &amp; Marketing by Months &amp; Quarters</t>
  </si>
  <si>
    <t>Research &amp; Development by Months &amp; Quarters</t>
  </si>
  <si>
    <t>General &amp; Administrative by Months &amp; Quarters</t>
  </si>
  <si>
    <t>Personnel</t>
  </si>
  <si>
    <t>Sales Manager</t>
  </si>
  <si>
    <t>Marketing Manager</t>
  </si>
  <si>
    <t>Total Salary</t>
  </si>
  <si>
    <t>Benefits</t>
  </si>
  <si>
    <t>Percent (%)</t>
  </si>
  <si>
    <t>Total benefit costs</t>
  </si>
  <si>
    <t xml:space="preserve">   Total S &amp; M Compensation</t>
  </si>
  <si>
    <t>Research and Development</t>
  </si>
  <si>
    <t>Total R &amp; D Compensation</t>
  </si>
  <si>
    <t>Accounting</t>
  </si>
  <si>
    <t>Secretarial</t>
  </si>
  <si>
    <t>Total G &amp; A Compensation</t>
  </si>
  <si>
    <t>Manufacturing Personnel</t>
  </si>
  <si>
    <t>Operations Manager</t>
  </si>
  <si>
    <t>Total Salary Costs</t>
  </si>
  <si>
    <t>Hourly Personnel</t>
  </si>
  <si>
    <t>Number of employees</t>
  </si>
  <si>
    <t>Average wages per employee</t>
  </si>
  <si>
    <t>Total wages</t>
  </si>
  <si>
    <t>Total Wage Costs</t>
  </si>
  <si>
    <t>Service Personnel</t>
  </si>
  <si>
    <t>Salary per employee</t>
  </si>
  <si>
    <t>Total salaries</t>
  </si>
  <si>
    <t>Total COR's Compensation</t>
  </si>
  <si>
    <t>Total Salary &amp; Wages</t>
  </si>
  <si>
    <t>Total Benefits</t>
  </si>
  <si>
    <t>Total Compensation</t>
  </si>
  <si>
    <t>Extraordinary Income &amp; Expense</t>
  </si>
  <si>
    <t>Income</t>
  </si>
  <si>
    <t>Start-up expenses</t>
  </si>
  <si>
    <t>Legal</t>
  </si>
  <si>
    <t>Relocation</t>
  </si>
  <si>
    <t>Total Extraordinary Income/(Expense)</t>
  </si>
  <si>
    <t>Extraordinary Income and Expense by Months &amp; Quarters</t>
  </si>
  <si>
    <t>Taxes</t>
  </si>
  <si>
    <t>Income Tax (Rate Federal &amp; State)</t>
  </si>
  <si>
    <t>Net Earnings Before Taxes</t>
  </si>
  <si>
    <t>Cumulative</t>
  </si>
  <si>
    <t xml:space="preserve">  Percent of Revenues</t>
  </si>
  <si>
    <t>Property and Equipment</t>
  </si>
  <si>
    <t>Year 0</t>
  </si>
  <si>
    <t>Purchased</t>
  </si>
  <si>
    <t>Assets</t>
  </si>
  <si>
    <t>Capital Expenditures</t>
  </si>
  <si>
    <t>Computers, Software &amp; Office Equipment</t>
  </si>
  <si>
    <t>Plant &amp; Equipment</t>
  </si>
  <si>
    <t>Other</t>
  </si>
  <si>
    <t>Total Capital Expenditures</t>
  </si>
  <si>
    <t xml:space="preserve">       % of Revenue</t>
  </si>
  <si>
    <t>Depreciation Computers, Sofware &amp; Office Equipment (allocated to General &amp; Administrative Expenses)</t>
  </si>
  <si>
    <t xml:space="preserve">   Depreciation Rate: Years</t>
  </si>
  <si>
    <t xml:space="preserve">   Year 0</t>
  </si>
  <si>
    <t xml:space="preserve">   Year 1</t>
  </si>
  <si>
    <t xml:space="preserve">   Year 2</t>
  </si>
  <si>
    <t xml:space="preserve">   Year 3</t>
  </si>
  <si>
    <t xml:space="preserve">   Year 4</t>
  </si>
  <si>
    <t xml:space="preserve">   Year 5</t>
  </si>
  <si>
    <t xml:space="preserve">   Total Depreciation</t>
  </si>
  <si>
    <t>Depreciation on Plant and Equipment (allocated to Cost of Revenue)</t>
  </si>
  <si>
    <t>Depreciation Other (allocated to Cost of Revenue)</t>
  </si>
  <si>
    <t>Total Depreciation</t>
  </si>
  <si>
    <t>Property &amp; Equipment</t>
  </si>
  <si>
    <t xml:space="preserve">   Gross Asset Value</t>
  </si>
  <si>
    <t xml:space="preserve">   Accumulated Depreciation</t>
  </si>
  <si>
    <t xml:space="preserve">   Net Property and Equipment</t>
  </si>
  <si>
    <t xml:space="preserve">     % of Revenue</t>
  </si>
  <si>
    <t>Capital Expenditures by Months &amp; Quarters</t>
  </si>
  <si>
    <t>Working Capital</t>
  </si>
  <si>
    <t>Accounts Receivable</t>
  </si>
  <si>
    <t>Days Outstanding</t>
  </si>
  <si>
    <t xml:space="preserve">Accounts Receivable </t>
  </si>
  <si>
    <t>(Increase)/Decrease from Prev. Period</t>
  </si>
  <si>
    <t>Inventory</t>
  </si>
  <si>
    <t>Inventory Turns</t>
  </si>
  <si>
    <t>Inventory Days</t>
  </si>
  <si>
    <t xml:space="preserve">Inventory </t>
  </si>
  <si>
    <t>Other Current Assets</t>
  </si>
  <si>
    <t>Days</t>
  </si>
  <si>
    <t>Other CA Value</t>
  </si>
  <si>
    <t>Accounts Payable &amp; Accrued Expenses</t>
  </si>
  <si>
    <t>AP &amp; Accrued Value</t>
  </si>
  <si>
    <t>Increase/(Decrease) from Prev. Period</t>
  </si>
  <si>
    <t>Other Current Liabilites</t>
  </si>
  <si>
    <t>Other Current Liabilities</t>
  </si>
  <si>
    <t>Accounts Receivable by Months &amp; Quarters</t>
  </si>
  <si>
    <t xml:space="preserve">   </t>
  </si>
  <si>
    <t>Inventory by Months &amp; Quarters</t>
  </si>
  <si>
    <t>Other Current Assets by Months &amp; Quarters</t>
  </si>
  <si>
    <t>Accounts Payble &amp; Accrued Expenses by Months &amp; Quarters</t>
  </si>
  <si>
    <t>Other Current Liabilities by Months &amp; Quarters</t>
  </si>
  <si>
    <t>Funding Projections</t>
  </si>
  <si>
    <t>Begin</t>
  </si>
  <si>
    <t>Beginning Cash</t>
  </si>
  <si>
    <t>Equity</t>
  </si>
  <si>
    <t>Common</t>
  </si>
  <si>
    <t>Increase / (Decrease) Previous Period</t>
  </si>
  <si>
    <t>Preferred</t>
  </si>
  <si>
    <t>A Round</t>
  </si>
  <si>
    <t>B Round</t>
  </si>
  <si>
    <t>Total Preferred</t>
  </si>
  <si>
    <t>Total Equity</t>
  </si>
  <si>
    <t>Debt</t>
  </si>
  <si>
    <t xml:space="preserve">   Short Term Debt</t>
  </si>
  <si>
    <t xml:space="preserve">   Long Term Debt</t>
  </si>
  <si>
    <t>Current  Portion</t>
  </si>
  <si>
    <t>Long Term Portion</t>
  </si>
  <si>
    <t>Total Long Term Debt</t>
  </si>
  <si>
    <t>Current Portion</t>
  </si>
  <si>
    <t>Long Term Protion</t>
  </si>
  <si>
    <t>Total Equity &amp; Debt</t>
  </si>
  <si>
    <t xml:space="preserve">Interest </t>
  </si>
  <si>
    <t>Interest Rate</t>
  </si>
  <si>
    <t>Short Term Debt</t>
  </si>
  <si>
    <t>Long Term Debt</t>
  </si>
  <si>
    <t>Interest Expense</t>
  </si>
  <si>
    <t>Total Interest</t>
  </si>
  <si>
    <t>Interest Income</t>
  </si>
  <si>
    <t>Retained Earnings</t>
  </si>
  <si>
    <t>Net Income</t>
  </si>
  <si>
    <t>Dividends</t>
  </si>
  <si>
    <t>Increase / (Decrease) Retained Earnings</t>
  </si>
  <si>
    <t>Beginning Retained Earnings</t>
  </si>
  <si>
    <t>Ending Retained Earnings</t>
  </si>
  <si>
    <t>Income Statement</t>
  </si>
  <si>
    <t>NET REVENUES</t>
  </si>
  <si>
    <t>COST OF REVENUE</t>
  </si>
  <si>
    <t xml:space="preserve">          % of Revenues</t>
  </si>
  <si>
    <t>GROSS PROFIT</t>
  </si>
  <si>
    <t>OPERATING EXPENSES</t>
  </si>
  <si>
    <t xml:space="preserve">   Sales &amp; Marketing</t>
  </si>
  <si>
    <t xml:space="preserve">   Research &amp; Development</t>
  </si>
  <si>
    <t xml:space="preserve">   General and Administration</t>
  </si>
  <si>
    <t xml:space="preserve">      Total Operating Expenses</t>
  </si>
  <si>
    <t>EARNINGS FROM OPERATIONS</t>
  </si>
  <si>
    <t>EXTRAORDINARY INCOME / (EXPENSE)</t>
  </si>
  <si>
    <t>EARNINGS BEFORE INTEREST &amp; TAXES</t>
  </si>
  <si>
    <t>INTEREST INCOME / (EXPENSE)</t>
  </si>
  <si>
    <t>NET EARNINGS BEFORE TAXES</t>
  </si>
  <si>
    <t>TAXES</t>
  </si>
  <si>
    <t>NET EARNINGS</t>
  </si>
  <si>
    <t>Balance Sheet</t>
  </si>
  <si>
    <t>ASSETS</t>
  </si>
  <si>
    <t xml:space="preserve">   CURRENT ASSETS</t>
  </si>
  <si>
    <t xml:space="preserve">      Cash</t>
  </si>
  <si>
    <t xml:space="preserve">      Accounts Receivable</t>
  </si>
  <si>
    <t xml:space="preserve">      Inventories</t>
  </si>
  <si>
    <t xml:space="preserve">      Other Current Assets</t>
  </si>
  <si>
    <t xml:space="preserve">      Total Current Assets</t>
  </si>
  <si>
    <t>PROPERTY &amp; EQUIPMENT</t>
  </si>
  <si>
    <t>TOTAL ASSETS</t>
  </si>
  <si>
    <t>LIABILITIES &amp; SHAREHOLDERS' EQUITY</t>
  </si>
  <si>
    <t xml:space="preserve">   CURRENT LIABILITIES</t>
  </si>
  <si>
    <t xml:space="preserve">      Short Term Debt</t>
  </si>
  <si>
    <t xml:space="preserve">      Accounts Payable &amp; Accrued Expen</t>
  </si>
  <si>
    <t xml:space="preserve">      Other Current Liab</t>
  </si>
  <si>
    <t xml:space="preserve">      Current portion of long term debt</t>
  </si>
  <si>
    <t xml:space="preserve">      Total Current Liabilities</t>
  </si>
  <si>
    <r>
      <rPr>
        <sz val="10"/>
        <color theme="1"/>
        <rFont val="Arial"/>
        <family val="2"/>
      </rPr>
      <t xml:space="preserve">   </t>
    </r>
    <r>
      <rPr>
        <b/>
        <sz val="10"/>
        <color theme="1"/>
        <rFont val="Arial"/>
        <family val="2"/>
      </rPr>
      <t>LONG TERM DEBT</t>
    </r>
    <r>
      <rPr>
        <sz val="10"/>
        <color theme="1"/>
        <rFont val="Arial"/>
        <family val="2"/>
      </rPr>
      <t xml:space="preserve"> (less current portion)</t>
    </r>
  </si>
  <si>
    <t xml:space="preserve">   STOCKHOLDERS' EQUITY</t>
  </si>
  <si>
    <t xml:space="preserve">      CommonStock</t>
  </si>
  <si>
    <t xml:space="preserve">      Preferred Stock</t>
  </si>
  <si>
    <t xml:space="preserve">      Retained Earnings</t>
  </si>
  <si>
    <t>TOTAL LIABILITIES &amp; EQUITY</t>
  </si>
  <si>
    <t>Cash Flow Statememt</t>
  </si>
  <si>
    <t>OPERATING ACTIVITIES</t>
  </si>
  <si>
    <t xml:space="preserve">   Net Earnings</t>
  </si>
  <si>
    <t xml:space="preserve">   Depreciation</t>
  </si>
  <si>
    <t xml:space="preserve">   Working Capital Changes</t>
  </si>
  <si>
    <t>(Increase)/Decrease Accounts Receivable</t>
  </si>
  <si>
    <t>(Increase)/Decrease Inventories</t>
  </si>
  <si>
    <t>(Increase)/Decrease Other Current Assets</t>
  </si>
  <si>
    <t>Increase/(Decrease) Accts Pay &amp; Accrd Expenses</t>
  </si>
  <si>
    <t>Increase/(Decrease) Other Current Liab</t>
  </si>
  <si>
    <t xml:space="preserve">   Net Cash Provided/(Used) by Operating Activities</t>
  </si>
  <si>
    <t>INVESTING ACTIVITIES</t>
  </si>
  <si>
    <t xml:space="preserve">   Property &amp; Equipment</t>
  </si>
  <si>
    <t xml:space="preserve">   Other</t>
  </si>
  <si>
    <t xml:space="preserve">   Net Cash Used in Investing Activities</t>
  </si>
  <si>
    <t>FINANCING ACTIVITIES</t>
  </si>
  <si>
    <t xml:space="preserve">   Increase/(Decrease) Short Term Debt</t>
  </si>
  <si>
    <t xml:space="preserve">   Increase/(Decrease) Curr. Portion LTD</t>
  </si>
  <si>
    <t xml:space="preserve">   Increase/(Decrease) Long Term Debt</t>
  </si>
  <si>
    <t xml:space="preserve">   Increase/(Decrease) Common Stock</t>
  </si>
  <si>
    <t xml:space="preserve">   Increase/(Decrease) Preferred Stock</t>
  </si>
  <si>
    <t xml:space="preserve">   Dividends Declared</t>
  </si>
  <si>
    <t xml:space="preserve">   Net Cash Provided / (Used) by Financing </t>
  </si>
  <si>
    <t>INCREASE/(DECREASE) IN CASH</t>
  </si>
  <si>
    <t>CASH AT BEGINNING OF YEAR</t>
  </si>
  <si>
    <t>CASH AT END OF YEAR</t>
  </si>
  <si>
    <t>Break-Even Analysis</t>
  </si>
  <si>
    <t>Total Costs &amp; Expenses</t>
  </si>
  <si>
    <t>Variable Costs/Revenue Ratio</t>
  </si>
  <si>
    <t>Break-Even Point Revenues</t>
  </si>
  <si>
    <t>Income Statements</t>
  </si>
  <si>
    <t>5 Years by Months &amp; Quarters</t>
  </si>
  <si>
    <t>Year 1 by Months</t>
  </si>
  <si>
    <t>Annual</t>
  </si>
  <si>
    <t>12 Months</t>
  </si>
  <si>
    <t>Projection</t>
  </si>
  <si>
    <t>Year 2 by Months</t>
  </si>
  <si>
    <t>Years 3, 4 &amp; 5 by Quarters</t>
  </si>
  <si>
    <t>1st Qtr</t>
  </si>
  <si>
    <t>2nd Qrtr</t>
  </si>
  <si>
    <t>3rd Qrtr</t>
  </si>
  <si>
    <t>4th Qrtr</t>
  </si>
  <si>
    <t>2nd Qtr</t>
  </si>
  <si>
    <t>3rd Qtr</t>
  </si>
  <si>
    <t>4th Qtr</t>
  </si>
  <si>
    <t>Do Not Delete</t>
  </si>
  <si>
    <t>Calculation Area</t>
  </si>
  <si>
    <t>Tax Loss Carry Forward</t>
  </si>
  <si>
    <t>Interest Income/(Expense)</t>
  </si>
  <si>
    <t xml:space="preserve">Cumulative Net Earning Before Taxes </t>
  </si>
  <si>
    <t>Quarter 1</t>
  </si>
  <si>
    <t>Quarter 2</t>
  </si>
  <si>
    <t>Quarter 3</t>
  </si>
  <si>
    <t>Quarter 4</t>
  </si>
  <si>
    <t>Total Year</t>
  </si>
  <si>
    <t>Per Month/Qtr</t>
  </si>
  <si>
    <t>Cash Flow Statement</t>
  </si>
  <si>
    <t>Estimated</t>
  </si>
  <si>
    <t>CASH AT BEGINNING OF PERIOD</t>
  </si>
  <si>
    <t>CASH AT END OF PERIOD</t>
  </si>
  <si>
    <t>Summary</t>
  </si>
  <si>
    <t>Summary Financials ($)</t>
  </si>
  <si>
    <t>Gross Profit</t>
  </si>
  <si>
    <t>EBIT</t>
  </si>
  <si>
    <t>EBITDA</t>
  </si>
  <si>
    <t>Net Earnings</t>
  </si>
  <si>
    <t>Net Cash from Operating Activities</t>
  </si>
  <si>
    <t xml:space="preserve">Cash </t>
  </si>
  <si>
    <t>Total Debt</t>
  </si>
  <si>
    <t xml:space="preserve">   Current Ratio</t>
  </si>
  <si>
    <t xml:space="preserve">   Debt to Capital (LT Debt + Equity)</t>
  </si>
  <si>
    <t>Gross Profit %</t>
  </si>
  <si>
    <t>Operating Expenses %</t>
  </si>
  <si>
    <t>Net Earnings %</t>
  </si>
  <si>
    <t xml:space="preserve">Valuation  </t>
  </si>
  <si>
    <t>Venture Capital Method</t>
  </si>
  <si>
    <t>Assumptions:</t>
  </si>
  <si>
    <t>Investor required IRR</t>
  </si>
  <si>
    <t>P/E ratio at IPO or acquisition</t>
  </si>
  <si>
    <t>Initial investment</t>
  </si>
  <si>
    <t>Valuation Calculation</t>
  </si>
  <si>
    <t>Year</t>
  </si>
  <si>
    <t xml:space="preserve">Market
Capitalization </t>
  </si>
  <si>
    <t>Required Future Value (Investor)</t>
  </si>
  <si>
    <t>Investor's
Share</t>
  </si>
  <si>
    <t>Investor's
Return</t>
  </si>
  <si>
    <t>Investor's
ROI</t>
  </si>
  <si>
    <t>Investor's
IRR</t>
  </si>
  <si>
    <t>IRR Calculation Workspace</t>
  </si>
  <si>
    <t>Calculation</t>
  </si>
  <si>
    <t>Income Stmt</t>
  </si>
  <si>
    <t>B * E</t>
  </si>
  <si>
    <t>FV(F,D)</t>
  </si>
  <si>
    <t>C / G</t>
  </si>
  <si>
    <t>F * H</t>
  </si>
  <si>
    <t>I / C</t>
  </si>
  <si>
    <t>IRR(I,C,D)</t>
  </si>
  <si>
    <t>Start</t>
  </si>
  <si>
    <t>Liquidity Event in Year 1</t>
  </si>
  <si>
    <t>Liquidity Event in Year 2</t>
  </si>
  <si>
    <t>Liquidity Event in Year 3</t>
  </si>
  <si>
    <t>Liquidity Event in Year 4</t>
  </si>
  <si>
    <t>Liquidity Event in Year 5</t>
  </si>
  <si>
    <t>Negotiation Workspace</t>
  </si>
  <si>
    <t>Multiple Rounds</t>
  </si>
  <si>
    <t>Assumptions</t>
  </si>
  <si>
    <t>Month of IPO</t>
  </si>
  <si>
    <t>Forecast annualized earnings at IPO</t>
  </si>
  <si>
    <t>P/E ratio at IPO</t>
  </si>
  <si>
    <t>Investment Round</t>
  </si>
  <si>
    <t>First</t>
  </si>
  <si>
    <t>Second</t>
  </si>
  <si>
    <t xml:space="preserve">Third </t>
  </si>
  <si>
    <t>Month of Investment</t>
  </si>
  <si>
    <t>Amount of Investment</t>
  </si>
  <si>
    <t>Required Monthly IRR</t>
  </si>
  <si>
    <t>Duration of Investment</t>
  </si>
  <si>
    <t>Calculations</t>
  </si>
  <si>
    <t>Market Capitalization at IPO</t>
  </si>
  <si>
    <t>Required FV for Investor at IPO</t>
  </si>
  <si>
    <t>Individual Investor's Share</t>
  </si>
  <si>
    <t>Individual Investor's ROI</t>
  </si>
  <si>
    <t>Individual Investor's IRR</t>
  </si>
  <si>
    <t>Cumulative Investors' Share</t>
  </si>
  <si>
    <t>Cumulative Founders' Share</t>
  </si>
  <si>
    <t>Negotiations Round</t>
  </si>
  <si>
    <t>FV for Investor at IPO</t>
  </si>
  <si>
    <t>Customer Service Rep 1</t>
  </si>
  <si>
    <t>Operations Coordinator</t>
  </si>
  <si>
    <t>R&amp;D Manager</t>
  </si>
  <si>
    <t>Subcontract (Contract R&amp;D)</t>
  </si>
  <si>
    <t>Other 1: Lab Assistant</t>
  </si>
  <si>
    <t>CEO</t>
  </si>
  <si>
    <t>CFO</t>
  </si>
  <si>
    <t>Clerks/Admin Personnel</t>
  </si>
  <si>
    <t>Quality Assurance</t>
  </si>
  <si>
    <t>Materials &amp; Logistics</t>
  </si>
  <si>
    <t>Engineering</t>
  </si>
  <si>
    <t>Engineer</t>
  </si>
  <si>
    <t>Technician</t>
  </si>
  <si>
    <t>Training Services (B2B workshops)</t>
  </si>
  <si>
    <t>Equipment Leasing (spare capacity)</t>
  </si>
  <si>
    <t>Consulting Add-ons</t>
  </si>
  <si>
    <t>Checksum</t>
  </si>
  <si>
    <t>checksum</t>
  </si>
  <si>
    <t>Total Research &amp; Development</t>
  </si>
  <si>
    <t>Subcontract Costs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</si>
</sst>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164" formatCode="0.0%"/>
    <numFmt numFmtId="165" formatCode="0.0_);\(0.0\)"/>
    <numFmt numFmtId="166" formatCode="0.00_);\(0.00\)"/>
    <numFmt numFmtId="167" formatCode="0.0000"/>
    <numFmt numFmtId="168" formatCode="0.0"/>
    <numFmt numFmtId="169" formatCode="0_);\(0\)"/>
    <numFmt numFmtId="170" formatCode="_(* #,##0_);_(* \(#,##0\);_(* &quot;-&quot;??_);_(@_)"/>
  </numFmts>
  <fonts count="37">
    <font>
      <sz val="10"/>
      <color rgb="FF000000"/>
      <name val="Arimo"/>
      <scheme val="minor"/>
    </font>
    <font>
      <sz val="10"/>
      <color theme="1"/>
      <name val="Arimo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mo"/>
    </font>
    <font>
      <b/>
      <sz val="10"/>
      <color theme="1"/>
      <name val="Arimo"/>
    </font>
    <font>
      <b/>
      <sz val="16"/>
      <color theme="1"/>
      <name val="Arial"/>
      <family val="2"/>
    </font>
    <font>
      <b/>
      <sz val="12"/>
      <color theme="1"/>
      <name val="Open Sans"/>
    </font>
    <font>
      <b/>
      <u/>
      <sz val="10"/>
      <color theme="1"/>
      <name val="Arimo"/>
    </font>
    <font>
      <b/>
      <u/>
      <sz val="10"/>
      <color theme="1"/>
      <name val="Arimo"/>
    </font>
    <font>
      <b/>
      <u/>
      <sz val="12"/>
      <color theme="1"/>
      <name val="Arial"/>
      <family val="2"/>
    </font>
    <font>
      <b/>
      <sz val="18"/>
      <color theme="1"/>
      <name val="Arial"/>
      <family val="2"/>
    </font>
    <font>
      <sz val="10"/>
      <color theme="1"/>
      <name val="Open Sans"/>
    </font>
    <font>
      <u/>
      <sz val="12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FFFF00"/>
      <name val="Arial"/>
      <family val="2"/>
    </font>
    <font>
      <b/>
      <sz val="10"/>
      <color theme="1"/>
      <name val="Open Sans"/>
    </font>
    <font>
      <u/>
      <sz val="10"/>
      <color theme="1"/>
      <name val="Arial"/>
      <family val="2"/>
    </font>
    <font>
      <i/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Open Sans"/>
    </font>
    <font>
      <sz val="18"/>
      <color theme="1"/>
      <name val="Arial"/>
      <family val="2"/>
    </font>
    <font>
      <sz val="18"/>
      <color theme="1"/>
      <name val="Open Sans"/>
    </font>
    <font>
      <u/>
      <sz val="10"/>
      <color theme="1"/>
      <name val="Open Sans"/>
    </font>
    <font>
      <u/>
      <sz val="12"/>
      <color theme="1"/>
      <name val="Arial"/>
      <family val="2"/>
    </font>
    <font>
      <u/>
      <sz val="12"/>
      <color theme="1"/>
      <name val="Arial"/>
      <family val="2"/>
    </font>
    <font>
      <sz val="16"/>
      <color theme="1"/>
      <name val="Arial"/>
      <family val="2"/>
    </font>
    <font>
      <b/>
      <u/>
      <sz val="12"/>
      <color theme="1"/>
      <name val="Arial"/>
      <family val="2"/>
    </font>
    <font>
      <sz val="10"/>
      <name val="Arimo"/>
    </font>
    <font>
      <b/>
      <u/>
      <sz val="10"/>
      <color theme="1"/>
      <name val="Arial"/>
      <family val="2"/>
    </font>
    <font>
      <u/>
      <sz val="10"/>
      <color theme="1"/>
      <name val="Arial"/>
      <family val="2"/>
    </font>
    <font>
      <sz val="12"/>
      <color theme="1"/>
      <name val="Arimo"/>
    </font>
    <font>
      <b/>
      <sz val="10"/>
      <color rgb="FF008000"/>
      <name val="Arial"/>
      <family val="2"/>
    </font>
    <font>
      <b/>
      <sz val="10"/>
      <color rgb="FFFF0000"/>
      <name val="Arial"/>
      <family val="2"/>
    </font>
    <font>
      <sz val="11"/>
      <color theme="1"/>
      <name val="Open Sans Regular"/>
    </font>
  </fonts>
  <fills count="9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99CC"/>
        <bgColor rgb="FFFF99CC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/>
    <xf numFmtId="0" fontId="6" fillId="0" borderId="0" xfId="0" applyFont="1"/>
    <xf numFmtId="0" fontId="8" fillId="0" borderId="0" xfId="0" applyFont="1" applyAlignment="1">
      <alignment horizontal="center"/>
    </xf>
    <xf numFmtId="0" fontId="3" fillId="0" borderId="0" xfId="0" applyFont="1"/>
    <xf numFmtId="0" fontId="9" fillId="0" borderId="0" xfId="0" applyFont="1"/>
    <xf numFmtId="0" fontId="11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64" fontId="1" fillId="2" borderId="1" xfId="0" applyNumberFormat="1" applyFont="1" applyFill="1" applyBorder="1"/>
    <xf numFmtId="164" fontId="1" fillId="3" borderId="1" xfId="0" applyNumberFormat="1" applyFont="1" applyFill="1" applyBorder="1"/>
    <xf numFmtId="0" fontId="1" fillId="2" borderId="1" xfId="0" applyFont="1" applyFill="1" applyBorder="1"/>
    <xf numFmtId="165" fontId="1" fillId="3" borderId="1" xfId="0" applyNumberFormat="1" applyFont="1" applyFill="1" applyBorder="1"/>
    <xf numFmtId="166" fontId="1" fillId="3" borderId="1" xfId="0" applyNumberFormat="1" applyFont="1" applyFill="1" applyBorder="1"/>
    <xf numFmtId="164" fontId="1" fillId="3" borderId="1" xfId="0" applyNumberFormat="1" applyFont="1" applyFill="1" applyBorder="1" applyAlignment="1">
      <alignment horizontal="right"/>
    </xf>
    <xf numFmtId="3" fontId="4" fillId="0" borderId="0" xfId="0" applyNumberFormat="1" applyFont="1"/>
    <xf numFmtId="0" fontId="12" fillId="3" borderId="1" xfId="0" applyFont="1" applyFill="1" applyBorder="1"/>
    <xf numFmtId="37" fontId="4" fillId="0" borderId="0" xfId="0" applyNumberFormat="1" applyFont="1"/>
    <xf numFmtId="0" fontId="13" fillId="0" borderId="0" xfId="0" applyFont="1"/>
    <xf numFmtId="0" fontId="3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37" fontId="4" fillId="2" borderId="1" xfId="0" applyNumberFormat="1" applyFont="1" applyFill="1" applyBorder="1"/>
    <xf numFmtId="8" fontId="4" fillId="2" borderId="1" xfId="0" applyNumberFormat="1" applyFont="1" applyFill="1" applyBorder="1"/>
    <xf numFmtId="5" fontId="4" fillId="2" borderId="1" xfId="0" applyNumberFormat="1" applyFont="1" applyFill="1" applyBorder="1"/>
    <xf numFmtId="37" fontId="4" fillId="4" borderId="2" xfId="0" applyNumberFormat="1" applyFont="1" applyFill="1" applyBorder="1"/>
    <xf numFmtId="6" fontId="4" fillId="0" borderId="0" xfId="0" applyNumberFormat="1" applyFont="1"/>
    <xf numFmtId="37" fontId="4" fillId="2" borderId="3" xfId="0" applyNumberFormat="1" applyFont="1" applyFill="1" applyBorder="1"/>
    <xf numFmtId="37" fontId="4" fillId="5" borderId="1" xfId="0" applyNumberFormat="1" applyFont="1" applyFill="1" applyBorder="1"/>
    <xf numFmtId="37" fontId="4" fillId="4" borderId="4" xfId="0" applyNumberFormat="1" applyFont="1" applyFill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right"/>
    </xf>
    <xf numFmtId="37" fontId="4" fillId="3" borderId="1" xfId="0" applyNumberFormat="1" applyFont="1" applyFill="1" applyBorder="1"/>
    <xf numFmtId="0" fontId="4" fillId="2" borderId="1" xfId="0" applyFont="1" applyFill="1" applyBorder="1"/>
    <xf numFmtId="3" fontId="4" fillId="2" borderId="1" xfId="0" applyNumberFormat="1" applyFont="1" applyFill="1" applyBorder="1"/>
    <xf numFmtId="2" fontId="4" fillId="2" borderId="1" xfId="0" applyNumberFormat="1" applyFont="1" applyFill="1" applyBorder="1"/>
    <xf numFmtId="164" fontId="4" fillId="0" borderId="0" xfId="0" applyNumberFormat="1" applyFont="1"/>
    <xf numFmtId="0" fontId="13" fillId="0" borderId="0" xfId="0" applyFont="1" applyAlignment="1">
      <alignment horizontal="left"/>
    </xf>
    <xf numFmtId="0" fontId="13" fillId="2" borderId="1" xfId="0" applyFont="1" applyFill="1" applyBorder="1"/>
    <xf numFmtId="9" fontId="4" fillId="2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9" fontId="4" fillId="0" borderId="0" xfId="0" applyNumberFormat="1" applyFont="1"/>
    <xf numFmtId="164" fontId="4" fillId="5" borderId="1" xfId="0" applyNumberFormat="1" applyFont="1" applyFill="1" applyBorder="1"/>
    <xf numFmtId="167" fontId="4" fillId="0" borderId="0" xfId="0" applyNumberFormat="1" applyFont="1"/>
    <xf numFmtId="38" fontId="4" fillId="2" borderId="1" xfId="0" applyNumberFormat="1" applyFont="1" applyFill="1" applyBorder="1"/>
    <xf numFmtId="38" fontId="4" fillId="2" borderId="3" xfId="0" applyNumberFormat="1" applyFont="1" applyFill="1" applyBorder="1"/>
    <xf numFmtId="38" fontId="4" fillId="4" borderId="1" xfId="0" applyNumberFormat="1" applyFont="1" applyFill="1" applyBorder="1"/>
    <xf numFmtId="37" fontId="13" fillId="4" borderId="1" xfId="0" applyNumberFormat="1" applyFont="1" applyFill="1" applyBorder="1"/>
    <xf numFmtId="37" fontId="13" fillId="4" borderId="3" xfId="0" applyNumberFormat="1" applyFont="1" applyFill="1" applyBorder="1"/>
    <xf numFmtId="37" fontId="13" fillId="4" borderId="4" xfId="0" applyNumberFormat="1" applyFont="1" applyFill="1" applyBorder="1"/>
    <xf numFmtId="0" fontId="17" fillId="0" borderId="0" xfId="0" applyFont="1"/>
    <xf numFmtId="37" fontId="4" fillId="4" borderId="1" xfId="0" applyNumberFormat="1" applyFont="1" applyFill="1" applyBorder="1"/>
    <xf numFmtId="0" fontId="18" fillId="0" borderId="0" xfId="0" applyFont="1" applyAlignment="1">
      <alignment horizontal="left"/>
    </xf>
    <xf numFmtId="37" fontId="13" fillId="4" borderId="5" xfId="0" applyNumberFormat="1" applyFont="1" applyFill="1" applyBorder="1"/>
    <xf numFmtId="37" fontId="13" fillId="0" borderId="0" xfId="0" applyNumberFormat="1" applyFont="1"/>
    <xf numFmtId="0" fontId="19" fillId="0" borderId="0" xfId="0" applyFont="1" applyAlignment="1">
      <alignment horizontal="right"/>
    </xf>
    <xf numFmtId="9" fontId="4" fillId="2" borderId="1" xfId="0" applyNumberFormat="1" applyFont="1" applyFill="1" applyBorder="1"/>
    <xf numFmtId="37" fontId="4" fillId="5" borderId="3" xfId="0" applyNumberFormat="1" applyFont="1" applyFill="1" applyBorder="1"/>
    <xf numFmtId="0" fontId="20" fillId="0" borderId="0" xfId="0" applyFont="1"/>
    <xf numFmtId="37" fontId="4" fillId="6" borderId="1" xfId="0" applyNumberFormat="1" applyFont="1" applyFill="1" applyBorder="1"/>
    <xf numFmtId="37" fontId="13" fillId="5" borderId="1" xfId="0" applyNumberFormat="1" applyFont="1" applyFill="1" applyBorder="1"/>
    <xf numFmtId="37" fontId="4" fillId="5" borderId="2" xfId="0" applyNumberFormat="1" applyFont="1" applyFill="1" applyBorder="1"/>
    <xf numFmtId="0" fontId="21" fillId="0" borderId="0" xfId="0" applyFont="1"/>
    <xf numFmtId="0" fontId="22" fillId="0" borderId="0" xfId="0" applyFont="1"/>
    <xf numFmtId="37" fontId="13" fillId="2" borderId="1" xfId="0" applyNumberFormat="1" applyFont="1" applyFill="1" applyBorder="1"/>
    <xf numFmtId="37" fontId="13" fillId="2" borderId="3" xfId="0" applyNumberFormat="1" applyFont="1" applyFill="1" applyBorder="1"/>
    <xf numFmtId="37" fontId="13" fillId="2" borderId="4" xfId="0" applyNumberFormat="1" applyFont="1" applyFill="1" applyBorder="1"/>
    <xf numFmtId="2" fontId="4" fillId="0" borderId="0" xfId="0" applyNumberFormat="1" applyFont="1"/>
    <xf numFmtId="0" fontId="23" fillId="0" borderId="0" xfId="0" applyFont="1"/>
    <xf numFmtId="0" fontId="24" fillId="0" borderId="0" xfId="0" applyFont="1"/>
    <xf numFmtId="37" fontId="2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10" fontId="25" fillId="0" borderId="0" xfId="0" applyNumberFormat="1" applyFont="1"/>
    <xf numFmtId="37" fontId="21" fillId="3" borderId="1" xfId="0" applyNumberFormat="1" applyFont="1" applyFill="1" applyBorder="1" applyAlignment="1">
      <alignment horizontal="center"/>
    </xf>
    <xf numFmtId="0" fontId="26" fillId="0" borderId="0" xfId="0" applyFont="1" applyAlignment="1">
      <alignment horizontal="center"/>
    </xf>
    <xf numFmtId="168" fontId="4" fillId="0" borderId="0" xfId="0" applyNumberFormat="1" applyFont="1"/>
    <xf numFmtId="164" fontId="4" fillId="2" borderId="1" xfId="0" applyNumberFormat="1" applyFont="1" applyFill="1" applyBorder="1"/>
    <xf numFmtId="1" fontId="4" fillId="4" borderId="1" xfId="0" applyNumberFormat="1" applyFont="1" applyFill="1" applyBorder="1"/>
    <xf numFmtId="169" fontId="4" fillId="4" borderId="1" xfId="0" applyNumberFormat="1" applyFont="1" applyFill="1" applyBorder="1"/>
    <xf numFmtId="164" fontId="4" fillId="2" borderId="1" xfId="0" applyNumberFormat="1" applyFont="1" applyFill="1" applyBorder="1" applyAlignment="1">
      <alignment horizontal="right"/>
    </xf>
    <xf numFmtId="169" fontId="4" fillId="4" borderId="1" xfId="0" applyNumberFormat="1" applyFont="1" applyFill="1" applyBorder="1" applyAlignment="1">
      <alignment horizontal="right"/>
    </xf>
    <xf numFmtId="37" fontId="4" fillId="3" borderId="3" xfId="0" applyNumberFormat="1" applyFont="1" applyFill="1" applyBorder="1"/>
    <xf numFmtId="37" fontId="4" fillId="3" borderId="4" xfId="0" applyNumberFormat="1" applyFont="1" applyFill="1" applyBorder="1"/>
    <xf numFmtId="168" fontId="4" fillId="0" borderId="0" xfId="0" applyNumberFormat="1" applyFont="1" applyAlignment="1">
      <alignment horizontal="center"/>
    </xf>
    <xf numFmtId="170" fontId="1" fillId="4" borderId="1" xfId="0" applyNumberFormat="1" applyFont="1" applyFill="1" applyBorder="1"/>
    <xf numFmtId="170" fontId="1" fillId="4" borderId="3" xfId="0" applyNumberFormat="1" applyFont="1" applyFill="1" applyBorder="1"/>
    <xf numFmtId="170" fontId="4" fillId="0" borderId="0" xfId="0" applyNumberFormat="1" applyFont="1"/>
    <xf numFmtId="170" fontId="1" fillId="7" borderId="1" xfId="0" applyNumberFormat="1" applyFont="1" applyFill="1" applyBorder="1"/>
    <xf numFmtId="0" fontId="4" fillId="4" borderId="1" xfId="0" applyFont="1" applyFill="1" applyBorder="1"/>
    <xf numFmtId="170" fontId="1" fillId="7" borderId="3" xfId="0" applyNumberFormat="1" applyFont="1" applyFill="1" applyBorder="1"/>
    <xf numFmtId="37" fontId="4" fillId="2" borderId="1" xfId="0" applyNumberFormat="1" applyFont="1" applyFill="1" applyBorder="1" applyAlignment="1">
      <alignment horizontal="right"/>
    </xf>
    <xf numFmtId="0" fontId="27" fillId="0" borderId="0" xfId="0" applyFont="1"/>
    <xf numFmtId="38" fontId="4" fillId="5" borderId="1" xfId="0" applyNumberFormat="1" applyFont="1" applyFill="1" applyBorder="1"/>
    <xf numFmtId="37" fontId="1" fillId="0" borderId="0" xfId="0" applyNumberFormat="1" applyFont="1"/>
    <xf numFmtId="9" fontId="4" fillId="5" borderId="1" xfId="0" applyNumberFormat="1" applyFont="1" applyFill="1" applyBorder="1"/>
    <xf numFmtId="37" fontId="4" fillId="0" borderId="6" xfId="0" applyNumberFormat="1" applyFont="1" applyBorder="1"/>
    <xf numFmtId="37" fontId="4" fillId="3" borderId="5" xfId="0" applyNumberFormat="1" applyFont="1" applyFill="1" applyBorder="1"/>
    <xf numFmtId="0" fontId="28" fillId="0" borderId="0" xfId="0" applyFont="1"/>
    <xf numFmtId="37" fontId="4" fillId="5" borderId="4" xfId="0" applyNumberFormat="1" applyFont="1" applyFill="1" applyBorder="1"/>
    <xf numFmtId="37" fontId="21" fillId="0" borderId="0" xfId="0" applyNumberFormat="1" applyFont="1"/>
    <xf numFmtId="40" fontId="1" fillId="0" borderId="0" xfId="0" applyNumberFormat="1" applyFont="1"/>
    <xf numFmtId="166" fontId="4" fillId="5" borderId="1" xfId="0" applyNumberFormat="1" applyFont="1" applyFill="1" applyBorder="1"/>
    <xf numFmtId="37" fontId="1" fillId="5" borderId="1" xfId="0" applyNumberFormat="1" applyFont="1" applyFill="1" applyBorder="1"/>
    <xf numFmtId="38" fontId="1" fillId="0" borderId="0" xfId="0" applyNumberFormat="1" applyFont="1"/>
    <xf numFmtId="0" fontId="4" fillId="3" borderId="1" xfId="0" applyFont="1" applyFill="1" applyBorder="1"/>
    <xf numFmtId="0" fontId="8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9" fontId="4" fillId="3" borderId="1" xfId="0" applyNumberFormat="1" applyFont="1" applyFill="1" applyBorder="1"/>
    <xf numFmtId="37" fontId="4" fillId="4" borderId="5" xfId="0" applyNumberFormat="1" applyFont="1" applyFill="1" applyBorder="1"/>
    <xf numFmtId="0" fontId="7" fillId="0" borderId="0" xfId="0" applyFont="1"/>
    <xf numFmtId="0" fontId="29" fillId="0" borderId="0" xfId="0" applyFont="1"/>
    <xf numFmtId="0" fontId="8" fillId="0" borderId="6" xfId="0" applyFont="1" applyBorder="1" applyAlignment="1">
      <alignment horizontal="center"/>
    </xf>
    <xf numFmtId="0" fontId="31" fillId="0" borderId="0" xfId="0" applyFont="1" applyAlignment="1">
      <alignment horizontal="center"/>
    </xf>
    <xf numFmtId="37" fontId="13" fillId="3" borderId="1" xfId="0" applyNumberFormat="1" applyFont="1" applyFill="1" applyBorder="1"/>
    <xf numFmtId="37" fontId="13" fillId="3" borderId="3" xfId="0" applyNumberFormat="1" applyFont="1" applyFill="1" applyBorder="1"/>
    <xf numFmtId="0" fontId="4" fillId="5" borderId="1" xfId="0" applyFont="1" applyFill="1" applyBorder="1"/>
    <xf numFmtId="37" fontId="13" fillId="3" borderId="5" xfId="0" applyNumberFormat="1" applyFont="1" applyFill="1" applyBorder="1"/>
    <xf numFmtId="37" fontId="4" fillId="8" borderId="1" xfId="0" applyNumberFormat="1" applyFont="1" applyFill="1" applyBorder="1"/>
    <xf numFmtId="37" fontId="3" fillId="8" borderId="1" xfId="0" applyNumberFormat="1" applyFont="1" applyFill="1" applyBorder="1" applyAlignment="1">
      <alignment horizontal="center"/>
    </xf>
    <xf numFmtId="0" fontId="13" fillId="8" borderId="1" xfId="0" applyFont="1" applyFill="1" applyBorder="1"/>
    <xf numFmtId="37" fontId="7" fillId="8" borderId="1" xfId="0" applyNumberFormat="1" applyFont="1" applyFill="1" applyBorder="1" applyAlignment="1">
      <alignment horizontal="center"/>
    </xf>
    <xf numFmtId="37" fontId="3" fillId="8" borderId="1" xfId="0" applyNumberFormat="1" applyFont="1" applyFill="1" applyBorder="1" applyAlignment="1">
      <alignment horizontal="left"/>
    </xf>
    <xf numFmtId="37" fontId="2" fillId="8" borderId="1" xfId="0" applyNumberFormat="1" applyFont="1" applyFill="1" applyBorder="1"/>
    <xf numFmtId="37" fontId="32" fillId="8" borderId="1" xfId="0" applyNumberFormat="1" applyFont="1" applyFill="1" applyBorder="1" applyAlignment="1">
      <alignment horizontal="center"/>
    </xf>
    <xf numFmtId="37" fontId="4" fillId="8" borderId="1" xfId="0" applyNumberFormat="1" applyFont="1" applyFill="1" applyBorder="1" applyAlignment="1">
      <alignment horizontal="left"/>
    </xf>
    <xf numFmtId="37" fontId="2" fillId="8" borderId="1" xfId="0" applyNumberFormat="1" applyFont="1" applyFill="1" applyBorder="1" applyAlignment="1">
      <alignment horizontal="left"/>
    </xf>
    <xf numFmtId="37" fontId="4" fillId="0" borderId="0" xfId="0" applyNumberFormat="1" applyFont="1" applyAlignment="1">
      <alignment horizontal="left"/>
    </xf>
    <xf numFmtId="37" fontId="13" fillId="5" borderId="3" xfId="0" applyNumberFormat="1" applyFont="1" applyFill="1" applyBorder="1"/>
    <xf numFmtId="37" fontId="13" fillId="5" borderId="5" xfId="0" applyNumberFormat="1" applyFont="1" applyFill="1" applyBorder="1"/>
    <xf numFmtId="0" fontId="33" fillId="0" borderId="0" xfId="0" applyFont="1"/>
    <xf numFmtId="164" fontId="1" fillId="5" borderId="1" xfId="0" applyNumberFormat="1" applyFont="1" applyFill="1" applyBorder="1" applyAlignment="1">
      <alignment horizontal="right"/>
    </xf>
    <xf numFmtId="168" fontId="4" fillId="3" borderId="1" xfId="0" applyNumberFormat="1" applyFont="1" applyFill="1" applyBorder="1"/>
    <xf numFmtId="164" fontId="4" fillId="3" borderId="1" xfId="0" applyNumberFormat="1" applyFont="1" applyFill="1" applyBorder="1"/>
    <xf numFmtId="0" fontId="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9" fontId="34" fillId="2" borderId="1" xfId="0" applyNumberFormat="1" applyFont="1" applyFill="1" applyBorder="1" applyAlignment="1">
      <alignment horizontal="center"/>
    </xf>
    <xf numFmtId="0" fontId="34" fillId="2" borderId="1" xfId="0" applyFont="1" applyFill="1" applyBorder="1" applyAlignment="1">
      <alignment horizontal="center"/>
    </xf>
    <xf numFmtId="6" fontId="34" fillId="2" borderId="1" xfId="0" applyNumberFormat="1" applyFont="1" applyFill="1" applyBorder="1" applyAlignment="1">
      <alignment horizontal="center"/>
    </xf>
    <xf numFmtId="3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right"/>
    </xf>
    <xf numFmtId="6" fontId="4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wrapText="1"/>
    </xf>
    <xf numFmtId="0" fontId="4" fillId="0" borderId="6" xfId="0" applyFont="1" applyBorder="1" applyAlignment="1">
      <alignment horizontal="right"/>
    </xf>
    <xf numFmtId="0" fontId="4" fillId="0" borderId="6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37" fontId="34" fillId="2" borderId="1" xfId="0" applyNumberFormat="1" applyFont="1" applyFill="1" applyBorder="1"/>
    <xf numFmtId="5" fontId="2" fillId="5" borderId="1" xfId="0" applyNumberFormat="1" applyFont="1" applyFill="1" applyBorder="1" applyAlignment="1">
      <alignment horizontal="center"/>
    </xf>
    <xf numFmtId="6" fontId="2" fillId="5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6" fontId="4" fillId="5" borderId="1" xfId="0" applyNumberFormat="1" applyFont="1" applyFill="1" applyBorder="1" applyAlignment="1">
      <alignment horizontal="center"/>
    </xf>
    <xf numFmtId="9" fontId="4" fillId="5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6" fontId="2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10" xfId="0" applyFont="1" applyBorder="1"/>
    <xf numFmtId="0" fontId="4" fillId="0" borderId="10" xfId="0" applyFont="1" applyBorder="1"/>
    <xf numFmtId="164" fontId="34" fillId="2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1" fillId="0" borderId="6" xfId="0" applyFont="1" applyBorder="1" applyAlignment="1">
      <alignment horizontal="center"/>
    </xf>
    <xf numFmtId="5" fontId="34" fillId="2" borderId="1" xfId="0" applyNumberFormat="1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37" fontId="1" fillId="0" borderId="0" xfId="0" applyNumberFormat="1" applyFont="1" applyAlignment="1">
      <alignment horizontal="center"/>
    </xf>
    <xf numFmtId="10" fontId="1" fillId="5" borderId="1" xfId="0" applyNumberFormat="1" applyFont="1" applyFill="1" applyBorder="1" applyAlignment="1">
      <alignment horizontal="center"/>
    </xf>
    <xf numFmtId="1" fontId="1" fillId="5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6" fontId="1" fillId="0" borderId="0" xfId="0" applyNumberFormat="1" applyFont="1" applyAlignment="1">
      <alignment horizontal="center"/>
    </xf>
    <xf numFmtId="6" fontId="35" fillId="5" borderId="11" xfId="0" applyNumberFormat="1" applyFont="1" applyFill="1" applyBorder="1" applyAlignment="1">
      <alignment horizontal="center"/>
    </xf>
    <xf numFmtId="6" fontId="1" fillId="5" borderId="1" xfId="0" applyNumberFormat="1" applyFont="1" applyFill="1" applyBorder="1" applyAlignment="1">
      <alignment horizontal="center"/>
    </xf>
    <xf numFmtId="164" fontId="35" fillId="5" borderId="1" xfId="0" applyNumberFormat="1" applyFont="1" applyFill="1" applyBorder="1" applyAlignment="1">
      <alignment horizontal="center"/>
    </xf>
    <xf numFmtId="9" fontId="1" fillId="5" borderId="1" xfId="0" applyNumberFormat="1" applyFont="1" applyFill="1" applyBorder="1" applyAlignment="1">
      <alignment horizontal="center"/>
    </xf>
    <xf numFmtId="37" fontId="4" fillId="2" borderId="12" xfId="0" applyNumberFormat="1" applyFont="1" applyFill="1" applyBorder="1"/>
    <xf numFmtId="37" fontId="13" fillId="2" borderId="12" xfId="0" applyNumberFormat="1" applyFont="1" applyFill="1" applyBorder="1"/>
    <xf numFmtId="0" fontId="36" fillId="0" borderId="0" xfId="0" applyFont="1"/>
    <xf numFmtId="37" fontId="36" fillId="0" borderId="0" xfId="0" applyNumberFormat="1" applyFont="1"/>
    <xf numFmtId="0" fontId="12" fillId="2" borderId="1" xfId="0" applyFont="1" applyFill="1" applyBorder="1"/>
    <xf numFmtId="0" fontId="10" fillId="0" borderId="0" xfId="0" applyFont="1" applyAlignment="1">
      <alignment horizontal="center"/>
    </xf>
    <xf numFmtId="0" fontId="0" fillId="0" borderId="0" xfId="0"/>
    <xf numFmtId="0" fontId="8" fillId="0" borderId="6" xfId="0" applyFont="1" applyBorder="1" applyAlignment="1">
      <alignment horizontal="center"/>
    </xf>
    <xf numFmtId="0" fontId="30" fillId="0" borderId="6" xfId="0" applyFont="1" applyBorder="1"/>
    <xf numFmtId="37" fontId="4" fillId="8" borderId="7" xfId="0" applyNumberFormat="1" applyFont="1" applyFill="1" applyBorder="1" applyAlignment="1">
      <alignment horizontal="center"/>
    </xf>
    <xf numFmtId="0" fontId="30" fillId="0" borderId="8" xfId="0" applyFont="1" applyBorder="1"/>
    <xf numFmtId="0" fontId="30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74</xdr:row>
      <xdr:rowOff>9525</xdr:rowOff>
    </xdr:from>
    <xdr:ext cx="38100" cy="45720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pSpPr/>
      </xdr:nvGrpSpPr>
      <xdr:grpSpPr>
        <a:xfrm>
          <a:off x="7950200" y="12239625"/>
          <a:ext cx="38100" cy="4572000"/>
          <a:chOff x="5346000" y="1494000"/>
          <a:chExt cx="0" cy="4572000"/>
        </a:xfrm>
      </xdr:grpSpPr>
      <xdr:cxnSp macro="">
        <xdr:nvCxnSpPr>
          <xdr:cNvPr id="12" name="Shape 12">
            <a:extLst>
              <a:ext uri="{FF2B5EF4-FFF2-40B4-BE49-F238E27FC236}">
                <a16:creationId xmlns:a16="http://schemas.microsoft.com/office/drawing/2014/main" id="{00000000-0008-0000-1000-00000C000000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-19050</xdr:colOff>
      <xdr:row>74</xdr:row>
      <xdr:rowOff>0</xdr:rowOff>
    </xdr:from>
    <xdr:ext cx="38100" cy="45720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pSpPr/>
      </xdr:nvGrpSpPr>
      <xdr:grpSpPr>
        <a:xfrm>
          <a:off x="12579350" y="12230100"/>
          <a:ext cx="38100" cy="4572000"/>
          <a:chOff x="5346000" y="1494000"/>
          <a:chExt cx="0" cy="4572000"/>
        </a:xfrm>
      </xdr:grpSpPr>
      <xdr:cxnSp macro="">
        <xdr:nvCxnSpPr>
          <xdr:cNvPr id="4" name="Shape 12">
            <a:extLst>
              <a:ext uri="{FF2B5EF4-FFF2-40B4-BE49-F238E27FC236}">
                <a16:creationId xmlns:a16="http://schemas.microsoft.com/office/drawing/2014/main" id="{00000000-0008-0000-1000-000004000000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17</xdr:col>
      <xdr:colOff>-19050</xdr:colOff>
      <xdr:row>74</xdr:row>
      <xdr:rowOff>0</xdr:rowOff>
    </xdr:from>
    <xdr:ext cx="38100" cy="45720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pSpPr/>
      </xdr:nvGrpSpPr>
      <xdr:grpSpPr>
        <a:xfrm>
          <a:off x="16757650" y="12230100"/>
          <a:ext cx="38100" cy="4572000"/>
          <a:chOff x="5346000" y="1494000"/>
          <a:chExt cx="0" cy="4572000"/>
        </a:xfrm>
      </xdr:grpSpPr>
      <xdr:cxnSp macro="">
        <xdr:nvCxnSpPr>
          <xdr:cNvPr id="6" name="Shape 12">
            <a:extLst>
              <a:ext uri="{FF2B5EF4-FFF2-40B4-BE49-F238E27FC236}">
                <a16:creationId xmlns:a16="http://schemas.microsoft.com/office/drawing/2014/main" id="{00000000-0008-0000-1000-000006000000}"/>
              </a:ext>
            </a:extLst>
          </xdr:cNvPr>
          <xdr:cNvCxnSpPr/>
        </xdr:nvCxnSpPr>
        <xdr:spPr>
          <a:xfrm>
            <a:off x="5346000" y="1494000"/>
            <a:ext cx="0" cy="45720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miter lim="800000"/>
            <a:headEnd type="none" w="med" len="med"/>
            <a:tailEnd type="none" w="med" len="med"/>
          </a:ln>
        </xdr:spPr>
      </xdr:cxn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G35" sqref="G35"/>
    </sheetView>
  </sheetViews>
  <sheetFormatPr baseColWidth="10" defaultColWidth="14.3984375" defaultRowHeight="15" customHeight="1"/>
  <cols>
    <col min="1" max="1" width="31.796875" customWidth="1"/>
    <col min="2" max="3" width="12" customWidth="1"/>
    <col min="4" max="4" width="12.59765625" customWidth="1"/>
    <col min="5" max="5" width="12.796875" customWidth="1"/>
    <col min="6" max="6" width="13.796875" customWidth="1"/>
    <col min="7" max="26" width="8" customWidth="1"/>
  </cols>
  <sheetData>
    <row r="1" spans="1:10" ht="20.25" customHeight="1">
      <c r="A1" s="185" t="s">
        <v>0</v>
      </c>
    </row>
    <row r="2" spans="1:10" ht="15.75" customHeight="1">
      <c r="A2" s="9" t="s">
        <v>1</v>
      </c>
    </row>
    <row r="3" spans="1:10" ht="12.75" customHeight="1"/>
    <row r="4" spans="1:10" ht="12.75" customHeight="1"/>
    <row r="5" spans="1:10" ht="12.75" customHeight="1">
      <c r="E5" s="7" t="s">
        <v>2</v>
      </c>
      <c r="F5" s="10"/>
    </row>
    <row r="6" spans="1:10" ht="12.75" customHeight="1">
      <c r="B6" s="10" t="s">
        <v>3</v>
      </c>
      <c r="C6" s="10" t="s">
        <v>4</v>
      </c>
      <c r="D6" s="10" t="s">
        <v>5</v>
      </c>
      <c r="E6" s="10" t="s">
        <v>6</v>
      </c>
      <c r="F6" s="186" t="s">
        <v>7</v>
      </c>
      <c r="G6" s="187"/>
      <c r="H6" s="187"/>
      <c r="I6" s="187"/>
      <c r="J6" s="187"/>
    </row>
    <row r="7" spans="1:10" ht="15.75" customHeight="1">
      <c r="A7" s="6" t="s">
        <v>8</v>
      </c>
      <c r="F7" s="11" t="s">
        <v>9</v>
      </c>
      <c r="G7" s="11" t="s">
        <v>10</v>
      </c>
      <c r="H7" s="11" t="s">
        <v>11</v>
      </c>
      <c r="I7" s="11" t="s">
        <v>12</v>
      </c>
      <c r="J7" s="11" t="s">
        <v>13</v>
      </c>
    </row>
    <row r="8" spans="1:10" ht="12.75" customHeight="1">
      <c r="A8" s="12" t="s">
        <v>14</v>
      </c>
      <c r="B8" s="13">
        <v>9.8000000000000004E-2</v>
      </c>
      <c r="C8" s="13">
        <v>7.3999999999999996E-2</v>
      </c>
      <c r="D8" s="13">
        <v>0.11600000000000001</v>
      </c>
      <c r="E8" s="13">
        <v>0.1</v>
      </c>
      <c r="F8" s="14">
        <f>WORKCAP!C10</f>
        <v>8.3000000000000004E-2</v>
      </c>
      <c r="G8" s="14">
        <f>WORKCAP!D10</f>
        <v>8.3000000000000004E-2</v>
      </c>
      <c r="H8" s="14">
        <f>WORKCAP!E10</f>
        <v>8.3000000000000004E-2</v>
      </c>
      <c r="I8" s="14">
        <f>WORKCAP!F10</f>
        <v>8.3000000000000004E-2</v>
      </c>
      <c r="J8" s="14">
        <f>WORKCAP!G10</f>
        <v>8.3000000000000004E-2</v>
      </c>
    </row>
    <row r="9" spans="1:10" ht="12.75" customHeight="1">
      <c r="A9" s="12" t="s">
        <v>15</v>
      </c>
      <c r="B9" s="13">
        <v>0.13500000000000001</v>
      </c>
      <c r="C9" s="13">
        <v>0.112</v>
      </c>
      <c r="D9" s="13">
        <v>0.16900000000000001</v>
      </c>
      <c r="E9" s="13">
        <v>0.15</v>
      </c>
      <c r="F9" s="14">
        <f>WORKCAP!C16</f>
        <v>8.3000000000000004E-2</v>
      </c>
      <c r="G9" s="14">
        <f>WORKCAP!D16</f>
        <v>8.3000000000000004E-2</v>
      </c>
      <c r="H9" s="14">
        <f>WORKCAP!E16</f>
        <v>6.7000000000000004E-2</v>
      </c>
      <c r="I9" s="14">
        <f>WORKCAP!F16</f>
        <v>6.7000000000000004E-2</v>
      </c>
      <c r="J9" s="14">
        <f>WORKCAP!G16</f>
        <v>6.7000000000000004E-2</v>
      </c>
    </row>
    <row r="10" spans="1:10" ht="12.75" customHeight="1">
      <c r="A10" s="12" t="s">
        <v>16</v>
      </c>
      <c r="B10" s="13">
        <v>7.9000000000000001E-2</v>
      </c>
      <c r="C10" s="13">
        <v>8.5999999999999993E-2</v>
      </c>
      <c r="D10" s="13">
        <v>9.4E-2</v>
      </c>
      <c r="E10" s="13">
        <v>0.08</v>
      </c>
      <c r="F10" s="14">
        <f>WORKCAP!C29</f>
        <v>8.6999999999999994E-2</v>
      </c>
      <c r="G10" s="14">
        <f>WORKCAP!D29</f>
        <v>8.6999999999999994E-2</v>
      </c>
      <c r="H10" s="14">
        <f>WORKCAP!E29</f>
        <v>8.6999999999999994E-2</v>
      </c>
      <c r="I10" s="14">
        <f>WORKCAP!F29</f>
        <v>8.6999999999999994E-2</v>
      </c>
      <c r="J10" s="14">
        <f>WORKCAP!G29</f>
        <v>8.6999999999999994E-2</v>
      </c>
    </row>
    <row r="11" spans="1:10" ht="12.75" customHeight="1">
      <c r="A11" s="12" t="s">
        <v>17</v>
      </c>
      <c r="B11" s="13">
        <v>0.154</v>
      </c>
      <c r="C11" s="13">
        <v>0.123</v>
      </c>
      <c r="D11" s="13">
        <v>0.187</v>
      </c>
      <c r="E11" s="13">
        <v>0.16</v>
      </c>
      <c r="F11" s="14">
        <f>WORKCAP!C10+WORKCAP!C16+WORKCAP!C23-WORKCAP!C29-WORKCAP!C35</f>
        <v>7.9000000000000029E-2</v>
      </c>
      <c r="G11" s="14">
        <f>WORKCAP!D10+WORKCAP!D16+WORKCAP!D23-WORKCAP!D29-WORKCAP!D35</f>
        <v>7.9000000000000029E-2</v>
      </c>
      <c r="H11" s="14">
        <f>WORKCAP!E10+WORKCAP!E16+WORKCAP!E23-WORKCAP!E29-WORKCAP!E35</f>
        <v>6.3000000000000042E-2</v>
      </c>
      <c r="I11" s="14">
        <f>WORKCAP!F10+WORKCAP!F16+WORKCAP!F23-WORKCAP!F29-WORKCAP!F35</f>
        <v>6.3000000000000042E-2</v>
      </c>
      <c r="J11" s="14">
        <f>WORKCAP!G10+WORKCAP!G16+WORKCAP!G23-WORKCAP!G29-WORKCAP!G35</f>
        <v>6.3000000000000042E-2</v>
      </c>
    </row>
    <row r="12" spans="1:10" ht="12.75" customHeight="1">
      <c r="A12" s="12" t="s">
        <v>18</v>
      </c>
      <c r="B12" s="13">
        <v>8.6999999999999994E-2</v>
      </c>
      <c r="C12" s="13">
        <v>9.5000000000000001E-2</v>
      </c>
      <c r="D12" s="13">
        <v>0.108</v>
      </c>
      <c r="E12" s="13">
        <v>0.09</v>
      </c>
      <c r="F12" s="14">
        <f>'PROP &amp; EQUIP'!C54</f>
        <v>8.886233766233767E-2</v>
      </c>
      <c r="G12" s="14">
        <f>'PROP &amp; EQUIP'!D54</f>
        <v>0.15725818452380955</v>
      </c>
      <c r="H12" s="14">
        <f>'PROP &amp; EQUIP'!E54</f>
        <v>0.1539640176337424</v>
      </c>
      <c r="I12" s="14">
        <f>'PROP &amp; EQUIP'!F54</f>
        <v>0.1483802486511846</v>
      </c>
      <c r="J12" s="14">
        <f>'PROP &amp; EQUIP'!G54</f>
        <v>0.11863822096495363</v>
      </c>
    </row>
    <row r="13" spans="1:10" ht="12.75" customHeight="1">
      <c r="A13" s="12" t="s">
        <v>19</v>
      </c>
      <c r="B13" s="15">
        <v>2.1</v>
      </c>
      <c r="C13" s="15">
        <v>3.2</v>
      </c>
      <c r="D13" s="15">
        <v>1.9</v>
      </c>
      <c r="E13" s="15">
        <v>2.2999999999999998</v>
      </c>
      <c r="F13" s="16">
        <f>BALANCE!C13/BALANCE!C23</f>
        <v>3.8692769182191356</v>
      </c>
      <c r="G13" s="16">
        <f>BALANCE!D13/BALANCE!D23</f>
        <v>4.0806632714440392</v>
      </c>
      <c r="H13" s="16">
        <f>BALANCE!E13/BALANCE!E23</f>
        <v>2.6366847753365268</v>
      </c>
      <c r="I13" s="16">
        <f>BALANCE!F13/BALANCE!F23</f>
        <v>3.8422342594512404</v>
      </c>
      <c r="J13" s="16">
        <f>BALANCE!G13/BALANCE!G23</f>
        <v>4.0882107867923665</v>
      </c>
    </row>
    <row r="14" spans="1:10" ht="12.75" customHeight="1">
      <c r="A14" s="12" t="s">
        <v>20</v>
      </c>
      <c r="B14" s="15">
        <v>1.25</v>
      </c>
      <c r="C14" s="15">
        <v>1.08</v>
      </c>
      <c r="D14" s="15">
        <v>1.36</v>
      </c>
      <c r="E14" s="15">
        <v>1.2</v>
      </c>
      <c r="F14" s="17">
        <f>(BALANCE!C22+BALANCE!C25)/(BALANCE!C22+BALANCE!C25+BALANCE!C31)</f>
        <v>0.67143449101428809</v>
      </c>
      <c r="G14" s="17">
        <f>(BALANCE!D22+BALANCE!D25)/(BALANCE!D22+BALANCE!D25+BALANCE!D31)</f>
        <v>0.57204497907949792</v>
      </c>
      <c r="H14" s="17">
        <f>(BALANCE!E22+BALANCE!E25)/(BALANCE!E22+BALANCE!E25+BALANCE!E31)</f>
        <v>0.50297903877626227</v>
      </c>
      <c r="I14" s="17">
        <f>(BALANCE!F22+BALANCE!F25)/(BALANCE!F22+BALANCE!F25+BALANCE!F31)</f>
        <v>0.333239667459101</v>
      </c>
      <c r="J14" s="17">
        <f>(BALANCE!G22+BALANCE!G25)/(BALANCE!G22+BALANCE!G25+BALANCE!G31)</f>
        <v>0.20151078929281274</v>
      </c>
    </row>
    <row r="15" spans="1:10" ht="12.75" customHeight="1">
      <c r="A15" s="4"/>
      <c r="G15" s="1"/>
      <c r="H15" s="1"/>
      <c r="I15" s="1"/>
      <c r="J15" s="1"/>
    </row>
    <row r="16" spans="1:10" ht="12.75" customHeight="1">
      <c r="A16" s="6" t="s">
        <v>21</v>
      </c>
      <c r="G16" s="1"/>
      <c r="H16" s="1"/>
      <c r="I16" s="1"/>
      <c r="J16" s="1"/>
    </row>
    <row r="17" spans="1:10" ht="12.75" customHeight="1">
      <c r="A17" s="12" t="s">
        <v>22</v>
      </c>
      <c r="B17" s="13">
        <v>0.317</v>
      </c>
      <c r="C17" s="13">
        <v>0.46200000000000002</v>
      </c>
      <c r="D17" s="13">
        <v>0.54100000000000004</v>
      </c>
      <c r="E17" s="13">
        <v>0.3</v>
      </c>
      <c r="F17" s="14">
        <f>INCOME!C13</f>
        <v>0.51798961038961044</v>
      </c>
      <c r="G17" s="14">
        <f>INCOME!D13</f>
        <v>0.50104166666666672</v>
      </c>
      <c r="H17" s="14">
        <f>INCOME!E13</f>
        <v>0.58064101036578109</v>
      </c>
      <c r="I17" s="14">
        <f>INCOME!F13</f>
        <v>0.61641625615763551</v>
      </c>
      <c r="J17" s="14">
        <f>INCOME!G13</f>
        <v>0.66470002357378588</v>
      </c>
    </row>
    <row r="18" spans="1:10" ht="12.75" customHeight="1">
      <c r="A18" s="12" t="s">
        <v>23</v>
      </c>
      <c r="B18" s="13">
        <v>0.29399999999999998</v>
      </c>
      <c r="C18" s="13">
        <v>0.246</v>
      </c>
      <c r="D18" s="13">
        <v>0.21299999999999999</v>
      </c>
      <c r="E18" s="13">
        <v>0.29399999999999998</v>
      </c>
      <c r="F18" s="14">
        <f>'OPER EXP'!C17</f>
        <v>0.23981818181818182</v>
      </c>
      <c r="G18" s="14">
        <f>'OPER EXP'!D17</f>
        <v>0.21598958333333335</v>
      </c>
      <c r="H18" s="14">
        <f>'OPER EXP'!E17</f>
        <v>0.18700417014178483</v>
      </c>
      <c r="I18" s="14">
        <f>'OPER EXP'!F17</f>
        <v>0.17463054187192117</v>
      </c>
      <c r="J18" s="14">
        <f>'OPER EXP'!G17</f>
        <v>0.15778877887788778</v>
      </c>
    </row>
    <row r="19" spans="1:10" ht="12.75" customHeight="1">
      <c r="A19" s="12" t="s">
        <v>24</v>
      </c>
      <c r="B19" s="13">
        <v>0.28100000000000003</v>
      </c>
      <c r="C19" s="13">
        <v>0.14799999999999999</v>
      </c>
      <c r="D19" s="13">
        <v>0.112</v>
      </c>
      <c r="E19" s="13">
        <v>0.28100000000000003</v>
      </c>
      <c r="F19" s="14">
        <f>'OPER EXP'!C26</f>
        <v>0.10454545454545454</v>
      </c>
      <c r="G19" s="14">
        <f>'OPER EXP'!D26</f>
        <v>0.1462109375</v>
      </c>
      <c r="H19" s="14">
        <f>'OPER EXP'!E26</f>
        <v>0.12905921601334444</v>
      </c>
      <c r="I19" s="14">
        <f>'OPER EXP'!F26</f>
        <v>0.11933497536945813</v>
      </c>
      <c r="J19" s="14">
        <f>'OPER EXP'!G26</f>
        <v>0.10023102310231023</v>
      </c>
    </row>
    <row r="20" spans="1:10" ht="12.75" customHeight="1">
      <c r="A20" s="12" t="s">
        <v>25</v>
      </c>
      <c r="B20" s="13">
        <v>0.307</v>
      </c>
      <c r="C20" s="13">
        <v>0.19500000000000001</v>
      </c>
      <c r="D20" s="13">
        <v>0.14599999999999999</v>
      </c>
      <c r="E20" s="13">
        <v>0.3</v>
      </c>
      <c r="F20" s="14">
        <f>'OPER EXP'!C39</f>
        <v>0.22545454545454546</v>
      </c>
      <c r="G20" s="14">
        <f>'OPER EXP'!D39</f>
        <v>0.22641927083333332</v>
      </c>
      <c r="H20" s="14">
        <f>'OPER EXP'!E39</f>
        <v>0.17651209341117599</v>
      </c>
      <c r="I20" s="14">
        <f>'OPER EXP'!F39</f>
        <v>0.1617816091954023</v>
      </c>
      <c r="J20" s="14">
        <f>'OPER EXP'!G39</f>
        <v>0.13134213421342134</v>
      </c>
    </row>
    <row r="21" spans="1:10" ht="12.75" customHeight="1">
      <c r="A21" s="12" t="s">
        <v>26</v>
      </c>
      <c r="B21" s="13">
        <v>0.40500000000000003</v>
      </c>
      <c r="C21" s="13">
        <v>0.34200000000000003</v>
      </c>
      <c r="D21" s="13">
        <v>0.316</v>
      </c>
      <c r="E21" s="13">
        <v>0.17</v>
      </c>
      <c r="F21" s="14">
        <f>'OPER EXP'!C42</f>
        <v>0.56981818181818178</v>
      </c>
      <c r="G21" s="14">
        <f>'OPER EXP'!D42</f>
        <v>0.58861979166666667</v>
      </c>
      <c r="H21" s="14">
        <f>'OPER EXP'!E42</f>
        <v>0.49257547956630526</v>
      </c>
      <c r="I21" s="14">
        <f>'OPER EXP'!F42</f>
        <v>0.45574712643678167</v>
      </c>
      <c r="J21" s="14">
        <f>'OPER EXP'!G42</f>
        <v>0.38936193619361936</v>
      </c>
    </row>
    <row r="22" spans="1:10" ht="12.75" customHeight="1">
      <c r="A22" s="12" t="s">
        <v>27</v>
      </c>
      <c r="B22" s="13">
        <v>0.112</v>
      </c>
      <c r="C22" s="13">
        <v>0.161</v>
      </c>
      <c r="D22" s="13">
        <v>0.22500000000000001</v>
      </c>
      <c r="E22" s="13">
        <v>0.12</v>
      </c>
      <c r="F22" s="14">
        <f>INCOME!C22/INCOME!C7</f>
        <v>-5.1828571428571404E-2</v>
      </c>
      <c r="G22" s="14">
        <f>INCOME!D22/INCOME!D7</f>
        <v>-8.7578125000000007E-2</v>
      </c>
      <c r="H22" s="14">
        <f>INCOME!E22/INCOME!E7</f>
        <v>8.806553079947578E-2</v>
      </c>
      <c r="I22" s="14">
        <f>INCOME!F22/INCOME!F7</f>
        <v>0.16066912972085381</v>
      </c>
      <c r="J22" s="14">
        <f>INCOME!G22/INCOME!G7</f>
        <v>0.27533808738016652</v>
      </c>
    </row>
    <row r="23" spans="1:10" ht="12.75" customHeight="1">
      <c r="A23" s="12" t="s">
        <v>28</v>
      </c>
      <c r="B23" s="13">
        <v>0.112</v>
      </c>
      <c r="C23" s="13">
        <v>0.161</v>
      </c>
      <c r="D23" s="13">
        <v>0.22500000000000001</v>
      </c>
      <c r="E23" s="13">
        <v>0.12</v>
      </c>
      <c r="F23" s="14">
        <f>INCOME!C26/INCOME!C7</f>
        <v>-9.5464935064935044E-2</v>
      </c>
      <c r="G23" s="14">
        <f>INCOME!D26/INCOME!D7</f>
        <v>-5.7630208333333335E-2</v>
      </c>
      <c r="H23" s="14">
        <f>INCOME!E26/INCOME!E7</f>
        <v>0.1180905516501847</v>
      </c>
      <c r="I23" s="14">
        <f>INCOME!F26/INCOME!F7</f>
        <v>0.19268883415435137</v>
      </c>
      <c r="J23" s="14">
        <f>INCOME!G26/INCOME!G7</f>
        <v>0.30256581015244377</v>
      </c>
    </row>
    <row r="24" spans="1:10" ht="12.75" customHeight="1">
      <c r="A24" s="12" t="s">
        <v>29</v>
      </c>
      <c r="B24" s="13">
        <v>2.8000000000000001E-2</v>
      </c>
      <c r="C24" s="13">
        <v>3.6999999999999998E-2</v>
      </c>
      <c r="D24" s="13">
        <v>4.9000000000000002E-2</v>
      </c>
      <c r="E24" s="13">
        <v>0.03</v>
      </c>
      <c r="F24" s="14">
        <f>'PROP &amp; EQUIP'!C48</f>
        <v>1.6410389610389611E-2</v>
      </c>
      <c r="G24" s="14">
        <f>'PROP &amp; EQUIP'!D48</f>
        <v>3.4765625000000001E-2</v>
      </c>
      <c r="H24" s="14">
        <f>'PROP &amp; EQUIP'!E48</f>
        <v>4.184439413797212E-2</v>
      </c>
      <c r="I24" s="14">
        <f>'PROP &amp; EQUIP'!F48</f>
        <v>4.7188013136289002E-2</v>
      </c>
      <c r="J24" s="14">
        <f>'PROP &amp; EQUIP'!G48</f>
        <v>4.2652836712242653E-2</v>
      </c>
    </row>
    <row r="25" spans="1:10" ht="12.75" customHeight="1">
      <c r="A25" s="12" t="s">
        <v>30</v>
      </c>
      <c r="B25" s="13">
        <v>0.14000000000000001</v>
      </c>
      <c r="C25" s="13">
        <v>0.19800000000000001</v>
      </c>
      <c r="D25" s="13">
        <v>0.27400000000000002</v>
      </c>
      <c r="E25" s="13">
        <v>0.14000000000000001</v>
      </c>
      <c r="F25" s="14">
        <f>(INCOME!C26+'PROP &amp; EQUIP'!C47)/INCOME!C7</f>
        <v>-7.9054545454545433E-2</v>
      </c>
      <c r="G25" s="14">
        <f>(INCOME!D26+'PROP &amp; EQUIP'!D47)/INCOME!D7</f>
        <v>-2.2864583333333334E-2</v>
      </c>
      <c r="H25" s="14">
        <f>(INCOME!E26+'PROP &amp; EQUIP'!E47)/INCOME!E7</f>
        <v>0.15993494578815681</v>
      </c>
      <c r="I25" s="14">
        <f>(INCOME!F26+'PROP &amp; EQUIP'!F47)/INCOME!F7</f>
        <v>0.23987684729064038</v>
      </c>
      <c r="J25" s="14">
        <f>(INCOME!G26+'PROP &amp; EQUIP'!G47)/INCOME!G7</f>
        <v>0.34521864686468645</v>
      </c>
    </row>
    <row r="26" spans="1:10" ht="12.75" customHeight="1">
      <c r="A26" s="12" t="s">
        <v>31</v>
      </c>
      <c r="B26" s="13">
        <v>5.0999999999999997E-2</v>
      </c>
      <c r="C26" s="13">
        <v>9.6000000000000002E-2</v>
      </c>
      <c r="D26" s="13">
        <v>0.14299999999999999</v>
      </c>
      <c r="E26" s="13">
        <v>0.05</v>
      </c>
      <c r="F26" s="14">
        <f>INCOME!C35</f>
        <v>-0.17331948051948048</v>
      </c>
      <c r="G26" s="14">
        <f>INCOME!D35</f>
        <v>-0.10848958333333333</v>
      </c>
      <c r="H26" s="14">
        <f>INCOME!E35</f>
        <v>8.1460026212319819E-2</v>
      </c>
      <c r="I26" s="14">
        <f>INCOME!F35</f>
        <v>0.12639535538353269</v>
      </c>
      <c r="J26" s="14">
        <f>INCOME!G35</f>
        <v>0.17722265440829793</v>
      </c>
    </row>
    <row r="27" spans="1:10" ht="12.75" customHeight="1">
      <c r="A27" s="4"/>
      <c r="F27" s="1"/>
      <c r="G27" s="1"/>
      <c r="H27" s="1"/>
      <c r="I27" s="1"/>
      <c r="J27" s="1"/>
    </row>
    <row r="28" spans="1:10" ht="12.75" customHeight="1">
      <c r="A28" s="6" t="s">
        <v>32</v>
      </c>
      <c r="F28" s="1"/>
      <c r="G28" s="1"/>
      <c r="H28" s="1"/>
      <c r="I28" s="1"/>
      <c r="J28" s="1"/>
    </row>
    <row r="29" spans="1:10" ht="12.75" customHeight="1">
      <c r="A29" s="12" t="s">
        <v>33</v>
      </c>
      <c r="B29" s="13">
        <v>0.115</v>
      </c>
      <c r="C29" s="13">
        <v>0.158</v>
      </c>
      <c r="D29" s="13">
        <v>0.17899999999999999</v>
      </c>
      <c r="E29" s="13">
        <v>0.12</v>
      </c>
      <c r="F29" s="14">
        <f>INCOME!C34/BALANCE!C15</f>
        <v>-0.11010034121733848</v>
      </c>
      <c r="G29" s="14">
        <f>INCOME!D34/BALANCE!D15</f>
        <v>-8.9126570610542369E-2</v>
      </c>
      <c r="H29" s="14">
        <f>INCOME!E34/BALANCE!E15</f>
        <v>9.1167769770358439E-2</v>
      </c>
      <c r="I29" s="14">
        <f>INCOME!F34/BALANCE!F15</f>
        <v>0.17501939527285928</v>
      </c>
      <c r="J29" s="14">
        <f>INCOME!G34/BALANCE!G15</f>
        <v>0.27986049459963236</v>
      </c>
    </row>
    <row r="30" spans="1:10" ht="12.75" customHeight="1">
      <c r="A30" s="12" t="s">
        <v>34</v>
      </c>
      <c r="B30" s="13">
        <v>0.14399999999999999</v>
      </c>
      <c r="C30" s="13">
        <v>0.19600000000000001</v>
      </c>
      <c r="D30" s="13">
        <v>0.247</v>
      </c>
      <c r="E30" s="13">
        <v>0.15</v>
      </c>
      <c r="F30" s="14">
        <f>INCOME!C34/BALANCE!C31</f>
        <v>-0.38960250361997284</v>
      </c>
      <c r="G30" s="14">
        <f>INCOME!D34/BALANCE!D31</f>
        <v>-0.23447022689629665</v>
      </c>
      <c r="H30" s="14">
        <f>INCOME!E34/BALANCE!E31</f>
        <v>0.23533667862923188</v>
      </c>
      <c r="I30" s="14">
        <f>INCOME!F34/BALANCE!F31</f>
        <v>0.29736166722585111</v>
      </c>
      <c r="J30" s="14">
        <f>INCOME!G34/BALANCE!G31</f>
        <v>0.40152939110422992</v>
      </c>
    </row>
    <row r="31" spans="1:10" ht="12.75" customHeight="1">
      <c r="A31" s="12" t="s">
        <v>35</v>
      </c>
      <c r="B31" s="13">
        <v>0.14799999999999999</v>
      </c>
      <c r="C31" s="13">
        <v>0.183</v>
      </c>
      <c r="D31" s="13">
        <v>0.219</v>
      </c>
      <c r="E31" s="13">
        <v>0.15</v>
      </c>
      <c r="F31" s="14">
        <f>INCOME!C34/(BALANCE!C22+BALANCE!C25+BALANCE!C31)</f>
        <v>-0.12800994490400402</v>
      </c>
      <c r="G31" s="14">
        <f>INCOME!D34/(BALANCE!D22+BALANCE!D25+BALANCE!D31)</f>
        <v>-0.10034271085663951</v>
      </c>
      <c r="H31" s="14">
        <f>INCOME!E34/(BALANCE!E22+BALANCE!E25+BALANCE!E31)</f>
        <v>0.11696726222350269</v>
      </c>
      <c r="I31" s="14">
        <f>INCOME!F34/(BALANCE!F22+BALANCE!F25+BALANCE!F31)</f>
        <v>0.19826896412442468</v>
      </c>
      <c r="J31" s="14">
        <f>INCOME!G34/(BALANCE!G22+BALANCE!G25+BALANCE!G31)</f>
        <v>0.32061688657855403</v>
      </c>
    </row>
    <row r="32" spans="1:10" ht="12.75" customHeight="1">
      <c r="F32" s="1"/>
      <c r="G32" s="1"/>
      <c r="H32" s="1"/>
      <c r="I32" s="1"/>
      <c r="J32" s="1"/>
    </row>
    <row r="33" spans="1:10" ht="12.75" customHeight="1">
      <c r="A33" s="6" t="s">
        <v>36</v>
      </c>
      <c r="F33" s="1"/>
      <c r="G33" s="1"/>
      <c r="H33" s="1"/>
      <c r="I33" s="1"/>
      <c r="J33" s="1"/>
    </row>
    <row r="34" spans="1:10" ht="12.75" customHeight="1">
      <c r="A34" s="4" t="s">
        <v>37</v>
      </c>
      <c r="B34" s="13">
        <v>0.14199999999999999</v>
      </c>
      <c r="C34" s="13">
        <v>0.19500000000000001</v>
      </c>
      <c r="D34" s="13">
        <v>0.248</v>
      </c>
      <c r="E34" s="13">
        <v>0.15</v>
      </c>
      <c r="F34" s="14"/>
      <c r="G34" s="14">
        <f>INCOME!D7/INCOME!C7-1</f>
        <v>0.39636363636363647</v>
      </c>
      <c r="H34" s="14">
        <f>INCOME!E7/INCOME!D7-1</f>
        <v>0.56119791666666674</v>
      </c>
      <c r="I34" s="14">
        <f>INCOME!F7/INCOME!E7-1</f>
        <v>0.35446205170975809</v>
      </c>
      <c r="J34" s="14">
        <f>(INCOME!G7/INCOME!F7-1)</f>
        <v>0.49261083743842371</v>
      </c>
    </row>
    <row r="35" spans="1:10" ht="12.75" customHeight="1">
      <c r="A35" s="4" t="s">
        <v>38</v>
      </c>
      <c r="B35" s="13">
        <v>0.11600000000000001</v>
      </c>
      <c r="C35" s="13">
        <v>0.17899999999999999</v>
      </c>
      <c r="D35" s="13">
        <v>0.215</v>
      </c>
      <c r="E35" s="13">
        <v>0.12</v>
      </c>
      <c r="F35" s="14"/>
      <c r="G35" s="18" t="str">
        <f>IF((INCOME!D34/INCOME!C34-1)&gt;0,(INCOME!D34/INCOME!C34-1),"Negative")</f>
        <v>Negative</v>
      </c>
      <c r="H35" s="18" t="str">
        <f>IF((INCOME!E34/INCOME!D34-1)&gt;0,(INCOME!E34/INCOME!D34-1),"Negative")</f>
        <v>Negative</v>
      </c>
      <c r="I35" s="18">
        <f>IF((INCOME!F34/INCOME!E34-1)&gt;0,(INCOME!F34/INCOME!E34-1),"Negative")</f>
        <v>1.1016162201218664</v>
      </c>
      <c r="J35" s="18">
        <f>IF((INCOME!G34/INCOME!F34-1)&gt;0,(INCOME!G34/INCOME!F34-1),"Negative")</f>
        <v>1.092833663125989</v>
      </c>
    </row>
    <row r="36" spans="1:10" ht="12.75" customHeight="1"/>
    <row r="37" spans="1:10" ht="12.75" customHeight="1">
      <c r="G37" s="19"/>
    </row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F6:J6"/>
  </mergeCells>
  <pageMargins left="0.7" right="0.7" top="0.75" bottom="0.75" header="0" footer="0"/>
  <pageSetup orientation="landscape"/>
  <headerFooter>
    <oddHeader>&amp;R&amp;D &amp;T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C8" sqref="C8"/>
    </sheetView>
  </sheetViews>
  <sheetFormatPr baseColWidth="10" defaultColWidth="14.3984375" defaultRowHeight="15" customHeight="1"/>
  <cols>
    <col min="1" max="1" width="26.59765625" bestFit="1" customWidth="1"/>
    <col min="2" max="2" width="7.19921875" customWidth="1"/>
    <col min="3" max="3" width="11.59765625" bestFit="1" customWidth="1"/>
    <col min="4" max="4" width="39.59765625" bestFit="1" customWidth="1"/>
    <col min="5" max="5" width="11.59765625" bestFit="1" customWidth="1"/>
    <col min="6" max="7" width="12.796875" bestFit="1" customWidth="1"/>
    <col min="8" max="8" width="8.3984375" bestFit="1" customWidth="1"/>
    <col min="9" max="13" width="8.796875" customWidth="1"/>
    <col min="14" max="14" width="13.59765625" bestFit="1" customWidth="1"/>
    <col min="15" max="26" width="8" customWidth="1"/>
  </cols>
  <sheetData>
    <row r="1" spans="1:26" ht="23.25" customHeight="1">
      <c r="A1" s="20" t="s">
        <v>0</v>
      </c>
      <c r="B1" s="4"/>
      <c r="C1" s="21"/>
      <c r="D1" s="21"/>
      <c r="E1" s="21"/>
      <c r="F1" s="21"/>
      <c r="G1" s="21"/>
      <c r="H1" s="4"/>
      <c r="I1" s="22"/>
      <c r="J1" s="22"/>
      <c r="K1" s="22"/>
      <c r="L1" s="22"/>
      <c r="M1" s="22" t="s">
        <v>423</v>
      </c>
      <c r="N1" s="57">
        <f>SUM(C16:G16,C38:G38,C41:G42,'COST OF REV'!C32:G33,'COST OF REV'!C38:G38,'COST OF REV'!C59:G59,'OPER EXP'!C16:G17,'OPER EXP'!C25:G26,'OPER EXP'!C38:G39,'OPER EXP'!C41:G42,'OPER EXP'!C47:G47,'OPER EXP'!C69:G69,'OPER EXP'!C91:G91,'OPER EXP'!C113:G113)</f>
        <v>176194131.39717069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6" ht="15.75" customHeight="1">
      <c r="A2" s="23" t="s">
        <v>39</v>
      </c>
      <c r="B2" s="4"/>
      <c r="C2" s="4"/>
      <c r="D2" s="22"/>
      <c r="E2" s="4"/>
      <c r="F2" s="4"/>
      <c r="G2" s="4"/>
      <c r="H2" s="22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>
      <c r="A3" s="23" t="s">
        <v>40</v>
      </c>
      <c r="B3" s="4"/>
      <c r="C3" s="21"/>
      <c r="D3" s="22"/>
      <c r="E3" s="4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>
      <c r="A4" s="9" t="s">
        <v>41</v>
      </c>
      <c r="B4" s="4"/>
      <c r="C4" s="4"/>
      <c r="D4" s="3"/>
      <c r="E4" s="4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>
      <c r="A5" s="4"/>
      <c r="B5" s="24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.75" customHeight="1">
      <c r="A6" s="4" t="s">
        <v>42</v>
      </c>
      <c r="B6" s="4"/>
      <c r="C6" s="4"/>
      <c r="D6" s="4"/>
      <c r="E6" s="4"/>
      <c r="F6" s="4"/>
      <c r="G6" s="4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>
      <c r="A7" s="12" t="s">
        <v>43</v>
      </c>
      <c r="B7" s="21"/>
      <c r="C7" s="25">
        <v>9000</v>
      </c>
      <c r="D7" s="25">
        <v>12000</v>
      </c>
      <c r="E7" s="25">
        <v>17000</v>
      </c>
      <c r="F7" s="25">
        <v>22000</v>
      </c>
      <c r="G7" s="25">
        <v>30000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12" t="s">
        <v>44</v>
      </c>
      <c r="B8" s="21"/>
      <c r="C8" s="25">
        <v>250</v>
      </c>
      <c r="D8" s="25">
        <v>250</v>
      </c>
      <c r="E8" s="25">
        <v>275</v>
      </c>
      <c r="F8" s="25">
        <v>275</v>
      </c>
      <c r="G8" s="25">
        <v>300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12" t="s">
        <v>45</v>
      </c>
      <c r="B9" s="21"/>
      <c r="C9" s="25">
        <f>C7*C8</f>
        <v>2250000</v>
      </c>
      <c r="D9" s="25">
        <f t="shared" ref="D9:G9" si="0">D7*D8</f>
        <v>3000000</v>
      </c>
      <c r="E9" s="25">
        <f t="shared" si="0"/>
        <v>4675000</v>
      </c>
      <c r="F9" s="25">
        <f t="shared" si="0"/>
        <v>6050000</v>
      </c>
      <c r="G9" s="25">
        <f t="shared" si="0"/>
        <v>9000000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>
      <c r="A10" s="4" t="s">
        <v>46</v>
      </c>
      <c r="B10" s="4"/>
      <c r="C10" s="26"/>
      <c r="D10" s="26"/>
      <c r="E10" s="26"/>
      <c r="F10" s="26"/>
      <c r="G10" s="26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12" t="s">
        <v>47</v>
      </c>
      <c r="B11" s="21"/>
      <c r="C11" s="38">
        <v>500</v>
      </c>
      <c r="D11" s="38">
        <v>800</v>
      </c>
      <c r="E11" s="38">
        <v>1200</v>
      </c>
      <c r="F11" s="38">
        <v>1800</v>
      </c>
      <c r="G11" s="38">
        <v>2600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12" t="s">
        <v>48</v>
      </c>
      <c r="B12" s="21"/>
      <c r="C12" s="25">
        <v>1000</v>
      </c>
      <c r="D12" s="25">
        <v>1050</v>
      </c>
      <c r="E12" s="25">
        <v>1100</v>
      </c>
      <c r="F12" s="25">
        <v>1150</v>
      </c>
      <c r="G12" s="25">
        <v>1200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>
      <c r="A13" s="12" t="s">
        <v>45</v>
      </c>
      <c r="B13" s="21"/>
      <c r="C13" s="25">
        <f>C11*C12</f>
        <v>500000</v>
      </c>
      <c r="D13" s="25">
        <f>D11*D12</f>
        <v>840000</v>
      </c>
      <c r="E13" s="25">
        <f>E11*E12</f>
        <v>1320000</v>
      </c>
      <c r="F13" s="25">
        <f>F11*F12</f>
        <v>2070000</v>
      </c>
      <c r="G13" s="25">
        <f>G11*G12</f>
        <v>3120000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12"/>
      <c r="B14" s="21"/>
      <c r="C14" s="25"/>
      <c r="D14" s="25"/>
      <c r="E14" s="25"/>
      <c r="F14" s="25"/>
      <c r="G14" s="25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12"/>
      <c r="B15" s="21"/>
      <c r="C15" s="27"/>
      <c r="D15" s="27"/>
      <c r="E15" s="27"/>
      <c r="F15" s="27"/>
      <c r="G15" s="27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3.5" customHeight="1">
      <c r="A16" s="6" t="s">
        <v>49</v>
      </c>
      <c r="B16" s="4"/>
      <c r="C16" s="28">
        <f t="shared" ref="C16:G16" si="1">C9+C13</f>
        <v>2750000</v>
      </c>
      <c r="D16" s="28">
        <f>D9+D13</f>
        <v>3840000</v>
      </c>
      <c r="E16" s="28">
        <f t="shared" si="1"/>
        <v>5995000</v>
      </c>
      <c r="F16" s="28">
        <f t="shared" si="1"/>
        <v>8120000</v>
      </c>
      <c r="G16" s="28">
        <f t="shared" si="1"/>
        <v>12120000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3.5" customHeight="1">
      <c r="A17" s="6"/>
      <c r="B17" s="4"/>
      <c r="C17" s="29"/>
      <c r="D17" s="29"/>
      <c r="E17" s="29"/>
      <c r="F17" s="29"/>
      <c r="G17" s="29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>
      <c r="A18" s="4"/>
      <c r="B18" s="4"/>
      <c r="C18" s="4"/>
      <c r="D18" s="4"/>
      <c r="E18" s="4"/>
      <c r="F18" s="4"/>
      <c r="G18" s="4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>
      <c r="A19" s="4"/>
      <c r="B19" s="4"/>
      <c r="C19" s="4"/>
      <c r="D19" s="3" t="s">
        <v>50</v>
      </c>
      <c r="E19" s="5"/>
      <c r="F19" s="5"/>
      <c r="G19" s="4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>
      <c r="A20" s="4"/>
      <c r="B20" s="4"/>
      <c r="C20" s="4"/>
      <c r="D20" s="3" t="s">
        <v>41</v>
      </c>
      <c r="E20" s="5"/>
      <c r="F20" s="5"/>
      <c r="G20" s="4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>
      <c r="A21" s="6" t="s">
        <v>51</v>
      </c>
      <c r="B21" s="4"/>
      <c r="C21" s="11" t="s">
        <v>9</v>
      </c>
      <c r="D21" s="11" t="s">
        <v>10</v>
      </c>
      <c r="E21" s="11" t="s">
        <v>11</v>
      </c>
      <c r="F21" s="11" t="s">
        <v>12</v>
      </c>
      <c r="G21" s="11" t="s">
        <v>13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>
      <c r="A22" s="4" t="s">
        <v>52</v>
      </c>
      <c r="B22" s="4"/>
      <c r="C22" s="25">
        <v>0</v>
      </c>
      <c r="D22" s="25">
        <f>D$16/12</f>
        <v>320000</v>
      </c>
      <c r="E22" s="25">
        <f t="shared" ref="E22:G22" si="2">E$16/12</f>
        <v>499583.33333333331</v>
      </c>
      <c r="F22" s="25">
        <f t="shared" si="2"/>
        <v>676666.66666666663</v>
      </c>
      <c r="G22" s="25">
        <f t="shared" si="2"/>
        <v>1010000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4" t="s">
        <v>53</v>
      </c>
      <c r="B23" s="4"/>
      <c r="C23" s="25">
        <v>0</v>
      </c>
      <c r="D23" s="25">
        <f t="shared" ref="D23:G36" si="3">D$16/12</f>
        <v>320000</v>
      </c>
      <c r="E23" s="25">
        <f t="shared" si="3"/>
        <v>499583.33333333331</v>
      </c>
      <c r="F23" s="25">
        <f t="shared" si="3"/>
        <v>676666.66666666663</v>
      </c>
      <c r="G23" s="25">
        <f t="shared" si="3"/>
        <v>1010000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4" t="s">
        <v>54</v>
      </c>
      <c r="B24" s="4"/>
      <c r="C24" s="30">
        <v>0</v>
      </c>
      <c r="D24" s="181">
        <f t="shared" si="3"/>
        <v>320000</v>
      </c>
      <c r="E24" s="181">
        <f t="shared" si="3"/>
        <v>499583.33333333331</v>
      </c>
      <c r="F24" s="181">
        <f t="shared" si="3"/>
        <v>676666.66666666663</v>
      </c>
      <c r="G24" s="181">
        <f t="shared" si="3"/>
        <v>1010000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12" t="s">
        <v>55</v>
      </c>
      <c r="B25" s="4"/>
      <c r="C25" s="31">
        <f>SUM(C22:C24)</f>
        <v>0</v>
      </c>
      <c r="D25" s="31">
        <f t="shared" ref="D25:G25" si="4">SUM(D22:D24)</f>
        <v>960000</v>
      </c>
      <c r="E25" s="31">
        <f>SUM(E22:E24)</f>
        <v>1498750</v>
      </c>
      <c r="F25" s="31">
        <f t="shared" si="4"/>
        <v>2030000</v>
      </c>
      <c r="G25" s="31">
        <f t="shared" si="4"/>
        <v>3030000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>
      <c r="A26" s="4" t="s">
        <v>56</v>
      </c>
      <c r="B26" s="4"/>
      <c r="C26" s="25">
        <f>C$16/9</f>
        <v>305555.55555555556</v>
      </c>
      <c r="D26" s="25">
        <f t="shared" si="3"/>
        <v>320000</v>
      </c>
      <c r="E26" s="25">
        <f t="shared" si="3"/>
        <v>499583.33333333331</v>
      </c>
      <c r="F26" s="25">
        <f t="shared" si="3"/>
        <v>676666.66666666663</v>
      </c>
      <c r="G26" s="25">
        <f t="shared" si="3"/>
        <v>1010000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4" t="s">
        <v>57</v>
      </c>
      <c r="B27" s="4"/>
      <c r="C27" s="25">
        <f t="shared" ref="C27:C28" si="5">C$16/9</f>
        <v>305555.55555555556</v>
      </c>
      <c r="D27" s="25">
        <f t="shared" si="3"/>
        <v>320000</v>
      </c>
      <c r="E27" s="25">
        <f t="shared" si="3"/>
        <v>499583.33333333331</v>
      </c>
      <c r="F27" s="25">
        <f t="shared" si="3"/>
        <v>676666.66666666663</v>
      </c>
      <c r="G27" s="25">
        <f t="shared" si="3"/>
        <v>1010000</v>
      </c>
      <c r="H27" s="4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4" t="s">
        <v>58</v>
      </c>
      <c r="B28" s="4"/>
      <c r="C28" s="181">
        <f t="shared" si="5"/>
        <v>305555.55555555556</v>
      </c>
      <c r="D28" s="181">
        <f t="shared" si="3"/>
        <v>320000</v>
      </c>
      <c r="E28" s="181">
        <f t="shared" si="3"/>
        <v>499583.33333333331</v>
      </c>
      <c r="F28" s="181">
        <f t="shared" si="3"/>
        <v>676666.66666666663</v>
      </c>
      <c r="G28" s="181">
        <f t="shared" si="3"/>
        <v>1010000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12" t="s">
        <v>59</v>
      </c>
      <c r="B29" s="4"/>
      <c r="C29" s="31">
        <f t="shared" ref="C29:G29" si="6">SUM(C26:C28)</f>
        <v>916666.66666666674</v>
      </c>
      <c r="D29" s="31">
        <f t="shared" si="6"/>
        <v>960000</v>
      </c>
      <c r="E29" s="31">
        <f t="shared" si="6"/>
        <v>1498750</v>
      </c>
      <c r="F29" s="31">
        <f t="shared" si="6"/>
        <v>2030000</v>
      </c>
      <c r="G29" s="31">
        <f t="shared" si="6"/>
        <v>3030000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4" t="s">
        <v>60</v>
      </c>
      <c r="B30" s="4"/>
      <c r="C30" s="25">
        <f>C$16/9</f>
        <v>305555.55555555556</v>
      </c>
      <c r="D30" s="25">
        <f t="shared" si="3"/>
        <v>320000</v>
      </c>
      <c r="E30" s="25">
        <f t="shared" si="3"/>
        <v>499583.33333333331</v>
      </c>
      <c r="F30" s="25">
        <f t="shared" si="3"/>
        <v>676666.66666666663</v>
      </c>
      <c r="G30" s="25">
        <f t="shared" si="3"/>
        <v>1010000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4" t="s">
        <v>61</v>
      </c>
      <c r="B31" s="4"/>
      <c r="C31" s="25">
        <f t="shared" ref="C31:C32" si="7">C$16/9</f>
        <v>305555.55555555556</v>
      </c>
      <c r="D31" s="25">
        <f t="shared" si="3"/>
        <v>320000</v>
      </c>
      <c r="E31" s="25">
        <f t="shared" si="3"/>
        <v>499583.33333333331</v>
      </c>
      <c r="F31" s="25">
        <f t="shared" si="3"/>
        <v>676666.66666666663</v>
      </c>
      <c r="G31" s="25">
        <f t="shared" si="3"/>
        <v>1010000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4" t="s">
        <v>62</v>
      </c>
      <c r="B32" s="4"/>
      <c r="C32" s="181">
        <f t="shared" si="7"/>
        <v>305555.55555555556</v>
      </c>
      <c r="D32" s="181">
        <f t="shared" si="3"/>
        <v>320000</v>
      </c>
      <c r="E32" s="181">
        <f t="shared" si="3"/>
        <v>499583.33333333331</v>
      </c>
      <c r="F32" s="181">
        <f t="shared" si="3"/>
        <v>676666.66666666663</v>
      </c>
      <c r="G32" s="181">
        <f t="shared" si="3"/>
        <v>1010000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>
      <c r="A33" s="12" t="s">
        <v>63</v>
      </c>
      <c r="B33" s="4"/>
      <c r="C33" s="31">
        <f t="shared" ref="C33:G33" si="8">SUM(C30:C32)</f>
        <v>916666.66666666674</v>
      </c>
      <c r="D33" s="31">
        <f t="shared" si="8"/>
        <v>960000</v>
      </c>
      <c r="E33" s="31">
        <f t="shared" si="8"/>
        <v>1498750</v>
      </c>
      <c r="F33" s="31">
        <f t="shared" si="8"/>
        <v>2030000</v>
      </c>
      <c r="G33" s="31">
        <f t="shared" si="8"/>
        <v>3030000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4" t="s">
        <v>64</v>
      </c>
      <c r="B34" s="4"/>
      <c r="C34" s="25">
        <f>C$16/9</f>
        <v>305555.55555555556</v>
      </c>
      <c r="D34" s="25">
        <f t="shared" si="3"/>
        <v>320000</v>
      </c>
      <c r="E34" s="25">
        <f t="shared" si="3"/>
        <v>499583.33333333331</v>
      </c>
      <c r="F34" s="25">
        <f t="shared" si="3"/>
        <v>676666.66666666663</v>
      </c>
      <c r="G34" s="25">
        <f t="shared" si="3"/>
        <v>1010000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4" t="s">
        <v>65</v>
      </c>
      <c r="B35" s="4"/>
      <c r="C35" s="25">
        <f t="shared" ref="C35:C36" si="9">C$16/9</f>
        <v>305555.55555555556</v>
      </c>
      <c r="D35" s="25">
        <f t="shared" si="3"/>
        <v>320000</v>
      </c>
      <c r="E35" s="25">
        <f t="shared" si="3"/>
        <v>499583.33333333331</v>
      </c>
      <c r="F35" s="25">
        <f t="shared" si="3"/>
        <v>676666.66666666663</v>
      </c>
      <c r="G35" s="25">
        <f t="shared" si="3"/>
        <v>1010000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4" t="s">
        <v>66</v>
      </c>
      <c r="B36" s="4"/>
      <c r="C36" s="181">
        <f t="shared" si="9"/>
        <v>305555.55555555556</v>
      </c>
      <c r="D36" s="181">
        <f t="shared" si="3"/>
        <v>320000</v>
      </c>
      <c r="E36" s="181">
        <f t="shared" si="3"/>
        <v>499583.33333333331</v>
      </c>
      <c r="F36" s="181">
        <f t="shared" si="3"/>
        <v>676666.66666666663</v>
      </c>
      <c r="G36" s="181">
        <f t="shared" si="3"/>
        <v>1010000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>
      <c r="A37" s="12" t="s">
        <v>67</v>
      </c>
      <c r="B37" s="4"/>
      <c r="C37" s="31">
        <f t="shared" ref="C37:G37" si="10">SUM(C34:C36)</f>
        <v>916666.66666666674</v>
      </c>
      <c r="D37" s="31">
        <f t="shared" si="10"/>
        <v>960000</v>
      </c>
      <c r="E37" s="31">
        <f t="shared" si="10"/>
        <v>1498750</v>
      </c>
      <c r="F37" s="31">
        <f t="shared" si="10"/>
        <v>2030000</v>
      </c>
      <c r="G37" s="31">
        <f t="shared" si="10"/>
        <v>3030000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3.5" customHeight="1">
      <c r="A38" s="12" t="s">
        <v>68</v>
      </c>
      <c r="B38" s="4"/>
      <c r="C38" s="32">
        <f t="shared" ref="C38:G38" si="11">C25+C29+C33+C37</f>
        <v>2750000</v>
      </c>
      <c r="D38" s="32">
        <f>D25+D29+D33+D37</f>
        <v>3840000</v>
      </c>
      <c r="E38" s="32">
        <f t="shared" si="11"/>
        <v>5995000</v>
      </c>
      <c r="F38" s="32">
        <f t="shared" si="11"/>
        <v>8120000</v>
      </c>
      <c r="G38" s="32">
        <f t="shared" si="11"/>
        <v>12120000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>
      <c r="A39" s="4"/>
      <c r="B39" s="4"/>
      <c r="C39" s="4"/>
      <c r="D39" s="4"/>
      <c r="E39" s="4"/>
      <c r="F39" s="4"/>
      <c r="G39" s="4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>
      <c r="A40" s="4" t="s">
        <v>69</v>
      </c>
      <c r="B40" s="4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>
      <c r="A41" s="12" t="s">
        <v>70</v>
      </c>
      <c r="B41" s="22"/>
      <c r="C41" s="31">
        <f>C16/12</f>
        <v>229166.66666666666</v>
      </c>
      <c r="D41" s="31">
        <f t="shared" ref="D41:G41" si="12">D16/12</f>
        <v>320000</v>
      </c>
      <c r="E41" s="31">
        <f t="shared" si="12"/>
        <v>499583.33333333331</v>
      </c>
      <c r="F41" s="31">
        <f t="shared" si="12"/>
        <v>676666.66666666663</v>
      </c>
      <c r="G41" s="31">
        <f t="shared" si="12"/>
        <v>1010000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>
      <c r="A42" s="12" t="s">
        <v>71</v>
      </c>
      <c r="B42" s="22"/>
      <c r="C42" s="31">
        <f>C16/4</f>
        <v>687500</v>
      </c>
      <c r="D42" s="31">
        <f t="shared" ref="D42:G42" si="13">D16/4</f>
        <v>960000</v>
      </c>
      <c r="E42" s="31">
        <f t="shared" si="13"/>
        <v>1498750</v>
      </c>
      <c r="F42" s="31">
        <f t="shared" si="13"/>
        <v>2030000</v>
      </c>
      <c r="G42" s="31">
        <f t="shared" si="13"/>
        <v>3030000</v>
      </c>
      <c r="H42" s="4"/>
      <c r="I42" s="4"/>
      <c r="J42" s="4"/>
      <c r="K42" s="4"/>
      <c r="L42" s="4"/>
      <c r="M42" s="4"/>
      <c r="N42" s="4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>
      <c r="A43" s="4"/>
      <c r="B43" s="4"/>
      <c r="C43" s="4"/>
      <c r="D43" s="4"/>
      <c r="E43" s="4"/>
      <c r="F43" s="4"/>
      <c r="G43" s="4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>
      <c r="A44" s="4"/>
      <c r="B44" s="4"/>
      <c r="C44" s="4"/>
      <c r="D44" s="4"/>
      <c r="E44" s="4"/>
      <c r="F44" s="4"/>
      <c r="G44" s="4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4"/>
      <c r="B45" s="4"/>
      <c r="C45" s="4"/>
      <c r="D45" s="4"/>
      <c r="E45" s="4"/>
      <c r="F45" s="4"/>
      <c r="G45" s="4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4"/>
      <c r="B46" s="4"/>
      <c r="C46" s="4"/>
      <c r="D46" s="4"/>
      <c r="E46" s="4"/>
      <c r="F46" s="4"/>
      <c r="G46" s="4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>
      <c r="A47" s="4"/>
      <c r="B47" s="4"/>
      <c r="C47" s="4"/>
      <c r="D47" s="4"/>
      <c r="E47" s="4"/>
      <c r="F47" s="4"/>
      <c r="G47" s="4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4"/>
      <c r="B48" s="4"/>
      <c r="C48" s="4"/>
      <c r="D48" s="4"/>
      <c r="E48" s="4"/>
      <c r="F48" s="4"/>
      <c r="G48" s="4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4"/>
      <c r="B49" s="4"/>
      <c r="C49" s="4"/>
      <c r="D49" s="4"/>
      <c r="E49" s="4"/>
      <c r="F49" s="4"/>
      <c r="G49" s="4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>
      <c r="A50" s="4"/>
      <c r="B50" s="4"/>
      <c r="C50" s="4"/>
      <c r="D50" s="4"/>
      <c r="E50" s="4"/>
      <c r="F50" s="4"/>
      <c r="G50" s="4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>
      <c r="A51" s="4"/>
      <c r="B51" s="4"/>
      <c r="C51" s="4"/>
      <c r="D51" s="4"/>
      <c r="E51" s="4"/>
      <c r="F51" s="4"/>
      <c r="G51" s="4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4"/>
      <c r="B52" s="4"/>
      <c r="C52" s="4"/>
      <c r="D52" s="4"/>
      <c r="E52" s="4"/>
      <c r="F52" s="4"/>
      <c r="G52" s="4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4"/>
      <c r="B53" s="4"/>
      <c r="C53" s="4"/>
      <c r="D53" s="4"/>
      <c r="E53" s="4"/>
      <c r="F53" s="4"/>
      <c r="G53" s="4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4"/>
      <c r="B54" s="4"/>
      <c r="C54" s="4"/>
      <c r="D54" s="4"/>
      <c r="E54" s="4"/>
      <c r="F54" s="4"/>
      <c r="G54" s="4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4"/>
      <c r="B55" s="4"/>
      <c r="C55" s="4"/>
      <c r="D55" s="4"/>
      <c r="E55" s="4"/>
      <c r="F55" s="4"/>
      <c r="G55" s="4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4"/>
      <c r="B56" s="4"/>
      <c r="C56" s="4"/>
      <c r="D56" s="4"/>
      <c r="E56" s="4"/>
      <c r="F56" s="4"/>
      <c r="G56" s="4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4"/>
      <c r="B57" s="4"/>
      <c r="C57" s="4"/>
      <c r="D57" s="4"/>
      <c r="E57" s="4"/>
      <c r="F57" s="4"/>
      <c r="G57" s="4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4"/>
      <c r="B58" s="4"/>
      <c r="C58" s="4"/>
      <c r="D58" s="4"/>
      <c r="E58" s="4"/>
      <c r="F58" s="4"/>
      <c r="G58" s="4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A13" sqref="A13"/>
    </sheetView>
  </sheetViews>
  <sheetFormatPr baseColWidth="10" defaultColWidth="14.3984375" defaultRowHeight="15" customHeight="1"/>
  <cols>
    <col min="1" max="1" width="30.796875" customWidth="1"/>
    <col min="2" max="2" width="7" customWidth="1"/>
    <col min="3" max="3" width="11.59765625" bestFit="1" customWidth="1"/>
    <col min="4" max="4" width="49.3984375" bestFit="1" customWidth="1"/>
    <col min="5" max="5" width="12.59765625" customWidth="1"/>
    <col min="6" max="6" width="12.19921875" customWidth="1"/>
    <col min="7" max="7" width="13.19921875" customWidth="1"/>
    <col min="8" max="9" width="8.796875" customWidth="1"/>
    <col min="10" max="26" width="8" customWidth="1"/>
  </cols>
  <sheetData>
    <row r="1" spans="1:26" ht="20.25" customHeight="1">
      <c r="A1" s="20" t="s">
        <v>0</v>
      </c>
      <c r="B1" s="4"/>
      <c r="C1" s="4"/>
      <c r="D1" s="4"/>
      <c r="E1" s="4"/>
      <c r="F1" s="4"/>
      <c r="G1" s="4"/>
      <c r="H1" s="4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6" ht="15.75" customHeight="1">
      <c r="A2" s="9" t="s">
        <v>72</v>
      </c>
      <c r="B2" s="4"/>
      <c r="C2" s="4"/>
      <c r="D2" s="4"/>
      <c r="E2" s="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>
      <c r="A3" s="9" t="s">
        <v>40</v>
      </c>
      <c r="B3" s="4"/>
      <c r="C3" s="4"/>
      <c r="D3" s="4"/>
      <c r="E3" s="4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>
      <c r="A4" s="9" t="s">
        <v>41</v>
      </c>
      <c r="B4" s="4"/>
      <c r="C4" s="4"/>
      <c r="D4" s="4"/>
      <c r="E4" s="4"/>
      <c r="F4" s="4"/>
      <c r="G4" s="4"/>
      <c r="H4" s="22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>
      <c r="A5" s="4"/>
      <c r="B5" s="22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33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.75" customHeight="1">
      <c r="A6" s="4"/>
      <c r="B6" s="34"/>
      <c r="C6" s="34"/>
      <c r="D6" s="34"/>
      <c r="E6" s="34"/>
      <c r="F6" s="34"/>
      <c r="G6" s="34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>
      <c r="A7" s="6" t="s">
        <v>73</v>
      </c>
      <c r="B7" s="19"/>
      <c r="C7" s="35">
        <f>REVENUE!C16</f>
        <v>2750000</v>
      </c>
      <c r="D7" s="35">
        <f>REVENUE!D16</f>
        <v>3840000</v>
      </c>
      <c r="E7" s="35">
        <f>REVENUE!E16</f>
        <v>5995000</v>
      </c>
      <c r="F7" s="35">
        <f>REVENUE!F16</f>
        <v>8120000</v>
      </c>
      <c r="G7" s="35">
        <f>REVENUE!G16</f>
        <v>12120000</v>
      </c>
      <c r="H7" s="4"/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4"/>
      <c r="B8" s="4"/>
      <c r="C8" s="4"/>
      <c r="D8" s="4"/>
      <c r="E8" s="4"/>
      <c r="F8" s="4"/>
      <c r="G8" s="4"/>
      <c r="H8" s="4"/>
      <c r="I8" s="4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6" t="s">
        <v>74</v>
      </c>
      <c r="B9" s="19"/>
      <c r="C9" s="4"/>
      <c r="D9" s="19"/>
      <c r="E9" s="19"/>
      <c r="F9" s="19"/>
      <c r="G9" s="19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>
      <c r="A10" s="12"/>
      <c r="B10" s="19"/>
      <c r="C10" s="4"/>
      <c r="D10" s="19"/>
      <c r="E10" s="19"/>
      <c r="F10" s="19"/>
      <c r="G10" s="19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12" t="s">
        <v>42</v>
      </c>
      <c r="B11" s="19"/>
      <c r="C11" s="36"/>
      <c r="D11" s="37"/>
      <c r="E11" s="37"/>
      <c r="F11" s="37"/>
      <c r="G11" s="37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12" t="s">
        <v>75</v>
      </c>
      <c r="B12" s="19"/>
      <c r="C12" s="38">
        <v>18.7</v>
      </c>
      <c r="D12" s="38">
        <v>18.2</v>
      </c>
      <c r="E12" s="38">
        <v>17.5</v>
      </c>
      <c r="F12" s="38">
        <v>16.8</v>
      </c>
      <c r="G12" s="38">
        <v>16.2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>
      <c r="A13" s="12" t="s">
        <v>425</v>
      </c>
      <c r="B13" s="19"/>
      <c r="C13" s="38">
        <v>12.4</v>
      </c>
      <c r="D13" s="38">
        <v>11.8</v>
      </c>
      <c r="E13" s="38">
        <v>11.2</v>
      </c>
      <c r="F13" s="38">
        <v>10.7</v>
      </c>
      <c r="G13" s="38">
        <v>10.199999999999999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12" t="s">
        <v>76</v>
      </c>
      <c r="B14" s="19"/>
      <c r="C14" s="38">
        <f t="shared" ref="C14:G14" si="0">SUM(C12:C13)</f>
        <v>31.1</v>
      </c>
      <c r="D14" s="38">
        <f t="shared" si="0"/>
        <v>30</v>
      </c>
      <c r="E14" s="38">
        <f t="shared" si="0"/>
        <v>28.7</v>
      </c>
      <c r="F14" s="38">
        <f t="shared" si="0"/>
        <v>27.5</v>
      </c>
      <c r="G14" s="38">
        <f t="shared" si="0"/>
        <v>26.4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12" t="s">
        <v>77</v>
      </c>
      <c r="B15" s="19"/>
      <c r="C15" s="25">
        <f>REVENUE!C7</f>
        <v>9000</v>
      </c>
      <c r="D15" s="25">
        <f>REVENUE!D7</f>
        <v>12000</v>
      </c>
      <c r="E15" s="25">
        <f>REVENUE!E7</f>
        <v>17000</v>
      </c>
      <c r="F15" s="25">
        <f>REVENUE!F7</f>
        <v>22000</v>
      </c>
      <c r="G15" s="25">
        <f>REVENUE!G7</f>
        <v>30000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>
      <c r="A16" s="12" t="s">
        <v>78</v>
      </c>
      <c r="B16" s="19"/>
      <c r="C16" s="25">
        <f t="shared" ref="C16:G16" si="1">C14*C15</f>
        <v>279900</v>
      </c>
      <c r="D16" s="25">
        <f t="shared" si="1"/>
        <v>360000</v>
      </c>
      <c r="E16" s="25">
        <f t="shared" si="1"/>
        <v>487900</v>
      </c>
      <c r="F16" s="25">
        <f t="shared" si="1"/>
        <v>605000</v>
      </c>
      <c r="G16" s="25">
        <f t="shared" si="1"/>
        <v>792000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>
      <c r="A17" s="12" t="s">
        <v>79</v>
      </c>
      <c r="B17" s="19"/>
      <c r="C17" s="35">
        <f>PERSONNEL!C65</f>
        <v>66000</v>
      </c>
      <c r="D17" s="35">
        <f>PERSONNEL!D65</f>
        <v>227700</v>
      </c>
      <c r="E17" s="35">
        <f>PERSONNEL!E65</f>
        <v>358800</v>
      </c>
      <c r="F17" s="35">
        <f>PERSONNEL!F65</f>
        <v>489600</v>
      </c>
      <c r="G17" s="35">
        <f>PERSONNEL!G65</f>
        <v>600000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>
      <c r="A18" s="12" t="s">
        <v>80</v>
      </c>
      <c r="B18" s="19"/>
      <c r="C18" s="25">
        <f t="shared" ref="C18:G18" si="2">C16+C17</f>
        <v>345900</v>
      </c>
      <c r="D18" s="25">
        <f t="shared" si="2"/>
        <v>587700</v>
      </c>
      <c r="E18" s="25">
        <f t="shared" si="2"/>
        <v>846700</v>
      </c>
      <c r="F18" s="25">
        <f t="shared" si="2"/>
        <v>1094600</v>
      </c>
      <c r="G18" s="25">
        <f t="shared" si="2"/>
        <v>1392000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>
      <c r="A19" s="12"/>
      <c r="B19" s="19"/>
      <c r="C19" s="21"/>
      <c r="D19" s="21"/>
      <c r="E19" s="21"/>
      <c r="F19" s="21"/>
      <c r="G19" s="21"/>
      <c r="H19" s="39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.75" customHeight="1">
      <c r="A20" s="12" t="s">
        <v>46</v>
      </c>
      <c r="B20" s="19"/>
      <c r="C20" s="4"/>
      <c r="D20" s="19"/>
      <c r="E20" s="19"/>
      <c r="F20" s="19"/>
      <c r="G20" s="19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.75" customHeight="1">
      <c r="A21" s="40" t="s">
        <v>81</v>
      </c>
      <c r="B21" s="19"/>
      <c r="C21" s="35">
        <f>PERSONNEL!C73</f>
        <v>115500</v>
      </c>
      <c r="D21" s="35">
        <f>PERSONNEL!D73</f>
        <v>212750</v>
      </c>
      <c r="E21" s="35">
        <f>PERSONNEL!E73</f>
        <v>336000</v>
      </c>
      <c r="F21" s="35">
        <f>PERSONNEL!F73</f>
        <v>480000</v>
      </c>
      <c r="G21" s="35">
        <f>PERSONNEL!G73</f>
        <v>825000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>
      <c r="A22" s="22"/>
      <c r="B22" s="19"/>
      <c r="C22" s="21"/>
      <c r="D22" s="21"/>
      <c r="E22" s="21"/>
      <c r="F22" s="21"/>
      <c r="G22" s="21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22" t="s">
        <v>82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12" t="s">
        <v>83</v>
      </c>
      <c r="B24" s="19"/>
      <c r="C24" s="35">
        <f>PERSONNEL!C57</f>
        <v>181500</v>
      </c>
      <c r="D24" s="35">
        <f>PERSONNEL!D57</f>
        <v>290950</v>
      </c>
      <c r="E24" s="35">
        <f>PERSONNEL!E57</f>
        <v>325200</v>
      </c>
      <c r="F24" s="35">
        <f>PERSONNEL!F57</f>
        <v>346800</v>
      </c>
      <c r="G24" s="35">
        <f>PERSONNEL!G57</f>
        <v>383750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12" t="s">
        <v>84</v>
      </c>
      <c r="B25" s="19"/>
      <c r="C25" s="35">
        <f>'PROP &amp; EQUIP'!C34+'PROP &amp; EQUIP'!C44</f>
        <v>37628.571428571428</v>
      </c>
      <c r="D25" s="35">
        <f>'PROP &amp; EQUIP'!D34+'PROP &amp; EQUIP'!D44</f>
        <v>91000</v>
      </c>
      <c r="E25" s="35">
        <f>'PROP &amp; EQUIP'!E34+'PROP &amp; EQUIP'!E44</f>
        <v>138357.14285714284</v>
      </c>
      <c r="F25" s="35">
        <f>'PROP &amp; EQUIP'!F34+'PROP &amp; EQUIP'!F44</f>
        <v>191500</v>
      </c>
      <c r="G25" s="35">
        <f>'PROP &amp; EQUIP'!G34+'PROP &amp; EQUIP'!G44</f>
        <v>245285.71428571429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>
      <c r="A26" s="12" t="s">
        <v>85</v>
      </c>
      <c r="B26" s="19"/>
      <c r="C26" s="25">
        <v>325000</v>
      </c>
      <c r="D26" s="25">
        <v>345000</v>
      </c>
      <c r="E26" s="25">
        <v>368000</v>
      </c>
      <c r="F26" s="25">
        <v>392000</v>
      </c>
      <c r="G26" s="25">
        <v>418000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12" t="s">
        <v>86</v>
      </c>
      <c r="B27" s="19"/>
      <c r="C27" s="25">
        <v>210000</v>
      </c>
      <c r="D27" s="25">
        <v>235000</v>
      </c>
      <c r="E27" s="25">
        <v>260000</v>
      </c>
      <c r="F27" s="25">
        <v>285000</v>
      </c>
      <c r="G27" s="25">
        <v>315000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22"/>
      <c r="B28" s="22"/>
      <c r="C28" s="41"/>
      <c r="D28" s="41"/>
      <c r="E28" s="41"/>
      <c r="F28" s="41"/>
      <c r="G28" s="41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12"/>
      <c r="B29" s="19"/>
      <c r="C29" s="25"/>
      <c r="D29" s="25"/>
      <c r="E29" s="25"/>
      <c r="F29" s="25"/>
      <c r="G29" s="25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22"/>
      <c r="B30" s="22"/>
      <c r="C30" s="41"/>
      <c r="D30" s="41"/>
      <c r="E30" s="41"/>
      <c r="F30" s="41"/>
      <c r="G30" s="4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12" t="s">
        <v>87</v>
      </c>
      <c r="B31" s="42">
        <v>0.04</v>
      </c>
      <c r="C31" s="30">
        <f t="shared" ref="C31:G31" si="3">$B31*C7</f>
        <v>110000</v>
      </c>
      <c r="D31" s="30">
        <f t="shared" si="3"/>
        <v>153600</v>
      </c>
      <c r="E31" s="30">
        <f t="shared" si="3"/>
        <v>239800</v>
      </c>
      <c r="F31" s="30">
        <f t="shared" si="3"/>
        <v>324800</v>
      </c>
      <c r="G31" s="30">
        <f t="shared" si="3"/>
        <v>484800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3.5" customHeight="1">
      <c r="A32" s="43" t="s">
        <v>88</v>
      </c>
      <c r="B32" s="44"/>
      <c r="C32" s="28">
        <f t="shared" ref="C32:G32" si="4">C18+C21+C24+C25+C26+C27+C31</f>
        <v>1325528.5714285714</v>
      </c>
      <c r="D32" s="28">
        <f t="shared" si="4"/>
        <v>1916000</v>
      </c>
      <c r="E32" s="28">
        <f t="shared" si="4"/>
        <v>2514057.1428571427</v>
      </c>
      <c r="F32" s="28">
        <f t="shared" si="4"/>
        <v>3114700</v>
      </c>
      <c r="G32" s="28">
        <f t="shared" si="4"/>
        <v>4063835.7142857141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3.5" customHeight="1">
      <c r="A33" s="4" t="s">
        <v>89</v>
      </c>
      <c r="B33" s="22"/>
      <c r="C33" s="45">
        <f t="shared" ref="C33:G33" si="5">C32/C7</f>
        <v>0.48201038961038961</v>
      </c>
      <c r="D33" s="45">
        <f t="shared" si="5"/>
        <v>0.49895833333333334</v>
      </c>
      <c r="E33" s="45">
        <f t="shared" si="5"/>
        <v>0.41935898963421897</v>
      </c>
      <c r="F33" s="45">
        <f t="shared" si="5"/>
        <v>0.38358374384236454</v>
      </c>
      <c r="G33" s="45">
        <f t="shared" si="5"/>
        <v>0.33529997642621401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4"/>
      <c r="B34" s="4"/>
      <c r="C34" s="21"/>
      <c r="D34" s="21"/>
      <c r="E34" s="21"/>
      <c r="F34" s="21"/>
      <c r="G34" s="2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6" t="s">
        <v>90</v>
      </c>
      <c r="B35" s="4"/>
      <c r="C35" s="46"/>
      <c r="D35" s="46"/>
      <c r="E35" s="46"/>
      <c r="F35" s="46"/>
      <c r="G35" s="46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12" t="s">
        <v>91</v>
      </c>
      <c r="B36" s="4"/>
      <c r="C36" s="47">
        <f t="shared" ref="C36:G36" si="6">C18+C21+C31</f>
        <v>571400</v>
      </c>
      <c r="D36" s="47">
        <f t="shared" si="6"/>
        <v>954050</v>
      </c>
      <c r="E36" s="47">
        <f t="shared" si="6"/>
        <v>1422500</v>
      </c>
      <c r="F36" s="47">
        <f t="shared" si="6"/>
        <v>1899400</v>
      </c>
      <c r="G36" s="47">
        <f t="shared" si="6"/>
        <v>2701800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6" ht="12.75" customHeight="1">
      <c r="A37" s="12" t="s">
        <v>92</v>
      </c>
      <c r="B37" s="4"/>
      <c r="C37" s="48">
        <f t="shared" ref="C37:G37" si="7">C24+C25+C26+C27</f>
        <v>754128.57142857136</v>
      </c>
      <c r="D37" s="48">
        <f t="shared" si="7"/>
        <v>961950</v>
      </c>
      <c r="E37" s="48">
        <f t="shared" si="7"/>
        <v>1091557.1428571427</v>
      </c>
      <c r="F37" s="48">
        <f t="shared" si="7"/>
        <v>1215300</v>
      </c>
      <c r="G37" s="48">
        <f t="shared" si="7"/>
        <v>1362035.7142857143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>
      <c r="A38" s="12" t="s">
        <v>93</v>
      </c>
      <c r="B38" s="4"/>
      <c r="C38" s="49">
        <f t="shared" ref="C38:G38" si="8">SUM(C36:C37)</f>
        <v>1325528.5714285714</v>
      </c>
      <c r="D38" s="49">
        <f t="shared" si="8"/>
        <v>1916000</v>
      </c>
      <c r="E38" s="49">
        <f t="shared" si="8"/>
        <v>2514057.1428571427</v>
      </c>
      <c r="F38" s="49">
        <f t="shared" si="8"/>
        <v>3114700</v>
      </c>
      <c r="G38" s="49">
        <f t="shared" si="8"/>
        <v>4063835.7142857146</v>
      </c>
      <c r="H38" s="4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>
      <c r="A39" s="12"/>
      <c r="B39" s="4"/>
      <c r="C39" s="4"/>
      <c r="D39" s="4"/>
      <c r="E39" s="4"/>
      <c r="F39" s="4"/>
      <c r="G39" s="4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75" customHeight="1">
      <c r="A40" s="4"/>
      <c r="B40" s="4"/>
      <c r="C40" s="4"/>
      <c r="D40" s="3" t="s">
        <v>94</v>
      </c>
      <c r="E40" s="5"/>
      <c r="F40" s="5"/>
      <c r="G40" s="4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customHeight="1">
      <c r="A41" s="4"/>
      <c r="B41" s="4"/>
      <c r="C41" s="4"/>
      <c r="D41" s="3" t="s">
        <v>41</v>
      </c>
      <c r="E41" s="5"/>
      <c r="F41" s="5"/>
      <c r="G41" s="4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customHeight="1">
      <c r="A42" s="4"/>
      <c r="B42" s="4"/>
      <c r="C42" s="11" t="s">
        <v>9</v>
      </c>
      <c r="D42" s="11" t="s">
        <v>10</v>
      </c>
      <c r="E42" s="11" t="s">
        <v>11</v>
      </c>
      <c r="F42" s="11" t="s">
        <v>12</v>
      </c>
      <c r="G42" s="11" t="s">
        <v>13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>
      <c r="A43" s="4" t="s">
        <v>52</v>
      </c>
      <c r="B43" s="22"/>
      <c r="C43" s="50">
        <f>REVENUE!C22*'COST OF REV'!C$33</f>
        <v>0</v>
      </c>
      <c r="D43" s="50">
        <f>REVENUE!D22*'COST OF REV'!D$33</f>
        <v>159666.66666666666</v>
      </c>
      <c r="E43" s="50">
        <f>REVENUE!E22*'COST OF REV'!E$33</f>
        <v>209504.76190476189</v>
      </c>
      <c r="F43" s="50">
        <f>REVENUE!F22*'COST OF REV'!F$33</f>
        <v>259558.33333333331</v>
      </c>
      <c r="G43" s="50">
        <f>REVENUE!G22*'COST OF REV'!G$33</f>
        <v>338652.97619047615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>
      <c r="A44" s="4" t="s">
        <v>53</v>
      </c>
      <c r="B44" s="22"/>
      <c r="C44" s="50">
        <f>REVENUE!C23*'COST OF REV'!C$33</f>
        <v>0</v>
      </c>
      <c r="D44" s="50">
        <f>REVENUE!D23*'COST OF REV'!D$33</f>
        <v>159666.66666666666</v>
      </c>
      <c r="E44" s="50">
        <f>REVENUE!E23*'COST OF REV'!E$33</f>
        <v>209504.76190476189</v>
      </c>
      <c r="F44" s="50">
        <f>REVENUE!F23*'COST OF REV'!F$33</f>
        <v>259558.33333333331</v>
      </c>
      <c r="G44" s="50">
        <f>REVENUE!G23*'COST OF REV'!G$33</f>
        <v>338652.97619047615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4" t="s">
        <v>54</v>
      </c>
      <c r="B45" s="22"/>
      <c r="C45" s="51">
        <f>REVENUE!C24*'COST OF REV'!C$33</f>
        <v>0</v>
      </c>
      <c r="D45" s="51">
        <f>REVENUE!D24*'COST OF REV'!D$33</f>
        <v>159666.66666666666</v>
      </c>
      <c r="E45" s="51">
        <f>REVENUE!E24*'COST OF REV'!E$33</f>
        <v>209504.76190476189</v>
      </c>
      <c r="F45" s="51">
        <f>REVENUE!F24*'COST OF REV'!F$33</f>
        <v>259558.33333333331</v>
      </c>
      <c r="G45" s="51">
        <f>REVENUE!G24*'COST OF REV'!G$33</f>
        <v>338652.97619047615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12" t="s">
        <v>55</v>
      </c>
      <c r="B46" s="22"/>
      <c r="C46" s="50">
        <f>REVENUE!C25*'COST OF REV'!C$33</f>
        <v>0</v>
      </c>
      <c r="D46" s="50">
        <f>REVENUE!D25*'COST OF REV'!D$33</f>
        <v>479000</v>
      </c>
      <c r="E46" s="50">
        <f>REVENUE!E25*'COST OF REV'!E$33</f>
        <v>628514.28571428568</v>
      </c>
      <c r="F46" s="50">
        <f>REVENUE!F25*'COST OF REV'!F$33</f>
        <v>778675</v>
      </c>
      <c r="G46" s="50">
        <f>REVENUE!G25*'COST OF REV'!G$33</f>
        <v>1015958.9285714284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>
      <c r="A47" s="4" t="s">
        <v>56</v>
      </c>
      <c r="B47" s="22"/>
      <c r="C47" s="50">
        <f>REVENUE!C26*'COST OF REV'!C$33</f>
        <v>147280.9523809524</v>
      </c>
      <c r="D47" s="50">
        <f>REVENUE!D26*'COST OF REV'!D$33</f>
        <v>159666.66666666666</v>
      </c>
      <c r="E47" s="50">
        <f>REVENUE!E26*'COST OF REV'!E$33</f>
        <v>209504.76190476189</v>
      </c>
      <c r="F47" s="50">
        <f>REVENUE!F26*'COST OF REV'!F$33</f>
        <v>259558.33333333331</v>
      </c>
      <c r="G47" s="50">
        <f>REVENUE!G26*'COST OF REV'!G$33</f>
        <v>338652.97619047615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4" t="s">
        <v>57</v>
      </c>
      <c r="B48" s="22"/>
      <c r="C48" s="50">
        <f>REVENUE!C27*'COST OF REV'!C$33</f>
        <v>147280.9523809524</v>
      </c>
      <c r="D48" s="50">
        <f>REVENUE!D27*'COST OF REV'!D$33</f>
        <v>159666.66666666666</v>
      </c>
      <c r="E48" s="50">
        <f>REVENUE!E27*'COST OF REV'!E$33</f>
        <v>209504.76190476189</v>
      </c>
      <c r="F48" s="50">
        <f>REVENUE!F27*'COST OF REV'!F$33</f>
        <v>259558.33333333331</v>
      </c>
      <c r="G48" s="50">
        <f>REVENUE!G27*'COST OF REV'!G$33</f>
        <v>338652.97619047615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4" t="s">
        <v>58</v>
      </c>
      <c r="B49" s="22"/>
      <c r="C49" s="51">
        <f>REVENUE!C28*'COST OF REV'!C$33</f>
        <v>147280.9523809524</v>
      </c>
      <c r="D49" s="51">
        <f>REVENUE!D28*'COST OF REV'!D$33</f>
        <v>159666.66666666666</v>
      </c>
      <c r="E49" s="51">
        <f>REVENUE!E28*'COST OF REV'!E$33</f>
        <v>209504.76190476189</v>
      </c>
      <c r="F49" s="51">
        <f>REVENUE!F28*'COST OF REV'!F$33</f>
        <v>259558.33333333331</v>
      </c>
      <c r="G49" s="51">
        <f>REVENUE!G28*'COST OF REV'!G$33</f>
        <v>338652.97619047615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>
      <c r="A50" s="12" t="s">
        <v>59</v>
      </c>
      <c r="B50" s="22"/>
      <c r="C50" s="50">
        <f>REVENUE!C29*'COST OF REV'!C$33</f>
        <v>441842.85714285716</v>
      </c>
      <c r="D50" s="50">
        <f>REVENUE!D29*'COST OF REV'!D$33</f>
        <v>479000</v>
      </c>
      <c r="E50" s="50">
        <f>REVENUE!E29*'COST OF REV'!E$33</f>
        <v>628514.28571428568</v>
      </c>
      <c r="F50" s="50">
        <f>REVENUE!F29*'COST OF REV'!F$33</f>
        <v>778675</v>
      </c>
      <c r="G50" s="50">
        <f>REVENUE!G29*'COST OF REV'!G$33</f>
        <v>1015958.9285714284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>
      <c r="A51" s="4" t="s">
        <v>60</v>
      </c>
      <c r="B51" s="22"/>
      <c r="C51" s="50">
        <f>REVENUE!C30*'COST OF REV'!C$33</f>
        <v>147280.9523809524</v>
      </c>
      <c r="D51" s="50">
        <f>REVENUE!D30*'COST OF REV'!D$33</f>
        <v>159666.66666666666</v>
      </c>
      <c r="E51" s="50">
        <f>REVENUE!E30*'COST OF REV'!E$33</f>
        <v>209504.76190476189</v>
      </c>
      <c r="F51" s="50">
        <f>REVENUE!F30*'COST OF REV'!F$33</f>
        <v>259558.33333333331</v>
      </c>
      <c r="G51" s="50">
        <f>REVENUE!G30*'COST OF REV'!G$33</f>
        <v>338652.97619047615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4" t="s">
        <v>61</v>
      </c>
      <c r="B52" s="22"/>
      <c r="C52" s="50">
        <f>REVENUE!C31*'COST OF REV'!C$33</f>
        <v>147280.9523809524</v>
      </c>
      <c r="D52" s="50">
        <f>REVENUE!D31*'COST OF REV'!D$33</f>
        <v>159666.66666666666</v>
      </c>
      <c r="E52" s="50">
        <f>REVENUE!E31*'COST OF REV'!E$33</f>
        <v>209504.76190476189</v>
      </c>
      <c r="F52" s="50">
        <f>REVENUE!F31*'COST OF REV'!F$33</f>
        <v>259558.33333333331</v>
      </c>
      <c r="G52" s="50">
        <f>REVENUE!G31*'COST OF REV'!G$33</f>
        <v>338652.97619047615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4" t="s">
        <v>62</v>
      </c>
      <c r="B53" s="22"/>
      <c r="C53" s="51">
        <f>REVENUE!C32*'COST OF REV'!C$33</f>
        <v>147280.9523809524</v>
      </c>
      <c r="D53" s="51">
        <f>REVENUE!D32*'COST OF REV'!D$33</f>
        <v>159666.66666666666</v>
      </c>
      <c r="E53" s="51">
        <f>REVENUE!E32*'COST OF REV'!E$33</f>
        <v>209504.76190476189</v>
      </c>
      <c r="F53" s="51">
        <f>REVENUE!F32*'COST OF REV'!F$33</f>
        <v>259558.33333333331</v>
      </c>
      <c r="G53" s="51">
        <f>REVENUE!G32*'COST OF REV'!G$33</f>
        <v>338652.97619047615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12" t="s">
        <v>63</v>
      </c>
      <c r="B54" s="22"/>
      <c r="C54" s="50">
        <f>REVENUE!C33*'COST OF REV'!C$33</f>
        <v>441842.85714285716</v>
      </c>
      <c r="D54" s="50">
        <f>REVENUE!D33*'COST OF REV'!D$33</f>
        <v>479000</v>
      </c>
      <c r="E54" s="50">
        <f>REVENUE!E33*'COST OF REV'!E$33</f>
        <v>628514.28571428568</v>
      </c>
      <c r="F54" s="50">
        <f>REVENUE!F33*'COST OF REV'!F$33</f>
        <v>778675</v>
      </c>
      <c r="G54" s="50">
        <f>REVENUE!G33*'COST OF REV'!G$33</f>
        <v>1015958.9285714284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4" t="s">
        <v>64</v>
      </c>
      <c r="B55" s="22"/>
      <c r="C55" s="50">
        <f>REVENUE!C34*'COST OF REV'!C$33</f>
        <v>147280.9523809524</v>
      </c>
      <c r="D55" s="50">
        <f>REVENUE!D34*'COST OF REV'!D$33</f>
        <v>159666.66666666666</v>
      </c>
      <c r="E55" s="50">
        <f>REVENUE!E34*'COST OF REV'!E$33</f>
        <v>209504.76190476189</v>
      </c>
      <c r="F55" s="50">
        <f>REVENUE!F34*'COST OF REV'!F$33</f>
        <v>259558.33333333331</v>
      </c>
      <c r="G55" s="50">
        <f>REVENUE!G34*'COST OF REV'!G$33</f>
        <v>338652.97619047615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4" t="s">
        <v>65</v>
      </c>
      <c r="B56" s="22"/>
      <c r="C56" s="50">
        <f>REVENUE!C35*'COST OF REV'!C$33</f>
        <v>147280.9523809524</v>
      </c>
      <c r="D56" s="50">
        <f>REVENUE!D35*'COST OF REV'!D$33</f>
        <v>159666.66666666666</v>
      </c>
      <c r="E56" s="50">
        <f>REVENUE!E35*'COST OF REV'!E$33</f>
        <v>209504.76190476189</v>
      </c>
      <c r="F56" s="50">
        <f>REVENUE!F35*'COST OF REV'!F$33</f>
        <v>259558.33333333331</v>
      </c>
      <c r="G56" s="50">
        <f>REVENUE!G35*'COST OF REV'!G$33</f>
        <v>338652.97619047615</v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4" t="s">
        <v>66</v>
      </c>
      <c r="B57" s="22"/>
      <c r="C57" s="51">
        <f>REVENUE!C36*'COST OF REV'!C$33</f>
        <v>147280.9523809524</v>
      </c>
      <c r="D57" s="51">
        <f>REVENUE!D36*'COST OF REV'!D$33</f>
        <v>159666.66666666666</v>
      </c>
      <c r="E57" s="51">
        <f>REVENUE!E36*'COST OF REV'!E$33</f>
        <v>209504.76190476189</v>
      </c>
      <c r="F57" s="51">
        <f>REVENUE!F36*'COST OF REV'!F$33</f>
        <v>259558.33333333331</v>
      </c>
      <c r="G57" s="51">
        <f>REVENUE!G36*'COST OF REV'!G$33</f>
        <v>338652.97619047615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12" t="s">
        <v>67</v>
      </c>
      <c r="B58" s="22"/>
      <c r="C58" s="50">
        <f>REVENUE!C37*'COST OF REV'!C$33</f>
        <v>441842.85714285716</v>
      </c>
      <c r="D58" s="50">
        <f>REVENUE!D37*'COST OF REV'!D$33</f>
        <v>479000</v>
      </c>
      <c r="E58" s="50">
        <f>REVENUE!E37*'COST OF REV'!E$33</f>
        <v>628514.28571428568</v>
      </c>
      <c r="F58" s="50">
        <f>REVENUE!F37*'COST OF REV'!F$33</f>
        <v>778675</v>
      </c>
      <c r="G58" s="50">
        <f>REVENUE!G37*'COST OF REV'!G$33</f>
        <v>1015958.9285714284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3.5" customHeight="1">
      <c r="A59" s="12" t="s">
        <v>68</v>
      </c>
      <c r="B59" s="22"/>
      <c r="C59" s="52">
        <f>REVENUE!C38*'COST OF REV'!C$33</f>
        <v>1325528.5714285714</v>
      </c>
      <c r="D59" s="52">
        <f>REVENUE!D38*'COST OF REV'!D$33</f>
        <v>1916000</v>
      </c>
      <c r="E59" s="52">
        <f>REVENUE!E38*'COST OF REV'!E$33</f>
        <v>2514057.1428571427</v>
      </c>
      <c r="F59" s="52">
        <f>REVENUE!F38*'COST OF REV'!F$33</f>
        <v>3114700</v>
      </c>
      <c r="G59" s="52">
        <f>REVENUE!G38*'COST OF REV'!G$33</f>
        <v>4063835.7142857136</v>
      </c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1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75" customHeight="1">
      <c r="A1000" s="22"/>
      <c r="B1000" s="22"/>
      <c r="C1000" s="22"/>
      <c r="D1000" s="22"/>
      <c r="E1000" s="22"/>
      <c r="F1000" s="22"/>
      <c r="G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activeCell="A25" sqref="A25"/>
    </sheetView>
  </sheetViews>
  <sheetFormatPr baseColWidth="10" defaultColWidth="14.3984375" defaultRowHeight="15" customHeight="1"/>
  <cols>
    <col min="1" max="1" width="44.796875" bestFit="1" customWidth="1"/>
    <col min="2" max="2" width="4.3984375" bestFit="1" customWidth="1"/>
    <col min="3" max="3" width="11.59765625" bestFit="1" customWidth="1"/>
    <col min="4" max="4" width="58.19921875" bestFit="1" customWidth="1"/>
    <col min="5" max="6" width="11.59765625" bestFit="1" customWidth="1"/>
    <col min="7" max="7" width="12.796875" bestFit="1" customWidth="1"/>
    <col min="8" max="8" width="8.19921875" bestFit="1" customWidth="1"/>
    <col min="9" max="13" width="8.796875" customWidth="1"/>
    <col min="14" max="14" width="13.59765625" bestFit="1" customWidth="1"/>
    <col min="15" max="15" width="8.796875" customWidth="1"/>
    <col min="16" max="26" width="8" customWidth="1"/>
  </cols>
  <sheetData>
    <row r="1" spans="1:26" ht="23.25" customHeight="1">
      <c r="A1" s="20" t="s">
        <v>0</v>
      </c>
      <c r="B1" s="4"/>
      <c r="C1" s="4"/>
      <c r="D1" s="53"/>
      <c r="E1" s="53"/>
      <c r="F1" s="53"/>
      <c r="G1" s="53"/>
      <c r="H1" s="4"/>
      <c r="I1" s="22"/>
      <c r="J1" s="22"/>
      <c r="K1" s="22"/>
      <c r="L1" s="22"/>
      <c r="M1" s="22"/>
      <c r="N1" s="57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6" ht="15.75" customHeight="1">
      <c r="A2" s="9" t="s">
        <v>95</v>
      </c>
      <c r="B2" s="4"/>
      <c r="C2" s="4"/>
      <c r="D2" s="4"/>
      <c r="E2" s="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>
      <c r="A3" s="9" t="s">
        <v>40</v>
      </c>
      <c r="B3" s="4"/>
      <c r="C3" s="4"/>
      <c r="D3" s="4"/>
      <c r="E3" s="4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>
      <c r="A4" s="9" t="s">
        <v>41</v>
      </c>
      <c r="B4" s="4"/>
      <c r="C4" s="4"/>
      <c r="D4" s="4"/>
      <c r="E4" s="4"/>
      <c r="F4" s="4"/>
      <c r="G4" s="4"/>
      <c r="H4" s="22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>
      <c r="A5" s="4"/>
      <c r="B5" s="22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33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.75" customHeight="1">
      <c r="A6" s="4"/>
      <c r="B6" s="4"/>
      <c r="C6" s="4"/>
      <c r="D6" s="4"/>
      <c r="E6" s="4"/>
      <c r="F6" s="4"/>
      <c r="G6" s="4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>
      <c r="A7" s="6" t="s">
        <v>96</v>
      </c>
      <c r="B7" s="21"/>
      <c r="C7" s="35">
        <f>REVENUE!C16</f>
        <v>2750000</v>
      </c>
      <c r="D7" s="35">
        <f>REVENUE!D16</f>
        <v>3840000</v>
      </c>
      <c r="E7" s="35">
        <f>REVENUE!E16</f>
        <v>5995000</v>
      </c>
      <c r="F7" s="35">
        <f>REVENUE!F16</f>
        <v>8120000</v>
      </c>
      <c r="G7" s="35">
        <f>REVENUE!G16</f>
        <v>12120000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4"/>
      <c r="B8" s="4"/>
      <c r="C8" s="21"/>
      <c r="D8" s="21"/>
      <c r="E8" s="21"/>
      <c r="F8" s="21"/>
      <c r="G8" s="21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6" t="s">
        <v>97</v>
      </c>
      <c r="B9" s="4"/>
      <c r="C9" s="21"/>
      <c r="D9" s="21"/>
      <c r="E9" s="21"/>
      <c r="F9" s="21"/>
      <c r="G9" s="21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>
      <c r="A10" s="43" t="s">
        <v>98</v>
      </c>
      <c r="B10" s="4"/>
      <c r="C10" s="21"/>
      <c r="D10" s="21"/>
      <c r="E10" s="21"/>
      <c r="F10" s="21"/>
      <c r="G10" s="21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12" t="s">
        <v>99</v>
      </c>
      <c r="B11" s="4"/>
      <c r="C11" s="35">
        <f>PERSONNEL!C18</f>
        <v>297000</v>
      </c>
      <c r="D11" s="35">
        <f>PERSONNEL!D18</f>
        <v>322000</v>
      </c>
      <c r="E11" s="35">
        <f>PERSONNEL!E18</f>
        <v>341640</v>
      </c>
      <c r="F11" s="35">
        <f>PERSONNEL!F18</f>
        <v>364800</v>
      </c>
      <c r="G11" s="35">
        <f>PERSONNEL!G18</f>
        <v>379200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12" t="s">
        <v>100</v>
      </c>
      <c r="B12" s="42">
        <v>0.05</v>
      </c>
      <c r="C12" s="25">
        <f t="shared" ref="C12:G12" si="0">$B12*C7</f>
        <v>137500</v>
      </c>
      <c r="D12" s="25">
        <f t="shared" si="0"/>
        <v>192000</v>
      </c>
      <c r="E12" s="25">
        <f t="shared" si="0"/>
        <v>299750</v>
      </c>
      <c r="F12" s="25">
        <f t="shared" si="0"/>
        <v>406000</v>
      </c>
      <c r="G12" s="25">
        <f t="shared" si="0"/>
        <v>606000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>
      <c r="A13" s="40" t="s">
        <v>101</v>
      </c>
      <c r="B13" s="4"/>
      <c r="C13" s="25">
        <v>60000</v>
      </c>
      <c r="D13" s="25">
        <v>85000</v>
      </c>
      <c r="E13" s="25">
        <v>120000</v>
      </c>
      <c r="F13" s="25">
        <v>160000</v>
      </c>
      <c r="G13" s="25">
        <v>200000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40"/>
      <c r="B14" s="4"/>
      <c r="C14" s="25"/>
      <c r="D14" s="25"/>
      <c r="E14" s="25"/>
      <c r="F14" s="25"/>
      <c r="G14" s="25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43" t="s">
        <v>102</v>
      </c>
      <c r="B15" s="42">
        <v>0.06</v>
      </c>
      <c r="C15" s="30">
        <f t="shared" ref="C15:G15" si="1">$B15*C7</f>
        <v>165000</v>
      </c>
      <c r="D15" s="30">
        <f t="shared" si="1"/>
        <v>230400</v>
      </c>
      <c r="E15" s="30">
        <f t="shared" si="1"/>
        <v>359700</v>
      </c>
      <c r="F15" s="30">
        <f t="shared" si="1"/>
        <v>487200</v>
      </c>
      <c r="G15" s="30">
        <f t="shared" si="1"/>
        <v>727200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>
      <c r="A16" s="43" t="s">
        <v>103</v>
      </c>
      <c r="B16" s="4"/>
      <c r="C16" s="54">
        <f t="shared" ref="C16:G16" si="2">SUM(C11:C15)</f>
        <v>659500</v>
      </c>
      <c r="D16" s="54">
        <f t="shared" si="2"/>
        <v>829400</v>
      </c>
      <c r="E16" s="54">
        <f t="shared" si="2"/>
        <v>1121090</v>
      </c>
      <c r="F16" s="54">
        <f t="shared" si="2"/>
        <v>1418000</v>
      </c>
      <c r="G16" s="54">
        <f t="shared" si="2"/>
        <v>1912400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>
      <c r="A17" s="12" t="s">
        <v>89</v>
      </c>
      <c r="B17" s="44"/>
      <c r="C17" s="45">
        <f t="shared" ref="C17:G17" si="3">C16/C7</f>
        <v>0.23981818181818182</v>
      </c>
      <c r="D17" s="45">
        <f t="shared" si="3"/>
        <v>0.21598958333333335</v>
      </c>
      <c r="E17" s="45">
        <f t="shared" si="3"/>
        <v>0.18700417014178483</v>
      </c>
      <c r="F17" s="45">
        <f t="shared" si="3"/>
        <v>0.17463054187192117</v>
      </c>
      <c r="G17" s="45">
        <f t="shared" si="3"/>
        <v>0.15778877887788778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>
      <c r="A18" s="4"/>
      <c r="B18" s="4"/>
      <c r="C18" s="4"/>
      <c r="D18" s="4"/>
      <c r="E18" s="4"/>
      <c r="F18" s="4"/>
      <c r="G18" s="4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>
      <c r="A19" s="6" t="s">
        <v>104</v>
      </c>
      <c r="B19" s="4"/>
      <c r="C19" s="4"/>
      <c r="D19" s="4"/>
      <c r="E19" s="4"/>
      <c r="F19" s="4"/>
      <c r="G19" s="4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.75" customHeight="1">
      <c r="A20" s="55" t="s">
        <v>98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.75" customHeight="1">
      <c r="A21" s="12" t="s">
        <v>99</v>
      </c>
      <c r="B21" s="4"/>
      <c r="C21" s="35">
        <f>PERSONNEL!C31</f>
        <v>110000</v>
      </c>
      <c r="D21" s="35">
        <f>PERSONNEL!D31</f>
        <v>316250</v>
      </c>
      <c r="E21" s="35">
        <f>PERSONNEL!E31</f>
        <v>418860</v>
      </c>
      <c r="F21" s="35">
        <f>PERSONNEL!F31</f>
        <v>500400</v>
      </c>
      <c r="G21" s="35">
        <f>PERSONNEL!G31</f>
        <v>571200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>
      <c r="A22" s="12" t="s">
        <v>105</v>
      </c>
      <c r="B22" s="4"/>
      <c r="C22" s="25">
        <v>95000</v>
      </c>
      <c r="D22" s="25">
        <v>130000</v>
      </c>
      <c r="E22" s="25">
        <v>175000</v>
      </c>
      <c r="F22" s="25">
        <v>225000</v>
      </c>
      <c r="G22" s="25">
        <v>280000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4"/>
      <c r="B23" s="4"/>
      <c r="C23" s="25"/>
      <c r="D23" s="25"/>
      <c r="E23" s="25"/>
      <c r="F23" s="25"/>
      <c r="G23" s="25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43" t="s">
        <v>102</v>
      </c>
      <c r="B24" s="42">
        <v>0.03</v>
      </c>
      <c r="C24" s="30">
        <f t="shared" ref="C24:G24" si="4">$B24*C7</f>
        <v>82500</v>
      </c>
      <c r="D24" s="30">
        <f t="shared" si="4"/>
        <v>115200</v>
      </c>
      <c r="E24" s="30">
        <f t="shared" si="4"/>
        <v>179850</v>
      </c>
      <c r="F24" s="30">
        <f t="shared" si="4"/>
        <v>243600</v>
      </c>
      <c r="G24" s="30">
        <f t="shared" si="4"/>
        <v>363600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12" t="s">
        <v>424</v>
      </c>
      <c r="B25" s="4"/>
      <c r="C25" s="54">
        <f t="shared" ref="C25:G25" si="5">SUM(C21:C24)</f>
        <v>287500</v>
      </c>
      <c r="D25" s="54">
        <f t="shared" si="5"/>
        <v>561450</v>
      </c>
      <c r="E25" s="54">
        <f t="shared" si="5"/>
        <v>773710</v>
      </c>
      <c r="F25" s="54">
        <f t="shared" si="5"/>
        <v>969000</v>
      </c>
      <c r="G25" s="54">
        <f t="shared" si="5"/>
        <v>1214800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>
      <c r="A26" s="12" t="s">
        <v>89</v>
      </c>
      <c r="B26" s="44"/>
      <c r="C26" s="45">
        <f t="shared" ref="C26:G26" si="6">C25/C7</f>
        <v>0.10454545454545454</v>
      </c>
      <c r="D26" s="45">
        <f t="shared" si="6"/>
        <v>0.1462109375</v>
      </c>
      <c r="E26" s="45">
        <f t="shared" si="6"/>
        <v>0.12905921601334444</v>
      </c>
      <c r="F26" s="45">
        <f t="shared" si="6"/>
        <v>0.11933497536945813</v>
      </c>
      <c r="G26" s="45">
        <f t="shared" si="6"/>
        <v>0.10023102310231023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4"/>
      <c r="B27" s="4"/>
      <c r="C27" s="4"/>
      <c r="D27" s="4"/>
      <c r="E27" s="4"/>
      <c r="F27" s="4"/>
      <c r="G27" s="4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6" t="s">
        <v>106</v>
      </c>
      <c r="B28" s="4"/>
      <c r="C28" s="4"/>
      <c r="D28" s="4"/>
      <c r="E28" s="4"/>
      <c r="F28" s="4"/>
      <c r="G28" s="4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55" t="s">
        <v>98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12" t="s">
        <v>99</v>
      </c>
      <c r="B30" s="4"/>
      <c r="C30" s="35">
        <f>PERSONNEL!C44</f>
        <v>137500</v>
      </c>
      <c r="D30" s="35">
        <f>PERSONNEL!D44</f>
        <v>300150</v>
      </c>
      <c r="E30" s="35">
        <f>PERSONNEL!E44</f>
        <v>335790</v>
      </c>
      <c r="F30" s="35">
        <f>PERSONNEL!F44</f>
        <v>429600</v>
      </c>
      <c r="G30" s="35">
        <f>PERSONNEL!G44</f>
        <v>502800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12" t="s">
        <v>84</v>
      </c>
      <c r="B31" s="4"/>
      <c r="C31" s="35">
        <f>'PROP &amp; EQUIP'!C24</f>
        <v>7500</v>
      </c>
      <c r="D31" s="35">
        <f>'PROP &amp; EQUIP'!D24</f>
        <v>42500</v>
      </c>
      <c r="E31" s="35">
        <f>'PROP &amp; EQUIP'!E24</f>
        <v>112500</v>
      </c>
      <c r="F31" s="35">
        <f>'PROP &amp; EQUIP'!F24</f>
        <v>191666.66666666669</v>
      </c>
      <c r="G31" s="35">
        <f>'PROP &amp; EQUIP'!G24</f>
        <v>271666.66666666669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12" t="s">
        <v>107</v>
      </c>
      <c r="B32" s="4"/>
      <c r="C32" s="25">
        <v>420000</v>
      </c>
      <c r="D32" s="25">
        <v>450000</v>
      </c>
      <c r="E32" s="25">
        <v>490000</v>
      </c>
      <c r="F32" s="25">
        <v>530000</v>
      </c>
      <c r="G32" s="25">
        <v>575000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>
      <c r="A33" s="12"/>
      <c r="B33" s="4"/>
      <c r="C33" s="25"/>
      <c r="D33" s="25"/>
      <c r="E33" s="25"/>
      <c r="F33" s="25"/>
      <c r="G33" s="25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12"/>
      <c r="B34" s="4"/>
      <c r="C34" s="25"/>
      <c r="D34" s="25"/>
      <c r="E34" s="25"/>
      <c r="F34" s="25"/>
      <c r="G34" s="25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12"/>
      <c r="B35" s="4"/>
      <c r="C35" s="25"/>
      <c r="D35" s="25"/>
      <c r="E35" s="25"/>
      <c r="F35" s="25"/>
      <c r="G35" s="25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43" t="s">
        <v>102</v>
      </c>
      <c r="B36" s="42">
        <v>0.02</v>
      </c>
      <c r="C36" s="25">
        <f t="shared" ref="C36:G36" si="7">$B36*C7</f>
        <v>55000</v>
      </c>
      <c r="D36" s="25">
        <f t="shared" si="7"/>
        <v>76800</v>
      </c>
      <c r="E36" s="25">
        <f t="shared" si="7"/>
        <v>119900</v>
      </c>
      <c r="F36" s="25">
        <f t="shared" si="7"/>
        <v>162400</v>
      </c>
      <c r="G36" s="25">
        <f t="shared" si="7"/>
        <v>242400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>
      <c r="A38" s="43" t="s">
        <v>108</v>
      </c>
      <c r="B38" s="4"/>
      <c r="C38" s="54">
        <f t="shared" ref="C38:G38" si="8">SUM(C30:C36)</f>
        <v>620000</v>
      </c>
      <c r="D38" s="54">
        <f t="shared" si="8"/>
        <v>869450</v>
      </c>
      <c r="E38" s="54">
        <f t="shared" si="8"/>
        <v>1058190</v>
      </c>
      <c r="F38" s="54">
        <f t="shared" si="8"/>
        <v>1313666.6666666667</v>
      </c>
      <c r="G38" s="54">
        <f t="shared" si="8"/>
        <v>1591866.6666666667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>
      <c r="A39" s="12" t="s">
        <v>89</v>
      </c>
      <c r="B39" s="44"/>
      <c r="C39" s="45">
        <f t="shared" ref="C39:G39" si="9">C38/C7</f>
        <v>0.22545454545454546</v>
      </c>
      <c r="D39" s="45">
        <f t="shared" si="9"/>
        <v>0.22641927083333332</v>
      </c>
      <c r="E39" s="45">
        <f t="shared" si="9"/>
        <v>0.17651209341117599</v>
      </c>
      <c r="F39" s="45">
        <f t="shared" si="9"/>
        <v>0.1617816091954023</v>
      </c>
      <c r="G39" s="45">
        <f t="shared" si="9"/>
        <v>0.13134213421342134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>
      <c r="A40" s="4"/>
      <c r="B40" s="4"/>
      <c r="C40" s="4"/>
      <c r="D40" s="4"/>
      <c r="E40" s="4"/>
      <c r="F40" s="53"/>
      <c r="G40" s="4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3.5" customHeight="1">
      <c r="A41" s="6" t="s">
        <v>109</v>
      </c>
      <c r="B41" s="4"/>
      <c r="C41" s="28">
        <f t="shared" ref="C41:G41" si="10">C16+C25+C38</f>
        <v>1567000</v>
      </c>
      <c r="D41" s="28">
        <f t="shared" si="10"/>
        <v>2260300</v>
      </c>
      <c r="E41" s="28">
        <f t="shared" si="10"/>
        <v>2952990</v>
      </c>
      <c r="F41" s="28">
        <f t="shared" si="10"/>
        <v>3700666.666666667</v>
      </c>
      <c r="G41" s="28">
        <f t="shared" si="10"/>
        <v>4719066.666666667</v>
      </c>
      <c r="H41" s="39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3.5" customHeight="1">
      <c r="A42" s="12" t="s">
        <v>110</v>
      </c>
      <c r="B42" s="22"/>
      <c r="C42" s="45">
        <f t="shared" ref="C42:G42" si="11">C41/C7</f>
        <v>0.56981818181818178</v>
      </c>
      <c r="D42" s="45">
        <f t="shared" si="11"/>
        <v>0.58861979166666667</v>
      </c>
      <c r="E42" s="45">
        <f t="shared" si="11"/>
        <v>0.49257547956630526</v>
      </c>
      <c r="F42" s="45">
        <f t="shared" si="11"/>
        <v>0.45574712643678167</v>
      </c>
      <c r="G42" s="45">
        <f t="shared" si="11"/>
        <v>0.38936193619361936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>
      <c r="A43" s="12"/>
      <c r="B43" s="22"/>
      <c r="C43" s="39"/>
      <c r="D43" s="39"/>
      <c r="E43" s="39"/>
      <c r="F43" s="39"/>
      <c r="G43" s="39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</row>
    <row r="44" spans="1:26" ht="12.75" customHeight="1">
      <c r="A44" s="6" t="s">
        <v>111</v>
      </c>
      <c r="B44" s="4"/>
      <c r="C44" s="39"/>
      <c r="D44" s="39"/>
      <c r="E44" s="39"/>
      <c r="F44" s="39"/>
      <c r="G44" s="39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</row>
    <row r="45" spans="1:26" ht="12.75" customHeight="1">
      <c r="A45" s="12" t="s">
        <v>91</v>
      </c>
      <c r="B45" s="4"/>
      <c r="C45" s="25">
        <f t="shared" ref="C45:G45" si="12">C12+C15+C24+C36</f>
        <v>440000</v>
      </c>
      <c r="D45" s="25">
        <f t="shared" si="12"/>
        <v>614400</v>
      </c>
      <c r="E45" s="25">
        <f t="shared" si="12"/>
        <v>959200</v>
      </c>
      <c r="F45" s="25">
        <f t="shared" si="12"/>
        <v>1299200</v>
      </c>
      <c r="G45" s="25">
        <f t="shared" si="12"/>
        <v>1939200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</row>
    <row r="46" spans="1:26" ht="12.75" customHeight="1">
      <c r="A46" s="12" t="s">
        <v>92</v>
      </c>
      <c r="B46" s="4"/>
      <c r="C46" s="30">
        <f t="shared" ref="C46:G46" si="13">C11+C13+C21+C22+C30+C31+C32</f>
        <v>1127000</v>
      </c>
      <c r="D46" s="30">
        <f t="shared" si="13"/>
        <v>1645900</v>
      </c>
      <c r="E46" s="30">
        <f t="shared" si="13"/>
        <v>1993790</v>
      </c>
      <c r="F46" s="30">
        <f t="shared" si="13"/>
        <v>2401466.666666667</v>
      </c>
      <c r="G46" s="30">
        <f t="shared" si="13"/>
        <v>2779866.6666666665</v>
      </c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</row>
    <row r="47" spans="1:26" ht="12.75" customHeight="1">
      <c r="A47" s="12" t="s">
        <v>93</v>
      </c>
      <c r="B47" s="4"/>
      <c r="C47" s="50">
        <f t="shared" ref="C47:G47" si="14">C45+C46</f>
        <v>1567000</v>
      </c>
      <c r="D47" s="50">
        <f t="shared" si="14"/>
        <v>2260300</v>
      </c>
      <c r="E47" s="50">
        <f t="shared" si="14"/>
        <v>2952990</v>
      </c>
      <c r="F47" s="50">
        <f t="shared" si="14"/>
        <v>3700666.666666667</v>
      </c>
      <c r="G47" s="50">
        <f t="shared" si="14"/>
        <v>4719066.666666666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</row>
    <row r="48" spans="1:26" ht="12.75" customHeight="1">
      <c r="A48" s="12"/>
      <c r="B48" s="4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12"/>
      <c r="B49" s="4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5.75" customHeight="1">
      <c r="A50" s="4"/>
      <c r="B50" s="4"/>
      <c r="C50" s="4"/>
      <c r="D50" s="3" t="s">
        <v>112</v>
      </c>
      <c r="E50" s="5"/>
      <c r="F50" s="5"/>
      <c r="G50" s="4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5.75" customHeight="1">
      <c r="A51" s="4"/>
      <c r="B51" s="4"/>
      <c r="C51" s="4"/>
      <c r="D51" s="3" t="s">
        <v>41</v>
      </c>
      <c r="E51" s="5"/>
      <c r="F51" s="5"/>
      <c r="G51" s="4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5.75" customHeight="1">
      <c r="A52" s="4"/>
      <c r="B52" s="4"/>
      <c r="C52" s="11" t="s">
        <v>9</v>
      </c>
      <c r="D52" s="11" t="s">
        <v>10</v>
      </c>
      <c r="E52" s="11" t="s">
        <v>11</v>
      </c>
      <c r="F52" s="11" t="s">
        <v>12</v>
      </c>
      <c r="G52" s="11" t="s">
        <v>13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4" t="s">
        <v>52</v>
      </c>
      <c r="B53" s="22"/>
      <c r="C53" s="50">
        <f>REVENUE!C22*'OPER EXP'!C$17</f>
        <v>0</v>
      </c>
      <c r="D53" s="50">
        <f>REVENUE!D22*'OPER EXP'!D$17</f>
        <v>69116.666666666672</v>
      </c>
      <c r="E53" s="50">
        <f>REVENUE!E22*'OPER EXP'!E$42</f>
        <v>246082.5</v>
      </c>
      <c r="F53" s="50">
        <f>REVENUE!F22*'OPER EXP'!F$42</f>
        <v>308388.88888888893</v>
      </c>
      <c r="G53" s="50">
        <f>REVENUE!G22*'OPER EXP'!G$42</f>
        <v>393255.55555555556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4" t="s">
        <v>53</v>
      </c>
      <c r="B54" s="22"/>
      <c r="C54" s="50">
        <f>REVENUE!C23*'OPER EXP'!C$17</f>
        <v>0</v>
      </c>
      <c r="D54" s="50">
        <f>REVENUE!D23*'OPER EXP'!D$17</f>
        <v>69116.666666666672</v>
      </c>
      <c r="E54" s="50">
        <f>REVENUE!E23*'OPER EXP'!E$42</f>
        <v>246082.5</v>
      </c>
      <c r="F54" s="50">
        <f>REVENUE!F23*'OPER EXP'!F$42</f>
        <v>308388.88888888893</v>
      </c>
      <c r="G54" s="50">
        <f>REVENUE!G23*'OPER EXP'!G$42</f>
        <v>393255.55555555556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4" t="s">
        <v>54</v>
      </c>
      <c r="B55" s="22"/>
      <c r="C55" s="51">
        <f>REVENUE!C24*'OPER EXP'!C$17</f>
        <v>0</v>
      </c>
      <c r="D55" s="51">
        <f>REVENUE!D24*'OPER EXP'!D$17</f>
        <v>69116.666666666672</v>
      </c>
      <c r="E55" s="51">
        <f>REVENUE!E24*'OPER EXP'!E$42</f>
        <v>246082.5</v>
      </c>
      <c r="F55" s="51">
        <f>REVENUE!F24*'OPER EXP'!F$42</f>
        <v>308388.88888888893</v>
      </c>
      <c r="G55" s="51">
        <f>REVENUE!G24*'OPER EXP'!G$42</f>
        <v>393255.55555555556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12" t="s">
        <v>55</v>
      </c>
      <c r="B56" s="22"/>
      <c r="C56" s="50">
        <f>REVENUE!C25*'OPER EXP'!C$17</f>
        <v>0</v>
      </c>
      <c r="D56" s="50">
        <f>REVENUE!D25*'OPER EXP'!D$17</f>
        <v>207350</v>
      </c>
      <c r="E56" s="50">
        <f>REVENUE!E25*'OPER EXP'!E$17</f>
        <v>280272.5</v>
      </c>
      <c r="F56" s="50">
        <f>REVENUE!F25*'OPER EXP'!F$17</f>
        <v>354500</v>
      </c>
      <c r="G56" s="50">
        <f>REVENUE!G25*'OPER EXP'!G$17</f>
        <v>478100</v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4" t="s">
        <v>56</v>
      </c>
      <c r="B57" s="4"/>
      <c r="C57" s="50">
        <f>REVENUE!C26*'OPER EXP'!C$17</f>
        <v>73277.777777777781</v>
      </c>
      <c r="D57" s="50">
        <f>REVENUE!D26*'OPER EXP'!D$17</f>
        <v>69116.666666666672</v>
      </c>
      <c r="E57" s="50">
        <f>REVENUE!E26*'OPER EXP'!E$42</f>
        <v>246082.5</v>
      </c>
      <c r="F57" s="50">
        <f>REVENUE!F26*'OPER EXP'!F$42</f>
        <v>308388.88888888893</v>
      </c>
      <c r="G57" s="50">
        <f>REVENUE!G26*'OPER EXP'!G$42</f>
        <v>393255.55555555556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4" t="s">
        <v>57</v>
      </c>
      <c r="B58" s="4"/>
      <c r="C58" s="50">
        <f>REVENUE!C27*'OPER EXP'!C$17</f>
        <v>73277.777777777781</v>
      </c>
      <c r="D58" s="50">
        <f>REVENUE!D27*'OPER EXP'!D$17</f>
        <v>69116.666666666672</v>
      </c>
      <c r="E58" s="50">
        <f>REVENUE!E27*'OPER EXP'!E$42</f>
        <v>246082.5</v>
      </c>
      <c r="F58" s="50">
        <f>REVENUE!F27*'OPER EXP'!F$42</f>
        <v>308388.88888888893</v>
      </c>
      <c r="G58" s="50">
        <f>REVENUE!G27*'OPER EXP'!G$42</f>
        <v>393255.55555555556</v>
      </c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>
      <c r="A59" s="4" t="s">
        <v>58</v>
      </c>
      <c r="B59" s="4"/>
      <c r="C59" s="51">
        <f>REVENUE!C28*'OPER EXP'!C$17</f>
        <v>73277.777777777781</v>
      </c>
      <c r="D59" s="51">
        <f>REVENUE!D28*'OPER EXP'!D$17</f>
        <v>69116.666666666672</v>
      </c>
      <c r="E59" s="51">
        <f>REVENUE!E28*'OPER EXP'!E$42</f>
        <v>246082.5</v>
      </c>
      <c r="F59" s="51">
        <f>REVENUE!F28*'OPER EXP'!F$42</f>
        <v>308388.88888888893</v>
      </c>
      <c r="G59" s="51">
        <f>REVENUE!G28*'OPER EXP'!G$42</f>
        <v>393255.55555555556</v>
      </c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12" t="s">
        <v>59</v>
      </c>
      <c r="B60" s="4"/>
      <c r="C60" s="50">
        <f>REVENUE!C29*'OPER EXP'!C$17</f>
        <v>219833.33333333334</v>
      </c>
      <c r="D60" s="50">
        <f>REVENUE!D29*'OPER EXP'!D$17</f>
        <v>207350</v>
      </c>
      <c r="E60" s="50">
        <f>REVENUE!E29*'OPER EXP'!E$17</f>
        <v>280272.5</v>
      </c>
      <c r="F60" s="50">
        <f>REVENUE!F29*'OPER EXP'!F$17</f>
        <v>354500</v>
      </c>
      <c r="G60" s="50">
        <f>REVENUE!G29*'OPER EXP'!G$17</f>
        <v>478100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4" t="s">
        <v>60</v>
      </c>
      <c r="B61" s="4"/>
      <c r="C61" s="50">
        <f>REVENUE!C30*'OPER EXP'!C$17</f>
        <v>73277.777777777781</v>
      </c>
      <c r="D61" s="50">
        <f>REVENUE!D30*'OPER EXP'!D$17</f>
        <v>69116.666666666672</v>
      </c>
      <c r="E61" s="50">
        <f>REVENUE!E30*'OPER EXP'!E$42</f>
        <v>246082.5</v>
      </c>
      <c r="F61" s="50">
        <f>REVENUE!F30*'OPER EXP'!F$42</f>
        <v>308388.88888888893</v>
      </c>
      <c r="G61" s="50">
        <f>REVENUE!G30*'OPER EXP'!G$42</f>
        <v>393255.55555555556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4" t="s">
        <v>61</v>
      </c>
      <c r="B62" s="4"/>
      <c r="C62" s="50">
        <f>REVENUE!C31*'OPER EXP'!C$17</f>
        <v>73277.777777777781</v>
      </c>
      <c r="D62" s="50">
        <f>REVENUE!D31*'OPER EXP'!D$17</f>
        <v>69116.666666666672</v>
      </c>
      <c r="E62" s="50">
        <f>REVENUE!E31*'OPER EXP'!E$42</f>
        <v>246082.5</v>
      </c>
      <c r="F62" s="50">
        <f>REVENUE!F31*'OPER EXP'!F$42</f>
        <v>308388.88888888893</v>
      </c>
      <c r="G62" s="50">
        <f>REVENUE!G31*'OPER EXP'!G$42</f>
        <v>393255.55555555556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4" t="s">
        <v>62</v>
      </c>
      <c r="B63" s="4"/>
      <c r="C63" s="51">
        <f>REVENUE!C32*'OPER EXP'!C$17</f>
        <v>73277.777777777781</v>
      </c>
      <c r="D63" s="51">
        <f>REVENUE!D32*'OPER EXP'!D$17</f>
        <v>69116.666666666672</v>
      </c>
      <c r="E63" s="51">
        <f>REVENUE!E32*'OPER EXP'!E$42</f>
        <v>246082.5</v>
      </c>
      <c r="F63" s="51">
        <f>REVENUE!F32*'OPER EXP'!F$42</f>
        <v>308388.88888888893</v>
      </c>
      <c r="G63" s="51">
        <f>REVENUE!G32*'OPER EXP'!G$42</f>
        <v>393255.55555555556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12" t="s">
        <v>63</v>
      </c>
      <c r="B64" s="4"/>
      <c r="C64" s="50">
        <f>REVENUE!C33*'OPER EXP'!C$17</f>
        <v>219833.33333333334</v>
      </c>
      <c r="D64" s="50">
        <f>REVENUE!D33*'OPER EXP'!D$17</f>
        <v>207350</v>
      </c>
      <c r="E64" s="50">
        <f>REVENUE!E33*'OPER EXP'!E$17</f>
        <v>280272.5</v>
      </c>
      <c r="F64" s="50">
        <f>REVENUE!F33*'OPER EXP'!F$17</f>
        <v>354500</v>
      </c>
      <c r="G64" s="50">
        <f>REVENUE!G33*'OPER EXP'!G$17</f>
        <v>478100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4" t="s">
        <v>64</v>
      </c>
      <c r="B65" s="4"/>
      <c r="C65" s="50">
        <f>REVENUE!C34*'OPER EXP'!C$17</f>
        <v>73277.777777777781</v>
      </c>
      <c r="D65" s="50">
        <f>REVENUE!D34*'OPER EXP'!D$17</f>
        <v>69116.666666666672</v>
      </c>
      <c r="E65" s="50">
        <f>REVENUE!E34*'OPER EXP'!E$42</f>
        <v>246082.5</v>
      </c>
      <c r="F65" s="50">
        <f>REVENUE!F34*'OPER EXP'!F$42</f>
        <v>308388.88888888893</v>
      </c>
      <c r="G65" s="50">
        <f>REVENUE!G34*'OPER EXP'!G$42</f>
        <v>393255.55555555556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4" t="s">
        <v>65</v>
      </c>
      <c r="B66" s="4"/>
      <c r="C66" s="50">
        <f>REVENUE!C35*'OPER EXP'!C$17</f>
        <v>73277.777777777781</v>
      </c>
      <c r="D66" s="50">
        <f>REVENUE!D35*'OPER EXP'!D$17</f>
        <v>69116.666666666672</v>
      </c>
      <c r="E66" s="50">
        <f>REVENUE!E35*'OPER EXP'!E$42</f>
        <v>246082.5</v>
      </c>
      <c r="F66" s="50">
        <f>REVENUE!F35*'OPER EXP'!F$42</f>
        <v>308388.88888888893</v>
      </c>
      <c r="G66" s="50">
        <f>REVENUE!G35*'OPER EXP'!G$42</f>
        <v>393255.55555555556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4" t="s">
        <v>66</v>
      </c>
      <c r="B67" s="4"/>
      <c r="C67" s="51">
        <f>REVENUE!C36*'OPER EXP'!C$17</f>
        <v>73277.777777777781</v>
      </c>
      <c r="D67" s="51">
        <f>REVENUE!D36*'OPER EXP'!D$17</f>
        <v>69116.666666666672</v>
      </c>
      <c r="E67" s="51">
        <f>REVENUE!E36*'OPER EXP'!E$42</f>
        <v>246082.5</v>
      </c>
      <c r="F67" s="51">
        <f>REVENUE!F36*'OPER EXP'!F$42</f>
        <v>308388.88888888893</v>
      </c>
      <c r="G67" s="51">
        <f>REVENUE!G36*'OPER EXP'!G$42</f>
        <v>393255.55555555556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>
      <c r="A68" s="12" t="s">
        <v>67</v>
      </c>
      <c r="B68" s="4"/>
      <c r="C68" s="50">
        <f>REVENUE!C37*'OPER EXP'!C$17</f>
        <v>219833.33333333334</v>
      </c>
      <c r="D68" s="56">
        <f>REVENUE!D37*'OPER EXP'!D$17</f>
        <v>207350</v>
      </c>
      <c r="E68" s="50">
        <f>REVENUE!E37*'OPER EXP'!E$17</f>
        <v>280272.5</v>
      </c>
      <c r="F68" s="50">
        <f>REVENUE!F37*'OPER EXP'!F$17</f>
        <v>354500</v>
      </c>
      <c r="G68" s="50">
        <f>REVENUE!G37*'OPER EXP'!G$17</f>
        <v>478100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3.5" customHeight="1">
      <c r="A69" s="12" t="s">
        <v>68</v>
      </c>
      <c r="B69" s="4"/>
      <c r="C69" s="52">
        <f>REVENUE!C38*'OPER EXP'!C$17</f>
        <v>659500</v>
      </c>
      <c r="D69" s="52">
        <f>REVENUE!D38*'OPER EXP'!D$17</f>
        <v>829400</v>
      </c>
      <c r="E69" s="52">
        <f>REVENUE!E38*'OPER EXP'!E$17</f>
        <v>1121090</v>
      </c>
      <c r="F69" s="52">
        <f>REVENUE!F38*'OPER EXP'!F$17</f>
        <v>1418000</v>
      </c>
      <c r="G69" s="52">
        <f>REVENUE!G38*'OPER EXP'!G$17</f>
        <v>1912400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5.75" customHeight="1">
      <c r="A72" s="4"/>
      <c r="B72" s="4"/>
      <c r="C72" s="4"/>
      <c r="D72" s="3" t="s">
        <v>113</v>
      </c>
      <c r="E72" s="5"/>
      <c r="F72" s="5"/>
      <c r="G72" s="4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customHeight="1">
      <c r="A73" s="4"/>
      <c r="B73" s="4"/>
      <c r="C73" s="4"/>
      <c r="D73" s="3" t="s">
        <v>41</v>
      </c>
      <c r="E73" s="5"/>
      <c r="F73" s="5"/>
      <c r="G73" s="4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5.75" customHeight="1">
      <c r="A74" s="4"/>
      <c r="B74" s="4"/>
      <c r="C74" s="11" t="s">
        <v>9</v>
      </c>
      <c r="D74" s="11" t="s">
        <v>10</v>
      </c>
      <c r="E74" s="11" t="s">
        <v>11</v>
      </c>
      <c r="F74" s="11" t="s">
        <v>12</v>
      </c>
      <c r="G74" s="11" t="s">
        <v>13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>
      <c r="A75" s="4" t="s">
        <v>52</v>
      </c>
      <c r="B75" s="4"/>
      <c r="C75" s="50">
        <f>REVENUE!C22*'OPER EXP'!C$26</f>
        <v>0</v>
      </c>
      <c r="D75" s="50">
        <f>REVENUE!D22*'OPER EXP'!D$26</f>
        <v>46787.5</v>
      </c>
      <c r="E75" s="50">
        <f>REVENUE!E44*'OPER EXP'!E$42</f>
        <v>0</v>
      </c>
      <c r="F75" s="50">
        <f>REVENUE!F44*'OPER EXP'!F$42</f>
        <v>0</v>
      </c>
      <c r="G75" s="50">
        <f>REVENUE!G44*'OPER EXP'!G$42</f>
        <v>0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>
      <c r="A76" s="4" t="s">
        <v>53</v>
      </c>
      <c r="B76" s="4"/>
      <c r="C76" s="50">
        <f>REVENUE!C23*'OPER EXP'!C$26</f>
        <v>0</v>
      </c>
      <c r="D76" s="50">
        <f>REVENUE!D23*'OPER EXP'!D$26</f>
        <v>46787.5</v>
      </c>
      <c r="E76" s="50">
        <f>REVENUE!E45*'OPER EXP'!E$42</f>
        <v>0</v>
      </c>
      <c r="F76" s="50">
        <f>REVENUE!F45*'OPER EXP'!F$42</f>
        <v>0</v>
      </c>
      <c r="G76" s="50">
        <f>REVENUE!G45*'OPER EXP'!G$42</f>
        <v>0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4" t="s">
        <v>54</v>
      </c>
      <c r="B77" s="22"/>
      <c r="C77" s="51">
        <f>REVENUE!C24*'OPER EXP'!C$26</f>
        <v>0</v>
      </c>
      <c r="D77" s="51">
        <f>REVENUE!D24*'OPER EXP'!D$26</f>
        <v>46787.5</v>
      </c>
      <c r="E77" s="51">
        <f>REVENUE!E46*'OPER EXP'!E$42</f>
        <v>0</v>
      </c>
      <c r="F77" s="51">
        <f>REVENUE!F46*'OPER EXP'!F$42</f>
        <v>0</v>
      </c>
      <c r="G77" s="51">
        <f>REVENUE!G46*'OPER EXP'!G$42</f>
        <v>0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12" t="s">
        <v>55</v>
      </c>
      <c r="B78" s="22"/>
      <c r="C78" s="50">
        <f>REVENUE!C25*'OPER EXP'!C$26</f>
        <v>0</v>
      </c>
      <c r="D78" s="50">
        <f>REVENUE!D25*'OPER EXP'!D$26</f>
        <v>140362.5</v>
      </c>
      <c r="E78" s="50">
        <f>REVENUE!E25*'OPER EXP'!E$26</f>
        <v>193427.49999999997</v>
      </c>
      <c r="F78" s="50">
        <f>REVENUE!F25*'OPER EXP'!F$26</f>
        <v>242250</v>
      </c>
      <c r="G78" s="50">
        <f>REVENUE!G25*'OPER EXP'!G$26</f>
        <v>303700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>
      <c r="A79" s="4" t="s">
        <v>56</v>
      </c>
      <c r="B79" s="22"/>
      <c r="C79" s="50">
        <f>REVENUE!C26*'OPER EXP'!C$26</f>
        <v>31944.444444444442</v>
      </c>
      <c r="D79" s="50">
        <f>REVENUE!D26*'OPER EXP'!D$26</f>
        <v>46787.5</v>
      </c>
      <c r="E79" s="50">
        <f>REVENUE!E48*'OPER EXP'!E$42</f>
        <v>0</v>
      </c>
      <c r="F79" s="50">
        <f>REVENUE!F48*'OPER EXP'!F$42</f>
        <v>0</v>
      </c>
      <c r="G79" s="50">
        <f>REVENUE!G48*'OPER EXP'!G$42</f>
        <v>0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>
      <c r="A80" s="4" t="s">
        <v>57</v>
      </c>
      <c r="B80" s="22"/>
      <c r="C80" s="50">
        <f>REVENUE!C27*'OPER EXP'!C$26</f>
        <v>31944.444444444442</v>
      </c>
      <c r="D80" s="50">
        <f>REVENUE!D27*'OPER EXP'!D$26</f>
        <v>46787.5</v>
      </c>
      <c r="E80" s="50">
        <f>REVENUE!E49*'OPER EXP'!E$42</f>
        <v>0</v>
      </c>
      <c r="F80" s="50">
        <f>REVENUE!F49*'OPER EXP'!F$42</f>
        <v>0</v>
      </c>
      <c r="G80" s="50">
        <f>REVENUE!G49*'OPER EXP'!G$42</f>
        <v>0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>
      <c r="A81" s="4" t="s">
        <v>58</v>
      </c>
      <c r="B81" s="22"/>
      <c r="C81" s="51">
        <f>REVENUE!C28*'OPER EXP'!C$26</f>
        <v>31944.444444444442</v>
      </c>
      <c r="D81" s="51">
        <f>REVENUE!D28*'OPER EXP'!D$26</f>
        <v>46787.5</v>
      </c>
      <c r="E81" s="51">
        <f>REVENUE!E50*'OPER EXP'!E$42</f>
        <v>0</v>
      </c>
      <c r="F81" s="51">
        <f>REVENUE!F50*'OPER EXP'!F$42</f>
        <v>0</v>
      </c>
      <c r="G81" s="51">
        <f>REVENUE!G50*'OPER EXP'!G$42</f>
        <v>0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>
      <c r="A82" s="12" t="s">
        <v>59</v>
      </c>
      <c r="B82" s="22"/>
      <c r="C82" s="50">
        <f>REVENUE!C29*'OPER EXP'!C$26</f>
        <v>95833.333333333328</v>
      </c>
      <c r="D82" s="50">
        <f>REVENUE!D29*'OPER EXP'!D$26</f>
        <v>140362.5</v>
      </c>
      <c r="E82" s="50">
        <f>REVENUE!E29*'OPER EXP'!E$26</f>
        <v>193427.49999999997</v>
      </c>
      <c r="F82" s="50">
        <f>REVENUE!F29*'OPER EXP'!F$26</f>
        <v>242250</v>
      </c>
      <c r="G82" s="50">
        <f>REVENUE!G29*'OPER EXP'!G$26</f>
        <v>303700</v>
      </c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>
      <c r="A83" s="4" t="s">
        <v>60</v>
      </c>
      <c r="B83" s="22"/>
      <c r="C83" s="50">
        <f>REVENUE!C30*'OPER EXP'!C$26</f>
        <v>31944.444444444442</v>
      </c>
      <c r="D83" s="50">
        <f>REVENUE!D30*'OPER EXP'!D$26</f>
        <v>46787.5</v>
      </c>
      <c r="E83" s="50">
        <f>REVENUE!E52*'OPER EXP'!E$42</f>
        <v>0</v>
      </c>
      <c r="F83" s="50">
        <f>REVENUE!F52*'OPER EXP'!F$42</f>
        <v>0</v>
      </c>
      <c r="G83" s="50">
        <f>REVENUE!G52*'OPER EXP'!G$42</f>
        <v>0</v>
      </c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>
      <c r="A84" s="4" t="s">
        <v>61</v>
      </c>
      <c r="B84" s="22"/>
      <c r="C84" s="50">
        <f>REVENUE!C31*'OPER EXP'!C$26</f>
        <v>31944.444444444442</v>
      </c>
      <c r="D84" s="50">
        <f>REVENUE!D31*'OPER EXP'!D$26</f>
        <v>46787.5</v>
      </c>
      <c r="E84" s="50">
        <f>REVENUE!E53*'OPER EXP'!E$42</f>
        <v>0</v>
      </c>
      <c r="F84" s="50">
        <f>REVENUE!F53*'OPER EXP'!F$42</f>
        <v>0</v>
      </c>
      <c r="G84" s="50">
        <f>REVENUE!G53*'OPER EXP'!G$42</f>
        <v>0</v>
      </c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>
      <c r="A85" s="4" t="s">
        <v>62</v>
      </c>
      <c r="B85" s="22"/>
      <c r="C85" s="51">
        <f>REVENUE!C32*'OPER EXP'!C$26</f>
        <v>31944.444444444442</v>
      </c>
      <c r="D85" s="51">
        <f>REVENUE!D32*'OPER EXP'!D$26</f>
        <v>46787.5</v>
      </c>
      <c r="E85" s="51">
        <f>REVENUE!E54*'OPER EXP'!E$42</f>
        <v>0</v>
      </c>
      <c r="F85" s="51">
        <f>REVENUE!F54*'OPER EXP'!F$42</f>
        <v>0</v>
      </c>
      <c r="G85" s="51">
        <f>REVENUE!G54*'OPER EXP'!G$42</f>
        <v>0</v>
      </c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>
      <c r="A86" s="12" t="s">
        <v>63</v>
      </c>
      <c r="B86" s="22"/>
      <c r="C86" s="50">
        <f>REVENUE!C33*'OPER EXP'!C$26</f>
        <v>95833.333333333328</v>
      </c>
      <c r="D86" s="50">
        <f>REVENUE!D33*'OPER EXP'!D$26</f>
        <v>140362.5</v>
      </c>
      <c r="E86" s="50">
        <f>REVENUE!E33*'OPER EXP'!E$26</f>
        <v>193427.49999999997</v>
      </c>
      <c r="F86" s="50">
        <f>REVENUE!F33*'OPER EXP'!F$26</f>
        <v>242250</v>
      </c>
      <c r="G86" s="50">
        <f>REVENUE!G33*'OPER EXP'!G$26</f>
        <v>303700</v>
      </c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>
      <c r="A87" s="4" t="s">
        <v>64</v>
      </c>
      <c r="B87" s="22"/>
      <c r="C87" s="50">
        <f>REVENUE!C34*'OPER EXP'!C$26</f>
        <v>31944.444444444442</v>
      </c>
      <c r="D87" s="50">
        <f>REVENUE!D34*'OPER EXP'!D$26</f>
        <v>46787.5</v>
      </c>
      <c r="E87" s="50">
        <f>REVENUE!E56*'OPER EXP'!E$42</f>
        <v>0</v>
      </c>
      <c r="F87" s="50">
        <f>REVENUE!F56*'OPER EXP'!F$42</f>
        <v>0</v>
      </c>
      <c r="G87" s="50">
        <f>REVENUE!G56*'OPER EXP'!G$42</f>
        <v>0</v>
      </c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>
      <c r="A88" s="4" t="s">
        <v>65</v>
      </c>
      <c r="B88" s="22"/>
      <c r="C88" s="50">
        <f>REVENUE!C35*'OPER EXP'!C$26</f>
        <v>31944.444444444442</v>
      </c>
      <c r="D88" s="50">
        <f>REVENUE!D35*'OPER EXP'!D$26</f>
        <v>46787.5</v>
      </c>
      <c r="E88" s="50">
        <f>REVENUE!E57*'OPER EXP'!E$42</f>
        <v>0</v>
      </c>
      <c r="F88" s="50">
        <f>REVENUE!F57*'OPER EXP'!F$42</f>
        <v>0</v>
      </c>
      <c r="G88" s="50">
        <f>REVENUE!G57*'OPER EXP'!G$42</f>
        <v>0</v>
      </c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>
      <c r="A89" s="4" t="s">
        <v>66</v>
      </c>
      <c r="B89" s="22"/>
      <c r="C89" s="51">
        <f>REVENUE!C36*'OPER EXP'!C$26</f>
        <v>31944.444444444442</v>
      </c>
      <c r="D89" s="51">
        <f>REVENUE!D36*'OPER EXP'!D$26</f>
        <v>46787.5</v>
      </c>
      <c r="E89" s="51">
        <f>REVENUE!E58*'OPER EXP'!E$42</f>
        <v>0</v>
      </c>
      <c r="F89" s="51">
        <f>REVENUE!F58*'OPER EXP'!F$42</f>
        <v>0</v>
      </c>
      <c r="G89" s="51">
        <f>REVENUE!G58*'OPER EXP'!G$42</f>
        <v>0</v>
      </c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>
      <c r="A90" s="12" t="s">
        <v>67</v>
      </c>
      <c r="B90" s="22"/>
      <c r="C90" s="50">
        <f>REVENUE!C37*'OPER EXP'!C$26</f>
        <v>95833.333333333328</v>
      </c>
      <c r="D90" s="50">
        <f>REVENUE!D37*'OPER EXP'!D$26</f>
        <v>140362.5</v>
      </c>
      <c r="E90" s="50">
        <f>REVENUE!E37*'OPER EXP'!E$26</f>
        <v>193427.49999999997</v>
      </c>
      <c r="F90" s="50">
        <f>REVENUE!F37*'OPER EXP'!F$26</f>
        <v>242250</v>
      </c>
      <c r="G90" s="50">
        <f>REVENUE!G37*'OPER EXP'!G$26</f>
        <v>303700</v>
      </c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3.5" customHeight="1">
      <c r="A91" s="12" t="s">
        <v>68</v>
      </c>
      <c r="B91" s="22"/>
      <c r="C91" s="52">
        <f>REVENUE!C38*'OPER EXP'!C$26</f>
        <v>287500</v>
      </c>
      <c r="D91" s="52">
        <f>REVENUE!D38*'OPER EXP'!D$26</f>
        <v>561450</v>
      </c>
      <c r="E91" s="52">
        <f>REVENUE!E38*'OPER EXP'!E$26</f>
        <v>773709.99999999988</v>
      </c>
      <c r="F91" s="52">
        <f>REVENUE!F38*'OPER EXP'!F$26</f>
        <v>969000</v>
      </c>
      <c r="G91" s="52">
        <f>REVENUE!G38*'OPER EXP'!G$26</f>
        <v>1214800</v>
      </c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5.75" customHeight="1">
      <c r="A94" s="4"/>
      <c r="B94" s="4"/>
      <c r="C94" s="4"/>
      <c r="D94" s="3" t="s">
        <v>114</v>
      </c>
      <c r="E94" s="5"/>
      <c r="F94" s="5"/>
      <c r="G94" s="4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5.75" customHeight="1">
      <c r="A95" s="4"/>
      <c r="B95" s="4"/>
      <c r="C95" s="4"/>
      <c r="D95" s="3" t="s">
        <v>41</v>
      </c>
      <c r="E95" s="5"/>
      <c r="F95" s="5"/>
      <c r="G95" s="4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5.75" customHeight="1">
      <c r="A96" s="4"/>
      <c r="B96" s="4"/>
      <c r="C96" s="11" t="s">
        <v>9</v>
      </c>
      <c r="D96" s="11" t="s">
        <v>10</v>
      </c>
      <c r="E96" s="11" t="s">
        <v>11</v>
      </c>
      <c r="F96" s="11" t="s">
        <v>12</v>
      </c>
      <c r="G96" s="11" t="s">
        <v>13</v>
      </c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>
      <c r="A97" s="4" t="s">
        <v>52</v>
      </c>
      <c r="B97" s="4"/>
      <c r="C97" s="50">
        <f>REVENUE!C22*'OPER EXP'!C$39</f>
        <v>0</v>
      </c>
      <c r="D97" s="50">
        <f>REVENUE!D22*'OPER EXP'!D$39</f>
        <v>72454.166666666657</v>
      </c>
      <c r="E97" s="50">
        <f>REVENUE!E66*'OPER EXP'!E$42</f>
        <v>0</v>
      </c>
      <c r="F97" s="50">
        <f>REVENUE!F66*'OPER EXP'!F$42</f>
        <v>0</v>
      </c>
      <c r="G97" s="50">
        <f>REVENUE!G66*'OPER EXP'!G$42</f>
        <v>0</v>
      </c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>
      <c r="A98" s="4" t="s">
        <v>53</v>
      </c>
      <c r="B98" s="4"/>
      <c r="C98" s="50">
        <f>REVENUE!C23*'OPER EXP'!C$39</f>
        <v>0</v>
      </c>
      <c r="D98" s="50">
        <f>REVENUE!D23*'OPER EXP'!D$39</f>
        <v>72454.166666666657</v>
      </c>
      <c r="E98" s="50">
        <f>REVENUE!E67*'OPER EXP'!E$42</f>
        <v>0</v>
      </c>
      <c r="F98" s="50">
        <f>REVENUE!F67*'OPER EXP'!F$42</f>
        <v>0</v>
      </c>
      <c r="G98" s="50">
        <f>REVENUE!G67*'OPER EXP'!G$42</f>
        <v>0</v>
      </c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>
      <c r="A99" s="4" t="s">
        <v>54</v>
      </c>
      <c r="B99" s="22"/>
      <c r="C99" s="51">
        <f>REVENUE!C24*'OPER EXP'!C$39</f>
        <v>0</v>
      </c>
      <c r="D99" s="51">
        <f>REVENUE!D24*'OPER EXP'!D$39</f>
        <v>72454.166666666657</v>
      </c>
      <c r="E99" s="51">
        <f>REVENUE!E68*'OPER EXP'!E$42</f>
        <v>0</v>
      </c>
      <c r="F99" s="51">
        <f>REVENUE!F68*'OPER EXP'!F$42</f>
        <v>0</v>
      </c>
      <c r="G99" s="51">
        <f>REVENUE!G68*'OPER EXP'!G$42</f>
        <v>0</v>
      </c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>
      <c r="A100" s="12" t="s">
        <v>55</v>
      </c>
      <c r="B100" s="22"/>
      <c r="C100" s="50">
        <f>REVENUE!C25*'OPER EXP'!C$39</f>
        <v>0</v>
      </c>
      <c r="D100" s="50">
        <f>REVENUE!D25*'OPER EXP'!D$39</f>
        <v>217362.5</v>
      </c>
      <c r="E100" s="50">
        <f>REVENUE!E25*'OPER EXP'!E$39</f>
        <v>264547.5</v>
      </c>
      <c r="F100" s="50">
        <f>REVENUE!F25*'OPER EXP'!F$39</f>
        <v>328416.66666666669</v>
      </c>
      <c r="G100" s="50">
        <f>REVENUE!G25*'OPER EXP'!G$39</f>
        <v>397966.66666666663</v>
      </c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>
      <c r="A101" s="4" t="s">
        <v>56</v>
      </c>
      <c r="B101" s="22"/>
      <c r="C101" s="50">
        <f>REVENUE!C26*'OPER EXP'!C$39</f>
        <v>68888.888888888891</v>
      </c>
      <c r="D101" s="50">
        <f>REVENUE!D26*'OPER EXP'!D$39</f>
        <v>72454.166666666657</v>
      </c>
      <c r="E101" s="50">
        <f>REVENUE!E70*'OPER EXP'!E$42</f>
        <v>0</v>
      </c>
      <c r="F101" s="50">
        <f>REVENUE!F70*'OPER EXP'!F$42</f>
        <v>0</v>
      </c>
      <c r="G101" s="50">
        <f>REVENUE!G70*'OPER EXP'!G$42</f>
        <v>0</v>
      </c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>
      <c r="A102" s="4" t="s">
        <v>57</v>
      </c>
      <c r="B102" s="22"/>
      <c r="C102" s="50">
        <f>REVENUE!C27*'OPER EXP'!C$39</f>
        <v>68888.888888888891</v>
      </c>
      <c r="D102" s="50">
        <f>REVENUE!D27*'OPER EXP'!D$39</f>
        <v>72454.166666666657</v>
      </c>
      <c r="E102" s="50">
        <f>REVENUE!E71*'OPER EXP'!E$42</f>
        <v>0</v>
      </c>
      <c r="F102" s="50">
        <f>REVENUE!F71*'OPER EXP'!F$42</f>
        <v>0</v>
      </c>
      <c r="G102" s="50">
        <f>REVENUE!G71*'OPER EXP'!G$42</f>
        <v>0</v>
      </c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>
      <c r="A103" s="4" t="s">
        <v>58</v>
      </c>
      <c r="B103" s="22"/>
      <c r="C103" s="51">
        <f>REVENUE!C28*'OPER EXP'!C$39</f>
        <v>68888.888888888891</v>
      </c>
      <c r="D103" s="51">
        <f>REVENUE!D28*'OPER EXP'!D$39</f>
        <v>72454.166666666657</v>
      </c>
      <c r="E103" s="51">
        <f>REVENUE!E72*'OPER EXP'!E$42</f>
        <v>0</v>
      </c>
      <c r="F103" s="51">
        <f>REVENUE!F72*'OPER EXP'!F$42</f>
        <v>0</v>
      </c>
      <c r="G103" s="51">
        <f>REVENUE!G72*'OPER EXP'!G$42</f>
        <v>0</v>
      </c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12" t="s">
        <v>59</v>
      </c>
      <c r="B104" s="22"/>
      <c r="C104" s="50">
        <f>REVENUE!C29*'OPER EXP'!C$39</f>
        <v>206666.66666666669</v>
      </c>
      <c r="D104" s="50">
        <f>REVENUE!D29*'OPER EXP'!D$39</f>
        <v>217362.5</v>
      </c>
      <c r="E104" s="50">
        <f>REVENUE!E29*'OPER EXP'!E$39</f>
        <v>264547.5</v>
      </c>
      <c r="F104" s="50">
        <f>REVENUE!F29*'OPER EXP'!F$39</f>
        <v>328416.66666666669</v>
      </c>
      <c r="G104" s="50">
        <f>REVENUE!G29*'OPER EXP'!G$39</f>
        <v>397966.66666666663</v>
      </c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>
      <c r="A105" s="4" t="s">
        <v>60</v>
      </c>
      <c r="B105" s="22"/>
      <c r="C105" s="50">
        <f>REVENUE!C30*'OPER EXP'!C$39</f>
        <v>68888.888888888891</v>
      </c>
      <c r="D105" s="50">
        <f>REVENUE!D30*'OPER EXP'!D$39</f>
        <v>72454.166666666657</v>
      </c>
      <c r="E105" s="50">
        <f>REVENUE!E74*'OPER EXP'!E$42</f>
        <v>0</v>
      </c>
      <c r="F105" s="50">
        <f>REVENUE!F74*'OPER EXP'!F$42</f>
        <v>0</v>
      </c>
      <c r="G105" s="50">
        <f>REVENUE!G74*'OPER EXP'!G$42</f>
        <v>0</v>
      </c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>
      <c r="A106" s="4" t="s">
        <v>61</v>
      </c>
      <c r="B106" s="22"/>
      <c r="C106" s="50">
        <f>REVENUE!C31*'OPER EXP'!C$39</f>
        <v>68888.888888888891</v>
      </c>
      <c r="D106" s="50">
        <f>REVENUE!D31*'OPER EXP'!D$39</f>
        <v>72454.166666666657</v>
      </c>
      <c r="E106" s="50">
        <f>REVENUE!E75*'OPER EXP'!E$42</f>
        <v>0</v>
      </c>
      <c r="F106" s="50">
        <f>REVENUE!F75*'OPER EXP'!F$42</f>
        <v>0</v>
      </c>
      <c r="G106" s="50">
        <f>REVENUE!G75*'OPER EXP'!G$42</f>
        <v>0</v>
      </c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>
      <c r="A107" s="4" t="s">
        <v>62</v>
      </c>
      <c r="B107" s="22"/>
      <c r="C107" s="51">
        <f>REVENUE!C32*'OPER EXP'!C$39</f>
        <v>68888.888888888891</v>
      </c>
      <c r="D107" s="51">
        <f>REVENUE!D32*'OPER EXP'!D$39</f>
        <v>72454.166666666657</v>
      </c>
      <c r="E107" s="51">
        <f>REVENUE!E76*'OPER EXP'!E$42</f>
        <v>0</v>
      </c>
      <c r="F107" s="51">
        <f>REVENUE!F76*'OPER EXP'!F$42</f>
        <v>0</v>
      </c>
      <c r="G107" s="51">
        <f>REVENUE!G76*'OPER EXP'!G$42</f>
        <v>0</v>
      </c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>
      <c r="A108" s="12" t="s">
        <v>63</v>
      </c>
      <c r="B108" s="22"/>
      <c r="C108" s="50">
        <f>REVENUE!C33*'OPER EXP'!C$39</f>
        <v>206666.66666666669</v>
      </c>
      <c r="D108" s="50">
        <f>REVENUE!D33*'OPER EXP'!D$39</f>
        <v>217362.5</v>
      </c>
      <c r="E108" s="50">
        <f>REVENUE!E33*'OPER EXP'!E$39</f>
        <v>264547.5</v>
      </c>
      <c r="F108" s="50">
        <f>REVENUE!F33*'OPER EXP'!F$39</f>
        <v>328416.66666666669</v>
      </c>
      <c r="G108" s="50">
        <f>REVENUE!G33*'OPER EXP'!G$39</f>
        <v>397966.66666666663</v>
      </c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>
      <c r="A109" s="4" t="s">
        <v>64</v>
      </c>
      <c r="B109" s="22"/>
      <c r="C109" s="50">
        <f>REVENUE!C34*'OPER EXP'!C$39</f>
        <v>68888.888888888891</v>
      </c>
      <c r="D109" s="50">
        <f>REVENUE!D34*'OPER EXP'!D$39</f>
        <v>72454.166666666657</v>
      </c>
      <c r="E109" s="50">
        <f>REVENUE!E78*'OPER EXP'!E$42</f>
        <v>0</v>
      </c>
      <c r="F109" s="50">
        <f>REVENUE!F78*'OPER EXP'!F$42</f>
        <v>0</v>
      </c>
      <c r="G109" s="50">
        <f>REVENUE!G78*'OPER EXP'!G$42</f>
        <v>0</v>
      </c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>
      <c r="A110" s="4" t="s">
        <v>65</v>
      </c>
      <c r="B110" s="22"/>
      <c r="C110" s="50">
        <f>REVENUE!C35*'OPER EXP'!C$39</f>
        <v>68888.888888888891</v>
      </c>
      <c r="D110" s="50">
        <f>REVENUE!D35*'OPER EXP'!D$39</f>
        <v>72454.166666666657</v>
      </c>
      <c r="E110" s="50">
        <f>REVENUE!E79*'OPER EXP'!E$42</f>
        <v>0</v>
      </c>
      <c r="F110" s="50">
        <f>REVENUE!F79*'OPER EXP'!F$42</f>
        <v>0</v>
      </c>
      <c r="G110" s="50">
        <f>REVENUE!G79*'OPER EXP'!G$42</f>
        <v>0</v>
      </c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>
      <c r="A111" s="4" t="s">
        <v>66</v>
      </c>
      <c r="B111" s="22"/>
      <c r="C111" s="51">
        <f>REVENUE!C36*'OPER EXP'!C$39</f>
        <v>68888.888888888891</v>
      </c>
      <c r="D111" s="51">
        <f>REVENUE!D36*'OPER EXP'!D$39</f>
        <v>72454.166666666657</v>
      </c>
      <c r="E111" s="51">
        <f>REVENUE!E80*'OPER EXP'!E$42</f>
        <v>0</v>
      </c>
      <c r="F111" s="51">
        <f>REVENUE!F80*'OPER EXP'!F$42</f>
        <v>0</v>
      </c>
      <c r="G111" s="51">
        <f>REVENUE!G80*'OPER EXP'!G$42</f>
        <v>0</v>
      </c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>
      <c r="A112" s="12" t="s">
        <v>67</v>
      </c>
      <c r="B112" s="22"/>
      <c r="C112" s="50">
        <f>REVENUE!C37*'OPER EXP'!C$39</f>
        <v>206666.66666666669</v>
      </c>
      <c r="D112" s="50">
        <f>REVENUE!D37*'OPER EXP'!D$39</f>
        <v>217362.5</v>
      </c>
      <c r="E112" s="50">
        <f>REVENUE!E37*'OPER EXP'!E$39</f>
        <v>264547.5</v>
      </c>
      <c r="F112" s="50">
        <f>REVENUE!F37*'OPER EXP'!F$39</f>
        <v>328416.66666666669</v>
      </c>
      <c r="G112" s="50">
        <f>REVENUE!G37*'OPER EXP'!G$39</f>
        <v>397966.66666666663</v>
      </c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3.5" customHeight="1">
      <c r="A113" s="12" t="s">
        <v>68</v>
      </c>
      <c r="B113" s="22"/>
      <c r="C113" s="52">
        <f>REVENUE!C38*'OPER EXP'!C$39</f>
        <v>620000</v>
      </c>
      <c r="D113" s="52">
        <f>REVENUE!D38*'OPER EXP'!D$39</f>
        <v>869450</v>
      </c>
      <c r="E113" s="52">
        <f>REVENUE!E38*'OPER EXP'!E$39</f>
        <v>1058190</v>
      </c>
      <c r="F113" s="52">
        <f>REVENUE!F38*'OPER EXP'!F$39</f>
        <v>1313666.6666666667</v>
      </c>
      <c r="G113" s="52">
        <f>REVENUE!G38*'OPER EXP'!G$39</f>
        <v>1591866.6666666665</v>
      </c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>
      <c r="A114" s="22"/>
      <c r="B114" s="22"/>
      <c r="C114" s="57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22"/>
      <c r="B115" s="22"/>
      <c r="C115" s="57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2"/>
  <sheetViews>
    <sheetView workbookViewId="0"/>
  </sheetViews>
  <sheetFormatPr baseColWidth="10" defaultColWidth="14.3984375" defaultRowHeight="15" customHeight="1"/>
  <cols>
    <col min="1" max="1" width="29.59765625" bestFit="1" customWidth="1"/>
    <col min="2" max="2" width="4.796875" customWidth="1"/>
    <col min="3" max="7" width="11.59765625" bestFit="1" customWidth="1"/>
    <col min="8" max="8" width="8.19921875" bestFit="1" customWidth="1"/>
    <col min="9" max="9" width="8.796875" customWidth="1"/>
    <col min="10" max="13" width="8" customWidth="1"/>
    <col min="14" max="14" width="13.59765625" bestFit="1" customWidth="1"/>
    <col min="15" max="26" width="8" customWidth="1"/>
  </cols>
  <sheetData>
    <row r="1" spans="1:26" ht="23.25" customHeight="1">
      <c r="A1" s="20" t="s">
        <v>0</v>
      </c>
      <c r="B1" s="4"/>
      <c r="C1" s="4"/>
      <c r="D1" s="4"/>
      <c r="E1" s="4"/>
      <c r="F1" s="4"/>
      <c r="G1" s="4"/>
      <c r="H1" s="4"/>
      <c r="I1" s="22"/>
      <c r="J1" s="22"/>
      <c r="K1" s="22"/>
      <c r="L1" s="22"/>
      <c r="M1" s="22" t="s">
        <v>423</v>
      </c>
      <c r="N1" s="57">
        <f>SUM(C18:G19,C31:G32,C44:G45,C75:G81,EXTRA!C15:G16,EXTRA!C39:G39,TAXES!C14:G15,'PROP &amp; EQUIP'!B13:G14,'PROP &amp; EQUIP'!C47:G48,'PROP &amp; EQUIP'!B53:G54,'PROP &amp; EQUIP'!C77:G77,WORKCAP!C61:G61,WORKCAP!C6:G6,FUNDING!C9:G9,FUNDING!C14:G14,FUNDING!B15:G15,FUNDING!C19:G19,FUNDING!C24:G24,FUNDING!C27:G29,FUNDING!C41:G41,FUNDING!C50:G52)</f>
        <v>137955746.95139495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6" ht="15.75" customHeight="1">
      <c r="A2" s="9" t="s">
        <v>115</v>
      </c>
      <c r="B2" s="4"/>
      <c r="C2" s="4"/>
      <c r="D2" s="4"/>
      <c r="E2" s="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>
      <c r="A3" s="9" t="s">
        <v>40</v>
      </c>
      <c r="B3" s="4"/>
      <c r="C3" s="4"/>
      <c r="D3" s="4"/>
      <c r="E3" s="4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>
      <c r="A4" s="9" t="s">
        <v>41</v>
      </c>
      <c r="B4" s="4"/>
      <c r="C4" s="4"/>
      <c r="D4" s="4"/>
      <c r="E4" s="4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>
      <c r="A5" s="4"/>
      <c r="B5" s="22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33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.75" customHeight="1">
      <c r="A6" s="4"/>
      <c r="B6" s="58"/>
      <c r="C6" s="34"/>
      <c r="D6" s="34"/>
      <c r="E6" s="34"/>
      <c r="F6" s="34"/>
      <c r="G6" s="34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>
      <c r="A7" s="6" t="s">
        <v>96</v>
      </c>
      <c r="B7" s="21"/>
      <c r="C7" s="35">
        <f>REVENUE!C16</f>
        <v>2750000</v>
      </c>
      <c r="D7" s="35">
        <f>REVENUE!D16</f>
        <v>3840000</v>
      </c>
      <c r="E7" s="35">
        <f>REVENUE!E16</f>
        <v>5995000</v>
      </c>
      <c r="F7" s="35">
        <f>REVENUE!F16</f>
        <v>8120000</v>
      </c>
      <c r="G7" s="35">
        <f>REVENUE!G16</f>
        <v>12120000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4"/>
      <c r="B8" s="58"/>
      <c r="C8" s="34"/>
      <c r="D8" s="34"/>
      <c r="E8" s="34"/>
      <c r="F8" s="34"/>
      <c r="G8" s="34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6" t="s">
        <v>97</v>
      </c>
      <c r="B9" s="4"/>
      <c r="C9" s="4"/>
      <c r="D9" s="4"/>
      <c r="E9" s="4"/>
      <c r="F9" s="4"/>
      <c r="G9" s="4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>
      <c r="A10" s="12" t="s">
        <v>116</v>
      </c>
      <c r="B10" s="21"/>
      <c r="C10" s="25">
        <v>85000</v>
      </c>
      <c r="D10" s="25">
        <v>88000</v>
      </c>
      <c r="E10" s="25">
        <v>92000</v>
      </c>
      <c r="F10" s="25">
        <v>96000</v>
      </c>
      <c r="G10" s="25">
        <v>100000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12" t="s">
        <v>117</v>
      </c>
      <c r="B11" s="21"/>
      <c r="C11" s="25">
        <v>80000</v>
      </c>
      <c r="D11" s="25">
        <v>83000</v>
      </c>
      <c r="E11" s="25">
        <v>87000</v>
      </c>
      <c r="F11" s="25">
        <v>91000</v>
      </c>
      <c r="G11" s="25">
        <v>95000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12" t="s">
        <v>406</v>
      </c>
      <c r="B12" s="21"/>
      <c r="C12" s="25">
        <v>45000</v>
      </c>
      <c r="D12" s="25">
        <v>47000</v>
      </c>
      <c r="E12" s="25">
        <v>49000</v>
      </c>
      <c r="F12" s="25">
        <v>51000</v>
      </c>
      <c r="G12" s="25">
        <v>53000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>
      <c r="A13" s="12" t="s">
        <v>407</v>
      </c>
      <c r="B13" s="21"/>
      <c r="C13" s="25">
        <v>60000</v>
      </c>
      <c r="D13" s="25">
        <v>62000</v>
      </c>
      <c r="E13" s="25">
        <v>64000</v>
      </c>
      <c r="F13" s="25">
        <v>66000</v>
      </c>
      <c r="G13" s="25">
        <v>68000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12" t="s">
        <v>118</v>
      </c>
      <c r="B14" s="21"/>
      <c r="C14" s="31">
        <f>SUM(C10:C13)</f>
        <v>270000</v>
      </c>
      <c r="D14" s="31">
        <f>SUM(D10:D13)</f>
        <v>280000</v>
      </c>
      <c r="E14" s="31">
        <f>SUM(E10:E13)</f>
        <v>292000</v>
      </c>
      <c r="F14" s="31">
        <f>SUM(F10:F13)</f>
        <v>304000</v>
      </c>
      <c r="G14" s="31">
        <f>SUM(G10:G13)</f>
        <v>316000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12" t="s">
        <v>119</v>
      </c>
      <c r="B15" s="21"/>
      <c r="C15" s="21"/>
      <c r="D15" s="21"/>
      <c r="E15" s="21"/>
      <c r="F15" s="21"/>
      <c r="G15" s="21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>
      <c r="A16" s="12" t="s">
        <v>120</v>
      </c>
      <c r="B16" s="22"/>
      <c r="C16" s="59">
        <v>0.1</v>
      </c>
      <c r="D16" s="59">
        <v>0.15</v>
      </c>
      <c r="E16" s="59">
        <v>0.17</v>
      </c>
      <c r="F16" s="59">
        <v>0.2</v>
      </c>
      <c r="G16" s="59">
        <v>0.2</v>
      </c>
      <c r="H16" s="39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>
      <c r="A17" s="12" t="s">
        <v>121</v>
      </c>
      <c r="B17" s="21"/>
      <c r="C17" s="60">
        <f t="shared" ref="C17:G17" si="0">C16*C14</f>
        <v>27000</v>
      </c>
      <c r="D17" s="60">
        <f t="shared" si="0"/>
        <v>42000</v>
      </c>
      <c r="E17" s="60">
        <f t="shared" si="0"/>
        <v>49640</v>
      </c>
      <c r="F17" s="60">
        <f t="shared" si="0"/>
        <v>60800</v>
      </c>
      <c r="G17" s="60">
        <f t="shared" si="0"/>
        <v>63200</v>
      </c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3.5" customHeight="1">
      <c r="A18" s="61" t="s">
        <v>122</v>
      </c>
      <c r="B18" s="21"/>
      <c r="C18" s="32">
        <f t="shared" ref="C18:G18" si="1">C14+C17</f>
        <v>297000</v>
      </c>
      <c r="D18" s="32">
        <f t="shared" si="1"/>
        <v>322000</v>
      </c>
      <c r="E18" s="32">
        <f t="shared" si="1"/>
        <v>341640</v>
      </c>
      <c r="F18" s="32">
        <f t="shared" si="1"/>
        <v>364800</v>
      </c>
      <c r="G18" s="32">
        <f t="shared" si="1"/>
        <v>379200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>
      <c r="A19" s="4" t="s">
        <v>89</v>
      </c>
      <c r="B19" s="44"/>
      <c r="C19" s="45">
        <f t="shared" ref="C19:G19" si="2">C18/C$7</f>
        <v>0.108</v>
      </c>
      <c r="D19" s="45">
        <f t="shared" si="2"/>
        <v>8.385416666666666E-2</v>
      </c>
      <c r="E19" s="45">
        <f t="shared" si="2"/>
        <v>5.6987489574645535E-2</v>
      </c>
      <c r="F19" s="45">
        <f t="shared" si="2"/>
        <v>4.4926108374384238E-2</v>
      </c>
      <c r="G19" s="45">
        <f t="shared" si="2"/>
        <v>3.1287128712871287E-2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.75" customHeight="1">
      <c r="A20" s="4"/>
      <c r="B20" s="21"/>
      <c r="C20" s="21"/>
      <c r="D20" s="21"/>
      <c r="E20" s="21"/>
      <c r="F20" s="21"/>
      <c r="G20" s="21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.75" customHeight="1">
      <c r="A21" s="6" t="s">
        <v>123</v>
      </c>
      <c r="B21" s="4"/>
      <c r="C21" s="21"/>
      <c r="D21" s="21"/>
      <c r="E21" s="21"/>
      <c r="F21" s="21"/>
      <c r="G21" s="21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>
      <c r="A22" s="12" t="s">
        <v>408</v>
      </c>
      <c r="B22" s="4"/>
      <c r="C22" s="25"/>
      <c r="D22" s="25">
        <v>80000</v>
      </c>
      <c r="E22" s="25">
        <v>100000</v>
      </c>
      <c r="F22" s="25">
        <v>125000</v>
      </c>
      <c r="G22" s="25">
        <v>130000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12" t="s">
        <v>417</v>
      </c>
      <c r="B23" s="4"/>
      <c r="C23" s="25">
        <v>60000</v>
      </c>
      <c r="D23" s="25">
        <v>60000</v>
      </c>
      <c r="E23" s="25">
        <v>90000</v>
      </c>
      <c r="F23" s="25">
        <v>95000</v>
      </c>
      <c r="G23" s="25">
        <v>110000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12" t="s">
        <v>418</v>
      </c>
      <c r="B24" s="4"/>
      <c r="C24" s="25"/>
      <c r="D24" s="25">
        <v>50000</v>
      </c>
      <c r="E24" s="25">
        <v>55000</v>
      </c>
      <c r="F24" s="25">
        <v>65000</v>
      </c>
      <c r="G24" s="25">
        <v>70000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12" t="s">
        <v>409</v>
      </c>
      <c r="B25" s="4"/>
      <c r="C25" s="25">
        <v>40000</v>
      </c>
      <c r="D25" s="25">
        <v>50000</v>
      </c>
      <c r="E25" s="25">
        <v>75000</v>
      </c>
      <c r="F25" s="25">
        <v>90000</v>
      </c>
      <c r="G25" s="25">
        <v>120000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>
      <c r="A26" s="12" t="s">
        <v>410</v>
      </c>
      <c r="B26" s="4"/>
      <c r="C26" s="25"/>
      <c r="D26" s="25">
        <v>35000</v>
      </c>
      <c r="E26" s="25">
        <v>38000</v>
      </c>
      <c r="F26" s="25">
        <v>42000</v>
      </c>
      <c r="G26" s="25">
        <v>46000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12" t="s">
        <v>118</v>
      </c>
      <c r="B27" s="4"/>
      <c r="C27" s="31">
        <f>SUM(C22:C26)</f>
        <v>100000</v>
      </c>
      <c r="D27" s="31">
        <f>SUM(D22:D26)</f>
        <v>275000</v>
      </c>
      <c r="E27" s="31">
        <f>SUM(E22:E26)</f>
        <v>358000</v>
      </c>
      <c r="F27" s="31">
        <f>SUM(F22:F26)</f>
        <v>417000</v>
      </c>
      <c r="G27" s="31">
        <f>SUM(G22:G26)</f>
        <v>476000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12" t="s">
        <v>119</v>
      </c>
      <c r="B28" s="4"/>
      <c r="C28" s="21"/>
      <c r="D28" s="21"/>
      <c r="E28" s="21"/>
      <c r="F28" s="21"/>
      <c r="G28" s="21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12" t="s">
        <v>120</v>
      </c>
      <c r="B29" s="39"/>
      <c r="C29" s="59">
        <v>0.1</v>
      </c>
      <c r="D29" s="59">
        <v>0.15</v>
      </c>
      <c r="E29" s="59">
        <v>0.17</v>
      </c>
      <c r="F29" s="59">
        <v>0.2</v>
      </c>
      <c r="G29" s="59">
        <v>0.2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12" t="s">
        <v>121</v>
      </c>
      <c r="B30" s="4"/>
      <c r="C30" s="60">
        <f t="shared" ref="C30:G30" si="3">C29*C27</f>
        <v>10000</v>
      </c>
      <c r="D30" s="60">
        <f t="shared" si="3"/>
        <v>41250</v>
      </c>
      <c r="E30" s="60">
        <f t="shared" si="3"/>
        <v>60860.000000000007</v>
      </c>
      <c r="F30" s="60">
        <f t="shared" si="3"/>
        <v>83400</v>
      </c>
      <c r="G30" s="60">
        <f t="shared" si="3"/>
        <v>95200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3.5" customHeight="1">
      <c r="A31" s="61" t="s">
        <v>124</v>
      </c>
      <c r="B31" s="4"/>
      <c r="C31" s="32">
        <f t="shared" ref="C31:G31" si="4">C27+C30</f>
        <v>110000</v>
      </c>
      <c r="D31" s="32">
        <f t="shared" si="4"/>
        <v>316250</v>
      </c>
      <c r="E31" s="32">
        <f t="shared" si="4"/>
        <v>418860</v>
      </c>
      <c r="F31" s="32">
        <f t="shared" si="4"/>
        <v>500400</v>
      </c>
      <c r="G31" s="32">
        <f t="shared" si="4"/>
        <v>571200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4" t="s">
        <v>89</v>
      </c>
      <c r="B32" s="44"/>
      <c r="C32" s="45">
        <f t="shared" ref="C32:G32" si="5">C31/C$7</f>
        <v>0.04</v>
      </c>
      <c r="D32" s="45">
        <f t="shared" si="5"/>
        <v>8.2356770833333329E-2</v>
      </c>
      <c r="E32" s="45">
        <f t="shared" si="5"/>
        <v>6.9868223519599662E-2</v>
      </c>
      <c r="F32" s="45">
        <f t="shared" si="5"/>
        <v>6.1625615763546797E-2</v>
      </c>
      <c r="G32" s="45">
        <f t="shared" si="5"/>
        <v>4.7128712871287129E-2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>
      <c r="A33" s="4"/>
      <c r="B33" s="4"/>
      <c r="C33" s="21"/>
      <c r="D33" s="21"/>
      <c r="E33" s="21"/>
      <c r="F33" s="21"/>
      <c r="G33" s="2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6" t="s">
        <v>106</v>
      </c>
      <c r="B34" s="4"/>
      <c r="C34" s="21"/>
      <c r="D34" s="21"/>
      <c r="E34" s="21"/>
      <c r="F34" s="21"/>
      <c r="G34" s="2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12" t="s">
        <v>411</v>
      </c>
      <c r="B35" s="4"/>
      <c r="C35" s="25">
        <v>60000</v>
      </c>
      <c r="D35" s="25">
        <v>80000</v>
      </c>
      <c r="E35" s="25">
        <v>100000</v>
      </c>
      <c r="F35" s="25">
        <v>125000</v>
      </c>
      <c r="G35" s="25">
        <v>130000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12" t="s">
        <v>412</v>
      </c>
      <c r="B36" s="4"/>
      <c r="C36" s="25"/>
      <c r="D36" s="25">
        <v>50000</v>
      </c>
      <c r="E36" s="25">
        <v>60000</v>
      </c>
      <c r="F36" s="25">
        <v>75000</v>
      </c>
      <c r="G36" s="25">
        <v>100000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>
      <c r="A37" s="12" t="s">
        <v>125</v>
      </c>
      <c r="B37" s="4"/>
      <c r="C37" s="25">
        <v>40000</v>
      </c>
      <c r="D37" s="25">
        <v>45000</v>
      </c>
      <c r="E37" s="25">
        <v>25000</v>
      </c>
      <c r="F37" s="25">
        <v>50000</v>
      </c>
      <c r="G37" s="25">
        <v>75000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>
      <c r="A38" s="12" t="s">
        <v>126</v>
      </c>
      <c r="B38" s="4"/>
      <c r="C38" s="25">
        <v>25000</v>
      </c>
      <c r="D38" s="25">
        <v>26000</v>
      </c>
      <c r="E38" s="25">
        <v>27000</v>
      </c>
      <c r="F38" s="25">
        <v>28000</v>
      </c>
      <c r="G38" s="25">
        <v>29000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>
      <c r="A39" s="12" t="s">
        <v>413</v>
      </c>
      <c r="B39" s="4"/>
      <c r="C39" s="25"/>
      <c r="D39" s="25">
        <v>60000</v>
      </c>
      <c r="E39" s="25">
        <v>75000</v>
      </c>
      <c r="F39" s="25">
        <v>80000</v>
      </c>
      <c r="G39" s="25">
        <v>85000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>
      <c r="A40" s="12" t="s">
        <v>118</v>
      </c>
      <c r="B40" s="4"/>
      <c r="C40" s="31">
        <f>SUM(C35:C39)</f>
        <v>125000</v>
      </c>
      <c r="D40" s="31">
        <f>SUM(D35:D39)</f>
        <v>261000</v>
      </c>
      <c r="E40" s="31">
        <f>SUM(E35:E39)</f>
        <v>287000</v>
      </c>
      <c r="F40" s="31">
        <f>SUM(F35:F39)</f>
        <v>358000</v>
      </c>
      <c r="G40" s="31">
        <f>SUM(G35:G39)</f>
        <v>419000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>
      <c r="A41" s="12" t="s">
        <v>119</v>
      </c>
      <c r="B41" s="4"/>
      <c r="C41" s="21"/>
      <c r="D41" s="21"/>
      <c r="E41" s="21"/>
      <c r="F41" s="21"/>
      <c r="G41" s="2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>
      <c r="A42" s="12" t="s">
        <v>120</v>
      </c>
      <c r="B42" s="39"/>
      <c r="C42" s="59">
        <v>0.1</v>
      </c>
      <c r="D42" s="59">
        <v>0.15</v>
      </c>
      <c r="E42" s="59">
        <v>0.17</v>
      </c>
      <c r="F42" s="59">
        <v>0.2</v>
      </c>
      <c r="G42" s="59">
        <v>0.2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>
      <c r="A43" s="12" t="s">
        <v>121</v>
      </c>
      <c r="B43" s="4"/>
      <c r="C43" s="60">
        <f>C42*C40</f>
        <v>12500</v>
      </c>
      <c r="D43" s="60">
        <f t="shared" ref="D43:G43" si="6">D42*D40</f>
        <v>39150</v>
      </c>
      <c r="E43" s="60">
        <f t="shared" si="6"/>
        <v>48790</v>
      </c>
      <c r="F43" s="60">
        <f t="shared" si="6"/>
        <v>71600</v>
      </c>
      <c r="G43" s="60">
        <f t="shared" si="6"/>
        <v>83800</v>
      </c>
      <c r="H43" s="4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3.5" customHeight="1">
      <c r="A44" s="61" t="s">
        <v>127</v>
      </c>
      <c r="B44" s="4"/>
      <c r="C44" s="32">
        <f t="shared" ref="C44:G44" si="7">C40+C43</f>
        <v>137500</v>
      </c>
      <c r="D44" s="32">
        <f t="shared" si="7"/>
        <v>300150</v>
      </c>
      <c r="E44" s="32">
        <f t="shared" si="7"/>
        <v>335790</v>
      </c>
      <c r="F44" s="32">
        <f t="shared" si="7"/>
        <v>429600</v>
      </c>
      <c r="G44" s="32">
        <f t="shared" si="7"/>
        <v>502800</v>
      </c>
      <c r="H44" s="4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4" t="s">
        <v>89</v>
      </c>
      <c r="B45" s="44"/>
      <c r="C45" s="45">
        <f t="shared" ref="C45:G45" si="8">C44/C$7</f>
        <v>0.05</v>
      </c>
      <c r="D45" s="45">
        <f t="shared" si="8"/>
        <v>7.8164062500000006E-2</v>
      </c>
      <c r="E45" s="45">
        <f t="shared" si="8"/>
        <v>5.6011676396997501E-2</v>
      </c>
      <c r="F45" s="45">
        <f t="shared" si="8"/>
        <v>5.29064039408867E-2</v>
      </c>
      <c r="G45" s="45">
        <f t="shared" si="8"/>
        <v>4.1485148514851487E-2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4"/>
      <c r="B46" s="44"/>
      <c r="C46" s="39"/>
      <c r="D46" s="39"/>
      <c r="E46" s="39"/>
      <c r="F46" s="39"/>
      <c r="G46" s="39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>
      <c r="A47" s="6" t="s">
        <v>74</v>
      </c>
      <c r="B47" s="44"/>
      <c r="C47" s="39"/>
      <c r="D47" s="39"/>
      <c r="E47" s="39"/>
      <c r="F47" s="39"/>
      <c r="G47" s="39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43" t="s">
        <v>128</v>
      </c>
      <c r="B48" s="44"/>
      <c r="C48" s="39"/>
      <c r="D48" s="39"/>
      <c r="E48" s="39"/>
      <c r="F48" s="39"/>
      <c r="G48" s="39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12" t="s">
        <v>129</v>
      </c>
      <c r="B49" s="44"/>
      <c r="C49" s="25">
        <v>75000</v>
      </c>
      <c r="D49" s="25">
        <v>78000</v>
      </c>
      <c r="E49" s="25">
        <v>81000</v>
      </c>
      <c r="F49" s="25">
        <v>84000</v>
      </c>
      <c r="G49" s="25">
        <v>87000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>
      <c r="A50" s="12" t="s">
        <v>414</v>
      </c>
      <c r="B50" s="44"/>
      <c r="C50" s="25">
        <v>50000</v>
      </c>
      <c r="D50" s="25">
        <v>55000</v>
      </c>
      <c r="E50" s="25">
        <v>60000</v>
      </c>
      <c r="F50" s="25">
        <v>65000</v>
      </c>
      <c r="G50" s="25">
        <v>70000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>
      <c r="A51" s="12" t="s">
        <v>415</v>
      </c>
      <c r="B51" s="44"/>
      <c r="C51" s="25">
        <v>40000</v>
      </c>
      <c r="D51" s="25">
        <v>45000</v>
      </c>
      <c r="E51" s="25">
        <v>50000</v>
      </c>
      <c r="F51" s="25">
        <v>55000</v>
      </c>
      <c r="G51" s="25">
        <v>60000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12" t="s">
        <v>416</v>
      </c>
      <c r="B52" s="44"/>
      <c r="C52" s="25"/>
      <c r="D52" s="25">
        <v>75000</v>
      </c>
      <c r="E52" s="25">
        <v>80000</v>
      </c>
      <c r="F52" s="25">
        <v>85000</v>
      </c>
      <c r="G52" s="25">
        <v>90000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12" t="s">
        <v>118</v>
      </c>
      <c r="B53" s="44"/>
      <c r="C53" s="31">
        <f>SUM(C49:C52)</f>
        <v>165000</v>
      </c>
      <c r="D53" s="31">
        <f>SUM(D49:D52)</f>
        <v>253000</v>
      </c>
      <c r="E53" s="31">
        <f>SUM(E49:E52)</f>
        <v>271000</v>
      </c>
      <c r="F53" s="31">
        <f>SUM(F49:F52)</f>
        <v>289000</v>
      </c>
      <c r="G53" s="31">
        <f>SUM(G49:G52)</f>
        <v>307000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12" t="s">
        <v>119</v>
      </c>
      <c r="B54" s="44"/>
      <c r="C54" s="21"/>
      <c r="D54" s="21"/>
      <c r="E54" s="21"/>
      <c r="F54" s="21"/>
      <c r="G54" s="2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12" t="s">
        <v>120</v>
      </c>
      <c r="B55" s="39"/>
      <c r="C55" s="59">
        <v>0.1</v>
      </c>
      <c r="D55" s="59">
        <v>0.15</v>
      </c>
      <c r="E55" s="59">
        <v>0.2</v>
      </c>
      <c r="F55" s="59">
        <v>0.2</v>
      </c>
      <c r="G55" s="59">
        <v>0.25</v>
      </c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12" t="s">
        <v>121</v>
      </c>
      <c r="B56" s="44"/>
      <c r="C56" s="60">
        <f t="shared" ref="C56:G56" si="9">C55*C53</f>
        <v>16500</v>
      </c>
      <c r="D56" s="60">
        <f t="shared" si="9"/>
        <v>37950</v>
      </c>
      <c r="E56" s="60">
        <f t="shared" si="9"/>
        <v>54200</v>
      </c>
      <c r="F56" s="60">
        <f t="shared" si="9"/>
        <v>57800</v>
      </c>
      <c r="G56" s="60">
        <f t="shared" si="9"/>
        <v>76750</v>
      </c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12" t="s">
        <v>130</v>
      </c>
      <c r="B57" s="44"/>
      <c r="C57" s="31">
        <f t="shared" ref="C57:G57" si="10">C53+C56</f>
        <v>181500</v>
      </c>
      <c r="D57" s="31">
        <f t="shared" si="10"/>
        <v>290950</v>
      </c>
      <c r="E57" s="31">
        <f t="shared" si="10"/>
        <v>325200</v>
      </c>
      <c r="F57" s="31">
        <f t="shared" si="10"/>
        <v>346800</v>
      </c>
      <c r="G57" s="31">
        <f t="shared" si="10"/>
        <v>383750</v>
      </c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43" t="s">
        <v>131</v>
      </c>
      <c r="B58" s="44"/>
      <c r="C58" s="62"/>
      <c r="D58" s="62"/>
      <c r="E58" s="62"/>
      <c r="F58" s="62"/>
      <c r="G58" s="6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>
      <c r="A59" s="12" t="s">
        <v>132</v>
      </c>
      <c r="B59" s="44"/>
      <c r="C59" s="25">
        <v>3</v>
      </c>
      <c r="D59" s="25">
        <v>9</v>
      </c>
      <c r="E59" s="25">
        <v>13</v>
      </c>
      <c r="F59" s="25">
        <v>17</v>
      </c>
      <c r="G59" s="25">
        <v>20</v>
      </c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12" t="s">
        <v>133</v>
      </c>
      <c r="B60" s="44"/>
      <c r="C60" s="25">
        <v>20000</v>
      </c>
      <c r="D60" s="25">
        <v>22000</v>
      </c>
      <c r="E60" s="25">
        <v>23000</v>
      </c>
      <c r="F60" s="25">
        <v>24000</v>
      </c>
      <c r="G60" s="25">
        <v>24000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12" t="s">
        <v>134</v>
      </c>
      <c r="B61" s="44"/>
      <c r="C61" s="31">
        <f t="shared" ref="C61:G61" si="11">C59*C60</f>
        <v>60000</v>
      </c>
      <c r="D61" s="31">
        <f t="shared" si="11"/>
        <v>198000</v>
      </c>
      <c r="E61" s="31">
        <f t="shared" si="11"/>
        <v>299000</v>
      </c>
      <c r="F61" s="31">
        <f t="shared" si="11"/>
        <v>408000</v>
      </c>
      <c r="G61" s="31">
        <f t="shared" si="11"/>
        <v>480000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12" t="s">
        <v>119</v>
      </c>
      <c r="B62" s="44"/>
      <c r="C62" s="62"/>
      <c r="D62" s="62"/>
      <c r="E62" s="62"/>
      <c r="F62" s="62"/>
      <c r="G62" s="6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12" t="s">
        <v>120</v>
      </c>
      <c r="B63" s="44"/>
      <c r="C63" s="59">
        <v>0.1</v>
      </c>
      <c r="D63" s="59">
        <v>0.15</v>
      </c>
      <c r="E63" s="59">
        <v>0.2</v>
      </c>
      <c r="F63" s="59">
        <v>0.2</v>
      </c>
      <c r="G63" s="59">
        <v>0.25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12" t="s">
        <v>121</v>
      </c>
      <c r="B64" s="44"/>
      <c r="C64" s="31">
        <f t="shared" ref="C64:G64" si="12">C61*C63</f>
        <v>6000</v>
      </c>
      <c r="D64" s="31">
        <f t="shared" si="12"/>
        <v>29700</v>
      </c>
      <c r="E64" s="31">
        <f t="shared" si="12"/>
        <v>59800</v>
      </c>
      <c r="F64" s="31">
        <f t="shared" si="12"/>
        <v>81600</v>
      </c>
      <c r="G64" s="31">
        <f t="shared" si="12"/>
        <v>120000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40" t="s">
        <v>135</v>
      </c>
      <c r="B65" s="22"/>
      <c r="C65" s="63">
        <f t="shared" ref="C65:G65" si="13">C61+C64</f>
        <v>66000</v>
      </c>
      <c r="D65" s="63">
        <f t="shared" si="13"/>
        <v>227700</v>
      </c>
      <c r="E65" s="63">
        <f t="shared" si="13"/>
        <v>358800</v>
      </c>
      <c r="F65" s="63">
        <f t="shared" si="13"/>
        <v>489600</v>
      </c>
      <c r="G65" s="63">
        <f t="shared" si="13"/>
        <v>600000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55" t="s">
        <v>136</v>
      </c>
      <c r="B66" s="22"/>
      <c r="C66" s="21"/>
      <c r="D66" s="21"/>
      <c r="E66" s="21"/>
      <c r="F66" s="21"/>
      <c r="G66" s="21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40" t="s">
        <v>132</v>
      </c>
      <c r="B67" s="22"/>
      <c r="C67" s="25">
        <v>3</v>
      </c>
      <c r="D67" s="25">
        <v>5</v>
      </c>
      <c r="E67" s="25">
        <v>7</v>
      </c>
      <c r="F67" s="25">
        <v>8</v>
      </c>
      <c r="G67" s="25">
        <v>12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>
      <c r="A68" s="40" t="s">
        <v>137</v>
      </c>
      <c r="B68" s="22"/>
      <c r="C68" s="25">
        <v>35000</v>
      </c>
      <c r="D68" s="25">
        <v>37000</v>
      </c>
      <c r="E68" s="25">
        <v>40000</v>
      </c>
      <c r="F68" s="25">
        <v>50000</v>
      </c>
      <c r="G68" s="25">
        <v>55000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>
      <c r="A69" s="40" t="s">
        <v>138</v>
      </c>
      <c r="B69" s="22"/>
      <c r="C69" s="31">
        <f t="shared" ref="C69:G69" si="14">C67*C68</f>
        <v>105000</v>
      </c>
      <c r="D69" s="31">
        <f t="shared" si="14"/>
        <v>185000</v>
      </c>
      <c r="E69" s="31">
        <f t="shared" si="14"/>
        <v>280000</v>
      </c>
      <c r="F69" s="31">
        <f t="shared" si="14"/>
        <v>400000</v>
      </c>
      <c r="G69" s="31">
        <f t="shared" si="14"/>
        <v>660000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40" t="s">
        <v>119</v>
      </c>
      <c r="B70" s="22"/>
      <c r="C70" s="57"/>
      <c r="D70" s="57"/>
      <c r="E70" s="57"/>
      <c r="F70" s="57"/>
      <c r="G70" s="57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40" t="s">
        <v>120</v>
      </c>
      <c r="B71" s="22"/>
      <c r="C71" s="59">
        <v>0.1</v>
      </c>
      <c r="D71" s="59">
        <v>0.15</v>
      </c>
      <c r="E71" s="59">
        <v>0.2</v>
      </c>
      <c r="F71" s="59">
        <v>0.2</v>
      </c>
      <c r="G71" s="59">
        <v>0.25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>
      <c r="A72" s="40" t="s">
        <v>121</v>
      </c>
      <c r="B72" s="22"/>
      <c r="C72" s="63">
        <f t="shared" ref="C72:G72" si="15">C69*C71</f>
        <v>10500</v>
      </c>
      <c r="D72" s="63">
        <f t="shared" si="15"/>
        <v>27750</v>
      </c>
      <c r="E72" s="63">
        <f t="shared" si="15"/>
        <v>56000</v>
      </c>
      <c r="F72" s="63">
        <f t="shared" si="15"/>
        <v>80000</v>
      </c>
      <c r="G72" s="63">
        <f t="shared" si="15"/>
        <v>165000</v>
      </c>
      <c r="H72" s="39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>
      <c r="A73" s="40" t="s">
        <v>130</v>
      </c>
      <c r="B73" s="22"/>
      <c r="C73" s="63">
        <f t="shared" ref="C73:G73" si="16">C69+C72</f>
        <v>115500</v>
      </c>
      <c r="D73" s="63">
        <f t="shared" si="16"/>
        <v>212750</v>
      </c>
      <c r="E73" s="63">
        <f t="shared" si="16"/>
        <v>336000</v>
      </c>
      <c r="F73" s="63">
        <f t="shared" si="16"/>
        <v>480000</v>
      </c>
      <c r="G73" s="63">
        <f t="shared" si="16"/>
        <v>825000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>
      <c r="A74" s="40"/>
      <c r="B74" s="22"/>
      <c r="C74" s="57"/>
      <c r="D74" s="57"/>
      <c r="E74" s="57"/>
      <c r="F74" s="57"/>
      <c r="G74" s="57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3.5" customHeight="1">
      <c r="A75" s="61" t="s">
        <v>139</v>
      </c>
      <c r="B75" s="44"/>
      <c r="C75" s="32">
        <f t="shared" ref="C75:G75" si="17">C57+C65+C73</f>
        <v>363000</v>
      </c>
      <c r="D75" s="32">
        <f t="shared" si="17"/>
        <v>731400</v>
      </c>
      <c r="E75" s="32">
        <f t="shared" si="17"/>
        <v>1020000</v>
      </c>
      <c r="F75" s="32">
        <f t="shared" si="17"/>
        <v>1316400</v>
      </c>
      <c r="G75" s="32">
        <f t="shared" si="17"/>
        <v>1808750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>
      <c r="A76" s="4" t="s">
        <v>89</v>
      </c>
      <c r="B76" s="44"/>
      <c r="C76" s="45">
        <f t="shared" ref="C76:G76" si="18">C75/C$7</f>
        <v>0.13200000000000001</v>
      </c>
      <c r="D76" s="45">
        <f t="shared" si="18"/>
        <v>0.19046874999999999</v>
      </c>
      <c r="E76" s="45">
        <f t="shared" si="18"/>
        <v>0.1701417848206839</v>
      </c>
      <c r="F76" s="45">
        <f t="shared" si="18"/>
        <v>0.16211822660098521</v>
      </c>
      <c r="G76" s="45">
        <f t="shared" si="18"/>
        <v>0.149236798679868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4"/>
      <c r="B77" s="44"/>
      <c r="C77" s="4"/>
      <c r="D77" s="4"/>
      <c r="E77" s="4"/>
      <c r="F77" s="4"/>
      <c r="G77" s="4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6" t="s">
        <v>140</v>
      </c>
      <c r="B78" s="44"/>
      <c r="C78" s="31">
        <f>C14+C27+C40+C53+C61</f>
        <v>720000</v>
      </c>
      <c r="D78" s="31">
        <f>D14+D27+D40+D53+D61</f>
        <v>1267000</v>
      </c>
      <c r="E78" s="31">
        <f>E14+E27+E40+E53+E61</f>
        <v>1507000</v>
      </c>
      <c r="F78" s="31">
        <f>F14+F27+F40+F53+F61</f>
        <v>1776000</v>
      </c>
      <c r="G78" s="31">
        <f>G14+G27+G40+G53+G61</f>
        <v>1998000</v>
      </c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>
      <c r="A79" s="6" t="s">
        <v>141</v>
      </c>
      <c r="B79" s="44"/>
      <c r="C79" s="31">
        <f>C17+C30+C43+C56+C64</f>
        <v>72000</v>
      </c>
      <c r="D79" s="31">
        <f>D17+D30+D43+D56+D64</f>
        <v>190050</v>
      </c>
      <c r="E79" s="31">
        <f>E17+E30+E43+E56+E64</f>
        <v>273290</v>
      </c>
      <c r="F79" s="31">
        <f>F17+F30+F43+F56+F64</f>
        <v>355200</v>
      </c>
      <c r="G79" s="31">
        <f>G17+G30+G43+G56+G64</f>
        <v>438950</v>
      </c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3.5" customHeight="1">
      <c r="A80" s="6" t="s">
        <v>142</v>
      </c>
      <c r="B80" s="44"/>
      <c r="C80" s="64">
        <f>C18+C31+C44+C75</f>
        <v>907500</v>
      </c>
      <c r="D80" s="64">
        <f>D18+D31+D44+D75</f>
        <v>1669800</v>
      </c>
      <c r="E80" s="64">
        <f>E18+E31+E44+E75</f>
        <v>2116290</v>
      </c>
      <c r="F80" s="64">
        <f>F18+F31+F44+F75</f>
        <v>2611200</v>
      </c>
      <c r="G80" s="64">
        <f>G18+G31+G44+G75</f>
        <v>3261950</v>
      </c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3.5" customHeight="1">
      <c r="A81" s="4" t="s">
        <v>89</v>
      </c>
      <c r="B81" s="22"/>
      <c r="C81" s="45">
        <f t="shared" ref="C81:G81" si="19">C80/C$7</f>
        <v>0.33</v>
      </c>
      <c r="D81" s="45">
        <f t="shared" si="19"/>
        <v>0.43484374999999997</v>
      </c>
      <c r="E81" s="45">
        <f t="shared" si="19"/>
        <v>0.35300917431192663</v>
      </c>
      <c r="F81" s="45">
        <f t="shared" si="19"/>
        <v>0.32157635467980294</v>
      </c>
      <c r="G81" s="45">
        <f t="shared" si="19"/>
        <v>0.2691377887788779</v>
      </c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999"/>
  <sheetViews>
    <sheetView workbookViewId="0"/>
  </sheetViews>
  <sheetFormatPr baseColWidth="10" defaultColWidth="14.3984375" defaultRowHeight="15" customHeight="1"/>
  <cols>
    <col min="1" max="1" width="37.19921875" customWidth="1"/>
    <col min="2" max="2" width="3.796875" customWidth="1"/>
    <col min="3" max="3" width="10.3984375" bestFit="1" customWidth="1"/>
    <col min="4" max="4" width="9.3984375" customWidth="1"/>
    <col min="5" max="7" width="9.59765625" customWidth="1"/>
    <col min="8" max="8" width="8.796875" customWidth="1"/>
    <col min="9" max="26" width="8" customWidth="1"/>
  </cols>
  <sheetData>
    <row r="1" spans="1:26" ht="20.25" customHeight="1">
      <c r="A1" s="20" t="s">
        <v>0</v>
      </c>
      <c r="B1" s="4"/>
      <c r="C1" s="4"/>
      <c r="D1" s="4"/>
      <c r="E1" s="4"/>
      <c r="F1" s="4"/>
      <c r="G1" s="4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6" ht="15.75" customHeight="1">
      <c r="A2" s="9" t="s">
        <v>143</v>
      </c>
      <c r="B2" s="65"/>
      <c r="C2" s="65"/>
      <c r="D2" s="65"/>
      <c r="E2" s="65"/>
      <c r="F2" s="65"/>
      <c r="G2" s="65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5.75" customHeight="1">
      <c r="A3" s="9" t="s">
        <v>40</v>
      </c>
      <c r="B3" s="65"/>
      <c r="C3" s="65"/>
      <c r="D3" s="65"/>
      <c r="E3" s="65"/>
      <c r="F3" s="65"/>
      <c r="G3" s="65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5.75" customHeight="1">
      <c r="A4" s="9" t="s">
        <v>41</v>
      </c>
      <c r="B4" s="65"/>
      <c r="C4" s="65"/>
      <c r="D4" s="65"/>
      <c r="E4" s="65"/>
      <c r="F4" s="65"/>
      <c r="G4" s="65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5.75" customHeight="1">
      <c r="A5" s="4"/>
      <c r="B5" s="24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" customHeight="1">
      <c r="A6" s="4"/>
      <c r="B6" s="24"/>
      <c r="C6" s="24"/>
      <c r="D6" s="24"/>
      <c r="E6" s="24"/>
      <c r="F6" s="24"/>
      <c r="G6" s="24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>
      <c r="A7" s="6" t="s">
        <v>144</v>
      </c>
      <c r="B7" s="4"/>
      <c r="C7" s="4"/>
      <c r="D7" s="21"/>
      <c r="E7" s="21"/>
      <c r="F7" s="21"/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4" t="s">
        <v>419</v>
      </c>
      <c r="B8" s="4"/>
      <c r="C8" s="25">
        <v>0</v>
      </c>
      <c r="D8" s="25">
        <v>50000</v>
      </c>
      <c r="E8" s="25">
        <v>80000</v>
      </c>
      <c r="F8" s="25">
        <v>120000</v>
      </c>
      <c r="G8" s="25">
        <v>150000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4" t="s">
        <v>420</v>
      </c>
      <c r="B9" s="4"/>
      <c r="C9" s="25">
        <v>0</v>
      </c>
      <c r="D9" s="25">
        <v>40000</v>
      </c>
      <c r="E9" s="25">
        <v>60000</v>
      </c>
      <c r="F9" s="25">
        <v>80000</v>
      </c>
      <c r="G9" s="25">
        <v>100000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>
      <c r="A10" s="4" t="s">
        <v>421</v>
      </c>
      <c r="B10" s="4"/>
      <c r="C10" s="25">
        <v>0</v>
      </c>
      <c r="D10" s="25">
        <v>25000</v>
      </c>
      <c r="E10" s="25">
        <v>40000</v>
      </c>
      <c r="F10" s="25">
        <v>60000</v>
      </c>
      <c r="G10" s="25">
        <v>80000</v>
      </c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12" t="s">
        <v>93</v>
      </c>
      <c r="B11" s="4"/>
      <c r="C11" s="31">
        <f t="shared" ref="C11:G11" si="0">SUM(C8:C10)</f>
        <v>0</v>
      </c>
      <c r="D11" s="31">
        <f t="shared" si="0"/>
        <v>115000</v>
      </c>
      <c r="E11" s="31">
        <f t="shared" si="0"/>
        <v>180000</v>
      </c>
      <c r="F11" s="31">
        <f t="shared" si="0"/>
        <v>260000</v>
      </c>
      <c r="G11" s="31">
        <f t="shared" si="0"/>
        <v>330000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6" t="s">
        <v>145</v>
      </c>
      <c r="B12" s="4"/>
      <c r="C12" s="21"/>
      <c r="D12" s="21"/>
      <c r="E12" s="21"/>
      <c r="F12" s="21"/>
      <c r="G12" s="21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>
      <c r="A13" s="12" t="s">
        <v>146</v>
      </c>
      <c r="B13" s="4"/>
      <c r="C13" s="25">
        <v>50000</v>
      </c>
      <c r="D13" s="25">
        <v>0</v>
      </c>
      <c r="E13" s="25">
        <v>0</v>
      </c>
      <c r="F13" s="25">
        <v>0</v>
      </c>
      <c r="G13" s="25">
        <v>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12" t="s">
        <v>147</v>
      </c>
      <c r="B14" s="4"/>
      <c r="C14" s="25">
        <v>70000</v>
      </c>
      <c r="D14" s="25">
        <v>0</v>
      </c>
      <c r="E14" s="25">
        <v>0</v>
      </c>
      <c r="F14" s="25">
        <v>0</v>
      </c>
      <c r="G14" s="25">
        <v>0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40" t="s">
        <v>93</v>
      </c>
      <c r="B15" s="21"/>
      <c r="C15" s="60">
        <f>SUM(C13:C14)</f>
        <v>120000</v>
      </c>
      <c r="D15" s="60">
        <f>SUM(D13:D14)</f>
        <v>0</v>
      </c>
      <c r="E15" s="60">
        <f>SUM(E13:E14)</f>
        <v>0</v>
      </c>
      <c r="F15" s="60">
        <f>SUM(F13:F14)</f>
        <v>0</v>
      </c>
      <c r="G15" s="60">
        <f>SUM(G13:G14)</f>
        <v>0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3.5" customHeight="1">
      <c r="A16" s="6" t="s">
        <v>148</v>
      </c>
      <c r="B16" s="21"/>
      <c r="C16" s="32">
        <f>C11-C15</f>
        <v>-120000</v>
      </c>
      <c r="D16" s="32">
        <f>D11-D15</f>
        <v>115000</v>
      </c>
      <c r="E16" s="32">
        <f>E11-E15</f>
        <v>180000</v>
      </c>
      <c r="F16" s="32">
        <f>F11-F15</f>
        <v>260000</v>
      </c>
      <c r="G16" s="32">
        <f>G11-G15</f>
        <v>330000</v>
      </c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>
      <c r="A20" s="4"/>
      <c r="B20" s="4"/>
      <c r="C20" s="4"/>
      <c r="D20" s="3" t="s">
        <v>149</v>
      </c>
      <c r="E20" s="5"/>
      <c r="F20" s="5"/>
      <c r="G20" s="4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75" customHeight="1">
      <c r="A21" s="4"/>
      <c r="B21" s="4"/>
      <c r="C21" s="4"/>
      <c r="D21" s="3" t="s">
        <v>41</v>
      </c>
      <c r="E21" s="5"/>
      <c r="F21" s="5"/>
      <c r="G21" s="4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75" customHeight="1">
      <c r="A22" s="4"/>
      <c r="B22" s="4"/>
      <c r="C22" s="11" t="s">
        <v>9</v>
      </c>
      <c r="D22" s="11" t="s">
        <v>10</v>
      </c>
      <c r="E22" s="11" t="s">
        <v>11</v>
      </c>
      <c r="F22" s="11" t="s">
        <v>12</v>
      </c>
      <c r="G22" s="11" t="s">
        <v>13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4" t="s">
        <v>52</v>
      </c>
      <c r="B23" s="22"/>
      <c r="C23" s="67">
        <v>-50000</v>
      </c>
      <c r="D23" s="67">
        <f>D8</f>
        <v>50000</v>
      </c>
      <c r="E23" s="67">
        <v>0</v>
      </c>
      <c r="F23" s="67">
        <v>0</v>
      </c>
      <c r="G23" s="67">
        <v>0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4" t="s">
        <v>53</v>
      </c>
      <c r="B24" s="22"/>
      <c r="C24" s="67">
        <v>-70000</v>
      </c>
      <c r="D24" s="67">
        <v>0</v>
      </c>
      <c r="E24" s="67">
        <v>80000</v>
      </c>
      <c r="F24" s="67">
        <v>120000</v>
      </c>
      <c r="G24" s="67">
        <v>150000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4" t="s">
        <v>54</v>
      </c>
      <c r="B25" s="22"/>
      <c r="C25" s="68">
        <v>0</v>
      </c>
      <c r="D25" s="68">
        <v>0</v>
      </c>
      <c r="E25" s="68">
        <v>0</v>
      </c>
      <c r="F25" s="68">
        <v>0</v>
      </c>
      <c r="G25" s="68">
        <v>0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>
      <c r="A26" s="12" t="s">
        <v>55</v>
      </c>
      <c r="B26" s="22"/>
      <c r="C26" s="67">
        <f t="shared" ref="C26:G26" si="1">SUM(C23:C25)</f>
        <v>-120000</v>
      </c>
      <c r="D26" s="67">
        <f t="shared" si="1"/>
        <v>50000</v>
      </c>
      <c r="E26" s="67">
        <f t="shared" si="1"/>
        <v>80000</v>
      </c>
      <c r="F26" s="67">
        <f t="shared" si="1"/>
        <v>120000</v>
      </c>
      <c r="G26" s="67">
        <f t="shared" si="1"/>
        <v>150000</v>
      </c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4" t="s">
        <v>56</v>
      </c>
      <c r="B27" s="22"/>
      <c r="C27" s="67">
        <v>0</v>
      </c>
      <c r="D27" s="67">
        <v>0</v>
      </c>
      <c r="E27" s="67">
        <v>0</v>
      </c>
      <c r="F27" s="67">
        <v>0</v>
      </c>
      <c r="G27" s="67">
        <v>100000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4" t="s">
        <v>57</v>
      </c>
      <c r="B28" s="22"/>
      <c r="C28" s="67">
        <v>0</v>
      </c>
      <c r="D28" s="67">
        <v>40000</v>
      </c>
      <c r="E28" s="67">
        <v>0</v>
      </c>
      <c r="F28" s="67">
        <v>80000</v>
      </c>
      <c r="G28" s="67">
        <v>0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4" t="s">
        <v>58</v>
      </c>
      <c r="B29" s="22"/>
      <c r="C29" s="68">
        <v>0</v>
      </c>
      <c r="D29" s="68">
        <v>0</v>
      </c>
      <c r="E29" s="68">
        <v>0</v>
      </c>
      <c r="F29" s="68">
        <v>0</v>
      </c>
      <c r="G29" s="68">
        <v>0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12" t="s">
        <v>59</v>
      </c>
      <c r="B30" s="22"/>
      <c r="C30" s="67">
        <f t="shared" ref="C30:G30" si="2">SUM(C27:C29)</f>
        <v>0</v>
      </c>
      <c r="D30" s="67">
        <f t="shared" si="2"/>
        <v>40000</v>
      </c>
      <c r="E30" s="67">
        <f t="shared" si="2"/>
        <v>0</v>
      </c>
      <c r="F30" s="67">
        <f t="shared" si="2"/>
        <v>80000</v>
      </c>
      <c r="G30" s="67">
        <f t="shared" si="2"/>
        <v>100000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4" t="s">
        <v>60</v>
      </c>
      <c r="B31" s="22"/>
      <c r="C31" s="67">
        <v>0</v>
      </c>
      <c r="D31" s="67">
        <v>0</v>
      </c>
      <c r="E31" s="67">
        <v>0</v>
      </c>
      <c r="F31" s="67">
        <v>0</v>
      </c>
      <c r="G31" s="67">
        <v>80000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4" t="s">
        <v>61</v>
      </c>
      <c r="B32" s="22"/>
      <c r="C32" s="67">
        <v>0</v>
      </c>
      <c r="D32" s="67">
        <v>0</v>
      </c>
      <c r="E32" s="67">
        <v>60000</v>
      </c>
      <c r="F32" s="67">
        <v>0</v>
      </c>
      <c r="G32" s="67">
        <v>0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>
      <c r="A33" s="4" t="s">
        <v>62</v>
      </c>
      <c r="B33" s="22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12" t="s">
        <v>63</v>
      </c>
      <c r="B34" s="22"/>
      <c r="C34" s="67">
        <f t="shared" ref="C34:G34" si="3">SUM(C31:C33)</f>
        <v>0</v>
      </c>
      <c r="D34" s="67">
        <f t="shared" si="3"/>
        <v>0</v>
      </c>
      <c r="E34" s="67">
        <f t="shared" si="3"/>
        <v>60000</v>
      </c>
      <c r="F34" s="67">
        <f t="shared" si="3"/>
        <v>0</v>
      </c>
      <c r="G34" s="67">
        <f t="shared" si="3"/>
        <v>80000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4" t="s">
        <v>64</v>
      </c>
      <c r="B35" s="22"/>
      <c r="C35" s="67">
        <v>0</v>
      </c>
      <c r="D35" s="67">
        <v>25000</v>
      </c>
      <c r="E35" s="67">
        <v>0</v>
      </c>
      <c r="F35" s="67">
        <v>60000</v>
      </c>
      <c r="G35" s="67">
        <v>0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4" t="s">
        <v>65</v>
      </c>
      <c r="B36" s="22"/>
      <c r="C36" s="67">
        <v>0</v>
      </c>
      <c r="D36" s="67">
        <v>0</v>
      </c>
      <c r="E36" s="67">
        <v>40000</v>
      </c>
      <c r="F36" s="67">
        <v>0</v>
      </c>
      <c r="G36" s="67">
        <v>0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>
      <c r="A37" s="4" t="s">
        <v>66</v>
      </c>
      <c r="B37" s="22"/>
      <c r="C37" s="68">
        <v>0</v>
      </c>
      <c r="D37" s="68">
        <v>0</v>
      </c>
      <c r="E37" s="68">
        <v>0</v>
      </c>
      <c r="F37" s="68">
        <v>0</v>
      </c>
      <c r="G37" s="68">
        <v>0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>
      <c r="A38" s="12" t="s">
        <v>67</v>
      </c>
      <c r="B38" s="22"/>
      <c r="C38" s="67">
        <f t="shared" ref="C38:G38" si="4">SUM(C35:C37)</f>
        <v>0</v>
      </c>
      <c r="D38" s="67">
        <f t="shared" si="4"/>
        <v>25000</v>
      </c>
      <c r="E38" s="67">
        <f t="shared" si="4"/>
        <v>40000</v>
      </c>
      <c r="F38" s="67">
        <f t="shared" si="4"/>
        <v>60000</v>
      </c>
      <c r="G38" s="67">
        <f t="shared" si="4"/>
        <v>0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3.5" customHeight="1">
      <c r="A39" s="12" t="s">
        <v>68</v>
      </c>
      <c r="B39" s="22"/>
      <c r="C39" s="69">
        <f t="shared" ref="C39:G39" si="5">SUM(C38,C34,C30,C26)</f>
        <v>-120000</v>
      </c>
      <c r="D39" s="69">
        <f t="shared" si="5"/>
        <v>115000</v>
      </c>
      <c r="E39" s="69">
        <f t="shared" si="5"/>
        <v>180000</v>
      </c>
      <c r="F39" s="69">
        <f>SUM(F38,F34,F30,F26)</f>
        <v>260000</v>
      </c>
      <c r="G39" s="69">
        <f t="shared" si="5"/>
        <v>330000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>
      <c r="A50" s="22"/>
      <c r="B50" s="22"/>
      <c r="C50" s="22"/>
      <c r="D50" s="22"/>
      <c r="E50" s="22"/>
      <c r="F50" s="22"/>
      <c r="G50" s="22"/>
      <c r="H50" s="4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baseColWidth="10" defaultColWidth="14.3984375" defaultRowHeight="15" customHeight="1"/>
  <cols>
    <col min="1" max="1" width="35.3984375" bestFit="1" customWidth="1"/>
    <col min="2" max="2" width="3.796875" customWidth="1"/>
    <col min="3" max="6" width="12.19921875" bestFit="1" customWidth="1"/>
    <col min="7" max="7" width="12.796875" bestFit="1" customWidth="1"/>
    <col min="8" max="8" width="8.19921875" bestFit="1" customWidth="1"/>
    <col min="9" max="10" width="8.796875" customWidth="1"/>
    <col min="11" max="26" width="8" customWidth="1"/>
  </cols>
  <sheetData>
    <row r="1" spans="1:26" ht="20.25" customHeight="1">
      <c r="A1" s="20" t="s">
        <v>0</v>
      </c>
      <c r="B1" s="65"/>
      <c r="C1" s="65"/>
      <c r="D1" s="65"/>
      <c r="E1" s="65"/>
      <c r="F1" s="65"/>
      <c r="G1" s="65"/>
      <c r="H1" s="65"/>
      <c r="I1" s="6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6" ht="15.75" customHeight="1">
      <c r="A2" s="9" t="s">
        <v>150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15.75" customHeight="1">
      <c r="A3" s="9" t="s">
        <v>40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15.75" customHeight="1">
      <c r="A4" s="9" t="s">
        <v>41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15.75" customHeight="1">
      <c r="A5" s="65"/>
      <c r="B5" s="11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" customHeight="1">
      <c r="A6" s="65"/>
      <c r="B6" s="24"/>
      <c r="C6" s="24"/>
      <c r="D6" s="24"/>
      <c r="E6" s="24"/>
      <c r="F6" s="24"/>
      <c r="G6" s="2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6" t="s">
        <v>96</v>
      </c>
      <c r="B7" s="21"/>
      <c r="C7" s="35">
        <f>REVENUE!C16</f>
        <v>2750000</v>
      </c>
      <c r="D7" s="35">
        <f>REVENUE!D16</f>
        <v>3840000</v>
      </c>
      <c r="E7" s="35">
        <f>REVENUE!E16</f>
        <v>5995000</v>
      </c>
      <c r="F7" s="35">
        <f>REVENUE!F16</f>
        <v>8120000</v>
      </c>
      <c r="G7" s="35">
        <f>REVENUE!G16</f>
        <v>12120000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" customHeight="1">
      <c r="A8" s="65"/>
      <c r="B8" s="24"/>
      <c r="C8" s="24"/>
      <c r="D8" s="24"/>
      <c r="E8" s="24"/>
      <c r="F8" s="24"/>
      <c r="G8" s="2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6" t="s">
        <v>151</v>
      </c>
      <c r="B9" s="70"/>
      <c r="C9" s="38">
        <v>0.4</v>
      </c>
      <c r="D9" s="38">
        <v>0.4</v>
      </c>
      <c r="E9" s="38">
        <v>0.4</v>
      </c>
      <c r="F9" s="38">
        <v>0.4</v>
      </c>
      <c r="G9" s="38">
        <v>0.4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/>
      <c r="B10" s="4"/>
      <c r="C10" s="4"/>
      <c r="D10" s="4"/>
      <c r="E10" s="4"/>
      <c r="F10" s="70"/>
      <c r="G10" s="7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6" t="s">
        <v>152</v>
      </c>
      <c r="B11" s="4"/>
      <c r="C11" s="35">
        <f>INCOME!C30</f>
        <v>-476628.57142857136</v>
      </c>
      <c r="D11" s="35">
        <f>INCOME!D30</f>
        <v>-416600</v>
      </c>
      <c r="E11" s="35">
        <f>INCOME!E30</f>
        <v>488352.85714285728</v>
      </c>
      <c r="F11" s="35">
        <f>INCOME!F30</f>
        <v>1440633.333333333</v>
      </c>
      <c r="G11" s="35">
        <f>INCOME!G30</f>
        <v>3579897.6190476185</v>
      </c>
      <c r="H11" s="70"/>
      <c r="I11" s="70"/>
      <c r="J11" s="70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12" t="s">
        <v>153</v>
      </c>
      <c r="B12" s="4"/>
      <c r="C12" s="31">
        <f>C11</f>
        <v>-476628.57142857136</v>
      </c>
      <c r="D12" s="31">
        <f t="shared" ref="D12:F12" si="0">D11+C12</f>
        <v>-893228.57142857136</v>
      </c>
      <c r="E12" s="31">
        <f t="shared" si="0"/>
        <v>-404875.71428571409</v>
      </c>
      <c r="F12" s="31">
        <f t="shared" si="0"/>
        <v>1035757.6190476189</v>
      </c>
      <c r="G12" s="31">
        <f>G11+F12</f>
        <v>4615655.2380952369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6" t="s">
        <v>150</v>
      </c>
      <c r="B14" s="4"/>
      <c r="C14" s="54">
        <f>-IF(C12&gt;=0,TAXES!$C$9*MIN(C11,C12),0)</f>
        <v>0</v>
      </c>
      <c r="D14" s="54">
        <f>-IF(D12&gt;=0,TAXES!$D$9*MIN(D11,D12),0)</f>
        <v>0</v>
      </c>
      <c r="E14" s="54">
        <f>-IF(E12&gt;=0,TAXES!$E$9*MIN(E11,E12),0)</f>
        <v>0</v>
      </c>
      <c r="F14" s="54">
        <f>-IF(F12&gt;=0,TAXES!$F$9*MIN(F11,F12),0)</f>
        <v>-414303.04761904757</v>
      </c>
      <c r="G14" s="54">
        <f>-IF(G12&gt;=0,TAXES!$G$9*MIN(G11,G12),0)</f>
        <v>-1431959.0476190476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 t="s">
        <v>154</v>
      </c>
      <c r="B15" s="39"/>
      <c r="C15" s="45">
        <f t="shared" ref="C15:G15" si="1">C14/C7</f>
        <v>0</v>
      </c>
      <c r="D15" s="45">
        <f t="shared" si="1"/>
        <v>0</v>
      </c>
      <c r="E15" s="45">
        <f t="shared" si="1"/>
        <v>0</v>
      </c>
      <c r="F15" s="45">
        <f t="shared" si="1"/>
        <v>-5.1022542810227535E-2</v>
      </c>
      <c r="G15" s="45">
        <f t="shared" si="1"/>
        <v>-0.11814843627219865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zoomScale="98" workbookViewId="0"/>
  </sheetViews>
  <sheetFormatPr baseColWidth="10" defaultColWidth="14.3984375" defaultRowHeight="15" customHeight="1"/>
  <cols>
    <col min="1" max="1" width="40.19921875" customWidth="1"/>
    <col min="2" max="2" width="12" bestFit="1" customWidth="1"/>
    <col min="3" max="3" width="11.59765625" bestFit="1" customWidth="1"/>
    <col min="4" max="4" width="52.19921875" bestFit="1" customWidth="1"/>
    <col min="5" max="6" width="11.59765625" bestFit="1" customWidth="1"/>
    <col min="7" max="7" width="12.796875" bestFit="1" customWidth="1"/>
    <col min="8" max="8" width="8.19921875" bestFit="1" customWidth="1"/>
    <col min="9" max="9" width="8.796875" customWidth="1"/>
    <col min="10" max="26" width="8" customWidth="1"/>
  </cols>
  <sheetData>
    <row r="1" spans="1:26" ht="23.25" customHeight="1">
      <c r="A1" s="20" t="s">
        <v>0</v>
      </c>
      <c r="B1" s="71"/>
      <c r="C1" s="71"/>
      <c r="D1" s="71"/>
      <c r="E1" s="71"/>
      <c r="F1" s="71"/>
      <c r="G1" s="71"/>
      <c r="H1" s="71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</row>
    <row r="2" spans="1:26" ht="15.75" customHeight="1">
      <c r="A2" s="9" t="s">
        <v>155</v>
      </c>
      <c r="B2" s="65"/>
      <c r="C2" s="65"/>
      <c r="D2" s="65"/>
      <c r="E2" s="65"/>
      <c r="F2" s="65"/>
      <c r="G2" s="65"/>
      <c r="H2" s="65"/>
      <c r="I2" s="65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5.75" customHeight="1">
      <c r="A3" s="9" t="s">
        <v>40</v>
      </c>
      <c r="B3" s="65"/>
      <c r="C3" s="65"/>
      <c r="D3" s="65"/>
      <c r="E3" s="65"/>
      <c r="F3" s="65"/>
      <c r="G3" s="65"/>
      <c r="H3" s="65"/>
      <c r="I3" s="65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5.75" customHeight="1">
      <c r="A4" s="9" t="s">
        <v>41</v>
      </c>
      <c r="B4" s="65"/>
      <c r="C4" s="65"/>
      <c r="D4" s="65"/>
      <c r="E4" s="65"/>
      <c r="F4" s="65"/>
      <c r="G4" s="65"/>
      <c r="H4" s="65"/>
      <c r="I4" s="65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5.75" customHeight="1">
      <c r="A5" s="4"/>
      <c r="B5" s="11" t="s">
        <v>156</v>
      </c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33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.75" customHeight="1">
      <c r="A6" s="4"/>
      <c r="B6" s="2" t="s">
        <v>157</v>
      </c>
      <c r="C6" s="34"/>
      <c r="D6" s="34"/>
      <c r="E6" s="34"/>
      <c r="F6" s="34"/>
      <c r="G6" s="34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>
      <c r="A7" s="6" t="s">
        <v>96</v>
      </c>
      <c r="B7" s="73" t="s">
        <v>158</v>
      </c>
      <c r="C7" s="35">
        <f>REVENUE!C16</f>
        <v>2750000</v>
      </c>
      <c r="D7" s="35">
        <f>REVENUE!D16</f>
        <v>3840000</v>
      </c>
      <c r="E7" s="35">
        <f>REVENUE!E16</f>
        <v>5995000</v>
      </c>
      <c r="F7" s="35">
        <f>REVENUE!F16</f>
        <v>8120000</v>
      </c>
      <c r="G7" s="35">
        <f>REVENUE!G16</f>
        <v>12120000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4"/>
      <c r="B8" s="58"/>
      <c r="C8" s="34"/>
      <c r="D8" s="34"/>
      <c r="E8" s="34"/>
      <c r="F8" s="34"/>
      <c r="G8" s="34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6" t="s">
        <v>159</v>
      </c>
      <c r="B9" s="21"/>
      <c r="C9" s="21"/>
      <c r="D9" s="21"/>
      <c r="E9" s="21"/>
      <c r="F9" s="21"/>
      <c r="G9" s="21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>
      <c r="A10" s="12" t="s">
        <v>160</v>
      </c>
      <c r="B10" s="25"/>
      <c r="C10" s="25">
        <v>22500</v>
      </c>
      <c r="D10" s="25">
        <v>105000</v>
      </c>
      <c r="E10" s="25">
        <v>210000</v>
      </c>
      <c r="F10" s="25">
        <v>260000</v>
      </c>
      <c r="G10" s="25">
        <v>345000</v>
      </c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12" t="s">
        <v>161</v>
      </c>
      <c r="B11" s="25"/>
      <c r="C11" s="25">
        <v>255000</v>
      </c>
      <c r="D11" s="25">
        <v>340000</v>
      </c>
      <c r="E11" s="25">
        <v>265000</v>
      </c>
      <c r="F11" s="25">
        <v>295000</v>
      </c>
      <c r="G11" s="25">
        <v>310000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12" t="s">
        <v>162</v>
      </c>
      <c r="B12" s="25"/>
      <c r="C12" s="25">
        <v>12000</v>
      </c>
      <c r="D12" s="25">
        <v>48000</v>
      </c>
      <c r="E12" s="25">
        <v>95000</v>
      </c>
      <c r="F12" s="25">
        <v>110000</v>
      </c>
      <c r="G12" s="25">
        <v>95000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3.5" customHeight="1">
      <c r="A13" s="74" t="s">
        <v>163</v>
      </c>
      <c r="B13" s="32">
        <f t="shared" ref="B13:F13" si="0">SUM(B10:B12)</f>
        <v>0</v>
      </c>
      <c r="C13" s="32">
        <f t="shared" si="0"/>
        <v>289500</v>
      </c>
      <c r="D13" s="32">
        <f t="shared" si="0"/>
        <v>493000</v>
      </c>
      <c r="E13" s="32">
        <f t="shared" si="0"/>
        <v>570000</v>
      </c>
      <c r="F13" s="32">
        <f t="shared" si="0"/>
        <v>665000</v>
      </c>
      <c r="G13" s="32">
        <f>SUM(G10:G12)</f>
        <v>750000</v>
      </c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12" t="s">
        <v>164</v>
      </c>
      <c r="B14" s="39"/>
      <c r="C14" s="45">
        <f t="shared" ref="C14:G14" si="1">C13/C7</f>
        <v>0.10527272727272727</v>
      </c>
      <c r="D14" s="45">
        <f t="shared" si="1"/>
        <v>0.12838541666666667</v>
      </c>
      <c r="E14" s="45">
        <f t="shared" si="1"/>
        <v>9.5079232693911594E-2</v>
      </c>
      <c r="F14" s="45">
        <f t="shared" si="1"/>
        <v>8.1896551724137928E-2</v>
      </c>
      <c r="G14" s="45">
        <f t="shared" si="1"/>
        <v>6.1881188118811881E-2</v>
      </c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4"/>
      <c r="B15" s="21"/>
      <c r="C15" s="21"/>
      <c r="D15" s="21"/>
      <c r="E15" s="21"/>
      <c r="F15" s="21"/>
      <c r="G15" s="21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>
      <c r="A16" s="6" t="s">
        <v>165</v>
      </c>
      <c r="B16" s="21"/>
      <c r="C16" s="21"/>
      <c r="D16" s="21"/>
      <c r="E16" s="21"/>
      <c r="F16" s="21"/>
      <c r="G16" s="21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>
      <c r="A17" s="4" t="s">
        <v>166</v>
      </c>
      <c r="B17" s="25">
        <v>1</v>
      </c>
      <c r="C17" s="25">
        <v>3</v>
      </c>
      <c r="D17" s="25">
        <v>3</v>
      </c>
      <c r="E17" s="25">
        <v>3</v>
      </c>
      <c r="F17" s="25">
        <v>3</v>
      </c>
      <c r="G17" s="25">
        <v>3</v>
      </c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>
      <c r="A18" s="4" t="s">
        <v>167</v>
      </c>
      <c r="B18" s="21"/>
      <c r="C18" s="31">
        <f>$B10*1/$B17</f>
        <v>0</v>
      </c>
      <c r="D18" s="31">
        <f>IF(C18&lt;$B10,($B10*1/$B$17),0)</f>
        <v>0</v>
      </c>
      <c r="E18" s="31">
        <f>IF(SUM(C18:D18)&lt;$B10,($B10*1/$B$17),0)</f>
        <v>0</v>
      </c>
      <c r="F18" s="31">
        <f>IF(SUM(C18:E18)&lt;$B10,($B10*1/$B$17),0)</f>
        <v>0</v>
      </c>
      <c r="G18" s="31">
        <f>IF(SUM(C18:F18)&lt;$B10,($B10*1/$B$17),0)</f>
        <v>0</v>
      </c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>
      <c r="A19" s="4" t="s">
        <v>168</v>
      </c>
      <c r="B19" s="21"/>
      <c r="C19" s="31">
        <f>$C10*1/$C17</f>
        <v>7500</v>
      </c>
      <c r="D19" s="31">
        <f>IF(C19&lt;$C10,($C10*1/$C$17),0)</f>
        <v>7500</v>
      </c>
      <c r="E19" s="31">
        <f>IF(SUM(C19:D19)&lt;$C10,($C10*1/$C$17),0)</f>
        <v>7500</v>
      </c>
      <c r="F19" s="31">
        <f>IF(SUM(C19:E19)&lt;$C10,($C10*1/$C$17),0)</f>
        <v>0</v>
      </c>
      <c r="G19" s="31">
        <f>IF(SUM(C19:F19)&lt;$C10,($C10*1/$C$17),0)</f>
        <v>0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.75" customHeight="1">
      <c r="A20" s="4" t="s">
        <v>169</v>
      </c>
      <c r="B20" s="21"/>
      <c r="C20" s="31"/>
      <c r="D20" s="31">
        <f>$D10*1/$D$17</f>
        <v>35000</v>
      </c>
      <c r="E20" s="31">
        <f>IF(D20&lt;$D10,($D10*1/$D$17),0)</f>
        <v>35000</v>
      </c>
      <c r="F20" s="31">
        <f>IF(SUM(D20:E20)&lt;$D10,($D10*1/$D$17),0)</f>
        <v>35000</v>
      </c>
      <c r="G20" s="31">
        <f>IF(SUM(D20:F20)&lt;$D10,($D10*1/$D$17),0)</f>
        <v>0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.75" customHeight="1">
      <c r="A21" s="4" t="s">
        <v>170</v>
      </c>
      <c r="B21" s="21"/>
      <c r="C21" s="31"/>
      <c r="D21" s="31"/>
      <c r="E21" s="31">
        <f>$E10*1/$E$17</f>
        <v>70000</v>
      </c>
      <c r="F21" s="31">
        <f>IF(E21&lt;$E10,($E10*1/$E$17),0)</f>
        <v>70000</v>
      </c>
      <c r="G21" s="31">
        <f>IF(SUM(E21:F21)&lt;$E10,($E10*1/$E$17),0)</f>
        <v>70000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>
      <c r="A22" s="4" t="s">
        <v>171</v>
      </c>
      <c r="B22" s="21"/>
      <c r="C22" s="31"/>
      <c r="D22" s="31"/>
      <c r="E22" s="31"/>
      <c r="F22" s="31">
        <f>$F10*1/$F$17</f>
        <v>86666.666666666672</v>
      </c>
      <c r="G22" s="31">
        <f>IF(F22&lt;$F10,($F10*1/$F$17),0)</f>
        <v>86666.666666666672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4" t="s">
        <v>172</v>
      </c>
      <c r="B23" s="21"/>
      <c r="C23" s="60"/>
      <c r="D23" s="60"/>
      <c r="E23" s="60"/>
      <c r="F23" s="60"/>
      <c r="G23" s="60">
        <f>$G10*1/G$17</f>
        <v>115000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74" t="s">
        <v>173</v>
      </c>
      <c r="B24" s="21"/>
      <c r="C24" s="31">
        <f t="shared" ref="C24:G24" si="2">SUM(C18:C23)</f>
        <v>7500</v>
      </c>
      <c r="D24" s="31">
        <f t="shared" si="2"/>
        <v>42500</v>
      </c>
      <c r="E24" s="31">
        <f t="shared" si="2"/>
        <v>112500</v>
      </c>
      <c r="F24" s="31">
        <f t="shared" si="2"/>
        <v>191666.66666666669</v>
      </c>
      <c r="G24" s="31">
        <f t="shared" si="2"/>
        <v>271666.66666666669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4"/>
      <c r="B25" s="21"/>
      <c r="C25" s="21"/>
      <c r="D25" s="21"/>
      <c r="E25" s="21"/>
      <c r="F25" s="21"/>
      <c r="G25" s="21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>
      <c r="A26" s="6" t="s">
        <v>174</v>
      </c>
      <c r="B26" s="21"/>
      <c r="C26" s="21"/>
      <c r="D26" s="21"/>
      <c r="E26" s="21"/>
      <c r="F26" s="21"/>
      <c r="G26" s="21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4" t="s">
        <v>166</v>
      </c>
      <c r="B27" s="25">
        <v>1</v>
      </c>
      <c r="C27" s="25">
        <v>7</v>
      </c>
      <c r="D27" s="25">
        <v>7</v>
      </c>
      <c r="E27" s="25">
        <v>7</v>
      </c>
      <c r="F27" s="25">
        <v>7</v>
      </c>
      <c r="G27" s="25">
        <v>7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4" t="s">
        <v>167</v>
      </c>
      <c r="B28" s="21"/>
      <c r="C28" s="31">
        <f>$B11*1/$B27</f>
        <v>0</v>
      </c>
      <c r="D28" s="31">
        <f>IF(C28&lt;$B11,($B11*1/$B$27),0)</f>
        <v>0</v>
      </c>
      <c r="E28" s="31">
        <f>IF(SUM(C28:D28)&lt;$B11,($B11*1/$B$27),0)</f>
        <v>0</v>
      </c>
      <c r="F28" s="31">
        <f>IF(SUM(C28:E28)&lt;$B11,($B11*1/$B$27),0)</f>
        <v>0</v>
      </c>
      <c r="G28" s="31">
        <f>IF(SUM(C28:F28)&lt;$B11,($B11*1/$B$27),0)</f>
        <v>0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4" t="s">
        <v>168</v>
      </c>
      <c r="B29" s="21"/>
      <c r="C29" s="31">
        <f>$C11*1/$C27</f>
        <v>36428.571428571428</v>
      </c>
      <c r="D29" s="31">
        <f>IF(C29&lt;$C11,($C11*1/$C$27),0)</f>
        <v>36428.571428571428</v>
      </c>
      <c r="E29" s="31">
        <f>IF(SUM(C29:D29)&lt;$C11,($C11*1/$C$27),0)</f>
        <v>36428.571428571428</v>
      </c>
      <c r="F29" s="31">
        <f>IF(SUM(C29:E29)&lt;$C11,($C11*1/$C$27),0)</f>
        <v>36428.571428571428</v>
      </c>
      <c r="G29" s="31">
        <f>IF(SUM(C29:F29)&lt;$C11,($C11*1/$C$27),0)</f>
        <v>36428.571428571428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4" t="s">
        <v>169</v>
      </c>
      <c r="B30" s="21"/>
      <c r="C30" s="31"/>
      <c r="D30" s="31">
        <f>$D11*1/$D$27</f>
        <v>48571.428571428572</v>
      </c>
      <c r="E30" s="31">
        <f>IF(D30&lt;$D11,($D11*1/$D$27),0)</f>
        <v>48571.428571428572</v>
      </c>
      <c r="F30" s="31">
        <f>IF(SUM(D30:E30)&lt;$D11,($D11*1/$D$27),0)</f>
        <v>48571.428571428572</v>
      </c>
      <c r="G30" s="31">
        <f>IF(SUM(D30:F30)&lt;$D11,($D11*1/$D$27),0)</f>
        <v>48571.428571428572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4" t="s">
        <v>170</v>
      </c>
      <c r="B31" s="21"/>
      <c r="C31" s="31"/>
      <c r="D31" s="31"/>
      <c r="E31" s="31">
        <f>$E11*1/$E$27</f>
        <v>37857.142857142855</v>
      </c>
      <c r="F31" s="31">
        <f>IF(E31&lt;$E11,($E11*1/$E$27),0)</f>
        <v>37857.142857142855</v>
      </c>
      <c r="G31" s="31">
        <f>IF(SUM(E31:F31)&lt;$E11,($E11*1/$E$27),0)</f>
        <v>37857.142857142855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4" t="s">
        <v>171</v>
      </c>
      <c r="B32" s="21"/>
      <c r="C32" s="31"/>
      <c r="D32" s="31"/>
      <c r="E32" s="31"/>
      <c r="F32" s="31">
        <f>$F11*1/$F$27</f>
        <v>42142.857142857145</v>
      </c>
      <c r="G32" s="31">
        <f>IF(F32&lt;$F11,($F11*1/$F$27),0)</f>
        <v>42142.857142857145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>
      <c r="A33" s="4" t="s">
        <v>172</v>
      </c>
      <c r="B33" s="21"/>
      <c r="C33" s="60"/>
      <c r="D33" s="60"/>
      <c r="E33" s="60"/>
      <c r="F33" s="60"/>
      <c r="G33" s="60">
        <f>$G11*1/G$27</f>
        <v>44285.714285714283</v>
      </c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74" t="s">
        <v>173</v>
      </c>
      <c r="B34" s="21"/>
      <c r="C34" s="31">
        <f t="shared" ref="C34:G34" si="3">SUM(C28:C33)</f>
        <v>36428.571428571428</v>
      </c>
      <c r="D34" s="31">
        <f t="shared" si="3"/>
        <v>85000</v>
      </c>
      <c r="E34" s="31">
        <f t="shared" si="3"/>
        <v>122857.14285714286</v>
      </c>
      <c r="F34" s="31">
        <f t="shared" si="3"/>
        <v>165000</v>
      </c>
      <c r="G34" s="31">
        <f t="shared" si="3"/>
        <v>209285.71428571429</v>
      </c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74"/>
      <c r="B35" s="21"/>
      <c r="C35" s="31"/>
      <c r="D35" s="31"/>
      <c r="E35" s="31"/>
      <c r="F35" s="31"/>
      <c r="G35" s="3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6" t="s">
        <v>175</v>
      </c>
      <c r="B36" s="21"/>
      <c r="C36" s="21"/>
      <c r="D36" s="21"/>
      <c r="E36" s="21"/>
      <c r="F36" s="21"/>
      <c r="G36" s="2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>
      <c r="A37" s="4" t="s">
        <v>166</v>
      </c>
      <c r="B37" s="25">
        <v>1</v>
      </c>
      <c r="C37" s="25">
        <v>10</v>
      </c>
      <c r="D37" s="25">
        <v>10</v>
      </c>
      <c r="E37" s="25">
        <v>10</v>
      </c>
      <c r="F37" s="25">
        <v>10</v>
      </c>
      <c r="G37" s="25">
        <v>10</v>
      </c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>
      <c r="A38" s="4" t="s">
        <v>167</v>
      </c>
      <c r="B38" s="21"/>
      <c r="C38" s="31">
        <f>$B12*1/$B37</f>
        <v>0</v>
      </c>
      <c r="D38" s="31">
        <f>IF(C38&lt;$B12,($B12*1/$B$37),0)</f>
        <v>0</v>
      </c>
      <c r="E38" s="31">
        <f>IF(SUM(C38:D38)&lt;$B12,($B12*1/$B$37),0)</f>
        <v>0</v>
      </c>
      <c r="F38" s="31">
        <f>IF(SUM(C38:E38)&lt;$B12,($B12*1/$B$37),0)</f>
        <v>0</v>
      </c>
      <c r="G38" s="31">
        <f>IF(SUM(C38:F38)&lt;$B12,($B12*1/$B$37),0)</f>
        <v>0</v>
      </c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>
      <c r="A39" s="4" t="s">
        <v>168</v>
      </c>
      <c r="B39" s="21"/>
      <c r="C39" s="31">
        <f>$C12*1/$C37</f>
        <v>1200</v>
      </c>
      <c r="D39" s="31">
        <f>IF(C39&lt;$C12,($C12*1/$C$37),0)</f>
        <v>1200</v>
      </c>
      <c r="E39" s="31">
        <f>IF(SUM(C39:D39)&lt;$C12,($C12*1/$C$37),0)</f>
        <v>1200</v>
      </c>
      <c r="F39" s="31">
        <f>IF(SUM(C39:E39)&lt;$C12,($C12*1/$C$37),0)</f>
        <v>1200</v>
      </c>
      <c r="G39" s="31">
        <f>IF(SUM(C39:F39)&lt;$C12,($C12*1/$C$37),0)</f>
        <v>1200</v>
      </c>
      <c r="H39" s="39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>
      <c r="A40" s="4" t="s">
        <v>169</v>
      </c>
      <c r="B40" s="21"/>
      <c r="C40" s="31"/>
      <c r="D40" s="31">
        <f>$D12*1/$D$37</f>
        <v>4800</v>
      </c>
      <c r="E40" s="31">
        <f>IF(D40&lt;D12,($D12*1/$D$37),0)</f>
        <v>4800</v>
      </c>
      <c r="F40" s="31">
        <f>IF(SUM(D40:E40)&lt;$D12,($D12*1/$D$37),0)</f>
        <v>4800</v>
      </c>
      <c r="G40" s="31">
        <f>IF(SUM(D40:F40)&lt;$D12,($D12*1/$D$37),0)</f>
        <v>4800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>
      <c r="A41" s="4" t="s">
        <v>170</v>
      </c>
      <c r="B41" s="21"/>
      <c r="C41" s="31"/>
      <c r="D41" s="31"/>
      <c r="E41" s="31">
        <f>$E12*1/$E$37</f>
        <v>9500</v>
      </c>
      <c r="F41" s="31">
        <f>IF(E41&lt;$E12,($E12*1/$E$37),0)</f>
        <v>9500</v>
      </c>
      <c r="G41" s="31">
        <f>IF(SUM(E41:F41)&lt;$E12,($E12*1/$E$37),0)</f>
        <v>9500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>
      <c r="A42" s="4" t="s">
        <v>171</v>
      </c>
      <c r="B42" s="21"/>
      <c r="C42" s="31"/>
      <c r="D42" s="31"/>
      <c r="E42" s="31"/>
      <c r="F42" s="31">
        <f>$F12*1/$F$37</f>
        <v>11000</v>
      </c>
      <c r="G42" s="31">
        <f>IF(F42&lt;$F12,($F12*1/$F$37),0)</f>
        <v>11000</v>
      </c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>
      <c r="A43" s="4" t="s">
        <v>172</v>
      </c>
      <c r="B43" s="21"/>
      <c r="C43" s="60"/>
      <c r="D43" s="60"/>
      <c r="E43" s="60"/>
      <c r="F43" s="60"/>
      <c r="G43" s="60">
        <f>$G12*1/G$37</f>
        <v>9500</v>
      </c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>
      <c r="A44" s="74" t="s">
        <v>173</v>
      </c>
      <c r="B44" s="21"/>
      <c r="C44" s="31">
        <f t="shared" ref="C44:G44" si="4">SUM(C38:C43)</f>
        <v>1200</v>
      </c>
      <c r="D44" s="31">
        <f t="shared" si="4"/>
        <v>6000</v>
      </c>
      <c r="E44" s="31">
        <f t="shared" si="4"/>
        <v>15500</v>
      </c>
      <c r="F44" s="31">
        <f t="shared" si="4"/>
        <v>26500</v>
      </c>
      <c r="G44" s="31">
        <f t="shared" si="4"/>
        <v>36000</v>
      </c>
      <c r="H44" s="4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74"/>
      <c r="B45" s="21"/>
      <c r="C45" s="21"/>
      <c r="D45" s="21"/>
      <c r="E45" s="21"/>
      <c r="F45" s="21"/>
      <c r="G45" s="2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12"/>
      <c r="B46" s="22"/>
      <c r="C46" s="39"/>
      <c r="D46" s="39"/>
      <c r="E46" s="39"/>
      <c r="F46" s="39"/>
      <c r="G46" s="39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3.5" customHeight="1">
      <c r="A47" s="43" t="s">
        <v>176</v>
      </c>
      <c r="B47" s="22"/>
      <c r="C47" s="32">
        <f t="shared" ref="C47:G47" si="5">C24+C34+C44</f>
        <v>45128.571428571428</v>
      </c>
      <c r="D47" s="32">
        <f t="shared" si="5"/>
        <v>133500</v>
      </c>
      <c r="E47" s="32">
        <f t="shared" si="5"/>
        <v>250857.14285714284</v>
      </c>
      <c r="F47" s="32">
        <f t="shared" si="5"/>
        <v>383166.66666666669</v>
      </c>
      <c r="G47" s="32">
        <f t="shared" si="5"/>
        <v>516952.38095238095</v>
      </c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12" t="s">
        <v>89</v>
      </c>
      <c r="B48" s="22"/>
      <c r="C48" s="45">
        <f t="shared" ref="C48:G48" si="6">C47/C7</f>
        <v>1.6410389610389611E-2</v>
      </c>
      <c r="D48" s="45">
        <f t="shared" si="6"/>
        <v>3.4765625000000001E-2</v>
      </c>
      <c r="E48" s="45">
        <f t="shared" si="6"/>
        <v>4.184439413797212E-2</v>
      </c>
      <c r="F48" s="45">
        <f t="shared" si="6"/>
        <v>4.7188013136289002E-2</v>
      </c>
      <c r="G48" s="45">
        <f t="shared" si="6"/>
        <v>4.2652836712242653E-2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12"/>
      <c r="B49" s="22"/>
      <c r="C49" s="39"/>
      <c r="D49" s="39"/>
      <c r="E49" s="39"/>
      <c r="F49" s="39"/>
      <c r="G49" s="39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>
      <c r="A50" s="6" t="s">
        <v>177</v>
      </c>
      <c r="B50" s="4"/>
      <c r="C50" s="4"/>
      <c r="D50" s="4"/>
      <c r="E50" s="4"/>
      <c r="F50" s="4"/>
      <c r="G50" s="4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>
      <c r="A51" s="4" t="s">
        <v>178</v>
      </c>
      <c r="B51" s="31">
        <f>B13</f>
        <v>0</v>
      </c>
      <c r="C51" s="31">
        <f>C13+B12</f>
        <v>289500</v>
      </c>
      <c r="D51" s="31">
        <f t="shared" ref="D51:G51" si="7">C51+D13</f>
        <v>782500</v>
      </c>
      <c r="E51" s="31">
        <f t="shared" si="7"/>
        <v>1352500</v>
      </c>
      <c r="F51" s="31">
        <f t="shared" si="7"/>
        <v>2017500</v>
      </c>
      <c r="G51" s="31">
        <f t="shared" si="7"/>
        <v>2767500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4" t="s">
        <v>179</v>
      </c>
      <c r="B52" s="21"/>
      <c r="C52" s="31">
        <f>C47</f>
        <v>45128.571428571428</v>
      </c>
      <c r="D52" s="31">
        <f t="shared" ref="D52:G52" si="8">C52+D47</f>
        <v>178628.57142857142</v>
      </c>
      <c r="E52" s="31">
        <f t="shared" si="8"/>
        <v>429485.71428571426</v>
      </c>
      <c r="F52" s="31">
        <f t="shared" si="8"/>
        <v>812652.38095238095</v>
      </c>
      <c r="G52" s="31">
        <f t="shared" si="8"/>
        <v>1329604.7619047619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3.5" customHeight="1">
      <c r="A53" s="74" t="s">
        <v>180</v>
      </c>
      <c r="B53" s="28">
        <f t="shared" ref="B53:G53" si="9">B51-B52</f>
        <v>0</v>
      </c>
      <c r="C53" s="28">
        <f t="shared" si="9"/>
        <v>244371.42857142858</v>
      </c>
      <c r="D53" s="28">
        <f t="shared" si="9"/>
        <v>603871.42857142864</v>
      </c>
      <c r="E53" s="28">
        <f t="shared" si="9"/>
        <v>923014.28571428568</v>
      </c>
      <c r="F53" s="28">
        <f t="shared" si="9"/>
        <v>1204847.6190476189</v>
      </c>
      <c r="G53" s="28">
        <f t="shared" si="9"/>
        <v>1437895.2380952381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3.5" customHeight="1">
      <c r="A54" s="12" t="s">
        <v>181</v>
      </c>
      <c r="B54" s="44"/>
      <c r="C54" s="45">
        <f t="shared" ref="C54:G54" si="10">C53/C7</f>
        <v>8.886233766233767E-2</v>
      </c>
      <c r="D54" s="45">
        <f t="shared" si="10"/>
        <v>0.15725818452380955</v>
      </c>
      <c r="E54" s="45">
        <f t="shared" si="10"/>
        <v>0.1539640176337424</v>
      </c>
      <c r="F54" s="45">
        <f t="shared" si="10"/>
        <v>0.1483802486511846</v>
      </c>
      <c r="G54" s="45">
        <f t="shared" si="10"/>
        <v>0.11863822096495363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22"/>
      <c r="B55" s="22"/>
      <c r="C55" s="75"/>
      <c r="D55" s="75"/>
      <c r="E55" s="75"/>
      <c r="F55" s="75"/>
      <c r="G55" s="75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5.75" customHeight="1">
      <c r="A58" s="4"/>
      <c r="B58" s="4"/>
      <c r="C58" s="4"/>
      <c r="D58" s="3" t="s">
        <v>182</v>
      </c>
      <c r="E58" s="5"/>
      <c r="F58" s="5"/>
      <c r="G58" s="4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5.75" customHeight="1">
      <c r="A59" s="4"/>
      <c r="B59" s="4"/>
      <c r="C59" s="4"/>
      <c r="D59" s="3" t="s">
        <v>41</v>
      </c>
      <c r="E59" s="5"/>
      <c r="F59" s="5"/>
      <c r="G59" s="4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5.75" customHeight="1">
      <c r="A60" s="4"/>
      <c r="B60" s="4"/>
      <c r="C60" s="11" t="s">
        <v>9</v>
      </c>
      <c r="D60" s="11" t="s">
        <v>10</v>
      </c>
      <c r="E60" s="11" t="s">
        <v>11</v>
      </c>
      <c r="F60" s="11" t="s">
        <v>12</v>
      </c>
      <c r="G60" s="11" t="s">
        <v>13</v>
      </c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4" t="s">
        <v>52</v>
      </c>
      <c r="B61" s="22"/>
      <c r="C61" s="67">
        <v>50000</v>
      </c>
      <c r="D61" s="67">
        <v>100000</v>
      </c>
      <c r="E61" s="67">
        <v>100000</v>
      </c>
      <c r="F61" s="67">
        <v>100000</v>
      </c>
      <c r="G61" s="67">
        <v>100000</v>
      </c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4" t="s">
        <v>53</v>
      </c>
      <c r="B62" s="22"/>
      <c r="C62" s="67">
        <v>100000</v>
      </c>
      <c r="D62" s="67">
        <v>100000</v>
      </c>
      <c r="E62" s="67">
        <v>100000</v>
      </c>
      <c r="F62" s="67">
        <v>100000</v>
      </c>
      <c r="G62" s="67">
        <v>100000</v>
      </c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4" t="s">
        <v>54</v>
      </c>
      <c r="B63" s="22"/>
      <c r="C63" s="68">
        <v>50000</v>
      </c>
      <c r="D63" s="68">
        <v>0</v>
      </c>
      <c r="E63" s="68">
        <v>0</v>
      </c>
      <c r="F63" s="68">
        <v>0</v>
      </c>
      <c r="G63" s="68">
        <v>0</v>
      </c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12" t="s">
        <v>55</v>
      </c>
      <c r="B64" s="22"/>
      <c r="C64" s="67">
        <f t="shared" ref="C64:G64" si="11">SUM(C61:C63)</f>
        <v>200000</v>
      </c>
      <c r="D64" s="67">
        <f t="shared" si="11"/>
        <v>200000</v>
      </c>
      <c r="E64" s="67">
        <f t="shared" si="11"/>
        <v>200000</v>
      </c>
      <c r="F64" s="67">
        <f>SUM(F61:F63)</f>
        <v>200000</v>
      </c>
      <c r="G64" s="67">
        <f t="shared" si="11"/>
        <v>200000</v>
      </c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4" t="s">
        <v>56</v>
      </c>
      <c r="B65" s="22"/>
      <c r="C65" s="67">
        <v>40000</v>
      </c>
      <c r="D65" s="67">
        <v>0</v>
      </c>
      <c r="E65" s="67">
        <v>0</v>
      </c>
      <c r="F65" s="67">
        <v>0</v>
      </c>
      <c r="G65" s="67">
        <v>0</v>
      </c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4" t="s">
        <v>57</v>
      </c>
      <c r="B66" s="22"/>
      <c r="C66" s="41">
        <v>0</v>
      </c>
      <c r="D66" s="67">
        <v>0</v>
      </c>
      <c r="E66" s="67">
        <v>0</v>
      </c>
      <c r="F66" s="67">
        <v>165000</v>
      </c>
      <c r="G66" s="67">
        <v>250000</v>
      </c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4" t="s">
        <v>58</v>
      </c>
      <c r="B67" s="22"/>
      <c r="C67" s="68">
        <v>0</v>
      </c>
      <c r="D67" s="182">
        <v>100000</v>
      </c>
      <c r="E67" s="182">
        <v>0</v>
      </c>
      <c r="F67" s="182">
        <v>0</v>
      </c>
      <c r="G67" s="182">
        <v>0</v>
      </c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>
      <c r="A68" s="12" t="s">
        <v>59</v>
      </c>
      <c r="B68" s="22"/>
      <c r="C68" s="67">
        <f>SUM(C65:C67)</f>
        <v>40000</v>
      </c>
      <c r="D68" s="67">
        <f t="shared" ref="D68:G68" si="12">SUM(D65:D67)</f>
        <v>100000</v>
      </c>
      <c r="E68" s="67">
        <f t="shared" si="12"/>
        <v>0</v>
      </c>
      <c r="F68" s="67">
        <f t="shared" si="12"/>
        <v>165000</v>
      </c>
      <c r="G68" s="67">
        <f t="shared" si="12"/>
        <v>250000</v>
      </c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>
      <c r="A69" s="4" t="s">
        <v>60</v>
      </c>
      <c r="B69" s="22"/>
      <c r="C69" s="67">
        <v>40000</v>
      </c>
      <c r="D69" s="67">
        <v>0</v>
      </c>
      <c r="E69" s="67">
        <v>100000</v>
      </c>
      <c r="F69" s="67">
        <v>0</v>
      </c>
      <c r="G69" s="67">
        <v>0</v>
      </c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4" t="s">
        <v>61</v>
      </c>
      <c r="B70" s="22"/>
      <c r="C70" s="67">
        <v>0</v>
      </c>
      <c r="D70" s="67">
        <v>93000</v>
      </c>
      <c r="E70" s="67">
        <v>0</v>
      </c>
      <c r="F70" s="67">
        <v>100000</v>
      </c>
      <c r="G70" s="67">
        <v>150000</v>
      </c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4" t="s">
        <v>62</v>
      </c>
      <c r="B71" s="22"/>
      <c r="C71" s="68">
        <v>0</v>
      </c>
      <c r="D71" s="182">
        <v>0</v>
      </c>
      <c r="E71" s="182">
        <v>0</v>
      </c>
      <c r="F71" s="182">
        <v>0</v>
      </c>
      <c r="G71" s="182">
        <v>0</v>
      </c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>
      <c r="A72" s="12" t="s">
        <v>63</v>
      </c>
      <c r="B72" s="22"/>
      <c r="C72" s="67">
        <f t="shared" ref="C72:G72" si="13">SUM(C69:C71)</f>
        <v>40000</v>
      </c>
      <c r="D72" s="67">
        <f>SUM(D69:D71)</f>
        <v>93000</v>
      </c>
      <c r="E72" s="67">
        <f t="shared" si="13"/>
        <v>100000</v>
      </c>
      <c r="F72" s="67">
        <f t="shared" si="13"/>
        <v>100000</v>
      </c>
      <c r="G72" s="67">
        <f t="shared" si="13"/>
        <v>150000</v>
      </c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>
      <c r="A73" s="4" t="s">
        <v>64</v>
      </c>
      <c r="B73" s="22"/>
      <c r="C73" s="67">
        <v>9500</v>
      </c>
      <c r="D73" s="67">
        <v>0</v>
      </c>
      <c r="E73" s="67">
        <v>0</v>
      </c>
      <c r="F73" s="67">
        <v>0</v>
      </c>
      <c r="G73" s="67">
        <v>0</v>
      </c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>
      <c r="A74" s="4" t="s">
        <v>65</v>
      </c>
      <c r="B74" s="22"/>
      <c r="C74" s="67">
        <v>0</v>
      </c>
      <c r="D74" s="67">
        <v>0</v>
      </c>
      <c r="E74" s="67">
        <v>270000</v>
      </c>
      <c r="F74" s="67">
        <v>200000</v>
      </c>
      <c r="G74" s="67">
        <v>150000</v>
      </c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>
      <c r="A75" s="4" t="s">
        <v>66</v>
      </c>
      <c r="B75" s="22"/>
      <c r="C75" s="68">
        <v>0</v>
      </c>
      <c r="D75" s="182">
        <v>100000</v>
      </c>
      <c r="E75" s="182">
        <v>0</v>
      </c>
      <c r="F75" s="182">
        <v>0</v>
      </c>
      <c r="G75" s="182">
        <v>0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>
      <c r="A76" s="12" t="s">
        <v>67</v>
      </c>
      <c r="B76" s="22"/>
      <c r="C76" s="67">
        <f>SUM(C73:C75)</f>
        <v>9500</v>
      </c>
      <c r="D76" s="67">
        <f t="shared" ref="D76:G76" si="14">SUM(D73:D75)</f>
        <v>100000</v>
      </c>
      <c r="E76" s="67">
        <f t="shared" si="14"/>
        <v>270000</v>
      </c>
      <c r="F76" s="67">
        <f t="shared" si="14"/>
        <v>200000</v>
      </c>
      <c r="G76" s="67">
        <f t="shared" si="14"/>
        <v>150000</v>
      </c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12" t="s">
        <v>68</v>
      </c>
      <c r="B77" s="22"/>
      <c r="C77" s="50">
        <f>C64+C68+C72+C76</f>
        <v>289500</v>
      </c>
      <c r="D77" s="50">
        <f>D64+D68+D72+D76</f>
        <v>493000</v>
      </c>
      <c r="E77" s="50">
        <f t="shared" ref="E77:F77" si="15">E64+E68+E72+E76</f>
        <v>570000</v>
      </c>
      <c r="F77" s="50">
        <f t="shared" si="15"/>
        <v>665000</v>
      </c>
      <c r="G77" s="50">
        <f>G64+G68+G72+G76</f>
        <v>750000</v>
      </c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5.75" customHeight="1">
      <c r="A81" s="4"/>
      <c r="B81" s="4"/>
      <c r="C81" s="4"/>
      <c r="D81" s="3"/>
      <c r="E81" s="5"/>
      <c r="F81" s="5"/>
      <c r="G81" s="4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5.75" customHeight="1">
      <c r="A82" s="4"/>
      <c r="B82" s="4"/>
      <c r="C82" s="4"/>
      <c r="D82" s="3"/>
      <c r="E82" s="5"/>
      <c r="F82" s="5"/>
      <c r="G82" s="4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5.75" customHeight="1">
      <c r="A83" s="4"/>
      <c r="B83" s="4"/>
      <c r="C83" s="11"/>
      <c r="D83" s="11"/>
      <c r="E83" s="11"/>
      <c r="F83" s="11"/>
      <c r="G83" s="11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>
      <c r="A84" s="4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>
      <c r="A85" s="4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>
      <c r="A86" s="4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>
      <c r="A87" s="1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>
      <c r="A88" s="4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>
      <c r="A89" s="4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>
      <c r="A90" s="4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>
      <c r="A91" s="1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>
      <c r="A92" s="4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>
      <c r="A93" s="4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>
      <c r="A94" s="4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>
      <c r="A95" s="1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>
      <c r="A96" s="4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>
      <c r="A97" s="4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>
      <c r="A98" s="4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>
      <c r="A99" s="1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>
      <c r="A100" s="1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4"/>
      <c r="B136" s="21"/>
      <c r="C136" s="21"/>
      <c r="D136" s="21"/>
      <c r="E136" s="21"/>
      <c r="F136" s="21"/>
      <c r="G136" s="21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22"/>
      <c r="B137" s="57"/>
      <c r="C137" s="57"/>
      <c r="D137" s="57"/>
      <c r="E137" s="57"/>
      <c r="F137" s="57"/>
      <c r="G137" s="57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000"/>
  <sheetViews>
    <sheetView topLeftCell="A119" workbookViewId="0">
      <selection activeCell="G92" sqref="G92"/>
    </sheetView>
  </sheetViews>
  <sheetFormatPr baseColWidth="10" defaultColWidth="14.3984375" defaultRowHeight="15" customHeight="1"/>
  <cols>
    <col min="1" max="1" width="73.3984375" bestFit="1" customWidth="1"/>
    <col min="2" max="2" width="3.59765625" customWidth="1"/>
    <col min="3" max="3" width="13.19921875" bestFit="1" customWidth="1"/>
    <col min="4" max="4" width="13.19921875" customWidth="1"/>
    <col min="5" max="6" width="13.19921875" bestFit="1" customWidth="1"/>
    <col min="7" max="7" width="14.59765625" bestFit="1" customWidth="1"/>
    <col min="8" max="8" width="3.19921875" bestFit="1" customWidth="1"/>
    <col min="9" max="9" width="11.59765625" customWidth="1"/>
    <col min="10" max="11" width="10.796875" customWidth="1"/>
    <col min="12" max="12" width="12.796875" customWidth="1"/>
    <col min="13" max="13" width="9.796875" customWidth="1"/>
    <col min="14" max="14" width="11" customWidth="1"/>
    <col min="15" max="25" width="8" customWidth="1"/>
  </cols>
  <sheetData>
    <row r="1" spans="1:25" ht="20.25" customHeight="1">
      <c r="A1" s="2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.75" customHeight="1">
      <c r="A2" s="9" t="s">
        <v>183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</row>
    <row r="3" spans="1:25" ht="15.75" customHeight="1">
      <c r="A3" s="9" t="s">
        <v>40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</row>
    <row r="4" spans="1:25" ht="15.75" customHeight="1">
      <c r="A4" s="9" t="s">
        <v>41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</row>
    <row r="5" spans="1:25" ht="15.75" customHeight="1">
      <c r="A5" s="4"/>
      <c r="B5" s="4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" customHeight="1">
      <c r="A6" s="6" t="s">
        <v>96</v>
      </c>
      <c r="B6" s="4"/>
      <c r="C6" s="76">
        <f>REVENUE!C16</f>
        <v>2750000</v>
      </c>
      <c r="D6" s="76">
        <f>REVENUE!D16</f>
        <v>3840000</v>
      </c>
      <c r="E6" s="76">
        <f>REVENUE!E16</f>
        <v>5995000</v>
      </c>
      <c r="F6" s="76">
        <f>REVENUE!F16</f>
        <v>8120000</v>
      </c>
      <c r="G6" s="76">
        <f>REVENUE!G16</f>
        <v>12120000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.75" customHeight="1">
      <c r="A7" s="6"/>
      <c r="B7" s="4"/>
      <c r="C7" s="33"/>
      <c r="D7" s="33"/>
      <c r="E7" s="33"/>
      <c r="F7" s="33"/>
      <c r="G7" s="3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75" customHeight="1">
      <c r="A8" s="6"/>
      <c r="B8" s="4"/>
      <c r="C8" s="33"/>
      <c r="D8" s="33"/>
      <c r="E8" s="33"/>
      <c r="F8" s="33"/>
      <c r="G8" s="3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2.75" customHeight="1">
      <c r="A9" s="43" t="s">
        <v>184</v>
      </c>
      <c r="B9" s="4"/>
      <c r="C9" s="21"/>
      <c r="D9" s="21"/>
      <c r="E9" s="21"/>
      <c r="F9" s="21"/>
      <c r="G9" s="21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12" t="s">
        <v>110</v>
      </c>
      <c r="B10" s="4"/>
      <c r="C10" s="79">
        <v>8.3000000000000004E-2</v>
      </c>
      <c r="D10" s="79">
        <v>8.3000000000000004E-2</v>
      </c>
      <c r="E10" s="79">
        <v>8.3000000000000004E-2</v>
      </c>
      <c r="F10" s="79">
        <v>8.3000000000000004E-2</v>
      </c>
      <c r="G10" s="79">
        <v>8.3000000000000004E-2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2.75" customHeight="1">
      <c r="A11" s="12" t="s">
        <v>185</v>
      </c>
      <c r="B11" s="4"/>
      <c r="C11" s="80">
        <f t="shared" ref="C11:G11" si="0">C10*360</f>
        <v>29.880000000000003</v>
      </c>
      <c r="D11" s="80">
        <f t="shared" si="0"/>
        <v>29.880000000000003</v>
      </c>
      <c r="E11" s="80">
        <f t="shared" si="0"/>
        <v>29.880000000000003</v>
      </c>
      <c r="F11" s="80">
        <f t="shared" si="0"/>
        <v>29.880000000000003</v>
      </c>
      <c r="G11" s="80">
        <f t="shared" si="0"/>
        <v>29.880000000000003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2.75" customHeight="1">
      <c r="A12" s="12" t="s">
        <v>186</v>
      </c>
      <c r="B12" s="4"/>
      <c r="C12" s="54">
        <f t="shared" ref="C12:G12" si="1">C78</f>
        <v>304333.33333333337</v>
      </c>
      <c r="D12" s="54">
        <f t="shared" si="1"/>
        <v>318720.00000000006</v>
      </c>
      <c r="E12" s="54">
        <f t="shared" si="1"/>
        <v>497585.00000000006</v>
      </c>
      <c r="F12" s="54">
        <f t="shared" si="1"/>
        <v>673960.00000000012</v>
      </c>
      <c r="G12" s="54">
        <f t="shared" si="1"/>
        <v>1005960.0000000001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12" t="s">
        <v>187</v>
      </c>
      <c r="B13" s="4"/>
      <c r="C13" s="54">
        <f>-C12</f>
        <v>-304333.33333333337</v>
      </c>
      <c r="D13" s="54">
        <f t="shared" ref="D13:G13" si="2">-(D12-C12)</f>
        <v>-14386.666666666686</v>
      </c>
      <c r="E13" s="54">
        <f t="shared" si="2"/>
        <v>-178865</v>
      </c>
      <c r="F13" s="54">
        <f t="shared" si="2"/>
        <v>-176375.00000000006</v>
      </c>
      <c r="G13" s="54">
        <f t="shared" si="2"/>
        <v>-332000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customHeight="1">
      <c r="A14" s="4"/>
      <c r="B14" s="4"/>
      <c r="C14" s="21"/>
      <c r="D14" s="21"/>
      <c r="E14" s="21"/>
      <c r="F14" s="21"/>
      <c r="G14" s="21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2.75" customHeight="1">
      <c r="A15" s="6" t="s">
        <v>188</v>
      </c>
      <c r="B15" s="4"/>
      <c r="C15" s="21"/>
      <c r="D15" s="21"/>
      <c r="E15" s="21"/>
      <c r="F15" s="21"/>
      <c r="G15" s="2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2.75" customHeight="1">
      <c r="A16" s="12" t="s">
        <v>110</v>
      </c>
      <c r="B16" s="4"/>
      <c r="C16" s="79">
        <v>8.3000000000000004E-2</v>
      </c>
      <c r="D16" s="79">
        <v>8.3000000000000004E-2</v>
      </c>
      <c r="E16" s="79">
        <v>6.7000000000000004E-2</v>
      </c>
      <c r="F16" s="79">
        <v>6.7000000000000004E-2</v>
      </c>
      <c r="G16" s="79">
        <v>6.7000000000000004E-2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customHeight="1">
      <c r="A17" s="12" t="s">
        <v>189</v>
      </c>
      <c r="B17" s="21"/>
      <c r="C17" s="80">
        <f t="shared" ref="C17:G17" si="3">IF(C18&lt;=0,0,ROUND(360/C18,0))</f>
        <v>12</v>
      </c>
      <c r="D17" s="80">
        <f t="shared" si="3"/>
        <v>12</v>
      </c>
      <c r="E17" s="80">
        <f t="shared" si="3"/>
        <v>15</v>
      </c>
      <c r="F17" s="80">
        <f t="shared" si="3"/>
        <v>15</v>
      </c>
      <c r="G17" s="80">
        <f t="shared" si="3"/>
        <v>15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customHeight="1">
      <c r="A18" s="12" t="s">
        <v>190</v>
      </c>
      <c r="B18" s="4"/>
      <c r="C18" s="80">
        <f t="shared" ref="C18:G18" si="4">C16*360</f>
        <v>29.880000000000003</v>
      </c>
      <c r="D18" s="80">
        <f t="shared" si="4"/>
        <v>29.880000000000003</v>
      </c>
      <c r="E18" s="80">
        <f t="shared" si="4"/>
        <v>24.12</v>
      </c>
      <c r="F18" s="80">
        <f t="shared" si="4"/>
        <v>24.12</v>
      </c>
      <c r="G18" s="80">
        <f t="shared" si="4"/>
        <v>24.12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customHeight="1">
      <c r="A19" s="12" t="s">
        <v>191</v>
      </c>
      <c r="B19" s="4"/>
      <c r="C19" s="54">
        <f t="shared" ref="C19:G19" si="5">C95</f>
        <v>304333.33333333337</v>
      </c>
      <c r="D19" s="54">
        <f t="shared" si="5"/>
        <v>318720.00000000006</v>
      </c>
      <c r="E19" s="54">
        <f t="shared" si="5"/>
        <v>401665</v>
      </c>
      <c r="F19" s="54">
        <f t="shared" si="5"/>
        <v>544040</v>
      </c>
      <c r="G19" s="54">
        <f t="shared" si="5"/>
        <v>812040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customHeight="1">
      <c r="A20" s="12" t="s">
        <v>187</v>
      </c>
      <c r="B20" s="4"/>
      <c r="C20" s="54">
        <f>-C19</f>
        <v>-304333.33333333337</v>
      </c>
      <c r="D20" s="54">
        <f t="shared" ref="D20:G20" si="6">-(D19-C19)</f>
        <v>-14386.666666666686</v>
      </c>
      <c r="E20" s="54">
        <f t="shared" si="6"/>
        <v>-82944.999999999942</v>
      </c>
      <c r="F20" s="54">
        <f t="shared" si="6"/>
        <v>-142375</v>
      </c>
      <c r="G20" s="54">
        <f t="shared" si="6"/>
        <v>-268000</v>
      </c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customHeight="1">
      <c r="A21" s="4"/>
      <c r="B21" s="4"/>
      <c r="C21" s="21"/>
      <c r="D21" s="21"/>
      <c r="E21" s="21"/>
      <c r="F21" s="21"/>
      <c r="G21" s="2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customHeight="1">
      <c r="A22" s="6" t="s">
        <v>192</v>
      </c>
      <c r="B22" s="4"/>
      <c r="C22" s="21"/>
      <c r="D22" s="21"/>
      <c r="E22" s="21"/>
      <c r="F22" s="21"/>
      <c r="G22" s="2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12" t="s">
        <v>110</v>
      </c>
      <c r="B23" s="4"/>
      <c r="C23" s="79">
        <v>0.01</v>
      </c>
      <c r="D23" s="79">
        <v>0.01</v>
      </c>
      <c r="E23" s="79">
        <v>0.01</v>
      </c>
      <c r="F23" s="79">
        <v>0.01</v>
      </c>
      <c r="G23" s="79">
        <v>0.01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12" t="s">
        <v>193</v>
      </c>
      <c r="B24" s="4"/>
      <c r="C24" s="81">
        <f t="shared" ref="C24:G24" si="7">C23*360</f>
        <v>3.6</v>
      </c>
      <c r="D24" s="81">
        <f t="shared" si="7"/>
        <v>3.6</v>
      </c>
      <c r="E24" s="81">
        <f t="shared" si="7"/>
        <v>3.6</v>
      </c>
      <c r="F24" s="81">
        <f t="shared" si="7"/>
        <v>3.6</v>
      </c>
      <c r="G24" s="81">
        <f t="shared" si="7"/>
        <v>3.6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12" t="s">
        <v>194</v>
      </c>
      <c r="B25" s="4"/>
      <c r="C25" s="54">
        <f t="shared" ref="C25:G25" si="8">C112</f>
        <v>36666.666666666672</v>
      </c>
      <c r="D25" s="54">
        <f t="shared" si="8"/>
        <v>38400</v>
      </c>
      <c r="E25" s="54">
        <f t="shared" si="8"/>
        <v>59950</v>
      </c>
      <c r="F25" s="54">
        <f t="shared" si="8"/>
        <v>81200</v>
      </c>
      <c r="G25" s="54">
        <f t="shared" si="8"/>
        <v>121200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12" t="s">
        <v>187</v>
      </c>
      <c r="B26" s="4"/>
      <c r="C26" s="54">
        <f>-C25</f>
        <v>-36666.666666666672</v>
      </c>
      <c r="D26" s="54">
        <f t="shared" ref="D26:G26" si="9">-(D25-C25)</f>
        <v>-1733.3333333333285</v>
      </c>
      <c r="E26" s="54">
        <f t="shared" si="9"/>
        <v>-21550</v>
      </c>
      <c r="F26" s="54">
        <f t="shared" si="9"/>
        <v>-21250</v>
      </c>
      <c r="G26" s="54">
        <f t="shared" si="9"/>
        <v>-40000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12"/>
      <c r="B27" s="4"/>
      <c r="C27" s="21"/>
      <c r="D27" s="21"/>
      <c r="E27" s="21"/>
      <c r="F27" s="21"/>
      <c r="G27" s="2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6" t="s">
        <v>195</v>
      </c>
      <c r="B28" s="4"/>
      <c r="C28" s="21"/>
      <c r="D28" s="21"/>
      <c r="E28" s="21"/>
      <c r="F28" s="21"/>
      <c r="G28" s="2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12" t="s">
        <v>110</v>
      </c>
      <c r="B29" s="4"/>
      <c r="C29" s="79">
        <v>8.6999999999999994E-2</v>
      </c>
      <c r="D29" s="79">
        <v>8.6999999999999994E-2</v>
      </c>
      <c r="E29" s="79">
        <v>8.6999999999999994E-2</v>
      </c>
      <c r="F29" s="79">
        <v>8.6999999999999994E-2</v>
      </c>
      <c r="G29" s="79">
        <v>8.6999999999999994E-2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12" t="s">
        <v>193</v>
      </c>
      <c r="B30" s="4"/>
      <c r="C30" s="54">
        <f t="shared" ref="C30:G30" si="10">C29*360</f>
        <v>31.319999999999997</v>
      </c>
      <c r="D30" s="54">
        <f t="shared" si="10"/>
        <v>31.319999999999997</v>
      </c>
      <c r="E30" s="54">
        <f t="shared" si="10"/>
        <v>31.319999999999997</v>
      </c>
      <c r="F30" s="54">
        <f t="shared" si="10"/>
        <v>31.319999999999997</v>
      </c>
      <c r="G30" s="54">
        <f t="shared" si="10"/>
        <v>31.319999999999997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12" t="s">
        <v>196</v>
      </c>
      <c r="B31" s="4"/>
      <c r="C31" s="54">
        <f t="shared" ref="C31:G31" si="11">C129</f>
        <v>319000</v>
      </c>
      <c r="D31" s="54">
        <f t="shared" si="11"/>
        <v>334079.99999999994</v>
      </c>
      <c r="E31" s="54">
        <f t="shared" si="11"/>
        <v>521564.99999999994</v>
      </c>
      <c r="F31" s="54">
        <f t="shared" si="11"/>
        <v>706439.99999999988</v>
      </c>
      <c r="G31" s="54">
        <f t="shared" si="11"/>
        <v>1054439.9999999998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12" t="s">
        <v>197</v>
      </c>
      <c r="B32" s="4"/>
      <c r="C32" s="54">
        <f>C31</f>
        <v>319000</v>
      </c>
      <c r="D32" s="54">
        <f t="shared" ref="D32:G32" si="12">(D31-C31)</f>
        <v>15079.999999999942</v>
      </c>
      <c r="E32" s="54">
        <f t="shared" si="12"/>
        <v>187485</v>
      </c>
      <c r="F32" s="54">
        <f t="shared" si="12"/>
        <v>184874.99999999994</v>
      </c>
      <c r="G32" s="54">
        <f t="shared" si="12"/>
        <v>347999.99999999988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4"/>
      <c r="B33" s="4"/>
      <c r="C33" s="21"/>
      <c r="D33" s="21"/>
      <c r="E33" s="21"/>
      <c r="F33" s="21"/>
      <c r="G33" s="2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6" t="s">
        <v>198</v>
      </c>
      <c r="B34" s="4"/>
      <c r="C34" s="21"/>
      <c r="D34" s="21"/>
      <c r="E34" s="21"/>
      <c r="F34" s="21"/>
      <c r="G34" s="21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12" t="s">
        <v>110</v>
      </c>
      <c r="B35" s="4"/>
      <c r="C35" s="82">
        <v>0.01</v>
      </c>
      <c r="D35" s="82">
        <v>0.01</v>
      </c>
      <c r="E35" s="82">
        <v>0.01</v>
      </c>
      <c r="F35" s="82">
        <v>0.01</v>
      </c>
      <c r="G35" s="82">
        <v>0.01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12" t="s">
        <v>193</v>
      </c>
      <c r="B36" s="4"/>
      <c r="C36" s="83">
        <f t="shared" ref="C36:G36" si="13">C35*360</f>
        <v>3.6</v>
      </c>
      <c r="D36" s="83">
        <f t="shared" si="13"/>
        <v>3.6</v>
      </c>
      <c r="E36" s="83">
        <f t="shared" si="13"/>
        <v>3.6</v>
      </c>
      <c r="F36" s="83">
        <f t="shared" si="13"/>
        <v>3.6</v>
      </c>
      <c r="G36" s="83">
        <f t="shared" si="13"/>
        <v>3.6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12" t="s">
        <v>199</v>
      </c>
      <c r="B37" s="4"/>
      <c r="C37" s="54">
        <f t="shared" ref="C37:G37" si="14">C146</f>
        <v>36666.666666666672</v>
      </c>
      <c r="D37" s="54">
        <f t="shared" si="14"/>
        <v>38400</v>
      </c>
      <c r="E37" s="54">
        <f t="shared" si="14"/>
        <v>59950</v>
      </c>
      <c r="F37" s="54">
        <f t="shared" si="14"/>
        <v>81200</v>
      </c>
      <c r="G37" s="54">
        <f t="shared" si="14"/>
        <v>121200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12" t="s">
        <v>197</v>
      </c>
      <c r="B38" s="4"/>
      <c r="C38" s="54">
        <f>C37</f>
        <v>36666.666666666672</v>
      </c>
      <c r="D38" s="54">
        <f t="shared" ref="D38:G38" si="15">D37-C37</f>
        <v>1733.3333333333285</v>
      </c>
      <c r="E38" s="54">
        <f t="shared" si="15"/>
        <v>21550</v>
      </c>
      <c r="F38" s="54">
        <f t="shared" si="15"/>
        <v>21250</v>
      </c>
      <c r="G38" s="54">
        <f t="shared" si="15"/>
        <v>40000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21"/>
      <c r="C40" s="21"/>
      <c r="D40" s="21"/>
      <c r="E40" s="21"/>
      <c r="F40" s="21"/>
      <c r="G40" s="2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21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23" t="s">
        <v>50</v>
      </c>
      <c r="B42" s="4"/>
      <c r="C42" s="5"/>
      <c r="D42" s="4"/>
      <c r="E42" s="5"/>
      <c r="F42" s="5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4"/>
      <c r="B43" s="4"/>
      <c r="C43" s="4"/>
      <c r="D43" s="3" t="s">
        <v>41</v>
      </c>
      <c r="E43" s="5"/>
      <c r="F43" s="5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4"/>
      <c r="B44" s="4"/>
      <c r="C44" s="11" t="s">
        <v>9</v>
      </c>
      <c r="D44" s="11" t="s">
        <v>10</v>
      </c>
      <c r="E44" s="11" t="s">
        <v>11</v>
      </c>
      <c r="F44" s="11" t="s">
        <v>12</v>
      </c>
      <c r="G44" s="11" t="s">
        <v>13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 t="s">
        <v>52</v>
      </c>
      <c r="B45" s="4"/>
      <c r="C45" s="35">
        <f>REVENUE!C22</f>
        <v>0</v>
      </c>
      <c r="D45" s="35">
        <f>REVENUE!D22</f>
        <v>320000</v>
      </c>
      <c r="E45" s="35">
        <f>REVENUE!E22</f>
        <v>499583.33333333331</v>
      </c>
      <c r="F45" s="35">
        <f>REVENUE!F22</f>
        <v>676666.66666666663</v>
      </c>
      <c r="G45" s="35">
        <f>REVENUE!G22</f>
        <v>1010000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 t="s">
        <v>53</v>
      </c>
      <c r="B46" s="4"/>
      <c r="C46" s="35">
        <f>REVENUE!C23</f>
        <v>0</v>
      </c>
      <c r="D46" s="35">
        <f>REVENUE!D23</f>
        <v>320000</v>
      </c>
      <c r="E46" s="35">
        <f>REVENUE!E23</f>
        <v>499583.33333333331</v>
      </c>
      <c r="F46" s="35">
        <f>REVENUE!F23</f>
        <v>676666.66666666663</v>
      </c>
      <c r="G46" s="35">
        <f>REVENUE!G23</f>
        <v>1010000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4" t="s">
        <v>54</v>
      </c>
      <c r="B47" s="4"/>
      <c r="C47" s="84">
        <f>REVENUE!C24</f>
        <v>0</v>
      </c>
      <c r="D47" s="84">
        <f>REVENUE!D24</f>
        <v>320000</v>
      </c>
      <c r="E47" s="84">
        <f>REVENUE!E24</f>
        <v>499583.33333333331</v>
      </c>
      <c r="F47" s="84">
        <f>REVENUE!F24</f>
        <v>676666.66666666663</v>
      </c>
      <c r="G47" s="84">
        <f>REVENUE!G24</f>
        <v>1010000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12" t="s">
        <v>55</v>
      </c>
      <c r="B48" s="4"/>
      <c r="C48" s="35">
        <f>REVENUE!C25</f>
        <v>0</v>
      </c>
      <c r="D48" s="35">
        <f>REVENUE!D25</f>
        <v>960000</v>
      </c>
      <c r="E48" s="35">
        <f>REVENUE!E25</f>
        <v>1498750</v>
      </c>
      <c r="F48" s="35">
        <f>REVENUE!F25</f>
        <v>2030000</v>
      </c>
      <c r="G48" s="35">
        <f>REVENUE!G25</f>
        <v>3030000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 t="s">
        <v>56</v>
      </c>
      <c r="B49" s="4"/>
      <c r="C49" s="35">
        <f>REVENUE!C26</f>
        <v>305555.55555555556</v>
      </c>
      <c r="D49" s="35">
        <f>REVENUE!D26</f>
        <v>320000</v>
      </c>
      <c r="E49" s="35">
        <f>REVENUE!E26</f>
        <v>499583.33333333331</v>
      </c>
      <c r="F49" s="35">
        <f>REVENUE!F26</f>
        <v>676666.66666666663</v>
      </c>
      <c r="G49" s="35">
        <f>REVENUE!G26</f>
        <v>1010000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 t="s">
        <v>57</v>
      </c>
      <c r="B50" s="4"/>
      <c r="C50" s="35">
        <f>REVENUE!C27</f>
        <v>305555.55555555556</v>
      </c>
      <c r="D50" s="35">
        <f>REVENUE!D27</f>
        <v>320000</v>
      </c>
      <c r="E50" s="35">
        <f>REVENUE!E27</f>
        <v>499583.33333333331</v>
      </c>
      <c r="F50" s="35">
        <f>REVENUE!F27</f>
        <v>676666.66666666663</v>
      </c>
      <c r="G50" s="35">
        <f>REVENUE!G27</f>
        <v>1010000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 t="s">
        <v>58</v>
      </c>
      <c r="B51" s="4"/>
      <c r="C51" s="84">
        <f>REVENUE!C28</f>
        <v>305555.55555555556</v>
      </c>
      <c r="D51" s="84">
        <f>REVENUE!D28</f>
        <v>320000</v>
      </c>
      <c r="E51" s="84">
        <f>REVENUE!E28</f>
        <v>499583.33333333331</v>
      </c>
      <c r="F51" s="84">
        <f>REVENUE!F28</f>
        <v>676666.66666666663</v>
      </c>
      <c r="G51" s="84">
        <f>REVENUE!G28</f>
        <v>1010000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12" t="s">
        <v>59</v>
      </c>
      <c r="B52" s="4"/>
      <c r="C52" s="35">
        <f>REVENUE!C29</f>
        <v>916666.66666666674</v>
      </c>
      <c r="D52" s="35">
        <f>REVENUE!D29</f>
        <v>960000</v>
      </c>
      <c r="E52" s="35">
        <f>REVENUE!E29</f>
        <v>1498750</v>
      </c>
      <c r="F52" s="35">
        <f>REVENUE!F29</f>
        <v>2030000</v>
      </c>
      <c r="G52" s="35">
        <f>REVENUE!G29</f>
        <v>3030000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 t="s">
        <v>60</v>
      </c>
      <c r="B53" s="4"/>
      <c r="C53" s="35">
        <f>REVENUE!C30</f>
        <v>305555.55555555556</v>
      </c>
      <c r="D53" s="35">
        <f>REVENUE!D30</f>
        <v>320000</v>
      </c>
      <c r="E53" s="35">
        <f>REVENUE!E30</f>
        <v>499583.33333333331</v>
      </c>
      <c r="F53" s="35">
        <f>REVENUE!F30</f>
        <v>676666.66666666663</v>
      </c>
      <c r="G53" s="35">
        <f>REVENUE!G30</f>
        <v>1010000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 t="s">
        <v>61</v>
      </c>
      <c r="B54" s="4"/>
      <c r="C54" s="35">
        <f>REVENUE!C31</f>
        <v>305555.55555555556</v>
      </c>
      <c r="D54" s="35">
        <f>REVENUE!D31</f>
        <v>320000</v>
      </c>
      <c r="E54" s="35">
        <f>REVENUE!E31</f>
        <v>499583.33333333331</v>
      </c>
      <c r="F54" s="35">
        <f>REVENUE!F31</f>
        <v>676666.66666666663</v>
      </c>
      <c r="G54" s="35">
        <f>REVENUE!G31</f>
        <v>1010000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 t="s">
        <v>62</v>
      </c>
      <c r="B55" s="4"/>
      <c r="C55" s="84">
        <f>REVENUE!C32</f>
        <v>305555.55555555556</v>
      </c>
      <c r="D55" s="84">
        <f>REVENUE!D32</f>
        <v>320000</v>
      </c>
      <c r="E55" s="84">
        <f>REVENUE!E32</f>
        <v>499583.33333333331</v>
      </c>
      <c r="F55" s="84">
        <f>REVENUE!F32</f>
        <v>676666.66666666663</v>
      </c>
      <c r="G55" s="84">
        <f>REVENUE!G32</f>
        <v>1010000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12" t="s">
        <v>63</v>
      </c>
      <c r="B56" s="4"/>
      <c r="C56" s="35">
        <f>REVENUE!C33</f>
        <v>916666.66666666674</v>
      </c>
      <c r="D56" s="35">
        <f>REVENUE!D33</f>
        <v>960000</v>
      </c>
      <c r="E56" s="35">
        <f>REVENUE!E33</f>
        <v>1498750</v>
      </c>
      <c r="F56" s="35">
        <f>REVENUE!F33</f>
        <v>2030000</v>
      </c>
      <c r="G56" s="35">
        <f>REVENUE!G33</f>
        <v>3030000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 t="s">
        <v>64</v>
      </c>
      <c r="B57" s="4"/>
      <c r="C57" s="35">
        <f>REVENUE!C34</f>
        <v>305555.55555555556</v>
      </c>
      <c r="D57" s="35">
        <f>REVENUE!D34</f>
        <v>320000</v>
      </c>
      <c r="E57" s="35">
        <f>REVENUE!E34</f>
        <v>499583.33333333331</v>
      </c>
      <c r="F57" s="35">
        <f>REVENUE!F34</f>
        <v>676666.66666666663</v>
      </c>
      <c r="G57" s="35">
        <f>REVENUE!G34</f>
        <v>1010000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 t="s">
        <v>65</v>
      </c>
      <c r="B58" s="4"/>
      <c r="C58" s="35">
        <f>REVENUE!C35</f>
        <v>305555.55555555556</v>
      </c>
      <c r="D58" s="35">
        <f>REVENUE!D35</f>
        <v>320000</v>
      </c>
      <c r="E58" s="35">
        <f>REVENUE!E35</f>
        <v>499583.33333333331</v>
      </c>
      <c r="F58" s="35">
        <f>REVENUE!F35</f>
        <v>676666.66666666663</v>
      </c>
      <c r="G58" s="35">
        <f>REVENUE!G35</f>
        <v>1010000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 t="s">
        <v>66</v>
      </c>
      <c r="B59" s="4"/>
      <c r="C59" s="84">
        <f>REVENUE!C36</f>
        <v>305555.55555555556</v>
      </c>
      <c r="D59" s="84">
        <f>REVENUE!D36</f>
        <v>320000</v>
      </c>
      <c r="E59" s="84">
        <f>REVENUE!E36</f>
        <v>499583.33333333331</v>
      </c>
      <c r="F59" s="84">
        <f>REVENUE!F36</f>
        <v>676666.66666666663</v>
      </c>
      <c r="G59" s="84">
        <f>REVENUE!G36</f>
        <v>1010000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12" t="s">
        <v>67</v>
      </c>
      <c r="B60" s="4"/>
      <c r="C60" s="35">
        <f>REVENUE!C37</f>
        <v>916666.66666666674</v>
      </c>
      <c r="D60" s="35">
        <f>REVENUE!D37</f>
        <v>960000</v>
      </c>
      <c r="E60" s="35">
        <f>REVENUE!E37</f>
        <v>1498750</v>
      </c>
      <c r="F60" s="35">
        <f>REVENUE!F37</f>
        <v>2030000</v>
      </c>
      <c r="G60" s="35">
        <f>REVENUE!G37</f>
        <v>3030000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3.5" customHeight="1">
      <c r="A61" s="12" t="s">
        <v>68</v>
      </c>
      <c r="B61" s="4"/>
      <c r="C61" s="85">
        <f>REVENUE!C38</f>
        <v>2750000</v>
      </c>
      <c r="D61" s="85">
        <f>REVENUE!D38</f>
        <v>3840000</v>
      </c>
      <c r="E61" s="85">
        <f>REVENUE!E38</f>
        <v>5995000</v>
      </c>
      <c r="F61" s="85">
        <f>REVENUE!F38</f>
        <v>8120000</v>
      </c>
      <c r="G61" s="85">
        <f>REVENUE!G38</f>
        <v>12120000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86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23" t="s">
        <v>200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4"/>
      <c r="B65" s="4"/>
      <c r="C65" s="4"/>
      <c r="D65" s="3" t="s">
        <v>41</v>
      </c>
      <c r="E65" s="5"/>
      <c r="F65" s="5"/>
      <c r="G65" s="4"/>
      <c r="H65" s="21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4"/>
      <c r="B66" s="4"/>
      <c r="C66" s="11" t="s">
        <v>9</v>
      </c>
      <c r="D66" s="11" t="s">
        <v>10</v>
      </c>
      <c r="E66" s="11" t="s">
        <v>11</v>
      </c>
      <c r="F66" s="11" t="s">
        <v>12</v>
      </c>
      <c r="G66" s="11" t="s">
        <v>13</v>
      </c>
      <c r="H66" s="21" t="s">
        <v>201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 t="s">
        <v>52</v>
      </c>
      <c r="B67" s="4"/>
      <c r="C67" s="87">
        <f>IF(C$11&lt;=30,C$11/30*C45,0)+IF(AND(30&lt;C$11,C$11&lt;=60),C45,0)+IF(AND(60&lt;C$11,C$11&lt;=90),C45,0)+IF(AND(90&lt;C$11,C$11&lt;=120),C45,0)</f>
        <v>0</v>
      </c>
      <c r="D67" s="87">
        <f>IF(D$11&lt;=30,D$11/30*D45,0)+IF(AND(30&lt;D$11,D$11&lt;=60),D45+(D$11-30)/30*C59,0)+IF(AND(60&lt;D$11,D$11&lt;=90),D45+C59+(D$11-60)/30*C58,0)+IF(AND(90&lt;D$11,D$11&lt;=120),D45+C59+C58+(D$11-90)/30*C57,0)</f>
        <v>318720.00000000006</v>
      </c>
      <c r="E67" s="54"/>
      <c r="F67" s="54"/>
      <c r="G67" s="54"/>
      <c r="H67" s="21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 t="s">
        <v>53</v>
      </c>
      <c r="B68" s="4"/>
      <c r="C68" s="87">
        <f>IF(C$11&lt;=30,C$11/30*C46,0)+IF(AND(30&lt;C$11,C$11&lt;=60),C46+(C$11-30)/30*C45,0)+IF(AND(60&lt;C$11,C$11&lt;=90),C46+C45,0)+IF(AND(90&lt;C$11,C$11&lt;=120),C46+C45,0)</f>
        <v>0</v>
      </c>
      <c r="D68" s="87">
        <f>IF(D$11&lt;=30,D$11/30*D46,0)+IF(AND(30&lt;D$11,D$11&lt;=60),D46+(D$11-30)/30*D45,0)+IF(AND(60&lt;D$11,D$11&lt;=90),D46+D45+(D$11-60)/30*C59,0)+IF(AND(90&lt;D$11,D$11&lt;=120),D46+D45+C59+(D$11-90)/30*C58,0)</f>
        <v>318720.00000000006</v>
      </c>
      <c r="E68" s="54"/>
      <c r="F68" s="54"/>
      <c r="G68" s="54"/>
      <c r="H68" s="21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 t="s">
        <v>54</v>
      </c>
      <c r="B69" s="4"/>
      <c r="C69" s="88">
        <f>IF(C$11&lt;=30,C11/30*C47,0)+IF(AND(30&lt;C$11,C$11&lt;=60),C47+(C$11-30)/30*C46,0)+IF(AND(60&lt;C$11,C$11&lt;=90),C47+C46+(C$11-60)/30*C45,0)+IF(AND(90&lt;C$11,C$11&lt;=120),C47+C46+C45,0)</f>
        <v>0</v>
      </c>
      <c r="D69" s="88">
        <f>IF(D$11&lt;=30,D$11/30*D47,0)+IF(AND(30&lt;D$11,D$11&lt;=60),D47+(D$11-30)/30*D46,0)+IF(AND(60&lt;D$11,D$11&lt;=90),D47+D46+(D$11-60)/30*D45,0)+IF(AND(90&lt;D$11,D$11&lt;=120),D47+D46+D45+(D$11-90)/30*C59,0)</f>
        <v>318720.00000000006</v>
      </c>
      <c r="E69" s="88">
        <f t="shared" ref="E69:G69" si="16">IF((E$11&lt;=90),E48*(E$11)/90,0)+IF(AND(90&lt;E$11,E$11&lt;=120),E48+(E$11-90)/90*D60,0)</f>
        <v>497585.00000000006</v>
      </c>
      <c r="F69" s="88">
        <f t="shared" si="16"/>
        <v>673960.00000000012</v>
      </c>
      <c r="G69" s="88">
        <f t="shared" si="16"/>
        <v>1005960.0000000001</v>
      </c>
      <c r="H69" s="21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 t="s">
        <v>56</v>
      </c>
      <c r="B70" s="4"/>
      <c r="C70" s="87">
        <f t="shared" ref="C70:D70" si="17">IF(C$11&lt;=30,C$11/30*C49,0)+IF(AND(30&lt;C$11,C$11&lt;=60),C49+(C$11-30)/30*C47,0)+IF(AND(60&lt;C$11,C$11&lt;=90),C49+C47+(C$11-60)/30*C46,0)+IF(AND(90&lt;C$11,C$11&lt;=120),C49+C47+C46+(C$11-90)/30*C45,0)</f>
        <v>304333.33333333337</v>
      </c>
      <c r="D70" s="87">
        <f t="shared" si="17"/>
        <v>318720.00000000006</v>
      </c>
      <c r="E70" s="54"/>
      <c r="F70" s="54"/>
      <c r="G70" s="54"/>
      <c r="H70" s="21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 t="s">
        <v>57</v>
      </c>
      <c r="B71" s="4"/>
      <c r="C71" s="87">
        <f t="shared" ref="C71:D71" si="18">IF(C$11&lt;=30,C$11/30*C50,0)+IF(AND(30&lt;C$11,C$11&lt;=60),C50+(C$11-30)/30*C49,0)+IF(AND(60&lt;C$11,C$11&lt;=90),C50+C49+(C$11-60)/30*C47,0)+IF(AND(90&lt;C$11,C$11&lt;=120),C50+C49+C47+(C$11-90)/30*C46,0)</f>
        <v>304333.33333333337</v>
      </c>
      <c r="D71" s="87">
        <f t="shared" si="18"/>
        <v>318720.00000000006</v>
      </c>
      <c r="E71" s="54"/>
      <c r="F71" s="54"/>
      <c r="G71" s="54"/>
      <c r="H71" s="21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 t="s">
        <v>58</v>
      </c>
      <c r="B72" s="4"/>
      <c r="C72" s="88">
        <f t="shared" ref="C72:D72" si="19">IF(C$11&lt;=30,C$11/30*C51,0)+IF(AND(30&lt;C$11,C$11&lt;=60),C51+(C$11-30)/30*C50,0)+IF(AND(60&lt;C$11,C$11&lt;=90),C51+C50+(C$11-60)/30*C49,0)+IF(AND(90&lt;C$11,C$11&lt;=120),C51+C50+C49+(C$11-90)/30*C47,0)</f>
        <v>304333.33333333337</v>
      </c>
      <c r="D72" s="88">
        <f t="shared" si="19"/>
        <v>318720.00000000006</v>
      </c>
      <c r="E72" s="88">
        <f t="shared" ref="E72:G72" si="20">IF((E$11&lt;=90),E52*(E$11)/90,0)+IF(AND(90&lt;E$11,E$11&lt;=120),E52+(E$11-90)/90*E48,0)</f>
        <v>497585.00000000006</v>
      </c>
      <c r="F72" s="88">
        <f t="shared" si="20"/>
        <v>673960.00000000012</v>
      </c>
      <c r="G72" s="88">
        <f t="shared" si="20"/>
        <v>1005960.0000000001</v>
      </c>
      <c r="H72" s="21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 t="s">
        <v>60</v>
      </c>
      <c r="B73" s="4"/>
      <c r="C73" s="87">
        <f t="shared" ref="C73:D73" si="21">IF(C$11&lt;=30,C$11/30*C53,0)+IF(AND(30&lt;C$11,C$11&lt;=60),C53+(C$11-30)/30*C51,0)+IF(AND(60&lt;C$11,C$11&lt;=90),C53+C51+(C$11-60)/30*C50,0)+IF(AND(90&lt;C$11,C$11&lt;=120),C53+C51+C50+(C$11-90)/30*C49,0)</f>
        <v>304333.33333333337</v>
      </c>
      <c r="D73" s="87">
        <f t="shared" si="21"/>
        <v>318720.00000000006</v>
      </c>
      <c r="E73" s="54"/>
      <c r="F73" s="54"/>
      <c r="G73" s="54"/>
      <c r="H73" s="21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 t="s">
        <v>61</v>
      </c>
      <c r="B74" s="4"/>
      <c r="C74" s="87">
        <f t="shared" ref="C74:D74" si="22">IF(C$11&lt;=30,C$11/30*C54,0)+IF(AND(30&lt;C$11,C$11&lt;=60),C54+(C$11-30)/30*C53,0)+IF(AND(60&lt;C$11,C$11&lt;=90),C54+C53+(C$11-60)/30*C51,0)+IF(AND(90&lt;C$11,C$11&lt;=120),C54+C53+C51+(C$11-90)/30*C50,0)</f>
        <v>304333.33333333337</v>
      </c>
      <c r="D74" s="87">
        <f t="shared" si="22"/>
        <v>318720.00000000006</v>
      </c>
      <c r="E74" s="54"/>
      <c r="F74" s="54"/>
      <c r="G74" s="54"/>
      <c r="H74" s="21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 t="s">
        <v>62</v>
      </c>
      <c r="B75" s="4"/>
      <c r="C75" s="88">
        <f t="shared" ref="C75:D75" si="23">IF(C$11&lt;=30,C$11/30*C55,0)+IF(AND(30&lt;C$11,C$11&lt;=60),C55+(C$11-30)/30*C54,0)+IF(AND(60&lt;C$11,C$11&lt;=90),C55+C54+(C$11-60)/30*C53,0)+IF(AND(90&lt;C$11,C$11&lt;=120),C55+C54+C53+(C$11-90)/30*C51,0)</f>
        <v>304333.33333333337</v>
      </c>
      <c r="D75" s="88">
        <f t="shared" si="23"/>
        <v>318720.00000000006</v>
      </c>
      <c r="E75" s="88">
        <f t="shared" ref="E75:G75" si="24">IF((E$11&lt;=90),E56*(E$11)/90,0)+IF(AND(90&lt;E$11,E$11&lt;=120),E56+(E$11-90)/90*E52,0)</f>
        <v>497585.00000000006</v>
      </c>
      <c r="F75" s="88">
        <f t="shared" si="24"/>
        <v>673960.00000000012</v>
      </c>
      <c r="G75" s="88">
        <f t="shared" si="24"/>
        <v>1005960.0000000001</v>
      </c>
      <c r="H75" s="2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 t="s">
        <v>64</v>
      </c>
      <c r="B76" s="4"/>
      <c r="C76" s="87">
        <f t="shared" ref="C76:D76" si="25">IF(C$11&lt;=30,C$11/30*C57,0)+IF(AND(30&lt;C$11,C$11&lt;=60),C57+(C$11-30)/30*C55,0)+IF(AND(60&lt;C$11,C$11&lt;=90),C57+C55+(C$11-60)/30*C54,0)+IF(AND(90&lt;C$11,C$11&lt;=120),C57+C55+C54+(C$11-90)/30*C53,0)</f>
        <v>304333.33333333337</v>
      </c>
      <c r="D76" s="87">
        <f t="shared" si="25"/>
        <v>318720.00000000006</v>
      </c>
      <c r="E76" s="54"/>
      <c r="F76" s="54"/>
      <c r="G76" s="54"/>
      <c r="H76" s="2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 t="s">
        <v>65</v>
      </c>
      <c r="B77" s="4"/>
      <c r="C77" s="87">
        <f t="shared" ref="C77:D77" si="26">IF(C$11&lt;=30,C$11/30*C58,0)+IF(AND(30&lt;C$11,C$11&lt;=60),C58+(C$11-30)/30*C57,0)+IF(AND(60&lt;C$11,C$11&lt;=90),C58+C57+(C$11-60)/30*C55,0)+IF(AND(90&lt;C$11,C$11&lt;=120),C58+C57+C55+(C$11-90)/30*C54,0)</f>
        <v>304333.33333333337</v>
      </c>
      <c r="D77" s="87">
        <f t="shared" si="26"/>
        <v>318720.00000000006</v>
      </c>
      <c r="E77" s="54"/>
      <c r="F77" s="54"/>
      <c r="G77" s="5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 t="s">
        <v>66</v>
      </c>
      <c r="B78" s="4"/>
      <c r="C78" s="88">
        <f t="shared" ref="C78:D78" si="27">IF(C$11&lt;=30,C$11/30*C59,0)+IF(AND(30&lt;C$11,C$11&lt;=60),C59+(C$11-30)/30*C58,0)+IF(AND(60&lt;C$11,C$11&lt;=90),C59+C58+(C$11-60)/30*C57,0)+IF(AND(90&lt;C$11,C$11&lt;=120),C59+C58+C57+(C$11-90)/30*C55,0)</f>
        <v>304333.33333333337</v>
      </c>
      <c r="D78" s="88">
        <f t="shared" si="27"/>
        <v>318720.00000000006</v>
      </c>
      <c r="E78" s="88">
        <f t="shared" ref="E78:G78" si="28">IF((E$11&lt;=90),E60*(E$11)/90,0)+IF(AND(90&lt;E$11,E$11&lt;=120),E60+(E$11-90)/90*E56,0)</f>
        <v>497585.00000000006</v>
      </c>
      <c r="F78" s="88">
        <f t="shared" si="28"/>
        <v>673960.00000000012</v>
      </c>
      <c r="G78" s="88">
        <f t="shared" si="28"/>
        <v>1005960.0000000001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12"/>
      <c r="B79" s="4"/>
      <c r="C79" s="21"/>
      <c r="D79" s="21"/>
      <c r="E79" s="21"/>
      <c r="F79" s="21"/>
      <c r="G79" s="2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12"/>
      <c r="B80" s="4"/>
      <c r="C80" s="21"/>
      <c r="D80" s="21"/>
      <c r="E80" s="21"/>
      <c r="F80" s="21"/>
      <c r="G80" s="2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23" t="s">
        <v>202</v>
      </c>
      <c r="B81" s="4"/>
      <c r="C81" s="4"/>
      <c r="D81" s="4"/>
      <c r="E81" s="5"/>
      <c r="F81" s="5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4"/>
      <c r="B82" s="4"/>
      <c r="C82" s="4"/>
      <c r="D82" s="3" t="s">
        <v>41</v>
      </c>
      <c r="E82" s="5"/>
      <c r="F82" s="5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4"/>
      <c r="B83" s="4"/>
      <c r="C83" s="11" t="s">
        <v>9</v>
      </c>
      <c r="D83" s="11" t="s">
        <v>10</v>
      </c>
      <c r="E83" s="11" t="s">
        <v>11</v>
      </c>
      <c r="F83" s="11" t="s">
        <v>12</v>
      </c>
      <c r="G83" s="11" t="s">
        <v>13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 t="s">
        <v>52</v>
      </c>
      <c r="B84" s="4"/>
      <c r="C84" s="87">
        <f>IF(C$18&lt;=30,C$18/30*C45,0)+IF(AND(30&lt;C$18,C$18&lt;=60),C45,0)+IF(AND(60&lt;C$18,C$18&lt;=90),C45,0)+IF(AND(90&lt;C$18,C$18&lt;=120),C45,0)</f>
        <v>0</v>
      </c>
      <c r="D84" s="87">
        <f>IF(D$18&lt;=30,D$18/30*D45,0)+IF(AND(30&lt;D$18,D$18&lt;=60),D45+(D$18-30)/30*C59,0)+IF(AND(60&lt;D$18,D$18&lt;=90),D45+C59+(D$18-60)/30*C58,0)+IF(AND(90&lt;D$18,D$18&lt;=120),D45+C59+C58+(D$18-90)/30*C57,0)</f>
        <v>318720.00000000006</v>
      </c>
      <c r="E84" s="54"/>
      <c r="F84" s="54"/>
      <c r="G84" s="5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 t="s">
        <v>53</v>
      </c>
      <c r="B85" s="4"/>
      <c r="C85" s="87">
        <f>IF(C$18&lt;=30,C$18/30*C46,0)+IF(AND(30&lt;C$18,C$18&lt;=60),C46+(C$18-30)/30*C45,0)+IF(AND(60&lt;C$18,C$18&lt;=90),C46+C45,0)+IF(AND(90&lt;C$18,C$18&lt;=120),C46+C45,0)</f>
        <v>0</v>
      </c>
      <c r="D85" s="87">
        <f>IF(D$18&lt;=30,D$18/30*D46,0)+IF(AND(30&lt;D$18,D$18&lt;=60),D46+(D$18-30)/30*D45,0)+IF(AND(60&lt;D$18,D$18&lt;=90),D46+D45+(D$18-60)/30*C59,0)+IF(AND(90&lt;D$18,D$18&lt;=120),D46+D45+C59+(D$18-90)/30*C58,0)</f>
        <v>318720.00000000006</v>
      </c>
      <c r="E85" s="54"/>
      <c r="F85" s="54"/>
      <c r="G85" s="5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 t="s">
        <v>54</v>
      </c>
      <c r="B86" s="4"/>
      <c r="C86" s="88">
        <f>IF(C$18&lt;=30,C$18/30*C47,0)+IF(AND(30&lt;C$18,C$18&lt;=60),C47+(C$18-30)/30*C46,0)+IF(AND(60&lt;C$18,C$18&lt;=90),C47+C46+(C$18-60)/30*C45,0)+IF(AND(90&lt;C$18,C$18&lt;=120),C47+C46+C45,0)</f>
        <v>0</v>
      </c>
      <c r="D86" s="88">
        <f>IF(D$18&lt;=30,D$18/30*D47,0)+IF(AND(30&lt;D$18,D$18&lt;=60),D47+(D$18-30)/30*D46,0)+IF(AND(60&lt;D$18,D$18&lt;=90),D47+D46+(D$18-60)/30*D45,0)+IF(AND(90&lt;D$18,D$18&lt;=120),D47+D46+D45+(D$18-90)/30*C59,0)</f>
        <v>318720.00000000006</v>
      </c>
      <c r="E86" s="88">
        <f t="shared" ref="E86:G86" si="29">IF((E$18&lt;=90),E48*(E$18)/90,0)+IF(AND(90&lt;E$18,E$18&lt;=120),E48+(E$18-90)/90*D60,0)</f>
        <v>401665</v>
      </c>
      <c r="F86" s="88">
        <f t="shared" si="29"/>
        <v>544040</v>
      </c>
      <c r="G86" s="88">
        <f t="shared" si="29"/>
        <v>812040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 t="s">
        <v>56</v>
      </c>
      <c r="B87" s="4"/>
      <c r="C87" s="87">
        <f t="shared" ref="C87:D87" si="30">IF(C$18&lt;=30,C$18/30*C49,0)+IF(AND(30&lt;C$18,C$18&lt;=60),C49+(C$18-30)/30*C47,0)+IF(AND(60&lt;C$18,C$18&lt;=90),C49+C47+(C$18-60)/30*C46,0)+IF(AND(90&lt;C$18,C$18&lt;=120),C49+C47+C46+(C$18-90)/30*C45,0)</f>
        <v>304333.33333333337</v>
      </c>
      <c r="D87" s="87">
        <f t="shared" si="30"/>
        <v>318720.00000000006</v>
      </c>
      <c r="E87" s="54"/>
      <c r="F87" s="54"/>
      <c r="G87" s="5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 t="s">
        <v>57</v>
      </c>
      <c r="B88" s="4"/>
      <c r="C88" s="87">
        <f t="shared" ref="C88:D88" si="31">IF(C$18&lt;=30,C$18/30*C50,0)+IF(AND(30&lt;C$18,C$18&lt;=60),C50+(C$18-30)/30*C49,0)+IF(AND(60&lt;C$18,C$18&lt;=90),C50+C49+(C$18-60)/30*C47,0)+IF(AND(90&lt;C$18,C$18&lt;=120),C50+C49+C47+(C$18-90)/30*C46,0)</f>
        <v>304333.33333333337</v>
      </c>
      <c r="D88" s="87">
        <f t="shared" si="31"/>
        <v>318720.00000000006</v>
      </c>
      <c r="E88" s="54"/>
      <c r="F88" s="54"/>
      <c r="G88" s="5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 t="s">
        <v>58</v>
      </c>
      <c r="B89" s="4"/>
      <c r="C89" s="88">
        <f t="shared" ref="C89:D89" si="32">IF(C$18&lt;=30,C$18/30*C51,0)+IF(AND(30&lt;C$18,C$18&lt;=60),C51+(C$18-30)/30*C50,0)+IF(AND(60&lt;C$18,C$18&lt;=90),C51+C50+(C$18-60)/30*C49,0)+IF(AND(90&lt;C$18,C$18&lt;=120),C51+C50+C49+(C$18-90)/30*C47,0)</f>
        <v>304333.33333333337</v>
      </c>
      <c r="D89" s="88">
        <f t="shared" si="32"/>
        <v>318720.00000000006</v>
      </c>
      <c r="E89" s="88">
        <f>IF((E$18&lt;=90),E52*(E$18)/90,0)+IF(AND(90&lt;E$18,E$18&lt;=120),E52+(E$18-90)/90*E48,0)</f>
        <v>401665</v>
      </c>
      <c r="F89" s="88">
        <f t="shared" ref="F89:G89" si="33">IF((F$18&lt;=90),F52*(F$18)/90,0)+IF(AND(90&lt;F$18,F$18&lt;=120),F48+(F$18-90)/90*E80,0)</f>
        <v>544040</v>
      </c>
      <c r="G89" s="88">
        <f t="shared" si="33"/>
        <v>812040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 t="s">
        <v>60</v>
      </c>
      <c r="B90" s="4"/>
      <c r="C90" s="87">
        <f t="shared" ref="C90:D90" si="34">IF(C$18&lt;=30,C$18/30*C53,0)+IF(AND(30&lt;C$18,C$18&lt;=60),C53+(C$18-30)/30*C51,0)+IF(AND(60&lt;C$18,C$18&lt;=90),C53+C51+(C$18-60)/30*C50,0)+IF(AND(90&lt;C$18,C$18&lt;=120),C53+C51+C50+(C$18-90)/30*C49,0)</f>
        <v>304333.33333333337</v>
      </c>
      <c r="D90" s="87">
        <f t="shared" si="34"/>
        <v>318720.00000000006</v>
      </c>
      <c r="E90" s="54"/>
      <c r="F90" s="54"/>
      <c r="G90" s="5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 t="s">
        <v>61</v>
      </c>
      <c r="B91" s="4"/>
      <c r="C91" s="87">
        <f t="shared" ref="C91:D91" si="35">IF(C$18&lt;=30,C$18/30*C54,0)+IF(AND(30&lt;C$18,C$18&lt;=60),C54+(C$18-30)/30*C53,0)+IF(AND(60&lt;C$18,C$18&lt;=90),C54+C53+(C$18-60)/30*C51,0)+IF(AND(90&lt;C$18,C$18&lt;=120),C54+C53+C51+(C$18-90)/30*C50,0)</f>
        <v>304333.33333333337</v>
      </c>
      <c r="D91" s="87">
        <f t="shared" si="35"/>
        <v>318720.00000000006</v>
      </c>
      <c r="E91" s="54"/>
      <c r="F91" s="54"/>
      <c r="G91" s="5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 t="s">
        <v>62</v>
      </c>
      <c r="B92" s="4"/>
      <c r="C92" s="88">
        <f t="shared" ref="C92:D92" si="36">IF(C$18&lt;=30,C$18/30*C55,0)+IF(AND(30&lt;C$18,C$18&lt;=60),C55+(C$18-30)/30*C54,0)+IF(AND(60&lt;C$18,C$18&lt;=90),C55+C54+(C$18-60)/30*C53,0)+IF(AND(90&lt;C$18,C$18&lt;=120),C55+C54+C53+(C$18-90)/30*C51,0)</f>
        <v>304333.33333333337</v>
      </c>
      <c r="D92" s="88">
        <f t="shared" si="36"/>
        <v>318720.00000000006</v>
      </c>
      <c r="E92" s="88">
        <f>IF((E$18&lt;=90),E56*(E$18)/90,0)+IF(AND(90&lt;E$18,E$18&lt;=120),E56+(E$18-90)/90*E52,0)</f>
        <v>401665</v>
      </c>
      <c r="F92" s="88">
        <f t="shared" ref="F92:G92" si="37">IF((F$18&lt;=90),F56*(F$18)/90,0)+IF(AND(90&lt;F$18,F$18&lt;=120),#REF!+(F$18-90)/90*F52,0)</f>
        <v>544040</v>
      </c>
      <c r="G92" s="88">
        <f t="shared" si="37"/>
        <v>812040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 t="s">
        <v>64</v>
      </c>
      <c r="B93" s="4"/>
      <c r="C93" s="87">
        <f t="shared" ref="C93:D93" si="38">IF(C$18&lt;=30,C$18/30*C57,0)+IF(AND(30&lt;C$18,C$18&lt;=60),C57+(C$18-30)/30*C55,0)+IF(AND(60&lt;C$18,C$18&lt;=90),C57+C55+(C$18-60)/30*C54,0)+IF(AND(90&lt;C$18,C$18&lt;=120),C57+C55+C54+(C$18-90)/30*C53,0)</f>
        <v>304333.33333333337</v>
      </c>
      <c r="D93" s="87">
        <f t="shared" si="38"/>
        <v>318720.00000000006</v>
      </c>
      <c r="E93" s="54"/>
      <c r="F93" s="54"/>
      <c r="G93" s="5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 t="s">
        <v>65</v>
      </c>
      <c r="B94" s="4"/>
      <c r="C94" s="87">
        <f t="shared" ref="C94:D94" si="39">IF(C$18&lt;=30,C$18/30*C58,0)+IF(AND(30&lt;C$18,C$18&lt;=60),C58+(C$18-30)/30*C57,0)+IF(AND(60&lt;C$18,C$18&lt;=90),C58+C57+(C$18-60)/30*C55,0)+IF(AND(90&lt;C$18,C$18&lt;=120),C58+C57+C55+(C$18-90)/30*C54,0)</f>
        <v>304333.33333333337</v>
      </c>
      <c r="D94" s="87">
        <f t="shared" si="39"/>
        <v>318720.00000000006</v>
      </c>
      <c r="E94" s="54"/>
      <c r="F94" s="54"/>
      <c r="G94" s="5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 t="s">
        <v>66</v>
      </c>
      <c r="B95" s="4"/>
      <c r="C95" s="88">
        <f t="shared" ref="C95:D95" si="40">IF(C$18&lt;=30,C$18/30*C59,0)+IF(AND(30&lt;C$18,C$18&lt;=60),C59+(C$18-30)/30*C58,0)+IF(AND(60&lt;C$18,C$18&lt;=90),C59+C58+(C$18-60)/30*C57,0)+IF(AND(90&lt;C$18,C$18&lt;=120),C59+C58+C57+(C$18-90)/30*C55,0)</f>
        <v>304333.33333333337</v>
      </c>
      <c r="D95" s="88">
        <f t="shared" si="40"/>
        <v>318720.00000000006</v>
      </c>
      <c r="E95" s="88">
        <f t="shared" ref="E95:G95" si="41">IF((E$18&lt;=90),E60*(E$18)/90,0)+IF(AND(90&lt;E$18,E$18&lt;=120),E60+(E$18-90)/90*E56,0)</f>
        <v>401665</v>
      </c>
      <c r="F95" s="88">
        <f t="shared" si="41"/>
        <v>544040</v>
      </c>
      <c r="G95" s="88">
        <f t="shared" si="41"/>
        <v>812040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89"/>
      <c r="J97" s="89"/>
      <c r="K97" s="89"/>
      <c r="L97" s="89"/>
      <c r="M97" s="89"/>
      <c r="N97" s="89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23" t="s">
        <v>203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4"/>
      <c r="B99" s="4"/>
      <c r="C99" s="4"/>
      <c r="D99" s="3" t="s">
        <v>41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4"/>
      <c r="B100" s="4"/>
      <c r="C100" s="11" t="s">
        <v>9</v>
      </c>
      <c r="D100" s="11" t="s">
        <v>10</v>
      </c>
      <c r="E100" s="11" t="s">
        <v>11</v>
      </c>
      <c r="F100" s="11" t="s">
        <v>12</v>
      </c>
      <c r="G100" s="11" t="s">
        <v>13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 t="s">
        <v>52</v>
      </c>
      <c r="B101" s="4"/>
      <c r="C101" s="90">
        <f>IF(C$18&lt;=30,C$18/30*C45,0)+IF(AND(30&lt;C$18,C$18&lt;=60),C45,0)+IF(AND(60&lt;C$18,C$18&lt;=90),C45,0)+IF(AND(90&lt;C$18,C$18&lt;=120),C45,0)</f>
        <v>0</v>
      </c>
      <c r="D101" s="90">
        <f>IF(D$24&lt;=30,D$24/30*D45,0)+IF(AND(30&lt;D$24,D$24&lt;=60),D45+(D$24-30)/30*C59,0)+IF(AND(60&lt;D$24,D$24&lt;=90),D45+C59+(D$24-60)/30*C58,0)+IF(AND(90&lt;D$24,D$24&lt;=120),D45+C59+C58+(D$24-90)/30*C57,0)</f>
        <v>38400</v>
      </c>
      <c r="E101" s="91"/>
      <c r="F101" s="91"/>
      <c r="G101" s="91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 t="s">
        <v>53</v>
      </c>
      <c r="B102" s="4"/>
      <c r="C102" s="90">
        <f>IF(C$18&lt;=30,C$18/30*C46,0)+IF(AND(30&lt;C$18,C$18&lt;=60),C46+(C$18-30)/30*C45,0)+IF(AND(60&lt;C$18,C$18&lt;=90),C46+C45,0)+IF(AND(90&lt;C$18,C$18&lt;=120),C46+C45,0)</f>
        <v>0</v>
      </c>
      <c r="D102" s="90">
        <f>IF(D$24&lt;=30,D$24/30*D46,0)+IF(AND(30&lt;D$24,D$24&lt;=60),D46+(D$24-30)/30*D45,0)+IF(AND(60&lt;D$24,D$24&lt;=90),D46+D45+(D$24-60)/30*C59,0)+IF(AND(90&lt;D$24,D$24&lt;=120),D46+D45+C59+(D$24-90)/30*C58,0)</f>
        <v>38400</v>
      </c>
      <c r="E102" s="91"/>
      <c r="F102" s="91"/>
      <c r="G102" s="91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 t="s">
        <v>54</v>
      </c>
      <c r="B103" s="4"/>
      <c r="C103" s="92">
        <f>IF(C$18&lt;=30,C$18/30*C47,0)+IF(AND(30&lt;C$18,C$18&lt;=60),C47+(C$18-30)/30*C46,0)+IF(AND(60&lt;C$18,C$18&lt;=90),C47+C46+(C$18-60)/30*C45,0)+IF(AND(90&lt;C$18,C$18&lt;=120),C47+C46+C45,0)</f>
        <v>0</v>
      </c>
      <c r="D103" s="92">
        <f>IF(D$24&lt;=30,D$24/30*D47,0)+IF(AND(30&lt;D$24,D$24&lt;=60),D47+(D$24-30)/30*D46,0)+IF(AND(60&lt;D$24,D$24&lt;=90),D47+D47+(D$24-60)/30*D45,0)+IF(AND(90&lt;D$24,D$24&lt;=120),D47+D46+D45+(D$24-90)/30*C59,0)</f>
        <v>38400</v>
      </c>
      <c r="E103" s="88">
        <f t="shared" ref="E103:G103" si="42">IF((E$24&lt;=90),E48*(E$24)/90,0)+IF(AND(90&lt;E$24,E$24&lt;=120),E48+(E$24-90)/90*D60,0)</f>
        <v>59950</v>
      </c>
      <c r="F103" s="88">
        <f t="shared" si="42"/>
        <v>81200</v>
      </c>
      <c r="G103" s="88">
        <f t="shared" si="42"/>
        <v>121200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 t="s">
        <v>56</v>
      </c>
      <c r="B104" s="4"/>
      <c r="C104" s="87">
        <f t="shared" ref="C104:D104" si="43">IF(C$24&lt;=30,C$24/30*C49,0)+IF(AND(30&lt;C$24,C$24&lt;=60),C49+(C$24-30)/30*C47,0)+IF(AND(60&lt;C$24,C$24&lt;=90),C49+C47+(C$24-60)/30*C46,0)+IF(AND(90&lt;C$24,C$24&lt;=120),C49+C47+C46+(C$24-90)/30*C45,0)</f>
        <v>36666.666666666672</v>
      </c>
      <c r="D104" s="87">
        <f t="shared" si="43"/>
        <v>38400</v>
      </c>
      <c r="E104" s="91"/>
      <c r="F104" s="91"/>
      <c r="G104" s="91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 t="s">
        <v>57</v>
      </c>
      <c r="B105" s="4"/>
      <c r="C105" s="87">
        <f t="shared" ref="C105:D105" si="44">IF(C$24&lt;=30,C$24/30*C50,0)+IF(AND(30&lt;C$24,C$24&lt;=60),C50+(C$24-30)/30*C49,0)+IF(AND(60&lt;C$24,C$24&lt;=90),C50+C49+(C$24-60)/30*C47,0)+IF(AND(90&lt;C$24,C$24&lt;=120),C50+C49+C47+(C$24-90)/30*C46,0)</f>
        <v>36666.666666666672</v>
      </c>
      <c r="D105" s="87">
        <f t="shared" si="44"/>
        <v>38400</v>
      </c>
      <c r="E105" s="91"/>
      <c r="F105" s="91"/>
      <c r="G105" s="91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 t="s">
        <v>58</v>
      </c>
      <c r="B106" s="4"/>
      <c r="C106" s="88">
        <f t="shared" ref="C106:D106" si="45">IF(C$24&lt;=30,C$24/30*C51,0)+IF(AND(30&lt;C$24,C$24&lt;=60),C51+(C$24-30)/30*C50,0)+IF(AND(60&lt;C$24,C$24&lt;=90),C51+C50+(C$24-60)/30*C49,0)+IF(AND(90&lt;C$24,C$24&lt;=120),C51+C50+C49+(C$24-90)/30*C47,0)</f>
        <v>36666.666666666672</v>
      </c>
      <c r="D106" s="88">
        <f t="shared" si="45"/>
        <v>38400</v>
      </c>
      <c r="E106" s="88">
        <f t="shared" ref="E106:G106" si="46">IF((E$24&lt;=90),E52*(E$24)/90,0)+IF(AND(90&lt;E$24,E$24&lt;=120),E52+(E$24-90)/90*E48,0)</f>
        <v>59950</v>
      </c>
      <c r="F106" s="88">
        <f t="shared" si="46"/>
        <v>81200</v>
      </c>
      <c r="G106" s="88">
        <f t="shared" si="46"/>
        <v>121200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 t="s">
        <v>60</v>
      </c>
      <c r="B107" s="4"/>
      <c r="C107" s="87">
        <f t="shared" ref="C107:D107" si="47">IF(C$24&lt;=30,C$24/30*C53,0)+IF(AND(30&lt;C$24,C$24&lt;=60),C53+(C$24-30)/30*C51,0)+IF(AND(60&lt;C$24,C$24&lt;=90),C53+C51+(C$24-60)/30*C50,0)+IF(AND(90&lt;C$24,C$24&lt;=120),C53+C51+C50+(C$24-90)/30*C49,0)</f>
        <v>36666.666666666672</v>
      </c>
      <c r="D107" s="87">
        <f t="shared" si="47"/>
        <v>38400</v>
      </c>
      <c r="E107" s="91"/>
      <c r="F107" s="91"/>
      <c r="G107" s="91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 t="s">
        <v>61</v>
      </c>
      <c r="B108" s="4"/>
      <c r="C108" s="87">
        <f t="shared" ref="C108:D108" si="48">IF(C$24&lt;=30,C$24/30*C54,0)+IF(AND(30&lt;C$24,C$24&lt;=60),C54+(C$24-30)/30*C53,0)+IF(AND(60&lt;C$24,C$24&lt;=90),C54+C53+(C$24-60)/30*C51,0)+IF(AND(90&lt;C$24,C$24&lt;=120),C54+C53+C51+(C$24-90)/30*C50,0)</f>
        <v>36666.666666666672</v>
      </c>
      <c r="D108" s="87">
        <f t="shared" si="48"/>
        <v>38400</v>
      </c>
      <c r="E108" s="91"/>
      <c r="F108" s="91"/>
      <c r="G108" s="91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 t="s">
        <v>62</v>
      </c>
      <c r="B109" s="4"/>
      <c r="C109" s="88">
        <f t="shared" ref="C109:D109" si="49">IF(C$24&lt;=30,C$24/30*C55,0)+IF(AND(30&lt;C$24,C$24&lt;=60),C55+(C$24-30)/30*C54,0)+IF(AND(60&lt;C$24,C$24&lt;=90),C55+C54+(C$24-60)/30*C53,0)+IF(AND(90&lt;C$24,C$24&lt;=120),C55+C54+C53+(C$24-90)/30*C51,0)</f>
        <v>36666.666666666672</v>
      </c>
      <c r="D109" s="88">
        <f t="shared" si="49"/>
        <v>38400</v>
      </c>
      <c r="E109" s="88">
        <f t="shared" ref="E109:G109" si="50">IF((E$24&lt;=90),E56*(E$24)/90,0)+IF(AND(90&lt;E$24,E$24&lt;=120),E56+(E$24-90)/90*E52,0)</f>
        <v>59950</v>
      </c>
      <c r="F109" s="88">
        <f t="shared" si="50"/>
        <v>81200</v>
      </c>
      <c r="G109" s="88">
        <f t="shared" si="50"/>
        <v>121200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 t="s">
        <v>64</v>
      </c>
      <c r="B110" s="4"/>
      <c r="C110" s="87">
        <f t="shared" ref="C110:D110" si="51">IF(C$24&lt;=30,C$24/30*C57,0)+IF(AND(30&lt;C$24,C$24&lt;=60),C57+(C$24-30)/30*C55,0)+IF(AND(60&lt;C$24,C$24&lt;=90),C57+C55+(C$24-60)/30*C54,0)+IF(AND(90&lt;C$24,C$24&lt;=120),C57+C55+C54+(C$24-90)/30*C53,0)</f>
        <v>36666.666666666672</v>
      </c>
      <c r="D110" s="87">
        <f t="shared" si="51"/>
        <v>38400</v>
      </c>
      <c r="E110" s="91"/>
      <c r="F110" s="91"/>
      <c r="G110" s="9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 t="s">
        <v>65</v>
      </c>
      <c r="B111" s="4"/>
      <c r="C111" s="87">
        <f t="shared" ref="C111:D111" si="52">IF(C$24&lt;=30,C$24/30*C58,0)+IF(AND(30&lt;C$24,C$24&lt;=60),C58+(C$24-30)/30*C57,0)+IF(AND(60&lt;C$24,C$24&lt;=90),C58+C57+(C$24-60)/30*C55,0)+IF(AND(90&lt;C$24,C$24&lt;=120),C58+C57+C55+(C$24-90)/30*C54,0)</f>
        <v>36666.666666666672</v>
      </c>
      <c r="D111" s="87">
        <f t="shared" si="52"/>
        <v>38400</v>
      </c>
      <c r="E111" s="91"/>
      <c r="F111" s="91"/>
      <c r="G111" s="91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 t="s">
        <v>66</v>
      </c>
      <c r="B112" s="4"/>
      <c r="C112" s="88">
        <f t="shared" ref="C112:D112" si="53">IF(C$24&lt;=30,C$24/30*C59,0)+IF(AND(30&lt;C$24,C$24&lt;=60),C59+(C$24-30)/30*C58,0)+IF(AND(60&lt;C$24,C$24&lt;=90),C59+C58+(C$24-60)/30*C57,0)+IF(AND(90&lt;C$24,C$24&lt;=120),C59+C58+C57+(C$24-90)/30*C55,0)</f>
        <v>36666.666666666672</v>
      </c>
      <c r="D112" s="88">
        <f t="shared" si="53"/>
        <v>38400</v>
      </c>
      <c r="E112" s="88">
        <f t="shared" ref="E112:G112" si="54">IF((E$24&lt;=90),E60*(E$24)/90,0)+IF(AND(90&lt;E$24,E$24&lt;=120),E60+(E$24-90)/90*E56,0)</f>
        <v>59950</v>
      </c>
      <c r="F112" s="88">
        <f t="shared" si="54"/>
        <v>81200</v>
      </c>
      <c r="G112" s="88">
        <f t="shared" si="54"/>
        <v>121200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23" t="s">
        <v>204</v>
      </c>
      <c r="B115" s="4"/>
      <c r="C115" s="4"/>
      <c r="D115" s="4"/>
      <c r="E115" s="5"/>
      <c r="F115" s="5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4"/>
      <c r="B116" s="4"/>
      <c r="C116" s="4"/>
      <c r="D116" s="3" t="s">
        <v>41</v>
      </c>
      <c r="E116" s="5"/>
      <c r="F116" s="5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4"/>
      <c r="B117" s="4"/>
      <c r="C117" s="11" t="s">
        <v>9</v>
      </c>
      <c r="D117" s="11" t="s">
        <v>10</v>
      </c>
      <c r="E117" s="11" t="s">
        <v>11</v>
      </c>
      <c r="F117" s="11" t="s">
        <v>12</v>
      </c>
      <c r="G117" s="11" t="s">
        <v>13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 t="s">
        <v>52</v>
      </c>
      <c r="B118" s="4"/>
      <c r="C118" s="90">
        <f>IF(C$30&lt;=30,C$30/30*C28,0)+IF(AND(30&lt;C$30,C$30&lt;=60),C28,0)+IF(AND(60&lt;C$30,C$30&lt;=90),C28,0)+IF(AND(90&lt;C$30,C$30&lt;=120),C28,0)</f>
        <v>0</v>
      </c>
      <c r="D118" s="90">
        <f>IF(D$30&lt;=30,D$30/30*D28,0)+IF(AND(30&lt;D$30,D$30&lt;=60),D28+(D$30-30)/30*C59,0)+IF(AND(60&lt;D$30,D$30&lt;=90),D28+C42+(D$30-60)/30*C58,0)+IF(AND(90&lt;D$30,D$30&lt;=120),D28+C42+C41+(D$30-90)/30*C57,0)</f>
        <v>13444.444444444413</v>
      </c>
      <c r="E118" s="54"/>
      <c r="F118" s="54"/>
      <c r="G118" s="5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 t="s">
        <v>53</v>
      </c>
      <c r="B119" s="4"/>
      <c r="C119" s="90">
        <f>IF(C$30&lt;=30,C$30/30*C29,0)+IF(AND(30&lt;C$30,C$30&lt;=60),C29+(C$30-30)/30*C28,0)+IF(AND(60&lt;C$30,C$30&lt;=90),C29+C28,0)+IF(AND(90&lt;C$30,C$30&lt;=120),C29+C28,0)</f>
        <v>8.6999999999999994E-2</v>
      </c>
      <c r="D119" s="90">
        <f>IF(D$30&lt;=30,D$30/30*D29,0)+IF(AND(30&lt;D$30,D$30&lt;=60),D29+(D$30-30)/30*D28,0)+IF(AND(60&lt;D$30,D$30&lt;=90),D29+D28+(D$30-60)/30*C42,0)+IF(AND(90&lt;D$30,D$30&lt;=120),D29+D28+C42+(D$30-90)/30*C41,0)</f>
        <v>8.6999999999999994E-2</v>
      </c>
      <c r="E119" s="54"/>
      <c r="F119" s="54"/>
      <c r="G119" s="5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 t="s">
        <v>54</v>
      </c>
      <c r="B120" s="4"/>
      <c r="C120" s="92">
        <f>IF(C$30&lt;=30,C$30/30*C30,0)+IF(AND(30&lt;C$30,C$30&lt;=60),C30+(C$30-30)/30*C29,0)+IF(AND(60&lt;C$30,C$30&lt;=90),C30+C29+(C$30-60)/30*C28,0)+IF(AND(90&lt;C$30,C$30&lt;=120),C30+C29+C28,0)</f>
        <v>31.323827999999995</v>
      </c>
      <c r="D120" s="92">
        <f>IF(D$30&lt;=30,D$30/30*D30,0)+IF(AND(30&lt;D$30,D$30&lt;=60),D30+(D$30-30)/30*D29,0)+IF(AND(60&lt;D$30,D$30&lt;=90),D30+D29+(D$30-60)/30*D28,0)+IF(AND(90&lt;D$30,D$30&lt;=120),D30+D29+D28+(D$30-90)/30*C42,0)</f>
        <v>31.323827999999995</v>
      </c>
      <c r="E120" s="88">
        <f t="shared" ref="E120:G120" si="55">IF((E$30&lt;=90),E48*(E$30)/90,0)+IF(AND(90&lt;E$30,E$30&lt;=120),E48+(E$30-90)/90*D60,0)</f>
        <v>521564.99999999994</v>
      </c>
      <c r="F120" s="88">
        <f t="shared" si="55"/>
        <v>706439.99999999988</v>
      </c>
      <c r="G120" s="88">
        <f t="shared" si="55"/>
        <v>1054439.9999999998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 t="s">
        <v>56</v>
      </c>
      <c r="B121" s="4"/>
      <c r="C121" s="87">
        <f t="shared" ref="C121:D121" si="56">IF(C$30&lt;=30,C$30/30*C49,0)+IF(AND(30&lt;C$30,C$30&lt;=60),C49+(C$30-30)/30*C47,0)+IF(AND(60&lt;C$30,C$30&lt;=90),C49+C47+(C$30-60)/30*C46,0)+IF(AND(90&lt;C$30,C$30&lt;=120),C49+C47+C46+(C$30-90)/30*C45,0)</f>
        <v>305555.55555555556</v>
      </c>
      <c r="D121" s="87">
        <f t="shared" si="56"/>
        <v>334079.99999999994</v>
      </c>
      <c r="E121" s="54"/>
      <c r="F121" s="54"/>
      <c r="G121" s="5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 t="s">
        <v>57</v>
      </c>
      <c r="B122" s="4"/>
      <c r="C122" s="87">
        <f t="shared" ref="C122:D122" si="57">IF(C$30&lt;=30,C$30/30*C50,0)+IF(AND(30&lt;C$30,C$30&lt;=60),C50+(C$30-30)/30*C49,0)+IF(AND(60&lt;C$30,C$30&lt;=90),C50+C49+(C$30-60)/30*C47,0)+IF(AND(90&lt;C$30,C$30&lt;=120),C50+C49+C47+(C$30-90)/30*C46,0)</f>
        <v>319000</v>
      </c>
      <c r="D122" s="87">
        <f t="shared" si="57"/>
        <v>334079.99999999994</v>
      </c>
      <c r="E122" s="54"/>
      <c r="F122" s="54"/>
      <c r="G122" s="5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 t="s">
        <v>58</v>
      </c>
      <c r="B123" s="4"/>
      <c r="C123" s="88">
        <f t="shared" ref="C123:D123" si="58">IF(C$30&lt;=30,C$30/30*C51,0)+IF(AND(30&lt;C$30,C$30&lt;=60),C51+(C$30-30)/30*C50,0)+IF(AND(60&lt;C$30,C$30&lt;=90),C51+C50+(C$30-60)/30*C49,0)+IF(AND(90&lt;C$30,C$30&lt;=120),C51+C50+C49+(C$30-90)/30*C47,0)</f>
        <v>319000</v>
      </c>
      <c r="D123" s="88">
        <f t="shared" si="58"/>
        <v>334079.99999999994</v>
      </c>
      <c r="E123" s="88">
        <f t="shared" ref="E123:G123" si="59">IF((E$30&lt;=90),E52*(E$30)/90,0)+IF(AND(90&lt;E$30,E$30&lt;=120),E52+(E$30-90)/90*E48,0)</f>
        <v>521564.99999999994</v>
      </c>
      <c r="F123" s="88">
        <f t="shared" si="59"/>
        <v>706439.99999999988</v>
      </c>
      <c r="G123" s="88">
        <f t="shared" si="59"/>
        <v>1054439.9999999998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 t="s">
        <v>60</v>
      </c>
      <c r="B124" s="4"/>
      <c r="C124" s="87">
        <f t="shared" ref="C124:D124" si="60">IF(C$30&lt;=30,C$30/30*C53,0)+IF(AND(30&lt;C$30,C$30&lt;=60),C53+(C$30-30)/30*C51,0)+IF(AND(60&lt;C$30,C$30&lt;=90),C53+C51+(C$30-60)/30*C50,0)+IF(AND(90&lt;C$30,C$30&lt;=120),C53+C51+C50+(C$30-90)/30*C49,0)</f>
        <v>319000</v>
      </c>
      <c r="D124" s="87">
        <f t="shared" si="60"/>
        <v>334079.99999999994</v>
      </c>
      <c r="E124" s="54"/>
      <c r="F124" s="54"/>
      <c r="G124" s="5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 t="s">
        <v>61</v>
      </c>
      <c r="B125" s="4"/>
      <c r="C125" s="87">
        <f t="shared" ref="C125:D125" si="61">IF(C$30&lt;=30,C$30/30*C54,0)+IF(AND(30&lt;C$30,C$30&lt;=60),C54+(C$30-30)/30*C53,0)+IF(AND(60&lt;C$30,C$30&lt;=90),C54+C53+(C$30-60)/30*C51,0)+IF(AND(90&lt;C$30,C$30&lt;=120),C54+C53+C51+(C$30-90)/30*C50,0)</f>
        <v>319000</v>
      </c>
      <c r="D125" s="87">
        <f t="shared" si="61"/>
        <v>334079.99999999994</v>
      </c>
      <c r="E125" s="54"/>
      <c r="F125" s="54"/>
      <c r="G125" s="5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 t="s">
        <v>62</v>
      </c>
      <c r="B126" s="4"/>
      <c r="C126" s="88">
        <f t="shared" ref="C126:D126" si="62">IF(C$30&lt;=30,C$30/30*C55,0)+IF(AND(30&lt;C$30,C$30&lt;=60),C55+(C$30-30)/30*C54,0)+IF(AND(60&lt;C$30,C$30&lt;=90),C55+C54+(C$30-60)/30*C53,0)+IF(AND(90&lt;C$30,C$30&lt;=120),C55+C54+C53+(C$30-90)/30*C51,0)</f>
        <v>319000</v>
      </c>
      <c r="D126" s="88">
        <f t="shared" si="62"/>
        <v>334079.99999999994</v>
      </c>
      <c r="E126" s="88">
        <f t="shared" ref="E126:G126" si="63">IF((E$30&lt;=90),E56*(E$30)/90,0)+IF(AND(90&lt;E$30,E$30&lt;=120),E56+(E$30-90)/90*E52,0)</f>
        <v>521564.99999999994</v>
      </c>
      <c r="F126" s="88">
        <f t="shared" si="63"/>
        <v>706439.99999999988</v>
      </c>
      <c r="G126" s="88">
        <f t="shared" si="63"/>
        <v>1054439.9999999998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 t="s">
        <v>64</v>
      </c>
      <c r="B127" s="4"/>
      <c r="C127" s="87">
        <f t="shared" ref="C127:D127" si="64">IF(C$30&lt;=30,C$30/30*C57,0)+IF(AND(30&lt;C$30,C$30&lt;=60),C57+(C$30-30)/30*C55,0)+IF(AND(60&lt;C$30,C$30&lt;=90),C57+C55+(C$30-60)/30*C54,0)+IF(AND(90&lt;C$30,C$30&lt;=120),C57+C55+C54+(C$30-90)/30*C53,0)</f>
        <v>319000</v>
      </c>
      <c r="D127" s="87">
        <f t="shared" si="64"/>
        <v>334079.99999999994</v>
      </c>
      <c r="E127" s="54"/>
      <c r="F127" s="54"/>
      <c r="G127" s="5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 t="s">
        <v>65</v>
      </c>
      <c r="B128" s="4"/>
      <c r="C128" s="87">
        <f t="shared" ref="C128:D128" si="65">IF(C$30&lt;=30,C$30/30*C58,0)+IF(AND(30&lt;C$30,C$30&lt;=60),C58+(C$30-30)/30*C57,0)+IF(AND(60&lt;C$30,C$30&lt;=90),C58+C57+(C$30-60)/30*C55,0)+IF(AND(90&lt;C$30,C$30&lt;=120),C58+C57+C55+(C$30-90)/30*C54,0)</f>
        <v>319000</v>
      </c>
      <c r="D128" s="87">
        <f t="shared" si="65"/>
        <v>334079.99999999994</v>
      </c>
      <c r="E128" s="54"/>
      <c r="F128" s="54"/>
      <c r="G128" s="5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 t="s">
        <v>66</v>
      </c>
      <c r="B129" s="4"/>
      <c r="C129" s="88">
        <f t="shared" ref="C129:D129" si="66">IF(C$30&lt;=30,C$30/30*C59,0)+IF(AND(30&lt;C$30,C$30&lt;=60),C59+(C$30-30)/30*C58,0)+IF(AND(60&lt;C$30,C$30&lt;=90),C59+C58+(C$30-60)/30*C57,0)+IF(AND(90&lt;C$30,C$30&lt;=120),C59+C58+C57+(C$30-90)/30*C55,0)</f>
        <v>319000</v>
      </c>
      <c r="D129" s="88">
        <f t="shared" si="66"/>
        <v>334079.99999999994</v>
      </c>
      <c r="E129" s="88">
        <f t="shared" ref="E129:G129" si="67">IF((E$30&lt;=90),E60*(E$30)/90,0)+IF(AND(90&lt;E$30,E$30&lt;=120),E60+(E$30-90)/90*E56,0)</f>
        <v>521564.99999999994</v>
      </c>
      <c r="F129" s="88">
        <f t="shared" si="67"/>
        <v>706439.99999999988</v>
      </c>
      <c r="G129" s="88">
        <f t="shared" si="67"/>
        <v>1054439.9999999998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23" t="s">
        <v>205</v>
      </c>
      <c r="B132" s="4"/>
      <c r="C132" s="4"/>
      <c r="D132" s="4"/>
      <c r="E132" s="5"/>
      <c r="F132" s="5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4"/>
      <c r="B133" s="4"/>
      <c r="C133" s="4"/>
      <c r="D133" s="3" t="s">
        <v>41</v>
      </c>
      <c r="E133" s="5"/>
      <c r="F133" s="5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4"/>
      <c r="B134" s="4"/>
      <c r="C134" s="11" t="s">
        <v>9</v>
      </c>
      <c r="D134" s="11" t="s">
        <v>10</v>
      </c>
      <c r="E134" s="11" t="s">
        <v>11</v>
      </c>
      <c r="F134" s="11" t="s">
        <v>12</v>
      </c>
      <c r="G134" s="11" t="s">
        <v>13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 t="s">
        <v>52</v>
      </c>
      <c r="B135" s="4"/>
      <c r="C135" s="87">
        <f>IF(C$36&lt;=30,C$36/30*C45,0)+IF(AND(30&lt;C$36,C$36&lt;=60),C45,0)+IF(AND(60&lt;C$36,C$36&lt;=90),C45,0)+IF(AND(90&lt;C$36,C$36&lt;=120),C45,0)</f>
        <v>0</v>
      </c>
      <c r="D135" s="87">
        <f>IF(D$36&lt;=30,D$36/30*D45,0)+IF(AND(30&lt;D$36,D$36&lt;=60),D45+(D$36-30)/30*C59,0)+IF(AND(60&lt;D$36,D$36&lt;=90),D45+C59+(D$36-60)/30*C58,0)+IF(AND(90&lt;D$36,D$36&lt;=120),D45+C59+C58+(D$36-90)/30*C57,0)</f>
        <v>38400</v>
      </c>
      <c r="E135" s="54"/>
      <c r="F135" s="54"/>
      <c r="G135" s="5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 t="s">
        <v>53</v>
      </c>
      <c r="B136" s="4"/>
      <c r="C136" s="87">
        <f>IF(C$36&lt;=30,C$36/30*C46,0)+IF(AND(30&lt;C$36,C$36&lt;=60),C46+(C$36-30)/30*C45,0)+IF(AND(60&lt;C$36,C$36&lt;=90),C46+C45,0)+IF(AND(90&lt;C$36,C$36&lt;=120),C46+C45,0)</f>
        <v>0</v>
      </c>
      <c r="D136" s="87">
        <f>IF(D$36&lt;=30,D$36/30*D46,0)+IF(AND(30&lt;D$36,D$36&lt;=60),D46+(D$36-30)/30*D45,0)+IF(AND(60&lt;D$36,D$36&lt;=90),D46+D45+(D$36-60)/30*C59,0)+IF(AND(90&lt;D$36,D$36&lt;=120),D46+D45+C59+(D$36-90)/30*C58,0)</f>
        <v>38400</v>
      </c>
      <c r="E136" s="54"/>
      <c r="F136" s="54"/>
      <c r="G136" s="5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 t="s">
        <v>54</v>
      </c>
      <c r="B137" s="4"/>
      <c r="C137" s="88">
        <f>IF(C$36&lt;=30,C$36/30*C47,0)+IF(AND(30&lt;C$36,C$36&lt;=60),C47+(C$36-30)/30*C46,0)+IF(AND(60&lt;C$36,C$36&lt;=90),C47+C46+(C$36-60)/30*C45,0)+IF(AND(90&lt;C$36,C$36&lt;=120),C47+C46+C45,0)</f>
        <v>0</v>
      </c>
      <c r="D137" s="88">
        <f>IF(D$36&lt;=30,D$36/30*D47,0)+IF(AND(30&lt;D$36,D$36&lt;=60),D47+(D$36-30)/30*D46,0)+IF(AND(60&lt;D$36,D$36&lt;=90),D47+D46+(D$36-60)/30*D45,0)+IF(AND(90&lt;D$36,D$36&lt;=120),D47+D46+D45+(D$36-90)/30*C59,0)</f>
        <v>38400</v>
      </c>
      <c r="E137" s="88">
        <f t="shared" ref="E137:G137" si="68">IF((E$36&lt;=90),E48*(E$36)/90,0)+IF(AND(90&lt;E$36,E$36&lt;=120),E48+(E$36-90)/90*D60,0)</f>
        <v>59950</v>
      </c>
      <c r="F137" s="88">
        <f t="shared" si="68"/>
        <v>81200</v>
      </c>
      <c r="G137" s="88">
        <f t="shared" si="68"/>
        <v>121200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 t="s">
        <v>56</v>
      </c>
      <c r="B138" s="4"/>
      <c r="C138" s="87">
        <f t="shared" ref="C138:D138" si="69">IF(C$36&lt;=30,C$36/30*C49,0)+IF(AND(30&lt;C$36,C$36&lt;=60),C49+(C$36-30)/30*C47,0)+IF(AND(60&lt;C$36,C$36&lt;=90),C49+C47+(C$36-60)/30*C46,0)+IF(AND(90&lt;C$36,C$36&lt;=120),C49+C47+C46+(C$36-90)/30*C45,0)</f>
        <v>36666.666666666672</v>
      </c>
      <c r="D138" s="87">
        <f t="shared" si="69"/>
        <v>38400</v>
      </c>
      <c r="E138" s="54"/>
      <c r="F138" s="54"/>
      <c r="G138" s="5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 t="s">
        <v>57</v>
      </c>
      <c r="B139" s="4"/>
      <c r="C139" s="87">
        <f t="shared" ref="C139:D139" si="70">IF(C$36&lt;=30,C$36/30*C50,0)+IF(AND(30&lt;C$36,C$36&lt;=60),C50+(C$36-30)/30*C49,0)+IF(AND(60&lt;C$36,C$36&lt;=90),C50+C49+(C$36-60)/30*C47,0)+IF(AND(90&lt;C$36,C$36&lt;=120),C50+C49+C47+(C$36-90)/30*C46,0)</f>
        <v>36666.666666666672</v>
      </c>
      <c r="D139" s="87">
        <f t="shared" si="70"/>
        <v>38400</v>
      </c>
      <c r="E139" s="54"/>
      <c r="F139" s="54"/>
      <c r="G139" s="5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 t="s">
        <v>58</v>
      </c>
      <c r="B140" s="4"/>
      <c r="C140" s="88">
        <f t="shared" ref="C140:D140" si="71">IF(C$36&lt;=30,C$36/30*C51,0)+IF(AND(30&lt;C$36,C$36&lt;=60),C51+(C$36-30)/30*C50,0)+IF(AND(60&lt;C$36,C$36&lt;=90),C51+C50+(C$36-60)/30*C49,0)+IF(AND(90&lt;C$36,C$36&lt;=120),C51+C50+C49+(C$36-90)/30*C47,0)</f>
        <v>36666.666666666672</v>
      </c>
      <c r="D140" s="88">
        <f t="shared" si="71"/>
        <v>38400</v>
      </c>
      <c r="E140" s="88">
        <f t="shared" ref="E140:G140" si="72">IF((E$36&lt;=90),E52*(E$36)/90,0)+IF(AND(90&lt;E$36,E$36&lt;=120),E52+(E$36-90)/90*E48,0)</f>
        <v>59950</v>
      </c>
      <c r="F140" s="88">
        <f t="shared" si="72"/>
        <v>81200</v>
      </c>
      <c r="G140" s="88">
        <f t="shared" si="72"/>
        <v>121200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 t="s">
        <v>60</v>
      </c>
      <c r="B141" s="4"/>
      <c r="C141" s="87">
        <f t="shared" ref="C141:D141" si="73">IF(C$36&lt;=30,C$36/30*C53,0)+IF(AND(30&lt;C$36,C$36&lt;=60),C53+(C$36-30)/30*C51,0)+IF(AND(60&lt;C$36,C$36&lt;=90),C53+C51+(C$36-60)/30*C50,0)+IF(AND(90&lt;C$36,C$36&lt;=120),C53+C51+C50+(C$36-90)/30*C49,0)</f>
        <v>36666.666666666672</v>
      </c>
      <c r="D141" s="87">
        <f t="shared" si="73"/>
        <v>38400</v>
      </c>
      <c r="E141" s="54"/>
      <c r="F141" s="54"/>
      <c r="G141" s="5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 t="s">
        <v>61</v>
      </c>
      <c r="B142" s="4"/>
      <c r="C142" s="87">
        <f t="shared" ref="C142:D142" si="74">IF(C$36&lt;=30,C$36/30*C54,0)+IF(AND(30&lt;C$36,C$36&lt;=60),C54+(C$36-30)/30*C53,0)+IF(AND(60&lt;C$36,C$36&lt;=90),C54+C53+(C$36-60)/30*C51,0)+IF(AND(90&lt;C$36,C$36&lt;=120),C54+C53+C51+(C$36-90)/30*C50,0)</f>
        <v>36666.666666666672</v>
      </c>
      <c r="D142" s="87">
        <f t="shared" si="74"/>
        <v>38400</v>
      </c>
      <c r="E142" s="54"/>
      <c r="F142" s="54"/>
      <c r="G142" s="5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 t="s">
        <v>62</v>
      </c>
      <c r="B143" s="4"/>
      <c r="C143" s="88">
        <f t="shared" ref="C143:D143" si="75">IF(C$36&lt;=30,C$36/30*C55,0)+IF(AND(30&lt;C$36,C$36&lt;=60),C55+(C$36-30)/30*C54,0)+IF(AND(60&lt;C$36,C$36&lt;=90),C55+C54+(C$36-60)/30*C53,0)+IF(AND(90&lt;C$36,C$36&lt;=120),C55+C54+C53+(C$36-90)/30*C51,0)</f>
        <v>36666.666666666672</v>
      </c>
      <c r="D143" s="88">
        <f t="shared" si="75"/>
        <v>38400</v>
      </c>
      <c r="E143" s="88">
        <f t="shared" ref="E143:G143" si="76">IF((E$36&lt;=90),E56*(E$36)/90,0)+IF(AND(90&lt;E$36,E$36&lt;=120),E56+(E$36-90)/90*E52,0)</f>
        <v>59950</v>
      </c>
      <c r="F143" s="88">
        <f t="shared" si="76"/>
        <v>81200</v>
      </c>
      <c r="G143" s="88">
        <f t="shared" si="76"/>
        <v>121200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 t="s">
        <v>64</v>
      </c>
      <c r="B144" s="4"/>
      <c r="C144" s="87">
        <f t="shared" ref="C144:D144" si="77">IF(C$36&lt;=30,C$36/30*C57,0)+IF(AND(30&lt;C$36,C$36&lt;=60),C57+(C$36-30)/30*C55,0)+IF(AND(60&lt;C$36,C$36&lt;=90),C57+C55+(C$36-60)/30*C54,0)+IF(AND(90&lt;C$36,C$36&lt;=120),C57+C55+C54+(C$36-90)/30*C53,0)</f>
        <v>36666.666666666672</v>
      </c>
      <c r="D144" s="87">
        <f t="shared" si="77"/>
        <v>38400</v>
      </c>
      <c r="E144" s="54"/>
      <c r="F144" s="54"/>
      <c r="G144" s="5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 t="s">
        <v>65</v>
      </c>
      <c r="B145" s="4"/>
      <c r="C145" s="87">
        <f t="shared" ref="C145:D145" si="78">IF(C$36&lt;=30,C$36/30*C58,0)+IF(AND(30&lt;C$36,C$36&lt;=60),C58+(C$36-30)/30*C57,0)+IF(AND(60&lt;C$36,C$36&lt;=90),C58+C57+(C$36-60)/30*C55,0)+IF(AND(90&lt;C$36,C$36&lt;=120),C58+C57+C55+(C$36-90)/30*C54,0)</f>
        <v>36666.666666666672</v>
      </c>
      <c r="D145" s="87">
        <f t="shared" si="78"/>
        <v>38400</v>
      </c>
      <c r="E145" s="54"/>
      <c r="F145" s="54"/>
      <c r="G145" s="5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 t="s">
        <v>66</v>
      </c>
      <c r="B146" s="4"/>
      <c r="C146" s="88">
        <f t="shared" ref="C146:D146" si="79">IF(C$36&lt;=30,C$36/30*C59,0)+IF(AND(30&lt;C$36,C$36&lt;=60),C59+(C$36-30)/30*C58,0)+IF(AND(60&lt;C$36,C$36&lt;=90),C59+C58+(C$36-60)/30*C57,0)+IF(AND(90&lt;C$36,C$36&lt;=120),C59+C58+C57+(C$36-90)/30*C55,0)</f>
        <v>36666.666666666672</v>
      </c>
      <c r="D146" s="88">
        <f t="shared" si="79"/>
        <v>38400</v>
      </c>
      <c r="E146" s="88">
        <f t="shared" ref="E146:G146" si="80">IF((E$36&lt;=90),E60*(E$36)/90,0)+IF(AND(90&lt;E$36,E$36&lt;=120),E60+(E$36-90)/90*E56,0)</f>
        <v>59950</v>
      </c>
      <c r="F146" s="88">
        <f t="shared" si="80"/>
        <v>81200</v>
      </c>
      <c r="G146" s="88">
        <f t="shared" si="80"/>
        <v>121200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spans="1:25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spans="1:25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</sheetData>
  <pageMargins left="0.7" right="0.7" top="0.75" bottom="0.75" header="0" footer="0"/>
  <pageSetup orientation="landscape"/>
  <headerFooter>
    <oddHeader>&amp;R&amp;D &amp;T</oddHeader>
  </headerFooter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Y1000"/>
  <sheetViews>
    <sheetView topLeftCell="A7" workbookViewId="0">
      <selection activeCell="B6" sqref="B6"/>
    </sheetView>
  </sheetViews>
  <sheetFormatPr baseColWidth="10" defaultColWidth="14.3984375" defaultRowHeight="15" customHeight="1"/>
  <cols>
    <col min="1" max="1" width="40" bestFit="1" customWidth="1"/>
    <col min="2" max="2" width="11.59765625" bestFit="1" customWidth="1"/>
    <col min="3" max="3" width="12.19921875" bestFit="1" customWidth="1"/>
    <col min="4" max="7" width="11.59765625" bestFit="1" customWidth="1"/>
    <col min="8" max="9" width="8.796875" customWidth="1"/>
    <col min="10" max="25" width="8" customWidth="1"/>
  </cols>
  <sheetData>
    <row r="1" spans="1:25" ht="20.25" customHeight="1">
      <c r="A1" s="20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5.75" customHeight="1">
      <c r="A2" s="23" t="s">
        <v>206</v>
      </c>
      <c r="B2" s="65"/>
      <c r="C2" s="65"/>
      <c r="D2" s="65"/>
      <c r="E2" s="65"/>
      <c r="F2" s="65"/>
      <c r="G2" s="65"/>
      <c r="H2" s="65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</row>
    <row r="3" spans="1:25" ht="15.75" customHeight="1">
      <c r="A3" s="23" t="s">
        <v>40</v>
      </c>
      <c r="B3" s="65"/>
      <c r="C3" s="65"/>
      <c r="D3" s="65"/>
      <c r="E3" s="65"/>
      <c r="F3" s="65"/>
      <c r="G3" s="65"/>
      <c r="H3" s="65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</row>
    <row r="4" spans="1:25" ht="15.75" customHeight="1">
      <c r="A4" s="9" t="s">
        <v>41</v>
      </c>
      <c r="B4" s="66"/>
      <c r="C4" s="66"/>
      <c r="D4" s="66"/>
      <c r="E4" s="66"/>
      <c r="F4" s="66"/>
      <c r="G4" s="66"/>
      <c r="H4" s="65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</row>
    <row r="5" spans="1:25" ht="15.75" customHeight="1">
      <c r="A5" s="1"/>
      <c r="B5" s="11" t="s">
        <v>207</v>
      </c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5" customHeight="1">
      <c r="A6" s="6" t="s">
        <v>208</v>
      </c>
      <c r="B6" s="93">
        <v>2500000</v>
      </c>
      <c r="C6" s="24"/>
      <c r="D6" s="24"/>
      <c r="E6" s="24"/>
      <c r="F6" s="24"/>
      <c r="G6" s="24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6" t="s">
        <v>209</v>
      </c>
      <c r="B7" s="4"/>
      <c r="C7" s="21"/>
      <c r="D7" s="21"/>
      <c r="E7" s="21"/>
      <c r="F7" s="21"/>
      <c r="G7" s="21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12" t="s">
        <v>210</v>
      </c>
      <c r="B8" s="25">
        <v>1500000</v>
      </c>
      <c r="C8" s="25">
        <v>500000</v>
      </c>
      <c r="D8" s="25">
        <v>750000</v>
      </c>
      <c r="E8" s="25">
        <v>600000</v>
      </c>
      <c r="F8" s="25">
        <v>1000000</v>
      </c>
      <c r="G8" s="25">
        <v>800000</v>
      </c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12" t="s">
        <v>211</v>
      </c>
      <c r="B9" s="4"/>
      <c r="C9" s="54">
        <f>C8-B8</f>
        <v>-1000000</v>
      </c>
      <c r="D9" s="54">
        <f>D8-C8</f>
        <v>250000</v>
      </c>
      <c r="E9" s="54">
        <f>E8-D8</f>
        <v>-150000</v>
      </c>
      <c r="F9" s="54">
        <f>F8-E8</f>
        <v>400000</v>
      </c>
      <c r="G9" s="54">
        <f>G8-F8</f>
        <v>-200000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2.75" customHeight="1">
      <c r="A10" s="12" t="s">
        <v>212</v>
      </c>
      <c r="B10" s="25"/>
      <c r="C10" s="25"/>
      <c r="D10" s="25"/>
      <c r="E10" s="25"/>
      <c r="F10" s="25"/>
      <c r="G10" s="25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2.75" customHeight="1">
      <c r="A11" s="12" t="s">
        <v>213</v>
      </c>
      <c r="B11" s="25">
        <v>1200000</v>
      </c>
      <c r="C11" s="25">
        <v>1200000</v>
      </c>
      <c r="D11" s="25">
        <v>1200000</v>
      </c>
      <c r="E11" s="25">
        <v>1200000</v>
      </c>
      <c r="F11" s="25">
        <v>1200000</v>
      </c>
      <c r="G11" s="25">
        <v>1200000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2.75" customHeight="1">
      <c r="A12" s="12" t="s">
        <v>214</v>
      </c>
      <c r="B12" s="25"/>
      <c r="C12" s="25"/>
      <c r="D12" s="25">
        <v>750000</v>
      </c>
      <c r="E12" s="25">
        <v>750000</v>
      </c>
      <c r="F12" s="25">
        <v>750000</v>
      </c>
      <c r="G12" s="25">
        <v>750000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.75" customHeight="1">
      <c r="A13" s="12" t="s">
        <v>215</v>
      </c>
      <c r="B13" s="25">
        <f t="shared" ref="B13:G13" si="0">SUM(B11:B12)</f>
        <v>1200000</v>
      </c>
      <c r="C13" s="25">
        <f>SUM(C11:C12)</f>
        <v>1200000</v>
      </c>
      <c r="D13" s="25">
        <f t="shared" si="0"/>
        <v>1950000</v>
      </c>
      <c r="E13" s="25">
        <f t="shared" si="0"/>
        <v>1950000</v>
      </c>
      <c r="F13" s="25">
        <f t="shared" si="0"/>
        <v>1950000</v>
      </c>
      <c r="G13" s="25">
        <f t="shared" si="0"/>
        <v>1950000</v>
      </c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.75" customHeight="1">
      <c r="A14" s="12" t="s">
        <v>211</v>
      </c>
      <c r="B14" s="4"/>
      <c r="C14" s="54">
        <f>C13-B13</f>
        <v>0</v>
      </c>
      <c r="D14" s="54">
        <f>D13-C13</f>
        <v>750000</v>
      </c>
      <c r="E14" s="54">
        <f>E13-D13</f>
        <v>0</v>
      </c>
      <c r="F14" s="54">
        <f>F13-E13</f>
        <v>0</v>
      </c>
      <c r="G14" s="54">
        <f>G13-F13</f>
        <v>0</v>
      </c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2.75" customHeight="1">
      <c r="A15" s="12" t="s">
        <v>216</v>
      </c>
      <c r="B15" s="31">
        <f t="shared" ref="B15:G15" si="1">B8+B13</f>
        <v>2700000</v>
      </c>
      <c r="C15" s="31">
        <f t="shared" si="1"/>
        <v>1700000</v>
      </c>
      <c r="D15" s="31">
        <f t="shared" si="1"/>
        <v>2700000</v>
      </c>
      <c r="E15" s="31">
        <f t="shared" si="1"/>
        <v>2550000</v>
      </c>
      <c r="F15" s="31">
        <f t="shared" si="1"/>
        <v>2950000</v>
      </c>
      <c r="G15" s="31">
        <f t="shared" si="1"/>
        <v>2750000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.75" customHeight="1">
      <c r="A16" s="12"/>
      <c r="B16" s="21"/>
      <c r="C16" s="21"/>
      <c r="D16" s="21"/>
      <c r="E16" s="21"/>
      <c r="F16" s="21"/>
      <c r="G16" s="21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.75" customHeight="1">
      <c r="A17" s="6" t="s">
        <v>217</v>
      </c>
      <c r="B17" s="4"/>
      <c r="C17" s="21"/>
      <c r="D17" s="21"/>
      <c r="E17" s="21"/>
      <c r="F17" s="21"/>
      <c r="G17" s="21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.75" customHeight="1">
      <c r="A18" s="6" t="s">
        <v>218</v>
      </c>
      <c r="B18" s="25"/>
      <c r="C18" s="25">
        <v>450000</v>
      </c>
      <c r="D18" s="25">
        <v>350000</v>
      </c>
      <c r="E18" s="25">
        <v>800000</v>
      </c>
      <c r="F18" s="25">
        <v>100000</v>
      </c>
      <c r="G18" s="25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.75" customHeight="1">
      <c r="A19" s="12" t="s">
        <v>211</v>
      </c>
      <c r="B19" s="4"/>
      <c r="C19" s="54">
        <f t="shared" ref="C19:G19" si="2">C18-B18</f>
        <v>450000</v>
      </c>
      <c r="D19" s="54">
        <f t="shared" si="2"/>
        <v>-100000</v>
      </c>
      <c r="E19" s="54">
        <f t="shared" si="2"/>
        <v>450000</v>
      </c>
      <c r="F19" s="54">
        <f t="shared" si="2"/>
        <v>-700000</v>
      </c>
      <c r="G19" s="54">
        <f t="shared" si="2"/>
        <v>-100000</v>
      </c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.75" customHeight="1">
      <c r="A20" s="12"/>
      <c r="B20" s="4"/>
      <c r="C20" s="21"/>
      <c r="D20" s="21"/>
      <c r="E20" s="21"/>
      <c r="F20" s="21"/>
      <c r="G20" s="21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.75" customHeight="1">
      <c r="A21" s="6" t="s">
        <v>219</v>
      </c>
      <c r="B21" s="4"/>
      <c r="C21" s="21"/>
      <c r="D21" s="21"/>
      <c r="E21" s="21"/>
      <c r="F21" s="21"/>
      <c r="G21" s="21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.75" customHeight="1">
      <c r="A22" s="12" t="s">
        <v>220</v>
      </c>
      <c r="B22" s="25"/>
      <c r="C22" s="25">
        <v>250000</v>
      </c>
      <c r="D22" s="25">
        <v>275000</v>
      </c>
      <c r="E22" s="25">
        <v>300000</v>
      </c>
      <c r="F22" s="25">
        <v>325000</v>
      </c>
      <c r="G22" s="25">
        <v>350000</v>
      </c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.75" customHeight="1">
      <c r="A23" s="12" t="s">
        <v>221</v>
      </c>
      <c r="B23" s="30"/>
      <c r="C23" s="30">
        <v>2250000</v>
      </c>
      <c r="D23" s="30">
        <v>2100000</v>
      </c>
      <c r="E23" s="30">
        <v>1800000</v>
      </c>
      <c r="F23" s="30">
        <v>1400000</v>
      </c>
      <c r="G23" s="30">
        <v>1000000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2.75" customHeight="1">
      <c r="A24" s="12" t="s">
        <v>222</v>
      </c>
      <c r="B24" s="25"/>
      <c r="C24" s="54">
        <f t="shared" ref="C24:G24" si="3">C22+C23</f>
        <v>2500000</v>
      </c>
      <c r="D24" s="54">
        <f t="shared" si="3"/>
        <v>2375000</v>
      </c>
      <c r="E24" s="54">
        <f t="shared" si="3"/>
        <v>2100000</v>
      </c>
      <c r="F24" s="54">
        <f t="shared" si="3"/>
        <v>1725000</v>
      </c>
      <c r="G24" s="54">
        <f t="shared" si="3"/>
        <v>1350000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.75" customHeight="1">
      <c r="A25" s="4"/>
      <c r="B25" s="4"/>
      <c r="C25" s="4"/>
      <c r="D25" s="4"/>
      <c r="E25" s="4"/>
      <c r="F25" s="4"/>
      <c r="G25" s="4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.75" customHeight="1">
      <c r="A26" s="12" t="s">
        <v>211</v>
      </c>
      <c r="B26" s="4"/>
      <c r="C26" s="4"/>
      <c r="D26" s="4"/>
      <c r="E26" s="4"/>
      <c r="F26" s="4"/>
      <c r="G26" s="4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.75" customHeight="1">
      <c r="A27" s="12" t="s">
        <v>223</v>
      </c>
      <c r="B27" s="54"/>
      <c r="C27" s="54">
        <f t="shared" ref="C27:G27" si="4">C22-B22</f>
        <v>250000</v>
      </c>
      <c r="D27" s="54">
        <f t="shared" si="4"/>
        <v>25000</v>
      </c>
      <c r="E27" s="54">
        <f t="shared" si="4"/>
        <v>25000</v>
      </c>
      <c r="F27" s="54">
        <f t="shared" si="4"/>
        <v>25000</v>
      </c>
      <c r="G27" s="54">
        <f t="shared" si="4"/>
        <v>25000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.75" customHeight="1">
      <c r="A28" s="12" t="s">
        <v>224</v>
      </c>
      <c r="B28" s="54"/>
      <c r="C28" s="54">
        <f t="shared" ref="C28:G28" si="5">C23-B23</f>
        <v>2250000</v>
      </c>
      <c r="D28" s="54">
        <f t="shared" si="5"/>
        <v>-150000</v>
      </c>
      <c r="E28" s="54">
        <f t="shared" si="5"/>
        <v>-300000</v>
      </c>
      <c r="F28" s="54">
        <f t="shared" si="5"/>
        <v>-400000</v>
      </c>
      <c r="G28" s="54">
        <f t="shared" si="5"/>
        <v>-400000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2.75" customHeight="1">
      <c r="A29" s="12" t="s">
        <v>222</v>
      </c>
      <c r="B29" s="91"/>
      <c r="C29" s="54">
        <f t="shared" ref="C29:G29" si="6">SUM(C27:C28)</f>
        <v>2500000</v>
      </c>
      <c r="D29" s="54">
        <f t="shared" si="6"/>
        <v>-125000</v>
      </c>
      <c r="E29" s="54">
        <f t="shared" si="6"/>
        <v>-275000</v>
      </c>
      <c r="F29" s="54">
        <f t="shared" si="6"/>
        <v>-375000</v>
      </c>
      <c r="G29" s="54">
        <f t="shared" si="6"/>
        <v>-375000</v>
      </c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.75" customHeight="1">
      <c r="A30" s="12"/>
      <c r="B30" s="4"/>
      <c r="C30" s="21"/>
      <c r="D30" s="21"/>
      <c r="E30" s="21"/>
      <c r="F30" s="21"/>
      <c r="G30" s="2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.75" customHeight="1">
      <c r="A31" s="43" t="s">
        <v>225</v>
      </c>
      <c r="B31" s="31">
        <f t="shared" ref="B31:G31" si="7">B15+B18+B24</f>
        <v>2700000</v>
      </c>
      <c r="C31" s="31">
        <f t="shared" si="7"/>
        <v>4650000</v>
      </c>
      <c r="D31" s="31">
        <f t="shared" si="7"/>
        <v>5425000</v>
      </c>
      <c r="E31" s="31">
        <f t="shared" si="7"/>
        <v>5450000</v>
      </c>
      <c r="F31" s="31">
        <f t="shared" si="7"/>
        <v>4775000</v>
      </c>
      <c r="G31" s="31">
        <f t="shared" si="7"/>
        <v>4100000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2.75" customHeight="1">
      <c r="A32" s="12"/>
      <c r="B32" s="4"/>
      <c r="C32" s="21"/>
      <c r="D32" s="21"/>
      <c r="E32" s="21"/>
      <c r="F32" s="21"/>
      <c r="G32" s="21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.75" customHeight="1">
      <c r="A33" s="6" t="s">
        <v>226</v>
      </c>
      <c r="B33" s="4"/>
      <c r="C33" s="21"/>
      <c r="D33" s="21"/>
      <c r="E33" s="21"/>
      <c r="F33" s="21"/>
      <c r="G33" s="2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2.75" customHeight="1">
      <c r="A34" s="43" t="s">
        <v>227</v>
      </c>
      <c r="B34" s="4"/>
      <c r="C34" s="21"/>
      <c r="D34" s="21"/>
      <c r="E34" s="21"/>
      <c r="F34" s="21"/>
      <c r="G34" s="2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.75" customHeight="1">
      <c r="A35" s="12" t="s">
        <v>228</v>
      </c>
      <c r="B35" s="4"/>
      <c r="C35" s="79">
        <v>9.8000000000000004E-2</v>
      </c>
      <c r="D35" s="79">
        <v>9.8000000000000004E-2</v>
      </c>
      <c r="E35" s="79">
        <v>9.8000000000000004E-2</v>
      </c>
      <c r="F35" s="79">
        <v>9.8000000000000004E-2</v>
      </c>
      <c r="G35" s="79">
        <v>9.8000000000000004E-2</v>
      </c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.75" customHeight="1">
      <c r="A36" s="12" t="s">
        <v>229</v>
      </c>
      <c r="B36" s="4"/>
      <c r="C36" s="79">
        <v>7.1999999999999995E-2</v>
      </c>
      <c r="D36" s="79">
        <v>7.1999999999999995E-2</v>
      </c>
      <c r="E36" s="79">
        <v>7.1999999999999995E-2</v>
      </c>
      <c r="F36" s="79">
        <v>7.1999999999999995E-2</v>
      </c>
      <c r="G36" s="79">
        <v>7.1999999999999995E-2</v>
      </c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5" customHeight="1">
      <c r="A37" s="4"/>
      <c r="B37" s="4"/>
      <c r="C37" s="21"/>
      <c r="D37" s="21"/>
      <c r="E37" s="21"/>
      <c r="F37" s="21"/>
      <c r="G37" s="21"/>
      <c r="H37" s="94"/>
      <c r="I37" s="94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.75" customHeight="1">
      <c r="A38" s="43" t="s">
        <v>230</v>
      </c>
      <c r="B38" s="4"/>
      <c r="C38" s="21"/>
      <c r="D38" s="21"/>
      <c r="E38" s="21"/>
      <c r="F38" s="21"/>
      <c r="G38" s="21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.75" customHeight="1">
      <c r="A39" s="12" t="s">
        <v>228</v>
      </c>
      <c r="B39" s="4"/>
      <c r="C39" s="31">
        <f t="shared" ref="C39:G39" si="8">C35*C18</f>
        <v>44100</v>
      </c>
      <c r="D39" s="31">
        <f t="shared" si="8"/>
        <v>34300</v>
      </c>
      <c r="E39" s="31">
        <f t="shared" si="8"/>
        <v>78400</v>
      </c>
      <c r="F39" s="31">
        <f t="shared" si="8"/>
        <v>9800</v>
      </c>
      <c r="G39" s="31">
        <f t="shared" si="8"/>
        <v>0</v>
      </c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.75" customHeight="1">
      <c r="A40" s="12" t="s">
        <v>229</v>
      </c>
      <c r="B40" s="4"/>
      <c r="C40" s="31">
        <f t="shared" ref="C40:G40" si="9">C36*C24</f>
        <v>180000</v>
      </c>
      <c r="D40" s="31">
        <f t="shared" si="9"/>
        <v>171000</v>
      </c>
      <c r="E40" s="31">
        <f t="shared" si="9"/>
        <v>151200</v>
      </c>
      <c r="F40" s="31">
        <f t="shared" si="9"/>
        <v>124199.99999999999</v>
      </c>
      <c r="G40" s="31">
        <f t="shared" si="9"/>
        <v>97199.999999999985</v>
      </c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.75" customHeight="1">
      <c r="A41" s="12" t="s">
        <v>231</v>
      </c>
      <c r="B41" s="4"/>
      <c r="C41" s="54">
        <f t="shared" ref="C41:G41" si="10">SUM(C39:C40)</f>
        <v>224100</v>
      </c>
      <c r="D41" s="54">
        <f t="shared" si="10"/>
        <v>205300</v>
      </c>
      <c r="E41" s="54">
        <f t="shared" si="10"/>
        <v>229600</v>
      </c>
      <c r="F41" s="54">
        <f t="shared" si="10"/>
        <v>134000</v>
      </c>
      <c r="G41" s="54">
        <f t="shared" si="10"/>
        <v>97199.999999999985</v>
      </c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2.75" customHeight="1">
      <c r="A42" s="4"/>
      <c r="B42" s="4"/>
      <c r="C42" s="4"/>
      <c r="D42" s="4"/>
      <c r="E42" s="4"/>
      <c r="F42" s="4"/>
      <c r="G42" s="4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12.75" customHeight="1">
      <c r="A43" s="43" t="s">
        <v>232</v>
      </c>
      <c r="B43" s="4"/>
      <c r="C43" s="21"/>
      <c r="D43" s="21"/>
      <c r="E43" s="21"/>
      <c r="F43" s="21"/>
      <c r="G43" s="2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2.75" customHeight="1">
      <c r="A44" s="12" t="s">
        <v>227</v>
      </c>
      <c r="B44" s="4"/>
      <c r="C44" s="79">
        <v>3.2000000000000001E-2</v>
      </c>
      <c r="D44" s="79">
        <v>3.2000000000000001E-2</v>
      </c>
      <c r="E44" s="79">
        <v>3.2000000000000001E-2</v>
      </c>
      <c r="F44" s="79">
        <v>3.2000000000000001E-2</v>
      </c>
      <c r="G44" s="79">
        <v>3.2000000000000001E-2</v>
      </c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2.75" customHeight="1">
      <c r="A45" s="12" t="s">
        <v>232</v>
      </c>
      <c r="B45" s="4"/>
      <c r="C45" s="93">
        <v>10000</v>
      </c>
      <c r="D45" s="93">
        <v>10000</v>
      </c>
      <c r="E45" s="93">
        <v>10000</v>
      </c>
      <c r="F45" s="93">
        <v>10000</v>
      </c>
      <c r="G45" s="93">
        <v>10000</v>
      </c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2.75" customHeight="1">
      <c r="A46" s="12"/>
      <c r="B46" s="4"/>
      <c r="C46" s="4"/>
      <c r="D46" s="4"/>
      <c r="E46" s="4"/>
      <c r="F46" s="4"/>
      <c r="G46" s="4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2.75" customHeight="1">
      <c r="A47" s="6" t="s">
        <v>233</v>
      </c>
      <c r="B47" s="4"/>
      <c r="C47" s="4"/>
      <c r="D47" s="4"/>
      <c r="E47" s="4"/>
      <c r="F47" s="4"/>
      <c r="G47" s="4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2.75" customHeight="1">
      <c r="A48" s="12" t="s">
        <v>234</v>
      </c>
      <c r="B48" s="4"/>
      <c r="C48" s="35">
        <f>INCOME!C34</f>
        <v>-476628.57142857136</v>
      </c>
      <c r="D48" s="35">
        <f>INCOME!D34</f>
        <v>-416600</v>
      </c>
      <c r="E48" s="35">
        <f>INCOME!E34</f>
        <v>488352.85714285728</v>
      </c>
      <c r="F48" s="35">
        <f>INCOME!F34</f>
        <v>1026330.2857142854</v>
      </c>
      <c r="G48" s="35">
        <f>INCOME!G34</f>
        <v>2147938.5714285709</v>
      </c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2.75" customHeight="1">
      <c r="A49" s="12" t="s">
        <v>235</v>
      </c>
      <c r="B49" s="4"/>
      <c r="C49" s="30"/>
      <c r="D49" s="30">
        <v>30000</v>
      </c>
      <c r="E49" s="30">
        <v>40000</v>
      </c>
      <c r="F49" s="30">
        <v>50000</v>
      </c>
      <c r="G49" s="30">
        <v>50000</v>
      </c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2.75" customHeight="1">
      <c r="A50" s="12" t="s">
        <v>236</v>
      </c>
      <c r="B50" s="4"/>
      <c r="C50" s="31">
        <f t="shared" ref="C50:G50" si="11">C48-C49</f>
        <v>-476628.57142857136</v>
      </c>
      <c r="D50" s="31">
        <f t="shared" si="11"/>
        <v>-446600</v>
      </c>
      <c r="E50" s="31">
        <f t="shared" si="11"/>
        <v>448352.85714285728</v>
      </c>
      <c r="F50" s="31">
        <f t="shared" si="11"/>
        <v>976330.28571428545</v>
      </c>
      <c r="G50" s="31">
        <f t="shared" si="11"/>
        <v>2097938.5714285709</v>
      </c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2.75" customHeight="1">
      <c r="A51" s="12" t="s">
        <v>237</v>
      </c>
      <c r="B51" s="4"/>
      <c r="C51" s="95">
        <v>0</v>
      </c>
      <c r="D51" s="31">
        <f t="shared" ref="D51:G51" si="12">C52</f>
        <v>-476628.57142857136</v>
      </c>
      <c r="E51" s="31">
        <f t="shared" si="12"/>
        <v>-923228.57142857136</v>
      </c>
      <c r="F51" s="31">
        <f t="shared" si="12"/>
        <v>-474875.71428571409</v>
      </c>
      <c r="G51" s="31">
        <f t="shared" si="12"/>
        <v>501454.57142857136</v>
      </c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2.75" customHeight="1">
      <c r="A52" s="12" t="s">
        <v>238</v>
      </c>
      <c r="B52" s="4"/>
      <c r="C52" s="54">
        <f t="shared" ref="C52:G52" si="13">C50+C51</f>
        <v>-476628.57142857136</v>
      </c>
      <c r="D52" s="54">
        <f t="shared" si="13"/>
        <v>-923228.57142857136</v>
      </c>
      <c r="E52" s="54">
        <f t="shared" si="13"/>
        <v>-474875.71428571409</v>
      </c>
      <c r="F52" s="54">
        <f t="shared" si="13"/>
        <v>501454.57142857136</v>
      </c>
      <c r="G52" s="54">
        <f t="shared" si="13"/>
        <v>2599393.1428571423</v>
      </c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2.75" customHeight="1">
      <c r="A53" s="40"/>
      <c r="C53" s="57"/>
      <c r="D53" s="57"/>
      <c r="E53" s="57"/>
      <c r="F53" s="57"/>
      <c r="G53" s="57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2.75" customHeight="1">
      <c r="A54" s="22"/>
      <c r="C54" s="96"/>
      <c r="D54" s="96"/>
      <c r="E54" s="96"/>
      <c r="F54" s="96"/>
      <c r="G54" s="96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2.75" customHeight="1"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2.75" customHeight="1"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2.75" customHeight="1"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2.75" customHeight="1"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2.75" customHeight="1"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2.75" customHeight="1"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2.75" customHeight="1"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2.75" customHeight="1"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2.75" customHeight="1"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2.75" customHeight="1"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 spans="8:25" ht="12.75" customHeight="1"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 spans="8:25" ht="12.75" customHeight="1"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 spans="8:25" ht="12.75" customHeight="1"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 spans="8:25" ht="12.75" customHeight="1"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 spans="8:25" ht="12.75" customHeight="1"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 spans="8:25" ht="15" customHeight="1">
      <c r="H70" s="94"/>
      <c r="I70" s="94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 spans="8:25" ht="15" customHeight="1"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 spans="8:25" ht="12.75" customHeight="1"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 spans="8:25" ht="12.75" customHeight="1"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 spans="8:25" ht="12.75" customHeight="1"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 spans="8:25" ht="12.75" customHeight="1"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 spans="8:25" ht="12.75" customHeight="1"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8:25" ht="12.75" customHeight="1"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8:25" ht="12.75" customHeight="1"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8:25" ht="12.75" customHeight="1"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 spans="8:25" ht="12.75" customHeight="1"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 spans="8:25" ht="12.75" customHeight="1"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 spans="8:25" ht="12.75" customHeight="1"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 spans="8:25" ht="12.75" customHeight="1"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 spans="8:25" ht="12.75" customHeight="1"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 spans="8:25" ht="12.75" customHeight="1"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 spans="8:25" ht="12.75" customHeight="1"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 spans="8:25" ht="12.75" customHeight="1"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 spans="8:25" ht="12.75" customHeight="1"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 spans="8:25" ht="12.75" customHeight="1"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 spans="8:25" ht="12.75" customHeight="1"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 spans="8:25" ht="12.75" customHeight="1"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 spans="8:25" ht="12.75" customHeight="1"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 spans="8:25" ht="12.75" customHeight="1"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 spans="8:25" ht="12.75" customHeight="1"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 spans="8:25" ht="12.75" customHeight="1"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 spans="8:25" ht="12.75" customHeight="1"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 spans="8:25" ht="12.75" customHeight="1"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 spans="8:25" ht="12.75" customHeight="1"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 spans="8:25" ht="12.75" customHeight="1"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 spans="8:25" ht="12.75" customHeight="1"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 spans="8:25" ht="12.75" customHeight="1"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 spans="8:25" ht="12.75" customHeight="1"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 spans="8:25" ht="15" customHeight="1">
      <c r="H103" s="94"/>
      <c r="I103" s="94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 spans="8:25" ht="15" customHeight="1"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 spans="8:25" ht="12.75" customHeight="1"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 spans="8:25" ht="12.75" customHeight="1"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 spans="8:25" ht="12.75" customHeight="1"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 spans="8:25" ht="12.75" customHeight="1"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 spans="8:25" ht="12.75" customHeight="1"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 spans="8:25" ht="12.75" customHeight="1"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spans="8:25" ht="12.75" customHeight="1"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spans="8:25" ht="12.75" customHeight="1"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spans="8:25" ht="12.75" customHeight="1"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spans="8:25" ht="12.75" customHeight="1"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spans="8:25" ht="12.75" customHeight="1"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spans="8:25" ht="12.75" customHeight="1"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spans="8:25" ht="12.75" customHeight="1"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spans="8:25" ht="12.75" customHeight="1"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pans="8:25" ht="12.75" customHeight="1"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spans="8:25" ht="12.75" customHeight="1"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spans="8:25" ht="12.75" customHeight="1"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spans="8:25" ht="12.75" customHeight="1"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spans="8:25" ht="12.75" customHeight="1"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pans="8:25" ht="12.75" customHeight="1"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spans="8:25" ht="12.75" customHeight="1"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spans="8:25" ht="12.75" customHeight="1"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spans="8:25" ht="12.75" customHeight="1"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spans="8:25" ht="12.75" customHeight="1"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spans="1:25" ht="12.75" customHeight="1"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spans="1:25" ht="12.75" customHeight="1"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spans="1:25" ht="12.75" customHeight="1"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spans="1:25" ht="12.75" customHeight="1"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pans="1:25" ht="12.75" customHeight="1"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pans="1:25" ht="12.75" customHeight="1"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pans="1:25" ht="12.75" customHeight="1"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spans="1:25" ht="12.75" customHeight="1">
      <c r="A136" s="4"/>
      <c r="B136" s="21"/>
      <c r="C136" s="21"/>
      <c r="D136" s="21"/>
      <c r="E136" s="21"/>
      <c r="F136" s="21"/>
      <c r="G136" s="21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spans="1:25" ht="12.75" customHeight="1">
      <c r="A137" s="4"/>
      <c r="B137" s="21"/>
      <c r="C137" s="21"/>
      <c r="D137" s="21"/>
      <c r="E137" s="21"/>
      <c r="F137" s="21"/>
      <c r="G137" s="21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spans="1:25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pans="1:25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spans="1:25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spans="1:25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spans="1:25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spans="1:25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1:25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pans="1:25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1:25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1:25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1:25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1:25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1:25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1:25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5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25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1:25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1:25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1:25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1:25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1:25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1:25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1:25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1:25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1:25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1:25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1:25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1:25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1:25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1:25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1:25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1:25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1:25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1:25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1:25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1:25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1:25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5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1:25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1:25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1:25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1:25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1:25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1:25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1:25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1:25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1:25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1:25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1:25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1:25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1:25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1:25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1:25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1:25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1:25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1:25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1:25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1:25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1:25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1:25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1:25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1:25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1:25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pans="1:25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1:25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pans="1:25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pans="1:25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pans="1:25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pans="1:25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1:25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pans="1:25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pans="1:25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pans="1:25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1:25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pans="1:25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1:25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pans="1:25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pans="1:25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1:25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1:25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spans="1:25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spans="1:25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pans="1:25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pans="1:25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pans="1:25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pans="1:25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pans="1:25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pans="1:25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pans="1:25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spans="1:25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spans="1:25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spans="1:25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spans="1:25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pans="1:25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spans="1:25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spans="1:25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spans="1:25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spans="1:25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spans="1:25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spans="1:25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spans="1:25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spans="1:25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spans="1:25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spans="1:25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spans="1:25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spans="1:25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spans="1:25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spans="1:25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spans="1:25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spans="1:25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spans="1:25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spans="1:25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spans="1:25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spans="1:25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spans="1:25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spans="1:25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spans="1:25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spans="1:25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spans="1:25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spans="1:25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spans="1:25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spans="1:25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spans="1:25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spans="1:25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spans="1:25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spans="1:25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spans="1:25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spans="1:25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 spans="1:25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 spans="1:25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 spans="1:25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 spans="1:25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 spans="1:25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 spans="1:25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 spans="1:25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 spans="1:25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 spans="1:25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 spans="1:25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 spans="1:25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spans="1:25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 spans="1:25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 spans="1:25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 spans="1:25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 spans="1:25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 spans="1:25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 spans="1:25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 spans="1:25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 spans="1:25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 spans="1:25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 spans="1:25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 spans="1:25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 spans="1:25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 spans="1:25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spans="1:25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 spans="1:25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 spans="1:25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 spans="1:25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 spans="1:25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 spans="1:25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 spans="1:25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 spans="1:25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 spans="1:25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 spans="1:25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 spans="1:25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 spans="1:25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 spans="1:25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spans="1:25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spans="1:25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 spans="1:25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 spans="1:25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 spans="1:25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 spans="1:25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 spans="1:25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 spans="1:25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 spans="1:25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 spans="1:25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 spans="1:25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 spans="1:25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 spans="1:25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 spans="1:25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 spans="1:25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spans="1:25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 spans="1:25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 spans="1:25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spans="1:25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 spans="1:25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 spans="1:25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 spans="1:25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 spans="1:25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 spans="1:25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 spans="1:25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 spans="1:25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 spans="1:25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 spans="1:25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 spans="1:25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 spans="1:25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spans="1:25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 spans="1:25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 spans="1:25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 spans="1:25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 spans="1:25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 spans="1:25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 spans="1:25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 spans="1:25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 spans="1:25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 spans="1:25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 spans="1:25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 spans="1:25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 spans="1:25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 spans="1:25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spans="1:25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 spans="1:25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 spans="1:25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spans="1:25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 spans="1:25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 spans="1:25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 spans="1:25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 spans="1:25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 spans="1:25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 spans="1:25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 spans="1:25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 spans="1:25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 spans="1:25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 spans="1:25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 spans="1:25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 spans="1:25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spans="1:25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 spans="1:25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 spans="1:25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 spans="1:25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 spans="1:25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 spans="1:25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 spans="1:25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 spans="1:25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 spans="1:25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 spans="1:25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 spans="1:25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 spans="1:25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 spans="1:25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 spans="1:25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spans="1:25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 spans="1:25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 spans="1:25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spans="1:25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spans="1:25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spans="1:25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 spans="1:25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 spans="1:25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 spans="1:25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 spans="1:25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 spans="1:25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 spans="1:25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 spans="1:25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 spans="1:25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 spans="1:25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spans="1:25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 spans="1:25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 spans="1:25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 spans="1:25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 spans="1:25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 spans="1:25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 spans="1:25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 spans="1:25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 spans="1:25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spans="1:25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 spans="1:25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 spans="1:25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 spans="1:25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 spans="1:25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 spans="1:25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 spans="1:25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 spans="1:25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 spans="1:25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spans="1:25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 spans="1:25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spans="1:25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 spans="1:25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spans="1:25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 spans="1:25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 spans="1:25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 spans="1:25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spans="1:25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 spans="1:25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 spans="1:25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 spans="1:25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 spans="1:25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 spans="1:25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 spans="1:25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 spans="1:25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 spans="1:25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spans="1:25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 spans="1:25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 spans="1:25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 spans="1:25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 spans="1:25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 spans="1:25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spans="1:25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 spans="1:25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 spans="1:25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 spans="1:25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 spans="1:25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 spans="1:25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 spans="1:25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spans="1:25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spans="1:25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 spans="1:25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 spans="1:25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 spans="1:25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 spans="1:25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 spans="1:25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 spans="1:25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 spans="1:25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 spans="1:25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 spans="1:25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 spans="1:25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 spans="1:25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 spans="1:25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spans="1:25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 spans="1:25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 spans="1:25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 spans="1:25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 spans="1:25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 spans="1:25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 spans="1:25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 spans="1:25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 spans="1:25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 spans="1:25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 spans="1:25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 spans="1:25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spans="1:25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 spans="1:25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 spans="1:25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 spans="1:25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spans="1:25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 spans="1:25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 spans="1:25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 spans="1:25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 spans="1:25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 spans="1:25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spans="1:25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 spans="1:25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 spans="1:25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 spans="1:25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 spans="1:25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 spans="1:25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 spans="1:25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 spans="1:25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 spans="1:25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 spans="1:25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spans="1:25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 spans="1:25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spans="1:25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 spans="1:25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 spans="1:25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 spans="1:25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 spans="1:25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 spans="1:25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 spans="1:25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 spans="1:25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 spans="1:25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 spans="1:25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 spans="1:25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 spans="1:25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 spans="1:25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spans="1:25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 spans="1:25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 spans="1:25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 spans="1:25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 spans="1:25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 spans="1:25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 spans="1:25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 spans="1:25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 spans="1:25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 spans="1:25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 spans="1:25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 spans="1:25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 spans="1:25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 spans="1:25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 spans="1:25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 spans="1:25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 spans="1:25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 spans="1:25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 spans="1:25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 spans="1:25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 spans="1:25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 spans="1:25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 spans="1:25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 spans="1:25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 spans="1:25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 spans="1:25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 spans="1:25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 spans="1:25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 spans="1:25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spans="1:25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 spans="1:25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 spans="1:25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 spans="1:25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 spans="1:25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 spans="1:25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 spans="1:25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 spans="1:25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 spans="1:25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 spans="1:25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 spans="1:25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 spans="1:25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 spans="1:25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 spans="1:25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 spans="1:25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 spans="1:25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 spans="1:25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 spans="1:25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 spans="1:25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 spans="1:25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 spans="1:25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 spans="1:25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 spans="1:25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 spans="1:25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 spans="1:25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 spans="1:25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 spans="1:25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 spans="1:25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 spans="1:25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spans="1:25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 spans="1:25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spans="1:25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 spans="1:25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 spans="1:25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 spans="1:25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 spans="1:25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 spans="1:25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 spans="1:25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 spans="1:25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 spans="1:25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 spans="1:25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 spans="1:25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 spans="1:25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 spans="1:25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 spans="1:25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 spans="1:25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 spans="1:25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spans="1:25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 spans="1:25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 spans="1:25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 spans="1:25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 spans="1:25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 spans="1:25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 spans="1:25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 spans="1:25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 spans="1:25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 spans="1:25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 spans="1:25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 spans="1:25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 spans="1:25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spans="1:25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 spans="1:25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 spans="1:25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 spans="1:25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 spans="1:25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spans="1:25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spans="1:25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 spans="1:25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 spans="1:25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 spans="1:25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 spans="1:25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 spans="1:25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 spans="1:25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 spans="1:25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 spans="1:25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 spans="1:25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 spans="1:25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 spans="1:25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 spans="1:25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 spans="1:25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 spans="1:25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 spans="1:25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 spans="1:25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 spans="1:25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 spans="1:25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 spans="1:25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spans="1:25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 spans="1:25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 spans="1:25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 spans="1:25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 spans="1:25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spans="1:25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 spans="1:25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 spans="1:25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 spans="1:25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 spans="1:25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 spans="1:25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 spans="1:25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 spans="1:25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 spans="1:25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 spans="1:25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 spans="1:25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 spans="1:25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 spans="1:25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 spans="1:25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 spans="1:25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 spans="1:25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 spans="1:25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 spans="1:25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 spans="1:25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 spans="1:25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 spans="1:25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 spans="1:25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 spans="1:25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 spans="1:25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 spans="1:25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 spans="1:25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 spans="1:25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spans="1:25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spans="1:25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spans="1:25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spans="1:25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spans="1:25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spans="1:25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spans="1:25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spans="1:25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spans="1:25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spans="1:25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spans="1:25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spans="1:25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 spans="1:25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spans="1:25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spans="1:25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spans="1:25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spans="1:25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spans="1:25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spans="1:25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 spans="1:25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spans="1:25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 spans="1:25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 spans="1:25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 spans="1:25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spans="1:25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 spans="1:25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 spans="1:25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 spans="1:25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 spans="1:25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 spans="1:25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 spans="1:25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spans="1:25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 spans="1:25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spans="1:25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 spans="1:25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 spans="1:25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 spans="1:25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 spans="1:25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 spans="1:25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spans="1:25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 spans="1:25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 spans="1:25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 spans="1:25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spans="1:25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 spans="1:25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 spans="1:25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 spans="1:25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 spans="1:25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 spans="1:25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 spans="1:25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 spans="1:25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 spans="1:25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spans="1:25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 spans="1:25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spans="1:25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spans="1:25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spans="1:25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spans="1:25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spans="1:25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spans="1:25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spans="1:25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spans="1:25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spans="1:25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spans="1:25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spans="1:25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spans="1:25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spans="1:25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spans="1:25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spans="1:25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spans="1:25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spans="1:25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spans="1:25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spans="1:25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spans="1:25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spans="1:25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spans="1:25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spans="1:25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 spans="1:25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 spans="1:25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spans="1:25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 spans="1:25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spans="1:25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spans="1:25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spans="1:25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spans="1:25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spans="1:25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spans="1:25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spans="1:25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spans="1:25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spans="1:25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spans="1:25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spans="1:25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spans="1:25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spans="1:25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spans="1:25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spans="1:25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spans="1:25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spans="1:25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spans="1:25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spans="1:25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spans="1:25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spans="1:25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spans="1:25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spans="1:25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spans="1:25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spans="1:25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spans="1:25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spans="1:25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spans="1:25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spans="1:25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spans="1:25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spans="1:25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spans="1:25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spans="1:25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spans="1:25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spans="1:25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spans="1:25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spans="1:25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spans="1:25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spans="1:25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spans="1:25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spans="1:25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spans="1:25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spans="1:25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spans="1:25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spans="1:25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spans="1:25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spans="1:25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spans="1:25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spans="1:25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spans="1:25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spans="1:25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spans="1:25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spans="1:25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spans="1:25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spans="1:25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spans="1:25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spans="1:25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spans="1:25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spans="1:25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spans="1:25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spans="1:25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spans="1:25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spans="1:25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spans="1:25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spans="1:25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spans="1:25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spans="1:25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spans="1:25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spans="1:25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spans="1:25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spans="1:25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spans="1:25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spans="1:25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spans="1:25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spans="1:25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spans="1:25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spans="1:25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spans="1:25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spans="1:25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spans="1:25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spans="1:25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spans="1:25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spans="1:25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spans="1:25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spans="1:25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spans="1:25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spans="1:25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spans="1:25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spans="1:25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spans="1:25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spans="1:25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spans="1:25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spans="1:25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spans="1:25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spans="1:25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spans="1:25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spans="1:25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spans="1:25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spans="1:25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spans="1:25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spans="1:25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spans="1:25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spans="1:25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spans="1:25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spans="1:25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spans="1:25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spans="1:25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spans="1:25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spans="1:25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spans="1:25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spans="1:25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spans="1:25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spans="1:25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spans="1:25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spans="1:25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spans="1:25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spans="1:25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spans="1:25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spans="1:25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spans="1:25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spans="1:25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spans="1:25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spans="1:25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spans="1:25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spans="1:25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spans="1:25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spans="1:25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spans="1:25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spans="1:25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spans="1:25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spans="1:25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spans="1:25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spans="1:25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spans="1:25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spans="1:25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spans="1:25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spans="1:25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spans="1:25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spans="1:25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spans="1:25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spans="1:25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spans="1:25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spans="1:25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spans="1:25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spans="1:25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spans="1:25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 spans="1:25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 spans="1:25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 spans="1:25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 spans="1:25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 spans="1:25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 spans="1:25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 spans="1:25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 spans="1:25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 spans="1:25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 spans="1:25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 spans="1:25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 spans="1:25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 spans="1:25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 spans="1:25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 spans="1:25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spans="1:25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 spans="1:25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 spans="1:25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 spans="1:25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 spans="1:25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spans="1:25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 spans="1:25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 spans="1:25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 spans="1:25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 spans="1:25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 spans="1:25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 spans="1:25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 spans="1:25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 spans="1:25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 spans="1:25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 spans="1:25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 spans="1:25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 spans="1:25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 spans="1:25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 spans="1:25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 spans="1:25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 spans="1:25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 spans="1:25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 spans="1:25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 spans="1:25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 spans="1:25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 spans="1:25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 spans="1:25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 spans="1:25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 spans="1:25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 spans="1:25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spans="1:25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 spans="1:25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 spans="1:25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 spans="1:25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 spans="1:25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 spans="1:25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 spans="1:25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 spans="1:25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 spans="1:25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 spans="1:25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 spans="1:25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 spans="1:25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 spans="1:25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 spans="1:25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 spans="1:25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 spans="1:25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 spans="1:25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 spans="1:25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 spans="1:25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 spans="1:25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 spans="1:25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 spans="1:25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 spans="1:25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 spans="1:25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 spans="1:25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 spans="1:25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 spans="1:25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 spans="1:25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 spans="1:25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spans="1:25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 spans="1:25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 spans="1:25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 spans="1:25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 spans="1:25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 spans="1:25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 spans="1:25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 spans="1:25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 spans="1:25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 spans="1:25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 spans="1:25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 spans="1:25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 spans="1:25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 spans="1:25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 spans="1:25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 spans="1:25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 spans="1:25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 spans="1:25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 spans="1:25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 spans="1:25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 spans="1:25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 spans="1:25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 spans="1:25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 spans="1:25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 spans="1:25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 spans="1:25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  <row r="990" spans="1:25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</row>
    <row r="991" spans="1:25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</row>
    <row r="992" spans="1:25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</row>
    <row r="993" spans="1:25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</row>
    <row r="994" spans="1:25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  <row r="995" spans="1:25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</row>
    <row r="996" spans="1:25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</row>
    <row r="997" spans="1:25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</row>
    <row r="998" spans="1:25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</row>
    <row r="999" spans="1:25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</row>
    <row r="1000" spans="1:25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baseColWidth="10" defaultColWidth="14.3984375" defaultRowHeight="15" customHeight="1"/>
  <cols>
    <col min="1" max="1" width="42" customWidth="1"/>
    <col min="2" max="2" width="4" customWidth="1"/>
    <col min="3" max="6" width="12.19921875" bestFit="1" customWidth="1"/>
    <col min="7" max="7" width="12.796875" bestFit="1" customWidth="1"/>
    <col min="8" max="8" width="10.796875" customWidth="1"/>
    <col min="9" max="9" width="10.19921875" customWidth="1"/>
    <col min="10" max="10" width="8.796875" customWidth="1"/>
    <col min="11" max="12" width="8" customWidth="1"/>
    <col min="13" max="13" width="11" bestFit="1" customWidth="1"/>
    <col min="14" max="14" width="13.59765625" bestFit="1" customWidth="1"/>
    <col min="15" max="26" width="8" customWidth="1"/>
  </cols>
  <sheetData>
    <row r="1" spans="1:26" ht="20.25" customHeight="1">
      <c r="A1" s="20" t="s">
        <v>0</v>
      </c>
      <c r="B1" s="4"/>
      <c r="C1" s="4"/>
      <c r="D1" s="6"/>
      <c r="E1" s="4"/>
      <c r="F1" s="4"/>
      <c r="G1" s="4"/>
      <c r="H1" s="4"/>
      <c r="I1" s="4"/>
      <c r="J1" s="4"/>
      <c r="K1" s="22"/>
      <c r="L1" s="22"/>
      <c r="M1" s="22" t="s">
        <v>422</v>
      </c>
      <c r="N1" s="57">
        <f>SUM(C19:G20,C34:G35,BALANCE!B15:G15,BALANCE!B23:G23,BALANCE!B31:G32,CASHFLOW!C15:G15,CASHFLOW!C20:G20,CASHFLOW!C29:G29,CASHFLOW!C31:G31,CASHFLOW!C33:G34,BREAKEVEN!C21:G21,BREAKEVEN!C19:G20,BREAKEVEN!C23:G23,BREAKEVEN!C25:G25,'INCOME-MOS'!C35:P35,'INCOME-MOS'!C68:P68,'INCOME-MOS'!C102:T102,'CASHFLOW-MOS'!B20:O20,'CASHFLOW-MOS'!B25:O25,'CASHFLOW-MOS'!B34:O34,'CASHFLOW-MOS'!B36:O36,'CASHFLOW-MOS'!B38:O39,'CASHFLOW-MOS'!B56:O56,'CASHFLOW-MOS'!B61:O61,'CASHFLOW-MOS'!B70:O70,'CASHFLOW-MOS'!B72:O72,'CASHFLOW-MOS'!B74:O75,'CASHFLOW-MOS'!B92:S92,'CASHFLOW-MOS'!B97:S97,'CASHFLOW-MOS'!B106:S106,'CASHFLOW-MOS'!B108:S108,'CASHFLOW-MOS'!B110:S111,SUMMARY!C18:G18,SUMMARY!C34:G36)</f>
        <v>584593929.92409039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9" t="s">
        <v>239</v>
      </c>
      <c r="B2" s="65"/>
      <c r="C2" s="65"/>
      <c r="D2" s="9"/>
      <c r="E2" s="65"/>
      <c r="F2" s="65"/>
      <c r="G2" s="65"/>
      <c r="H2" s="65"/>
      <c r="I2" s="65"/>
      <c r="J2" s="65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5.75" customHeight="1">
      <c r="A3" s="9" t="s">
        <v>40</v>
      </c>
      <c r="B3" s="65"/>
      <c r="C3" s="65"/>
      <c r="D3" s="65"/>
      <c r="E3" s="65"/>
      <c r="F3" s="65"/>
      <c r="G3" s="65"/>
      <c r="H3" s="65"/>
      <c r="I3" s="65"/>
      <c r="J3" s="65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5.75" customHeight="1">
      <c r="A4" s="23" t="s">
        <v>41</v>
      </c>
      <c r="B4" s="65"/>
      <c r="C4" s="65"/>
      <c r="D4" s="65"/>
      <c r="E4" s="65"/>
      <c r="F4" s="65"/>
      <c r="G4" s="65"/>
      <c r="H4" s="65"/>
      <c r="I4" s="65"/>
      <c r="J4" s="65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5.75" customHeight="1">
      <c r="A5" s="4"/>
      <c r="B5" s="24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22"/>
      <c r="I5" s="11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" customHeight="1">
      <c r="A6" s="4"/>
      <c r="B6" s="24"/>
      <c r="C6" s="24"/>
      <c r="D6" s="24"/>
      <c r="E6" s="24"/>
      <c r="F6" s="24"/>
      <c r="G6" s="24"/>
      <c r="H6" s="22"/>
      <c r="I6" s="77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>
      <c r="A7" s="6" t="s">
        <v>240</v>
      </c>
      <c r="B7" s="21"/>
      <c r="C7" s="35">
        <f>REVENUE!C16</f>
        <v>2750000</v>
      </c>
      <c r="D7" s="35">
        <f>REVENUE!D16</f>
        <v>3840000</v>
      </c>
      <c r="E7" s="35">
        <f>REVENUE!E16</f>
        <v>5995000</v>
      </c>
      <c r="F7" s="35">
        <f>REVENUE!F16</f>
        <v>8120000</v>
      </c>
      <c r="G7" s="35">
        <f>REVENUE!G16</f>
        <v>12120000</v>
      </c>
      <c r="H7" s="22"/>
      <c r="I7" s="21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4"/>
      <c r="B8" s="21"/>
      <c r="C8" s="21"/>
      <c r="D8" s="21"/>
      <c r="E8" s="21"/>
      <c r="F8" s="21"/>
      <c r="G8" s="21"/>
      <c r="H8" s="22"/>
      <c r="I8" s="21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6" t="s">
        <v>241</v>
      </c>
      <c r="B9" s="21"/>
      <c r="C9" s="84">
        <f>'COST OF REV'!C32</f>
        <v>1325528.5714285714</v>
      </c>
      <c r="D9" s="84">
        <f>'COST OF REV'!D32</f>
        <v>1916000</v>
      </c>
      <c r="E9" s="84">
        <f>'COST OF REV'!E32</f>
        <v>2514057.1428571427</v>
      </c>
      <c r="F9" s="84">
        <f>'COST OF REV'!F32</f>
        <v>3114700</v>
      </c>
      <c r="G9" s="84">
        <f>'COST OF REV'!G32</f>
        <v>4063835.7142857141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>
      <c r="A10" s="4" t="s">
        <v>242</v>
      </c>
      <c r="B10" s="21"/>
      <c r="C10" s="45">
        <f t="shared" ref="C10:G10" si="0">C9/C7</f>
        <v>0.48201038961038961</v>
      </c>
      <c r="D10" s="45">
        <f t="shared" si="0"/>
        <v>0.49895833333333334</v>
      </c>
      <c r="E10" s="45">
        <f t="shared" si="0"/>
        <v>0.41935898963421897</v>
      </c>
      <c r="F10" s="45">
        <f t="shared" si="0"/>
        <v>0.38358374384236454</v>
      </c>
      <c r="G10" s="45">
        <f t="shared" si="0"/>
        <v>0.33529997642621401</v>
      </c>
      <c r="H10" s="22"/>
      <c r="I10" s="21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6"/>
      <c r="B11" s="21"/>
      <c r="C11" s="21"/>
      <c r="D11" s="21"/>
      <c r="E11" s="21"/>
      <c r="F11" s="21"/>
      <c r="G11" s="21"/>
      <c r="H11" s="22"/>
      <c r="I11" s="21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6" t="s">
        <v>243</v>
      </c>
      <c r="B12" s="21"/>
      <c r="C12" s="31">
        <f t="shared" ref="C12:G12" si="1">C7-C9</f>
        <v>1424471.4285714286</v>
      </c>
      <c r="D12" s="31">
        <f t="shared" si="1"/>
        <v>1924000</v>
      </c>
      <c r="E12" s="31">
        <f t="shared" si="1"/>
        <v>3480942.8571428573</v>
      </c>
      <c r="F12" s="31">
        <f t="shared" si="1"/>
        <v>5005300</v>
      </c>
      <c r="G12" s="31">
        <f t="shared" si="1"/>
        <v>8056164.2857142854</v>
      </c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>
      <c r="A13" s="4" t="s">
        <v>242</v>
      </c>
      <c r="B13" s="44"/>
      <c r="C13" s="45">
        <f t="shared" ref="C13:G13" si="2">C12/C7</f>
        <v>0.51798961038961044</v>
      </c>
      <c r="D13" s="45">
        <f t="shared" si="2"/>
        <v>0.50104166666666672</v>
      </c>
      <c r="E13" s="45">
        <f t="shared" si="2"/>
        <v>0.58064101036578109</v>
      </c>
      <c r="F13" s="45">
        <f t="shared" si="2"/>
        <v>0.61641625615763551</v>
      </c>
      <c r="G13" s="45">
        <f t="shared" si="2"/>
        <v>0.66470002357378588</v>
      </c>
      <c r="H13" s="22"/>
      <c r="I13" s="39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4"/>
      <c r="B14" s="21"/>
      <c r="C14" s="21"/>
      <c r="D14" s="21"/>
      <c r="E14" s="21"/>
      <c r="F14" s="21"/>
      <c r="G14" s="21"/>
      <c r="H14" s="22"/>
      <c r="I14" s="21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6" t="s">
        <v>244</v>
      </c>
      <c r="B15" s="21"/>
      <c r="C15" s="21"/>
      <c r="D15" s="21"/>
      <c r="E15" s="21"/>
      <c r="F15" s="21"/>
      <c r="G15" s="21"/>
      <c r="H15" s="22"/>
      <c r="I15" s="21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>
      <c r="A16" s="4" t="s">
        <v>245</v>
      </c>
      <c r="B16" s="21"/>
      <c r="C16" s="35">
        <f>'OPER EXP'!C16</f>
        <v>659500</v>
      </c>
      <c r="D16" s="35">
        <f>'OPER EXP'!D16</f>
        <v>829400</v>
      </c>
      <c r="E16" s="35">
        <f>'OPER EXP'!E16</f>
        <v>1121090</v>
      </c>
      <c r="F16" s="35">
        <f>'OPER EXP'!F16</f>
        <v>1418000</v>
      </c>
      <c r="G16" s="35">
        <f>'OPER EXP'!G16</f>
        <v>1912400</v>
      </c>
      <c r="H16" s="22"/>
      <c r="I16" s="21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>
      <c r="A17" s="12" t="s">
        <v>246</v>
      </c>
      <c r="B17" s="21"/>
      <c r="C17" s="35">
        <f>'OPER EXP'!C25</f>
        <v>287500</v>
      </c>
      <c r="D17" s="35">
        <f>'OPER EXP'!D25</f>
        <v>561450</v>
      </c>
      <c r="E17" s="35">
        <f>'OPER EXP'!E25</f>
        <v>773710</v>
      </c>
      <c r="F17" s="35">
        <f>'OPER EXP'!F25</f>
        <v>969000</v>
      </c>
      <c r="G17" s="35">
        <f>'OPER EXP'!G25</f>
        <v>1214800</v>
      </c>
      <c r="H17" s="22"/>
      <c r="I17" s="21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>
      <c r="A18" s="4" t="s">
        <v>247</v>
      </c>
      <c r="B18" s="21"/>
      <c r="C18" s="84">
        <f>'OPER EXP'!C38</f>
        <v>620000</v>
      </c>
      <c r="D18" s="84">
        <f>'OPER EXP'!D38</f>
        <v>869450</v>
      </c>
      <c r="E18" s="84">
        <f>'OPER EXP'!E38</f>
        <v>1058190</v>
      </c>
      <c r="F18" s="84">
        <f>'OPER EXP'!F38</f>
        <v>1313666.6666666667</v>
      </c>
      <c r="G18" s="84">
        <f>'OPER EXP'!G38</f>
        <v>1591866.6666666667</v>
      </c>
      <c r="H18" s="22"/>
      <c r="I18" s="21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>
      <c r="A19" s="4" t="s">
        <v>248</v>
      </c>
      <c r="B19" s="21"/>
      <c r="C19" s="35">
        <f>'OPER EXP'!C41</f>
        <v>1567000</v>
      </c>
      <c r="D19" s="35">
        <f>'OPER EXP'!D41</f>
        <v>2260300</v>
      </c>
      <c r="E19" s="35">
        <f>'OPER EXP'!E41</f>
        <v>2952990</v>
      </c>
      <c r="F19" s="35">
        <f>'OPER EXP'!F41</f>
        <v>3700666.666666667</v>
      </c>
      <c r="G19" s="35">
        <f>'OPER EXP'!G41</f>
        <v>4719066.666666667</v>
      </c>
      <c r="H19" s="22"/>
      <c r="I19" s="21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.75" customHeight="1">
      <c r="A20" s="4" t="s">
        <v>242</v>
      </c>
      <c r="B20" s="44"/>
      <c r="C20" s="97">
        <f>'OPER EXP'!C42</f>
        <v>0.56981818181818178</v>
      </c>
      <c r="D20" s="97">
        <f>'OPER EXP'!D42</f>
        <v>0.58861979166666667</v>
      </c>
      <c r="E20" s="97">
        <f>'OPER EXP'!E42</f>
        <v>0.49257547956630526</v>
      </c>
      <c r="F20" s="97">
        <f>'OPER EXP'!F42</f>
        <v>0.45574712643678167</v>
      </c>
      <c r="G20" s="97">
        <f>'OPER EXP'!G42</f>
        <v>0.38936193619361936</v>
      </c>
      <c r="H20" s="22"/>
      <c r="I20" s="39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.75" customHeight="1">
      <c r="A21" s="4"/>
      <c r="B21" s="21"/>
      <c r="C21" s="98"/>
      <c r="D21" s="98"/>
      <c r="E21" s="98"/>
      <c r="F21" s="98"/>
      <c r="G21" s="98"/>
      <c r="H21" s="22"/>
      <c r="I21" s="21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>
      <c r="A22" s="6" t="s">
        <v>249</v>
      </c>
      <c r="B22" s="21"/>
      <c r="C22" s="31">
        <f t="shared" ref="C22:G22" si="3">C12-C19</f>
        <v>-142528.57142857136</v>
      </c>
      <c r="D22" s="31">
        <f t="shared" si="3"/>
        <v>-336300</v>
      </c>
      <c r="E22" s="31">
        <f t="shared" si="3"/>
        <v>527952.85714285728</v>
      </c>
      <c r="F22" s="31">
        <f t="shared" si="3"/>
        <v>1304633.333333333</v>
      </c>
      <c r="G22" s="31">
        <f t="shared" si="3"/>
        <v>3337097.6190476185</v>
      </c>
      <c r="H22" s="22"/>
      <c r="I22" s="21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4"/>
      <c r="B23" s="21"/>
      <c r="H23" s="22"/>
      <c r="I23" s="21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6" t="s">
        <v>250</v>
      </c>
      <c r="B24" s="21"/>
      <c r="C24" s="35">
        <f>EXTRA!C16</f>
        <v>-120000</v>
      </c>
      <c r="D24" s="35">
        <f>EXTRA!D16</f>
        <v>115000</v>
      </c>
      <c r="E24" s="35">
        <f>EXTRA!E16</f>
        <v>180000</v>
      </c>
      <c r="F24" s="35">
        <f>EXTRA!F16</f>
        <v>260000</v>
      </c>
      <c r="G24" s="35">
        <f>EXTRA!G16</f>
        <v>330000</v>
      </c>
      <c r="H24" s="22"/>
      <c r="I24" s="21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4"/>
      <c r="B25" s="4"/>
      <c r="C25" s="98"/>
      <c r="D25" s="98"/>
      <c r="E25" s="98"/>
      <c r="F25" s="98"/>
      <c r="G25" s="98"/>
      <c r="H25" s="22"/>
      <c r="I25" s="4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>
      <c r="A26" s="6" t="s">
        <v>251</v>
      </c>
      <c r="B26" s="21"/>
      <c r="C26" s="31">
        <f t="shared" ref="C26:G26" si="4">C22+C24</f>
        <v>-262528.57142857136</v>
      </c>
      <c r="D26" s="31">
        <f t="shared" si="4"/>
        <v>-221300</v>
      </c>
      <c r="E26" s="31">
        <f t="shared" si="4"/>
        <v>707952.85714285728</v>
      </c>
      <c r="F26" s="31">
        <f t="shared" si="4"/>
        <v>1564633.333333333</v>
      </c>
      <c r="G26" s="31">
        <f t="shared" si="4"/>
        <v>3667097.6190476185</v>
      </c>
      <c r="H26" s="22"/>
      <c r="I26" s="21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4"/>
      <c r="B27" s="4"/>
      <c r="C27" s="21"/>
      <c r="D27" s="21"/>
      <c r="E27" s="21"/>
      <c r="F27" s="21"/>
      <c r="G27" s="21"/>
      <c r="H27" s="22"/>
      <c r="I27" s="4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6" t="s">
        <v>252</v>
      </c>
      <c r="B28" s="21"/>
      <c r="C28" s="35">
        <f>-FUNDING!C41+FUNDING!C45</f>
        <v>-214100</v>
      </c>
      <c r="D28" s="35">
        <f>-FUNDING!D41+FUNDING!D45</f>
        <v>-195300</v>
      </c>
      <c r="E28" s="35">
        <f>-FUNDING!E41+FUNDING!E45</f>
        <v>-219600</v>
      </c>
      <c r="F28" s="35">
        <f>-FUNDING!F41+FUNDING!F45</f>
        <v>-124000</v>
      </c>
      <c r="G28" s="35">
        <f>-FUNDING!G41+FUNDING!G45</f>
        <v>-87199.999999999985</v>
      </c>
      <c r="H28" s="22"/>
      <c r="I28" s="21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4"/>
      <c r="B29" s="4"/>
      <c r="C29" s="21"/>
      <c r="D29" s="21"/>
      <c r="E29" s="21"/>
      <c r="F29" s="21"/>
      <c r="G29" s="21"/>
      <c r="H29" s="22"/>
      <c r="I29" s="4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6" t="s">
        <v>253</v>
      </c>
      <c r="B30" s="21"/>
      <c r="C30" s="31">
        <f t="shared" ref="C30:G30" si="5">C26+C28</f>
        <v>-476628.57142857136</v>
      </c>
      <c r="D30" s="31">
        <f t="shared" si="5"/>
        <v>-416600</v>
      </c>
      <c r="E30" s="31">
        <f t="shared" si="5"/>
        <v>488352.85714285728</v>
      </c>
      <c r="F30" s="31">
        <f t="shared" si="5"/>
        <v>1440633.333333333</v>
      </c>
      <c r="G30" s="31">
        <f t="shared" si="5"/>
        <v>3579897.6190476185</v>
      </c>
      <c r="H30" s="22"/>
      <c r="I30" s="21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4"/>
      <c r="B31" s="4"/>
      <c r="C31" s="21"/>
      <c r="D31" s="21"/>
      <c r="E31" s="21"/>
      <c r="F31" s="21"/>
      <c r="G31" s="21"/>
      <c r="H31" s="22"/>
      <c r="I31" s="4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6" t="s">
        <v>254</v>
      </c>
      <c r="B32" s="21"/>
      <c r="C32" s="35">
        <f>TAXES!C14</f>
        <v>0</v>
      </c>
      <c r="D32" s="35">
        <f>TAXES!D14</f>
        <v>0</v>
      </c>
      <c r="E32" s="35">
        <f>TAXES!E14</f>
        <v>0</v>
      </c>
      <c r="F32" s="35">
        <f>TAXES!F14</f>
        <v>-414303.04761904757</v>
      </c>
      <c r="G32" s="35">
        <f>TAXES!G14</f>
        <v>-1431959.0476190476</v>
      </c>
      <c r="H32" s="22"/>
      <c r="I32" s="21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>
      <c r="A33" s="4"/>
      <c r="B33" s="4"/>
      <c r="C33" s="98"/>
      <c r="D33" s="98"/>
      <c r="E33" s="98"/>
      <c r="F33" s="98"/>
      <c r="G33" s="98"/>
      <c r="H33" s="22"/>
      <c r="I33" s="4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6" t="s">
        <v>255</v>
      </c>
      <c r="B34" s="21"/>
      <c r="C34" s="99">
        <f t="shared" ref="C34:G34" si="6">C30+C32</f>
        <v>-476628.57142857136</v>
      </c>
      <c r="D34" s="99">
        <f t="shared" si="6"/>
        <v>-416600</v>
      </c>
      <c r="E34" s="99">
        <f t="shared" si="6"/>
        <v>488352.85714285728</v>
      </c>
      <c r="F34" s="99">
        <f t="shared" si="6"/>
        <v>1026330.2857142854</v>
      </c>
      <c r="G34" s="99">
        <f t="shared" si="6"/>
        <v>2147938.5714285709</v>
      </c>
      <c r="H34" s="22"/>
      <c r="I34" s="21"/>
      <c r="J34" s="4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4" t="s">
        <v>242</v>
      </c>
      <c r="B35" s="44"/>
      <c r="C35" s="45">
        <f t="shared" ref="C35:G35" si="7">C34/C7</f>
        <v>-0.17331948051948048</v>
      </c>
      <c r="D35" s="45">
        <f t="shared" si="7"/>
        <v>-0.10848958333333333</v>
      </c>
      <c r="E35" s="45">
        <f t="shared" si="7"/>
        <v>8.1460026212319819E-2</v>
      </c>
      <c r="F35" s="45">
        <f t="shared" si="7"/>
        <v>0.12639535538353269</v>
      </c>
      <c r="G35" s="45">
        <f t="shared" si="7"/>
        <v>0.17722265440829793</v>
      </c>
      <c r="H35" s="22"/>
      <c r="I35" s="39"/>
      <c r="J35" s="4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>
      <c r="A37" s="4"/>
      <c r="B37" s="4"/>
      <c r="C37" s="4"/>
      <c r="D37" s="21"/>
      <c r="E37" s="21"/>
      <c r="F37" s="4"/>
      <c r="G37" s="4"/>
      <c r="H37" s="4"/>
      <c r="I37" s="4"/>
      <c r="J37" s="4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>
      <c r="A38" s="4"/>
      <c r="B38" s="4"/>
      <c r="C38" s="4"/>
      <c r="D38" s="21"/>
      <c r="E38" s="4"/>
      <c r="F38" s="4"/>
      <c r="G38" s="4"/>
      <c r="H38" s="4"/>
      <c r="I38" s="22"/>
      <c r="J38" s="4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22"/>
      <c r="B48" s="22"/>
      <c r="C48" s="22"/>
      <c r="D48" s="22"/>
      <c r="E48" s="22"/>
      <c r="F48" s="22"/>
      <c r="G48" s="22"/>
      <c r="H48" s="22"/>
      <c r="I48" s="4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baseColWidth="10" defaultColWidth="14.3984375" defaultRowHeight="15" customHeight="1"/>
  <cols>
    <col min="1" max="1" width="40.19921875" customWidth="1"/>
    <col min="2" max="2" width="11.796875" customWidth="1"/>
    <col min="3" max="3" width="10.796875" customWidth="1"/>
    <col min="4" max="4" width="11.19921875" customWidth="1"/>
    <col min="5" max="5" width="12.796875" customWidth="1"/>
    <col min="6" max="6" width="13.3984375" customWidth="1"/>
    <col min="7" max="7" width="13.59765625" customWidth="1"/>
    <col min="8" max="8" width="10.796875" customWidth="1"/>
    <col min="9" max="9" width="11" customWidth="1"/>
    <col min="10" max="12" width="8.796875" customWidth="1"/>
    <col min="13" max="13" width="8" customWidth="1"/>
    <col min="14" max="14" width="20.796875" bestFit="1" customWidth="1"/>
    <col min="15" max="26" width="8" customWidth="1"/>
  </cols>
  <sheetData>
    <row r="1" spans="1:26" ht="20.25" customHeight="1">
      <c r="A1" s="20" t="s">
        <v>0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83" t="s">
        <v>422</v>
      </c>
      <c r="N1" s="184">
        <f>SUM(B9:G9,C10:G14,B13:B14,B15:G15,C19:G23,B22:B23,B19,B25:G25,C28:G32,B31:B32,B28:B29)</f>
        <v>173030339.14285716</v>
      </c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spans="1:26" ht="15.75" customHeight="1">
      <c r="A2" s="9" t="s">
        <v>256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15.75" customHeight="1">
      <c r="A3" s="9" t="s">
        <v>40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15.75" customHeight="1">
      <c r="A4" s="9" t="s">
        <v>41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15.75" customHeight="1">
      <c r="A5" s="65"/>
      <c r="B5" s="11" t="s">
        <v>207</v>
      </c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65"/>
      <c r="I5" s="65"/>
      <c r="J5" s="65"/>
      <c r="K5" s="4"/>
      <c r="L5" s="4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ht="15.75" customHeight="1">
      <c r="A6" s="65"/>
      <c r="B6" s="11"/>
      <c r="C6" s="11"/>
      <c r="D6" s="11"/>
      <c r="E6" s="11"/>
      <c r="F6" s="11"/>
      <c r="G6" s="11"/>
      <c r="H6" s="65"/>
      <c r="I6" s="65"/>
      <c r="J6" s="65"/>
      <c r="K6" s="4"/>
      <c r="L6" s="4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16">
      <c r="A7" s="6" t="s">
        <v>257</v>
      </c>
      <c r="B7" s="4"/>
      <c r="C7" s="4"/>
      <c r="D7" s="4"/>
      <c r="E7" s="4"/>
      <c r="F7" s="4"/>
      <c r="G7" s="4"/>
      <c r="H7" s="65"/>
      <c r="I7" s="65"/>
      <c r="J7" s="65"/>
      <c r="K7" s="4"/>
      <c r="L7" s="4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16">
      <c r="A8" s="6" t="s">
        <v>258</v>
      </c>
      <c r="B8" s="4"/>
      <c r="C8" s="4"/>
      <c r="D8" s="4"/>
      <c r="E8" s="4"/>
      <c r="F8" s="4"/>
      <c r="G8" s="4"/>
      <c r="H8" s="65"/>
      <c r="I8" s="65"/>
      <c r="J8" s="65"/>
      <c r="K8" s="4"/>
      <c r="L8" s="4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ht="16">
      <c r="A9" s="4" t="s">
        <v>259</v>
      </c>
      <c r="B9" s="35">
        <f>FUNDING!B6</f>
        <v>2500000</v>
      </c>
      <c r="C9" s="35">
        <f>CASHFLOW!C34</f>
        <v>3439333.3333333335</v>
      </c>
      <c r="D9" s="35">
        <f>CASHFLOW!D34</f>
        <v>3394540</v>
      </c>
      <c r="E9" s="35">
        <f>CASHFLOW!E34</f>
        <v>3474425</v>
      </c>
      <c r="F9" s="35">
        <f>CASHFLOW!F34</f>
        <v>3360046.9523809524</v>
      </c>
      <c r="G9" s="35">
        <f>CASHFLOW!G34</f>
        <v>4297937.9047619049</v>
      </c>
      <c r="H9" s="65"/>
      <c r="I9" s="65"/>
      <c r="J9" s="65"/>
      <c r="K9" s="4"/>
      <c r="L9" s="4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ht="16">
      <c r="A10" s="4" t="s">
        <v>260</v>
      </c>
      <c r="B10" s="35"/>
      <c r="C10" s="35">
        <f>WORKCAP!C12</f>
        <v>304333.33333333337</v>
      </c>
      <c r="D10" s="35">
        <f>WORKCAP!D12</f>
        <v>318720.00000000006</v>
      </c>
      <c r="E10" s="35">
        <f>WORKCAP!E12</f>
        <v>497585.00000000006</v>
      </c>
      <c r="F10" s="35">
        <f>WORKCAP!F12</f>
        <v>673960.00000000012</v>
      </c>
      <c r="G10" s="35">
        <f>WORKCAP!G12</f>
        <v>1005960.0000000001</v>
      </c>
      <c r="H10" s="65"/>
      <c r="I10" s="65"/>
      <c r="J10" s="65"/>
      <c r="K10" s="4"/>
      <c r="L10" s="4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ht="16">
      <c r="A11" s="4" t="s">
        <v>261</v>
      </c>
      <c r="B11" s="35"/>
      <c r="C11" s="35">
        <f>WORKCAP!C19</f>
        <v>304333.33333333337</v>
      </c>
      <c r="D11" s="35">
        <f>WORKCAP!D19</f>
        <v>318720.00000000006</v>
      </c>
      <c r="E11" s="35">
        <f>WORKCAP!E19</f>
        <v>401665</v>
      </c>
      <c r="F11" s="35">
        <f>WORKCAP!F19</f>
        <v>544040</v>
      </c>
      <c r="G11" s="35">
        <f>WORKCAP!G19</f>
        <v>812040</v>
      </c>
      <c r="H11" s="65"/>
      <c r="I11" s="65"/>
      <c r="J11" s="65"/>
      <c r="K11" s="4"/>
      <c r="L11" s="4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ht="16">
      <c r="A12" s="4" t="s">
        <v>262</v>
      </c>
      <c r="B12" s="84"/>
      <c r="C12" s="84">
        <f>WORKCAP!C25</f>
        <v>36666.666666666672</v>
      </c>
      <c r="D12" s="84">
        <f>WORKCAP!D25</f>
        <v>38400</v>
      </c>
      <c r="E12" s="84">
        <f>WORKCAP!E25</f>
        <v>59950</v>
      </c>
      <c r="F12" s="84">
        <f>WORKCAP!F25</f>
        <v>81200</v>
      </c>
      <c r="G12" s="84">
        <f>WORKCAP!G25</f>
        <v>121200</v>
      </c>
      <c r="H12" s="65"/>
      <c r="I12" s="65"/>
      <c r="J12" s="65"/>
      <c r="K12" s="4"/>
      <c r="L12" s="4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ht="16">
      <c r="A13" s="12" t="s">
        <v>263</v>
      </c>
      <c r="B13" s="35">
        <f t="shared" ref="B13:G13" si="0">SUM(B9:B12)</f>
        <v>2500000</v>
      </c>
      <c r="C13" s="35">
        <f t="shared" si="0"/>
        <v>4084666.666666667</v>
      </c>
      <c r="D13" s="35">
        <f t="shared" si="0"/>
        <v>4070380</v>
      </c>
      <c r="E13" s="35">
        <f t="shared" si="0"/>
        <v>4433625</v>
      </c>
      <c r="F13" s="35">
        <f t="shared" si="0"/>
        <v>4659246.9523809524</v>
      </c>
      <c r="G13" s="35">
        <f t="shared" si="0"/>
        <v>6237137.9047619049</v>
      </c>
      <c r="H13" s="65"/>
      <c r="I13" s="65"/>
      <c r="J13" s="65"/>
      <c r="K13" s="4"/>
      <c r="L13" s="4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ht="16">
      <c r="A14" s="43" t="s">
        <v>264</v>
      </c>
      <c r="B14" s="35">
        <f>'PROP &amp; EQUIP'!B53</f>
        <v>0</v>
      </c>
      <c r="C14" s="35">
        <f>'PROP &amp; EQUIP'!C53</f>
        <v>244371.42857142858</v>
      </c>
      <c r="D14" s="35">
        <f>'PROP &amp; EQUIP'!D53</f>
        <v>603871.42857142864</v>
      </c>
      <c r="E14" s="35">
        <f>'PROP &amp; EQUIP'!E53</f>
        <v>923014.28571428568</v>
      </c>
      <c r="F14" s="35">
        <f>'PROP &amp; EQUIP'!F53</f>
        <v>1204847.6190476189</v>
      </c>
      <c r="G14" s="35">
        <f>'PROP &amp; EQUIP'!G53</f>
        <v>1437895.2380952381</v>
      </c>
      <c r="H14" s="65"/>
      <c r="I14" s="65"/>
      <c r="J14" s="65"/>
      <c r="K14" s="4"/>
      <c r="L14" s="4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15.75" customHeight="1">
      <c r="A15" s="43" t="s">
        <v>265</v>
      </c>
      <c r="B15" s="101">
        <f t="shared" ref="B15:G15" si="1">B13+B14</f>
        <v>2500000</v>
      </c>
      <c r="C15" s="101">
        <f t="shared" si="1"/>
        <v>4329038.0952380951</v>
      </c>
      <c r="D15" s="101">
        <f t="shared" si="1"/>
        <v>4674251.4285714291</v>
      </c>
      <c r="E15" s="101">
        <f t="shared" si="1"/>
        <v>5356639.2857142854</v>
      </c>
      <c r="F15" s="101">
        <f t="shared" si="1"/>
        <v>5864094.5714285709</v>
      </c>
      <c r="G15" s="101">
        <f t="shared" si="1"/>
        <v>7675033.1428571427</v>
      </c>
      <c r="H15" s="65"/>
      <c r="I15" s="65"/>
      <c r="J15" s="65"/>
      <c r="K15" s="4"/>
      <c r="L15" s="4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ht="16">
      <c r="A16" s="4"/>
      <c r="B16" s="21"/>
      <c r="C16" s="21"/>
      <c r="D16" s="21"/>
      <c r="E16" s="21"/>
      <c r="F16" s="21"/>
      <c r="G16" s="21"/>
      <c r="H16" s="65"/>
      <c r="I16" s="65"/>
      <c r="J16" s="65"/>
      <c r="K16" s="4"/>
      <c r="L16" s="4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16">
      <c r="A17" s="6" t="s">
        <v>266</v>
      </c>
      <c r="B17" s="21"/>
      <c r="C17" s="21"/>
      <c r="D17" s="21"/>
      <c r="E17" s="21"/>
      <c r="F17" s="21"/>
      <c r="G17" s="21"/>
      <c r="H17" s="65"/>
      <c r="I17" s="65"/>
      <c r="J17" s="65"/>
      <c r="K17" s="4"/>
      <c r="L17" s="4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ht="16">
      <c r="A18" s="6" t="s">
        <v>267</v>
      </c>
      <c r="B18" s="21"/>
      <c r="C18" s="21"/>
      <c r="D18" s="21"/>
      <c r="E18" s="21"/>
      <c r="F18" s="21"/>
      <c r="G18" s="21"/>
      <c r="H18" s="65"/>
      <c r="I18" s="65"/>
      <c r="J18" s="65"/>
      <c r="K18" s="4"/>
      <c r="L18" s="4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ht="16">
      <c r="A19" s="4" t="s">
        <v>268</v>
      </c>
      <c r="B19" s="35">
        <f>FUNDING!B18</f>
        <v>0</v>
      </c>
      <c r="C19" s="35">
        <f>FUNDING!C18</f>
        <v>450000</v>
      </c>
      <c r="D19" s="35">
        <f>FUNDING!D18</f>
        <v>350000</v>
      </c>
      <c r="E19" s="35">
        <f>FUNDING!E18</f>
        <v>800000</v>
      </c>
      <c r="F19" s="35">
        <f>FUNDING!F18</f>
        <v>100000</v>
      </c>
      <c r="G19" s="35">
        <f>FUNDING!G18</f>
        <v>0</v>
      </c>
      <c r="H19" s="65"/>
      <c r="I19" s="65"/>
      <c r="J19" s="65"/>
      <c r="K19" s="4"/>
      <c r="L19" s="4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ht="16">
      <c r="A20" s="4" t="s">
        <v>269</v>
      </c>
      <c r="B20" s="35"/>
      <c r="C20" s="35">
        <f>WORKCAP!C31</f>
        <v>319000</v>
      </c>
      <c r="D20" s="35">
        <f>WORKCAP!D31</f>
        <v>334079.99999999994</v>
      </c>
      <c r="E20" s="35">
        <f>WORKCAP!E31</f>
        <v>521564.99999999994</v>
      </c>
      <c r="F20" s="35">
        <f>WORKCAP!F31</f>
        <v>706439.99999999988</v>
      </c>
      <c r="G20" s="35">
        <f>WORKCAP!G31</f>
        <v>1054439.9999999998</v>
      </c>
      <c r="H20" s="65"/>
      <c r="I20" s="65"/>
      <c r="J20" s="65"/>
      <c r="K20" s="4"/>
      <c r="L20" s="4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15.75" customHeight="1">
      <c r="A21" s="4" t="s">
        <v>270</v>
      </c>
      <c r="B21" s="35"/>
      <c r="C21" s="35">
        <f>WORKCAP!C37</f>
        <v>36666.666666666672</v>
      </c>
      <c r="D21" s="35">
        <f>WORKCAP!D37</f>
        <v>38400</v>
      </c>
      <c r="E21" s="35">
        <f>WORKCAP!E37</f>
        <v>59950</v>
      </c>
      <c r="F21" s="35">
        <f>WORKCAP!F37</f>
        <v>81200</v>
      </c>
      <c r="G21" s="35">
        <f>WORKCAP!G37</f>
        <v>121200</v>
      </c>
      <c r="H21" s="65"/>
      <c r="I21" s="65"/>
      <c r="J21" s="65"/>
      <c r="K21" s="4"/>
      <c r="L21" s="4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ht="15.75" customHeight="1">
      <c r="A22" s="4" t="s">
        <v>271</v>
      </c>
      <c r="B22" s="84">
        <f>FUNDING!B22</f>
        <v>0</v>
      </c>
      <c r="C22" s="84">
        <f>FUNDING!C22</f>
        <v>250000</v>
      </c>
      <c r="D22" s="84">
        <f>FUNDING!D22</f>
        <v>275000</v>
      </c>
      <c r="E22" s="84">
        <f>FUNDING!E22</f>
        <v>300000</v>
      </c>
      <c r="F22" s="84">
        <f>FUNDING!F22</f>
        <v>325000</v>
      </c>
      <c r="G22" s="84">
        <f>FUNDING!G22</f>
        <v>350000</v>
      </c>
      <c r="H22" s="65"/>
      <c r="I22" s="65"/>
      <c r="J22" s="65"/>
      <c r="K22" s="4"/>
      <c r="L22" s="4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ht="15.75" customHeight="1">
      <c r="A23" s="12" t="s">
        <v>272</v>
      </c>
      <c r="B23" s="31">
        <f t="shared" ref="B23:G23" si="2">SUM(B19:B22)</f>
        <v>0</v>
      </c>
      <c r="C23" s="31">
        <f t="shared" si="2"/>
        <v>1055666.6666666665</v>
      </c>
      <c r="D23" s="31">
        <f t="shared" si="2"/>
        <v>997480</v>
      </c>
      <c r="E23" s="31">
        <f t="shared" si="2"/>
        <v>1681515</v>
      </c>
      <c r="F23" s="31">
        <f t="shared" si="2"/>
        <v>1212640</v>
      </c>
      <c r="G23" s="31">
        <f t="shared" si="2"/>
        <v>1525639.9999999998</v>
      </c>
      <c r="H23" s="65"/>
      <c r="I23" s="65"/>
      <c r="J23" s="65"/>
      <c r="K23" s="4"/>
      <c r="L23" s="4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ht="15.75" customHeight="1">
      <c r="A24" s="4"/>
      <c r="B24" s="21"/>
      <c r="C24" s="21"/>
      <c r="D24" s="21"/>
      <c r="E24" s="21"/>
      <c r="F24" s="21"/>
      <c r="G24" s="21"/>
      <c r="H24" s="65"/>
      <c r="I24" s="65"/>
      <c r="J24" s="65"/>
      <c r="K24" s="4"/>
      <c r="L24" s="4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 ht="15.75" customHeight="1">
      <c r="A25" s="4" t="s">
        <v>273</v>
      </c>
      <c r="B25" s="35">
        <f>FUNDING!B23</f>
        <v>0</v>
      </c>
      <c r="C25" s="35">
        <f>FUNDING!C23</f>
        <v>2250000</v>
      </c>
      <c r="D25" s="35">
        <f>FUNDING!D23</f>
        <v>2100000</v>
      </c>
      <c r="E25" s="35">
        <f>FUNDING!E23</f>
        <v>1800000</v>
      </c>
      <c r="F25" s="35">
        <f>FUNDING!F23</f>
        <v>1400000</v>
      </c>
      <c r="G25" s="35">
        <f>FUNDING!G23</f>
        <v>1000000</v>
      </c>
      <c r="H25" s="65"/>
      <c r="I25" s="65"/>
      <c r="J25" s="65"/>
      <c r="K25" s="4"/>
      <c r="L25" s="4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ht="15.75" customHeight="1">
      <c r="A26" s="4"/>
      <c r="B26" s="21"/>
      <c r="C26" s="21"/>
      <c r="D26" s="21"/>
      <c r="E26" s="21"/>
      <c r="F26" s="21"/>
      <c r="G26" s="21"/>
      <c r="H26" s="65"/>
      <c r="I26" s="65"/>
      <c r="J26" s="65"/>
      <c r="K26" s="4"/>
      <c r="L26" s="4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ht="15.75" customHeight="1">
      <c r="A27" s="6" t="s">
        <v>274</v>
      </c>
      <c r="B27" s="21"/>
      <c r="C27" s="21"/>
      <c r="D27" s="21"/>
      <c r="E27" s="21"/>
      <c r="F27" s="21"/>
      <c r="G27" s="21"/>
      <c r="H27" s="65"/>
      <c r="I27" s="65"/>
      <c r="J27" s="65"/>
      <c r="K27" s="4"/>
      <c r="L27" s="4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ht="15.75" customHeight="1">
      <c r="A28" s="4" t="s">
        <v>275</v>
      </c>
      <c r="B28" s="35">
        <f>FUNDING!B8</f>
        <v>1500000</v>
      </c>
      <c r="C28" s="35">
        <f>FUNDING!C8</f>
        <v>500000</v>
      </c>
      <c r="D28" s="35">
        <f>FUNDING!D8</f>
        <v>750000</v>
      </c>
      <c r="E28" s="35">
        <f>FUNDING!E8</f>
        <v>600000</v>
      </c>
      <c r="F28" s="35">
        <f>FUNDING!F8</f>
        <v>1000000</v>
      </c>
      <c r="G28" s="35">
        <f>FUNDING!G8</f>
        <v>800000</v>
      </c>
      <c r="H28" s="65"/>
      <c r="I28" s="65"/>
      <c r="J28" s="65"/>
      <c r="K28" s="4"/>
      <c r="L28" s="4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ht="15.75" customHeight="1">
      <c r="A29" s="4" t="s">
        <v>276</v>
      </c>
      <c r="B29" s="35">
        <f>FUNDING!B13</f>
        <v>1200000</v>
      </c>
      <c r="C29" s="35">
        <f>FUNDING!C13</f>
        <v>1200000</v>
      </c>
      <c r="D29" s="35">
        <f>FUNDING!D13</f>
        <v>1950000</v>
      </c>
      <c r="E29" s="35">
        <f>FUNDING!E13</f>
        <v>1950000</v>
      </c>
      <c r="F29" s="35">
        <f>FUNDING!F13</f>
        <v>1950000</v>
      </c>
      <c r="G29" s="35">
        <f>FUNDING!G13</f>
        <v>1950000</v>
      </c>
      <c r="H29" s="65"/>
      <c r="I29" s="65"/>
      <c r="J29" s="65"/>
      <c r="K29" s="4"/>
      <c r="L29" s="4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 ht="15.75" customHeight="1">
      <c r="A30" s="4" t="s">
        <v>277</v>
      </c>
      <c r="B30" s="84"/>
      <c r="C30" s="84">
        <f>FUNDING!C52</f>
        <v>-476628.57142857136</v>
      </c>
      <c r="D30" s="84">
        <f>FUNDING!D52</f>
        <v>-923228.57142857136</v>
      </c>
      <c r="E30" s="84">
        <f>FUNDING!E52</f>
        <v>-474875.71428571409</v>
      </c>
      <c r="F30" s="84">
        <f>FUNDING!F52</f>
        <v>501454.57142857136</v>
      </c>
      <c r="G30" s="84">
        <f>FUNDING!G52</f>
        <v>2599393.1428571423</v>
      </c>
      <c r="H30" s="65"/>
      <c r="I30" s="65"/>
      <c r="J30" s="65"/>
      <c r="K30" s="4"/>
      <c r="L30" s="4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 ht="15.75" customHeight="1">
      <c r="A31" s="12" t="s">
        <v>216</v>
      </c>
      <c r="B31" s="31">
        <f t="shared" ref="B31:G31" si="3">SUM(B28:B30)</f>
        <v>2700000</v>
      </c>
      <c r="C31" s="31">
        <f t="shared" si="3"/>
        <v>1223371.4285714286</v>
      </c>
      <c r="D31" s="31">
        <f t="shared" si="3"/>
        <v>1776771.4285714286</v>
      </c>
      <c r="E31" s="31">
        <f t="shared" si="3"/>
        <v>2075124.2857142859</v>
      </c>
      <c r="F31" s="31">
        <f t="shared" si="3"/>
        <v>3451454.5714285714</v>
      </c>
      <c r="G31" s="31">
        <f t="shared" si="3"/>
        <v>5349393.1428571418</v>
      </c>
      <c r="H31" s="65"/>
      <c r="I31" s="65"/>
      <c r="J31" s="65"/>
      <c r="K31" s="4"/>
      <c r="L31" s="4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spans="1:26" ht="15.75" customHeight="1">
      <c r="A32" s="43" t="s">
        <v>278</v>
      </c>
      <c r="B32" s="101">
        <f t="shared" ref="B32:G32" si="4">B23+B25+B31</f>
        <v>2700000</v>
      </c>
      <c r="C32" s="101">
        <f t="shared" si="4"/>
        <v>4529038.0952380951</v>
      </c>
      <c r="D32" s="101">
        <f t="shared" si="4"/>
        <v>4874251.4285714291</v>
      </c>
      <c r="E32" s="101">
        <f t="shared" si="4"/>
        <v>5556639.2857142854</v>
      </c>
      <c r="F32" s="101">
        <f t="shared" si="4"/>
        <v>6064094.5714285709</v>
      </c>
      <c r="G32" s="101">
        <f t="shared" si="4"/>
        <v>7875033.1428571418</v>
      </c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26" ht="15.75" customHeight="1">
      <c r="A33" s="65"/>
      <c r="B33" s="102"/>
      <c r="C33" s="65"/>
      <c r="D33" s="65"/>
      <c r="E33" s="65"/>
      <c r="F33" s="102"/>
      <c r="G33" s="102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 ht="15.75" customHeight="1">
      <c r="A34" s="65"/>
      <c r="B34" s="102"/>
      <c r="C34" s="102"/>
      <c r="D34" s="102"/>
      <c r="E34" s="102"/>
      <c r="F34" s="102"/>
      <c r="G34" s="102"/>
      <c r="H34" s="65"/>
      <c r="I34" s="65"/>
      <c r="J34" s="65"/>
      <c r="K34" s="4"/>
      <c r="L34" s="4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spans="1:26" ht="15.7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4"/>
      <c r="L35" s="4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ht="15.7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4"/>
      <c r="L36" s="4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ht="15.7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4"/>
      <c r="L37" s="4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ht="15.7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4"/>
      <c r="L38" s="4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 ht="15.7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4"/>
      <c r="L39" s="4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ht="15.75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4"/>
      <c r="L40" s="4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ht="15.75" customHeight="1">
      <c r="A41" s="65"/>
      <c r="B41" s="65"/>
      <c r="C41" s="65"/>
      <c r="D41" s="65"/>
      <c r="E41" s="65"/>
      <c r="F41" s="65"/>
      <c r="G41" s="65"/>
      <c r="H41" s="21"/>
      <c r="I41" s="21"/>
      <c r="J41" s="21"/>
      <c r="K41" s="4"/>
      <c r="L41" s="4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ht="15.75" customHeight="1">
      <c r="A42" s="65"/>
      <c r="B42" s="65"/>
      <c r="C42" s="65"/>
      <c r="D42" s="65"/>
      <c r="E42" s="65"/>
      <c r="F42" s="65"/>
      <c r="G42" s="65"/>
      <c r="H42" s="21"/>
      <c r="I42" s="21"/>
      <c r="J42" s="21"/>
      <c r="K42" s="4"/>
      <c r="L42" s="4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ht="15.75" customHeight="1">
      <c r="A43" s="65"/>
      <c r="B43" s="65"/>
      <c r="C43" s="65"/>
      <c r="D43" s="65"/>
      <c r="E43" s="65"/>
      <c r="F43" s="65"/>
      <c r="G43" s="65"/>
      <c r="H43" s="102"/>
      <c r="I43" s="102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ht="15.7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ht="15.7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ht="15.75" customHeight="1">
      <c r="A46" s="65"/>
      <c r="B46" s="65"/>
      <c r="C46" s="65"/>
      <c r="D46" s="65"/>
      <c r="E46" s="65"/>
      <c r="F46" s="65"/>
      <c r="G46" s="65"/>
      <c r="H46" s="4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 ht="15.7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ht="15.7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ht="15.7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ht="15.7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ht="15.7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ht="15.7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ht="15.7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ht="15.7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ht="15.7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ht="15.7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ht="15.7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ht="15.7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ht="15.7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ht="15.7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ht="15.7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ht="15.7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ht="15.7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ht="15.7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ht="15.7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ht="15.7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ht="15.7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ht="15.7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ht="15.7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ht="15.7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ht="15.7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ht="15.7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ht="15.7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ht="15.7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ht="15.7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ht="15.7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ht="15.7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ht="15.7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ht="15.7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ht="15.7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ht="15.7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ht="15.7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ht="15.7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ht="15.7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ht="15.7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ht="15.7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ht="15.7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ht="15.7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ht="15.7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ht="15.7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ht="15.7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ht="15.7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ht="15.7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ht="15.7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15.7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15.7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15.7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15.7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15.7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15.7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5.7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5.7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5.7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5.7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5.7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5.7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15.7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5.7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15.7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15.7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15.7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ht="15.7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ht="15.7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ht="15.7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ht="15.7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ht="15.7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ht="15.7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ht="15.7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ht="15.7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ht="15.7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ht="15.7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ht="15.7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ht="15.7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ht="15.7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ht="15.7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ht="15.7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ht="15.7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ht="15.7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ht="15.7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ht="15.7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ht="15.7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ht="15.7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ht="15.7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ht="15.7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ht="15.7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ht="15.7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ht="15.7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ht="15.7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ht="15.7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ht="15.7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ht="15.7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ht="15.7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ht="15.7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ht="15.7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ht="15.7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ht="15.7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ht="15.7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ht="15.7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ht="15.7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ht="15.7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ht="15.7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ht="15.7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ht="15.7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ht="15.7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ht="15.7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ht="15.7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ht="15.7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ht="15.7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ht="15.7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ht="15.7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ht="15.7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ht="15.7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ht="15.7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ht="15.7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ht="15.7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ht="15.7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ht="15.7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ht="15.7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ht="15.7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ht="15.7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ht="15.7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ht="15.7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ht="15.7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ht="15.7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ht="15.7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ht="15.7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ht="15.7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ht="15.7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ht="15.7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ht="15.7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ht="15.7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ht="15.7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ht="15.7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ht="15.7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ht="15.7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ht="15.7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ht="15.7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ht="15.7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ht="15.7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ht="15.7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ht="15.7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ht="15.7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ht="15.7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ht="15.7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ht="15.7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ht="15.7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ht="15.7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ht="15.7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ht="15.7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ht="15.7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ht="15.75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ht="15.75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ht="15.75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ht="15.75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ht="15.75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ht="15.75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ht="15.75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ht="15.7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ht="15.7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ht="15.75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ht="15.75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ht="15.75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ht="15.7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ht="15.7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ht="15.7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ht="15.7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ht="15.7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ht="15.7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ht="15.7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ht="15.7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ht="15.75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spans="1:26" ht="15.75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spans="1:26" ht="15.75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spans="1:26" ht="15.7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spans="1:26" ht="15.7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spans="1:26" ht="15.7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spans="1:26" ht="15.7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spans="1:26" ht="15.7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spans="1:26" ht="15.7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spans="1:26" ht="15.7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spans="1:26" ht="15.7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spans="1:26" ht="15.7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spans="1:26" ht="15.7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spans="1:26" ht="15.7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spans="1:26" ht="15.7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spans="1:26" ht="15.7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spans="1:26" ht="15.7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spans="1:26" ht="15.7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spans="1:26" ht="15.7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spans="1:26" ht="15.7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spans="1:26" ht="15.7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spans="1:26" ht="15.7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spans="1:26" ht="15.7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spans="1:26" ht="15.7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spans="1:26" ht="15.7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spans="1:26" ht="15.7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spans="1:26" ht="15.7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spans="1:26" ht="15.7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spans="1:26" ht="15.7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spans="1:26" ht="15.7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spans="1:26" ht="15.7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spans="1:26" ht="15.7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spans="1:26" ht="15.7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spans="1:26" ht="15.7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spans="1:26" ht="15.75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spans="1:26" ht="15.75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spans="1:26" ht="15.75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spans="1:26" ht="15.75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spans="1:26" ht="15.75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spans="1:26" ht="15.75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spans="1:26" ht="15.75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spans="1:26" ht="15.75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spans="1:26" ht="15.75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spans="1:26" ht="15.75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spans="1:26" ht="15.75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spans="1:26" ht="15.75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spans="1:26" ht="15.75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spans="1:26" ht="15.75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spans="1:26" ht="15.75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spans="1:26" ht="15.75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spans="1:26" ht="15.7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spans="1:26" ht="15.7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spans="1:26" ht="15.7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spans="1:26" ht="15.7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spans="1:26" ht="15.7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spans="1:26" ht="15.7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spans="1:26" ht="15.7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spans="1:26" ht="15.7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spans="1:26" ht="15.7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spans="1:26" ht="15.7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spans="1:26" ht="15.7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1:26" ht="15.7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1:26" ht="15.7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1:26" ht="15.7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1:26" ht="15.7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1:26" ht="15.7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1:26" ht="15.7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1:26" ht="15.7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1:26" ht="15.7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1:26" ht="15.7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1:26" ht="15.7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1:26" ht="15.7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1:26" ht="15.7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1:26" ht="15.7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1:26" ht="15.7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1:26" ht="15.7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1:26" ht="15.7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1:26" ht="15.7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1:26" ht="15.7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1:26" ht="15.7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1:26" ht="15.7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spans="1:26" ht="15.7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spans="1:26" ht="15.7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spans="1:26" ht="15.7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spans="1:26" ht="15.7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spans="1:26" ht="15.7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1:26" ht="15.7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spans="1:26" ht="15.7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spans="1:26" ht="15.7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spans="1:26" ht="15.7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spans="1:26" ht="15.7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spans="1:26" ht="15.7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spans="1:26" ht="15.7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spans="1:26" ht="15.7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spans="1:26" ht="15.7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spans="1:26" ht="15.7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spans="1:26" ht="15.7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spans="1:26" ht="15.7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spans="1:26" ht="15.7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spans="1:26" ht="15.7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spans="1:26" ht="15.7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spans="1:26" ht="15.7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spans="1:26" ht="15.7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spans="1:26" ht="15.7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spans="1:26" ht="15.7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spans="1:26" ht="15.7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spans="1:26" ht="15.7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spans="1:26" ht="15.7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spans="1:26" ht="15.7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spans="1:26" ht="15.7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spans="1:26" ht="15.7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spans="1:26" ht="15.7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spans="1:26" ht="15.7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spans="1:26" ht="15.7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spans="1:26" ht="15.7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spans="1:26" ht="15.7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spans="1:26" ht="15.7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spans="1:26" ht="15.7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spans="1:26" ht="15.7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spans="1:26" ht="15.7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spans="1:26" ht="15.7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spans="1:26" ht="15.7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spans="1:26" ht="15.7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spans="1:26" ht="15.7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spans="1:26" ht="15.7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spans="1:26" ht="15.7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spans="1:26" ht="15.7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spans="1:26" ht="15.7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spans="1:26" ht="15.7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spans="1:26" ht="15.7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spans="1:26" ht="15.7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spans="1:26" ht="15.7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spans="1:26" ht="15.7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spans="1:26" ht="15.7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spans="1:26" ht="15.7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spans="1:26" ht="15.7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spans="1:26" ht="15.7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spans="1:26" ht="15.7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spans="1:26" ht="15.7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spans="1:26" ht="15.7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spans="1:26" ht="15.7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spans="1:26" ht="15.7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spans="1:26" ht="15.7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spans="1:26" ht="15.7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spans="1:26" ht="15.7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spans="1:26" ht="15.7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spans="1:26" ht="15.7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spans="1:26" ht="15.7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spans="1:26" ht="15.7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spans="1:26" ht="15.7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spans="1:26" ht="15.7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spans="1:26" ht="15.7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spans="1:26" ht="15.7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spans="1:26" ht="15.7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spans="1:26" ht="15.7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spans="1:26" ht="15.7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spans="1:26" ht="15.7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spans="1:26" ht="15.7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spans="1:26" ht="15.7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spans="1:26" ht="15.7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spans="1:26" ht="15.7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spans="1:26" ht="15.7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spans="1:26" ht="15.7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spans="1:26" ht="15.7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spans="1:26" ht="15.7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spans="1:26" ht="15.7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spans="1:26" ht="15.7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spans="1:26" ht="15.7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spans="1:26" ht="15.7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spans="1:26" ht="15.7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spans="1:26" ht="15.7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spans="1:26" ht="15.7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spans="1:26" ht="15.7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spans="1:26" ht="15.7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spans="1:26" ht="15.7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spans="1:26" ht="15.7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spans="1:26" ht="15.7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spans="1:26" ht="15.7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spans="1:26" ht="15.7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spans="1:26" ht="15.7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spans="1:26" ht="15.7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spans="1:26" ht="15.7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spans="1:26" ht="15.7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spans="1:26" ht="15.7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spans="1:26" ht="15.7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spans="1:26" ht="15.7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spans="1:26" ht="15.7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spans="1:26" ht="15.7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spans="1:26" ht="15.7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spans="1:26" ht="15.7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spans="1:26" ht="15.7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spans="1:26" ht="15.7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spans="1:26" ht="15.7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spans="1:26" ht="15.7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spans="1:26" ht="15.7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spans="1:26" ht="15.7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spans="1:26" ht="15.7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spans="1:26" ht="15.7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spans="1:26" ht="15.7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spans="1:26" ht="15.7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spans="1:26" ht="15.7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spans="1:26" ht="15.7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spans="1:26" ht="15.7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spans="1:26" ht="15.7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spans="1:26" ht="15.7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spans="1:26" ht="15.7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spans="1:26" ht="15.7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spans="1:26" ht="15.7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spans="1:26" ht="15.7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spans="1:26" ht="15.7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spans="1:26" ht="15.7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spans="1:26" ht="15.7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spans="1:26" ht="15.7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spans="1:26" ht="15.7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spans="1:26" ht="15.7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spans="1:26" ht="15.7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spans="1:26" ht="15.7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spans="1:26" ht="15.7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spans="1:26" ht="15.7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spans="1:26" ht="15.7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spans="1:26" ht="15.7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spans="1:26" ht="15.7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spans="1:26" ht="15.7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spans="1:26" ht="15.7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spans="1:26" ht="15.7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spans="1:26" ht="15.7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spans="1:26" ht="15.7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spans="1:26" ht="15.7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spans="1:26" ht="15.7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spans="1:26" ht="15.7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spans="1:26" ht="15.7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spans="1:26" ht="15.7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spans="1:26" ht="15.7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spans="1:26" ht="15.7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spans="1:26" ht="15.7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spans="1:26" ht="15.7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spans="1:26" ht="15.7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spans="1:26" ht="15.7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spans="1:26" ht="15.7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spans="1:26" ht="15.7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spans="1:26" ht="15.7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spans="1:26" ht="15.7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spans="1:26" ht="15.7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spans="1:26" ht="15.7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spans="1:26" ht="15.7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spans="1:26" ht="15.7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spans="1:26" ht="15.7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spans="1:26" ht="15.7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spans="1:26" ht="15.7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spans="1:26" ht="15.7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spans="1:26" ht="15.7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spans="1:26" ht="15.7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spans="1:26" ht="15.7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spans="1:26" ht="15.7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spans="1:26" ht="15.7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spans="1:26" ht="15.7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spans="1:26" ht="15.7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spans="1:26" ht="15.7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spans="1:26" ht="15.7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spans="1:26" ht="15.7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spans="1:26" ht="15.7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spans="1:26" ht="15.7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spans="1:26" ht="15.7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spans="1:26" ht="15.7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spans="1:26" ht="15.7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spans="1:26" ht="15.7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spans="1:26" ht="15.7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spans="1:26" ht="15.7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spans="1:26" ht="15.7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spans="1:26" ht="15.7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spans="1:26" ht="15.7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spans="1:26" ht="15.7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spans="1:26" ht="15.7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spans="1:26" ht="15.7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spans="1:26" ht="15.7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spans="1:26" ht="15.7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spans="1:26" ht="15.7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spans="1:26" ht="15.7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spans="1:26" ht="15.7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spans="1:26" ht="15.7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spans="1:26" ht="15.7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spans="1:26" ht="15.7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spans="1:26" ht="15.7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spans="1:26" ht="15.7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spans="1:26" ht="15.7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spans="1:26" ht="15.7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spans="1:26" ht="15.7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spans="1:26" ht="15.7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spans="1:26" ht="15.7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spans="1:26" ht="15.7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spans="1:26" ht="15.7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spans="1:26" ht="15.7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spans="1:26" ht="15.7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spans="1:26" ht="15.7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spans="1:26" ht="15.7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spans="1:26" ht="15.7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spans="1:26" ht="15.7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spans="1:26" ht="15.7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spans="1:26" ht="15.7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spans="1:26" ht="15.7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spans="1:26" ht="15.7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spans="1:26" ht="15.7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spans="1:26" ht="15.7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spans="1:26" ht="15.7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spans="1:26" ht="15.7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spans="1:26" ht="15.7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spans="1:26" ht="15.7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spans="1:26" ht="15.7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spans="1:26" ht="15.7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spans="1:26" ht="15.7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spans="1:26" ht="15.7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spans="1:26" ht="15.7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spans="1:26" ht="15.7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spans="1:26" ht="15.7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spans="1:26" ht="15.7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spans="1:26" ht="15.7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spans="1:26" ht="15.7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spans="1:26" ht="15.7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spans="1:26" ht="15.7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spans="1:26" ht="15.7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spans="1:26" ht="15.7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spans="1:26" ht="15.7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spans="1:26" ht="15.7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spans="1:26" ht="15.7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spans="1:26" ht="15.7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spans="1:26" ht="15.7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spans="1:26" ht="15.7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spans="1:26" ht="15.7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spans="1:26" ht="15.7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spans="1:26" ht="15.7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spans="1:26" ht="15.7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spans="1:26" ht="15.7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spans="1:26" ht="15.7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spans="1:26" ht="15.7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spans="1:26" ht="15.7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spans="1:26" ht="15.7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spans="1:26" ht="15.7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spans="1:26" ht="15.7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spans="1:26" ht="15.7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spans="1:26" ht="15.7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spans="1:26" ht="15.7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spans="1:26" ht="15.7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spans="1:26" ht="15.7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spans="1:26" ht="15.7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spans="1:26" ht="15.7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spans="1:26" ht="15.7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spans="1:26" ht="15.7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spans="1:26" ht="15.7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spans="1:26" ht="15.7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spans="1:26" ht="15.7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spans="1:26" ht="15.7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spans="1:26" ht="15.7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spans="1:26" ht="15.7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spans="1:26" ht="15.7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spans="1:26" ht="15.7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spans="1:26" ht="15.7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spans="1:26" ht="15.7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spans="1:26" ht="15.7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spans="1:26" ht="15.7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spans="1:26" ht="15.7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spans="1:26" ht="15.7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spans="1:26" ht="15.7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spans="1:26" ht="15.7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spans="1:26" ht="15.7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spans="1:26" ht="15.7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spans="1:26" ht="15.7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spans="1:26" ht="15.7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spans="1:26" ht="15.7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spans="1:26" ht="15.7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spans="1:26" ht="15.7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spans="1:26" ht="15.7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spans="1:26" ht="15.7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spans="1:26" ht="15.7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spans="1:26" ht="15.7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spans="1:26" ht="15.7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spans="1:26" ht="15.7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spans="1:26" ht="15.7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spans="1:26" ht="15.7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spans="1:26" ht="15.7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spans="1:26" ht="15.7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spans="1:26" ht="15.7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spans="1:26" ht="15.7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spans="1:26" ht="15.7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spans="1:26" ht="15.7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spans="1:26" ht="15.7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spans="1:26" ht="15.7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spans="1:26" ht="15.7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spans="1:26" ht="15.7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spans="1:26" ht="15.7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spans="1:26" ht="15.7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spans="1:26" ht="15.7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spans="1:26" ht="15.7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spans="1:26" ht="15.7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spans="1:26" ht="15.7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spans="1:26" ht="15.7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spans="1:26" ht="15.7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spans="1:26" ht="15.7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spans="1:26" ht="15.7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spans="1:26" ht="15.7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spans="1:26" ht="15.7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spans="1:26" ht="15.7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spans="1:26" ht="15.7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spans="1:26" ht="15.7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spans="1:26" ht="15.7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spans="1:26" ht="15.7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spans="1:26" ht="15.7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spans="1:26" ht="15.7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spans="1:26" ht="15.7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spans="1:26" ht="15.7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spans="1:26" ht="15.7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spans="1:26" ht="15.7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spans="1:26" ht="15.7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spans="1:26" ht="15.7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spans="1:26" ht="15.7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spans="1:26" ht="15.7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spans="1:26" ht="15.7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spans="1:26" ht="15.7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spans="1:26" ht="15.7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spans="1:26" ht="15.7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spans="1:26" ht="15.7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spans="1:26" ht="15.7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spans="1:26" ht="15.7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spans="1:26" ht="15.7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spans="1:26" ht="15.7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spans="1:26" ht="15.7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spans="1:26" ht="15.7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spans="1:26" ht="15.7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spans="1:26" ht="15.7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spans="1:26" ht="15.7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spans="1:26" ht="15.7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spans="1:26" ht="15.7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spans="1:26" ht="15.7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spans="1:26" ht="15.7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spans="1:26" ht="15.7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spans="1:26" ht="15.7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spans="1:26" ht="15.7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spans="1:26" ht="15.7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spans="1:26" ht="15.7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spans="1:26" ht="15.7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spans="1:26" ht="15.7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spans="1:26" ht="15.7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spans="1:26" ht="15.7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spans="1:26" ht="15.7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spans="1:26" ht="15.7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spans="1:26" ht="15.7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spans="1:26" ht="15.7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spans="1:26" ht="15.7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spans="1:26" ht="15.7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spans="1:26" ht="15.7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spans="1:26" ht="15.7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spans="1:26" ht="15.7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spans="1:26" ht="15.7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spans="1:26" ht="15.7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spans="1:26" ht="15.7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spans="1:26" ht="15.7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spans="1:26" ht="15.7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spans="1:26" ht="15.7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spans="1:26" ht="15.7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spans="1:26" ht="15.7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spans="1:26" ht="15.7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spans="1:26" ht="15.7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spans="1:26" ht="15.7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spans="1:26" ht="15.7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spans="1:26" ht="15.7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spans="1:26" ht="15.7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spans="1:26" ht="15.7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spans="1:26" ht="15.7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spans="1:26" ht="15.7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spans="1:26" ht="15.7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spans="1:26" ht="15.7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spans="1:26" ht="15.7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spans="1:26" ht="15.7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spans="1:26" ht="15.7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spans="1:26" ht="15.7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spans="1:26" ht="15.7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spans="1:26" ht="15.7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spans="1:26" ht="15.7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spans="1:26" ht="15.7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spans="1:26" ht="15.7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spans="1:26" ht="15.7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spans="1:26" ht="15.7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spans="1:26" ht="15.7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spans="1:26" ht="15.7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spans="1:26" ht="15.7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spans="1:26" ht="15.7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spans="1:26" ht="15.7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spans="1:26" ht="15.7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spans="1:26" ht="15.7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spans="1:26" ht="15.7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spans="1:26" ht="15.7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spans="1:26" ht="15.7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spans="1:26" ht="15.7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spans="1:26" ht="15.7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spans="1:26" ht="15.7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spans="1:26" ht="15.7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spans="1:26" ht="15.7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spans="1:26" ht="15.7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spans="1:26" ht="15.7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spans="1:26" ht="15.7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spans="1:26" ht="15.7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spans="1:26" ht="15.7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spans="1:26" ht="15.7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spans="1:26" ht="15.7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spans="1:26" ht="15.7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spans="1:26" ht="15.7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spans="1:26" ht="15.7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spans="1:26" ht="15.7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spans="1:26" ht="15.7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spans="1:26" ht="15.7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spans="1:26" ht="15.7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spans="1:26" ht="15.7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spans="1:26" ht="15.7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spans="1:26" ht="15.7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spans="1:26" ht="15.7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spans="1:26" ht="15.7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spans="1:26" ht="15.7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spans="1:26" ht="15.7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spans="1:26" ht="15.7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spans="1:26" ht="15.7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spans="1:26" ht="15.7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spans="1:26" ht="15.7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spans="1:26" ht="15.7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spans="1:26" ht="15.7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spans="1:26" ht="15.7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spans="1:26" ht="15.7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spans="1:26" ht="15.7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spans="1:26" ht="15.7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spans="1:26" ht="15.7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spans="1:26" ht="15.7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spans="1:26" ht="15.7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spans="1:26" ht="15.7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spans="1:26" ht="15.7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spans="1:26" ht="15.7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spans="1:26" ht="15.7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spans="1:26" ht="15.7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spans="1:26" ht="15.7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spans="1:26" ht="15.7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spans="1:26" ht="15.7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spans="1:26" ht="15.7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spans="1:26" ht="15.7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spans="1:26" ht="15.7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spans="1:26" ht="15.7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spans="1:26" ht="15.7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spans="1:26" ht="15.7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spans="1:26" ht="15.7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spans="1:26" ht="15.7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spans="1:26" ht="15.7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spans="1:26" ht="15.7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spans="1:26" ht="15.7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spans="1:26" ht="15.7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spans="1:26" ht="15.7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spans="1:26" ht="15.7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spans="1:26" ht="15.7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spans="1:26" ht="15.7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spans="1:26" ht="15.7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spans="1:26" ht="15.7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spans="1:26" ht="15.7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spans="1:26" ht="15.7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spans="1:26" ht="15.7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spans="1:26" ht="15.7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spans="1:26" ht="15.7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spans="1:26" ht="15.7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spans="1:26" ht="15.7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spans="1:26" ht="15.7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spans="1:26" ht="15.7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spans="1:26" ht="15.7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spans="1:26" ht="15.7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spans="1:26" ht="15.7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spans="1:26" ht="15.7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spans="1:26" ht="15.7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spans="1:26" ht="15.7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spans="1:26" ht="15.7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spans="1:26" ht="15.7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spans="1:26" ht="15.7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spans="1:26" ht="15.7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spans="1:26" ht="15.7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spans="1:26" ht="15.7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spans="1:26" ht="15.7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spans="1:26" ht="15.7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spans="1:26" ht="15.7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spans="1:26" ht="15.7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spans="1:26" ht="15.7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spans="1:26" ht="15.7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spans="1:26" ht="15.7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spans="1:26" ht="15.7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spans="1:26" ht="15.7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spans="1:26" ht="15.7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spans="1:26" ht="15.7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spans="1:26" ht="15.7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spans="1:26" ht="15.7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spans="1:26" ht="15.7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spans="1:26" ht="15.7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spans="1:26" ht="15.7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spans="1:26" ht="15.7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spans="1:26" ht="15.7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spans="1:26" ht="15.7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spans="1:26" ht="15.7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spans="1:26" ht="15.7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spans="1:26" ht="15.7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spans="1:26" ht="15.7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spans="1:26" ht="15.7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spans="1:26" ht="15.7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spans="1:26" ht="15.7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spans="1:26" ht="15.7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spans="1:26" ht="15.7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spans="1:26" ht="15.7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spans="1:26" ht="15.7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spans="1:26" ht="15.7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spans="1:26" ht="15.7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spans="1:26" ht="15.7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spans="1:26" ht="15.7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spans="1:26" ht="15.7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spans="1:26" ht="15.7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spans="1:26" ht="15.7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spans="1:26" ht="15.7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spans="1:26" ht="15.7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spans="1:26" ht="15.7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spans="1:26" ht="15.7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spans="1:26" ht="15.7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spans="1:26" ht="15.7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spans="1:26" ht="15.7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spans="1:26" ht="15.7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spans="1:26" ht="15.7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spans="1:26" ht="15.7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spans="1:26" ht="15.7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spans="1:26" ht="15.7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spans="1:26" ht="15.7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spans="1:26" ht="15.7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spans="1:26" ht="15.7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spans="1:26" ht="15.7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spans="1:26" ht="15.7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spans="1:26" ht="15.7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spans="1:26" ht="15.7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spans="1:26" ht="15.7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spans="1:26" ht="15.7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spans="1:26" ht="15.7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spans="1:26" ht="15.7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spans="1:26" ht="15.7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spans="1:26" ht="15.7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spans="1:26" ht="15.7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spans="1:26" ht="15.7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spans="1:26" ht="15.7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spans="1:26" ht="15.7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spans="1:26" ht="15.7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spans="1:26" ht="15.7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spans="1:26" ht="15.7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spans="1:26" ht="15.7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spans="1:26" ht="15.7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spans="1:26" ht="15.7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spans="1:26" ht="15.7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spans="1:26" ht="15.7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spans="1:26" ht="15.7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spans="1:26" ht="15.7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spans="1:26" ht="15.7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spans="1:26" ht="15.7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spans="1:26" ht="15.7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spans="1:26" ht="15.7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spans="1:26" ht="15.7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spans="1:26" ht="15.7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spans="1:26" ht="15.7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spans="1:26" ht="15.7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spans="1:26" ht="15.7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spans="1:26" ht="15.7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spans="1:26" ht="15.7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spans="1:26" ht="15.7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spans="1:26" ht="15.7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spans="1:26" ht="15.7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spans="1:26" ht="15.7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spans="1:26" ht="15.7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spans="1:26" ht="15.7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spans="1:26" ht="15.7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spans="1:26" ht="15.7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spans="1:26" ht="15.7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spans="1:26" ht="15.7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spans="1:26" ht="15.7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spans="1:26" ht="15.7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spans="1:26" ht="15.7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spans="1:26" ht="15.7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spans="1:26" ht="15.7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spans="1:26" ht="15.7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spans="1:26" ht="15.7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spans="1:26" ht="15.7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spans="1:26" ht="15.7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spans="1:26" ht="15.7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spans="1:26" ht="15.7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spans="1:26" ht="15.7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spans="1:26" ht="15.7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spans="1:26" ht="15.7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spans="1:26" ht="15.7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spans="1:26" ht="15.7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spans="1:26" ht="15.7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spans="1:26" ht="15.7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spans="1:26" ht="15.7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spans="1:26" ht="15.7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spans="1:26" ht="15.7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spans="1:26" ht="15.7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spans="1:26" ht="15.7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spans="1:26" ht="15.7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spans="1:26" ht="15.7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spans="1:26" ht="15.7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spans="1:26" ht="15.7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spans="1:26" ht="15.7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spans="1:26" ht="15.7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spans="1:26" ht="15.7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spans="1:26" ht="15.7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spans="1:26" ht="15.7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spans="1:26" ht="15.7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spans="1:26" ht="15.7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spans="1:26" ht="15.7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spans="1:26" ht="15.7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spans="1:26" ht="15.7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spans="1:26" ht="15.7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spans="1:26" ht="15.7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spans="1:26" ht="15.7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spans="1:26" ht="15.7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spans="1:26" ht="15.7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spans="1:26" ht="15.7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spans="1:26" ht="15.7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spans="1:26" ht="15.7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spans="1:26" ht="15.7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spans="1:26" ht="15.7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spans="1:26" ht="15.7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spans="1:26" ht="15.7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spans="1:26" ht="15.7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spans="1:26" ht="15.7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spans="1:26" ht="15.7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spans="1:26" ht="15.7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spans="1:26" ht="15.7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spans="1:26" ht="15.7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spans="1:26" ht="15.7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spans="1:26" ht="15.7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spans="1:26" ht="15.7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spans="1:26" ht="15.7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spans="1:26" ht="15.7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spans="1:26" ht="15.7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spans="1:26" ht="15.7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spans="1:26" ht="15.7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spans="1:26" ht="15.7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spans="1:26" ht="15.7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spans="1:26" ht="15.7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spans="1:26" ht="15.7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spans="1:26" ht="15.7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spans="1:26" ht="15.7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spans="1:26" ht="15.7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spans="1:26" ht="15.7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spans="1:26" ht="15.7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spans="1:26" ht="15.7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spans="1:26" ht="15.7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spans="1:26" ht="15.7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spans="1:26" ht="15.7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spans="1:26" ht="15.7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spans="1:26" ht="15.7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spans="1:26" ht="15.7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spans="1:26" ht="15.7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spans="1:26" ht="15.7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spans="1:26" ht="15.7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spans="1:26" ht="15.7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spans="1:26" ht="15.7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spans="1:26" ht="15.7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spans="1:26" ht="15.7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spans="1:26" ht="15.7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spans="1:26" ht="15.7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spans="1:26" ht="15.7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spans="1:26" ht="15.7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spans="1:26" ht="15.7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spans="1:26" ht="15.7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spans="1:26" ht="15.7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spans="1:26" ht="15.7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spans="1:26" ht="15.7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spans="1:26" ht="15.7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spans="1:26" ht="15.7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spans="1:26" ht="15.7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spans="1:26" ht="15.7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spans="1:26" ht="15.7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spans="1:26" ht="15.7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spans="1:26" ht="15.75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spans="1:26" ht="15.75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spans="1:26" ht="15.75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spans="1:26" ht="15.75" customHeight="1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spans="1:26" ht="15.75" customHeight="1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>
      <selection activeCell="D28" sqref="D28"/>
    </sheetView>
  </sheetViews>
  <sheetFormatPr baseColWidth="10" defaultColWidth="14.3984375" defaultRowHeight="15" customHeight="1"/>
  <cols>
    <col min="1" max="1" width="46.796875" customWidth="1"/>
    <col min="2" max="2" width="12" customWidth="1"/>
    <col min="3" max="3" width="12.59765625" customWidth="1"/>
    <col min="4" max="5" width="11.59765625" bestFit="1" customWidth="1"/>
    <col min="6" max="6" width="12.19921875" customWidth="1"/>
    <col min="7" max="7" width="13.19921875" customWidth="1"/>
    <col min="8" max="8" width="10.3984375" customWidth="1"/>
    <col min="9" max="9" width="10.796875" customWidth="1"/>
    <col min="10" max="12" width="8.796875" customWidth="1"/>
    <col min="13" max="26" width="8" customWidth="1"/>
  </cols>
  <sheetData>
    <row r="1" spans="1:26" ht="20.25" customHeight="1">
      <c r="A1" s="2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9" t="s">
        <v>279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5.75" customHeight="1">
      <c r="A3" s="9" t="s">
        <v>40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5.75" customHeight="1">
      <c r="A4" s="23" t="s">
        <v>41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5.75" customHeight="1">
      <c r="A5" s="4"/>
      <c r="B5" s="24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4"/>
      <c r="I5" s="4"/>
      <c r="J5" s="4"/>
      <c r="K5" s="4"/>
      <c r="L5" s="4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.75" customHeight="1">
      <c r="A6" s="6" t="s">
        <v>280</v>
      </c>
      <c r="B6" s="4"/>
      <c r="C6" s="21"/>
      <c r="D6" s="21"/>
      <c r="E6" s="21"/>
      <c r="F6" s="21"/>
      <c r="G6" s="21"/>
      <c r="H6" s="4"/>
      <c r="I6" s="4"/>
      <c r="J6" s="4"/>
      <c r="K6" s="4"/>
      <c r="L6" s="4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.75" customHeight="1">
      <c r="A7" s="4" t="s">
        <v>281</v>
      </c>
      <c r="B7" s="21"/>
      <c r="C7" s="35">
        <f>INCOME!C34</f>
        <v>-476628.57142857136</v>
      </c>
      <c r="D7" s="35">
        <f>INCOME!D34</f>
        <v>-416600</v>
      </c>
      <c r="E7" s="35">
        <f>INCOME!E34</f>
        <v>488352.85714285728</v>
      </c>
      <c r="F7" s="35">
        <f>INCOME!F34</f>
        <v>1026330.2857142854</v>
      </c>
      <c r="G7" s="35">
        <f>INCOME!G34</f>
        <v>2147938.5714285709</v>
      </c>
      <c r="H7" s="22"/>
      <c r="I7" s="22"/>
      <c r="J7" s="22"/>
      <c r="K7" s="4"/>
      <c r="L7" s="4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.75" customHeight="1">
      <c r="A8" s="4" t="s">
        <v>282</v>
      </c>
      <c r="B8" s="21"/>
      <c r="C8" s="35">
        <f>'PROP &amp; EQUIP'!C47</f>
        <v>45128.571428571428</v>
      </c>
      <c r="D8" s="35">
        <f>'PROP &amp; EQUIP'!D47</f>
        <v>133500</v>
      </c>
      <c r="E8" s="35">
        <f>'PROP &amp; EQUIP'!E47</f>
        <v>250857.14285714284</v>
      </c>
      <c r="F8" s="35">
        <f>'PROP &amp; EQUIP'!F47</f>
        <v>383166.66666666669</v>
      </c>
      <c r="G8" s="35">
        <f>'PROP &amp; EQUIP'!G47</f>
        <v>516952.38095238095</v>
      </c>
      <c r="H8" s="22"/>
      <c r="I8" s="22"/>
      <c r="J8" s="4"/>
      <c r="K8" s="4"/>
      <c r="L8" s="4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.75" customHeight="1">
      <c r="A9" s="4" t="s">
        <v>283</v>
      </c>
      <c r="B9" s="21"/>
      <c r="C9" s="21"/>
      <c r="D9" s="21"/>
      <c r="E9" s="21"/>
      <c r="F9" s="21"/>
      <c r="G9" s="21"/>
      <c r="H9" s="22"/>
      <c r="I9" s="22"/>
      <c r="J9" s="4"/>
      <c r="K9" s="4"/>
      <c r="L9" s="4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.75" customHeight="1">
      <c r="A10" s="12" t="s">
        <v>284</v>
      </c>
      <c r="B10" s="21"/>
      <c r="C10" s="35">
        <f>WORKCAP!C13</f>
        <v>-304333.33333333337</v>
      </c>
      <c r="D10" s="35">
        <f>WORKCAP!D13</f>
        <v>-14386.666666666686</v>
      </c>
      <c r="E10" s="35">
        <f>WORKCAP!E13</f>
        <v>-178865</v>
      </c>
      <c r="F10" s="35">
        <f>WORKCAP!F13</f>
        <v>-176375.00000000006</v>
      </c>
      <c r="G10" s="35">
        <f>WORKCAP!G13</f>
        <v>-332000</v>
      </c>
      <c r="H10" s="22"/>
      <c r="I10" s="22"/>
      <c r="J10" s="4"/>
      <c r="K10" s="4"/>
      <c r="L10" s="4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12" t="s">
        <v>285</v>
      </c>
      <c r="B11" s="21"/>
      <c r="C11" s="35">
        <f>WORKCAP!C20</f>
        <v>-304333.33333333337</v>
      </c>
      <c r="D11" s="35">
        <f>WORKCAP!D20</f>
        <v>-14386.666666666686</v>
      </c>
      <c r="E11" s="35">
        <f>WORKCAP!E20</f>
        <v>-82944.999999999942</v>
      </c>
      <c r="F11" s="35">
        <f>WORKCAP!F20</f>
        <v>-142375</v>
      </c>
      <c r="G11" s="35">
        <f>WORKCAP!G20</f>
        <v>-268000</v>
      </c>
      <c r="H11" s="22"/>
      <c r="I11" s="22"/>
      <c r="J11" s="4"/>
      <c r="K11" s="4"/>
      <c r="L11" s="4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12" t="s">
        <v>286</v>
      </c>
      <c r="B12" s="21"/>
      <c r="C12" s="35">
        <f>WORKCAP!C26</f>
        <v>-36666.666666666672</v>
      </c>
      <c r="D12" s="35">
        <f>WORKCAP!D26</f>
        <v>-1733.3333333333285</v>
      </c>
      <c r="E12" s="35">
        <f>WORKCAP!E26</f>
        <v>-21550</v>
      </c>
      <c r="F12" s="35">
        <f>WORKCAP!F26</f>
        <v>-21250</v>
      </c>
      <c r="G12" s="35">
        <f>WORKCAP!G26</f>
        <v>-40000</v>
      </c>
      <c r="H12" s="22"/>
      <c r="I12" s="22"/>
      <c r="J12" s="4"/>
      <c r="K12" s="4"/>
      <c r="L12" s="4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>
      <c r="A13" s="12" t="s">
        <v>287</v>
      </c>
      <c r="B13" s="21"/>
      <c r="C13" s="35">
        <f>WORKCAP!C32</f>
        <v>319000</v>
      </c>
      <c r="D13" s="35">
        <f>WORKCAP!D32</f>
        <v>15079.999999999942</v>
      </c>
      <c r="E13" s="35">
        <f>WORKCAP!E32</f>
        <v>187485</v>
      </c>
      <c r="F13" s="35">
        <f>WORKCAP!F32</f>
        <v>184874.99999999994</v>
      </c>
      <c r="G13" s="35">
        <f>WORKCAP!G32</f>
        <v>347999.99999999988</v>
      </c>
      <c r="H13" s="22"/>
      <c r="I13" s="22"/>
      <c r="J13" s="4"/>
      <c r="K13" s="4"/>
      <c r="L13" s="4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12" t="s">
        <v>288</v>
      </c>
      <c r="B14" s="21"/>
      <c r="C14" s="84">
        <f>WORKCAP!C38</f>
        <v>36666.666666666672</v>
      </c>
      <c r="D14" s="84">
        <f>WORKCAP!D38</f>
        <v>1733.3333333333285</v>
      </c>
      <c r="E14" s="84">
        <f>WORKCAP!E38</f>
        <v>21550</v>
      </c>
      <c r="F14" s="84">
        <f>WORKCAP!F38</f>
        <v>21250</v>
      </c>
      <c r="G14" s="84">
        <f>WORKCAP!G38</f>
        <v>40000</v>
      </c>
      <c r="H14" s="22"/>
      <c r="I14" s="22"/>
      <c r="J14" s="4"/>
      <c r="K14" s="4"/>
      <c r="L14" s="4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12" t="s">
        <v>289</v>
      </c>
      <c r="B15" s="21"/>
      <c r="C15" s="31">
        <f t="shared" ref="C15:G15" si="0">SUM(C7:C14)</f>
        <v>-721166.66666666663</v>
      </c>
      <c r="D15" s="31">
        <f t="shared" si="0"/>
        <v>-296793.33333333343</v>
      </c>
      <c r="E15" s="31">
        <f t="shared" si="0"/>
        <v>664885.00000000023</v>
      </c>
      <c r="F15" s="31">
        <f t="shared" si="0"/>
        <v>1275621.9523809522</v>
      </c>
      <c r="G15" s="31">
        <f t="shared" si="0"/>
        <v>2412890.952380952</v>
      </c>
      <c r="H15" s="22"/>
      <c r="I15" s="22"/>
      <c r="J15" s="4"/>
      <c r="K15" s="4"/>
      <c r="L15" s="4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>
      <c r="A16" s="4"/>
      <c r="B16" s="21"/>
      <c r="C16" s="21"/>
      <c r="D16" s="21"/>
      <c r="E16" s="21"/>
      <c r="F16" s="21"/>
      <c r="G16" s="21"/>
      <c r="H16" s="22"/>
      <c r="I16" s="22"/>
      <c r="J16" s="4"/>
      <c r="K16" s="4"/>
      <c r="L16" s="4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>
      <c r="A17" s="6" t="s">
        <v>290</v>
      </c>
      <c r="B17" s="21"/>
      <c r="C17" s="21"/>
      <c r="D17" s="21"/>
      <c r="E17" s="21"/>
      <c r="F17" s="21"/>
      <c r="G17" s="21"/>
      <c r="H17" s="22"/>
      <c r="I17" s="22"/>
      <c r="J17" s="4"/>
      <c r="K17" s="4"/>
      <c r="L17" s="4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>
      <c r="A18" s="4" t="s">
        <v>291</v>
      </c>
      <c r="B18" s="21"/>
      <c r="C18" s="35">
        <f>-'PROP &amp; EQUIP'!C13</f>
        <v>-289500</v>
      </c>
      <c r="D18" s="35">
        <f>-'PROP &amp; EQUIP'!D13</f>
        <v>-493000</v>
      </c>
      <c r="E18" s="35">
        <f>-'PROP &amp; EQUIP'!E13</f>
        <v>-570000</v>
      </c>
      <c r="F18" s="35">
        <f>-'PROP &amp; EQUIP'!F13</f>
        <v>-665000</v>
      </c>
      <c r="G18" s="35">
        <f>-'PROP &amp; EQUIP'!G13</f>
        <v>-750000</v>
      </c>
      <c r="H18" s="22"/>
      <c r="I18" s="22"/>
      <c r="J18" s="4"/>
      <c r="K18" s="4"/>
      <c r="L18" s="4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>
      <c r="A19" s="12" t="s">
        <v>292</v>
      </c>
      <c r="B19" s="21"/>
      <c r="C19" s="84"/>
      <c r="D19" s="84"/>
      <c r="E19" s="84"/>
      <c r="F19" s="84"/>
      <c r="G19" s="84"/>
      <c r="H19" s="22"/>
      <c r="I19" s="22"/>
      <c r="J19" s="4"/>
      <c r="K19" s="4"/>
      <c r="L19" s="4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.75" customHeight="1">
      <c r="A20" s="12" t="s">
        <v>293</v>
      </c>
      <c r="B20" s="21"/>
      <c r="C20" s="31">
        <f t="shared" ref="C20:G20" si="1">SUM(C18:C19)</f>
        <v>-289500</v>
      </c>
      <c r="D20" s="31">
        <f t="shared" si="1"/>
        <v>-493000</v>
      </c>
      <c r="E20" s="31">
        <f t="shared" si="1"/>
        <v>-570000</v>
      </c>
      <c r="F20" s="31">
        <f t="shared" si="1"/>
        <v>-665000</v>
      </c>
      <c r="G20" s="31">
        <f t="shared" si="1"/>
        <v>-750000</v>
      </c>
      <c r="H20" s="22"/>
      <c r="I20" s="22"/>
      <c r="J20" s="4"/>
      <c r="K20" s="4"/>
      <c r="L20" s="4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.75" customHeight="1">
      <c r="A21" s="4"/>
      <c r="B21" s="21"/>
      <c r="C21" s="21"/>
      <c r="D21" s="21"/>
      <c r="E21" s="21"/>
      <c r="F21" s="21"/>
      <c r="G21" s="21"/>
      <c r="H21" s="22"/>
      <c r="I21" s="22"/>
      <c r="J21" s="4"/>
      <c r="K21" s="4"/>
      <c r="L21" s="4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>
      <c r="A22" s="6" t="s">
        <v>294</v>
      </c>
      <c r="B22" s="21"/>
      <c r="C22" s="35"/>
      <c r="D22" s="35"/>
      <c r="E22" s="35"/>
      <c r="F22" s="35"/>
      <c r="G22" s="35"/>
      <c r="H22" s="22"/>
      <c r="I22" s="22"/>
      <c r="J22" s="4"/>
      <c r="K22" s="4"/>
      <c r="L22" s="4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4" t="s">
        <v>295</v>
      </c>
      <c r="B23" s="21"/>
      <c r="C23" s="35">
        <f>FUNDING!C19</f>
        <v>450000</v>
      </c>
      <c r="D23" s="35">
        <f>FUNDING!D19</f>
        <v>-100000</v>
      </c>
      <c r="E23" s="35">
        <f>FUNDING!E19</f>
        <v>450000</v>
      </c>
      <c r="F23" s="35">
        <f>FUNDING!F19</f>
        <v>-700000</v>
      </c>
      <c r="G23" s="35">
        <f>FUNDING!G19</f>
        <v>-100000</v>
      </c>
      <c r="H23" s="22"/>
      <c r="I23" s="22"/>
      <c r="J23" s="4"/>
      <c r="K23" s="4"/>
      <c r="L23" s="4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4" t="s">
        <v>296</v>
      </c>
      <c r="B24" s="21"/>
      <c r="C24" s="35">
        <f>FUNDING!C27</f>
        <v>250000</v>
      </c>
      <c r="D24" s="35">
        <f>FUNDING!D27</f>
        <v>25000</v>
      </c>
      <c r="E24" s="35">
        <f>FUNDING!E27</f>
        <v>25000</v>
      </c>
      <c r="F24" s="35">
        <f>FUNDING!F27</f>
        <v>25000</v>
      </c>
      <c r="G24" s="35">
        <f>FUNDING!G27</f>
        <v>25000</v>
      </c>
      <c r="H24" s="22"/>
      <c r="I24" s="22"/>
      <c r="J24" s="4"/>
      <c r="K24" s="4"/>
      <c r="L24" s="4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4" t="s">
        <v>297</v>
      </c>
      <c r="B25" s="21"/>
      <c r="C25" s="35">
        <f>FUNDING!C28</f>
        <v>2250000</v>
      </c>
      <c r="D25" s="35">
        <f>FUNDING!D28</f>
        <v>-150000</v>
      </c>
      <c r="E25" s="35">
        <f>FUNDING!E28</f>
        <v>-300000</v>
      </c>
      <c r="F25" s="35">
        <f>FUNDING!F28</f>
        <v>-400000</v>
      </c>
      <c r="G25" s="35">
        <f>FUNDING!G28</f>
        <v>-400000</v>
      </c>
      <c r="H25" s="22"/>
      <c r="I25" s="22"/>
      <c r="J25" s="4"/>
      <c r="K25" s="4"/>
      <c r="L25" s="4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>
      <c r="A26" s="4" t="s">
        <v>298</v>
      </c>
      <c r="B26" s="21"/>
      <c r="C26" s="35">
        <f>FUNDING!C9</f>
        <v>-1000000</v>
      </c>
      <c r="D26" s="35">
        <f>FUNDING!D9</f>
        <v>250000</v>
      </c>
      <c r="E26" s="35">
        <f>FUNDING!E9</f>
        <v>-150000</v>
      </c>
      <c r="F26" s="35">
        <f>FUNDING!F9</f>
        <v>400000</v>
      </c>
      <c r="G26" s="35">
        <f>FUNDING!G9</f>
        <v>-200000</v>
      </c>
      <c r="H26" s="22"/>
      <c r="I26" s="22"/>
      <c r="J26" s="4"/>
      <c r="K26" s="4"/>
      <c r="L26" s="4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4" t="s">
        <v>299</v>
      </c>
      <c r="B27" s="21"/>
      <c r="C27" s="35">
        <f>FUNDING!C14</f>
        <v>0</v>
      </c>
      <c r="D27" s="35">
        <f>FUNDING!D14</f>
        <v>750000</v>
      </c>
      <c r="E27" s="35">
        <f>FUNDING!E14</f>
        <v>0</v>
      </c>
      <c r="F27" s="35">
        <f>FUNDING!F14</f>
        <v>0</v>
      </c>
      <c r="G27" s="35">
        <f>FUNDING!G14</f>
        <v>0</v>
      </c>
      <c r="H27" s="22"/>
      <c r="I27" s="22"/>
      <c r="J27" s="4"/>
      <c r="K27" s="4"/>
      <c r="L27" s="4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4" t="s">
        <v>300</v>
      </c>
      <c r="B28" s="21"/>
      <c r="C28" s="84">
        <f>-FUNDING!C49</f>
        <v>0</v>
      </c>
      <c r="D28" s="84">
        <f>-FUNDING!D49</f>
        <v>-30000</v>
      </c>
      <c r="E28" s="84">
        <f>-FUNDING!E49</f>
        <v>-40000</v>
      </c>
      <c r="F28" s="84">
        <f>-FUNDING!F49</f>
        <v>-50000</v>
      </c>
      <c r="G28" s="84">
        <f>-FUNDING!G49</f>
        <v>-50000</v>
      </c>
      <c r="H28" s="22"/>
      <c r="I28" s="22"/>
      <c r="J28" s="4"/>
      <c r="K28" s="4"/>
      <c r="L28" s="4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12" t="s">
        <v>301</v>
      </c>
      <c r="B29" s="21"/>
      <c r="C29" s="31">
        <f t="shared" ref="C29:G29" si="2">SUM(C23:C28)</f>
        <v>1950000</v>
      </c>
      <c r="D29" s="31">
        <f t="shared" si="2"/>
        <v>745000</v>
      </c>
      <c r="E29" s="31">
        <f t="shared" si="2"/>
        <v>-15000</v>
      </c>
      <c r="F29" s="31">
        <f t="shared" si="2"/>
        <v>-725000</v>
      </c>
      <c r="G29" s="31">
        <f t="shared" si="2"/>
        <v>-725000</v>
      </c>
      <c r="H29" s="22"/>
      <c r="I29" s="22"/>
      <c r="J29" s="4"/>
      <c r="K29" s="4"/>
      <c r="L29" s="4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4"/>
      <c r="B30" s="21"/>
      <c r="C30" s="98"/>
      <c r="D30" s="98"/>
      <c r="E30" s="98"/>
      <c r="F30" s="98"/>
      <c r="G30" s="98"/>
      <c r="H30" s="22"/>
      <c r="I30" s="22"/>
      <c r="J30" s="4"/>
      <c r="K30" s="4"/>
      <c r="L30" s="4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6" t="s">
        <v>302</v>
      </c>
      <c r="B31" s="21"/>
      <c r="C31" s="60">
        <f t="shared" ref="C31:G31" si="3">C15+C20+C29</f>
        <v>939333.33333333337</v>
      </c>
      <c r="D31" s="60">
        <f t="shared" si="3"/>
        <v>-44793.333333333489</v>
      </c>
      <c r="E31" s="60">
        <f t="shared" si="3"/>
        <v>79885.000000000233</v>
      </c>
      <c r="F31" s="60">
        <f t="shared" si="3"/>
        <v>-114378.04761904781</v>
      </c>
      <c r="G31" s="60">
        <f t="shared" si="3"/>
        <v>937890.95238095196</v>
      </c>
      <c r="H31" s="22"/>
      <c r="I31" s="22"/>
      <c r="J31" s="4"/>
      <c r="K31" s="4"/>
      <c r="L31" s="4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4"/>
      <c r="B32" s="21"/>
      <c r="C32" s="21"/>
      <c r="D32" s="21"/>
      <c r="E32" s="21"/>
      <c r="F32" s="21"/>
      <c r="G32" s="21"/>
      <c r="H32" s="22"/>
      <c r="I32" s="22"/>
      <c r="J32" s="4"/>
      <c r="K32" s="4"/>
      <c r="L32" s="4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>
      <c r="A33" s="6" t="s">
        <v>303</v>
      </c>
      <c r="B33" s="21"/>
      <c r="C33" s="31">
        <f t="shared" ref="C33:G33" si="4">B34</f>
        <v>2500000</v>
      </c>
      <c r="D33" s="31">
        <f t="shared" si="4"/>
        <v>3439333.3333333335</v>
      </c>
      <c r="E33" s="31">
        <f t="shared" si="4"/>
        <v>3394540</v>
      </c>
      <c r="F33" s="31">
        <f t="shared" si="4"/>
        <v>3474425</v>
      </c>
      <c r="G33" s="31">
        <f t="shared" si="4"/>
        <v>3360046.9523809524</v>
      </c>
      <c r="H33" s="22"/>
      <c r="I33" s="22"/>
      <c r="J33" s="4"/>
      <c r="K33" s="4"/>
      <c r="L33" s="4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6" t="s">
        <v>304</v>
      </c>
      <c r="B34" s="35">
        <f>BALANCE!B9</f>
        <v>2500000</v>
      </c>
      <c r="C34" s="31">
        <f t="shared" ref="C34:G34" si="5">C33+C31</f>
        <v>3439333.3333333335</v>
      </c>
      <c r="D34" s="31">
        <f t="shared" si="5"/>
        <v>3394540</v>
      </c>
      <c r="E34" s="31">
        <f t="shared" si="5"/>
        <v>3474425</v>
      </c>
      <c r="F34" s="31">
        <f t="shared" si="5"/>
        <v>3360046.9523809524</v>
      </c>
      <c r="G34" s="31">
        <f t="shared" si="5"/>
        <v>4297937.9047619049</v>
      </c>
      <c r="H34" s="22"/>
      <c r="I34" s="22"/>
      <c r="J34" s="4"/>
      <c r="K34" s="4"/>
      <c r="L34" s="4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22"/>
      <c r="B35" s="22"/>
      <c r="C35" s="22"/>
      <c r="D35" s="22"/>
      <c r="E35" s="22"/>
      <c r="F35" s="22"/>
      <c r="G35" s="22"/>
      <c r="H35" s="22"/>
      <c r="I35" s="22"/>
      <c r="J35" s="4"/>
      <c r="K35" s="4"/>
      <c r="L35" s="4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4"/>
      <c r="B36" s="4"/>
      <c r="C36" s="22"/>
      <c r="D36" s="22"/>
      <c r="E36" s="22"/>
      <c r="F36" s="22"/>
      <c r="G36" s="22"/>
      <c r="H36" s="22"/>
      <c r="I36" s="22"/>
      <c r="J36" s="4"/>
      <c r="K36" s="4"/>
      <c r="L36" s="4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>
      <c r="A37" s="4"/>
      <c r="B37" s="4"/>
      <c r="C37" s="22"/>
      <c r="D37" s="22"/>
      <c r="E37" s="22"/>
      <c r="F37" s="22"/>
      <c r="G37" s="22"/>
      <c r="H37" s="22"/>
      <c r="I37" s="22"/>
      <c r="J37" s="4"/>
      <c r="K37" s="4"/>
      <c r="L37" s="4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>
      <c r="A38" s="4"/>
      <c r="B38" s="4"/>
      <c r="C38" s="4"/>
      <c r="D38" s="4"/>
      <c r="E38" s="4"/>
      <c r="F38" s="4"/>
      <c r="G38" s="4"/>
      <c r="H38" s="22"/>
      <c r="I38" s="22"/>
      <c r="J38" s="4"/>
      <c r="K38" s="4"/>
      <c r="L38" s="4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2.75" customHeight="1">
      <c r="A39" s="22"/>
      <c r="B39" s="4"/>
      <c r="C39" s="4"/>
      <c r="D39" s="4"/>
      <c r="E39" s="4"/>
      <c r="F39" s="4"/>
      <c r="G39" s="4"/>
      <c r="H39" s="22"/>
      <c r="I39" s="22"/>
      <c r="J39" s="4"/>
      <c r="K39" s="4"/>
      <c r="L39" s="4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2.75" customHeight="1">
      <c r="A40" s="22"/>
      <c r="B40" s="4"/>
      <c r="C40" s="4"/>
      <c r="D40" s="4"/>
      <c r="E40" s="4"/>
      <c r="F40" s="4"/>
      <c r="G40" s="4"/>
      <c r="H40" s="22"/>
      <c r="I40" s="22"/>
      <c r="J40" s="4"/>
      <c r="K40" s="4"/>
      <c r="L40" s="4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2.75" customHeight="1">
      <c r="A41" s="22"/>
      <c r="B41" s="22"/>
      <c r="C41" s="22"/>
      <c r="D41" s="22"/>
      <c r="E41" s="22"/>
      <c r="F41" s="22"/>
      <c r="G41" s="22"/>
      <c r="H41" s="4"/>
      <c r="I41" s="4"/>
      <c r="J41" s="4"/>
      <c r="K41" s="4"/>
      <c r="L41" s="4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2.75" customHeight="1">
      <c r="A42" s="22"/>
      <c r="B42" s="22"/>
      <c r="C42" s="22"/>
      <c r="D42" s="22"/>
      <c r="E42" s="22"/>
      <c r="F42" s="22"/>
      <c r="G42" s="22"/>
      <c r="H42" s="4"/>
      <c r="I42" s="4"/>
      <c r="J42" s="4"/>
      <c r="K42" s="4"/>
      <c r="L42" s="4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2.75" customHeight="1">
      <c r="A43" s="22"/>
      <c r="B43" s="22"/>
      <c r="C43" s="22"/>
      <c r="D43" s="22"/>
      <c r="E43" s="22"/>
      <c r="F43" s="22"/>
      <c r="G43" s="22"/>
      <c r="H43" s="4"/>
      <c r="I43" s="4"/>
      <c r="J43" s="4"/>
      <c r="K43" s="4"/>
      <c r="L43" s="4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22"/>
      <c r="B46" s="22"/>
      <c r="C46" s="22"/>
      <c r="D46" s="22"/>
      <c r="E46" s="22"/>
      <c r="F46" s="22"/>
      <c r="G46" s="22"/>
      <c r="H46" s="4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2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12.7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2.7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12.7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12.7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spans="1:26" ht="12.7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spans="1:26" ht="12.7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spans="1:26" ht="12.7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spans="1:26" ht="12.7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spans="1:26" ht="12.7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spans="1:26" ht="12.7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spans="1:26" ht="12.7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spans="1:26" ht="12.7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spans="1:26" ht="12.7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spans="1:26" ht="12.7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12.7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12.7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12.7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12.7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12.7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spans="1:26" ht="12.7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spans="1:26" ht="12.7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spans="1:26" ht="12.7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spans="1:26" ht="12.7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spans="1:26" ht="12.7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spans="1:26" ht="12.7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spans="1:26" ht="12.7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spans="1:26" ht="12.7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spans="1:26" ht="12.7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spans="1:26" ht="12.7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2.7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12.7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2.7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2.7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2.7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2.7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2.7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ageMargins left="0.7" right="0.7" top="0.75" bottom="0.75" header="0" footer="0"/>
  <pageSetup orientation="landscape"/>
  <headerFooter>
    <oddHeader>&amp;R&amp;D &amp;T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000"/>
  <sheetViews>
    <sheetView tabSelected="1" workbookViewId="0">
      <selection activeCell="X23" sqref="X23"/>
    </sheetView>
  </sheetViews>
  <sheetFormatPr baseColWidth="10" defaultColWidth="14.3984375" defaultRowHeight="15" customHeight="1"/>
  <cols>
    <col min="1" max="1" width="41.19921875" customWidth="1"/>
    <col min="2" max="2" width="3.19921875" hidden="1" customWidth="1"/>
    <col min="3" max="3" width="11.796875" customWidth="1"/>
    <col min="4" max="4" width="12.3984375" customWidth="1"/>
    <col min="5" max="5" width="12.59765625" customWidth="1"/>
    <col min="6" max="7" width="13.19921875" customWidth="1"/>
    <col min="8" max="10" width="8" customWidth="1"/>
    <col min="11" max="11" width="11.796875" customWidth="1"/>
    <col min="12" max="12" width="8" customWidth="1"/>
    <col min="13" max="13" width="11.796875" customWidth="1"/>
    <col min="14" max="26" width="8" customWidth="1"/>
  </cols>
  <sheetData>
    <row r="1" spans="1:10" ht="20.25" customHeight="1">
      <c r="A1" s="20" t="s">
        <v>0</v>
      </c>
      <c r="B1" s="4"/>
      <c r="C1" s="4"/>
      <c r="D1" s="4"/>
      <c r="E1" s="4"/>
      <c r="F1" s="4"/>
      <c r="G1" s="4"/>
    </row>
    <row r="2" spans="1:10" ht="15.75" customHeight="1">
      <c r="A2" s="9" t="s">
        <v>305</v>
      </c>
      <c r="B2" s="4"/>
      <c r="C2" s="4"/>
      <c r="D2" s="4"/>
      <c r="E2" s="4"/>
      <c r="F2" s="4"/>
      <c r="G2" s="4"/>
    </row>
    <row r="3" spans="1:10" ht="15.75" customHeight="1">
      <c r="A3" s="9" t="s">
        <v>40</v>
      </c>
      <c r="B3" s="4"/>
      <c r="C3" s="4"/>
      <c r="D3" s="4"/>
      <c r="E3" s="4"/>
      <c r="F3" s="4"/>
      <c r="G3" s="4"/>
    </row>
    <row r="4" spans="1:10" ht="15.75" customHeight="1">
      <c r="A4" s="9" t="s">
        <v>41</v>
      </c>
      <c r="B4" s="4"/>
      <c r="C4" s="4"/>
      <c r="D4" s="4"/>
      <c r="E4" s="4"/>
      <c r="F4" s="4"/>
      <c r="G4" s="4"/>
    </row>
    <row r="5" spans="1:10" ht="15.75" customHeight="1">
      <c r="A5" s="4"/>
      <c r="B5" s="4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</row>
    <row r="6" spans="1:10" ht="12.75" customHeight="1">
      <c r="A6" s="6" t="s">
        <v>73</v>
      </c>
      <c r="B6" s="19"/>
      <c r="C6" s="35">
        <f>REVENUE!C16</f>
        <v>2750000</v>
      </c>
      <c r="D6" s="35">
        <f>REVENUE!D16</f>
        <v>3840000</v>
      </c>
      <c r="E6" s="35">
        <f>REVENUE!E16</f>
        <v>5995000</v>
      </c>
      <c r="F6" s="35">
        <f>REVENUE!F16</f>
        <v>8120000</v>
      </c>
      <c r="G6" s="35">
        <f>REVENUE!G16</f>
        <v>12120000</v>
      </c>
    </row>
    <row r="7" spans="1:10" ht="12.75" customHeight="1">
      <c r="A7" s="6"/>
      <c r="B7" s="19"/>
      <c r="C7" s="21"/>
      <c r="D7" s="21"/>
      <c r="E7" s="21"/>
      <c r="F7" s="21"/>
      <c r="G7" s="21"/>
    </row>
    <row r="8" spans="1:10" ht="12.75" customHeight="1">
      <c r="A8" s="6" t="str">
        <f>'COST OF REV'!A9</f>
        <v>Cost of Revenue</v>
      </c>
      <c r="B8" s="19">
        <f>'COST OF REV'!B9</f>
        <v>0</v>
      </c>
      <c r="C8" s="21"/>
      <c r="D8" s="21"/>
      <c r="E8" s="21"/>
      <c r="F8" s="21"/>
      <c r="G8" s="21"/>
    </row>
    <row r="9" spans="1:10" ht="12.75" customHeight="1">
      <c r="A9" s="12" t="s">
        <v>91</v>
      </c>
      <c r="B9" s="4"/>
      <c r="C9" s="35">
        <f>'COST OF REV'!C36</f>
        <v>571400</v>
      </c>
      <c r="D9" s="35">
        <f>'COST OF REV'!D36</f>
        <v>954050</v>
      </c>
      <c r="E9" s="35">
        <f>'COST OF REV'!E36</f>
        <v>1422500</v>
      </c>
      <c r="F9" s="35">
        <f>'COST OF REV'!F36</f>
        <v>1899400</v>
      </c>
      <c r="G9" s="35">
        <f>'COST OF REV'!G36</f>
        <v>2701800</v>
      </c>
    </row>
    <row r="10" spans="1:10" ht="12.75" customHeight="1">
      <c r="A10" s="12" t="s">
        <v>92</v>
      </c>
      <c r="B10" s="4"/>
      <c r="C10" s="84">
        <f>'COST OF REV'!C37</f>
        <v>754128.57142857136</v>
      </c>
      <c r="D10" s="84">
        <f>'COST OF REV'!D37</f>
        <v>961950</v>
      </c>
      <c r="E10" s="84">
        <f>'COST OF REV'!E37</f>
        <v>1091557.1428571427</v>
      </c>
      <c r="F10" s="84">
        <f>'COST OF REV'!F37</f>
        <v>1215300</v>
      </c>
      <c r="G10" s="84">
        <f>'COST OF REV'!G37</f>
        <v>1362035.7142857143</v>
      </c>
    </row>
    <row r="11" spans="1:10" ht="12.75" customHeight="1">
      <c r="A11" s="12" t="s">
        <v>93</v>
      </c>
      <c r="B11" s="4"/>
      <c r="C11" s="35">
        <f>'COST OF REV'!C38</f>
        <v>1325528.5714285714</v>
      </c>
      <c r="D11" s="35">
        <f>'COST OF REV'!D38</f>
        <v>1916000</v>
      </c>
      <c r="E11" s="35">
        <f>'COST OF REV'!E38</f>
        <v>2514057.1428571427</v>
      </c>
      <c r="F11" s="35">
        <f>'COST OF REV'!F38</f>
        <v>3114700</v>
      </c>
      <c r="G11" s="35">
        <f>'COST OF REV'!G38</f>
        <v>4063835.7142857146</v>
      </c>
    </row>
    <row r="12" spans="1:10" ht="12.75" customHeight="1">
      <c r="B12" s="4"/>
      <c r="C12" s="21"/>
      <c r="D12" s="21"/>
      <c r="E12" s="21"/>
      <c r="F12" s="21"/>
      <c r="G12" s="21"/>
    </row>
    <row r="13" spans="1:10" ht="12.75" customHeight="1">
      <c r="A13" s="6" t="s">
        <v>95</v>
      </c>
      <c r="B13" s="4"/>
      <c r="C13" s="21"/>
      <c r="D13" s="21"/>
      <c r="E13" s="21"/>
      <c r="F13" s="21"/>
      <c r="G13" s="21"/>
    </row>
    <row r="14" spans="1:10" ht="12.75" customHeight="1">
      <c r="A14" s="12" t="s">
        <v>91</v>
      </c>
      <c r="B14" s="4"/>
      <c r="C14" s="35">
        <f>'OPER EXP'!C45</f>
        <v>440000</v>
      </c>
      <c r="D14" s="35">
        <f>'OPER EXP'!D45</f>
        <v>614400</v>
      </c>
      <c r="E14" s="35">
        <f>'OPER EXP'!E45</f>
        <v>959200</v>
      </c>
      <c r="F14" s="35">
        <f>'OPER EXP'!F45</f>
        <v>1299200</v>
      </c>
      <c r="G14" s="35">
        <f>'OPER EXP'!G45</f>
        <v>1939200</v>
      </c>
      <c r="I14" s="12"/>
      <c r="J14" s="4"/>
    </row>
    <row r="15" spans="1:10" ht="12.75" customHeight="1">
      <c r="A15" s="12" t="s">
        <v>92</v>
      </c>
      <c r="B15" s="4"/>
      <c r="C15" s="84">
        <f>'OPER EXP'!C46</f>
        <v>1127000</v>
      </c>
      <c r="D15" s="84">
        <f>'OPER EXP'!D46</f>
        <v>1645900</v>
      </c>
      <c r="E15" s="84">
        <f>'OPER EXP'!E46</f>
        <v>1993790</v>
      </c>
      <c r="F15" s="84">
        <f>'OPER EXP'!F46</f>
        <v>2401466.666666667</v>
      </c>
      <c r="G15" s="84">
        <f>'OPER EXP'!G46</f>
        <v>2779866.6666666665</v>
      </c>
      <c r="H15" s="103"/>
      <c r="I15" s="12"/>
      <c r="J15" s="4"/>
    </row>
    <row r="16" spans="1:10" ht="12.75" customHeight="1">
      <c r="A16" s="12" t="s">
        <v>93</v>
      </c>
      <c r="B16" s="4"/>
      <c r="C16" s="35">
        <f>'OPER EXP'!C47</f>
        <v>1567000</v>
      </c>
      <c r="D16" s="35">
        <f>'OPER EXP'!D47</f>
        <v>2260300</v>
      </c>
      <c r="E16" s="35">
        <f>'OPER EXP'!E47</f>
        <v>2952990</v>
      </c>
      <c r="F16" s="35">
        <f>'OPER EXP'!F47</f>
        <v>3700666.666666667</v>
      </c>
      <c r="G16" s="35">
        <f>'OPER EXP'!G47</f>
        <v>4719066.666666666</v>
      </c>
    </row>
    <row r="17" spans="1:7" ht="12.75" customHeight="1">
      <c r="B17" s="4"/>
      <c r="C17" s="21"/>
      <c r="D17" s="21"/>
      <c r="E17" s="21"/>
      <c r="F17" s="21"/>
      <c r="G17" s="21"/>
    </row>
    <row r="18" spans="1:7" ht="12.75" customHeight="1">
      <c r="A18" s="6" t="s">
        <v>306</v>
      </c>
      <c r="B18" s="4"/>
      <c r="C18" s="21"/>
      <c r="D18" s="21"/>
      <c r="E18" s="21"/>
      <c r="F18" s="21"/>
      <c r="G18" s="21"/>
    </row>
    <row r="19" spans="1:7" ht="12.75" customHeight="1">
      <c r="A19" s="12" t="s">
        <v>91</v>
      </c>
      <c r="B19" s="4"/>
      <c r="C19" s="31">
        <f t="shared" ref="C19:G19" si="0">C9+C14</f>
        <v>1011400</v>
      </c>
      <c r="D19" s="31">
        <f t="shared" si="0"/>
        <v>1568450</v>
      </c>
      <c r="E19" s="31">
        <f t="shared" si="0"/>
        <v>2381700</v>
      </c>
      <c r="F19" s="31">
        <f t="shared" si="0"/>
        <v>3198600</v>
      </c>
      <c r="G19" s="31">
        <f t="shared" si="0"/>
        <v>4641000</v>
      </c>
    </row>
    <row r="20" spans="1:7" ht="12.75" customHeight="1">
      <c r="A20" s="12" t="s">
        <v>92</v>
      </c>
      <c r="B20" s="4"/>
      <c r="C20" s="60">
        <f t="shared" ref="C20:G20" si="1">C10+C15</f>
        <v>1881128.5714285714</v>
      </c>
      <c r="D20" s="60">
        <f t="shared" si="1"/>
        <v>2607850</v>
      </c>
      <c r="E20" s="60">
        <f t="shared" si="1"/>
        <v>3085347.1428571427</v>
      </c>
      <c r="F20" s="60">
        <f t="shared" si="1"/>
        <v>3616766.666666667</v>
      </c>
      <c r="G20" s="60">
        <f t="shared" si="1"/>
        <v>4141902.3809523806</v>
      </c>
    </row>
    <row r="21" spans="1:7" ht="12.75" customHeight="1">
      <c r="A21" s="12" t="s">
        <v>93</v>
      </c>
      <c r="B21" s="4"/>
      <c r="C21" s="31">
        <f t="shared" ref="C21:G21" si="2">C19+C20</f>
        <v>2892528.5714285714</v>
      </c>
      <c r="D21" s="31">
        <f t="shared" si="2"/>
        <v>4176300</v>
      </c>
      <c r="E21" s="31">
        <f t="shared" si="2"/>
        <v>5467047.1428571427</v>
      </c>
      <c r="F21" s="31">
        <f t="shared" si="2"/>
        <v>6815366.666666667</v>
      </c>
      <c r="G21" s="31">
        <f t="shared" si="2"/>
        <v>8782902.3809523806</v>
      </c>
    </row>
    <row r="22" spans="1:7" ht="12.75" customHeight="1">
      <c r="A22" s="6"/>
      <c r="B22" s="4"/>
      <c r="C22" s="21"/>
      <c r="D22" s="21"/>
      <c r="E22" s="21"/>
      <c r="F22" s="21"/>
      <c r="G22" s="21"/>
    </row>
    <row r="23" spans="1:7" ht="12.75" customHeight="1">
      <c r="A23" s="6" t="s">
        <v>307</v>
      </c>
      <c r="B23" s="4"/>
      <c r="C23" s="104">
        <f t="shared" ref="C23:G23" si="3">C19/C6</f>
        <v>0.36778181818181815</v>
      </c>
      <c r="D23" s="104">
        <f t="shared" si="3"/>
        <v>0.40845052083333333</v>
      </c>
      <c r="E23" s="104">
        <f t="shared" si="3"/>
        <v>0.39728106755629694</v>
      </c>
      <c r="F23" s="104">
        <f t="shared" si="3"/>
        <v>0.39391625615763548</v>
      </c>
      <c r="G23" s="104">
        <f t="shared" si="3"/>
        <v>0.38292079207920793</v>
      </c>
    </row>
    <row r="24" spans="1:7" ht="12.75" customHeight="1">
      <c r="A24" s="4"/>
      <c r="B24" s="4"/>
      <c r="C24" s="21"/>
      <c r="D24" s="21"/>
      <c r="E24" s="21"/>
      <c r="F24" s="21"/>
      <c r="G24" s="21"/>
    </row>
    <row r="25" spans="1:7" ht="12.75" customHeight="1">
      <c r="A25" s="7" t="s">
        <v>308</v>
      </c>
      <c r="C25" s="105">
        <f t="shared" ref="C25:G25" si="4">C20/(1-C19/C6)</f>
        <v>2975442.0634007659</v>
      </c>
      <c r="D25" s="105">
        <f t="shared" si="4"/>
        <v>4408506.9666087031</v>
      </c>
      <c r="E25" s="105">
        <f t="shared" si="4"/>
        <v>5119047.9953030674</v>
      </c>
      <c r="F25" s="105">
        <f t="shared" si="4"/>
        <v>5967437.1791224722</v>
      </c>
      <c r="G25" s="105">
        <f t="shared" si="4"/>
        <v>6712108.1504402803</v>
      </c>
    </row>
    <row r="26" spans="1:7" ht="12.75" customHeight="1">
      <c r="A26" s="12"/>
      <c r="B26" s="19"/>
      <c r="C26" s="21"/>
      <c r="D26" s="21"/>
      <c r="E26" s="21"/>
      <c r="F26" s="21"/>
      <c r="G26" s="21"/>
    </row>
    <row r="27" spans="1:7" ht="12.75" customHeight="1">
      <c r="A27" s="12"/>
      <c r="B27" s="19"/>
      <c r="C27" s="21"/>
      <c r="D27" s="21"/>
      <c r="E27" s="21"/>
      <c r="F27" s="21"/>
      <c r="G27" s="21"/>
    </row>
    <row r="28" spans="1:7" ht="12.75" customHeight="1">
      <c r="A28" s="1"/>
      <c r="B28" s="4"/>
      <c r="C28" s="21"/>
      <c r="D28" s="21"/>
      <c r="E28" s="21"/>
      <c r="F28" s="21"/>
      <c r="G28" s="21"/>
    </row>
    <row r="29" spans="1:7" ht="12.75" customHeight="1">
      <c r="A29" s="1"/>
      <c r="C29" s="96"/>
      <c r="D29" s="96"/>
      <c r="E29" s="96"/>
      <c r="F29" s="96"/>
      <c r="G29" s="96"/>
    </row>
    <row r="30" spans="1:7" ht="12.75" customHeight="1">
      <c r="C30" s="96"/>
      <c r="D30" s="96"/>
      <c r="E30" s="96"/>
      <c r="F30" s="96"/>
      <c r="G30" s="96"/>
    </row>
    <row r="31" spans="1:7" ht="12.75" customHeight="1">
      <c r="C31" s="96"/>
      <c r="D31" s="96"/>
      <c r="E31" s="96"/>
      <c r="F31" s="96"/>
      <c r="G31" s="96"/>
    </row>
    <row r="32" spans="1:7" ht="12.75" customHeight="1"/>
    <row r="33" spans="1:13" ht="12.75" customHeight="1"/>
    <row r="34" spans="1:13" ht="12.75" customHeight="1">
      <c r="A34" s="7"/>
    </row>
    <row r="35" spans="1:13" ht="12.75" customHeight="1">
      <c r="K35" s="106"/>
      <c r="M35" s="106"/>
    </row>
    <row r="36" spans="1:13" ht="12.75" customHeight="1">
      <c r="A36" s="1"/>
      <c r="C36" s="96"/>
      <c r="D36" s="96"/>
      <c r="E36" s="96"/>
      <c r="F36" s="96"/>
      <c r="G36" s="96"/>
      <c r="K36" s="106"/>
      <c r="M36" s="106"/>
    </row>
    <row r="37" spans="1:13" ht="12.75" customHeight="1">
      <c r="C37" s="96"/>
      <c r="D37" s="96"/>
      <c r="E37" s="96"/>
      <c r="F37" s="96"/>
      <c r="G37" s="96"/>
      <c r="K37" s="106"/>
      <c r="M37" s="106"/>
    </row>
    <row r="38" spans="1:13" ht="12.75" customHeight="1">
      <c r="C38" s="96"/>
      <c r="D38" s="96"/>
      <c r="E38" s="96"/>
      <c r="F38" s="96"/>
      <c r="G38" s="96"/>
      <c r="K38" s="106"/>
      <c r="M38" s="106"/>
    </row>
    <row r="39" spans="1:13" ht="12.75" customHeight="1">
      <c r="C39" s="96"/>
      <c r="D39" s="96"/>
      <c r="E39" s="96"/>
      <c r="F39" s="96"/>
      <c r="G39" s="96"/>
      <c r="K39" s="106"/>
      <c r="M39" s="106"/>
    </row>
    <row r="40" spans="1:13" ht="12.75" customHeight="1"/>
    <row r="41" spans="1:13" ht="12.75" customHeight="1"/>
    <row r="42" spans="1:13" ht="12.75" customHeight="1"/>
    <row r="43" spans="1:13" ht="12.75" customHeight="1"/>
    <row r="44" spans="1:13" ht="12.75" customHeight="1"/>
    <row r="45" spans="1:13" ht="12.75" customHeight="1"/>
    <row r="46" spans="1:13" ht="12.75" customHeight="1"/>
    <row r="47" spans="1:13" ht="12.75" customHeight="1"/>
    <row r="48" spans="1:13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  <headerFooter>
    <oddHeader>&amp;R&amp;D &amp;T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/>
  </sheetViews>
  <sheetFormatPr baseColWidth="10" defaultColWidth="14.3984375" defaultRowHeight="15" customHeight="1"/>
  <cols>
    <col min="1" max="1" width="42" bestFit="1" customWidth="1"/>
    <col min="2" max="2" width="3.19921875" hidden="1" customWidth="1"/>
    <col min="3" max="3" width="12.19921875" customWidth="1"/>
    <col min="4" max="4" width="14.3984375" bestFit="1" customWidth="1"/>
    <col min="5" max="6" width="12.19921875" bestFit="1" customWidth="1"/>
    <col min="7" max="7" width="32.19921875" bestFit="1" customWidth="1"/>
    <col min="8" max="8" width="23.19921875" bestFit="1" customWidth="1"/>
    <col min="9" max="10" width="12.19921875" bestFit="1" customWidth="1"/>
    <col min="11" max="11" width="13.3984375" bestFit="1" customWidth="1"/>
    <col min="12" max="12" width="12.19921875" bestFit="1" customWidth="1"/>
    <col min="13" max="16" width="13.3984375" bestFit="1" customWidth="1"/>
    <col min="17" max="17" width="12.19921875" bestFit="1" customWidth="1"/>
    <col min="18" max="20" width="13" bestFit="1" customWidth="1"/>
    <col min="21" max="26" width="8" customWidth="1"/>
  </cols>
  <sheetData>
    <row r="1" spans="1:26" ht="20.25" customHeight="1">
      <c r="A1" s="20" t="s">
        <v>0</v>
      </c>
      <c r="B1" s="107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>
      <c r="A2" s="9" t="s">
        <v>309</v>
      </c>
      <c r="B2" s="65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 spans="1:26" ht="15.75" customHeight="1">
      <c r="A3" s="108" t="s">
        <v>310</v>
      </c>
      <c r="B3" s="65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 spans="1:26" ht="15.75" customHeight="1">
      <c r="A4" s="23" t="s">
        <v>41</v>
      </c>
      <c r="B4" s="65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spans="1:26" ht="15.75" customHeight="1">
      <c r="A5" s="23"/>
      <c r="B5" s="65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20.25" customHeight="1">
      <c r="A6" s="109" t="str">
        <f>A1</f>
        <v>XYZ Company</v>
      </c>
      <c r="B6" s="65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75" customHeight="1">
      <c r="A7" s="23" t="s">
        <v>239</v>
      </c>
      <c r="B7" s="65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110"/>
      <c r="P7" s="3" t="s">
        <v>9</v>
      </c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>
      <c r="A8" s="9" t="s">
        <v>311</v>
      </c>
      <c r="B8" s="65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3" t="s">
        <v>45</v>
      </c>
      <c r="P8" s="3" t="s">
        <v>312</v>
      </c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75" customHeight="1">
      <c r="A9" s="22"/>
      <c r="B9" s="24"/>
      <c r="C9" s="33" t="s">
        <v>52</v>
      </c>
      <c r="D9" s="33" t="s">
        <v>53</v>
      </c>
      <c r="E9" s="33" t="s">
        <v>54</v>
      </c>
      <c r="F9" s="33" t="s">
        <v>56</v>
      </c>
      <c r="G9" s="33" t="s">
        <v>57</v>
      </c>
      <c r="H9" s="33" t="s">
        <v>58</v>
      </c>
      <c r="I9" s="33" t="s">
        <v>60</v>
      </c>
      <c r="J9" s="33" t="s">
        <v>61</v>
      </c>
      <c r="K9" s="33" t="s">
        <v>62</v>
      </c>
      <c r="L9" s="33" t="s">
        <v>64</v>
      </c>
      <c r="M9" s="33" t="s">
        <v>65</v>
      </c>
      <c r="N9" s="33" t="s">
        <v>66</v>
      </c>
      <c r="O9" s="33" t="s">
        <v>313</v>
      </c>
      <c r="P9" s="33" t="s">
        <v>314</v>
      </c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" customHeight="1">
      <c r="A10" s="4"/>
      <c r="B10" s="24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75" customHeight="1">
      <c r="A11" s="6" t="s">
        <v>240</v>
      </c>
      <c r="B11" s="21"/>
      <c r="C11" s="35">
        <f>REVENUE!C22</f>
        <v>0</v>
      </c>
      <c r="D11" s="35">
        <f>REVENUE!C23</f>
        <v>0</v>
      </c>
      <c r="E11" s="35">
        <f>REVENUE!C24</f>
        <v>0</v>
      </c>
      <c r="F11" s="35">
        <f>REVENUE!C26</f>
        <v>305555.55555555556</v>
      </c>
      <c r="G11" s="35">
        <f>REVENUE!C27</f>
        <v>305555.55555555556</v>
      </c>
      <c r="H11" s="35">
        <f>REVENUE!C28</f>
        <v>305555.55555555556</v>
      </c>
      <c r="I11" s="35">
        <f>REVENUE!C30</f>
        <v>305555.55555555556</v>
      </c>
      <c r="J11" s="35">
        <f>REVENUE!C31</f>
        <v>305555.55555555556</v>
      </c>
      <c r="K11" s="35">
        <f>REVENUE!C32</f>
        <v>305555.55555555556</v>
      </c>
      <c r="L11" s="35">
        <f>REVENUE!C34</f>
        <v>305555.55555555556</v>
      </c>
      <c r="M11" s="35">
        <f>REVENUE!C35</f>
        <v>305555.55555555556</v>
      </c>
      <c r="N11" s="35">
        <f>REVENUE!C36</f>
        <v>305555.55555555556</v>
      </c>
      <c r="O11" s="31">
        <f>SUM(C11:N11)</f>
        <v>2750000</v>
      </c>
      <c r="P11" s="35">
        <f>INCOME!C7</f>
        <v>2750000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2.75" customHeight="1">
      <c r="A12" s="4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35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2.75" customHeight="1">
      <c r="A13" s="6" t="s">
        <v>241</v>
      </c>
      <c r="B13" s="21"/>
      <c r="C13" s="84">
        <f>'COST OF REV'!$C$33*'INCOME-MOS'!C11</f>
        <v>0</v>
      </c>
      <c r="D13" s="84">
        <f>'COST OF REV'!$C$33*'INCOME-MOS'!D11</f>
        <v>0</v>
      </c>
      <c r="E13" s="84">
        <f>'COST OF REV'!$C$33*'INCOME-MOS'!E11</f>
        <v>0</v>
      </c>
      <c r="F13" s="84">
        <f>'COST OF REV'!$C$33*'INCOME-MOS'!F11</f>
        <v>147280.9523809524</v>
      </c>
      <c r="G13" s="84">
        <f>'COST OF REV'!$C$33*'INCOME-MOS'!G11</f>
        <v>147280.9523809524</v>
      </c>
      <c r="H13" s="84">
        <f>'COST OF REV'!$C$33*'INCOME-MOS'!H11</f>
        <v>147280.9523809524</v>
      </c>
      <c r="I13" s="84">
        <f>'COST OF REV'!$C$33*'INCOME-MOS'!I11</f>
        <v>147280.9523809524</v>
      </c>
      <c r="J13" s="84">
        <f>'COST OF REV'!$C$33*'INCOME-MOS'!J11</f>
        <v>147280.9523809524</v>
      </c>
      <c r="K13" s="84">
        <f>'COST OF REV'!$C$33*'INCOME-MOS'!K11</f>
        <v>147280.9523809524</v>
      </c>
      <c r="L13" s="84">
        <f>'COST OF REV'!$C$33*'INCOME-MOS'!L11</f>
        <v>147280.9523809524</v>
      </c>
      <c r="M13" s="84">
        <f>'COST OF REV'!$C$33*'INCOME-MOS'!M11</f>
        <v>147280.9523809524</v>
      </c>
      <c r="N13" s="84">
        <f>'COST OF REV'!$C$33*'INCOME-MOS'!N11</f>
        <v>147280.9523809524</v>
      </c>
      <c r="O13" s="60">
        <f>SUM(C13:N13)</f>
        <v>1325528.5714285716</v>
      </c>
      <c r="P13" s="84">
        <f>INCOME!C9</f>
        <v>1325528.5714285714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2.75" customHeight="1">
      <c r="A14" s="4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111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2.75" customHeight="1">
      <c r="A15" s="6" t="s">
        <v>243</v>
      </c>
      <c r="B15" s="21"/>
      <c r="C15" s="31">
        <f t="shared" ref="C15:N15" si="0">C11-C13</f>
        <v>0</v>
      </c>
      <c r="D15" s="31">
        <f t="shared" si="0"/>
        <v>0</v>
      </c>
      <c r="E15" s="31">
        <f t="shared" si="0"/>
        <v>0</v>
      </c>
      <c r="F15" s="31">
        <f t="shared" si="0"/>
        <v>158274.60317460317</v>
      </c>
      <c r="G15" s="31">
        <f t="shared" si="0"/>
        <v>158274.60317460317</v>
      </c>
      <c r="H15" s="31">
        <f t="shared" si="0"/>
        <v>158274.60317460317</v>
      </c>
      <c r="I15" s="31">
        <f t="shared" si="0"/>
        <v>158274.60317460317</v>
      </c>
      <c r="J15" s="31">
        <f t="shared" si="0"/>
        <v>158274.60317460317</v>
      </c>
      <c r="K15" s="31">
        <f t="shared" si="0"/>
        <v>158274.60317460317</v>
      </c>
      <c r="L15" s="31">
        <f t="shared" si="0"/>
        <v>158274.60317460317</v>
      </c>
      <c r="M15" s="31">
        <f t="shared" si="0"/>
        <v>158274.60317460317</v>
      </c>
      <c r="N15" s="31">
        <f t="shared" si="0"/>
        <v>158274.60317460317</v>
      </c>
      <c r="O15" s="31">
        <f>SUM(C15:N15)</f>
        <v>1424471.4285714284</v>
      </c>
      <c r="P15" s="35">
        <f>INCOME!C12</f>
        <v>1424471.4285714286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 customHeight="1">
      <c r="A16" s="4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35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2.75" customHeight="1">
      <c r="A17" s="6" t="s">
        <v>244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35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2.75" customHeight="1">
      <c r="A18" s="4" t="s">
        <v>245</v>
      </c>
      <c r="B18" s="21"/>
      <c r="C18" s="35">
        <f>'OPER EXP'!C53</f>
        <v>0</v>
      </c>
      <c r="D18" s="35">
        <f>'OPER EXP'!C54</f>
        <v>0</v>
      </c>
      <c r="E18" s="35">
        <f>'OPER EXP'!C55</f>
        <v>0</v>
      </c>
      <c r="F18" s="35">
        <f>'OPER EXP'!C57</f>
        <v>73277.777777777781</v>
      </c>
      <c r="G18" s="35">
        <f>'OPER EXP'!C58</f>
        <v>73277.777777777781</v>
      </c>
      <c r="H18" s="35">
        <f>'OPER EXP'!C59</f>
        <v>73277.777777777781</v>
      </c>
      <c r="I18" s="35">
        <f>'OPER EXP'!C61</f>
        <v>73277.777777777781</v>
      </c>
      <c r="J18" s="35">
        <f>'OPER EXP'!C62</f>
        <v>73277.777777777781</v>
      </c>
      <c r="K18" s="35">
        <f>'OPER EXP'!C63</f>
        <v>73277.777777777781</v>
      </c>
      <c r="L18" s="35">
        <f>'OPER EXP'!C65</f>
        <v>73277.777777777781</v>
      </c>
      <c r="M18" s="35">
        <f>'OPER EXP'!C66</f>
        <v>73277.777777777781</v>
      </c>
      <c r="N18" s="35">
        <f>'OPER EXP'!C67</f>
        <v>73277.777777777781</v>
      </c>
      <c r="O18" s="31">
        <f t="shared" ref="O18:O21" si="1">SUM(C18:N18)</f>
        <v>659499.99999999988</v>
      </c>
      <c r="P18" s="35">
        <f>INCOME!C16</f>
        <v>659500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2.75" customHeight="1">
      <c r="A19" s="12" t="s">
        <v>246</v>
      </c>
      <c r="B19" s="21"/>
      <c r="C19" s="35">
        <f>'OPER EXP'!C75</f>
        <v>0</v>
      </c>
      <c r="D19" s="35">
        <f>'OPER EXP'!C76</f>
        <v>0</v>
      </c>
      <c r="E19" s="35">
        <f>'OPER EXP'!C77</f>
        <v>0</v>
      </c>
      <c r="F19" s="35">
        <f>'OPER EXP'!C79</f>
        <v>31944.444444444442</v>
      </c>
      <c r="G19" s="35">
        <f>'OPER EXP'!C80</f>
        <v>31944.444444444442</v>
      </c>
      <c r="H19" s="35">
        <f>'OPER EXP'!C81</f>
        <v>31944.444444444442</v>
      </c>
      <c r="I19" s="35">
        <f>'OPER EXP'!C83</f>
        <v>31944.444444444442</v>
      </c>
      <c r="J19" s="35">
        <f>'OPER EXP'!C84</f>
        <v>31944.444444444442</v>
      </c>
      <c r="K19" s="35">
        <f>'OPER EXP'!C85</f>
        <v>31944.444444444442</v>
      </c>
      <c r="L19" s="35">
        <f>'OPER EXP'!C87</f>
        <v>31944.444444444442</v>
      </c>
      <c r="M19" s="35">
        <f>'OPER EXP'!C88</f>
        <v>31944.444444444442</v>
      </c>
      <c r="N19" s="35">
        <f>'OPER EXP'!C89</f>
        <v>31944.444444444442</v>
      </c>
      <c r="O19" s="31">
        <f t="shared" si="1"/>
        <v>287500</v>
      </c>
      <c r="P19" s="35">
        <f>INCOME!C17</f>
        <v>287500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2.75" customHeight="1">
      <c r="A20" s="4" t="s">
        <v>247</v>
      </c>
      <c r="B20" s="21"/>
      <c r="C20" s="84">
        <f>'OPER EXP'!C97</f>
        <v>0</v>
      </c>
      <c r="D20" s="84">
        <f>'OPER EXP'!C98</f>
        <v>0</v>
      </c>
      <c r="E20" s="84">
        <f>'OPER EXP'!C99</f>
        <v>0</v>
      </c>
      <c r="F20" s="84">
        <f>'OPER EXP'!C101</f>
        <v>68888.888888888891</v>
      </c>
      <c r="G20" s="84">
        <f>'OPER EXP'!C102</f>
        <v>68888.888888888891</v>
      </c>
      <c r="H20" s="84">
        <f>'OPER EXP'!C103</f>
        <v>68888.888888888891</v>
      </c>
      <c r="I20" s="84">
        <f>'OPER EXP'!C105</f>
        <v>68888.888888888891</v>
      </c>
      <c r="J20" s="84">
        <f>'OPER EXP'!C106</f>
        <v>68888.888888888891</v>
      </c>
      <c r="K20" s="84">
        <f>'OPER EXP'!C107</f>
        <v>68888.888888888891</v>
      </c>
      <c r="L20" s="84">
        <f>'OPER EXP'!C109</f>
        <v>68888.888888888891</v>
      </c>
      <c r="M20" s="84">
        <f>'OPER EXP'!C110</f>
        <v>68888.888888888891</v>
      </c>
      <c r="N20" s="84">
        <f>'OPER EXP'!C111</f>
        <v>68888.888888888891</v>
      </c>
      <c r="O20" s="60">
        <f t="shared" si="1"/>
        <v>620000</v>
      </c>
      <c r="P20" s="84">
        <f>INCOME!C18</f>
        <v>620000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2.75" customHeight="1">
      <c r="A21" s="4" t="s">
        <v>248</v>
      </c>
      <c r="B21" s="21"/>
      <c r="C21" s="31">
        <f t="shared" ref="C21:N21" si="2">SUM(C18:C20)</f>
        <v>0</v>
      </c>
      <c r="D21" s="31">
        <f t="shared" si="2"/>
        <v>0</v>
      </c>
      <c r="E21" s="31">
        <f t="shared" si="2"/>
        <v>0</v>
      </c>
      <c r="F21" s="31">
        <f t="shared" si="2"/>
        <v>174111.11111111112</v>
      </c>
      <c r="G21" s="31">
        <f t="shared" si="2"/>
        <v>174111.11111111112</v>
      </c>
      <c r="H21" s="31">
        <f t="shared" si="2"/>
        <v>174111.11111111112</v>
      </c>
      <c r="I21" s="31">
        <f t="shared" si="2"/>
        <v>174111.11111111112</v>
      </c>
      <c r="J21" s="31">
        <f t="shared" si="2"/>
        <v>174111.11111111112</v>
      </c>
      <c r="K21" s="31">
        <f t="shared" si="2"/>
        <v>174111.11111111112</v>
      </c>
      <c r="L21" s="31">
        <f t="shared" si="2"/>
        <v>174111.11111111112</v>
      </c>
      <c r="M21" s="31">
        <f t="shared" si="2"/>
        <v>174111.11111111112</v>
      </c>
      <c r="N21" s="31">
        <f t="shared" si="2"/>
        <v>174111.11111111112</v>
      </c>
      <c r="O21" s="31">
        <f t="shared" si="1"/>
        <v>1567000</v>
      </c>
      <c r="P21" s="35">
        <f>INCOME!C19</f>
        <v>1567000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2.75" customHeight="1">
      <c r="A22" s="4"/>
      <c r="B22" s="21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84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2.75" customHeight="1">
      <c r="A23" s="6" t="s">
        <v>249</v>
      </c>
      <c r="B23" s="21"/>
      <c r="C23" s="31">
        <f t="shared" ref="C23:N23" si="3">C15-C21</f>
        <v>0</v>
      </c>
      <c r="D23" s="31">
        <f t="shared" si="3"/>
        <v>0</v>
      </c>
      <c r="E23" s="31">
        <f t="shared" si="3"/>
        <v>0</v>
      </c>
      <c r="F23" s="31">
        <f t="shared" si="3"/>
        <v>-15836.507936507958</v>
      </c>
      <c r="G23" s="31">
        <f t="shared" si="3"/>
        <v>-15836.507936507958</v>
      </c>
      <c r="H23" s="31">
        <f t="shared" si="3"/>
        <v>-15836.507936507958</v>
      </c>
      <c r="I23" s="31">
        <f t="shared" si="3"/>
        <v>-15836.507936507958</v>
      </c>
      <c r="J23" s="31">
        <f t="shared" si="3"/>
        <v>-15836.507936507958</v>
      </c>
      <c r="K23" s="31">
        <f t="shared" si="3"/>
        <v>-15836.507936507958</v>
      </c>
      <c r="L23" s="31">
        <f t="shared" si="3"/>
        <v>-15836.507936507958</v>
      </c>
      <c r="M23" s="31">
        <f t="shared" si="3"/>
        <v>-15836.507936507958</v>
      </c>
      <c r="N23" s="31">
        <f t="shared" si="3"/>
        <v>-15836.507936507958</v>
      </c>
      <c r="O23" s="31">
        <f>SUM(C23:N23)</f>
        <v>-142528.57142857162</v>
      </c>
      <c r="P23" s="35">
        <f>INCOME!C22</f>
        <v>-142528.57142857136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2.75" customHeight="1">
      <c r="A24" s="4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35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2.75" customHeight="1">
      <c r="A25" s="6" t="s">
        <v>250</v>
      </c>
      <c r="B25" s="21"/>
      <c r="C25" s="35">
        <f>EXTRA!C23</f>
        <v>-50000</v>
      </c>
      <c r="D25" s="35">
        <f>EXTRA!C24</f>
        <v>-70000</v>
      </c>
      <c r="E25" s="35">
        <f>EXTRA!C25</f>
        <v>0</v>
      </c>
      <c r="F25" s="35">
        <f>EXTRA!C27</f>
        <v>0</v>
      </c>
      <c r="G25" s="35">
        <f>EXTRA!C28</f>
        <v>0</v>
      </c>
      <c r="H25" s="35">
        <f>EXTRA!C29</f>
        <v>0</v>
      </c>
      <c r="I25" s="35">
        <f>EXTRA!C31</f>
        <v>0</v>
      </c>
      <c r="J25" s="35">
        <f>EXTRA!C32</f>
        <v>0</v>
      </c>
      <c r="K25" s="35">
        <f>EXTRA!C33</f>
        <v>0</v>
      </c>
      <c r="L25" s="35">
        <f>EXTRA!C35</f>
        <v>0</v>
      </c>
      <c r="M25" s="35">
        <f>EXTRA!C36</f>
        <v>0</v>
      </c>
      <c r="N25" s="35">
        <f>EXTRA!C37</f>
        <v>0</v>
      </c>
      <c r="O25" s="31">
        <f>SUM(C25:N25)</f>
        <v>-120000</v>
      </c>
      <c r="P25" s="35">
        <f>INCOME!C24</f>
        <v>-120000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2.75" customHeight="1">
      <c r="A26" s="4"/>
      <c r="B26" s="4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84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2.75" customHeight="1">
      <c r="A27" s="6" t="s">
        <v>251</v>
      </c>
      <c r="B27" s="21"/>
      <c r="C27" s="31">
        <f t="shared" ref="C27:N27" si="4">C23+C25</f>
        <v>-50000</v>
      </c>
      <c r="D27" s="31">
        <f t="shared" si="4"/>
        <v>-70000</v>
      </c>
      <c r="E27" s="31">
        <f t="shared" si="4"/>
        <v>0</v>
      </c>
      <c r="F27" s="31">
        <f t="shared" si="4"/>
        <v>-15836.507936507958</v>
      </c>
      <c r="G27" s="31">
        <f t="shared" si="4"/>
        <v>-15836.507936507958</v>
      </c>
      <c r="H27" s="31">
        <f t="shared" si="4"/>
        <v>-15836.507936507958</v>
      </c>
      <c r="I27" s="31">
        <f t="shared" si="4"/>
        <v>-15836.507936507958</v>
      </c>
      <c r="J27" s="31">
        <f t="shared" si="4"/>
        <v>-15836.507936507958</v>
      </c>
      <c r="K27" s="31">
        <f t="shared" si="4"/>
        <v>-15836.507936507958</v>
      </c>
      <c r="L27" s="31">
        <f t="shared" si="4"/>
        <v>-15836.507936507958</v>
      </c>
      <c r="M27" s="31">
        <f t="shared" si="4"/>
        <v>-15836.507936507958</v>
      </c>
      <c r="N27" s="31">
        <f t="shared" si="4"/>
        <v>-15836.507936507958</v>
      </c>
      <c r="O27" s="31">
        <f>SUM(C27:N27)</f>
        <v>-262528.57142857159</v>
      </c>
      <c r="P27" s="35">
        <f>INCOME!C26</f>
        <v>-262528.57142857136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2.7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35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2.75" customHeight="1">
      <c r="A29" s="6" t="s">
        <v>252</v>
      </c>
      <c r="B29" s="21"/>
      <c r="C29" s="31">
        <f t="shared" ref="C29:N29" si="5">$D$120</f>
        <v>-17841.666666666668</v>
      </c>
      <c r="D29" s="31">
        <f t="shared" si="5"/>
        <v>-17841.666666666668</v>
      </c>
      <c r="E29" s="31">
        <f t="shared" si="5"/>
        <v>-17841.666666666668</v>
      </c>
      <c r="F29" s="31">
        <f t="shared" si="5"/>
        <v>-17841.666666666668</v>
      </c>
      <c r="G29" s="31">
        <f t="shared" si="5"/>
        <v>-17841.666666666668</v>
      </c>
      <c r="H29" s="31">
        <f t="shared" si="5"/>
        <v>-17841.666666666668</v>
      </c>
      <c r="I29" s="31">
        <f t="shared" si="5"/>
        <v>-17841.666666666668</v>
      </c>
      <c r="J29" s="31">
        <f t="shared" si="5"/>
        <v>-17841.666666666668</v>
      </c>
      <c r="K29" s="31">
        <f t="shared" si="5"/>
        <v>-17841.666666666668</v>
      </c>
      <c r="L29" s="31">
        <f t="shared" si="5"/>
        <v>-17841.666666666668</v>
      </c>
      <c r="M29" s="31">
        <f t="shared" si="5"/>
        <v>-17841.666666666668</v>
      </c>
      <c r="N29" s="31">
        <f t="shared" si="5"/>
        <v>-17841.666666666668</v>
      </c>
      <c r="O29" s="31">
        <f>SUM(C29:N29)</f>
        <v>-214099.99999999997</v>
      </c>
      <c r="P29" s="35">
        <f>INCOME!C28</f>
        <v>-214100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2.75" customHeight="1">
      <c r="A30" s="4"/>
      <c r="B30" s="4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35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2.75" customHeight="1">
      <c r="A31" s="6" t="s">
        <v>253</v>
      </c>
      <c r="B31" s="21"/>
      <c r="C31" s="31">
        <f t="shared" ref="C31:N31" si="6">C27+C29</f>
        <v>-67841.666666666672</v>
      </c>
      <c r="D31" s="31">
        <f t="shared" si="6"/>
        <v>-87841.666666666672</v>
      </c>
      <c r="E31" s="31">
        <f t="shared" si="6"/>
        <v>-17841.666666666668</v>
      </c>
      <c r="F31" s="31">
        <f t="shared" si="6"/>
        <v>-33678.17460317463</v>
      </c>
      <c r="G31" s="31">
        <f t="shared" si="6"/>
        <v>-33678.17460317463</v>
      </c>
      <c r="H31" s="31">
        <f t="shared" si="6"/>
        <v>-33678.17460317463</v>
      </c>
      <c r="I31" s="31">
        <f t="shared" si="6"/>
        <v>-33678.17460317463</v>
      </c>
      <c r="J31" s="31">
        <f t="shared" si="6"/>
        <v>-33678.17460317463</v>
      </c>
      <c r="K31" s="31">
        <f t="shared" si="6"/>
        <v>-33678.17460317463</v>
      </c>
      <c r="L31" s="31">
        <f t="shared" si="6"/>
        <v>-33678.17460317463</v>
      </c>
      <c r="M31" s="31">
        <f t="shared" si="6"/>
        <v>-33678.17460317463</v>
      </c>
      <c r="N31" s="31">
        <f t="shared" si="6"/>
        <v>-33678.17460317463</v>
      </c>
      <c r="O31" s="31">
        <f>SUM(C31:N31)</f>
        <v>-476628.57142857154</v>
      </c>
      <c r="P31" s="35">
        <f>INCOME!C30</f>
        <v>-476628.57142857136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2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1"/>
      <c r="P32" s="35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2.75" customHeight="1">
      <c r="A33" s="6" t="s">
        <v>254</v>
      </c>
      <c r="B33" s="21"/>
      <c r="C33" s="31">
        <f>-IF(TAXES!$C11&gt;=0,IF(TAXES!$C12&lt;=TAXES!$C11,(TAXES!$C9*'INCOME-MOS'!C31)*TAXES!$C12/TAXES!$C11,TAXES!$C9*'INCOME-MOS'!C31),0)</f>
        <v>0</v>
      </c>
      <c r="D33" s="31">
        <f>-IF(TAXES!$C11&gt;=0,IF(TAXES!$C12&lt;=TAXES!$C11,(TAXES!$C9*'INCOME-MOS'!D31)*TAXES!$C12/TAXES!$C11,TAXES!$C9*'INCOME-MOS'!D31),0)</f>
        <v>0</v>
      </c>
      <c r="E33" s="31">
        <f>-IF(TAXES!$C11&gt;=0,IF(TAXES!$C12&lt;=TAXES!$C11,(TAXES!$C9*'INCOME-MOS'!E31)*TAXES!$C12/TAXES!$C11,TAXES!$C9*'INCOME-MOS'!E31),0)</f>
        <v>0</v>
      </c>
      <c r="F33" s="31">
        <f>-IF(TAXES!$C11&gt;=0,IF(TAXES!$C12&lt;=TAXES!$C11,(TAXES!$C9*'INCOME-MOS'!F31)*TAXES!$C12/TAXES!$C11,TAXES!$C9*'INCOME-MOS'!F31),0)</f>
        <v>0</v>
      </c>
      <c r="G33" s="31">
        <f>-IF(TAXES!$C11&gt;=0,IF(TAXES!$C12&lt;=TAXES!$C11,(TAXES!$C9*'INCOME-MOS'!G31)*TAXES!$C12/TAXES!$C11,TAXES!$C9*'INCOME-MOS'!G31),0)</f>
        <v>0</v>
      </c>
      <c r="H33" s="31">
        <f>-IF(TAXES!$C11&gt;=0,IF(TAXES!$C12&lt;=TAXES!$C11,(TAXES!$C9*'INCOME-MOS'!H31)*TAXES!$C12/TAXES!$C11,TAXES!$C9*'INCOME-MOS'!H31),0)</f>
        <v>0</v>
      </c>
      <c r="I33" s="31">
        <f>-IF(TAXES!$C11&gt;=0,IF(TAXES!$C12&lt;=TAXES!$C11,(TAXES!$C9*'INCOME-MOS'!I31)*TAXES!$C12/TAXES!$C11,TAXES!$C9*'INCOME-MOS'!I31),0)</f>
        <v>0</v>
      </c>
      <c r="J33" s="31">
        <f>-IF(TAXES!$C11&gt;=0,IF(TAXES!$C12&lt;=TAXES!$C11,(TAXES!$C9*'INCOME-MOS'!J31)*TAXES!$C12/TAXES!$C11,TAXES!$C9*'INCOME-MOS'!J31),0)</f>
        <v>0</v>
      </c>
      <c r="K33" s="31">
        <f>-IF(TAXES!$C11&gt;=0,IF(TAXES!$C12&lt;=TAXES!$C11,(TAXES!$C9*'INCOME-MOS'!K31)*TAXES!$C12/TAXES!$C11,TAXES!$C9*'INCOME-MOS'!K31),0)</f>
        <v>0</v>
      </c>
      <c r="L33" s="31">
        <f>-IF(TAXES!$C11&gt;=0,IF(TAXES!$C12&lt;=TAXES!$C11,(TAXES!$C9*'INCOME-MOS'!L31)*TAXES!$C12/TAXES!$C11,TAXES!$C9*'INCOME-MOS'!L31),0)</f>
        <v>0</v>
      </c>
      <c r="M33" s="31">
        <f>-IF(TAXES!$C11&gt;=0,IF(TAXES!$C12&lt;=TAXES!$C11,(TAXES!$C9*'INCOME-MOS'!M31)*TAXES!$C12/TAXES!$C11,TAXES!$C9*'INCOME-MOS'!M31),0)</f>
        <v>0</v>
      </c>
      <c r="N33" s="31">
        <f>-IF(TAXES!$C11&gt;=0,IF(TAXES!$C12&lt;=TAXES!$C11,(TAXES!$C9*'INCOME-MOS'!N31)*TAXES!$C12/TAXES!$C11,TAXES!$C9*'INCOME-MOS'!N31),0)</f>
        <v>0</v>
      </c>
      <c r="O33" s="31">
        <f>SUM(C33:N33)</f>
        <v>0</v>
      </c>
      <c r="P33" s="35">
        <f>INCOME!C32</f>
        <v>0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2.75" customHeight="1">
      <c r="A34" s="4"/>
      <c r="B34" s="4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84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2.75" customHeight="1">
      <c r="A35" s="6" t="s">
        <v>255</v>
      </c>
      <c r="B35" s="21"/>
      <c r="C35" s="112">
        <f t="shared" ref="C35:N35" si="7">C31+C33</f>
        <v>-67841.666666666672</v>
      </c>
      <c r="D35" s="112">
        <f t="shared" si="7"/>
        <v>-87841.666666666672</v>
      </c>
      <c r="E35" s="112">
        <f t="shared" si="7"/>
        <v>-17841.666666666668</v>
      </c>
      <c r="F35" s="112">
        <f t="shared" si="7"/>
        <v>-33678.17460317463</v>
      </c>
      <c r="G35" s="112">
        <f t="shared" si="7"/>
        <v>-33678.17460317463</v>
      </c>
      <c r="H35" s="112">
        <f t="shared" si="7"/>
        <v>-33678.17460317463</v>
      </c>
      <c r="I35" s="112">
        <f t="shared" si="7"/>
        <v>-33678.17460317463</v>
      </c>
      <c r="J35" s="112">
        <f t="shared" si="7"/>
        <v>-33678.17460317463</v>
      </c>
      <c r="K35" s="112">
        <f t="shared" si="7"/>
        <v>-33678.17460317463</v>
      </c>
      <c r="L35" s="112">
        <f t="shared" si="7"/>
        <v>-33678.17460317463</v>
      </c>
      <c r="M35" s="112">
        <f t="shared" si="7"/>
        <v>-33678.17460317463</v>
      </c>
      <c r="N35" s="112">
        <f t="shared" si="7"/>
        <v>-33678.17460317463</v>
      </c>
      <c r="O35" s="112">
        <f>SUM(C35:N35)</f>
        <v>-476628.57142857154</v>
      </c>
      <c r="P35" s="99">
        <f>INCOME!C34</f>
        <v>-476628.57142857136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2.7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2.7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2.7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20.25" customHeight="1">
      <c r="A39" s="113" t="str">
        <f>A1</f>
        <v>XYZ Company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 ht="15.75" customHeight="1">
      <c r="A40" s="9" t="s">
        <v>239</v>
      </c>
      <c r="B40" s="4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3" t="s">
        <v>10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15.75" customHeight="1">
      <c r="A41" s="9" t="s">
        <v>315</v>
      </c>
      <c r="B41" s="65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3" t="s">
        <v>45</v>
      </c>
      <c r="P41" s="3" t="s">
        <v>312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spans="1:26" ht="15.75" customHeight="1">
      <c r="A42" s="22"/>
      <c r="B42" s="24"/>
      <c r="C42" s="33" t="s">
        <v>52</v>
      </c>
      <c r="D42" s="33" t="s">
        <v>53</v>
      </c>
      <c r="E42" s="33" t="s">
        <v>54</v>
      </c>
      <c r="F42" s="33" t="s">
        <v>56</v>
      </c>
      <c r="G42" s="33" t="s">
        <v>57</v>
      </c>
      <c r="H42" s="33" t="s">
        <v>58</v>
      </c>
      <c r="I42" s="33" t="s">
        <v>60</v>
      </c>
      <c r="J42" s="33" t="s">
        <v>61</v>
      </c>
      <c r="K42" s="33" t="s">
        <v>62</v>
      </c>
      <c r="L42" s="33" t="s">
        <v>64</v>
      </c>
      <c r="M42" s="33" t="s">
        <v>65</v>
      </c>
      <c r="N42" s="33" t="s">
        <v>66</v>
      </c>
      <c r="O42" s="33" t="s">
        <v>313</v>
      </c>
      <c r="P42" s="114" t="s">
        <v>314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spans="1:26" ht="15" customHeight="1">
      <c r="A43" s="4"/>
      <c r="B43" s="24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spans="1:26" ht="12.75" customHeight="1">
      <c r="A44" s="6" t="s">
        <v>240</v>
      </c>
      <c r="B44" s="21"/>
      <c r="C44" s="35">
        <f>REVENUE!D22</f>
        <v>320000</v>
      </c>
      <c r="D44" s="35">
        <f>REVENUE!D23</f>
        <v>320000</v>
      </c>
      <c r="E44" s="35">
        <f>REVENUE!D24</f>
        <v>320000</v>
      </c>
      <c r="F44" s="35">
        <f>REVENUE!D26</f>
        <v>320000</v>
      </c>
      <c r="G44" s="35">
        <f>REVENUE!D27</f>
        <v>320000</v>
      </c>
      <c r="H44" s="35">
        <f>REVENUE!D28</f>
        <v>320000</v>
      </c>
      <c r="I44" s="35">
        <f>REVENUE!D30</f>
        <v>320000</v>
      </c>
      <c r="J44" s="35">
        <f>REVENUE!D31</f>
        <v>320000</v>
      </c>
      <c r="K44" s="35">
        <f>REVENUE!D32</f>
        <v>320000</v>
      </c>
      <c r="L44" s="35">
        <f>REVENUE!D34</f>
        <v>320000</v>
      </c>
      <c r="M44" s="35">
        <f>REVENUE!D35</f>
        <v>320000</v>
      </c>
      <c r="N44" s="35">
        <f>REVENUE!D36</f>
        <v>320000</v>
      </c>
      <c r="O44" s="31">
        <f>SUM(C44:N44)</f>
        <v>3840000</v>
      </c>
      <c r="P44" s="35">
        <f>INCOME!D7</f>
        <v>3840000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spans="1:26" ht="12.75" customHeight="1">
      <c r="A45" s="4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35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spans="1:26" ht="12.75" customHeight="1">
      <c r="A46" s="6" t="s">
        <v>241</v>
      </c>
      <c r="B46" s="21"/>
      <c r="C46" s="84">
        <f>'COST OF REV'!$D$33*'INCOME-MOS'!C44</f>
        <v>159666.66666666666</v>
      </c>
      <c r="D46" s="84">
        <f>'COST OF REV'!$D$33*'INCOME-MOS'!D44</f>
        <v>159666.66666666666</v>
      </c>
      <c r="E46" s="84">
        <f>'COST OF REV'!$D$33*'INCOME-MOS'!E44</f>
        <v>159666.66666666666</v>
      </c>
      <c r="F46" s="84">
        <f>'COST OF REV'!$D$33*'INCOME-MOS'!F44</f>
        <v>159666.66666666666</v>
      </c>
      <c r="G46" s="84">
        <f>'COST OF REV'!$D$33*'INCOME-MOS'!G44</f>
        <v>159666.66666666666</v>
      </c>
      <c r="H46" s="84">
        <f>'COST OF REV'!$D$33*'INCOME-MOS'!H44</f>
        <v>159666.66666666666</v>
      </c>
      <c r="I46" s="84">
        <f>'COST OF REV'!$D$33*'INCOME-MOS'!I44</f>
        <v>159666.66666666666</v>
      </c>
      <c r="J46" s="84">
        <f>'COST OF REV'!$D$33*'INCOME-MOS'!J44</f>
        <v>159666.66666666666</v>
      </c>
      <c r="K46" s="84">
        <f>'COST OF REV'!$D$33*'INCOME-MOS'!K44</f>
        <v>159666.66666666666</v>
      </c>
      <c r="L46" s="84">
        <f>'COST OF REV'!$D$33*'INCOME-MOS'!L44</f>
        <v>159666.66666666666</v>
      </c>
      <c r="M46" s="84">
        <f>'COST OF REV'!$D$33*'INCOME-MOS'!M44</f>
        <v>159666.66666666666</v>
      </c>
      <c r="N46" s="84">
        <f>'COST OF REV'!$D$33*'INCOME-MOS'!N44</f>
        <v>159666.66666666666</v>
      </c>
      <c r="O46" s="60">
        <f>SUM(C46:N46)</f>
        <v>1916000.0000000002</v>
      </c>
      <c r="P46" s="84">
        <f>INCOME!D9</f>
        <v>1916000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spans="1:26" ht="12.75" customHeight="1">
      <c r="A47" s="4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35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spans="1:26" ht="12.75" customHeight="1">
      <c r="A48" s="6" t="s">
        <v>243</v>
      </c>
      <c r="B48" s="21"/>
      <c r="C48" s="31">
        <f t="shared" ref="C48:N48" si="8">C44-C46</f>
        <v>160333.33333333334</v>
      </c>
      <c r="D48" s="31">
        <f t="shared" si="8"/>
        <v>160333.33333333334</v>
      </c>
      <c r="E48" s="31">
        <f t="shared" si="8"/>
        <v>160333.33333333334</v>
      </c>
      <c r="F48" s="31">
        <f t="shared" si="8"/>
        <v>160333.33333333334</v>
      </c>
      <c r="G48" s="31">
        <f t="shared" si="8"/>
        <v>160333.33333333334</v>
      </c>
      <c r="H48" s="31">
        <f t="shared" si="8"/>
        <v>160333.33333333334</v>
      </c>
      <c r="I48" s="31">
        <f t="shared" si="8"/>
        <v>160333.33333333334</v>
      </c>
      <c r="J48" s="31">
        <f t="shared" si="8"/>
        <v>160333.33333333334</v>
      </c>
      <c r="K48" s="31">
        <f t="shared" si="8"/>
        <v>160333.33333333334</v>
      </c>
      <c r="L48" s="31">
        <f t="shared" si="8"/>
        <v>160333.33333333334</v>
      </c>
      <c r="M48" s="31">
        <f t="shared" si="8"/>
        <v>160333.33333333334</v>
      </c>
      <c r="N48" s="31">
        <f t="shared" si="8"/>
        <v>160333.33333333334</v>
      </c>
      <c r="O48" s="31">
        <f>SUM(C48:N48)</f>
        <v>1923999.9999999998</v>
      </c>
      <c r="P48" s="35">
        <f>INCOME!D12</f>
        <v>1924000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spans="1:26" ht="12.75" customHeight="1">
      <c r="A49" s="4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35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spans="1:26" ht="12.75" customHeight="1">
      <c r="A50" s="6" t="s">
        <v>244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35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spans="1:26" ht="12.75" customHeight="1">
      <c r="A51" s="4" t="s">
        <v>245</v>
      </c>
      <c r="B51" s="21"/>
      <c r="C51" s="35">
        <f>'OPER EXP'!D53</f>
        <v>69116.666666666672</v>
      </c>
      <c r="D51" s="35">
        <f>'OPER EXP'!D54</f>
        <v>69116.666666666672</v>
      </c>
      <c r="E51" s="35">
        <f>'OPER EXP'!D55</f>
        <v>69116.666666666672</v>
      </c>
      <c r="F51" s="35">
        <f>'OPER EXP'!D57</f>
        <v>69116.666666666672</v>
      </c>
      <c r="G51" s="35">
        <f>'OPER EXP'!D58</f>
        <v>69116.666666666672</v>
      </c>
      <c r="H51" s="35">
        <f>'OPER EXP'!D59</f>
        <v>69116.666666666672</v>
      </c>
      <c r="I51" s="35">
        <f>'OPER EXP'!D61</f>
        <v>69116.666666666672</v>
      </c>
      <c r="J51" s="35">
        <f>'OPER EXP'!D62</f>
        <v>69116.666666666672</v>
      </c>
      <c r="K51" s="35">
        <f>'OPER EXP'!D63</f>
        <v>69116.666666666672</v>
      </c>
      <c r="L51" s="35">
        <f>'OPER EXP'!D65</f>
        <v>69116.666666666672</v>
      </c>
      <c r="M51" s="35">
        <f>'OPER EXP'!D66</f>
        <v>69116.666666666672</v>
      </c>
      <c r="N51" s="35">
        <f>'OPER EXP'!D67</f>
        <v>69116.666666666672</v>
      </c>
      <c r="O51" s="31">
        <f t="shared" ref="O51:O54" si="9">SUM(C51:N51)</f>
        <v>829399.99999999988</v>
      </c>
      <c r="P51" s="35">
        <f>INCOME!D16</f>
        <v>829400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2.75" customHeight="1">
      <c r="A52" s="12" t="s">
        <v>246</v>
      </c>
      <c r="B52" s="21"/>
      <c r="C52" s="35">
        <f>'OPER EXP'!D75</f>
        <v>46787.5</v>
      </c>
      <c r="D52" s="35">
        <f>'OPER EXP'!D76</f>
        <v>46787.5</v>
      </c>
      <c r="E52" s="35">
        <f>'OPER EXP'!D77</f>
        <v>46787.5</v>
      </c>
      <c r="F52" s="35">
        <f>'OPER EXP'!D79</f>
        <v>46787.5</v>
      </c>
      <c r="G52" s="35">
        <f>'OPER EXP'!D80</f>
        <v>46787.5</v>
      </c>
      <c r="H52" s="35">
        <f>'OPER EXP'!D81</f>
        <v>46787.5</v>
      </c>
      <c r="I52" s="35">
        <f>'OPER EXP'!D83</f>
        <v>46787.5</v>
      </c>
      <c r="J52" s="35">
        <f>'OPER EXP'!D84</f>
        <v>46787.5</v>
      </c>
      <c r="K52" s="35">
        <f>'OPER EXP'!D85</f>
        <v>46787.5</v>
      </c>
      <c r="L52" s="35">
        <f>'OPER EXP'!D87</f>
        <v>46787.5</v>
      </c>
      <c r="M52" s="35">
        <f>'OPER EXP'!D88</f>
        <v>46787.5</v>
      </c>
      <c r="N52" s="35">
        <f>'OPER EXP'!D89</f>
        <v>46787.5</v>
      </c>
      <c r="O52" s="31">
        <f t="shared" si="9"/>
        <v>561450</v>
      </c>
      <c r="P52" s="35">
        <f>INCOME!D17</f>
        <v>561450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2.75" customHeight="1">
      <c r="A53" s="4" t="s">
        <v>247</v>
      </c>
      <c r="B53" s="21"/>
      <c r="C53" s="84">
        <f>'OPER EXP'!D97</f>
        <v>72454.166666666657</v>
      </c>
      <c r="D53" s="84">
        <f>'OPER EXP'!D98</f>
        <v>72454.166666666657</v>
      </c>
      <c r="E53" s="84">
        <f>'OPER EXP'!D99</f>
        <v>72454.166666666657</v>
      </c>
      <c r="F53" s="84">
        <f>'OPER EXP'!D101</f>
        <v>72454.166666666657</v>
      </c>
      <c r="G53" s="84">
        <f>'OPER EXP'!D102</f>
        <v>72454.166666666657</v>
      </c>
      <c r="H53" s="84">
        <f>'OPER EXP'!D103</f>
        <v>72454.166666666657</v>
      </c>
      <c r="I53" s="84">
        <f>'OPER EXP'!D105</f>
        <v>72454.166666666657</v>
      </c>
      <c r="J53" s="84">
        <f>'OPER EXP'!D106</f>
        <v>72454.166666666657</v>
      </c>
      <c r="K53" s="84">
        <f>'OPER EXP'!D107</f>
        <v>72454.166666666657</v>
      </c>
      <c r="L53" s="84">
        <f>'OPER EXP'!D109</f>
        <v>72454.166666666657</v>
      </c>
      <c r="M53" s="84">
        <f>'OPER EXP'!D110</f>
        <v>72454.166666666657</v>
      </c>
      <c r="N53" s="84">
        <f>'OPER EXP'!D111</f>
        <v>72454.166666666657</v>
      </c>
      <c r="O53" s="60">
        <f t="shared" si="9"/>
        <v>869449.99999999965</v>
      </c>
      <c r="P53" s="84">
        <f>INCOME!D18</f>
        <v>869450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12.75" customHeight="1">
      <c r="A54" s="4" t="s">
        <v>248</v>
      </c>
      <c r="B54" s="21"/>
      <c r="C54" s="31">
        <f t="shared" ref="C54:N54" si="10">SUM(C51:C53)</f>
        <v>188358.33333333331</v>
      </c>
      <c r="D54" s="31">
        <f t="shared" si="10"/>
        <v>188358.33333333331</v>
      </c>
      <c r="E54" s="31">
        <f t="shared" si="10"/>
        <v>188358.33333333331</v>
      </c>
      <c r="F54" s="31">
        <f t="shared" si="10"/>
        <v>188358.33333333331</v>
      </c>
      <c r="G54" s="31">
        <f t="shared" si="10"/>
        <v>188358.33333333331</v>
      </c>
      <c r="H54" s="31">
        <f t="shared" si="10"/>
        <v>188358.33333333331</v>
      </c>
      <c r="I54" s="31">
        <f t="shared" si="10"/>
        <v>188358.33333333331</v>
      </c>
      <c r="J54" s="31">
        <f t="shared" si="10"/>
        <v>188358.33333333331</v>
      </c>
      <c r="K54" s="31">
        <f t="shared" si="10"/>
        <v>188358.33333333331</v>
      </c>
      <c r="L54" s="31">
        <f t="shared" si="10"/>
        <v>188358.33333333331</v>
      </c>
      <c r="M54" s="31">
        <f t="shared" si="10"/>
        <v>188358.33333333331</v>
      </c>
      <c r="N54" s="31">
        <f t="shared" si="10"/>
        <v>188358.33333333331</v>
      </c>
      <c r="O54" s="31">
        <f t="shared" si="9"/>
        <v>2260299.9999999995</v>
      </c>
      <c r="P54" s="35">
        <f>INCOME!D19</f>
        <v>2260300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12.75" customHeight="1">
      <c r="A55" s="4"/>
      <c r="B55" s="21"/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84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spans="1:26" ht="12.75" customHeight="1">
      <c r="A56" s="6" t="s">
        <v>249</v>
      </c>
      <c r="B56" s="21"/>
      <c r="C56" s="31">
        <f t="shared" ref="C56:N56" si="11">C48-C54</f>
        <v>-28024.999999999971</v>
      </c>
      <c r="D56" s="31">
        <f t="shared" si="11"/>
        <v>-28024.999999999971</v>
      </c>
      <c r="E56" s="31">
        <f t="shared" si="11"/>
        <v>-28024.999999999971</v>
      </c>
      <c r="F56" s="31">
        <f t="shared" si="11"/>
        <v>-28024.999999999971</v>
      </c>
      <c r="G56" s="31">
        <f t="shared" si="11"/>
        <v>-28024.999999999971</v>
      </c>
      <c r="H56" s="31">
        <f t="shared" si="11"/>
        <v>-28024.999999999971</v>
      </c>
      <c r="I56" s="31">
        <f t="shared" si="11"/>
        <v>-28024.999999999971</v>
      </c>
      <c r="J56" s="31">
        <f t="shared" si="11"/>
        <v>-28024.999999999971</v>
      </c>
      <c r="K56" s="31">
        <f t="shared" si="11"/>
        <v>-28024.999999999971</v>
      </c>
      <c r="L56" s="31">
        <f t="shared" si="11"/>
        <v>-28024.999999999971</v>
      </c>
      <c r="M56" s="31">
        <f t="shared" si="11"/>
        <v>-28024.999999999971</v>
      </c>
      <c r="N56" s="31">
        <f t="shared" si="11"/>
        <v>-28024.999999999971</v>
      </c>
      <c r="O56" s="31">
        <f>SUM(C56:N56)</f>
        <v>-336299.99999999965</v>
      </c>
      <c r="P56" s="35">
        <f>INCOME!D22</f>
        <v>-336300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spans="1:26" ht="12.75" customHeight="1">
      <c r="A57" s="4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35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spans="1:26" ht="12.75" customHeight="1">
      <c r="A58" s="6" t="s">
        <v>250</v>
      </c>
      <c r="B58" s="21"/>
      <c r="C58" s="35">
        <f>EXTRA!D23</f>
        <v>50000</v>
      </c>
      <c r="D58" s="35">
        <f>EXTRA!D24</f>
        <v>0</v>
      </c>
      <c r="E58" s="35">
        <f>EXTRA!D25</f>
        <v>0</v>
      </c>
      <c r="F58" s="35">
        <f>EXTRA!D27</f>
        <v>0</v>
      </c>
      <c r="G58" s="35">
        <f>EXTRA!D28</f>
        <v>40000</v>
      </c>
      <c r="H58" s="35">
        <f>EXTRA!D29</f>
        <v>0</v>
      </c>
      <c r="I58" s="35">
        <f>EXTRA!D31</f>
        <v>0</v>
      </c>
      <c r="J58" s="35">
        <f>EXTRA!D32</f>
        <v>0</v>
      </c>
      <c r="K58" s="35">
        <f>EXTRA!D33</f>
        <v>0</v>
      </c>
      <c r="L58" s="35">
        <f>EXTRA!D35</f>
        <v>25000</v>
      </c>
      <c r="M58" s="35">
        <f>EXTRA!D36</f>
        <v>0</v>
      </c>
      <c r="N58" s="35">
        <f>EXTRA!D37</f>
        <v>0</v>
      </c>
      <c r="O58" s="31">
        <f>SUM(C58:N58)</f>
        <v>115000</v>
      </c>
      <c r="P58" s="35">
        <f>INCOME!D24</f>
        <v>115000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spans="1:26" ht="12.75" customHeight="1">
      <c r="A59" s="4"/>
      <c r="B59" s="4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84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spans="1:26" ht="12.75" customHeight="1">
      <c r="A60" s="6" t="s">
        <v>251</v>
      </c>
      <c r="B60" s="21"/>
      <c r="C60" s="31">
        <f t="shared" ref="C60:N60" si="12">C56+C58</f>
        <v>21975.000000000029</v>
      </c>
      <c r="D60" s="31">
        <f t="shared" si="12"/>
        <v>-28024.999999999971</v>
      </c>
      <c r="E60" s="31">
        <f t="shared" si="12"/>
        <v>-28024.999999999971</v>
      </c>
      <c r="F60" s="31">
        <f t="shared" si="12"/>
        <v>-28024.999999999971</v>
      </c>
      <c r="G60" s="31">
        <f t="shared" si="12"/>
        <v>11975.000000000029</v>
      </c>
      <c r="H60" s="31">
        <f t="shared" si="12"/>
        <v>-28024.999999999971</v>
      </c>
      <c r="I60" s="31">
        <f t="shared" si="12"/>
        <v>-28024.999999999971</v>
      </c>
      <c r="J60" s="31">
        <f t="shared" si="12"/>
        <v>-28024.999999999971</v>
      </c>
      <c r="K60" s="31">
        <f t="shared" si="12"/>
        <v>-28024.999999999971</v>
      </c>
      <c r="L60" s="31">
        <f t="shared" si="12"/>
        <v>-3024.9999999999709</v>
      </c>
      <c r="M60" s="31">
        <f t="shared" si="12"/>
        <v>-28024.999999999971</v>
      </c>
      <c r="N60" s="31">
        <f t="shared" si="12"/>
        <v>-28024.999999999971</v>
      </c>
      <c r="O60" s="31">
        <f>SUM(C60:N60)</f>
        <v>-221299.99999999965</v>
      </c>
      <c r="P60" s="35">
        <f>INCOME!D26</f>
        <v>-221300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spans="1:26" ht="12.75" customHeight="1">
      <c r="A61" s="4"/>
      <c r="B61" s="4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35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spans="1:26" ht="12.75" customHeight="1">
      <c r="A62" s="6" t="s">
        <v>252</v>
      </c>
      <c r="B62" s="21"/>
      <c r="C62" s="31">
        <f t="shared" ref="C62:N62" si="13">$D$121</f>
        <v>-16275</v>
      </c>
      <c r="D62" s="31">
        <f t="shared" si="13"/>
        <v>-16275</v>
      </c>
      <c r="E62" s="31">
        <f t="shared" si="13"/>
        <v>-16275</v>
      </c>
      <c r="F62" s="31">
        <f t="shared" si="13"/>
        <v>-16275</v>
      </c>
      <c r="G62" s="31">
        <f t="shared" si="13"/>
        <v>-16275</v>
      </c>
      <c r="H62" s="31">
        <f t="shared" si="13"/>
        <v>-16275</v>
      </c>
      <c r="I62" s="31">
        <f t="shared" si="13"/>
        <v>-16275</v>
      </c>
      <c r="J62" s="31">
        <f t="shared" si="13"/>
        <v>-16275</v>
      </c>
      <c r="K62" s="31">
        <f t="shared" si="13"/>
        <v>-16275</v>
      </c>
      <c r="L62" s="31">
        <f t="shared" si="13"/>
        <v>-16275</v>
      </c>
      <c r="M62" s="31">
        <f t="shared" si="13"/>
        <v>-16275</v>
      </c>
      <c r="N62" s="31">
        <f t="shared" si="13"/>
        <v>-16275</v>
      </c>
      <c r="O62" s="31">
        <f>SUM(C62:N62)</f>
        <v>-195300</v>
      </c>
      <c r="P62" s="35">
        <f>INCOME!D28</f>
        <v>-195300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spans="1:26" ht="12.75" customHeight="1">
      <c r="A63" s="4"/>
      <c r="B63" s="4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35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spans="1:26" ht="12.75" customHeight="1">
      <c r="A64" s="6" t="s">
        <v>253</v>
      </c>
      <c r="B64" s="21"/>
      <c r="C64" s="31">
        <f t="shared" ref="C64:N64" si="14">C60+C62</f>
        <v>5700.0000000000291</v>
      </c>
      <c r="D64" s="31">
        <f t="shared" si="14"/>
        <v>-44299.999999999971</v>
      </c>
      <c r="E64" s="31">
        <f t="shared" si="14"/>
        <v>-44299.999999999971</v>
      </c>
      <c r="F64" s="31">
        <f t="shared" si="14"/>
        <v>-44299.999999999971</v>
      </c>
      <c r="G64" s="31">
        <f t="shared" si="14"/>
        <v>-4299.9999999999709</v>
      </c>
      <c r="H64" s="31">
        <f t="shared" si="14"/>
        <v>-44299.999999999971</v>
      </c>
      <c r="I64" s="31">
        <f t="shared" si="14"/>
        <v>-44299.999999999971</v>
      </c>
      <c r="J64" s="31">
        <f t="shared" si="14"/>
        <v>-44299.999999999971</v>
      </c>
      <c r="K64" s="31">
        <f t="shared" si="14"/>
        <v>-44299.999999999971</v>
      </c>
      <c r="L64" s="31">
        <f t="shared" si="14"/>
        <v>-19299.999999999971</v>
      </c>
      <c r="M64" s="31">
        <f t="shared" si="14"/>
        <v>-44299.999999999971</v>
      </c>
      <c r="N64" s="31">
        <f t="shared" si="14"/>
        <v>-44299.999999999971</v>
      </c>
      <c r="O64" s="31">
        <f>SUM(C64:N64)</f>
        <v>-416599.99999999977</v>
      </c>
      <c r="P64" s="35">
        <f>INCOME!D30</f>
        <v>-416600</v>
      </c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12.75" customHeight="1">
      <c r="A65" s="4"/>
      <c r="B65" s="4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1"/>
      <c r="P65" s="35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12.75" customHeight="1">
      <c r="A66" s="6" t="s">
        <v>254</v>
      </c>
      <c r="B66" s="21"/>
      <c r="C66" s="31">
        <f>-IF(TAXES!$D12&gt;=0,IF(TAXES!$D12&lt;=TAXES!$D11,(TAXES!$D9*'INCOME-MOS'!C64)*TAXES!$D12/TAXES!$D11,TAXES!$D9*'INCOME-MOS'!C64),0)</f>
        <v>0</v>
      </c>
      <c r="D66" s="31">
        <f>-IF(TAXES!$D12&gt;=0,IF(TAXES!$D12&lt;=TAXES!$D11,(TAXES!$D9*'INCOME-MOS'!D64)*TAXES!$D12/TAXES!$D11,TAXES!$D9*'INCOME-MOS'!D64),0)</f>
        <v>0</v>
      </c>
      <c r="E66" s="31">
        <f>-IF(TAXES!$D12&gt;=0,IF(TAXES!$D12&lt;=TAXES!$D11,(TAXES!$D9*'INCOME-MOS'!E64)*TAXES!$D12/TAXES!$D11,TAXES!$D9*'INCOME-MOS'!E64),0)</f>
        <v>0</v>
      </c>
      <c r="F66" s="31">
        <f>-IF(TAXES!$D12&gt;=0,IF(TAXES!$D12&lt;=TAXES!$D11,(TAXES!$D9*'INCOME-MOS'!F64)*TAXES!$D12/TAXES!$D11,TAXES!$D9*'INCOME-MOS'!F64),0)</f>
        <v>0</v>
      </c>
      <c r="G66" s="31">
        <f>-IF(TAXES!$D12&gt;=0,IF(TAXES!$D12&lt;=TAXES!$D11,(TAXES!$D9*'INCOME-MOS'!G64)*TAXES!$D12/TAXES!$D11,TAXES!$D9*'INCOME-MOS'!G64),0)</f>
        <v>0</v>
      </c>
      <c r="H66" s="31">
        <f>-IF(TAXES!$D12&gt;=0,IF(TAXES!$D12&lt;=TAXES!$D11,(TAXES!$D9*'INCOME-MOS'!H64)*TAXES!$D12/TAXES!$D11,TAXES!$D9*'INCOME-MOS'!H64),0)</f>
        <v>0</v>
      </c>
      <c r="I66" s="31">
        <f>-IF(TAXES!$D12&gt;=0,IF(TAXES!$D12&lt;=TAXES!$D11,(TAXES!$D9*'INCOME-MOS'!I64)*TAXES!$D12/TAXES!$D11,TAXES!$D9*'INCOME-MOS'!I64),0)</f>
        <v>0</v>
      </c>
      <c r="J66" s="31">
        <f>-IF(TAXES!$D12&gt;=0,IF(TAXES!$D12&lt;=TAXES!$D11,(TAXES!$D9*'INCOME-MOS'!J64)*TAXES!$D12/TAXES!$D11,TAXES!$D9*'INCOME-MOS'!J64),0)</f>
        <v>0</v>
      </c>
      <c r="K66" s="31">
        <f>-IF(TAXES!$D12&gt;=0,IF(TAXES!$D12&lt;=TAXES!$D11,(TAXES!$D9*'INCOME-MOS'!K64)*TAXES!$D12/TAXES!$D11,TAXES!$D9*'INCOME-MOS'!K64),0)</f>
        <v>0</v>
      </c>
      <c r="L66" s="31">
        <f>-IF(TAXES!$D12&gt;=0,IF(TAXES!$D12&lt;=TAXES!$D11,(TAXES!$D9*'INCOME-MOS'!L64)*TAXES!$D12/TAXES!$D11,TAXES!$D9*'INCOME-MOS'!L64),0)</f>
        <v>0</v>
      </c>
      <c r="M66" s="31">
        <f>-IF(TAXES!$D12&gt;=0,IF(TAXES!$D12&lt;=TAXES!$D11,(TAXES!$D9*'INCOME-MOS'!M64)*TAXES!$D12/TAXES!$D11,TAXES!$D9*'INCOME-MOS'!M64),0)</f>
        <v>0</v>
      </c>
      <c r="N66" s="31">
        <f>-IF(TAXES!$D12&gt;=0,IF(TAXES!$D12&lt;=TAXES!$D11,(TAXES!$D9*'INCOME-MOS'!N64)*TAXES!$D12/TAXES!$D11,TAXES!$D9*'INCOME-MOS'!N64),0)</f>
        <v>0</v>
      </c>
      <c r="O66" s="31">
        <f>SUM(C66:N66)</f>
        <v>0</v>
      </c>
      <c r="P66" s="35">
        <f>INCOME!D32</f>
        <v>0</v>
      </c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12.75" customHeight="1">
      <c r="A67" s="4"/>
      <c r="B67" s="4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35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spans="1:26" ht="13.5" customHeight="1">
      <c r="A68" s="6" t="s">
        <v>255</v>
      </c>
      <c r="B68" s="21"/>
      <c r="C68" s="112">
        <f t="shared" ref="C68:N68" si="15">C64+C66</f>
        <v>5700.0000000000291</v>
      </c>
      <c r="D68" s="112">
        <f t="shared" si="15"/>
        <v>-44299.999999999971</v>
      </c>
      <c r="E68" s="112">
        <f t="shared" si="15"/>
        <v>-44299.999999999971</v>
      </c>
      <c r="F68" s="112">
        <f t="shared" si="15"/>
        <v>-44299.999999999971</v>
      </c>
      <c r="G68" s="112">
        <f t="shared" si="15"/>
        <v>-4299.9999999999709</v>
      </c>
      <c r="H68" s="112">
        <f t="shared" si="15"/>
        <v>-44299.999999999971</v>
      </c>
      <c r="I68" s="112">
        <f t="shared" si="15"/>
        <v>-44299.999999999971</v>
      </c>
      <c r="J68" s="112">
        <f t="shared" si="15"/>
        <v>-44299.999999999971</v>
      </c>
      <c r="K68" s="112">
        <f t="shared" si="15"/>
        <v>-44299.999999999971</v>
      </c>
      <c r="L68" s="112">
        <f t="shared" si="15"/>
        <v>-19299.999999999971</v>
      </c>
      <c r="M68" s="112">
        <f t="shared" si="15"/>
        <v>-44299.999999999971</v>
      </c>
      <c r="N68" s="112">
        <f t="shared" si="15"/>
        <v>-44299.999999999971</v>
      </c>
      <c r="O68" s="112">
        <f>SUM(C68:N68)</f>
        <v>-416599.99999999977</v>
      </c>
      <c r="P68" s="85">
        <f>INCOME!D34</f>
        <v>-416600</v>
      </c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spans="1:26" ht="12.7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12.7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12.7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20.25" customHeight="1">
      <c r="A72" s="113" t="str">
        <f>A1</f>
        <v>XYZ Company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15.75" customHeight="1">
      <c r="A73" s="9" t="s">
        <v>239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3" t="s">
        <v>11</v>
      </c>
      <c r="S73" s="3" t="s">
        <v>12</v>
      </c>
      <c r="T73" s="3" t="s">
        <v>13</v>
      </c>
      <c r="U73" s="22"/>
      <c r="V73" s="22"/>
      <c r="W73" s="22"/>
      <c r="X73" s="22"/>
      <c r="Y73" s="22"/>
      <c r="Z73" s="22"/>
    </row>
    <row r="74" spans="1:26" ht="15.75" customHeight="1">
      <c r="A74" s="9" t="s">
        <v>316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3" t="s">
        <v>312</v>
      </c>
      <c r="S74" s="3" t="s">
        <v>312</v>
      </c>
      <c r="T74" s="3" t="s">
        <v>312</v>
      </c>
      <c r="U74" s="22"/>
      <c r="V74" s="22"/>
      <c r="W74" s="22"/>
      <c r="X74" s="22"/>
      <c r="Y74" s="22"/>
      <c r="Z74" s="22"/>
    </row>
    <row r="75" spans="1:26" ht="15.75" customHeight="1">
      <c r="A75" s="9"/>
      <c r="B75" s="22"/>
      <c r="C75" s="188" t="s">
        <v>11</v>
      </c>
      <c r="D75" s="189"/>
      <c r="E75" s="189"/>
      <c r="F75" s="189"/>
      <c r="G75" s="189"/>
      <c r="H75" s="188" t="s">
        <v>12</v>
      </c>
      <c r="I75" s="189"/>
      <c r="J75" s="189"/>
      <c r="K75" s="189"/>
      <c r="L75" s="189"/>
      <c r="M75" s="115" t="s">
        <v>13</v>
      </c>
      <c r="N75" s="115"/>
      <c r="O75" s="115"/>
      <c r="P75" s="115"/>
      <c r="Q75" s="115"/>
      <c r="R75" s="114" t="s">
        <v>314</v>
      </c>
      <c r="S75" s="114" t="s">
        <v>314</v>
      </c>
      <c r="T75" s="114" t="s">
        <v>314</v>
      </c>
      <c r="U75" s="22"/>
      <c r="V75" s="22"/>
      <c r="W75" s="22"/>
      <c r="X75" s="22"/>
      <c r="Y75" s="22"/>
      <c r="Z75" s="22"/>
    </row>
    <row r="76" spans="1:26" ht="12.75" customHeight="1">
      <c r="A76" s="4"/>
      <c r="B76" s="4"/>
      <c r="C76" s="116" t="s">
        <v>317</v>
      </c>
      <c r="D76" s="116" t="s">
        <v>318</v>
      </c>
      <c r="E76" s="116" t="s">
        <v>319</v>
      </c>
      <c r="F76" s="116" t="s">
        <v>320</v>
      </c>
      <c r="G76" s="116" t="s">
        <v>93</v>
      </c>
      <c r="H76" s="116" t="s">
        <v>317</v>
      </c>
      <c r="I76" s="116" t="s">
        <v>321</v>
      </c>
      <c r="J76" s="116" t="s">
        <v>322</v>
      </c>
      <c r="K76" s="116" t="s">
        <v>323</v>
      </c>
      <c r="L76" s="116" t="s">
        <v>93</v>
      </c>
      <c r="M76" s="116" t="s">
        <v>317</v>
      </c>
      <c r="N76" s="116" t="s">
        <v>321</v>
      </c>
      <c r="O76" s="116" t="s">
        <v>322</v>
      </c>
      <c r="P76" s="116" t="s">
        <v>323</v>
      </c>
      <c r="Q76" s="116" t="s">
        <v>93</v>
      </c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12.75" customHeight="1">
      <c r="A77" s="4"/>
      <c r="B77" s="4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22"/>
      <c r="S77" s="22"/>
      <c r="T77" s="22"/>
      <c r="U77" s="22"/>
      <c r="V77" s="22"/>
      <c r="W77" s="22"/>
      <c r="X77" s="22"/>
      <c r="Y77" s="22"/>
      <c r="Z77" s="22"/>
    </row>
    <row r="78" spans="1:26" ht="12.75" customHeight="1">
      <c r="A78" s="6" t="s">
        <v>240</v>
      </c>
      <c r="B78" s="4"/>
      <c r="C78" s="35">
        <f>REVENUE!E25</f>
        <v>1498750</v>
      </c>
      <c r="D78" s="35">
        <f>REVENUE!E29</f>
        <v>1498750</v>
      </c>
      <c r="E78" s="35">
        <f>REVENUE!E33</f>
        <v>1498750</v>
      </c>
      <c r="F78" s="35">
        <f>REVENUE!E37</f>
        <v>1498750</v>
      </c>
      <c r="G78" s="35">
        <f>SUM(C78:F78)</f>
        <v>5995000</v>
      </c>
      <c r="H78" s="35">
        <f>REVENUE!F25</f>
        <v>2030000</v>
      </c>
      <c r="I78" s="35">
        <f>REVENUE!F29</f>
        <v>2030000</v>
      </c>
      <c r="J78" s="35">
        <f>REVENUE!F33</f>
        <v>2030000</v>
      </c>
      <c r="K78" s="35">
        <f>REVENUE!F37</f>
        <v>2030000</v>
      </c>
      <c r="L78" s="35">
        <f>SUM(H78:K78)</f>
        <v>8120000</v>
      </c>
      <c r="M78" s="35">
        <f>REVENUE!G25</f>
        <v>3030000</v>
      </c>
      <c r="N78" s="35">
        <f>REVENUE!G29</f>
        <v>3030000</v>
      </c>
      <c r="O78" s="35">
        <f>REVENUE!G33</f>
        <v>3030000</v>
      </c>
      <c r="P78" s="35">
        <f>REVENUE!G37</f>
        <v>3030000</v>
      </c>
      <c r="Q78" s="35">
        <f>SUM(M78:P78)</f>
        <v>12120000</v>
      </c>
      <c r="R78" s="117">
        <f>INCOME!E7</f>
        <v>5995000</v>
      </c>
      <c r="S78" s="117">
        <f>INCOME!F7</f>
        <v>8120000</v>
      </c>
      <c r="T78" s="117">
        <f>INCOME!G7</f>
        <v>12120000</v>
      </c>
      <c r="U78" s="22"/>
      <c r="V78" s="22"/>
      <c r="W78" s="22"/>
      <c r="X78" s="22"/>
      <c r="Y78" s="22"/>
      <c r="Z78" s="22"/>
    </row>
    <row r="79" spans="1:26" ht="12.75" customHeight="1">
      <c r="A79" s="4"/>
      <c r="B79" s="4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117">
        <f>INCOME!E8</f>
        <v>0</v>
      </c>
      <c r="S79" s="117">
        <f>INCOME!F8</f>
        <v>0</v>
      </c>
      <c r="T79" s="117">
        <f>INCOME!G8</f>
        <v>0</v>
      </c>
      <c r="U79" s="22"/>
      <c r="V79" s="22"/>
      <c r="W79" s="22"/>
      <c r="X79" s="22"/>
      <c r="Y79" s="22"/>
      <c r="Z79" s="22"/>
    </row>
    <row r="80" spans="1:26" ht="12.75" customHeight="1">
      <c r="A80" s="6" t="s">
        <v>241</v>
      </c>
      <c r="B80" s="4"/>
      <c r="C80" s="84">
        <f>'COST OF REV'!$E$33*C78</f>
        <v>628514.28571428568</v>
      </c>
      <c r="D80" s="84">
        <f>'COST OF REV'!$E$33*D78</f>
        <v>628514.28571428568</v>
      </c>
      <c r="E80" s="84">
        <f>'COST OF REV'!$E$33*E78</f>
        <v>628514.28571428568</v>
      </c>
      <c r="F80" s="84">
        <f>'COST OF REV'!$E$33*F78</f>
        <v>628514.28571428568</v>
      </c>
      <c r="G80" s="84">
        <f>SUM(C80:F80)</f>
        <v>2514057.1428571427</v>
      </c>
      <c r="H80" s="84">
        <f>'COST OF REV'!$F$33*H78</f>
        <v>778675</v>
      </c>
      <c r="I80" s="84">
        <f>'COST OF REV'!$F$33*I78</f>
        <v>778675</v>
      </c>
      <c r="J80" s="84">
        <f>'COST OF REV'!$F$33*J78</f>
        <v>778675</v>
      </c>
      <c r="K80" s="84">
        <f>'COST OF REV'!$F$33*K78</f>
        <v>778675</v>
      </c>
      <c r="L80" s="84">
        <f>SUM(H80:K80)</f>
        <v>3114700</v>
      </c>
      <c r="M80" s="84">
        <f>'COST OF REV'!$G$33*M78</f>
        <v>1015958.9285714284</v>
      </c>
      <c r="N80" s="84">
        <f>'COST OF REV'!$G$33*N78</f>
        <v>1015958.9285714284</v>
      </c>
      <c r="O80" s="84">
        <f>'COST OF REV'!$G$33*O78</f>
        <v>1015958.9285714284</v>
      </c>
      <c r="P80" s="84">
        <f>'COST OF REV'!$G$33*P78</f>
        <v>1015958.9285714284</v>
      </c>
      <c r="Q80" s="84">
        <f>SUM(M80:P80)</f>
        <v>4063835.7142857136</v>
      </c>
      <c r="R80" s="118">
        <f>INCOME!E9</f>
        <v>2514057.1428571427</v>
      </c>
      <c r="S80" s="118">
        <f>INCOME!F9</f>
        <v>3114700</v>
      </c>
      <c r="T80" s="118">
        <f>INCOME!G9</f>
        <v>4063835.7142857141</v>
      </c>
      <c r="U80" s="22"/>
      <c r="V80" s="22"/>
      <c r="W80" s="22"/>
      <c r="X80" s="22"/>
      <c r="Y80" s="22"/>
      <c r="Z80" s="22"/>
    </row>
    <row r="81" spans="1:26" ht="12.75" customHeight="1">
      <c r="A81" s="4"/>
      <c r="B81" s="4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117"/>
      <c r="S81" s="117"/>
      <c r="T81" s="117"/>
      <c r="U81" s="22"/>
      <c r="V81" s="22"/>
      <c r="W81" s="22"/>
      <c r="X81" s="22"/>
      <c r="Y81" s="22"/>
      <c r="Z81" s="22"/>
    </row>
    <row r="82" spans="1:26" ht="12.75" customHeight="1">
      <c r="A82" s="6" t="s">
        <v>243</v>
      </c>
      <c r="B82" s="4"/>
      <c r="C82" s="31">
        <f t="shared" ref="C82:Q82" si="16">C78-C80</f>
        <v>870235.71428571432</v>
      </c>
      <c r="D82" s="31">
        <f t="shared" si="16"/>
        <v>870235.71428571432</v>
      </c>
      <c r="E82" s="31">
        <f t="shared" si="16"/>
        <v>870235.71428571432</v>
      </c>
      <c r="F82" s="31">
        <f t="shared" si="16"/>
        <v>870235.71428571432</v>
      </c>
      <c r="G82" s="31">
        <f t="shared" si="16"/>
        <v>3480942.8571428573</v>
      </c>
      <c r="H82" s="31">
        <f t="shared" si="16"/>
        <v>1251325</v>
      </c>
      <c r="I82" s="31">
        <f t="shared" si="16"/>
        <v>1251325</v>
      </c>
      <c r="J82" s="31">
        <f t="shared" si="16"/>
        <v>1251325</v>
      </c>
      <c r="K82" s="31">
        <f t="shared" si="16"/>
        <v>1251325</v>
      </c>
      <c r="L82" s="31">
        <f t="shared" si="16"/>
        <v>5005300</v>
      </c>
      <c r="M82" s="31">
        <f t="shared" si="16"/>
        <v>2014041.0714285716</v>
      </c>
      <c r="N82" s="31">
        <f t="shared" si="16"/>
        <v>2014041.0714285716</v>
      </c>
      <c r="O82" s="31">
        <f t="shared" si="16"/>
        <v>2014041.0714285716</v>
      </c>
      <c r="P82" s="31">
        <f t="shared" si="16"/>
        <v>2014041.0714285716</v>
      </c>
      <c r="Q82" s="31">
        <f t="shared" si="16"/>
        <v>8056164.2857142864</v>
      </c>
      <c r="R82" s="117">
        <f>INCOME!E12</f>
        <v>3480942.8571428573</v>
      </c>
      <c r="S82" s="117">
        <f>INCOME!F12</f>
        <v>5005300</v>
      </c>
      <c r="T82" s="117">
        <f>INCOME!G12</f>
        <v>8056164.2857142854</v>
      </c>
      <c r="U82" s="22"/>
      <c r="V82" s="22"/>
      <c r="W82" s="22"/>
      <c r="X82" s="22"/>
      <c r="Y82" s="22"/>
      <c r="Z82" s="22"/>
    </row>
    <row r="83" spans="1:26" ht="12.75" customHeight="1">
      <c r="A83" s="4"/>
      <c r="B83" s="4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117"/>
      <c r="S83" s="117"/>
      <c r="T83" s="117"/>
      <c r="U83" s="22"/>
      <c r="V83" s="22"/>
      <c r="W83" s="22"/>
      <c r="X83" s="22"/>
      <c r="Y83" s="22"/>
      <c r="Z83" s="22"/>
    </row>
    <row r="84" spans="1:26" ht="12.75" customHeight="1">
      <c r="A84" s="6" t="s">
        <v>244</v>
      </c>
      <c r="B84" s="4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117"/>
      <c r="S84" s="117"/>
      <c r="T84" s="117"/>
      <c r="U84" s="22"/>
      <c r="V84" s="22"/>
      <c r="W84" s="22"/>
      <c r="X84" s="22"/>
      <c r="Y84" s="22"/>
      <c r="Z84" s="22"/>
    </row>
    <row r="85" spans="1:26" ht="12.75" customHeight="1">
      <c r="A85" s="4" t="s">
        <v>245</v>
      </c>
      <c r="B85" s="4"/>
      <c r="C85" s="35">
        <f>'OPER EXP'!E56</f>
        <v>280272.5</v>
      </c>
      <c r="D85" s="35">
        <f>'OPER EXP'!E60</f>
        <v>280272.5</v>
      </c>
      <c r="E85" s="35">
        <f>'OPER EXP'!E64</f>
        <v>280272.5</v>
      </c>
      <c r="F85" s="35">
        <f>'OPER EXP'!E68</f>
        <v>280272.5</v>
      </c>
      <c r="G85" s="35">
        <f>'OPER EXP'!E69</f>
        <v>1121090</v>
      </c>
      <c r="H85" s="35">
        <f>'OPER EXP'!F56</f>
        <v>354500</v>
      </c>
      <c r="I85" s="35">
        <f>'OPER EXP'!F60</f>
        <v>354500</v>
      </c>
      <c r="J85" s="35">
        <f>'OPER EXP'!F64</f>
        <v>354500</v>
      </c>
      <c r="K85" s="35">
        <f>'OPER EXP'!F68</f>
        <v>354500</v>
      </c>
      <c r="L85" s="35">
        <f>'OPER EXP'!F69</f>
        <v>1418000</v>
      </c>
      <c r="M85" s="35">
        <f>'OPER EXP'!G56</f>
        <v>478100</v>
      </c>
      <c r="N85" s="35">
        <f>'OPER EXP'!G60</f>
        <v>478100</v>
      </c>
      <c r="O85" s="35">
        <f>'OPER EXP'!G64</f>
        <v>478100</v>
      </c>
      <c r="P85" s="35">
        <f>'OPER EXP'!G68</f>
        <v>478100</v>
      </c>
      <c r="Q85" s="35">
        <f>'OPER EXP'!G69</f>
        <v>1912400</v>
      </c>
      <c r="R85" s="117">
        <f>INCOME!E16</f>
        <v>1121090</v>
      </c>
      <c r="S85" s="117">
        <f>INCOME!F16</f>
        <v>1418000</v>
      </c>
      <c r="T85" s="117">
        <f>INCOME!G16</f>
        <v>1912400</v>
      </c>
      <c r="U85" s="22"/>
      <c r="V85" s="22"/>
      <c r="W85" s="22"/>
      <c r="X85" s="22"/>
      <c r="Y85" s="22"/>
      <c r="Z85" s="22"/>
    </row>
    <row r="86" spans="1:26" ht="12.75" customHeight="1">
      <c r="A86" s="12" t="s">
        <v>246</v>
      </c>
      <c r="B86" s="4"/>
      <c r="C86" s="35">
        <f>'OPER EXP'!E78</f>
        <v>193427.49999999997</v>
      </c>
      <c r="D86" s="35">
        <f>'OPER EXP'!E82</f>
        <v>193427.49999999997</v>
      </c>
      <c r="E86" s="35">
        <f>'OPER EXP'!E86</f>
        <v>193427.49999999997</v>
      </c>
      <c r="F86" s="35">
        <f>'OPER EXP'!E90</f>
        <v>193427.49999999997</v>
      </c>
      <c r="G86" s="35">
        <f>'OPER EXP'!E91</f>
        <v>773709.99999999988</v>
      </c>
      <c r="H86" s="35">
        <f>'OPER EXP'!F78</f>
        <v>242250</v>
      </c>
      <c r="I86" s="35">
        <f>'OPER EXP'!F82</f>
        <v>242250</v>
      </c>
      <c r="J86" s="35">
        <f>'OPER EXP'!F86</f>
        <v>242250</v>
      </c>
      <c r="K86" s="35">
        <f>'OPER EXP'!F90</f>
        <v>242250</v>
      </c>
      <c r="L86" s="35">
        <f>'OPER EXP'!F91</f>
        <v>969000</v>
      </c>
      <c r="M86" s="35">
        <f>'OPER EXP'!G78</f>
        <v>303700</v>
      </c>
      <c r="N86" s="35">
        <f>'OPER EXP'!G82</f>
        <v>303700</v>
      </c>
      <c r="O86" s="35">
        <f>'OPER EXP'!G86</f>
        <v>303700</v>
      </c>
      <c r="P86" s="35">
        <f>'OPER EXP'!G90</f>
        <v>303700</v>
      </c>
      <c r="Q86" s="35">
        <f>'OPER EXP'!G91</f>
        <v>1214800</v>
      </c>
      <c r="R86" s="117">
        <f>INCOME!E17</f>
        <v>773710</v>
      </c>
      <c r="S86" s="117">
        <f>INCOME!F17</f>
        <v>969000</v>
      </c>
      <c r="T86" s="117">
        <f>INCOME!G17</f>
        <v>1214800</v>
      </c>
      <c r="U86" s="22"/>
      <c r="V86" s="22"/>
      <c r="W86" s="22"/>
      <c r="X86" s="22"/>
      <c r="Y86" s="22"/>
      <c r="Z86" s="22"/>
    </row>
    <row r="87" spans="1:26" ht="12.75" customHeight="1">
      <c r="A87" s="4" t="s">
        <v>247</v>
      </c>
      <c r="B87" s="4"/>
      <c r="C87" s="84">
        <f>'OPER EXP'!E100</f>
        <v>264547.5</v>
      </c>
      <c r="D87" s="84">
        <f>'OPER EXP'!E104</f>
        <v>264547.5</v>
      </c>
      <c r="E87" s="84">
        <f>'OPER EXP'!E108</f>
        <v>264547.5</v>
      </c>
      <c r="F87" s="84">
        <f>'OPER EXP'!E112</f>
        <v>264547.5</v>
      </c>
      <c r="G87" s="84">
        <f>'OPER EXP'!E113</f>
        <v>1058190</v>
      </c>
      <c r="H87" s="84">
        <f>'OPER EXP'!F100</f>
        <v>328416.66666666669</v>
      </c>
      <c r="I87" s="84">
        <f>'OPER EXP'!F104</f>
        <v>328416.66666666669</v>
      </c>
      <c r="J87" s="84">
        <f>'OPER EXP'!F108</f>
        <v>328416.66666666669</v>
      </c>
      <c r="K87" s="84">
        <f>'OPER EXP'!F112</f>
        <v>328416.66666666669</v>
      </c>
      <c r="L87" s="84">
        <f>'OPER EXP'!F113</f>
        <v>1313666.6666666667</v>
      </c>
      <c r="M87" s="84">
        <f>'OPER EXP'!G100</f>
        <v>397966.66666666663</v>
      </c>
      <c r="N87" s="84">
        <f>'OPER EXP'!G104</f>
        <v>397966.66666666663</v>
      </c>
      <c r="O87" s="84">
        <f>'OPER EXP'!G108</f>
        <v>397966.66666666663</v>
      </c>
      <c r="P87" s="84">
        <f>'OPER EXP'!G112</f>
        <v>397966.66666666663</v>
      </c>
      <c r="Q87" s="84">
        <f>'OPER EXP'!G113</f>
        <v>1591866.6666666665</v>
      </c>
      <c r="R87" s="118">
        <f>INCOME!E18</f>
        <v>1058190</v>
      </c>
      <c r="S87" s="118">
        <f>INCOME!F18</f>
        <v>1313666.6666666667</v>
      </c>
      <c r="T87" s="118">
        <f>INCOME!G18</f>
        <v>1591866.6666666667</v>
      </c>
      <c r="U87" s="22"/>
      <c r="V87" s="22"/>
      <c r="W87" s="22"/>
      <c r="X87" s="22"/>
      <c r="Y87" s="22"/>
      <c r="Z87" s="22"/>
    </row>
    <row r="88" spans="1:26" ht="12.75" customHeight="1">
      <c r="A88" s="4" t="s">
        <v>248</v>
      </c>
      <c r="B88" s="4"/>
      <c r="C88" s="31">
        <f t="shared" ref="C88:F88" si="17">SUM(C85:C87)</f>
        <v>738247.5</v>
      </c>
      <c r="D88" s="31">
        <f t="shared" si="17"/>
        <v>738247.5</v>
      </c>
      <c r="E88" s="31">
        <f t="shared" si="17"/>
        <v>738247.5</v>
      </c>
      <c r="F88" s="31">
        <f t="shared" si="17"/>
        <v>738247.5</v>
      </c>
      <c r="G88" s="31">
        <f>SUM(C88:F88)</f>
        <v>2952990</v>
      </c>
      <c r="H88" s="31">
        <f t="shared" ref="H88:K88" si="18">SUM(H85:H87)</f>
        <v>925166.66666666674</v>
      </c>
      <c r="I88" s="31">
        <f t="shared" si="18"/>
        <v>925166.66666666674</v>
      </c>
      <c r="J88" s="31">
        <f t="shared" si="18"/>
        <v>925166.66666666674</v>
      </c>
      <c r="K88" s="31">
        <f t="shared" si="18"/>
        <v>925166.66666666674</v>
      </c>
      <c r="L88" s="31">
        <f>SUM(H88:K88)</f>
        <v>3700666.666666667</v>
      </c>
      <c r="M88" s="31">
        <f t="shared" ref="M88:P88" si="19">SUM(M85:M87)</f>
        <v>1179766.6666666665</v>
      </c>
      <c r="N88" s="31">
        <f t="shared" si="19"/>
        <v>1179766.6666666665</v>
      </c>
      <c r="O88" s="31">
        <f t="shared" si="19"/>
        <v>1179766.6666666665</v>
      </c>
      <c r="P88" s="31">
        <f t="shared" si="19"/>
        <v>1179766.6666666665</v>
      </c>
      <c r="Q88" s="31">
        <f>SUM(M88:P88)</f>
        <v>4719066.666666666</v>
      </c>
      <c r="R88" s="117">
        <f>INCOME!E19</f>
        <v>2952990</v>
      </c>
      <c r="S88" s="117">
        <f>INCOME!F19</f>
        <v>3700666.666666667</v>
      </c>
      <c r="T88" s="117">
        <f>INCOME!G19</f>
        <v>4719066.666666667</v>
      </c>
      <c r="U88" s="22"/>
      <c r="V88" s="22"/>
      <c r="W88" s="22"/>
      <c r="X88" s="22"/>
      <c r="Y88" s="22"/>
      <c r="Z88" s="22"/>
    </row>
    <row r="89" spans="1:26" ht="12.75" customHeight="1">
      <c r="A89" s="4"/>
      <c r="B89" s="4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117"/>
      <c r="S89" s="117"/>
      <c r="T89" s="117"/>
      <c r="U89" s="22"/>
      <c r="V89" s="22"/>
      <c r="W89" s="22"/>
      <c r="X89" s="22"/>
      <c r="Y89" s="22"/>
      <c r="Z89" s="22"/>
    </row>
    <row r="90" spans="1:26" ht="12.75" customHeight="1">
      <c r="A90" s="6" t="s">
        <v>249</v>
      </c>
      <c r="B90" s="119"/>
      <c r="C90" s="31">
        <f t="shared" ref="C90:F90" si="20">C82-C88</f>
        <v>131988.21428571432</v>
      </c>
      <c r="D90" s="31">
        <f t="shared" si="20"/>
        <v>131988.21428571432</v>
      </c>
      <c r="E90" s="31">
        <f t="shared" si="20"/>
        <v>131988.21428571432</v>
      </c>
      <c r="F90" s="31">
        <f t="shared" si="20"/>
        <v>131988.21428571432</v>
      </c>
      <c r="G90" s="31">
        <f>SUM(C90:F90)</f>
        <v>527952.85714285728</v>
      </c>
      <c r="H90" s="31">
        <f t="shared" ref="H90:K90" si="21">H82-H88</f>
        <v>326158.33333333326</v>
      </c>
      <c r="I90" s="31">
        <f t="shared" si="21"/>
        <v>326158.33333333326</v>
      </c>
      <c r="J90" s="31">
        <f t="shared" si="21"/>
        <v>326158.33333333326</v>
      </c>
      <c r="K90" s="31">
        <f t="shared" si="21"/>
        <v>326158.33333333326</v>
      </c>
      <c r="L90" s="31">
        <f>SUM(H90:K90)</f>
        <v>1304633.333333333</v>
      </c>
      <c r="M90" s="31">
        <f t="shared" ref="M90:P90" si="22">M82-M88</f>
        <v>834274.40476190508</v>
      </c>
      <c r="N90" s="31">
        <f t="shared" si="22"/>
        <v>834274.40476190508</v>
      </c>
      <c r="O90" s="31">
        <f t="shared" si="22"/>
        <v>834274.40476190508</v>
      </c>
      <c r="P90" s="31">
        <f t="shared" si="22"/>
        <v>834274.40476190508</v>
      </c>
      <c r="Q90" s="31">
        <f>SUM(M90:P90)</f>
        <v>3337097.6190476203</v>
      </c>
      <c r="R90" s="117">
        <f>INCOME!E22</f>
        <v>527952.85714285728</v>
      </c>
      <c r="S90" s="117">
        <f>INCOME!F22</f>
        <v>1304633.333333333</v>
      </c>
      <c r="T90" s="117">
        <f>INCOME!G22</f>
        <v>3337097.6190476185</v>
      </c>
      <c r="U90" s="22"/>
      <c r="V90" s="22"/>
      <c r="W90" s="22"/>
      <c r="X90" s="22"/>
      <c r="Y90" s="22"/>
      <c r="Z90" s="22"/>
    </row>
    <row r="91" spans="1:26" ht="12.75" customHeight="1">
      <c r="A91" s="4"/>
      <c r="B91" s="4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117"/>
      <c r="S91" s="117"/>
      <c r="T91" s="117"/>
      <c r="U91" s="22"/>
      <c r="V91" s="22"/>
      <c r="W91" s="22"/>
      <c r="X91" s="22"/>
      <c r="Y91" s="22"/>
      <c r="Z91" s="22"/>
    </row>
    <row r="92" spans="1:26" ht="12.75" customHeight="1">
      <c r="A92" s="6" t="s">
        <v>250</v>
      </c>
      <c r="B92" s="4"/>
      <c r="C92" s="117">
        <f>EXTRA!E26</f>
        <v>80000</v>
      </c>
      <c r="D92" s="117">
        <f>EXTRA!E30</f>
        <v>0</v>
      </c>
      <c r="E92" s="117">
        <f>EXTRA!E34</f>
        <v>60000</v>
      </c>
      <c r="F92" s="117">
        <f>EXTRA!E38</f>
        <v>40000</v>
      </c>
      <c r="G92" s="117">
        <f>EXTRA!E39</f>
        <v>180000</v>
      </c>
      <c r="H92" s="117">
        <f>EXTRA!F26</f>
        <v>120000</v>
      </c>
      <c r="I92" s="117">
        <f>EXTRA!F30</f>
        <v>80000</v>
      </c>
      <c r="J92" s="117">
        <f>EXTRA!F34</f>
        <v>0</v>
      </c>
      <c r="K92" s="117">
        <f>EXTRA!F38</f>
        <v>60000</v>
      </c>
      <c r="L92" s="117">
        <f>EXTRA!F39</f>
        <v>260000</v>
      </c>
      <c r="M92" s="117">
        <f>EXTRA!G26</f>
        <v>150000</v>
      </c>
      <c r="N92" s="117">
        <f>EXTRA!G30</f>
        <v>100000</v>
      </c>
      <c r="O92" s="117">
        <f>EXTRA!G34</f>
        <v>80000</v>
      </c>
      <c r="P92" s="117">
        <f>EXTRA!G38</f>
        <v>0</v>
      </c>
      <c r="Q92" s="117">
        <f>EXTRA!G39</f>
        <v>330000</v>
      </c>
      <c r="R92" s="117">
        <f>INCOME!E24</f>
        <v>180000</v>
      </c>
      <c r="S92" s="117">
        <f>INCOME!F24</f>
        <v>260000</v>
      </c>
      <c r="T92" s="117">
        <f>INCOME!G24</f>
        <v>330000</v>
      </c>
      <c r="U92" s="22"/>
      <c r="V92" s="22"/>
      <c r="W92" s="22"/>
      <c r="X92" s="22"/>
      <c r="Y92" s="22"/>
      <c r="Z92" s="22"/>
    </row>
    <row r="93" spans="1:26" ht="12.75" customHeight="1">
      <c r="A93" s="4"/>
      <c r="B93" s="4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117"/>
      <c r="S93" s="117"/>
      <c r="T93" s="117"/>
      <c r="U93" s="22"/>
      <c r="V93" s="22"/>
      <c r="W93" s="22"/>
      <c r="X93" s="22"/>
      <c r="Y93" s="22"/>
      <c r="Z93" s="22"/>
    </row>
    <row r="94" spans="1:26" ht="12.75" customHeight="1">
      <c r="A94" s="6" t="s">
        <v>251</v>
      </c>
      <c r="B94" s="4"/>
      <c r="C94" s="31">
        <f t="shared" ref="C94:F94" si="23">C90+C92</f>
        <v>211988.21428571432</v>
      </c>
      <c r="D94" s="31">
        <f t="shared" si="23"/>
        <v>131988.21428571432</v>
      </c>
      <c r="E94" s="31">
        <f t="shared" si="23"/>
        <v>191988.21428571432</v>
      </c>
      <c r="F94" s="31">
        <f t="shared" si="23"/>
        <v>171988.21428571432</v>
      </c>
      <c r="G94" s="31">
        <f>SUM(C94:F94)</f>
        <v>707952.85714285728</v>
      </c>
      <c r="H94" s="31">
        <f t="shared" ref="H94:K94" si="24">H90+H92</f>
        <v>446158.33333333326</v>
      </c>
      <c r="I94" s="31">
        <f t="shared" si="24"/>
        <v>406158.33333333326</v>
      </c>
      <c r="J94" s="31">
        <f t="shared" si="24"/>
        <v>326158.33333333326</v>
      </c>
      <c r="K94" s="31">
        <f t="shared" si="24"/>
        <v>386158.33333333326</v>
      </c>
      <c r="L94" s="31">
        <f>SUM(H94:K94)</f>
        <v>1564633.333333333</v>
      </c>
      <c r="M94" s="31">
        <f t="shared" ref="M94:P94" si="25">M90+M92</f>
        <v>984274.40476190508</v>
      </c>
      <c r="N94" s="31">
        <f t="shared" si="25"/>
        <v>934274.40476190508</v>
      </c>
      <c r="O94" s="31">
        <f t="shared" si="25"/>
        <v>914274.40476190508</v>
      </c>
      <c r="P94" s="31">
        <f t="shared" si="25"/>
        <v>834274.40476190508</v>
      </c>
      <c r="Q94" s="31">
        <f>SUM(M94:P94)</f>
        <v>3667097.6190476203</v>
      </c>
      <c r="R94" s="117">
        <f>INCOME!E26</f>
        <v>707952.85714285728</v>
      </c>
      <c r="S94" s="117">
        <f>INCOME!F26</f>
        <v>1564633.333333333</v>
      </c>
      <c r="T94" s="117">
        <f>INCOME!G26</f>
        <v>3667097.6190476185</v>
      </c>
      <c r="U94" s="22"/>
      <c r="V94" s="22"/>
      <c r="W94" s="22"/>
      <c r="X94" s="22"/>
      <c r="Y94" s="22"/>
      <c r="Z94" s="22"/>
    </row>
    <row r="95" spans="1:26" ht="12.75" customHeight="1">
      <c r="A95" s="4"/>
      <c r="B95" s="4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117"/>
      <c r="S95" s="117"/>
      <c r="T95" s="117"/>
      <c r="U95" s="22"/>
      <c r="V95" s="22"/>
      <c r="W95" s="22"/>
      <c r="X95" s="22"/>
      <c r="Y95" s="22"/>
      <c r="Z95" s="22"/>
    </row>
    <row r="96" spans="1:26" ht="12.75" customHeight="1">
      <c r="A96" s="6" t="s">
        <v>252</v>
      </c>
      <c r="B96" s="4"/>
      <c r="C96" s="31">
        <f t="shared" ref="C96:F96" si="26">$D$122</f>
        <v>-54900</v>
      </c>
      <c r="D96" s="31">
        <f t="shared" si="26"/>
        <v>-54900</v>
      </c>
      <c r="E96" s="31">
        <f t="shared" si="26"/>
        <v>-54900</v>
      </c>
      <c r="F96" s="31">
        <f t="shared" si="26"/>
        <v>-54900</v>
      </c>
      <c r="G96" s="31">
        <f>SUM(C96:F96)</f>
        <v>-219600</v>
      </c>
      <c r="H96" s="31">
        <f t="shared" ref="H96:K96" si="27">$D$123</f>
        <v>-31000</v>
      </c>
      <c r="I96" s="31">
        <f t="shared" si="27"/>
        <v>-31000</v>
      </c>
      <c r="J96" s="31">
        <f t="shared" si="27"/>
        <v>-31000</v>
      </c>
      <c r="K96" s="31">
        <f t="shared" si="27"/>
        <v>-31000</v>
      </c>
      <c r="L96" s="31">
        <f>SUM(H96:K96)</f>
        <v>-124000</v>
      </c>
      <c r="M96" s="31">
        <f t="shared" ref="M96:P96" si="28">$D$124</f>
        <v>-21799.999999999996</v>
      </c>
      <c r="N96" s="31">
        <f t="shared" si="28"/>
        <v>-21799.999999999996</v>
      </c>
      <c r="O96" s="31">
        <f t="shared" si="28"/>
        <v>-21799.999999999996</v>
      </c>
      <c r="P96" s="31">
        <f t="shared" si="28"/>
        <v>-21799.999999999996</v>
      </c>
      <c r="Q96" s="31">
        <f>SUM(M96:P96)</f>
        <v>-87199.999999999985</v>
      </c>
      <c r="R96" s="117">
        <f>INCOME!E28</f>
        <v>-219600</v>
      </c>
      <c r="S96" s="117">
        <f>INCOME!F28</f>
        <v>-124000</v>
      </c>
      <c r="T96" s="117">
        <f>INCOME!G28</f>
        <v>-87199.999999999985</v>
      </c>
      <c r="U96" s="22"/>
      <c r="V96" s="22"/>
      <c r="W96" s="22"/>
      <c r="X96" s="22"/>
      <c r="Y96" s="22"/>
      <c r="Z96" s="22"/>
    </row>
    <row r="97" spans="1:26" ht="12.75" customHeight="1">
      <c r="A97" s="4"/>
      <c r="B97" s="4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117"/>
      <c r="S97" s="117"/>
      <c r="T97" s="117"/>
      <c r="U97" s="22"/>
      <c r="V97" s="22"/>
      <c r="W97" s="22"/>
      <c r="X97" s="22"/>
      <c r="Y97" s="22"/>
      <c r="Z97" s="22"/>
    </row>
    <row r="98" spans="1:26" ht="12.75" customHeight="1">
      <c r="A98" s="6" t="s">
        <v>253</v>
      </c>
      <c r="B98" s="4"/>
      <c r="C98" s="31">
        <f t="shared" ref="C98:F98" si="29">C94+C96</f>
        <v>157088.21428571432</v>
      </c>
      <c r="D98" s="31">
        <f t="shared" si="29"/>
        <v>77088.214285714319</v>
      </c>
      <c r="E98" s="31">
        <f t="shared" si="29"/>
        <v>137088.21428571432</v>
      </c>
      <c r="F98" s="31">
        <f t="shared" si="29"/>
        <v>117088.21428571432</v>
      </c>
      <c r="G98" s="31">
        <f>SUM(C98:F98)</f>
        <v>488352.85714285728</v>
      </c>
      <c r="H98" s="31">
        <f t="shared" ref="H98:K98" si="30">H94+H96</f>
        <v>415158.33333333326</v>
      </c>
      <c r="I98" s="31">
        <f t="shared" si="30"/>
        <v>375158.33333333326</v>
      </c>
      <c r="J98" s="31">
        <f t="shared" si="30"/>
        <v>295158.33333333326</v>
      </c>
      <c r="K98" s="31">
        <f t="shared" si="30"/>
        <v>355158.33333333326</v>
      </c>
      <c r="L98" s="31">
        <f>SUM(H98:K98)</f>
        <v>1440633.333333333</v>
      </c>
      <c r="M98" s="31">
        <f t="shared" ref="M98:P98" si="31">M94+M96</f>
        <v>962474.40476190508</v>
      </c>
      <c r="N98" s="31">
        <f t="shared" si="31"/>
        <v>912474.40476190508</v>
      </c>
      <c r="O98" s="31">
        <f t="shared" si="31"/>
        <v>892474.40476190508</v>
      </c>
      <c r="P98" s="31">
        <f t="shared" si="31"/>
        <v>812474.40476190508</v>
      </c>
      <c r="Q98" s="31">
        <f>SUM(M98:P98)</f>
        <v>3579897.6190476203</v>
      </c>
      <c r="R98" s="117">
        <f>INCOME!E30</f>
        <v>488352.85714285728</v>
      </c>
      <c r="S98" s="117">
        <f>INCOME!F30</f>
        <v>1440633.333333333</v>
      </c>
      <c r="T98" s="117">
        <f>INCOME!G30</f>
        <v>3579897.6190476185</v>
      </c>
      <c r="U98" s="22"/>
      <c r="V98" s="22"/>
      <c r="W98" s="22"/>
      <c r="X98" s="22"/>
      <c r="Y98" s="22"/>
      <c r="Z98" s="22"/>
    </row>
    <row r="99" spans="1:26" ht="12.75" customHeight="1">
      <c r="A99" s="4"/>
      <c r="B99" s="4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1"/>
      <c r="R99" s="117"/>
      <c r="S99" s="117"/>
      <c r="T99" s="117"/>
      <c r="U99" s="22"/>
      <c r="V99" s="22"/>
      <c r="W99" s="22"/>
      <c r="X99" s="22"/>
      <c r="Y99" s="22"/>
      <c r="Z99" s="22"/>
    </row>
    <row r="100" spans="1:26" ht="12.75" customHeight="1">
      <c r="A100" s="6" t="s">
        <v>254</v>
      </c>
      <c r="B100" s="4"/>
      <c r="C100" s="31">
        <f>-IF(TAXES!$E12&gt;=0,IF(TAXES!$E12&lt;=TAXES!$E11,(TAXES!$E9*'INCOME-MOS'!C98)*TAXES!$E12/TAXES!$E11,TAXES!$E9*'INCOME-MOS'!C98),0)</f>
        <v>0</v>
      </c>
      <c r="D100" s="31">
        <f>-IF(TAXES!$E12&gt;=0,IF(TAXES!$E12&lt;=TAXES!$E11,(TAXES!$E9*'INCOME-MOS'!D98)*TAXES!$E12/TAXES!$E11,TAXES!$E9*'INCOME-MOS'!D98),0)</f>
        <v>0</v>
      </c>
      <c r="E100" s="31">
        <f>-IF(TAXES!$E12&gt;=0,IF(TAXES!$E12&lt;=TAXES!$E11,(TAXES!$E9*'INCOME-MOS'!E98)*TAXES!$E12/TAXES!$E11,TAXES!$E9*'INCOME-MOS'!E98),0)</f>
        <v>0</v>
      </c>
      <c r="F100" s="31">
        <f>-IF(TAXES!$E12&gt;=0,IF(TAXES!$E12&lt;=TAXES!$E11,(TAXES!$E9*'INCOME-MOS'!F98)*TAXES!$E12/TAXES!$E11,TAXES!$E9*'INCOME-MOS'!F98),0)</f>
        <v>0</v>
      </c>
      <c r="G100" s="31">
        <f>SUM(C100:F100)</f>
        <v>0</v>
      </c>
      <c r="H100" s="31">
        <f>-IF(TAXES!$F12&gt;=0,IF(TAXES!$F12&lt;=TAXES!$F11,(TAXES!$F9*'INCOME-MOS'!H98)*TAXES!$F12/TAXES!$F11,TAXES!$F9*'INCOME-MOS'!H98),0)</f>
        <v>-119392.88003732925</v>
      </c>
      <c r="I100" s="31">
        <f>-IF(TAXES!$F12&gt;=0,IF(TAXES!$F12&lt;=TAXES!$F11,(TAXES!$F9*'INCOME-MOS'!I98)*TAXES!$F12/TAXES!$F11,TAXES!$F9*'INCOME-MOS'!I98),0)</f>
        <v>-107889.52139546208</v>
      </c>
      <c r="J100" s="31">
        <f>-IF(TAXES!$F12&gt;=0,IF(TAXES!$F12&lt;=TAXES!$F11,(TAXES!$F9*'INCOME-MOS'!J98)*TAXES!$F12/TAXES!$F11,TAXES!$F9*'INCOME-MOS'!J98),0)</f>
        <v>-84882.804111727746</v>
      </c>
      <c r="K100" s="31">
        <f>-IF(TAXES!$F12&gt;=0,IF(TAXES!$F12&lt;=TAXES!$F11,(TAXES!$F9*'INCOME-MOS'!K98)*TAXES!$F12/TAXES!$F11,TAXES!$F9*'INCOME-MOS'!K98),0)</f>
        <v>-102137.8420745285</v>
      </c>
      <c r="L100" s="31">
        <f>SUM(H100:K100)</f>
        <v>-414303.04761904757</v>
      </c>
      <c r="M100" s="31">
        <f>-IF(TAXES!$G12&gt;=0,IF(TAXES!$G12&lt;=TAXES!$G11,(TAXES!$G9*'INCOME-MOS'!M98)*TAXES!$G12/TAXES!$G11,TAXES!$G9*'INCOME-MOS'!M98),0)</f>
        <v>-384989.76190476207</v>
      </c>
      <c r="N100" s="31">
        <f>-IF(TAXES!$G12&gt;=0,IF(TAXES!$G12&lt;=TAXES!$G11,(TAXES!$G9*'INCOME-MOS'!N98)*TAXES!$G12/TAXES!$G11,TAXES!$G9*'INCOME-MOS'!N98),0)</f>
        <v>-364989.76190476207</v>
      </c>
      <c r="O100" s="31">
        <f>-IF(TAXES!$G12&gt;=0,IF(TAXES!$G12&lt;=TAXES!$G11,(TAXES!$G9*'INCOME-MOS'!O98)*TAXES!$G12/TAXES!$G11,TAXES!$G9*'INCOME-MOS'!O98),0)</f>
        <v>-356989.76190476207</v>
      </c>
      <c r="P100" s="31">
        <f>-IF(TAXES!$G12&gt;=0,IF(TAXES!$G12&lt;=TAXES!$G11,(TAXES!$G9*'INCOME-MOS'!P98)*TAXES!$G12/TAXES!$G11,TAXES!$G9*'INCOME-MOS'!P98),0)</f>
        <v>-324989.76190476207</v>
      </c>
      <c r="Q100" s="31">
        <f>SUM(M100:P100)</f>
        <v>-1431959.0476190483</v>
      </c>
      <c r="R100" s="117">
        <f>INCOME!E32</f>
        <v>0</v>
      </c>
      <c r="S100" s="117">
        <f>INCOME!F32</f>
        <v>-414303.04761904757</v>
      </c>
      <c r="T100" s="117">
        <f>INCOME!G32</f>
        <v>-1431959.0476190476</v>
      </c>
      <c r="U100" s="22"/>
      <c r="V100" s="22"/>
      <c r="W100" s="22"/>
      <c r="X100" s="22"/>
      <c r="Y100" s="22"/>
      <c r="Z100" s="22"/>
    </row>
    <row r="101" spans="1:26" ht="12.75" customHeight="1">
      <c r="A101" s="4"/>
      <c r="B101" s="4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117"/>
      <c r="S101" s="117"/>
      <c r="T101" s="117"/>
      <c r="U101" s="22"/>
      <c r="V101" s="22"/>
      <c r="W101" s="22"/>
      <c r="X101" s="22"/>
      <c r="Y101" s="22"/>
      <c r="Z101" s="22"/>
    </row>
    <row r="102" spans="1:26" ht="12.75" customHeight="1">
      <c r="A102" s="6" t="s">
        <v>255</v>
      </c>
      <c r="B102" s="4"/>
      <c r="C102" s="112">
        <f t="shared" ref="C102:F102" si="32">C98+C100</f>
        <v>157088.21428571432</v>
      </c>
      <c r="D102" s="112">
        <f t="shared" si="32"/>
        <v>77088.214285714319</v>
      </c>
      <c r="E102" s="112">
        <f t="shared" si="32"/>
        <v>137088.21428571432</v>
      </c>
      <c r="F102" s="112">
        <f t="shared" si="32"/>
        <v>117088.21428571432</v>
      </c>
      <c r="G102" s="112">
        <f>SUM(C102:F102)</f>
        <v>488352.85714285728</v>
      </c>
      <c r="H102" s="112">
        <f t="shared" ref="H102:K102" si="33">H98+H100</f>
        <v>295765.45329600398</v>
      </c>
      <c r="I102" s="112">
        <f t="shared" si="33"/>
        <v>267268.81193787116</v>
      </c>
      <c r="J102" s="112">
        <f t="shared" si="33"/>
        <v>210275.52922160551</v>
      </c>
      <c r="K102" s="112">
        <f t="shared" si="33"/>
        <v>253020.49125880474</v>
      </c>
      <c r="L102" s="112">
        <f>SUM(H102:K102)</f>
        <v>1026330.2857142854</v>
      </c>
      <c r="M102" s="112">
        <f t="shared" ref="M102:P102" si="34">M98+M100</f>
        <v>577484.64285714296</v>
      </c>
      <c r="N102" s="112">
        <f t="shared" si="34"/>
        <v>547484.64285714296</v>
      </c>
      <c r="O102" s="112">
        <f t="shared" si="34"/>
        <v>535484.64285714296</v>
      </c>
      <c r="P102" s="112">
        <f t="shared" si="34"/>
        <v>487484.64285714302</v>
      </c>
      <c r="Q102" s="112">
        <f>SUM(M102:P102)</f>
        <v>2147938.5714285718</v>
      </c>
      <c r="R102" s="120">
        <f>INCOME!E34</f>
        <v>488352.85714285728</v>
      </c>
      <c r="S102" s="120">
        <f>INCOME!F34</f>
        <v>1026330.2857142854</v>
      </c>
      <c r="T102" s="120">
        <f>INCOME!G34</f>
        <v>2147938.5714285709</v>
      </c>
      <c r="U102" s="22"/>
      <c r="V102" s="22"/>
      <c r="W102" s="22"/>
      <c r="X102" s="22"/>
      <c r="Y102" s="22"/>
      <c r="Z102" s="22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15.75" customHeight="1">
      <c r="A105" s="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spans="1:26" ht="20.25" customHeight="1">
      <c r="A106" s="121"/>
      <c r="B106" s="122"/>
      <c r="C106" s="122"/>
      <c r="D106" s="122"/>
      <c r="E106" s="122"/>
      <c r="F106" s="121"/>
      <c r="G106" s="123"/>
      <c r="H106" s="124" t="s">
        <v>324</v>
      </c>
      <c r="I106" s="122"/>
      <c r="J106" s="122"/>
      <c r="K106" s="122"/>
      <c r="L106" s="122"/>
      <c r="M106" s="122"/>
      <c r="N106" s="122"/>
      <c r="O106" s="122"/>
      <c r="P106" s="122"/>
      <c r="Q106" s="122"/>
      <c r="R106" s="22"/>
      <c r="S106" s="22"/>
      <c r="T106" s="22"/>
      <c r="U106" s="22"/>
      <c r="V106" s="22"/>
      <c r="W106" s="22"/>
      <c r="X106" s="22"/>
      <c r="Y106" s="22"/>
      <c r="Z106" s="22"/>
    </row>
    <row r="107" spans="1:26" ht="15.75" customHeight="1">
      <c r="A107" s="121"/>
      <c r="B107" s="122"/>
      <c r="C107" s="122"/>
      <c r="D107" s="122"/>
      <c r="E107" s="122"/>
      <c r="F107" s="123"/>
      <c r="G107" s="123"/>
      <c r="H107" s="122" t="s">
        <v>325</v>
      </c>
      <c r="I107" s="122"/>
      <c r="J107" s="122"/>
      <c r="K107" s="122"/>
      <c r="L107" s="122"/>
      <c r="M107" s="122"/>
      <c r="N107" s="122"/>
      <c r="O107" s="122"/>
      <c r="P107" s="122"/>
      <c r="Q107" s="122"/>
      <c r="R107" s="22"/>
      <c r="S107" s="22"/>
      <c r="T107" s="22"/>
      <c r="U107" s="22"/>
      <c r="V107" s="22"/>
      <c r="W107" s="22"/>
      <c r="X107" s="22"/>
      <c r="Y107" s="22"/>
      <c r="Z107" s="22"/>
    </row>
    <row r="108" spans="1:26" ht="15.75" customHeight="1">
      <c r="A108" s="121"/>
      <c r="B108" s="121"/>
      <c r="C108" s="121"/>
      <c r="D108" s="121"/>
      <c r="E108" s="121"/>
      <c r="F108" s="123"/>
      <c r="G108" s="125" t="s">
        <v>326</v>
      </c>
      <c r="H108" s="123"/>
      <c r="I108" s="121"/>
      <c r="J108" s="121"/>
      <c r="K108" s="121"/>
      <c r="L108" s="121"/>
      <c r="M108" s="121"/>
      <c r="N108" s="121"/>
      <c r="O108" s="121"/>
      <c r="P108" s="121"/>
      <c r="Q108" s="122"/>
      <c r="R108" s="22"/>
      <c r="S108" s="22"/>
      <c r="T108" s="22"/>
      <c r="U108" s="22"/>
      <c r="V108" s="22"/>
      <c r="W108" s="22"/>
      <c r="X108" s="22"/>
      <c r="Y108" s="22"/>
      <c r="Z108" s="22"/>
    </row>
    <row r="109" spans="1:26" ht="15.75" customHeight="1">
      <c r="A109" s="121"/>
      <c r="B109" s="121"/>
      <c r="C109" s="121"/>
      <c r="D109" s="121"/>
      <c r="E109" s="121"/>
      <c r="F109" s="123"/>
      <c r="G109" s="125" t="s">
        <v>327</v>
      </c>
      <c r="H109" s="123"/>
      <c r="I109" s="121"/>
      <c r="J109" s="121"/>
      <c r="K109" s="121"/>
      <c r="L109" s="121"/>
      <c r="M109" s="121"/>
      <c r="N109" s="121"/>
      <c r="O109" s="121"/>
      <c r="P109" s="121"/>
      <c r="Q109" s="122"/>
      <c r="R109" s="22"/>
      <c r="S109" s="22"/>
      <c r="T109" s="22"/>
      <c r="U109" s="22"/>
      <c r="V109" s="22"/>
      <c r="W109" s="22"/>
      <c r="X109" s="22"/>
      <c r="Y109" s="22"/>
      <c r="Z109" s="22"/>
    </row>
    <row r="110" spans="1:26" ht="15.75" customHeight="1">
      <c r="A110" s="126" t="s">
        <v>326</v>
      </c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2"/>
      <c r="R110" s="22"/>
      <c r="S110" s="22"/>
      <c r="T110" s="22"/>
      <c r="U110" s="22"/>
      <c r="V110" s="22"/>
      <c r="W110" s="22"/>
      <c r="X110" s="22"/>
      <c r="Y110" s="22"/>
      <c r="Z110" s="22"/>
    </row>
    <row r="111" spans="1:26" ht="15.75" customHeight="1">
      <c r="A111" s="121" t="s">
        <v>328</v>
      </c>
      <c r="B111" s="121"/>
      <c r="C111" s="127" t="s">
        <v>52</v>
      </c>
      <c r="D111" s="127" t="s">
        <v>53</v>
      </c>
      <c r="E111" s="127" t="s">
        <v>54</v>
      </c>
      <c r="F111" s="127" t="s">
        <v>56</v>
      </c>
      <c r="G111" s="127" t="s">
        <v>57</v>
      </c>
      <c r="H111" s="127" t="s">
        <v>58</v>
      </c>
      <c r="I111" s="127" t="s">
        <v>60</v>
      </c>
      <c r="J111" s="127" t="s">
        <v>61</v>
      </c>
      <c r="K111" s="127" t="s">
        <v>62</v>
      </c>
      <c r="L111" s="127" t="s">
        <v>64</v>
      </c>
      <c r="M111" s="127" t="s">
        <v>65</v>
      </c>
      <c r="N111" s="127" t="s">
        <v>66</v>
      </c>
      <c r="O111" s="121"/>
      <c r="P111" s="121"/>
      <c r="Q111" s="122"/>
      <c r="R111" s="22"/>
      <c r="S111" s="22"/>
      <c r="T111" s="22"/>
      <c r="U111" s="22"/>
      <c r="V111" s="22"/>
      <c r="W111" s="22"/>
      <c r="X111" s="22"/>
      <c r="Y111" s="22"/>
      <c r="Z111" s="22"/>
    </row>
    <row r="112" spans="1:26" ht="15.75" customHeight="1">
      <c r="A112" s="128" t="s">
        <v>9</v>
      </c>
      <c r="B112" s="121"/>
      <c r="C112" s="121">
        <f>C31</f>
        <v>-67841.666666666672</v>
      </c>
      <c r="D112" s="121">
        <f t="shared" ref="D112:N112" si="35">C112+D31</f>
        <v>-155683.33333333334</v>
      </c>
      <c r="E112" s="121">
        <f t="shared" si="35"/>
        <v>-173525</v>
      </c>
      <c r="F112" s="121">
        <f t="shared" si="35"/>
        <v>-207203.17460317462</v>
      </c>
      <c r="G112" s="121">
        <f t="shared" si="35"/>
        <v>-240881.34920634923</v>
      </c>
      <c r="H112" s="121">
        <f t="shared" si="35"/>
        <v>-274559.52380952385</v>
      </c>
      <c r="I112" s="121">
        <f t="shared" si="35"/>
        <v>-308237.69841269846</v>
      </c>
      <c r="J112" s="121">
        <f t="shared" si="35"/>
        <v>-341915.87301587308</v>
      </c>
      <c r="K112" s="121">
        <f t="shared" si="35"/>
        <v>-375594.04761904769</v>
      </c>
      <c r="L112" s="121">
        <f t="shared" si="35"/>
        <v>-409272.22222222231</v>
      </c>
      <c r="M112" s="121">
        <f t="shared" si="35"/>
        <v>-442950.39682539692</v>
      </c>
      <c r="N112" s="121">
        <f t="shared" si="35"/>
        <v>-476628.57142857154</v>
      </c>
      <c r="O112" s="121"/>
      <c r="P112" s="121"/>
      <c r="Q112" s="122"/>
      <c r="R112" s="22"/>
      <c r="S112" s="22"/>
      <c r="T112" s="22"/>
      <c r="U112" s="22"/>
      <c r="V112" s="22"/>
      <c r="W112" s="22"/>
      <c r="X112" s="22"/>
      <c r="Y112" s="22"/>
      <c r="Z112" s="22"/>
    </row>
    <row r="113" spans="1:26" ht="15.75" customHeight="1">
      <c r="A113" s="128" t="s">
        <v>10</v>
      </c>
      <c r="B113" s="121"/>
      <c r="C113" s="121">
        <f>N112+C64</f>
        <v>-470928.57142857148</v>
      </c>
      <c r="D113" s="121">
        <f t="shared" ref="D113:N113" si="36">C113+D64</f>
        <v>-515228.57142857148</v>
      </c>
      <c r="E113" s="121">
        <f t="shared" si="36"/>
        <v>-559528.57142857148</v>
      </c>
      <c r="F113" s="121">
        <f t="shared" si="36"/>
        <v>-603828.57142857148</v>
      </c>
      <c r="G113" s="121">
        <f t="shared" si="36"/>
        <v>-608128.57142857148</v>
      </c>
      <c r="H113" s="121">
        <f t="shared" si="36"/>
        <v>-652428.57142857148</v>
      </c>
      <c r="I113" s="121">
        <f t="shared" si="36"/>
        <v>-696728.57142857148</v>
      </c>
      <c r="J113" s="121">
        <f t="shared" si="36"/>
        <v>-741028.57142857148</v>
      </c>
      <c r="K113" s="121">
        <f t="shared" si="36"/>
        <v>-785328.57142857148</v>
      </c>
      <c r="L113" s="121">
        <f t="shared" si="36"/>
        <v>-804628.57142857148</v>
      </c>
      <c r="M113" s="121">
        <f t="shared" si="36"/>
        <v>-848928.57142857148</v>
      </c>
      <c r="N113" s="121">
        <f t="shared" si="36"/>
        <v>-893228.57142857148</v>
      </c>
      <c r="O113" s="121"/>
      <c r="P113" s="121"/>
      <c r="Q113" s="1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15.75" customHeight="1">
      <c r="A114" s="128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12.75" customHeight="1">
      <c r="A115" s="121" t="s">
        <v>328</v>
      </c>
      <c r="B115" s="121"/>
      <c r="C115" s="190" t="s">
        <v>11</v>
      </c>
      <c r="D115" s="191"/>
      <c r="E115" s="191"/>
      <c r="F115" s="192"/>
      <c r="G115" s="121"/>
      <c r="H115" s="190" t="s">
        <v>12</v>
      </c>
      <c r="I115" s="191"/>
      <c r="J115" s="191"/>
      <c r="K115" s="192"/>
      <c r="L115" s="121"/>
      <c r="M115" s="190" t="s">
        <v>13</v>
      </c>
      <c r="N115" s="191"/>
      <c r="O115" s="191"/>
      <c r="P115" s="192"/>
      <c r="Q115" s="121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12.75" customHeight="1">
      <c r="A116" s="128"/>
      <c r="B116" s="121"/>
      <c r="C116" s="127" t="s">
        <v>329</v>
      </c>
      <c r="D116" s="127" t="s">
        <v>330</v>
      </c>
      <c r="E116" s="127" t="s">
        <v>331</v>
      </c>
      <c r="F116" s="127" t="s">
        <v>332</v>
      </c>
      <c r="G116" s="121"/>
      <c r="H116" s="127" t="s">
        <v>329</v>
      </c>
      <c r="I116" s="127" t="s">
        <v>330</v>
      </c>
      <c r="J116" s="127" t="s">
        <v>331</v>
      </c>
      <c r="K116" s="127" t="s">
        <v>332</v>
      </c>
      <c r="L116" s="121"/>
      <c r="M116" s="127" t="s">
        <v>329</v>
      </c>
      <c r="N116" s="127" t="s">
        <v>330</v>
      </c>
      <c r="O116" s="127" t="s">
        <v>331</v>
      </c>
      <c r="P116" s="127" t="s">
        <v>332</v>
      </c>
      <c r="Q116" s="121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12.75" customHeight="1">
      <c r="A117" s="128"/>
      <c r="B117" s="121"/>
      <c r="C117" s="121">
        <f>N113+C98</f>
        <v>-736140.35714285716</v>
      </c>
      <c r="D117" s="121">
        <f t="shared" ref="D117:F117" si="37">C117+D98</f>
        <v>-659052.14285714284</v>
      </c>
      <c r="E117" s="121">
        <f t="shared" si="37"/>
        <v>-521963.92857142852</v>
      </c>
      <c r="F117" s="121">
        <f t="shared" si="37"/>
        <v>-404875.7142857142</v>
      </c>
      <c r="G117" s="121"/>
      <c r="H117" s="121">
        <f>F117+H98</f>
        <v>10282.619047619053</v>
      </c>
      <c r="I117" s="121">
        <f t="shared" ref="I117:K117" si="38">H117+I98</f>
        <v>385440.95238095231</v>
      </c>
      <c r="J117" s="121">
        <f t="shared" si="38"/>
        <v>680599.28571428556</v>
      </c>
      <c r="K117" s="121">
        <f t="shared" si="38"/>
        <v>1035757.6190476188</v>
      </c>
      <c r="L117" s="121"/>
      <c r="M117" s="121">
        <f>K117+M98</f>
        <v>1998232.0238095238</v>
      </c>
      <c r="N117" s="121">
        <f t="shared" ref="N117:P117" si="39">M117+N98</f>
        <v>2910706.4285714291</v>
      </c>
      <c r="O117" s="121">
        <f t="shared" si="39"/>
        <v>3803180.833333334</v>
      </c>
      <c r="P117" s="121">
        <f t="shared" si="39"/>
        <v>4615655.2380952388</v>
      </c>
      <c r="Q117" s="121"/>
      <c r="R117" s="22"/>
      <c r="S117" s="22"/>
      <c r="T117" s="22"/>
      <c r="U117" s="22"/>
      <c r="V117" s="22"/>
      <c r="W117" s="22"/>
      <c r="X117" s="22"/>
      <c r="Y117" s="22"/>
      <c r="Z117" s="22"/>
    </row>
    <row r="118" spans="1:26" ht="12.75" customHeight="1">
      <c r="A118" s="128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12.75" customHeight="1">
      <c r="A119" s="129" t="s">
        <v>327</v>
      </c>
      <c r="B119" s="121"/>
      <c r="C119" s="121" t="s">
        <v>333</v>
      </c>
      <c r="D119" s="121" t="s">
        <v>334</v>
      </c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12.75" customHeight="1">
      <c r="A120" s="128" t="s">
        <v>9</v>
      </c>
      <c r="B120" s="121"/>
      <c r="C120" s="121">
        <f>FUNDING!C45-FUNDING!C41</f>
        <v>-214100</v>
      </c>
      <c r="D120" s="121">
        <f t="shared" ref="D120:D121" si="40">C120/12</f>
        <v>-17841.666666666668</v>
      </c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12.75" customHeight="1">
      <c r="A121" s="128" t="s">
        <v>10</v>
      </c>
      <c r="B121" s="121"/>
      <c r="C121" s="121">
        <f>FUNDING!D45-FUNDING!D41</f>
        <v>-195300</v>
      </c>
      <c r="D121" s="121">
        <f t="shared" si="40"/>
        <v>-16275</v>
      </c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12.75" customHeight="1">
      <c r="A122" s="128" t="s">
        <v>11</v>
      </c>
      <c r="B122" s="121"/>
      <c r="C122" s="121">
        <f>FUNDING!E45-FUNDING!E41</f>
        <v>-219600</v>
      </c>
      <c r="D122" s="121">
        <f t="shared" ref="D122:D124" si="41">C122/4</f>
        <v>-54900</v>
      </c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22"/>
      <c r="S122" s="22"/>
      <c r="T122" s="22"/>
      <c r="U122" s="22"/>
      <c r="V122" s="22"/>
      <c r="W122" s="22"/>
      <c r="X122" s="22"/>
      <c r="Y122" s="22"/>
      <c r="Z122" s="22"/>
    </row>
    <row r="123" spans="1:26" ht="12.75" customHeight="1">
      <c r="A123" s="128" t="s">
        <v>12</v>
      </c>
      <c r="B123" s="121"/>
      <c r="C123" s="121">
        <f>FUNDING!F45-FUNDING!F41</f>
        <v>-124000</v>
      </c>
      <c r="D123" s="121">
        <f t="shared" si="41"/>
        <v>-31000</v>
      </c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12.75" customHeight="1">
      <c r="A124" s="128" t="s">
        <v>13</v>
      </c>
      <c r="B124" s="121"/>
      <c r="C124" s="121">
        <f>FUNDING!G45-FUNDING!G41</f>
        <v>-87199.999999999985</v>
      </c>
      <c r="D124" s="121">
        <f t="shared" si="41"/>
        <v>-21799.999999999996</v>
      </c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22"/>
      <c r="S124" s="22"/>
      <c r="T124" s="22"/>
      <c r="U124" s="22"/>
      <c r="V124" s="22"/>
      <c r="W124" s="22"/>
      <c r="X124" s="22"/>
      <c r="Y124" s="22"/>
      <c r="Z124" s="22"/>
    </row>
    <row r="125" spans="1:26" ht="12.75" customHeight="1">
      <c r="A125" s="130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2"/>
      <c r="S125" s="22"/>
      <c r="T125" s="22"/>
      <c r="U125" s="22"/>
      <c r="V125" s="22"/>
      <c r="W125" s="22"/>
      <c r="X125" s="22"/>
      <c r="Y125" s="22"/>
      <c r="Z125" s="22"/>
    </row>
    <row r="126" spans="1:26" ht="12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2"/>
      <c r="S126" s="22"/>
      <c r="T126" s="22"/>
      <c r="U126" s="22"/>
      <c r="V126" s="22"/>
      <c r="W126" s="22"/>
      <c r="X126" s="22"/>
      <c r="Y126" s="22"/>
      <c r="Z126" s="22"/>
    </row>
    <row r="127" spans="1:26" ht="12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2"/>
      <c r="S127" s="22"/>
      <c r="T127" s="22"/>
      <c r="U127" s="22"/>
      <c r="V127" s="22"/>
      <c r="W127" s="22"/>
      <c r="X127" s="22"/>
      <c r="Y127" s="22"/>
      <c r="Z127" s="22"/>
    </row>
    <row r="128" spans="1:26" ht="12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2"/>
      <c r="S128" s="22"/>
      <c r="T128" s="22"/>
      <c r="U128" s="22"/>
      <c r="V128" s="22"/>
      <c r="W128" s="22"/>
      <c r="X128" s="22"/>
      <c r="Y128" s="22"/>
      <c r="Z128" s="22"/>
    </row>
    <row r="129" spans="1:26" ht="12.75" customHeight="1">
      <c r="A129" s="4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spans="1:26" ht="12.75" customHeight="1">
      <c r="A130" s="6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spans="1:26" ht="12.75" customHeight="1">
      <c r="A131" s="4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spans="1:26" ht="12.75" customHeight="1">
      <c r="A132" s="6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spans="1:26" ht="12.75" customHeight="1">
      <c r="A133" s="4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2.75" customHeight="1">
      <c r="A134" s="6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spans="1:26" ht="12.75" customHeight="1">
      <c r="A135" s="4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spans="1:26" ht="12.75" customHeight="1">
      <c r="A136" s="6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spans="1:26" ht="12.75" customHeight="1">
      <c r="A137" s="4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spans="1:26" ht="12.75" customHeight="1">
      <c r="A138" s="6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spans="1:26" ht="12.75" customHeight="1">
      <c r="A139" s="4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spans="1:26" ht="12.75" customHeight="1">
      <c r="A140" s="6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spans="1:26" ht="12.75" customHeight="1">
      <c r="A141" s="4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spans="1:26" ht="12.75" customHeight="1">
      <c r="A142" s="6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spans="1:26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spans="1:26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spans="1:26" ht="15.75" customHeight="1">
      <c r="A145" s="9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spans="1:26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spans="1:26" ht="12.75" customHeight="1">
      <c r="A147" s="4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spans="1:26" ht="12.75" customHeight="1">
      <c r="A148" s="6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spans="1:26" ht="12.75" customHeight="1">
      <c r="A149" s="4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spans="1:26" ht="12.75" customHeight="1">
      <c r="A150" s="6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spans="1:26" ht="12.75" customHeight="1">
      <c r="A151" s="4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spans="1:26" ht="12.75" customHeight="1">
      <c r="A152" s="6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spans="1:26" ht="12.75" customHeight="1">
      <c r="A153" s="6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spans="1:26" ht="12.75" customHeight="1">
      <c r="A154" s="4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spans="1:26" ht="12.75" customHeight="1">
      <c r="A155" s="4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spans="1:26" ht="12.75" customHeight="1">
      <c r="A156" s="6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spans="1:26" ht="12.75" customHeight="1">
      <c r="A157" s="4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spans="1:26" ht="12.75" customHeight="1">
      <c r="A158" s="1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spans="1:26" ht="12.75" customHeight="1">
      <c r="A159" s="4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spans="1:26" ht="12.75" customHeight="1">
      <c r="A160" s="4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spans="1:26" ht="12.75" customHeight="1">
      <c r="A161" s="4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spans="1:26" ht="12.75" customHeight="1">
      <c r="A162" s="4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spans="1:26" ht="12.75" customHeight="1">
      <c r="A163" s="6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spans="1:26" ht="12.75" customHeight="1">
      <c r="A164" s="4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spans="1:26" ht="12.75" customHeight="1">
      <c r="A165" s="6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spans="1:26" ht="12.75" customHeight="1">
      <c r="A166" s="4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spans="1:26" ht="12.75" customHeight="1">
      <c r="A167" s="6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spans="1:26" ht="12.75" customHeight="1">
      <c r="A168" s="4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spans="1:26" ht="12.75" customHeight="1">
      <c r="A169" s="6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spans="1:26" ht="12.75" customHeight="1">
      <c r="A170" s="4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spans="1:26" ht="12.75" customHeight="1">
      <c r="A171" s="6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spans="1:26" ht="12.75" customHeight="1">
      <c r="A172" s="4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spans="1:26" ht="12.75" customHeight="1">
      <c r="A173" s="6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spans="1:26" ht="12.75" customHeight="1">
      <c r="A174" s="4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spans="1:26" ht="12.75" customHeight="1">
      <c r="A175" s="6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spans="1:26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spans="1:26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spans="1:26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spans="1:26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spans="1:26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spans="1:26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spans="1:26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spans="1:26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spans="1:26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spans="1:26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spans="1:26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spans="1:26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spans="1:26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spans="1:26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spans="1:26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spans="1:26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spans="1:26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spans="1:26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spans="1:26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spans="1:26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spans="1:26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spans="1:26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spans="1:26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spans="1:26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spans="1:26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spans="1:26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spans="1:26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spans="1:26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spans="1:26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spans="1:26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spans="1:26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spans="1:26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spans="1:26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spans="1:26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spans="1:26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spans="1:26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spans="1:26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spans="1:26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spans="1:26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spans="1:26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spans="1:26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spans="1:26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spans="1:26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spans="1:26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spans="1:26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spans="1:26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spans="1:26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spans="1:26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spans="1:26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spans="1:26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spans="1:26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spans="1:26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spans="1:26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spans="1:26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spans="1:26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spans="1:26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spans="1:26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spans="1:26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spans="1:26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spans="1:26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spans="1:26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spans="1:26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spans="1:26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spans="1:26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spans="1:26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spans="1:26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spans="1:26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spans="1:26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spans="1:26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spans="1:26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spans="1:26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spans="1:26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spans="1:26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spans="1:26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spans="1:26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spans="1:26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spans="1:26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spans="1:26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spans="1:26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spans="1:26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spans="1:26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spans="1:26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spans="1:26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spans="1:26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spans="1:26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spans="1:26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spans="1:26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spans="1:26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spans="1:26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spans="1:26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spans="1:26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spans="1:26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spans="1:26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spans="1:26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spans="1:26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spans="1:26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spans="1:26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spans="1:26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spans="1:26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spans="1:26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spans="1:26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spans="1:26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spans="1:26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spans="1:26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spans="1:26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spans="1:26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spans="1:26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spans="1:26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spans="1:26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spans="1:26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spans="1:26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spans="1:26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spans="1:26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spans="1:26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spans="1:26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spans="1:26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spans="1:26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spans="1:26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spans="1:26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spans="1:26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spans="1:26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spans="1:26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spans="1:26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spans="1:26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spans="1:26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spans="1:26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spans="1:26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spans="1:26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spans="1:26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spans="1:26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spans="1:26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spans="1:26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spans="1:26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spans="1:26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spans="1:26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spans="1:26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spans="1:26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spans="1:26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spans="1:26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spans="1:26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spans="1:26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spans="1:26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spans="1:26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spans="1:26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spans="1:26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spans="1:26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spans="1:26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spans="1:26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spans="1:26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spans="1:26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spans="1:26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spans="1:26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spans="1:26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spans="1:26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spans="1:26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spans="1:26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spans="1:26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spans="1:26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spans="1:26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spans="1:26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spans="1:26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spans="1:26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spans="1:26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spans="1:26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spans="1:26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spans="1:26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spans="1:26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spans="1:26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spans="1:26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spans="1:26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spans="1:26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spans="1:26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spans="1:26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spans="1:26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spans="1:26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spans="1:26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spans="1:26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spans="1:26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spans="1:26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spans="1:26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spans="1:26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spans="1:26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spans="1:26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spans="1:26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spans="1:26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spans="1:26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spans="1:26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spans="1:26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spans="1:26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spans="1:26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spans="1:26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spans="1:26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spans="1:26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spans="1:26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spans="1:26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spans="1:26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spans="1:26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spans="1:26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spans="1:26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spans="1:26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spans="1:26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spans="1:26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spans="1:26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spans="1:26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spans="1:26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spans="1:26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spans="1:26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spans="1:26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spans="1:26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spans="1:26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spans="1:26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spans="1:26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spans="1:26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spans="1:26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spans="1:26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spans="1:26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spans="1:26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spans="1:26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spans="1:26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spans="1:26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spans="1:26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spans="1:26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spans="1:26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spans="1:26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spans="1:26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spans="1:26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spans="1:26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spans="1:26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spans="1:26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spans="1:26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spans="1:26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spans="1:26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spans="1:26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spans="1:26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spans="1:26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spans="1:26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spans="1:26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spans="1:26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spans="1:26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spans="1:26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spans="1:26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spans="1:26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spans="1:26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spans="1:26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spans="1:26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spans="1:26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spans="1:26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spans="1:26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spans="1:26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spans="1:26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spans="1:26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spans="1:26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spans="1:26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spans="1:26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spans="1:26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spans="1:26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spans="1:26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spans="1:26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spans="1:26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spans="1:26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spans="1:26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spans="1:26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spans="1:26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spans="1:26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spans="1:26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spans="1:26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spans="1:26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spans="1:26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spans="1:26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spans="1:26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spans="1:26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spans="1:26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spans="1:26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spans="1:26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spans="1:26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spans="1:26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spans="1:26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spans="1:26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spans="1:26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spans="1:26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spans="1:26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spans="1:26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spans="1:26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spans="1:26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spans="1:26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spans="1:26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spans="1:26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spans="1:26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spans="1:26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spans="1:26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spans="1:26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spans="1:26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spans="1:26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spans="1:26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spans="1:26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spans="1:26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spans="1:26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spans="1:26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spans="1:26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spans="1:26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spans="1:26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spans="1:26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spans="1:26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spans="1:26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spans="1:26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spans="1:26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spans="1:26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spans="1:26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spans="1:26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spans="1:26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spans="1:26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spans="1:26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spans="1:26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spans="1:26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spans="1:26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spans="1:26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spans="1:26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spans="1:26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spans="1:26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spans="1:26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spans="1:26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spans="1:26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spans="1:26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spans="1:26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spans="1:26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spans="1:26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spans="1:26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spans="1:26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spans="1:26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spans="1:26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spans="1:26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spans="1:26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spans="1:26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spans="1:26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spans="1:26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spans="1:26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spans="1:26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spans="1:26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spans="1:26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spans="1:26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spans="1:26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spans="1:26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spans="1:26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spans="1:26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spans="1:26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spans="1:26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spans="1:26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spans="1:26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spans="1:26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spans="1:26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spans="1:26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spans="1:26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spans="1:26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spans="1:26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spans="1:26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spans="1:26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spans="1:26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spans="1:26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spans="1:26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spans="1:26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spans="1:26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spans="1:26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spans="1:26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spans="1:26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spans="1:26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spans="1:26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spans="1:26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spans="1:26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spans="1:26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spans="1:26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spans="1:26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spans="1:26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spans="1:26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spans="1:26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spans="1:26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spans="1:26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spans="1:26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spans="1:26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spans="1:26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spans="1:26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spans="1:26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spans="1:26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spans="1:26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spans="1:26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spans="1:26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spans="1:26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spans="1:26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spans="1:26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spans="1:26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spans="1:26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spans="1:26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spans="1:26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spans="1:26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spans="1:26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spans="1:26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spans="1:26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spans="1:26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spans="1:26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spans="1:26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spans="1:26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spans="1:26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spans="1:26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spans="1:26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spans="1:26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spans="1:26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spans="1:26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spans="1:26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spans="1:26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spans="1:26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spans="1:26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spans="1:26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spans="1:26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spans="1:26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spans="1:26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spans="1:26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spans="1:26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spans="1:26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spans="1:26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spans="1:26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spans="1:26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spans="1:26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spans="1:26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spans="1:26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spans="1:26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spans="1:26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spans="1:26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spans="1:26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spans="1:26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spans="1:26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spans="1:26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spans="1:26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spans="1:26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spans="1:26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spans="1:26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spans="1:26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spans="1:26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spans="1:26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spans="1:26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spans="1:26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spans="1:26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spans="1:26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spans="1:26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spans="1:26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spans="1:26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spans="1:26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spans="1:26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spans="1:26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spans="1:26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spans="1:26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spans="1:26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spans="1:26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spans="1:26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spans="1:26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spans="1:26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spans="1:26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spans="1:26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spans="1:26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spans="1:26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spans="1:26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spans="1:26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spans="1:26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spans="1:26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spans="1:26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spans="1:26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spans="1:26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spans="1:26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spans="1:26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spans="1:26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spans="1:26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spans="1:26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spans="1:26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spans="1:26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spans="1:26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spans="1:26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spans="1:26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spans="1:26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spans="1:26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spans="1:26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spans="1:26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spans="1:26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spans="1:26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spans="1:26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spans="1:26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spans="1:26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spans="1:26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spans="1:26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spans="1:26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spans="1:26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spans="1:26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spans="1:26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spans="1:26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spans="1:26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spans="1:26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spans="1:26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spans="1:26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spans="1:26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spans="1:26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spans="1:26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spans="1:26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spans="1:26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spans="1:26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spans="1:26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spans="1:26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spans="1:26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spans="1:26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spans="1:26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spans="1:26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spans="1:26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spans="1:26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spans="1:26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spans="1:26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spans="1:26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spans="1:26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spans="1:26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spans="1:26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spans="1:26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spans="1:26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spans="1:26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spans="1:26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spans="1:26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spans="1:26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spans="1:26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spans="1:26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spans="1:26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spans="1:26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spans="1:26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spans="1:26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spans="1:26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spans="1:26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spans="1:26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spans="1:26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spans="1:26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spans="1:26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spans="1:26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spans="1:26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spans="1:26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spans="1:26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spans="1:26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spans="1:26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spans="1:26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spans="1:26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spans="1:26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spans="1:26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spans="1:26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spans="1:26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spans="1:26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spans="1:26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spans="1:26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spans="1:26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spans="1:26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spans="1:26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spans="1:26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spans="1:26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spans="1:26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spans="1:26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spans="1:26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spans="1:26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spans="1:26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spans="1:26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spans="1:26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spans="1:26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spans="1:26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spans="1:26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spans="1:26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spans="1:26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spans="1:26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spans="1:26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spans="1:26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spans="1:26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spans="1:26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spans="1:26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spans="1:26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spans="1:26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spans="1:26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spans="1:26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spans="1:26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spans="1:26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spans="1:26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spans="1:26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spans="1:26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spans="1:26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spans="1:26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spans="1:26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spans="1:26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spans="1:26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spans="1:26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spans="1:26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spans="1:26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spans="1:26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spans="1:26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spans="1:26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spans="1:26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spans="1:26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spans="1:26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spans="1:26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spans="1:26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spans="1:26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spans="1:26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spans="1:26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spans="1:26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spans="1:26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spans="1:26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spans="1:26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spans="1:26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spans="1:26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spans="1:26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spans="1:26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spans="1:26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spans="1:26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spans="1:26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spans="1:26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spans="1:26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spans="1:26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spans="1:26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spans="1:26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spans="1:26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spans="1:26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spans="1:26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spans="1:26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spans="1:26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spans="1:26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spans="1:26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spans="1:26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spans="1:26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spans="1:26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spans="1:26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spans="1:26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spans="1:26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spans="1:26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spans="1:26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spans="1:26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spans="1:26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spans="1:26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spans="1:26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spans="1:26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spans="1:26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spans="1:26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spans="1:26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spans="1:26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spans="1:26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spans="1:26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spans="1:26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spans="1:26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spans="1:26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spans="1:26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spans="1:26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spans="1:26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spans="1:26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spans="1:26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spans="1:26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spans="1:26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spans="1:26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spans="1:26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spans="1:26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spans="1:26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spans="1:26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spans="1:26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spans="1:26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spans="1:26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spans="1:26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spans="1:26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spans="1:26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spans="1:26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spans="1:26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spans="1:26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spans="1:26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spans="1:26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spans="1:26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spans="1:26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spans="1:26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spans="1:26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spans="1:26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spans="1:26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spans="1:26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spans="1:26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spans="1:26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spans="1:26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spans="1:26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spans="1:26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spans="1:26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spans="1:26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spans="1:26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spans="1:26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spans="1:26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spans="1:26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spans="1:26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spans="1:26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spans="1:26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spans="1:26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spans="1:26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spans="1:26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spans="1:26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spans="1:26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spans="1:26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spans="1:26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spans="1:26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spans="1:26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spans="1:26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spans="1:26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spans="1:26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spans="1:26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spans="1:26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spans="1:26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spans="1:26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spans="1:26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spans="1:26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spans="1:26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spans="1:26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spans="1:26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spans="1:26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spans="1:26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spans="1:26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spans="1:26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spans="1:26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spans="1:26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spans="1:26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spans="1:26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spans="1:26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spans="1:26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spans="1:26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spans="1:26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spans="1:26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spans="1:26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spans="1:26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spans="1:26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spans="1:26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spans="1:26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spans="1:26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spans="1:26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spans="1:26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spans="1:26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spans="1:26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spans="1:26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spans="1:26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spans="1:26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spans="1:26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spans="1:26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spans="1:26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spans="1:26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spans="1:26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spans="1:26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spans="1:26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spans="1:26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spans="1:26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spans="1:26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spans="1:26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spans="1:26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spans="1:26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spans="1:26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spans="1:26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spans="1:26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spans="1:26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spans="1:26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spans="1:26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spans="1:26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spans="1:26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spans="1:26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spans="1:26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spans="1:26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spans="1:26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spans="1:26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spans="1:26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spans="1:26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spans="1:26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spans="1:26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spans="1:26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spans="1:26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spans="1:26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spans="1:26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spans="1:26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spans="1:26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spans="1:26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spans="1:26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spans="1:26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spans="1:26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spans="1:26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spans="1:26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spans="1:26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spans="1:26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spans="1:26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spans="1:26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spans="1:26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spans="1:26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spans="1:26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spans="1:26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spans="1:26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spans="1:26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spans="1:26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spans="1:26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spans="1:26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spans="1:26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spans="1:26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spans="1:26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spans="1:26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spans="1:26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spans="1:26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spans="1:26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spans="1:26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spans="1:26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spans="1:26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spans="1:26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spans="1:26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spans="1:26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spans="1:26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spans="1:26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spans="1:26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spans="1:26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spans="1:26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spans="1:26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spans="1:26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spans="1:26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spans="1:26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spans="1:26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spans="1:26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spans="1:26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spans="1:26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spans="1:26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spans="1:26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spans="1:26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spans="1:26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spans="1:26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spans="1:26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spans="1:26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spans="1:26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spans="1:26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mergeCells count="5">
    <mergeCell ref="C75:G75"/>
    <mergeCell ref="H75:L75"/>
    <mergeCell ref="C115:F115"/>
    <mergeCell ref="H115:K115"/>
    <mergeCell ref="M115:P115"/>
  </mergeCells>
  <pageMargins left="0.7" right="0.7" top="0.75" bottom="0.75" header="0" footer="0"/>
  <pageSetup orientation="landscape"/>
  <headerFooter>
    <oddHeader>&amp;R&amp;D &amp;T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Y1000"/>
  <sheetViews>
    <sheetView workbookViewId="0">
      <selection activeCell="B59" sqref="B1:B1048576"/>
    </sheetView>
  </sheetViews>
  <sheetFormatPr baseColWidth="10" defaultColWidth="14.3984375" defaultRowHeight="15" customHeight="1"/>
  <cols>
    <col min="1" max="1" width="46.796875" customWidth="1"/>
    <col min="2" max="2" width="11.59765625" customWidth="1"/>
    <col min="3" max="10" width="12" customWidth="1"/>
    <col min="11" max="11" width="13" customWidth="1"/>
    <col min="12" max="12" width="12.59765625" customWidth="1"/>
    <col min="13" max="13" width="13" customWidth="1"/>
    <col min="14" max="14" width="14.19921875" customWidth="1"/>
    <col min="15" max="15" width="14.796875" customWidth="1"/>
    <col min="16" max="16" width="11.796875" customWidth="1"/>
    <col min="17" max="17" width="13.19921875" customWidth="1"/>
    <col min="18" max="18" width="12.796875" customWidth="1"/>
    <col min="19" max="19" width="11.19921875" customWidth="1"/>
    <col min="20" max="21" width="8.796875" customWidth="1"/>
    <col min="22" max="25" width="8" customWidth="1"/>
  </cols>
  <sheetData>
    <row r="1" spans="1:25" ht="20.25" customHeight="1">
      <c r="A1" s="2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5.75" customHeight="1">
      <c r="A2" s="9" t="s">
        <v>279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</row>
    <row r="3" spans="1:25" ht="15.75" customHeight="1">
      <c r="A3" s="9" t="s">
        <v>311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</row>
    <row r="4" spans="1:25" ht="15.75" customHeight="1">
      <c r="A4" s="23" t="s">
        <v>41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6"/>
      <c r="M4" s="66"/>
      <c r="N4" s="66"/>
      <c r="O4" s="3"/>
      <c r="P4" s="66"/>
      <c r="Q4" s="66"/>
      <c r="R4" s="66"/>
      <c r="S4" s="66"/>
      <c r="T4" s="66"/>
      <c r="U4" s="66"/>
      <c r="V4" s="66"/>
      <c r="W4" s="66"/>
      <c r="X4" s="66"/>
      <c r="Y4" s="66"/>
    </row>
    <row r="5" spans="1:25" ht="15.75" customHeight="1">
      <c r="A5" s="9"/>
      <c r="B5" s="65"/>
      <c r="C5" s="65"/>
      <c r="D5" s="65"/>
      <c r="E5" s="65"/>
      <c r="F5" s="65"/>
      <c r="G5" s="65"/>
      <c r="H5" s="65"/>
      <c r="I5" s="65"/>
      <c r="J5" s="65"/>
      <c r="K5" s="65"/>
      <c r="L5" s="66"/>
      <c r="M5" s="66"/>
      <c r="N5" s="66"/>
      <c r="O5" s="3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5.75" customHeight="1">
      <c r="A6" s="9"/>
      <c r="B6" s="65"/>
      <c r="C6" s="65"/>
      <c r="D6" s="65"/>
      <c r="E6" s="65"/>
      <c r="F6" s="65"/>
      <c r="G6" s="65"/>
      <c r="H6" s="65"/>
      <c r="I6" s="65"/>
      <c r="J6" s="65"/>
      <c r="K6" s="65"/>
      <c r="L6" s="66"/>
      <c r="M6" s="66"/>
      <c r="N6" s="66"/>
      <c r="O6" s="3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20.25" customHeight="1">
      <c r="A7" s="109" t="str">
        <f>A1</f>
        <v>XYZ Company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6"/>
      <c r="M7" s="66"/>
      <c r="N7" s="66"/>
      <c r="O7" s="3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5.75" customHeight="1">
      <c r="A8" s="23" t="s">
        <v>335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6"/>
      <c r="M8" s="66"/>
      <c r="N8" s="66"/>
      <c r="O8" s="3" t="s">
        <v>9</v>
      </c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5.75" customHeight="1">
      <c r="A9" s="9" t="s">
        <v>311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6"/>
      <c r="M9" s="66"/>
      <c r="N9" s="110" t="s">
        <v>336</v>
      </c>
      <c r="O9" s="3" t="s">
        <v>312</v>
      </c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5.75" customHeight="1">
      <c r="A10" s="4"/>
      <c r="B10" s="114" t="s">
        <v>52</v>
      </c>
      <c r="C10" s="114" t="s">
        <v>53</v>
      </c>
      <c r="D10" s="114" t="s">
        <v>54</v>
      </c>
      <c r="E10" s="114" t="s">
        <v>56</v>
      </c>
      <c r="F10" s="114" t="s">
        <v>57</v>
      </c>
      <c r="G10" s="114" t="s">
        <v>58</v>
      </c>
      <c r="H10" s="114" t="s">
        <v>60</v>
      </c>
      <c r="I10" s="114" t="s">
        <v>61</v>
      </c>
      <c r="J10" s="114" t="s">
        <v>62</v>
      </c>
      <c r="K10" s="114" t="s">
        <v>64</v>
      </c>
      <c r="L10" s="114" t="s">
        <v>65</v>
      </c>
      <c r="M10" s="114" t="s">
        <v>66</v>
      </c>
      <c r="N10" s="11" t="s">
        <v>9</v>
      </c>
      <c r="O10" s="33" t="s">
        <v>314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2.75" customHeight="1">
      <c r="A11" s="6" t="s">
        <v>280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6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2.75" customHeight="1">
      <c r="A12" s="4" t="s">
        <v>281</v>
      </c>
      <c r="B12" s="35">
        <f>'INCOME-MOS'!C35</f>
        <v>-67841.666666666672</v>
      </c>
      <c r="C12" s="35">
        <f>'INCOME-MOS'!D35</f>
        <v>-87841.666666666672</v>
      </c>
      <c r="D12" s="35">
        <f>'INCOME-MOS'!E35</f>
        <v>-17841.666666666668</v>
      </c>
      <c r="E12" s="35">
        <f>'INCOME-MOS'!F35</f>
        <v>-33678.17460317463</v>
      </c>
      <c r="F12" s="35">
        <f>'INCOME-MOS'!G35</f>
        <v>-33678.17460317463</v>
      </c>
      <c r="G12" s="35">
        <f>'INCOME-MOS'!H35</f>
        <v>-33678.17460317463</v>
      </c>
      <c r="H12" s="35">
        <f>'INCOME-MOS'!I35</f>
        <v>-33678.17460317463</v>
      </c>
      <c r="I12" s="35">
        <f>'INCOME-MOS'!J35</f>
        <v>-33678.17460317463</v>
      </c>
      <c r="J12" s="35">
        <f>'INCOME-MOS'!K35</f>
        <v>-33678.17460317463</v>
      </c>
      <c r="K12" s="35">
        <f>'INCOME-MOS'!L35</f>
        <v>-33678.17460317463</v>
      </c>
      <c r="L12" s="35">
        <f>'INCOME-MOS'!M35</f>
        <v>-33678.17460317463</v>
      </c>
      <c r="M12" s="35">
        <f>'INCOME-MOS'!N35</f>
        <v>-33678.17460317463</v>
      </c>
      <c r="N12" s="31">
        <f t="shared" ref="N12:N13" si="0">SUM(B12:M12)</f>
        <v>-476628.57142857154</v>
      </c>
      <c r="O12" s="35">
        <f>CASHFLOW!C7</f>
        <v>-476628.57142857136</v>
      </c>
      <c r="P12" s="4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.75" customHeight="1">
      <c r="A13" s="4" t="s">
        <v>282</v>
      </c>
      <c r="B13" s="35">
        <f>'PROP &amp; EQUIP'!$C$47/12</f>
        <v>3760.7142857142858</v>
      </c>
      <c r="C13" s="35">
        <f>'PROP &amp; EQUIP'!$C$47/12</f>
        <v>3760.7142857142858</v>
      </c>
      <c r="D13" s="35">
        <f>'PROP &amp; EQUIP'!$C$47/12</f>
        <v>3760.7142857142858</v>
      </c>
      <c r="E13" s="35">
        <f>'PROP &amp; EQUIP'!$C$47/12</f>
        <v>3760.7142857142858</v>
      </c>
      <c r="F13" s="35">
        <f>'PROP &amp; EQUIP'!$C$47/12</f>
        <v>3760.7142857142858</v>
      </c>
      <c r="G13" s="35">
        <f>'PROP &amp; EQUIP'!$C$47/12</f>
        <v>3760.7142857142858</v>
      </c>
      <c r="H13" s="35">
        <f>'PROP &amp; EQUIP'!$C$47/12</f>
        <v>3760.7142857142858</v>
      </c>
      <c r="I13" s="35">
        <f>'PROP &amp; EQUIP'!$C$47/12</f>
        <v>3760.7142857142858</v>
      </c>
      <c r="J13" s="35">
        <f>'PROP &amp; EQUIP'!$C$47/12</f>
        <v>3760.7142857142858</v>
      </c>
      <c r="K13" s="35">
        <f>'PROP &amp; EQUIP'!$C$47/12</f>
        <v>3760.7142857142858</v>
      </c>
      <c r="L13" s="35">
        <f>'PROP &amp; EQUIP'!$C$47/12</f>
        <v>3760.7142857142858</v>
      </c>
      <c r="M13" s="35">
        <f>'PROP &amp; EQUIP'!$C$47/12</f>
        <v>3760.7142857142858</v>
      </c>
      <c r="N13" s="31">
        <f t="shared" si="0"/>
        <v>45128.57142857142</v>
      </c>
      <c r="O13" s="35">
        <f>CASHFLOW!C8</f>
        <v>45128.571428571428</v>
      </c>
      <c r="P13" s="4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.75" customHeight="1">
      <c r="A14" s="4" t="s">
        <v>283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4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12.75" customHeight="1">
      <c r="A15" s="12" t="s">
        <v>284</v>
      </c>
      <c r="B15" s="35">
        <f>-WORKCAP!C67</f>
        <v>0</v>
      </c>
      <c r="C15" s="35">
        <f>-(WORKCAP!$C68-WORKCAP!$C67)</f>
        <v>0</v>
      </c>
      <c r="D15" s="35">
        <f>-(WORKCAP!$C69-WORKCAP!$C68)</f>
        <v>0</v>
      </c>
      <c r="E15" s="35">
        <f>-(WORKCAP!$C70-WORKCAP!$C69)</f>
        <v>-304333.33333333337</v>
      </c>
      <c r="F15" s="35">
        <f>-(WORKCAP!$C71-WORKCAP!$C70)</f>
        <v>0</v>
      </c>
      <c r="G15" s="35">
        <f>-(WORKCAP!$C72-WORKCAP!$C71)</f>
        <v>0</v>
      </c>
      <c r="H15" s="35">
        <f>-(WORKCAP!$C73-WORKCAP!$C72)</f>
        <v>0</v>
      </c>
      <c r="I15" s="35">
        <f>-(WORKCAP!$C74-WORKCAP!$C73)</f>
        <v>0</v>
      </c>
      <c r="J15" s="35">
        <f>-(WORKCAP!$C75-WORKCAP!$C74)</f>
        <v>0</v>
      </c>
      <c r="K15" s="35">
        <f>-(WORKCAP!$C76-WORKCAP!$C75)</f>
        <v>0</v>
      </c>
      <c r="L15" s="35">
        <f>-(WORKCAP!$C77-WORKCAP!$C76)</f>
        <v>0</v>
      </c>
      <c r="M15" s="35">
        <f>-(WORKCAP!$C78-WORKCAP!$C77)</f>
        <v>0</v>
      </c>
      <c r="N15" s="31">
        <f t="shared" ref="N15:N19" si="1">SUM(B15:M15)</f>
        <v>-304333.33333333337</v>
      </c>
      <c r="O15" s="35">
        <f>CASHFLOW!C10</f>
        <v>-304333.33333333337</v>
      </c>
      <c r="P15" s="1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.75" customHeight="1">
      <c r="A16" s="12" t="s">
        <v>285</v>
      </c>
      <c r="B16" s="35">
        <f>-WORKCAP!C84</f>
        <v>0</v>
      </c>
      <c r="C16" s="35">
        <f>-(WORKCAP!$C85-WORKCAP!$C84)</f>
        <v>0</v>
      </c>
      <c r="D16" s="35">
        <f>-(WORKCAP!$C86-WORKCAP!$C85)</f>
        <v>0</v>
      </c>
      <c r="E16" s="35">
        <f>-(WORKCAP!$C87-WORKCAP!$C86)</f>
        <v>-304333.33333333337</v>
      </c>
      <c r="F16" s="35">
        <f>-(WORKCAP!$C88-WORKCAP!$C87)</f>
        <v>0</v>
      </c>
      <c r="G16" s="35">
        <f>-(WORKCAP!$C89-WORKCAP!$C88)</f>
        <v>0</v>
      </c>
      <c r="H16" s="35">
        <f>-(WORKCAP!$C90-WORKCAP!$C89)</f>
        <v>0</v>
      </c>
      <c r="I16" s="35">
        <f>-(WORKCAP!$C91-WORKCAP!$C90)</f>
        <v>0</v>
      </c>
      <c r="J16" s="35">
        <f>-(WORKCAP!$C92-WORKCAP!$C91)</f>
        <v>0</v>
      </c>
      <c r="K16" s="35">
        <f>-(WORKCAP!$C93-WORKCAP!$C92)</f>
        <v>0</v>
      </c>
      <c r="L16" s="35">
        <f>-(WORKCAP!$C94-WORKCAP!$C93)</f>
        <v>0</v>
      </c>
      <c r="M16" s="35">
        <f>-(WORKCAP!$C95-WORKCAP!$C94)</f>
        <v>0</v>
      </c>
      <c r="N16" s="31">
        <f t="shared" si="1"/>
        <v>-304333.33333333337</v>
      </c>
      <c r="O16" s="35">
        <f>CASHFLOW!C11</f>
        <v>-304333.33333333337</v>
      </c>
      <c r="P16" s="1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.75" customHeight="1">
      <c r="A17" s="12" t="s">
        <v>286</v>
      </c>
      <c r="B17" s="35">
        <f>-WORKCAP!$C101</f>
        <v>0</v>
      </c>
      <c r="C17" s="35">
        <f>-(WORKCAP!$C102-WORKCAP!$C101)</f>
        <v>0</v>
      </c>
      <c r="D17" s="35">
        <f>-(WORKCAP!$C103-WORKCAP!$C102)</f>
        <v>0</v>
      </c>
      <c r="E17" s="35">
        <f>-(WORKCAP!$C104-WORKCAP!$C103)</f>
        <v>-36666.666666666672</v>
      </c>
      <c r="F17" s="35">
        <f>-(WORKCAP!$C105-WORKCAP!$C104)</f>
        <v>0</v>
      </c>
      <c r="G17" s="35">
        <f>-(WORKCAP!$C106-WORKCAP!$C105)</f>
        <v>0</v>
      </c>
      <c r="H17" s="35">
        <f>-(WORKCAP!$C107-WORKCAP!$C106)</f>
        <v>0</v>
      </c>
      <c r="I17" s="35">
        <f>-(WORKCAP!$C108-WORKCAP!$C107)</f>
        <v>0</v>
      </c>
      <c r="J17" s="35">
        <f>-(WORKCAP!$C109-WORKCAP!$C108)</f>
        <v>0</v>
      </c>
      <c r="K17" s="35">
        <f>-(WORKCAP!$C110-WORKCAP!$C109)</f>
        <v>0</v>
      </c>
      <c r="L17" s="35">
        <f>-(WORKCAP!$C111-WORKCAP!$C110)</f>
        <v>0</v>
      </c>
      <c r="M17" s="35">
        <f>-(WORKCAP!$C112-WORKCAP!$C111)</f>
        <v>0</v>
      </c>
      <c r="N17" s="31">
        <f t="shared" si="1"/>
        <v>-36666.666666666672</v>
      </c>
      <c r="O17" s="35">
        <f>CASHFLOW!C12</f>
        <v>-36666.666666666672</v>
      </c>
      <c r="P17" s="1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.75" customHeight="1">
      <c r="A18" s="12" t="s">
        <v>287</v>
      </c>
      <c r="B18" s="35">
        <f>WORKCAP!$C118</f>
        <v>0</v>
      </c>
      <c r="C18" s="35">
        <f>(WORKCAP!$C119-WORKCAP!$C118)</f>
        <v>8.6999999999999994E-2</v>
      </c>
      <c r="D18" s="35">
        <f>(WORKCAP!$C120-WORKCAP!$C119)</f>
        <v>31.236827999999996</v>
      </c>
      <c r="E18" s="35">
        <f>(WORKCAP!$C121-WORKCAP!$C120)</f>
        <v>305524.23172755557</v>
      </c>
      <c r="F18" s="35">
        <f>(WORKCAP!$C122-WORKCAP!$C121)</f>
        <v>13444.444444444438</v>
      </c>
      <c r="G18" s="35">
        <f>(WORKCAP!$C123-WORKCAP!$C122)</f>
        <v>0</v>
      </c>
      <c r="H18" s="35">
        <f>(WORKCAP!$C124-WORKCAP!$C123)</f>
        <v>0</v>
      </c>
      <c r="I18" s="35">
        <f>(WORKCAP!$C125-WORKCAP!$C124)</f>
        <v>0</v>
      </c>
      <c r="J18" s="35">
        <f>(WORKCAP!$C126-WORKCAP!$C125)</f>
        <v>0</v>
      </c>
      <c r="K18" s="35">
        <f>(WORKCAP!$C127-WORKCAP!$C126)</f>
        <v>0</v>
      </c>
      <c r="L18" s="35">
        <f>(WORKCAP!$C128-WORKCAP!$C127)</f>
        <v>0</v>
      </c>
      <c r="M18" s="35">
        <f>(WORKCAP!$C129-WORKCAP!$C128)</f>
        <v>0</v>
      </c>
      <c r="N18" s="31">
        <f t="shared" si="1"/>
        <v>319000</v>
      </c>
      <c r="O18" s="35">
        <f>CASHFLOW!C13</f>
        <v>319000</v>
      </c>
      <c r="P18" s="1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.75" customHeight="1">
      <c r="A19" s="12" t="s">
        <v>288</v>
      </c>
      <c r="B19" s="35">
        <f>WORKCAP!C135</f>
        <v>0</v>
      </c>
      <c r="C19" s="35">
        <f>(WORKCAP!$C136-WORKCAP!$C135)</f>
        <v>0</v>
      </c>
      <c r="D19" s="35">
        <f>(WORKCAP!$C137-WORKCAP!$C136)</f>
        <v>0</v>
      </c>
      <c r="E19" s="35">
        <f>(WORKCAP!$C138-WORKCAP!$C137)</f>
        <v>36666.666666666672</v>
      </c>
      <c r="F19" s="35">
        <f>(WORKCAP!$C139-WORKCAP!$C138)</f>
        <v>0</v>
      </c>
      <c r="G19" s="35">
        <f>(WORKCAP!$C140-WORKCAP!$C139)</f>
        <v>0</v>
      </c>
      <c r="H19" s="35">
        <f>(WORKCAP!$C141-WORKCAP!$C140)</f>
        <v>0</v>
      </c>
      <c r="I19" s="35">
        <f>(WORKCAP!$C142-WORKCAP!$C141)</f>
        <v>0</v>
      </c>
      <c r="J19" s="35">
        <f>(WORKCAP!$C143-WORKCAP!$C142)</f>
        <v>0</v>
      </c>
      <c r="K19" s="35">
        <f>(WORKCAP!$C144-WORKCAP!$C143)</f>
        <v>0</v>
      </c>
      <c r="L19" s="35">
        <f>(WORKCAP!$C145-WORKCAP!$C144)</f>
        <v>0</v>
      </c>
      <c r="M19" s="35">
        <f>(WORKCAP!$C146-WORKCAP!$C145)</f>
        <v>0</v>
      </c>
      <c r="N19" s="31">
        <f t="shared" si="1"/>
        <v>36666.666666666672</v>
      </c>
      <c r="O19" s="35">
        <f>CASHFLOW!C14</f>
        <v>36666.666666666672</v>
      </c>
      <c r="P19" s="1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.75" customHeight="1">
      <c r="A20" s="12" t="s">
        <v>289</v>
      </c>
      <c r="B20" s="31">
        <f t="shared" ref="B20:N20" si="2">SUM(B12:B19)</f>
        <v>-64080.952380952389</v>
      </c>
      <c r="C20" s="31">
        <f t="shared" si="2"/>
        <v>-84080.865380952382</v>
      </c>
      <c r="D20" s="31">
        <f t="shared" si="2"/>
        <v>-14049.715552952382</v>
      </c>
      <c r="E20" s="31">
        <f t="shared" si="2"/>
        <v>-333059.89525657147</v>
      </c>
      <c r="F20" s="31">
        <f t="shared" si="2"/>
        <v>-16473.015873015906</v>
      </c>
      <c r="G20" s="31">
        <f t="shared" si="2"/>
        <v>-29917.460317460344</v>
      </c>
      <c r="H20" s="31">
        <f t="shared" si="2"/>
        <v>-29917.460317460344</v>
      </c>
      <c r="I20" s="31">
        <f t="shared" si="2"/>
        <v>-29917.460317460344</v>
      </c>
      <c r="J20" s="31">
        <f t="shared" si="2"/>
        <v>-29917.460317460344</v>
      </c>
      <c r="K20" s="31">
        <f t="shared" si="2"/>
        <v>-29917.460317460344</v>
      </c>
      <c r="L20" s="31">
        <f t="shared" si="2"/>
        <v>-29917.460317460344</v>
      </c>
      <c r="M20" s="31">
        <f t="shared" si="2"/>
        <v>-29917.460317460344</v>
      </c>
      <c r="N20" s="31">
        <f t="shared" si="2"/>
        <v>-721166.66666666686</v>
      </c>
      <c r="O20" s="35">
        <f>CASHFLOW!C15</f>
        <v>-721166.66666666663</v>
      </c>
      <c r="P20" s="1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.75" customHeight="1">
      <c r="A21" s="4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4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.75" customHeight="1">
      <c r="A22" s="6" t="s">
        <v>290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6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.75" customHeight="1">
      <c r="A23" s="4" t="s">
        <v>291</v>
      </c>
      <c r="B23" s="35">
        <f>-'PROP &amp; EQUIP'!$C61</f>
        <v>-50000</v>
      </c>
      <c r="C23" s="35">
        <f>-'PROP &amp; EQUIP'!$C62</f>
        <v>-100000</v>
      </c>
      <c r="D23" s="35">
        <f>-'PROP &amp; EQUIP'!$C63</f>
        <v>-50000</v>
      </c>
      <c r="E23" s="35">
        <f>-'PROP &amp; EQUIP'!$C65</f>
        <v>-40000</v>
      </c>
      <c r="F23" s="35">
        <f>-'PROP &amp; EQUIP'!$C66</f>
        <v>0</v>
      </c>
      <c r="G23" s="35">
        <f>-'PROP &amp; EQUIP'!$C67</f>
        <v>0</v>
      </c>
      <c r="H23" s="35">
        <f>-'PROP &amp; EQUIP'!$C69</f>
        <v>-40000</v>
      </c>
      <c r="I23" s="35">
        <f>-'PROP &amp; EQUIP'!$C70</f>
        <v>0</v>
      </c>
      <c r="J23" s="35">
        <f>-'PROP &amp; EQUIP'!$C71</f>
        <v>0</v>
      </c>
      <c r="K23" s="35">
        <f>-'PROP &amp; EQUIP'!$C73</f>
        <v>-9500</v>
      </c>
      <c r="L23" s="35">
        <f>-'PROP &amp; EQUIP'!$C74</f>
        <v>0</v>
      </c>
      <c r="M23" s="35">
        <f>-'PROP &amp; EQUIP'!$C75</f>
        <v>0</v>
      </c>
      <c r="N23" s="31">
        <f t="shared" ref="N23:N24" si="3">SUM(B23:M23)</f>
        <v>-289500</v>
      </c>
      <c r="O23" s="35">
        <f>CASHFLOW!C18</f>
        <v>-289500</v>
      </c>
      <c r="P23" s="4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12.75" customHeight="1">
      <c r="A24" s="12" t="s">
        <v>292</v>
      </c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60">
        <f t="shared" si="3"/>
        <v>0</v>
      </c>
      <c r="O24" s="84">
        <f>CASHFLOW!C19</f>
        <v>0</v>
      </c>
      <c r="P24" s="1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.75" customHeight="1">
      <c r="A25" s="12" t="s">
        <v>293</v>
      </c>
      <c r="B25" s="31">
        <f t="shared" ref="B25:N25" si="4">SUM(B23:B24)</f>
        <v>-50000</v>
      </c>
      <c r="C25" s="31">
        <f t="shared" si="4"/>
        <v>-100000</v>
      </c>
      <c r="D25" s="31">
        <f t="shared" si="4"/>
        <v>-50000</v>
      </c>
      <c r="E25" s="31">
        <f t="shared" si="4"/>
        <v>-40000</v>
      </c>
      <c r="F25" s="31">
        <f t="shared" si="4"/>
        <v>0</v>
      </c>
      <c r="G25" s="31">
        <f t="shared" si="4"/>
        <v>0</v>
      </c>
      <c r="H25" s="31">
        <f t="shared" si="4"/>
        <v>-40000</v>
      </c>
      <c r="I25" s="31">
        <f t="shared" si="4"/>
        <v>0</v>
      </c>
      <c r="J25" s="31">
        <f t="shared" si="4"/>
        <v>0</v>
      </c>
      <c r="K25" s="31">
        <f t="shared" si="4"/>
        <v>-9500</v>
      </c>
      <c r="L25" s="31">
        <f t="shared" si="4"/>
        <v>0</v>
      </c>
      <c r="M25" s="31">
        <f t="shared" si="4"/>
        <v>0</v>
      </c>
      <c r="N25" s="31">
        <f t="shared" si="4"/>
        <v>-289500</v>
      </c>
      <c r="O25" s="35">
        <f>CASHFLOW!C20</f>
        <v>-289500</v>
      </c>
      <c r="P25" s="1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.75" customHeight="1">
      <c r="A26" s="4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4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.75" customHeight="1">
      <c r="A27" s="6" t="s">
        <v>294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6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.75" customHeight="1">
      <c r="A28" s="4" t="s">
        <v>295</v>
      </c>
      <c r="B28" s="35">
        <f>IF(FUNDING!C19&gt;=0,FUNDING!C19,0)</f>
        <v>450000</v>
      </c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>
        <f>IF(FUNDING!C19&lt;0,FUNDING!C19,0)</f>
        <v>0</v>
      </c>
      <c r="N28" s="31">
        <f t="shared" ref="N28:N34" si="5">SUM(B28:M28)</f>
        <v>450000</v>
      </c>
      <c r="O28" s="35">
        <f>CASHFLOW!C23</f>
        <v>450000</v>
      </c>
      <c r="P28" s="4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12.75" customHeight="1">
      <c r="A29" s="4" t="s">
        <v>296</v>
      </c>
      <c r="B29" s="35">
        <f>IF(FUNDING!C27&gt;=0,FUNDING!C27,0)</f>
        <v>250000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>
        <f>IF(FUNDING!C27&lt;0,FUNDING!C27,0)</f>
        <v>0</v>
      </c>
      <c r="N29" s="31">
        <f t="shared" si="5"/>
        <v>250000</v>
      </c>
      <c r="O29" s="35">
        <f>CASHFLOW!C24</f>
        <v>250000</v>
      </c>
      <c r="P29" s="4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.75" customHeight="1">
      <c r="A30" s="4" t="s">
        <v>297</v>
      </c>
      <c r="B30" s="35">
        <f>IF(FUNDING!C28&gt;=0,FUNDING!C28,0)</f>
        <v>2250000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>
        <f>IF(FUNDING!C28&lt;0,FUNDING!C28,0)</f>
        <v>0</v>
      </c>
      <c r="N30" s="31">
        <f t="shared" si="5"/>
        <v>2250000</v>
      </c>
      <c r="O30" s="35">
        <f>CASHFLOW!C25</f>
        <v>2250000</v>
      </c>
      <c r="P30" s="4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.75" customHeight="1">
      <c r="A31" s="4" t="s">
        <v>298</v>
      </c>
      <c r="B31" s="35">
        <f>IF(FUNDING!C9&gt;=0,FUNDING!C9,0)</f>
        <v>0</v>
      </c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>
        <f>IF(FUNDING!C9&lt;0,FUNDING!C9,0)</f>
        <v>-1000000</v>
      </c>
      <c r="N31" s="31">
        <f t="shared" si="5"/>
        <v>-1000000</v>
      </c>
      <c r="O31" s="35">
        <f>CASHFLOW!C26</f>
        <v>-1000000</v>
      </c>
      <c r="P31" s="4"/>
      <c r="Q31" s="22"/>
      <c r="R31" s="22"/>
      <c r="S31" s="22"/>
      <c r="T31" s="22"/>
      <c r="U31" s="22"/>
      <c r="V31" s="22"/>
      <c r="W31" s="22"/>
      <c r="X31" s="22"/>
      <c r="Y31" s="22"/>
    </row>
    <row r="32" spans="1:25" ht="12.75" customHeight="1">
      <c r="A32" s="4" t="s">
        <v>299</v>
      </c>
      <c r="B32" s="35">
        <f>IF(FUNDING!C14&gt;=0,FUNDING!C14,0)</f>
        <v>0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>
        <f>IF(FUNDING!C14&lt;0,FUNDING!C14,0)</f>
        <v>0</v>
      </c>
      <c r="N32" s="31">
        <f t="shared" si="5"/>
        <v>0</v>
      </c>
      <c r="O32" s="35">
        <f>CASHFLOW!C27</f>
        <v>0</v>
      </c>
      <c r="P32" s="4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.75" customHeight="1">
      <c r="A33" s="4" t="s">
        <v>300</v>
      </c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>
        <f>-FUNDING!C49</f>
        <v>0</v>
      </c>
      <c r="N33" s="60">
        <f t="shared" si="5"/>
        <v>0</v>
      </c>
      <c r="O33" s="84">
        <f>CASHFLOW!C28</f>
        <v>0</v>
      </c>
      <c r="P33" s="4"/>
      <c r="Q33" s="22"/>
      <c r="R33" s="22"/>
      <c r="S33" s="22"/>
      <c r="T33" s="22"/>
      <c r="U33" s="22"/>
      <c r="V33" s="22"/>
      <c r="W33" s="22"/>
      <c r="X33" s="22"/>
      <c r="Y33" s="22"/>
    </row>
    <row r="34" spans="1:25" ht="12.75" customHeight="1">
      <c r="A34" s="12" t="s">
        <v>301</v>
      </c>
      <c r="B34" s="31">
        <f t="shared" ref="B34:M34" si="6">SUM(B28:B33)</f>
        <v>2950000</v>
      </c>
      <c r="C34" s="31">
        <f t="shared" si="6"/>
        <v>0</v>
      </c>
      <c r="D34" s="31">
        <f t="shared" si="6"/>
        <v>0</v>
      </c>
      <c r="E34" s="31">
        <f t="shared" si="6"/>
        <v>0</v>
      </c>
      <c r="F34" s="31">
        <f t="shared" si="6"/>
        <v>0</v>
      </c>
      <c r="G34" s="31">
        <f t="shared" si="6"/>
        <v>0</v>
      </c>
      <c r="H34" s="31">
        <f t="shared" si="6"/>
        <v>0</v>
      </c>
      <c r="I34" s="31">
        <f t="shared" si="6"/>
        <v>0</v>
      </c>
      <c r="J34" s="31">
        <f t="shared" si="6"/>
        <v>0</v>
      </c>
      <c r="K34" s="31">
        <f t="shared" si="6"/>
        <v>0</v>
      </c>
      <c r="L34" s="31">
        <f t="shared" si="6"/>
        <v>0</v>
      </c>
      <c r="M34" s="31">
        <f t="shared" si="6"/>
        <v>-1000000</v>
      </c>
      <c r="N34" s="31">
        <f t="shared" si="5"/>
        <v>1950000</v>
      </c>
      <c r="O34" s="35">
        <f>CASHFLOW!C29</f>
        <v>1950000</v>
      </c>
      <c r="P34" s="1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.75" customHeight="1">
      <c r="A35" s="4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4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.75" customHeight="1">
      <c r="A36" s="6" t="s">
        <v>302</v>
      </c>
      <c r="B36" s="60">
        <f t="shared" ref="B36:M36" si="7">B20+B25+B34</f>
        <v>2835919.0476190476</v>
      </c>
      <c r="C36" s="60">
        <f t="shared" si="7"/>
        <v>-184080.86538095237</v>
      </c>
      <c r="D36" s="60">
        <f t="shared" si="7"/>
        <v>-64049.715552952381</v>
      </c>
      <c r="E36" s="60">
        <f t="shared" si="7"/>
        <v>-373059.89525657147</v>
      </c>
      <c r="F36" s="60">
        <f t="shared" si="7"/>
        <v>-16473.015873015906</v>
      </c>
      <c r="G36" s="60">
        <f t="shared" si="7"/>
        <v>-29917.460317460344</v>
      </c>
      <c r="H36" s="60">
        <f t="shared" si="7"/>
        <v>-69917.46031746034</v>
      </c>
      <c r="I36" s="60">
        <f t="shared" si="7"/>
        <v>-29917.460317460344</v>
      </c>
      <c r="J36" s="60">
        <f t="shared" si="7"/>
        <v>-29917.460317460344</v>
      </c>
      <c r="K36" s="60">
        <f t="shared" si="7"/>
        <v>-39417.46031746034</v>
      </c>
      <c r="L36" s="60">
        <f t="shared" si="7"/>
        <v>-29917.460317460344</v>
      </c>
      <c r="M36" s="60">
        <f t="shared" si="7"/>
        <v>-1029917.4603174604</v>
      </c>
      <c r="N36" s="60">
        <f>SUM(B36:M36)</f>
        <v>939333.33333333302</v>
      </c>
      <c r="O36" s="99">
        <f>CASHFLOW!C31</f>
        <v>939333.33333333337</v>
      </c>
      <c r="P36" s="6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.75" customHeight="1">
      <c r="A37" s="4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4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.75" customHeight="1">
      <c r="A38" s="6" t="s">
        <v>337</v>
      </c>
      <c r="B38" s="31">
        <f>BALANCE!B9</f>
        <v>2500000</v>
      </c>
      <c r="C38" s="31">
        <f t="shared" ref="C38:M38" si="8">B39</f>
        <v>5335919.0476190476</v>
      </c>
      <c r="D38" s="31">
        <f t="shared" si="8"/>
        <v>5151838.1822380954</v>
      </c>
      <c r="E38" s="31">
        <f t="shared" si="8"/>
        <v>5087788.4666851433</v>
      </c>
      <c r="F38" s="31">
        <f t="shared" si="8"/>
        <v>4714728.5714285718</v>
      </c>
      <c r="G38" s="31">
        <f t="shared" si="8"/>
        <v>4698255.555555556</v>
      </c>
      <c r="H38" s="31">
        <f t="shared" si="8"/>
        <v>4668338.0952380961</v>
      </c>
      <c r="I38" s="31">
        <f t="shared" si="8"/>
        <v>4598420.6349206362</v>
      </c>
      <c r="J38" s="31">
        <f t="shared" si="8"/>
        <v>4568503.1746031763</v>
      </c>
      <c r="K38" s="31">
        <f t="shared" si="8"/>
        <v>4538585.7142857164</v>
      </c>
      <c r="L38" s="31">
        <f t="shared" si="8"/>
        <v>4499168.2539682565</v>
      </c>
      <c r="M38" s="31">
        <f t="shared" si="8"/>
        <v>4469250.7936507966</v>
      </c>
      <c r="N38" s="21"/>
      <c r="O38" s="35">
        <f>CASHFLOW!C33</f>
        <v>2500000</v>
      </c>
      <c r="P38" s="6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.75" customHeight="1">
      <c r="A39" s="6" t="s">
        <v>338</v>
      </c>
      <c r="B39" s="31">
        <f t="shared" ref="B39:M39" si="9">B38+B36</f>
        <v>5335919.0476190476</v>
      </c>
      <c r="C39" s="31">
        <f t="shared" si="9"/>
        <v>5151838.1822380954</v>
      </c>
      <c r="D39" s="31">
        <f t="shared" si="9"/>
        <v>5087788.4666851433</v>
      </c>
      <c r="E39" s="31">
        <f t="shared" si="9"/>
        <v>4714728.5714285718</v>
      </c>
      <c r="F39" s="31">
        <f t="shared" si="9"/>
        <v>4698255.555555556</v>
      </c>
      <c r="G39" s="31">
        <f t="shared" si="9"/>
        <v>4668338.0952380961</v>
      </c>
      <c r="H39" s="31">
        <f t="shared" si="9"/>
        <v>4598420.6349206362</v>
      </c>
      <c r="I39" s="31">
        <f t="shared" si="9"/>
        <v>4568503.1746031763</v>
      </c>
      <c r="J39" s="31">
        <f t="shared" si="9"/>
        <v>4538585.7142857164</v>
      </c>
      <c r="K39" s="31">
        <f t="shared" si="9"/>
        <v>4499168.2539682565</v>
      </c>
      <c r="L39" s="31">
        <f t="shared" si="9"/>
        <v>4469250.7936507966</v>
      </c>
      <c r="M39" s="31">
        <f t="shared" si="9"/>
        <v>3439333.3333333363</v>
      </c>
      <c r="N39" s="21"/>
      <c r="O39" s="35">
        <f>CASHFLOW!C34</f>
        <v>3439333.3333333335</v>
      </c>
      <c r="P39" s="6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.75" customHeight="1">
      <c r="A40" s="22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.75" customHeight="1">
      <c r="A41" s="22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12.75" customHeight="1">
      <c r="A42" s="22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 ht="20.25" customHeight="1">
      <c r="A43" s="109" t="str">
        <f>A1</f>
        <v>XYZ Company</v>
      </c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6"/>
      <c r="M43" s="66"/>
      <c r="N43" s="66"/>
      <c r="O43" s="3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 ht="15.75" customHeight="1">
      <c r="A44" s="23" t="s">
        <v>335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6"/>
      <c r="M44" s="66"/>
      <c r="N44" s="66"/>
      <c r="O44" s="3" t="s">
        <v>10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 ht="15.75" customHeight="1">
      <c r="A45" s="9" t="s">
        <v>315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6"/>
      <c r="M45" s="66"/>
      <c r="N45" s="110" t="s">
        <v>336</v>
      </c>
      <c r="O45" s="3" t="s">
        <v>312</v>
      </c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 ht="15.75" customHeight="1">
      <c r="A46" s="4"/>
      <c r="B46" s="114" t="s">
        <v>52</v>
      </c>
      <c r="C46" s="114" t="s">
        <v>53</v>
      </c>
      <c r="D46" s="114" t="s">
        <v>54</v>
      </c>
      <c r="E46" s="114" t="s">
        <v>56</v>
      </c>
      <c r="F46" s="114" t="s">
        <v>57</v>
      </c>
      <c r="G46" s="114" t="s">
        <v>58</v>
      </c>
      <c r="H46" s="114" t="s">
        <v>60</v>
      </c>
      <c r="I46" s="114" t="s">
        <v>61</v>
      </c>
      <c r="J46" s="114" t="s">
        <v>62</v>
      </c>
      <c r="K46" s="114" t="s">
        <v>64</v>
      </c>
      <c r="L46" s="114" t="s">
        <v>65</v>
      </c>
      <c r="M46" s="114" t="s">
        <v>66</v>
      </c>
      <c r="N46" s="11" t="s">
        <v>10</v>
      </c>
      <c r="O46" s="33" t="s">
        <v>314</v>
      </c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 ht="12.75" customHeight="1">
      <c r="A47" s="6" t="s">
        <v>280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6"/>
      <c r="Q47" s="22"/>
      <c r="R47" s="22"/>
      <c r="S47" s="22"/>
      <c r="T47" s="22"/>
      <c r="U47" s="22"/>
      <c r="V47" s="22"/>
      <c r="W47" s="22"/>
      <c r="X47" s="22"/>
      <c r="Y47" s="22"/>
    </row>
    <row r="48" spans="1:25" ht="12.75" customHeight="1">
      <c r="A48" s="4" t="s">
        <v>281</v>
      </c>
      <c r="B48" s="35">
        <f>'INCOME-MOS'!C68</f>
        <v>5700.0000000000291</v>
      </c>
      <c r="C48" s="35">
        <f>'INCOME-MOS'!D68</f>
        <v>-44299.999999999971</v>
      </c>
      <c r="D48" s="35">
        <f>'INCOME-MOS'!E68</f>
        <v>-44299.999999999971</v>
      </c>
      <c r="E48" s="35">
        <f>'INCOME-MOS'!F68</f>
        <v>-44299.999999999971</v>
      </c>
      <c r="F48" s="35">
        <f>'INCOME-MOS'!G68</f>
        <v>-4299.9999999999709</v>
      </c>
      <c r="G48" s="35">
        <f>'INCOME-MOS'!H68</f>
        <v>-44299.999999999971</v>
      </c>
      <c r="H48" s="35">
        <f>'INCOME-MOS'!I68</f>
        <v>-44299.999999999971</v>
      </c>
      <c r="I48" s="35">
        <f>'INCOME-MOS'!J68</f>
        <v>-44299.999999999971</v>
      </c>
      <c r="J48" s="35">
        <f>'INCOME-MOS'!K68</f>
        <v>-44299.999999999971</v>
      </c>
      <c r="K48" s="35">
        <f>'INCOME-MOS'!L68</f>
        <v>-19299.999999999971</v>
      </c>
      <c r="L48" s="35">
        <f>'INCOME-MOS'!M68</f>
        <v>-44299.999999999971</v>
      </c>
      <c r="M48" s="35">
        <f>'INCOME-MOS'!N68</f>
        <v>-44299.999999999971</v>
      </c>
      <c r="N48" s="31">
        <f t="shared" ref="N48:N49" si="10">SUM(B48:M48)</f>
        <v>-416599.99999999977</v>
      </c>
      <c r="O48" s="35">
        <f>CASHFLOW!D7</f>
        <v>-416600</v>
      </c>
      <c r="P48" s="4"/>
      <c r="Q48" s="22"/>
      <c r="R48" s="22"/>
      <c r="S48" s="22"/>
      <c r="T48" s="22"/>
      <c r="U48" s="22"/>
      <c r="V48" s="22"/>
      <c r="W48" s="22"/>
      <c r="X48" s="22"/>
      <c r="Y48" s="22"/>
    </row>
    <row r="49" spans="1:25" ht="12.75" customHeight="1">
      <c r="A49" s="4" t="s">
        <v>282</v>
      </c>
      <c r="B49" s="35">
        <f>'PROP &amp; EQUIP'!$D$47/12</f>
        <v>11125</v>
      </c>
      <c r="C49" s="35">
        <f>'PROP &amp; EQUIP'!$D$47/12</f>
        <v>11125</v>
      </c>
      <c r="D49" s="35">
        <f>'PROP &amp; EQUIP'!$D$47/12</f>
        <v>11125</v>
      </c>
      <c r="E49" s="35">
        <f>'PROP &amp; EQUIP'!$D$47/12</f>
        <v>11125</v>
      </c>
      <c r="F49" s="35">
        <f>'PROP &amp; EQUIP'!$D$47/12</f>
        <v>11125</v>
      </c>
      <c r="G49" s="35">
        <f>'PROP &amp; EQUIP'!$D$47/12</f>
        <v>11125</v>
      </c>
      <c r="H49" s="35">
        <f>'PROP &amp; EQUIP'!$D$47/12</f>
        <v>11125</v>
      </c>
      <c r="I49" s="35">
        <f>'PROP &amp; EQUIP'!$D$47/12</f>
        <v>11125</v>
      </c>
      <c r="J49" s="35">
        <f>'PROP &amp; EQUIP'!$D$47/12</f>
        <v>11125</v>
      </c>
      <c r="K49" s="35">
        <f>'PROP &amp; EQUIP'!$D$47/12</f>
        <v>11125</v>
      </c>
      <c r="L49" s="35">
        <f>'PROP &amp; EQUIP'!$D$47/12</f>
        <v>11125</v>
      </c>
      <c r="M49" s="35">
        <f>'PROP &amp; EQUIP'!$D$47/12</f>
        <v>11125</v>
      </c>
      <c r="N49" s="31">
        <f t="shared" si="10"/>
        <v>133500</v>
      </c>
      <c r="O49" s="35">
        <f>CASHFLOW!D8</f>
        <v>133500</v>
      </c>
      <c r="P49" s="4"/>
      <c r="Q49" s="22"/>
      <c r="R49" s="22"/>
      <c r="S49" s="22"/>
      <c r="T49" s="22"/>
      <c r="U49" s="22"/>
      <c r="V49" s="22"/>
      <c r="W49" s="22"/>
      <c r="X49" s="22"/>
      <c r="Y49" s="22"/>
    </row>
    <row r="50" spans="1:25" ht="12.75" customHeight="1">
      <c r="A50" s="4" t="s">
        <v>283</v>
      </c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35">
        <f>CASHFLOW!D9</f>
        <v>0</v>
      </c>
      <c r="P50" s="4"/>
      <c r="Q50" s="22"/>
      <c r="R50" s="22"/>
      <c r="S50" s="22"/>
      <c r="T50" s="22"/>
      <c r="U50" s="22"/>
      <c r="V50" s="22"/>
      <c r="W50" s="22"/>
      <c r="X50" s="22"/>
      <c r="Y50" s="22"/>
    </row>
    <row r="51" spans="1:25" ht="12.75" customHeight="1">
      <c r="A51" s="12" t="s">
        <v>284</v>
      </c>
      <c r="B51" s="35">
        <f>-(WORKCAP!$D67-WORKCAP!$C78)</f>
        <v>-14386.666666666686</v>
      </c>
      <c r="C51" s="35">
        <f>-(WORKCAP!$D68-WORKCAP!$D67)</f>
        <v>0</v>
      </c>
      <c r="D51" s="35">
        <f>-(WORKCAP!$D69-WORKCAP!$D68)</f>
        <v>0</v>
      </c>
      <c r="E51" s="35">
        <f>-(WORKCAP!$D70-WORKCAP!$D69)</f>
        <v>0</v>
      </c>
      <c r="F51" s="35">
        <f>-(WORKCAP!$D71-WORKCAP!$D70)</f>
        <v>0</v>
      </c>
      <c r="G51" s="35">
        <f>-(WORKCAP!$D72-WORKCAP!$D71)</f>
        <v>0</v>
      </c>
      <c r="H51" s="35">
        <f>-(WORKCAP!$D73-WORKCAP!$D72)</f>
        <v>0</v>
      </c>
      <c r="I51" s="35">
        <f>-(WORKCAP!$D74-WORKCAP!$D73)</f>
        <v>0</v>
      </c>
      <c r="J51" s="35">
        <f>-(WORKCAP!$D75-WORKCAP!$D74)</f>
        <v>0</v>
      </c>
      <c r="K51" s="35">
        <f>-(WORKCAP!$D76-WORKCAP!$D75)</f>
        <v>0</v>
      </c>
      <c r="L51" s="35">
        <f>-(WORKCAP!$D77-WORKCAP!$D76)</f>
        <v>0</v>
      </c>
      <c r="M51" s="35">
        <f>-(WORKCAP!$D78-WORKCAP!$D77)</f>
        <v>0</v>
      </c>
      <c r="N51" s="31">
        <f t="shared" ref="N51:N56" si="11">SUM(B51:M51)</f>
        <v>-14386.666666666686</v>
      </c>
      <c r="O51" s="35">
        <f>CASHFLOW!D10</f>
        <v>-14386.666666666686</v>
      </c>
      <c r="P51" s="12"/>
      <c r="Q51" s="22"/>
      <c r="R51" s="22"/>
      <c r="S51" s="22"/>
      <c r="T51" s="22"/>
      <c r="U51" s="22"/>
      <c r="V51" s="22"/>
      <c r="W51" s="22"/>
      <c r="X51" s="22"/>
      <c r="Y51" s="22"/>
    </row>
    <row r="52" spans="1:25" ht="12.75" customHeight="1">
      <c r="A52" s="12" t="s">
        <v>285</v>
      </c>
      <c r="B52" s="35">
        <f>-(WORKCAP!$D84-WORKCAP!$C95)</f>
        <v>-14386.666666666686</v>
      </c>
      <c r="C52" s="35">
        <f>-(WORKCAP!$D85-WORKCAP!$D84)</f>
        <v>0</v>
      </c>
      <c r="D52" s="35">
        <f>-(WORKCAP!$D86-WORKCAP!$D85)</f>
        <v>0</v>
      </c>
      <c r="E52" s="35">
        <f>-(WORKCAP!$D87-WORKCAP!$D86)</f>
        <v>0</v>
      </c>
      <c r="F52" s="35">
        <f>-(WORKCAP!$D88-WORKCAP!$D87)</f>
        <v>0</v>
      </c>
      <c r="G52" s="35">
        <f>-(WORKCAP!$D89-WORKCAP!$D88)</f>
        <v>0</v>
      </c>
      <c r="H52" s="35">
        <f>-(WORKCAP!$D90-WORKCAP!$D89)</f>
        <v>0</v>
      </c>
      <c r="I52" s="35">
        <f>-(WORKCAP!$D91-WORKCAP!$D90)</f>
        <v>0</v>
      </c>
      <c r="J52" s="35">
        <f>-(WORKCAP!$D92-WORKCAP!$D91)</f>
        <v>0</v>
      </c>
      <c r="K52" s="35">
        <f>-(WORKCAP!$D93-WORKCAP!$D92)</f>
        <v>0</v>
      </c>
      <c r="L52" s="35">
        <f>-(WORKCAP!$D94-WORKCAP!$D93)</f>
        <v>0</v>
      </c>
      <c r="M52" s="35">
        <f>-(WORKCAP!$D95-WORKCAP!$D94)</f>
        <v>0</v>
      </c>
      <c r="N52" s="31">
        <f t="shared" si="11"/>
        <v>-14386.666666666686</v>
      </c>
      <c r="O52" s="35">
        <f>CASHFLOW!D11</f>
        <v>-14386.666666666686</v>
      </c>
      <c r="P52" s="12"/>
      <c r="Q52" s="22"/>
      <c r="R52" s="22"/>
      <c r="S52" s="22"/>
      <c r="T52" s="22"/>
      <c r="U52" s="22"/>
      <c r="V52" s="22"/>
      <c r="W52" s="22"/>
      <c r="X52" s="22"/>
      <c r="Y52" s="22"/>
    </row>
    <row r="53" spans="1:25" ht="12.75" customHeight="1">
      <c r="A53" s="12" t="s">
        <v>286</v>
      </c>
      <c r="B53" s="35">
        <f>-(WORKCAP!$D101-WORKCAP!$C112)</f>
        <v>-1733.3333333333285</v>
      </c>
      <c r="C53" s="35">
        <f>-(WORKCAP!$D102-WORKCAP!$D101)</f>
        <v>0</v>
      </c>
      <c r="D53" s="35">
        <f>-(WORKCAP!$D103-WORKCAP!$D102)</f>
        <v>0</v>
      </c>
      <c r="E53" s="35">
        <f>-(WORKCAP!$D104-WORKCAP!$D103)</f>
        <v>0</v>
      </c>
      <c r="F53" s="35">
        <f>-(WORKCAP!$D105-WORKCAP!$D104)</f>
        <v>0</v>
      </c>
      <c r="G53" s="35">
        <f>-(WORKCAP!$D106-WORKCAP!$D105)</f>
        <v>0</v>
      </c>
      <c r="H53" s="35">
        <f>-(WORKCAP!$D107-WORKCAP!$D106)</f>
        <v>0</v>
      </c>
      <c r="I53" s="35">
        <f>-(WORKCAP!$D108-WORKCAP!$D107)</f>
        <v>0</v>
      </c>
      <c r="J53" s="35">
        <f>-(WORKCAP!$D109-WORKCAP!$D108)</f>
        <v>0</v>
      </c>
      <c r="K53" s="35">
        <f>-(WORKCAP!$D110-WORKCAP!$D109)</f>
        <v>0</v>
      </c>
      <c r="L53" s="35">
        <f>-(WORKCAP!$D111-WORKCAP!$D110)</f>
        <v>0</v>
      </c>
      <c r="M53" s="35">
        <f>-(WORKCAP!$D112-WORKCAP!$D111)</f>
        <v>0</v>
      </c>
      <c r="N53" s="31">
        <f t="shared" si="11"/>
        <v>-1733.3333333333285</v>
      </c>
      <c r="O53" s="35">
        <f>CASHFLOW!D12</f>
        <v>-1733.3333333333285</v>
      </c>
      <c r="P53" s="12"/>
      <c r="Q53" s="22"/>
      <c r="R53" s="22"/>
      <c r="S53" s="22"/>
      <c r="T53" s="22"/>
      <c r="U53" s="22"/>
      <c r="V53" s="22"/>
      <c r="W53" s="22"/>
      <c r="X53" s="22"/>
      <c r="Y53" s="22"/>
    </row>
    <row r="54" spans="1:25" ht="12.75" customHeight="1">
      <c r="A54" s="12" t="s">
        <v>287</v>
      </c>
      <c r="B54" s="35">
        <f>(WORKCAP!$D118-WORKCAP!$C129)</f>
        <v>-305555.55555555556</v>
      </c>
      <c r="C54" s="35">
        <f>(WORKCAP!$D119-WORKCAP!$D118)</f>
        <v>-13444.357444444413</v>
      </c>
      <c r="D54" s="35">
        <f>(WORKCAP!$D120-WORKCAP!$D119)</f>
        <v>31.236827999999996</v>
      </c>
      <c r="E54" s="35">
        <f>(WORKCAP!$D121-WORKCAP!$D120)</f>
        <v>334048.67617199995</v>
      </c>
      <c r="F54" s="35">
        <f>(WORKCAP!$D122-WORKCAP!$D121)</f>
        <v>0</v>
      </c>
      <c r="G54" s="35">
        <f>(WORKCAP!$D123-WORKCAP!$D122)</f>
        <v>0</v>
      </c>
      <c r="H54" s="35">
        <f>(WORKCAP!$D124-WORKCAP!$D123)</f>
        <v>0</v>
      </c>
      <c r="I54" s="35">
        <f>(WORKCAP!$D125-WORKCAP!$D124)</f>
        <v>0</v>
      </c>
      <c r="J54" s="35">
        <f>(WORKCAP!$D126-WORKCAP!$D125)</f>
        <v>0</v>
      </c>
      <c r="K54" s="35">
        <f>(WORKCAP!$D127-WORKCAP!$D126)</f>
        <v>0</v>
      </c>
      <c r="L54" s="35">
        <f>(WORKCAP!$D128-WORKCAP!$D127)</f>
        <v>0</v>
      </c>
      <c r="M54" s="35">
        <f>(WORKCAP!$D129-WORKCAP!$D128)</f>
        <v>0</v>
      </c>
      <c r="N54" s="31">
        <f t="shared" si="11"/>
        <v>15079.999999999942</v>
      </c>
      <c r="O54" s="35">
        <f>CASHFLOW!D13</f>
        <v>15079.999999999942</v>
      </c>
      <c r="P54" s="12"/>
      <c r="Q54" s="22"/>
      <c r="R54" s="22"/>
      <c r="S54" s="22"/>
      <c r="T54" s="22"/>
      <c r="U54" s="22"/>
      <c r="V54" s="22"/>
      <c r="W54" s="22"/>
      <c r="X54" s="22"/>
      <c r="Y54" s="22"/>
    </row>
    <row r="55" spans="1:25" ht="12.75" customHeight="1">
      <c r="A55" s="12" t="s">
        <v>288</v>
      </c>
      <c r="B55" s="84">
        <f>(WORKCAP!$D135-WORKCAP!$C146)</f>
        <v>1733.3333333333285</v>
      </c>
      <c r="C55" s="84">
        <f>(WORKCAP!$D136-WORKCAP!$D135)</f>
        <v>0</v>
      </c>
      <c r="D55" s="84">
        <f>(WORKCAP!$D137-WORKCAP!$D136)</f>
        <v>0</v>
      </c>
      <c r="E55" s="84">
        <f>(WORKCAP!$D138-WORKCAP!$D137)</f>
        <v>0</v>
      </c>
      <c r="F55" s="84">
        <f>(WORKCAP!$D139-WORKCAP!$D138)</f>
        <v>0</v>
      </c>
      <c r="G55" s="84">
        <f>(WORKCAP!$D140-WORKCAP!$D139)</f>
        <v>0</v>
      </c>
      <c r="H55" s="84">
        <f>(WORKCAP!$D141-WORKCAP!$D140)</f>
        <v>0</v>
      </c>
      <c r="I55" s="84">
        <f>(WORKCAP!$D142-WORKCAP!$D141)</f>
        <v>0</v>
      </c>
      <c r="J55" s="84">
        <f>(WORKCAP!$D143-WORKCAP!$D142)</f>
        <v>0</v>
      </c>
      <c r="K55" s="84">
        <f>(WORKCAP!$D144-WORKCAP!$D143)</f>
        <v>0</v>
      </c>
      <c r="L55" s="84">
        <f>(WORKCAP!$D145-WORKCAP!$D144)</f>
        <v>0</v>
      </c>
      <c r="M55" s="84">
        <f>(WORKCAP!$D146-WORKCAP!$D145)</f>
        <v>0</v>
      </c>
      <c r="N55" s="60">
        <f t="shared" si="11"/>
        <v>1733.3333333333285</v>
      </c>
      <c r="O55" s="84">
        <f>CASHFLOW!D14</f>
        <v>1733.3333333333285</v>
      </c>
      <c r="P55" s="12"/>
      <c r="Q55" s="22"/>
      <c r="R55" s="22"/>
      <c r="S55" s="22"/>
      <c r="T55" s="22"/>
      <c r="U55" s="22"/>
      <c r="V55" s="22"/>
      <c r="W55" s="22"/>
      <c r="X55" s="22"/>
      <c r="Y55" s="22"/>
    </row>
    <row r="56" spans="1:25" ht="12.75" customHeight="1">
      <c r="A56" s="12" t="s">
        <v>289</v>
      </c>
      <c r="B56" s="31">
        <f t="shared" ref="B56:M56" si="12">SUM(B48:B55)</f>
        <v>-317503.88888888893</v>
      </c>
      <c r="C56" s="31">
        <f t="shared" si="12"/>
        <v>-46619.35744444438</v>
      </c>
      <c r="D56" s="31">
        <f t="shared" si="12"/>
        <v>-33143.76317199997</v>
      </c>
      <c r="E56" s="31">
        <f t="shared" si="12"/>
        <v>300873.67617200001</v>
      </c>
      <c r="F56" s="31">
        <f t="shared" si="12"/>
        <v>6825.0000000000291</v>
      </c>
      <c r="G56" s="31">
        <f t="shared" si="12"/>
        <v>-33174.999999999971</v>
      </c>
      <c r="H56" s="31">
        <f t="shared" si="12"/>
        <v>-33174.999999999971</v>
      </c>
      <c r="I56" s="31">
        <f t="shared" si="12"/>
        <v>-33174.999999999971</v>
      </c>
      <c r="J56" s="31">
        <f t="shared" si="12"/>
        <v>-33174.999999999971</v>
      </c>
      <c r="K56" s="31">
        <f t="shared" si="12"/>
        <v>-8174.9999999999709</v>
      </c>
      <c r="L56" s="31">
        <f t="shared" si="12"/>
        <v>-33174.999999999971</v>
      </c>
      <c r="M56" s="31">
        <f t="shared" si="12"/>
        <v>-33174.999999999971</v>
      </c>
      <c r="N56" s="31">
        <f t="shared" si="11"/>
        <v>-296793.33333333302</v>
      </c>
      <c r="O56" s="35">
        <f>CASHFLOW!D15</f>
        <v>-296793.33333333343</v>
      </c>
      <c r="P56" s="12"/>
      <c r="Q56" s="22"/>
      <c r="R56" s="22"/>
      <c r="S56" s="22"/>
      <c r="T56" s="22"/>
      <c r="U56" s="22"/>
      <c r="V56" s="22"/>
      <c r="W56" s="22"/>
      <c r="X56" s="22"/>
      <c r="Y56" s="22"/>
    </row>
    <row r="57" spans="1:25" ht="12.75" customHeight="1">
      <c r="A57" s="4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>
        <f>CASHFLOW!D16</f>
        <v>0</v>
      </c>
      <c r="P57" s="4"/>
      <c r="Q57" s="22"/>
      <c r="R57" s="22"/>
      <c r="S57" s="22"/>
      <c r="T57" s="22"/>
      <c r="U57" s="22"/>
      <c r="V57" s="22"/>
      <c r="W57" s="22"/>
      <c r="X57" s="22"/>
      <c r="Y57" s="22"/>
    </row>
    <row r="58" spans="1:25" ht="12.75" customHeight="1">
      <c r="A58" s="6" t="s">
        <v>290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>
        <f>CASHFLOW!D17</f>
        <v>0</v>
      </c>
      <c r="P58" s="6"/>
      <c r="Q58" s="22"/>
      <c r="R58" s="22"/>
      <c r="S58" s="22"/>
      <c r="T58" s="22"/>
      <c r="U58" s="22"/>
      <c r="V58" s="22"/>
      <c r="W58" s="22"/>
      <c r="X58" s="22"/>
      <c r="Y58" s="22"/>
    </row>
    <row r="59" spans="1:25" ht="12.75" customHeight="1">
      <c r="A59" s="4" t="s">
        <v>291</v>
      </c>
      <c r="B59" s="35">
        <f>-'PROP &amp; EQUIP'!$D61</f>
        <v>-100000</v>
      </c>
      <c r="C59" s="35">
        <f>-'PROP &amp; EQUIP'!$D62</f>
        <v>-100000</v>
      </c>
      <c r="D59" s="35">
        <f>-'PROP &amp; EQUIP'!$D63</f>
        <v>0</v>
      </c>
      <c r="E59" s="35">
        <f>-'PROP &amp; EQUIP'!$D65</f>
        <v>0</v>
      </c>
      <c r="F59" s="35">
        <f>-'PROP &amp; EQUIP'!$D66</f>
        <v>0</v>
      </c>
      <c r="G59" s="35">
        <f>-'PROP &amp; EQUIP'!$D67</f>
        <v>-100000</v>
      </c>
      <c r="H59" s="35">
        <f>-'PROP &amp; EQUIP'!$D69</f>
        <v>0</v>
      </c>
      <c r="I59" s="35">
        <f>-'PROP &amp; EQUIP'!$D70</f>
        <v>-93000</v>
      </c>
      <c r="J59" s="35">
        <f>-'PROP &amp; EQUIP'!$D71</f>
        <v>0</v>
      </c>
      <c r="K59" s="35">
        <f>-'PROP &amp; EQUIP'!$D73</f>
        <v>0</v>
      </c>
      <c r="L59" s="35">
        <f>-'PROP &amp; EQUIP'!$D74</f>
        <v>0</v>
      </c>
      <c r="M59" s="35">
        <f>-'PROP &amp; EQUIP'!$D75</f>
        <v>-100000</v>
      </c>
      <c r="N59" s="31">
        <f t="shared" ref="N59:N61" si="13">SUM(B59:M59)</f>
        <v>-493000</v>
      </c>
      <c r="O59" s="35">
        <f>CASHFLOW!D18</f>
        <v>-493000</v>
      </c>
      <c r="P59" s="4"/>
      <c r="Q59" s="22"/>
      <c r="R59" s="22"/>
      <c r="S59" s="22"/>
      <c r="T59" s="22"/>
      <c r="U59" s="22"/>
      <c r="V59" s="22"/>
      <c r="W59" s="22"/>
      <c r="X59" s="22"/>
      <c r="Y59" s="22"/>
    </row>
    <row r="60" spans="1:25" ht="12.75" customHeight="1">
      <c r="A60" s="12" t="s">
        <v>292</v>
      </c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60">
        <f t="shared" si="13"/>
        <v>0</v>
      </c>
      <c r="O60" s="84">
        <f>CASHFLOW!D19</f>
        <v>0</v>
      </c>
      <c r="P60" s="12"/>
      <c r="Q60" s="22"/>
      <c r="R60" s="22"/>
      <c r="S60" s="22"/>
      <c r="T60" s="22"/>
      <c r="U60" s="22"/>
      <c r="V60" s="22"/>
      <c r="W60" s="22"/>
      <c r="X60" s="22"/>
      <c r="Y60" s="22"/>
    </row>
    <row r="61" spans="1:25" ht="12.75" customHeight="1">
      <c r="A61" s="12" t="s">
        <v>293</v>
      </c>
      <c r="B61" s="31">
        <f t="shared" ref="B61:M61" si="14">SUM(B59:B60)</f>
        <v>-100000</v>
      </c>
      <c r="C61" s="31">
        <f t="shared" si="14"/>
        <v>-100000</v>
      </c>
      <c r="D61" s="31">
        <f t="shared" si="14"/>
        <v>0</v>
      </c>
      <c r="E61" s="31">
        <f t="shared" si="14"/>
        <v>0</v>
      </c>
      <c r="F61" s="31">
        <f t="shared" si="14"/>
        <v>0</v>
      </c>
      <c r="G61" s="31">
        <f t="shared" si="14"/>
        <v>-100000</v>
      </c>
      <c r="H61" s="31">
        <f t="shared" si="14"/>
        <v>0</v>
      </c>
      <c r="I61" s="31">
        <f t="shared" si="14"/>
        <v>-93000</v>
      </c>
      <c r="J61" s="31">
        <f t="shared" si="14"/>
        <v>0</v>
      </c>
      <c r="K61" s="31">
        <f t="shared" si="14"/>
        <v>0</v>
      </c>
      <c r="L61" s="31">
        <f t="shared" si="14"/>
        <v>0</v>
      </c>
      <c r="M61" s="31">
        <f t="shared" si="14"/>
        <v>-100000</v>
      </c>
      <c r="N61" s="31">
        <f t="shared" si="13"/>
        <v>-493000</v>
      </c>
      <c r="O61" s="35">
        <f>CASHFLOW!D20</f>
        <v>-493000</v>
      </c>
      <c r="P61" s="12"/>
      <c r="Q61" s="22"/>
      <c r="R61" s="22"/>
      <c r="S61" s="22"/>
      <c r="T61" s="22"/>
      <c r="U61" s="22"/>
      <c r="V61" s="22"/>
      <c r="W61" s="22"/>
      <c r="X61" s="22"/>
      <c r="Y61" s="22"/>
    </row>
    <row r="62" spans="1:25" ht="12.75" customHeight="1">
      <c r="A62" s="4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>
        <f>CASHFLOW!D21</f>
        <v>0</v>
      </c>
      <c r="P62" s="4"/>
      <c r="Q62" s="22"/>
      <c r="R62" s="22"/>
      <c r="S62" s="22"/>
      <c r="T62" s="22"/>
      <c r="U62" s="22"/>
      <c r="V62" s="22"/>
      <c r="W62" s="22"/>
      <c r="X62" s="22"/>
      <c r="Y62" s="22"/>
    </row>
    <row r="63" spans="1:25" ht="12.75" customHeight="1">
      <c r="A63" s="6" t="s">
        <v>294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>
        <f>CASHFLOW!D22</f>
        <v>0</v>
      </c>
      <c r="P63" s="6"/>
      <c r="Q63" s="22"/>
      <c r="R63" s="22"/>
      <c r="S63" s="22"/>
      <c r="T63" s="22"/>
      <c r="U63" s="22"/>
      <c r="V63" s="22"/>
      <c r="W63" s="22"/>
      <c r="X63" s="22"/>
      <c r="Y63" s="22"/>
    </row>
    <row r="64" spans="1:25" ht="12.75" customHeight="1">
      <c r="A64" s="4" t="s">
        <v>295</v>
      </c>
      <c r="B64" s="35">
        <f>IF(FUNDING!D19&gt;=0,FUNDING!D19,0)</f>
        <v>0</v>
      </c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>
        <f>IF(FUNDING!D19&lt;0,FUNDING!D19,0)</f>
        <v>-100000</v>
      </c>
      <c r="N64" s="31">
        <f t="shared" ref="N64:N70" si="15">SUM(B64:M64)</f>
        <v>-100000</v>
      </c>
      <c r="O64" s="35">
        <f>CASHFLOW!D23</f>
        <v>-100000</v>
      </c>
      <c r="P64" s="4"/>
      <c r="Q64" s="22"/>
      <c r="R64" s="22"/>
      <c r="S64" s="22"/>
      <c r="T64" s="22"/>
      <c r="U64" s="22"/>
      <c r="V64" s="22"/>
      <c r="W64" s="22"/>
      <c r="X64" s="22"/>
      <c r="Y64" s="22"/>
    </row>
    <row r="65" spans="1:25" ht="12.75" customHeight="1">
      <c r="A65" s="4" t="s">
        <v>296</v>
      </c>
      <c r="B65" s="35">
        <f>IF(FUNDING!D27&gt;=0,FUNDING!D27,0)</f>
        <v>25000</v>
      </c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>
        <f>IF(FUNDING!D27&lt;0,FUNDING!D27,0)</f>
        <v>0</v>
      </c>
      <c r="N65" s="31">
        <f t="shared" si="15"/>
        <v>25000</v>
      </c>
      <c r="O65" s="35">
        <f>CASHFLOW!D24</f>
        <v>25000</v>
      </c>
      <c r="P65" s="4"/>
      <c r="Q65" s="22"/>
      <c r="R65" s="22"/>
      <c r="S65" s="22"/>
      <c r="T65" s="22"/>
      <c r="U65" s="22"/>
      <c r="V65" s="22"/>
      <c r="W65" s="22"/>
      <c r="X65" s="22"/>
      <c r="Y65" s="22"/>
    </row>
    <row r="66" spans="1:25" ht="12.75" customHeight="1">
      <c r="A66" s="4" t="s">
        <v>297</v>
      </c>
      <c r="B66" s="35">
        <f>IF(FUNDING!D28&gt;=0,FUNDING!D28,0)</f>
        <v>0</v>
      </c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>
        <f>IF(FUNDING!D28&lt;0,FUNDING!D28,0)</f>
        <v>-150000</v>
      </c>
      <c r="N66" s="31">
        <f t="shared" si="15"/>
        <v>-150000</v>
      </c>
      <c r="O66" s="35">
        <f>CASHFLOW!D25</f>
        <v>-150000</v>
      </c>
      <c r="P66" s="4"/>
      <c r="Q66" s="22"/>
      <c r="R66" s="22"/>
      <c r="S66" s="22"/>
      <c r="T66" s="22"/>
      <c r="U66" s="22"/>
      <c r="V66" s="22"/>
      <c r="W66" s="22"/>
      <c r="X66" s="22"/>
      <c r="Y66" s="22"/>
    </row>
    <row r="67" spans="1:25" ht="12.75" customHeight="1">
      <c r="A67" s="4" t="s">
        <v>298</v>
      </c>
      <c r="B67" s="35">
        <f>IF(FUNDING!D9&gt;=0,FUNDING!D9,0)</f>
        <v>250000</v>
      </c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>
        <f>IF(FUNDING!D9&lt;0,FUNDING!CC9,0)</f>
        <v>0</v>
      </c>
      <c r="N67" s="31">
        <f t="shared" si="15"/>
        <v>250000</v>
      </c>
      <c r="O67" s="35">
        <f>CASHFLOW!D26</f>
        <v>250000</v>
      </c>
      <c r="P67" s="4"/>
      <c r="Q67" s="22"/>
      <c r="R67" s="22"/>
      <c r="S67" s="22"/>
      <c r="T67" s="22"/>
      <c r="U67" s="22"/>
      <c r="V67" s="22"/>
      <c r="W67" s="22"/>
      <c r="X67" s="22"/>
      <c r="Y67" s="22"/>
    </row>
    <row r="68" spans="1:25" ht="12.75" customHeight="1">
      <c r="A68" s="4" t="s">
        <v>299</v>
      </c>
      <c r="B68" s="35">
        <f>IF(FUNDING!D14&gt;=0,FUNDING!D14,0)</f>
        <v>750000</v>
      </c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>
        <f>IF(FUNDING!D14&lt;0,FUNDING!D14,0)</f>
        <v>0</v>
      </c>
      <c r="N68" s="31">
        <f t="shared" si="15"/>
        <v>750000</v>
      </c>
      <c r="O68" s="35">
        <f>CASHFLOW!D27</f>
        <v>750000</v>
      </c>
      <c r="P68" s="4"/>
      <c r="Q68" s="22"/>
      <c r="R68" s="22"/>
      <c r="S68" s="22"/>
      <c r="T68" s="22"/>
      <c r="U68" s="22"/>
      <c r="V68" s="22"/>
      <c r="W68" s="22"/>
      <c r="X68" s="22"/>
      <c r="Y68" s="22"/>
    </row>
    <row r="69" spans="1:25" ht="12.75" customHeight="1">
      <c r="A69" s="4" t="s">
        <v>300</v>
      </c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>
        <f>-FUNDING!D49</f>
        <v>-30000</v>
      </c>
      <c r="N69" s="60">
        <f t="shared" si="15"/>
        <v>-30000</v>
      </c>
      <c r="O69" s="84">
        <f>CASHFLOW!D28</f>
        <v>-30000</v>
      </c>
      <c r="P69" s="4"/>
      <c r="Q69" s="22"/>
      <c r="R69" s="22"/>
      <c r="S69" s="22"/>
      <c r="T69" s="22"/>
      <c r="U69" s="22"/>
      <c r="V69" s="22"/>
      <c r="W69" s="22"/>
      <c r="X69" s="22"/>
      <c r="Y69" s="22"/>
    </row>
    <row r="70" spans="1:25" ht="12.75" customHeight="1">
      <c r="A70" s="12" t="s">
        <v>301</v>
      </c>
      <c r="B70" s="31">
        <f t="shared" ref="B70:M70" si="16">SUM(B64:B69)</f>
        <v>1025000</v>
      </c>
      <c r="C70" s="31">
        <f t="shared" si="16"/>
        <v>0</v>
      </c>
      <c r="D70" s="31">
        <f t="shared" si="16"/>
        <v>0</v>
      </c>
      <c r="E70" s="31">
        <f t="shared" si="16"/>
        <v>0</v>
      </c>
      <c r="F70" s="31">
        <f t="shared" si="16"/>
        <v>0</v>
      </c>
      <c r="G70" s="31">
        <f t="shared" si="16"/>
        <v>0</v>
      </c>
      <c r="H70" s="31">
        <f t="shared" si="16"/>
        <v>0</v>
      </c>
      <c r="I70" s="31">
        <f t="shared" si="16"/>
        <v>0</v>
      </c>
      <c r="J70" s="31">
        <f t="shared" si="16"/>
        <v>0</v>
      </c>
      <c r="K70" s="31">
        <f t="shared" si="16"/>
        <v>0</v>
      </c>
      <c r="L70" s="31">
        <f t="shared" si="16"/>
        <v>0</v>
      </c>
      <c r="M70" s="31">
        <f t="shared" si="16"/>
        <v>-280000</v>
      </c>
      <c r="N70" s="31">
        <f t="shared" si="15"/>
        <v>745000</v>
      </c>
      <c r="O70" s="35">
        <f>CASHFLOW!D29</f>
        <v>745000</v>
      </c>
      <c r="P70" s="12"/>
      <c r="Q70" s="22"/>
      <c r="R70" s="22"/>
      <c r="S70" s="22"/>
      <c r="T70" s="22"/>
      <c r="U70" s="22"/>
      <c r="V70" s="22"/>
      <c r="W70" s="22"/>
      <c r="X70" s="22"/>
      <c r="Y70" s="22"/>
    </row>
    <row r="71" spans="1:25" ht="12.75" customHeight="1">
      <c r="A71" s="4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21">
        <f>CASHFLOW!D30</f>
        <v>0</v>
      </c>
      <c r="P71" s="4"/>
      <c r="Q71" s="22"/>
      <c r="R71" s="22"/>
      <c r="S71" s="22"/>
      <c r="T71" s="22"/>
      <c r="U71" s="22"/>
      <c r="V71" s="22"/>
      <c r="W71" s="22"/>
      <c r="X71" s="22"/>
      <c r="Y71" s="22"/>
    </row>
    <row r="72" spans="1:25" ht="12.75" customHeight="1">
      <c r="A72" s="6" t="s">
        <v>302</v>
      </c>
      <c r="B72" s="60">
        <f t="shared" ref="B72:M72" si="17">B56+B61+B70</f>
        <v>607496.11111111101</v>
      </c>
      <c r="C72" s="60">
        <f t="shared" si="17"/>
        <v>-146619.35744444438</v>
      </c>
      <c r="D72" s="60">
        <f t="shared" si="17"/>
        <v>-33143.76317199997</v>
      </c>
      <c r="E72" s="60">
        <f t="shared" si="17"/>
        <v>300873.67617200001</v>
      </c>
      <c r="F72" s="60">
        <f t="shared" si="17"/>
        <v>6825.0000000000291</v>
      </c>
      <c r="G72" s="60">
        <f t="shared" si="17"/>
        <v>-133174.99999999997</v>
      </c>
      <c r="H72" s="60">
        <f t="shared" si="17"/>
        <v>-33174.999999999971</v>
      </c>
      <c r="I72" s="60">
        <f t="shared" si="17"/>
        <v>-126174.99999999997</v>
      </c>
      <c r="J72" s="60">
        <f t="shared" si="17"/>
        <v>-33174.999999999971</v>
      </c>
      <c r="K72" s="60">
        <f t="shared" si="17"/>
        <v>-8174.9999999999709</v>
      </c>
      <c r="L72" s="60">
        <f t="shared" si="17"/>
        <v>-33174.999999999971</v>
      </c>
      <c r="M72" s="60">
        <f t="shared" si="17"/>
        <v>-413175</v>
      </c>
      <c r="N72" s="60">
        <f>SUM(B72:M72)</f>
        <v>-44793.333333333256</v>
      </c>
      <c r="O72" s="99">
        <f>CASHFLOW!D31</f>
        <v>-44793.333333333489</v>
      </c>
      <c r="P72" s="6"/>
      <c r="Q72" s="22"/>
      <c r="R72" s="22"/>
      <c r="S72" s="22"/>
      <c r="T72" s="22"/>
      <c r="U72" s="22"/>
      <c r="V72" s="22"/>
      <c r="W72" s="22"/>
      <c r="X72" s="22"/>
      <c r="Y72" s="22"/>
    </row>
    <row r="73" spans="1:25" ht="12.75" customHeight="1">
      <c r="A73" s="4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4"/>
      <c r="Q73" s="22"/>
      <c r="R73" s="22"/>
      <c r="S73" s="22"/>
      <c r="T73" s="22"/>
      <c r="U73" s="22"/>
      <c r="V73" s="22"/>
      <c r="W73" s="22"/>
      <c r="X73" s="22"/>
      <c r="Y73" s="22"/>
    </row>
    <row r="74" spans="1:25" ht="12.75" customHeight="1">
      <c r="A74" s="6" t="s">
        <v>337</v>
      </c>
      <c r="B74" s="31">
        <f>M39</f>
        <v>3439333.3333333363</v>
      </c>
      <c r="C74" s="31">
        <f t="shared" ref="C74:M74" si="18">B75</f>
        <v>4046829.4444444473</v>
      </c>
      <c r="D74" s="31">
        <f t="shared" si="18"/>
        <v>3900210.0870000031</v>
      </c>
      <c r="E74" s="31">
        <f t="shared" si="18"/>
        <v>3867066.3238280029</v>
      </c>
      <c r="F74" s="31">
        <f t="shared" si="18"/>
        <v>4167940.0000000028</v>
      </c>
      <c r="G74" s="31">
        <f t="shared" si="18"/>
        <v>4174765.0000000028</v>
      </c>
      <c r="H74" s="31">
        <f t="shared" si="18"/>
        <v>4041590.0000000028</v>
      </c>
      <c r="I74" s="31">
        <f t="shared" si="18"/>
        <v>4008415.0000000028</v>
      </c>
      <c r="J74" s="31">
        <f t="shared" si="18"/>
        <v>3882240.0000000028</v>
      </c>
      <c r="K74" s="31">
        <f t="shared" si="18"/>
        <v>3849065.0000000028</v>
      </c>
      <c r="L74" s="31">
        <f t="shared" si="18"/>
        <v>3840890.0000000028</v>
      </c>
      <c r="M74" s="31">
        <f t="shared" si="18"/>
        <v>3807715.0000000028</v>
      </c>
      <c r="N74" s="21"/>
      <c r="O74" s="35">
        <f>CASHFLOW!D33</f>
        <v>3439333.3333333335</v>
      </c>
      <c r="P74" s="6"/>
      <c r="Q74" s="22"/>
      <c r="R74" s="22"/>
      <c r="S74" s="22"/>
      <c r="T74" s="22"/>
      <c r="U74" s="22"/>
      <c r="V74" s="22"/>
      <c r="W74" s="22"/>
      <c r="X74" s="22"/>
      <c r="Y74" s="22"/>
    </row>
    <row r="75" spans="1:25" ht="12.75" customHeight="1">
      <c r="A75" s="6" t="s">
        <v>338</v>
      </c>
      <c r="B75" s="31">
        <f t="shared" ref="B75:M75" si="19">B74+B72</f>
        <v>4046829.4444444473</v>
      </c>
      <c r="C75" s="31">
        <f t="shared" si="19"/>
        <v>3900210.0870000031</v>
      </c>
      <c r="D75" s="31">
        <f t="shared" si="19"/>
        <v>3867066.3238280029</v>
      </c>
      <c r="E75" s="31">
        <f t="shared" si="19"/>
        <v>4167940.0000000028</v>
      </c>
      <c r="F75" s="31">
        <f t="shared" si="19"/>
        <v>4174765.0000000028</v>
      </c>
      <c r="G75" s="31">
        <f t="shared" si="19"/>
        <v>4041590.0000000028</v>
      </c>
      <c r="H75" s="31">
        <f t="shared" si="19"/>
        <v>4008415.0000000028</v>
      </c>
      <c r="I75" s="31">
        <f t="shared" si="19"/>
        <v>3882240.0000000028</v>
      </c>
      <c r="J75" s="31">
        <f t="shared" si="19"/>
        <v>3849065.0000000028</v>
      </c>
      <c r="K75" s="31">
        <f t="shared" si="19"/>
        <v>3840890.0000000028</v>
      </c>
      <c r="L75" s="31">
        <f t="shared" si="19"/>
        <v>3807715.0000000028</v>
      </c>
      <c r="M75" s="31">
        <f t="shared" si="19"/>
        <v>3394540.0000000028</v>
      </c>
      <c r="N75" s="21"/>
      <c r="O75" s="35">
        <f>CASHFLOW!D34</f>
        <v>3394540</v>
      </c>
      <c r="P75" s="6"/>
      <c r="Q75" s="22"/>
      <c r="R75" s="22"/>
      <c r="S75" s="22"/>
      <c r="T75" s="22"/>
      <c r="U75" s="22"/>
      <c r="V75" s="22"/>
      <c r="W75" s="22"/>
      <c r="X75" s="22"/>
      <c r="Y75" s="22"/>
    </row>
    <row r="76" spans="1:25" ht="12.7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 spans="1:25" ht="12.7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 spans="1:25" ht="20.25" customHeight="1">
      <c r="A78" s="113" t="str">
        <f>A1</f>
        <v>XYZ Company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 spans="1:25" ht="15.75" customHeight="1">
      <c r="A79" s="9" t="s">
        <v>335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3" t="s">
        <v>11</v>
      </c>
      <c r="R79" s="3" t="s">
        <v>12</v>
      </c>
      <c r="S79" s="3" t="s">
        <v>13</v>
      </c>
      <c r="T79" s="22"/>
      <c r="U79" s="22"/>
      <c r="V79" s="22"/>
      <c r="W79" s="22"/>
      <c r="X79" s="22"/>
      <c r="Y79" s="22"/>
    </row>
    <row r="80" spans="1:25" ht="15.75" customHeight="1">
      <c r="A80" s="9" t="s">
        <v>316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3" t="s">
        <v>312</v>
      </c>
      <c r="R80" s="3" t="s">
        <v>312</v>
      </c>
      <c r="S80" s="3" t="s">
        <v>312</v>
      </c>
      <c r="T80" s="22"/>
      <c r="U80" s="22"/>
      <c r="V80" s="22"/>
      <c r="W80" s="22"/>
      <c r="X80" s="22"/>
      <c r="Y80" s="22"/>
    </row>
    <row r="81" spans="1:25" ht="15.75" customHeight="1">
      <c r="A81" s="9"/>
      <c r="B81" s="188" t="s">
        <v>11</v>
      </c>
      <c r="C81" s="189"/>
      <c r="D81" s="189"/>
      <c r="E81" s="189"/>
      <c r="F81" s="189"/>
      <c r="G81" s="188" t="s">
        <v>12</v>
      </c>
      <c r="H81" s="189"/>
      <c r="I81" s="189"/>
      <c r="J81" s="189"/>
      <c r="K81" s="189"/>
      <c r="L81" s="188" t="s">
        <v>13</v>
      </c>
      <c r="M81" s="189"/>
      <c r="N81" s="189"/>
      <c r="O81" s="189"/>
      <c r="P81" s="189"/>
      <c r="Q81" s="114" t="s">
        <v>314</v>
      </c>
      <c r="R81" s="114" t="s">
        <v>314</v>
      </c>
      <c r="S81" s="114" t="s">
        <v>314</v>
      </c>
      <c r="T81" s="22"/>
      <c r="U81" s="22"/>
      <c r="V81" s="22"/>
      <c r="W81" s="22"/>
      <c r="X81" s="22"/>
      <c r="Y81" s="22"/>
    </row>
    <row r="82" spans="1:25" ht="12.75" customHeight="1">
      <c r="A82" s="4"/>
      <c r="B82" s="116" t="s">
        <v>317</v>
      </c>
      <c r="C82" s="116" t="s">
        <v>318</v>
      </c>
      <c r="D82" s="116" t="s">
        <v>319</v>
      </c>
      <c r="E82" s="116" t="s">
        <v>320</v>
      </c>
      <c r="F82" s="116" t="s">
        <v>93</v>
      </c>
      <c r="G82" s="116" t="s">
        <v>317</v>
      </c>
      <c r="H82" s="116" t="s">
        <v>321</v>
      </c>
      <c r="I82" s="116" t="s">
        <v>322</v>
      </c>
      <c r="J82" s="116" t="s">
        <v>323</v>
      </c>
      <c r="K82" s="116" t="s">
        <v>93</v>
      </c>
      <c r="L82" s="116" t="s">
        <v>317</v>
      </c>
      <c r="M82" s="116" t="s">
        <v>321</v>
      </c>
      <c r="N82" s="116" t="s">
        <v>322</v>
      </c>
      <c r="O82" s="116" t="s">
        <v>323</v>
      </c>
      <c r="P82" s="116" t="s">
        <v>93</v>
      </c>
      <c r="Q82" s="22"/>
      <c r="R82" s="22"/>
      <c r="S82" s="22"/>
      <c r="T82" s="22"/>
      <c r="U82" s="22"/>
      <c r="V82" s="22"/>
      <c r="W82" s="22"/>
      <c r="X82" s="22"/>
      <c r="Y82" s="22"/>
    </row>
    <row r="83" spans="1:25" ht="15.75" customHeight="1">
      <c r="A83" s="6" t="s">
        <v>280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8"/>
      <c r="Q83" s="22"/>
      <c r="R83" s="22"/>
      <c r="S83" s="22"/>
      <c r="T83" s="22"/>
      <c r="U83" s="6"/>
      <c r="V83" s="22"/>
      <c r="W83" s="22"/>
      <c r="X83" s="22"/>
      <c r="Y83" s="22"/>
    </row>
    <row r="84" spans="1:25" ht="12.75" customHeight="1">
      <c r="A84" s="4" t="s">
        <v>281</v>
      </c>
      <c r="B84" s="117">
        <f>'INCOME-MOS'!C102</f>
        <v>157088.21428571432</v>
      </c>
      <c r="C84" s="117">
        <f>'INCOME-MOS'!D102</f>
        <v>77088.214285714319</v>
      </c>
      <c r="D84" s="117">
        <f>'INCOME-MOS'!E102</f>
        <v>137088.21428571432</v>
      </c>
      <c r="E84" s="117">
        <f>'INCOME-MOS'!F102</f>
        <v>117088.21428571432</v>
      </c>
      <c r="F84" s="63">
        <f t="shared" ref="F84:F85" si="20">SUM(B84:E84)</f>
        <v>488352.85714285728</v>
      </c>
      <c r="G84" s="117">
        <f>'INCOME-MOS'!H102</f>
        <v>295765.45329600398</v>
      </c>
      <c r="H84" s="117">
        <f>'INCOME-MOS'!I102</f>
        <v>267268.81193787116</v>
      </c>
      <c r="I84" s="117">
        <f>'INCOME-MOS'!J102</f>
        <v>210275.52922160551</v>
      </c>
      <c r="J84" s="117">
        <f>'INCOME-MOS'!K102</f>
        <v>253020.49125880474</v>
      </c>
      <c r="K84" s="63">
        <f t="shared" ref="K84:K85" si="21">SUM(G84:J84)</f>
        <v>1026330.2857142854</v>
      </c>
      <c r="L84" s="117">
        <f>'INCOME-MOS'!M102</f>
        <v>577484.64285714296</v>
      </c>
      <c r="M84" s="117">
        <f>'INCOME-MOS'!N102</f>
        <v>547484.64285714296</v>
      </c>
      <c r="N84" s="117">
        <f>'INCOME-MOS'!O102</f>
        <v>535484.64285714296</v>
      </c>
      <c r="O84" s="117">
        <f>'INCOME-MOS'!P102</f>
        <v>487484.64285714302</v>
      </c>
      <c r="P84" s="63">
        <f t="shared" ref="P84:P85" si="22">SUM(L84:O84)</f>
        <v>2147938.5714285718</v>
      </c>
      <c r="Q84" s="117">
        <f>CASHFLOW!E7</f>
        <v>488352.85714285728</v>
      </c>
      <c r="R84" s="117">
        <f>CASHFLOW!F7</f>
        <v>1026330.2857142854</v>
      </c>
      <c r="S84" s="117">
        <f>CASHFLOW!G7</f>
        <v>2147938.5714285709</v>
      </c>
      <c r="T84" s="22"/>
      <c r="U84" s="4"/>
      <c r="V84" s="22"/>
      <c r="W84" s="22"/>
      <c r="X84" s="22"/>
      <c r="Y84" s="22"/>
    </row>
    <row r="85" spans="1:25" ht="12.75" customHeight="1">
      <c r="A85" s="4" t="s">
        <v>282</v>
      </c>
      <c r="B85" s="117">
        <f>'PROP &amp; EQUIP'!$E$47/4</f>
        <v>62714.28571428571</v>
      </c>
      <c r="C85" s="117">
        <f>'PROP &amp; EQUIP'!$E$47/4</f>
        <v>62714.28571428571</v>
      </c>
      <c r="D85" s="117">
        <f>'PROP &amp; EQUIP'!$E$47/4</f>
        <v>62714.28571428571</v>
      </c>
      <c r="E85" s="117">
        <f>'PROP &amp; EQUIP'!$E$47/4</f>
        <v>62714.28571428571</v>
      </c>
      <c r="F85" s="63">
        <f t="shared" si="20"/>
        <v>250857.14285714284</v>
      </c>
      <c r="G85" s="117">
        <f>'PROP &amp; EQUIP'!$F$47/4</f>
        <v>95791.666666666672</v>
      </c>
      <c r="H85" s="117">
        <f>'PROP &amp; EQUIP'!$F$47/4</f>
        <v>95791.666666666672</v>
      </c>
      <c r="I85" s="117">
        <f>'PROP &amp; EQUIP'!$F$47/4</f>
        <v>95791.666666666672</v>
      </c>
      <c r="J85" s="117">
        <f>'PROP &amp; EQUIP'!$F$47/4</f>
        <v>95791.666666666672</v>
      </c>
      <c r="K85" s="63">
        <f t="shared" si="21"/>
        <v>383166.66666666669</v>
      </c>
      <c r="L85" s="117">
        <f>'PROP &amp; EQUIP'!$G$47/4</f>
        <v>129238.09523809524</v>
      </c>
      <c r="M85" s="117">
        <f>'PROP &amp; EQUIP'!$G$47/4</f>
        <v>129238.09523809524</v>
      </c>
      <c r="N85" s="117">
        <f>'PROP &amp; EQUIP'!$G$47/4</f>
        <v>129238.09523809524</v>
      </c>
      <c r="O85" s="117">
        <f>'PROP &amp; EQUIP'!$G$47/4</f>
        <v>129238.09523809524</v>
      </c>
      <c r="P85" s="63">
        <f t="shared" si="22"/>
        <v>516952.38095238095</v>
      </c>
      <c r="Q85" s="117">
        <f>CASHFLOW!E8</f>
        <v>250857.14285714284</v>
      </c>
      <c r="R85" s="117">
        <f>CASHFLOW!F8</f>
        <v>383166.66666666669</v>
      </c>
      <c r="S85" s="117">
        <f>CASHFLOW!G8</f>
        <v>516952.38095238095</v>
      </c>
      <c r="T85" s="22"/>
      <c r="U85" s="4"/>
      <c r="V85" s="22"/>
      <c r="W85" s="22"/>
      <c r="X85" s="22"/>
      <c r="Y85" s="22"/>
    </row>
    <row r="86" spans="1:25" ht="12.75" customHeight="1">
      <c r="A86" s="4" t="s">
        <v>283</v>
      </c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117"/>
      <c r="R86" s="117"/>
      <c r="S86" s="117"/>
      <c r="T86" s="22"/>
      <c r="U86" s="4"/>
      <c r="V86" s="22"/>
      <c r="W86" s="22"/>
      <c r="X86" s="22"/>
      <c r="Y86" s="22"/>
    </row>
    <row r="87" spans="1:25" ht="12.75" customHeight="1">
      <c r="A87" s="12" t="s">
        <v>284</v>
      </c>
      <c r="B87" s="35">
        <f>-(WORKCAP!$E69-WORKCAP!$D78)</f>
        <v>-178865</v>
      </c>
      <c r="C87" s="35">
        <f>-(WORKCAP!$E72-WORKCAP!$E69)</f>
        <v>0</v>
      </c>
      <c r="D87" s="35">
        <f>-(WORKCAP!$E75-WORKCAP!$E72)</f>
        <v>0</v>
      </c>
      <c r="E87" s="35">
        <f>-(WORKCAP!$E78-WORKCAP!$E75)</f>
        <v>0</v>
      </c>
      <c r="F87" s="63">
        <f t="shared" ref="F87:F92" si="23">SUM(B87:E87)</f>
        <v>-178865</v>
      </c>
      <c r="G87" s="35">
        <f>-(WORKCAP!$F69-WORKCAP!$E78)</f>
        <v>-176375.00000000006</v>
      </c>
      <c r="H87" s="35">
        <f>-(WORKCAP!$F72-WORKCAP!$F69)</f>
        <v>0</v>
      </c>
      <c r="I87" s="35">
        <f>-(WORKCAP!$F75-WORKCAP!$F72)</f>
        <v>0</v>
      </c>
      <c r="J87" s="35">
        <f>-(WORKCAP!$F78-WORKCAP!$F75)</f>
        <v>0</v>
      </c>
      <c r="K87" s="63">
        <f t="shared" ref="K87:K92" si="24">SUM(G87:J87)</f>
        <v>-176375.00000000006</v>
      </c>
      <c r="L87" s="35">
        <f>-(WORKCAP!$G69-WORKCAP!$F78)</f>
        <v>-332000</v>
      </c>
      <c r="M87" s="35">
        <f>-(WORKCAP!$G72-WORKCAP!$G69)</f>
        <v>0</v>
      </c>
      <c r="N87" s="35">
        <f>-(WORKCAP!$G75-WORKCAP!$G72)</f>
        <v>0</v>
      </c>
      <c r="O87" s="35">
        <f>-(WORKCAP!$G78-WORKCAP!$G75)</f>
        <v>0</v>
      </c>
      <c r="P87" s="63">
        <f t="shared" ref="P87:P92" si="25">SUM(L87:O87)</f>
        <v>-332000</v>
      </c>
      <c r="Q87" s="117">
        <f>CASHFLOW!E10</f>
        <v>-178865</v>
      </c>
      <c r="R87" s="117">
        <f>CASHFLOW!F10</f>
        <v>-176375.00000000006</v>
      </c>
      <c r="S87" s="117">
        <f>CASHFLOW!G10</f>
        <v>-332000</v>
      </c>
      <c r="T87" s="22"/>
      <c r="U87" s="12"/>
      <c r="V87" s="22"/>
      <c r="W87" s="22"/>
      <c r="X87" s="22"/>
      <c r="Y87" s="22"/>
    </row>
    <row r="88" spans="1:25" ht="12.75" customHeight="1">
      <c r="A88" s="12" t="s">
        <v>285</v>
      </c>
      <c r="B88" s="117">
        <f>-(WORKCAP!E86-WORKCAP!D95)</f>
        <v>-82944.999999999942</v>
      </c>
      <c r="C88" s="117">
        <f>-(WORKCAP!E89-WORKCAP!E86)</f>
        <v>0</v>
      </c>
      <c r="D88" s="117">
        <f>-(WORKCAP!E92-WORKCAP!E89)</f>
        <v>0</v>
      </c>
      <c r="E88" s="117">
        <f>-(WORKCAP!E95-WORKCAP!E92)</f>
        <v>0</v>
      </c>
      <c r="F88" s="63">
        <f t="shared" si="23"/>
        <v>-82944.999999999942</v>
      </c>
      <c r="G88" s="117">
        <f>-(WORKCAP!F86-WORKCAP!E95)</f>
        <v>-142375</v>
      </c>
      <c r="H88" s="117">
        <f>-(WORKCAP!F89-WORKCAP!F86)</f>
        <v>0</v>
      </c>
      <c r="I88" s="117">
        <f>-(WORKCAP!F92-WORKCAP!F89)</f>
        <v>0</v>
      </c>
      <c r="J88" s="117">
        <f>-(WORKCAP!F95-WORKCAP!F92)</f>
        <v>0</v>
      </c>
      <c r="K88" s="63">
        <f t="shared" si="24"/>
        <v>-142375</v>
      </c>
      <c r="L88" s="117">
        <f>-(WORKCAP!G86-WORKCAP!F95)</f>
        <v>-268000</v>
      </c>
      <c r="M88" s="117">
        <f>-(WORKCAP!G89-WORKCAP!G86)</f>
        <v>0</v>
      </c>
      <c r="N88" s="117">
        <f>-(WORKCAP!G92-WORKCAP!G89)</f>
        <v>0</v>
      </c>
      <c r="O88" s="117">
        <f>-(WORKCAP!G95-WORKCAP!G92)</f>
        <v>0</v>
      </c>
      <c r="P88" s="63">
        <f t="shared" si="25"/>
        <v>-268000</v>
      </c>
      <c r="Q88" s="117">
        <f>CASHFLOW!E11</f>
        <v>-82944.999999999942</v>
      </c>
      <c r="R88" s="117">
        <f>CASHFLOW!F11</f>
        <v>-142375</v>
      </c>
      <c r="S88" s="117">
        <f>CASHFLOW!G11</f>
        <v>-268000</v>
      </c>
      <c r="T88" s="22"/>
      <c r="U88" s="12"/>
      <c r="V88" s="22"/>
      <c r="W88" s="22"/>
      <c r="X88" s="22"/>
      <c r="Y88" s="22"/>
    </row>
    <row r="89" spans="1:25" ht="12.75" customHeight="1">
      <c r="A89" s="12" t="s">
        <v>286</v>
      </c>
      <c r="B89" s="117">
        <f>-(WORKCAP!E103-WORKCAP!D112)</f>
        <v>-21550</v>
      </c>
      <c r="C89" s="117">
        <f>-(WORKCAP!E106-WORKCAP!E103)</f>
        <v>0</v>
      </c>
      <c r="D89" s="117">
        <f>-(WORKCAP!E109-WORKCAP!E106)</f>
        <v>0</v>
      </c>
      <c r="E89" s="117">
        <f>-(WORKCAP!E112-WORKCAP!E109)</f>
        <v>0</v>
      </c>
      <c r="F89" s="63">
        <f t="shared" si="23"/>
        <v>-21550</v>
      </c>
      <c r="G89" s="117">
        <f>-(WORKCAP!F103-WORKCAP!E112)</f>
        <v>-21250</v>
      </c>
      <c r="H89" s="117">
        <f>-(WORKCAP!F106-WORKCAP!F103)</f>
        <v>0</v>
      </c>
      <c r="I89" s="117">
        <f>-(WORKCAP!F109-WORKCAP!F106)</f>
        <v>0</v>
      </c>
      <c r="J89" s="117">
        <f>-(WORKCAP!F112-WORKCAP!F109)</f>
        <v>0</v>
      </c>
      <c r="K89" s="63">
        <f t="shared" si="24"/>
        <v>-21250</v>
      </c>
      <c r="L89" s="117">
        <f>-(WORKCAP!G103-WORKCAP!F112)</f>
        <v>-40000</v>
      </c>
      <c r="M89" s="117">
        <f>-(WORKCAP!G106-WORKCAP!G103)</f>
        <v>0</v>
      </c>
      <c r="N89" s="117">
        <f>-(WORKCAP!G109-WORKCAP!G106)</f>
        <v>0</v>
      </c>
      <c r="O89" s="117">
        <f>-(WORKCAP!G112-WORKCAP!G109)</f>
        <v>0</v>
      </c>
      <c r="P89" s="63">
        <f t="shared" si="25"/>
        <v>-40000</v>
      </c>
      <c r="Q89" s="117">
        <f>CASHFLOW!E12</f>
        <v>-21550</v>
      </c>
      <c r="R89" s="117">
        <f>CASHFLOW!F12</f>
        <v>-21250</v>
      </c>
      <c r="S89" s="117">
        <f>CASHFLOW!G12</f>
        <v>-40000</v>
      </c>
      <c r="T89" s="22"/>
      <c r="U89" s="12"/>
      <c r="V89" s="22"/>
      <c r="W89" s="22"/>
      <c r="X89" s="22"/>
      <c r="Y89" s="22"/>
    </row>
    <row r="90" spans="1:25" ht="12.75" customHeight="1">
      <c r="A90" s="12" t="s">
        <v>287</v>
      </c>
      <c r="B90" s="117">
        <f>(WORKCAP!E120-WORKCAP!D129)</f>
        <v>187485</v>
      </c>
      <c r="C90" s="117">
        <f>(WORKCAP!E123-WORKCAP!E120)</f>
        <v>0</v>
      </c>
      <c r="D90" s="117">
        <f>(WORKCAP!E126-WORKCAP!E123)</f>
        <v>0</v>
      </c>
      <c r="E90" s="117">
        <f>(WORKCAP!E129-WORKCAP!E126)</f>
        <v>0</v>
      </c>
      <c r="F90" s="63">
        <f t="shared" si="23"/>
        <v>187485</v>
      </c>
      <c r="G90" s="117">
        <f>(WORKCAP!F120-WORKCAP!E129)</f>
        <v>184874.99999999994</v>
      </c>
      <c r="H90" s="117">
        <f>(WORKCAP!F123-WORKCAP!F120)</f>
        <v>0</v>
      </c>
      <c r="I90" s="117">
        <f>(WORKCAP!F126-WORKCAP!F123)</f>
        <v>0</v>
      </c>
      <c r="J90" s="117">
        <f>(WORKCAP!F129-WORKCAP!F126)</f>
        <v>0</v>
      </c>
      <c r="K90" s="63">
        <f t="shared" si="24"/>
        <v>184874.99999999994</v>
      </c>
      <c r="L90" s="117">
        <f>(WORKCAP!G120-WORKCAP!F129)</f>
        <v>347999.99999999988</v>
      </c>
      <c r="M90" s="117">
        <f>(WORKCAP!G123-WORKCAP!G120)</f>
        <v>0</v>
      </c>
      <c r="N90" s="117">
        <f>(WORKCAP!G126-WORKCAP!G123)</f>
        <v>0</v>
      </c>
      <c r="O90" s="117">
        <f>(WORKCAP!G129-WORKCAP!G126)</f>
        <v>0</v>
      </c>
      <c r="P90" s="63">
        <f t="shared" si="25"/>
        <v>347999.99999999988</v>
      </c>
      <c r="Q90" s="117">
        <f>CASHFLOW!E13</f>
        <v>187485</v>
      </c>
      <c r="R90" s="117">
        <f>CASHFLOW!F13</f>
        <v>184874.99999999994</v>
      </c>
      <c r="S90" s="117">
        <f>CASHFLOW!G13</f>
        <v>347999.99999999988</v>
      </c>
      <c r="T90" s="22"/>
      <c r="U90" s="12"/>
      <c r="V90" s="22"/>
      <c r="W90" s="22"/>
      <c r="X90" s="22"/>
      <c r="Y90" s="22"/>
    </row>
    <row r="91" spans="1:25" ht="12.75" customHeight="1">
      <c r="A91" s="12" t="s">
        <v>288</v>
      </c>
      <c r="B91" s="118">
        <f>(WORKCAP!E137-WORKCAP!D146)</f>
        <v>21550</v>
      </c>
      <c r="C91" s="118">
        <f>(WORKCAP!E140-WORKCAP!E137)</f>
        <v>0</v>
      </c>
      <c r="D91" s="118">
        <f>(WORKCAP!E143-WORKCAP!E140)</f>
        <v>0</v>
      </c>
      <c r="E91" s="118">
        <f>(WORKCAP!E146-WORKCAP!E143)</f>
        <v>0</v>
      </c>
      <c r="F91" s="131">
        <f t="shared" si="23"/>
        <v>21550</v>
      </c>
      <c r="G91" s="118">
        <f>(WORKCAP!F137-WORKCAP!E146)</f>
        <v>21250</v>
      </c>
      <c r="H91" s="118">
        <f>(WORKCAP!F140-WORKCAP!F137)</f>
        <v>0</v>
      </c>
      <c r="I91" s="118">
        <f>(WORKCAP!F143-WORKCAP!F140)</f>
        <v>0</v>
      </c>
      <c r="J91" s="118">
        <f>(WORKCAP!F146-WORKCAP!F143)</f>
        <v>0</v>
      </c>
      <c r="K91" s="131">
        <f t="shared" si="24"/>
        <v>21250</v>
      </c>
      <c r="L91" s="118">
        <f>(WORKCAP!G137-WORKCAP!F146)</f>
        <v>40000</v>
      </c>
      <c r="M91" s="118">
        <f>(WORKCAP!G140-WORKCAP!G137)</f>
        <v>0</v>
      </c>
      <c r="N91" s="118">
        <f>(WORKCAP!G143-WORKCAP!G140)</f>
        <v>0</v>
      </c>
      <c r="O91" s="118">
        <f>(WORKCAP!G146-WORKCAP!G143)</f>
        <v>0</v>
      </c>
      <c r="P91" s="131">
        <f t="shared" si="25"/>
        <v>40000</v>
      </c>
      <c r="Q91" s="118">
        <f>CASHFLOW!E14</f>
        <v>21550</v>
      </c>
      <c r="R91" s="118">
        <f>CASHFLOW!F14</f>
        <v>21250</v>
      </c>
      <c r="S91" s="118">
        <f>CASHFLOW!G14</f>
        <v>40000</v>
      </c>
      <c r="T91" s="22"/>
      <c r="U91" s="12"/>
      <c r="V91" s="22"/>
      <c r="W91" s="22"/>
      <c r="X91" s="22"/>
      <c r="Y91" s="22"/>
    </row>
    <row r="92" spans="1:25" ht="12.75" customHeight="1">
      <c r="A92" s="12" t="s">
        <v>289</v>
      </c>
      <c r="B92" s="63">
        <f t="shared" ref="B92:E92" si="26">SUM(B84:B91)</f>
        <v>145477.50000000009</v>
      </c>
      <c r="C92" s="63">
        <f t="shared" si="26"/>
        <v>139802.50000000003</v>
      </c>
      <c r="D92" s="63">
        <f t="shared" si="26"/>
        <v>199802.50000000003</v>
      </c>
      <c r="E92" s="63">
        <f t="shared" si="26"/>
        <v>179802.50000000003</v>
      </c>
      <c r="F92" s="63">
        <f t="shared" si="23"/>
        <v>664885.00000000012</v>
      </c>
      <c r="G92" s="63">
        <f t="shared" ref="G92:J92" si="27">SUM(G84:G91)</f>
        <v>257682.11996267055</v>
      </c>
      <c r="H92" s="63">
        <f t="shared" si="27"/>
        <v>363060.47860453784</v>
      </c>
      <c r="I92" s="63">
        <f t="shared" si="27"/>
        <v>306067.1958882722</v>
      </c>
      <c r="J92" s="63">
        <f t="shared" si="27"/>
        <v>348812.15792547143</v>
      </c>
      <c r="K92" s="63">
        <f t="shared" si="24"/>
        <v>1275621.952380952</v>
      </c>
      <c r="L92" s="63">
        <f t="shared" ref="L92:O92" si="28">SUM(L84:L91)</f>
        <v>454722.73809523811</v>
      </c>
      <c r="M92" s="63">
        <f t="shared" si="28"/>
        <v>676722.73809523822</v>
      </c>
      <c r="N92" s="63">
        <f t="shared" si="28"/>
        <v>664722.73809523822</v>
      </c>
      <c r="O92" s="63">
        <f t="shared" si="28"/>
        <v>616722.73809523822</v>
      </c>
      <c r="P92" s="63">
        <f t="shared" si="25"/>
        <v>2412890.9523809529</v>
      </c>
      <c r="Q92" s="117">
        <f>CASHFLOW!E15</f>
        <v>664885.00000000023</v>
      </c>
      <c r="R92" s="117">
        <f>CASHFLOW!F15</f>
        <v>1275621.9523809522</v>
      </c>
      <c r="S92" s="117">
        <f>CASHFLOW!G15</f>
        <v>2412890.952380952</v>
      </c>
      <c r="T92" s="22"/>
      <c r="U92" s="12"/>
      <c r="V92" s="22"/>
      <c r="W92" s="22"/>
      <c r="X92" s="22"/>
      <c r="Y92" s="22"/>
    </row>
    <row r="93" spans="1:25" ht="12.75" customHeight="1">
      <c r="A93" s="4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117"/>
      <c r="R93" s="117"/>
      <c r="S93" s="117"/>
      <c r="T93" s="22"/>
      <c r="U93" s="4"/>
      <c r="V93" s="22"/>
      <c r="W93" s="22"/>
      <c r="X93" s="22"/>
      <c r="Y93" s="22"/>
    </row>
    <row r="94" spans="1:25" ht="12.75" customHeight="1">
      <c r="A94" s="6" t="s">
        <v>290</v>
      </c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117"/>
      <c r="R94" s="117"/>
      <c r="S94" s="117"/>
      <c r="T94" s="22"/>
      <c r="U94" s="6"/>
      <c r="V94" s="22"/>
      <c r="W94" s="22"/>
      <c r="X94" s="22"/>
      <c r="Y94" s="22"/>
    </row>
    <row r="95" spans="1:25" ht="12.75" customHeight="1">
      <c r="A95" s="4" t="s">
        <v>291</v>
      </c>
      <c r="B95" s="117">
        <f>-'PROP &amp; EQUIP'!E64</f>
        <v>-200000</v>
      </c>
      <c r="C95" s="117">
        <f>-'PROP &amp; EQUIP'!E68</f>
        <v>0</v>
      </c>
      <c r="D95" s="117">
        <f>-'PROP &amp; EQUIP'!E72</f>
        <v>-100000</v>
      </c>
      <c r="E95" s="117">
        <f>-'PROP &amp; EQUIP'!E76</f>
        <v>-270000</v>
      </c>
      <c r="F95" s="63">
        <f t="shared" ref="F95:F97" si="29">SUM(B95:E95)</f>
        <v>-570000</v>
      </c>
      <c r="G95" s="117">
        <f>-'PROP &amp; EQUIP'!F64</f>
        <v>-200000</v>
      </c>
      <c r="H95" s="117">
        <f>-'PROP &amp; EQUIP'!F68</f>
        <v>-165000</v>
      </c>
      <c r="I95" s="117">
        <f>-'PROP &amp; EQUIP'!F72</f>
        <v>-100000</v>
      </c>
      <c r="J95" s="117">
        <f>-'PROP &amp; EQUIP'!F76</f>
        <v>-200000</v>
      </c>
      <c r="K95" s="63">
        <f t="shared" ref="K95:K97" si="30">SUM(G95:J95)</f>
        <v>-665000</v>
      </c>
      <c r="L95" s="117">
        <f>-'PROP &amp; EQUIP'!G64</f>
        <v>-200000</v>
      </c>
      <c r="M95" s="117">
        <f>-'PROP &amp; EQUIP'!G68</f>
        <v>-250000</v>
      </c>
      <c r="N95" s="117">
        <f>-'PROP &amp; EQUIP'!G72</f>
        <v>-150000</v>
      </c>
      <c r="O95" s="117">
        <f>-'PROP &amp; EQUIP'!G76</f>
        <v>-150000</v>
      </c>
      <c r="P95" s="63">
        <f>SUM(L95:O95)</f>
        <v>-750000</v>
      </c>
      <c r="Q95" s="117">
        <f>CASHFLOW!E18</f>
        <v>-570000</v>
      </c>
      <c r="R95" s="117">
        <f>CASHFLOW!F18</f>
        <v>-665000</v>
      </c>
      <c r="S95" s="117">
        <f>CASHFLOW!G18</f>
        <v>-750000</v>
      </c>
      <c r="T95" s="22"/>
      <c r="U95" s="4"/>
      <c r="V95" s="22"/>
      <c r="W95" s="22"/>
      <c r="X95" s="22"/>
      <c r="Y95" s="22"/>
    </row>
    <row r="96" spans="1:25" ht="12.75" customHeight="1">
      <c r="A96" s="12" t="s">
        <v>292</v>
      </c>
      <c r="B96" s="118"/>
      <c r="C96" s="118"/>
      <c r="D96" s="118"/>
      <c r="E96" s="118"/>
      <c r="F96" s="131">
        <f t="shared" si="29"/>
        <v>0</v>
      </c>
      <c r="G96" s="118"/>
      <c r="H96" s="118"/>
      <c r="I96" s="118"/>
      <c r="J96" s="118"/>
      <c r="K96" s="131">
        <f t="shared" si="30"/>
        <v>0</v>
      </c>
      <c r="L96" s="118"/>
      <c r="M96" s="118"/>
      <c r="N96" s="118"/>
      <c r="O96" s="118"/>
      <c r="P96" s="131"/>
      <c r="Q96" s="118">
        <f>CASHFLOW!E19</f>
        <v>0</v>
      </c>
      <c r="R96" s="118">
        <f>CASHFLOW!F19</f>
        <v>0</v>
      </c>
      <c r="S96" s="118">
        <f>CASHFLOW!G19</f>
        <v>0</v>
      </c>
      <c r="T96" s="22"/>
      <c r="U96" s="12"/>
      <c r="V96" s="22"/>
      <c r="W96" s="22"/>
      <c r="X96" s="22"/>
      <c r="Y96" s="22"/>
    </row>
    <row r="97" spans="1:25" ht="12.75" customHeight="1">
      <c r="A97" s="12" t="s">
        <v>293</v>
      </c>
      <c r="B97" s="63">
        <f t="shared" ref="B97:E97" si="31">SUM(B95:B96)</f>
        <v>-200000</v>
      </c>
      <c r="C97" s="63">
        <f t="shared" si="31"/>
        <v>0</v>
      </c>
      <c r="D97" s="63">
        <f t="shared" si="31"/>
        <v>-100000</v>
      </c>
      <c r="E97" s="63">
        <f t="shared" si="31"/>
        <v>-270000</v>
      </c>
      <c r="F97" s="63">
        <f t="shared" si="29"/>
        <v>-570000</v>
      </c>
      <c r="G97" s="63">
        <f t="shared" ref="G97:J97" si="32">SUM(G95:G96)</f>
        <v>-200000</v>
      </c>
      <c r="H97" s="63">
        <f t="shared" si="32"/>
        <v>-165000</v>
      </c>
      <c r="I97" s="63">
        <f t="shared" si="32"/>
        <v>-100000</v>
      </c>
      <c r="J97" s="63">
        <f t="shared" si="32"/>
        <v>-200000</v>
      </c>
      <c r="K97" s="63">
        <f t="shared" si="30"/>
        <v>-665000</v>
      </c>
      <c r="L97" s="63">
        <f t="shared" ref="L97:O97" si="33">SUM(L95:L96)</f>
        <v>-200000</v>
      </c>
      <c r="M97" s="63">
        <f t="shared" si="33"/>
        <v>-250000</v>
      </c>
      <c r="N97" s="63">
        <f t="shared" si="33"/>
        <v>-150000</v>
      </c>
      <c r="O97" s="63">
        <f t="shared" si="33"/>
        <v>-150000</v>
      </c>
      <c r="P97" s="63">
        <f>SUM(L97:O97)</f>
        <v>-750000</v>
      </c>
      <c r="Q97" s="117">
        <f>CASHFLOW!E20</f>
        <v>-570000</v>
      </c>
      <c r="R97" s="117">
        <f>CASHFLOW!F20</f>
        <v>-665000</v>
      </c>
      <c r="S97" s="117">
        <f>CASHFLOW!G20</f>
        <v>-750000</v>
      </c>
      <c r="T97" s="22"/>
      <c r="U97" s="12"/>
      <c r="V97" s="22"/>
      <c r="W97" s="22"/>
      <c r="X97" s="22"/>
      <c r="Y97" s="22"/>
    </row>
    <row r="98" spans="1:25" ht="12.75" customHeight="1">
      <c r="A98" s="4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117"/>
      <c r="R98" s="117"/>
      <c r="S98" s="117"/>
      <c r="T98" s="22"/>
      <c r="U98" s="4"/>
      <c r="V98" s="22"/>
      <c r="W98" s="22"/>
      <c r="X98" s="22"/>
      <c r="Y98" s="22"/>
    </row>
    <row r="99" spans="1:25" ht="12.75" customHeight="1">
      <c r="A99" s="6" t="s">
        <v>294</v>
      </c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117"/>
      <c r="R99" s="117"/>
      <c r="S99" s="117"/>
      <c r="T99" s="22"/>
      <c r="U99" s="6"/>
      <c r="V99" s="22"/>
      <c r="W99" s="22"/>
      <c r="X99" s="22"/>
      <c r="Y99" s="22"/>
    </row>
    <row r="100" spans="1:25" ht="12.75" customHeight="1">
      <c r="A100" s="4" t="s">
        <v>295</v>
      </c>
      <c r="B100" s="35">
        <f>IF(FUNDING!E19&gt;=0,FUNDING!E19,0)</f>
        <v>450000</v>
      </c>
      <c r="C100" s="117"/>
      <c r="D100" s="117"/>
      <c r="E100" s="35">
        <f>IF(FUNDING!E19&lt;0,FUNDING!E19,0)</f>
        <v>0</v>
      </c>
      <c r="F100" s="63">
        <f t="shared" ref="F100:F106" si="34">SUM(B100:E100)</f>
        <v>450000</v>
      </c>
      <c r="G100" s="35">
        <f>IF(FUNDING!F19&gt;=0,FUNDING!F19,0)</f>
        <v>0</v>
      </c>
      <c r="H100" s="117"/>
      <c r="I100" s="117"/>
      <c r="J100" s="35">
        <f>IF(FUNDING!F19&lt;0,FUNDING!F19,0)</f>
        <v>-700000</v>
      </c>
      <c r="K100" s="63">
        <f t="shared" ref="K100:K106" si="35">SUM(G100:J100)</f>
        <v>-700000</v>
      </c>
      <c r="L100" s="35">
        <f>IF(FUNDING!G19&gt;=0,FUNDING!G19,0)</f>
        <v>0</v>
      </c>
      <c r="M100" s="117"/>
      <c r="N100" s="117"/>
      <c r="O100" s="35">
        <f>IF(FUNDING!G19&lt;0,FUNDING!G19,0)</f>
        <v>-100000</v>
      </c>
      <c r="P100" s="63">
        <f t="shared" ref="P100:P105" si="36">SUM(L100:O100)</f>
        <v>-100000</v>
      </c>
      <c r="Q100" s="117">
        <f>CASHFLOW!E23</f>
        <v>450000</v>
      </c>
      <c r="R100" s="117">
        <f>CASHFLOW!F23</f>
        <v>-700000</v>
      </c>
      <c r="S100" s="117">
        <f>CASHFLOW!G23</f>
        <v>-100000</v>
      </c>
      <c r="T100" s="22"/>
      <c r="U100" s="4"/>
      <c r="V100" s="22"/>
      <c r="W100" s="22"/>
      <c r="X100" s="22"/>
      <c r="Y100" s="22"/>
    </row>
    <row r="101" spans="1:25" ht="12.75" customHeight="1">
      <c r="A101" s="4" t="s">
        <v>296</v>
      </c>
      <c r="B101" s="35">
        <f>IF(FUNDING!E27&gt;=0,FUNDING!E27,0)</f>
        <v>25000</v>
      </c>
      <c r="C101" s="117"/>
      <c r="D101" s="117"/>
      <c r="E101" s="35">
        <f>IF(FUNDING!E27&lt;0,FUNDING!E27,0)</f>
        <v>0</v>
      </c>
      <c r="F101" s="63">
        <f t="shared" si="34"/>
        <v>25000</v>
      </c>
      <c r="G101" s="35">
        <f>IF(FUNDING!F27&gt;=0,FUNDING!F27,0)</f>
        <v>25000</v>
      </c>
      <c r="H101" s="117"/>
      <c r="I101" s="117"/>
      <c r="J101" s="35">
        <f>IF(FUNDING!F27&lt;0,FUNDING!F27,0)</f>
        <v>0</v>
      </c>
      <c r="K101" s="63">
        <f t="shared" si="35"/>
        <v>25000</v>
      </c>
      <c r="L101" s="35">
        <f>IF(FUNDING!G27&gt;=0,FUNDING!G27,0)</f>
        <v>25000</v>
      </c>
      <c r="M101" s="117"/>
      <c r="N101" s="117"/>
      <c r="O101" s="35">
        <f>IF(FUNDING!G27&lt;0,FUNDING!G27,0)</f>
        <v>0</v>
      </c>
      <c r="P101" s="63">
        <f t="shared" si="36"/>
        <v>25000</v>
      </c>
      <c r="Q101" s="117">
        <f>CASHFLOW!E24</f>
        <v>25000</v>
      </c>
      <c r="R101" s="117">
        <f>CASHFLOW!F24</f>
        <v>25000</v>
      </c>
      <c r="S101" s="117">
        <f>CASHFLOW!G24</f>
        <v>25000</v>
      </c>
      <c r="T101" s="22"/>
      <c r="U101" s="4"/>
      <c r="V101" s="22"/>
      <c r="W101" s="22"/>
      <c r="X101" s="22"/>
      <c r="Y101" s="22"/>
    </row>
    <row r="102" spans="1:25" ht="12.75" customHeight="1">
      <c r="A102" s="4" t="s">
        <v>297</v>
      </c>
      <c r="B102" s="35">
        <f>IF(FUNDING!E28&gt;=0,FUNDING!E28,0)</f>
        <v>0</v>
      </c>
      <c r="C102" s="117"/>
      <c r="D102" s="117"/>
      <c r="E102" s="35">
        <f>IF(FUNDING!E28&lt;0,FUNDING!E28,0)</f>
        <v>-300000</v>
      </c>
      <c r="F102" s="63">
        <f t="shared" si="34"/>
        <v>-300000</v>
      </c>
      <c r="G102" s="35">
        <f>IF(FUNDING!F28&gt;=0,FUNDING!F28,0)</f>
        <v>0</v>
      </c>
      <c r="H102" s="117"/>
      <c r="I102" s="117"/>
      <c r="J102" s="35">
        <f>IF(FUNDING!F28&lt;0,FUNDING!F28,0)</f>
        <v>-400000</v>
      </c>
      <c r="K102" s="63">
        <f t="shared" si="35"/>
        <v>-400000</v>
      </c>
      <c r="L102" s="35">
        <f>IF(FUNDING!G28&gt;=0,FUNDING!G28,0)</f>
        <v>0</v>
      </c>
      <c r="M102" s="117"/>
      <c r="N102" s="117"/>
      <c r="O102" s="35">
        <f>IF(FUNDING!G28&lt;0,FUNDING!G28,0)</f>
        <v>-400000</v>
      </c>
      <c r="P102" s="63">
        <f t="shared" si="36"/>
        <v>-400000</v>
      </c>
      <c r="Q102" s="117">
        <f>CASHFLOW!E25</f>
        <v>-300000</v>
      </c>
      <c r="R102" s="117">
        <f>CASHFLOW!F25</f>
        <v>-400000</v>
      </c>
      <c r="S102" s="117">
        <f>CASHFLOW!G25</f>
        <v>-400000</v>
      </c>
      <c r="T102" s="22"/>
      <c r="U102" s="4"/>
      <c r="V102" s="22"/>
      <c r="W102" s="22"/>
      <c r="X102" s="22"/>
      <c r="Y102" s="22"/>
    </row>
    <row r="103" spans="1:25" ht="12.75" customHeight="1">
      <c r="A103" s="4" t="s">
        <v>298</v>
      </c>
      <c r="B103" s="35">
        <f>IF(FUNDING!E9&gt;=0,FUNDING!E9,0)</f>
        <v>0</v>
      </c>
      <c r="C103" s="117"/>
      <c r="D103" s="117"/>
      <c r="E103" s="35">
        <f>IF(FUNDING!E9&lt;0,FUNDING!E9,0)</f>
        <v>-150000</v>
      </c>
      <c r="F103" s="63">
        <f t="shared" si="34"/>
        <v>-150000</v>
      </c>
      <c r="G103" s="35">
        <f>IF(FUNDING!F9&gt;=0,FUNDING!F9,0)</f>
        <v>400000</v>
      </c>
      <c r="H103" s="117"/>
      <c r="I103" s="117"/>
      <c r="J103" s="35">
        <f>IF(FUNDING!F9&lt;0,FUNDING!F9,0)</f>
        <v>0</v>
      </c>
      <c r="K103" s="63">
        <f t="shared" si="35"/>
        <v>400000</v>
      </c>
      <c r="L103" s="35">
        <f>IF(FUNDING!G9&gt;=0,FUNDING!G9,0)</f>
        <v>0</v>
      </c>
      <c r="M103" s="117"/>
      <c r="N103" s="117"/>
      <c r="O103" s="35">
        <f>IF(FUNDING!G9&lt;0,FUNDING!G9,0)</f>
        <v>-200000</v>
      </c>
      <c r="P103" s="63">
        <f t="shared" si="36"/>
        <v>-200000</v>
      </c>
      <c r="Q103" s="117">
        <f>CASHFLOW!E26</f>
        <v>-150000</v>
      </c>
      <c r="R103" s="117">
        <f>CASHFLOW!F26</f>
        <v>400000</v>
      </c>
      <c r="S103" s="117">
        <f>CASHFLOW!G26</f>
        <v>-200000</v>
      </c>
      <c r="T103" s="22"/>
      <c r="U103" s="4"/>
      <c r="V103" s="22"/>
      <c r="W103" s="22"/>
      <c r="X103" s="22"/>
      <c r="Y103" s="22"/>
    </row>
    <row r="104" spans="1:25" ht="12.75" customHeight="1">
      <c r="A104" s="4" t="s">
        <v>299</v>
      </c>
      <c r="B104" s="35">
        <f>IF(FUNDING!E14&gt;=0,FUNDING!E14,0)</f>
        <v>0</v>
      </c>
      <c r="C104" s="117"/>
      <c r="D104" s="117"/>
      <c r="E104" s="35">
        <f>IF(FUNDING!E14&lt;0,FUNDING!E14,0)</f>
        <v>0</v>
      </c>
      <c r="F104" s="63">
        <f t="shared" si="34"/>
        <v>0</v>
      </c>
      <c r="G104" s="35">
        <f>IF(FUNDING!F14&gt;=0,FUNDING!F14,0)</f>
        <v>0</v>
      </c>
      <c r="H104" s="117"/>
      <c r="I104" s="117"/>
      <c r="J104" s="35">
        <f>IF(FUNDING!F14&lt;0,FUNDINGf14,0)</f>
        <v>0</v>
      </c>
      <c r="K104" s="63">
        <f t="shared" si="35"/>
        <v>0</v>
      </c>
      <c r="L104" s="35">
        <f>IF(FUNDING!G14&gt;=0,FUNDING!G14,0)</f>
        <v>0</v>
      </c>
      <c r="M104" s="117"/>
      <c r="N104" s="117"/>
      <c r="O104" s="35">
        <f>IF(FUNDING!G14&lt;0,FUNDING!G14,0)</f>
        <v>0</v>
      </c>
      <c r="P104" s="63">
        <f t="shared" si="36"/>
        <v>0</v>
      </c>
      <c r="Q104" s="117">
        <f>CASHFLOW!E27</f>
        <v>0</v>
      </c>
      <c r="R104" s="117">
        <f>CASHFLOW!F27</f>
        <v>0</v>
      </c>
      <c r="S104" s="117">
        <f>CASHFLOW!G27</f>
        <v>0</v>
      </c>
      <c r="T104" s="22"/>
      <c r="U104" s="4"/>
      <c r="V104" s="22"/>
      <c r="W104" s="22"/>
      <c r="X104" s="22"/>
      <c r="Y104" s="22"/>
    </row>
    <row r="105" spans="1:25" ht="12.75" customHeight="1">
      <c r="A105" s="4" t="s">
        <v>300</v>
      </c>
      <c r="B105" s="84"/>
      <c r="C105" s="118"/>
      <c r="D105" s="118"/>
      <c r="E105" s="84">
        <f>-FUNDING!E49</f>
        <v>-40000</v>
      </c>
      <c r="F105" s="131">
        <f t="shared" si="34"/>
        <v>-40000</v>
      </c>
      <c r="G105" s="84"/>
      <c r="H105" s="118"/>
      <c r="I105" s="118"/>
      <c r="J105" s="84">
        <f>-FUNDING!F49</f>
        <v>-50000</v>
      </c>
      <c r="K105" s="131">
        <f t="shared" si="35"/>
        <v>-50000</v>
      </c>
      <c r="L105" s="84"/>
      <c r="M105" s="118"/>
      <c r="N105" s="118"/>
      <c r="O105" s="84">
        <f>-FUNDING!G49</f>
        <v>-50000</v>
      </c>
      <c r="P105" s="131">
        <f t="shared" si="36"/>
        <v>-50000</v>
      </c>
      <c r="Q105" s="118">
        <f>CASHFLOW!E28</f>
        <v>-40000</v>
      </c>
      <c r="R105" s="118">
        <f>CASHFLOW!F28</f>
        <v>-50000</v>
      </c>
      <c r="S105" s="118">
        <f>CASHFLOW!G28</f>
        <v>-50000</v>
      </c>
      <c r="T105" s="22"/>
      <c r="U105" s="4"/>
      <c r="V105" s="22"/>
      <c r="W105" s="22"/>
      <c r="X105" s="22"/>
      <c r="Y105" s="22"/>
    </row>
    <row r="106" spans="1:25" ht="12.75" customHeight="1">
      <c r="A106" s="12" t="s">
        <v>301</v>
      </c>
      <c r="B106" s="63">
        <f t="shared" ref="B106:E106" si="37">SUM(B100:B105)</f>
        <v>475000</v>
      </c>
      <c r="C106" s="63">
        <f t="shared" si="37"/>
        <v>0</v>
      </c>
      <c r="D106" s="63">
        <f t="shared" si="37"/>
        <v>0</v>
      </c>
      <c r="E106" s="63">
        <f t="shared" si="37"/>
        <v>-490000</v>
      </c>
      <c r="F106" s="63">
        <f t="shared" si="34"/>
        <v>-15000</v>
      </c>
      <c r="G106" s="63">
        <f t="shared" ref="G106:J106" si="38">SUM(G100:G105)</f>
        <v>425000</v>
      </c>
      <c r="H106" s="63">
        <f t="shared" si="38"/>
        <v>0</v>
      </c>
      <c r="I106" s="63">
        <f t="shared" si="38"/>
        <v>0</v>
      </c>
      <c r="J106" s="63">
        <f t="shared" si="38"/>
        <v>-1150000</v>
      </c>
      <c r="K106" s="63">
        <f t="shared" si="35"/>
        <v>-725000</v>
      </c>
      <c r="L106" s="63">
        <f t="shared" ref="L106:O106" si="39">SUM(L100:L105)</f>
        <v>25000</v>
      </c>
      <c r="M106" s="63">
        <f t="shared" si="39"/>
        <v>0</v>
      </c>
      <c r="N106" s="63">
        <f t="shared" si="39"/>
        <v>0</v>
      </c>
      <c r="O106" s="63">
        <f t="shared" si="39"/>
        <v>-750000</v>
      </c>
      <c r="P106" s="63">
        <f>SUM(O106)</f>
        <v>-750000</v>
      </c>
      <c r="Q106" s="117">
        <f>CASHFLOW!E29</f>
        <v>-15000</v>
      </c>
      <c r="R106" s="117">
        <f>CASHFLOW!F29</f>
        <v>-725000</v>
      </c>
      <c r="S106" s="117">
        <f>CASHFLOW!G29</f>
        <v>-725000</v>
      </c>
      <c r="T106" s="22"/>
      <c r="U106" s="12"/>
      <c r="V106" s="22"/>
      <c r="W106" s="22"/>
      <c r="X106" s="22"/>
      <c r="Y106" s="22"/>
    </row>
    <row r="107" spans="1:25" ht="12.75" customHeight="1">
      <c r="A107" s="4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117"/>
      <c r="R107" s="117"/>
      <c r="S107" s="117"/>
      <c r="T107" s="22"/>
      <c r="U107" s="4"/>
      <c r="V107" s="22"/>
      <c r="W107" s="22"/>
      <c r="X107" s="22"/>
      <c r="Y107" s="22"/>
    </row>
    <row r="108" spans="1:25" ht="12.75" customHeight="1">
      <c r="A108" s="6" t="s">
        <v>302</v>
      </c>
      <c r="B108" s="132">
        <f t="shared" ref="B108:E108" si="40">B92+B97+B106</f>
        <v>420477.50000000012</v>
      </c>
      <c r="C108" s="132">
        <f t="shared" si="40"/>
        <v>139802.50000000003</v>
      </c>
      <c r="D108" s="132">
        <f t="shared" si="40"/>
        <v>99802.500000000029</v>
      </c>
      <c r="E108" s="132">
        <f t="shared" si="40"/>
        <v>-580197.5</v>
      </c>
      <c r="F108" s="132">
        <f>SUM(B108:E108)</f>
        <v>79885.000000000116</v>
      </c>
      <c r="G108" s="132">
        <f t="shared" ref="G108:J108" si="41">G92+G97+G106</f>
        <v>482682.11996267055</v>
      </c>
      <c r="H108" s="132">
        <f t="shared" si="41"/>
        <v>198060.47860453784</v>
      </c>
      <c r="I108" s="132">
        <f t="shared" si="41"/>
        <v>206067.1958882722</v>
      </c>
      <c r="J108" s="132">
        <f t="shared" si="41"/>
        <v>-1001187.8420745286</v>
      </c>
      <c r="K108" s="132">
        <f>SUM(G108:J108)</f>
        <v>-114378.04761904804</v>
      </c>
      <c r="L108" s="132">
        <f t="shared" ref="L108:O108" si="42">L92+L97+L106</f>
        <v>279722.73809523811</v>
      </c>
      <c r="M108" s="132">
        <f t="shared" si="42"/>
        <v>426722.73809523822</v>
      </c>
      <c r="N108" s="132">
        <f t="shared" si="42"/>
        <v>514722.73809523822</v>
      </c>
      <c r="O108" s="132">
        <f t="shared" si="42"/>
        <v>-283277.26190476178</v>
      </c>
      <c r="P108" s="132">
        <f>SUM(L108:O108)</f>
        <v>937890.95238095277</v>
      </c>
      <c r="Q108" s="120">
        <f>CASHFLOW!E31</f>
        <v>79885.000000000233</v>
      </c>
      <c r="R108" s="120">
        <f>CASHFLOW!F31</f>
        <v>-114378.04761904781</v>
      </c>
      <c r="S108" s="120">
        <f>CASHFLOW!G31</f>
        <v>937890.95238095196</v>
      </c>
      <c r="T108" s="22"/>
      <c r="U108" s="6"/>
      <c r="V108" s="22"/>
      <c r="W108" s="22"/>
      <c r="X108" s="22"/>
      <c r="Y108" s="22"/>
    </row>
    <row r="109" spans="1:25" ht="12.75" customHeight="1">
      <c r="A109" s="4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117"/>
      <c r="R109" s="117"/>
      <c r="S109" s="117"/>
      <c r="T109" s="22"/>
      <c r="U109" s="4"/>
      <c r="V109" s="22"/>
      <c r="W109" s="22"/>
      <c r="X109" s="22"/>
      <c r="Y109" s="22"/>
    </row>
    <row r="110" spans="1:25" ht="12.75" customHeight="1">
      <c r="A110" s="6" t="s">
        <v>337</v>
      </c>
      <c r="B110" s="63">
        <f>M75</f>
        <v>3394540.0000000028</v>
      </c>
      <c r="C110" s="63">
        <f t="shared" ref="C110:E110" si="43">B111</f>
        <v>3815017.5000000028</v>
      </c>
      <c r="D110" s="63">
        <f t="shared" si="43"/>
        <v>3954820.0000000028</v>
      </c>
      <c r="E110" s="63">
        <f t="shared" si="43"/>
        <v>4054622.5000000028</v>
      </c>
      <c r="F110" s="57"/>
      <c r="G110" s="63">
        <f>E111</f>
        <v>3474425.0000000028</v>
      </c>
      <c r="H110" s="63">
        <f t="shared" ref="H110:J110" si="44">G111</f>
        <v>3957107.1199626732</v>
      </c>
      <c r="I110" s="63">
        <f t="shared" si="44"/>
        <v>4155167.5985672111</v>
      </c>
      <c r="J110" s="63">
        <f t="shared" si="44"/>
        <v>4361234.7944554836</v>
      </c>
      <c r="K110" s="57"/>
      <c r="L110" s="63">
        <f>J111</f>
        <v>3360046.9523809552</v>
      </c>
      <c r="M110" s="63">
        <f t="shared" ref="M110:O110" si="45">L111</f>
        <v>3639769.6904761931</v>
      </c>
      <c r="N110" s="63">
        <f t="shared" si="45"/>
        <v>4066492.4285714314</v>
      </c>
      <c r="O110" s="63">
        <f t="shared" si="45"/>
        <v>4581215.1666666698</v>
      </c>
      <c r="P110" s="57"/>
      <c r="Q110" s="117">
        <f>CASHFLOW!E33</f>
        <v>3394540</v>
      </c>
      <c r="R110" s="117">
        <f>CASHFLOW!F33</f>
        <v>3474425</v>
      </c>
      <c r="S110" s="117">
        <f>CASHFLOW!G33</f>
        <v>3360046.9523809524</v>
      </c>
      <c r="T110" s="22"/>
      <c r="U110" s="6"/>
      <c r="V110" s="22"/>
      <c r="W110" s="22"/>
      <c r="X110" s="22"/>
      <c r="Y110" s="22"/>
    </row>
    <row r="111" spans="1:25" ht="12.75" customHeight="1">
      <c r="A111" s="6" t="s">
        <v>338</v>
      </c>
      <c r="B111" s="63">
        <f t="shared" ref="B111:E111" si="46">B108+B110</f>
        <v>3815017.5000000028</v>
      </c>
      <c r="C111" s="63">
        <f t="shared" si="46"/>
        <v>3954820.0000000028</v>
      </c>
      <c r="D111" s="63">
        <f t="shared" si="46"/>
        <v>4054622.5000000028</v>
      </c>
      <c r="E111" s="63">
        <f t="shared" si="46"/>
        <v>3474425.0000000028</v>
      </c>
      <c r="F111" s="57"/>
      <c r="G111" s="63">
        <f t="shared" ref="G111:J111" si="47">G108+G110</f>
        <v>3957107.1199626732</v>
      </c>
      <c r="H111" s="63">
        <f t="shared" si="47"/>
        <v>4155167.5985672111</v>
      </c>
      <c r="I111" s="63">
        <f t="shared" si="47"/>
        <v>4361234.7944554836</v>
      </c>
      <c r="J111" s="63">
        <f t="shared" si="47"/>
        <v>3360046.9523809552</v>
      </c>
      <c r="K111" s="57"/>
      <c r="L111" s="63">
        <f t="shared" ref="L111:O111" si="48">L108+L110</f>
        <v>3639769.6904761931</v>
      </c>
      <c r="M111" s="63">
        <f t="shared" si="48"/>
        <v>4066492.4285714314</v>
      </c>
      <c r="N111" s="63">
        <f t="shared" si="48"/>
        <v>4581215.1666666698</v>
      </c>
      <c r="O111" s="63">
        <f t="shared" si="48"/>
        <v>4297937.9047619076</v>
      </c>
      <c r="P111" s="57"/>
      <c r="Q111" s="117">
        <f>CASHFLOW!E34</f>
        <v>3474425</v>
      </c>
      <c r="R111" s="117">
        <f>CASHFLOW!F34</f>
        <v>3360046.9523809524</v>
      </c>
      <c r="S111" s="117">
        <f>CASHFLOW!G34</f>
        <v>4297937.9047619049</v>
      </c>
      <c r="T111" s="22"/>
      <c r="U111" s="6"/>
      <c r="V111" s="22"/>
      <c r="W111" s="22"/>
      <c r="X111" s="22"/>
      <c r="Y111" s="22"/>
    </row>
    <row r="112" spans="1:25" ht="12.7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57"/>
      <c r="Q112" s="57"/>
      <c r="R112" s="57"/>
      <c r="S112" s="57"/>
      <c r="T112" s="22"/>
      <c r="U112" s="22"/>
      <c r="V112" s="22"/>
      <c r="W112" s="22"/>
      <c r="X112" s="22"/>
      <c r="Y112" s="22"/>
    </row>
    <row r="113" spans="1:25" ht="12.7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57"/>
      <c r="Q113" s="57"/>
      <c r="R113" s="57"/>
      <c r="S113" s="57"/>
      <c r="T113" s="22"/>
      <c r="U113" s="22"/>
      <c r="V113" s="22"/>
      <c r="W113" s="22"/>
      <c r="X113" s="22"/>
      <c r="Y113" s="22"/>
    </row>
    <row r="114" spans="1:25" ht="12.7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spans="1:25" ht="12.7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spans="1:25" ht="12.7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spans="1:25" ht="12.7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spans="1:25" ht="12.7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spans="1:25" ht="12.7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spans="1:25" ht="12.7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spans="1:25" ht="12.7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spans="1:25" ht="12.7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spans="1:25" ht="12.7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spans="1:25" ht="12.7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spans="1:25" ht="12.7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spans="1:25" ht="12.7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spans="1:25" ht="12.7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spans="1:25" ht="12.7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spans="1:25" ht="12.7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spans="1:25" ht="12.7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spans="1:25" ht="12.7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spans="1:25" ht="12.7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spans="1:25" ht="12.7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spans="1:25" ht="12.7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spans="1:25" ht="12.7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spans="1:25" ht="12.7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spans="1:25" ht="12.7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spans="1:25" ht="12.7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spans="1:25" ht="12.7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spans="1:25" ht="12.7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spans="1:25" ht="12.7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spans="1:25" ht="12.7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spans="1:25" ht="12.7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spans="1:25" ht="12.7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spans="1:25" ht="12.7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spans="1:25" ht="12.7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spans="1:25" ht="12.7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spans="1:25" ht="12.7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spans="1:25" ht="12.7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spans="1:25" ht="12.7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spans="1:25" ht="12.7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spans="1:25" ht="12.7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spans="1:25" ht="12.7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spans="1:25" ht="12.7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spans="1:25" ht="12.7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spans="1:25" ht="12.7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spans="1:25" ht="12.7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spans="1:25" ht="12.7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spans="1:25" ht="12.7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spans="1:25" ht="12.7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spans="1:25" ht="12.7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spans="1:25" ht="12.7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spans="1:25" ht="12.7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spans="1:25" ht="12.7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spans="1:25" ht="12.7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spans="1:25" ht="12.7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spans="1:25" ht="12.7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spans="1:25" ht="12.7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spans="1:25" ht="12.7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spans="1:25" ht="12.7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spans="1:25" ht="12.7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spans="1:25" ht="12.7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spans="1:25" ht="12.7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spans="1:25" ht="12.7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spans="1:25" ht="12.7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spans="1:25" ht="12.7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spans="1:25" ht="12.7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spans="1:25" ht="12.7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spans="1:25" ht="12.7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spans="1:25" ht="12.7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spans="1:25" ht="12.7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spans="1:25" ht="12.7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spans="1:25" ht="12.7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spans="1:25" ht="12.7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spans="1:25" ht="12.7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spans="1:25" ht="12.7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spans="1:25" ht="12.7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spans="1:25" ht="12.7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spans="1:25" ht="12.7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spans="1:25" ht="12.7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spans="1:25" ht="12.7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spans="1:25" ht="12.7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spans="1:25" ht="12.7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spans="1:25" ht="12.7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spans="1:25" ht="12.7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spans="1:25" ht="12.7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spans="1:25" ht="12.7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spans="1:25" ht="12.7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spans="1:25" ht="12.7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spans="1:25" ht="12.7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spans="1:25" ht="12.7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spans="1:25" ht="12.7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spans="1:25" ht="12.7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spans="1:25" ht="12.7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spans="1:25" ht="12.7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spans="1:25" ht="12.7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spans="1:25" ht="12.7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spans="1:25" ht="12.7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spans="1:25" ht="12.7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spans="1:25" ht="12.7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spans="1:25" ht="12.7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spans="1:25" ht="12.7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spans="1:25" ht="12.7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spans="1:25" ht="12.7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spans="1:25" ht="12.7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spans="1:25" ht="12.7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spans="1:25" ht="12.7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spans="1:25" ht="12.7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spans="1:25" ht="12.7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spans="1:25" ht="12.7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spans="1:25" ht="12.7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spans="1:25" ht="12.7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spans="1:25" ht="12.7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spans="1:25" ht="12.7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spans="1:25" ht="12.7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spans="1:25" ht="12.7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spans="1:25" ht="12.7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spans="1:25" ht="12.7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spans="1:25" ht="12.7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spans="1:25" ht="12.7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spans="1:25" ht="12.7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spans="1:25" ht="12.7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spans="1:25" ht="12.7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spans="1:25" ht="12.7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spans="1:25" ht="12.7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spans="1:25" ht="12.7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spans="1:25" ht="12.7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spans="1:25" ht="12.7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spans="1:25" ht="12.7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spans="1:25" ht="12.7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spans="1:25" ht="12.7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spans="1:25" ht="12.7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spans="1:25" ht="12.7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spans="1:25" ht="12.7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spans="1:25" ht="12.7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spans="1:25" ht="12.7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spans="1:25" ht="12.7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spans="1:25" ht="12.7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spans="1:25" ht="12.7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spans="1:25" ht="12.7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spans="1:25" ht="12.7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spans="1:25" ht="12.7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spans="1:25" ht="12.7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spans="1:25" ht="12.7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spans="1:25" ht="12.7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spans="1:25" ht="12.7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spans="1:25" ht="12.7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spans="1:25" ht="12.7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spans="1:25" ht="12.7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spans="1:25" ht="12.7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spans="1:25" ht="12.7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spans="1:25" ht="12.7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spans="1:25" ht="12.7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spans="1:25" ht="12.7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spans="1:25" ht="12.7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spans="1:25" ht="12.7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spans="1:25" ht="12.7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spans="1:25" ht="12.7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spans="1:25" ht="12.7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spans="1:25" ht="12.7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spans="1:25" ht="12.7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spans="1:25" ht="12.7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spans="1:25" ht="12.7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spans="1:25" ht="12.7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spans="1:25" ht="12.7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spans="1:25" ht="12.7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spans="1:25" ht="12.7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spans="1:25" ht="12.7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 spans="1:25" ht="12.7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 spans="1:25" ht="12.7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 spans="1:25" ht="12.7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 spans="1:25" ht="12.7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 spans="1:25" ht="12.7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 spans="1:25" ht="12.7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 spans="1:25" ht="12.7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 spans="1:25" ht="12.7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 spans="1:25" ht="12.7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 spans="1:25" ht="12.7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 spans="1:25" ht="12.7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spans="1:25" ht="12.7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 spans="1:25" ht="12.7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 spans="1:25" ht="12.7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 spans="1:25" ht="12.7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 spans="1:25" ht="12.7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 spans="1:25" ht="12.7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 spans="1:25" ht="12.7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 spans="1:25" ht="12.7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 spans="1:25" ht="12.7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 spans="1:25" ht="12.7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 spans="1:25" ht="12.7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 spans="1:25" ht="12.7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 spans="1:25" ht="12.7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 spans="1:25" ht="12.7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spans="1:25" ht="12.7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 spans="1:25" ht="12.7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 spans="1:25" ht="12.7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 spans="1:25" ht="12.7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 spans="1:25" ht="12.7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 spans="1:25" ht="12.7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 spans="1:25" ht="12.7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 spans="1:25" ht="12.7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 spans="1:25" ht="12.7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 spans="1:25" ht="12.7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 spans="1:25" ht="12.7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 spans="1:25" ht="12.7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 spans="1:25" ht="12.7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spans="1:25" ht="12.7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spans="1:25" ht="12.7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 spans="1:25" ht="12.7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 spans="1:25" ht="12.7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 spans="1:25" ht="12.7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 spans="1:25" ht="12.7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 spans="1:25" ht="12.7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 spans="1:25" ht="12.7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 spans="1:25" ht="12.7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 spans="1:25" ht="12.7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 spans="1:25" ht="12.7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 spans="1:25" ht="12.7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 spans="1:25" ht="12.7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 spans="1:25" ht="12.7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 spans="1:25" ht="12.7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spans="1:25" ht="12.7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 spans="1:25" ht="12.7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 spans="1:25" ht="12.7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spans="1:25" ht="12.7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 spans="1:25" ht="12.7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 spans="1:25" ht="12.7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 spans="1:25" ht="12.7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 spans="1:25" ht="12.7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 spans="1:25" ht="12.7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 spans="1:25" ht="12.7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 spans="1:25" ht="12.7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 spans="1:25" ht="12.7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 spans="1:25" ht="12.7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 spans="1:25" ht="12.7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 spans="1:25" ht="12.7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spans="1:25" ht="12.7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 spans="1:25" ht="12.7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 spans="1:25" ht="12.7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 spans="1:25" ht="12.7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 spans="1:25" ht="12.7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 spans="1:25" ht="12.7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 spans="1:25" ht="12.7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 spans="1:25" ht="12.7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 spans="1:25" ht="12.7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 spans="1:25" ht="12.7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 spans="1:25" ht="12.7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 spans="1:25" ht="12.7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 spans="1:25" ht="12.7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 spans="1:25" ht="12.7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spans="1:25" ht="12.7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 spans="1:25" ht="12.7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 spans="1:25" ht="12.7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spans="1:25" ht="12.7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 spans="1:25" ht="12.7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 spans="1:25" ht="12.7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 spans="1:25" ht="12.7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 spans="1:25" ht="12.7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 spans="1:25" ht="12.7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 spans="1:25" ht="12.7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 spans="1:25" ht="12.7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 spans="1:25" ht="12.7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 spans="1:25" ht="12.7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 spans="1:25" ht="12.7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 spans="1:25" ht="12.7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 spans="1:25" ht="12.7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spans="1:25" ht="12.7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 spans="1:25" ht="12.7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 spans="1:25" ht="12.7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 spans="1:25" ht="12.7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 spans="1:25" ht="12.7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 spans="1:25" ht="12.7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 spans="1:25" ht="12.7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 spans="1:25" ht="12.7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 spans="1:25" ht="12.7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 spans="1:25" ht="12.7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 spans="1:25" ht="12.7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 spans="1:25" ht="12.7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 spans="1:25" ht="12.7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 spans="1:25" ht="12.7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spans="1:25" ht="12.7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 spans="1:25" ht="12.7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 spans="1:25" ht="12.7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spans="1:25" ht="12.7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spans="1:25" ht="12.7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spans="1:25" ht="12.7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 spans="1:25" ht="12.7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 spans="1:25" ht="12.7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 spans="1:25" ht="12.7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 spans="1:25" ht="12.7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 spans="1:25" ht="12.7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 spans="1:25" ht="12.7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 spans="1:25" ht="12.7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 spans="1:25" ht="12.7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 spans="1:25" ht="12.7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spans="1:25" ht="12.7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 spans="1:25" ht="12.7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 spans="1:25" ht="12.7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 spans="1:25" ht="12.7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 spans="1:25" ht="12.7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 spans="1:25" ht="12.7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 spans="1:25" ht="12.7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 spans="1:25" ht="12.7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 spans="1:25" ht="12.7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spans="1:25" ht="12.7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 spans="1:25" ht="12.7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 spans="1:25" ht="12.7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 spans="1:25" ht="12.7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 spans="1:25" ht="12.7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 spans="1:25" ht="12.7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 spans="1:25" ht="12.7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 spans="1:25" ht="12.7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 spans="1:25" ht="12.7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spans="1:25" ht="12.7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 spans="1:25" ht="12.7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spans="1:25" ht="12.7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 spans="1:25" ht="12.7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spans="1:25" ht="12.7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 spans="1:25" ht="12.7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 spans="1:25" ht="12.7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 spans="1:25" ht="12.7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spans="1:25" ht="12.7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 spans="1:25" ht="12.7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 spans="1:25" ht="12.7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 spans="1:25" ht="12.7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 spans="1:25" ht="12.7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 spans="1:25" ht="12.7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 spans="1:25" ht="12.7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 spans="1:25" ht="12.7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 spans="1:25" ht="12.7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spans="1:25" ht="12.7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 spans="1:25" ht="12.7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 spans="1:25" ht="12.7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 spans="1:25" ht="12.7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 spans="1:25" ht="12.7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 spans="1:25" ht="12.7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spans="1:25" ht="12.7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 spans="1:25" ht="12.7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 spans="1:25" ht="12.7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 spans="1:25" ht="12.7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 spans="1:25" ht="12.7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 spans="1:25" ht="12.7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 spans="1:25" ht="12.7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spans="1:25" ht="12.7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spans="1:25" ht="12.7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 spans="1:25" ht="12.7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 spans="1:25" ht="12.7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 spans="1:25" ht="12.7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 spans="1:25" ht="12.7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 spans="1:25" ht="12.7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 spans="1:25" ht="12.7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 spans="1:25" ht="12.7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 spans="1:25" ht="12.7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 spans="1:25" ht="12.7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 spans="1:25" ht="12.7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 spans="1:25" ht="12.7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 spans="1:25" ht="12.7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spans="1:25" ht="12.7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 spans="1:25" ht="12.7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 spans="1:25" ht="12.7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 spans="1:25" ht="12.7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 spans="1:25" ht="12.7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 spans="1:25" ht="12.7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 spans="1:25" ht="12.7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 spans="1:25" ht="12.7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 spans="1:25" ht="12.7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 spans="1:25" ht="12.7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 spans="1:25" ht="12.7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 spans="1:25" ht="12.7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spans="1:25" ht="12.7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 spans="1:25" ht="12.7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 spans="1:25" ht="12.7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 spans="1:25" ht="12.7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spans="1:25" ht="12.7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 spans="1:25" ht="12.7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 spans="1:25" ht="12.7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 spans="1:25" ht="12.7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 spans="1:25" ht="12.7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 spans="1:25" ht="12.7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spans="1:25" ht="12.7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 spans="1:25" ht="12.7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 spans="1:25" ht="12.7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 spans="1:25" ht="12.7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 spans="1:25" ht="12.7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 spans="1:25" ht="12.7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 spans="1:25" ht="12.7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 spans="1:25" ht="12.7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 spans="1:25" ht="12.7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 spans="1:25" ht="12.7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spans="1:25" ht="12.7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 spans="1:25" ht="12.7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spans="1:25" ht="12.7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 spans="1:25" ht="12.7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 spans="1:25" ht="12.7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 spans="1:25" ht="12.7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 spans="1:25" ht="12.7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 spans="1:25" ht="12.7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 spans="1:25" ht="12.7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 spans="1:25" ht="12.7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 spans="1:25" ht="12.7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 spans="1:25" ht="12.7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 spans="1:25" ht="12.7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 spans="1:25" ht="12.7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 spans="1:25" ht="12.7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spans="1:25" ht="12.7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 spans="1:25" ht="12.7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 spans="1:25" ht="12.7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 spans="1:25" ht="12.7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 spans="1:25" ht="12.7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 spans="1:25" ht="12.7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 spans="1:25" ht="12.7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 spans="1:25" ht="12.7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 spans="1:25" ht="12.7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 spans="1:25" ht="12.7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 spans="1:25" ht="12.7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 spans="1:25" ht="12.7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 spans="1:25" ht="12.7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 spans="1:25" ht="12.7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 spans="1:25" ht="12.7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 spans="1:25" ht="12.7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 spans="1:25" ht="12.7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 spans="1:25" ht="12.7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 spans="1:25" ht="12.7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 spans="1:25" ht="12.7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 spans="1:25" ht="12.7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 spans="1:25" ht="12.7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 spans="1:25" ht="12.7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 spans="1:25" ht="12.7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 spans="1:25" ht="12.7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 spans="1:25" ht="12.7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 spans="1:25" ht="12.7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 spans="1:25" ht="12.7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 spans="1:25" ht="12.7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spans="1:25" ht="12.7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 spans="1:25" ht="12.7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 spans="1:25" ht="12.7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 spans="1:25" ht="12.7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 spans="1:25" ht="12.7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 spans="1:25" ht="12.7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 spans="1:25" ht="12.7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 spans="1:25" ht="12.7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 spans="1:25" ht="12.7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 spans="1:25" ht="12.7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 spans="1:25" ht="12.7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 spans="1:25" ht="12.7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 spans="1:25" ht="12.7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 spans="1:25" ht="12.7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 spans="1:25" ht="12.7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 spans="1:25" ht="12.7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 spans="1:25" ht="12.7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 spans="1:25" ht="12.7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 spans="1:25" ht="12.7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 spans="1:25" ht="12.7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 spans="1:25" ht="12.7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 spans="1:25" ht="12.7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 spans="1:25" ht="12.7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 spans="1:25" ht="12.7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 spans="1:25" ht="12.7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 spans="1:25" ht="12.7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 spans="1:25" ht="12.7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 spans="1:25" ht="12.7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 spans="1:25" ht="12.7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spans="1:25" ht="12.7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 spans="1:25" ht="12.7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spans="1:25" ht="12.7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 spans="1:25" ht="12.7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 spans="1:25" ht="12.7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 spans="1:25" ht="12.7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 spans="1:25" ht="12.7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 spans="1:25" ht="12.7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 spans="1:25" ht="12.7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 spans="1:25" ht="12.7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 spans="1:25" ht="12.7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 spans="1:25" ht="12.7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 spans="1:25" ht="12.7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 spans="1:25" ht="12.7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 spans="1:25" ht="12.7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 spans="1:25" ht="12.7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 spans="1:25" ht="12.7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 spans="1:25" ht="12.7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spans="1:25" ht="12.7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 spans="1:25" ht="12.7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 spans="1:25" ht="12.7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 spans="1:25" ht="12.7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 spans="1:25" ht="12.7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 spans="1:25" ht="12.7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 spans="1:25" ht="12.7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 spans="1:25" ht="12.7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 spans="1:25" ht="12.7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 spans="1:25" ht="12.7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 spans="1:25" ht="12.7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 spans="1:25" ht="12.7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 spans="1:25" ht="12.7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spans="1:25" ht="12.7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 spans="1:25" ht="12.7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 spans="1:25" ht="12.7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 spans="1:25" ht="12.7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 spans="1:25" ht="12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spans="1:25" ht="12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spans="1:25" ht="12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 spans="1:25" ht="12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 spans="1:25" ht="12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 spans="1:25" ht="12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 spans="1:25" ht="12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 spans="1:25" ht="12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 spans="1:25" ht="12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 spans="1:25" ht="12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 spans="1:25" ht="12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 spans="1:25" ht="12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 spans="1:25" ht="12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 spans="1:25" ht="12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 spans="1:25" ht="12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 spans="1:25" ht="12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 spans="1:25" ht="12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 spans="1:25" ht="12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 spans="1:25" ht="12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 spans="1:25" ht="12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 spans="1:25" ht="12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 spans="1:25" ht="12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spans="1:25" ht="12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 spans="1:25" ht="12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 spans="1:25" ht="12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 spans="1:25" ht="12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 spans="1:25" ht="12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spans="1:25" ht="12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 spans="1:25" ht="12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 spans="1:25" ht="12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 spans="1:25" ht="12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 spans="1:25" ht="12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 spans="1:25" ht="12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 spans="1:25" ht="12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 spans="1:25" ht="12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 spans="1:25" ht="12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 spans="1:25" ht="12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 spans="1:25" ht="12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 spans="1:25" ht="12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 spans="1:25" ht="12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 spans="1:25" ht="12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 spans="1:25" ht="12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 spans="1:25" ht="12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 spans="1:25" ht="12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 spans="1:25" ht="12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 spans="1:25" ht="12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 spans="1:25" ht="12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 spans="1:25" ht="12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 spans="1:25" ht="12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 spans="1:25" ht="12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 spans="1:25" ht="12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 spans="1:25" ht="12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 spans="1:25" ht="12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 spans="1:25" ht="12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spans="1:25" ht="12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spans="1:25" ht="12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spans="1:25" ht="12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spans="1:25" ht="12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spans="1:25" ht="12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spans="1:25" ht="12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spans="1:25" ht="12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spans="1:25" ht="12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spans="1:25" ht="12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spans="1:25" ht="12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spans="1:25" ht="12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spans="1:25" ht="12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 spans="1:25" ht="12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spans="1:25" ht="12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spans="1:25" ht="12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spans="1:25" ht="12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spans="1:25" ht="12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spans="1:25" ht="12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spans="1:25" ht="12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 spans="1:25" ht="12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spans="1:25" ht="12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 spans="1:25" ht="12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 spans="1:25" ht="12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 spans="1:25" ht="12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spans="1:25" ht="12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 spans="1:25" ht="12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 spans="1:25" ht="12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 spans="1:25" ht="12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 spans="1:25" ht="12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 spans="1:25" ht="12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 spans="1:25" ht="12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spans="1:25" ht="12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 spans="1:25" ht="12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spans="1:25" ht="12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 spans="1:25" ht="12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 spans="1:25" ht="12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 spans="1:25" ht="12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 spans="1:25" ht="12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 spans="1:25" ht="12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spans="1:25" ht="12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 spans="1:25" ht="12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 spans="1:25" ht="12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 spans="1:25" ht="12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spans="1:25" ht="12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 spans="1:25" ht="12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 spans="1:25" ht="12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 spans="1:25" ht="12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 spans="1:25" ht="12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 spans="1:25" ht="12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 spans="1:25" ht="12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 spans="1:25" ht="12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 spans="1:25" ht="12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spans="1:25" ht="12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 spans="1:25" ht="12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spans="1:25" ht="12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spans="1:25" ht="12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spans="1:25" ht="12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spans="1:25" ht="12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spans="1:25" ht="12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spans="1:25" ht="12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spans="1:25" ht="12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spans="1:25" ht="12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spans="1:25" ht="12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spans="1:25" ht="12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spans="1:25" ht="12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spans="1:25" ht="12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spans="1:25" ht="12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spans="1:25" ht="12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spans="1:25" ht="12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spans="1:25" ht="12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spans="1:25" ht="12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spans="1:25" ht="12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spans="1:25" ht="12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spans="1:25" ht="12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spans="1:25" ht="12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spans="1:25" ht="12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spans="1:25" ht="12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 spans="1:25" ht="12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 spans="1:25" ht="12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spans="1:25" ht="12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 spans="1:25" ht="12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spans="1:25" ht="12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spans="1:25" ht="12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spans="1:25" ht="12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spans="1:25" ht="12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spans="1:25" ht="12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spans="1:25" ht="12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spans="1:25" ht="12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spans="1:25" ht="12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spans="1:25" ht="12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spans="1:25" ht="12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spans="1:25" ht="12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spans="1:25" ht="12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spans="1:25" ht="12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spans="1:25" ht="12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spans="1:25" ht="12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spans="1:25" ht="12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spans="1:25" ht="12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spans="1:25" ht="12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spans="1:25" ht="12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spans="1:25" ht="12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spans="1:25" ht="12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spans="1:25" ht="12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spans="1:25" ht="12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spans="1:25" ht="12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spans="1:25" ht="12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spans="1:25" ht="12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spans="1:25" ht="12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spans="1:25" ht="12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spans="1:25" ht="12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spans="1:25" ht="12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spans="1:25" ht="12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spans="1:25" ht="12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spans="1:25" ht="12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spans="1:25" ht="12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spans="1:25" ht="12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spans="1:25" ht="12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spans="1:25" ht="12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spans="1:25" ht="12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spans="1:25" ht="12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spans="1:25" ht="12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spans="1:25" ht="12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spans="1:25" ht="12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spans="1:25" ht="12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spans="1:25" ht="12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spans="1:25" ht="12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spans="1:25" ht="12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spans="1:25" ht="12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spans="1:25" ht="12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spans="1:25" ht="12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spans="1:25" ht="12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spans="1:25" ht="12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spans="1:25" ht="12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spans="1:25" ht="12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spans="1:25" ht="12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spans="1:25" ht="12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spans="1:25" ht="12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spans="1:25" ht="12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spans="1:25" ht="12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spans="1:25" ht="12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spans="1:25" ht="12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spans="1:25" ht="12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spans="1:25" ht="12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spans="1:25" ht="12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spans="1:25" ht="12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spans="1:25" ht="12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spans="1:25" ht="12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spans="1:25" ht="12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spans="1:25" ht="12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spans="1:25" ht="12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spans="1:25" ht="12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spans="1:25" ht="12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spans="1:25" ht="12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spans="1:25" ht="12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spans="1:25" ht="12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spans="1:25" ht="12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spans="1:25" ht="12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spans="1:25" ht="12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spans="1:25" ht="12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spans="1:25" ht="12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spans="1:25" ht="12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spans="1:25" ht="12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spans="1:25" ht="12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spans="1:25" ht="12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spans="1:25" ht="12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spans="1:25" ht="12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spans="1:25" ht="12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spans="1:25" ht="12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spans="1:25" ht="12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spans="1:25" ht="12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spans="1:25" ht="12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spans="1:25" ht="12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spans="1:25" ht="12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spans="1:25" ht="12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spans="1:25" ht="12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spans="1:25" ht="12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spans="1:25" ht="12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spans="1:25" ht="12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spans="1:25" ht="12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spans="1:25" ht="12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spans="1:25" ht="12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spans="1:25" ht="12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spans="1:25" ht="12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spans="1:25" ht="12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spans="1:25" ht="12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spans="1:25" ht="12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spans="1:25" ht="12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spans="1:25" ht="12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spans="1:25" ht="12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spans="1:25" ht="12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spans="1:25" ht="12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spans="1:25" ht="12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spans="1:25" ht="12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spans="1:25" ht="12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spans="1:25" ht="12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spans="1:25" ht="12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spans="1:25" ht="12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spans="1:25" ht="12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spans="1:25" ht="12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spans="1:25" ht="12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spans="1:25" ht="12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spans="1:25" ht="12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spans="1:25" ht="12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spans="1:25" ht="12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spans="1:25" ht="12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spans="1:25" ht="12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spans="1:25" ht="12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spans="1:25" ht="12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spans="1:25" ht="12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spans="1:25" ht="12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spans="1:25" ht="12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spans="1:25" ht="12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spans="1:25" ht="12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spans="1:25" ht="12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spans="1:25" ht="12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spans="1:25" ht="12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spans="1:25" ht="12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spans="1:25" ht="12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spans="1:25" ht="12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spans="1:25" ht="12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spans="1:25" ht="12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spans="1:25" ht="12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spans="1:25" ht="12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spans="1:25" ht="12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spans="1:25" ht="12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spans="1:25" ht="12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spans="1:25" ht="12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 spans="1:25" ht="12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 spans="1:25" ht="12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 spans="1:25" ht="12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 spans="1:25" ht="12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 spans="1:25" ht="12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 spans="1:25" ht="12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 spans="1:25" ht="12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 spans="1:25" ht="12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 spans="1:25" ht="12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 spans="1:25" ht="12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 spans="1:25" ht="12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 spans="1:25" ht="12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 spans="1:25" ht="12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 spans="1:25" ht="12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 spans="1:25" ht="12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spans="1:25" ht="12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 spans="1:25" ht="12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 spans="1:25" ht="12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 spans="1:25" ht="12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 spans="1:25" ht="12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spans="1:25" ht="12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 spans="1:25" ht="12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 spans="1:25" ht="12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 spans="1:25" ht="12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 spans="1:25" ht="12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 spans="1:25" ht="12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 spans="1:25" ht="12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 spans="1:25" ht="12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 spans="1:25" ht="12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 spans="1:25" ht="12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 spans="1:25" ht="12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 spans="1:25" ht="12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 spans="1:25" ht="12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 spans="1:25" ht="12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 spans="1:25" ht="12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 spans="1:25" ht="12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 spans="1:25" ht="12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 spans="1:25" ht="12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 spans="1:25" ht="12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 spans="1:25" ht="12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 spans="1:25" ht="12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 spans="1:25" ht="12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 spans="1:25" ht="12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 spans="1:25" ht="12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 spans="1:25" ht="12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 spans="1:25" ht="12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spans="1:25" ht="12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 spans="1:25" ht="12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 spans="1:25" ht="12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 spans="1:25" ht="12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 spans="1:25" ht="12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 spans="1:25" ht="12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 spans="1:25" ht="12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 spans="1:25" ht="12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 spans="1:25" ht="12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 spans="1:25" ht="12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 spans="1:25" ht="12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 spans="1:25" ht="12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 spans="1:25" ht="12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 spans="1:25" ht="12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 spans="1:25" ht="12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 spans="1:25" ht="12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 spans="1:25" ht="12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 spans="1:25" ht="12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 spans="1:25" ht="12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 spans="1:25" ht="12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 spans="1:25" ht="12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 spans="1:25" ht="12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 spans="1:25" ht="12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 spans="1:25" ht="12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 spans="1:25" ht="12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 spans="1:25" ht="12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 spans="1:25" ht="12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 spans="1:25" ht="12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 spans="1:25" ht="12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spans="1:25" ht="12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 spans="1:25" ht="12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 spans="1:25" ht="12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 spans="1:25" ht="12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 spans="1:25" ht="12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 spans="1:25" ht="12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 spans="1:25" ht="12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 spans="1:25" ht="12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 spans="1:25" ht="12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 spans="1:25" ht="12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 spans="1:25" ht="12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 spans="1:25" ht="12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 spans="1:25" ht="12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 spans="1:25" ht="12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 spans="1:25" ht="12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 spans="1:25" ht="12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 spans="1:25" ht="12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 spans="1:25" ht="12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 spans="1:25" ht="12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 spans="1:25" ht="12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 spans="1:25" ht="12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 spans="1:25" ht="12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 spans="1:25" ht="12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 spans="1:25" ht="12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 spans="1:25" ht="12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 spans="1:25" ht="12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  <row r="990" spans="1:25" ht="12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</row>
    <row r="991" spans="1:25" ht="12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</row>
    <row r="992" spans="1:25" ht="12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</row>
    <row r="993" spans="1:25" ht="12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</row>
    <row r="994" spans="1:25" ht="12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  <row r="995" spans="1:25" ht="12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</row>
    <row r="996" spans="1:25" ht="12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</row>
    <row r="997" spans="1:25" ht="12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</row>
    <row r="998" spans="1:25" ht="12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</row>
    <row r="999" spans="1:25" ht="12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</row>
    <row r="1000" spans="1:25" ht="12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</row>
  </sheetData>
  <mergeCells count="3">
    <mergeCell ref="B81:F81"/>
    <mergeCell ref="G81:K81"/>
    <mergeCell ref="L81:P81"/>
  </mergeCells>
  <pageMargins left="0.7" right="0.7" top="0.75" bottom="0.75" header="0" footer="0"/>
  <pageSetup orientation="landscape"/>
  <headerFooter>
    <oddHeader>&amp;R&amp;D &amp;T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0CFC-711B-5340-816D-C4F0291D6D94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/>
  </sheetViews>
  <sheetFormatPr baseColWidth="10" defaultColWidth="14.3984375" defaultRowHeight="15" customHeight="1"/>
  <cols>
    <col min="1" max="1" width="32.59765625" customWidth="1"/>
    <col min="2" max="2" width="11.19921875" customWidth="1"/>
    <col min="3" max="7" width="11.3984375" customWidth="1"/>
    <col min="8" max="8" width="14.19921875" customWidth="1"/>
    <col min="9" max="26" width="8" customWidth="1"/>
  </cols>
  <sheetData>
    <row r="1" spans="1:26" ht="20.25" customHeight="1">
      <c r="A1" s="20" t="s">
        <v>0</v>
      </c>
      <c r="B1" s="4"/>
      <c r="C1" s="4"/>
      <c r="D1" s="4"/>
      <c r="E1" s="4"/>
      <c r="F1" s="4"/>
      <c r="G1" s="4"/>
    </row>
    <row r="2" spans="1:26" ht="15.75" customHeight="1">
      <c r="A2" s="9" t="s">
        <v>339</v>
      </c>
      <c r="B2" s="65"/>
      <c r="C2" s="65"/>
      <c r="D2" s="65"/>
      <c r="E2" s="65"/>
      <c r="F2" s="65"/>
      <c r="G2" s="65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spans="1:26" ht="15.75" customHeight="1">
      <c r="A3" s="9" t="s">
        <v>40</v>
      </c>
      <c r="B3" s="65"/>
      <c r="C3" s="65"/>
      <c r="D3" s="65"/>
      <c r="E3" s="65"/>
      <c r="F3" s="65"/>
      <c r="G3" s="65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 spans="1:26" ht="15" customHeight="1">
      <c r="A4" s="65"/>
      <c r="B4" s="4"/>
      <c r="C4" s="4"/>
      <c r="D4" s="4"/>
      <c r="E4" s="4"/>
      <c r="F4" s="4"/>
      <c r="G4" s="4"/>
    </row>
    <row r="5" spans="1:26" ht="15.75" customHeight="1">
      <c r="A5" s="65"/>
      <c r="B5" s="33"/>
      <c r="C5" s="11" t="s">
        <v>9</v>
      </c>
      <c r="D5" s="11" t="s">
        <v>10</v>
      </c>
      <c r="E5" s="11" t="s">
        <v>11</v>
      </c>
      <c r="F5" s="11" t="s">
        <v>12</v>
      </c>
      <c r="G5" s="11" t="s">
        <v>13</v>
      </c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 spans="1:26" ht="12.75" customHeight="1">
      <c r="A6" s="6" t="s">
        <v>340</v>
      </c>
      <c r="B6" s="4"/>
      <c r="C6" s="4"/>
      <c r="D6" s="4"/>
      <c r="E6" s="4"/>
      <c r="F6" s="4"/>
      <c r="G6" s="4"/>
    </row>
    <row r="7" spans="1:26" ht="12.75" customHeight="1">
      <c r="A7" s="12" t="s">
        <v>73</v>
      </c>
      <c r="B7" s="4"/>
      <c r="C7" s="35">
        <f>INCOME!C7</f>
        <v>2750000</v>
      </c>
      <c r="D7" s="35">
        <f>INCOME!D7</f>
        <v>3840000</v>
      </c>
      <c r="E7" s="35">
        <f>INCOME!E7</f>
        <v>5995000</v>
      </c>
      <c r="F7" s="35">
        <f>INCOME!F7</f>
        <v>8120000</v>
      </c>
      <c r="G7" s="35">
        <f>INCOME!G7</f>
        <v>12120000</v>
      </c>
    </row>
    <row r="8" spans="1:26" ht="12.75" customHeight="1">
      <c r="A8" s="12" t="s">
        <v>341</v>
      </c>
      <c r="B8" s="70"/>
      <c r="C8" s="35">
        <f>INCOME!C12</f>
        <v>1424471.4285714286</v>
      </c>
      <c r="D8" s="35">
        <f>INCOME!D12</f>
        <v>1924000</v>
      </c>
      <c r="E8" s="35">
        <f>INCOME!E12</f>
        <v>3480942.8571428573</v>
      </c>
      <c r="F8" s="35">
        <f>INCOME!F12</f>
        <v>5005300</v>
      </c>
      <c r="G8" s="35">
        <f>INCOME!G12</f>
        <v>8056164.2857142854</v>
      </c>
    </row>
    <row r="9" spans="1:26" ht="12.75" customHeight="1">
      <c r="A9" s="12" t="s">
        <v>342</v>
      </c>
      <c r="B9" s="70"/>
      <c r="C9" s="35">
        <f>INCOME!C26</f>
        <v>-262528.57142857136</v>
      </c>
      <c r="D9" s="35">
        <f>INCOME!D26</f>
        <v>-221300</v>
      </c>
      <c r="E9" s="35">
        <f>INCOME!E26</f>
        <v>707952.85714285728</v>
      </c>
      <c r="F9" s="35">
        <f>INCOME!F26</f>
        <v>1564633.333333333</v>
      </c>
      <c r="G9" s="35">
        <f>INCOME!G26</f>
        <v>3667097.6190476185</v>
      </c>
    </row>
    <row r="10" spans="1:26" ht="12.75" customHeight="1">
      <c r="A10" s="12" t="s">
        <v>343</v>
      </c>
      <c r="B10" s="70"/>
      <c r="C10" s="35">
        <f>INCOME!C26+'PROP &amp; EQUIP'!C47</f>
        <v>-217399.99999999994</v>
      </c>
      <c r="D10" s="35">
        <f>INCOME!D26+'PROP &amp; EQUIP'!D47</f>
        <v>-87800</v>
      </c>
      <c r="E10" s="35">
        <f>INCOME!E26+'PROP &amp; EQUIP'!E47</f>
        <v>958810.00000000012</v>
      </c>
      <c r="F10" s="35">
        <f>INCOME!F26+'PROP &amp; EQUIP'!F47</f>
        <v>1947799.9999999998</v>
      </c>
      <c r="G10" s="35">
        <f>INCOME!G26+'PROP &amp; EQUIP'!G47</f>
        <v>4184049.9999999995</v>
      </c>
    </row>
    <row r="11" spans="1:26" ht="12.75" customHeight="1">
      <c r="A11" s="12" t="s">
        <v>344</v>
      </c>
      <c r="B11" s="70"/>
      <c r="C11" s="35">
        <f>INCOME!C34</f>
        <v>-476628.57142857136</v>
      </c>
      <c r="D11" s="35">
        <f>INCOME!D34</f>
        <v>-416600</v>
      </c>
      <c r="E11" s="35">
        <f>INCOME!E34</f>
        <v>488352.85714285728</v>
      </c>
      <c r="F11" s="35">
        <f>INCOME!F34</f>
        <v>1026330.2857142854</v>
      </c>
      <c r="G11" s="35">
        <f>INCOME!G34</f>
        <v>2147938.5714285709</v>
      </c>
    </row>
    <row r="12" spans="1:26" ht="12.75" customHeight="1">
      <c r="A12" s="12" t="s">
        <v>345</v>
      </c>
      <c r="B12" s="4"/>
      <c r="C12" s="35">
        <f>CASHFLOW!C15</f>
        <v>-721166.66666666663</v>
      </c>
      <c r="D12" s="35">
        <f>CASHFLOW!D15</f>
        <v>-296793.33333333343</v>
      </c>
      <c r="E12" s="35">
        <f>CASHFLOW!E15</f>
        <v>664885.00000000023</v>
      </c>
      <c r="F12" s="35">
        <f>CASHFLOW!F15</f>
        <v>1275621.9523809522</v>
      </c>
      <c r="G12" s="35">
        <f>CASHFLOW!G15</f>
        <v>2412890.952380952</v>
      </c>
    </row>
    <row r="13" spans="1:26" ht="12.75" customHeight="1">
      <c r="A13" s="12" t="s">
        <v>159</v>
      </c>
      <c r="B13" s="4"/>
      <c r="C13" s="35">
        <f>'PROP &amp; EQUIP'!C13</f>
        <v>289500</v>
      </c>
      <c r="D13" s="35">
        <f>'PROP &amp; EQUIP'!D13</f>
        <v>493000</v>
      </c>
      <c r="E13" s="35">
        <f>'PROP &amp; EQUIP'!E13</f>
        <v>570000</v>
      </c>
      <c r="F13" s="35">
        <f>'PROP &amp; EQUIP'!F13</f>
        <v>665000</v>
      </c>
      <c r="G13" s="35">
        <f>'PROP &amp; EQUIP'!G13</f>
        <v>750000</v>
      </c>
    </row>
    <row r="14" spans="1:26" ht="12.75" customHeight="1">
      <c r="A14" s="12" t="s">
        <v>327</v>
      </c>
      <c r="B14" s="4"/>
      <c r="C14" s="35">
        <f>FUNDING!C45-FUNDING!C41</f>
        <v>-214100</v>
      </c>
      <c r="D14" s="35">
        <f>FUNDING!D45-FUNDING!D41</f>
        <v>-195300</v>
      </c>
      <c r="E14" s="35">
        <f>FUNDING!E45-FUNDING!E41</f>
        <v>-219600</v>
      </c>
      <c r="F14" s="35">
        <f>FUNDING!F45-FUNDING!F41</f>
        <v>-124000</v>
      </c>
      <c r="G14" s="35">
        <f>FUNDING!G45-FUNDING!G41</f>
        <v>-87199.999999999985</v>
      </c>
    </row>
    <row r="15" spans="1:26" ht="12.75" customHeight="1">
      <c r="A15" s="12" t="s">
        <v>235</v>
      </c>
      <c r="B15" s="4"/>
      <c r="C15" s="35">
        <f>FUNDING!C49</f>
        <v>0</v>
      </c>
      <c r="D15" s="35">
        <f>FUNDING!D49</f>
        <v>30000</v>
      </c>
      <c r="E15" s="35">
        <f>FUNDING!E49</f>
        <v>40000</v>
      </c>
      <c r="F15" s="35">
        <f>FUNDING!F49</f>
        <v>50000</v>
      </c>
      <c r="G15" s="35">
        <f>FUNDING!G49</f>
        <v>50000</v>
      </c>
    </row>
    <row r="16" spans="1:26" ht="12.75" customHeight="1">
      <c r="A16" s="12" t="s">
        <v>346</v>
      </c>
      <c r="B16" s="4"/>
      <c r="C16" s="35">
        <f>BALANCE!C9</f>
        <v>3439333.3333333335</v>
      </c>
      <c r="D16" s="35">
        <f>BALANCE!D9</f>
        <v>3394540</v>
      </c>
      <c r="E16" s="35">
        <f>BALANCE!E9</f>
        <v>3474425</v>
      </c>
      <c r="F16" s="35">
        <f>BALANCE!F9</f>
        <v>3360046.9523809524</v>
      </c>
      <c r="G16" s="35">
        <f>BALANCE!G9</f>
        <v>4297937.9047619049</v>
      </c>
    </row>
    <row r="17" spans="1:7" ht="12.75" customHeight="1">
      <c r="A17" s="12" t="s">
        <v>216</v>
      </c>
      <c r="B17" s="4"/>
      <c r="C17" s="35">
        <f>FUNDING!C52+FUNDING!C8+FUNDING!C10</f>
        <v>23371.428571428638</v>
      </c>
      <c r="D17" s="35">
        <f>FUNDING!D52+FUNDING!D8+FUNDING!D10</f>
        <v>-173228.57142857136</v>
      </c>
      <c r="E17" s="35">
        <f>FUNDING!E52+FUNDING!E8+FUNDING!E10</f>
        <v>125124.28571428591</v>
      </c>
      <c r="F17" s="35">
        <f>FUNDING!F52+FUNDING!F8+FUNDING!F10</f>
        <v>1501454.5714285714</v>
      </c>
      <c r="G17" s="35">
        <f>FUNDING!G52+FUNDING!G8+FUNDING!G10</f>
        <v>3399393.1428571423</v>
      </c>
    </row>
    <row r="18" spans="1:7" ht="12.75" customHeight="1">
      <c r="A18" s="12" t="s">
        <v>347</v>
      </c>
      <c r="B18" s="4"/>
      <c r="C18" s="35">
        <f>FUNDING!C24</f>
        <v>2500000</v>
      </c>
      <c r="D18" s="35">
        <f>FUNDING!D24</f>
        <v>2375000</v>
      </c>
      <c r="E18" s="35">
        <f>FUNDING!E24</f>
        <v>2100000</v>
      </c>
      <c r="F18" s="35">
        <f>FUNDING!F24</f>
        <v>1725000</v>
      </c>
      <c r="G18" s="35">
        <f>FUNDING!G24</f>
        <v>1350000</v>
      </c>
    </row>
    <row r="19" spans="1:7" ht="12.75" customHeight="1">
      <c r="A19" s="4"/>
      <c r="B19" s="4"/>
      <c r="C19" s="44"/>
      <c r="D19" s="44"/>
      <c r="E19" s="44"/>
      <c r="F19" s="44"/>
      <c r="G19" s="44"/>
    </row>
    <row r="20" spans="1:7" ht="12.75" customHeight="1">
      <c r="A20" s="6" t="s">
        <v>36</v>
      </c>
      <c r="B20" s="4"/>
      <c r="C20" s="19"/>
      <c r="D20" s="19"/>
      <c r="E20" s="19"/>
      <c r="F20" s="19"/>
      <c r="G20" s="19"/>
    </row>
    <row r="21" spans="1:7" ht="12.75" customHeight="1">
      <c r="A21" s="4" t="s">
        <v>37</v>
      </c>
      <c r="B21" s="4"/>
      <c r="C21" s="21"/>
      <c r="D21" s="97">
        <f t="shared" ref="D21:G21" si="0">D7/C7-1</f>
        <v>0.39636363636363647</v>
      </c>
      <c r="E21" s="97">
        <f t="shared" si="0"/>
        <v>0.56119791666666674</v>
      </c>
      <c r="F21" s="97">
        <f t="shared" si="0"/>
        <v>0.35446205170975809</v>
      </c>
      <c r="G21" s="97">
        <f t="shared" si="0"/>
        <v>0.49261083743842371</v>
      </c>
    </row>
    <row r="22" spans="1:7" ht="12.75" customHeight="1">
      <c r="A22" s="4" t="s">
        <v>38</v>
      </c>
      <c r="B22" s="4"/>
      <c r="C22" s="21"/>
      <c r="D22" s="134" t="str">
        <f>IF((INCOME!D34/INCOME!C34-1)&gt;0,(INCOME!D34/INCOME!C34-1),"Nil")</f>
        <v>Nil</v>
      </c>
      <c r="E22" s="134" t="str">
        <f>IF((INCOME!E34/INCOME!D34-1)&gt;0,(INCOME!E34/INCOME!D34-1),"Nil")</f>
        <v>Nil</v>
      </c>
      <c r="F22" s="134">
        <f>IF((INCOME!F34/INCOME!E34-1)&gt;0,(INCOME!F34/INCOME!E34-1),"Nil")</f>
        <v>1.1016162201218664</v>
      </c>
      <c r="G22" s="134">
        <f>IF((INCOME!G34/INCOME!F34-1)&gt;0,(INCOME!G34/INCOME!F34-1),"Nil")</f>
        <v>1.092833663125989</v>
      </c>
    </row>
    <row r="23" spans="1:7" ht="12.75" customHeight="1">
      <c r="A23" s="4"/>
      <c r="B23" s="4"/>
      <c r="C23" s="21"/>
      <c r="D23" s="21"/>
      <c r="E23" s="21"/>
      <c r="F23" s="21"/>
      <c r="G23" s="21"/>
    </row>
    <row r="24" spans="1:7" ht="12.75" customHeight="1">
      <c r="A24" s="6" t="s">
        <v>8</v>
      </c>
      <c r="B24" s="21"/>
      <c r="C24" s="21"/>
      <c r="D24" s="21"/>
      <c r="E24" s="21"/>
      <c r="F24" s="21"/>
      <c r="G24" s="21"/>
    </row>
    <row r="25" spans="1:7" ht="12.75" customHeight="1">
      <c r="A25" s="4" t="s">
        <v>348</v>
      </c>
      <c r="B25" s="78"/>
      <c r="C25" s="135">
        <f>BALANCE!C13/BALANCE!C23</f>
        <v>3.8692769182191356</v>
      </c>
      <c r="D25" s="135">
        <f>BALANCE!D13/BALANCE!D23</f>
        <v>4.0806632714440392</v>
      </c>
      <c r="E25" s="135">
        <f>BALANCE!E13/BALANCE!E23</f>
        <v>2.6366847753365268</v>
      </c>
      <c r="F25" s="135">
        <f>BALANCE!F13/BALANCE!F23</f>
        <v>3.8422342594512404</v>
      </c>
      <c r="G25" s="135">
        <f>BALANCE!G13/BALANCE!G23</f>
        <v>4.0882107867923665</v>
      </c>
    </row>
    <row r="26" spans="1:7" ht="12.75" customHeight="1">
      <c r="A26" s="4" t="s">
        <v>349</v>
      </c>
      <c r="B26" s="78"/>
      <c r="C26" s="135">
        <f>(BALANCE!C25+BALANCE!C22)/(BALANCE!C25+BALANCE!C22+BALANCE!C31)</f>
        <v>0.67143449101428809</v>
      </c>
      <c r="D26" s="135">
        <f>(BALANCE!D25+BALANCE!D22)/(BALANCE!D25+BALANCE!D22+BALANCE!D31)</f>
        <v>0.57204497907949792</v>
      </c>
      <c r="E26" s="135">
        <f>(BALANCE!E25+BALANCE!E22)/(BALANCE!E25+BALANCE!E22+BALANCE!E31)</f>
        <v>0.50297903877626227</v>
      </c>
      <c r="F26" s="135">
        <f>(BALANCE!F25+BALANCE!F22)/(BALANCE!F25+BALANCE!F22+BALANCE!F31)</f>
        <v>0.333239667459101</v>
      </c>
      <c r="G26" s="135">
        <f>(BALANCE!G25+BALANCE!G22)/(BALANCE!G25+BALANCE!G22+BALANCE!G31)</f>
        <v>0.20151078929281274</v>
      </c>
    </row>
    <row r="27" spans="1:7" ht="12.75" customHeight="1">
      <c r="A27" s="4"/>
      <c r="B27" s="4"/>
      <c r="C27" s="4"/>
      <c r="D27" s="4"/>
      <c r="E27" s="4"/>
      <c r="F27" s="4"/>
      <c r="G27" s="4"/>
    </row>
    <row r="28" spans="1:7" ht="12.75" customHeight="1">
      <c r="A28" s="6" t="s">
        <v>21</v>
      </c>
      <c r="B28" s="4"/>
      <c r="C28" s="4"/>
      <c r="D28" s="4"/>
      <c r="E28" s="4"/>
      <c r="F28" s="4"/>
      <c r="G28" s="4"/>
    </row>
    <row r="29" spans="1:7" ht="12.75" customHeight="1">
      <c r="A29" s="12" t="s">
        <v>350</v>
      </c>
      <c r="B29" s="39"/>
      <c r="C29" s="136">
        <f>INCOME!C13</f>
        <v>0.51798961038961044</v>
      </c>
      <c r="D29" s="136">
        <f>INCOME!D13</f>
        <v>0.50104166666666672</v>
      </c>
      <c r="E29" s="136">
        <f>INCOME!E13</f>
        <v>0.58064101036578109</v>
      </c>
      <c r="F29" s="136">
        <f>INCOME!F13</f>
        <v>0.61641625615763551</v>
      </c>
      <c r="G29" s="136">
        <f>INCOME!G13</f>
        <v>0.66470002357378588</v>
      </c>
    </row>
    <row r="30" spans="1:7" ht="12.75" customHeight="1">
      <c r="A30" s="12" t="s">
        <v>351</v>
      </c>
      <c r="B30" s="39"/>
      <c r="C30" s="136">
        <f>INCOME!C20</f>
        <v>0.56981818181818178</v>
      </c>
      <c r="D30" s="136">
        <f>INCOME!D20</f>
        <v>0.58861979166666667</v>
      </c>
      <c r="E30" s="136">
        <f>INCOME!E20</f>
        <v>0.49257547956630526</v>
      </c>
      <c r="F30" s="136">
        <f>INCOME!F20</f>
        <v>0.45574712643678167</v>
      </c>
      <c r="G30" s="136">
        <f>INCOME!G20</f>
        <v>0.38936193619361936</v>
      </c>
    </row>
    <row r="31" spans="1:7" ht="12.75" customHeight="1">
      <c r="A31" s="12" t="s">
        <v>352</v>
      </c>
      <c r="B31" s="39"/>
      <c r="C31" s="45">
        <f t="shared" ref="C31:G31" si="1">C11/C7</f>
        <v>-0.17331948051948048</v>
      </c>
      <c r="D31" s="45">
        <f t="shared" si="1"/>
        <v>-0.10848958333333333</v>
      </c>
      <c r="E31" s="45">
        <f t="shared" si="1"/>
        <v>8.1460026212319819E-2</v>
      </c>
      <c r="F31" s="45">
        <f t="shared" si="1"/>
        <v>0.12639535538353269</v>
      </c>
      <c r="G31" s="45">
        <f t="shared" si="1"/>
        <v>0.17722265440829793</v>
      </c>
    </row>
    <row r="32" spans="1:7" ht="12.75" customHeight="1">
      <c r="A32" s="4"/>
      <c r="B32" s="4"/>
      <c r="C32" s="4"/>
      <c r="D32" s="4"/>
      <c r="E32" s="4"/>
      <c r="F32" s="4"/>
      <c r="G32" s="4"/>
    </row>
    <row r="33" spans="1:8" ht="12.75" customHeight="1">
      <c r="A33" s="6" t="s">
        <v>32</v>
      </c>
      <c r="B33" s="4"/>
      <c r="C33" s="4"/>
      <c r="D33" s="4"/>
      <c r="E33" s="4"/>
      <c r="F33" s="4"/>
      <c r="G33" s="4"/>
    </row>
    <row r="34" spans="1:8" ht="12.75" customHeight="1">
      <c r="A34" s="12" t="s">
        <v>33</v>
      </c>
      <c r="B34" s="39"/>
      <c r="C34" s="136">
        <f>INCOME!C34/BALANCE!C15</f>
        <v>-0.11010034121733848</v>
      </c>
      <c r="D34" s="136">
        <f>INCOME!D34/BALANCE!D15</f>
        <v>-8.9126570610542369E-2</v>
      </c>
      <c r="E34" s="136">
        <f>INCOME!E34/BALANCE!E15</f>
        <v>9.1167769770358439E-2</v>
      </c>
      <c r="F34" s="136">
        <f>INCOME!F34/BALANCE!F15</f>
        <v>0.17501939527285928</v>
      </c>
      <c r="G34" s="136">
        <f>INCOME!G34/BALANCE!G15</f>
        <v>0.27986049459963236</v>
      </c>
    </row>
    <row r="35" spans="1:8" ht="12.75" customHeight="1">
      <c r="A35" s="12" t="s">
        <v>34</v>
      </c>
      <c r="B35" s="39"/>
      <c r="C35" s="136">
        <f>INCOME!C34/BALANCE!C31</f>
        <v>-0.38960250361997284</v>
      </c>
      <c r="D35" s="136">
        <f>INCOME!D34/BALANCE!D31</f>
        <v>-0.23447022689629665</v>
      </c>
      <c r="E35" s="136">
        <f>INCOME!E34/BALANCE!E31</f>
        <v>0.23533667862923188</v>
      </c>
      <c r="F35" s="136">
        <f>INCOME!F34/BALANCE!F31</f>
        <v>0.29736166722585111</v>
      </c>
      <c r="G35" s="136">
        <f>INCOME!G34/BALANCE!G31</f>
        <v>0.40152939110422992</v>
      </c>
    </row>
    <row r="36" spans="1:8" ht="12.75" customHeight="1">
      <c r="A36" s="12" t="s">
        <v>35</v>
      </c>
      <c r="B36" s="39"/>
      <c r="C36" s="136">
        <f>INCOME!C34/(BALANCE!C22+BALANCE!C25+BALANCE!C31)</f>
        <v>-0.12800994490400402</v>
      </c>
      <c r="D36" s="136">
        <f>INCOME!D34/(BALANCE!D22+BALANCE!D25+BALANCE!D31)</f>
        <v>-0.10034271085663951</v>
      </c>
      <c r="E36" s="136">
        <f>INCOME!E34/(BALANCE!E22+BALANCE!E25+BALANCE!E31)</f>
        <v>0.11696726222350269</v>
      </c>
      <c r="F36" s="136">
        <f>INCOME!F34/(BALANCE!F22+BALANCE!F25+BALANCE!F31)</f>
        <v>0.19826896412442468</v>
      </c>
      <c r="G36" s="136">
        <f>INCOME!G34/(BALANCE!G22+BALANCE!G25+BALANCE!G31)</f>
        <v>0.32061688657855403</v>
      </c>
    </row>
    <row r="37" spans="1:8" ht="12.75" customHeight="1">
      <c r="A37" s="137"/>
    </row>
    <row r="38" spans="1:8" ht="12.75" customHeight="1"/>
    <row r="39" spans="1:8" ht="12.75" customHeight="1"/>
    <row r="40" spans="1:8" ht="12.75" customHeight="1"/>
    <row r="41" spans="1:8" ht="12.75" customHeight="1"/>
    <row r="42" spans="1:8" ht="12.75" customHeight="1"/>
    <row r="43" spans="1:8" ht="12.75" customHeight="1"/>
    <row r="44" spans="1:8" ht="12.75" customHeight="1"/>
    <row r="45" spans="1:8" ht="12.75" customHeight="1"/>
    <row r="46" spans="1:8" ht="12.75" customHeight="1">
      <c r="H46" s="4"/>
    </row>
    <row r="47" spans="1:8" ht="12.75" customHeight="1"/>
    <row r="48" spans="1: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  <headerFooter>
    <oddHeader>&amp;R&amp;D &amp;T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000"/>
  <sheetViews>
    <sheetView workbookViewId="0"/>
  </sheetViews>
  <sheetFormatPr baseColWidth="10" defaultColWidth="14.3984375" defaultRowHeight="15" customHeight="1"/>
  <cols>
    <col min="1" max="1" width="30" customWidth="1"/>
    <col min="2" max="2" width="12.796875" bestFit="1" customWidth="1"/>
    <col min="3" max="3" width="13" bestFit="1" customWidth="1"/>
    <col min="4" max="4" width="15.796875" customWidth="1"/>
    <col min="5" max="5" width="16.59765625" customWidth="1"/>
    <col min="6" max="6" width="24.3984375" bestFit="1" customWidth="1"/>
    <col min="7" max="7" width="14" bestFit="1" customWidth="1"/>
    <col min="8" max="9" width="11.796875" customWidth="1"/>
    <col min="10" max="10" width="28.59765625" bestFit="1" customWidth="1"/>
    <col min="11" max="11" width="10.796875" customWidth="1"/>
    <col min="12" max="12" width="12.796875" customWidth="1"/>
    <col min="13" max="13" width="12.796875" bestFit="1" customWidth="1"/>
    <col min="14" max="14" width="13.19921875" customWidth="1"/>
    <col min="15" max="15" width="14.19921875" customWidth="1"/>
    <col min="16" max="26" width="8" customWidth="1"/>
  </cols>
  <sheetData>
    <row r="1" spans="1:15" ht="20.25" customHeight="1">
      <c r="A1" s="20" t="s">
        <v>0</v>
      </c>
      <c r="B1" s="5"/>
      <c r="C1" s="4"/>
      <c r="D1" s="4"/>
      <c r="E1" s="5"/>
      <c r="F1" s="4"/>
    </row>
    <row r="2" spans="1:15" ht="15.75" customHeight="1">
      <c r="A2" s="9" t="s">
        <v>353</v>
      </c>
      <c r="B2" s="138"/>
      <c r="C2" s="65"/>
      <c r="D2" s="65"/>
      <c r="E2" s="138"/>
      <c r="F2" s="65"/>
    </row>
    <row r="3" spans="1:15" ht="15.75" customHeight="1">
      <c r="A3" s="139" t="s">
        <v>354</v>
      </c>
      <c r="B3" s="140"/>
      <c r="E3" s="140"/>
    </row>
    <row r="4" spans="1:15" ht="15.75" customHeight="1">
      <c r="A4" s="9" t="s">
        <v>40</v>
      </c>
      <c r="B4" s="138"/>
      <c r="C4" s="65"/>
      <c r="D4" s="65"/>
      <c r="E4" s="133"/>
      <c r="F4" s="133"/>
      <c r="G4" s="133"/>
      <c r="H4" s="133"/>
      <c r="I4" s="138"/>
      <c r="J4" s="133"/>
      <c r="K4" s="133"/>
      <c r="L4" s="133"/>
      <c r="M4" s="133"/>
      <c r="N4" s="133"/>
      <c r="O4" s="133"/>
    </row>
    <row r="5" spans="1:15" ht="12.75" customHeight="1">
      <c r="A5" s="4"/>
      <c r="B5" s="5"/>
      <c r="C5" s="4"/>
      <c r="D5" s="4"/>
      <c r="E5" s="1"/>
      <c r="F5" s="1"/>
      <c r="G5" s="1"/>
      <c r="H5" s="1"/>
      <c r="I5" s="5"/>
      <c r="J5" s="1"/>
      <c r="K5" s="1"/>
      <c r="L5" s="1"/>
      <c r="M5" s="1"/>
      <c r="N5" s="1"/>
      <c r="O5" s="1"/>
    </row>
    <row r="6" spans="1:15" ht="12.75" customHeight="1">
      <c r="A6" s="43" t="s">
        <v>355</v>
      </c>
      <c r="B6" s="5"/>
      <c r="C6" s="5"/>
      <c r="D6" s="4"/>
      <c r="E6" s="5"/>
      <c r="F6" s="4"/>
      <c r="G6" s="4"/>
      <c r="H6" s="4"/>
      <c r="I6" s="5"/>
      <c r="J6" s="4"/>
      <c r="K6" s="4"/>
      <c r="L6" s="4"/>
      <c r="M6" s="4"/>
      <c r="N6" s="4"/>
      <c r="O6" s="4"/>
    </row>
    <row r="7" spans="1:15" ht="12.75" customHeight="1">
      <c r="A7" s="12" t="s">
        <v>356</v>
      </c>
      <c r="B7" s="141">
        <v>0.6</v>
      </c>
      <c r="C7" s="5"/>
      <c r="D7" s="4"/>
      <c r="E7" s="5"/>
      <c r="F7" s="4"/>
      <c r="G7" s="4"/>
      <c r="H7" s="4"/>
      <c r="I7" s="5"/>
      <c r="J7" s="4"/>
      <c r="K7" s="4"/>
      <c r="L7" s="4"/>
      <c r="M7" s="4"/>
      <c r="N7" s="4"/>
      <c r="O7" s="4"/>
    </row>
    <row r="8" spans="1:15" ht="12.75" customHeight="1">
      <c r="A8" s="12" t="s">
        <v>357</v>
      </c>
      <c r="B8" s="142">
        <v>15</v>
      </c>
      <c r="C8" s="5"/>
      <c r="D8" s="4"/>
      <c r="E8" s="5"/>
      <c r="F8" s="4"/>
      <c r="G8" s="4"/>
      <c r="H8" s="4"/>
      <c r="I8" s="5"/>
      <c r="J8" s="4"/>
      <c r="K8" s="4"/>
      <c r="L8" s="4"/>
      <c r="M8" s="4"/>
      <c r="N8" s="4"/>
      <c r="O8" s="4"/>
    </row>
    <row r="9" spans="1:15" ht="12.75" customHeight="1">
      <c r="A9" s="12" t="s">
        <v>358</v>
      </c>
      <c r="B9" s="143">
        <v>1500000</v>
      </c>
      <c r="C9" s="5"/>
      <c r="D9" s="4"/>
      <c r="E9" s="144"/>
      <c r="F9" s="21"/>
      <c r="G9" s="21"/>
      <c r="H9" s="21"/>
      <c r="I9" s="5"/>
      <c r="J9" s="4"/>
      <c r="K9" s="4"/>
      <c r="L9" s="4"/>
      <c r="M9" s="4"/>
      <c r="N9" s="4"/>
      <c r="O9" s="4"/>
    </row>
    <row r="10" spans="1:15" ht="12.75" customHeight="1">
      <c r="A10" s="145"/>
      <c r="B10" s="146"/>
      <c r="C10" s="4"/>
      <c r="D10" s="4"/>
      <c r="E10" s="144"/>
      <c r="F10" s="21"/>
      <c r="G10" s="21"/>
      <c r="H10" s="21"/>
      <c r="I10" s="5"/>
      <c r="J10" s="4"/>
      <c r="K10" s="4"/>
      <c r="L10" s="4"/>
      <c r="M10" s="4"/>
      <c r="N10" s="4"/>
      <c r="O10" s="4"/>
    </row>
    <row r="11" spans="1:15" ht="12.75" customHeight="1">
      <c r="A11" s="145"/>
      <c r="B11" s="5"/>
      <c r="C11" s="5"/>
      <c r="D11" s="146"/>
      <c r="E11" s="5"/>
      <c r="F11" s="5"/>
      <c r="G11" s="5"/>
      <c r="H11" s="5"/>
      <c r="I11" s="5"/>
      <c r="J11" s="4"/>
      <c r="K11" s="4"/>
      <c r="L11" s="4"/>
      <c r="M11" s="4"/>
      <c r="N11" s="4"/>
      <c r="O11" s="4"/>
    </row>
    <row r="12" spans="1:15" ht="25.5" customHeight="1">
      <c r="A12" s="147" t="s">
        <v>359</v>
      </c>
      <c r="B12" s="148" t="s">
        <v>360</v>
      </c>
      <c r="C12" s="148" t="s">
        <v>234</v>
      </c>
      <c r="D12" s="149" t="s">
        <v>361</v>
      </c>
      <c r="E12" s="149" t="s">
        <v>362</v>
      </c>
      <c r="F12" s="149" t="s">
        <v>363</v>
      </c>
      <c r="G12" s="149" t="s">
        <v>364</v>
      </c>
      <c r="H12" s="149" t="s">
        <v>365</v>
      </c>
      <c r="I12" s="149" t="s">
        <v>366</v>
      </c>
      <c r="J12" s="43" t="s">
        <v>367</v>
      </c>
      <c r="K12" s="5"/>
      <c r="L12" s="5"/>
      <c r="M12" s="5"/>
      <c r="N12" s="5"/>
      <c r="O12" s="5"/>
    </row>
    <row r="13" spans="1:15" ht="12.75" customHeight="1">
      <c r="A13" s="150" t="s">
        <v>368</v>
      </c>
      <c r="B13" s="151"/>
      <c r="C13" s="151" t="s">
        <v>369</v>
      </c>
      <c r="D13" s="151" t="s">
        <v>370</v>
      </c>
      <c r="E13" s="151" t="s">
        <v>371</v>
      </c>
      <c r="F13" s="151" t="s">
        <v>372</v>
      </c>
      <c r="G13" s="151" t="s">
        <v>373</v>
      </c>
      <c r="H13" s="151" t="s">
        <v>374</v>
      </c>
      <c r="I13" s="151" t="s">
        <v>375</v>
      </c>
      <c r="J13" s="152" t="s">
        <v>376</v>
      </c>
      <c r="K13" s="152" t="s">
        <v>9</v>
      </c>
      <c r="L13" s="152" t="s">
        <v>10</v>
      </c>
      <c r="M13" s="152" t="s">
        <v>11</v>
      </c>
      <c r="N13" s="152" t="s">
        <v>12</v>
      </c>
      <c r="O13" s="152" t="s">
        <v>13</v>
      </c>
    </row>
    <row r="14" spans="1:15" ht="12.75" customHeight="1">
      <c r="A14" s="12" t="s">
        <v>377</v>
      </c>
      <c r="B14" s="2">
        <v>1</v>
      </c>
      <c r="C14" s="153">
        <f>INCOME!C34</f>
        <v>-476628.57142857136</v>
      </c>
      <c r="D14" s="154">
        <f t="shared" ref="D14:D18" si="0">C14*B$8</f>
        <v>-7149428.5714285709</v>
      </c>
      <c r="E14" s="155">
        <f t="shared" ref="E14:E18" si="1">B$9*(1+B$7)^B14</f>
        <v>2400000</v>
      </c>
      <c r="F14" s="156">
        <f t="shared" ref="F14:F18" si="2">IF(C14&lt;=0,1,E14/D14)</f>
        <v>1</v>
      </c>
      <c r="G14" s="157">
        <f t="shared" ref="G14:G18" si="3">IF(D14&lt;0,0,IF(E14&gt;D14,D14,E14))</f>
        <v>0</v>
      </c>
      <c r="H14" s="158">
        <f t="shared" ref="H14:H18" si="4">G14/B$9</f>
        <v>0</v>
      </c>
      <c r="I14" s="158" t="e">
        <f t="shared" ref="I14:I18" si="5">IF(D14&lt;=0,NA(),IRR(J14:O14))</f>
        <v>#N/A</v>
      </c>
      <c r="J14" s="29">
        <f t="shared" ref="J14:J18" si="6">-B$9</f>
        <v>-1500000</v>
      </c>
      <c r="K14" s="29">
        <f>G14</f>
        <v>0</v>
      </c>
      <c r="L14" s="29"/>
      <c r="M14" s="29"/>
      <c r="N14" s="29"/>
      <c r="O14" s="29"/>
    </row>
    <row r="15" spans="1:15" ht="12.75" customHeight="1">
      <c r="A15" s="12" t="s">
        <v>378</v>
      </c>
      <c r="B15" s="2">
        <v>2</v>
      </c>
      <c r="C15" s="153">
        <f>INCOME!D34</f>
        <v>-416600</v>
      </c>
      <c r="D15" s="155">
        <f t="shared" si="0"/>
        <v>-6249000</v>
      </c>
      <c r="E15" s="155">
        <f t="shared" si="1"/>
        <v>3840000.0000000009</v>
      </c>
      <c r="F15" s="156">
        <f t="shared" si="2"/>
        <v>1</v>
      </c>
      <c r="G15" s="157">
        <f t="shared" si="3"/>
        <v>0</v>
      </c>
      <c r="H15" s="158">
        <f t="shared" si="4"/>
        <v>0</v>
      </c>
      <c r="I15" s="158" t="e">
        <f t="shared" si="5"/>
        <v>#N/A</v>
      </c>
      <c r="J15" s="29">
        <f t="shared" si="6"/>
        <v>-1500000</v>
      </c>
      <c r="K15" s="29">
        <v>0</v>
      </c>
      <c r="L15" s="29">
        <f>G15</f>
        <v>0</v>
      </c>
      <c r="M15" s="29"/>
      <c r="N15" s="29"/>
      <c r="O15" s="29"/>
    </row>
    <row r="16" spans="1:15" ht="12.75" customHeight="1">
      <c r="A16" s="12" t="s">
        <v>379</v>
      </c>
      <c r="B16" s="2">
        <v>3</v>
      </c>
      <c r="C16" s="153">
        <f>INCOME!E34</f>
        <v>488352.85714285728</v>
      </c>
      <c r="D16" s="155">
        <f t="shared" si="0"/>
        <v>7325292.8571428591</v>
      </c>
      <c r="E16" s="155">
        <f t="shared" si="1"/>
        <v>6144000.0000000019</v>
      </c>
      <c r="F16" s="156">
        <f t="shared" si="2"/>
        <v>0.83873779790374059</v>
      </c>
      <c r="G16" s="157">
        <f t="shared" si="3"/>
        <v>6144000.0000000019</v>
      </c>
      <c r="H16" s="158">
        <f t="shared" si="4"/>
        <v>4.096000000000001</v>
      </c>
      <c r="I16" s="158">
        <f t="shared" si="5"/>
        <v>0.60000000000000009</v>
      </c>
      <c r="J16" s="29">
        <f t="shared" si="6"/>
        <v>-1500000</v>
      </c>
      <c r="K16" s="29">
        <v>0</v>
      </c>
      <c r="L16" s="29">
        <v>0</v>
      </c>
      <c r="M16" s="29">
        <f>G16</f>
        <v>6144000.0000000019</v>
      </c>
      <c r="N16" s="29"/>
      <c r="O16" s="29"/>
    </row>
    <row r="17" spans="1:15" ht="12.75" customHeight="1">
      <c r="A17" s="12" t="s">
        <v>380</v>
      </c>
      <c r="B17" s="2">
        <v>4</v>
      </c>
      <c r="C17" s="153">
        <f>INCOME!F34</f>
        <v>1026330.2857142854</v>
      </c>
      <c r="D17" s="155">
        <f t="shared" si="0"/>
        <v>15394954.285714282</v>
      </c>
      <c r="E17" s="155">
        <f t="shared" si="1"/>
        <v>9830400.0000000037</v>
      </c>
      <c r="F17" s="156">
        <f t="shared" si="2"/>
        <v>0.63854687825361744</v>
      </c>
      <c r="G17" s="157">
        <f t="shared" si="3"/>
        <v>9830400.0000000037</v>
      </c>
      <c r="H17" s="158">
        <f t="shared" si="4"/>
        <v>6.5536000000000021</v>
      </c>
      <c r="I17" s="158">
        <f t="shared" si="5"/>
        <v>0.60000000000000009</v>
      </c>
      <c r="J17" s="29">
        <f t="shared" si="6"/>
        <v>-1500000</v>
      </c>
      <c r="K17" s="29">
        <v>0</v>
      </c>
      <c r="L17" s="29">
        <v>0</v>
      </c>
      <c r="M17" s="29">
        <v>0</v>
      </c>
      <c r="N17" s="29">
        <f>G17</f>
        <v>9830400.0000000037</v>
      </c>
      <c r="O17" s="29"/>
    </row>
    <row r="18" spans="1:15" ht="12.75" customHeight="1">
      <c r="A18" s="12" t="s">
        <v>381</v>
      </c>
      <c r="B18" s="2">
        <v>5</v>
      </c>
      <c r="C18" s="153">
        <f>INCOME!G34</f>
        <v>2147938.5714285709</v>
      </c>
      <c r="D18" s="155">
        <f t="shared" si="0"/>
        <v>32219078.571428563</v>
      </c>
      <c r="E18" s="155">
        <f t="shared" si="1"/>
        <v>15728640.000000009</v>
      </c>
      <c r="F18" s="156">
        <f t="shared" si="2"/>
        <v>0.4881778342956074</v>
      </c>
      <c r="G18" s="157">
        <f t="shared" si="3"/>
        <v>15728640.000000009</v>
      </c>
      <c r="H18" s="158">
        <f t="shared" si="4"/>
        <v>10.485760000000006</v>
      </c>
      <c r="I18" s="158">
        <f t="shared" si="5"/>
        <v>0.60000000000000009</v>
      </c>
      <c r="J18" s="29">
        <f t="shared" si="6"/>
        <v>-1500000</v>
      </c>
      <c r="K18" s="29">
        <v>0</v>
      </c>
      <c r="L18" s="29">
        <v>0</v>
      </c>
      <c r="M18" s="29">
        <v>0</v>
      </c>
      <c r="N18" s="29">
        <v>0</v>
      </c>
      <c r="O18" s="29">
        <f>G18</f>
        <v>15728640.000000009</v>
      </c>
    </row>
    <row r="19" spans="1:15" ht="12.75" customHeight="1">
      <c r="A19" s="159"/>
      <c r="B19" s="2"/>
      <c r="C19" s="21"/>
      <c r="D19" s="160"/>
      <c r="E19" s="160"/>
      <c r="F19" s="161"/>
      <c r="G19" s="146"/>
      <c r="H19" s="162"/>
      <c r="I19" s="162"/>
      <c r="J19" s="29"/>
      <c r="K19" s="29"/>
      <c r="L19" s="29"/>
      <c r="M19" s="29"/>
      <c r="N19" s="29"/>
      <c r="O19" s="29"/>
    </row>
    <row r="20" spans="1:15" ht="12.75" customHeight="1">
      <c r="A20" s="4"/>
      <c r="B20" s="5"/>
      <c r="C20" s="4"/>
      <c r="D20" s="4"/>
      <c r="E20" s="5"/>
      <c r="F20" s="4"/>
      <c r="G20" s="4"/>
      <c r="H20" s="4"/>
      <c r="I20" s="5"/>
      <c r="J20" s="4"/>
      <c r="K20" s="4"/>
      <c r="L20" s="4"/>
      <c r="M20" s="4"/>
      <c r="N20" s="4"/>
      <c r="O20" s="4"/>
    </row>
    <row r="21" spans="1:15" ht="13.5" customHeight="1">
      <c r="A21" s="4"/>
      <c r="B21" s="5"/>
      <c r="C21" s="4"/>
      <c r="D21" s="4"/>
      <c r="E21" s="163"/>
      <c r="F21" s="164" t="s">
        <v>382</v>
      </c>
      <c r="G21" s="165"/>
      <c r="H21" s="165"/>
      <c r="I21" s="163"/>
      <c r="J21" s="4"/>
      <c r="K21" s="4"/>
      <c r="L21" s="4"/>
      <c r="M21" s="4"/>
      <c r="N21" s="4"/>
      <c r="O21" s="4"/>
    </row>
    <row r="22" spans="1:15" ht="25.5" customHeight="1">
      <c r="A22" s="4"/>
      <c r="B22" s="5"/>
      <c r="C22" s="4"/>
      <c r="D22" s="4"/>
      <c r="E22" s="148" t="s">
        <v>360</v>
      </c>
      <c r="F22" s="149" t="s">
        <v>363</v>
      </c>
      <c r="G22" s="149" t="s">
        <v>364</v>
      </c>
      <c r="H22" s="149" t="s">
        <v>365</v>
      </c>
      <c r="I22" s="149" t="s">
        <v>366</v>
      </c>
      <c r="J22" s="4"/>
      <c r="K22" s="4"/>
      <c r="L22" s="4"/>
      <c r="M22" s="4"/>
      <c r="N22" s="4"/>
      <c r="O22" s="4"/>
    </row>
    <row r="23" spans="1:15" ht="12.75" customHeight="1">
      <c r="A23" s="4"/>
      <c r="B23" s="5"/>
      <c r="C23" s="5"/>
      <c r="D23" s="21"/>
      <c r="E23" s="2">
        <v>1</v>
      </c>
      <c r="F23" s="166">
        <v>0.25</v>
      </c>
      <c r="G23" s="157">
        <f t="shared" ref="G23:G27" si="7">IF(D14&lt;0,0,F23*D14)</f>
        <v>0</v>
      </c>
      <c r="H23" s="158">
        <f t="shared" ref="H23:H27" si="8">G23/B$9</f>
        <v>0</v>
      </c>
      <c r="I23" s="158" t="e">
        <f t="shared" ref="I23:I27" si="9">IF(G23=0,NA(),IRR(J23:O23))</f>
        <v>#N/A</v>
      </c>
      <c r="J23" s="29">
        <f t="shared" ref="J23:J27" si="10">-B$9</f>
        <v>-1500000</v>
      </c>
      <c r="K23" s="29">
        <f>G23</f>
        <v>0</v>
      </c>
      <c r="L23" s="29"/>
      <c r="M23" s="29"/>
      <c r="N23" s="29"/>
      <c r="O23" s="29"/>
    </row>
    <row r="24" spans="1:15" ht="12.75" customHeight="1">
      <c r="A24" s="4"/>
      <c r="B24" s="5"/>
      <c r="C24" s="5"/>
      <c r="D24" s="21"/>
      <c r="E24" s="2">
        <v>2</v>
      </c>
      <c r="F24" s="166">
        <v>0.25</v>
      </c>
      <c r="G24" s="157">
        <f t="shared" si="7"/>
        <v>0</v>
      </c>
      <c r="H24" s="158">
        <f t="shared" si="8"/>
        <v>0</v>
      </c>
      <c r="I24" s="158" t="e">
        <f t="shared" si="9"/>
        <v>#N/A</v>
      </c>
      <c r="J24" s="29">
        <f t="shared" si="10"/>
        <v>-1500000</v>
      </c>
      <c r="K24" s="29">
        <v>0</v>
      </c>
      <c r="L24" s="29">
        <f>G24</f>
        <v>0</v>
      </c>
      <c r="M24" s="29"/>
      <c r="N24" s="29"/>
      <c r="O24" s="29"/>
    </row>
    <row r="25" spans="1:15" ht="12.75" customHeight="1">
      <c r="A25" s="4"/>
      <c r="B25" s="5"/>
      <c r="C25" s="5"/>
      <c r="D25" s="21"/>
      <c r="E25" s="2">
        <v>3</v>
      </c>
      <c r="F25" s="166">
        <v>0.25</v>
      </c>
      <c r="G25" s="157">
        <f t="shared" si="7"/>
        <v>1831323.2142857148</v>
      </c>
      <c r="H25" s="158">
        <f t="shared" si="8"/>
        <v>1.2208821428571432</v>
      </c>
      <c r="I25" s="158">
        <f t="shared" si="9"/>
        <v>6.8787207955808283E-2</v>
      </c>
      <c r="J25" s="29">
        <f t="shared" si="10"/>
        <v>-1500000</v>
      </c>
      <c r="K25" s="29">
        <v>0</v>
      </c>
      <c r="L25" s="29">
        <v>0</v>
      </c>
      <c r="M25" s="29">
        <f>G25</f>
        <v>1831323.2142857148</v>
      </c>
      <c r="N25" s="29"/>
      <c r="O25" s="29"/>
    </row>
    <row r="26" spans="1:15" ht="12.75" customHeight="1">
      <c r="A26" s="4"/>
      <c r="B26" s="5"/>
      <c r="C26" s="5"/>
      <c r="D26" s="21"/>
      <c r="E26" s="2">
        <v>4</v>
      </c>
      <c r="F26" s="166">
        <v>0.25</v>
      </c>
      <c r="G26" s="157">
        <f t="shared" si="7"/>
        <v>3848738.5714285704</v>
      </c>
      <c r="H26" s="158">
        <f t="shared" si="8"/>
        <v>2.5658257142857135</v>
      </c>
      <c r="I26" s="158">
        <f t="shared" si="9"/>
        <v>0.2656300806936589</v>
      </c>
      <c r="J26" s="29">
        <f t="shared" si="10"/>
        <v>-1500000</v>
      </c>
      <c r="K26" s="29">
        <v>0</v>
      </c>
      <c r="L26" s="29">
        <v>0</v>
      </c>
      <c r="M26" s="29">
        <v>0</v>
      </c>
      <c r="N26" s="29">
        <f>G26</f>
        <v>3848738.5714285704</v>
      </c>
      <c r="O26" s="29"/>
    </row>
    <row r="27" spans="1:15" ht="12.75" customHeight="1">
      <c r="A27" s="4"/>
      <c r="B27" s="5"/>
      <c r="C27" s="4"/>
      <c r="D27" s="4"/>
      <c r="E27" s="2">
        <v>5</v>
      </c>
      <c r="F27" s="166">
        <v>0.4</v>
      </c>
      <c r="G27" s="157">
        <f t="shared" si="7"/>
        <v>12887631.428571425</v>
      </c>
      <c r="H27" s="158">
        <f t="shared" si="8"/>
        <v>8.5917542857142841</v>
      </c>
      <c r="I27" s="158">
        <f t="shared" si="9"/>
        <v>0.53750440827512214</v>
      </c>
      <c r="J27" s="29">
        <f t="shared" si="10"/>
        <v>-1500000</v>
      </c>
      <c r="K27" s="29">
        <v>0</v>
      </c>
      <c r="L27" s="29">
        <v>0</v>
      </c>
      <c r="M27" s="29">
        <v>0</v>
      </c>
      <c r="N27" s="29">
        <v>0</v>
      </c>
      <c r="O27" s="29">
        <f>G27</f>
        <v>12887631.428571425</v>
      </c>
    </row>
    <row r="28" spans="1:15" ht="15.75" customHeight="1">
      <c r="A28" s="139"/>
      <c r="B28" s="140"/>
      <c r="E28" s="140"/>
    </row>
    <row r="29" spans="1:15" ht="15.75" customHeight="1">
      <c r="A29" s="139"/>
      <c r="B29" s="140"/>
      <c r="E29" s="140"/>
    </row>
    <row r="30" spans="1:15" ht="15.75" customHeight="1">
      <c r="A30" s="139"/>
      <c r="B30" s="140"/>
      <c r="E30" s="140"/>
    </row>
    <row r="31" spans="1:15" ht="12.75" customHeight="1"/>
    <row r="32" spans="1:15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  <headerFooter>
    <oddHeader>&amp;R&amp;D &amp;T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000"/>
  <sheetViews>
    <sheetView workbookViewId="0"/>
  </sheetViews>
  <sheetFormatPr baseColWidth="10" defaultColWidth="14.3984375" defaultRowHeight="15" customHeight="1"/>
  <cols>
    <col min="1" max="1" width="34.19921875" customWidth="1"/>
    <col min="2" max="2" width="18.19921875" customWidth="1"/>
    <col min="3" max="3" width="14.796875" customWidth="1"/>
    <col min="4" max="4" width="11" bestFit="1" customWidth="1"/>
    <col min="5" max="5" width="8" customWidth="1"/>
    <col min="6" max="6" width="11.796875" customWidth="1"/>
    <col min="7" max="26" width="8" customWidth="1"/>
  </cols>
  <sheetData>
    <row r="1" spans="1:6" ht="20.25" customHeight="1">
      <c r="A1" s="20" t="s">
        <v>0</v>
      </c>
    </row>
    <row r="2" spans="1:6" ht="15.75" customHeight="1">
      <c r="A2" s="9" t="s">
        <v>353</v>
      </c>
    </row>
    <row r="3" spans="1:6" ht="15.75" customHeight="1">
      <c r="A3" s="139" t="s">
        <v>354</v>
      </c>
    </row>
    <row r="4" spans="1:6" ht="15.75" customHeight="1">
      <c r="A4" s="9" t="s">
        <v>40</v>
      </c>
    </row>
    <row r="5" spans="1:6" ht="15.75" customHeight="1">
      <c r="A5" s="9" t="s">
        <v>383</v>
      </c>
    </row>
    <row r="6" spans="1:6" ht="12.75" customHeight="1">
      <c r="B6" s="5"/>
      <c r="C6" s="4"/>
      <c r="D6" s="4"/>
      <c r="E6" s="1"/>
      <c r="F6" s="1"/>
    </row>
    <row r="7" spans="1:6" ht="12.75" customHeight="1">
      <c r="B7" s="140"/>
    </row>
    <row r="8" spans="1:6" ht="12.75" customHeight="1">
      <c r="A8" s="167" t="s">
        <v>384</v>
      </c>
      <c r="B8" s="140"/>
      <c r="E8" s="168"/>
      <c r="F8" s="168"/>
    </row>
    <row r="9" spans="1:6" ht="12.75" customHeight="1">
      <c r="A9" s="12" t="s">
        <v>385</v>
      </c>
      <c r="B9" s="142">
        <v>60</v>
      </c>
      <c r="E9" s="140"/>
      <c r="F9" s="140"/>
    </row>
    <row r="10" spans="1:6" ht="12.75" customHeight="1">
      <c r="A10" s="12" t="s">
        <v>386</v>
      </c>
      <c r="B10" s="169">
        <f>INCOME!G34</f>
        <v>2147938.5714285709</v>
      </c>
      <c r="E10" s="140"/>
      <c r="F10" s="140"/>
    </row>
    <row r="11" spans="1:6" ht="12.75" customHeight="1">
      <c r="A11" s="12" t="s">
        <v>387</v>
      </c>
      <c r="B11" s="142">
        <v>15</v>
      </c>
      <c r="E11" s="140"/>
      <c r="F11" s="140"/>
    </row>
    <row r="12" spans="1:6" ht="12.75" customHeight="1">
      <c r="A12" s="12"/>
      <c r="B12" s="170"/>
      <c r="C12" s="140"/>
      <c r="E12" s="140"/>
      <c r="F12" s="140"/>
    </row>
    <row r="13" spans="1:6" ht="12.75" customHeight="1">
      <c r="A13" s="43" t="s">
        <v>388</v>
      </c>
      <c r="B13" s="148" t="s">
        <v>389</v>
      </c>
      <c r="C13" s="171" t="s">
        <v>390</v>
      </c>
      <c r="D13" s="148" t="s">
        <v>391</v>
      </c>
      <c r="E13" s="140"/>
      <c r="F13" s="140"/>
    </row>
    <row r="14" spans="1:6" ht="12.75" customHeight="1">
      <c r="A14" s="137" t="s">
        <v>392</v>
      </c>
      <c r="B14" s="142">
        <v>0</v>
      </c>
      <c r="C14" s="142">
        <v>24</v>
      </c>
      <c r="D14" s="142">
        <v>18</v>
      </c>
      <c r="E14" s="172"/>
      <c r="F14" s="172"/>
    </row>
    <row r="15" spans="1:6" ht="12.75" customHeight="1">
      <c r="A15" s="12" t="s">
        <v>356</v>
      </c>
      <c r="B15" s="141">
        <v>0.6</v>
      </c>
      <c r="C15" s="141">
        <v>0.5</v>
      </c>
      <c r="D15" s="141">
        <v>0.3</v>
      </c>
      <c r="E15" s="140"/>
      <c r="F15" s="140"/>
    </row>
    <row r="16" spans="1:6" ht="12.75" customHeight="1">
      <c r="A16" s="137" t="s">
        <v>393</v>
      </c>
      <c r="B16" s="143">
        <v>1500000</v>
      </c>
      <c r="C16" s="143">
        <v>500000</v>
      </c>
      <c r="D16" s="143">
        <v>750000</v>
      </c>
      <c r="E16" s="140"/>
      <c r="F16" s="172"/>
    </row>
    <row r="17" spans="1:6" ht="12.75" customHeight="1">
      <c r="A17" s="137" t="s">
        <v>394</v>
      </c>
      <c r="B17" s="173">
        <f t="shared" ref="B17:D17" si="0">B15/12</f>
        <v>4.9999999999999996E-2</v>
      </c>
      <c r="C17" s="173">
        <f t="shared" si="0"/>
        <v>4.1666666666666664E-2</v>
      </c>
      <c r="D17" s="173">
        <f t="shared" si="0"/>
        <v>2.4999999999999998E-2</v>
      </c>
      <c r="E17" s="172"/>
      <c r="F17" s="172"/>
    </row>
    <row r="18" spans="1:6" ht="12.75" customHeight="1">
      <c r="A18" s="137" t="s">
        <v>395</v>
      </c>
      <c r="B18" s="174">
        <f t="shared" ref="B18:D18" si="1">$B$9-B14</f>
        <v>60</v>
      </c>
      <c r="C18" s="174">
        <f t="shared" si="1"/>
        <v>36</v>
      </c>
      <c r="D18" s="174">
        <f t="shared" si="1"/>
        <v>42</v>
      </c>
      <c r="E18" s="172"/>
      <c r="F18" s="172"/>
    </row>
    <row r="19" spans="1:6" ht="12.75" customHeight="1">
      <c r="A19" s="175"/>
      <c r="B19" s="176"/>
      <c r="C19" s="1"/>
      <c r="D19" s="1"/>
      <c r="E19" s="172"/>
      <c r="F19" s="172"/>
    </row>
    <row r="20" spans="1:6" ht="13.5" customHeight="1">
      <c r="A20" s="167" t="s">
        <v>396</v>
      </c>
      <c r="B20" s="176"/>
      <c r="C20" s="1"/>
      <c r="D20" s="1"/>
      <c r="E20" s="172"/>
      <c r="F20" s="172"/>
    </row>
    <row r="21" spans="1:6" ht="13.5" customHeight="1">
      <c r="A21" s="137" t="s">
        <v>397</v>
      </c>
      <c r="B21" s="177">
        <f>B11*B10</f>
        <v>32219078.571428563</v>
      </c>
      <c r="C21" s="1"/>
      <c r="D21" s="1"/>
      <c r="E21" s="172"/>
      <c r="F21" s="172"/>
    </row>
    <row r="22" spans="1:6" ht="12.75" customHeight="1">
      <c r="A22" s="137"/>
      <c r="B22" s="176"/>
      <c r="C22" s="1"/>
      <c r="D22" s="1"/>
      <c r="E22" s="172"/>
      <c r="F22" s="172"/>
    </row>
    <row r="23" spans="1:6" ht="12.75" customHeight="1">
      <c r="A23" s="137"/>
      <c r="B23" s="148" t="s">
        <v>389</v>
      </c>
      <c r="C23" s="171" t="s">
        <v>390</v>
      </c>
      <c r="D23" s="148" t="s">
        <v>391</v>
      </c>
      <c r="E23" s="172"/>
      <c r="F23" s="172"/>
    </row>
    <row r="24" spans="1:6" ht="12.75" customHeight="1">
      <c r="A24" s="137" t="s">
        <v>398</v>
      </c>
      <c r="B24" s="178">
        <f t="shared" ref="B24:D24" si="2">B16*(1+B15)^(B18/12)</f>
        <v>15728640.000000009</v>
      </c>
      <c r="C24" s="178">
        <f t="shared" si="2"/>
        <v>1687500</v>
      </c>
      <c r="D24" s="178">
        <f t="shared" si="2"/>
        <v>1878724.0567071047</v>
      </c>
      <c r="E24" s="172"/>
      <c r="F24" s="172"/>
    </row>
    <row r="25" spans="1:6" ht="12.75" customHeight="1">
      <c r="A25" s="137" t="s">
        <v>399</v>
      </c>
      <c r="B25" s="179">
        <f t="shared" ref="B25:D25" si="3">B24/$B$21</f>
        <v>0.4881778342956074</v>
      </c>
      <c r="C25" s="179">
        <f t="shared" si="3"/>
        <v>5.2375799520736503E-2</v>
      </c>
      <c r="D25" s="179">
        <f t="shared" si="3"/>
        <v>5.8310918251185846E-2</v>
      </c>
      <c r="E25" s="172"/>
      <c r="F25" s="172"/>
    </row>
    <row r="26" spans="1:6" ht="12.75" customHeight="1">
      <c r="A26" s="137" t="s">
        <v>400</v>
      </c>
      <c r="B26" s="180">
        <f t="shared" ref="B26:C26" si="4">B24/B16</f>
        <v>10.485760000000006</v>
      </c>
      <c r="C26" s="180">
        <f t="shared" si="4"/>
        <v>3.375</v>
      </c>
      <c r="D26" s="180">
        <f>D24/D16</f>
        <v>2.5049654089428062</v>
      </c>
      <c r="E26" s="172"/>
      <c r="F26" s="172"/>
    </row>
    <row r="27" spans="1:6" ht="12.75" customHeight="1">
      <c r="A27" s="137" t="s">
        <v>401</v>
      </c>
      <c r="B27" s="180">
        <f t="shared" ref="B27:D27" si="5">(B24/B16)^(12/B18)-1</f>
        <v>0.60000000000000031</v>
      </c>
      <c r="C27" s="180">
        <f t="shared" si="5"/>
        <v>0.5</v>
      </c>
      <c r="D27" s="180">
        <f t="shared" si="5"/>
        <v>0.30000000000000004</v>
      </c>
      <c r="E27" s="172"/>
      <c r="F27" s="172"/>
    </row>
    <row r="28" spans="1:6" ht="12.75" customHeight="1">
      <c r="A28" s="137"/>
      <c r="B28" s="176"/>
      <c r="C28" s="1"/>
      <c r="D28" s="1"/>
      <c r="E28" s="172"/>
      <c r="F28" s="172"/>
    </row>
    <row r="29" spans="1:6" ht="12.75" customHeight="1">
      <c r="A29" s="167" t="s">
        <v>402</v>
      </c>
      <c r="B29" s="179">
        <f>B25</f>
        <v>0.4881778342956074</v>
      </c>
      <c r="C29" s="179">
        <f>SUM(B25:C25)</f>
        <v>0.54055363381634391</v>
      </c>
      <c r="D29" s="179">
        <f>SUM(B25:D25)</f>
        <v>0.59886455206752975</v>
      </c>
      <c r="E29" s="172"/>
      <c r="F29" s="172"/>
    </row>
    <row r="30" spans="1:6" ht="12.75" customHeight="1">
      <c r="A30" s="167" t="s">
        <v>403</v>
      </c>
      <c r="B30" s="179">
        <f t="shared" ref="B30:D30" si="6">1-B29</f>
        <v>0.51182216570439265</v>
      </c>
      <c r="C30" s="179">
        <f t="shared" si="6"/>
        <v>0.45944636618365609</v>
      </c>
      <c r="D30" s="179">
        <f t="shared" si="6"/>
        <v>0.40113544793247025</v>
      </c>
      <c r="E30" s="172"/>
      <c r="F30" s="172"/>
    </row>
    <row r="31" spans="1:6" ht="12.75" customHeight="1">
      <c r="A31" s="175"/>
      <c r="B31" s="176"/>
      <c r="C31" s="1"/>
      <c r="D31" s="1"/>
      <c r="E31" s="172"/>
      <c r="F31" s="96"/>
    </row>
    <row r="32" spans="1:6" ht="12.75" customHeight="1">
      <c r="B32" s="176"/>
      <c r="C32" s="1"/>
      <c r="D32" s="1"/>
      <c r="E32" s="172"/>
      <c r="F32" s="172"/>
    </row>
    <row r="33" spans="1:6" ht="12.75" customHeight="1">
      <c r="A33" s="167" t="s">
        <v>404</v>
      </c>
      <c r="B33" s="148" t="s">
        <v>389</v>
      </c>
      <c r="C33" s="171" t="s">
        <v>390</v>
      </c>
      <c r="D33" s="148" t="s">
        <v>391</v>
      </c>
      <c r="E33" s="172"/>
      <c r="F33" s="172"/>
    </row>
    <row r="34" spans="1:6" ht="12.75" customHeight="1">
      <c r="A34" s="137" t="s">
        <v>399</v>
      </c>
      <c r="B34" s="166">
        <v>0.15</v>
      </c>
      <c r="C34" s="166">
        <v>0.05</v>
      </c>
      <c r="D34" s="166">
        <v>0.03</v>
      </c>
      <c r="E34" s="172"/>
      <c r="F34" s="172"/>
    </row>
    <row r="35" spans="1:6" ht="12.75" customHeight="1">
      <c r="A35" s="137" t="s">
        <v>405</v>
      </c>
      <c r="B35" s="178">
        <f t="shared" ref="B35:D35" si="7">B34*$B$21</f>
        <v>4832861.7857142845</v>
      </c>
      <c r="C35" s="178">
        <f t="shared" si="7"/>
        <v>1610953.9285714282</v>
      </c>
      <c r="D35" s="178">
        <f t="shared" si="7"/>
        <v>966572.35714285681</v>
      </c>
      <c r="E35" s="172"/>
      <c r="F35" s="172"/>
    </row>
    <row r="36" spans="1:6" ht="12.75" customHeight="1">
      <c r="A36" s="137" t="s">
        <v>400</v>
      </c>
      <c r="B36" s="180">
        <f t="shared" ref="B36:D36" si="8">B35/B16</f>
        <v>3.2219078571428565</v>
      </c>
      <c r="C36" s="180">
        <f t="shared" si="8"/>
        <v>3.2219078571428565</v>
      </c>
      <c r="D36" s="180">
        <f t="shared" si="8"/>
        <v>1.2887631428571424</v>
      </c>
      <c r="E36" s="172"/>
      <c r="F36" s="172"/>
    </row>
    <row r="37" spans="1:6" ht="12.75" customHeight="1">
      <c r="A37" s="137" t="s">
        <v>401</v>
      </c>
      <c r="B37" s="180">
        <f t="shared" ref="B37:D37" si="9">(B35/B16)^(12/B18)-1</f>
        <v>0.26363784199651641</v>
      </c>
      <c r="C37" s="180">
        <f t="shared" si="9"/>
        <v>0.47696783900340467</v>
      </c>
      <c r="D37" s="180">
        <f t="shared" si="9"/>
        <v>7.5172210029290643E-2</v>
      </c>
      <c r="E37" s="172"/>
      <c r="F37" s="172"/>
    </row>
    <row r="38" spans="1:6" ht="12.75" customHeight="1"/>
    <row r="39" spans="1:6" ht="12.75" customHeight="1"/>
    <row r="40" spans="1:6" ht="12.75" customHeight="1"/>
    <row r="41" spans="1:6" ht="12.75" customHeight="1"/>
    <row r="42" spans="1:6" ht="12.75" customHeight="1"/>
    <row r="43" spans="1:6" ht="12.75" customHeight="1"/>
    <row r="44" spans="1:6" ht="12.75" customHeight="1"/>
    <row r="45" spans="1:6" ht="12.75" customHeight="1"/>
    <row r="46" spans="1:6" ht="12.75" customHeight="1"/>
    <row r="47" spans="1:6" ht="12.75" customHeight="1"/>
    <row r="48" spans="1:6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  <headerFooter>
    <oddHeader>&amp;R&amp;D 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28</vt:i4>
      </vt:variant>
    </vt:vector>
  </HeadingPairs>
  <TitlesOfParts>
    <vt:vector size="48" baseType="lpstr">
      <vt:lpstr>COMPS</vt:lpstr>
      <vt:lpstr>REVENUE</vt:lpstr>
      <vt:lpstr>COST OF REV</vt:lpstr>
      <vt:lpstr>OPER EXP</vt:lpstr>
      <vt:lpstr>PERSONNEL</vt:lpstr>
      <vt:lpstr>EXTRA</vt:lpstr>
      <vt:lpstr>TAXES</vt:lpstr>
      <vt:lpstr>PROP &amp; EQUIP</vt:lpstr>
      <vt:lpstr>WORKCAP</vt:lpstr>
      <vt:lpstr>FUNDING</vt:lpstr>
      <vt:lpstr>INCOME</vt:lpstr>
      <vt:lpstr>BALANCE</vt:lpstr>
      <vt:lpstr>CASHFLOW</vt:lpstr>
      <vt:lpstr>BREAKEVEN</vt:lpstr>
      <vt:lpstr>INCOME-MOS</vt:lpstr>
      <vt:lpstr>CASHFLOW-MOS</vt:lpstr>
      <vt:lpstr>Sheet1</vt:lpstr>
      <vt:lpstr>SUMMARY</vt:lpstr>
      <vt:lpstr>VAL-1</vt:lpstr>
      <vt:lpstr>VAL-2</vt:lpstr>
      <vt:lpstr>WORKCAP!AP</vt:lpstr>
      <vt:lpstr>WORKCAP!AP_CHANGE</vt:lpstr>
      <vt:lpstr>WORKCAP!AR</vt:lpstr>
      <vt:lpstr>WORKCAP!AR_CHANGE</vt:lpstr>
      <vt:lpstr>ARdata</vt:lpstr>
      <vt:lpstr>ARMonths</vt:lpstr>
      <vt:lpstr>'PROP &amp; EQUIP'!CAP_EXPEND</vt:lpstr>
      <vt:lpstr>'PROP &amp; EQUIP'!DEPRECIATION</vt:lpstr>
      <vt:lpstr>'INCOME-MOS'!EARNINGS_BEFORE_INTEREST___TAXES</vt:lpstr>
      <vt:lpstr>EXTRA!EXTR_INC_EXCL_INT_INCOME</vt:lpstr>
      <vt:lpstr>WORKCAP!INC_TAX_CHANGE</vt:lpstr>
      <vt:lpstr>WORKCAP!INC_TAX_LIAB</vt:lpstr>
      <vt:lpstr>TAXES!INC_TAX_RATE</vt:lpstr>
      <vt:lpstr>WORKCAP!INV</vt:lpstr>
      <vt:lpstr>WORKCAP!INV_CHANGE</vt:lpstr>
      <vt:lpstr>investment</vt:lpstr>
      <vt:lpstr>'CASHFLOW-MOS'!Name</vt:lpstr>
      <vt:lpstr>'INCOME-MOS'!Name</vt:lpstr>
      <vt:lpstr>'INCOME-MOS'!NET_EARNINGS</vt:lpstr>
      <vt:lpstr>'PROP &amp; EQUIP'!NET_PL_EQUIP</vt:lpstr>
      <vt:lpstr>WORKCAP!OTHER_CA</vt:lpstr>
      <vt:lpstr>WORKCAP!OTHER_CA_CHANGE</vt:lpstr>
      <vt:lpstr>PE</vt:lpstr>
      <vt:lpstr>Rate</vt:lpstr>
      <vt:lpstr>'INCOME-MOS'!TAXES</vt:lpstr>
      <vt:lpstr>EXTRA!TOT_EXTR_INC_EXP</vt:lpstr>
      <vt:lpstr>WORKCAP!TOTAL_COG</vt:lpstr>
      <vt:lpstr>WORKCAP!WORK_CAP_CHANGE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Anonymous</cp:lastModifiedBy>
  <dcterms:created xsi:type="dcterms:W3CDTF">2026-01-01T00:00:00Z</dcterms:created>
  <dcterms:modified xsi:type="dcterms:W3CDTF">2026-01-01T00:00:00Z</dcterms:modified>
</cp:coreProperties>
</file>