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bookViews>
    <workbookView xWindow="29115" yWindow="-16035" windowWidth="14250" windowHeight="15420" firstSheet="1" activeTab="3" xr2:uid="{00000000-000D-0000-FFFF-FFFF00000000}"/>
  </bookViews>
  <sheets>
    <sheet name="Company1153 Assumptions" sheetId="1" r:id="rId1"/>
    <sheet name="Company1808 Assumptions" sheetId="2" r:id="rId2"/>
    <sheet name="Company1153 IS" sheetId="3" r:id="rId3"/>
    <sheet name="Company1808 IS" sheetId="4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4" l="1"/>
  <c r="E19" i="4" s="1"/>
  <c r="E20" i="4" s="1"/>
  <c r="D14" i="4"/>
  <c r="C14" i="4"/>
  <c r="C19" i="4" s="1"/>
  <c r="D5" i="4" a="1"/>
  <c r="D5" i="4" s="1"/>
  <c r="E16" i="3"/>
  <c r="D16" i="3"/>
  <c r="C16" i="3"/>
  <c r="D5" i="3" a="1"/>
  <c r="D5" i="3" s="1"/>
  <c r="D26" i="3" s="1"/>
  <c r="D24" i="4" l="1"/>
  <c r="C24" i="4"/>
  <c r="D25" i="4"/>
  <c r="D23" i="4"/>
  <c r="C23" i="4"/>
  <c r="D26" i="4"/>
  <c r="C26" i="4"/>
  <c r="C25" i="4"/>
  <c r="E26" i="4"/>
  <c r="E25" i="4"/>
  <c r="E23" i="4"/>
  <c r="E24" i="4"/>
  <c r="C34" i="3"/>
  <c r="D15" i="4"/>
  <c r="E26" i="3"/>
  <c r="C26" i="3"/>
  <c r="C27" i="3"/>
  <c r="E27" i="3"/>
  <c r="E28" i="3"/>
  <c r="D27" i="3"/>
  <c r="D28" i="3"/>
  <c r="C28" i="3"/>
  <c r="C20" i="4"/>
  <c r="D19" i="4"/>
  <c r="D20" i="4" s="1"/>
  <c r="J32" i="4"/>
  <c r="F13" i="4"/>
  <c r="G13" i="4" s="1"/>
  <c r="F12" i="4"/>
  <c r="G32" i="4"/>
  <c r="E15" i="4"/>
  <c r="E21" i="3"/>
  <c r="E34" i="3"/>
  <c r="F15" i="3"/>
  <c r="G15" i="3" s="1"/>
  <c r="H15" i="3" s="1"/>
  <c r="I15" i="3" s="1"/>
  <c r="J15" i="3" s="1"/>
  <c r="J34" i="3"/>
  <c r="F13" i="3"/>
  <c r="G13" i="3" s="1"/>
  <c r="H13" i="3" s="1"/>
  <c r="F12" i="3"/>
  <c r="G12" i="3" s="1"/>
  <c r="H12" i="3" s="1"/>
  <c r="I12" i="3" s="1"/>
  <c r="J12" i="3" s="1"/>
  <c r="F14" i="3"/>
  <c r="G14" i="3" s="1"/>
  <c r="H14" i="3" s="1"/>
  <c r="I14" i="3" s="1"/>
  <c r="J14" i="3" s="1"/>
  <c r="D25" i="3"/>
  <c r="D21" i="3"/>
  <c r="D22" i="3" s="1"/>
  <c r="E25" i="3"/>
  <c r="C25" i="3"/>
  <c r="E17" i="3"/>
  <c r="D17" i="3"/>
  <c r="C21" i="3"/>
  <c r="C22" i="3" s="1"/>
  <c r="G34" i="3"/>
  <c r="D32" i="4"/>
  <c r="F34" i="3"/>
  <c r="C32" i="4"/>
  <c r="H34" i="3"/>
  <c r="E32" i="4"/>
  <c r="I34" i="3"/>
  <c r="F32" i="4"/>
  <c r="I32" i="4"/>
  <c r="H32" i="4"/>
  <c r="D34" i="3"/>
  <c r="E22" i="3"/>
  <c r="E29" i="3" l="1"/>
  <c r="E31" i="3" s="1"/>
  <c r="D27" i="4"/>
  <c r="D29" i="4" s="1"/>
  <c r="H13" i="4"/>
  <c r="G12" i="4"/>
  <c r="C29" i="3"/>
  <c r="C31" i="3" s="1"/>
  <c r="C32" i="3" s="1"/>
  <c r="I13" i="3"/>
  <c r="D29" i="3"/>
  <c r="D31" i="3" s="1"/>
  <c r="C27" i="4"/>
  <c r="C29" i="4" s="1"/>
  <c r="F14" i="4"/>
  <c r="F16" i="3"/>
  <c r="E27" i="4"/>
  <c r="E29" i="4" s="1"/>
  <c r="F25" i="4" l="1"/>
  <c r="F24" i="4"/>
  <c r="F23" i="4"/>
  <c r="F26" i="4"/>
  <c r="F15" i="4"/>
  <c r="I13" i="4"/>
  <c r="J13" i="4" s="1"/>
  <c r="F26" i="3"/>
  <c r="F28" i="3"/>
  <c r="F27" i="3"/>
  <c r="H12" i="4"/>
  <c r="C36" i="3"/>
  <c r="F17" i="3"/>
  <c r="F21" i="3"/>
  <c r="F22" i="3" s="1"/>
  <c r="F25" i="3"/>
  <c r="F19" i="4"/>
  <c r="F20" i="4" s="1"/>
  <c r="J13" i="3"/>
  <c r="E34" i="4"/>
  <c r="E30" i="4"/>
  <c r="D36" i="3"/>
  <c r="D32" i="3"/>
  <c r="E36" i="3"/>
  <c r="E32" i="3"/>
  <c r="C34" i="4"/>
  <c r="C35" i="4" s="1"/>
  <c r="C30" i="4"/>
  <c r="G16" i="3"/>
  <c r="G14" i="4"/>
  <c r="D34" i="4"/>
  <c r="D30" i="4"/>
  <c r="D35" i="4" l="1"/>
  <c r="D37" i="4" s="1"/>
  <c r="G25" i="4"/>
  <c r="G26" i="4"/>
  <c r="G24" i="4"/>
  <c r="G23" i="4"/>
  <c r="E35" i="4"/>
  <c r="E37" i="4" s="1"/>
  <c r="E37" i="3"/>
  <c r="E39" i="3" s="1"/>
  <c r="C37" i="3"/>
  <c r="C39" i="3" s="1"/>
  <c r="D37" i="3"/>
  <c r="D39" i="3" s="1"/>
  <c r="G15" i="4"/>
  <c r="I12" i="4"/>
  <c r="J12" i="4" s="1"/>
  <c r="G26" i="3"/>
  <c r="G28" i="3"/>
  <c r="G27" i="3"/>
  <c r="G17" i="3"/>
  <c r="G21" i="3"/>
  <c r="G22" i="3" s="1"/>
  <c r="G25" i="3"/>
  <c r="G19" i="4"/>
  <c r="G20" i="4" s="1"/>
  <c r="F29" i="3"/>
  <c r="F31" i="3" s="1"/>
  <c r="H14" i="4"/>
  <c r="H16" i="3"/>
  <c r="F27" i="4"/>
  <c r="F29" i="4" s="1"/>
  <c r="C37" i="4"/>
  <c r="H26" i="4" l="1"/>
  <c r="H24" i="4"/>
  <c r="H23" i="4"/>
  <c r="H25" i="4"/>
  <c r="C45" i="3"/>
  <c r="C40" i="3"/>
  <c r="H15" i="4"/>
  <c r="H26" i="3"/>
  <c r="H28" i="3"/>
  <c r="H27" i="3"/>
  <c r="H25" i="3"/>
  <c r="H17" i="3"/>
  <c r="H21" i="3"/>
  <c r="H22" i="3" s="1"/>
  <c r="H19" i="4"/>
  <c r="H20" i="4" s="1"/>
  <c r="G29" i="3"/>
  <c r="G31" i="3" s="1"/>
  <c r="D43" i="4"/>
  <c r="D38" i="4"/>
  <c r="E45" i="3"/>
  <c r="E40" i="3"/>
  <c r="D45" i="3"/>
  <c r="D40" i="3"/>
  <c r="C43" i="4"/>
  <c r="C38" i="4"/>
  <c r="E43" i="4"/>
  <c r="E38" i="4"/>
  <c r="F34" i="4"/>
  <c r="F30" i="4"/>
  <c r="G27" i="4"/>
  <c r="G29" i="4" s="1"/>
  <c r="J16" i="3"/>
  <c r="I16" i="3"/>
  <c r="F36" i="3"/>
  <c r="F32" i="3"/>
  <c r="I14" i="4"/>
  <c r="J14" i="4"/>
  <c r="J25" i="4" l="1"/>
  <c r="J24" i="4"/>
  <c r="J23" i="4"/>
  <c r="J26" i="4"/>
  <c r="F35" i="4"/>
  <c r="F37" i="4" s="1"/>
  <c r="I24" i="4"/>
  <c r="I23" i="4"/>
  <c r="I25" i="4"/>
  <c r="I26" i="4"/>
  <c r="F37" i="3"/>
  <c r="F39" i="3" s="1"/>
  <c r="I15" i="4"/>
  <c r="I26" i="3"/>
  <c r="I28" i="3"/>
  <c r="I27" i="3"/>
  <c r="J28" i="3"/>
  <c r="J26" i="3"/>
  <c r="J27" i="3"/>
  <c r="J15" i="4"/>
  <c r="J25" i="3"/>
  <c r="J17" i="3"/>
  <c r="J21" i="3"/>
  <c r="J22" i="3" s="1"/>
  <c r="I25" i="3"/>
  <c r="I17" i="3"/>
  <c r="I21" i="3"/>
  <c r="I22" i="3" s="1"/>
  <c r="I19" i="4"/>
  <c r="I20" i="4" s="1"/>
  <c r="J19" i="4"/>
  <c r="J20" i="4" s="1"/>
  <c r="G34" i="4"/>
  <c r="G30" i="4"/>
  <c r="H27" i="4"/>
  <c r="H29" i="4" s="1"/>
  <c r="G36" i="3"/>
  <c r="G32" i="3"/>
  <c r="H29" i="3"/>
  <c r="H31" i="3" s="1"/>
  <c r="G35" i="4" l="1"/>
  <c r="G37" i="4" s="1"/>
  <c r="G37" i="3"/>
  <c r="G39" i="3" s="1"/>
  <c r="J27" i="4"/>
  <c r="J29" i="4" s="1"/>
  <c r="H34" i="4"/>
  <c r="H30" i="4"/>
  <c r="I29" i="3"/>
  <c r="I31" i="3" s="1"/>
  <c r="F45" i="3"/>
  <c r="F40" i="3"/>
  <c r="J29" i="3"/>
  <c r="J31" i="3" s="1"/>
  <c r="F43" i="4"/>
  <c r="F38" i="4"/>
  <c r="H36" i="3"/>
  <c r="H32" i="3"/>
  <c r="I27" i="4"/>
  <c r="I29" i="4" s="1"/>
  <c r="H35" i="4" l="1"/>
  <c r="H37" i="4" s="1"/>
  <c r="H37" i="3"/>
  <c r="H39" i="3" s="1"/>
  <c r="I36" i="3"/>
  <c r="I32" i="3"/>
  <c r="G45" i="3"/>
  <c r="G40" i="3"/>
  <c r="G43" i="4"/>
  <c r="G38" i="4"/>
  <c r="J36" i="3"/>
  <c r="J32" i="3"/>
  <c r="I34" i="4"/>
  <c r="I30" i="4"/>
  <c r="J34" i="4"/>
  <c r="J30" i="4"/>
  <c r="I35" i="4" l="1"/>
  <c r="I37" i="4" s="1"/>
  <c r="J35" i="4"/>
  <c r="J37" i="4" s="1"/>
  <c r="I37" i="3"/>
  <c r="I39" i="3" s="1"/>
  <c r="J37" i="3"/>
  <c r="J39" i="3" s="1"/>
  <c r="H45" i="3"/>
  <c r="H40" i="3"/>
  <c r="H43" i="4"/>
  <c r="H38" i="4"/>
  <c r="I45" i="3" l="1"/>
  <c r="I40" i="3"/>
  <c r="J43" i="4"/>
  <c r="J38" i="4"/>
  <c r="I43" i="4"/>
  <c r="I38" i="4"/>
  <c r="J45" i="3"/>
  <c r="J4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<sst xmlns="http://schemas.openxmlformats.org/spreadsheetml/2006/main" count="223" uniqueCount="66">
  <si>
    <t>COMPANY1153 (Company0080) - OPERATING MODEL ASSUMPTIONS</t>
  </si>
  <si>
    <t>3-Year Historical (2021-2023) | 5-Year Projections (2024-2028)</t>
  </si>
  <si>
    <t>SCENARIO SELECTION</t>
  </si>
  <si>
    <t>Selected Scenario:</t>
  </si>
  <si>
    <t>Base</t>
  </si>
  <si>
    <t>Historical</t>
  </si>
  <si>
    <t>Projections</t>
  </si>
  <si>
    <t>1. REVENUE ASSUMPTIONS</t>
  </si>
  <si>
    <t>Revenue Growth Rates (%)</t>
  </si>
  <si>
    <t>Scenario</t>
  </si>
  <si>
    <t xml:space="preserve">  Company1153 Search</t>
  </si>
  <si>
    <t>Bull</t>
  </si>
  <si>
    <t>Bear</t>
  </si>
  <si>
    <t xml:space="preserve">  Product0476 Ads</t>
  </si>
  <si>
    <t xml:space="preserve">  Company1153 Cloud</t>
  </si>
  <si>
    <t xml:space="preserve">  Other Revenues</t>
  </si>
  <si>
    <t>2. OPERATING EXPENSE ASSUMPTIONS</t>
  </si>
  <si>
    <t>Operating Expenses (% of Revenue)</t>
  </si>
  <si>
    <t xml:space="preserve">  Research &amp; Development</t>
  </si>
  <si>
    <t xml:space="preserve">  Sales &amp; Marketing</t>
  </si>
  <si>
    <t xml:space="preserve">  General &amp; Administrative</t>
  </si>
  <si>
    <t xml:space="preserve">  Stock-Based Compensation</t>
  </si>
  <si>
    <t>3. BALANCE SHEET &amp; CASH FLOW ASSUMPTIONS</t>
  </si>
  <si>
    <t>Working Capital Metrics</t>
  </si>
  <si>
    <t xml:space="preserve">  Days Sales Outstanding (DSO)</t>
  </si>
  <si>
    <t xml:space="preserve">  Days Payable Outstanding (DPO)</t>
  </si>
  <si>
    <t>Capital Expenditure</t>
  </si>
  <si>
    <t xml:space="preserve">  CapEx (% of Revenue)</t>
  </si>
  <si>
    <t xml:space="preserve">  D&amp;A (% of Prior Year CapEx)</t>
  </si>
  <si>
    <t>4. OTHER FINANCIAL ASSUMPTIONS</t>
  </si>
  <si>
    <t>Tax Rate</t>
  </si>
  <si>
    <t xml:space="preserve">  Effective Tax Rate</t>
  </si>
  <si>
    <t>Interest Rates</t>
  </si>
  <si>
    <t xml:space="preserve">  Interest Income Rate</t>
  </si>
  <si>
    <t>Share Buyback</t>
  </si>
  <si>
    <t xml:space="preserve">  Buyback (% of FCF)</t>
  </si>
  <si>
    <t>COMPANY1809 - OPERATING MODEL ASSUMPTIONS</t>
  </si>
  <si>
    <t xml:space="preserve">  Family of Apps (FoA)</t>
  </si>
  <si>
    <t xml:space="preserve">  Product0338</t>
  </si>
  <si>
    <t>User Growth Metrics</t>
  </si>
  <si>
    <t xml:space="preserve">  DAU Growth (%)</t>
  </si>
  <si>
    <t xml:space="preserve">  ARPU Growth (%)</t>
  </si>
  <si>
    <t>Share Buyback &amp; Dividends</t>
  </si>
  <si>
    <t xml:space="preserve">  Dividend Payout Ratio</t>
  </si>
  <si>
    <t>COMPANY1153 (Company0080) - INCOME STATEMENT</t>
  </si>
  <si>
    <t>$ in millions</t>
  </si>
  <si>
    <t>REVENUE</t>
  </si>
  <si>
    <t>Total Revenue</t>
  </si>
  <si>
    <t xml:space="preserve">  YoY Growth %</t>
  </si>
  <si>
    <t>OPERATING EXPENSES</t>
  </si>
  <si>
    <t xml:space="preserve">  Cost of Revenue</t>
  </si>
  <si>
    <t>Gross Profit</t>
  </si>
  <si>
    <t xml:space="preserve">  Gross Margin %</t>
  </si>
  <si>
    <t>Total Operating Expenses</t>
  </si>
  <si>
    <t>Operating Income (EBIT)</t>
  </si>
  <si>
    <t xml:space="preserve">  Operating Margin %</t>
  </si>
  <si>
    <t>Interest Income</t>
  </si>
  <si>
    <t>Income Before Tax</t>
  </si>
  <si>
    <t>Tax Provision</t>
  </si>
  <si>
    <t>NET INCOME</t>
  </si>
  <si>
    <t xml:space="preserve">  Net Margin %</t>
  </si>
  <si>
    <t>EARNINGS PER SHARE</t>
  </si>
  <si>
    <t>Basic Shares Outstanding</t>
  </si>
  <si>
    <t>Basic EPS</t>
  </si>
  <si>
    <t>COMPANY1809 - INCOME STATEMENT</t>
  </si>
  <si>
    <t xml:space="preserve">  Family of Apps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</si>
</sst>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_([$$-409]* #,##0_);_([$$-409]* \(#,##0\);_([$$-409]* &quot;-&quot;_);_(@_)"/>
  </numFmts>
  <fonts count="19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i/>
      <sz val="11"/>
      <color rgb="FF666666"/>
      <name val="Aptos Narrow"/>
      <family val="2"/>
    </font>
    <font>
      <b/>
      <sz val="11"/>
      <name val="Aptos Narrow"/>
      <family val="2"/>
    </font>
    <font>
      <sz val="12"/>
      <name val="Calibri"/>
      <family val="2"/>
      <scheme val="minor"/>
    </font>
    <font>
      <sz val="11"/>
      <name val="Aptos Narrow"/>
      <family val="2"/>
    </font>
    <font>
      <b/>
      <sz val="11"/>
      <color rgb="FF0000FF"/>
      <name val="Aptos Narrow"/>
      <family val="2"/>
    </font>
    <font>
      <b/>
      <sz val="10"/>
      <name val="Aptos Narrow"/>
      <family val="2"/>
    </font>
    <font>
      <b/>
      <sz val="11"/>
      <name val="Aptos Narrow"/>
      <family val="2"/>
    </font>
    <font>
      <sz val="12"/>
      <color rgb="FF0000FF"/>
      <name val="Calibri"/>
      <family val="2"/>
      <scheme val="minor"/>
    </font>
    <font>
      <b/>
      <sz val="14"/>
      <color rgb="FF1A1A1A"/>
      <name val="Aptos Narrow"/>
      <family val="2"/>
    </font>
    <font>
      <i/>
      <sz val="10"/>
      <color rgb="FF666666"/>
      <name val="Aptos Narrow"/>
      <family val="2"/>
    </font>
    <font>
      <b/>
      <sz val="11"/>
      <color rgb="FF0000FF"/>
      <name val="Aptos Narrow"/>
      <family val="2"/>
    </font>
    <font>
      <i/>
      <sz val="9"/>
      <color rgb="FF666666"/>
      <name val="Aptos Narrow"/>
      <family val="2"/>
    </font>
    <font>
      <sz val="12"/>
      <color rgb="FF008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indexed="12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0F0F0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66666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</borders>
  <cellStyleXfs count="1">
    <xf numFmtId="0" fontId="0" fillId="0" borderId="1"/>
  </cellStyleXfs>
  <cellXfs count="47">
    <xf numFmtId="0" fontId="0" fillId="0" borderId="1" xfId="0"/>
    <xf numFmtId="0" fontId="2" fillId="0" borderId="0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5" fillId="0" borderId="0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3" fillId="3" borderId="4" xfId="0" applyFont="1" applyFill="1" applyBorder="1" applyAlignment="1">
      <alignment horizontal="center" vertical="top"/>
    </xf>
    <xf numFmtId="0" fontId="7" fillId="3" borderId="4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4" borderId="5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3" fillId="0" borderId="0" xfId="0" applyFont="1" applyBorder="1" applyAlignment="1">
      <alignment horizontal="left" vertical="top" indent="1"/>
    </xf>
    <xf numFmtId="0" fontId="2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left" vertical="top" indent="2"/>
    </xf>
    <xf numFmtId="0" fontId="2" fillId="0" borderId="0" xfId="0" applyFont="1" applyBorder="1" applyAlignment="1">
      <alignment horizontal="left" vertical="top" indent="1"/>
    </xf>
    <xf numFmtId="10" fontId="9" fillId="0" borderId="0" xfId="0" applyNumberFormat="1" applyFont="1" applyBorder="1" applyAlignment="1">
      <alignment vertical="top"/>
    </xf>
    <xf numFmtId="3" fontId="9" fillId="0" borderId="0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2" fillId="0" borderId="6" xfId="0" applyFont="1" applyBorder="1" applyAlignment="1">
      <alignment horizontal="left" vertical="top" indent="1"/>
    </xf>
    <xf numFmtId="10" fontId="9" fillId="0" borderId="6" xfId="0" applyNumberFormat="1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11" fillId="0" borderId="0" xfId="0" applyFont="1" applyBorder="1" applyAlignment="1">
      <alignment vertical="top"/>
    </xf>
    <xf numFmtId="49" fontId="7" fillId="0" borderId="0" xfId="0" applyNumberFormat="1" applyFont="1" applyBorder="1" applyAlignment="1">
      <alignment horizontal="center" vertical="top"/>
    </xf>
    <xf numFmtId="0" fontId="12" fillId="0" borderId="3" xfId="0" applyFont="1" applyBorder="1" applyAlignment="1">
      <alignment vertical="top"/>
    </xf>
    <xf numFmtId="164" fontId="9" fillId="0" borderId="0" xfId="0" applyNumberFormat="1" applyFont="1" applyBorder="1" applyAlignment="1">
      <alignment vertical="top"/>
    </xf>
    <xf numFmtId="164" fontId="14" fillId="0" borderId="0" xfId="0" applyNumberFormat="1" applyFont="1" applyBorder="1" applyAlignment="1">
      <alignment vertical="top"/>
    </xf>
    <xf numFmtId="0" fontId="7" fillId="0" borderId="7" xfId="0" applyFont="1" applyBorder="1" applyAlignment="1">
      <alignment vertical="top"/>
    </xf>
    <xf numFmtId="164" fontId="15" fillId="0" borderId="7" xfId="0" applyNumberFormat="1" applyFont="1" applyBorder="1" applyAlignment="1">
      <alignment vertical="top"/>
    </xf>
    <xf numFmtId="0" fontId="2" fillId="0" borderId="0" xfId="0" applyFont="1" applyBorder="1" applyAlignment="1">
      <alignment horizontal="left" vertical="top" indent="2"/>
    </xf>
    <xf numFmtId="10" fontId="15" fillId="0" borderId="0" xfId="0" applyNumberFormat="1" applyFont="1" applyBorder="1" applyAlignment="1">
      <alignment vertical="top"/>
    </xf>
    <xf numFmtId="164" fontId="15" fillId="0" borderId="0" xfId="0" applyNumberFormat="1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13" fillId="0" borderId="0" xfId="0" applyFont="1" applyBorder="1" applyAlignment="1">
      <alignment horizontal="left" vertical="top" indent="2"/>
    </xf>
    <xf numFmtId="0" fontId="7" fillId="0" borderId="0" xfId="0" applyFont="1" applyBorder="1" applyAlignment="1">
      <alignment vertical="top"/>
    </xf>
    <xf numFmtId="0" fontId="5" fillId="0" borderId="0" xfId="0" applyFont="1" applyBorder="1" applyAlignment="1">
      <alignment horizontal="left" vertical="top" indent="1"/>
    </xf>
    <xf numFmtId="164" fontId="15" fillId="0" borderId="8" xfId="0" applyNumberFormat="1" applyFont="1" applyBorder="1" applyAlignment="1">
      <alignment vertical="top"/>
    </xf>
    <xf numFmtId="0" fontId="3" fillId="0" borderId="8" xfId="0" applyFont="1" applyBorder="1" applyAlignment="1">
      <alignment vertical="top"/>
    </xf>
    <xf numFmtId="10" fontId="16" fillId="0" borderId="0" xfId="0" applyNumberFormat="1" applyFont="1" applyBorder="1" applyAlignment="1">
      <alignment vertical="top"/>
    </xf>
    <xf numFmtId="41" fontId="9" fillId="0" borderId="0" xfId="0" applyNumberFormat="1" applyFont="1" applyBorder="1" applyAlignment="1">
      <alignment vertical="top"/>
    </xf>
    <xf numFmtId="0" fontId="1" fillId="0" borderId="1" xfId="0" applyFont="1"/>
    <xf numFmtId="49" fontId="2" fillId="0" borderId="0" xfId="0" applyNumberFormat="1" applyFont="1" applyBorder="1" applyAlignment="1">
      <alignment horizontal="center" vertical="top"/>
    </xf>
    <xf numFmtId="0" fontId="17" fillId="0" borderId="0" xfId="0" applyFont="1" applyBorder="1" applyAlignment="1">
      <alignment horizontal="left" vertical="top" indent="2"/>
    </xf>
    <xf numFmtId="10" fontId="18" fillId="0" borderId="0" xfId="0" applyNumberFormat="1" applyFont="1" applyBorder="1" applyAlignment="1">
      <alignment vertical="top"/>
    </xf>
    <xf numFmtId="3" fontId="18" fillId="0" borderId="0" xfId="0" applyNumberFormat="1" applyFont="1" applyBorder="1" applyAlignment="1">
      <alignment vertical="top"/>
    </xf>
    <xf numFmtId="0" fontId="17" fillId="0" borderId="6" xfId="0" applyFont="1" applyBorder="1" applyAlignment="1">
      <alignment vertical="top"/>
    </xf>
    <xf numFmtId="10" fontId="18" fillId="0" borderId="6" xfId="0" applyNumberFormat="1" applyFont="1" applyBorder="1" applyAlignment="1">
      <alignment vertical="top"/>
    </xf>
    <xf numFmtId="44" fontId="15" fillId="0" borderId="0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58BD-C1B8-CC48-0528-AC8173D27C39}">
  <dimension ref="B2:M94"/>
  <sheetViews>
    <sheetView showGridLines="0" topLeftCell="A33" zoomScaleNormal="100" workbookViewId="0">
      <selection activeCell="E21" sqref="E21"/>
    </sheetView>
  </sheetViews>
  <sheetFormatPr defaultColWidth="7.69921875" defaultRowHeight="15" customHeight="1" x14ac:dyDescent="0.3"/>
  <cols>
    <col min="2" max="2" width="25" customWidth="1"/>
    <col min="3" max="3" width="10" customWidth="1"/>
    <col min="4" max="11" width="8.69921875" customWidth="1"/>
  </cols>
  <sheetData>
    <row r="2" spans="2:13" ht="15" customHeight="1" x14ac:dyDescent="0.3">
      <c r="B2" s="20" t="s">
        <v>0</v>
      </c>
    </row>
    <row r="3" spans="2:13" ht="15" customHeight="1" x14ac:dyDescent="0.3">
      <c r="B3" s="1" t="s">
        <v>1</v>
      </c>
    </row>
    <row r="5" spans="2:13" ht="15" customHeight="1" x14ac:dyDescent="0.3">
      <c r="B5" s="2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2:13" ht="15" customHeight="1" x14ac:dyDescent="0.3">
      <c r="B6" s="4" t="s">
        <v>3</v>
      </c>
      <c r="D6" s="5" t="s">
        <v>4</v>
      </c>
    </row>
    <row r="8" spans="2:13" ht="15" customHeight="1" x14ac:dyDescent="0.3">
      <c r="B8" s="6" t="s">
        <v>5</v>
      </c>
      <c r="C8" s="7"/>
      <c r="D8" s="7"/>
      <c r="E8" s="7"/>
      <c r="F8" s="7"/>
      <c r="G8" s="6" t="s">
        <v>6</v>
      </c>
      <c r="H8" s="7"/>
      <c r="I8" s="7"/>
      <c r="J8" s="7"/>
      <c r="K8" s="7"/>
      <c r="L8" s="7"/>
      <c r="M8" s="7"/>
    </row>
    <row r="9" spans="2:13" ht="15" customHeight="1" x14ac:dyDescent="0.3">
      <c r="D9" s="8">
        <v>2021</v>
      </c>
      <c r="E9" s="8">
        <v>2022</v>
      </c>
      <c r="F9" s="8">
        <v>2023</v>
      </c>
      <c r="G9" s="8">
        <v>2024</v>
      </c>
      <c r="H9" s="8">
        <v>2025</v>
      </c>
      <c r="I9" s="8">
        <v>2026</v>
      </c>
      <c r="J9" s="8">
        <v>2027</v>
      </c>
      <c r="K9" s="8">
        <v>2028</v>
      </c>
    </row>
    <row r="11" spans="2:13" ht="15" customHeight="1" x14ac:dyDescent="0.3"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3" spans="2:13" ht="15" customHeight="1" x14ac:dyDescent="0.3">
      <c r="B13" s="11" t="s">
        <v>8</v>
      </c>
    </row>
    <row r="14" spans="2:13" ht="15" customHeight="1" x14ac:dyDescent="0.3">
      <c r="C14" s="12" t="s">
        <v>9</v>
      </c>
      <c r="D14" s="12">
        <v>2021</v>
      </c>
      <c r="E14" s="12">
        <v>2022</v>
      </c>
      <c r="F14" s="12">
        <v>2023</v>
      </c>
      <c r="G14" s="12">
        <v>2024</v>
      </c>
      <c r="H14" s="12">
        <v>2025</v>
      </c>
      <c r="I14" s="12">
        <v>2026</v>
      </c>
      <c r="J14" s="12">
        <v>2027</v>
      </c>
      <c r="K14" s="12">
        <v>2028</v>
      </c>
    </row>
    <row r="15" spans="2:13" ht="15.75" customHeight="1" x14ac:dyDescent="0.3">
      <c r="B15" s="13" t="s">
        <v>10</v>
      </c>
      <c r="C15" s="14" t="s">
        <v>4</v>
      </c>
      <c r="G15" s="15">
        <v>8.5000000000000006E-2</v>
      </c>
      <c r="H15" s="15">
        <v>7.4999999999999997E-2</v>
      </c>
      <c r="I15" s="15">
        <v>6.5000000000000002E-2</v>
      </c>
      <c r="J15" s="15">
        <v>5.5E-2</v>
      </c>
      <c r="K15" s="15">
        <v>0.05</v>
      </c>
    </row>
    <row r="16" spans="2:13" ht="15.75" customHeight="1" x14ac:dyDescent="0.3">
      <c r="C16" s="14" t="s">
        <v>11</v>
      </c>
      <c r="G16" s="15">
        <v>0.105</v>
      </c>
      <c r="H16" s="15">
        <v>9.5000000000000001E-2</v>
      </c>
      <c r="I16" s="15">
        <v>8.5000000000000006E-2</v>
      </c>
      <c r="J16" s="15">
        <v>7.4999999999999997E-2</v>
      </c>
      <c r="K16" s="15">
        <v>7.0000000000000007E-2</v>
      </c>
    </row>
    <row r="17" spans="2:13" ht="15.75" customHeight="1" x14ac:dyDescent="0.3">
      <c r="C17" s="14" t="s">
        <v>12</v>
      </c>
      <c r="G17" s="15">
        <v>0.06</v>
      </c>
      <c r="H17" s="15">
        <v>0.05</v>
      </c>
      <c r="I17" s="15">
        <v>0.04</v>
      </c>
      <c r="J17" s="15">
        <v>3.5000000000000003E-2</v>
      </c>
      <c r="K17" s="15">
        <v>0.03</v>
      </c>
    </row>
    <row r="19" spans="2:13" ht="15.75" customHeight="1" x14ac:dyDescent="0.3">
      <c r="B19" s="13" t="s">
        <v>13</v>
      </c>
      <c r="C19" s="14" t="s">
        <v>4</v>
      </c>
      <c r="G19" s="15">
        <v>0.15</v>
      </c>
      <c r="H19" s="15">
        <v>0.13</v>
      </c>
      <c r="I19" s="15">
        <v>0.11</v>
      </c>
      <c r="J19" s="15">
        <v>0.1</v>
      </c>
      <c r="K19" s="15">
        <v>0.09</v>
      </c>
    </row>
    <row r="20" spans="2:13" ht="15.75" customHeight="1" x14ac:dyDescent="0.3">
      <c r="C20" s="14" t="s">
        <v>11</v>
      </c>
      <c r="G20" s="15">
        <v>0.18</v>
      </c>
      <c r="H20" s="15">
        <v>0.16</v>
      </c>
      <c r="I20" s="15">
        <v>0.14000000000000001</v>
      </c>
      <c r="J20" s="15">
        <v>0.12</v>
      </c>
      <c r="K20" s="15">
        <v>0.11</v>
      </c>
    </row>
    <row r="21" spans="2:13" ht="15.75" customHeight="1" x14ac:dyDescent="0.3">
      <c r="C21" s="14" t="s">
        <v>12</v>
      </c>
      <c r="G21" s="15">
        <v>0.12</v>
      </c>
      <c r="H21" s="15">
        <v>0.1</v>
      </c>
      <c r="I21" s="15">
        <v>0.08</v>
      </c>
      <c r="J21" s="15">
        <v>7.0000000000000007E-2</v>
      </c>
      <c r="K21" s="15">
        <v>0.06</v>
      </c>
    </row>
    <row r="23" spans="2:13" ht="15.75" customHeight="1" x14ac:dyDescent="0.3">
      <c r="B23" s="13" t="s">
        <v>14</v>
      </c>
      <c r="C23" s="14" t="s">
        <v>4</v>
      </c>
      <c r="G23" s="15">
        <v>0.28000000000000003</v>
      </c>
      <c r="H23" s="15">
        <v>0.25</v>
      </c>
      <c r="I23" s="15">
        <v>0.22</v>
      </c>
      <c r="J23" s="15">
        <v>0.2</v>
      </c>
      <c r="K23" s="15">
        <v>0.18</v>
      </c>
    </row>
    <row r="24" spans="2:13" ht="15.75" customHeight="1" x14ac:dyDescent="0.3">
      <c r="C24" s="14" t="s">
        <v>11</v>
      </c>
      <c r="G24" s="15">
        <v>0.32</v>
      </c>
      <c r="H24" s="15">
        <v>0.3</v>
      </c>
      <c r="I24" s="15">
        <v>0.27</v>
      </c>
      <c r="J24" s="15">
        <v>0.24</v>
      </c>
      <c r="K24" s="15">
        <v>0.22</v>
      </c>
    </row>
    <row r="25" spans="2:13" ht="15.75" customHeight="1" x14ac:dyDescent="0.3">
      <c r="C25" s="14" t="s">
        <v>12</v>
      </c>
      <c r="G25" s="15">
        <v>0.24</v>
      </c>
      <c r="H25" s="15">
        <v>0.2</v>
      </c>
      <c r="I25" s="15">
        <v>0.17</v>
      </c>
      <c r="J25" s="15">
        <v>0.15</v>
      </c>
      <c r="K25" s="15">
        <v>0.14000000000000001</v>
      </c>
    </row>
    <row r="27" spans="2:13" ht="15.75" customHeight="1" x14ac:dyDescent="0.3">
      <c r="B27" s="13" t="s">
        <v>15</v>
      </c>
      <c r="C27" s="14" t="s">
        <v>4</v>
      </c>
      <c r="G27" s="15">
        <v>0.05</v>
      </c>
      <c r="H27" s="15">
        <v>4.4999999999999998E-2</v>
      </c>
      <c r="I27" s="15">
        <v>0.04</v>
      </c>
      <c r="J27" s="15">
        <v>3.5000000000000003E-2</v>
      </c>
      <c r="K27" s="15">
        <v>0.03</v>
      </c>
    </row>
    <row r="28" spans="2:13" ht="15.75" customHeight="1" x14ac:dyDescent="0.3">
      <c r="C28" s="14" t="s">
        <v>11</v>
      </c>
      <c r="G28" s="15">
        <v>7.0000000000000007E-2</v>
      </c>
      <c r="H28" s="15">
        <v>0.06</v>
      </c>
      <c r="I28" s="15">
        <v>5.5E-2</v>
      </c>
      <c r="J28" s="15">
        <v>0.05</v>
      </c>
      <c r="K28" s="15">
        <v>4.4999999999999998E-2</v>
      </c>
    </row>
    <row r="29" spans="2:13" ht="15.75" customHeight="1" x14ac:dyDescent="0.3">
      <c r="C29" s="14" t="s">
        <v>12</v>
      </c>
      <c r="G29" s="15">
        <v>0.03</v>
      </c>
      <c r="H29" s="15">
        <v>2.5000000000000001E-2</v>
      </c>
      <c r="I29" s="15">
        <v>0.02</v>
      </c>
      <c r="J29" s="15">
        <v>1.4999999999999999E-2</v>
      </c>
      <c r="K29" s="15">
        <v>0.01</v>
      </c>
    </row>
    <row r="31" spans="2:13" ht="15" customHeight="1" x14ac:dyDescent="0.3">
      <c r="B31" s="9" t="s">
        <v>16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3" spans="2:11" ht="15" customHeight="1" x14ac:dyDescent="0.3">
      <c r="B33" s="11" t="s">
        <v>17</v>
      </c>
    </row>
    <row r="35" spans="2:11" ht="15.75" customHeight="1" x14ac:dyDescent="0.3">
      <c r="B35" s="13" t="s">
        <v>18</v>
      </c>
      <c r="C35" s="14" t="s">
        <v>4</v>
      </c>
      <c r="D35" s="15">
        <v>0.151</v>
      </c>
      <c r="E35" s="15">
        <v>0.14800000000000002</v>
      </c>
      <c r="F35" s="15">
        <v>0.14499999999999999</v>
      </c>
      <c r="G35" s="15">
        <v>0.14300000000000002</v>
      </c>
      <c r="H35" s="15">
        <v>0.14000000000000001</v>
      </c>
      <c r="I35" s="15">
        <v>0.13800000000000001</v>
      </c>
      <c r="J35" s="15">
        <v>0.13500000000000001</v>
      </c>
      <c r="K35" s="15">
        <v>0.13300000000000001</v>
      </c>
    </row>
    <row r="36" spans="2:11" ht="15.75" customHeight="1" x14ac:dyDescent="0.3">
      <c r="C36" s="14" t="s">
        <v>11</v>
      </c>
      <c r="D36" s="15">
        <v>0.151</v>
      </c>
      <c r="E36" s="15">
        <v>0.14800000000000002</v>
      </c>
      <c r="F36" s="15">
        <v>0.14499999999999999</v>
      </c>
      <c r="G36" s="15">
        <v>0.13800000000000001</v>
      </c>
      <c r="H36" s="15">
        <v>0.13500000000000001</v>
      </c>
      <c r="I36" s="15">
        <v>0.13200000000000001</v>
      </c>
      <c r="J36" s="15">
        <v>0.13</v>
      </c>
      <c r="K36" s="15">
        <v>0.128</v>
      </c>
    </row>
    <row r="37" spans="2:11" ht="15.75" customHeight="1" x14ac:dyDescent="0.3">
      <c r="C37" s="14" t="s">
        <v>12</v>
      </c>
      <c r="D37" s="15">
        <v>0.151</v>
      </c>
      <c r="E37" s="15">
        <v>0.14800000000000002</v>
      </c>
      <c r="F37" s="15">
        <v>0.14499999999999999</v>
      </c>
      <c r="G37" s="15">
        <v>0.14800000000000002</v>
      </c>
      <c r="H37" s="15">
        <v>0.14499999999999999</v>
      </c>
      <c r="I37" s="15">
        <v>0.14300000000000002</v>
      </c>
      <c r="J37" s="15">
        <v>0.14000000000000001</v>
      </c>
      <c r="K37" s="15">
        <v>0.13800000000000001</v>
      </c>
    </row>
    <row r="39" spans="2:11" ht="15.75" customHeight="1" x14ac:dyDescent="0.3">
      <c r="B39" s="13" t="s">
        <v>19</v>
      </c>
      <c r="C39" s="14" t="s">
        <v>4</v>
      </c>
      <c r="D39" s="15">
        <v>0.115</v>
      </c>
      <c r="E39" s="15">
        <v>0.11199999999999999</v>
      </c>
      <c r="F39" s="15">
        <v>0.10800000000000001</v>
      </c>
      <c r="G39" s="15">
        <v>0.105</v>
      </c>
      <c r="H39" s="15">
        <v>0.10300000000000001</v>
      </c>
      <c r="I39" s="15">
        <v>0.1</v>
      </c>
      <c r="J39" s="15">
        <v>9.8000000000000004E-2</v>
      </c>
      <c r="K39" s="15">
        <v>9.5000000000000001E-2</v>
      </c>
    </row>
    <row r="40" spans="2:11" ht="15.75" customHeight="1" x14ac:dyDescent="0.3">
      <c r="C40" s="14" t="s">
        <v>11</v>
      </c>
      <c r="D40" s="15">
        <v>0.115</v>
      </c>
      <c r="E40" s="15">
        <v>0.11199999999999999</v>
      </c>
      <c r="F40" s="15">
        <v>0.10800000000000001</v>
      </c>
      <c r="G40" s="15">
        <v>0.10199999999999999</v>
      </c>
      <c r="H40" s="15">
        <v>0.1</v>
      </c>
      <c r="I40" s="15">
        <v>9.6999999999999989E-2</v>
      </c>
      <c r="J40" s="15">
        <v>9.5000000000000001E-2</v>
      </c>
      <c r="K40" s="15">
        <v>9.1999999999999998E-2</v>
      </c>
    </row>
    <row r="41" spans="2:11" ht="15.75" customHeight="1" x14ac:dyDescent="0.3">
      <c r="C41" s="14" t="s">
        <v>12</v>
      </c>
      <c r="D41" s="15">
        <v>0.115</v>
      </c>
      <c r="E41" s="15">
        <v>0.11199999999999999</v>
      </c>
      <c r="F41" s="15">
        <v>0.10800000000000001</v>
      </c>
      <c r="G41" s="15">
        <v>0.10800000000000001</v>
      </c>
      <c r="H41" s="15">
        <v>0.106</v>
      </c>
      <c r="I41" s="15">
        <v>0.10300000000000001</v>
      </c>
      <c r="J41" s="15">
        <v>0.10099999999999999</v>
      </c>
      <c r="K41" s="15">
        <v>9.8000000000000004E-2</v>
      </c>
    </row>
    <row r="43" spans="2:11" ht="15.75" customHeight="1" x14ac:dyDescent="0.3">
      <c r="B43" s="13" t="s">
        <v>20</v>
      </c>
      <c r="C43" s="14" t="s">
        <v>4</v>
      </c>
      <c r="D43" s="15">
        <v>6.8000000000000005E-2</v>
      </c>
      <c r="E43" s="15">
        <v>6.5000000000000002E-2</v>
      </c>
      <c r="F43" s="15">
        <v>6.3E-2</v>
      </c>
      <c r="G43" s="15">
        <v>6.2E-2</v>
      </c>
      <c r="H43" s="15">
        <v>0.06</v>
      </c>
      <c r="I43" s="15">
        <v>5.7999999999999996E-2</v>
      </c>
      <c r="J43" s="15">
        <v>5.7000000000000002E-2</v>
      </c>
      <c r="K43" s="15">
        <v>5.5E-2</v>
      </c>
    </row>
    <row r="44" spans="2:11" ht="15.75" customHeight="1" x14ac:dyDescent="0.3">
      <c r="C44" s="14" t="s">
        <v>11</v>
      </c>
      <c r="D44" s="15">
        <v>6.8000000000000005E-2</v>
      </c>
      <c r="E44" s="15">
        <v>6.5000000000000002E-2</v>
      </c>
      <c r="F44" s="15">
        <v>6.3E-2</v>
      </c>
      <c r="G44" s="15">
        <v>0.06</v>
      </c>
      <c r="H44" s="15">
        <v>5.7999999999999996E-2</v>
      </c>
      <c r="I44" s="15">
        <v>5.5999999999999994E-2</v>
      </c>
      <c r="J44" s="15">
        <v>5.5E-2</v>
      </c>
      <c r="K44" s="15">
        <v>5.2999999999999999E-2</v>
      </c>
    </row>
    <row r="45" spans="2:11" ht="15.75" customHeight="1" x14ac:dyDescent="0.3">
      <c r="C45" s="14" t="s">
        <v>12</v>
      </c>
      <c r="D45" s="15">
        <v>6.8000000000000005E-2</v>
      </c>
      <c r="E45" s="15">
        <v>6.5000000000000002E-2</v>
      </c>
      <c r="F45" s="15">
        <v>6.3E-2</v>
      </c>
      <c r="G45" s="15">
        <v>6.4000000000000001E-2</v>
      </c>
      <c r="H45" s="15">
        <v>6.2E-2</v>
      </c>
      <c r="I45" s="15">
        <v>0.06</v>
      </c>
      <c r="J45" s="15">
        <v>5.9000000000000004E-2</v>
      </c>
      <c r="K45" s="15">
        <v>5.7000000000000002E-2</v>
      </c>
    </row>
    <row r="47" spans="2:11" ht="15.75" customHeight="1" x14ac:dyDescent="0.3">
      <c r="B47" s="13" t="s">
        <v>21</v>
      </c>
      <c r="C47" s="14" t="s">
        <v>4</v>
      </c>
      <c r="D47" s="15">
        <v>9.1999999999999998E-2</v>
      </c>
      <c r="E47" s="15">
        <v>9.5000000000000001E-2</v>
      </c>
      <c r="F47" s="15">
        <v>9.8000000000000004E-2</v>
      </c>
      <c r="G47" s="15">
        <v>9.5000000000000001E-2</v>
      </c>
      <c r="H47" s="15">
        <v>9.3000000000000013E-2</v>
      </c>
      <c r="I47" s="15">
        <v>0.09</v>
      </c>
      <c r="J47" s="15">
        <v>8.8000000000000009E-2</v>
      </c>
      <c r="K47" s="15">
        <v>8.5000000000000006E-2</v>
      </c>
    </row>
    <row r="48" spans="2:11" ht="15.75" customHeight="1" x14ac:dyDescent="0.3">
      <c r="C48" s="14" t="s">
        <v>11</v>
      </c>
      <c r="D48" s="15">
        <v>9.1999999999999998E-2</v>
      </c>
      <c r="E48" s="15">
        <v>9.5000000000000001E-2</v>
      </c>
      <c r="F48" s="15">
        <v>9.8000000000000004E-2</v>
      </c>
      <c r="G48" s="15">
        <v>9.1999999999999998E-2</v>
      </c>
      <c r="H48" s="15">
        <v>0.09</v>
      </c>
      <c r="I48" s="15">
        <v>8.6999999999999994E-2</v>
      </c>
      <c r="J48" s="15">
        <v>8.5000000000000006E-2</v>
      </c>
      <c r="K48" s="15">
        <v>8.199999999999999E-2</v>
      </c>
    </row>
    <row r="49" spans="2:13" ht="15.75" customHeight="1" x14ac:dyDescent="0.3">
      <c r="C49" s="14" t="s">
        <v>12</v>
      </c>
      <c r="D49" s="15">
        <v>9.1999999999999998E-2</v>
      </c>
      <c r="E49" s="15">
        <v>9.5000000000000001E-2</v>
      </c>
      <c r="F49" s="15">
        <v>9.8000000000000004E-2</v>
      </c>
      <c r="G49" s="15">
        <v>9.8000000000000004E-2</v>
      </c>
      <c r="H49" s="15">
        <v>9.6000000000000002E-2</v>
      </c>
      <c r="I49" s="15">
        <v>9.3000000000000013E-2</v>
      </c>
      <c r="J49" s="15">
        <v>9.0999999999999998E-2</v>
      </c>
      <c r="K49" s="15">
        <v>8.8000000000000009E-2</v>
      </c>
    </row>
    <row r="50" spans="2:13" ht="15" customHeight="1" thickBot="1" x14ac:dyDescent="0.35"/>
    <row r="51" spans="2:13" ht="15" customHeight="1" x14ac:dyDescent="0.3">
      <c r="B51" s="9" t="s">
        <v>22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3" spans="2:13" ht="15" customHeight="1" x14ac:dyDescent="0.3">
      <c r="B53" s="11" t="s">
        <v>23</v>
      </c>
    </row>
    <row r="55" spans="2:13" ht="15.75" customHeight="1" x14ac:dyDescent="0.3">
      <c r="B55" s="13" t="s">
        <v>24</v>
      </c>
      <c r="C55" s="14" t="s">
        <v>4</v>
      </c>
      <c r="D55" s="16">
        <v>48</v>
      </c>
      <c r="E55" s="16">
        <v>47</v>
      </c>
      <c r="F55" s="16">
        <v>46</v>
      </c>
      <c r="G55" s="16">
        <v>46</v>
      </c>
      <c r="H55" s="16">
        <v>45</v>
      </c>
      <c r="I55" s="16">
        <v>45</v>
      </c>
      <c r="J55" s="16">
        <v>44</v>
      </c>
      <c r="K55" s="16">
        <v>44</v>
      </c>
    </row>
    <row r="56" spans="2:13" ht="15.75" customHeight="1" x14ac:dyDescent="0.3">
      <c r="C56" s="14" t="s">
        <v>11</v>
      </c>
      <c r="D56" s="16">
        <v>48</v>
      </c>
      <c r="E56" s="16">
        <v>47</v>
      </c>
      <c r="F56" s="16">
        <v>46</v>
      </c>
      <c r="G56" s="16">
        <v>45</v>
      </c>
      <c r="H56" s="16">
        <v>44</v>
      </c>
      <c r="I56" s="16">
        <v>43</v>
      </c>
      <c r="J56" s="16">
        <v>42</v>
      </c>
      <c r="K56" s="16">
        <v>42</v>
      </c>
    </row>
    <row r="57" spans="2:13" ht="15.75" customHeight="1" x14ac:dyDescent="0.3">
      <c r="C57" s="14" t="s">
        <v>12</v>
      </c>
      <c r="D57" s="16">
        <v>48</v>
      </c>
      <c r="E57" s="16">
        <v>47</v>
      </c>
      <c r="F57" s="16">
        <v>46</v>
      </c>
      <c r="G57" s="16">
        <v>47</v>
      </c>
      <c r="H57" s="16">
        <v>47</v>
      </c>
      <c r="I57" s="16">
        <v>46</v>
      </c>
      <c r="J57" s="16">
        <v>46</v>
      </c>
      <c r="K57" s="16">
        <v>45</v>
      </c>
    </row>
    <row r="59" spans="2:13" ht="15.75" customHeight="1" x14ac:dyDescent="0.3">
      <c r="B59" s="13" t="s">
        <v>25</v>
      </c>
      <c r="C59" s="14" t="s">
        <v>4</v>
      </c>
      <c r="D59" s="16">
        <v>32</v>
      </c>
      <c r="E59" s="16">
        <v>33</v>
      </c>
      <c r="F59" s="16">
        <v>34</v>
      </c>
      <c r="G59" s="16">
        <v>34</v>
      </c>
      <c r="H59" s="16">
        <v>35</v>
      </c>
      <c r="I59" s="16">
        <v>35</v>
      </c>
      <c r="J59" s="16">
        <v>36</v>
      </c>
      <c r="K59" s="16">
        <v>36</v>
      </c>
    </row>
    <row r="60" spans="2:13" ht="15.75" customHeight="1" x14ac:dyDescent="0.3">
      <c r="C60" s="14" t="s">
        <v>11</v>
      </c>
      <c r="D60" s="16">
        <v>32</v>
      </c>
      <c r="E60" s="16">
        <v>33</v>
      </c>
      <c r="F60" s="16">
        <v>34</v>
      </c>
      <c r="G60" s="16">
        <v>35</v>
      </c>
      <c r="H60" s="16">
        <v>36</v>
      </c>
      <c r="I60" s="16">
        <v>37</v>
      </c>
      <c r="J60" s="16">
        <v>38</v>
      </c>
      <c r="K60" s="16">
        <v>38</v>
      </c>
    </row>
    <row r="61" spans="2:13" ht="15.75" customHeight="1" x14ac:dyDescent="0.3">
      <c r="C61" s="14" t="s">
        <v>12</v>
      </c>
      <c r="D61" s="16">
        <v>32</v>
      </c>
      <c r="E61" s="16">
        <v>33</v>
      </c>
      <c r="F61" s="16">
        <v>34</v>
      </c>
      <c r="G61" s="16">
        <v>33</v>
      </c>
      <c r="H61" s="16">
        <v>33</v>
      </c>
      <c r="I61" s="16">
        <v>34</v>
      </c>
      <c r="J61" s="16">
        <v>34</v>
      </c>
      <c r="K61" s="16">
        <v>34</v>
      </c>
    </row>
    <row r="64" spans="2:13" ht="15" customHeight="1" x14ac:dyDescent="0.3">
      <c r="B64" s="11" t="s">
        <v>26</v>
      </c>
    </row>
    <row r="66" spans="2:13" ht="15.75" customHeight="1" x14ac:dyDescent="0.3">
      <c r="B66" s="13" t="s">
        <v>27</v>
      </c>
      <c r="C66" s="14" t="s">
        <v>4</v>
      </c>
      <c r="D66" s="15">
        <v>0.125</v>
      </c>
      <c r="E66" s="15">
        <v>0.13200000000000001</v>
      </c>
      <c r="F66" s="15">
        <v>0.14000000000000001</v>
      </c>
      <c r="G66" s="15">
        <v>0.13500000000000001</v>
      </c>
      <c r="H66" s="15">
        <v>0.13</v>
      </c>
      <c r="I66" s="15">
        <v>0.125</v>
      </c>
      <c r="J66" s="15">
        <v>0.12</v>
      </c>
      <c r="K66" s="15">
        <v>0.115</v>
      </c>
    </row>
    <row r="67" spans="2:13" ht="15.75" customHeight="1" x14ac:dyDescent="0.3">
      <c r="C67" s="14" t="s">
        <v>11</v>
      </c>
      <c r="D67" s="15">
        <v>0.125</v>
      </c>
      <c r="E67" s="15">
        <v>0.13200000000000001</v>
      </c>
      <c r="F67" s="15">
        <v>0.14000000000000001</v>
      </c>
      <c r="G67" s="15">
        <v>0.13</v>
      </c>
      <c r="H67" s="15">
        <v>0.125</v>
      </c>
      <c r="I67" s="15">
        <v>0.12</v>
      </c>
      <c r="J67" s="15">
        <v>0.115</v>
      </c>
      <c r="K67" s="15">
        <v>0.11</v>
      </c>
    </row>
    <row r="68" spans="2:13" ht="15.75" customHeight="1" x14ac:dyDescent="0.3">
      <c r="C68" s="14" t="s">
        <v>12</v>
      </c>
      <c r="D68" s="15">
        <v>0.125</v>
      </c>
      <c r="E68" s="15">
        <v>0.13200000000000001</v>
      </c>
      <c r="F68" s="15">
        <v>0.14000000000000001</v>
      </c>
      <c r="G68" s="15">
        <v>0.14000000000000001</v>
      </c>
      <c r="H68" s="15">
        <v>0.13500000000000001</v>
      </c>
      <c r="I68" s="15">
        <v>0.13</v>
      </c>
      <c r="J68" s="15">
        <v>0.125</v>
      </c>
      <c r="K68" s="15">
        <v>0.12</v>
      </c>
    </row>
    <row r="70" spans="2:13" ht="15.75" customHeight="1" x14ac:dyDescent="0.3">
      <c r="B70" s="13" t="s">
        <v>28</v>
      </c>
      <c r="C70" s="14" t="s">
        <v>4</v>
      </c>
      <c r="D70" s="15">
        <v>0.7</v>
      </c>
      <c r="E70" s="15">
        <v>0.7</v>
      </c>
      <c r="F70" s="15">
        <v>0.7</v>
      </c>
      <c r="G70" s="15">
        <v>0.7</v>
      </c>
      <c r="H70" s="15">
        <v>0.7</v>
      </c>
      <c r="I70" s="15">
        <v>0.7</v>
      </c>
      <c r="J70" s="15">
        <v>0.7</v>
      </c>
      <c r="K70" s="15">
        <v>0.7</v>
      </c>
    </row>
    <row r="71" spans="2:13" ht="15.75" customHeight="1" x14ac:dyDescent="0.3">
      <c r="C71" s="14" t="s">
        <v>11</v>
      </c>
      <c r="D71" s="15">
        <v>0.7</v>
      </c>
      <c r="E71" s="15">
        <v>0.7</v>
      </c>
      <c r="F71" s="15">
        <v>0.7</v>
      </c>
      <c r="G71" s="15">
        <v>0.68</v>
      </c>
      <c r="H71" s="15">
        <v>0.68</v>
      </c>
      <c r="I71" s="15">
        <v>0.68</v>
      </c>
      <c r="J71" s="15">
        <v>0.68</v>
      </c>
      <c r="K71" s="15">
        <v>0.68</v>
      </c>
    </row>
    <row r="72" spans="2:13" ht="15.75" customHeight="1" x14ac:dyDescent="0.3">
      <c r="C72" s="14" t="s">
        <v>12</v>
      </c>
      <c r="D72" s="15">
        <v>0.7</v>
      </c>
      <c r="E72" s="15">
        <v>0.7</v>
      </c>
      <c r="F72" s="15">
        <v>0.7</v>
      </c>
      <c r="G72" s="15">
        <v>0.72</v>
      </c>
      <c r="H72" s="15">
        <v>0.72</v>
      </c>
      <c r="I72" s="15">
        <v>0.72</v>
      </c>
      <c r="J72" s="15">
        <v>0.72</v>
      </c>
      <c r="K72" s="15">
        <v>0.72</v>
      </c>
    </row>
    <row r="73" spans="2:13" ht="15" customHeight="1" thickBot="1" x14ac:dyDescent="0.35"/>
    <row r="74" spans="2:13" ht="15" customHeight="1" x14ac:dyDescent="0.3">
      <c r="B74" s="9" t="s">
        <v>29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</row>
    <row r="76" spans="2:13" ht="15" customHeight="1" x14ac:dyDescent="0.3">
      <c r="B76" s="11" t="s">
        <v>30</v>
      </c>
    </row>
    <row r="78" spans="2:13" ht="15.75" customHeight="1" x14ac:dyDescent="0.3">
      <c r="B78" s="13" t="s">
        <v>31</v>
      </c>
      <c r="C78" s="14" t="s">
        <v>4</v>
      </c>
      <c r="D78" s="15">
        <v>0.16200000000000001</v>
      </c>
      <c r="E78" s="15">
        <v>0.16</v>
      </c>
      <c r="F78" s="15">
        <v>0.158</v>
      </c>
      <c r="G78" s="15">
        <v>0.16500000000000001</v>
      </c>
      <c r="H78" s="15">
        <v>0.17</v>
      </c>
      <c r="I78" s="15">
        <v>0.17499999999999999</v>
      </c>
      <c r="J78" s="15">
        <v>0.18</v>
      </c>
      <c r="K78" s="15">
        <v>0.185</v>
      </c>
    </row>
    <row r="79" spans="2:13" ht="15.75" customHeight="1" x14ac:dyDescent="0.3">
      <c r="C79" s="14" t="s">
        <v>11</v>
      </c>
      <c r="D79" s="15">
        <v>0.16200000000000001</v>
      </c>
      <c r="E79" s="15">
        <v>0.16</v>
      </c>
      <c r="F79" s="15">
        <v>0.158</v>
      </c>
      <c r="G79" s="15">
        <v>0.16</v>
      </c>
      <c r="H79" s="15">
        <v>0.16500000000000001</v>
      </c>
      <c r="I79" s="15">
        <v>0.17</v>
      </c>
      <c r="J79" s="15">
        <v>0.17499999999999999</v>
      </c>
      <c r="K79" s="15">
        <v>0.18</v>
      </c>
    </row>
    <row r="80" spans="2:13" ht="15.75" customHeight="1" x14ac:dyDescent="0.3">
      <c r="C80" s="14" t="s">
        <v>12</v>
      </c>
      <c r="D80" s="15">
        <v>0.16200000000000001</v>
      </c>
      <c r="E80" s="15">
        <v>0.16</v>
      </c>
      <c r="F80" s="15">
        <v>0.158</v>
      </c>
      <c r="G80" s="15">
        <v>0.17</v>
      </c>
      <c r="H80" s="15">
        <v>0.17499999999999999</v>
      </c>
      <c r="I80" s="15">
        <v>0.18</v>
      </c>
      <c r="J80" s="15">
        <v>0.185</v>
      </c>
      <c r="K80" s="15">
        <v>0.19</v>
      </c>
    </row>
    <row r="83" spans="2:11" ht="15" customHeight="1" x14ac:dyDescent="0.3">
      <c r="B83" s="11" t="s">
        <v>32</v>
      </c>
    </row>
    <row r="85" spans="2:11" ht="15.75" customHeight="1" x14ac:dyDescent="0.3">
      <c r="B85" s="13" t="s">
        <v>33</v>
      </c>
      <c r="C85" s="14" t="s">
        <v>4</v>
      </c>
      <c r="D85" s="15">
        <v>1.4999999999999999E-2</v>
      </c>
      <c r="E85" s="15">
        <v>2.5000000000000001E-2</v>
      </c>
      <c r="F85" s="15">
        <v>0.04</v>
      </c>
      <c r="G85" s="15">
        <v>4.4999999999999998E-2</v>
      </c>
      <c r="H85" s="15">
        <v>0.04</v>
      </c>
      <c r="I85" s="15">
        <v>3.5000000000000003E-2</v>
      </c>
      <c r="J85" s="15">
        <v>0.03</v>
      </c>
      <c r="K85" s="15">
        <v>0.03</v>
      </c>
    </row>
    <row r="86" spans="2:11" ht="15.75" customHeight="1" x14ac:dyDescent="0.3">
      <c r="C86" s="14" t="s">
        <v>11</v>
      </c>
      <c r="D86" s="15">
        <v>1.4999999999999999E-2</v>
      </c>
      <c r="E86" s="15">
        <v>2.5000000000000001E-2</v>
      </c>
      <c r="F86" s="15">
        <v>0.04</v>
      </c>
      <c r="G86" s="15">
        <v>0.05</v>
      </c>
      <c r="H86" s="15">
        <v>4.4999999999999998E-2</v>
      </c>
      <c r="I86" s="15">
        <v>0.04</v>
      </c>
      <c r="J86" s="15">
        <v>3.5000000000000003E-2</v>
      </c>
      <c r="K86" s="15">
        <v>3.5000000000000003E-2</v>
      </c>
    </row>
    <row r="87" spans="2:11" ht="15.75" customHeight="1" x14ac:dyDescent="0.3">
      <c r="C87" s="14" t="s">
        <v>12</v>
      </c>
      <c r="D87" s="15">
        <v>1.4999999999999999E-2</v>
      </c>
      <c r="E87" s="15">
        <v>2.5000000000000001E-2</v>
      </c>
      <c r="F87" s="15">
        <v>0.04</v>
      </c>
      <c r="G87" s="15">
        <v>0.04</v>
      </c>
      <c r="H87" s="15">
        <v>3.5000000000000003E-2</v>
      </c>
      <c r="I87" s="15">
        <v>0.03</v>
      </c>
      <c r="J87" s="15">
        <v>2.5000000000000001E-2</v>
      </c>
      <c r="K87" s="15">
        <v>2.5000000000000001E-2</v>
      </c>
    </row>
    <row r="90" spans="2:11" ht="15" customHeight="1" x14ac:dyDescent="0.3">
      <c r="B90" s="11" t="s">
        <v>34</v>
      </c>
    </row>
    <row r="92" spans="2:11" ht="15.75" customHeight="1" x14ac:dyDescent="0.3">
      <c r="B92" s="13" t="s">
        <v>35</v>
      </c>
      <c r="C92" s="14" t="s">
        <v>4</v>
      </c>
      <c r="D92" s="15">
        <v>0.75</v>
      </c>
      <c r="E92" s="15">
        <v>0.75</v>
      </c>
      <c r="F92" s="15">
        <v>0.75</v>
      </c>
      <c r="G92" s="15">
        <v>0.7</v>
      </c>
      <c r="H92" s="15">
        <v>0.7</v>
      </c>
      <c r="I92" s="15">
        <v>0.65</v>
      </c>
      <c r="J92" s="15">
        <v>0.65</v>
      </c>
      <c r="K92" s="15">
        <v>0.6</v>
      </c>
    </row>
    <row r="93" spans="2:11" ht="15.75" customHeight="1" x14ac:dyDescent="0.3">
      <c r="C93" s="14" t="s">
        <v>11</v>
      </c>
      <c r="D93" s="15">
        <v>0.75</v>
      </c>
      <c r="E93" s="15">
        <v>0.75</v>
      </c>
      <c r="F93" s="15">
        <v>0.75</v>
      </c>
      <c r="G93" s="15">
        <v>0.75</v>
      </c>
      <c r="H93" s="15">
        <v>0.75</v>
      </c>
      <c r="I93" s="15">
        <v>0.7</v>
      </c>
      <c r="J93" s="15">
        <v>0.7</v>
      </c>
      <c r="K93" s="15">
        <v>0.65</v>
      </c>
    </row>
    <row r="94" spans="2:11" ht="15.75" customHeight="1" x14ac:dyDescent="0.3">
      <c r="B94" s="17"/>
      <c r="C94" s="18" t="s">
        <v>12</v>
      </c>
      <c r="D94" s="19">
        <v>0.75</v>
      </c>
      <c r="E94" s="19">
        <v>0.75</v>
      </c>
      <c r="F94" s="19">
        <v>0.75</v>
      </c>
      <c r="G94" s="19">
        <v>0.65</v>
      </c>
      <c r="H94" s="19">
        <v>0.65</v>
      </c>
      <c r="I94" s="19">
        <v>0.6</v>
      </c>
      <c r="J94" s="19">
        <v>0.6</v>
      </c>
      <c r="K94" s="19">
        <v>0.55000000000000004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1A72-7B98-FDC2-AF73-166A1F302D1D}">
  <dimension ref="B2:M101"/>
  <sheetViews>
    <sheetView showGridLines="0" zoomScaleNormal="100" workbookViewId="0"/>
  </sheetViews>
  <sheetFormatPr defaultColWidth="7.69921875" defaultRowHeight="15" customHeight="1" x14ac:dyDescent="0.3"/>
  <cols>
    <col min="2" max="2" width="25" customWidth="1"/>
    <col min="3" max="3" width="10" customWidth="1"/>
    <col min="4" max="11" width="8.69921875" customWidth="1"/>
  </cols>
  <sheetData>
    <row r="2" spans="2:13" ht="15" customHeight="1" x14ac:dyDescent="0.3">
      <c r="B2" s="20" t="s">
        <v>36</v>
      </c>
    </row>
    <row r="3" spans="2:13" ht="15" customHeight="1" x14ac:dyDescent="0.3">
      <c r="B3" s="1" t="s">
        <v>1</v>
      </c>
    </row>
    <row r="5" spans="2:13" ht="15" customHeight="1" x14ac:dyDescent="0.3">
      <c r="B5" s="2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2:13" ht="15" customHeight="1" x14ac:dyDescent="0.3">
      <c r="B6" s="4" t="s">
        <v>3</v>
      </c>
      <c r="D6" s="5" t="s">
        <v>4</v>
      </c>
    </row>
    <row r="8" spans="2:13" ht="15" customHeight="1" x14ac:dyDescent="0.3">
      <c r="B8" s="6" t="s">
        <v>5</v>
      </c>
      <c r="C8" s="7"/>
      <c r="D8" s="7"/>
      <c r="E8" s="7"/>
      <c r="F8" s="7"/>
      <c r="G8" s="6" t="s">
        <v>6</v>
      </c>
      <c r="H8" s="7"/>
      <c r="I8" s="7"/>
      <c r="J8" s="7"/>
      <c r="K8" s="7"/>
      <c r="L8" s="7"/>
      <c r="M8" s="7"/>
    </row>
    <row r="9" spans="2:13" ht="15" customHeight="1" x14ac:dyDescent="0.3">
      <c r="D9" s="8">
        <v>2021</v>
      </c>
      <c r="E9" s="8">
        <v>2022</v>
      </c>
      <c r="F9" s="8">
        <v>2023</v>
      </c>
      <c r="G9" s="8">
        <v>2024</v>
      </c>
      <c r="H9" s="8">
        <v>2025</v>
      </c>
      <c r="I9" s="8">
        <v>2026</v>
      </c>
      <c r="J9" s="8">
        <v>2027</v>
      </c>
      <c r="K9" s="8">
        <v>2028</v>
      </c>
    </row>
    <row r="11" spans="2:13" ht="15" customHeight="1" x14ac:dyDescent="0.3">
      <c r="B11" s="9" t="s">
        <v>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2:13" ht="15" customHeight="1" x14ac:dyDescent="0.3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</row>
    <row r="13" spans="2:13" ht="13.5" customHeight="1" x14ac:dyDescent="0.3">
      <c r="B13" s="11" t="s">
        <v>8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</row>
    <row r="14" spans="2:13" ht="12.75" customHeight="1" x14ac:dyDescent="0.3">
      <c r="B14" s="39"/>
      <c r="C14" s="12" t="s">
        <v>9</v>
      </c>
      <c r="D14" s="40">
        <v>2021</v>
      </c>
      <c r="E14" s="40">
        <v>2022</v>
      </c>
      <c r="F14" s="40">
        <v>2023</v>
      </c>
      <c r="G14" s="40">
        <v>2024</v>
      </c>
      <c r="H14" s="40">
        <v>2025</v>
      </c>
      <c r="I14" s="40">
        <v>2026</v>
      </c>
      <c r="J14" s="40">
        <v>2027</v>
      </c>
      <c r="K14" s="40">
        <v>2028</v>
      </c>
      <c r="L14" s="39"/>
      <c r="M14" s="39"/>
    </row>
    <row r="15" spans="2:13" ht="15.75" customHeight="1" x14ac:dyDescent="0.3">
      <c r="B15" s="41" t="s">
        <v>37</v>
      </c>
      <c r="C15" s="14" t="s">
        <v>4</v>
      </c>
      <c r="D15" s="39"/>
      <c r="E15" s="39"/>
      <c r="F15" s="39"/>
      <c r="G15" s="42">
        <v>0.12</v>
      </c>
      <c r="H15" s="42">
        <v>0.1</v>
      </c>
      <c r="I15" s="42">
        <v>8.5000000000000006E-2</v>
      </c>
      <c r="J15" s="42">
        <v>7.4999999999999997E-2</v>
      </c>
      <c r="K15" s="42">
        <v>7.0000000000000007E-2</v>
      </c>
      <c r="L15" s="39"/>
      <c r="M15" s="39"/>
    </row>
    <row r="16" spans="2:13" ht="15.75" customHeight="1" x14ac:dyDescent="0.3">
      <c r="B16" s="39"/>
      <c r="C16" s="14" t="s">
        <v>11</v>
      </c>
      <c r="D16" s="39"/>
      <c r="E16" s="39"/>
      <c r="F16" s="39"/>
      <c r="G16" s="42">
        <v>0.14000000000000001</v>
      </c>
      <c r="H16" s="42">
        <v>0.12</v>
      </c>
      <c r="I16" s="42">
        <v>0.105</v>
      </c>
      <c r="J16" s="42">
        <v>9.5000000000000001E-2</v>
      </c>
      <c r="K16" s="42">
        <v>0.09</v>
      </c>
      <c r="L16" s="39"/>
      <c r="M16" s="39"/>
    </row>
    <row r="17" spans="2:13" ht="15.75" customHeight="1" x14ac:dyDescent="0.3">
      <c r="B17" s="39"/>
      <c r="C17" s="14" t="s">
        <v>12</v>
      </c>
      <c r="D17" s="39"/>
      <c r="E17" s="39"/>
      <c r="F17" s="39"/>
      <c r="G17" s="42">
        <v>0.1</v>
      </c>
      <c r="H17" s="42">
        <v>0.08</v>
      </c>
      <c r="I17" s="42">
        <v>6.5000000000000002E-2</v>
      </c>
      <c r="J17" s="42">
        <v>5.5E-2</v>
      </c>
      <c r="K17" s="42">
        <v>0.05</v>
      </c>
      <c r="L17" s="39"/>
      <c r="M17" s="39"/>
    </row>
    <row r="18" spans="2:13" ht="15" customHeight="1" x14ac:dyDescent="0.3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</row>
    <row r="19" spans="2:13" ht="15.75" customHeight="1" x14ac:dyDescent="0.3">
      <c r="B19" s="41" t="s">
        <v>38</v>
      </c>
      <c r="C19" s="14" t="s">
        <v>4</v>
      </c>
      <c r="D19" s="39"/>
      <c r="E19" s="39"/>
      <c r="F19" s="39"/>
      <c r="G19" s="42">
        <v>0.25</v>
      </c>
      <c r="H19" s="42">
        <v>0.35</v>
      </c>
      <c r="I19" s="42">
        <v>0.45</v>
      </c>
      <c r="J19" s="42">
        <v>0.4</v>
      </c>
      <c r="K19" s="42">
        <v>0.35</v>
      </c>
      <c r="L19" s="39"/>
      <c r="M19" s="39"/>
    </row>
    <row r="20" spans="2:13" ht="15.75" customHeight="1" x14ac:dyDescent="0.3">
      <c r="B20" s="39"/>
      <c r="C20" s="14" t="s">
        <v>11</v>
      </c>
      <c r="D20" s="39"/>
      <c r="E20" s="39"/>
      <c r="F20" s="39"/>
      <c r="G20" s="42">
        <v>0.3</v>
      </c>
      <c r="H20" s="42">
        <v>0.45</v>
      </c>
      <c r="I20" s="42">
        <v>0.55000000000000004</v>
      </c>
      <c r="J20" s="42">
        <v>0.5</v>
      </c>
      <c r="K20" s="42">
        <v>0.45</v>
      </c>
      <c r="L20" s="39"/>
      <c r="M20" s="39"/>
    </row>
    <row r="21" spans="2:13" ht="15.75" customHeight="1" x14ac:dyDescent="0.3">
      <c r="B21" s="39"/>
      <c r="C21" s="14" t="s">
        <v>12</v>
      </c>
      <c r="D21" s="39"/>
      <c r="E21" s="39"/>
      <c r="F21" s="39"/>
      <c r="G21" s="42">
        <v>0.2</v>
      </c>
      <c r="H21" s="42">
        <v>0.25</v>
      </c>
      <c r="I21" s="42">
        <v>0.35</v>
      </c>
      <c r="J21" s="42">
        <v>0.3</v>
      </c>
      <c r="K21" s="42">
        <v>0.25</v>
      </c>
      <c r="L21" s="39"/>
      <c r="M21" s="39"/>
    </row>
    <row r="22" spans="2:13" ht="15" customHeight="1" x14ac:dyDescent="0.3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</row>
    <row r="23" spans="2:13" ht="15" customHeight="1" x14ac:dyDescent="0.3"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</row>
    <row r="24" spans="2:13" ht="13.5" customHeight="1" x14ac:dyDescent="0.3">
      <c r="B24" s="11" t="s">
        <v>39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</row>
    <row r="25" spans="2:13" ht="15" customHeight="1" x14ac:dyDescent="0.3"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spans="2:13" ht="15.75" customHeight="1" x14ac:dyDescent="0.3">
      <c r="B26" s="41" t="s">
        <v>40</v>
      </c>
      <c r="C26" s="14" t="s">
        <v>4</v>
      </c>
      <c r="D26" s="39"/>
      <c r="E26" s="39"/>
      <c r="F26" s="39"/>
      <c r="G26" s="42">
        <v>0.03</v>
      </c>
      <c r="H26" s="42">
        <v>2.5000000000000001E-2</v>
      </c>
      <c r="I26" s="42">
        <v>0.02</v>
      </c>
      <c r="J26" s="42">
        <v>1.4999999999999999E-2</v>
      </c>
      <c r="K26" s="42">
        <v>0.01</v>
      </c>
      <c r="L26" s="39"/>
      <c r="M26" s="39"/>
    </row>
    <row r="27" spans="2:13" ht="15.75" customHeight="1" x14ac:dyDescent="0.3">
      <c r="B27" s="39"/>
      <c r="C27" s="14" t="s">
        <v>11</v>
      </c>
      <c r="D27" s="39"/>
      <c r="E27" s="39"/>
      <c r="F27" s="39"/>
      <c r="G27" s="42">
        <v>0.04</v>
      </c>
      <c r="H27" s="42">
        <v>3.5000000000000003E-2</v>
      </c>
      <c r="I27" s="42">
        <v>0.03</v>
      </c>
      <c r="J27" s="42">
        <v>2.5000000000000001E-2</v>
      </c>
      <c r="K27" s="42">
        <v>0.02</v>
      </c>
      <c r="L27" s="39"/>
      <c r="M27" s="39"/>
    </row>
    <row r="28" spans="2:13" ht="15.75" customHeight="1" x14ac:dyDescent="0.3">
      <c r="B28" s="39"/>
      <c r="C28" s="14" t="s">
        <v>12</v>
      </c>
      <c r="D28" s="39"/>
      <c r="E28" s="39"/>
      <c r="F28" s="39"/>
      <c r="G28" s="42">
        <v>0.02</v>
      </c>
      <c r="H28" s="42">
        <v>1.4999999999999999E-2</v>
      </c>
      <c r="I28" s="42">
        <v>0.01</v>
      </c>
      <c r="J28" s="42">
        <v>5.0000000000000001E-3</v>
      </c>
      <c r="K28" s="42">
        <v>0</v>
      </c>
      <c r="L28" s="39"/>
      <c r="M28" s="39"/>
    </row>
    <row r="29" spans="2:13" ht="15" customHeight="1" x14ac:dyDescent="0.3"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</row>
    <row r="30" spans="2:13" ht="15.75" customHeight="1" x14ac:dyDescent="0.3">
      <c r="B30" s="41" t="s">
        <v>41</v>
      </c>
      <c r="C30" s="14" t="s">
        <v>4</v>
      </c>
      <c r="D30" s="39"/>
      <c r="E30" s="39"/>
      <c r="F30" s="39"/>
      <c r="G30" s="42">
        <v>8.5000000000000006E-2</v>
      </c>
      <c r="H30" s="42">
        <v>7.0000000000000007E-2</v>
      </c>
      <c r="I30" s="42">
        <v>0.06</v>
      </c>
      <c r="J30" s="42">
        <v>5.5E-2</v>
      </c>
      <c r="K30" s="42">
        <v>0.05</v>
      </c>
      <c r="L30" s="39"/>
      <c r="M30" s="39"/>
    </row>
    <row r="31" spans="2:13" ht="15.75" customHeight="1" x14ac:dyDescent="0.3">
      <c r="B31" s="39"/>
      <c r="C31" s="14" t="s">
        <v>11</v>
      </c>
      <c r="D31" s="39"/>
      <c r="E31" s="39"/>
      <c r="F31" s="39"/>
      <c r="G31" s="42">
        <v>0.1</v>
      </c>
      <c r="H31" s="42">
        <v>8.5000000000000006E-2</v>
      </c>
      <c r="I31" s="42">
        <v>7.4999999999999997E-2</v>
      </c>
      <c r="J31" s="42">
        <v>7.0000000000000007E-2</v>
      </c>
      <c r="K31" s="42">
        <v>6.5000000000000002E-2</v>
      </c>
      <c r="L31" s="39"/>
      <c r="M31" s="39"/>
    </row>
    <row r="32" spans="2:13" ht="15.75" customHeight="1" x14ac:dyDescent="0.3">
      <c r="B32" s="39"/>
      <c r="C32" s="14" t="s">
        <v>12</v>
      </c>
      <c r="D32" s="39"/>
      <c r="E32" s="39"/>
      <c r="F32" s="39"/>
      <c r="G32" s="42">
        <v>7.0000000000000007E-2</v>
      </c>
      <c r="H32" s="42">
        <v>5.5E-2</v>
      </c>
      <c r="I32" s="42">
        <v>4.4999999999999998E-2</v>
      </c>
      <c r="J32" s="42">
        <v>0.04</v>
      </c>
      <c r="K32" s="42">
        <v>3.5000000000000003E-2</v>
      </c>
      <c r="L32" s="39"/>
      <c r="M32" s="39"/>
    </row>
    <row r="33" spans="2:13" ht="15" customHeight="1" x14ac:dyDescent="0.3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</row>
    <row r="34" spans="2:13" ht="15" customHeight="1" x14ac:dyDescent="0.3">
      <c r="B34" s="9" t="s">
        <v>16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2:13" ht="15" customHeight="1" x14ac:dyDescent="0.3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</row>
    <row r="36" spans="2:13" ht="13.5" customHeight="1" x14ac:dyDescent="0.3">
      <c r="B36" s="11" t="s">
        <v>17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</row>
    <row r="37" spans="2:13" ht="15" customHeight="1" x14ac:dyDescent="0.3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</row>
    <row r="38" spans="2:13" ht="15.75" customHeight="1" x14ac:dyDescent="0.3">
      <c r="B38" s="41" t="s">
        <v>18</v>
      </c>
      <c r="C38" s="14" t="s">
        <v>4</v>
      </c>
      <c r="D38" s="42">
        <v>0.255</v>
      </c>
      <c r="E38" s="42">
        <v>0.27</v>
      </c>
      <c r="F38" s="42">
        <v>0.28999999999999998</v>
      </c>
      <c r="G38" s="42">
        <v>0.28499999999999998</v>
      </c>
      <c r="H38" s="42">
        <v>0.28000000000000003</v>
      </c>
      <c r="I38" s="42">
        <v>0.27500000000000002</v>
      </c>
      <c r="J38" s="42">
        <v>0.27</v>
      </c>
      <c r="K38" s="42">
        <v>0.26500000000000001</v>
      </c>
      <c r="L38" s="39"/>
      <c r="M38" s="39"/>
    </row>
    <row r="39" spans="2:13" ht="15.75" customHeight="1" x14ac:dyDescent="0.3">
      <c r="B39" s="39"/>
      <c r="C39" s="14" t="s">
        <v>11</v>
      </c>
      <c r="D39" s="42">
        <v>0.255</v>
      </c>
      <c r="E39" s="42">
        <v>0.27</v>
      </c>
      <c r="F39" s="42">
        <v>0.28999999999999998</v>
      </c>
      <c r="G39" s="42">
        <v>0.28000000000000003</v>
      </c>
      <c r="H39" s="42">
        <v>0.27500000000000002</v>
      </c>
      <c r="I39" s="42">
        <v>0.27</v>
      </c>
      <c r="J39" s="42">
        <v>0.26500000000000001</v>
      </c>
      <c r="K39" s="42">
        <v>0.26</v>
      </c>
      <c r="L39" s="39"/>
      <c r="M39" s="39"/>
    </row>
    <row r="40" spans="2:13" ht="15.75" customHeight="1" x14ac:dyDescent="0.3">
      <c r="B40" s="39"/>
      <c r="C40" s="14" t="s">
        <v>12</v>
      </c>
      <c r="D40" s="42">
        <v>0.255</v>
      </c>
      <c r="E40" s="42">
        <v>0.27</v>
      </c>
      <c r="F40" s="42">
        <v>0.28999999999999998</v>
      </c>
      <c r="G40" s="42">
        <v>0.28999999999999998</v>
      </c>
      <c r="H40" s="42">
        <v>0.28499999999999998</v>
      </c>
      <c r="I40" s="42">
        <v>0.28000000000000003</v>
      </c>
      <c r="J40" s="42">
        <v>0.27500000000000002</v>
      </c>
      <c r="K40" s="42">
        <v>0.27</v>
      </c>
      <c r="L40" s="39"/>
      <c r="M40" s="39"/>
    </row>
    <row r="41" spans="2:13" ht="15" customHeight="1" x14ac:dyDescent="0.3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</row>
    <row r="42" spans="2:13" ht="15.75" customHeight="1" x14ac:dyDescent="0.3">
      <c r="B42" s="41" t="s">
        <v>19</v>
      </c>
      <c r="C42" s="14" t="s">
        <v>4</v>
      </c>
      <c r="D42" s="42">
        <v>0.11800000000000001</v>
      </c>
      <c r="E42" s="42">
        <v>0.125</v>
      </c>
      <c r="F42" s="42">
        <v>0.13</v>
      </c>
      <c r="G42" s="42">
        <v>0.125</v>
      </c>
      <c r="H42" s="42">
        <v>0.12</v>
      </c>
      <c r="I42" s="42">
        <v>0.115</v>
      </c>
      <c r="J42" s="42">
        <v>0.11</v>
      </c>
      <c r="K42" s="42">
        <v>0.105</v>
      </c>
      <c r="L42" s="39"/>
      <c r="M42" s="39"/>
    </row>
    <row r="43" spans="2:13" ht="15.75" customHeight="1" x14ac:dyDescent="0.3">
      <c r="B43" s="39"/>
      <c r="C43" s="14" t="s">
        <v>11</v>
      </c>
      <c r="D43" s="42">
        <v>0.11800000000000001</v>
      </c>
      <c r="E43" s="42">
        <v>0.125</v>
      </c>
      <c r="F43" s="42">
        <v>0.13</v>
      </c>
      <c r="G43" s="42">
        <v>0.12</v>
      </c>
      <c r="H43" s="42">
        <v>0.115</v>
      </c>
      <c r="I43" s="42">
        <v>0.11</v>
      </c>
      <c r="J43" s="42">
        <v>0.105</v>
      </c>
      <c r="K43" s="42">
        <v>0.1</v>
      </c>
      <c r="L43" s="39"/>
      <c r="M43" s="39"/>
    </row>
    <row r="44" spans="2:13" ht="15.75" customHeight="1" x14ac:dyDescent="0.3">
      <c r="B44" s="39"/>
      <c r="C44" s="14" t="s">
        <v>12</v>
      </c>
      <c r="D44" s="42">
        <v>0.11800000000000001</v>
      </c>
      <c r="E44" s="42">
        <v>0.125</v>
      </c>
      <c r="F44" s="42">
        <v>0.13</v>
      </c>
      <c r="G44" s="42">
        <v>0.13</v>
      </c>
      <c r="H44" s="42">
        <v>0.125</v>
      </c>
      <c r="I44" s="42">
        <v>0.12</v>
      </c>
      <c r="J44" s="42">
        <v>0.115</v>
      </c>
      <c r="K44" s="42">
        <v>0.11</v>
      </c>
      <c r="L44" s="39"/>
      <c r="M44" s="39"/>
    </row>
    <row r="45" spans="2:13" ht="15" customHeight="1" x14ac:dyDescent="0.3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</row>
    <row r="46" spans="2:13" ht="15.75" customHeight="1" x14ac:dyDescent="0.3">
      <c r="B46" s="41" t="s">
        <v>20</v>
      </c>
      <c r="C46" s="14" t="s">
        <v>4</v>
      </c>
      <c r="D46" s="42">
        <v>0.10199999999999999</v>
      </c>
      <c r="E46" s="42">
        <v>0.10800000000000001</v>
      </c>
      <c r="F46" s="42">
        <v>0.115</v>
      </c>
      <c r="G46" s="42">
        <v>0.11</v>
      </c>
      <c r="H46" s="42">
        <v>0.105</v>
      </c>
      <c r="I46" s="42">
        <v>0.1</v>
      </c>
      <c r="J46" s="42">
        <v>9.5000000000000001E-2</v>
      </c>
      <c r="K46" s="42">
        <v>0.09</v>
      </c>
      <c r="L46" s="39"/>
      <c r="M46" s="39"/>
    </row>
    <row r="47" spans="2:13" ht="15.75" customHeight="1" x14ac:dyDescent="0.3">
      <c r="B47" s="39"/>
      <c r="C47" s="14" t="s">
        <v>11</v>
      </c>
      <c r="D47" s="42">
        <v>0.10199999999999999</v>
      </c>
      <c r="E47" s="42">
        <v>0.10800000000000001</v>
      </c>
      <c r="F47" s="42">
        <v>0.115</v>
      </c>
      <c r="G47" s="42">
        <v>0.105</v>
      </c>
      <c r="H47" s="42">
        <v>0.1</v>
      </c>
      <c r="I47" s="42">
        <v>9.5000000000000001E-2</v>
      </c>
      <c r="J47" s="42">
        <v>0.09</v>
      </c>
      <c r="K47" s="42">
        <v>8.5000000000000006E-2</v>
      </c>
      <c r="L47" s="39"/>
      <c r="M47" s="39"/>
    </row>
    <row r="48" spans="2:13" ht="15.75" customHeight="1" x14ac:dyDescent="0.3">
      <c r="B48" s="39"/>
      <c r="C48" s="14" t="s">
        <v>12</v>
      </c>
      <c r="D48" s="42">
        <v>0.10199999999999999</v>
      </c>
      <c r="E48" s="42">
        <v>0.10800000000000001</v>
      </c>
      <c r="F48" s="42">
        <v>0.115</v>
      </c>
      <c r="G48" s="42">
        <v>0.115</v>
      </c>
      <c r="H48" s="42">
        <v>0.11</v>
      </c>
      <c r="I48" s="42">
        <v>0.105</v>
      </c>
      <c r="J48" s="42">
        <v>0.1</v>
      </c>
      <c r="K48" s="42">
        <v>9.5000000000000001E-2</v>
      </c>
      <c r="L48" s="39"/>
      <c r="M48" s="39"/>
    </row>
    <row r="49" spans="2:13" ht="15" customHeight="1" x14ac:dyDescent="0.3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</row>
    <row r="50" spans="2:13" ht="15.75" customHeight="1" x14ac:dyDescent="0.3">
      <c r="B50" s="41" t="s">
        <v>21</v>
      </c>
      <c r="C50" s="14" t="s">
        <v>4</v>
      </c>
      <c r="D50" s="42">
        <v>8.5000000000000006E-2</v>
      </c>
      <c r="E50" s="42">
        <v>0.10199999999999999</v>
      </c>
      <c r="F50" s="42">
        <v>0.11800000000000001</v>
      </c>
      <c r="G50" s="42">
        <v>0.11</v>
      </c>
      <c r="H50" s="42">
        <v>0.105</v>
      </c>
      <c r="I50" s="42">
        <v>0.1</v>
      </c>
      <c r="J50" s="42">
        <v>9.5000000000000001E-2</v>
      </c>
      <c r="K50" s="42">
        <v>0.09</v>
      </c>
      <c r="L50" s="39"/>
      <c r="M50" s="39"/>
    </row>
    <row r="51" spans="2:13" ht="15.75" customHeight="1" x14ac:dyDescent="0.3">
      <c r="B51" s="39"/>
      <c r="C51" s="14" t="s">
        <v>11</v>
      </c>
      <c r="D51" s="42">
        <v>8.5000000000000006E-2</v>
      </c>
      <c r="E51" s="42">
        <v>0.10199999999999999</v>
      </c>
      <c r="F51" s="42">
        <v>0.11800000000000001</v>
      </c>
      <c r="G51" s="42">
        <v>0.105</v>
      </c>
      <c r="H51" s="42">
        <v>0.1</v>
      </c>
      <c r="I51" s="42">
        <v>9.5000000000000001E-2</v>
      </c>
      <c r="J51" s="42">
        <v>0.09</v>
      </c>
      <c r="K51" s="42">
        <v>8.5000000000000006E-2</v>
      </c>
      <c r="L51" s="39"/>
      <c r="M51" s="39"/>
    </row>
    <row r="52" spans="2:13" ht="15.75" customHeight="1" x14ac:dyDescent="0.3">
      <c r="B52" s="39"/>
      <c r="C52" s="14" t="s">
        <v>12</v>
      </c>
      <c r="D52" s="42">
        <v>8.5000000000000006E-2</v>
      </c>
      <c r="E52" s="42">
        <v>0.10199999999999999</v>
      </c>
      <c r="F52" s="42">
        <v>0.11800000000000001</v>
      </c>
      <c r="G52" s="42">
        <v>0.115</v>
      </c>
      <c r="H52" s="42">
        <v>0.11</v>
      </c>
      <c r="I52" s="42">
        <v>0.105</v>
      </c>
      <c r="J52" s="42">
        <v>0.1</v>
      </c>
      <c r="K52" s="42">
        <v>9.5000000000000001E-2</v>
      </c>
      <c r="L52" s="39"/>
      <c r="M52" s="39"/>
    </row>
    <row r="53" spans="2:13" ht="15" customHeight="1" x14ac:dyDescent="0.3"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</row>
    <row r="54" spans="2:13" ht="15" customHeight="1" x14ac:dyDescent="0.3">
      <c r="B54" s="9" t="s">
        <v>22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2:13" ht="15" customHeight="1" x14ac:dyDescent="0.3"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</row>
    <row r="56" spans="2:13" ht="13.5" customHeight="1" x14ac:dyDescent="0.3">
      <c r="B56" s="11" t="s">
        <v>23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</row>
    <row r="57" spans="2:13" ht="15" customHeight="1" x14ac:dyDescent="0.3"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</row>
    <row r="58" spans="2:13" ht="15.75" customHeight="1" x14ac:dyDescent="0.3">
      <c r="B58" s="41" t="s">
        <v>24</v>
      </c>
      <c r="C58" s="14" t="s">
        <v>4</v>
      </c>
      <c r="D58" s="43">
        <v>55</v>
      </c>
      <c r="E58" s="43">
        <v>53</v>
      </c>
      <c r="F58" s="43">
        <v>51</v>
      </c>
      <c r="G58" s="43">
        <v>50</v>
      </c>
      <c r="H58" s="43">
        <v>49</v>
      </c>
      <c r="I58" s="43">
        <v>48</v>
      </c>
      <c r="J58" s="43">
        <v>47</v>
      </c>
      <c r="K58" s="43">
        <v>46</v>
      </c>
      <c r="L58" s="39"/>
      <c r="M58" s="39"/>
    </row>
    <row r="59" spans="2:13" ht="15.75" customHeight="1" x14ac:dyDescent="0.3">
      <c r="B59" s="39"/>
      <c r="C59" s="14" t="s">
        <v>11</v>
      </c>
      <c r="D59" s="43">
        <v>55</v>
      </c>
      <c r="E59" s="43">
        <v>53</v>
      </c>
      <c r="F59" s="43">
        <v>51</v>
      </c>
      <c r="G59" s="43">
        <v>49</v>
      </c>
      <c r="H59" s="43">
        <v>47</v>
      </c>
      <c r="I59" s="43">
        <v>46</v>
      </c>
      <c r="J59" s="43">
        <v>45</v>
      </c>
      <c r="K59" s="43">
        <v>44</v>
      </c>
      <c r="L59" s="39"/>
      <c r="M59" s="39"/>
    </row>
    <row r="60" spans="2:13" ht="15.75" customHeight="1" x14ac:dyDescent="0.3">
      <c r="B60" s="39"/>
      <c r="C60" s="14" t="s">
        <v>12</v>
      </c>
      <c r="D60" s="43">
        <v>55</v>
      </c>
      <c r="E60" s="43">
        <v>53</v>
      </c>
      <c r="F60" s="43">
        <v>51</v>
      </c>
      <c r="G60" s="43">
        <v>52</v>
      </c>
      <c r="H60" s="43">
        <v>51</v>
      </c>
      <c r="I60" s="43">
        <v>50</v>
      </c>
      <c r="J60" s="43">
        <v>49</v>
      </c>
      <c r="K60" s="43">
        <v>48</v>
      </c>
      <c r="L60" s="39"/>
      <c r="M60" s="39"/>
    </row>
    <row r="61" spans="2:13" ht="15" customHeight="1" x14ac:dyDescent="0.3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</row>
    <row r="62" spans="2:13" ht="15.75" customHeight="1" x14ac:dyDescent="0.3">
      <c r="B62" s="41" t="s">
        <v>25</v>
      </c>
      <c r="C62" s="14" t="s">
        <v>4</v>
      </c>
      <c r="D62" s="43">
        <v>28</v>
      </c>
      <c r="E62" s="43">
        <v>30</v>
      </c>
      <c r="F62" s="43">
        <v>32</v>
      </c>
      <c r="G62" s="43">
        <v>33</v>
      </c>
      <c r="H62" s="43">
        <v>34</v>
      </c>
      <c r="I62" s="43">
        <v>35</v>
      </c>
      <c r="J62" s="43">
        <v>36</v>
      </c>
      <c r="K62" s="43">
        <v>37</v>
      </c>
      <c r="L62" s="39"/>
      <c r="M62" s="39"/>
    </row>
    <row r="63" spans="2:13" ht="15.75" customHeight="1" x14ac:dyDescent="0.3">
      <c r="B63" s="39"/>
      <c r="C63" s="14" t="s">
        <v>11</v>
      </c>
      <c r="D63" s="43">
        <v>28</v>
      </c>
      <c r="E63" s="43">
        <v>30</v>
      </c>
      <c r="F63" s="43">
        <v>32</v>
      </c>
      <c r="G63" s="43">
        <v>34</v>
      </c>
      <c r="H63" s="43">
        <v>36</v>
      </c>
      <c r="I63" s="43">
        <v>37</v>
      </c>
      <c r="J63" s="43">
        <v>38</v>
      </c>
      <c r="K63" s="43">
        <v>39</v>
      </c>
      <c r="L63" s="39"/>
      <c r="M63" s="39"/>
    </row>
    <row r="64" spans="2:13" ht="15.75" customHeight="1" x14ac:dyDescent="0.3">
      <c r="B64" s="39"/>
      <c r="C64" s="14" t="s">
        <v>12</v>
      </c>
      <c r="D64" s="43">
        <v>28</v>
      </c>
      <c r="E64" s="43">
        <v>30</v>
      </c>
      <c r="F64" s="43">
        <v>32</v>
      </c>
      <c r="G64" s="43">
        <v>32</v>
      </c>
      <c r="H64" s="43">
        <v>32</v>
      </c>
      <c r="I64" s="43">
        <v>33</v>
      </c>
      <c r="J64" s="43">
        <v>34</v>
      </c>
      <c r="K64" s="43">
        <v>35</v>
      </c>
      <c r="L64" s="39"/>
      <c r="M64" s="39"/>
    </row>
    <row r="65" spans="2:13" ht="15" customHeight="1" x14ac:dyDescent="0.3"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</row>
    <row r="66" spans="2:13" ht="15" customHeight="1" x14ac:dyDescent="0.3"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</row>
    <row r="67" spans="2:13" ht="13.5" customHeight="1" x14ac:dyDescent="0.3">
      <c r="B67" s="11" t="s">
        <v>26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</row>
    <row r="68" spans="2:13" ht="15" customHeight="1" x14ac:dyDescent="0.3"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</row>
    <row r="69" spans="2:13" ht="15.75" customHeight="1" x14ac:dyDescent="0.3">
      <c r="B69" s="41" t="s">
        <v>27</v>
      </c>
      <c r="C69" s="14" t="s">
        <v>4</v>
      </c>
      <c r="D69" s="42">
        <v>0.185</v>
      </c>
      <c r="E69" s="42">
        <v>0.22</v>
      </c>
      <c r="F69" s="42">
        <v>0.245</v>
      </c>
      <c r="G69" s="42">
        <v>0.23</v>
      </c>
      <c r="H69" s="42">
        <v>0.215</v>
      </c>
      <c r="I69" s="42">
        <v>0.2</v>
      </c>
      <c r="J69" s="42">
        <v>0.19</v>
      </c>
      <c r="K69" s="42">
        <v>0.18</v>
      </c>
      <c r="L69" s="39"/>
      <c r="M69" s="39"/>
    </row>
    <row r="70" spans="2:13" ht="15.75" customHeight="1" x14ac:dyDescent="0.3">
      <c r="B70" s="39"/>
      <c r="C70" s="14" t="s">
        <v>11</v>
      </c>
      <c r="D70" s="42">
        <v>0.185</v>
      </c>
      <c r="E70" s="42">
        <v>0.22</v>
      </c>
      <c r="F70" s="42">
        <v>0.245</v>
      </c>
      <c r="G70" s="42">
        <v>0.22</v>
      </c>
      <c r="H70" s="42">
        <v>0.20499999999999999</v>
      </c>
      <c r="I70" s="42">
        <v>0.19</v>
      </c>
      <c r="J70" s="42">
        <v>0.18</v>
      </c>
      <c r="K70" s="42">
        <v>0.17</v>
      </c>
      <c r="L70" s="39"/>
      <c r="M70" s="39"/>
    </row>
    <row r="71" spans="2:13" ht="15.75" customHeight="1" x14ac:dyDescent="0.3">
      <c r="B71" s="39"/>
      <c r="C71" s="14" t="s">
        <v>12</v>
      </c>
      <c r="D71" s="42">
        <v>0.185</v>
      </c>
      <c r="E71" s="42">
        <v>0.22</v>
      </c>
      <c r="F71" s="42">
        <v>0.245</v>
      </c>
      <c r="G71" s="42">
        <v>0.24</v>
      </c>
      <c r="H71" s="42">
        <v>0.22500000000000001</v>
      </c>
      <c r="I71" s="42">
        <v>0.21</v>
      </c>
      <c r="J71" s="42">
        <v>0.2</v>
      </c>
      <c r="K71" s="42">
        <v>0.19</v>
      </c>
      <c r="L71" s="39"/>
      <c r="M71" s="39"/>
    </row>
    <row r="72" spans="2:13" ht="15" customHeight="1" x14ac:dyDescent="0.3"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</row>
    <row r="73" spans="2:13" ht="15.75" customHeight="1" x14ac:dyDescent="0.3">
      <c r="B73" s="41" t="s">
        <v>28</v>
      </c>
      <c r="C73" s="14" t="s">
        <v>4</v>
      </c>
      <c r="D73" s="42">
        <v>0.65</v>
      </c>
      <c r="E73" s="42">
        <v>0.65</v>
      </c>
      <c r="F73" s="42">
        <v>0.65</v>
      </c>
      <c r="G73" s="42">
        <v>0.65</v>
      </c>
      <c r="H73" s="42">
        <v>0.65</v>
      </c>
      <c r="I73" s="42">
        <v>0.65</v>
      </c>
      <c r="J73" s="42">
        <v>0.65</v>
      </c>
      <c r="K73" s="42">
        <v>0.65</v>
      </c>
      <c r="L73" s="39"/>
      <c r="M73" s="39"/>
    </row>
    <row r="74" spans="2:13" ht="15.75" customHeight="1" x14ac:dyDescent="0.3">
      <c r="B74" s="39"/>
      <c r="C74" s="14" t="s">
        <v>11</v>
      </c>
      <c r="D74" s="42">
        <v>0.65</v>
      </c>
      <c r="E74" s="42">
        <v>0.65</v>
      </c>
      <c r="F74" s="42">
        <v>0.65</v>
      </c>
      <c r="G74" s="42">
        <v>0.63</v>
      </c>
      <c r="H74" s="42">
        <v>0.63</v>
      </c>
      <c r="I74" s="42">
        <v>0.63</v>
      </c>
      <c r="J74" s="42">
        <v>0.63</v>
      </c>
      <c r="K74" s="42">
        <v>0.63</v>
      </c>
      <c r="L74" s="39"/>
      <c r="M74" s="39"/>
    </row>
    <row r="75" spans="2:13" ht="15.75" customHeight="1" x14ac:dyDescent="0.3">
      <c r="B75" s="39"/>
      <c r="C75" s="14" t="s">
        <v>12</v>
      </c>
      <c r="D75" s="42">
        <v>0.65</v>
      </c>
      <c r="E75" s="42">
        <v>0.65</v>
      </c>
      <c r="F75" s="42">
        <v>0.65</v>
      </c>
      <c r="G75" s="42">
        <v>0.67</v>
      </c>
      <c r="H75" s="42">
        <v>0.67</v>
      </c>
      <c r="I75" s="42">
        <v>0.67</v>
      </c>
      <c r="J75" s="42">
        <v>0.67</v>
      </c>
      <c r="K75" s="42">
        <v>0.67</v>
      </c>
      <c r="L75" s="39"/>
      <c r="M75" s="39"/>
    </row>
    <row r="76" spans="2:13" ht="15" customHeight="1" x14ac:dyDescent="0.3"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</row>
    <row r="77" spans="2:13" ht="15" customHeight="1" x14ac:dyDescent="0.3">
      <c r="B77" s="9" t="s">
        <v>29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</row>
    <row r="78" spans="2:13" ht="15" customHeight="1" x14ac:dyDescent="0.3"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</row>
    <row r="79" spans="2:13" ht="13.5" customHeight="1" x14ac:dyDescent="0.3">
      <c r="B79" s="11" t="s">
        <v>30</v>
      </c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</row>
    <row r="80" spans="2:13" ht="15" customHeight="1" x14ac:dyDescent="0.3"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</row>
    <row r="81" spans="2:13" ht="15.75" customHeight="1" x14ac:dyDescent="0.3">
      <c r="B81" s="41" t="s">
        <v>31</v>
      </c>
      <c r="C81" s="14" t="s">
        <v>4</v>
      </c>
      <c r="D81" s="42">
        <v>0.17499999999999999</v>
      </c>
      <c r="E81" s="42">
        <v>0.19</v>
      </c>
      <c r="F81" s="42">
        <v>0.185</v>
      </c>
      <c r="G81" s="42">
        <v>0.19</v>
      </c>
      <c r="H81" s="42">
        <v>0.19500000000000001</v>
      </c>
      <c r="I81" s="42">
        <v>0.2</v>
      </c>
      <c r="J81" s="42">
        <v>0.20499999999999999</v>
      </c>
      <c r="K81" s="42">
        <v>0.21</v>
      </c>
      <c r="L81" s="39"/>
      <c r="M81" s="39"/>
    </row>
    <row r="82" spans="2:13" ht="15.75" customHeight="1" x14ac:dyDescent="0.3">
      <c r="B82" s="39"/>
      <c r="C82" s="14" t="s">
        <v>11</v>
      </c>
      <c r="D82" s="42">
        <v>0.17499999999999999</v>
      </c>
      <c r="E82" s="42">
        <v>0.19</v>
      </c>
      <c r="F82" s="42">
        <v>0.185</v>
      </c>
      <c r="G82" s="42">
        <v>0.185</v>
      </c>
      <c r="H82" s="42">
        <v>0.19</v>
      </c>
      <c r="I82" s="42">
        <v>0.19500000000000001</v>
      </c>
      <c r="J82" s="42">
        <v>0.2</v>
      </c>
      <c r="K82" s="42">
        <v>0.20499999999999999</v>
      </c>
      <c r="L82" s="39"/>
      <c r="M82" s="39"/>
    </row>
    <row r="83" spans="2:13" ht="15.75" customHeight="1" x14ac:dyDescent="0.3">
      <c r="B83" s="39"/>
      <c r="C83" s="14" t="s">
        <v>12</v>
      </c>
      <c r="D83" s="42">
        <v>0.17499999999999999</v>
      </c>
      <c r="E83" s="42">
        <v>0.19</v>
      </c>
      <c r="F83" s="42">
        <v>0.185</v>
      </c>
      <c r="G83" s="42">
        <v>0.19500000000000001</v>
      </c>
      <c r="H83" s="42">
        <v>0.2</v>
      </c>
      <c r="I83" s="42">
        <v>0.20499999999999999</v>
      </c>
      <c r="J83" s="42">
        <v>0.21</v>
      </c>
      <c r="K83" s="42">
        <v>0.215</v>
      </c>
      <c r="L83" s="39"/>
      <c r="M83" s="39"/>
    </row>
    <row r="84" spans="2:13" ht="15" customHeight="1" x14ac:dyDescent="0.3"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</row>
    <row r="85" spans="2:13" ht="15" customHeight="1" x14ac:dyDescent="0.3"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</row>
    <row r="86" spans="2:13" ht="13.5" customHeight="1" x14ac:dyDescent="0.3">
      <c r="B86" s="11" t="s">
        <v>32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</row>
    <row r="87" spans="2:13" ht="15" customHeight="1" x14ac:dyDescent="0.3"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</row>
    <row r="88" spans="2:13" ht="15.75" customHeight="1" x14ac:dyDescent="0.3">
      <c r="B88" s="41" t="s">
        <v>33</v>
      </c>
      <c r="C88" s="14" t="s">
        <v>4</v>
      </c>
      <c r="D88" s="42">
        <v>1.2E-2</v>
      </c>
      <c r="E88" s="42">
        <v>0.02</v>
      </c>
      <c r="F88" s="42">
        <v>3.5000000000000003E-2</v>
      </c>
      <c r="G88" s="42">
        <v>0.04</v>
      </c>
      <c r="H88" s="42">
        <v>3.5000000000000003E-2</v>
      </c>
      <c r="I88" s="42">
        <v>0.03</v>
      </c>
      <c r="J88" s="42">
        <v>2.5000000000000001E-2</v>
      </c>
      <c r="K88" s="42">
        <v>2.5000000000000001E-2</v>
      </c>
      <c r="L88" s="39"/>
      <c r="M88" s="39"/>
    </row>
    <row r="89" spans="2:13" ht="15.75" customHeight="1" x14ac:dyDescent="0.3">
      <c r="B89" s="39"/>
      <c r="C89" s="14" t="s">
        <v>11</v>
      </c>
      <c r="D89" s="42">
        <v>1.2E-2</v>
      </c>
      <c r="E89" s="42">
        <v>0.02</v>
      </c>
      <c r="F89" s="42">
        <v>3.5000000000000003E-2</v>
      </c>
      <c r="G89" s="42">
        <v>4.4999999999999998E-2</v>
      </c>
      <c r="H89" s="42">
        <v>0.04</v>
      </c>
      <c r="I89" s="42">
        <v>3.5000000000000003E-2</v>
      </c>
      <c r="J89" s="42">
        <v>0.03</v>
      </c>
      <c r="K89" s="42">
        <v>0.03</v>
      </c>
      <c r="L89" s="39"/>
      <c r="M89" s="39"/>
    </row>
    <row r="90" spans="2:13" ht="15.75" customHeight="1" x14ac:dyDescent="0.3">
      <c r="B90" s="39"/>
      <c r="C90" s="14" t="s">
        <v>12</v>
      </c>
      <c r="D90" s="42">
        <v>1.2E-2</v>
      </c>
      <c r="E90" s="42">
        <v>0.02</v>
      </c>
      <c r="F90" s="42">
        <v>3.5000000000000003E-2</v>
      </c>
      <c r="G90" s="42">
        <v>3.5000000000000003E-2</v>
      </c>
      <c r="H90" s="42">
        <v>0.03</v>
      </c>
      <c r="I90" s="42">
        <v>2.5000000000000001E-2</v>
      </c>
      <c r="J90" s="42">
        <v>0.02</v>
      </c>
      <c r="K90" s="42">
        <v>0.02</v>
      </c>
      <c r="L90" s="39"/>
      <c r="M90" s="39"/>
    </row>
    <row r="91" spans="2:13" ht="15" customHeight="1" x14ac:dyDescent="0.3"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</row>
    <row r="92" spans="2:13" ht="15" customHeight="1" x14ac:dyDescent="0.3"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spans="2:13" ht="13.5" customHeight="1" x14ac:dyDescent="0.3">
      <c r="B93" s="11" t="s">
        <v>42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spans="2:13" ht="15" customHeight="1" x14ac:dyDescent="0.3"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</row>
    <row r="95" spans="2:13" ht="15.75" customHeight="1" x14ac:dyDescent="0.3">
      <c r="B95" s="41" t="s">
        <v>35</v>
      </c>
      <c r="C95" s="14" t="s">
        <v>4</v>
      </c>
      <c r="D95" s="42">
        <v>0.6</v>
      </c>
      <c r="E95" s="42">
        <v>0.65</v>
      </c>
      <c r="F95" s="42">
        <v>0.7</v>
      </c>
      <c r="G95" s="42">
        <v>0.65</v>
      </c>
      <c r="H95" s="42">
        <v>0.65</v>
      </c>
      <c r="I95" s="42">
        <v>0.6</v>
      </c>
      <c r="J95" s="42">
        <v>0.6</v>
      </c>
      <c r="K95" s="42">
        <v>0.55000000000000004</v>
      </c>
      <c r="L95" s="39"/>
      <c r="M95" s="39"/>
    </row>
    <row r="96" spans="2:13" ht="15.75" customHeight="1" x14ac:dyDescent="0.3">
      <c r="B96" s="39"/>
      <c r="C96" s="14" t="s">
        <v>11</v>
      </c>
      <c r="D96" s="42">
        <v>0.6</v>
      </c>
      <c r="E96" s="42">
        <v>0.65</v>
      </c>
      <c r="F96" s="42">
        <v>0.7</v>
      </c>
      <c r="G96" s="42">
        <v>0.7</v>
      </c>
      <c r="H96" s="42">
        <v>0.7</v>
      </c>
      <c r="I96" s="42">
        <v>0.65</v>
      </c>
      <c r="J96" s="42">
        <v>0.65</v>
      </c>
      <c r="K96" s="42">
        <v>0.6</v>
      </c>
      <c r="L96" s="39"/>
      <c r="M96" s="39"/>
    </row>
    <row r="97" spans="2:13" ht="15.75" customHeight="1" x14ac:dyDescent="0.3">
      <c r="B97" s="39"/>
      <c r="C97" s="14" t="s">
        <v>12</v>
      </c>
      <c r="D97" s="42">
        <v>0.6</v>
      </c>
      <c r="E97" s="42">
        <v>0.65</v>
      </c>
      <c r="F97" s="42">
        <v>0.7</v>
      </c>
      <c r="G97" s="42">
        <v>0.6</v>
      </c>
      <c r="H97" s="42">
        <v>0.6</v>
      </c>
      <c r="I97" s="42">
        <v>0.55000000000000004</v>
      </c>
      <c r="J97" s="42">
        <v>0.55000000000000004</v>
      </c>
      <c r="K97" s="42">
        <v>0.5</v>
      </c>
      <c r="L97" s="39"/>
      <c r="M97" s="39"/>
    </row>
    <row r="98" spans="2:13" ht="15" customHeight="1" x14ac:dyDescent="0.3"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</row>
    <row r="99" spans="2:13" ht="15.75" customHeight="1" x14ac:dyDescent="0.3">
      <c r="B99" s="41" t="s">
        <v>43</v>
      </c>
      <c r="C99" s="14" t="s">
        <v>4</v>
      </c>
      <c r="D99" s="42">
        <v>0</v>
      </c>
      <c r="E99" s="42">
        <v>0</v>
      </c>
      <c r="F99" s="42">
        <v>0.02</v>
      </c>
      <c r="G99" s="42">
        <v>0.03</v>
      </c>
      <c r="H99" s="42">
        <v>0.04</v>
      </c>
      <c r="I99" s="42">
        <v>0.05</v>
      </c>
      <c r="J99" s="42">
        <v>0.06</v>
      </c>
      <c r="K99" s="42">
        <v>7.0000000000000007E-2</v>
      </c>
      <c r="L99" s="39"/>
      <c r="M99" s="39"/>
    </row>
    <row r="100" spans="2:13" ht="15.75" customHeight="1" x14ac:dyDescent="0.3">
      <c r="B100" s="39"/>
      <c r="C100" s="14" t="s">
        <v>11</v>
      </c>
      <c r="D100" s="42">
        <v>0</v>
      </c>
      <c r="E100" s="42">
        <v>0</v>
      </c>
      <c r="F100" s="42">
        <v>0.02</v>
      </c>
      <c r="G100" s="42">
        <v>0.04</v>
      </c>
      <c r="H100" s="42">
        <v>0.05</v>
      </c>
      <c r="I100" s="42">
        <v>0.06</v>
      </c>
      <c r="J100" s="42">
        <v>7.0000000000000007E-2</v>
      </c>
      <c r="K100" s="42">
        <v>0.08</v>
      </c>
      <c r="L100" s="39"/>
      <c r="M100" s="39"/>
    </row>
    <row r="101" spans="2:13" ht="15.75" customHeight="1" x14ac:dyDescent="0.3">
      <c r="B101" s="44"/>
      <c r="C101" s="18" t="s">
        <v>12</v>
      </c>
      <c r="D101" s="45">
        <v>0</v>
      </c>
      <c r="E101" s="45">
        <v>0</v>
      </c>
      <c r="F101" s="45">
        <v>0.02</v>
      </c>
      <c r="G101" s="45">
        <v>0.02</v>
      </c>
      <c r="H101" s="45">
        <v>0.03</v>
      </c>
      <c r="I101" s="45">
        <v>0.04</v>
      </c>
      <c r="J101" s="45">
        <v>0.05</v>
      </c>
      <c r="K101" s="45">
        <v>0.06</v>
      </c>
      <c r="L101" s="39"/>
      <c r="M101" s="39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E65-86DE-4BCA-8EE2-B52807007B08}">
  <dimension ref="B2:J45"/>
  <sheetViews>
    <sheetView showGridLines="0" topLeftCell="B21" zoomScaleNormal="100" workbookViewId="0">
      <selection activeCell="C45" sqref="C45:J45"/>
    </sheetView>
  </sheetViews>
  <sheetFormatPr defaultColWidth="7.69921875" defaultRowHeight="15" customHeight="1" x14ac:dyDescent="0.3"/>
  <cols>
    <col min="2" max="2" width="22.5" customWidth="1"/>
    <col min="3" max="10" width="10" customWidth="1"/>
  </cols>
  <sheetData>
    <row r="2" spans="2:10" ht="18" customHeight="1" x14ac:dyDescent="0.3">
      <c r="B2" s="20" t="s">
        <v>44</v>
      </c>
    </row>
    <row r="3" spans="2:10" ht="13.5" customHeight="1" x14ac:dyDescent="0.3">
      <c r="B3" s="21" t="s">
        <v>45</v>
      </c>
    </row>
    <row r="5" spans="2:10" ht="15.75" customHeight="1" x14ac:dyDescent="0.3">
      <c r="B5" t="s">
        <v>3</v>
      </c>
      <c r="D5" s="23" t="str" cm="1">
        <f t="array" ref="D5">'Company1153 Assumptions'!D6</f>
      </c>
    </row>
    <row r="7" spans="2:10" ht="13.5" customHeight="1" x14ac:dyDescent="0.3">
      <c r="B7" s="7" t="s">
        <v>5</v>
      </c>
      <c r="C7" s="7"/>
      <c r="D7" s="7"/>
      <c r="E7" s="7"/>
      <c r="F7" s="7" t="s">
        <v>6</v>
      </c>
      <c r="G7" s="7"/>
      <c r="H7" s="7"/>
      <c r="I7" s="7"/>
      <c r="J7" s="7"/>
    </row>
    <row r="8" spans="2:10" ht="13.5" customHeight="1" x14ac:dyDescent="0.3">
      <c r="C8" s="22">
        <v>2021</v>
      </c>
      <c r="D8" s="22">
        <v>2022</v>
      </c>
      <c r="E8" s="22">
        <v>2023</v>
      </c>
      <c r="F8" s="22">
        <v>2024</v>
      </c>
      <c r="G8" s="22">
        <v>2025</v>
      </c>
      <c r="H8" s="22">
        <v>2026</v>
      </c>
      <c r="I8" s="22">
        <v>2027</v>
      </c>
      <c r="J8" s="22">
        <v>2028</v>
      </c>
    </row>
    <row r="10" spans="2:10" ht="15" customHeight="1" x14ac:dyDescent="0.3">
      <c r="B10" s="10" t="s">
        <v>46</v>
      </c>
      <c r="C10" s="10"/>
      <c r="D10" s="10"/>
      <c r="E10" s="10"/>
      <c r="F10" s="10"/>
      <c r="G10" s="10"/>
      <c r="H10" s="10"/>
      <c r="I10" s="10"/>
      <c r="J10" s="10"/>
    </row>
    <row r="12" spans="2:10" ht="15.75" customHeight="1" x14ac:dyDescent="0.3">
      <c r="B12" s="13" t="s">
        <v>10</v>
      </c>
      <c r="C12" s="24">
        <v>148951</v>
      </c>
      <c r="D12" s="24">
        <v>162450</v>
      </c>
      <c r="E12" s="24">
        <v>175033</v>
      </c>
      <c r="F12" s="25">
        <f>E12*(1+INDEX('Company1153 Assumptions'!G$15:G$17,MATCH($D$5,'Company1153 Assumptions'!$C$15:$C$17,0)))</f>
      </c>
      <c r="G12" s="25">
        <f>F12*(1+INDEX('Company1153 Assumptions'!H$15:H$17,MATCH($D$5,'Company1153 Assumptions'!$C$15:$C$17,0)))</f>
      </c>
      <c r="H12" s="25">
        <f>G12*(1+INDEX('Company1153 Assumptions'!I$15:I$17,MATCH($D$5,'Company1153 Assumptions'!$C$15:$C$17,0)))</f>
      </c>
      <c r="I12" s="25">
        <f>H12*(1+INDEX('Company1153 Assumptions'!J$15:J$17,MATCH($D$5,'Company1153 Assumptions'!$C$15:$C$17,0)))</f>
      </c>
      <c r="J12" s="25">
        <f>I12*(1+INDEX('Company1153 Assumptions'!K$15:K$17,MATCH($D$5,'Company1153 Assumptions'!$C$15:$C$17,0)))</f>
      </c>
    </row>
    <row r="13" spans="2:10" ht="15.75" customHeight="1" x14ac:dyDescent="0.3">
      <c r="B13" s="13" t="s">
        <v>13</v>
      </c>
      <c r="C13" s="24">
        <v>28845</v>
      </c>
      <c r="D13" s="24">
        <v>29243</v>
      </c>
      <c r="E13" s="24">
        <v>31865</v>
      </c>
      <c r="F13" s="25">
        <f>E13*(1+INDEX('Company1153 Assumptions'!G$19:G$21,MATCH($D$5,'Company1153 Assumptions'!$C$19:$C$21,0)))</f>
      </c>
      <c r="G13" s="25">
        <f>F13*(1+INDEX('Company1153 Assumptions'!H$19:H$21,MATCH($D$5,'Company1153 Assumptions'!$C$19:$C$21,0)))</f>
      </c>
      <c r="H13" s="25">
        <f>G13*(1+INDEX('Company1153 Assumptions'!I$19:I$21,MATCH($D$5,'Company1153 Assumptions'!$C$19:$C$21,0)))</f>
      </c>
      <c r="I13" s="25">
        <f>H13*(1+INDEX('Company1153 Assumptions'!J$19:J$21,MATCH($D$5,'Company1153 Assumptions'!$C$19:$C$21,0)))</f>
      </c>
      <c r="J13" s="25">
        <f>I13*(1+INDEX('Company1153 Assumptions'!K$19:K$21,MATCH($D$5,'Company1153 Assumptions'!$C$19:$C$21,0)))</f>
      </c>
    </row>
    <row r="14" spans="2:10" ht="15.75" customHeight="1" x14ac:dyDescent="0.3">
      <c r="B14" s="13" t="s">
        <v>14</v>
      </c>
      <c r="C14" s="24">
        <v>13059</v>
      </c>
      <c r="D14" s="24">
        <v>19206</v>
      </c>
      <c r="E14" s="24">
        <v>26280</v>
      </c>
      <c r="F14" s="25">
        <f>E14*(1+INDEX('Company1153 Assumptions'!G$23:G$25,MATCH($D$5,'Company1153 Assumptions'!$C$23:$C$25,0)))</f>
      </c>
      <c r="G14" s="25">
        <f>F14*(1+INDEX('Company1153 Assumptions'!H$23:H$25,MATCH($D$5,'Company1153 Assumptions'!$C$23:$C$25,0)))</f>
      </c>
      <c r="H14" s="25">
        <f>G14*(1+INDEX('Company1153 Assumptions'!I$23:I$25,MATCH($D$5,'Company1153 Assumptions'!$C$23:$C$25,0)))</f>
      </c>
      <c r="I14" s="25">
        <f>H14*(1+INDEX('Company1153 Assumptions'!J$23:J$25,MATCH($D$5,'Company1153 Assumptions'!$C$23:$C$25,0)))</f>
      </c>
      <c r="J14" s="25">
        <f>I14*(1+INDEX('Company1153 Assumptions'!K$23:K$25,MATCH($D$5,'Company1153 Assumptions'!$C$23:$C$25,0)))</f>
      </c>
    </row>
    <row r="15" spans="2:10" ht="15.75" customHeight="1" x14ac:dyDescent="0.3">
      <c r="B15" s="13" t="s">
        <v>15</v>
      </c>
      <c r="C15" s="24">
        <v>28032</v>
      </c>
      <c r="D15" s="24">
        <v>29071</v>
      </c>
      <c r="E15" s="24">
        <v>30300</v>
      </c>
      <c r="F15" s="25">
        <f>E15*(1+INDEX('Company1153 Assumptions'!G$27:G$29,MATCH($D$5,'Company1153 Assumptions'!$C$27:$C$29,0)))</f>
      </c>
      <c r="G15" s="25">
        <f>F15*(1+INDEX('Company1153 Assumptions'!H$27:H$29,MATCH($D$5,'Company1153 Assumptions'!$C$27:$C$29,0)))</f>
      </c>
      <c r="H15" s="25">
        <f>G15*(1+INDEX('Company1153 Assumptions'!I$27:I$29,MATCH($D$5,'Company1153 Assumptions'!$C$27:$C$29,0)))</f>
      </c>
      <c r="I15" s="25">
        <f>H15*(1+INDEX('Company1153 Assumptions'!J$27:J$29,MATCH($D$5,'Company1153 Assumptions'!$C$27:$C$29,0)))</f>
      </c>
      <c r="J15" s="25">
        <f>I15*(1+INDEX('Company1153 Assumptions'!K$27:K$29,MATCH($D$5,'Company1153 Assumptions'!$C$27:$C$29,0)))</f>
      </c>
    </row>
    <row r="16" spans="2:10" ht="15.75" customHeight="1" x14ac:dyDescent="0.3">
      <c r="B16" s="26" t="s">
        <v>47</v>
      </c>
      <c r="C16" s="27">
        <f t="shared" ref="C16:J29" si="0">SUM(C12:C15)</f>
      </c>
      <c r="D16" s="27">
        <f t="shared" si="0"/>
      </c>
      <c r="E16" s="27">
        <f t="shared" si="0"/>
      </c>
      <c r="F16" s="27">
        <f t="shared" si="0"/>
      </c>
      <c r="G16" s="27">
        <f t="shared" si="0"/>
      </c>
      <c r="H16" s="27">
        <f t="shared" si="0"/>
      </c>
      <c r="I16" s="27">
        <f t="shared" si="0"/>
      </c>
      <c r="J16" s="27">
        <f t="shared" si="0"/>
      </c>
    </row>
    <row r="17" spans="2:10" ht="15.75" customHeight="1" x14ac:dyDescent="0.3">
      <c r="B17" s="28" t="s">
        <v>48</v>
      </c>
      <c r="D17" s="29">
        <f t="shared" ref="D17:J17" si="1">D16/C16-1</f>
      </c>
      <c r="E17" s="29">
        <f t="shared" si="1"/>
      </c>
      <c r="F17" s="29">
        <f t="shared" si="1"/>
      </c>
      <c r="G17" s="29">
        <f t="shared" si="1"/>
      </c>
      <c r="H17" s="29">
        <f t="shared" si="1"/>
      </c>
      <c r="I17" s="29">
        <f t="shared" si="1"/>
      </c>
      <c r="J17" s="29">
        <f t="shared" si="1"/>
      </c>
    </row>
    <row r="19" spans="2:10" ht="15" customHeight="1" x14ac:dyDescent="0.3">
      <c r="B19" s="10" t="s">
        <v>49</v>
      </c>
      <c r="C19" s="10"/>
      <c r="D19" s="10"/>
      <c r="E19" s="10"/>
      <c r="F19" s="10"/>
      <c r="G19" s="10"/>
      <c r="H19" s="10"/>
      <c r="I19" s="10"/>
      <c r="J19" s="10"/>
    </row>
    <row r="21" spans="2:10" ht="15.75" customHeight="1" x14ac:dyDescent="0.3">
      <c r="B21" s="13" t="s">
        <v>50</v>
      </c>
      <c r="C21" s="30">
        <f t="shared" ref="C21:J21" si="2">C16*(1-C23)</f>
      </c>
      <c r="D21" s="30">
        <f t="shared" si="2"/>
      </c>
      <c r="E21" s="30">
        <f t="shared" si="2"/>
      </c>
      <c r="F21" s="30">
        <f t="shared" si="2"/>
      </c>
      <c r="G21" s="30">
        <f t="shared" si="2"/>
      </c>
      <c r="H21" s="30">
        <f t="shared" si="2"/>
      </c>
      <c r="I21" s="30">
        <f t="shared" si="2"/>
      </c>
      <c r="J21" s="30">
        <f t="shared" si="2"/>
      </c>
    </row>
    <row r="22" spans="2:10" ht="15.75" customHeight="1" x14ac:dyDescent="0.3">
      <c r="B22" s="31" t="s">
        <v>51</v>
      </c>
      <c r="C22" s="30">
        <f t="shared" ref="C22:J22" si="3">C16-C21</f>
      </c>
      <c r="D22" s="30">
        <f t="shared" si="3"/>
      </c>
      <c r="E22" s="30">
        <f t="shared" si="3"/>
      </c>
      <c r="F22" s="30">
        <f t="shared" si="3"/>
      </c>
      <c r="G22" s="30">
        <f t="shared" si="3"/>
      </c>
      <c r="H22" s="30">
        <f t="shared" si="3"/>
      </c>
      <c r="I22" s="30">
        <f t="shared" si="3"/>
      </c>
      <c r="J22" s="30">
        <f t="shared" si="3"/>
      </c>
    </row>
    <row r="23" spans="2:10" ht="15.75" customHeight="1" x14ac:dyDescent="0.3">
      <c r="B23" s="32" t="s">
        <v>52</v>
      </c>
      <c r="C23" s="37">
        <v>0.54499999999999993</v>
      </c>
      <c r="D23" s="37">
        <v>0.54800000000000004</v>
      </c>
      <c r="E23" s="37">
        <v>0.54999999999999993</v>
      </c>
      <c r="F23" s="37">
        <v>0.55199999999999994</v>
      </c>
      <c r="G23" s="37">
        <v>0.55399999999999994</v>
      </c>
      <c r="H23" s="37">
        <v>0.55599999999999994</v>
      </c>
      <c r="I23" s="37">
        <v>0.55800000000000005</v>
      </c>
      <c r="J23" s="37">
        <v>0.56000000000000005</v>
      </c>
    </row>
    <row r="25" spans="2:10" ht="15.75" customHeight="1" x14ac:dyDescent="0.3">
      <c r="B25" s="13" t="s">
        <v>18</v>
      </c>
      <c r="C25" s="25">
        <f>C16*INDEX('Company1153 Assumptions'!D$35:D$37,MATCH($D$5,'Company1153 Assumptions'!$C$35:$C$37,0))</f>
      </c>
      <c r="D25" s="25">
        <f>D16*INDEX('Company1153 Assumptions'!E$35:E$37,MATCH($D$5,'Company1153 Assumptions'!$C$35:$C$37,0))</f>
      </c>
      <c r="E25" s="25">
        <f>E16*INDEX('Company1153 Assumptions'!F$35:F$37,MATCH($D$5,'Company1153 Assumptions'!$C$35:$C$37,0))</f>
      </c>
      <c r="F25" s="25">
        <f>F16*INDEX('Company1153 Assumptions'!G$35:G$37,MATCH($D$5,'Company1153 Assumptions'!$C$35:$C$37,0))</f>
      </c>
      <c r="G25" s="25">
        <f>G16*INDEX('Company1153 Assumptions'!H$35:H$37,MATCH($D$5,'Company1153 Assumptions'!$C$35:$C$37,0))</f>
      </c>
      <c r="H25" s="25">
        <f>H16*INDEX('Company1153 Assumptions'!I$35:I$37,MATCH($D$5,'Company1153 Assumptions'!$C$35:$C$37,0))</f>
      </c>
      <c r="I25" s="25">
        <f>I16*INDEX('Company1153 Assumptions'!J$35:J$37,MATCH($D$5,'Company1153 Assumptions'!$C$35:$C$37,0))</f>
      </c>
      <c r="J25" s="25">
        <f>J16*INDEX('Company1153 Assumptions'!K$35:K$37,MATCH($D$5,'Company1153 Assumptions'!$C$35:$C$37,0))</f>
      </c>
    </row>
    <row r="26" spans="2:10" ht="15.75" customHeight="1" x14ac:dyDescent="0.3">
      <c r="B26" s="13" t="s">
        <v>19</v>
      </c>
      <c r="C26" s="25">
        <f>C16*INDEX('Company1153 Assumptions'!D$39:D$41,MATCH($D$5,'Company1153 Assumptions'!$C$39:$C$41,0))</f>
      </c>
      <c r="D26" s="25">
        <f>D16*INDEX('Company1153 Assumptions'!E$39:E$41,MATCH($D$5,'Company1153 Assumptions'!$C$39:$C$41,0))</f>
      </c>
      <c r="E26" s="25">
        <f>E16*INDEX('Company1153 Assumptions'!F$39:F$41,MATCH($D$5,'Company1153 Assumptions'!$C$39:$C$41,0))</f>
      </c>
      <c r="F26" s="25">
        <f>F16*INDEX('Company1153 Assumptions'!G$39:G$41,MATCH($D$5,'Company1153 Assumptions'!$C$39:$C$41,0))</f>
      </c>
      <c r="G26" s="25">
        <f>G16*INDEX('Company1153 Assumptions'!H$39:H$41,MATCH($D$5,'Company1153 Assumptions'!$C$39:$C$41,0))</f>
      </c>
      <c r="H26" s="25">
        <f>H16*INDEX('Company1153 Assumptions'!I$39:I$41,MATCH($D$5,'Company1153 Assumptions'!$C$39:$C$41,0))</f>
      </c>
      <c r="I26" s="25">
        <f>I16*INDEX('Company1153 Assumptions'!J$39:J$41,MATCH($D$5,'Company1153 Assumptions'!$C$39:$C$41,0))</f>
      </c>
      <c r="J26" s="25">
        <f>J16*INDEX('Company1153 Assumptions'!K$39:K$41,MATCH($D$5,'Company1153 Assumptions'!$C$39:$C$41,0))</f>
      </c>
    </row>
    <row r="27" spans="2:10" ht="15.75" customHeight="1" x14ac:dyDescent="0.3">
      <c r="B27" s="13" t="s">
        <v>20</v>
      </c>
      <c r="C27" s="25">
        <f>C16*INDEX('Company1153 Assumptions'!D$43:D$45,MATCH($D$5,'Company1153 Assumptions'!$C$43:$C$45,0))</f>
      </c>
      <c r="D27" s="25">
        <f>D16*INDEX('Company1153 Assumptions'!E$43:E$45,MATCH($D$5,'Company1153 Assumptions'!$C$43:$C$45,0))</f>
      </c>
      <c r="E27" s="25">
        <f>E16*INDEX('Company1153 Assumptions'!F$43:F$45,MATCH($D$5,'Company1153 Assumptions'!$C$43:$C$45,0))</f>
      </c>
      <c r="F27" s="25">
        <f>F16*INDEX('Company1153 Assumptions'!G$43:G$45,MATCH($D$5,'Company1153 Assumptions'!$C$43:$C$45,0))</f>
      </c>
      <c r="G27" s="25">
        <f>G16*INDEX('Company1153 Assumptions'!H$43:H$45,MATCH($D$5,'Company1153 Assumptions'!$C$43:$C$45,0))</f>
      </c>
      <c r="H27" s="25">
        <f>H16*INDEX('Company1153 Assumptions'!I$43:I$45,MATCH($D$5,'Company1153 Assumptions'!$C$43:$C$45,0))</f>
      </c>
      <c r="I27" s="25">
        <f>I16*INDEX('Company1153 Assumptions'!J$43:J$45,MATCH($D$5,'Company1153 Assumptions'!$C$43:$C$45,0))</f>
      </c>
      <c r="J27" s="25">
        <f>J16*INDEX('Company1153 Assumptions'!K$43:K$45,MATCH($D$5,'Company1153 Assumptions'!$C$43:$C$45,0))</f>
      </c>
    </row>
    <row r="28" spans="2:10" ht="15.75" customHeight="1" x14ac:dyDescent="0.3">
      <c r="B28" s="13" t="s">
        <v>21</v>
      </c>
      <c r="C28" s="25">
        <f>C16*INDEX('Company1153 Assumptions'!D$47:D$49,MATCH($D$5,'Company1153 Assumptions'!$C$47:$C$49,0))</f>
      </c>
      <c r="D28" s="25">
        <f>D16*INDEX('Company1153 Assumptions'!E$47:E$49,MATCH($D$5,'Company1153 Assumptions'!$C$47:$C$49,0))</f>
      </c>
      <c r="E28" s="25">
        <f>E16*INDEX('Company1153 Assumptions'!F$47:F$49,MATCH($D$5,'Company1153 Assumptions'!$C$47:$C$49,0))</f>
      </c>
      <c r="F28" s="25">
        <f>F16*INDEX('Company1153 Assumptions'!G$47:G$49,MATCH($D$5,'Company1153 Assumptions'!$C$47:$C$49,0))</f>
      </c>
      <c r="G28" s="25">
        <f>G16*INDEX('Company1153 Assumptions'!H$47:H$49,MATCH($D$5,'Company1153 Assumptions'!$C$47:$C$49,0))</f>
      </c>
      <c r="H28" s="25">
        <f>H16*INDEX('Company1153 Assumptions'!I$47:I$49,MATCH($D$5,'Company1153 Assumptions'!$C$47:$C$49,0))</f>
      </c>
      <c r="I28" s="25">
        <f>I16*INDEX('Company1153 Assumptions'!J$47:J$49,MATCH($D$5,'Company1153 Assumptions'!$C$47:$C$49,0))</f>
      </c>
      <c r="J28" s="25">
        <f>J16*INDEX('Company1153 Assumptions'!K$47:K$49,MATCH($D$5,'Company1153 Assumptions'!$C$47:$C$49,0))</f>
      </c>
    </row>
    <row r="29" spans="2:10" ht="15.75" customHeight="1" x14ac:dyDescent="0.3">
      <c r="B29" s="26" t="s">
        <v>53</v>
      </c>
      <c r="C29" s="27">
        <f t="shared" si="0"/>
      </c>
      <c r="D29" s="27">
        <f t="shared" si="0"/>
      </c>
      <c r="E29" s="27">
        <f t="shared" si="0"/>
      </c>
      <c r="F29" s="27">
        <f t="shared" si="0"/>
      </c>
      <c r="G29" s="27">
        <f t="shared" si="0"/>
      </c>
      <c r="H29" s="27">
        <f t="shared" si="0"/>
      </c>
      <c r="I29" s="27">
        <f t="shared" si="0"/>
      </c>
      <c r="J29" s="27">
        <f t="shared" si="0"/>
      </c>
    </row>
    <row r="31" spans="2:10" ht="15.75" customHeight="1" x14ac:dyDescent="0.3">
      <c r="B31" s="33" t="s">
        <v>54</v>
      </c>
      <c r="C31" s="30">
        <f t="shared" ref="C31:J31" si="4">C22-C29</f>
      </c>
      <c r="D31" s="30">
        <f t="shared" si="4"/>
      </c>
      <c r="E31" s="30">
        <f t="shared" si="4"/>
      </c>
      <c r="F31" s="30">
        <f t="shared" si="4"/>
      </c>
      <c r="G31" s="30">
        <f t="shared" si="4"/>
      </c>
      <c r="H31" s="30">
        <f t="shared" si="4"/>
      </c>
      <c r="I31" s="30">
        <f t="shared" si="4"/>
      </c>
      <c r="J31" s="30">
        <f t="shared" si="4"/>
      </c>
    </row>
    <row r="32" spans="2:10" ht="15.75" customHeight="1" x14ac:dyDescent="0.3">
      <c r="B32" s="32" t="s">
        <v>55</v>
      </c>
      <c r="C32" s="29">
        <f t="shared" ref="C32:J32" si="5">C31/C16</f>
      </c>
      <c r="D32" s="29">
        <f t="shared" si="5"/>
      </c>
      <c r="E32" s="29">
        <f t="shared" si="5"/>
      </c>
      <c r="F32" s="29">
        <f t="shared" si="5"/>
      </c>
      <c r="G32" s="29">
        <f t="shared" si="5"/>
      </c>
      <c r="H32" s="29">
        <f t="shared" si="5"/>
      </c>
      <c r="I32" s="29">
        <f t="shared" si="5"/>
      </c>
      <c r="J32" s="29">
        <f t="shared" si="5"/>
      </c>
    </row>
    <row r="34" spans="2:10" ht="15.75" customHeight="1" x14ac:dyDescent="0.3">
      <c r="B34" s="34" t="s">
        <v>56</v>
      </c>
      <c r="C34" s="25">
        <f>100000*INDEX('Company1153 Assumptions'!$D$85:$D$87,MATCH($D$5,'Company1153 Assumptions'!$C$85:$C$87,0))</f>
      </c>
      <c r="D34" s="25">
        <f>100000*INDEX('Company1153 Assumptions'!$E$85:$E$87,MATCH($D$5,'Company1153 Assumptions'!$C$85:$C$87,0))</f>
      </c>
      <c r="E34" s="25">
        <f>100000*INDEX('Company1153 Assumptions'!$F$85:$F$87,MATCH($D$5,'Company1153 Assumptions'!$C$85:$C$87,0))</f>
      </c>
      <c r="F34" s="25">
        <f>110000*INDEX('Company1153 Assumptions'!$G$85:$G$87,MATCH($D$5,'Company1153 Assumptions'!$C$85:$C$87,0))</f>
      </c>
      <c r="G34" s="25">
        <f>120000*INDEX('Company1153 Assumptions'!$H$85:$H$87,MATCH($D$5,'Company1153 Assumptions'!$C$85:$C$87,0))</f>
      </c>
      <c r="H34" s="25">
        <f>130000*INDEX('Company1153 Assumptions'!$I$85:$I$87,MATCH($D$5,'Company1153 Assumptions'!$C$85:$C$87,0))</f>
      </c>
      <c r="I34" s="25">
        <f>140000*INDEX('Company1153 Assumptions'!$J$85:$J$87,MATCH($D$5,'Company1153 Assumptions'!$C$85:$C$87,0))</f>
      </c>
      <c r="J34" s="25">
        <f>150000*INDEX('Company1153 Assumptions'!$K$85:$K$87,MATCH($D$5,'Company1153 Assumptions'!$C$85:$C$87,0))</f>
      </c>
    </row>
    <row r="36" spans="2:10" ht="15.75" customHeight="1" x14ac:dyDescent="0.3">
      <c r="B36" s="31" t="s">
        <v>57</v>
      </c>
      <c r="C36" s="30">
        <f t="shared" ref="C36:J36" si="6">C31+C34</f>
      </c>
      <c r="D36" s="30">
        <f t="shared" si="6"/>
      </c>
      <c r="E36" s="30">
        <f t="shared" si="6"/>
      </c>
      <c r="F36" s="30">
        <f t="shared" si="6"/>
      </c>
      <c r="G36" s="30">
        <f t="shared" si="6"/>
      </c>
      <c r="H36" s="30">
        <f t="shared" si="6"/>
      </c>
      <c r="I36" s="30">
        <f t="shared" si="6"/>
      </c>
      <c r="J36" s="30">
        <f t="shared" si="6"/>
      </c>
    </row>
    <row r="37" spans="2:10" ht="15.75" customHeight="1" x14ac:dyDescent="0.3">
      <c r="B37" s="34" t="s">
        <v>58</v>
      </c>
      <c r="C37" s="25">
        <f>C36*INDEX('Company1153 Assumptions'!D$78:D$80,MATCH($D$5,'Company1153 Assumptions'!$C$78:$C$80,0))</f>
      </c>
      <c r="D37" s="25">
        <f>D36*INDEX('Company1153 Assumptions'!E$78:E$80,MATCH($D$5,'Company1153 Assumptions'!$C$78:$C$80,0))</f>
      </c>
      <c r="E37" s="25">
        <f>E36*INDEX('Company1153 Assumptions'!F$78:F$80,MATCH($D$5,'Company1153 Assumptions'!$C$78:$C$80,0))</f>
      </c>
      <c r="F37" s="25">
        <f>F36*INDEX('Company1153 Assumptions'!G$78:G$80,MATCH($D$5,'Company1153 Assumptions'!$C$78:$C$80,0))</f>
      </c>
      <c r="G37" s="25">
        <f>G36*INDEX('Company1153 Assumptions'!H$78:H$80,MATCH($D$5,'Company1153 Assumptions'!$C$78:$C$80,0))</f>
      </c>
      <c r="H37" s="25">
        <f>H36*INDEX('Company1153 Assumptions'!I$78:I$80,MATCH($D$5,'Company1153 Assumptions'!$C$78:$C$80,0))</f>
      </c>
      <c r="I37" s="25">
        <f>I36*INDEX('Company1153 Assumptions'!J$78:J$80,MATCH($D$5,'Company1153 Assumptions'!$C$78:$C$80,0))</f>
      </c>
      <c r="J37" s="25">
        <f>J36*INDEX('Company1153 Assumptions'!K$78:K$80,MATCH($D$5,'Company1153 Assumptions'!$C$78:$C$80,0))</f>
      </c>
    </row>
    <row r="39" spans="2:10" ht="15.75" customHeight="1" x14ac:dyDescent="0.3">
      <c r="B39" s="31" t="s">
        <v>59</v>
      </c>
      <c r="C39" s="35">
        <f t="shared" ref="C39:J39" si="7">C36-C37</f>
      </c>
      <c r="D39" s="35">
        <f t="shared" si="7"/>
      </c>
      <c r="E39" s="35">
        <f t="shared" si="7"/>
      </c>
      <c r="F39" s="35">
        <f t="shared" si="7"/>
      </c>
      <c r="G39" s="35">
        <f t="shared" si="7"/>
      </c>
      <c r="H39" s="35">
        <f t="shared" si="7"/>
      </c>
      <c r="I39" s="35">
        <f t="shared" si="7"/>
      </c>
      <c r="J39" s="35">
        <f t="shared" si="7"/>
      </c>
    </row>
    <row r="40" spans="2:10" ht="15.75" customHeight="1" x14ac:dyDescent="0.3">
      <c r="B40" s="28" t="s">
        <v>60</v>
      </c>
      <c r="C40" s="29">
        <f t="shared" ref="C40:J40" si="8">C39/C16</f>
      </c>
      <c r="D40" s="29">
        <f t="shared" si="8"/>
      </c>
      <c r="E40" s="29">
        <f t="shared" si="8"/>
      </c>
      <c r="F40" s="29">
        <f t="shared" si="8"/>
      </c>
      <c r="G40" s="29">
        <f t="shared" si="8"/>
      </c>
      <c r="H40" s="29">
        <f t="shared" si="8"/>
      </c>
      <c r="I40" s="29">
        <f t="shared" si="8"/>
      </c>
      <c r="J40" s="29">
        <f t="shared" si="8"/>
      </c>
    </row>
    <row r="42" spans="2:10" ht="15" customHeight="1" x14ac:dyDescent="0.3">
      <c r="B42" s="10" t="s">
        <v>61</v>
      </c>
      <c r="C42" s="10"/>
      <c r="D42" s="10"/>
      <c r="E42" s="10"/>
      <c r="F42" s="10"/>
      <c r="G42" s="10"/>
      <c r="H42" s="10"/>
      <c r="I42" s="10"/>
      <c r="J42" s="10"/>
    </row>
    <row r="44" spans="2:10" ht="15.75" customHeight="1" x14ac:dyDescent="0.3">
      <c r="B44" s="34" t="s">
        <v>62</v>
      </c>
      <c r="C44" s="38">
        <v>13000</v>
      </c>
      <c r="D44" s="38">
        <v>12800</v>
      </c>
      <c r="E44" s="38">
        <v>12600</v>
      </c>
      <c r="F44" s="38">
        <v>12400</v>
      </c>
      <c r="G44" s="38">
        <v>12200</v>
      </c>
      <c r="H44" s="38">
        <v>12000</v>
      </c>
      <c r="I44" s="38">
        <v>11800</v>
      </c>
      <c r="J44" s="38">
        <v>11600</v>
      </c>
    </row>
    <row r="45" spans="2:10" ht="15.75" customHeight="1" x14ac:dyDescent="0.3">
      <c r="B45" s="31" t="s">
        <v>63</v>
      </c>
      <c r="C45" s="46">
        <f>C39/C44</f>
      </c>
      <c r="D45" s="46">
        <f>D39/D44</f>
      </c>
      <c r="E45" s="46">
        <f>E39/E44</f>
      </c>
      <c r="F45" s="46">
        <f>F39/F44</f>
      </c>
      <c r="G45" s="46">
        <f>G39/G44</f>
      </c>
      <c r="H45" s="46">
        <f>H39/H44</f>
      </c>
      <c r="I45" s="46">
        <f>I39/I44</f>
      </c>
      <c r="J45" s="46">
        <f>J39/J44</f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15E8-4568-5E88-64CC-7CA42D678236}">
  <dimension ref="B2:J43"/>
  <sheetViews>
    <sheetView showGridLines="0" tabSelected="1" topLeftCell="B15" zoomScaleNormal="100" workbookViewId="0">
      <selection activeCell="C43" sqref="C43:J43"/>
    </sheetView>
  </sheetViews>
  <sheetFormatPr defaultColWidth="7.69921875" defaultRowHeight="15" customHeight="1" x14ac:dyDescent="0.3"/>
  <cols>
    <col min="2" max="2" width="22.5" customWidth="1"/>
    <col min="3" max="10" width="10" customWidth="1"/>
  </cols>
  <sheetData>
    <row r="2" spans="2:10" ht="18" customHeight="1" x14ac:dyDescent="0.3">
      <c r="B2" s="20" t="s">
        <v>64</v>
      </c>
    </row>
    <row r="3" spans="2:10" ht="13.5" customHeight="1" x14ac:dyDescent="0.3">
      <c r="B3" s="21" t="s">
        <v>45</v>
      </c>
    </row>
    <row r="5" spans="2:10" ht="15.75" customHeight="1" x14ac:dyDescent="0.3">
      <c r="B5" t="s">
        <v>3</v>
      </c>
      <c r="D5" s="23" t="str" cm="1">
        <f t="array" ref="D5">'Company1808 Assumptions'!D6</f>
      </c>
    </row>
    <row r="7" spans="2:10" ht="13.5" customHeight="1" x14ac:dyDescent="0.3">
      <c r="B7" s="7" t="s">
        <v>5</v>
      </c>
      <c r="C7" s="7"/>
      <c r="D7" s="7"/>
      <c r="E7" s="7"/>
      <c r="F7" s="7" t="s">
        <v>6</v>
      </c>
      <c r="G7" s="7"/>
      <c r="H7" s="7"/>
      <c r="I7" s="7"/>
      <c r="J7" s="7"/>
    </row>
    <row r="8" spans="2:10" ht="13.5" customHeight="1" x14ac:dyDescent="0.3">
      <c r="C8" s="22">
        <v>2021</v>
      </c>
      <c r="D8" s="22">
        <v>2022</v>
      </c>
      <c r="E8" s="22">
        <v>2023</v>
      </c>
      <c r="F8" s="22">
        <v>2024</v>
      </c>
      <c r="G8" s="22">
        <v>2025</v>
      </c>
      <c r="H8" s="22">
        <v>2026</v>
      </c>
      <c r="I8" s="22">
        <v>2027</v>
      </c>
      <c r="J8" s="22">
        <v>2028</v>
      </c>
    </row>
    <row r="10" spans="2:10" ht="15" customHeight="1" x14ac:dyDescent="0.3">
      <c r="B10" s="10" t="s">
        <v>46</v>
      </c>
      <c r="C10" s="10"/>
      <c r="D10" s="10"/>
      <c r="E10" s="10"/>
      <c r="F10" s="10"/>
      <c r="G10" s="10"/>
      <c r="H10" s="10"/>
      <c r="I10" s="10"/>
      <c r="J10" s="10"/>
    </row>
    <row r="12" spans="2:10" ht="15.75" customHeight="1" x14ac:dyDescent="0.3">
      <c r="B12" s="13" t="s">
        <v>65</v>
      </c>
      <c r="C12" s="24">
        <v>115655</v>
      </c>
      <c r="D12" s="24">
        <v>114450</v>
      </c>
      <c r="E12" s="24">
        <v>133008</v>
      </c>
      <c r="F12" s="25">
        <f>E12*(1+INDEX('Company1808 Assumptions'!G$15:G$17,MATCH($D$5,'Company1808 Assumptions'!$C$15:$C$17,0)))</f>
      </c>
      <c r="G12" s="25">
        <f>F12*(1+INDEX('Company1808 Assumptions'!H$15:H$17,MATCH($D$5,'Company1808 Assumptions'!$C$15:$C$17,0)))</f>
      </c>
      <c r="H12" s="25">
        <f>G12*(1+INDEX('Company1808 Assumptions'!I$15:I$17,MATCH($D$5,'Company1808 Assumptions'!$C$15:$C$17,0)))</f>
      </c>
      <c r="I12" s="25">
        <f>H12*(1+INDEX('Company1808 Assumptions'!J$15:J$17,MATCH($D$5,'Company1808 Assumptions'!$C$15:$C$17,0)))</f>
      </c>
      <c r="J12" s="25">
        <f>I12*(1+INDEX('Company1808 Assumptions'!K$15:K$17,MATCH($D$5,'Company1808 Assumptions'!$C$15:$C$17,0)))</f>
      </c>
    </row>
    <row r="13" spans="2:10" ht="15.75" customHeight="1" x14ac:dyDescent="0.3">
      <c r="B13" s="13" t="s">
        <v>38</v>
      </c>
      <c r="C13" s="24">
        <v>2274</v>
      </c>
      <c r="D13" s="24">
        <v>2159</v>
      </c>
      <c r="E13" s="24">
        <v>1896</v>
      </c>
      <c r="F13" s="25">
        <f>E13*(1+INDEX('Company1808 Assumptions'!G$19:G$21,MATCH($D$5,'Company1808 Assumptions'!$C$19:$C$21,0)))</f>
      </c>
      <c r="G13" s="25">
        <f>F13*(1+INDEX('Company1808 Assumptions'!H$19:H$21,MATCH($D$5,'Company1808 Assumptions'!$C$19:$C$21,0)))</f>
      </c>
      <c r="H13" s="25">
        <f>G13*(1+INDEX('Company1808 Assumptions'!I$19:I$21,MATCH($D$5,'Company1808 Assumptions'!$C$19:$C$21,0)))</f>
      </c>
      <c r="I13" s="25">
        <f>H13*(1+INDEX('Company1808 Assumptions'!J$19:J$21,MATCH($D$5,'Company1808 Assumptions'!$C$19:$C$21,0)))</f>
      </c>
      <c r="J13" s="25">
        <f>I13*(1+INDEX('Company1808 Assumptions'!K$19:K$21,MATCH($D$5,'Company1808 Assumptions'!$C$19:$C$21,0)))</f>
      </c>
    </row>
    <row r="14" spans="2:10" ht="15.75" customHeight="1" x14ac:dyDescent="0.3">
      <c r="B14" s="26" t="s">
        <v>47</v>
      </c>
      <c r="C14" s="27">
        <f t="shared" ref="C14:J14" si="0">SUM(C12:C13)</f>
      </c>
      <c r="D14" s="27">
        <f t="shared" si="0"/>
      </c>
      <c r="E14" s="27">
        <f t="shared" si="0"/>
      </c>
      <c r="F14" s="27">
        <f t="shared" si="0"/>
      </c>
      <c r="G14" s="27">
        <f t="shared" si="0"/>
      </c>
      <c r="H14" s="27">
        <f t="shared" si="0"/>
      </c>
      <c r="I14" s="27">
        <f t="shared" si="0"/>
      </c>
      <c r="J14" s="27">
        <f t="shared" si="0"/>
      </c>
    </row>
    <row r="15" spans="2:10" ht="15.75" customHeight="1" x14ac:dyDescent="0.3">
      <c r="B15" s="32" t="s">
        <v>48</v>
      </c>
      <c r="D15" s="29">
        <f t="shared" ref="D15:J15" si="1">D14/C14-1</f>
      </c>
      <c r="E15" s="29">
        <f t="shared" si="1"/>
      </c>
      <c r="F15" s="29">
        <f t="shared" si="1"/>
      </c>
      <c r="G15" s="29">
        <f t="shared" si="1"/>
      </c>
      <c r="H15" s="29">
        <f t="shared" si="1"/>
      </c>
      <c r="I15" s="29">
        <f t="shared" si="1"/>
      </c>
      <c r="J15" s="29">
        <f t="shared" si="1"/>
      </c>
    </row>
    <row r="17" spans="2:10" ht="15" customHeight="1" x14ac:dyDescent="0.3">
      <c r="B17" s="10" t="s">
        <v>49</v>
      </c>
      <c r="C17" s="10"/>
      <c r="D17" s="10"/>
      <c r="E17" s="10"/>
      <c r="F17" s="10"/>
      <c r="G17" s="10"/>
      <c r="H17" s="10"/>
      <c r="I17" s="10"/>
      <c r="J17" s="10"/>
    </row>
    <row r="19" spans="2:10" ht="15.75" customHeight="1" x14ac:dyDescent="0.3">
      <c r="B19" s="13" t="s">
        <v>50</v>
      </c>
      <c r="C19" s="30">
        <f t="shared" ref="C19:J19" si="2">C14*(1-C21)</f>
      </c>
      <c r="D19" s="30">
        <f t="shared" si="2"/>
      </c>
      <c r="E19" s="30">
        <f t="shared" si="2"/>
      </c>
      <c r="F19" s="30">
        <f t="shared" si="2"/>
      </c>
      <c r="G19" s="30">
        <f t="shared" si="2"/>
      </c>
      <c r="H19" s="30">
        <f t="shared" si="2"/>
      </c>
      <c r="I19" s="30">
        <f t="shared" si="2"/>
      </c>
      <c r="J19" s="30">
        <f t="shared" si="2"/>
      </c>
    </row>
    <row r="20" spans="2:10" ht="15.75" customHeight="1" x14ac:dyDescent="0.3">
      <c r="B20" s="33" t="s">
        <v>51</v>
      </c>
      <c r="C20" s="30">
        <f t="shared" ref="C20:J20" si="3">C14-C19</f>
      </c>
      <c r="D20" s="30">
        <f t="shared" si="3"/>
      </c>
      <c r="E20" s="30">
        <f t="shared" si="3"/>
      </c>
      <c r="F20" s="30">
        <f t="shared" si="3"/>
      </c>
      <c r="G20" s="30">
        <f t="shared" si="3"/>
      </c>
      <c r="H20" s="30">
        <f t="shared" si="3"/>
      </c>
      <c r="I20" s="30">
        <f t="shared" si="3"/>
      </c>
      <c r="J20" s="30">
        <f t="shared" si="3"/>
      </c>
    </row>
    <row r="21" spans="2:10" ht="15.75" customHeight="1" x14ac:dyDescent="0.3">
      <c r="B21" s="32" t="s">
        <v>52</v>
      </c>
      <c r="C21" s="37">
        <v>0.80199999999999994</v>
      </c>
      <c r="D21" s="37">
        <v>0.79800000000000004</v>
      </c>
      <c r="E21" s="37">
        <v>0.79499999999999993</v>
      </c>
      <c r="F21" s="37">
        <v>0.79699999999999993</v>
      </c>
      <c r="G21" s="37">
        <v>0.79899999999999993</v>
      </c>
      <c r="H21" s="37">
        <v>0.80099999999999993</v>
      </c>
      <c r="I21" s="37">
        <v>0.80300000000000005</v>
      </c>
      <c r="J21" s="37">
        <v>0.80499999999999994</v>
      </c>
    </row>
    <row r="23" spans="2:10" ht="15.75" customHeight="1" x14ac:dyDescent="0.3">
      <c r="B23" s="13" t="s">
        <v>18</v>
      </c>
      <c r="C23" s="25">
        <f>C14*INDEX('Company1808 Assumptions'!D$38:D$40,MATCH($D$5,'Company1808 Assumptions'!$C$38:$C$40,0))</f>
      </c>
      <c r="D23" s="25">
        <f>D14*INDEX('Company1808 Assumptions'!E$38:E$40,MATCH($D$5,'Company1808 Assumptions'!$C$38:$C$40,0))</f>
      </c>
      <c r="E23" s="25">
        <f>E14*INDEX('Company1808 Assumptions'!F$38:F$40,MATCH($D$5,'Company1808 Assumptions'!$C$38:$C$40,0))</f>
      </c>
      <c r="F23" s="25">
        <f>F14*INDEX('Company1808 Assumptions'!G$38:G$40,MATCH($D$5,'Company1808 Assumptions'!$C$38:$C$40,0))</f>
      </c>
      <c r="G23" s="25">
        <f>G14*INDEX('Company1808 Assumptions'!H$38:H$40,MATCH($D$5,'Company1808 Assumptions'!$C$38:$C$40,0))</f>
      </c>
      <c r="H23" s="25">
        <f>H14*INDEX('Company1808 Assumptions'!I$38:I$40,MATCH($D$5,'Company1808 Assumptions'!$C$38:$C$40,0))</f>
      </c>
      <c r="I23" s="25">
        <f>I14*INDEX('Company1808 Assumptions'!J$38:J$40,MATCH($D$5,'Company1808 Assumptions'!$C$38:$C$40,0))</f>
      </c>
      <c r="J23" s="25">
        <f>J14*INDEX('Company1808 Assumptions'!K$38:K$40,MATCH($D$5,'Company1808 Assumptions'!$C$38:$C$40,0))</f>
      </c>
    </row>
    <row r="24" spans="2:10" ht="15.75" customHeight="1" x14ac:dyDescent="0.3">
      <c r="B24" s="13" t="s">
        <v>19</v>
      </c>
      <c r="C24" s="25">
        <f>C14*INDEX('Company1808 Assumptions'!D$42:D$44,MATCH($D$5,'Company1808 Assumptions'!$C$42:$C$44,0))</f>
      </c>
      <c r="D24" s="25">
        <f>D14*INDEX('Company1808 Assumptions'!E$42:E$44,MATCH($D$5,'Company1808 Assumptions'!$C$42:$C$44,0))</f>
      </c>
      <c r="E24" s="25">
        <f>E14*INDEX('Company1808 Assumptions'!F$42:F$44,MATCH($D$5,'Company1808 Assumptions'!$C$42:$C$44,0))</f>
      </c>
      <c r="F24" s="25">
        <f>F14*INDEX('Company1808 Assumptions'!G$42:G$44,MATCH($D$5,'Company1808 Assumptions'!$C$42:$C$44,0))</f>
      </c>
      <c r="G24" s="25">
        <f>G14*INDEX('Company1808 Assumptions'!H$42:H$44,MATCH($D$5,'Company1808 Assumptions'!$C$42:$C$44,0))</f>
      </c>
      <c r="H24" s="25">
        <f>H14*INDEX('Company1808 Assumptions'!I$42:I$44,MATCH($D$5,'Company1808 Assumptions'!$C$42:$C$44,0))</f>
      </c>
      <c r="I24" s="25">
        <f>I14*INDEX('Company1808 Assumptions'!J$42:J$44,MATCH($D$5,'Company1808 Assumptions'!$C$42:$C$44,0))</f>
      </c>
      <c r="J24" s="25">
        <f>J14*INDEX('Company1808 Assumptions'!K$42:K$44,MATCH($D$5,'Company1808 Assumptions'!$C$42:$C$44,0))</f>
      </c>
    </row>
    <row r="25" spans="2:10" ht="15.75" customHeight="1" x14ac:dyDescent="0.3">
      <c r="B25" s="13" t="s">
        <v>20</v>
      </c>
      <c r="C25" s="25">
        <f>C14*INDEX('Company1808 Assumptions'!D$46:D$48,MATCH($D$5,'Company1808 Assumptions'!$C$46:$C$48,0))</f>
      </c>
      <c r="D25" s="25">
        <f>D14*INDEX('Company1808 Assumptions'!E$46:E$48,MATCH($D$5,'Company1808 Assumptions'!$C$46:$C$48,0))</f>
      </c>
      <c r="E25" s="25">
        <f>E14*INDEX('Company1808 Assumptions'!F$46:F$48,MATCH($D$5,'Company1808 Assumptions'!$C$46:$C$48,0))</f>
      </c>
      <c r="F25" s="25">
        <f>F14*INDEX('Company1808 Assumptions'!G$46:G$48,MATCH($D$5,'Company1808 Assumptions'!$C$46:$C$48,0))</f>
      </c>
      <c r="G25" s="25">
        <f>G14*INDEX('Company1808 Assumptions'!H$46:H$48,MATCH($D$5,'Company1808 Assumptions'!$C$46:$C$48,0))</f>
      </c>
      <c r="H25" s="25">
        <f>H14*INDEX('Company1808 Assumptions'!I$46:I$48,MATCH($D$5,'Company1808 Assumptions'!$C$46:$C$48,0))</f>
      </c>
      <c r="I25" s="25">
        <f>I14*INDEX('Company1808 Assumptions'!J$46:J$48,MATCH($D$5,'Company1808 Assumptions'!$C$46:$C$48,0))</f>
      </c>
      <c r="J25" s="25">
        <f>J14*INDEX('Company1808 Assumptions'!K$46:K$48,MATCH($D$5,'Company1808 Assumptions'!$C$46:$C$48,0))</f>
      </c>
    </row>
    <row r="26" spans="2:10" ht="15.75" customHeight="1" x14ac:dyDescent="0.3">
      <c r="B26" s="13" t="s">
        <v>21</v>
      </c>
      <c r="C26" s="25">
        <f>C14*INDEX('Company1808 Assumptions'!D$50:D$52,MATCH($D$5,'Company1808 Assumptions'!$C$50:$C$52,0))</f>
      </c>
      <c r="D26" s="25">
        <f>D14*INDEX('Company1808 Assumptions'!E$50:E$52,MATCH($D$5,'Company1808 Assumptions'!$C$50:$C$52,0))</f>
      </c>
      <c r="E26" s="25">
        <f>E14*INDEX('Company1808 Assumptions'!F$50:F$52,MATCH($D$5,'Company1808 Assumptions'!$C$50:$C$52,0))</f>
      </c>
      <c r="F26" s="25">
        <f>F14*INDEX('Company1808 Assumptions'!G$50:G$52,MATCH($D$5,'Company1808 Assumptions'!$C$50:$C$52,0))</f>
      </c>
      <c r="G26" s="25">
        <f>G14*INDEX('Company1808 Assumptions'!H$50:H$52,MATCH($D$5,'Company1808 Assumptions'!$C$50:$C$52,0))</f>
      </c>
      <c r="H26" s="25">
        <f>H14*INDEX('Company1808 Assumptions'!I$50:I$52,MATCH($D$5,'Company1808 Assumptions'!$C$50:$C$52,0))</f>
      </c>
      <c r="I26" s="25">
        <f>I14*INDEX('Company1808 Assumptions'!J$50:J$52,MATCH($D$5,'Company1808 Assumptions'!$C$50:$C$52,0))</f>
      </c>
      <c r="J26" s="25">
        <f>J14*INDEX('Company1808 Assumptions'!K$50:K$52,MATCH($D$5,'Company1808 Assumptions'!$C$50:$C$52,0))</f>
      </c>
    </row>
    <row r="27" spans="2:10" ht="15.75" customHeight="1" x14ac:dyDescent="0.3">
      <c r="B27" s="26" t="s">
        <v>53</v>
      </c>
      <c r="C27" s="27">
        <f t="shared" ref="C27:J27" si="4">SUM(C23:C26)</f>
      </c>
      <c r="D27" s="27">
        <f t="shared" si="4"/>
      </c>
      <c r="E27" s="27">
        <f t="shared" si="4"/>
      </c>
      <c r="F27" s="27">
        <f t="shared" si="4"/>
      </c>
      <c r="G27" s="27">
        <f t="shared" si="4"/>
      </c>
      <c r="H27" s="27">
        <f t="shared" si="4"/>
      </c>
      <c r="I27" s="27">
        <f t="shared" si="4"/>
      </c>
      <c r="J27" s="27">
        <f t="shared" si="4"/>
      </c>
    </row>
    <row r="29" spans="2:10" ht="15.75" customHeight="1" x14ac:dyDescent="0.3">
      <c r="B29" s="33" t="s">
        <v>54</v>
      </c>
      <c r="C29" s="30">
        <f t="shared" ref="C29:J29" si="5">C20-C27</f>
      </c>
      <c r="D29" s="30">
        <f t="shared" si="5"/>
      </c>
      <c r="E29" s="30">
        <f t="shared" si="5"/>
      </c>
      <c r="F29" s="30">
        <f t="shared" si="5"/>
      </c>
      <c r="G29" s="30">
        <f t="shared" si="5"/>
      </c>
      <c r="H29" s="30">
        <f t="shared" si="5"/>
      </c>
      <c r="I29" s="30">
        <f t="shared" si="5"/>
      </c>
      <c r="J29" s="30">
        <f t="shared" si="5"/>
      </c>
    </row>
    <row r="30" spans="2:10" ht="15.75" customHeight="1" x14ac:dyDescent="0.3">
      <c r="B30" s="32" t="s">
        <v>55</v>
      </c>
      <c r="C30" s="29">
        <f t="shared" ref="C30:J30" si="6">C29/C14</f>
      </c>
      <c r="D30" s="29">
        <f t="shared" si="6"/>
      </c>
      <c r="E30" s="29">
        <f t="shared" si="6"/>
      </c>
      <c r="F30" s="29">
        <f t="shared" si="6"/>
      </c>
      <c r="G30" s="29">
        <f t="shared" si="6"/>
      </c>
      <c r="H30" s="29">
        <f t="shared" si="6"/>
      </c>
      <c r="I30" s="29">
        <f t="shared" si="6"/>
      </c>
      <c r="J30" s="29">
        <f t="shared" si="6"/>
      </c>
    </row>
    <row r="32" spans="2:10" ht="15.75" customHeight="1" x14ac:dyDescent="0.3">
      <c r="B32" s="34" t="s">
        <v>56</v>
      </c>
      <c r="C32" s="25">
        <f>40000*INDEX('Company1808 Assumptions'!$D$88:$D$90,MATCH($D$5,'Company1808 Assumptions'!$C$88:$C$90,0))</f>
      </c>
      <c r="D32" s="25">
        <f>40000*INDEX('Company1808 Assumptions'!$E$88:$E$90,MATCH($D$5,'Company1808 Assumptions'!$C$88:$C$90,0))</f>
      </c>
      <c r="E32" s="25">
        <f>40000*INDEX('Company1808 Assumptions'!$F$88:$F$90,MATCH($D$5,'Company1808 Assumptions'!$C$88:$C$90,0))</f>
      </c>
      <c r="F32" s="25">
        <f>45000*INDEX('Company1808 Assumptions'!$G$88:$G$90,MATCH($D$5,'Company1808 Assumptions'!$C$88:$C$90,0))</f>
      </c>
      <c r="G32" s="25">
        <f>50000*INDEX('Company1808 Assumptions'!$H$88:$H$90,MATCH($D$5,'Company1808 Assumptions'!$C$88:$C$90,0))</f>
      </c>
      <c r="H32" s="25">
        <f>55000*INDEX('Company1808 Assumptions'!$I$88:$I$90,MATCH($D$5,'Company1808 Assumptions'!$C$88:$C$90,0))</f>
      </c>
      <c r="I32" s="25">
        <f>60000*INDEX('Company1808 Assumptions'!$J$88:$J$90,MATCH($D$5,'Company1808 Assumptions'!$C$88:$C$90,0))</f>
      </c>
      <c r="J32" s="25">
        <f>65000*INDEX('Company1808 Assumptions'!$K$88:$K$90,MATCH($D$5,'Company1808 Assumptions'!$C$88:$C$90,0))</f>
      </c>
    </row>
    <row r="34" spans="2:10" ht="15.75" customHeight="1" x14ac:dyDescent="0.3">
      <c r="B34" s="31" t="s">
        <v>57</v>
      </c>
      <c r="C34" s="30">
        <f t="shared" ref="C34:J34" si="7">C29+C32</f>
      </c>
      <c r="D34" s="30">
        <f t="shared" si="7"/>
      </c>
      <c r="E34" s="30">
        <f t="shared" si="7"/>
      </c>
      <c r="F34" s="30">
        <f t="shared" si="7"/>
      </c>
      <c r="G34" s="30">
        <f t="shared" si="7"/>
      </c>
      <c r="H34" s="30">
        <f t="shared" si="7"/>
      </c>
      <c r="I34" s="30">
        <f t="shared" si="7"/>
      </c>
      <c r="J34" s="30">
        <f t="shared" si="7"/>
      </c>
    </row>
    <row r="35" spans="2:10" ht="15.75" customHeight="1" x14ac:dyDescent="0.3">
      <c r="B35" s="34" t="s">
        <v>58</v>
      </c>
      <c r="C35" s="25">
        <f>C34*INDEX('Company1808 Assumptions'!D$81:D$83,MATCH($D$5,'Company1808 Assumptions'!$C$81:$C$83,0))</f>
      </c>
      <c r="D35" s="25">
        <f>D34*INDEX('Company1808 Assumptions'!E$81:E$83,MATCH($D$5,'Company1808 Assumptions'!$C$81:$C$83,0))</f>
      </c>
      <c r="E35" s="25">
        <f>E34*INDEX('Company1808 Assumptions'!F$81:F$83,MATCH($D$5,'Company1808 Assumptions'!$C$81:$C$83,0))</f>
      </c>
      <c r="F35" s="25">
        <f>F34*INDEX('Company1808 Assumptions'!G$81:G$83,MATCH($D$5,'Company1808 Assumptions'!$C$81:$C$83,0))</f>
      </c>
      <c r="G35" s="25">
        <f>G34*INDEX('Company1808 Assumptions'!H$81:H$83,MATCH($D$5,'Company1808 Assumptions'!$C$81:$C$83,0))</f>
      </c>
      <c r="H35" s="25">
        <f>H34*INDEX('Company1808 Assumptions'!I$81:I$83,MATCH($D$5,'Company1808 Assumptions'!$C$81:$C$83,0))</f>
      </c>
      <c r="I35" s="25">
        <f>I34*INDEX('Company1808 Assumptions'!J$81:J$83,MATCH($D$5,'Company1808 Assumptions'!$C$81:$C$83,0))</f>
      </c>
      <c r="J35" s="25">
        <f>J34*INDEX('Company1808 Assumptions'!K$81:K$83,MATCH($D$5,'Company1808 Assumptions'!$C$81:$C$83,0))</f>
      </c>
    </row>
    <row r="37" spans="2:10" ht="15.75" customHeight="1" x14ac:dyDescent="0.3">
      <c r="B37" s="36" t="s">
        <v>59</v>
      </c>
      <c r="C37" s="35">
        <f t="shared" ref="C37:J37" si="8">C34-C35</f>
      </c>
      <c r="D37" s="35">
        <f t="shared" si="8"/>
      </c>
      <c r="E37" s="35">
        <f t="shared" si="8"/>
      </c>
      <c r="F37" s="35">
        <f t="shared" si="8"/>
      </c>
      <c r="G37" s="35">
        <f t="shared" si="8"/>
      </c>
      <c r="H37" s="35">
        <f t="shared" si="8"/>
      </c>
      <c r="I37" s="35">
        <f t="shared" si="8"/>
      </c>
      <c r="J37" s="35">
        <f t="shared" si="8"/>
      </c>
    </row>
    <row r="38" spans="2:10" ht="15.75" customHeight="1" x14ac:dyDescent="0.3">
      <c r="B38" s="32" t="s">
        <v>60</v>
      </c>
      <c r="C38" s="29">
        <f t="shared" ref="C38:J38" si="9">C37/C14</f>
      </c>
      <c r="D38" s="29">
        <f t="shared" si="9"/>
      </c>
      <c r="E38" s="29">
        <f t="shared" si="9"/>
      </c>
      <c r="F38" s="29">
        <f t="shared" si="9"/>
      </c>
      <c r="G38" s="29">
        <f t="shared" si="9"/>
      </c>
      <c r="H38" s="29">
        <f t="shared" si="9"/>
      </c>
      <c r="I38" s="29">
        <f t="shared" si="9"/>
      </c>
      <c r="J38" s="29">
        <f t="shared" si="9"/>
      </c>
    </row>
    <row r="40" spans="2:10" ht="15" customHeight="1" x14ac:dyDescent="0.3">
      <c r="B40" s="10" t="s">
        <v>61</v>
      </c>
      <c r="C40" s="10"/>
      <c r="D40" s="10"/>
      <c r="E40" s="10"/>
      <c r="F40" s="10"/>
      <c r="G40" s="10"/>
      <c r="H40" s="10"/>
      <c r="I40" s="10"/>
      <c r="J40" s="10"/>
    </row>
    <row r="42" spans="2:10" ht="15.75" customHeight="1" x14ac:dyDescent="0.3">
      <c r="B42" s="34" t="s">
        <v>62</v>
      </c>
      <c r="C42" s="38">
        <v>2800</v>
      </c>
      <c r="D42" s="38">
        <v>2750</v>
      </c>
      <c r="E42" s="38">
        <v>2700</v>
      </c>
      <c r="F42" s="38">
        <v>2650</v>
      </c>
      <c r="G42" s="38">
        <v>2600</v>
      </c>
      <c r="H42" s="38">
        <v>2550</v>
      </c>
      <c r="I42" s="38">
        <v>2500</v>
      </c>
      <c r="J42" s="38">
        <v>2450</v>
      </c>
    </row>
    <row r="43" spans="2:10" ht="15.75" customHeight="1" x14ac:dyDescent="0.3">
      <c r="B43" s="31" t="s">
        <v>63</v>
      </c>
      <c r="C43" s="46">
        <f t="shared" ref="C43:J43" si="10">C37/C42</f>
      </c>
      <c r="D43" s="46">
        <f t="shared" si="10"/>
      </c>
      <c r="E43" s="46">
        <f t="shared" si="10"/>
      </c>
      <c r="F43" s="46">
        <f t="shared" si="10"/>
      </c>
      <c r="G43" s="46">
        <f t="shared" si="10"/>
      </c>
      <c r="H43" s="46">
        <f t="shared" si="10"/>
      </c>
      <c r="I43" s="46">
        <f t="shared" si="10"/>
      </c>
      <c r="J43" s="46">
        <f t="shared" si="10"/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Company1153 Assumptions</vt:lpstr>
      <vt:lpstr>Company1808 Assumptions</vt:lpstr>
      <vt:lpstr>Company1153 IS</vt:lpstr>
      <vt:lpstr>Company1808 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