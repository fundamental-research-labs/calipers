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autoCompressPictures="0"/>
  <bookViews>
    <workbookView xWindow="21280" yWindow="500" windowWidth="29920" windowHeight="28300" xr2:uid="{00000000-000D-0000-FFFF-FFFF00000000}"/>
  </bookViews>
  <sheets>
    <sheet name="Debt-Equity-60-Minutes" sheetId="1" r:id="rId1"/>
  </sheets>
  <definedNames>
    <definedName name="Company_Name">'Debt-Equity-60-Minutes'!$D$7</definedName>
    <definedName name="Enterprise_Value">'Debt-Equity-60-Minutes'!$J$15</definedName>
    <definedName name="Equity_Value">'Debt-Equity-60-Minutes'!$J$11</definedName>
    <definedName name="Hist_Year">'Debt-Equity-60-Minutes'!$D$8</definedName>
    <definedName name="LTM_EBITDA">'Debt-Equity-60-Minutes'!$G$86</definedName>
    <definedName name="Million">'Debt-Equity-60-Minutes'!$D$9</definedName>
    <definedName name="Min_Cash">'Debt-Equity-60-Minutes'!$J$9</definedName>
    <definedName name="_xlnm.Print_Area" localSheetId="0">'Debt-Equity-60-Minutes'!$A$1:$M$194</definedName>
    <definedName name="Scenario">'Debt-Equity-60-Minutes'!$J$7</definedName>
    <definedName name="Share_Price">'Debt-Equity-60-Minutes'!$D$12</definedName>
    <definedName name="Shares">'Debt-Equity-60-Minutes'!$D$13</definedName>
    <definedName name="Tax_Rate">'Debt-Equity-60-Minutes'!$J$8</definedName>
    <definedName name="Thousand">'Debt-Equity-60-Minutes'!$D$10</definedName>
  </definedNames>
  <calcPr calcId="191029" calcMode="autoNoTable" iterate="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8" i="1" l="1"/>
  <c r="F168" i="1"/>
  <c r="E168" i="1"/>
  <c r="J128" i="1"/>
  <c r="I128" i="1"/>
  <c r="H128" i="1"/>
  <c r="H134" i="1" s="1"/>
  <c r="H90" i="1" s="1"/>
  <c r="L126" i="1"/>
  <c r="K126" i="1"/>
  <c r="J126" i="1"/>
  <c r="I126" i="1"/>
  <c r="I141" i="1"/>
  <c r="J141" i="1"/>
  <c r="K141" i="1"/>
  <c r="L141" i="1"/>
  <c r="E150" i="1"/>
  <c r="E161" i="1"/>
  <c r="E160" i="1"/>
  <c r="G156" i="1"/>
  <c r="H154" i="1" s="1"/>
  <c r="H156" i="1" s="1"/>
  <c r="H141" i="1"/>
  <c r="F128" i="1"/>
  <c r="L128" i="1" s="1"/>
  <c r="F127" i="1"/>
  <c r="E127" i="1"/>
  <c r="G126" i="1"/>
  <c r="H126" i="1" s="1"/>
  <c r="H132" i="1" s="1"/>
  <c r="F125" i="1"/>
  <c r="K125" i="1" s="1"/>
  <c r="E125" i="1"/>
  <c r="J125" i="1" s="1"/>
  <c r="G116" i="1"/>
  <c r="G113" i="1"/>
  <c r="H138" i="1" s="1"/>
  <c r="F116" i="1"/>
  <c r="F170" i="1" s="1"/>
  <c r="E116" i="1"/>
  <c r="E181" i="1" s="1"/>
  <c r="F114" i="1"/>
  <c r="F181" i="1" s="1"/>
  <c r="E114" i="1"/>
  <c r="F113" i="1"/>
  <c r="E113" i="1"/>
  <c r="J13" i="1"/>
  <c r="J12" i="1"/>
  <c r="E20" i="1"/>
  <c r="E22" i="1"/>
  <c r="I102" i="1"/>
  <c r="J102" i="1"/>
  <c r="K102" i="1"/>
  <c r="L102" i="1"/>
  <c r="H102" i="1"/>
  <c r="H75" i="1"/>
  <c r="H81" i="1" s="1"/>
  <c r="I39" i="1"/>
  <c r="J39" i="1"/>
  <c r="K39" i="1"/>
  <c r="L39" i="1"/>
  <c r="H39" i="1"/>
  <c r="I125" i="1" l="1"/>
  <c r="H125" i="1"/>
  <c r="J127" i="1"/>
  <c r="K127" i="1"/>
  <c r="L127" i="1"/>
  <c r="F182" i="1"/>
  <c r="F171" i="1"/>
  <c r="I154" i="1"/>
  <c r="I156" i="1" s="1"/>
  <c r="I132" i="1"/>
  <c r="L125" i="1"/>
  <c r="K128" i="1"/>
  <c r="E170" i="1"/>
  <c r="I75" i="1"/>
  <c r="I127" i="1"/>
  <c r="H127" i="1"/>
  <c r="J75" i="1" l="1"/>
  <c r="I81" i="1"/>
  <c r="E171" i="1"/>
  <c r="E182" i="1"/>
  <c r="J132" i="1"/>
  <c r="J154" i="1"/>
  <c r="J156" i="1" s="1"/>
  <c r="K154" i="1" l="1"/>
  <c r="K156" i="1" s="1"/>
  <c r="K132" i="1"/>
  <c r="J81" i="1"/>
  <c r="K75" i="1"/>
  <c r="K81" i="1" l="1"/>
  <c r="L75" i="1"/>
  <c r="L81" i="1" s="1"/>
  <c r="L154" i="1"/>
  <c r="L156" i="1" s="1"/>
  <c r="L132" i="1"/>
  <c r="G25" i="1" l="1"/>
  <c r="F25" i="1" s="1"/>
  <c r="E25" i="1" s="1"/>
  <c r="H25" i="1" l="1"/>
  <c r="I25" i="1" l="1"/>
  <c r="H27" i="1"/>
  <c r="D14" i="1"/>
  <c r="J11" i="1" s="1"/>
  <c r="J15" i="1" s="1"/>
  <c r="J25" i="1" l="1"/>
  <c r="I27" i="1"/>
  <c r="C128" i="1"/>
  <c r="C127" i="1"/>
  <c r="C126" i="1"/>
  <c r="C125" i="1"/>
  <c r="K25" i="1" l="1"/>
  <c r="J27" i="1"/>
  <c r="F66" i="1"/>
  <c r="G66" i="1"/>
  <c r="E66" i="1"/>
  <c r="F62" i="1"/>
  <c r="G62" i="1"/>
  <c r="E62" i="1"/>
  <c r="G61" i="1"/>
  <c r="F61" i="1"/>
  <c r="F58" i="1"/>
  <c r="G58" i="1"/>
  <c r="E58" i="1"/>
  <c r="F55" i="1"/>
  <c r="G55" i="1"/>
  <c r="E55" i="1"/>
  <c r="C55" i="1"/>
  <c r="C54" i="1"/>
  <c r="C53" i="1"/>
  <c r="C52" i="1"/>
  <c r="C51" i="1"/>
  <c r="C48" i="1"/>
  <c r="C47" i="1"/>
  <c r="C46" i="1"/>
  <c r="C45" i="1"/>
  <c r="C44" i="1"/>
  <c r="F48" i="1"/>
  <c r="G48" i="1"/>
  <c r="E48" i="1"/>
  <c r="F41" i="1"/>
  <c r="G41" i="1"/>
  <c r="H41" i="1" s="1"/>
  <c r="I41" i="1" s="1"/>
  <c r="J41" i="1" s="1"/>
  <c r="K41" i="1" s="1"/>
  <c r="L41" i="1" s="1"/>
  <c r="E41" i="1"/>
  <c r="K55" i="1" l="1"/>
  <c r="K101" i="1" s="1"/>
  <c r="J55" i="1"/>
  <c r="J101" i="1" s="1"/>
  <c r="H55" i="1"/>
  <c r="H101" i="1" s="1"/>
  <c r="I55" i="1"/>
  <c r="I101" i="1" s="1"/>
  <c r="L55" i="1"/>
  <c r="L101" i="1" s="1"/>
  <c r="H66" i="1"/>
  <c r="I66" i="1" s="1"/>
  <c r="J66" i="1" s="1"/>
  <c r="K66" i="1" s="1"/>
  <c r="L66" i="1" s="1"/>
  <c r="I48" i="1"/>
  <c r="L48" i="1"/>
  <c r="H48" i="1"/>
  <c r="K48" i="1"/>
  <c r="J48" i="1"/>
  <c r="L25" i="1"/>
  <c r="L27" i="1" s="1"/>
  <c r="K27" i="1"/>
  <c r="G109" i="1"/>
  <c r="F109" i="1"/>
  <c r="F115" i="1" s="1"/>
  <c r="E109" i="1"/>
  <c r="E115" i="1" s="1"/>
  <c r="G97" i="1"/>
  <c r="F97" i="1"/>
  <c r="E97" i="1"/>
  <c r="C81" i="1"/>
  <c r="C80" i="1" l="1"/>
  <c r="G82" i="1"/>
  <c r="F82" i="1"/>
  <c r="F89" i="1" s="1"/>
  <c r="F93" i="1" s="1"/>
  <c r="F95" i="1" s="1"/>
  <c r="E82" i="1"/>
  <c r="E89" i="1" s="1"/>
  <c r="E93" i="1" s="1"/>
  <c r="E95" i="1" s="1"/>
  <c r="E193" i="1" s="1"/>
  <c r="E76" i="1"/>
  <c r="E64" i="1" s="1"/>
  <c r="H64" i="1" s="1"/>
  <c r="I64" i="1" s="1"/>
  <c r="J64" i="1" s="1"/>
  <c r="K64" i="1" s="1"/>
  <c r="L64" i="1" s="1"/>
  <c r="F76" i="1"/>
  <c r="F64" i="1" s="1"/>
  <c r="G76" i="1"/>
  <c r="G64" i="1" s="1"/>
  <c r="F193" i="1" l="1"/>
  <c r="G89" i="1"/>
  <c r="G93" i="1" s="1"/>
  <c r="G95" i="1" s="1"/>
  <c r="G193" i="1" s="1"/>
  <c r="G68" i="1"/>
  <c r="G67" i="1"/>
  <c r="F104" i="1"/>
  <c r="F69" i="1"/>
  <c r="F68" i="1"/>
  <c r="F67" i="1"/>
  <c r="E77" i="1"/>
  <c r="E190" i="1" s="1"/>
  <c r="E68" i="1"/>
  <c r="H68" i="1" s="1"/>
  <c r="I68" i="1" s="1"/>
  <c r="J68" i="1" s="1"/>
  <c r="K68" i="1" s="1"/>
  <c r="L68" i="1" s="1"/>
  <c r="E104" i="1"/>
  <c r="E69" i="1"/>
  <c r="G77" i="1"/>
  <c r="G190" i="1" s="1"/>
  <c r="F77" i="1"/>
  <c r="F190" i="1" s="1"/>
  <c r="E86" i="1"/>
  <c r="E167" i="1" s="1"/>
  <c r="E83" i="1"/>
  <c r="E191" i="1" s="1"/>
  <c r="F83" i="1"/>
  <c r="F191" i="1" s="1"/>
  <c r="F86" i="1"/>
  <c r="F167" i="1" s="1"/>
  <c r="G83" i="1"/>
  <c r="G191" i="1" s="1"/>
  <c r="G86" i="1"/>
  <c r="D20" i="1" l="1"/>
  <c r="G167" i="1"/>
  <c r="G178" i="1" s="1"/>
  <c r="D22" i="1"/>
  <c r="E19" i="1"/>
  <c r="E21" i="1"/>
  <c r="G162" i="1" s="1"/>
  <c r="E178" i="1"/>
  <c r="E173" i="1"/>
  <c r="E175" i="1"/>
  <c r="F173" i="1"/>
  <c r="F178" i="1"/>
  <c r="F175" i="1"/>
  <c r="G69" i="1"/>
  <c r="H69" i="1" s="1"/>
  <c r="I69" i="1" s="1"/>
  <c r="J69" i="1" s="1"/>
  <c r="K69" i="1" s="1"/>
  <c r="L69" i="1" s="1"/>
  <c r="G104" i="1"/>
  <c r="F87" i="1"/>
  <c r="F192" i="1" s="1"/>
  <c r="G87" i="1"/>
  <c r="G192" i="1" s="1"/>
  <c r="E87" i="1"/>
  <c r="E192" i="1" s="1"/>
  <c r="D165" i="1"/>
  <c r="H164" i="1"/>
  <c r="E164" i="1"/>
  <c r="G151" i="1" l="1"/>
  <c r="G114" i="1"/>
  <c r="H159" i="1"/>
  <c r="H160" i="1"/>
  <c r="H140" i="1" s="1"/>
  <c r="H133" i="1"/>
  <c r="H118" i="1"/>
  <c r="E118" i="1"/>
  <c r="D119" i="1"/>
  <c r="D72" i="1"/>
  <c r="G173" i="1" l="1"/>
  <c r="G170" i="1"/>
  <c r="G171" i="1" s="1"/>
  <c r="G115" i="1"/>
  <c r="G175" i="1" s="1"/>
  <c r="G181" i="1"/>
  <c r="G182" i="1"/>
  <c r="H131" i="1"/>
  <c r="H148" i="1"/>
  <c r="H71" i="1"/>
  <c r="E71" i="1"/>
  <c r="B2" i="1"/>
  <c r="H135" i="1" l="1"/>
  <c r="H91" i="1"/>
  <c r="H168" i="1" s="1"/>
  <c r="G165" i="1"/>
  <c r="G119" i="1"/>
  <c r="G72" i="1"/>
  <c r="H165" i="1" l="1"/>
  <c r="G27" i="1"/>
  <c r="F119" i="1"/>
  <c r="F165" i="1"/>
  <c r="H119" i="1"/>
  <c r="F72" i="1"/>
  <c r="F27" i="1"/>
  <c r="F32" i="1" s="1"/>
  <c r="H72" i="1"/>
  <c r="G32" i="1" l="1"/>
  <c r="H32" i="1" s="1"/>
  <c r="E165" i="1"/>
  <c r="E27" i="1"/>
  <c r="I119" i="1"/>
  <c r="I165" i="1"/>
  <c r="E72" i="1"/>
  <c r="E119" i="1"/>
  <c r="I72" i="1"/>
  <c r="H29" i="1" l="1"/>
  <c r="H74" i="1" s="1"/>
  <c r="I32" i="1"/>
  <c r="G39" i="1"/>
  <c r="E32" i="1"/>
  <c r="F39" i="1" s="1"/>
  <c r="J119" i="1"/>
  <c r="J165" i="1"/>
  <c r="J72" i="1"/>
  <c r="J32" i="1" l="1"/>
  <c r="I29" i="1"/>
  <c r="I74" i="1" s="1"/>
  <c r="H80" i="1"/>
  <c r="H82" i="1" s="1"/>
  <c r="H76" i="1"/>
  <c r="H85" i="1"/>
  <c r="H97" i="1" s="1"/>
  <c r="K119" i="1"/>
  <c r="K165" i="1"/>
  <c r="K72" i="1"/>
  <c r="H86" i="1" l="1"/>
  <c r="H83" i="1"/>
  <c r="H191" i="1" s="1"/>
  <c r="H89" i="1"/>
  <c r="H92" i="1"/>
  <c r="H99" i="1"/>
  <c r="H100" i="1"/>
  <c r="H77" i="1"/>
  <c r="H190" i="1" s="1"/>
  <c r="I80" i="1"/>
  <c r="I82" i="1" s="1"/>
  <c r="I76" i="1"/>
  <c r="I85" i="1"/>
  <c r="I97" i="1" s="1"/>
  <c r="K32" i="1"/>
  <c r="J29" i="1"/>
  <c r="J74" i="1" s="1"/>
  <c r="L165" i="1"/>
  <c r="L72" i="1"/>
  <c r="L119" i="1"/>
  <c r="J76" i="1" l="1"/>
  <c r="J85" i="1"/>
  <c r="J97" i="1" s="1"/>
  <c r="J80" i="1"/>
  <c r="J82" i="1" s="1"/>
  <c r="I99" i="1"/>
  <c r="I92" i="1"/>
  <c r="I77" i="1"/>
  <c r="I190" i="1" s="1"/>
  <c r="I100" i="1"/>
  <c r="L32" i="1"/>
  <c r="L29" i="1" s="1"/>
  <c r="L74" i="1" s="1"/>
  <c r="K29" i="1"/>
  <c r="K74" i="1" s="1"/>
  <c r="I89" i="1"/>
  <c r="I83" i="1"/>
  <c r="I191" i="1" s="1"/>
  <c r="I86" i="1"/>
  <c r="H93" i="1"/>
  <c r="H87" i="1"/>
  <c r="H192" i="1" s="1"/>
  <c r="H167" i="1"/>
  <c r="H178" i="1" s="1"/>
  <c r="L80" i="1" l="1"/>
  <c r="L82" i="1" s="1"/>
  <c r="L85" i="1"/>
  <c r="L97" i="1" s="1"/>
  <c r="L76" i="1"/>
  <c r="I87" i="1"/>
  <c r="I192" i="1" s="1"/>
  <c r="I167" i="1"/>
  <c r="K85" i="1"/>
  <c r="K97" i="1" s="1"/>
  <c r="K76" i="1"/>
  <c r="K80" i="1"/>
  <c r="K82" i="1" s="1"/>
  <c r="J89" i="1"/>
  <c r="J83" i="1"/>
  <c r="J191" i="1" s="1"/>
  <c r="J86" i="1"/>
  <c r="H94" i="1"/>
  <c r="H98" i="1" s="1"/>
  <c r="J77" i="1"/>
  <c r="J190" i="1" s="1"/>
  <c r="J100" i="1"/>
  <c r="J99" i="1"/>
  <c r="J92" i="1"/>
  <c r="J87" i="1" l="1"/>
  <c r="J192" i="1" s="1"/>
  <c r="J167" i="1"/>
  <c r="K99" i="1"/>
  <c r="K92" i="1"/>
  <c r="K77" i="1"/>
  <c r="K190" i="1" s="1"/>
  <c r="K100" i="1"/>
  <c r="L77" i="1"/>
  <c r="L190" i="1" s="1"/>
  <c r="L92" i="1"/>
  <c r="L100" i="1"/>
  <c r="L99" i="1"/>
  <c r="K83" i="1"/>
  <c r="K191" i="1" s="1"/>
  <c r="K89" i="1"/>
  <c r="K86" i="1"/>
  <c r="H95" i="1"/>
  <c r="L89" i="1"/>
  <c r="L83" i="1"/>
  <c r="L191" i="1" s="1"/>
  <c r="L86" i="1"/>
  <c r="L87" i="1" l="1"/>
  <c r="L192" i="1" s="1"/>
  <c r="L167" i="1"/>
  <c r="H193" i="1"/>
  <c r="H103" i="1"/>
  <c r="H116" i="1" s="1"/>
  <c r="H104" i="1"/>
  <c r="K87" i="1"/>
  <c r="K192" i="1" s="1"/>
  <c r="K167" i="1"/>
  <c r="H139" i="1" l="1"/>
  <c r="H142" i="1" s="1"/>
  <c r="H187" i="1"/>
  <c r="H150" i="1" l="1"/>
  <c r="H149" i="1"/>
  <c r="H143" i="1" l="1"/>
  <c r="H151" i="1"/>
  <c r="I148" i="1" l="1"/>
  <c r="I131" i="1"/>
  <c r="H144" i="1"/>
  <c r="H161" i="1" l="1"/>
  <c r="H145" i="1" l="1"/>
  <c r="H162" i="1"/>
  <c r="I159" i="1" s="1"/>
  <c r="I133" i="1" l="1"/>
  <c r="H184" i="1"/>
  <c r="H185" i="1" s="1"/>
  <c r="H114" i="1"/>
  <c r="H113" i="1"/>
  <c r="H146" i="1"/>
  <c r="I138" i="1" l="1"/>
  <c r="I134" i="1"/>
  <c r="I90" i="1" s="1"/>
  <c r="H173" i="1"/>
  <c r="H170" i="1"/>
  <c r="H171" i="1" s="1"/>
  <c r="H181" i="1"/>
  <c r="H115" i="1"/>
  <c r="H175" i="1" s="1"/>
  <c r="H182" i="1"/>
  <c r="I91" i="1"/>
  <c r="I168" i="1" s="1"/>
  <c r="I178" i="1" s="1"/>
  <c r="I135" i="1"/>
  <c r="I160" i="1"/>
  <c r="I140" i="1" s="1"/>
  <c r="I93" i="1" l="1"/>
  <c r="I94" i="1" l="1"/>
  <c r="I98" i="1" s="1"/>
  <c r="I95" i="1"/>
  <c r="I193" i="1" l="1"/>
  <c r="I103" i="1"/>
  <c r="I104" i="1" s="1"/>
  <c r="I116" i="1"/>
  <c r="I187" i="1" l="1"/>
  <c r="I139" i="1"/>
  <c r="I142" i="1" s="1"/>
  <c r="I149" i="1" l="1"/>
  <c r="I150" i="1"/>
  <c r="I143" i="1" l="1"/>
  <c r="I151" i="1"/>
  <c r="J148" i="1" l="1"/>
  <c r="J131" i="1"/>
  <c r="I144" i="1"/>
  <c r="I161" i="1" l="1"/>
  <c r="I145" i="1" l="1"/>
  <c r="I162" i="1"/>
  <c r="J133" i="1" l="1"/>
  <c r="J159" i="1"/>
  <c r="I114" i="1"/>
  <c r="I113" i="1"/>
  <c r="I184" i="1"/>
  <c r="I185" i="1" s="1"/>
  <c r="I146" i="1"/>
  <c r="J138" i="1" l="1"/>
  <c r="J134" i="1"/>
  <c r="J90" i="1" s="1"/>
  <c r="I173" i="1"/>
  <c r="I115" i="1"/>
  <c r="I175" i="1" s="1"/>
  <c r="I181" i="1"/>
  <c r="I170" i="1"/>
  <c r="I171" i="1" s="1"/>
  <c r="J160" i="1"/>
  <c r="J140" i="1" s="1"/>
  <c r="J91" i="1"/>
  <c r="J168" i="1" s="1"/>
  <c r="J178" i="1" s="1"/>
  <c r="I182" i="1" l="1"/>
  <c r="J93" i="1"/>
  <c r="J135" i="1"/>
  <c r="J94" i="1" l="1"/>
  <c r="J98" i="1" s="1"/>
  <c r="J95" i="1" l="1"/>
  <c r="J193" i="1" s="1"/>
  <c r="J103" i="1" l="1"/>
  <c r="J104" i="1" l="1"/>
  <c r="J116" i="1"/>
  <c r="J139" i="1" l="1"/>
  <c r="J142" i="1" s="1"/>
  <c r="J187" i="1"/>
  <c r="J150" i="1" l="1"/>
  <c r="J149" i="1"/>
  <c r="J143" i="1" l="1"/>
  <c r="J144" i="1" s="1"/>
  <c r="J151" i="1"/>
  <c r="J161" i="1"/>
  <c r="K148" i="1" l="1"/>
  <c r="K131" i="1"/>
  <c r="J145" i="1"/>
  <c r="J162" i="1"/>
  <c r="K159" i="1" l="1"/>
  <c r="K133" i="1"/>
  <c r="J184" i="1"/>
  <c r="J185" i="1" s="1"/>
  <c r="J114" i="1"/>
  <c r="J113" i="1"/>
  <c r="J146" i="1"/>
  <c r="K134" i="1" l="1"/>
  <c r="K90" i="1" s="1"/>
  <c r="K138" i="1"/>
  <c r="J173" i="1"/>
  <c r="J170" i="1"/>
  <c r="J171" i="1" s="1"/>
  <c r="J181" i="1"/>
  <c r="J115" i="1"/>
  <c r="J175" i="1" s="1"/>
  <c r="J182" i="1"/>
  <c r="K91" i="1"/>
  <c r="K168" i="1" s="1"/>
  <c r="K178" i="1" s="1"/>
  <c r="K160" i="1"/>
  <c r="K140" i="1" s="1"/>
  <c r="K135" i="1" l="1"/>
  <c r="K93" i="1"/>
  <c r="K94" i="1" l="1"/>
  <c r="K98" i="1" s="1"/>
  <c r="K95" i="1"/>
  <c r="K193" i="1" l="1"/>
  <c r="K103" i="1"/>
  <c r="K104" i="1" s="1"/>
  <c r="K116" i="1"/>
  <c r="K139" i="1" l="1"/>
  <c r="K142" i="1" s="1"/>
  <c r="K187" i="1"/>
  <c r="K150" i="1" l="1"/>
  <c r="K149" i="1"/>
  <c r="K143" i="1" l="1"/>
  <c r="K151" i="1"/>
  <c r="L131" i="1" l="1"/>
  <c r="L148" i="1"/>
  <c r="K144" i="1"/>
  <c r="K161" i="1" l="1"/>
  <c r="K145" i="1" l="1"/>
  <c r="K162" i="1"/>
  <c r="L159" i="1" l="1"/>
  <c r="L133" i="1"/>
  <c r="K114" i="1"/>
  <c r="K184" i="1"/>
  <c r="K185" i="1" s="1"/>
  <c r="K113" i="1"/>
  <c r="K146" i="1"/>
  <c r="L138" i="1" l="1"/>
  <c r="L134" i="1"/>
  <c r="L90" i="1" s="1"/>
  <c r="K170" i="1"/>
  <c r="K171" i="1" s="1"/>
  <c r="K173" i="1"/>
  <c r="K181" i="1"/>
  <c r="K115" i="1"/>
  <c r="K175" i="1" s="1"/>
  <c r="K182" i="1"/>
  <c r="L91" i="1"/>
  <c r="L168" i="1" s="1"/>
  <c r="L178" i="1" s="1"/>
  <c r="L135" i="1"/>
  <c r="L160" i="1"/>
  <c r="L140" i="1" s="1"/>
  <c r="L93" i="1" l="1"/>
  <c r="L94" i="1" l="1"/>
  <c r="L98" i="1" s="1"/>
  <c r="L95" i="1" l="1"/>
  <c r="L193" i="1" l="1"/>
  <c r="L103" i="1"/>
  <c r="L104" i="1" s="1"/>
  <c r="L116" i="1"/>
  <c r="L139" i="1" l="1"/>
  <c r="L142" i="1" s="1"/>
  <c r="L187" i="1"/>
  <c r="L150" i="1" l="1"/>
  <c r="L149" i="1"/>
  <c r="L143" i="1" l="1"/>
  <c r="L151" i="1"/>
  <c r="L144" i="1" l="1"/>
  <c r="L161" i="1" l="1"/>
  <c r="L145" i="1" l="1"/>
  <c r="L162" i="1"/>
  <c r="L114" i="1" l="1"/>
  <c r="L184" i="1"/>
  <c r="L185" i="1" s="1"/>
  <c r="L113" i="1"/>
  <c r="L146" i="1"/>
  <c r="L181" i="1" l="1"/>
  <c r="L173" i="1"/>
  <c r="L115" i="1"/>
  <c r="L175" i="1" s="1"/>
  <c r="L170" i="1"/>
  <c r="L171" i="1" s="1"/>
  <c r="L182" i="1" l="1"/>
</calcChain>
</file>

<file path=xl/sharedStrings.xml><?xml version="1.0" encoding="utf-8"?>
<sst xmlns="http://schemas.openxmlformats.org/spreadsheetml/2006/main" count="273" uniqueCount="144">
  <si>
    <t>Assumptions:</t>
  </si>
  <si>
    <t>Company Name:</t>
  </si>
  <si>
    <t>Last Fiscal Year End:</t>
  </si>
  <si>
    <t>Central Japan Railway Co.</t>
  </si>
  <si>
    <t>Debt Schedule:</t>
  </si>
  <si>
    <t>Credit Stats and Ratios:</t>
  </si>
  <si>
    <t>Operating Scenario:</t>
  </si>
  <si>
    <t>Base</t>
  </si>
  <si>
    <t>Units:</t>
  </si>
  <si>
    <t>Historical</t>
  </si>
  <si>
    <t>Projected</t>
  </si>
  <si>
    <t>Pre-Tax Income:</t>
  </si>
  <si>
    <t>Net Income to Parent:</t>
  </si>
  <si>
    <t>(+) Depreciation &amp; Amortization:</t>
  </si>
  <si>
    <t>EBITDA:</t>
  </si>
  <si>
    <t>Operating Income:</t>
  </si>
  <si>
    <t>(-) Interest Expense:</t>
  </si>
  <si>
    <t>(-) Income Taxes:</t>
  </si>
  <si>
    <t>(+/-) Changes in Operating Assets &amp; Liabilities:</t>
  </si>
  <si>
    <t>(+) Free Cash Flow:</t>
  </si>
  <si>
    <t>Cash:</t>
  </si>
  <si>
    <t>Total Debt:</t>
  </si>
  <si>
    <t>Net Debt:</t>
  </si>
  <si>
    <t>LIBOR:</t>
  </si>
  <si>
    <t>Interest Expense:</t>
  </si>
  <si>
    <t>Revolver:</t>
  </si>
  <si>
    <t>Total Capital:</t>
  </si>
  <si>
    <t>Net Capital:</t>
  </si>
  <si>
    <t>Revenue Growth:</t>
  </si>
  <si>
    <t>Operating Margin:</t>
  </si>
  <si>
    <t>EBITDA Margin:</t>
  </si>
  <si>
    <t>Net Margin:</t>
  </si>
  <si>
    <t>Total Debt / EBITDA:</t>
  </si>
  <si>
    <t>Net Debt / EBITDA:</t>
  </si>
  <si>
    <t>EBITDA / Interest Expense:</t>
  </si>
  <si>
    <t>Total Debt / Equity:</t>
  </si>
  <si>
    <t>Cash Flow Projections:</t>
  </si>
  <si>
    <t>Operating Revenue:</t>
  </si>
  <si>
    <t>(+) Transportation:</t>
  </si>
  <si>
    <t>(¥ JPY in Billions Except Per Share and Per Unit Data)</t>
  </si>
  <si>
    <t>JPY B</t>
  </si>
  <si>
    <t>Total Operating Revenue:</t>
  </si>
  <si>
    <t>Total Operating Income:</t>
  </si>
  <si>
    <t>(+) Retail, Real Estate, and Other:</t>
  </si>
  <si>
    <t>%</t>
  </si>
  <si>
    <t>(+/-) Deferred Taxes:</t>
  </si>
  <si>
    <t>(-) Dividends:</t>
  </si>
  <si>
    <t>Common Equity:</t>
  </si>
  <si>
    <t>Passenger-Kilometers:</t>
  </si>
  <si>
    <t>Millions</t>
  </si>
  <si>
    <t>Operating Kilometers:</t>
  </si>
  <si>
    <t>Kilometers</t>
  </si>
  <si>
    <t>Average Traffic Density:</t>
  </si>
  <si>
    <t>Revenue and Expense Drivers:</t>
  </si>
  <si>
    <t>Days in Year:</t>
  </si>
  <si>
    <t># Days</t>
  </si>
  <si>
    <t>Conversion Units:</t>
  </si>
  <si>
    <t>Upside</t>
  </si>
  <si>
    <t>Downside</t>
  </si>
  <si>
    <t>Selected Scenario:</t>
  </si>
  <si>
    <t>Scenarios - Traffic Density Growth Rates:</t>
  </si>
  <si>
    <t>Extreme Downside</t>
  </si>
  <si>
    <t>Tax Rate:</t>
  </si>
  <si>
    <t>Transportation Revenue per Passenger-Kilometer:</t>
  </si>
  <si>
    <t>Conversion Units 2:</t>
  </si>
  <si>
    <t>JPY as Stated</t>
  </si>
  <si>
    <t>(-) Capital Expenditures:</t>
  </si>
  <si>
    <t>Scenarios - Transportation Operating Margin:</t>
  </si>
  <si>
    <t>(-) Capital Expenditures - Chuo Product0369:</t>
  </si>
  <si>
    <t>Scenarios - CapEx per Operating Kilometer:</t>
  </si>
  <si>
    <t>JPY B / Kilo.</t>
  </si>
  <si>
    <t>Capital Expenditures - Chuo Product0369:</t>
  </si>
  <si>
    <t>Depreciation &amp; Amortization % Transportation Rev.:</t>
  </si>
  <si>
    <t>Deferred Taxes % Income Taxes:</t>
  </si>
  <si>
    <t>Changes in Op. Assets &amp; Liabilities % Change in Rev.:</t>
  </si>
  <si>
    <t>Dividends % Net Income:</t>
  </si>
  <si>
    <t>Free Cash Flow Less Dividends:</t>
  </si>
  <si>
    <t>(+) Interest Income:</t>
  </si>
  <si>
    <t>LIBOR</t>
  </si>
  <si>
    <t>Fixed</t>
  </si>
  <si>
    <t>Floor:</t>
  </si>
  <si>
    <t>Spread:</t>
  </si>
  <si>
    <t>Rate:</t>
  </si>
  <si>
    <t>New Term Loans:</t>
  </si>
  <si>
    <t>Net Interest Expense:</t>
  </si>
  <si>
    <t>(+) Revolver:</t>
  </si>
  <si>
    <t>(+) New Term Loans:</t>
  </si>
  <si>
    <t>(-) Interest Earned on Cash:</t>
  </si>
  <si>
    <t>Cash Flow Available for Debt Repayment:</t>
  </si>
  <si>
    <t>Cash - Beginning of Period:</t>
  </si>
  <si>
    <t>(-) Minimum Cash:</t>
  </si>
  <si>
    <t>(+) Revolver Draw / (-) Repayment:</t>
  </si>
  <si>
    <t>(+) Existing Unsecured Bonds:</t>
  </si>
  <si>
    <t>Existing Unsecured Bonds:</t>
  </si>
  <si>
    <t>Cash Flow Available for New Term Loans:</t>
  </si>
  <si>
    <t>(-) Optional Repayments of New Term Loans:</t>
  </si>
  <si>
    <t>BoP Revolver:</t>
  </si>
  <si>
    <t>(+) Revolver Draw:</t>
  </si>
  <si>
    <t>(-) Revolver Repayment:</t>
  </si>
  <si>
    <t>EoP Revolver:</t>
  </si>
  <si>
    <t>(-) Mandatory Repayments:</t>
  </si>
  <si>
    <t>(-) Optional Repayments:</t>
  </si>
  <si>
    <t>(-) Maturities:</t>
  </si>
  <si>
    <t>(-) Maturities and Mandatory Repayments:</t>
  </si>
  <si>
    <t>BoP Unsecured Bonds:</t>
  </si>
  <si>
    <t>EoP Unsecured Bonds:</t>
  </si>
  <si>
    <t>BoP Term Loans:</t>
  </si>
  <si>
    <t>EoP Term Loans:</t>
  </si>
  <si>
    <t>Interest Rates on Debt and Cash:</t>
  </si>
  <si>
    <t>Annual</t>
  </si>
  <si>
    <t>Cash Flow</t>
  </si>
  <si>
    <t>Amortization:</t>
  </si>
  <si>
    <t>Sweep %:</t>
  </si>
  <si>
    <t>N/A</t>
  </si>
  <si>
    <t>Debt and Cash Assumptions:</t>
  </si>
  <si>
    <t>Amount:</t>
  </si>
  <si>
    <t>x</t>
  </si>
  <si>
    <t>x EBITDA:</t>
  </si>
  <si>
    <t>Initial</t>
  </si>
  <si>
    <t>Minimum Cash Balance:</t>
  </si>
  <si>
    <t>Post-Transaction Capital Structure:</t>
  </si>
  <si>
    <t>Pre-Transaction Capital Structure:</t>
  </si>
  <si>
    <t>Total Debt / Capital:</t>
  </si>
  <si>
    <t>Cumulative Debt Paydown:</t>
  </si>
  <si>
    <t>Cumulative Paydown % Initial Debt:</t>
  </si>
  <si>
    <t>Debt Service Coverage Ratio (DSCR):</t>
  </si>
  <si>
    <t>Maximum Total Debt / EBITDA:</t>
  </si>
  <si>
    <t>Maximum Net Debt / EBITDA:</t>
  </si>
  <si>
    <t>Minimum DSCR:</t>
  </si>
  <si>
    <t>Minimum EBITDA / Interest Expense:</t>
  </si>
  <si>
    <t>Shares Outstanding (Millions):</t>
  </si>
  <si>
    <t>Market Cap (JPY Billions):</t>
  </si>
  <si>
    <t>Equity Value:</t>
  </si>
  <si>
    <t>(-) Cash:</t>
  </si>
  <si>
    <t>(+) Debt:</t>
  </si>
  <si>
    <t>Enterprise Value:</t>
  </si>
  <si>
    <t>Cash Generated Above Minimum Balance:</t>
  </si>
  <si>
    <t>(+) Noncontrolling Interests:</t>
  </si>
  <si>
    <t>(+/-) Other Cash Flow Items:</t>
  </si>
  <si>
    <t>Other Cash Flow Items % Revenue:</t>
  </si>
  <si>
    <t>Retail, Real Estate, and Other Segment:</t>
  </si>
  <si>
    <t>(-) Other Expenses:</t>
  </si>
  <si>
    <t>Other Expenses % Revenue:</t>
  </si>
  <si>
    <t>Share Price (JPY as Stated):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</si>
</sst>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yyyy\-mm\-dd"/>
    <numFmt numFmtId="165" formatCode="_-[$¥-411]* #,##0.0_-;\-[$¥-411]* #,##0.0_-;_-[$¥-411]* &quot;-&quot;?_-;_-@_-"/>
    <numFmt numFmtId="166" formatCode="_(* #,##0.0_);_(* \(#,##0.0\);_(* &quot;-&quot;?_);_(@_)"/>
    <numFmt numFmtId="167" formatCode="_(* #,##0.0%;_(* \(#,##0.0%\);_(* &quot;- %&quot;_);_(* @_%_)"/>
    <numFmt numFmtId="168" formatCode="&quot;FY&quot;\ yy"/>
    <numFmt numFmtId="169" formatCode="_(* #,##0.0000_);_(* \(#,##0.0000\);_(* &quot;-&quot;????_);_(@_)"/>
    <numFmt numFmtId="170" formatCode="_(* #,##0.000000_);_(* \(#,##0.000000\);_(* &quot;-&quot;??????_);_(@_)"/>
    <numFmt numFmtId="171" formatCode="_(* #,##0.000_);_(* \(#,##0.000\);_(* &quot;-&quot;???_);_(@_)"/>
    <numFmt numFmtId="172" formatCode="0.00%;\(0.00%\)"/>
    <numFmt numFmtId="173" formatCode="0.0\ \x;\(0.0\ \x\)"/>
    <numFmt numFmtId="174" formatCode="0.0%;\(0.0%\)"/>
    <numFmt numFmtId="175" formatCode="0.0\ \x"/>
    <numFmt numFmtId="176" formatCode="0.00\ \x;\(0.00\ \x\)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1C458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auto="1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7" fillId="2" borderId="1" applyNumberFormat="0" applyFont="0" applyAlignment="0" applyProtection="0"/>
  </cellStyleXfs>
  <cellXfs count="122">
    <xf numFmtId="0" fontId="0" fillId="0" borderId="0" xfId="0"/>
    <xf numFmtId="0" fontId="8" fillId="4" borderId="2" xfId="0" applyFont="1" applyFill="1" applyBorder="1"/>
    <xf numFmtId="0" fontId="11" fillId="0" borderId="0" xfId="0" applyFont="1" applyAlignment="1">
      <alignment horizontal="left"/>
    </xf>
    <xf numFmtId="0" fontId="10" fillId="0" borderId="2" xfId="0" applyFont="1" applyBorder="1" applyAlignment="1">
      <alignment horizontal="left" indent="1"/>
    </xf>
    <xf numFmtId="0" fontId="10" fillId="0" borderId="0" xfId="0" applyFont="1" applyAlignment="1">
      <alignment horizontal="left"/>
    </xf>
    <xf numFmtId="0" fontId="6" fillId="0" borderId="0" xfId="0" applyFont="1"/>
    <xf numFmtId="0" fontId="8" fillId="0" borderId="0" xfId="0" applyFont="1"/>
    <xf numFmtId="0" fontId="12" fillId="0" borderId="0" xfId="0" applyFont="1"/>
    <xf numFmtId="0" fontId="6" fillId="3" borderId="0" xfId="0" applyFont="1" applyFill="1"/>
    <xf numFmtId="0" fontId="13" fillId="3" borderId="3" xfId="0" applyFont="1" applyFill="1" applyBorder="1" applyAlignment="1">
      <alignment horizontal="centerContinuous"/>
    </xf>
    <xf numFmtId="0" fontId="13" fillId="3" borderId="5" xfId="0" applyFont="1" applyFill="1" applyBorder="1" applyAlignment="1">
      <alignment horizontal="centerContinuous"/>
    </xf>
    <xf numFmtId="0" fontId="6" fillId="0" borderId="0" xfId="0" applyFont="1" applyAlignment="1">
      <alignment horizontal="left" indent="1"/>
    </xf>
    <xf numFmtId="166" fontId="6" fillId="0" borderId="0" xfId="0" applyNumberFormat="1" applyFont="1"/>
    <xf numFmtId="167" fontId="9" fillId="0" borderId="0" xfId="0" applyNumberFormat="1" applyFont="1"/>
    <xf numFmtId="167" fontId="6" fillId="0" borderId="0" xfId="0" applyNumberFormat="1" applyFont="1"/>
    <xf numFmtId="166" fontId="14" fillId="0" borderId="0" xfId="0" applyNumberFormat="1" applyFont="1"/>
    <xf numFmtId="0" fontId="6" fillId="0" borderId="2" xfId="0" applyFont="1" applyBorder="1" applyAlignment="1">
      <alignment horizontal="left" indent="1"/>
    </xf>
    <xf numFmtId="0" fontId="6" fillId="0" borderId="2" xfId="0" applyFont="1" applyBorder="1"/>
    <xf numFmtId="166" fontId="14" fillId="0" borderId="2" xfId="0" applyNumberFormat="1" applyFont="1" applyBorder="1"/>
    <xf numFmtId="166" fontId="6" fillId="0" borderId="2" xfId="0" applyNumberFormat="1" applyFont="1" applyBorder="1"/>
    <xf numFmtId="166" fontId="8" fillId="0" borderId="0" xfId="0" applyNumberFormat="1" applyFont="1"/>
    <xf numFmtId="0" fontId="9" fillId="0" borderId="0" xfId="0" applyFont="1" applyAlignment="1">
      <alignment horizontal="left" indent="1"/>
    </xf>
    <xf numFmtId="0" fontId="8" fillId="0" borderId="0" xfId="0" applyFont="1" applyAlignment="1">
      <alignment horizontal="left"/>
    </xf>
    <xf numFmtId="166" fontId="16" fillId="0" borderId="0" xfId="0" applyNumberFormat="1" applyFont="1"/>
    <xf numFmtId="165" fontId="6" fillId="0" borderId="0" xfId="0" applyNumberFormat="1" applyFont="1"/>
    <xf numFmtId="0" fontId="9" fillId="0" borderId="0" xfId="0" applyFont="1"/>
    <xf numFmtId="0" fontId="13" fillId="3" borderId="2" xfId="0" applyFont="1" applyFill="1" applyBorder="1"/>
    <xf numFmtId="0" fontId="6" fillId="3" borderId="2" xfId="0" applyFont="1" applyFill="1" applyBorder="1"/>
    <xf numFmtId="165" fontId="14" fillId="0" borderId="0" xfId="0" applyNumberFormat="1" applyFont="1"/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166" fontId="9" fillId="0" borderId="0" xfId="0" applyNumberFormat="1" applyFont="1"/>
    <xf numFmtId="167" fontId="15" fillId="0" borderId="0" xfId="0" applyNumberFormat="1" applyFont="1"/>
    <xf numFmtId="168" fontId="13" fillId="3" borderId="4" xfId="0" applyNumberFormat="1" applyFont="1" applyFill="1" applyBorder="1" applyAlignment="1">
      <alignment horizontal="center"/>
    </xf>
    <xf numFmtId="168" fontId="13" fillId="3" borderId="6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 indent="1"/>
    </xf>
    <xf numFmtId="41" fontId="14" fillId="0" borderId="0" xfId="0" applyNumberFormat="1" applyFont="1"/>
    <xf numFmtId="0" fontId="5" fillId="0" borderId="0" xfId="0" applyFont="1"/>
    <xf numFmtId="170" fontId="6" fillId="0" borderId="0" xfId="0" applyNumberFormat="1" applyFont="1"/>
    <xf numFmtId="41" fontId="18" fillId="0" borderId="0" xfId="0" applyNumberFormat="1" applyFont="1"/>
    <xf numFmtId="41" fontId="14" fillId="5" borderId="1" xfId="0" applyNumberFormat="1" applyFont="1" applyFill="1" applyBorder="1"/>
    <xf numFmtId="0" fontId="14" fillId="5" borderId="1" xfId="1" applyFont="1" applyFill="1" applyAlignment="1">
      <alignment horizontal="centerContinuous"/>
    </xf>
    <xf numFmtId="164" fontId="14" fillId="5" borderId="1" xfId="1" applyNumberFormat="1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 indent="1"/>
    </xf>
    <xf numFmtId="0" fontId="4" fillId="0" borderId="2" xfId="0" applyFont="1" applyBorder="1" applyAlignment="1">
      <alignment horizontal="left" indent="1"/>
    </xf>
    <xf numFmtId="169" fontId="5" fillId="0" borderId="2" xfId="0" applyNumberFormat="1" applyFont="1" applyBorder="1"/>
    <xf numFmtId="41" fontId="14" fillId="5" borderId="7" xfId="0" applyNumberFormat="1" applyFont="1" applyFill="1" applyBorder="1"/>
    <xf numFmtId="169" fontId="5" fillId="0" borderId="0" xfId="0" applyNumberFormat="1" applyFont="1"/>
    <xf numFmtId="167" fontId="8" fillId="0" borderId="0" xfId="0" applyNumberFormat="1" applyFont="1"/>
    <xf numFmtId="171" fontId="6" fillId="0" borderId="0" xfId="0" applyNumberFormat="1" applyFont="1"/>
    <xf numFmtId="171" fontId="18" fillId="5" borderId="7" xfId="0" applyNumberFormat="1" applyFont="1" applyFill="1" applyBorder="1"/>
    <xf numFmtId="165" fontId="18" fillId="0" borderId="0" xfId="0" applyNumberFormat="1" applyFont="1"/>
    <xf numFmtId="167" fontId="4" fillId="0" borderId="0" xfId="0" applyNumberFormat="1" applyFont="1"/>
    <xf numFmtId="43" fontId="6" fillId="0" borderId="0" xfId="0" applyNumberFormat="1" applyFont="1"/>
    <xf numFmtId="167" fontId="9" fillId="0" borderId="2" xfId="0" applyNumberFormat="1" applyFont="1" applyBorder="1"/>
    <xf numFmtId="166" fontId="18" fillId="0" borderId="0" xfId="0" applyNumberFormat="1" applyFont="1"/>
    <xf numFmtId="171" fontId="8" fillId="0" borderId="0" xfId="0" applyNumberFormat="1" applyFont="1"/>
    <xf numFmtId="171" fontId="14" fillId="0" borderId="0" xfId="0" applyNumberFormat="1" applyFont="1"/>
    <xf numFmtId="171" fontId="14" fillId="0" borderId="2" xfId="0" applyNumberFormat="1" applyFont="1" applyBorder="1"/>
    <xf numFmtId="166" fontId="14" fillId="5" borderId="7" xfId="0" applyNumberFormat="1" applyFont="1" applyFill="1" applyBorder="1"/>
    <xf numFmtId="166" fontId="18" fillId="0" borderId="2" xfId="0" applyNumberFormat="1" applyFont="1" applyBorder="1"/>
    <xf numFmtId="166" fontId="18" fillId="0" borderId="2" xfId="1" applyNumberFormat="1" applyFont="1" applyFill="1" applyBorder="1"/>
    <xf numFmtId="0" fontId="3" fillId="0" borderId="0" xfId="0" applyFont="1" applyAlignment="1">
      <alignment horizontal="left" indent="1"/>
    </xf>
    <xf numFmtId="0" fontId="3" fillId="0" borderId="0" xfId="0" applyFont="1"/>
    <xf numFmtId="10" fontId="14" fillId="0" borderId="0" xfId="1" applyNumberFormat="1" applyFont="1" applyFill="1" applyBorder="1"/>
    <xf numFmtId="0" fontId="8" fillId="4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8" fillId="0" borderId="0" xfId="0" applyFont="1" applyAlignment="1">
      <alignment horizontal="left" indent="1"/>
    </xf>
    <xf numFmtId="172" fontId="18" fillId="0" borderId="0" xfId="1" applyNumberFormat="1" applyFont="1" applyFill="1" applyBorder="1" applyAlignment="1">
      <alignment horizontal="center"/>
    </xf>
    <xf numFmtId="172" fontId="18" fillId="0" borderId="0" xfId="0" applyNumberFormat="1" applyFont="1" applyAlignment="1">
      <alignment horizontal="center"/>
    </xf>
    <xf numFmtId="0" fontId="8" fillId="0" borderId="8" xfId="0" applyFont="1" applyBorder="1"/>
    <xf numFmtId="0" fontId="6" fillId="0" borderId="8" xfId="0" applyFont="1" applyBorder="1"/>
    <xf numFmtId="0" fontId="3" fillId="0" borderId="0" xfId="0" applyFont="1" applyAlignment="1">
      <alignment horizontal="left" indent="2"/>
    </xf>
    <xf numFmtId="0" fontId="3" fillId="0" borderId="2" xfId="0" applyFont="1" applyBorder="1" applyAlignment="1">
      <alignment horizontal="left" indent="2"/>
    </xf>
    <xf numFmtId="0" fontId="8" fillId="0" borderId="0" xfId="0" applyFont="1" applyAlignment="1">
      <alignment horizontal="left" indent="1"/>
    </xf>
    <xf numFmtId="166" fontId="14" fillId="5" borderId="9" xfId="0" applyNumberFormat="1" applyFont="1" applyFill="1" applyBorder="1"/>
    <xf numFmtId="172" fontId="14" fillId="5" borderId="1" xfId="1" applyNumberFormat="1" applyFont="1" applyFill="1"/>
    <xf numFmtId="173" fontId="3" fillId="0" borderId="0" xfId="0" applyNumberFormat="1" applyFont="1"/>
    <xf numFmtId="174" fontId="14" fillId="5" borderId="1" xfId="1" applyNumberFormat="1" applyFont="1" applyFill="1"/>
    <xf numFmtId="0" fontId="18" fillId="0" borderId="0" xfId="0" applyFont="1" applyAlignment="1">
      <alignment horizontal="center"/>
    </xf>
    <xf numFmtId="175" fontId="14" fillId="5" borderId="1" xfId="0" applyNumberFormat="1" applyFont="1" applyFill="1" applyBorder="1"/>
    <xf numFmtId="167" fontId="14" fillId="5" borderId="11" xfId="1" applyNumberFormat="1" applyFont="1" applyFill="1" applyBorder="1"/>
    <xf numFmtId="165" fontId="14" fillId="5" borderId="10" xfId="0" applyNumberFormat="1" applyFont="1" applyFill="1" applyBorder="1"/>
    <xf numFmtId="174" fontId="14" fillId="0" borderId="0" xfId="1" applyNumberFormat="1" applyFont="1" applyFill="1" applyBorder="1"/>
    <xf numFmtId="174" fontId="14" fillId="0" borderId="2" xfId="1" applyNumberFormat="1" applyFont="1" applyFill="1" applyBorder="1"/>
    <xf numFmtId="174" fontId="8" fillId="0" borderId="0" xfId="0" applyNumberFormat="1" applyFont="1"/>
    <xf numFmtId="174" fontId="18" fillId="5" borderId="7" xfId="0" applyNumberFormat="1" applyFont="1" applyFill="1" applyBorder="1"/>
    <xf numFmtId="174" fontId="14" fillId="5" borderId="7" xfId="0" applyNumberFormat="1" applyFont="1" applyFill="1" applyBorder="1"/>
    <xf numFmtId="174" fontId="3" fillId="0" borderId="0" xfId="0" applyNumberFormat="1" applyFont="1" applyAlignment="1">
      <alignment horizontal="center"/>
    </xf>
    <xf numFmtId="174" fontId="3" fillId="0" borderId="2" xfId="0" applyNumberFormat="1" applyFont="1" applyBorder="1" applyAlignment="1">
      <alignment horizontal="center"/>
    </xf>
    <xf numFmtId="174" fontId="6" fillId="0" borderId="2" xfId="0" applyNumberFormat="1" applyFont="1" applyBorder="1" applyAlignment="1">
      <alignment horizontal="center"/>
    </xf>
    <xf numFmtId="0" fontId="6" fillId="4" borderId="2" xfId="0" applyFont="1" applyFill="1" applyBorder="1"/>
    <xf numFmtId="166" fontId="6" fillId="4" borderId="2" xfId="0" applyNumberFormat="1" applyFont="1" applyFill="1" applyBorder="1"/>
    <xf numFmtId="166" fontId="8" fillId="4" borderId="2" xfId="0" applyNumberFormat="1" applyFont="1" applyFill="1" applyBorder="1"/>
    <xf numFmtId="174" fontId="6" fillId="0" borderId="0" xfId="0" applyNumberFormat="1" applyFont="1"/>
    <xf numFmtId="0" fontId="3" fillId="0" borderId="0" xfId="0" applyFont="1" applyAlignment="1">
      <alignment horizontal="left"/>
    </xf>
    <xf numFmtId="0" fontId="13" fillId="0" borderId="0" xfId="0" applyFont="1"/>
    <xf numFmtId="0" fontId="17" fillId="0" borderId="0" xfId="0" applyFont="1" applyAlignment="1">
      <alignment horizontal="center"/>
    </xf>
    <xf numFmtId="168" fontId="13" fillId="0" borderId="0" xfId="0" applyNumberFormat="1" applyFont="1" applyAlignment="1">
      <alignment horizontal="center"/>
    </xf>
    <xf numFmtId="176" fontId="3" fillId="0" borderId="0" xfId="0" applyNumberFormat="1" applyFont="1"/>
    <xf numFmtId="170" fontId="6" fillId="4" borderId="2" xfId="0" applyNumberFormat="1" applyFont="1" applyFill="1" applyBorder="1"/>
    <xf numFmtId="176" fontId="14" fillId="5" borderId="1" xfId="0" applyNumberFormat="1" applyFont="1" applyFill="1" applyBorder="1"/>
    <xf numFmtId="4" fontId="6" fillId="0" borderId="0" xfId="0" applyNumberFormat="1" applyFont="1"/>
    <xf numFmtId="174" fontId="14" fillId="5" borderId="12" xfId="0" applyNumberFormat="1" applyFont="1" applyFill="1" applyBorder="1"/>
    <xf numFmtId="0" fontId="2" fillId="0" borderId="0" xfId="0" applyFont="1"/>
    <xf numFmtId="166" fontId="14" fillId="5" borderId="1" xfId="0" applyNumberFormat="1" applyFont="1" applyFill="1" applyBorder="1"/>
    <xf numFmtId="0" fontId="2" fillId="0" borderId="0" xfId="0" applyFont="1" applyAlignment="1">
      <alignment horizontal="left" indent="1"/>
    </xf>
    <xf numFmtId="0" fontId="8" fillId="4" borderId="8" xfId="0" applyFont="1" applyFill="1" applyBorder="1"/>
    <xf numFmtId="165" fontId="8" fillId="4" borderId="2" xfId="0" applyNumberFormat="1" applyFont="1" applyFill="1" applyBorder="1"/>
    <xf numFmtId="165" fontId="8" fillId="4" borderId="8" xfId="0" applyNumberFormat="1" applyFont="1" applyFill="1" applyBorder="1"/>
    <xf numFmtId="0" fontId="2" fillId="0" borderId="2" xfId="0" applyFont="1" applyBorder="1" applyAlignment="1">
      <alignment horizontal="left" indent="1"/>
    </xf>
    <xf numFmtId="0" fontId="14" fillId="5" borderId="14" xfId="1" applyFont="1" applyFill="1" applyBorder="1" applyAlignment="1">
      <alignment horizontal="right"/>
    </xf>
    <xf numFmtId="0" fontId="14" fillId="5" borderId="13" xfId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73" fontId="6" fillId="0" borderId="0" xfId="0" applyNumberFormat="1" applyFont="1"/>
    <xf numFmtId="173" fontId="14" fillId="5" borderId="1" xfId="0" applyNumberFormat="1" applyFont="1" applyFill="1" applyBorder="1"/>
    <xf numFmtId="172" fontId="18" fillId="0" borderId="0" xfId="0" applyNumberFormat="1" applyFont="1"/>
    <xf numFmtId="9" fontId="6" fillId="0" borderId="0" xfId="0" applyNumberFormat="1" applyFont="1"/>
    <xf numFmtId="0" fontId="1" fillId="0" borderId="0" xfId="0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0000FF"/>
      <color rgb="FFB2B2B2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P193"/>
  <sheetViews>
    <sheetView showGridLines="0" tabSelected="1" zoomScale="115" zoomScaleNormal="115" workbookViewId="0">
      <selection activeCell="D21" sqref="D21"/>
    </sheetView>
  </sheetViews>
  <sheetFormatPr baseColWidth="10" defaultColWidth="9.1640625" defaultRowHeight="16" outlineLevelRow="1" outlineLevelCol="1" x14ac:dyDescent="0.2"/>
  <cols>
    <col min="1" max="2" width="2.6640625" style="5" customWidth="1"/>
    <col min="3" max="3" width="49.5" style="5" customWidth="1"/>
    <col min="4" max="4" width="13.1640625" style="5" customWidth="1"/>
    <col min="5" max="7" width="13.1640625" style="5" customWidth="1" outlineLevel="1"/>
    <col min="8" max="12" width="13.1640625" style="5" customWidth="1"/>
    <col min="13" max="13" width="2.6640625" style="5" customWidth="1"/>
    <col min="14" max="14" width="2.6640625" style="7" customWidth="1"/>
    <col min="15" max="16384" width="9.1640625" style="5"/>
  </cols>
  <sheetData>
    <row r="2" spans="2:16" x14ac:dyDescent="0.2">
      <c r="B2" s="6" t="str">
        <f>Company_Name&amp;" - Operating Model - "&amp;Scenario&amp;" Case"</f>
        <v>Central Japan Railway Co. - Operating Model - Base Case</v>
      </c>
    </row>
    <row r="3" spans="2:16" x14ac:dyDescent="0.2">
      <c r="B3" s="5" t="s">
        <v>39</v>
      </c>
      <c r="P3" s="104"/>
    </row>
    <row r="5" spans="2:16" x14ac:dyDescent="0.2">
      <c r="B5" s="26" t="s">
        <v>0</v>
      </c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2:16" outlineLevel="1" x14ac:dyDescent="0.2"/>
    <row r="7" spans="2:16" ht="14.5" customHeight="1" outlineLevel="1" x14ac:dyDescent="0.2">
      <c r="C7" s="5" t="s">
        <v>1</v>
      </c>
      <c r="D7" s="42" t="s">
        <v>3</v>
      </c>
      <c r="E7" s="42"/>
      <c r="G7" s="5" t="s">
        <v>6</v>
      </c>
      <c r="I7" s="114"/>
      <c r="J7" s="113" t="s">
        <v>7</v>
      </c>
    </row>
    <row r="8" spans="2:16" outlineLevel="1" x14ac:dyDescent="0.2">
      <c r="C8" s="38" t="s">
        <v>2</v>
      </c>
      <c r="D8" s="43">
        <v>42460</v>
      </c>
      <c r="E8" s="38"/>
      <c r="G8" s="44" t="s">
        <v>62</v>
      </c>
      <c r="J8" s="83">
        <v>0.32700000000000001</v>
      </c>
    </row>
    <row r="9" spans="2:16" outlineLevel="1" x14ac:dyDescent="0.2">
      <c r="C9" s="38" t="s">
        <v>56</v>
      </c>
      <c r="D9" s="41">
        <v>1000000</v>
      </c>
      <c r="G9" s="65" t="s">
        <v>119</v>
      </c>
      <c r="J9" s="84">
        <v>100</v>
      </c>
    </row>
    <row r="10" spans="2:16" outlineLevel="1" x14ac:dyDescent="0.2">
      <c r="C10" s="44" t="s">
        <v>64</v>
      </c>
      <c r="D10" s="41">
        <v>1000</v>
      </c>
    </row>
    <row r="11" spans="2:16" outlineLevel="1" x14ac:dyDescent="0.2">
      <c r="G11" s="1" t="s">
        <v>132</v>
      </c>
      <c r="H11" s="1"/>
      <c r="I11" s="1"/>
      <c r="J11" s="110">
        <f>+D14</f>
        <v>3783.4650814000001</v>
      </c>
      <c r="K11" s="55"/>
    </row>
    <row r="12" spans="2:16" outlineLevel="1" x14ac:dyDescent="0.2">
      <c r="C12" s="106" t="s">
        <v>143</v>
      </c>
      <c r="D12" s="84">
        <v>19225</v>
      </c>
      <c r="G12" s="108" t="s">
        <v>133</v>
      </c>
      <c r="J12" s="12">
        <f>-E22</f>
        <v>-347.87099999999998</v>
      </c>
    </row>
    <row r="13" spans="2:16" outlineLevel="1" x14ac:dyDescent="0.2">
      <c r="C13" s="106" t="s">
        <v>130</v>
      </c>
      <c r="D13" s="107">
        <v>196.79922400000001</v>
      </c>
      <c r="G13" s="108" t="s">
        <v>134</v>
      </c>
      <c r="J13" s="12">
        <f>+E20</f>
        <v>1338.326</v>
      </c>
    </row>
    <row r="14" spans="2:16" outlineLevel="1" x14ac:dyDescent="0.2">
      <c r="C14" s="106" t="s">
        <v>131</v>
      </c>
      <c r="D14" s="53">
        <f>+Share_Price*Shares/Thousand</f>
        <v>3783.4650814000001</v>
      </c>
      <c r="E14" s="120"/>
      <c r="G14" s="108" t="s">
        <v>137</v>
      </c>
      <c r="J14" s="15">
        <v>36.167999999999999</v>
      </c>
    </row>
    <row r="15" spans="2:16" outlineLevel="1" x14ac:dyDescent="0.2">
      <c r="G15" s="109" t="s">
        <v>135</v>
      </c>
      <c r="H15" s="109"/>
      <c r="I15" s="109"/>
      <c r="J15" s="111">
        <f>SUM(J11:J14)</f>
        <v>4810.0880813999993</v>
      </c>
    </row>
    <row r="16" spans="2:16" outlineLevel="1" x14ac:dyDescent="0.2"/>
    <row r="17" spans="2:12" outlineLevel="1" x14ac:dyDescent="0.2">
      <c r="C17" s="67"/>
      <c r="D17" s="67"/>
      <c r="E17" s="67" t="s">
        <v>118</v>
      </c>
      <c r="F17" s="67" t="s">
        <v>78</v>
      </c>
      <c r="G17" s="67" t="s">
        <v>78</v>
      </c>
      <c r="H17" s="67" t="s">
        <v>79</v>
      </c>
      <c r="I17" s="67" t="s">
        <v>109</v>
      </c>
      <c r="J17" s="67" t="s">
        <v>110</v>
      </c>
    </row>
    <row r="18" spans="2:12" outlineLevel="1" x14ac:dyDescent="0.2">
      <c r="C18" s="1" t="s">
        <v>114</v>
      </c>
      <c r="D18" s="68" t="s">
        <v>117</v>
      </c>
      <c r="E18" s="68" t="s">
        <v>115</v>
      </c>
      <c r="F18" s="68" t="s">
        <v>80</v>
      </c>
      <c r="G18" s="68" t="s">
        <v>81</v>
      </c>
      <c r="H18" s="68" t="s">
        <v>82</v>
      </c>
      <c r="I18" s="68" t="s">
        <v>111</v>
      </c>
      <c r="J18" s="68" t="s">
        <v>112</v>
      </c>
    </row>
    <row r="19" spans="2:12" outlineLevel="1" x14ac:dyDescent="0.2">
      <c r="C19" s="69" t="s">
        <v>25</v>
      </c>
      <c r="D19" s="118">
        <v>0</v>
      </c>
      <c r="E19" s="24">
        <f>+D19*LTM_EBITDA</f>
        <v>0</v>
      </c>
      <c r="F19" s="78">
        <v>1.4999999999999999E-2</v>
      </c>
      <c r="G19" s="78">
        <v>0.02</v>
      </c>
      <c r="H19" s="71"/>
      <c r="I19" s="80">
        <v>0</v>
      </c>
      <c r="J19" s="80">
        <v>1</v>
      </c>
    </row>
    <row r="20" spans="2:12" outlineLevel="1" x14ac:dyDescent="0.2">
      <c r="C20" s="69" t="s">
        <v>93</v>
      </c>
      <c r="D20" s="117">
        <f>+E20/LTM_EBITDA</f>
        <v>1.6300256014888326</v>
      </c>
      <c r="E20" s="12">
        <f>+G108</f>
        <v>1338.326</v>
      </c>
      <c r="F20" s="70"/>
      <c r="G20" s="70"/>
      <c r="H20" s="78">
        <v>4.4999999999999998E-2</v>
      </c>
      <c r="I20" s="80">
        <v>0</v>
      </c>
      <c r="J20" s="80" t="s">
        <v>113</v>
      </c>
    </row>
    <row r="21" spans="2:12" outlineLevel="1" x14ac:dyDescent="0.2">
      <c r="C21" s="69" t="s">
        <v>83</v>
      </c>
      <c r="D21" s="118">
        <v>2</v>
      </c>
      <c r="E21" s="12">
        <f>+D21*LTM_EBITDA</f>
        <v>1642.0920000000001</v>
      </c>
      <c r="F21" s="78">
        <v>0.02</v>
      </c>
      <c r="G21" s="78">
        <v>0.02</v>
      </c>
      <c r="H21" s="71"/>
      <c r="I21" s="80">
        <v>0.05</v>
      </c>
      <c r="J21" s="80">
        <v>0.5</v>
      </c>
    </row>
    <row r="22" spans="2:12" outlineLevel="1" x14ac:dyDescent="0.2">
      <c r="C22" s="69" t="s">
        <v>20</v>
      </c>
      <c r="D22" s="117">
        <f>+E22/LTM_EBITDA</f>
        <v>0.4236924605929509</v>
      </c>
      <c r="E22" s="12">
        <f>+G107</f>
        <v>347.87099999999998</v>
      </c>
      <c r="F22" s="121"/>
      <c r="G22" s="78">
        <v>5.0000000000000001E-3</v>
      </c>
      <c r="H22" s="121"/>
      <c r="I22" s="121"/>
      <c r="J22" s="121"/>
    </row>
    <row r="24" spans="2:12" x14ac:dyDescent="0.2">
      <c r="B24" s="8"/>
      <c r="C24" s="8"/>
      <c r="D24" s="8"/>
      <c r="E24" s="9" t="s">
        <v>9</v>
      </c>
      <c r="F24" s="9"/>
      <c r="G24" s="10"/>
      <c r="H24" s="9" t="s">
        <v>10</v>
      </c>
      <c r="I24" s="9"/>
      <c r="J24" s="9"/>
      <c r="K24" s="9"/>
      <c r="L24" s="9"/>
    </row>
    <row r="25" spans="2:12" x14ac:dyDescent="0.2">
      <c r="B25" s="26" t="s">
        <v>53</v>
      </c>
      <c r="C25" s="27"/>
      <c r="D25" s="31" t="s">
        <v>8</v>
      </c>
      <c r="E25" s="34">
        <f>EOMONTH(F25,-12)</f>
        <v>41729</v>
      </c>
      <c r="F25" s="34">
        <f>EOMONTH(G25,-12)</f>
        <v>42094</v>
      </c>
      <c r="G25" s="35">
        <f>Hist_Year</f>
        <v>42460</v>
      </c>
      <c r="H25" s="34">
        <f>EOMONTH(G25,12)</f>
        <v>42825</v>
      </c>
      <c r="I25" s="34">
        <f t="shared" ref="I25" si="0">EOMONTH(H25,12)</f>
        <v>43190</v>
      </c>
      <c r="J25" s="34">
        <f t="shared" ref="J25" si="1">EOMONTH(I25,12)</f>
        <v>43555</v>
      </c>
      <c r="K25" s="34">
        <f t="shared" ref="K25" si="2">EOMONTH(J25,12)</f>
        <v>43921</v>
      </c>
      <c r="L25" s="34">
        <f t="shared" ref="L25" si="3">EOMONTH(K25,12)</f>
        <v>44286</v>
      </c>
    </row>
    <row r="26" spans="2:12" outlineLevel="1" x14ac:dyDescent="0.2">
      <c r="E26" s="12"/>
      <c r="F26" s="12"/>
      <c r="G26" s="12"/>
      <c r="H26" s="12"/>
      <c r="I26" s="12"/>
      <c r="J26" s="12"/>
      <c r="K26" s="12"/>
      <c r="L26" s="12"/>
    </row>
    <row r="27" spans="2:12" outlineLevel="1" x14ac:dyDescent="0.2">
      <c r="C27" s="38" t="s">
        <v>54</v>
      </c>
      <c r="D27" s="29" t="s">
        <v>55</v>
      </c>
      <c r="E27" s="40">
        <f>+E25-EOMONTH(E25,-12)</f>
        <v>365</v>
      </c>
      <c r="F27" s="40">
        <f>+F25-E25</f>
        <v>365</v>
      </c>
      <c r="G27" s="40">
        <f>+G25-F25</f>
        <v>366</v>
      </c>
      <c r="H27" s="40">
        <f>+H25-G25</f>
        <v>365</v>
      </c>
      <c r="I27" s="40">
        <f t="shared" ref="I27:L27" si="4">+I25-H25</f>
        <v>365</v>
      </c>
      <c r="J27" s="40">
        <f t="shared" si="4"/>
        <v>365</v>
      </c>
      <c r="K27" s="40">
        <f t="shared" si="4"/>
        <v>366</v>
      </c>
      <c r="L27" s="40">
        <f t="shared" si="4"/>
        <v>365</v>
      </c>
    </row>
    <row r="28" spans="2:12" outlineLevel="1" x14ac:dyDescent="0.2">
      <c r="E28" s="12"/>
      <c r="F28" s="12"/>
      <c r="G28" s="12"/>
      <c r="H28" s="12"/>
      <c r="I28" s="12"/>
      <c r="J28" s="12"/>
      <c r="K28" s="12"/>
      <c r="L28" s="12"/>
    </row>
    <row r="29" spans="2:12" outlineLevel="1" x14ac:dyDescent="0.2">
      <c r="C29" s="5" t="s">
        <v>48</v>
      </c>
      <c r="D29" s="29" t="s">
        <v>49</v>
      </c>
      <c r="E29" s="37">
        <v>58102</v>
      </c>
      <c r="F29" s="37">
        <v>59203</v>
      </c>
      <c r="G29" s="37">
        <v>61467</v>
      </c>
      <c r="H29" s="40">
        <f>(H32/Million*H30)*H27</f>
        <v>62959.045802975088</v>
      </c>
      <c r="I29" s="40">
        <f>(I32/Million*I30)*I27</f>
        <v>64705.960086520921</v>
      </c>
      <c r="J29" s="40">
        <f>(J32/Million*J30)*J27</f>
        <v>66171.598855817385</v>
      </c>
      <c r="K29" s="40">
        <f>(K32/Million*K30)*K27</f>
        <v>67517.789540865269</v>
      </c>
      <c r="L29" s="40">
        <f>(L32/Million*L30)*L27</f>
        <v>68511.647713410115</v>
      </c>
    </row>
    <row r="30" spans="2:12" outlineLevel="1" x14ac:dyDescent="0.2">
      <c r="C30" s="5" t="s">
        <v>50</v>
      </c>
      <c r="D30" s="29" t="s">
        <v>51</v>
      </c>
      <c r="E30" s="37">
        <v>1971</v>
      </c>
      <c r="F30" s="37">
        <v>1971</v>
      </c>
      <c r="G30" s="37">
        <v>1971</v>
      </c>
      <c r="H30" s="48">
        <v>1975</v>
      </c>
      <c r="I30" s="48">
        <v>1990</v>
      </c>
      <c r="J30" s="48">
        <v>2005</v>
      </c>
      <c r="K30" s="48">
        <v>2020</v>
      </c>
      <c r="L30" s="48">
        <v>2035</v>
      </c>
    </row>
    <row r="31" spans="2:12" outlineLevel="1" x14ac:dyDescent="0.2">
      <c r="E31" s="12"/>
      <c r="F31" s="12"/>
      <c r="G31" s="12"/>
      <c r="H31" s="12"/>
      <c r="I31" s="12"/>
      <c r="J31" s="12"/>
      <c r="K31" s="12"/>
      <c r="L31" s="12"/>
    </row>
    <row r="32" spans="2:12" outlineLevel="1" x14ac:dyDescent="0.2">
      <c r="C32" s="38" t="s">
        <v>52</v>
      </c>
      <c r="E32" s="40">
        <f>(E29/E27)/E30*Million</f>
        <v>80762.842031372711</v>
      </c>
      <c r="F32" s="40">
        <f>(F29/F27)/F30*Million</f>
        <v>82293.252156265851</v>
      </c>
      <c r="G32" s="40">
        <f>(G29/G27)/G30*Million</f>
        <v>85206.810223652792</v>
      </c>
      <c r="H32" s="40">
        <f>+G32*(1+H39)</f>
        <v>87336.980479244099</v>
      </c>
      <c r="I32" s="40">
        <f t="shared" ref="I32:L32" si="5">+H32*(1+I39)</f>
        <v>89083.720088828981</v>
      </c>
      <c r="J32" s="40">
        <f t="shared" si="5"/>
        <v>90419.975890161411</v>
      </c>
      <c r="K32" s="40">
        <f t="shared" si="5"/>
        <v>91324.175649063021</v>
      </c>
      <c r="L32" s="40">
        <f t="shared" si="5"/>
        <v>92237.417405553657</v>
      </c>
    </row>
    <row r="33" spans="3:12" outlineLevel="1" x14ac:dyDescent="0.2">
      <c r="E33" s="12"/>
      <c r="F33" s="39"/>
      <c r="G33" s="39"/>
      <c r="H33" s="12"/>
      <c r="I33" s="12"/>
      <c r="J33" s="12"/>
      <c r="K33" s="12"/>
      <c r="L33" s="12"/>
    </row>
    <row r="34" spans="3:12" outlineLevel="1" x14ac:dyDescent="0.2">
      <c r="C34" s="1" t="s">
        <v>60</v>
      </c>
      <c r="D34" s="93"/>
      <c r="E34" s="94"/>
      <c r="F34" s="102"/>
      <c r="G34" s="102"/>
      <c r="H34" s="94"/>
      <c r="I34" s="94"/>
      <c r="J34" s="94"/>
      <c r="K34" s="94"/>
      <c r="L34" s="94"/>
    </row>
    <row r="35" spans="3:12" outlineLevel="1" x14ac:dyDescent="0.2">
      <c r="C35" s="45" t="s">
        <v>57</v>
      </c>
      <c r="D35" s="29" t="s">
        <v>44</v>
      </c>
      <c r="E35" s="12"/>
      <c r="F35" s="39"/>
      <c r="G35" s="39"/>
      <c r="H35" s="85">
        <v>0.06</v>
      </c>
      <c r="I35" s="85">
        <v>0.06</v>
      </c>
      <c r="J35" s="85">
        <v>0.05</v>
      </c>
      <c r="K35" s="85">
        <v>0.05</v>
      </c>
      <c r="L35" s="85">
        <v>0.04</v>
      </c>
    </row>
    <row r="36" spans="3:12" outlineLevel="1" x14ac:dyDescent="0.2">
      <c r="C36" s="45" t="s">
        <v>7</v>
      </c>
      <c r="D36" s="29" t="s">
        <v>44</v>
      </c>
      <c r="E36" s="12"/>
      <c r="F36" s="39"/>
      <c r="G36" s="39"/>
      <c r="H36" s="85">
        <v>2.5000000000000001E-2</v>
      </c>
      <c r="I36" s="85">
        <v>0.02</v>
      </c>
      <c r="J36" s="85">
        <v>1.4999999999999999E-2</v>
      </c>
      <c r="K36" s="85">
        <v>0.01</v>
      </c>
      <c r="L36" s="85">
        <v>0.01</v>
      </c>
    </row>
    <row r="37" spans="3:12" outlineLevel="1" x14ac:dyDescent="0.2">
      <c r="C37" s="45" t="s">
        <v>58</v>
      </c>
      <c r="D37" s="29" t="s">
        <v>44</v>
      </c>
      <c r="E37" s="49"/>
      <c r="F37" s="49"/>
      <c r="G37" s="49"/>
      <c r="H37" s="85">
        <v>0</v>
      </c>
      <c r="I37" s="85">
        <v>0</v>
      </c>
      <c r="J37" s="85">
        <v>-0.01</v>
      </c>
      <c r="K37" s="85">
        <v>-0.01</v>
      </c>
      <c r="L37" s="85">
        <v>-0.01</v>
      </c>
    </row>
    <row r="38" spans="3:12" outlineLevel="1" x14ac:dyDescent="0.2">
      <c r="C38" s="46" t="s">
        <v>61</v>
      </c>
      <c r="D38" s="30" t="s">
        <v>44</v>
      </c>
      <c r="E38" s="47"/>
      <c r="F38" s="47"/>
      <c r="G38" s="47"/>
      <c r="H38" s="86">
        <v>-0.01</v>
      </c>
      <c r="I38" s="86">
        <v>-0.01</v>
      </c>
      <c r="J38" s="86">
        <v>-0.02</v>
      </c>
      <c r="K38" s="86">
        <v>-0.02</v>
      </c>
      <c r="L38" s="86">
        <v>-0.02</v>
      </c>
    </row>
    <row r="39" spans="3:12" outlineLevel="1" x14ac:dyDescent="0.2">
      <c r="C39" s="6" t="s">
        <v>59</v>
      </c>
      <c r="D39" s="29" t="s">
        <v>44</v>
      </c>
      <c r="E39" s="12"/>
      <c r="F39" s="50">
        <f>+F32/E32-1</f>
        <v>1.894943375443181E-2</v>
      </c>
      <c r="G39" s="50">
        <f>+G32/F32-1</f>
        <v>3.5404580461280366E-2</v>
      </c>
      <c r="H39" s="87">
        <f>INDEX(H35:H38,MATCH(Scenario,$C35:$C38,0))</f>
        <v>2.5000000000000001E-2</v>
      </c>
      <c r="I39" s="87">
        <f>INDEX(I35:I38,MATCH(Scenario,$C35:$C38,0))</f>
        <v>0.02</v>
      </c>
      <c r="J39" s="87">
        <f>INDEX(J35:J38,MATCH(Scenario,$C35:$C38,0))</f>
        <v>1.4999999999999999E-2</v>
      </c>
      <c r="K39" s="87">
        <f>INDEX(K35:K38,MATCH(Scenario,$C35:$C38,0))</f>
        <v>0.01</v>
      </c>
      <c r="L39" s="87">
        <f>INDEX(L35:L38,MATCH(Scenario,$C35:$C38,0))</f>
        <v>0.01</v>
      </c>
    </row>
    <row r="40" spans="3:12" outlineLevel="1" x14ac:dyDescent="0.2">
      <c r="E40" s="12"/>
      <c r="F40" s="39"/>
      <c r="G40" s="39"/>
      <c r="H40" s="12"/>
      <c r="I40" s="12"/>
      <c r="J40" s="12"/>
      <c r="K40" s="12"/>
      <c r="L40" s="12"/>
    </row>
    <row r="41" spans="3:12" outlineLevel="1" x14ac:dyDescent="0.2">
      <c r="C41" s="44" t="s">
        <v>63</v>
      </c>
      <c r="D41" s="29" t="s">
        <v>65</v>
      </c>
      <c r="E41" s="51">
        <f>+E74/(E29/Thousand)</f>
        <v>21.96342638807614</v>
      </c>
      <c r="F41" s="51">
        <f>+F74/(F29/Thousand)</f>
        <v>22.054473590865328</v>
      </c>
      <c r="G41" s="51">
        <f>+G74/(G29/Thousand)</f>
        <v>22.095791237574634</v>
      </c>
      <c r="H41" s="52">
        <f>+G41</f>
        <v>22.095791237574634</v>
      </c>
      <c r="I41" s="52">
        <f t="shared" ref="I41:L41" si="6">+H41</f>
        <v>22.095791237574634</v>
      </c>
      <c r="J41" s="52">
        <f t="shared" si="6"/>
        <v>22.095791237574634</v>
      </c>
      <c r="K41" s="52">
        <f t="shared" si="6"/>
        <v>22.095791237574634</v>
      </c>
      <c r="L41" s="52">
        <f t="shared" si="6"/>
        <v>22.095791237574634</v>
      </c>
    </row>
    <row r="42" spans="3:12" outlineLevel="1" x14ac:dyDescent="0.2">
      <c r="E42" s="12"/>
      <c r="F42" s="13"/>
      <c r="G42" s="13"/>
      <c r="H42" s="12"/>
      <c r="I42" s="12"/>
      <c r="J42" s="12"/>
      <c r="K42" s="12"/>
      <c r="L42" s="12"/>
    </row>
    <row r="43" spans="3:12" outlineLevel="1" x14ac:dyDescent="0.2">
      <c r="C43" s="1" t="s">
        <v>67</v>
      </c>
      <c r="D43" s="93"/>
      <c r="E43" s="94"/>
      <c r="F43" s="102"/>
      <c r="G43" s="102"/>
      <c r="H43" s="94"/>
      <c r="I43" s="94"/>
      <c r="J43" s="94"/>
      <c r="K43" s="94"/>
      <c r="L43" s="94"/>
    </row>
    <row r="44" spans="3:12" outlineLevel="1" x14ac:dyDescent="0.2">
      <c r="C44" s="45" t="str">
        <f>+$C$35</f>
        <v>Upside</v>
      </c>
      <c r="D44" s="29" t="s">
        <v>44</v>
      </c>
      <c r="E44" s="12"/>
      <c r="F44" s="13"/>
      <c r="G44" s="13"/>
      <c r="H44" s="85">
        <v>0.41</v>
      </c>
      <c r="I44" s="85">
        <v>0.41</v>
      </c>
      <c r="J44" s="85">
        <v>0.41499999999999998</v>
      </c>
      <c r="K44" s="85">
        <v>0.41499999999999998</v>
      </c>
      <c r="L44" s="85">
        <v>0.42</v>
      </c>
    </row>
    <row r="45" spans="3:12" outlineLevel="1" x14ac:dyDescent="0.2">
      <c r="C45" s="45" t="str">
        <f>+$C$36</f>
        <v>Base</v>
      </c>
      <c r="D45" s="29" t="s">
        <v>44</v>
      </c>
      <c r="E45" s="12"/>
      <c r="F45" s="13"/>
      <c r="G45" s="13"/>
      <c r="H45" s="85">
        <v>0.40500000000000003</v>
      </c>
      <c r="I45" s="85">
        <v>0.40500000000000003</v>
      </c>
      <c r="J45" s="85">
        <v>0.4</v>
      </c>
      <c r="K45" s="85">
        <v>0.4</v>
      </c>
      <c r="L45" s="85">
        <v>0.4</v>
      </c>
    </row>
    <row r="46" spans="3:12" outlineLevel="1" x14ac:dyDescent="0.2">
      <c r="C46" s="45" t="str">
        <f>+$C$37</f>
        <v>Downside</v>
      </c>
      <c r="D46" s="29" t="s">
        <v>44</v>
      </c>
      <c r="E46" s="12"/>
      <c r="F46" s="13"/>
      <c r="G46" s="13"/>
      <c r="H46" s="85">
        <v>0.4</v>
      </c>
      <c r="I46" s="85">
        <v>0.39500000000000002</v>
      </c>
      <c r="J46" s="85">
        <v>0.39</v>
      </c>
      <c r="K46" s="85">
        <v>0.38500000000000001</v>
      </c>
      <c r="L46" s="85">
        <v>0.38</v>
      </c>
    </row>
    <row r="47" spans="3:12" outlineLevel="1" x14ac:dyDescent="0.2">
      <c r="C47" s="46" t="str">
        <f>+$C$38</f>
        <v>Extreme Downside</v>
      </c>
      <c r="D47" s="30" t="s">
        <v>44</v>
      </c>
      <c r="E47" s="19"/>
      <c r="F47" s="56"/>
      <c r="G47" s="56"/>
      <c r="H47" s="86">
        <v>0.4</v>
      </c>
      <c r="I47" s="86">
        <v>0.39</v>
      </c>
      <c r="J47" s="86">
        <v>0.38</v>
      </c>
      <c r="K47" s="86">
        <v>0.37</v>
      </c>
      <c r="L47" s="86">
        <v>0.36</v>
      </c>
    </row>
    <row r="48" spans="3:12" outlineLevel="1" x14ac:dyDescent="0.2">
      <c r="C48" s="6" t="str">
        <f>+$C$39</f>
        <v>Selected Scenario:</v>
      </c>
      <c r="D48" s="29" t="s">
        <v>44</v>
      </c>
      <c r="E48" s="50">
        <f>+E80/E74</f>
        <v>0.36056982146649336</v>
      </c>
      <c r="F48" s="50">
        <f>+F80/F74</f>
        <v>0.36150743169708605</v>
      </c>
      <c r="G48" s="50">
        <f>+G80/G74</f>
        <v>0.41003356006131819</v>
      </c>
      <c r="H48" s="87">
        <f>INDEX(H44:H47,MATCH(Scenario,$C44:$C47,0))</f>
        <v>0.40500000000000003</v>
      </c>
      <c r="I48" s="87">
        <f>INDEX(I44:I47,MATCH(Scenario,$C44:$C47,0))</f>
        <v>0.40500000000000003</v>
      </c>
      <c r="J48" s="87">
        <f>INDEX(J44:J47,MATCH(Scenario,$C44:$C47,0))</f>
        <v>0.4</v>
      </c>
      <c r="K48" s="87">
        <f>INDEX(K44:K47,MATCH(Scenario,$C44:$C47,0))</f>
        <v>0.4</v>
      </c>
      <c r="L48" s="87">
        <f>INDEX(L44:L47,MATCH(Scenario,$C44:$C47,0))</f>
        <v>0.4</v>
      </c>
    </row>
    <row r="49" spans="3:12" outlineLevel="1" x14ac:dyDescent="0.2">
      <c r="E49" s="12"/>
      <c r="F49" s="39"/>
      <c r="G49" s="39"/>
      <c r="H49" s="12"/>
      <c r="I49" s="12"/>
      <c r="J49" s="12"/>
      <c r="K49" s="12"/>
      <c r="L49" s="12"/>
    </row>
    <row r="50" spans="3:12" outlineLevel="1" x14ac:dyDescent="0.2">
      <c r="C50" s="1" t="s">
        <v>69</v>
      </c>
      <c r="D50" s="93"/>
      <c r="E50" s="94"/>
      <c r="F50" s="102"/>
      <c r="G50" s="102"/>
      <c r="H50" s="94"/>
      <c r="I50" s="94"/>
      <c r="J50" s="94"/>
      <c r="K50" s="94"/>
      <c r="L50" s="94"/>
    </row>
    <row r="51" spans="3:12" outlineLevel="1" x14ac:dyDescent="0.2">
      <c r="C51" s="45" t="str">
        <f>+$C$35</f>
        <v>Upside</v>
      </c>
      <c r="D51" s="29" t="s">
        <v>70</v>
      </c>
      <c r="E51" s="12"/>
      <c r="F51" s="39"/>
      <c r="G51" s="39"/>
      <c r="H51" s="59">
        <v>0.104</v>
      </c>
      <c r="I51" s="59">
        <v>0.10299999999999999</v>
      </c>
      <c r="J51" s="59">
        <v>0.10199999999999999</v>
      </c>
      <c r="K51" s="59">
        <v>0.10100000000000001</v>
      </c>
      <c r="L51" s="59">
        <v>0.1</v>
      </c>
    </row>
    <row r="52" spans="3:12" outlineLevel="1" x14ac:dyDescent="0.2">
      <c r="C52" s="45" t="str">
        <f>+$C$36</f>
        <v>Base</v>
      </c>
      <c r="D52" s="29" t="s">
        <v>70</v>
      </c>
      <c r="E52" s="12"/>
      <c r="F52" s="39"/>
      <c r="G52" s="39"/>
      <c r="H52" s="59">
        <v>0.105</v>
      </c>
      <c r="I52" s="59">
        <v>0.105</v>
      </c>
      <c r="J52" s="59">
        <v>0.106</v>
      </c>
      <c r="K52" s="59">
        <v>0.106</v>
      </c>
      <c r="L52" s="59">
        <v>0.107</v>
      </c>
    </row>
    <row r="53" spans="3:12" outlineLevel="1" x14ac:dyDescent="0.2">
      <c r="C53" s="45" t="str">
        <f>+$C$37</f>
        <v>Downside</v>
      </c>
      <c r="D53" s="29" t="s">
        <v>70</v>
      </c>
      <c r="E53" s="12"/>
      <c r="F53" s="39"/>
      <c r="G53" s="39"/>
      <c r="H53" s="59">
        <v>0.106</v>
      </c>
      <c r="I53" s="59">
        <v>0.107</v>
      </c>
      <c r="J53" s="59">
        <v>0.108</v>
      </c>
      <c r="K53" s="59">
        <v>0.109</v>
      </c>
      <c r="L53" s="59">
        <v>0.11</v>
      </c>
    </row>
    <row r="54" spans="3:12" outlineLevel="1" x14ac:dyDescent="0.2">
      <c r="C54" s="46" t="str">
        <f>+$C$38</f>
        <v>Extreme Downside</v>
      </c>
      <c r="D54" s="30" t="s">
        <v>70</v>
      </c>
      <c r="E54" s="56"/>
      <c r="F54" s="56"/>
      <c r="G54" s="56"/>
      <c r="H54" s="60">
        <v>0.107</v>
      </c>
      <c r="I54" s="60">
        <v>0.109</v>
      </c>
      <c r="J54" s="60">
        <v>0.111</v>
      </c>
      <c r="K54" s="60">
        <v>0.112</v>
      </c>
      <c r="L54" s="60">
        <v>0.113</v>
      </c>
    </row>
    <row r="55" spans="3:12" outlineLevel="1" x14ac:dyDescent="0.2">
      <c r="C55" s="6" t="str">
        <f>+$C$39</f>
        <v>Selected Scenario:</v>
      </c>
      <c r="D55" s="29" t="s">
        <v>70</v>
      </c>
      <c r="E55" s="58">
        <f>-E101/E30</f>
        <v>0.10254591577879249</v>
      </c>
      <c r="F55" s="58">
        <f>-F101/F30</f>
        <v>9.765043125317098E-2</v>
      </c>
      <c r="G55" s="58">
        <f>-G101/G30</f>
        <v>0.10459868087265346</v>
      </c>
      <c r="H55" s="58">
        <f>INDEX(H51:H54,MATCH(Scenario,$C51:$C54,0))</f>
        <v>0.105</v>
      </c>
      <c r="I55" s="58">
        <f>INDEX(I51:I54,MATCH(Scenario,$C51:$C54,0))</f>
        <v>0.105</v>
      </c>
      <c r="J55" s="58">
        <f>INDEX(J51:J54,MATCH(Scenario,$C51:$C54,0))</f>
        <v>0.106</v>
      </c>
      <c r="K55" s="58">
        <f>INDEX(K51:K54,MATCH(Scenario,$C51:$C54,0))</f>
        <v>0.106</v>
      </c>
      <c r="L55" s="58">
        <f>INDEX(L51:L54,MATCH(Scenario,$C51:$C54,0))</f>
        <v>0.107</v>
      </c>
    </row>
    <row r="56" spans="3:12" outlineLevel="1" x14ac:dyDescent="0.2">
      <c r="E56" s="12"/>
      <c r="F56" s="39"/>
      <c r="G56" s="39"/>
      <c r="H56" s="12"/>
      <c r="I56" s="12"/>
      <c r="J56" s="12"/>
      <c r="K56" s="12"/>
      <c r="L56" s="12"/>
    </row>
    <row r="57" spans="3:12" outlineLevel="1" x14ac:dyDescent="0.2">
      <c r="C57" s="4" t="s">
        <v>71</v>
      </c>
      <c r="D57" s="29" t="s">
        <v>40</v>
      </c>
      <c r="E57" s="51"/>
      <c r="F57" s="51"/>
      <c r="G57" s="51"/>
      <c r="H57" s="61">
        <v>110</v>
      </c>
      <c r="I57" s="61">
        <v>150</v>
      </c>
      <c r="J57" s="61">
        <v>175</v>
      </c>
      <c r="K57" s="61">
        <v>175</v>
      </c>
      <c r="L57" s="61">
        <v>175</v>
      </c>
    </row>
    <row r="58" spans="3:12" outlineLevel="1" x14ac:dyDescent="0.2">
      <c r="C58" s="44" t="s">
        <v>72</v>
      </c>
      <c r="D58" s="29" t="s">
        <v>44</v>
      </c>
      <c r="E58" s="54">
        <f>+E85/E74</f>
        <v>0.21649078181580245</v>
      </c>
      <c r="F58" s="54">
        <f t="shared" ref="F58:G58" si="7">+F85/F74</f>
        <v>0.20798718839296587</v>
      </c>
      <c r="G58" s="54">
        <f t="shared" si="7"/>
        <v>0.17845293860378952</v>
      </c>
      <c r="H58" s="89">
        <v>0.17499999999999999</v>
      </c>
      <c r="I58" s="89">
        <v>0.17499999999999999</v>
      </c>
      <c r="J58" s="89">
        <v>0.17</v>
      </c>
      <c r="K58" s="89">
        <v>0.17</v>
      </c>
      <c r="L58" s="89">
        <v>0.17</v>
      </c>
    </row>
    <row r="59" spans="3:12" outlineLevel="1" x14ac:dyDescent="0.2">
      <c r="E59" s="12"/>
      <c r="F59" s="39"/>
      <c r="G59" s="39"/>
      <c r="H59" s="12"/>
      <c r="I59" s="12"/>
      <c r="J59" s="12"/>
      <c r="K59" s="12"/>
      <c r="L59" s="12"/>
    </row>
    <row r="60" spans="3:12" outlineLevel="1" x14ac:dyDescent="0.2">
      <c r="C60" s="1" t="s">
        <v>140</v>
      </c>
      <c r="D60" s="93"/>
      <c r="E60" s="94"/>
      <c r="F60" s="102"/>
      <c r="G60" s="102"/>
      <c r="H60" s="94"/>
      <c r="I60" s="94"/>
      <c r="J60" s="94"/>
      <c r="K60" s="94"/>
      <c r="L60" s="94"/>
    </row>
    <row r="61" spans="3:12" outlineLevel="1" x14ac:dyDescent="0.2">
      <c r="C61" s="45" t="s">
        <v>28</v>
      </c>
      <c r="D61" s="29" t="s">
        <v>44</v>
      </c>
      <c r="E61" s="54"/>
      <c r="F61" s="54">
        <f>+F75/E75-1</f>
        <v>-2.6103265431902334E-2</v>
      </c>
      <c r="G61" s="54">
        <f>+G75/F75-1</f>
        <v>3.7217472899766069E-2</v>
      </c>
      <c r="H61" s="105">
        <v>0.04</v>
      </c>
      <c r="I61" s="105">
        <v>0.04</v>
      </c>
      <c r="J61" s="105">
        <v>3.5000000000000003E-2</v>
      </c>
      <c r="K61" s="105">
        <v>3.5000000000000003E-2</v>
      </c>
      <c r="L61" s="105">
        <v>3.5000000000000003E-2</v>
      </c>
    </row>
    <row r="62" spans="3:12" outlineLevel="1" x14ac:dyDescent="0.2">
      <c r="C62" s="45" t="s">
        <v>29</v>
      </c>
      <c r="D62" s="29" t="s">
        <v>44</v>
      </c>
      <c r="E62" s="54">
        <f>+E81/E75</f>
        <v>9.1600518558661928E-2</v>
      </c>
      <c r="F62" s="54">
        <f t="shared" ref="F62:G62" si="8">+F81/F75</f>
        <v>9.4320271029617972E-2</v>
      </c>
      <c r="G62" s="54">
        <f t="shared" si="8"/>
        <v>5.7294488304939432E-2</v>
      </c>
      <c r="H62" s="89">
        <v>0.06</v>
      </c>
      <c r="I62" s="89">
        <v>0.06</v>
      </c>
      <c r="J62" s="89">
        <v>0.06</v>
      </c>
      <c r="K62" s="89">
        <v>0.06</v>
      </c>
      <c r="L62" s="89">
        <v>0.06</v>
      </c>
    </row>
    <row r="63" spans="3:12" outlineLevel="1" x14ac:dyDescent="0.2">
      <c r="E63" s="12"/>
      <c r="F63" s="39"/>
      <c r="G63" s="39"/>
      <c r="H63" s="12"/>
      <c r="I63" s="12"/>
      <c r="J63" s="12"/>
      <c r="K63" s="12"/>
      <c r="L63" s="12"/>
    </row>
    <row r="64" spans="3:12" outlineLevel="1" x14ac:dyDescent="0.2">
      <c r="C64" s="106" t="s">
        <v>142</v>
      </c>
      <c r="D64" s="29" t="s">
        <v>44</v>
      </c>
      <c r="E64" s="54">
        <f>+E92/E76</f>
        <v>-8.1903873233257502E-3</v>
      </c>
      <c r="F64" s="54">
        <f t="shared" ref="F64:G64" si="9">+F92/F76</f>
        <v>-1.9084574294097982E-2</v>
      </c>
      <c r="G64" s="54">
        <f t="shared" si="9"/>
        <v>-4.5052714897768536E-3</v>
      </c>
      <c r="H64" s="88">
        <f>AVERAGE(E64:G64)</f>
        <v>-1.0593411035733529E-2</v>
      </c>
      <c r="I64" s="88">
        <f>+H64</f>
        <v>-1.0593411035733529E-2</v>
      </c>
      <c r="J64" s="88">
        <f t="shared" ref="J64:L69" si="10">+I64</f>
        <v>-1.0593411035733529E-2</v>
      </c>
      <c r="K64" s="88">
        <f t="shared" si="10"/>
        <v>-1.0593411035733529E-2</v>
      </c>
      <c r="L64" s="88">
        <f t="shared" si="10"/>
        <v>-1.0593411035733529E-2</v>
      </c>
    </row>
    <row r="65" spans="2:12" outlineLevel="1" x14ac:dyDescent="0.2">
      <c r="E65" s="12"/>
      <c r="F65" s="39"/>
      <c r="G65" s="39"/>
      <c r="H65" s="12"/>
      <c r="I65" s="12"/>
      <c r="J65" s="12"/>
      <c r="K65" s="12"/>
      <c r="L65" s="12"/>
    </row>
    <row r="66" spans="2:12" outlineLevel="1" x14ac:dyDescent="0.2">
      <c r="C66" s="115" t="s">
        <v>73</v>
      </c>
      <c r="D66" s="29" t="s">
        <v>44</v>
      </c>
      <c r="E66" s="54">
        <f>-E98/E94</f>
        <v>-6.3503189177822952E-3</v>
      </c>
      <c r="F66" s="54">
        <f t="shared" ref="F66:G66" si="11">-F98/F94</f>
        <v>8.481484986548056E-2</v>
      </c>
      <c r="G66" s="54">
        <f t="shared" si="11"/>
        <v>6.6370032411433216E-2</v>
      </c>
      <c r="H66" s="88">
        <f>AVERAGE(F66:G66)</f>
        <v>7.5592441138456895E-2</v>
      </c>
      <c r="I66" s="88">
        <f>+H66</f>
        <v>7.5592441138456895E-2</v>
      </c>
      <c r="J66" s="88">
        <f t="shared" si="10"/>
        <v>7.5592441138456895E-2</v>
      </c>
      <c r="K66" s="88">
        <f t="shared" si="10"/>
        <v>7.5592441138456895E-2</v>
      </c>
      <c r="L66" s="88">
        <f t="shared" si="10"/>
        <v>7.5592441138456895E-2</v>
      </c>
    </row>
    <row r="67" spans="2:12" outlineLevel="1" x14ac:dyDescent="0.2">
      <c r="C67" s="115" t="s">
        <v>74</v>
      </c>
      <c r="D67" s="29" t="s">
        <v>44</v>
      </c>
      <c r="E67" s="54"/>
      <c r="F67" s="54">
        <f>+F99/(F76-E76)</f>
        <v>-1.4181606401296398</v>
      </c>
      <c r="G67" s="54">
        <f>+G99/(G76-F76)</f>
        <v>-0.35107010511986803</v>
      </c>
      <c r="H67" s="89">
        <v>-0.34</v>
      </c>
      <c r="I67" s="89">
        <v>-0.33</v>
      </c>
      <c r="J67" s="89">
        <v>-0.32</v>
      </c>
      <c r="K67" s="89">
        <v>-0.31</v>
      </c>
      <c r="L67" s="89">
        <v>-0.3</v>
      </c>
    </row>
    <row r="68" spans="2:12" outlineLevel="1" x14ac:dyDescent="0.2">
      <c r="C68" s="116" t="s">
        <v>139</v>
      </c>
      <c r="D68" s="29" t="s">
        <v>44</v>
      </c>
      <c r="E68" s="54">
        <f>+E100/E76</f>
        <v>1.3386608671341874E-2</v>
      </c>
      <c r="F68" s="54">
        <f t="shared" ref="F68:G68" si="12">+F100/F76</f>
        <v>3.7417486050590414E-2</v>
      </c>
      <c r="G68" s="54">
        <f t="shared" si="12"/>
        <v>2.6748611373164405E-4</v>
      </c>
      <c r="H68" s="88">
        <f>AVERAGE(E68:G68)</f>
        <v>1.7023860278554643E-2</v>
      </c>
      <c r="I68" s="88">
        <f>+H68</f>
        <v>1.7023860278554643E-2</v>
      </c>
      <c r="J68" s="88">
        <f t="shared" si="10"/>
        <v>1.7023860278554643E-2</v>
      </c>
      <c r="K68" s="88">
        <f t="shared" si="10"/>
        <v>1.7023860278554643E-2</v>
      </c>
      <c r="L68" s="88">
        <f t="shared" si="10"/>
        <v>1.7023860278554643E-2</v>
      </c>
    </row>
    <row r="69" spans="2:12" outlineLevel="1" x14ac:dyDescent="0.2">
      <c r="C69" s="115" t="s">
        <v>75</v>
      </c>
      <c r="D69" s="29" t="s">
        <v>44</v>
      </c>
      <c r="E69" s="54">
        <f>-E103/E95</f>
        <v>8.3324361320885318E-2</v>
      </c>
      <c r="F69" s="54">
        <f t="shared" ref="F69:G69" si="13">-F103/F95</f>
        <v>9.207005736852561E-2</v>
      </c>
      <c r="G69" s="54">
        <f t="shared" si="13"/>
        <v>7.1418860742284873E-2</v>
      </c>
      <c r="H69" s="88">
        <f>AVERAGE(E69:G69)</f>
        <v>8.2271093143898591E-2</v>
      </c>
      <c r="I69" s="88">
        <f>+H69</f>
        <v>8.2271093143898591E-2</v>
      </c>
      <c r="J69" s="88">
        <f t="shared" si="10"/>
        <v>8.2271093143898591E-2</v>
      </c>
      <c r="K69" s="88">
        <f t="shared" si="10"/>
        <v>8.2271093143898591E-2</v>
      </c>
      <c r="L69" s="88">
        <f t="shared" si="10"/>
        <v>8.2271093143898591E-2</v>
      </c>
    </row>
    <row r="70" spans="2:12" x14ac:dyDescent="0.2">
      <c r="E70" s="12"/>
      <c r="F70" s="12"/>
      <c r="G70" s="12"/>
      <c r="H70" s="12"/>
      <c r="I70" s="12"/>
      <c r="J70" s="12"/>
      <c r="K70" s="12"/>
      <c r="L70" s="12"/>
    </row>
    <row r="71" spans="2:12" x14ac:dyDescent="0.2">
      <c r="B71" s="8"/>
      <c r="C71" s="8"/>
      <c r="D71" s="8"/>
      <c r="E71" s="9" t="str">
        <f>$E$24</f>
        <v>Historical</v>
      </c>
      <c r="F71" s="9"/>
      <c r="G71" s="10"/>
      <c r="H71" s="9" t="str">
        <f>$H$24</f>
        <v>Projected</v>
      </c>
      <c r="I71" s="9"/>
      <c r="J71" s="9"/>
      <c r="K71" s="9"/>
      <c r="L71" s="9"/>
    </row>
    <row r="72" spans="2:12" x14ac:dyDescent="0.2">
      <c r="B72" s="26" t="s">
        <v>36</v>
      </c>
      <c r="C72" s="27"/>
      <c r="D72" s="31" t="str">
        <f>$D$25</f>
        <v>Units:</v>
      </c>
      <c r="E72" s="34">
        <f>$E$25</f>
        <v>41729</v>
      </c>
      <c r="F72" s="34">
        <f>$F$25</f>
        <v>42094</v>
      </c>
      <c r="G72" s="35">
        <f>$G$25</f>
        <v>42460</v>
      </c>
      <c r="H72" s="34">
        <f>$H$25</f>
        <v>42825</v>
      </c>
      <c r="I72" s="34">
        <f>$I$25</f>
        <v>43190</v>
      </c>
      <c r="J72" s="34">
        <f>$J$25</f>
        <v>43555</v>
      </c>
      <c r="K72" s="34">
        <f>$K$25</f>
        <v>43921</v>
      </c>
      <c r="L72" s="34">
        <f>$L$25</f>
        <v>44286</v>
      </c>
    </row>
    <row r="73" spans="2:12" outlineLevel="1" x14ac:dyDescent="0.2">
      <c r="B73" s="6"/>
      <c r="C73" s="6" t="s">
        <v>37</v>
      </c>
      <c r="D73" s="25"/>
      <c r="E73" s="25"/>
      <c r="F73" s="25"/>
      <c r="G73" s="25"/>
      <c r="H73" s="25"/>
      <c r="I73" s="25"/>
      <c r="J73" s="25"/>
      <c r="K73" s="25"/>
      <c r="L73" s="25"/>
    </row>
    <row r="74" spans="2:12" outlineLevel="1" x14ac:dyDescent="0.2">
      <c r="B74" s="6"/>
      <c r="C74" s="11" t="s">
        <v>38</v>
      </c>
      <c r="D74" s="29" t="s">
        <v>40</v>
      </c>
      <c r="E74" s="28">
        <v>1276.1189999999999</v>
      </c>
      <c r="F74" s="28">
        <v>1305.691</v>
      </c>
      <c r="G74" s="28">
        <v>1358.162</v>
      </c>
      <c r="H74" s="53">
        <f>+H29*H41/Thousand</f>
        <v>1391.1299325794371</v>
      </c>
      <c r="I74" s="53">
        <f>+I29*I41/Thousand</f>
        <v>1429.7293858986029</v>
      </c>
      <c r="J74" s="53">
        <f>+J29*J41/Thousand</f>
        <v>1462.1138341746735</v>
      </c>
      <c r="K74" s="53">
        <f>+K29*K41/Thousand</f>
        <v>1491.8589825174593</v>
      </c>
      <c r="L74" s="53">
        <f>+L29*L41/Thousand</f>
        <v>1513.8190652177673</v>
      </c>
    </row>
    <row r="75" spans="2:12" outlineLevel="1" x14ac:dyDescent="0.2">
      <c r="B75" s="6"/>
      <c r="C75" s="16" t="s">
        <v>43</v>
      </c>
      <c r="D75" s="30" t="s">
        <v>40</v>
      </c>
      <c r="E75" s="18">
        <v>376.42800000000011</v>
      </c>
      <c r="F75" s="18">
        <v>366.60199999999998</v>
      </c>
      <c r="G75" s="18">
        <v>380.24599999999998</v>
      </c>
      <c r="H75" s="62">
        <f>+G75*(1+H61)</f>
        <v>395.45583999999997</v>
      </c>
      <c r="I75" s="62">
        <f t="shared" ref="I75:L75" si="14">+H75*(1+I61)</f>
        <v>411.27407359999995</v>
      </c>
      <c r="J75" s="62">
        <f t="shared" si="14"/>
        <v>425.66866617599993</v>
      </c>
      <c r="K75" s="62">
        <f t="shared" si="14"/>
        <v>440.56706949215987</v>
      </c>
      <c r="L75" s="62">
        <f t="shared" si="14"/>
        <v>455.98691692438541</v>
      </c>
    </row>
    <row r="76" spans="2:12" outlineLevel="1" x14ac:dyDescent="0.2">
      <c r="B76" s="6"/>
      <c r="C76" s="22" t="s">
        <v>41</v>
      </c>
      <c r="D76" s="29" t="s">
        <v>40</v>
      </c>
      <c r="E76" s="20">
        <f>SUM(E74:E75)</f>
        <v>1652.547</v>
      </c>
      <c r="F76" s="20">
        <f>SUM(F74:F75)</f>
        <v>1672.2930000000001</v>
      </c>
      <c r="G76" s="20">
        <f>SUM(G74:G75)</f>
        <v>1738.4079999999999</v>
      </c>
      <c r="H76" s="20">
        <f>SUM(H74:H75)</f>
        <v>1786.5857725794372</v>
      </c>
      <c r="I76" s="20">
        <f t="shared" ref="I76:L76" si="15">SUM(I74:I75)</f>
        <v>1841.0034594986028</v>
      </c>
      <c r="J76" s="20">
        <f t="shared" si="15"/>
        <v>1887.7825003506734</v>
      </c>
      <c r="K76" s="20">
        <f t="shared" si="15"/>
        <v>1932.4260520096191</v>
      </c>
      <c r="L76" s="20">
        <f t="shared" si="15"/>
        <v>1969.8059821421527</v>
      </c>
    </row>
    <row r="77" spans="2:12" outlineLevel="1" x14ac:dyDescent="0.2">
      <c r="B77" s="6"/>
      <c r="C77" s="21" t="s">
        <v>28</v>
      </c>
      <c r="D77" s="29" t="s">
        <v>44</v>
      </c>
      <c r="E77" s="33">
        <f>+E76/1585.318-1</f>
        <v>4.2407264662357891E-2</v>
      </c>
      <c r="F77" s="13">
        <f>+F76/E76-1</f>
        <v>1.1948828081743024E-2</v>
      </c>
      <c r="G77" s="13">
        <f>+G76/F76-1</f>
        <v>3.9535535937781141E-2</v>
      </c>
      <c r="H77" s="13">
        <f>+H76/G76-1</f>
        <v>2.7713731517248652E-2</v>
      </c>
      <c r="I77" s="13">
        <f t="shared" ref="I77:L77" si="16">+I76/H76-1</f>
        <v>3.04590396690545E-2</v>
      </c>
      <c r="J77" s="13">
        <f t="shared" si="16"/>
        <v>2.5409534463781469E-2</v>
      </c>
      <c r="K77" s="13">
        <f t="shared" si="16"/>
        <v>2.3648673324735636E-2</v>
      </c>
      <c r="L77" s="13">
        <f t="shared" si="16"/>
        <v>1.9343524215925667E-2</v>
      </c>
    </row>
    <row r="78" spans="2:12" outlineLevel="1" x14ac:dyDescent="0.2">
      <c r="B78" s="6"/>
      <c r="C78" s="11"/>
      <c r="D78" s="25"/>
      <c r="E78" s="32"/>
      <c r="F78" s="25"/>
      <c r="G78" s="25"/>
      <c r="H78" s="25"/>
      <c r="I78" s="25"/>
      <c r="J78" s="25"/>
      <c r="K78" s="25"/>
      <c r="L78" s="25"/>
    </row>
    <row r="79" spans="2:12" outlineLevel="1" x14ac:dyDescent="0.2">
      <c r="B79" s="6"/>
      <c r="C79" s="6" t="s">
        <v>15</v>
      </c>
      <c r="D79" s="25"/>
      <c r="E79" s="25"/>
      <c r="F79" s="25"/>
      <c r="G79" s="25"/>
      <c r="H79" s="25"/>
      <c r="I79" s="25"/>
      <c r="J79" s="25"/>
      <c r="K79" s="25"/>
      <c r="L79" s="25"/>
    </row>
    <row r="80" spans="2:12" outlineLevel="1" x14ac:dyDescent="0.2">
      <c r="B80" s="6"/>
      <c r="C80" s="11" t="str">
        <f>+$C$74</f>
        <v>(+) Transportation:</v>
      </c>
      <c r="D80" s="29" t="s">
        <v>40</v>
      </c>
      <c r="E80" s="15">
        <v>460.13</v>
      </c>
      <c r="F80" s="15">
        <v>472.017</v>
      </c>
      <c r="G80" s="15">
        <v>556.89200000000005</v>
      </c>
      <c r="H80" s="57">
        <f>+H74*H48</f>
        <v>563.407622694672</v>
      </c>
      <c r="I80" s="57">
        <f t="shared" ref="I80:L80" si="17">+I74*I48</f>
        <v>579.04040128893416</v>
      </c>
      <c r="J80" s="57">
        <f t="shared" si="17"/>
        <v>584.84553366986938</v>
      </c>
      <c r="K80" s="57">
        <f t="shared" si="17"/>
        <v>596.7435930069837</v>
      </c>
      <c r="L80" s="57">
        <f t="shared" si="17"/>
        <v>605.52762608710691</v>
      </c>
    </row>
    <row r="81" spans="2:12" outlineLevel="1" x14ac:dyDescent="0.2">
      <c r="B81" s="6"/>
      <c r="C81" s="16" t="str">
        <f>+$C$75</f>
        <v>(+) Retail, Real Estate, and Other:</v>
      </c>
      <c r="D81" s="30" t="s">
        <v>40</v>
      </c>
      <c r="E81" s="18">
        <v>34.481000000000002</v>
      </c>
      <c r="F81" s="18">
        <v>34.578000000000003</v>
      </c>
      <c r="G81" s="18">
        <v>21.785999999999998</v>
      </c>
      <c r="H81" s="62">
        <f>+H75*H62</f>
        <v>23.727350399999999</v>
      </c>
      <c r="I81" s="62">
        <f t="shared" ref="I81:L81" si="18">+I75*I62</f>
        <v>24.676444415999995</v>
      </c>
      <c r="J81" s="62">
        <f t="shared" si="18"/>
        <v>25.540119970559996</v>
      </c>
      <c r="K81" s="62">
        <f t="shared" si="18"/>
        <v>26.434024169529593</v>
      </c>
      <c r="L81" s="62">
        <f t="shared" si="18"/>
        <v>27.359215015463125</v>
      </c>
    </row>
    <row r="82" spans="2:12" outlineLevel="1" x14ac:dyDescent="0.2">
      <c r="B82" s="6"/>
      <c r="C82" s="22" t="s">
        <v>42</v>
      </c>
      <c r="D82" s="29" t="s">
        <v>40</v>
      </c>
      <c r="E82" s="20">
        <f>SUM(E80:E81)</f>
        <v>494.61099999999999</v>
      </c>
      <c r="F82" s="20">
        <f>SUM(F80:F81)</f>
        <v>506.59500000000003</v>
      </c>
      <c r="G82" s="20">
        <f>SUM(G80:G81)</f>
        <v>578.678</v>
      </c>
      <c r="H82" s="20">
        <f>SUM(H80:H81)</f>
        <v>587.13497309467198</v>
      </c>
      <c r="I82" s="20">
        <f t="shared" ref="I82:L82" si="19">SUM(I80:I81)</f>
        <v>603.71684570493414</v>
      </c>
      <c r="J82" s="20">
        <f t="shared" si="19"/>
        <v>610.38565364042938</v>
      </c>
      <c r="K82" s="20">
        <f t="shared" si="19"/>
        <v>623.17761717651331</v>
      </c>
      <c r="L82" s="20">
        <f t="shared" si="19"/>
        <v>632.88684110257009</v>
      </c>
    </row>
    <row r="83" spans="2:12" outlineLevel="1" x14ac:dyDescent="0.2">
      <c r="B83" s="6"/>
      <c r="C83" s="21" t="s">
        <v>29</v>
      </c>
      <c r="D83" s="29" t="s">
        <v>44</v>
      </c>
      <c r="E83" s="13">
        <f>+E82/E76</f>
        <v>0.29930222862042649</v>
      </c>
      <c r="F83" s="13">
        <f t="shared" ref="F83:G83" si="20">+F82/F76</f>
        <v>0.30293435420706777</v>
      </c>
      <c r="G83" s="13">
        <f t="shared" si="20"/>
        <v>0.33287812757419433</v>
      </c>
      <c r="H83" s="13">
        <f>+H82/H76</f>
        <v>0.32863520022717863</v>
      </c>
      <c r="I83" s="13">
        <f t="shared" ref="I83:L83" si="21">+I82/I76</f>
        <v>0.32792814298641049</v>
      </c>
      <c r="J83" s="13">
        <f t="shared" si="21"/>
        <v>0.32333473455074641</v>
      </c>
      <c r="K83" s="13">
        <f t="shared" si="21"/>
        <v>0.32248458694108484</v>
      </c>
      <c r="L83" s="13">
        <f t="shared" si="21"/>
        <v>0.32129399892181731</v>
      </c>
    </row>
    <row r="84" spans="2:12" outlineLevel="1" x14ac:dyDescent="0.2">
      <c r="B84" s="6"/>
      <c r="C84" s="11"/>
      <c r="D84" s="25"/>
      <c r="E84" s="25"/>
      <c r="F84" s="25"/>
      <c r="G84" s="25"/>
      <c r="H84" s="25"/>
      <c r="I84" s="25"/>
      <c r="J84" s="25"/>
      <c r="K84" s="25"/>
      <c r="L84" s="25"/>
    </row>
    <row r="85" spans="2:12" outlineLevel="1" x14ac:dyDescent="0.2">
      <c r="C85" s="16" t="s">
        <v>13</v>
      </c>
      <c r="D85" s="30" t="s">
        <v>40</v>
      </c>
      <c r="E85" s="18">
        <v>276.26799999999997</v>
      </c>
      <c r="F85" s="18">
        <v>271.56700000000001</v>
      </c>
      <c r="G85" s="18">
        <v>242.36799999999999</v>
      </c>
      <c r="H85" s="19">
        <f>+H74*H58</f>
        <v>243.44773820140148</v>
      </c>
      <c r="I85" s="19">
        <f t="shared" ref="I85:L85" si="22">+I74*I58</f>
        <v>250.20264253225548</v>
      </c>
      <c r="J85" s="19">
        <f t="shared" si="22"/>
        <v>248.5593518096945</v>
      </c>
      <c r="K85" s="19">
        <f t="shared" si="22"/>
        <v>253.6160270279681</v>
      </c>
      <c r="L85" s="19">
        <f t="shared" si="22"/>
        <v>257.34924108702046</v>
      </c>
    </row>
    <row r="86" spans="2:12" outlineLevel="1" x14ac:dyDescent="0.2">
      <c r="C86" s="6" t="s">
        <v>14</v>
      </c>
      <c r="D86" s="29" t="s">
        <v>40</v>
      </c>
      <c r="E86" s="20">
        <f>+E82+E85</f>
        <v>770.87899999999991</v>
      </c>
      <c r="F86" s="20">
        <f t="shared" ref="F86:G86" si="23">+F82+F85</f>
        <v>778.16200000000003</v>
      </c>
      <c r="G86" s="20">
        <f t="shared" si="23"/>
        <v>821.04600000000005</v>
      </c>
      <c r="H86" s="20">
        <f>+H82+H85</f>
        <v>830.58271129607351</v>
      </c>
      <c r="I86" s="20">
        <f t="shared" ref="I86:L86" si="24">+I82+I85</f>
        <v>853.91948823718963</v>
      </c>
      <c r="J86" s="20">
        <f t="shared" si="24"/>
        <v>858.94500545012386</v>
      </c>
      <c r="K86" s="20">
        <f t="shared" si="24"/>
        <v>876.79364420448144</v>
      </c>
      <c r="L86" s="20">
        <f t="shared" si="24"/>
        <v>890.23608218959055</v>
      </c>
    </row>
    <row r="87" spans="2:12" outlineLevel="1" x14ac:dyDescent="0.2">
      <c r="C87" s="21" t="s">
        <v>30</v>
      </c>
      <c r="D87" s="29" t="s">
        <v>44</v>
      </c>
      <c r="E87" s="13">
        <f>+E86/E76</f>
        <v>0.46647931949893096</v>
      </c>
      <c r="F87" s="13">
        <f t="shared" ref="F87:G87" si="25">+F86/F76</f>
        <v>0.46532635130327038</v>
      </c>
      <c r="G87" s="13">
        <f t="shared" si="25"/>
        <v>0.47229764244066991</v>
      </c>
      <c r="H87" s="13">
        <f>+H86/H76</f>
        <v>0.46489943222647218</v>
      </c>
      <c r="I87" s="13">
        <f t="shared" ref="I87:L87" si="26">+I86/I76</f>
        <v>0.46383372276212592</v>
      </c>
      <c r="J87" s="13">
        <f t="shared" si="26"/>
        <v>0.45500210182611966</v>
      </c>
      <c r="K87" s="13">
        <f t="shared" si="26"/>
        <v>0.45372688041162729</v>
      </c>
      <c r="L87" s="13">
        <f t="shared" si="26"/>
        <v>0.45194099838272594</v>
      </c>
    </row>
    <row r="88" spans="2:12" outlineLevel="1" x14ac:dyDescent="0.2">
      <c r="E88" s="12"/>
      <c r="F88" s="12"/>
      <c r="G88" s="12"/>
      <c r="H88" s="12"/>
      <c r="I88" s="12"/>
      <c r="J88" s="12"/>
      <c r="K88" s="12"/>
      <c r="L88" s="12"/>
    </row>
    <row r="89" spans="2:12" outlineLevel="1" x14ac:dyDescent="0.2">
      <c r="C89" s="6" t="s">
        <v>15</v>
      </c>
      <c r="D89" s="29" t="s">
        <v>40</v>
      </c>
      <c r="E89" s="20">
        <f>+E82</f>
        <v>494.61099999999999</v>
      </c>
      <c r="F89" s="20">
        <f t="shared" ref="F89:G89" si="27">+F82</f>
        <v>506.59500000000003</v>
      </c>
      <c r="G89" s="20">
        <f t="shared" si="27"/>
        <v>578.678</v>
      </c>
      <c r="H89" s="20">
        <f>+H82</f>
        <v>587.13497309467198</v>
      </c>
      <c r="I89" s="20">
        <f t="shared" ref="I89:L89" si="28">+I82</f>
        <v>603.71684570493414</v>
      </c>
      <c r="J89" s="20">
        <f t="shared" si="28"/>
        <v>610.38565364042938</v>
      </c>
      <c r="K89" s="20">
        <f t="shared" si="28"/>
        <v>623.17761717651331</v>
      </c>
      <c r="L89" s="20">
        <f t="shared" si="28"/>
        <v>632.88684110257009</v>
      </c>
    </row>
    <row r="90" spans="2:12" outlineLevel="1" x14ac:dyDescent="0.2">
      <c r="C90" s="64" t="s">
        <v>77</v>
      </c>
      <c r="D90" s="29" t="s">
        <v>40</v>
      </c>
      <c r="E90" s="15">
        <v>1.9870000000000001</v>
      </c>
      <c r="F90" s="15">
        <v>2.2869999999999999</v>
      </c>
      <c r="G90" s="15">
        <v>2.79</v>
      </c>
      <c r="H90" s="12">
        <f>-H134</f>
        <v>5.9138070000000003</v>
      </c>
      <c r="I90" s="12">
        <f t="shared" ref="I90:L90" si="29">-I134</f>
        <v>4.8154792386481233</v>
      </c>
      <c r="J90" s="12">
        <f t="shared" si="29"/>
        <v>4.2456651179485965</v>
      </c>
      <c r="K90" s="12">
        <f t="shared" si="29"/>
        <v>3.948584485561871</v>
      </c>
      <c r="L90" s="12">
        <f t="shared" si="29"/>
        <v>3.7778239012740005</v>
      </c>
    </row>
    <row r="91" spans="2:12" outlineLevel="1" x14ac:dyDescent="0.2">
      <c r="C91" s="11" t="s">
        <v>16</v>
      </c>
      <c r="D91" s="29" t="s">
        <v>40</v>
      </c>
      <c r="E91" s="15">
        <v>-80.325000000000003</v>
      </c>
      <c r="F91" s="15">
        <v>-72.272000000000006</v>
      </c>
      <c r="G91" s="15">
        <v>-65.533000000000001</v>
      </c>
      <c r="H91" s="12">
        <f>-SUM(H131:H133)</f>
        <v>-125.90835000000001</v>
      </c>
      <c r="I91" s="12">
        <f t="shared" ref="I91:L91" si="30">-SUM(I131:I133)</f>
        <v>-111.94258752270375</v>
      </c>
      <c r="J91" s="12">
        <f t="shared" si="30"/>
        <v>-100.74880810018445</v>
      </c>
      <c r="K91" s="12">
        <f t="shared" si="30"/>
        <v>-91.454773923285444</v>
      </c>
      <c r="L91" s="12">
        <f t="shared" si="30"/>
        <v>-83.582514211912383</v>
      </c>
    </row>
    <row r="92" spans="2:12" outlineLevel="1" x14ac:dyDescent="0.2">
      <c r="C92" s="112" t="s">
        <v>141</v>
      </c>
      <c r="D92" s="30" t="s">
        <v>40</v>
      </c>
      <c r="E92" s="18">
        <v>-13.535</v>
      </c>
      <c r="F92" s="18">
        <v>-31.914999999999999</v>
      </c>
      <c r="G92" s="18">
        <v>-7.8319999999999999</v>
      </c>
      <c r="H92" s="63">
        <f>+H76*H64</f>
        <v>-18.926037439527523</v>
      </c>
      <c r="I92" s="63">
        <f t="shared" ref="I92:L92" si="31">+I76*I64</f>
        <v>-19.502506364676105</v>
      </c>
      <c r="J92" s="63">
        <f t="shared" si="31"/>
        <v>-19.99805597227946</v>
      </c>
      <c r="K92" s="63">
        <f t="shared" si="31"/>
        <v>-20.470983465097675</v>
      </c>
      <c r="L92" s="63">
        <f t="shared" si="31"/>
        <v>-20.866964429478603</v>
      </c>
    </row>
    <row r="93" spans="2:12" outlineLevel="1" x14ac:dyDescent="0.2">
      <c r="C93" s="22" t="s">
        <v>11</v>
      </c>
      <c r="D93" s="29" t="s">
        <v>40</v>
      </c>
      <c r="E93" s="20">
        <f>SUM(E89:E92)</f>
        <v>402.738</v>
      </c>
      <c r="F93" s="20">
        <f t="shared" ref="F93:H93" si="32">SUM(F89:F92)</f>
        <v>404.69499999999999</v>
      </c>
      <c r="G93" s="20">
        <f t="shared" si="32"/>
        <v>508.10299999999995</v>
      </c>
      <c r="H93" s="20">
        <f t="shared" si="32"/>
        <v>448.21439265514442</v>
      </c>
      <c r="I93" s="20">
        <f t="shared" ref="I93:L93" si="33">SUM(I89:I92)</f>
        <v>477.08723105620237</v>
      </c>
      <c r="J93" s="20">
        <f t="shared" si="33"/>
        <v>493.88445468591414</v>
      </c>
      <c r="K93" s="20">
        <f t="shared" si="33"/>
        <v>515.20044427369214</v>
      </c>
      <c r="L93" s="20">
        <f t="shared" si="33"/>
        <v>532.21518636245321</v>
      </c>
    </row>
    <row r="94" spans="2:12" outlineLevel="1" x14ac:dyDescent="0.2">
      <c r="C94" s="16" t="s">
        <v>17</v>
      </c>
      <c r="D94" s="30" t="s">
        <v>40</v>
      </c>
      <c r="E94" s="18">
        <v>-142.66999999999999</v>
      </c>
      <c r="F94" s="18">
        <v>-147.934</v>
      </c>
      <c r="G94" s="18">
        <v>-177.09800000000001</v>
      </c>
      <c r="H94" s="19">
        <f>-H93*Tax_Rate</f>
        <v>-146.56610639823222</v>
      </c>
      <c r="I94" s="19">
        <f>-I93*Tax_Rate</f>
        <v>-156.00752455537818</v>
      </c>
      <c r="J94" s="19">
        <f>-J93*Tax_Rate</f>
        <v>-161.50021668229394</v>
      </c>
      <c r="K94" s="19">
        <f>-K93*Tax_Rate</f>
        <v>-168.47054527749734</v>
      </c>
      <c r="L94" s="19">
        <f>-L93*Tax_Rate</f>
        <v>-174.03436594052221</v>
      </c>
    </row>
    <row r="95" spans="2:12" outlineLevel="1" x14ac:dyDescent="0.2">
      <c r="C95" s="6" t="s">
        <v>12</v>
      </c>
      <c r="D95" s="29" t="s">
        <v>40</v>
      </c>
      <c r="E95" s="20">
        <f>+E93+E94</f>
        <v>260.06799999999998</v>
      </c>
      <c r="F95" s="20">
        <f t="shared" ref="F95:H95" si="34">+F93+F94</f>
        <v>256.76099999999997</v>
      </c>
      <c r="G95" s="20">
        <f t="shared" si="34"/>
        <v>331.00499999999994</v>
      </c>
      <c r="H95" s="20">
        <f t="shared" si="34"/>
        <v>301.64828625691223</v>
      </c>
      <c r="I95" s="20">
        <f t="shared" ref="I95:L95" si="35">+I93+I94</f>
        <v>321.07970650082416</v>
      </c>
      <c r="J95" s="20">
        <f t="shared" si="35"/>
        <v>332.38423800362023</v>
      </c>
      <c r="K95" s="20">
        <f t="shared" si="35"/>
        <v>346.72989899619483</v>
      </c>
      <c r="L95" s="20">
        <f t="shared" si="35"/>
        <v>358.180820421931</v>
      </c>
    </row>
    <row r="96" spans="2:12" outlineLevel="1" x14ac:dyDescent="0.2">
      <c r="E96" s="55"/>
      <c r="F96" s="55"/>
      <c r="G96" s="55"/>
    </row>
    <row r="97" spans="3:12" outlineLevel="1" x14ac:dyDescent="0.2">
      <c r="C97" s="11" t="s">
        <v>13</v>
      </c>
      <c r="D97" s="29" t="s">
        <v>40</v>
      </c>
      <c r="E97" s="23">
        <f>+E85</f>
        <v>276.26799999999997</v>
      </c>
      <c r="F97" s="23">
        <f t="shared" ref="F97:L97" si="36">+F85</f>
        <v>271.56700000000001</v>
      </c>
      <c r="G97" s="23">
        <f t="shared" si="36"/>
        <v>242.36799999999999</v>
      </c>
      <c r="H97" s="23">
        <f t="shared" si="36"/>
        <v>243.44773820140148</v>
      </c>
      <c r="I97" s="23">
        <f t="shared" si="36"/>
        <v>250.20264253225548</v>
      </c>
      <c r="J97" s="23">
        <f t="shared" si="36"/>
        <v>248.5593518096945</v>
      </c>
      <c r="K97" s="23">
        <f t="shared" si="36"/>
        <v>253.6160270279681</v>
      </c>
      <c r="L97" s="23">
        <f t="shared" si="36"/>
        <v>257.34924108702046</v>
      </c>
    </row>
    <row r="98" spans="3:12" outlineLevel="1" x14ac:dyDescent="0.2">
      <c r="C98" s="11" t="s">
        <v>45</v>
      </c>
      <c r="D98" s="29" t="s">
        <v>40</v>
      </c>
      <c r="E98" s="15">
        <v>-0.90600000000000003</v>
      </c>
      <c r="F98" s="15">
        <v>12.547000000000001</v>
      </c>
      <c r="G98" s="15">
        <v>11.754</v>
      </c>
      <c r="H98" s="23">
        <f>-H94*H66</f>
        <v>11.07928977080118</v>
      </c>
      <c r="I98" s="23">
        <f t="shared" ref="I98:L98" si="37">-I94*I66</f>
        <v>11.792989617108795</v>
      </c>
      <c r="J98" s="23">
        <f t="shared" si="37"/>
        <v>12.20819562340434</v>
      </c>
      <c r="K98" s="23">
        <f t="shared" si="37"/>
        <v>12.735099777452955</v>
      </c>
      <c r="L98" s="23">
        <f t="shared" si="37"/>
        <v>13.155682563427593</v>
      </c>
    </row>
    <row r="99" spans="3:12" outlineLevel="1" x14ac:dyDescent="0.2">
      <c r="C99" s="11" t="s">
        <v>18</v>
      </c>
      <c r="D99" s="29" t="s">
        <v>40</v>
      </c>
      <c r="E99" s="15">
        <v>-33.453000000000003</v>
      </c>
      <c r="F99" s="15">
        <v>-28.003</v>
      </c>
      <c r="G99" s="15">
        <v>-23.210999999999999</v>
      </c>
      <c r="H99" s="12">
        <f>(H76-G76)*H67</f>
        <v>-16.38044267700867</v>
      </c>
      <c r="I99" s="12">
        <f t="shared" ref="I99:L99" si="38">(I76-H76)*I67</f>
        <v>-17.957836683324647</v>
      </c>
      <c r="J99" s="12">
        <f t="shared" si="38"/>
        <v>-14.969293072662623</v>
      </c>
      <c r="K99" s="12">
        <f t="shared" si="38"/>
        <v>-13.839501014273145</v>
      </c>
      <c r="L99" s="12">
        <f t="shared" si="38"/>
        <v>-11.213979039760101</v>
      </c>
    </row>
    <row r="100" spans="3:12" outlineLevel="1" x14ac:dyDescent="0.2">
      <c r="C100" s="108" t="s">
        <v>138</v>
      </c>
      <c r="D100" s="29" t="s">
        <v>40</v>
      </c>
      <c r="E100" s="15">
        <v>22.122</v>
      </c>
      <c r="F100" s="15">
        <v>62.573</v>
      </c>
      <c r="G100" s="15">
        <v>0.46499999999999986</v>
      </c>
      <c r="H100" s="12">
        <f>+H76*H68</f>
        <v>30.414586568045937</v>
      </c>
      <c r="I100" s="12">
        <f t="shared" ref="I100:L100" si="39">+I76*I68</f>
        <v>31.340985666839945</v>
      </c>
      <c r="J100" s="12">
        <f t="shared" si="39"/>
        <v>32.137345522270394</v>
      </c>
      <c r="K100" s="12">
        <f t="shared" si="39"/>
        <v>32.897351108050721</v>
      </c>
      <c r="L100" s="12">
        <f t="shared" si="39"/>
        <v>33.533701815849113</v>
      </c>
    </row>
    <row r="101" spans="3:12" outlineLevel="1" x14ac:dyDescent="0.2">
      <c r="C101" s="36" t="s">
        <v>66</v>
      </c>
      <c r="D101" s="29" t="s">
        <v>40</v>
      </c>
      <c r="E101" s="15">
        <v>-202.11799999999999</v>
      </c>
      <c r="F101" s="15">
        <v>-192.46899999999999</v>
      </c>
      <c r="G101" s="15">
        <v>-206.16399999999999</v>
      </c>
      <c r="H101" s="12">
        <f>-H55*H30</f>
        <v>-207.375</v>
      </c>
      <c r="I101" s="12">
        <f t="shared" ref="I101:L101" si="40">-I55*I30</f>
        <v>-208.95</v>
      </c>
      <c r="J101" s="12">
        <f t="shared" si="40"/>
        <v>-212.53</v>
      </c>
      <c r="K101" s="12">
        <f t="shared" si="40"/>
        <v>-214.12</v>
      </c>
      <c r="L101" s="12">
        <f t="shared" si="40"/>
        <v>-217.745</v>
      </c>
    </row>
    <row r="102" spans="3:12" outlineLevel="1" x14ac:dyDescent="0.2">
      <c r="C102" s="36" t="s">
        <v>68</v>
      </c>
      <c r="D102" s="29" t="s">
        <v>40</v>
      </c>
      <c r="E102" s="15">
        <v>0</v>
      </c>
      <c r="F102" s="15">
        <v>-5</v>
      </c>
      <c r="G102" s="15">
        <v>-30</v>
      </c>
      <c r="H102" s="12">
        <f>-H57</f>
        <v>-110</v>
      </c>
      <c r="I102" s="12">
        <f t="shared" ref="I102:L102" si="41">-I57</f>
        <v>-150</v>
      </c>
      <c r="J102" s="12">
        <f t="shared" si="41"/>
        <v>-175</v>
      </c>
      <c r="K102" s="12">
        <f t="shared" si="41"/>
        <v>-175</v>
      </c>
      <c r="L102" s="12">
        <f t="shared" si="41"/>
        <v>-175</v>
      </c>
    </row>
    <row r="103" spans="3:12" outlineLevel="1" x14ac:dyDescent="0.2">
      <c r="C103" s="3" t="s">
        <v>46</v>
      </c>
      <c r="D103" s="30" t="s">
        <v>40</v>
      </c>
      <c r="E103" s="18">
        <v>-21.67</v>
      </c>
      <c r="F103" s="18">
        <v>-23.64</v>
      </c>
      <c r="G103" s="18">
        <v>-23.64</v>
      </c>
      <c r="H103" s="19">
        <f>-H95*H69</f>
        <v>-24.81693425533981</v>
      </c>
      <c r="I103" s="19">
        <f t="shared" ref="I103:L103" si="42">-I95*I69</f>
        <v>-26.415578440144927</v>
      </c>
      <c r="J103" s="19">
        <f t="shared" si="42"/>
        <v>-27.345614604359596</v>
      </c>
      <c r="K103" s="19">
        <f t="shared" si="42"/>
        <v>-28.525847816090497</v>
      </c>
      <c r="L103" s="19">
        <f t="shared" si="42"/>
        <v>-29.4679276392907</v>
      </c>
    </row>
    <row r="104" spans="3:12" outlineLevel="1" x14ac:dyDescent="0.2">
      <c r="C104" s="2" t="s">
        <v>76</v>
      </c>
      <c r="D104" s="29" t="s">
        <v>40</v>
      </c>
      <c r="E104" s="20">
        <f>+E95+SUM(E97:E103)</f>
        <v>300.31099999999992</v>
      </c>
      <c r="F104" s="20">
        <f t="shared" ref="F104:G104" si="43">+F95+SUM(F97:F103)</f>
        <v>354.33600000000001</v>
      </c>
      <c r="G104" s="20">
        <f t="shared" si="43"/>
        <v>302.57699999999994</v>
      </c>
      <c r="H104" s="20">
        <f>+H95+SUM(H97:H103)</f>
        <v>228.01752386481238</v>
      </c>
      <c r="I104" s="20">
        <f t="shared" ref="I104:L104" si="44">+I95+SUM(I97:I103)</f>
        <v>211.0929091935588</v>
      </c>
      <c r="J104" s="20">
        <f t="shared" si="44"/>
        <v>195.44422328196725</v>
      </c>
      <c r="K104" s="20">
        <f t="shared" si="44"/>
        <v>214.49302807930297</v>
      </c>
      <c r="L104" s="20">
        <f t="shared" si="44"/>
        <v>228.79253920917736</v>
      </c>
    </row>
    <row r="105" spans="3:12" outlineLevel="1" x14ac:dyDescent="0.2"/>
    <row r="106" spans="3:12" outlineLevel="1" x14ac:dyDescent="0.2">
      <c r="C106" s="1" t="s">
        <v>121</v>
      </c>
      <c r="D106" s="93"/>
      <c r="E106" s="94"/>
      <c r="F106" s="94"/>
      <c r="G106" s="94"/>
      <c r="H106" s="93"/>
      <c r="I106" s="93"/>
      <c r="J106" s="93"/>
      <c r="K106" s="93"/>
      <c r="L106" s="93"/>
    </row>
    <row r="107" spans="3:12" outlineLevel="1" x14ac:dyDescent="0.2">
      <c r="C107" s="11" t="s">
        <v>20</v>
      </c>
      <c r="D107" s="29" t="s">
        <v>40</v>
      </c>
      <c r="E107" s="15">
        <v>92.638999999999996</v>
      </c>
      <c r="F107" s="15">
        <v>151.39699999999999</v>
      </c>
      <c r="G107" s="15">
        <v>347.87099999999998</v>
      </c>
    </row>
    <row r="108" spans="3:12" outlineLevel="1" x14ac:dyDescent="0.2">
      <c r="C108" s="11" t="s">
        <v>21</v>
      </c>
      <c r="D108" s="29" t="s">
        <v>40</v>
      </c>
      <c r="E108" s="15">
        <v>1539.675</v>
      </c>
      <c r="F108" s="15">
        <v>1452.2</v>
      </c>
      <c r="G108" s="15">
        <v>1338.326</v>
      </c>
    </row>
    <row r="109" spans="3:12" outlineLevel="1" x14ac:dyDescent="0.2">
      <c r="C109" s="11" t="s">
        <v>22</v>
      </c>
      <c r="D109" s="29" t="s">
        <v>40</v>
      </c>
      <c r="E109" s="12">
        <f>+E108-E107</f>
        <v>1447.0360000000001</v>
      </c>
      <c r="F109" s="12">
        <f t="shared" ref="F109:G109" si="45">+F108-F107</f>
        <v>1300.8030000000001</v>
      </c>
      <c r="G109" s="12">
        <f t="shared" si="45"/>
        <v>990.45500000000004</v>
      </c>
    </row>
    <row r="110" spans="3:12" outlineLevel="1" x14ac:dyDescent="0.2">
      <c r="C110" s="11" t="s">
        <v>47</v>
      </c>
      <c r="D110" s="29" t="s">
        <v>40</v>
      </c>
      <c r="E110" s="15">
        <v>1753.77</v>
      </c>
      <c r="F110" s="15">
        <v>2020.1959999999999</v>
      </c>
      <c r="G110" s="15">
        <v>2316.3969999999999</v>
      </c>
      <c r="H110" s="12"/>
    </row>
    <row r="111" spans="3:12" outlineLevel="1" x14ac:dyDescent="0.2">
      <c r="E111" s="12"/>
      <c r="F111" s="12"/>
      <c r="G111" s="12"/>
    </row>
    <row r="112" spans="3:12" outlineLevel="1" x14ac:dyDescent="0.2">
      <c r="C112" s="1" t="s">
        <v>120</v>
      </c>
      <c r="D112" s="93"/>
      <c r="E112" s="94"/>
      <c r="F112" s="94"/>
      <c r="G112" s="94"/>
      <c r="H112" s="93"/>
      <c r="I112" s="93"/>
      <c r="J112" s="93"/>
      <c r="K112" s="93"/>
      <c r="L112" s="93"/>
    </row>
    <row r="113" spans="2:12" outlineLevel="1" x14ac:dyDescent="0.2">
      <c r="C113" s="64" t="s">
        <v>20</v>
      </c>
      <c r="D113" s="29" t="s">
        <v>40</v>
      </c>
      <c r="E113" s="12">
        <f>+E107</f>
        <v>92.638999999999996</v>
      </c>
      <c r="F113" s="12">
        <f t="shared" ref="F113:G116" si="46">+F107</f>
        <v>151.39699999999999</v>
      </c>
      <c r="G113" s="12">
        <f t="shared" si="46"/>
        <v>347.87099999999998</v>
      </c>
      <c r="H113" s="12">
        <f>+G113+H104+H140+H143+H145</f>
        <v>240.77396193240617</v>
      </c>
      <c r="I113" s="12">
        <f t="shared" ref="I113:L113" si="47">+H113+I104+I140+I143+I145</f>
        <v>184.59413556298247</v>
      </c>
      <c r="J113" s="12">
        <f t="shared" si="47"/>
        <v>157.94337942247483</v>
      </c>
      <c r="K113" s="12">
        <f t="shared" si="47"/>
        <v>139.9194037508889</v>
      </c>
      <c r="L113" s="12">
        <f t="shared" si="47"/>
        <v>164.11917148003312</v>
      </c>
    </row>
    <row r="114" spans="2:12" outlineLevel="1" x14ac:dyDescent="0.2">
      <c r="C114" s="64" t="s">
        <v>21</v>
      </c>
      <c r="D114" s="29" t="s">
        <v>40</v>
      </c>
      <c r="E114" s="12">
        <f t="shared" ref="E114" si="48">+E108</f>
        <v>1539.675</v>
      </c>
      <c r="F114" s="12">
        <f t="shared" si="46"/>
        <v>1452.2</v>
      </c>
      <c r="G114" s="12">
        <f>+G108+E19+E21</f>
        <v>2980.4180000000001</v>
      </c>
      <c r="H114" s="12">
        <f>+G114+H140+H143+H145</f>
        <v>2645.303438067594</v>
      </c>
      <c r="I114" s="12">
        <f t="shared" ref="I114:L114" si="49">+H114+I140+I143+I145</f>
        <v>2378.0307025046113</v>
      </c>
      <c r="J114" s="12">
        <f t="shared" si="49"/>
        <v>2155.9357230821365</v>
      </c>
      <c r="K114" s="12">
        <f t="shared" si="49"/>
        <v>1923.4187193312475</v>
      </c>
      <c r="L114" s="12">
        <f t="shared" si="49"/>
        <v>1718.8259478512143</v>
      </c>
    </row>
    <row r="115" spans="2:12" outlineLevel="1" x14ac:dyDescent="0.2">
      <c r="C115" s="64" t="s">
        <v>22</v>
      </c>
      <c r="D115" s="29" t="s">
        <v>40</v>
      </c>
      <c r="E115" s="12">
        <f t="shared" ref="E115" si="50">+E109</f>
        <v>1447.0360000000001</v>
      </c>
      <c r="F115" s="12">
        <f t="shared" si="46"/>
        <v>1300.8030000000001</v>
      </c>
      <c r="G115" s="12">
        <f>+G114-G113</f>
        <v>2632.547</v>
      </c>
      <c r="H115" s="12">
        <f>+H114-H113</f>
        <v>2404.5294761351879</v>
      </c>
      <c r="I115" s="12">
        <f t="shared" ref="I115:L115" si="51">+I114-I113</f>
        <v>2193.4365669416288</v>
      </c>
      <c r="J115" s="12">
        <f t="shared" si="51"/>
        <v>1997.9923436596616</v>
      </c>
      <c r="K115" s="12">
        <f t="shared" si="51"/>
        <v>1783.4993155803586</v>
      </c>
      <c r="L115" s="12">
        <f t="shared" si="51"/>
        <v>1554.7067763711811</v>
      </c>
    </row>
    <row r="116" spans="2:12" outlineLevel="1" x14ac:dyDescent="0.2">
      <c r="C116" s="64" t="s">
        <v>47</v>
      </c>
      <c r="D116" s="29" t="s">
        <v>40</v>
      </c>
      <c r="E116" s="12">
        <f t="shared" ref="E116" si="52">+E110</f>
        <v>1753.77</v>
      </c>
      <c r="F116" s="12">
        <f t="shared" si="46"/>
        <v>2020.1959999999999</v>
      </c>
      <c r="G116" s="12">
        <f>+G110</f>
        <v>2316.3969999999999</v>
      </c>
      <c r="H116" s="12">
        <f>+G116+H95+H103</f>
        <v>2593.2283520015726</v>
      </c>
      <c r="I116" s="12">
        <f t="shared" ref="I116:L116" si="53">+H116+I95+I103</f>
        <v>2887.8924800622517</v>
      </c>
      <c r="J116" s="12">
        <f t="shared" si="53"/>
        <v>3192.9311034615125</v>
      </c>
      <c r="K116" s="12">
        <f t="shared" si="53"/>
        <v>3511.1351546416172</v>
      </c>
      <c r="L116" s="12">
        <f t="shared" si="53"/>
        <v>3839.8480474242574</v>
      </c>
    </row>
    <row r="117" spans="2:12" x14ac:dyDescent="0.2">
      <c r="E117" s="12"/>
      <c r="F117" s="12"/>
      <c r="G117" s="12"/>
    </row>
    <row r="118" spans="2:12" x14ac:dyDescent="0.2">
      <c r="B118" s="8"/>
      <c r="C118" s="8"/>
      <c r="D118" s="8"/>
      <c r="E118" s="9" t="str">
        <f>$E$24</f>
        <v>Historical</v>
      </c>
      <c r="F118" s="9"/>
      <c r="G118" s="10"/>
      <c r="H118" s="9" t="str">
        <f>$H$24</f>
        <v>Projected</v>
      </c>
      <c r="I118" s="9"/>
      <c r="J118" s="9"/>
      <c r="K118" s="9"/>
      <c r="L118" s="9"/>
    </row>
    <row r="119" spans="2:12" x14ac:dyDescent="0.2">
      <c r="B119" s="26" t="s">
        <v>4</v>
      </c>
      <c r="C119" s="27"/>
      <c r="D119" s="31" t="str">
        <f>$D$25</f>
        <v>Units:</v>
      </c>
      <c r="E119" s="34">
        <f>$E$25</f>
        <v>41729</v>
      </c>
      <c r="F119" s="34">
        <f>$F$25</f>
        <v>42094</v>
      </c>
      <c r="G119" s="35">
        <f>$G$25</f>
        <v>42460</v>
      </c>
      <c r="H119" s="34">
        <f>$H$25</f>
        <v>42825</v>
      </c>
      <c r="I119" s="34">
        <f>$I$25</f>
        <v>43190</v>
      </c>
      <c r="J119" s="34">
        <f>$J$25</f>
        <v>43555</v>
      </c>
      <c r="K119" s="34">
        <f>$K$25</f>
        <v>43921</v>
      </c>
      <c r="L119" s="34">
        <f>$L$25</f>
        <v>44286</v>
      </c>
    </row>
    <row r="120" spans="2:12" outlineLevel="1" x14ac:dyDescent="0.2"/>
    <row r="121" spans="2:12" outlineLevel="1" x14ac:dyDescent="0.2">
      <c r="C121" s="5" t="s">
        <v>23</v>
      </c>
      <c r="D121" s="29" t="s">
        <v>44</v>
      </c>
      <c r="F121" s="66"/>
      <c r="G121" s="66"/>
      <c r="H121" s="66">
        <v>1.2E-2</v>
      </c>
      <c r="I121" s="66">
        <v>1.4999999999999999E-2</v>
      </c>
      <c r="J121" s="66">
        <v>1.7999999999999999E-2</v>
      </c>
      <c r="K121" s="66">
        <v>0.02</v>
      </c>
      <c r="L121" s="66">
        <v>2.1999999999999999E-2</v>
      </c>
    </row>
    <row r="122" spans="2:12" outlineLevel="1" x14ac:dyDescent="0.2"/>
    <row r="123" spans="2:12" outlineLevel="1" x14ac:dyDescent="0.2">
      <c r="C123" s="67"/>
      <c r="D123" s="67"/>
      <c r="E123" s="67" t="s">
        <v>78</v>
      </c>
      <c r="F123" s="67" t="s">
        <v>78</v>
      </c>
      <c r="G123" s="67" t="s">
        <v>79</v>
      </c>
      <c r="H123" s="67"/>
      <c r="I123" s="67"/>
      <c r="J123" s="67"/>
      <c r="K123" s="67"/>
      <c r="L123" s="67"/>
    </row>
    <row r="124" spans="2:12" outlineLevel="1" x14ac:dyDescent="0.2">
      <c r="C124" s="1" t="s">
        <v>108</v>
      </c>
      <c r="D124" s="1"/>
      <c r="E124" s="68" t="s">
        <v>80</v>
      </c>
      <c r="F124" s="68" t="s">
        <v>81</v>
      </c>
      <c r="G124" s="68" t="s">
        <v>82</v>
      </c>
      <c r="H124" s="68"/>
      <c r="I124" s="68"/>
      <c r="J124" s="68"/>
      <c r="K124" s="68"/>
      <c r="L124" s="68"/>
    </row>
    <row r="125" spans="2:12" outlineLevel="1" x14ac:dyDescent="0.2">
      <c r="C125" s="69" t="str">
        <f>+$C$19</f>
        <v>Revolver:</v>
      </c>
      <c r="D125" s="29" t="s">
        <v>44</v>
      </c>
      <c r="E125" s="70">
        <f>+F19</f>
        <v>1.4999999999999999E-2</v>
      </c>
      <c r="F125" s="71">
        <f t="shared" ref="F125" si="54">+G19</f>
        <v>0.02</v>
      </c>
      <c r="G125" s="71"/>
      <c r="H125" s="119">
        <f>MAX($E125,H$121)+$F125</f>
        <v>3.5000000000000003E-2</v>
      </c>
      <c r="I125" s="119">
        <f t="shared" ref="I125:L127" si="55">MAX($E125,I$121)+$F125</f>
        <v>3.5000000000000003E-2</v>
      </c>
      <c r="J125" s="119">
        <f t="shared" si="55"/>
        <v>3.7999999999999999E-2</v>
      </c>
      <c r="K125" s="119">
        <f t="shared" si="55"/>
        <v>0.04</v>
      </c>
      <c r="L125" s="119">
        <f t="shared" si="55"/>
        <v>4.1999999999999996E-2</v>
      </c>
    </row>
    <row r="126" spans="2:12" outlineLevel="1" x14ac:dyDescent="0.2">
      <c r="C126" s="69" t="str">
        <f>+$C$20</f>
        <v>Existing Unsecured Bonds:</v>
      </c>
      <c r="D126" s="29" t="s">
        <v>44</v>
      </c>
      <c r="E126" s="70"/>
      <c r="F126" s="70"/>
      <c r="G126" s="71">
        <f t="shared" ref="G126" si="56">+H20</f>
        <v>4.4999999999999998E-2</v>
      </c>
      <c r="H126" s="119">
        <f>+$G126</f>
        <v>4.4999999999999998E-2</v>
      </c>
      <c r="I126" s="119">
        <f t="shared" ref="I126:L126" si="57">+$G126</f>
        <v>4.4999999999999998E-2</v>
      </c>
      <c r="J126" s="119">
        <f t="shared" si="57"/>
        <v>4.4999999999999998E-2</v>
      </c>
      <c r="K126" s="119">
        <f t="shared" si="57"/>
        <v>4.4999999999999998E-2</v>
      </c>
      <c r="L126" s="119">
        <f t="shared" si="57"/>
        <v>4.4999999999999998E-2</v>
      </c>
    </row>
    <row r="127" spans="2:12" outlineLevel="1" x14ac:dyDescent="0.2">
      <c r="C127" s="69" t="str">
        <f>+$C$21</f>
        <v>New Term Loans:</v>
      </c>
      <c r="D127" s="29" t="s">
        <v>44</v>
      </c>
      <c r="E127" s="70">
        <f t="shared" ref="E127:F127" si="58">+F21</f>
        <v>0.02</v>
      </c>
      <c r="F127" s="71">
        <f t="shared" si="58"/>
        <v>0.02</v>
      </c>
      <c r="G127" s="71"/>
      <c r="H127" s="119">
        <f>MAX($E127,H$121)+$F127</f>
        <v>0.04</v>
      </c>
      <c r="I127" s="119">
        <f t="shared" si="55"/>
        <v>0.04</v>
      </c>
      <c r="J127" s="119">
        <f t="shared" si="55"/>
        <v>0.04</v>
      </c>
      <c r="K127" s="119">
        <f t="shared" si="55"/>
        <v>0.04</v>
      </c>
      <c r="L127" s="119">
        <f t="shared" si="55"/>
        <v>4.1999999999999996E-2</v>
      </c>
    </row>
    <row r="128" spans="2:12" outlineLevel="1" x14ac:dyDescent="0.2">
      <c r="C128" s="69" t="str">
        <f>+$C$22</f>
        <v>Cash:</v>
      </c>
      <c r="D128" s="29" t="s">
        <v>44</v>
      </c>
      <c r="E128" s="81"/>
      <c r="F128" s="71">
        <f t="shared" ref="F128" si="59">+G22</f>
        <v>5.0000000000000001E-3</v>
      </c>
      <c r="G128" s="81"/>
      <c r="H128" s="119">
        <f>+$F128+H$121</f>
        <v>1.7000000000000001E-2</v>
      </c>
      <c r="I128" s="119">
        <f t="shared" ref="I128:L128" si="60">+$F128+I$121</f>
        <v>0.02</v>
      </c>
      <c r="J128" s="119">
        <f t="shared" si="60"/>
        <v>2.3E-2</v>
      </c>
      <c r="K128" s="119">
        <f t="shared" si="60"/>
        <v>2.5000000000000001E-2</v>
      </c>
      <c r="L128" s="119">
        <f t="shared" si="60"/>
        <v>2.7E-2</v>
      </c>
    </row>
    <row r="129" spans="3:12" outlineLevel="1" x14ac:dyDescent="0.2"/>
    <row r="130" spans="3:12" outlineLevel="1" x14ac:dyDescent="0.2">
      <c r="C130" s="1" t="s">
        <v>84</v>
      </c>
      <c r="D130" s="1"/>
      <c r="E130" s="1"/>
      <c r="F130" s="1"/>
      <c r="G130" s="1"/>
      <c r="H130" s="1"/>
      <c r="I130" s="1"/>
      <c r="J130" s="1"/>
      <c r="K130" s="1"/>
      <c r="L130" s="1"/>
    </row>
    <row r="131" spans="3:12" outlineLevel="1" x14ac:dyDescent="0.2">
      <c r="C131" s="69" t="s">
        <v>85</v>
      </c>
      <c r="D131" s="29" t="s">
        <v>40</v>
      </c>
      <c r="H131" s="12">
        <f>+G151*H125</f>
        <v>0</v>
      </c>
      <c r="I131" s="12">
        <f t="shared" ref="I131:L131" si="61">+H151*I125</f>
        <v>0</v>
      </c>
      <c r="J131" s="12">
        <f t="shared" si="61"/>
        <v>0</v>
      </c>
      <c r="K131" s="12">
        <f t="shared" si="61"/>
        <v>0</v>
      </c>
      <c r="L131" s="12">
        <f t="shared" si="61"/>
        <v>0</v>
      </c>
    </row>
    <row r="132" spans="3:12" outlineLevel="1" x14ac:dyDescent="0.2">
      <c r="C132" s="69" t="s">
        <v>92</v>
      </c>
      <c r="D132" s="29" t="s">
        <v>40</v>
      </c>
      <c r="H132" s="12">
        <f>+G156*H126</f>
        <v>60.224669999999996</v>
      </c>
      <c r="I132" s="12">
        <f t="shared" ref="I132:L132" si="62">+H156*I126</f>
        <v>55.174049999999994</v>
      </c>
      <c r="J132" s="12">
        <f t="shared" si="62"/>
        <v>50.648219999999988</v>
      </c>
      <c r="K132" s="12">
        <f t="shared" si="62"/>
        <v>46.956104999999994</v>
      </c>
      <c r="L132" s="12">
        <f t="shared" si="62"/>
        <v>41.983919999999991</v>
      </c>
    </row>
    <row r="133" spans="3:12" outlineLevel="1" x14ac:dyDescent="0.2">
      <c r="C133" s="69" t="s">
        <v>86</v>
      </c>
      <c r="D133" s="29" t="s">
        <v>40</v>
      </c>
      <c r="H133" s="12">
        <f>+G162*H127</f>
        <v>65.68368000000001</v>
      </c>
      <c r="I133" s="12">
        <f t="shared" ref="I133:L133" si="63">+H162*I127</f>
        <v>56.768537522703753</v>
      </c>
      <c r="J133" s="12">
        <f t="shared" si="63"/>
        <v>50.100588100184453</v>
      </c>
      <c r="K133" s="12">
        <f t="shared" si="63"/>
        <v>44.49866892328545</v>
      </c>
      <c r="L133" s="12">
        <f t="shared" si="63"/>
        <v>41.598594211912385</v>
      </c>
    </row>
    <row r="134" spans="3:12" outlineLevel="1" x14ac:dyDescent="0.2">
      <c r="C134" s="69" t="s">
        <v>87</v>
      </c>
      <c r="D134" s="30" t="s">
        <v>40</v>
      </c>
      <c r="H134" s="19">
        <f>-G113*H128</f>
        <v>-5.9138070000000003</v>
      </c>
      <c r="I134" s="19">
        <f t="shared" ref="I134:L134" si="64">-H113*I128</f>
        <v>-4.8154792386481233</v>
      </c>
      <c r="J134" s="19">
        <f t="shared" si="64"/>
        <v>-4.2456651179485965</v>
      </c>
      <c r="K134" s="19">
        <f t="shared" si="64"/>
        <v>-3.948584485561871</v>
      </c>
      <c r="L134" s="19">
        <f t="shared" si="64"/>
        <v>-3.7778239012740005</v>
      </c>
    </row>
    <row r="135" spans="3:12" outlineLevel="1" x14ac:dyDescent="0.2">
      <c r="C135" s="72" t="s">
        <v>84</v>
      </c>
      <c r="D135" s="29" t="s">
        <v>40</v>
      </c>
      <c r="E135" s="73"/>
      <c r="F135" s="73"/>
      <c r="G135" s="73"/>
      <c r="H135" s="20">
        <f>SUM(H131:H134)</f>
        <v>119.99454300000001</v>
      </c>
      <c r="I135" s="20">
        <f t="shared" ref="I135:L135" si="65">SUM(I131:I134)</f>
        <v>107.12710828405562</v>
      </c>
      <c r="J135" s="20">
        <f t="shared" si="65"/>
        <v>96.503142982235858</v>
      </c>
      <c r="K135" s="20">
        <f t="shared" si="65"/>
        <v>87.506189437723577</v>
      </c>
      <c r="L135" s="20">
        <f t="shared" si="65"/>
        <v>79.804690310638378</v>
      </c>
    </row>
    <row r="136" spans="3:12" outlineLevel="1" x14ac:dyDescent="0.2"/>
    <row r="137" spans="3:12" outlineLevel="1" x14ac:dyDescent="0.2">
      <c r="C137" s="1" t="s">
        <v>88</v>
      </c>
      <c r="D137" s="1"/>
      <c r="E137" s="1"/>
      <c r="F137" s="1"/>
      <c r="G137" s="1"/>
      <c r="H137" s="95"/>
      <c r="I137" s="1"/>
      <c r="J137" s="1"/>
      <c r="K137" s="1"/>
      <c r="L137" s="1"/>
    </row>
    <row r="138" spans="3:12" outlineLevel="1" x14ac:dyDescent="0.2">
      <c r="C138" s="64" t="s">
        <v>89</v>
      </c>
      <c r="D138" s="29" t="s">
        <v>40</v>
      </c>
      <c r="H138" s="12">
        <f>+G113</f>
        <v>347.87099999999998</v>
      </c>
      <c r="I138" s="12">
        <f t="shared" ref="I138:L138" si="66">+H113</f>
        <v>240.77396193240617</v>
      </c>
      <c r="J138" s="12">
        <f t="shared" si="66"/>
        <v>184.59413556298247</v>
      </c>
      <c r="K138" s="12">
        <f t="shared" si="66"/>
        <v>157.94337942247483</v>
      </c>
      <c r="L138" s="12">
        <f t="shared" si="66"/>
        <v>139.9194037508889</v>
      </c>
    </row>
    <row r="139" spans="3:12" outlineLevel="1" x14ac:dyDescent="0.2">
      <c r="C139" s="74" t="s">
        <v>19</v>
      </c>
      <c r="D139" s="29" t="s">
        <v>40</v>
      </c>
      <c r="H139" s="12">
        <f>+H104</f>
        <v>228.01752386481238</v>
      </c>
      <c r="I139" s="12">
        <f t="shared" ref="I139:L139" si="67">+I104</f>
        <v>211.0929091935588</v>
      </c>
      <c r="J139" s="12">
        <f t="shared" si="67"/>
        <v>195.44422328196725</v>
      </c>
      <c r="K139" s="12">
        <f t="shared" si="67"/>
        <v>214.49302807930297</v>
      </c>
      <c r="L139" s="12">
        <f t="shared" si="67"/>
        <v>228.79253920917736</v>
      </c>
    </row>
    <row r="140" spans="3:12" outlineLevel="1" x14ac:dyDescent="0.2">
      <c r="C140" s="74" t="s">
        <v>103</v>
      </c>
      <c r="D140" s="29" t="s">
        <v>40</v>
      </c>
      <c r="H140" s="12">
        <f>+H155+H160</f>
        <v>-194.34059999999999</v>
      </c>
      <c r="I140" s="12">
        <f t="shared" ref="I140:L140" si="68">+I155+I160</f>
        <v>-182.67860000000002</v>
      </c>
      <c r="J140" s="12">
        <f t="shared" si="68"/>
        <v>-164.1516</v>
      </c>
      <c r="K140" s="12">
        <f t="shared" si="68"/>
        <v>-192.5976</v>
      </c>
      <c r="L140" s="12">
        <f t="shared" si="68"/>
        <v>-140.4736</v>
      </c>
    </row>
    <row r="141" spans="3:12" outlineLevel="1" x14ac:dyDescent="0.2">
      <c r="C141" s="75" t="s">
        <v>90</v>
      </c>
      <c r="D141" s="30" t="s">
        <v>40</v>
      </c>
      <c r="E141" s="17"/>
      <c r="F141" s="17"/>
      <c r="G141" s="17"/>
      <c r="H141" s="19">
        <f>-Min_Cash</f>
        <v>-100</v>
      </c>
      <c r="I141" s="19">
        <f>-Min_Cash</f>
        <v>-100</v>
      </c>
      <c r="J141" s="19">
        <f>-Min_Cash</f>
        <v>-100</v>
      </c>
      <c r="K141" s="19">
        <f>-Min_Cash</f>
        <v>-100</v>
      </c>
      <c r="L141" s="19">
        <f>-Min_Cash</f>
        <v>-100</v>
      </c>
    </row>
    <row r="142" spans="3:12" outlineLevel="1" x14ac:dyDescent="0.2">
      <c r="C142" s="76" t="s">
        <v>88</v>
      </c>
      <c r="D142" s="29" t="s">
        <v>40</v>
      </c>
      <c r="H142" s="20">
        <f>SUM(H138:H141)</f>
        <v>281.54792386481233</v>
      </c>
      <c r="I142" s="20">
        <f t="shared" ref="I142:L142" si="69">SUM(I138:I141)</f>
        <v>169.18827112596495</v>
      </c>
      <c r="J142" s="20">
        <f t="shared" si="69"/>
        <v>115.8867588449497</v>
      </c>
      <c r="K142" s="20">
        <f t="shared" si="69"/>
        <v>79.838807501777808</v>
      </c>
      <c r="L142" s="20">
        <f t="shared" si="69"/>
        <v>128.23834296006626</v>
      </c>
    </row>
    <row r="143" spans="3:12" outlineLevel="1" x14ac:dyDescent="0.2">
      <c r="C143" s="75" t="s">
        <v>91</v>
      </c>
      <c r="D143" s="30" t="s">
        <v>40</v>
      </c>
      <c r="E143" s="17"/>
      <c r="F143" s="17"/>
      <c r="G143" s="17"/>
      <c r="H143" s="19">
        <f>SUM(H149:H150)</f>
        <v>0</v>
      </c>
      <c r="I143" s="19">
        <f t="shared" ref="I143:L143" si="70">SUM(I149:I150)</f>
        <v>0</v>
      </c>
      <c r="J143" s="19">
        <f t="shared" si="70"/>
        <v>0</v>
      </c>
      <c r="K143" s="19">
        <f t="shared" si="70"/>
        <v>0</v>
      </c>
      <c r="L143" s="19">
        <f t="shared" si="70"/>
        <v>0</v>
      </c>
    </row>
    <row r="144" spans="3:12" outlineLevel="1" x14ac:dyDescent="0.2">
      <c r="C144" s="76" t="s">
        <v>94</v>
      </c>
      <c r="D144" s="29" t="s">
        <v>40</v>
      </c>
      <c r="H144" s="20">
        <f>+H142+H143</f>
        <v>281.54792386481233</v>
      </c>
      <c r="I144" s="20">
        <f t="shared" ref="I144:L144" si="71">+I142+I143</f>
        <v>169.18827112596495</v>
      </c>
      <c r="J144" s="20">
        <f t="shared" si="71"/>
        <v>115.8867588449497</v>
      </c>
      <c r="K144" s="20">
        <f t="shared" si="71"/>
        <v>79.838807501777808</v>
      </c>
      <c r="L144" s="20">
        <f t="shared" si="71"/>
        <v>128.23834296006626</v>
      </c>
    </row>
    <row r="145" spans="3:12" outlineLevel="1" x14ac:dyDescent="0.2">
      <c r="C145" s="75" t="s">
        <v>95</v>
      </c>
      <c r="D145" s="30" t="s">
        <v>40</v>
      </c>
      <c r="E145" s="17"/>
      <c r="F145" s="17"/>
      <c r="G145" s="17"/>
      <c r="H145" s="19">
        <f>+H161</f>
        <v>-140.77396193240617</v>
      </c>
      <c r="I145" s="19">
        <f t="shared" ref="I145:L145" si="72">+I161</f>
        <v>-84.594135562982473</v>
      </c>
      <c r="J145" s="19">
        <f t="shared" si="72"/>
        <v>-57.943379422474848</v>
      </c>
      <c r="K145" s="19">
        <f t="shared" si="72"/>
        <v>-39.919403750888904</v>
      </c>
      <c r="L145" s="19">
        <f t="shared" si="72"/>
        <v>-64.119171480033131</v>
      </c>
    </row>
    <row r="146" spans="3:12" outlineLevel="1" x14ac:dyDescent="0.2">
      <c r="C146" s="76" t="s">
        <v>136</v>
      </c>
      <c r="D146" s="29" t="s">
        <v>40</v>
      </c>
      <c r="H146" s="20">
        <f>+H144+H145</f>
        <v>140.77396193240617</v>
      </c>
      <c r="I146" s="20">
        <f t="shared" ref="I146:L146" si="73">+I144+I145</f>
        <v>84.594135562982473</v>
      </c>
      <c r="J146" s="20">
        <f t="shared" si="73"/>
        <v>57.943379422474848</v>
      </c>
      <c r="K146" s="20">
        <f t="shared" si="73"/>
        <v>39.919403750888904</v>
      </c>
      <c r="L146" s="20">
        <f t="shared" si="73"/>
        <v>64.119171480033131</v>
      </c>
    </row>
    <row r="147" spans="3:12" outlineLevel="1" x14ac:dyDescent="0.2"/>
    <row r="148" spans="3:12" outlineLevel="1" x14ac:dyDescent="0.2">
      <c r="C148" s="64" t="s">
        <v>96</v>
      </c>
      <c r="D148" s="29" t="s">
        <v>40</v>
      </c>
      <c r="H148" s="12">
        <f>+G151</f>
        <v>0</v>
      </c>
      <c r="I148" s="12">
        <f t="shared" ref="I148:L148" si="74">+H151</f>
        <v>0</v>
      </c>
      <c r="J148" s="12">
        <f t="shared" si="74"/>
        <v>0</v>
      </c>
      <c r="K148" s="12">
        <f t="shared" si="74"/>
        <v>0</v>
      </c>
      <c r="L148" s="12">
        <f t="shared" si="74"/>
        <v>0</v>
      </c>
    </row>
    <row r="149" spans="3:12" outlineLevel="1" x14ac:dyDescent="0.2">
      <c r="C149" s="74" t="s">
        <v>97</v>
      </c>
      <c r="D149" s="29" t="s">
        <v>40</v>
      </c>
      <c r="H149" s="12">
        <f>-MIN(H142,0)</f>
        <v>0</v>
      </c>
      <c r="I149" s="12">
        <f t="shared" ref="I149:L149" si="75">-MIN(I142,0)</f>
        <v>0</v>
      </c>
      <c r="J149" s="12">
        <f t="shared" si="75"/>
        <v>0</v>
      </c>
      <c r="K149" s="12">
        <f t="shared" si="75"/>
        <v>0</v>
      </c>
      <c r="L149" s="12">
        <f t="shared" si="75"/>
        <v>0</v>
      </c>
    </row>
    <row r="150" spans="3:12" outlineLevel="1" x14ac:dyDescent="0.2">
      <c r="C150" s="75" t="s">
        <v>98</v>
      </c>
      <c r="D150" s="30" t="s">
        <v>40</v>
      </c>
      <c r="E150" s="92">
        <f>+$J$19</f>
        <v>1</v>
      </c>
      <c r="F150" s="17"/>
      <c r="G150" s="17"/>
      <c r="H150" s="19">
        <f>IF(H$142&gt;0,-MIN(H$142*$E150,H148),0)</f>
        <v>0</v>
      </c>
      <c r="I150" s="19">
        <f t="shared" ref="I150:L150" si="76">IF(I$142&gt;0,-MIN(I$142*$E150,I148),0)</f>
        <v>0</v>
      </c>
      <c r="J150" s="19">
        <f t="shared" si="76"/>
        <v>0</v>
      </c>
      <c r="K150" s="19">
        <f t="shared" si="76"/>
        <v>0</v>
      </c>
      <c r="L150" s="19">
        <f t="shared" si="76"/>
        <v>0</v>
      </c>
    </row>
    <row r="151" spans="3:12" outlineLevel="1" x14ac:dyDescent="0.2">
      <c r="C151" s="76" t="s">
        <v>99</v>
      </c>
      <c r="D151" s="29" t="s">
        <v>40</v>
      </c>
      <c r="G151" s="20">
        <f>+E19</f>
        <v>0</v>
      </c>
      <c r="H151" s="20">
        <f>SUM(H148:H150)</f>
        <v>0</v>
      </c>
      <c r="I151" s="20">
        <f t="shared" ref="I151:L151" si="77">SUM(I148:I150)</f>
        <v>0</v>
      </c>
      <c r="J151" s="20">
        <f t="shared" si="77"/>
        <v>0</v>
      </c>
      <c r="K151" s="20">
        <f t="shared" si="77"/>
        <v>0</v>
      </c>
      <c r="L151" s="20">
        <f t="shared" si="77"/>
        <v>0</v>
      </c>
    </row>
    <row r="152" spans="3:12" outlineLevel="1" x14ac:dyDescent="0.2"/>
    <row r="153" spans="3:12" outlineLevel="1" x14ac:dyDescent="0.2">
      <c r="C153" s="1" t="s">
        <v>93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3:12" outlineLevel="1" x14ac:dyDescent="0.2">
      <c r="C154" s="64" t="s">
        <v>104</v>
      </c>
      <c r="D154" s="29" t="s">
        <v>40</v>
      </c>
      <c r="H154" s="12">
        <f>+G156</f>
        <v>1338.326</v>
      </c>
      <c r="I154" s="12">
        <f t="shared" ref="I154:L154" si="78">+H156</f>
        <v>1226.0899999999999</v>
      </c>
      <c r="J154" s="12">
        <f t="shared" si="78"/>
        <v>1125.5159999999998</v>
      </c>
      <c r="K154" s="12">
        <f t="shared" si="78"/>
        <v>1043.4689999999998</v>
      </c>
      <c r="L154" s="12">
        <f t="shared" si="78"/>
        <v>932.97599999999989</v>
      </c>
    </row>
    <row r="155" spans="3:12" outlineLevel="1" x14ac:dyDescent="0.2">
      <c r="C155" s="75" t="s">
        <v>102</v>
      </c>
      <c r="D155" s="30" t="s">
        <v>40</v>
      </c>
      <c r="E155" s="17"/>
      <c r="F155" s="17"/>
      <c r="G155" s="17"/>
      <c r="H155" s="77">
        <v>-112.236</v>
      </c>
      <c r="I155" s="77">
        <v>-100.574</v>
      </c>
      <c r="J155" s="77">
        <v>-82.046999999999997</v>
      </c>
      <c r="K155" s="77">
        <v>-110.49299999999999</v>
      </c>
      <c r="L155" s="77">
        <v>-58.369</v>
      </c>
    </row>
    <row r="156" spans="3:12" outlineLevel="1" x14ac:dyDescent="0.2">
      <c r="C156" s="76" t="s">
        <v>105</v>
      </c>
      <c r="D156" s="29" t="s">
        <v>40</v>
      </c>
      <c r="G156" s="20">
        <f>+E20</f>
        <v>1338.326</v>
      </c>
      <c r="H156" s="20">
        <f>SUM(H154:H155)</f>
        <v>1226.0899999999999</v>
      </c>
      <c r="I156" s="20">
        <f t="shared" ref="I156:L156" si="79">SUM(I154:I155)</f>
        <v>1125.5159999999998</v>
      </c>
      <c r="J156" s="20">
        <f t="shared" si="79"/>
        <v>1043.4689999999998</v>
      </c>
      <c r="K156" s="20">
        <f t="shared" si="79"/>
        <v>932.97599999999989</v>
      </c>
      <c r="L156" s="20">
        <f t="shared" si="79"/>
        <v>874.60699999999986</v>
      </c>
    </row>
    <row r="157" spans="3:12" outlineLevel="1" x14ac:dyDescent="0.2">
      <c r="C157" s="64"/>
      <c r="D157" s="65"/>
    </row>
    <row r="158" spans="3:12" outlineLevel="1" x14ac:dyDescent="0.2">
      <c r="C158" s="1" t="s">
        <v>83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3:12" outlineLevel="1" x14ac:dyDescent="0.2">
      <c r="C159" s="64" t="s">
        <v>106</v>
      </c>
      <c r="D159" s="29" t="s">
        <v>40</v>
      </c>
      <c r="H159" s="12">
        <f>+G162</f>
        <v>1642.0920000000001</v>
      </c>
      <c r="I159" s="12">
        <f>+H162</f>
        <v>1419.2134380675939</v>
      </c>
      <c r="J159" s="12">
        <f t="shared" ref="J159:L159" si="80">+I162</f>
        <v>1252.5147025046113</v>
      </c>
      <c r="K159" s="12">
        <f t="shared" si="80"/>
        <v>1112.4667230821362</v>
      </c>
      <c r="L159" s="12">
        <f t="shared" si="80"/>
        <v>990.44271933124742</v>
      </c>
    </row>
    <row r="160" spans="3:12" outlineLevel="1" x14ac:dyDescent="0.2">
      <c r="C160" s="74" t="s">
        <v>100</v>
      </c>
      <c r="D160" s="29" t="s">
        <v>40</v>
      </c>
      <c r="E160" s="90">
        <f>+$I$21</f>
        <v>0.05</v>
      </c>
      <c r="H160" s="12">
        <f>-MIN(H159,$E160*$G162)</f>
        <v>-82.104600000000005</v>
      </c>
      <c r="I160" s="12">
        <f t="shared" ref="I160:L160" si="81">-MIN(I159,$E160*$G162)</f>
        <v>-82.104600000000005</v>
      </c>
      <c r="J160" s="12">
        <f t="shared" si="81"/>
        <v>-82.104600000000005</v>
      </c>
      <c r="K160" s="12">
        <f t="shared" si="81"/>
        <v>-82.104600000000005</v>
      </c>
      <c r="L160" s="12">
        <f t="shared" si="81"/>
        <v>-82.104600000000005</v>
      </c>
    </row>
    <row r="161" spans="2:12" outlineLevel="1" x14ac:dyDescent="0.2">
      <c r="C161" s="75" t="s">
        <v>101</v>
      </c>
      <c r="D161" s="30" t="s">
        <v>40</v>
      </c>
      <c r="E161" s="91">
        <f>+$J$21</f>
        <v>0.5</v>
      </c>
      <c r="F161" s="17"/>
      <c r="G161" s="17"/>
      <c r="H161" s="19">
        <f>IF(H144&gt;0,-MIN(H$144*$E161,H159),0)</f>
        <v>-140.77396193240617</v>
      </c>
      <c r="I161" s="19">
        <f t="shared" ref="I161:L161" si="82">IF(I144&gt;0,-MIN(I$144*$E161,I159),0)</f>
        <v>-84.594135562982473</v>
      </c>
      <c r="J161" s="19">
        <f t="shared" si="82"/>
        <v>-57.943379422474848</v>
      </c>
      <c r="K161" s="19">
        <f t="shared" si="82"/>
        <v>-39.919403750888904</v>
      </c>
      <c r="L161" s="19">
        <f t="shared" si="82"/>
        <v>-64.119171480033131</v>
      </c>
    </row>
    <row r="162" spans="2:12" outlineLevel="1" x14ac:dyDescent="0.2">
      <c r="C162" s="76" t="s">
        <v>107</v>
      </c>
      <c r="D162" s="29" t="s">
        <v>40</v>
      </c>
      <c r="G162" s="20">
        <f>+E21</f>
        <v>1642.0920000000001</v>
      </c>
      <c r="H162" s="20">
        <f>SUM(H159:H161)</f>
        <v>1419.2134380675939</v>
      </c>
      <c r="I162" s="20">
        <f t="shared" ref="I162:L162" si="83">SUM(I159:I161)</f>
        <v>1252.5147025046113</v>
      </c>
      <c r="J162" s="20">
        <f t="shared" si="83"/>
        <v>1112.4667230821362</v>
      </c>
      <c r="K162" s="20">
        <f t="shared" si="83"/>
        <v>990.44271933124742</v>
      </c>
      <c r="L162" s="20">
        <f t="shared" si="83"/>
        <v>844.21894785121424</v>
      </c>
    </row>
    <row r="164" spans="2:12" x14ac:dyDescent="0.2">
      <c r="B164" s="8"/>
      <c r="C164" s="8"/>
      <c r="D164" s="8"/>
      <c r="E164" s="9" t="str">
        <f>$E$24</f>
        <v>Historical</v>
      </c>
      <c r="F164" s="9"/>
      <c r="G164" s="10"/>
      <c r="H164" s="9" t="str">
        <f>$H$24</f>
        <v>Projected</v>
      </c>
      <c r="I164" s="9"/>
      <c r="J164" s="9"/>
      <c r="K164" s="9"/>
      <c r="L164" s="9"/>
    </row>
    <row r="165" spans="2:12" x14ac:dyDescent="0.2">
      <c r="B165" s="26" t="s">
        <v>5</v>
      </c>
      <c r="C165" s="27"/>
      <c r="D165" s="31" t="str">
        <f>$D$25</f>
        <v>Units:</v>
      </c>
      <c r="E165" s="34">
        <f>$E$25</f>
        <v>41729</v>
      </c>
      <c r="F165" s="34">
        <f>$F$25</f>
        <v>42094</v>
      </c>
      <c r="G165" s="35">
        <f>$G$25</f>
        <v>42460</v>
      </c>
      <c r="H165" s="34">
        <f>$H$25</f>
        <v>42825</v>
      </c>
      <c r="I165" s="34">
        <f>$I$25</f>
        <v>43190</v>
      </c>
      <c r="J165" s="34">
        <f>$J$25</f>
        <v>43555</v>
      </c>
      <c r="K165" s="34">
        <f>$K$25</f>
        <v>43921</v>
      </c>
      <c r="L165" s="34">
        <f>$L$25</f>
        <v>44286</v>
      </c>
    </row>
    <row r="166" spans="2:12" outlineLevel="1" x14ac:dyDescent="0.2">
      <c r="B166" s="98"/>
      <c r="D166" s="99"/>
      <c r="E166" s="100"/>
      <c r="F166" s="100"/>
      <c r="G166" s="100"/>
      <c r="H166" s="100"/>
      <c r="I166" s="100"/>
      <c r="J166" s="100"/>
      <c r="K166" s="100"/>
      <c r="L166" s="100"/>
    </row>
    <row r="167" spans="2:12" outlineLevel="1" x14ac:dyDescent="0.2">
      <c r="C167" s="65" t="s">
        <v>14</v>
      </c>
      <c r="D167" s="29" t="s">
        <v>40</v>
      </c>
      <c r="E167" s="12">
        <f>+E86</f>
        <v>770.87899999999991</v>
      </c>
      <c r="F167" s="12">
        <f t="shared" ref="F167:G167" si="84">+F86</f>
        <v>778.16200000000003</v>
      </c>
      <c r="G167" s="12">
        <f t="shared" si="84"/>
        <v>821.04600000000005</v>
      </c>
      <c r="H167" s="12">
        <f t="shared" ref="H167:L167" si="85">+H86</f>
        <v>830.58271129607351</v>
      </c>
      <c r="I167" s="12">
        <f t="shared" si="85"/>
        <v>853.91948823718963</v>
      </c>
      <c r="J167" s="12">
        <f t="shared" si="85"/>
        <v>858.94500545012386</v>
      </c>
      <c r="K167" s="12">
        <f t="shared" si="85"/>
        <v>876.79364420448144</v>
      </c>
      <c r="L167" s="12">
        <f t="shared" si="85"/>
        <v>890.23608218959055</v>
      </c>
    </row>
    <row r="168" spans="2:12" outlineLevel="1" x14ac:dyDescent="0.2">
      <c r="C168" s="65" t="s">
        <v>24</v>
      </c>
      <c r="D168" s="29" t="s">
        <v>40</v>
      </c>
      <c r="E168" s="12">
        <f>-E91</f>
        <v>80.325000000000003</v>
      </c>
      <c r="F168" s="12">
        <f t="shared" ref="F168:G168" si="86">-F91</f>
        <v>72.272000000000006</v>
      </c>
      <c r="G168" s="12">
        <f t="shared" si="86"/>
        <v>65.533000000000001</v>
      </c>
      <c r="H168" s="12">
        <f t="shared" ref="H168:L168" si="87">-H91</f>
        <v>125.90835000000001</v>
      </c>
      <c r="I168" s="12">
        <f t="shared" si="87"/>
        <v>111.94258752270375</v>
      </c>
      <c r="J168" s="12">
        <f t="shared" si="87"/>
        <v>100.74880810018445</v>
      </c>
      <c r="K168" s="12">
        <f t="shared" si="87"/>
        <v>91.454773923285444</v>
      </c>
      <c r="L168" s="12">
        <f t="shared" si="87"/>
        <v>83.582514211912383</v>
      </c>
    </row>
    <row r="169" spans="2:12" outlineLevel="1" x14ac:dyDescent="0.2"/>
    <row r="170" spans="2:12" outlineLevel="1" x14ac:dyDescent="0.2">
      <c r="C170" s="5" t="s">
        <v>26</v>
      </c>
      <c r="D170" s="29" t="s">
        <v>40</v>
      </c>
      <c r="E170" s="12">
        <f>+E114+E116</f>
        <v>3293.4449999999997</v>
      </c>
      <c r="F170" s="12">
        <f t="shared" ref="F170:G170" si="88">+F114+F116</f>
        <v>3472.3959999999997</v>
      </c>
      <c r="G170" s="12">
        <f t="shared" si="88"/>
        <v>5296.8150000000005</v>
      </c>
      <c r="H170" s="12">
        <f t="shared" ref="H170:L170" si="89">+H114+H116</f>
        <v>5238.5317900691662</v>
      </c>
      <c r="I170" s="12">
        <f t="shared" si="89"/>
        <v>5265.923182566863</v>
      </c>
      <c r="J170" s="12">
        <f t="shared" si="89"/>
        <v>5348.866826543649</v>
      </c>
      <c r="K170" s="12">
        <f t="shared" si="89"/>
        <v>5434.5538739728645</v>
      </c>
      <c r="L170" s="12">
        <f t="shared" si="89"/>
        <v>5558.6739952754715</v>
      </c>
    </row>
    <row r="171" spans="2:12" outlineLevel="1" x14ac:dyDescent="0.2">
      <c r="C171" s="5" t="s">
        <v>27</v>
      </c>
      <c r="D171" s="29" t="s">
        <v>40</v>
      </c>
      <c r="E171" s="12">
        <f>+E170-E113</f>
        <v>3200.8059999999996</v>
      </c>
      <c r="F171" s="12">
        <f t="shared" ref="F171:G171" si="90">+F170-F113</f>
        <v>3320.9989999999998</v>
      </c>
      <c r="G171" s="12">
        <f t="shared" si="90"/>
        <v>4948.9440000000004</v>
      </c>
      <c r="H171" s="12">
        <f t="shared" ref="H171" si="91">+H170-H113</f>
        <v>4997.7578281367596</v>
      </c>
      <c r="I171" s="12">
        <f t="shared" ref="I171" si="92">+I170-I113</f>
        <v>5081.329047003881</v>
      </c>
      <c r="J171" s="12">
        <f t="shared" ref="J171" si="93">+J170-J113</f>
        <v>5190.9234471211739</v>
      </c>
      <c r="K171" s="12">
        <f t="shared" ref="K171" si="94">+K170-K113</f>
        <v>5294.6344702219758</v>
      </c>
      <c r="L171" s="12">
        <f t="shared" ref="L171" si="95">+L170-L113</f>
        <v>5394.5548237954381</v>
      </c>
    </row>
    <row r="172" spans="2:12" outlineLevel="1" x14ac:dyDescent="0.2"/>
    <row r="173" spans="2:12" outlineLevel="1" x14ac:dyDescent="0.2">
      <c r="C173" s="65" t="s">
        <v>32</v>
      </c>
      <c r="D173" s="29" t="s">
        <v>116</v>
      </c>
      <c r="E173" s="101">
        <f>+E114/E167</f>
        <v>1.997297889811501</v>
      </c>
      <c r="F173" s="101">
        <f t="shared" ref="F173:G173" si="96">+F114/F167</f>
        <v>1.8661923866752681</v>
      </c>
      <c r="G173" s="101">
        <f t="shared" si="96"/>
        <v>3.6300256014888324</v>
      </c>
      <c r="H173" s="101">
        <f t="shared" ref="H173:L173" si="97">+H114/H167</f>
        <v>3.1848765957814842</v>
      </c>
      <c r="I173" s="101">
        <f t="shared" si="97"/>
        <v>2.7848418208767658</v>
      </c>
      <c r="J173" s="101">
        <f t="shared" si="97"/>
        <v>2.5099810923894181</v>
      </c>
      <c r="K173" s="101">
        <f t="shared" si="97"/>
        <v>2.1936960105092611</v>
      </c>
      <c r="L173" s="101">
        <f t="shared" si="97"/>
        <v>1.9307529567029635</v>
      </c>
    </row>
    <row r="174" spans="2:12" outlineLevel="1" x14ac:dyDescent="0.2">
      <c r="C174" s="65" t="s">
        <v>126</v>
      </c>
      <c r="D174" s="29" t="s">
        <v>116</v>
      </c>
      <c r="E174" s="79"/>
      <c r="F174" s="79"/>
      <c r="G174" s="79"/>
      <c r="H174" s="103">
        <v>4</v>
      </c>
      <c r="I174" s="103">
        <v>3.75</v>
      </c>
      <c r="J174" s="103">
        <v>3.5</v>
      </c>
      <c r="K174" s="103">
        <v>3.25</v>
      </c>
      <c r="L174" s="103">
        <v>3</v>
      </c>
    </row>
    <row r="175" spans="2:12" outlineLevel="1" x14ac:dyDescent="0.2">
      <c r="C175" s="5" t="s">
        <v>33</v>
      </c>
      <c r="D175" s="29" t="s">
        <v>116</v>
      </c>
      <c r="E175" s="101">
        <f>+E115/E167</f>
        <v>1.8771246849375844</v>
      </c>
      <c r="F175" s="101">
        <f t="shared" ref="F175:L175" si="98">+F115/F167</f>
        <v>1.6716352122051708</v>
      </c>
      <c r="G175" s="101">
        <f t="shared" si="98"/>
        <v>3.2063331408958815</v>
      </c>
      <c r="H175" s="101">
        <f t="shared" si="98"/>
        <v>2.8949910026216013</v>
      </c>
      <c r="I175" s="101">
        <f t="shared" si="98"/>
        <v>2.5686690573952182</v>
      </c>
      <c r="J175" s="101">
        <f t="shared" si="98"/>
        <v>2.3261004266654166</v>
      </c>
      <c r="K175" s="101">
        <f t="shared" si="98"/>
        <v>2.0341152417893436</v>
      </c>
      <c r="L175" s="101">
        <f t="shared" si="98"/>
        <v>1.7463982953232855</v>
      </c>
    </row>
    <row r="176" spans="2:12" outlineLevel="1" x14ac:dyDescent="0.2">
      <c r="C176" s="65" t="s">
        <v>127</v>
      </c>
      <c r="D176" s="29" t="s">
        <v>116</v>
      </c>
      <c r="H176" s="103">
        <v>3.7</v>
      </c>
      <c r="I176" s="103">
        <v>3.4</v>
      </c>
      <c r="J176" s="103">
        <v>3.1</v>
      </c>
      <c r="K176" s="103">
        <v>2.8</v>
      </c>
      <c r="L176" s="103">
        <v>2.5</v>
      </c>
    </row>
    <row r="177" spans="3:12" outlineLevel="1" x14ac:dyDescent="0.2"/>
    <row r="178" spans="3:12" outlineLevel="1" x14ac:dyDescent="0.2">
      <c r="C178" s="5" t="s">
        <v>34</v>
      </c>
      <c r="D178" s="29" t="s">
        <v>116</v>
      </c>
      <c r="E178" s="79">
        <f>+E167/E168</f>
        <v>9.5969996887643934</v>
      </c>
      <c r="F178" s="79">
        <f t="shared" ref="F178:L178" si="99">+F167/F168</f>
        <v>10.76712973212309</v>
      </c>
      <c r="G178" s="79">
        <f t="shared" si="99"/>
        <v>12.528741244868998</v>
      </c>
      <c r="H178" s="79">
        <f t="shared" si="99"/>
        <v>6.5967246119584084</v>
      </c>
      <c r="I178" s="79">
        <f t="shared" si="99"/>
        <v>7.6281914429037219</v>
      </c>
      <c r="J178" s="79">
        <f t="shared" si="99"/>
        <v>8.5256095992320855</v>
      </c>
      <c r="K178" s="79">
        <f t="shared" si="99"/>
        <v>9.5871828947929814</v>
      </c>
      <c r="L178" s="79">
        <f t="shared" si="99"/>
        <v>10.650984725495514</v>
      </c>
    </row>
    <row r="179" spans="3:12" outlineLevel="1" x14ac:dyDescent="0.2">
      <c r="C179" s="65" t="s">
        <v>129</v>
      </c>
      <c r="D179" s="29" t="s">
        <v>116</v>
      </c>
      <c r="E179" s="79"/>
      <c r="F179" s="79"/>
      <c r="G179" s="79"/>
      <c r="H179" s="82">
        <v>4</v>
      </c>
      <c r="I179" s="82">
        <v>4</v>
      </c>
      <c r="J179" s="82">
        <v>4</v>
      </c>
      <c r="K179" s="82">
        <v>4</v>
      </c>
      <c r="L179" s="82">
        <v>4</v>
      </c>
    </row>
    <row r="180" spans="3:12" outlineLevel="1" x14ac:dyDescent="0.2"/>
    <row r="181" spans="3:12" outlineLevel="1" x14ac:dyDescent="0.2">
      <c r="C181" s="5" t="s">
        <v>35</v>
      </c>
      <c r="D181" s="29" t="s">
        <v>116</v>
      </c>
      <c r="E181" s="79">
        <f>+E114/E116</f>
        <v>0.87792298876135411</v>
      </c>
      <c r="F181" s="79">
        <f t="shared" ref="F181:G181" si="100">+F114/F116</f>
        <v>0.71884114214660366</v>
      </c>
      <c r="G181" s="79">
        <f t="shared" si="100"/>
        <v>1.2866611379655561</v>
      </c>
      <c r="H181" s="79">
        <f t="shared" ref="H181:L181" si="101">+H114/H116</f>
        <v>1.0200811802885879</v>
      </c>
      <c r="I181" s="79">
        <f t="shared" si="101"/>
        <v>0.823448490178329</v>
      </c>
      <c r="J181" s="79">
        <f t="shared" si="101"/>
        <v>0.67522149812279031</v>
      </c>
      <c r="K181" s="79">
        <f t="shared" si="101"/>
        <v>0.54780537763934967</v>
      </c>
      <c r="L181" s="79">
        <f t="shared" si="101"/>
        <v>0.44762863702489231</v>
      </c>
    </row>
    <row r="182" spans="3:12" outlineLevel="1" x14ac:dyDescent="0.2">
      <c r="C182" s="65" t="s">
        <v>122</v>
      </c>
      <c r="D182" s="29" t="s">
        <v>44</v>
      </c>
      <c r="E182" s="96">
        <f>+E114/E170</f>
        <v>0.46749680046273739</v>
      </c>
      <c r="F182" s="96">
        <f t="shared" ref="F182:G182" si="102">+F114/F170</f>
        <v>0.41821266929232731</v>
      </c>
      <c r="G182" s="96">
        <f t="shared" si="102"/>
        <v>0.5626811583942426</v>
      </c>
      <c r="H182" s="96">
        <f t="shared" ref="H182:L182" si="103">+H114/H170</f>
        <v>0.50497038942903261</v>
      </c>
      <c r="I182" s="96">
        <f t="shared" si="103"/>
        <v>0.45158856672600478</v>
      </c>
      <c r="J182" s="96">
        <f t="shared" si="103"/>
        <v>0.40306401206015202</v>
      </c>
      <c r="K182" s="96">
        <f t="shared" si="103"/>
        <v>0.35392394002070232</v>
      </c>
      <c r="L182" s="96">
        <f t="shared" si="103"/>
        <v>0.309215102254982</v>
      </c>
    </row>
    <row r="183" spans="3:12" outlineLevel="1" x14ac:dyDescent="0.2"/>
    <row r="184" spans="3:12" outlineLevel="1" x14ac:dyDescent="0.2">
      <c r="C184" s="97" t="s">
        <v>123</v>
      </c>
      <c r="D184" s="29" t="s">
        <v>40</v>
      </c>
      <c r="H184" s="12">
        <f>-SUM($G140:H140)-SUM($G143:H143)-SUM($G145:H145)</f>
        <v>335.11456193240616</v>
      </c>
      <c r="I184" s="12">
        <f>-SUM($G140:I140)-SUM($G143:I143)-SUM($G145:I145)</f>
        <v>602.38729749538868</v>
      </c>
      <c r="J184" s="12">
        <f>-SUM($G140:J140)-SUM($G143:J143)-SUM($G145:J145)</f>
        <v>824.48227691786349</v>
      </c>
      <c r="K184" s="12">
        <f>-SUM($G140:K140)-SUM($G143:K143)-SUM($G145:K145)</f>
        <v>1056.9992806687524</v>
      </c>
      <c r="L184" s="12">
        <f>-SUM($G140:L140)-SUM($G143:L143)-SUM($G145:L145)</f>
        <v>1261.5920521487856</v>
      </c>
    </row>
    <row r="185" spans="3:12" outlineLevel="1" x14ac:dyDescent="0.2">
      <c r="C185" s="97" t="s">
        <v>124</v>
      </c>
      <c r="D185" s="29" t="s">
        <v>44</v>
      </c>
      <c r="H185" s="96">
        <f>+H184/$G114</f>
        <v>0.1124387793700099</v>
      </c>
      <c r="I185" s="96">
        <f t="shared" ref="I185:L185" si="104">+I184/$G114</f>
        <v>0.20211503805687278</v>
      </c>
      <c r="J185" s="96">
        <f t="shared" si="104"/>
        <v>0.27663310210777931</v>
      </c>
      <c r="K185" s="96">
        <f t="shared" si="104"/>
        <v>0.35464799926344304</v>
      </c>
      <c r="L185" s="96">
        <f t="shared" si="104"/>
        <v>0.42329366288513409</v>
      </c>
    </row>
    <row r="186" spans="3:12" outlineLevel="1" x14ac:dyDescent="0.2"/>
    <row r="187" spans="3:12" outlineLevel="1" x14ac:dyDescent="0.2">
      <c r="C187" s="65" t="s">
        <v>125</v>
      </c>
      <c r="D187" s="29" t="s">
        <v>116</v>
      </c>
      <c r="E187" s="79"/>
      <c r="F187" s="79"/>
      <c r="G187" s="79"/>
      <c r="H187" s="101">
        <f>(H104-H91)/(-H91-H140)</f>
        <v>1.1051585769908452</v>
      </c>
      <c r="I187" s="101">
        <f t="shared" ref="I187:L187" si="105">(I104-I91)/(-I91-I140)</f>
        <v>1.096443536299877</v>
      </c>
      <c r="J187" s="101">
        <f t="shared" si="105"/>
        <v>1.1181297662256999</v>
      </c>
      <c r="K187" s="101">
        <f t="shared" si="105"/>
        <v>1.077082362582952</v>
      </c>
      <c r="L187" s="101">
        <f t="shared" si="105"/>
        <v>1.3941822320708699</v>
      </c>
    </row>
    <row r="188" spans="3:12" outlineLevel="1" x14ac:dyDescent="0.2">
      <c r="C188" s="65" t="s">
        <v>128</v>
      </c>
      <c r="D188" s="29" t="s">
        <v>116</v>
      </c>
      <c r="H188" s="103">
        <v>1.1000000000000001</v>
      </c>
      <c r="I188" s="103">
        <v>1.1000000000000001</v>
      </c>
      <c r="J188" s="103">
        <v>1.1499999999999999</v>
      </c>
      <c r="K188" s="103">
        <v>1.1499999999999999</v>
      </c>
      <c r="L188" s="103">
        <v>1.2</v>
      </c>
    </row>
    <row r="189" spans="3:12" outlineLevel="1" x14ac:dyDescent="0.2"/>
    <row r="190" spans="3:12" outlineLevel="1" x14ac:dyDescent="0.2">
      <c r="C190" s="5" t="s">
        <v>28</v>
      </c>
      <c r="D190" s="29" t="s">
        <v>44</v>
      </c>
      <c r="E190" s="14">
        <f>+E77</f>
        <v>4.2407264662357891E-2</v>
      </c>
      <c r="F190" s="14">
        <f t="shared" ref="F190:L190" si="106">+F77</f>
        <v>1.1948828081743024E-2</v>
      </c>
      <c r="G190" s="14">
        <f t="shared" si="106"/>
        <v>3.9535535937781141E-2</v>
      </c>
      <c r="H190" s="14">
        <f t="shared" si="106"/>
        <v>2.7713731517248652E-2</v>
      </c>
      <c r="I190" s="14">
        <f t="shared" si="106"/>
        <v>3.04590396690545E-2</v>
      </c>
      <c r="J190" s="14">
        <f t="shared" si="106"/>
        <v>2.5409534463781469E-2</v>
      </c>
      <c r="K190" s="14">
        <f t="shared" si="106"/>
        <v>2.3648673324735636E-2</v>
      </c>
      <c r="L190" s="14">
        <f t="shared" si="106"/>
        <v>1.9343524215925667E-2</v>
      </c>
    </row>
    <row r="191" spans="3:12" outlineLevel="1" x14ac:dyDescent="0.2">
      <c r="C191" s="5" t="s">
        <v>29</v>
      </c>
      <c r="D191" s="29" t="s">
        <v>44</v>
      </c>
      <c r="E191" s="14">
        <f>+E83</f>
        <v>0.29930222862042649</v>
      </c>
      <c r="F191" s="14">
        <f t="shared" ref="F191:L191" si="107">+F83</f>
        <v>0.30293435420706777</v>
      </c>
      <c r="G191" s="14">
        <f t="shared" si="107"/>
        <v>0.33287812757419433</v>
      </c>
      <c r="H191" s="14">
        <f t="shared" si="107"/>
        <v>0.32863520022717863</v>
      </c>
      <c r="I191" s="14">
        <f t="shared" si="107"/>
        <v>0.32792814298641049</v>
      </c>
      <c r="J191" s="14">
        <f t="shared" si="107"/>
        <v>0.32333473455074641</v>
      </c>
      <c r="K191" s="14">
        <f t="shared" si="107"/>
        <v>0.32248458694108484</v>
      </c>
      <c r="L191" s="14">
        <f t="shared" si="107"/>
        <v>0.32129399892181731</v>
      </c>
    </row>
    <row r="192" spans="3:12" outlineLevel="1" x14ac:dyDescent="0.2">
      <c r="C192" s="5" t="s">
        <v>30</v>
      </c>
      <c r="D192" s="29" t="s">
        <v>44</v>
      </c>
      <c r="E192" s="14">
        <f>+E87</f>
        <v>0.46647931949893096</v>
      </c>
      <c r="F192" s="14">
        <f t="shared" ref="F192:L192" si="108">+F87</f>
        <v>0.46532635130327038</v>
      </c>
      <c r="G192" s="14">
        <f t="shared" si="108"/>
        <v>0.47229764244066991</v>
      </c>
      <c r="H192" s="14">
        <f t="shared" si="108"/>
        <v>0.46489943222647218</v>
      </c>
      <c r="I192" s="14">
        <f t="shared" si="108"/>
        <v>0.46383372276212592</v>
      </c>
      <c r="J192" s="14">
        <f t="shared" si="108"/>
        <v>0.45500210182611966</v>
      </c>
      <c r="K192" s="14">
        <f t="shared" si="108"/>
        <v>0.45372688041162729</v>
      </c>
      <c r="L192" s="14">
        <f t="shared" si="108"/>
        <v>0.45194099838272594</v>
      </c>
    </row>
    <row r="193" spans="3:12" outlineLevel="1" x14ac:dyDescent="0.2">
      <c r="C193" s="5" t="s">
        <v>31</v>
      </c>
      <c r="D193" s="29" t="s">
        <v>44</v>
      </c>
      <c r="E193" s="14">
        <f>+E95/E76</f>
        <v>0.1573740414039661</v>
      </c>
      <c r="F193" s="14">
        <f t="shared" ref="F193:L193" si="109">+F95/F76</f>
        <v>0.15353828545595774</v>
      </c>
      <c r="G193" s="14">
        <f t="shared" si="109"/>
        <v>0.19040697005536097</v>
      </c>
      <c r="H193" s="14">
        <f t="shared" si="109"/>
        <v>0.16884064055956205</v>
      </c>
      <c r="I193" s="14">
        <f t="shared" si="109"/>
        <v>0.17440472740245161</v>
      </c>
      <c r="J193" s="14">
        <f t="shared" si="109"/>
        <v>0.176071257118803</v>
      </c>
      <c r="K193" s="14">
        <f t="shared" si="109"/>
        <v>0.17942725344424662</v>
      </c>
      <c r="L193" s="14">
        <f t="shared" si="109"/>
        <v>0.1818355836407865</v>
      </c>
    </row>
  </sheetData>
  <dataValidations disablePrompts="1" count="1">
    <dataValidation type="list" allowBlank="1" showInputMessage="1" showErrorMessage="1" sqref="J7" xr:uid="{00000000-0002-0000-0000-000000000000}">
      <formula1>$C$35:$C$38</formula1>
    </dataValidation>
  </dataValidations>
  <pageMargins left="0.7" right="0.7" top="0.75" bottom="0.75" header="0.3" footer="0.3"/>
  <pageSetup scale="50" orientation="portrait" horizontalDpi="1200" verticalDpi="1200" r:id="rId1"/>
  <rowBreaks count="3" manualBreakCount="3">
    <brk id="70" max="12" man="1"/>
    <brk id="117" max="12" man="1"/>
    <brk id="163" max="12" man="1"/>
  </rowBreaks>
  <ignoredErrors>
    <ignoredError sqref="E20:E22 H145:I145 J145:L145 H126:L1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Debt-Equity-60-Minutes</vt:lpstr>
      <vt:lpstr>Company_Name</vt:lpstr>
      <vt:lpstr>Enterprise_Value</vt:lpstr>
      <vt:lpstr>Equity_Value</vt:lpstr>
      <vt:lpstr>Hist_Year</vt:lpstr>
      <vt:lpstr>LTM_EBITDA</vt:lpstr>
      <vt:lpstr>Million</vt:lpstr>
      <vt:lpstr>Min_Cash</vt:lpstr>
      <vt:lpstr>'Debt-Equity-60-Minutes'!Print_Area</vt:lpstr>
      <vt:lpstr>Scenario</vt:lpstr>
      <vt:lpstr>Share_Price</vt:lpstr>
      <vt:lpstr>Shares</vt:lpstr>
      <vt:lpstr>Tax_Rate</vt:lpstr>
      <vt:lpstr>Thousand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