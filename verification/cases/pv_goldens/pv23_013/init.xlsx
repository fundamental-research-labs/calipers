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autoCompressPictures="0"/>
  <bookViews>
    <workbookView xWindow="21280" yWindow="500" windowWidth="29920" windowHeight="2830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I90" i="1" s="1"/>
  <c r="H173" i="1"/>
  <c r="H170" i="1"/>
  <c r="H171" i="1" s="1"/>
  <c r="H181" i="1"/>
  <c r="H115" i="1"/>
  <c r="H175" i="1" s="1"/>
  <c r="H182" i="1"/>
  <c r="I91" i="1"/>
  <c r="I168" i="1" s="1"/>
  <c r="I178" i="1" s="1"/>
  <c r="I135" i="1"/>
  <c r="I160" i="1"/>
  <c r="I140" i="1" s="1"/>
  <c r="I93" i="1" l="1"/>
  <c r="I94" i="1" l="1"/>
  <c r="I98" i="1" s="1"/>
  <c r="I95" i="1"/>
  <c r="I193" i="1" l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s="1"/>
  <c r="K116" i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<sst xmlns="http://schemas.openxmlformats.org/spreadsheetml/2006/main" count="273" uniqueCount="144">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</sst>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zoomScale="115" zoomScaleNormal="115" workbookViewId="0">
      <selection activeCell="D21" sqref="D21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</c>
    </row>
    <row r="14" spans="2:16" outlineLevel="1" x14ac:dyDescent="0.2">
      <c r="C14" s="106" t="s">
        <v>131</v>
      </c>
      <c r="D14" s="53">
        <f>+Share_Price*Shares/Thousand</f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</c>
      <c r="E20" s="12">
        <f>+G108</f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</c>
      <c r="E22" s="12">
        <f>+G107</f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</c>
      <c r="F25" s="34">
        <f>EOMONTH(G25,-12)</f>
      </c>
      <c r="G25" s="35">
        <f>Hist_Year</f>
      </c>
      <c r="H25" s="34">
        <f>EOMONTH(G25,12)</f>
      </c>
      <c r="I25" s="34">
        <f t="shared" ref="I25" si="0">EOMONTH(H25,12)</f>
      </c>
      <c r="J25" s="34">
        <f t="shared" ref="J25" si="1">EOMONTH(I25,12)</f>
      </c>
      <c r="K25" s="34">
        <f t="shared" ref="K25" si="2">EOMONTH(J25,12)</f>
      </c>
      <c r="L25" s="34">
        <f t="shared" ref="L25" si="3">EOMONTH(K25,12)</f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</c>
      <c r="F27" s="40">
        <f>+F25-E25</f>
      </c>
      <c r="G27" s="40">
        <f>+G25-F25</f>
      </c>
      <c r="H27" s="40">
        <f>+H25-G25</f>
      </c>
      <c r="I27" s="40">
        <f t="shared" ref="I27:L27" si="4">+I25-H25</f>
      </c>
      <c r="J27" s="40">
        <f t="shared" si="4"/>
      </c>
      <c r="K27" s="40">
        <f t="shared" si="4"/>
      </c>
      <c r="L27" s="40">
        <f t="shared" si="4"/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</c>
      <c r="I29" s="40">
        <f>(I32/Million*I30)*I27</f>
      </c>
      <c r="J29" s="40">
        <f>(J32/Million*J30)*J27</f>
      </c>
      <c r="K29" s="40">
        <f>(K32/Million*K30)*K27</f>
      </c>
      <c r="L29" s="40">
        <f>(L32/Million*L30)*L27</f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</c>
      <c r="F32" s="40">
        <f>(F29/F27)/F30*Million</f>
      </c>
      <c r="G32" s="40">
        <f>(G29/G27)/G30*Million</f>
      </c>
      <c r="H32" s="40">
        <f>+G32*(1+H39)</f>
      </c>
      <c r="I32" s="40">
        <f t="shared" ref="I32:L32" si="5">+H32*(1+I39)</f>
      </c>
      <c r="J32" s="40">
        <f t="shared" si="5"/>
      </c>
      <c r="K32" s="40">
        <f t="shared" si="5"/>
      </c>
      <c r="L32" s="40">
        <f t="shared" si="5"/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</c>
      <c r="G39" s="50">
        <f>+G32/F32-1</f>
      </c>
      <c r="H39" s="87">
        <f>INDEX(H35:H38,MATCH(Scenario,$C35:$C38,0))</f>
      </c>
      <c r="I39" s="87">
        <f>INDEX(I35:I38,MATCH(Scenario,$C35:$C38,0))</f>
      </c>
      <c r="J39" s="87">
        <f>INDEX(J35:J38,MATCH(Scenario,$C35:$C38,0))</f>
      </c>
      <c r="K39" s="87">
        <f>INDEX(K35:K38,MATCH(Scenario,$C35:$C38,0))</f>
      </c>
      <c r="L39" s="87">
        <f>INDEX(L35:L38,MATCH(Scenario,$C35:$C38,0))</f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</c>
      <c r="F41" s="51">
        <f>+F74/(F29/Thousand)</f>
      </c>
      <c r="G41" s="51">
        <f>+G74/(G29/Thousand)</f>
      </c>
      <c r="H41" s="52">
        <f>+G41</f>
      </c>
      <c r="I41" s="52">
        <f t="shared" ref="I41:L41" si="6">+H41</f>
      </c>
      <c r="J41" s="52">
        <f t="shared" si="6"/>
      </c>
      <c r="K41" s="52">
        <f t="shared" si="6"/>
      </c>
      <c r="L41" s="52">
        <f t="shared" si="6"/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</c>
      <c r="D48" s="29" t="s">
        <v>44</v>
      </c>
      <c r="E48" s="50">
        <f>+E80/E74</f>
      </c>
      <c r="F48" s="50">
        <f>+F80/F74</f>
      </c>
      <c r="G48" s="50">
        <f>+G80/G74</f>
      </c>
      <c r="H48" s="87">
        <f>INDEX(H44:H47,MATCH(Scenario,$C44:$C47,0))</f>
      </c>
      <c r="I48" s="87">
        <f>INDEX(I44:I47,MATCH(Scenario,$C44:$C47,0))</f>
      </c>
      <c r="J48" s="87">
        <f>INDEX(J44:J47,MATCH(Scenario,$C44:$C47,0))</f>
      </c>
      <c r="K48" s="87">
        <f>INDEX(K44:K47,MATCH(Scenario,$C44:$C47,0))</f>
      </c>
      <c r="L48" s="87">
        <f>INDEX(L44:L47,MATCH(Scenario,$C44:$C47,0))</f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</c>
      <c r="D55" s="29" t="s">
        <v>70</v>
      </c>
      <c r="E55" s="58">
        <f>-E101/E30</f>
      </c>
      <c r="F55" s="58">
        <f>-F101/F30</f>
      </c>
      <c r="G55" s="58">
        <f>-G101/G30</f>
      </c>
      <c r="H55" s="58">
        <f>INDEX(H51:H54,MATCH(Scenario,$C51:$C54,0))</f>
      </c>
      <c r="I55" s="58">
        <f>INDEX(I51:I54,MATCH(Scenario,$C51:$C54,0))</f>
      </c>
      <c r="J55" s="58">
        <f>INDEX(J51:J54,MATCH(Scenario,$C51:$C54,0))</f>
      </c>
      <c r="K55" s="58">
        <f>INDEX(K51:K54,MATCH(Scenario,$C51:$C54,0))</f>
      </c>
      <c r="L55" s="58">
        <f>INDEX(L51:L54,MATCH(Scenario,$C51:$C54,0))</f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</c>
      <c r="F58" s="54">
        <f t="shared" ref="F58:G58" si="7">+F85/F74</f>
      </c>
      <c r="G58" s="54">
        <f t="shared" si="7"/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</c>
      <c r="G61" s="54">
        <f>+G75/F75-1</f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</c>
      <c r="F62" s="54">
        <f t="shared" ref="F62:G62" si="8">+F81/F75</f>
      </c>
      <c r="G62" s="54">
        <f t="shared" si="8"/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</c>
      <c r="F64" s="54">
        <f t="shared" ref="F64:G64" si="9">+F92/F76</f>
      </c>
      <c r="G64" s="54">
        <f t="shared" si="9"/>
      </c>
      <c r="H64" s="88">
        <f>AVERAGE(E64:G64)</f>
      </c>
      <c r="I64" s="88">
        <f>+H64</f>
      </c>
      <c r="J64" s="88">
        <f t="shared" ref="J64:L69" si="10">+I64</f>
      </c>
      <c r="K64" s="88">
        <f t="shared" si="10"/>
      </c>
      <c r="L64" s="88">
        <f t="shared" si="10"/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</c>
      <c r="F66" s="54">
        <f t="shared" ref="F66:G66" si="11">-F98/F94</f>
      </c>
      <c r="G66" s="54">
        <f t="shared" si="11"/>
      </c>
      <c r="H66" s="88">
        <f>AVERAGE(F66:G66)</f>
      </c>
      <c r="I66" s="88">
        <f>+H66</f>
      </c>
      <c r="J66" s="88">
        <f t="shared" si="10"/>
      </c>
      <c r="K66" s="88">
        <f t="shared" si="10"/>
      </c>
      <c r="L66" s="88">
        <f t="shared" si="10"/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</c>
      <c r="G67" s="54">
        <f>+G99/(G76-F76)</f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</c>
      <c r="F68" s="54">
        <f t="shared" ref="F68:G68" si="12">+F100/F76</f>
      </c>
      <c r="G68" s="54">
        <f t="shared" si="12"/>
      </c>
      <c r="H68" s="88">
        <f>AVERAGE(E68:G68)</f>
      </c>
      <c r="I68" s="88">
        <f>+H68</f>
      </c>
      <c r="J68" s="88">
        <f t="shared" si="10"/>
      </c>
      <c r="K68" s="88">
        <f t="shared" si="10"/>
      </c>
      <c r="L68" s="88">
        <f t="shared" si="10"/>
      </c>
    </row>
    <row r="69" spans="2:12" outlineLevel="1" x14ac:dyDescent="0.2">
      <c r="C69" s="115" t="s">
        <v>75</v>
      </c>
      <c r="D69" s="29" t="s">
        <v>44</v>
      </c>
      <c r="E69" s="54">
        <f>-E103/E95</f>
      </c>
      <c r="F69" s="54">
        <f t="shared" ref="F69:G69" si="13">-F103/F95</f>
      </c>
      <c r="G69" s="54">
        <f t="shared" si="13"/>
      </c>
      <c r="H69" s="88">
        <f>AVERAGE(E69:G69)</f>
      </c>
      <c r="I69" s="88">
        <f>+H69</f>
      </c>
      <c r="J69" s="88">
        <f t="shared" si="10"/>
      </c>
      <c r="K69" s="88">
        <f t="shared" si="10"/>
      </c>
      <c r="L69" s="88">
        <f t="shared" si="10"/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</c>
      <c r="F71" s="9"/>
      <c r="G71" s="10"/>
      <c r="H71" s="9" t="str">
        <f>$H$24</f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</c>
      <c r="E72" s="34">
        <f>$E$25</f>
      </c>
      <c r="F72" s="34">
        <f>$F$25</f>
      </c>
      <c r="G72" s="35">
        <f>$G$25</f>
      </c>
      <c r="H72" s="34">
        <f>$H$25</f>
      </c>
      <c r="I72" s="34">
        <f>$I$25</f>
      </c>
      <c r="J72" s="34">
        <f>$J$25</f>
      </c>
      <c r="K72" s="34">
        <f>$K$25</f>
      </c>
      <c r="L72" s="34">
        <f>$L$25</f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</c>
      <c r="I74" s="53">
        <f>+I29*I41/Thousand</f>
      </c>
      <c r="J74" s="53">
        <f>+J29*J41/Thousand</f>
      </c>
      <c r="K74" s="53">
        <f>+K29*K41/Thousand</f>
      </c>
      <c r="L74" s="53">
        <f>+L29*L41/Thousand</f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</c>
      <c r="I75" s="62">
        <f t="shared" ref="I75:L75" si="14">+H75*(1+I61)</f>
      </c>
      <c r="J75" s="62">
        <f t="shared" si="14"/>
      </c>
      <c r="K75" s="62">
        <f t="shared" si="14"/>
      </c>
      <c r="L75" s="62">
        <f t="shared" si="14"/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</c>
      <c r="F76" s="20">
        <f>SUM(F74:F75)</f>
      </c>
      <c r="G76" s="20">
        <f>SUM(G74:G75)</f>
      </c>
      <c r="H76" s="20">
        <f>SUM(H74:H75)</f>
      </c>
      <c r="I76" s="20">
        <f t="shared" ref="I76:L76" si="15">SUM(I74:I75)</f>
      </c>
      <c r="J76" s="20">
        <f t="shared" si="15"/>
      </c>
      <c r="K76" s="20">
        <f t="shared" si="15"/>
      </c>
      <c r="L76" s="20">
        <f t="shared" si="15"/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</c>
      <c r="F77" s="13">
        <f>+F76/E76-1</f>
      </c>
      <c r="G77" s="13">
        <f>+G76/F76-1</f>
      </c>
      <c r="H77" s="13">
        <f>+H76/G76-1</f>
      </c>
      <c r="I77" s="13">
        <f t="shared" ref="I77:L77" si="16">+I76/H76-1</f>
      </c>
      <c r="J77" s="13">
        <f t="shared" si="16"/>
      </c>
      <c r="K77" s="13">
        <f t="shared" si="16"/>
      </c>
      <c r="L77" s="13">
        <f t="shared" si="16"/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</c>
      <c r="I80" s="57">
        <f t="shared" ref="I80:L80" si="17">+I74*I48</f>
      </c>
      <c r="J80" s="57">
        <f t="shared" si="17"/>
      </c>
      <c r="K80" s="57">
        <f t="shared" si="17"/>
      </c>
      <c r="L80" s="57">
        <f t="shared" si="17"/>
      </c>
    </row>
    <row r="81" spans="2:12" outlineLevel="1" x14ac:dyDescent="0.2">
      <c r="B81" s="6"/>
      <c r="C81" s="16" t="str">
        <f>+$C$75</f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</c>
      <c r="I81" s="62">
        <f t="shared" ref="I81:L81" si="18">+I75*I62</f>
      </c>
      <c r="J81" s="62">
        <f t="shared" si="18"/>
      </c>
      <c r="K81" s="62">
        <f t="shared" si="18"/>
      </c>
      <c r="L81" s="62">
        <f t="shared" si="18"/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</c>
      <c r="F82" s="20">
        <f>SUM(F80:F81)</f>
      </c>
      <c r="G82" s="20">
        <f>SUM(G80:G81)</f>
      </c>
      <c r="H82" s="20">
        <f>SUM(H80:H81)</f>
      </c>
      <c r="I82" s="20">
        <f t="shared" ref="I82:L82" si="19">SUM(I80:I81)</f>
      </c>
      <c r="J82" s="20">
        <f t="shared" si="19"/>
      </c>
      <c r="K82" s="20">
        <f t="shared" si="19"/>
      </c>
      <c r="L82" s="20">
        <f t="shared" si="19"/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</c>
      <c r="F83" s="13">
        <f t="shared" ref="F83:G83" si="20">+F82/F76</f>
      </c>
      <c r="G83" s="13">
        <f t="shared" si="20"/>
      </c>
      <c r="H83" s="13">
        <f>+H82/H76</f>
      </c>
      <c r="I83" s="13">
        <f t="shared" ref="I83:L83" si="21">+I82/I76</f>
      </c>
      <c r="J83" s="13">
        <f t="shared" si="21"/>
      </c>
      <c r="K83" s="13">
        <f t="shared" si="21"/>
      </c>
      <c r="L83" s="13">
        <f t="shared" si="21"/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</c>
      <c r="I85" s="19">
        <f t="shared" ref="I85:L85" si="22">+I74*I58</f>
      </c>
      <c r="J85" s="19">
        <f t="shared" si="22"/>
      </c>
      <c r="K85" s="19">
        <f t="shared" si="22"/>
      </c>
      <c r="L85" s="19">
        <f t="shared" si="22"/>
      </c>
    </row>
    <row r="86" spans="2:12" outlineLevel="1" x14ac:dyDescent="0.2">
      <c r="C86" s="6" t="s">
        <v>14</v>
      </c>
      <c r="D86" s="29" t="s">
        <v>40</v>
      </c>
      <c r="E86" s="20">
        <f>+E82+E85</f>
      </c>
      <c r="F86" s="20">
        <f t="shared" ref="F86:G86" si="23">+F82+F85</f>
      </c>
      <c r="G86" s="20">
        <f t="shared" si="23"/>
      </c>
      <c r="H86" s="20">
        <f>+H82+H85</f>
      </c>
      <c r="I86" s="20">
        <f t="shared" ref="I86:L86" si="24">+I82+I85</f>
      </c>
      <c r="J86" s="20">
        <f t="shared" si="24"/>
      </c>
      <c r="K86" s="20">
        <f t="shared" si="24"/>
      </c>
      <c r="L86" s="20">
        <f t="shared" si="24"/>
      </c>
    </row>
    <row r="87" spans="2:12" outlineLevel="1" x14ac:dyDescent="0.2">
      <c r="C87" s="21" t="s">
        <v>30</v>
      </c>
      <c r="D87" s="29" t="s">
        <v>44</v>
      </c>
      <c r="E87" s="13">
        <f>+E86/E76</f>
      </c>
      <c r="F87" s="13">
        <f t="shared" ref="F87:G87" si="25">+F86/F76</f>
      </c>
      <c r="G87" s="13">
        <f t="shared" si="25"/>
      </c>
      <c r="H87" s="13">
        <f>+H86/H76</f>
      </c>
      <c r="I87" s="13">
        <f t="shared" ref="I87:L87" si="26">+I86/I76</f>
      </c>
      <c r="J87" s="13">
        <f t="shared" si="26"/>
      </c>
      <c r="K87" s="13">
        <f t="shared" si="26"/>
      </c>
      <c r="L87" s="13">
        <f t="shared" si="26"/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</c>
      <c r="F89" s="20">
        <f t="shared" ref="F89:G89" si="27">+F82</f>
      </c>
      <c r="G89" s="20">
        <f t="shared" si="27"/>
      </c>
      <c r="H89" s="20">
        <f>+H82</f>
      </c>
      <c r="I89" s="20">
        <f t="shared" ref="I89:L89" si="28">+I82</f>
      </c>
      <c r="J89" s="20">
        <f t="shared" si="28"/>
      </c>
      <c r="K89" s="20">
        <f t="shared" si="28"/>
      </c>
      <c r="L89" s="20">
        <f t="shared" si="28"/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</c>
      <c r="I90" s="12">
        <f t="shared" ref="I90:L90" si="29">-I134</f>
      </c>
      <c r="J90" s="12">
        <f t="shared" si="29"/>
      </c>
      <c r="K90" s="12">
        <f t="shared" si="29"/>
      </c>
      <c r="L90" s="12">
        <f t="shared" si="29"/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</c>
      <c r="I91" s="12">
        <f t="shared" ref="I91:L91" si="30">-SUM(I131:I133)</f>
      </c>
      <c r="J91" s="12">
        <f t="shared" si="30"/>
      </c>
      <c r="K91" s="12">
        <f t="shared" si="30"/>
      </c>
      <c r="L91" s="12">
        <f t="shared" si="30"/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</c>
      <c r="I92" s="63">
        <f t="shared" ref="I92:L92" si="31">+I76*I64</f>
      </c>
      <c r="J92" s="63">
        <f t="shared" si="31"/>
      </c>
      <c r="K92" s="63">
        <f t="shared" si="31"/>
      </c>
      <c r="L92" s="63">
        <f t="shared" si="31"/>
      </c>
    </row>
    <row r="93" spans="2:12" outlineLevel="1" x14ac:dyDescent="0.2">
      <c r="C93" s="22" t="s">
        <v>11</v>
      </c>
      <c r="D93" s="29" t="s">
        <v>40</v>
      </c>
      <c r="E93" s="20">
        <f>SUM(E89:E92)</f>
      </c>
      <c r="F93" s="20">
        <f t="shared" ref="F93:H93" si="32">SUM(F89:F92)</f>
      </c>
      <c r="G93" s="20">
        <f t="shared" si="32"/>
      </c>
      <c r="H93" s="20">
        <f t="shared" si="32"/>
      </c>
      <c r="I93" s="20">
        <f t="shared" ref="I93:L93" si="33">SUM(I89:I92)</f>
      </c>
      <c r="J93" s="20">
        <f t="shared" si="33"/>
      </c>
      <c r="K93" s="20">
        <f t="shared" si="33"/>
      </c>
      <c r="L93" s="20">
        <f t="shared" si="33"/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</c>
      <c r="I94" s="19">
        <f>-I93*Tax_Rate</f>
      </c>
      <c r="J94" s="19">
        <f>-J93*Tax_Rate</f>
      </c>
      <c r="K94" s="19">
        <f>-K93*Tax_Rate</f>
      </c>
      <c r="L94" s="19">
        <f>-L93*Tax_Rate</f>
      </c>
    </row>
    <row r="95" spans="2:12" outlineLevel="1" x14ac:dyDescent="0.2">
      <c r="C95" s="6" t="s">
        <v>12</v>
      </c>
      <c r="D95" s="29" t="s">
        <v>40</v>
      </c>
      <c r="E95" s="20">
        <f>+E93+E94</f>
      </c>
      <c r="F95" s="20">
        <f t="shared" ref="F95:H95" si="34">+F93+F94</f>
      </c>
      <c r="G95" s="20">
        <f t="shared" si="34"/>
      </c>
      <c r="H95" s="20">
        <f t="shared" si="34"/>
      </c>
      <c r="I95" s="20">
        <f t="shared" ref="I95:L95" si="35">+I93+I94</f>
      </c>
      <c r="J95" s="20">
        <f t="shared" si="35"/>
      </c>
      <c r="K95" s="20">
        <f t="shared" si="35"/>
      </c>
      <c r="L95" s="20">
        <f t="shared" si="35"/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</c>
      <c r="F97" s="23">
        <f t="shared" ref="F97:L97" si="36">+F85</f>
      </c>
      <c r="G97" s="23">
        <f t="shared" si="36"/>
      </c>
      <c r="H97" s="23">
        <f t="shared" si="36"/>
      </c>
      <c r="I97" s="23">
        <f t="shared" si="36"/>
      </c>
      <c r="J97" s="23">
        <f t="shared" si="36"/>
      </c>
      <c r="K97" s="23">
        <f t="shared" si="36"/>
      </c>
      <c r="L97" s="23">
        <f t="shared" si="36"/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</c>
      <c r="I98" s="23">
        <f t="shared" ref="I98:L98" si="37">-I94*I66</f>
      </c>
      <c r="J98" s="23">
        <f t="shared" si="37"/>
      </c>
      <c r="K98" s="23">
        <f t="shared" si="37"/>
      </c>
      <c r="L98" s="23">
        <f t="shared" si="37"/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</c>
      <c r="I99" s="12">
        <f t="shared" ref="I99:L99" si="38">(I76-H76)*I67</f>
      </c>
      <c r="J99" s="12">
        <f t="shared" si="38"/>
      </c>
      <c r="K99" s="12">
        <f t="shared" si="38"/>
      </c>
      <c r="L99" s="12">
        <f t="shared" si="38"/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</c>
      <c r="I100" s="12">
        <f t="shared" ref="I100:L100" si="39">+I76*I68</f>
      </c>
      <c r="J100" s="12">
        <f t="shared" si="39"/>
      </c>
      <c r="K100" s="12">
        <f t="shared" si="39"/>
      </c>
      <c r="L100" s="12">
        <f t="shared" si="39"/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</c>
      <c r="I101" s="12">
        <f t="shared" ref="I101:L101" si="40">-I55*I30</f>
      </c>
      <c r="J101" s="12">
        <f t="shared" si="40"/>
      </c>
      <c r="K101" s="12">
        <f t="shared" si="40"/>
      </c>
      <c r="L101" s="12">
        <f t="shared" si="40"/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</c>
      <c r="I102" s="12">
        <f t="shared" ref="I102:L102" si="41">-I57</f>
      </c>
      <c r="J102" s="12">
        <f t="shared" si="41"/>
      </c>
      <c r="K102" s="12">
        <f t="shared" si="41"/>
      </c>
      <c r="L102" s="12">
        <f t="shared" si="41"/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</c>
      <c r="I103" s="19">
        <f t="shared" ref="I103:L103" si="42">-I95*I69</f>
      </c>
      <c r="J103" s="19">
        <f t="shared" si="42"/>
      </c>
      <c r="K103" s="19">
        <f t="shared" si="42"/>
      </c>
      <c r="L103" s="19">
        <f t="shared" si="42"/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</c>
      <c r="F104" s="20">
        <f t="shared" ref="F104:G104" si="43">+F95+SUM(F97:F103)</f>
      </c>
      <c r="G104" s="20">
        <f t="shared" si="43"/>
      </c>
      <c r="H104" s="20">
        <f>+H95+SUM(H97:H103)</f>
      </c>
      <c r="I104" s="20">
        <f t="shared" ref="I104:L104" si="44">+I95+SUM(I97:I103)</f>
      </c>
      <c r="J104" s="20">
        <f t="shared" si="44"/>
      </c>
      <c r="K104" s="20">
        <f t="shared" si="44"/>
      </c>
      <c r="L104" s="20">
        <f t="shared" si="44"/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</c>
      <c r="F109" s="12">
        <f t="shared" ref="F109:G109" si="45">+F108-F107</f>
      </c>
      <c r="G109" s="12">
        <f t="shared" si="45"/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</c>
      <c r="F113" s="12">
        <f t="shared" ref="F113:G116" si="46">+F107</f>
      </c>
      <c r="G113" s="12">
        <f t="shared" si="46"/>
      </c>
      <c r="H113" s="12">
        <f>+G113+H104+H140+H143+H145</f>
      </c>
      <c r="I113" s="12">
        <f t="shared" ref="I113:L113" si="47">+H113+I104+I140+I143+I145</f>
      </c>
      <c r="J113" s="12">
        <f t="shared" si="47"/>
      </c>
      <c r="K113" s="12">
        <f t="shared" si="47"/>
      </c>
      <c r="L113" s="12">
        <f t="shared" si="47"/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</c>
      <c r="F114" s="12">
        <f t="shared" si="46"/>
      </c>
      <c r="G114" s="12">
        <f>+G108+E19+E21</f>
      </c>
      <c r="H114" s="12">
        <f>+G114+H140+H143+H145</f>
      </c>
      <c r="I114" s="12">
        <f t="shared" ref="I114:L114" si="49">+H114+I140+I143+I145</f>
      </c>
      <c r="J114" s="12">
        <f t="shared" si="49"/>
      </c>
      <c r="K114" s="12">
        <f t="shared" si="49"/>
      </c>
      <c r="L114" s="12">
        <f t="shared" si="49"/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</c>
      <c r="F115" s="12">
        <f t="shared" si="46"/>
      </c>
      <c r="G115" s="12">
        <f>+G114-G113</f>
      </c>
      <c r="H115" s="12">
        <f>+H114-H113</f>
      </c>
      <c r="I115" s="12">
        <f t="shared" ref="I115:L115" si="51">+I114-I113</f>
      </c>
      <c r="J115" s="12">
        <f t="shared" si="51"/>
      </c>
      <c r="K115" s="12">
        <f t="shared" si="51"/>
      </c>
      <c r="L115" s="12">
        <f t="shared" si="51"/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</c>
      <c r="F116" s="12">
        <f t="shared" si="46"/>
      </c>
      <c r="G116" s="12">
        <f>+G110</f>
      </c>
      <c r="H116" s="12">
        <f>+G116+H95+H103</f>
      </c>
      <c r="I116" s="12">
        <f t="shared" ref="I116:L116" si="53">+H116+I95+I103</f>
      </c>
      <c r="J116" s="12">
        <f t="shared" si="53"/>
      </c>
      <c r="K116" s="12">
        <f t="shared" si="53"/>
      </c>
      <c r="L116" s="12">
        <f t="shared" si="53"/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</c>
      <c r="F118" s="9"/>
      <c r="G118" s="10"/>
      <c r="H118" s="9" t="str">
        <f>$H$24</f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</c>
      <c r="E119" s="34">
        <f>$E$25</f>
      </c>
      <c r="F119" s="34">
        <f>$F$25</f>
      </c>
      <c r="G119" s="35">
        <f>$G$25</f>
      </c>
      <c r="H119" s="34">
        <f>$H$25</f>
      </c>
      <c r="I119" s="34">
        <f>$I$25</f>
      </c>
      <c r="J119" s="34">
        <f>$J$25</f>
      </c>
      <c r="K119" s="34">
        <f>$K$25</f>
      </c>
      <c r="L119" s="34">
        <f>$L$25</f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</c>
      <c r="D125" s="29" t="s">
        <v>44</v>
      </c>
      <c r="E125" s="70">
        <f>+F19</f>
      </c>
      <c r="F125" s="71">
        <f t="shared" ref="F125" si="54">+G19</f>
      </c>
      <c r="G125" s="71"/>
      <c r="H125" s="119">
        <f>MAX($E125,H$121)+$F125</f>
      </c>
      <c r="I125" s="119">
        <f t="shared" ref="I125:L127" si="55">MAX($E125,I$121)+$F125</f>
      </c>
      <c r="J125" s="119">
        <f t="shared" si="55"/>
      </c>
      <c r="K125" s="119">
        <f t="shared" si="55"/>
      </c>
      <c r="L125" s="119">
        <f t="shared" si="55"/>
      </c>
    </row>
    <row r="126" spans="2:12" outlineLevel="1" x14ac:dyDescent="0.2">
      <c r="C126" s="69" t="str">
        <f>+$C$20</f>
      </c>
      <c r="D126" s="29" t="s">
        <v>44</v>
      </c>
      <c r="E126" s="70"/>
      <c r="F126" s="70"/>
      <c r="G126" s="71">
        <f t="shared" ref="G126" si="56">+H20</f>
      </c>
      <c r="H126" s="119">
        <f>+$G126</f>
      </c>
      <c r="I126" s="119">
        <f t="shared" ref="I126:L126" si="57">+$G126</f>
      </c>
      <c r="J126" s="119">
        <f t="shared" si="57"/>
      </c>
      <c r="K126" s="119">
        <f t="shared" si="57"/>
      </c>
      <c r="L126" s="119">
        <f t="shared" si="57"/>
      </c>
    </row>
    <row r="127" spans="2:12" outlineLevel="1" x14ac:dyDescent="0.2">
      <c r="C127" s="69" t="str">
        <f>+$C$21</f>
      </c>
      <c r="D127" s="29" t="s">
        <v>44</v>
      </c>
      <c r="E127" s="70">
        <f t="shared" ref="E127:F127" si="58">+F21</f>
      </c>
      <c r="F127" s="71">
        <f t="shared" si="58"/>
      </c>
      <c r="G127" s="71"/>
      <c r="H127" s="119">
        <f>MAX($E127,H$121)+$F127</f>
      </c>
      <c r="I127" s="119">
        <f t="shared" si="55"/>
      </c>
      <c r="J127" s="119">
        <f t="shared" si="55"/>
      </c>
      <c r="K127" s="119">
        <f t="shared" si="55"/>
      </c>
      <c r="L127" s="119">
        <f t="shared" si="55"/>
      </c>
    </row>
    <row r="128" spans="2:12" outlineLevel="1" x14ac:dyDescent="0.2">
      <c r="C128" s="69" t="str">
        <f>+$C$22</f>
      </c>
      <c r="D128" s="29" t="s">
        <v>44</v>
      </c>
      <c r="E128" s="81"/>
      <c r="F128" s="71">
        <f t="shared" ref="F128" si="59">+G22</f>
      </c>
      <c r="G128" s="81"/>
      <c r="H128" s="119">
        <f>+$F128+H$121</f>
      </c>
      <c r="I128" s="119">
        <f t="shared" ref="I128:L128" si="60">+$F128+I$121</f>
      </c>
      <c r="J128" s="119">
        <f t="shared" si="60"/>
      </c>
      <c r="K128" s="119">
        <f t="shared" si="60"/>
      </c>
      <c r="L128" s="119">
        <f t="shared" si="60"/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</c>
      <c r="I131" s="12">
        <f t="shared" ref="I131:L131" si="61">+H151*I125</f>
      </c>
      <c r="J131" s="12">
        <f t="shared" si="61"/>
      </c>
      <c r="K131" s="12">
        <f t="shared" si="61"/>
      </c>
      <c r="L131" s="12">
        <f t="shared" si="61"/>
      </c>
    </row>
    <row r="132" spans="3:12" outlineLevel="1" x14ac:dyDescent="0.2">
      <c r="C132" s="69" t="s">
        <v>92</v>
      </c>
      <c r="D132" s="29" t="s">
        <v>40</v>
      </c>
      <c r="H132" s="12">
        <f>+G156*H126</f>
      </c>
      <c r="I132" s="12">
        <f t="shared" ref="I132:L132" si="62">+H156*I126</f>
      </c>
      <c r="J132" s="12">
        <f t="shared" si="62"/>
      </c>
      <c r="K132" s="12">
        <f t="shared" si="62"/>
      </c>
      <c r="L132" s="12">
        <f t="shared" si="62"/>
      </c>
    </row>
    <row r="133" spans="3:12" outlineLevel="1" x14ac:dyDescent="0.2">
      <c r="C133" s="69" t="s">
        <v>86</v>
      </c>
      <c r="D133" s="29" t="s">
        <v>40</v>
      </c>
      <c r="H133" s="12">
        <f>+G162*H127</f>
      </c>
      <c r="I133" s="12">
        <f t="shared" ref="I133:L133" si="63">+H162*I127</f>
      </c>
      <c r="J133" s="12">
        <f t="shared" si="63"/>
      </c>
      <c r="K133" s="12">
        <f t="shared" si="63"/>
      </c>
      <c r="L133" s="12">
        <f t="shared" si="63"/>
      </c>
    </row>
    <row r="134" spans="3:12" outlineLevel="1" x14ac:dyDescent="0.2">
      <c r="C134" s="69" t="s">
        <v>87</v>
      </c>
      <c r="D134" s="30" t="s">
        <v>40</v>
      </c>
      <c r="H134" s="19">
        <f>-G113*H128</f>
      </c>
      <c r="I134" s="19">
        <f t="shared" ref="I134:L134" si="64">-H113*I128</f>
      </c>
      <c r="J134" s="19">
        <f t="shared" si="64"/>
      </c>
      <c r="K134" s="19">
        <f t="shared" si="64"/>
      </c>
      <c r="L134" s="19">
        <f t="shared" si="64"/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</c>
      <c r="I135" s="20">
        <f t="shared" ref="I135:L135" si="65">SUM(I131:I134)</f>
      </c>
      <c r="J135" s="20">
        <f t="shared" si="65"/>
      </c>
      <c r="K135" s="20">
        <f t="shared" si="65"/>
      </c>
      <c r="L135" s="20">
        <f t="shared" si="65"/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</c>
      <c r="I138" s="12">
        <f t="shared" ref="I138:L138" si="66">+H113</f>
      </c>
      <c r="J138" s="12">
        <f t="shared" si="66"/>
      </c>
      <c r="K138" s="12">
        <f t="shared" si="66"/>
      </c>
      <c r="L138" s="12">
        <f t="shared" si="66"/>
      </c>
    </row>
    <row r="139" spans="3:12" outlineLevel="1" x14ac:dyDescent="0.2">
      <c r="C139" s="74" t="s">
        <v>19</v>
      </c>
      <c r="D139" s="29" t="s">
        <v>40</v>
      </c>
      <c r="H139" s="12">
        <f>+H104</f>
      </c>
      <c r="I139" s="12">
        <f t="shared" ref="I139:L139" si="67">+I104</f>
      </c>
      <c r="J139" s="12">
        <f t="shared" si="67"/>
      </c>
      <c r="K139" s="12">
        <f t="shared" si="67"/>
      </c>
      <c r="L139" s="12">
        <f t="shared" si="67"/>
      </c>
    </row>
    <row r="140" spans="3:12" outlineLevel="1" x14ac:dyDescent="0.2">
      <c r="C140" s="74" t="s">
        <v>103</v>
      </c>
      <c r="D140" s="29" t="s">
        <v>40</v>
      </c>
      <c r="H140" s="12">
        <f>+H155+H160</f>
      </c>
      <c r="I140" s="12">
        <f t="shared" ref="I140:L140" si="68">+I155+I160</f>
      </c>
      <c r="J140" s="12">
        <f t="shared" si="68"/>
      </c>
      <c r="K140" s="12">
        <f t="shared" si="68"/>
      </c>
      <c r="L140" s="12">
        <f t="shared" si="68"/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</c>
      <c r="I141" s="19">
        <f>-Min_Cash</f>
      </c>
      <c r="J141" s="19">
        <f>-Min_Cash</f>
      </c>
      <c r="K141" s="19">
        <f>-Min_Cash</f>
      </c>
      <c r="L141" s="19">
        <f>-Min_Cash</f>
      </c>
    </row>
    <row r="142" spans="3:12" outlineLevel="1" x14ac:dyDescent="0.2">
      <c r="C142" s="76" t="s">
        <v>88</v>
      </c>
      <c r="D142" s="29" t="s">
        <v>40</v>
      </c>
      <c r="H142" s="20">
        <f>SUM(H138:H141)</f>
      </c>
      <c r="I142" s="20">
        <f t="shared" ref="I142:L142" si="69">SUM(I138:I141)</f>
      </c>
      <c r="J142" s="20">
        <f t="shared" si="69"/>
      </c>
      <c r="K142" s="20">
        <f t="shared" si="69"/>
      </c>
      <c r="L142" s="20">
        <f t="shared" si="69"/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</c>
      <c r="I143" s="19">
        <f t="shared" ref="I143:L143" si="70">SUM(I149:I150)</f>
      </c>
      <c r="J143" s="19">
        <f t="shared" si="70"/>
      </c>
      <c r="K143" s="19">
        <f t="shared" si="70"/>
      </c>
      <c r="L143" s="19">
        <f t="shared" si="70"/>
      </c>
    </row>
    <row r="144" spans="3:12" outlineLevel="1" x14ac:dyDescent="0.2">
      <c r="C144" s="76" t="s">
        <v>94</v>
      </c>
      <c r="D144" s="29" t="s">
        <v>40</v>
      </c>
      <c r="H144" s="20">
        <f>+H142+H143</f>
      </c>
      <c r="I144" s="20">
        <f t="shared" ref="I144:L144" si="71">+I142+I143</f>
      </c>
      <c r="J144" s="20">
        <f t="shared" si="71"/>
      </c>
      <c r="K144" s="20">
        <f t="shared" si="71"/>
      </c>
      <c r="L144" s="20">
        <f t="shared" si="71"/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</c>
      <c r="I145" s="19">
        <f t="shared" ref="I145:L145" si="72">+I161</f>
      </c>
      <c r="J145" s="19">
        <f t="shared" si="72"/>
      </c>
      <c r="K145" s="19">
        <f t="shared" si="72"/>
      </c>
      <c r="L145" s="19">
        <f t="shared" si="72"/>
      </c>
    </row>
    <row r="146" spans="3:12" outlineLevel="1" x14ac:dyDescent="0.2">
      <c r="C146" s="76" t="s">
        <v>136</v>
      </c>
      <c r="D146" s="29" t="s">
        <v>40</v>
      </c>
      <c r="H146" s="20">
        <f>+H144+H145</f>
      </c>
      <c r="I146" s="20">
        <f t="shared" ref="I146:L146" si="73">+I144+I145</f>
      </c>
      <c r="J146" s="20">
        <f t="shared" si="73"/>
      </c>
      <c r="K146" s="20">
        <f t="shared" si="73"/>
      </c>
      <c r="L146" s="20">
        <f t="shared" si="73"/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</c>
      <c r="I148" s="12">
        <f t="shared" ref="I148:L148" si="74">+H151</f>
      </c>
      <c r="J148" s="12">
        <f t="shared" si="74"/>
      </c>
      <c r="K148" s="12">
        <f t="shared" si="74"/>
      </c>
      <c r="L148" s="12">
        <f t="shared" si="74"/>
      </c>
    </row>
    <row r="149" spans="3:12" outlineLevel="1" x14ac:dyDescent="0.2">
      <c r="C149" s="74" t="s">
        <v>97</v>
      </c>
      <c r="D149" s="29" t="s">
        <v>40</v>
      </c>
      <c r="H149" s="12">
        <f>-MIN(H142,0)</f>
      </c>
      <c r="I149" s="12">
        <f t="shared" ref="I149:L149" si="75">-MIN(I142,0)</f>
      </c>
      <c r="J149" s="12">
        <f t="shared" si="75"/>
      </c>
      <c r="K149" s="12">
        <f t="shared" si="75"/>
      </c>
      <c r="L149" s="12">
        <f t="shared" si="75"/>
      </c>
    </row>
    <row r="150" spans="3:12" outlineLevel="1" x14ac:dyDescent="0.2">
      <c r="C150" s="75" t="s">
        <v>98</v>
      </c>
      <c r="D150" s="30" t="s">
        <v>40</v>
      </c>
      <c r="E150" s="92">
        <f>+$J$19</f>
      </c>
      <c r="F150" s="17"/>
      <c r="G150" s="17"/>
      <c r="H150" s="19">
        <f>IF(H$142&gt;0,-MIN(H$142*$E150,H148),0)</f>
      </c>
      <c r="I150" s="19">
        <f t="shared" ref="I150:L150" si="76">IF(I$142&gt;0,-MIN(I$142*$E150,I148),0)</f>
      </c>
      <c r="J150" s="19">
        <f t="shared" si="76"/>
      </c>
      <c r="K150" s="19">
        <f t="shared" si="76"/>
      </c>
      <c r="L150" s="19">
        <f t="shared" si="76"/>
      </c>
    </row>
    <row r="151" spans="3:12" outlineLevel="1" x14ac:dyDescent="0.2">
      <c r="C151" s="76" t="s">
        <v>99</v>
      </c>
      <c r="D151" s="29" t="s">
        <v>40</v>
      </c>
      <c r="G151" s="20">
        <f>+E19</f>
      </c>
      <c r="H151" s="20">
        <f>SUM(H148:H150)</f>
      </c>
      <c r="I151" s="20">
        <f t="shared" ref="I151:L151" si="77">SUM(I148:I150)</f>
      </c>
      <c r="J151" s="20">
        <f t="shared" si="77"/>
      </c>
      <c r="K151" s="20">
        <f t="shared" si="77"/>
      </c>
      <c r="L151" s="20">
        <f t="shared" si="77"/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</c>
      <c r="I154" s="12">
        <f t="shared" ref="I154:L154" si="78">+H156</f>
      </c>
      <c r="J154" s="12">
        <f t="shared" si="78"/>
      </c>
      <c r="K154" s="12">
        <f t="shared" si="78"/>
      </c>
      <c r="L154" s="12">
        <f t="shared" si="78"/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</c>
      <c r="H156" s="20">
        <f>SUM(H154:H155)</f>
      </c>
      <c r="I156" s="20">
        <f t="shared" ref="I156:L156" si="79">SUM(I154:I155)</f>
      </c>
      <c r="J156" s="20">
        <f t="shared" si="79"/>
      </c>
      <c r="K156" s="20">
        <f t="shared" si="79"/>
      </c>
      <c r="L156" s="20">
        <f t="shared" si="79"/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</c>
      <c r="I159" s="12">
        <f>+H162</f>
      </c>
      <c r="J159" s="12">
        <f t="shared" ref="J159:L159" si="80">+I162</f>
      </c>
      <c r="K159" s="12">
        <f t="shared" si="80"/>
      </c>
      <c r="L159" s="12">
        <f t="shared" si="80"/>
      </c>
    </row>
    <row r="160" spans="3:12" outlineLevel="1" x14ac:dyDescent="0.2">
      <c r="C160" s="74" t="s">
        <v>100</v>
      </c>
      <c r="D160" s="29" t="s">
        <v>40</v>
      </c>
      <c r="E160" s="90">
        <f>+$I$21</f>
      </c>
      <c r="H160" s="12">
        <f>-MIN(H159,$E160*$G162)</f>
      </c>
      <c r="I160" s="12">
        <f t="shared" ref="I160:L160" si="81">-MIN(I159,$E160*$G162)</f>
      </c>
      <c r="J160" s="12">
        <f t="shared" si="81"/>
      </c>
      <c r="K160" s="12">
        <f t="shared" si="81"/>
      </c>
      <c r="L160" s="12">
        <f t="shared" si="81"/>
      </c>
    </row>
    <row r="161" spans="2:12" outlineLevel="1" x14ac:dyDescent="0.2">
      <c r="C161" s="75" t="s">
        <v>101</v>
      </c>
      <c r="D161" s="30" t="s">
        <v>40</v>
      </c>
      <c r="E161" s="91">
        <f>+$J$21</f>
      </c>
      <c r="F161" s="17"/>
      <c r="G161" s="17"/>
      <c r="H161" s="19">
        <f>IF(H144&gt;0,-MIN(H$144*$E161,H159),0)</f>
      </c>
      <c r="I161" s="19">
        <f t="shared" ref="I161:L161" si="82">IF(I144&gt;0,-MIN(I$144*$E161,I159),0)</f>
      </c>
      <c r="J161" s="19">
        <f t="shared" si="82"/>
      </c>
      <c r="K161" s="19">
        <f t="shared" si="82"/>
      </c>
      <c r="L161" s="19">
        <f t="shared" si="82"/>
      </c>
    </row>
    <row r="162" spans="2:12" outlineLevel="1" x14ac:dyDescent="0.2">
      <c r="C162" s="76" t="s">
        <v>107</v>
      </c>
      <c r="D162" s="29" t="s">
        <v>40</v>
      </c>
      <c r="G162" s="20">
        <f>+E21</f>
      </c>
      <c r="H162" s="20">
        <f>SUM(H159:H161)</f>
      </c>
      <c r="I162" s="20">
        <f t="shared" ref="I162:L162" si="83">SUM(I159:I161)</f>
      </c>
      <c r="J162" s="20">
        <f t="shared" si="83"/>
      </c>
      <c r="K162" s="20">
        <f t="shared" si="83"/>
      </c>
      <c r="L162" s="20">
        <f t="shared" si="83"/>
      </c>
    </row>
    <row r="164" spans="2:12" x14ac:dyDescent="0.2">
      <c r="B164" s="8"/>
      <c r="C164" s="8"/>
      <c r="D164" s="8"/>
      <c r="E164" s="9" t="str">
        <f>$E$24</f>
      </c>
      <c r="F164" s="9"/>
      <c r="G164" s="10"/>
      <c r="H164" s="9" t="str">
        <f>$H$24</f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</c>
      <c r="E165" s="34">
        <f>$E$25</f>
      </c>
      <c r="F165" s="34">
        <f>$F$25</f>
      </c>
      <c r="G165" s="35">
        <f>$G$25</f>
      </c>
      <c r="H165" s="34">
        <f>$H$25</f>
      </c>
      <c r="I165" s="34">
        <f>$I$25</f>
      </c>
      <c r="J165" s="34">
        <f>$J$25</f>
      </c>
      <c r="K165" s="34">
        <f>$K$25</f>
      </c>
      <c r="L165" s="34">
        <f>$L$25</f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</c>
      <c r="F167" s="12">
        <f t="shared" ref="F167:G167" si="84">+F86</f>
      </c>
      <c r="G167" s="12">
        <f t="shared" si="84"/>
      </c>
      <c r="H167" s="12">
        <f t="shared" ref="H167:L167" si="85">+H86</f>
      </c>
      <c r="I167" s="12">
        <f t="shared" si="85"/>
      </c>
      <c r="J167" s="12">
        <f t="shared" si="85"/>
      </c>
      <c r="K167" s="12">
        <f t="shared" si="85"/>
      </c>
      <c r="L167" s="12">
        <f t="shared" si="85"/>
      </c>
    </row>
    <row r="168" spans="2:12" outlineLevel="1" x14ac:dyDescent="0.2">
      <c r="C168" s="65" t="s">
        <v>24</v>
      </c>
      <c r="D168" s="29" t="s">
        <v>40</v>
      </c>
      <c r="E168" s="12">
        <f>-E91</f>
      </c>
      <c r="F168" s="12">
        <f t="shared" ref="F168:G168" si="86">-F91</f>
      </c>
      <c r="G168" s="12">
        <f t="shared" si="86"/>
      </c>
      <c r="H168" s="12">
        <f t="shared" ref="H168:L168" si="87">-H91</f>
      </c>
      <c r="I168" s="12">
        <f t="shared" si="87"/>
      </c>
      <c r="J168" s="12">
        <f t="shared" si="87"/>
      </c>
      <c r="K168" s="12">
        <f t="shared" si="87"/>
      </c>
      <c r="L168" s="12">
        <f t="shared" si="87"/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</c>
      <c r="F170" s="12">
        <f t="shared" ref="F170:G170" si="88">+F114+F116</f>
      </c>
      <c r="G170" s="12">
        <f t="shared" si="88"/>
      </c>
      <c r="H170" s="12">
        <f t="shared" ref="H170:L170" si="89">+H114+H116</f>
      </c>
      <c r="I170" s="12">
        <f t="shared" si="89"/>
      </c>
      <c r="J170" s="12">
        <f t="shared" si="89"/>
      </c>
      <c r="K170" s="12">
        <f t="shared" si="89"/>
      </c>
      <c r="L170" s="12">
        <f t="shared" si="89"/>
      </c>
    </row>
    <row r="171" spans="2:12" outlineLevel="1" x14ac:dyDescent="0.2">
      <c r="C171" s="5" t="s">
        <v>27</v>
      </c>
      <c r="D171" s="29" t="s">
        <v>40</v>
      </c>
      <c r="E171" s="12">
        <f>+E170-E113</f>
      </c>
      <c r="F171" s="12">
        <f t="shared" ref="F171:G171" si="90">+F170-F113</f>
      </c>
      <c r="G171" s="12">
        <f t="shared" si="90"/>
      </c>
      <c r="H171" s="12">
        <f t="shared" ref="H171" si="91">+H170-H113</f>
      </c>
      <c r="I171" s="12">
        <f t="shared" ref="I171" si="92">+I170-I113</f>
      </c>
      <c r="J171" s="12">
        <f t="shared" ref="J171" si="93">+J170-J113</f>
      </c>
      <c r="K171" s="12">
        <f t="shared" ref="K171" si="94">+K170-K113</f>
      </c>
      <c r="L171" s="12">
        <f t="shared" ref="L171" si="95">+L170-L113</f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</c>
      <c r="F173" s="101">
        <f t="shared" ref="F173:G173" si="96">+F114/F167</f>
      </c>
      <c r="G173" s="101">
        <f t="shared" si="96"/>
      </c>
      <c r="H173" s="101">
        <f t="shared" ref="H173:L173" si="97">+H114/H167</f>
      </c>
      <c r="I173" s="101">
        <f t="shared" si="97"/>
      </c>
      <c r="J173" s="101">
        <f t="shared" si="97"/>
      </c>
      <c r="K173" s="101">
        <f t="shared" si="97"/>
      </c>
      <c r="L173" s="101">
        <f t="shared" si="97"/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</c>
      <c r="F175" s="101">
        <f t="shared" ref="F175:L175" si="98">+F115/F167</f>
      </c>
      <c r="G175" s="101">
        <f t="shared" si="98"/>
      </c>
      <c r="H175" s="101">
        <f t="shared" si="98"/>
      </c>
      <c r="I175" s="101">
        <f t="shared" si="98"/>
      </c>
      <c r="J175" s="101">
        <f t="shared" si="98"/>
      </c>
      <c r="K175" s="101">
        <f t="shared" si="98"/>
      </c>
      <c r="L175" s="101">
        <f t="shared" si="98"/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</c>
      <c r="F178" s="79">
        <f t="shared" ref="F178:L178" si="99">+F167/F168</f>
      </c>
      <c r="G178" s="79">
        <f t="shared" si="99"/>
      </c>
      <c r="H178" s="79">
        <f t="shared" si="99"/>
      </c>
      <c r="I178" s="79">
        <f t="shared" si="99"/>
      </c>
      <c r="J178" s="79">
        <f t="shared" si="99"/>
      </c>
      <c r="K178" s="79">
        <f t="shared" si="99"/>
      </c>
      <c r="L178" s="79">
        <f t="shared" si="99"/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</c>
      <c r="F181" s="79">
        <f t="shared" ref="F181:G181" si="100">+F114/F116</f>
      </c>
      <c r="G181" s="79">
        <f t="shared" si="100"/>
      </c>
      <c r="H181" s="79">
        <f t="shared" ref="H181:L181" si="101">+H114/H116</f>
      </c>
      <c r="I181" s="79">
        <f t="shared" si="101"/>
      </c>
      <c r="J181" s="79">
        <f t="shared" si="101"/>
      </c>
      <c r="K181" s="79">
        <f t="shared" si="101"/>
      </c>
      <c r="L181" s="79">
        <f t="shared" si="101"/>
      </c>
    </row>
    <row r="182" spans="3:12" outlineLevel="1" x14ac:dyDescent="0.2">
      <c r="C182" s="65" t="s">
        <v>122</v>
      </c>
      <c r="D182" s="29" t="s">
        <v>44</v>
      </c>
      <c r="E182" s="96">
        <f>+E114/E170</f>
      </c>
      <c r="F182" s="96">
        <f t="shared" ref="F182:G182" si="102">+F114/F170</f>
      </c>
      <c r="G182" s="96">
        <f t="shared" si="102"/>
      </c>
      <c r="H182" s="96">
        <f t="shared" ref="H182:L182" si="103">+H114/H170</f>
      </c>
      <c r="I182" s="96">
        <f t="shared" si="103"/>
      </c>
      <c r="J182" s="96">
        <f t="shared" si="103"/>
      </c>
      <c r="K182" s="96">
        <f t="shared" si="103"/>
      </c>
      <c r="L182" s="96">
        <f t="shared" si="103"/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</c>
      <c r="I184" s="12">
        <f>-SUM($G140:I140)-SUM($G143:I143)-SUM($G145:I145)</f>
      </c>
      <c r="J184" s="12">
        <f>-SUM($G140:J140)-SUM($G143:J143)-SUM($G145:J145)</f>
      </c>
      <c r="K184" s="12">
        <f>-SUM($G140:K140)-SUM($G143:K143)-SUM($G145:K145)</f>
      </c>
      <c r="L184" s="12">
        <f>-SUM($G140:L140)-SUM($G143:L143)-SUM($G145:L145)</f>
      </c>
    </row>
    <row r="185" spans="3:12" outlineLevel="1" x14ac:dyDescent="0.2">
      <c r="C185" s="97" t="s">
        <v>124</v>
      </c>
      <c r="D185" s="29" t="s">
        <v>44</v>
      </c>
      <c r="H185" s="96">
        <f>+H184/$G114</f>
      </c>
      <c r="I185" s="96">
        <f t="shared" ref="I185:L185" si="104">+I184/$G114</f>
      </c>
      <c r="J185" s="96">
        <f t="shared" si="104"/>
      </c>
      <c r="K185" s="96">
        <f t="shared" si="104"/>
      </c>
      <c r="L185" s="96">
        <f t="shared" si="104"/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</c>
      <c r="I187" s="101">
        <f t="shared" ref="I187:L187" si="105">(I104-I91)/(-I91-I140)</f>
      </c>
      <c r="J187" s="101">
        <f t="shared" si="105"/>
      </c>
      <c r="K187" s="101">
        <f t="shared" si="105"/>
      </c>
      <c r="L187" s="101">
        <f t="shared" si="105"/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</c>
      <c r="F190" s="14">
        <f t="shared" ref="F190:L190" si="106">+F77</f>
      </c>
      <c r="G190" s="14">
        <f t="shared" si="106"/>
      </c>
      <c r="H190" s="14">
        <f t="shared" si="106"/>
      </c>
      <c r="I190" s="14">
        <f t="shared" si="106"/>
      </c>
      <c r="J190" s="14">
        <f t="shared" si="106"/>
      </c>
      <c r="K190" s="14">
        <f t="shared" si="106"/>
      </c>
      <c r="L190" s="14">
        <f t="shared" si="106"/>
      </c>
    </row>
    <row r="191" spans="3:12" outlineLevel="1" x14ac:dyDescent="0.2">
      <c r="C191" s="5" t="s">
        <v>29</v>
      </c>
      <c r="D191" s="29" t="s">
        <v>44</v>
      </c>
      <c r="E191" s="14">
        <f>+E83</f>
      </c>
      <c r="F191" s="14">
        <f t="shared" ref="F191:L191" si="107">+F83</f>
      </c>
      <c r="G191" s="14">
        <f t="shared" si="107"/>
      </c>
      <c r="H191" s="14">
        <f t="shared" si="107"/>
      </c>
      <c r="I191" s="14">
        <f t="shared" si="107"/>
      </c>
      <c r="J191" s="14">
        <f t="shared" si="107"/>
      </c>
      <c r="K191" s="14">
        <f t="shared" si="107"/>
      </c>
      <c r="L191" s="14">
        <f t="shared" si="107"/>
      </c>
    </row>
    <row r="192" spans="3:12" outlineLevel="1" x14ac:dyDescent="0.2">
      <c r="C192" s="5" t="s">
        <v>30</v>
      </c>
      <c r="D192" s="29" t="s">
        <v>44</v>
      </c>
      <c r="E192" s="14">
        <f>+E87</f>
      </c>
      <c r="F192" s="14">
        <f t="shared" ref="F192:L192" si="108">+F87</f>
      </c>
      <c r="G192" s="14">
        <f t="shared" si="108"/>
      </c>
      <c r="H192" s="14">
        <f t="shared" si="108"/>
      </c>
      <c r="I192" s="14">
        <f t="shared" si="108"/>
      </c>
      <c r="J192" s="14">
        <f t="shared" si="108"/>
      </c>
      <c r="K192" s="14">
        <f t="shared" si="108"/>
      </c>
      <c r="L192" s="14">
        <f t="shared" si="108"/>
      </c>
    </row>
    <row r="193" spans="3:12" outlineLevel="1" x14ac:dyDescent="0.2">
      <c r="C193" s="5" t="s">
        <v>31</v>
      </c>
      <c r="D193" s="29" t="s">
        <v>44</v>
      </c>
      <c r="E193" s="14">
        <f>+E95/E76</f>
      </c>
      <c r="F193" s="14">
        <f t="shared" ref="F193:L193" si="109">+F95/F76</f>
      </c>
      <c r="G193" s="14">
        <f t="shared" si="109"/>
      </c>
      <c r="H193" s="14">
        <f t="shared" si="109"/>
      </c>
      <c r="I193" s="14">
        <f t="shared" si="109"/>
      </c>
      <c r="J193" s="14">
        <f t="shared" si="109"/>
      </c>
      <c r="K193" s="14">
        <f t="shared" si="109"/>
      </c>
      <c r="L193" s="14">
        <f t="shared" si="109"/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