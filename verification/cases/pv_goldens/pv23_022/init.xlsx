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bookViews>
    <workbookView xWindow="19260" yWindow="660" windowWidth="18980" windowHeight="20780" activeTab="4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5" l="1"/>
  <c r="D37" i="5"/>
  <c r="D74" i="5"/>
  <c r="H37" i="6"/>
  <c r="G37" i="6"/>
  <c r="F37" i="6"/>
  <c r="E37" i="6"/>
  <c r="D37" i="6"/>
  <c r="E40" i="6"/>
  <c r="F40" i="6"/>
  <c r="G40" i="6"/>
  <c r="H40" i="6"/>
  <c r="D40" i="6"/>
  <c r="D89" i="5"/>
  <c r="E28" i="6" l="1"/>
  <c r="F28" i="6"/>
  <c r="G28" i="6"/>
  <c r="H28" i="6"/>
  <c r="E29" i="6"/>
  <c r="F29" i="6"/>
  <c r="G29" i="6"/>
  <c r="H29" i="6"/>
  <c r="E30" i="6"/>
  <c r="F30" i="6"/>
  <c r="G30" i="6"/>
  <c r="H30" i="6"/>
  <c r="E31" i="6"/>
  <c r="F31" i="6"/>
  <c r="G31" i="6"/>
  <c r="H31" i="6"/>
  <c r="E32" i="6"/>
  <c r="F32" i="6"/>
  <c r="G32" i="6"/>
  <c r="H32" i="6"/>
  <c r="E33" i="6"/>
  <c r="F33" i="6"/>
  <c r="G33" i="6"/>
  <c r="H33" i="6"/>
  <c r="E34" i="6"/>
  <c r="F34" i="6"/>
  <c r="G34" i="6"/>
  <c r="H34" i="6"/>
  <c r="E35" i="6"/>
  <c r="F35" i="6"/>
  <c r="G35" i="6"/>
  <c r="H35" i="6"/>
  <c r="D91" i="5"/>
  <c r="E36" i="6" s="1"/>
  <c r="H36" i="6" l="1"/>
  <c r="F36" i="6"/>
  <c r="G36" i="6"/>
  <c r="D36" i="6"/>
  <c r="D30" i="6"/>
  <c r="D28" i="6"/>
  <c r="D32" i="6" l="1"/>
  <c r="D34" i="6"/>
  <c r="D33" i="6"/>
  <c r="D31" i="6"/>
  <c r="D29" i="6"/>
  <c r="E25" i="6"/>
  <c r="F25" i="6"/>
  <c r="G25" i="6"/>
  <c r="H25" i="6"/>
  <c r="D25" i="6"/>
  <c r="E24" i="6" l="1"/>
  <c r="F24" i="6"/>
  <c r="G24" i="6"/>
  <c r="H24" i="6"/>
  <c r="D24" i="6"/>
  <c r="B74" i="2"/>
  <c r="B73" i="2"/>
  <c r="B72" i="2"/>
  <c r="B65" i="1"/>
  <c r="B64" i="1"/>
  <c r="B63" i="1"/>
  <c r="D70" i="3"/>
  <c r="E70" i="3" s="1"/>
  <c r="F70" i="3" s="1"/>
  <c r="G70" i="3" s="1"/>
  <c r="H70" i="3" s="1"/>
  <c r="I70" i="3" s="1"/>
  <c r="J70" i="3" s="1"/>
  <c r="D61" i="3"/>
  <c r="D98" i="3" s="1"/>
  <c r="D53" i="3"/>
  <c r="E53" i="3" s="1"/>
  <c r="F53" i="3" s="1"/>
  <c r="G53" i="3" s="1"/>
  <c r="H53" i="3" s="1"/>
  <c r="I53" i="3" s="1"/>
  <c r="J53" i="3" s="1"/>
  <c r="D5" i="3"/>
  <c r="E26" i="3" s="1"/>
  <c r="E90" i="3" s="1" a="1"/>
  <c r="E90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D5" i="4"/>
  <c r="C50" i="4" s="1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10" i="3"/>
  <c r="C108" i="3"/>
  <c r="D107" i="3"/>
  <c r="J103" i="3"/>
  <c r="I103" i="3"/>
  <c r="H103" i="3"/>
  <c r="G103" i="3"/>
  <c r="F103" i="3"/>
  <c r="E103" i="3"/>
  <c r="D103" i="3"/>
  <c r="C80" i="3"/>
  <c r="C62" i="3"/>
  <c r="C59" i="3"/>
  <c r="C19" i="3"/>
  <c r="E16" i="3"/>
  <c r="E19" i="3" s="1"/>
  <c r="D16" i="3"/>
  <c r="C16" i="3"/>
  <c r="D95" i="4" l="1"/>
  <c r="E87" i="4" s="1"/>
  <c r="C95" i="4"/>
  <c r="D87" i="4" s="1"/>
  <c r="D56" i="4" s="1"/>
  <c r="F13" i="4"/>
  <c r="G13" i="4" s="1"/>
  <c r="H13" i="4" s="1"/>
  <c r="I13" i="4" s="1"/>
  <c r="J13" i="4" s="1"/>
  <c r="E50" i="4"/>
  <c r="D22" i="4"/>
  <c r="C32" i="3"/>
  <c r="F12" i="3"/>
  <c r="G12" i="3" s="1"/>
  <c r="H12" i="3" s="1"/>
  <c r="I12" i="3" s="1"/>
  <c r="J12" i="3" s="1"/>
  <c r="E52" i="3"/>
  <c r="F13" i="3"/>
  <c r="G13" i="3" s="1"/>
  <c r="H13" i="3" s="1"/>
  <c r="I13" i="3" s="1"/>
  <c r="J13" i="3" s="1"/>
  <c r="E61" i="3"/>
  <c r="F61" i="3" s="1"/>
  <c r="G61" i="3" s="1"/>
  <c r="C24" i="3"/>
  <c r="D24" i="3"/>
  <c r="C97" i="3"/>
  <c r="D89" i="3" s="1"/>
  <c r="D58" i="3" s="1"/>
  <c r="E24" i="3"/>
  <c r="E69" i="3" s="1"/>
  <c r="D97" i="3"/>
  <c r="E89" i="3" s="1"/>
  <c r="C25" i="3"/>
  <c r="E97" i="3"/>
  <c r="F89" i="3" s="1"/>
  <c r="C26" i="3"/>
  <c r="F14" i="3"/>
  <c r="G14" i="3" s="1"/>
  <c r="H14" i="3" s="1"/>
  <c r="I14" i="3" s="1"/>
  <c r="J14" i="3" s="1"/>
  <c r="F15" i="3"/>
  <c r="G15" i="3" s="1"/>
  <c r="H15" i="3" s="1"/>
  <c r="I15" i="3" s="1"/>
  <c r="J15" i="3" s="1"/>
  <c r="C23" i="3"/>
  <c r="E23" i="3"/>
  <c r="C52" i="3"/>
  <c r="D26" i="3"/>
  <c r="D90" i="3" s="1" a="1"/>
  <c r="D90" i="3" s="1"/>
  <c r="D77" i="3" s="1"/>
  <c r="E77" i="3" s="1"/>
  <c r="D52" i="3"/>
  <c r="D92" i="3" s="1"/>
  <c r="H61" i="3"/>
  <c r="I61" i="3" s="1"/>
  <c r="J61" i="3" s="1"/>
  <c r="G98" i="3"/>
  <c r="D23" i="3"/>
  <c r="D25" i="3"/>
  <c r="E17" i="3"/>
  <c r="E25" i="3"/>
  <c r="D19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C27" i="3"/>
  <c r="D17" i="3"/>
  <c r="E20" i="3"/>
  <c r="C54" i="3"/>
  <c r="C64" i="3" s="1"/>
  <c r="F98" i="3"/>
  <c r="C20" i="3"/>
  <c r="E98" i="3" l="1"/>
  <c r="C69" i="3"/>
  <c r="D20" i="3"/>
  <c r="D69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C27" i="4" s="1"/>
  <c r="E56" i="4"/>
  <c r="F56" i="4" s="1"/>
  <c r="E75" i="4"/>
  <c r="E25" i="4"/>
  <c r="E27" i="4" s="1"/>
  <c r="D90" i="4"/>
  <c r="F14" i="4"/>
  <c r="E97" i="4"/>
  <c r="D99" i="3"/>
  <c r="D57" i="3"/>
  <c r="H98" i="3"/>
  <c r="F16" i="3"/>
  <c r="E58" i="3"/>
  <c r="F58" i="3" s="1"/>
  <c r="E27" i="3"/>
  <c r="E29" i="3" s="1"/>
  <c r="D27" i="3"/>
  <c r="D29" i="3" s="1"/>
  <c r="C29" i="3"/>
  <c r="C71" i="3"/>
  <c r="C74" i="3" s="1"/>
  <c r="C82" i="3" s="1"/>
  <c r="C84" i="3" s="1"/>
  <c r="E92" i="3"/>
  <c r="E99" i="3"/>
  <c r="F25" i="3" l="1"/>
  <c r="F23" i="3"/>
  <c r="F26" i="3"/>
  <c r="F90" i="3" s="1" a="1"/>
  <c r="F90" i="3" s="1"/>
  <c r="F77" i="3" s="1"/>
  <c r="F97" i="3"/>
  <c r="G89" i="3" s="1"/>
  <c r="F24" i="3"/>
  <c r="F52" i="3"/>
  <c r="F92" i="3" s="1"/>
  <c r="D27" i="4"/>
  <c r="F23" i="4"/>
  <c r="F50" i="4"/>
  <c r="F90" i="4" s="1"/>
  <c r="F21" i="4"/>
  <c r="F95" i="4"/>
  <c r="G87" i="4" s="1"/>
  <c r="F22" i="4"/>
  <c r="F24" i="4"/>
  <c r="F88" i="4" s="1" a="1"/>
  <c r="F88" i="4" s="1"/>
  <c r="F75" i="4" s="1"/>
  <c r="C32" i="4"/>
  <c r="C33" i="4" s="1"/>
  <c r="C28" i="4"/>
  <c r="E28" i="4"/>
  <c r="G14" i="4"/>
  <c r="D91" i="4"/>
  <c r="D69" i="4"/>
  <c r="D72" i="4" s="1"/>
  <c r="E91" i="4"/>
  <c r="E69" i="4"/>
  <c r="E72" i="4" s="1"/>
  <c r="F17" i="4"/>
  <c r="F18" i="4"/>
  <c r="F15" i="4"/>
  <c r="G96" i="4"/>
  <c r="D28" i="4"/>
  <c r="E55" i="4"/>
  <c r="D57" i="4"/>
  <c r="D60" i="4" s="1"/>
  <c r="E30" i="3"/>
  <c r="D93" i="3"/>
  <c r="D71" i="3"/>
  <c r="D74" i="3" s="1"/>
  <c r="F19" i="3"/>
  <c r="F17" i="3"/>
  <c r="F20" i="3"/>
  <c r="I98" i="3"/>
  <c r="J98" i="3"/>
  <c r="E57" i="3"/>
  <c r="D59" i="3"/>
  <c r="D62" i="3" s="1"/>
  <c r="E71" i="3"/>
  <c r="E74" i="3" s="1"/>
  <c r="E93" i="3"/>
  <c r="C34" i="3"/>
  <c r="C35" i="3" s="1"/>
  <c r="C30" i="3"/>
  <c r="D30" i="3"/>
  <c r="G16" i="3"/>
  <c r="G25" i="3" l="1"/>
  <c r="G23" i="3"/>
  <c r="G97" i="3"/>
  <c r="H89" i="3" s="1"/>
  <c r="G52" i="3"/>
  <c r="G26" i="3"/>
  <c r="G24" i="3"/>
  <c r="F69" i="3"/>
  <c r="G23" i="4"/>
  <c r="G21" i="4"/>
  <c r="G24" i="4"/>
  <c r="G88" i="4" s="1" a="1"/>
  <c r="G88" i="4" s="1"/>
  <c r="G75" i="4" s="1"/>
  <c r="G50" i="4"/>
  <c r="G22" i="4"/>
  <c r="G95" i="4"/>
  <c r="H87" i="4" s="1"/>
  <c r="F67" i="4"/>
  <c r="F55" i="4"/>
  <c r="E57" i="4"/>
  <c r="E60" i="4" s="1"/>
  <c r="H96" i="4"/>
  <c r="G90" i="4"/>
  <c r="G17" i="4"/>
  <c r="G18" i="4"/>
  <c r="G15" i="4"/>
  <c r="H14" i="4"/>
  <c r="F97" i="4"/>
  <c r="G56" i="4"/>
  <c r="F25" i="4"/>
  <c r="F27" i="4" s="1"/>
  <c r="C35" i="4"/>
  <c r="C37" i="3"/>
  <c r="F57" i="3"/>
  <c r="E59" i="3"/>
  <c r="E62" i="3" s="1"/>
  <c r="H16" i="3"/>
  <c r="F99" i="3"/>
  <c r="G58" i="3"/>
  <c r="F27" i="3"/>
  <c r="F29" i="3" s="1"/>
  <c r="G19" i="3"/>
  <c r="G92" i="3"/>
  <c r="G17" i="3"/>
  <c r="G90" i="3" a="1"/>
  <c r="G90" i="3" s="1"/>
  <c r="G77" i="3" s="1"/>
  <c r="G20" i="3"/>
  <c r="G69" i="3" l="1"/>
  <c r="H25" i="3"/>
  <c r="H23" i="3"/>
  <c r="H97" i="3"/>
  <c r="I89" i="3" s="1"/>
  <c r="H24" i="3"/>
  <c r="H52" i="3"/>
  <c r="H26" i="3"/>
  <c r="H90" i="3" s="1" a="1"/>
  <c r="H90" i="3" s="1"/>
  <c r="H77" i="3" s="1"/>
  <c r="G67" i="4"/>
  <c r="H23" i="4"/>
  <c r="H21" i="4"/>
  <c r="H24" i="4"/>
  <c r="H50" i="4"/>
  <c r="H90" i="4" s="1"/>
  <c r="H95" i="4"/>
  <c r="I87" i="4" s="1"/>
  <c r="H22" i="4"/>
  <c r="F28" i="4"/>
  <c r="H56" i="4"/>
  <c r="C36" i="4"/>
  <c r="C41" i="4"/>
  <c r="G25" i="4"/>
  <c r="G27" i="4" s="1"/>
  <c r="F91" i="4"/>
  <c r="F69" i="4"/>
  <c r="F72" i="4" s="1"/>
  <c r="I96" i="4"/>
  <c r="J96" i="4"/>
  <c r="H17" i="4"/>
  <c r="H88" i="4" a="1"/>
  <c r="H88" i="4" s="1"/>
  <c r="H75" i="4" s="1"/>
  <c r="H18" i="4"/>
  <c r="H15" i="4"/>
  <c r="F57" i="4"/>
  <c r="F60" i="4" s="1"/>
  <c r="G55" i="4"/>
  <c r="J14" i="4"/>
  <c r="I14" i="4"/>
  <c r="G97" i="4"/>
  <c r="F30" i="3"/>
  <c r="F93" i="3"/>
  <c r="F71" i="3"/>
  <c r="F74" i="3" s="1"/>
  <c r="G99" i="3"/>
  <c r="G27" i="3"/>
  <c r="H58" i="3"/>
  <c r="G29" i="3"/>
  <c r="H27" i="3"/>
  <c r="H19" i="3"/>
  <c r="H69" i="3" s="1"/>
  <c r="H92" i="3"/>
  <c r="H17" i="3"/>
  <c r="F59" i="3"/>
  <c r="F62" i="3" s="1"/>
  <c r="G57" i="3"/>
  <c r="C38" i="3"/>
  <c r="C43" i="3"/>
  <c r="I16" i="3"/>
  <c r="J16" i="3"/>
  <c r="J23" i="3" l="1"/>
  <c r="J26" i="3"/>
  <c r="J90" i="3" s="1" a="1"/>
  <c r="J90" i="3" s="1"/>
  <c r="J52" i="3"/>
  <c r="J25" i="3"/>
  <c r="J97" i="3"/>
  <c r="J99" i="3" s="1"/>
  <c r="J24" i="3"/>
  <c r="J27" i="3" s="1"/>
  <c r="I25" i="3"/>
  <c r="I23" i="3"/>
  <c r="I26" i="3"/>
  <c r="I90" i="3" s="1" a="1"/>
  <c r="I90" i="3" s="1"/>
  <c r="I77" i="3" s="1"/>
  <c r="I52" i="3"/>
  <c r="I97" i="3"/>
  <c r="J89" i="3" s="1"/>
  <c r="I24" i="3"/>
  <c r="J21" i="4"/>
  <c r="J24" i="4"/>
  <c r="J88" i="4" s="1" a="1"/>
  <c r="J88" i="4" s="1"/>
  <c r="J95" i="4"/>
  <c r="J97" i="4" s="1"/>
  <c r="J22" i="4"/>
  <c r="J23" i="4"/>
  <c r="J50" i="4"/>
  <c r="I23" i="4"/>
  <c r="I21" i="4"/>
  <c r="I24" i="4"/>
  <c r="I88" i="4" s="1" a="1"/>
  <c r="I88" i="4" s="1"/>
  <c r="I75" i="4" s="1"/>
  <c r="I22" i="4"/>
  <c r="I95" i="4"/>
  <c r="J87" i="4" s="1"/>
  <c r="I50" i="4"/>
  <c r="H67" i="4"/>
  <c r="G28" i="4"/>
  <c r="J17" i="4"/>
  <c r="J15" i="4"/>
  <c r="I90" i="4"/>
  <c r="I17" i="4"/>
  <c r="I18" i="4" s="1"/>
  <c r="I15" i="4"/>
  <c r="G69" i="4"/>
  <c r="G72" i="4" s="1"/>
  <c r="G91" i="4"/>
  <c r="G57" i="4"/>
  <c r="G60" i="4" s="1"/>
  <c r="H55" i="4"/>
  <c r="H97" i="4"/>
  <c r="I56" i="4"/>
  <c r="H25" i="4"/>
  <c r="H27" i="4" s="1"/>
  <c r="G30" i="3"/>
  <c r="H20" i="3"/>
  <c r="H29" i="3" s="1"/>
  <c r="J19" i="3"/>
  <c r="J69" i="3" s="1"/>
  <c r="J17" i="3"/>
  <c r="G71" i="3"/>
  <c r="G74" i="3" s="1"/>
  <c r="G93" i="3"/>
  <c r="G59" i="3"/>
  <c r="G62" i="3" s="1"/>
  <c r="H57" i="3"/>
  <c r="H99" i="3"/>
  <c r="I58" i="3"/>
  <c r="H71" i="3"/>
  <c r="H74" i="3" s="1"/>
  <c r="H93" i="3"/>
  <c r="I92" i="3"/>
  <c r="I19" i="3"/>
  <c r="I17" i="3"/>
  <c r="I25" i="4" l="1"/>
  <c r="J20" i="3"/>
  <c r="J29" i="3" s="1"/>
  <c r="I20" i="3"/>
  <c r="I69" i="3"/>
  <c r="I67" i="4"/>
  <c r="J67" i="4"/>
  <c r="J18" i="4"/>
  <c r="H28" i="4"/>
  <c r="J75" i="4"/>
  <c r="H57" i="4"/>
  <c r="H60" i="4" s="1"/>
  <c r="I55" i="4"/>
  <c r="J90" i="4"/>
  <c r="I27" i="4"/>
  <c r="J56" i="4"/>
  <c r="J25" i="4"/>
  <c r="I97" i="4"/>
  <c r="H69" i="4"/>
  <c r="H72" i="4" s="1"/>
  <c r="H91" i="4"/>
  <c r="J77" i="3"/>
  <c r="H30" i="3"/>
  <c r="I57" i="3"/>
  <c r="H59" i="3"/>
  <c r="H62" i="3" s="1"/>
  <c r="I99" i="3"/>
  <c r="J58" i="3"/>
  <c r="J30" i="3"/>
  <c r="J92" i="3"/>
  <c r="I27" i="3"/>
  <c r="I29" i="3" s="1"/>
  <c r="J27" i="4" l="1"/>
  <c r="J28" i="4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30" i="3"/>
  <c r="I71" i="3"/>
  <c r="I74" i="3" s="1"/>
  <c r="I93" i="3"/>
  <c r="I59" i="3"/>
  <c r="I62" i="3" s="1"/>
  <c r="J57" i="3"/>
  <c r="J59" i="3" s="1"/>
  <c r="J62" i="3" s="1"/>
  <c r="J71" i="3"/>
  <c r="J74" i="3" s="1"/>
  <c r="J93" i="3"/>
  <c r="D10" i="6" l="1"/>
  <c r="H36" i="5"/>
  <c r="D82" i="5" l="1" a="1"/>
  <c r="D82" i="5" s="1"/>
  <c r="D80" i="5" a="1"/>
  <c r="D80" i="5" s="1"/>
  <c r="H60" i="5"/>
  <c r="G60" i="5"/>
  <c r="F60" i="5"/>
  <c r="E60" i="5"/>
  <c r="D60" i="5"/>
  <c r="D35" i="6" s="1"/>
  <c r="H54" i="5"/>
  <c r="G54" i="5"/>
  <c r="G62" i="5" s="1"/>
  <c r="F54" i="5"/>
  <c r="E54" i="5"/>
  <c r="D54" i="5"/>
  <c r="H47" i="5"/>
  <c r="H20" i="6" s="1"/>
  <c r="G47" i="5"/>
  <c r="G20" i="6" s="1"/>
  <c r="F47" i="5"/>
  <c r="F20" i="6" s="1"/>
  <c r="E47" i="5"/>
  <c r="D47" i="5"/>
  <c r="D20" i="6" s="1"/>
  <c r="D19" i="5"/>
  <c r="D21" i="5" s="1"/>
  <c r="H62" i="5" l="1"/>
  <c r="E62" i="5"/>
  <c r="E20" i="6"/>
  <c r="D7" i="6"/>
  <c r="H35" i="5"/>
  <c r="D26" i="5"/>
  <c r="D8" i="6" s="1"/>
  <c r="D27" i="5"/>
  <c r="H34" i="5" a="1"/>
  <c r="H34" i="5" s="1"/>
  <c r="H38" i="5" s="1"/>
  <c r="D67" i="5" a="1"/>
  <c r="D67" i="5" s="1"/>
  <c r="D69" i="5" s="1"/>
  <c r="D75" i="5" s="1"/>
  <c r="D11" i="6" s="1"/>
  <c r="D62" i="5"/>
  <c r="F62" i="5"/>
  <c r="D9" i="6" l="1"/>
  <c r="D34" i="5"/>
  <c r="D29" i="5"/>
  <c r="E48" i="6" l="1"/>
  <c r="D48" i="6"/>
  <c r="F48" i="6"/>
  <c r="G48" i="6"/>
  <c r="H48" i="6"/>
  <c r="D19" i="6"/>
  <c r="D18" i="6" l="1"/>
  <c r="D21" i="6" s="1"/>
  <c r="D26" i="6" l="1"/>
  <c r="E18" i="6"/>
  <c r="F18" i="6" l="1"/>
  <c r="H18" i="6" l="1"/>
  <c r="G18" i="6"/>
  <c r="E19" i="6" l="1"/>
  <c r="E21" i="6" s="1"/>
  <c r="F19" i="6"/>
  <c r="F21" i="6" s="1"/>
  <c r="E26" i="6" l="1"/>
  <c r="G19" i="6"/>
  <c r="G21" i="6" s="1"/>
  <c r="F26" i="6"/>
  <c r="H19" i="6"/>
  <c r="H21" i="6" s="1"/>
  <c r="H26" i="6" l="1"/>
  <c r="G26" i="6"/>
  <c r="F106" i="3" l="1"/>
  <c r="F108" i="3"/>
  <c r="F51" i="3"/>
  <c r="F32" i="3"/>
  <c r="F34" i="3"/>
  <c r="F37" i="3"/>
  <c r="F88" i="3" a="1"/>
  <c r="F94" i="3"/>
  <c r="D39" i="6"/>
  <c r="H51" i="3"/>
  <c r="H32" i="3"/>
  <c r="H34" i="3"/>
  <c r="H37" i="3"/>
  <c r="H88" i="3" a="1"/>
  <c r="H94" i="3"/>
  <c r="H106" i="3"/>
  <c r="H108" i="3"/>
  <c r="J30" i="4"/>
  <c r="J32" i="4"/>
  <c r="J35" i="4"/>
  <c r="J86" i="4" a="1"/>
  <c r="J92" i="4"/>
  <c r="J104" i="4"/>
  <c r="J106" i="4"/>
  <c r="J49" i="4"/>
  <c r="J108" i="4"/>
  <c r="D108" i="3"/>
  <c r="D51" i="3"/>
  <c r="D32" i="3"/>
  <c r="D34" i="3"/>
  <c r="D37" i="3"/>
  <c r="D88" i="3" a="1"/>
  <c r="D94" i="3"/>
  <c r="D106" i="3"/>
  <c r="D102" i="3"/>
  <c r="D78" i="3"/>
  <c r="E78" i="3"/>
  <c r="F78" i="3"/>
  <c r="G78" i="3"/>
  <c r="G80" i="3"/>
  <c r="G82" i="3"/>
  <c r="F110" i="3"/>
  <c r="I34" i="3"/>
  <c r="I37" i="3"/>
  <c r="I88" i="3" a="1"/>
  <c r="I94" i="3"/>
  <c r="I106" i="3"/>
  <c r="I108" i="3"/>
  <c r="I51" i="3"/>
  <c r="I32" i="3"/>
  <c r="I54" i="3"/>
  <c r="I64" i="3"/>
  <c r="D30" i="4"/>
  <c r="D32" i="4"/>
  <c r="D35" i="4"/>
  <c r="D86" i="4" a="1"/>
  <c r="D92" i="4"/>
  <c r="D104" i="4"/>
  <c r="D106" i="4"/>
  <c r="D49" i="4"/>
  <c r="D100" i="4"/>
  <c r="D76" i="4"/>
  <c r="D41" i="6"/>
  <c r="G106" i="3"/>
  <c r="G108" i="3"/>
  <c r="G51" i="3"/>
  <c r="G32" i="3"/>
  <c r="G34" i="3"/>
  <c r="G37" i="3"/>
  <c r="G88" i="3" a="1"/>
  <c r="G94" i="3"/>
  <c r="E39" i="6"/>
  <c r="J100" i="4"/>
  <c r="D86" i="4"/>
  <c r="F32" i="4"/>
  <c r="F35" i="4"/>
  <c r="F86" i="4" a="1"/>
  <c r="F92" i="4"/>
  <c r="F104" i="4"/>
  <c r="F106" i="4"/>
  <c r="F49" i="4"/>
  <c r="F30" i="4"/>
  <c r="F52" i="4"/>
  <c r="F100" i="4"/>
  <c r="E76" i="4"/>
  <c r="H35" i="3"/>
  <c r="D42" i="6"/>
  <c r="J32" i="3"/>
  <c r="J34" i="3"/>
  <c r="J37" i="3"/>
  <c r="J88" i="3" a="1"/>
  <c r="J94" i="3"/>
  <c r="J106" i="3"/>
  <c r="J108" i="3"/>
  <c r="J51" i="3"/>
  <c r="I104" i="4"/>
  <c r="I106" i="4"/>
  <c r="I49" i="4"/>
  <c r="I30" i="4"/>
  <c r="I32" i="4"/>
  <c r="I35" i="4"/>
  <c r="I86" i="4" a="1"/>
  <c r="I92" i="4"/>
  <c r="E88" i="3" a="1"/>
  <c r="E94" i="3"/>
  <c r="E106" i="3"/>
  <c r="E108" i="3"/>
  <c r="E51" i="3"/>
  <c r="E32" i="3"/>
  <c r="E34" i="3"/>
  <c r="E37" i="3"/>
  <c r="E35" i="4"/>
  <c r="E86" i="4" a="1"/>
  <c r="E92" i="4"/>
  <c r="E104" i="4"/>
  <c r="E106" i="4"/>
  <c r="E49" i="4"/>
  <c r="E30" i="4"/>
  <c r="E32" i="4"/>
  <c r="E54" i="3"/>
  <c r="J102" i="3"/>
  <c r="H39" i="6"/>
  <c r="H41" i="6"/>
  <c r="E43" i="3"/>
  <c r="F33" i="4"/>
  <c r="F102" i="3"/>
  <c r="J54" i="3"/>
  <c r="I52" i="4"/>
  <c r="I62" i="4"/>
  <c r="I33" i="4"/>
  <c r="I108" i="4"/>
  <c r="F62" i="4"/>
  <c r="D79" i="3"/>
  <c r="E79" i="3"/>
  <c r="F79" i="3"/>
  <c r="F35" i="3"/>
  <c r="E52" i="4"/>
  <c r="E62" i="4"/>
  <c r="E82" i="4"/>
  <c r="F76" i="4"/>
  <c r="D52" i="4"/>
  <c r="E35" i="3"/>
  <c r="H44" i="6"/>
  <c r="H49" i="6"/>
  <c r="H50" i="6"/>
  <c r="H88" i="3"/>
  <c r="D38" i="3"/>
  <c r="E102" i="3"/>
  <c r="H43" i="3"/>
  <c r="D44" i="6"/>
  <c r="G54" i="3"/>
  <c r="G102" i="3"/>
  <c r="I110" i="3"/>
  <c r="J41" i="4"/>
  <c r="J64" i="3"/>
  <c r="I100" i="4"/>
  <c r="G38" i="3"/>
  <c r="E78" i="4"/>
  <c r="F78" i="4"/>
  <c r="F80" i="4"/>
  <c r="E36" i="4"/>
  <c r="E41" i="6"/>
  <c r="E44" i="6"/>
  <c r="E49" i="6"/>
  <c r="E50" i="6"/>
  <c r="J102" i="4"/>
  <c r="F102" i="4"/>
  <c r="H78" i="3"/>
  <c r="H54" i="3"/>
  <c r="J33" i="4"/>
  <c r="E110" i="3"/>
  <c r="D43" i="3"/>
  <c r="J35" i="3"/>
  <c r="H38" i="3"/>
  <c r="G76" i="4"/>
  <c r="H76" i="4"/>
  <c r="I76" i="4"/>
  <c r="I78" i="4"/>
  <c r="I80" i="4"/>
  <c r="D77" i="4"/>
  <c r="E77" i="4"/>
  <c r="F77" i="4"/>
  <c r="G77" i="4"/>
  <c r="H77" i="4"/>
  <c r="E38" i="3"/>
  <c r="G39" i="6"/>
  <c r="G41" i="6"/>
  <c r="G42" i="6"/>
  <c r="D54" i="3"/>
  <c r="D64" i="3"/>
  <c r="E80" i="3"/>
  <c r="E82" i="3"/>
  <c r="G64" i="3"/>
  <c r="G84" i="3"/>
  <c r="J76" i="4"/>
  <c r="J78" i="4"/>
  <c r="H102" i="3"/>
  <c r="E88" i="3"/>
  <c r="F104" i="3"/>
  <c r="G43" i="3"/>
  <c r="J80" i="4"/>
  <c r="F54" i="3"/>
  <c r="F64" i="3"/>
  <c r="J110" i="3"/>
  <c r="I41" i="4"/>
  <c r="F43" i="3"/>
  <c r="D80" i="3"/>
  <c r="D82" i="3"/>
  <c r="E108" i="4"/>
  <c r="G35" i="4"/>
  <c r="G86" i="4" a="1"/>
  <c r="G92" i="4"/>
  <c r="G104" i="4"/>
  <c r="G106" i="4"/>
  <c r="G49" i="4"/>
  <c r="G30" i="4"/>
  <c r="G32" i="4"/>
  <c r="G52" i="4"/>
  <c r="G62" i="4"/>
  <c r="G82" i="4"/>
  <c r="I102" i="4"/>
  <c r="H104" i="4"/>
  <c r="H106" i="4"/>
  <c r="H49" i="4"/>
  <c r="H30" i="4"/>
  <c r="H32" i="4"/>
  <c r="H35" i="4"/>
  <c r="H86" i="4" a="1"/>
  <c r="H92" i="4"/>
  <c r="H52" i="4"/>
  <c r="H80" i="3"/>
  <c r="G79" i="3"/>
  <c r="H79" i="3"/>
  <c r="I79" i="3"/>
  <c r="J79" i="3"/>
  <c r="G110" i="3"/>
  <c r="G107" i="3"/>
  <c r="D84" i="3"/>
  <c r="G78" i="4"/>
  <c r="G80" i="4"/>
  <c r="D102" i="4"/>
  <c r="D62" i="4"/>
  <c r="H110" i="3"/>
  <c r="E100" i="4"/>
  <c r="E102" i="4"/>
  <c r="D108" i="4"/>
  <c r="H78" i="4"/>
  <c r="H80" i="4"/>
  <c r="I82" i="4"/>
  <c r="E42" i="6"/>
  <c r="F107" i="3"/>
  <c r="E41" i="4"/>
  <c r="F39" i="6"/>
  <c r="F41" i="6"/>
  <c r="F44" i="6"/>
  <c r="F49" i="6"/>
  <c r="H64" i="3"/>
  <c r="D33" i="4"/>
  <c r="D35" i="3"/>
  <c r="H42" i="6"/>
  <c r="I102" i="3"/>
  <c r="I104" i="3"/>
  <c r="F80" i="3"/>
  <c r="F82" i="3"/>
  <c r="D49" i="6"/>
  <c r="D50" i="6"/>
  <c r="G36" i="4"/>
  <c r="I78" i="3"/>
  <c r="J78" i="3"/>
  <c r="J80" i="3"/>
  <c r="J82" i="3"/>
  <c r="E64" i="3"/>
  <c r="H100" i="4"/>
  <c r="H102" i="4"/>
  <c r="I88" i="3"/>
  <c r="H62" i="4"/>
  <c r="H82" i="4"/>
  <c r="I105" i="4"/>
  <c r="D110" i="3"/>
  <c r="E104" i="3"/>
  <c r="D41" i="4"/>
  <c r="E105" i="4"/>
  <c r="G86" i="4"/>
  <c r="D104" i="3"/>
  <c r="E86" i="4"/>
  <c r="F41" i="4"/>
  <c r="D78" i="4"/>
  <c r="D80" i="4"/>
  <c r="J52" i="4"/>
  <c r="G44" i="6"/>
  <c r="F105" i="4"/>
  <c r="E107" i="3"/>
  <c r="G100" i="4"/>
  <c r="G102" i="4"/>
  <c r="E33" i="4"/>
  <c r="D36" i="4"/>
  <c r="I77" i="4"/>
  <c r="J77" i="4"/>
  <c r="I107" i="3"/>
  <c r="F38" i="3"/>
  <c r="F42" i="6"/>
  <c r="F86" i="4"/>
  <c r="H33" i="4"/>
  <c r="F36" i="4"/>
  <c r="J38" i="3"/>
  <c r="J62" i="4"/>
  <c r="J82" i="4"/>
  <c r="I35" i="3"/>
  <c r="H41" i="4"/>
  <c r="H36" i="4"/>
  <c r="J43" i="3"/>
  <c r="H108" i="4"/>
  <c r="G41" i="4"/>
  <c r="F88" i="3"/>
  <c r="F108" i="4"/>
  <c r="H86" i="4"/>
  <c r="H104" i="3"/>
  <c r="I84" i="3"/>
  <c r="G105" i="4"/>
  <c r="G49" i="6"/>
  <c r="G50" i="6"/>
  <c r="J107" i="3"/>
  <c r="J105" i="4"/>
  <c r="I80" i="3"/>
  <c r="I82" i="3"/>
  <c r="F50" i="6"/>
  <c r="I43" i="3"/>
  <c r="D88" i="3"/>
  <c r="J36" i="4"/>
  <c r="I38" i="3"/>
  <c r="J86" i="4"/>
  <c r="J104" i="3"/>
  <c r="G88" i="3"/>
  <c r="G35" i="3"/>
  <c r="G104" i="3"/>
  <c r="H107" i="3"/>
  <c r="F82" i="4"/>
  <c r="I86" i="4"/>
  <c r="I36" i="4"/>
  <c r="J88" i="3"/>
  <c r="D82" i="4"/>
  <c r="H82" i="3"/>
  <c r="G108" i="4"/>
  <c r="E84" i="3"/>
  <c r="J84" i="3"/>
  <c r="F84" i="3"/>
  <c r="G33" i="4"/>
  <c r="H84" i="3"/>
  <c r="E80" i="4"/>
  <c r="H10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<sst xmlns="http://schemas.openxmlformats.org/spreadsheetml/2006/main" count="465" uniqueCount="238">
  <si>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</si>
  <si>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</si>
  <si>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</si>
  <si>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</si>
  <si>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</si>
  <si>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</si>
  <si>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</si>
  <si>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</si>
  <si>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</si>
  <si>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</si>
  <si>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</si>
  <si>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</si>
  <si>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</si>
  <si>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</si>
  <si>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</si>
  <si>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</si>
  <si>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</si>
  <si>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</si>
  <si>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</si>
  <si>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</si>
  <si>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</si>
  <si>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</si>
  <si>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</si>
  <si>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</si>
  <si>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</si>
  <si>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</si>
  <si>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</si>
  <si>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</si>
  <si>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</si>
  <si>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</si>
  <si>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</si>
  <si>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</si>
  <si>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</si>
  <si>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</si>
  <si>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</si>
  <si>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</si>
  <si>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</si>
  <si>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</si>
  <si>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</si>
  <si>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</si>
  <si>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</si>
  <si>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</si>
  <si>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</si>
  <si>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</si>
  <si>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</si>
  <si>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</si>
  <si>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</si>
  <si>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</si>
  <si>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</si>
  <si>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</si>
  <si>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</si>
  <si>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</si>
  <si>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</si>
  <si>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</si>
  <si>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</si>
  <si>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</si>
  <si>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</si>
  <si>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</si>
  <si>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</si>
  <si>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</si>
  <si>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</si>
  <si>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</si>
  <si>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</si>
  <si>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</si>
  <si>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</si>
  <si>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</si>
  <si>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</si>
  <si>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</si>
  <si>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</si>
  <si>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</si>
  <si>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</si>
  <si>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</si>
  <si>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</si>
  <si>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</si>
  <si>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</si>
  <si>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</si>
  <si>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</si>
  <si>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</si>
  <si>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</si>
  <si>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</si>
  <si>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</si>
  <si>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</si>
  <si>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</si>
  <si>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</si>
  <si>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</si>
  <si>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</si>
  <si>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</si>
  <si>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</si>
  <si>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</si>
  <si>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</si>
  <si>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</si>
  <si>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</si>
  <si>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</si>
  <si>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</si>
  <si>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</si>
  <si>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</si>
  <si>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</si>
  <si>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</si>
  <si>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</si>
  <si>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</si>
  <si>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</si>
  <si>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</si>
  <si>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</si>
  <si>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</si>
  <si>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</si>
  <si>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</si>
  <si>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</si>
  <si>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</si>
  <si>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</si>
  <si>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</si>
  <si>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</si>
  <si>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</si>
  <si>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</si>
  <si>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</si>
  <si>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</si>
  <si>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</si>
  <si>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</si>
  <si>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</si>
  <si>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</si>
  <si>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</si>
  <si>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</si>
  <si>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</si>
  <si>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</si>
  <si>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</si>
  <si>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</si>
  <si>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</si>
  <si>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</si>
  <si>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</si>
  <si>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</si>
  <si>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</si>
  <si>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</si>
  <si>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</si>
  <si>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</si>
  <si>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</si>
  <si>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</si>
  <si>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</si>
  <si>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</si>
  <si>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</si>
  <si>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</si>
  <si>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</si>
  <si>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</si>
  <si>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</si>
  <si>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</si>
  <si>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</si>
  <si>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</si>
  <si>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</si>
  <si>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</si>
  <si>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</si>
  <si>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</si>
  <si>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</si>
  <si>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</si>
  <si>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</si>
  <si>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</si>
  <si>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</si>
  <si>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</si>
  <si>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</si>
  <si>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</si>
  <si>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</si>
  <si>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</si>
  <si>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</si>
  <si>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</si>
  <si>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</si>
  <si>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</si>
  <si>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</si>
  <si>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</si>
  <si>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</si>
  <si>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</si>
  <si>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</si>
  <si>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</si>
  <si>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</si>
  <si>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</si>
  <si>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</si>
  <si>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</si>
  <si>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</si>
  <si>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</si>
  <si>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</si>
  <si>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</si>
  <si>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</si>
  <si>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</si>
  <si>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</si>
  <si>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</si>
  <si>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</si>
  <si>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</si>
  <si>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</si>
  <si>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</si>
  <si>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</si>
  <si>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</si>
  <si>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</si>
  <si>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</si>
  <si>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</si>
  <si>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</si>
  <si>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</si>
  <si>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</si>
  <si>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</si>
  <si>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</si>
  <si>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</si>
  <si>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</si>
  <si>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</si>
  <si>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</si>
  <si>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</si>
  <si>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</si>
  <si>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</si>
  <si>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</si>
  <si>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</si>
  <si>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</si>
  <si>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</si>
  <si>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</si>
  <si>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</si>
  <si>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</si>
  <si>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</si>
  <si>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</si>
  <si>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</si>
  <si>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</si>
  <si>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</si>
  <si>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</si>
  <si>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</si>
  <si>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</si>
  <si>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</si>
  <si>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</si>
  <si>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</si>
  <si>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</si>
  <si>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</si>
  <si>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</si>
  <si>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</si>
  <si>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</si>
  <si>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</si>
  <si>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</si>
  <si>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</si>
  <si>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</si>
  <si>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</si>
  <si>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</si>
  <si>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</si>
  <si>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</si>
  <si>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</si>
  <si>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 xml:space="preserve">  Amortization of new intangibles</t>
  </si>
  <si>
    <t xml:space="preserve">  Identifiable Intangible Assets ($mm)</t>
  </si>
  <si>
    <t xml:space="preserve">  New Term Loan Amount ($mm)</t>
  </si>
  <si>
    <t xml:space="preserve">  New Term Loan 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</si>
</sst>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</numFmts>
  <fonts count="23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1"/>
    <xf numFmtId="0" fontId="14" fillId="0" borderId="1"/>
  </cellStyleXfs>
  <cellXfs count="95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3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4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5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2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11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6" fillId="0" borderId="1" xfId="1" applyNumberFormat="1" applyFont="1" applyAlignment="1">
      <alignment vertical="top"/>
    </xf>
    <xf numFmtId="164" fontId="16" fillId="0" borderId="1" xfId="1" applyNumberFormat="1" applyFont="1"/>
    <xf numFmtId="41" fontId="16" fillId="0" borderId="1" xfId="1" applyNumberFormat="1" applyFont="1" applyAlignment="1">
      <alignment vertical="top"/>
    </xf>
    <xf numFmtId="168" fontId="14" fillId="0" borderId="1" xfId="1" applyNumberFormat="1"/>
    <xf numFmtId="0" fontId="14" fillId="0" borderId="1" xfId="0" applyFont="1"/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7" fillId="0" borderId="1" xfId="0" applyNumberFormat="1" applyFont="1" applyAlignment="1">
      <alignment vertical="top"/>
    </xf>
    <xf numFmtId="164" fontId="18" fillId="0" borderId="1" xfId="0" applyNumberFormat="1" applyFont="1" applyAlignment="1">
      <alignment vertical="top"/>
    </xf>
    <xf numFmtId="164" fontId="19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19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0" fontId="20" fillId="0" borderId="1" xfId="0" applyNumberFormat="1" applyFont="1" applyAlignment="1">
      <alignment vertical="top"/>
    </xf>
    <xf numFmtId="164" fontId="19" fillId="0" borderId="8" xfId="0" applyNumberFormat="1" applyFont="1" applyBorder="1" applyAlignment="1">
      <alignment vertical="top"/>
    </xf>
    <xf numFmtId="41" fontId="17" fillId="0" borderId="1" xfId="0" applyNumberFormat="1" applyFont="1" applyAlignment="1">
      <alignment vertical="top"/>
    </xf>
    <xf numFmtId="165" fontId="19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0" fillId="0" borderId="1" xfId="0" applyNumberFormat="1" applyFont="1" applyAlignment="1">
      <alignment vertical="top"/>
    </xf>
    <xf numFmtId="164" fontId="21" fillId="0" borderId="1" xfId="0" applyNumberFormat="1" applyFont="1" applyAlignment="1">
      <alignment vertical="top"/>
    </xf>
    <xf numFmtId="164" fontId="21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1" fillId="0" borderId="11" xfId="0" applyNumberFormat="1" applyFont="1" applyBorder="1" applyAlignment="1">
      <alignment vertical="top"/>
    </xf>
    <xf numFmtId="164" fontId="21" fillId="0" borderId="8" xfId="0" applyNumberFormat="1" applyFont="1" applyBorder="1" applyAlignment="1">
      <alignment vertical="top"/>
    </xf>
    <xf numFmtId="164" fontId="22" fillId="0" borderId="1" xfId="0" applyNumberFormat="1" applyFont="1" applyAlignment="1">
      <alignment vertical="top"/>
    </xf>
    <xf numFmtId="49" fontId="6" fillId="0" borderId="3" xfId="0" applyNumberFormat="1" applyFont="1" applyBorder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1" fillId="0" borderId="1" xfId="0" applyFont="1" applyAlignment="1">
      <alignment horizontal="left" vertical="top" indent="2"/>
    </xf>
    <xf numFmtId="10" fontId="17" fillId="0" borderId="1" xfId="0" applyNumberFormat="1" applyFont="1" applyAlignment="1">
      <alignment vertical="top"/>
    </xf>
    <xf numFmtId="3" fontId="17" fillId="0" borderId="1" xfId="0" applyNumberFormat="1" applyFont="1" applyAlignment="1">
      <alignment vertical="top"/>
    </xf>
    <xf numFmtId="0" fontId="21" fillId="0" borderId="6" xfId="0" applyFont="1" applyBorder="1" applyAlignment="1">
      <alignment vertical="top"/>
    </xf>
    <xf numFmtId="10" fontId="17" fillId="0" borderId="6" xfId="0" applyNumberFormat="1" applyFont="1" applyBorder="1" applyAlignment="1">
      <alignment vertical="top"/>
    </xf>
    <xf numFmtId="168" fontId="8" fillId="0" borderId="1" xfId="1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00FF"/>
      <color rgb="FF00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3" ht="15" customHeight="1" x14ac:dyDescent="0.2">
      <c r="B2" s="62" t="s">
        <v>0</v>
      </c>
    </row>
    <row r="3" spans="2:13" ht="15" customHeight="1" x14ac:dyDescent="0.2">
      <c r="B3" s="16" t="s">
        <v>1</v>
      </c>
    </row>
    <row r="5" spans="2:13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">
      <c r="B6" s="84" t="s">
        <v>3</v>
      </c>
      <c r="D6" s="3" t="s">
        <v>4</v>
      </c>
    </row>
    <row r="8" spans="2:13" ht="1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">
      <c r="D9" s="85">
        <v>2021</v>
      </c>
      <c r="E9" s="85">
        <v>2022</v>
      </c>
      <c r="F9" s="85">
        <v>2023</v>
      </c>
      <c r="G9" s="85">
        <v>2024</v>
      </c>
      <c r="H9" s="85">
        <v>2025</v>
      </c>
      <c r="I9" s="85">
        <v>2026</v>
      </c>
      <c r="J9" s="85">
        <v>2027</v>
      </c>
      <c r="K9" s="85">
        <v>2028</v>
      </c>
    </row>
    <row r="10" spans="2:13" ht="15" customHeight="1" thickBot="1" x14ac:dyDescent="0.25"/>
    <row r="11" spans="2:13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">
      <c r="B13" s="12" t="s">
        <v>8</v>
      </c>
    </row>
    <row r="14" spans="2:13" ht="15" customHeight="1" x14ac:dyDescent="0.2">
      <c r="C14" s="86" t="s">
        <v>9</v>
      </c>
      <c r="D14" s="86">
        <v>2021</v>
      </c>
      <c r="E14" s="86">
        <v>2022</v>
      </c>
      <c r="F14" s="86">
        <v>2023</v>
      </c>
      <c r="G14" s="86">
        <v>2024</v>
      </c>
      <c r="H14" s="86">
        <v>2025</v>
      </c>
      <c r="I14" s="86">
        <v>2026</v>
      </c>
      <c r="J14" s="86">
        <v>2027</v>
      </c>
      <c r="K14" s="86">
        <v>2028</v>
      </c>
    </row>
    <row r="15" spans="2:13" ht="15.75" customHeight="1" x14ac:dyDescent="0.2">
      <c r="B15" s="13" t="s">
        <v>10</v>
      </c>
      <c r="C15" s="54" t="s">
        <v>4</v>
      </c>
      <c r="G15" s="55">
        <v>8.5000000000000006E-2</v>
      </c>
      <c r="H15" s="55">
        <v>7.4999999999999997E-2</v>
      </c>
      <c r="I15" s="55">
        <v>6.5000000000000002E-2</v>
      </c>
      <c r="J15" s="55">
        <v>5.5E-2</v>
      </c>
      <c r="K15" s="55">
        <v>0.05</v>
      </c>
    </row>
    <row r="16" spans="2:13" ht="15.75" customHeight="1" x14ac:dyDescent="0.2">
      <c r="C16" s="54" t="s">
        <v>11</v>
      </c>
      <c r="G16" s="55">
        <v>0.105</v>
      </c>
      <c r="H16" s="55">
        <v>9.5000000000000001E-2</v>
      </c>
      <c r="I16" s="55">
        <v>8.5000000000000006E-2</v>
      </c>
      <c r="J16" s="55">
        <v>7.4999999999999997E-2</v>
      </c>
      <c r="K16" s="55">
        <v>7.0000000000000007E-2</v>
      </c>
    </row>
    <row r="17" spans="2:13" ht="15.75" customHeight="1" x14ac:dyDescent="0.2">
      <c r="C17" s="54" t="s">
        <v>12</v>
      </c>
      <c r="G17" s="55">
        <v>0.06</v>
      </c>
      <c r="H17" s="55">
        <v>0.05</v>
      </c>
      <c r="I17" s="55">
        <v>0.04</v>
      </c>
      <c r="J17" s="55">
        <v>3.5000000000000003E-2</v>
      </c>
      <c r="K17" s="55">
        <v>0.03</v>
      </c>
    </row>
    <row r="19" spans="2:13" ht="15.75" customHeight="1" x14ac:dyDescent="0.2">
      <c r="B19" s="13" t="s">
        <v>13</v>
      </c>
      <c r="C19" s="54" t="s">
        <v>4</v>
      </c>
      <c r="G19" s="55">
        <v>0.15</v>
      </c>
      <c r="H19" s="55">
        <v>0.13</v>
      </c>
      <c r="I19" s="55">
        <v>0.11</v>
      </c>
      <c r="J19" s="55">
        <v>0.1</v>
      </c>
      <c r="K19" s="55">
        <v>0.09</v>
      </c>
    </row>
    <row r="20" spans="2:13" ht="15.75" customHeight="1" x14ac:dyDescent="0.2">
      <c r="C20" s="54" t="s">
        <v>11</v>
      </c>
      <c r="G20" s="55">
        <v>0.18</v>
      </c>
      <c r="H20" s="55">
        <v>0.16</v>
      </c>
      <c r="I20" s="55">
        <v>0.14000000000000001</v>
      </c>
      <c r="J20" s="55">
        <v>0.12</v>
      </c>
      <c r="K20" s="55">
        <v>0.11</v>
      </c>
    </row>
    <row r="21" spans="2:13" ht="15.75" customHeight="1" x14ac:dyDescent="0.2">
      <c r="C21" s="54" t="s">
        <v>12</v>
      </c>
      <c r="G21" s="55">
        <v>0.12</v>
      </c>
      <c r="H21" s="55">
        <v>0.1</v>
      </c>
      <c r="I21" s="55">
        <v>0.08</v>
      </c>
      <c r="J21" s="55">
        <v>7.0000000000000007E-2</v>
      </c>
      <c r="K21" s="55">
        <v>0.06</v>
      </c>
    </row>
    <row r="23" spans="2:13" ht="15.75" customHeight="1" x14ac:dyDescent="0.2">
      <c r="B23" s="13" t="s">
        <v>14</v>
      </c>
      <c r="C23" s="54" t="s">
        <v>4</v>
      </c>
      <c r="G23" s="55">
        <v>0.28000000000000003</v>
      </c>
      <c r="H23" s="55">
        <v>0.25</v>
      </c>
      <c r="I23" s="55">
        <v>0.22</v>
      </c>
      <c r="J23" s="55">
        <v>0.2</v>
      </c>
      <c r="K23" s="55">
        <v>0.18</v>
      </c>
    </row>
    <row r="24" spans="2:13" ht="15.75" customHeight="1" x14ac:dyDescent="0.2">
      <c r="C24" s="54" t="s">
        <v>11</v>
      </c>
      <c r="G24" s="55">
        <v>0.32</v>
      </c>
      <c r="H24" s="55">
        <v>0.3</v>
      </c>
      <c r="I24" s="55">
        <v>0.27</v>
      </c>
      <c r="J24" s="55">
        <v>0.24</v>
      </c>
      <c r="K24" s="55">
        <v>0.22</v>
      </c>
    </row>
    <row r="25" spans="2:13" ht="15.75" customHeight="1" x14ac:dyDescent="0.2">
      <c r="C25" s="54" t="s">
        <v>12</v>
      </c>
      <c r="G25" s="55">
        <v>0.24</v>
      </c>
      <c r="H25" s="55">
        <v>0.2</v>
      </c>
      <c r="I25" s="55">
        <v>0.17</v>
      </c>
      <c r="J25" s="55">
        <v>0.15</v>
      </c>
      <c r="K25" s="55">
        <v>0.14000000000000001</v>
      </c>
    </row>
    <row r="27" spans="2:13" ht="15.75" customHeight="1" x14ac:dyDescent="0.2">
      <c r="B27" s="13" t="s">
        <v>15</v>
      </c>
      <c r="C27" s="54" t="s">
        <v>4</v>
      </c>
      <c r="G27" s="55">
        <v>0.05</v>
      </c>
      <c r="H27" s="55">
        <v>4.4999999999999998E-2</v>
      </c>
      <c r="I27" s="55">
        <v>0.04</v>
      </c>
      <c r="J27" s="55">
        <v>3.5000000000000003E-2</v>
      </c>
      <c r="K27" s="55">
        <v>0.03</v>
      </c>
    </row>
    <row r="28" spans="2:13" ht="15.75" customHeight="1" x14ac:dyDescent="0.2">
      <c r="C28" s="54" t="s">
        <v>11</v>
      </c>
      <c r="G28" s="55">
        <v>7.0000000000000007E-2</v>
      </c>
      <c r="H28" s="55">
        <v>0.06</v>
      </c>
      <c r="I28" s="55">
        <v>5.5E-2</v>
      </c>
      <c r="J28" s="55">
        <v>0.05</v>
      </c>
      <c r="K28" s="55">
        <v>4.4999999999999998E-2</v>
      </c>
    </row>
    <row r="29" spans="2:13" ht="15.75" customHeight="1" x14ac:dyDescent="0.2">
      <c r="C29" s="54" t="s">
        <v>12</v>
      </c>
      <c r="G29" s="55">
        <v>0.03</v>
      </c>
      <c r="H29" s="55">
        <v>2.5000000000000001E-2</v>
      </c>
      <c r="I29" s="55">
        <v>0.02</v>
      </c>
      <c r="J29" s="55">
        <v>1.4999999999999999E-2</v>
      </c>
      <c r="K29" s="55">
        <v>0.01</v>
      </c>
    </row>
    <row r="30" spans="2:13" ht="15" customHeight="1" thickBot="1" x14ac:dyDescent="0.25"/>
    <row r="31" spans="2:13" ht="15" customHeight="1" x14ac:dyDescent="0.2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">
      <c r="B33" s="12" t="s">
        <v>17</v>
      </c>
    </row>
    <row r="35" spans="2:11" ht="15" customHeight="1" x14ac:dyDescent="0.2">
      <c r="B35" s="13" t="s">
        <v>18</v>
      </c>
      <c r="C35" s="54" t="s">
        <v>4</v>
      </c>
      <c r="D35" s="55">
        <v>0.151</v>
      </c>
      <c r="E35" s="55">
        <v>0.14800000000000002</v>
      </c>
      <c r="F35" s="55">
        <v>0.14499999999999999</v>
      </c>
      <c r="G35" s="55">
        <v>0.14300000000000002</v>
      </c>
      <c r="H35" s="55">
        <v>0.14000000000000001</v>
      </c>
      <c r="I35" s="55">
        <v>0.13800000000000001</v>
      </c>
      <c r="J35" s="55">
        <v>0.13500000000000001</v>
      </c>
      <c r="K35" s="55">
        <v>0.13300000000000001</v>
      </c>
    </row>
    <row r="36" spans="2:11" ht="15" customHeight="1" x14ac:dyDescent="0.2">
      <c r="C36" s="54" t="s">
        <v>11</v>
      </c>
      <c r="D36" s="55">
        <v>0.151</v>
      </c>
      <c r="E36" s="55">
        <v>0.14800000000000002</v>
      </c>
      <c r="F36" s="55">
        <v>0.14499999999999999</v>
      </c>
      <c r="G36" s="55">
        <v>0.13800000000000001</v>
      </c>
      <c r="H36" s="55">
        <v>0.13500000000000001</v>
      </c>
      <c r="I36" s="55">
        <v>0.13200000000000001</v>
      </c>
      <c r="J36" s="55">
        <v>0.13</v>
      </c>
      <c r="K36" s="55">
        <v>0.128</v>
      </c>
    </row>
    <row r="37" spans="2:11" ht="15.75" customHeight="1" x14ac:dyDescent="0.2">
      <c r="C37" s="54" t="s">
        <v>12</v>
      </c>
      <c r="D37" s="55">
        <v>0.151</v>
      </c>
      <c r="E37" s="55">
        <v>0.14800000000000002</v>
      </c>
      <c r="F37" s="55">
        <v>0.14499999999999999</v>
      </c>
      <c r="G37" s="55">
        <v>0.14800000000000002</v>
      </c>
      <c r="H37" s="55">
        <v>0.14499999999999999</v>
      </c>
      <c r="I37" s="55">
        <v>0.14300000000000002</v>
      </c>
      <c r="J37" s="55">
        <v>0.14000000000000001</v>
      </c>
      <c r="K37" s="55">
        <v>0.13800000000000001</v>
      </c>
    </row>
    <row r="38" spans="2:11" ht="15.75" customHeight="1" x14ac:dyDescent="0.2"/>
    <row r="39" spans="2:11" ht="15.75" customHeight="1" x14ac:dyDescent="0.2">
      <c r="B39" s="13" t="s">
        <v>19</v>
      </c>
      <c r="C39" s="54" t="s">
        <v>4</v>
      </c>
      <c r="D39" s="55">
        <v>0.115</v>
      </c>
      <c r="E39" s="55">
        <v>0.11199999999999999</v>
      </c>
      <c r="F39" s="55">
        <v>0.10800000000000001</v>
      </c>
      <c r="G39" s="55">
        <v>0.105</v>
      </c>
      <c r="H39" s="55">
        <v>0.10300000000000001</v>
      </c>
      <c r="I39" s="55">
        <v>0.1</v>
      </c>
      <c r="J39" s="55">
        <v>9.8000000000000004E-2</v>
      </c>
      <c r="K39" s="55">
        <v>9.5000000000000001E-2</v>
      </c>
    </row>
    <row r="40" spans="2:11" ht="15" customHeight="1" x14ac:dyDescent="0.2">
      <c r="C40" s="54" t="s">
        <v>11</v>
      </c>
      <c r="D40" s="55">
        <v>0.115</v>
      </c>
      <c r="E40" s="55">
        <v>0.11199999999999999</v>
      </c>
      <c r="F40" s="55">
        <v>0.10800000000000001</v>
      </c>
      <c r="G40" s="55">
        <v>0.10199999999999999</v>
      </c>
      <c r="H40" s="55">
        <v>0.1</v>
      </c>
      <c r="I40" s="55">
        <v>9.6999999999999989E-2</v>
      </c>
      <c r="J40" s="55">
        <v>9.5000000000000001E-2</v>
      </c>
      <c r="K40" s="55">
        <v>9.1999999999999998E-2</v>
      </c>
    </row>
    <row r="41" spans="2:11" ht="15.75" customHeight="1" x14ac:dyDescent="0.2">
      <c r="C41" s="54" t="s">
        <v>12</v>
      </c>
      <c r="D41" s="55">
        <v>0.115</v>
      </c>
      <c r="E41" s="55">
        <v>0.11199999999999999</v>
      </c>
      <c r="F41" s="55">
        <v>0.10800000000000001</v>
      </c>
      <c r="G41" s="55">
        <v>0.10800000000000001</v>
      </c>
      <c r="H41" s="55">
        <v>0.106</v>
      </c>
      <c r="I41" s="55">
        <v>0.10300000000000001</v>
      </c>
      <c r="J41" s="55">
        <v>0.10099999999999999</v>
      </c>
      <c r="K41" s="55">
        <v>9.8000000000000004E-2</v>
      </c>
    </row>
    <row r="42" spans="2:11" ht="15.75" customHeight="1" x14ac:dyDescent="0.2"/>
    <row r="43" spans="2:11" ht="15.75" customHeight="1" x14ac:dyDescent="0.2">
      <c r="B43" s="13" t="s">
        <v>20</v>
      </c>
      <c r="C43" s="54" t="s">
        <v>4</v>
      </c>
      <c r="D43" s="55">
        <v>6.8000000000000005E-2</v>
      </c>
      <c r="E43" s="55">
        <v>6.5000000000000002E-2</v>
      </c>
      <c r="F43" s="55">
        <v>6.3E-2</v>
      </c>
      <c r="G43" s="55">
        <v>6.2E-2</v>
      </c>
      <c r="H43" s="55">
        <v>0.06</v>
      </c>
      <c r="I43" s="55">
        <v>5.7999999999999996E-2</v>
      </c>
      <c r="J43" s="55">
        <v>5.7000000000000002E-2</v>
      </c>
      <c r="K43" s="55">
        <v>5.5E-2</v>
      </c>
    </row>
    <row r="44" spans="2:11" ht="15" customHeight="1" x14ac:dyDescent="0.2">
      <c r="C44" s="54" t="s">
        <v>11</v>
      </c>
      <c r="D44" s="55">
        <v>6.8000000000000005E-2</v>
      </c>
      <c r="E44" s="55">
        <v>6.5000000000000002E-2</v>
      </c>
      <c r="F44" s="55">
        <v>6.3E-2</v>
      </c>
      <c r="G44" s="55">
        <v>0.06</v>
      </c>
      <c r="H44" s="55">
        <v>5.7999999999999996E-2</v>
      </c>
      <c r="I44" s="55">
        <v>5.5999999999999994E-2</v>
      </c>
      <c r="J44" s="55">
        <v>5.5E-2</v>
      </c>
      <c r="K44" s="55">
        <v>5.2999999999999999E-2</v>
      </c>
    </row>
    <row r="45" spans="2:11" ht="15.75" customHeight="1" x14ac:dyDescent="0.2">
      <c r="C45" s="54" t="s">
        <v>12</v>
      </c>
      <c r="D45" s="55">
        <v>6.8000000000000005E-2</v>
      </c>
      <c r="E45" s="55">
        <v>6.5000000000000002E-2</v>
      </c>
      <c r="F45" s="55">
        <v>6.3E-2</v>
      </c>
      <c r="G45" s="55">
        <v>6.4000000000000001E-2</v>
      </c>
      <c r="H45" s="55">
        <v>6.2E-2</v>
      </c>
      <c r="I45" s="55">
        <v>0.06</v>
      </c>
      <c r="J45" s="55">
        <v>5.9000000000000004E-2</v>
      </c>
      <c r="K45" s="55">
        <v>5.7000000000000002E-2</v>
      </c>
    </row>
    <row r="46" spans="2:11" ht="15.75" customHeight="1" x14ac:dyDescent="0.2"/>
    <row r="47" spans="2:11" ht="15.75" customHeight="1" x14ac:dyDescent="0.2">
      <c r="B47" s="13" t="s">
        <v>21</v>
      </c>
      <c r="C47" s="54" t="s">
        <v>4</v>
      </c>
      <c r="D47" s="55">
        <v>9.1999999999999998E-2</v>
      </c>
      <c r="E47" s="55">
        <v>9.5000000000000001E-2</v>
      </c>
      <c r="F47" s="55">
        <v>9.8000000000000004E-2</v>
      </c>
      <c r="G47" s="55">
        <v>9.5000000000000001E-2</v>
      </c>
      <c r="H47" s="55">
        <v>9.3000000000000013E-2</v>
      </c>
      <c r="I47" s="55">
        <v>0.09</v>
      </c>
      <c r="J47" s="55">
        <v>8.8000000000000009E-2</v>
      </c>
      <c r="K47" s="55">
        <v>8.5000000000000006E-2</v>
      </c>
    </row>
    <row r="48" spans="2:11" ht="15" customHeight="1" x14ac:dyDescent="0.2">
      <c r="C48" s="54" t="s">
        <v>11</v>
      </c>
      <c r="D48" s="55">
        <v>9.1999999999999998E-2</v>
      </c>
      <c r="E48" s="55">
        <v>9.5000000000000001E-2</v>
      </c>
      <c r="F48" s="55">
        <v>9.8000000000000004E-2</v>
      </c>
      <c r="G48" s="55">
        <v>9.1999999999999998E-2</v>
      </c>
      <c r="H48" s="55">
        <v>0.09</v>
      </c>
      <c r="I48" s="55">
        <v>8.6999999999999994E-2</v>
      </c>
      <c r="J48" s="55">
        <v>8.5000000000000006E-2</v>
      </c>
      <c r="K48" s="55">
        <v>8.199999999999999E-2</v>
      </c>
    </row>
    <row r="49" spans="2:13" ht="15.75" customHeight="1" x14ac:dyDescent="0.2">
      <c r="C49" s="54" t="s">
        <v>12</v>
      </c>
      <c r="D49" s="55">
        <v>9.1999999999999998E-2</v>
      </c>
      <c r="E49" s="55">
        <v>9.5000000000000001E-2</v>
      </c>
      <c r="F49" s="55">
        <v>9.8000000000000004E-2</v>
      </c>
      <c r="G49" s="55">
        <v>9.8000000000000004E-2</v>
      </c>
      <c r="H49" s="55">
        <v>9.6000000000000002E-2</v>
      </c>
      <c r="I49" s="55">
        <v>9.3000000000000013E-2</v>
      </c>
      <c r="J49" s="55">
        <v>9.0999999999999998E-2</v>
      </c>
      <c r="K49" s="55">
        <v>8.8000000000000009E-2</v>
      </c>
    </row>
    <row r="50" spans="2:13" ht="15.75" customHeight="1" thickBot="1" x14ac:dyDescent="0.25"/>
    <row r="51" spans="2:13" ht="15.75" customHeight="1" x14ac:dyDescent="0.2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">
      <c r="B53" s="12" t="s">
        <v>23</v>
      </c>
    </row>
    <row r="55" spans="2:13" ht="15" customHeight="1" x14ac:dyDescent="0.2">
      <c r="B55" s="13" t="s">
        <v>24</v>
      </c>
      <c r="C55" s="54" t="s">
        <v>4</v>
      </c>
      <c r="D55" s="87">
        <v>48</v>
      </c>
      <c r="E55" s="87">
        <v>47</v>
      </c>
      <c r="F55" s="87">
        <v>46</v>
      </c>
      <c r="G55" s="87">
        <v>46</v>
      </c>
      <c r="H55" s="87">
        <v>45</v>
      </c>
      <c r="I55" s="87">
        <v>45</v>
      </c>
      <c r="J55" s="87">
        <v>44</v>
      </c>
      <c r="K55" s="87">
        <v>44</v>
      </c>
    </row>
    <row r="56" spans="2:13" ht="15" customHeight="1" x14ac:dyDescent="0.2">
      <c r="C56" s="54" t="s">
        <v>11</v>
      </c>
      <c r="D56" s="87">
        <v>48</v>
      </c>
      <c r="E56" s="87">
        <v>47</v>
      </c>
      <c r="F56" s="87">
        <v>46</v>
      </c>
      <c r="G56" s="87">
        <v>45</v>
      </c>
      <c r="H56" s="87">
        <v>44</v>
      </c>
      <c r="I56" s="87">
        <v>43</v>
      </c>
      <c r="J56" s="87">
        <v>42</v>
      </c>
      <c r="K56" s="87">
        <v>42</v>
      </c>
    </row>
    <row r="57" spans="2:13" ht="15" customHeight="1" x14ac:dyDescent="0.2">
      <c r="C57" s="54" t="s">
        <v>12</v>
      </c>
      <c r="D57" s="87">
        <v>48</v>
      </c>
      <c r="E57" s="87">
        <v>47</v>
      </c>
      <c r="F57" s="87">
        <v>46</v>
      </c>
      <c r="G57" s="87">
        <v>47</v>
      </c>
      <c r="H57" s="87">
        <v>47</v>
      </c>
      <c r="I57" s="87">
        <v>46</v>
      </c>
      <c r="J57" s="87">
        <v>46</v>
      </c>
      <c r="K57" s="87">
        <v>45</v>
      </c>
    </row>
    <row r="59" spans="2:13" ht="15.75" customHeight="1" x14ac:dyDescent="0.2">
      <c r="B59" s="13" t="s">
        <v>25</v>
      </c>
      <c r="C59" s="54" t="s">
        <v>4</v>
      </c>
      <c r="D59" s="87">
        <v>32</v>
      </c>
      <c r="E59" s="87">
        <v>33</v>
      </c>
      <c r="F59" s="87">
        <v>34</v>
      </c>
      <c r="G59" s="87">
        <v>34</v>
      </c>
      <c r="H59" s="87">
        <v>35</v>
      </c>
      <c r="I59" s="87">
        <v>35</v>
      </c>
      <c r="J59" s="87">
        <v>36</v>
      </c>
      <c r="K59" s="87">
        <v>36</v>
      </c>
    </row>
    <row r="60" spans="2:13" ht="15.75" customHeight="1" x14ac:dyDescent="0.2">
      <c r="C60" s="54" t="s">
        <v>11</v>
      </c>
      <c r="D60" s="87">
        <v>32</v>
      </c>
      <c r="E60" s="87">
        <v>33</v>
      </c>
      <c r="F60" s="87">
        <v>34</v>
      </c>
      <c r="G60" s="87">
        <v>35</v>
      </c>
      <c r="H60" s="87">
        <v>36</v>
      </c>
      <c r="I60" s="87">
        <v>37</v>
      </c>
      <c r="J60" s="87">
        <v>38</v>
      </c>
      <c r="K60" s="87">
        <v>38</v>
      </c>
    </row>
    <row r="61" spans="2:13" ht="15.75" customHeight="1" x14ac:dyDescent="0.2">
      <c r="C61" s="54" t="s">
        <v>12</v>
      </c>
      <c r="D61" s="87">
        <v>32</v>
      </c>
      <c r="E61" s="87">
        <v>33</v>
      </c>
      <c r="F61" s="87">
        <v>34</v>
      </c>
      <c r="G61" s="87">
        <v>33</v>
      </c>
      <c r="H61" s="87">
        <v>33</v>
      </c>
      <c r="I61" s="87">
        <v>34</v>
      </c>
      <c r="J61" s="87">
        <v>34</v>
      </c>
      <c r="K61" s="87">
        <v>34</v>
      </c>
    </row>
    <row r="63" spans="2:13" ht="15.75" customHeight="1" x14ac:dyDescent="0.2">
      <c r="B63" s="13" t="str">
        <f>'Company1153 3-Statement'!$B$53</f>
      </c>
      <c r="C63" s="54" t="s">
        <v>108</v>
      </c>
      <c r="E63" s="55">
        <v>5.8823529411764719E-2</v>
      </c>
      <c r="F63" s="55">
        <v>5.555555555555558E-2</v>
      </c>
      <c r="G63" s="55">
        <v>5.0000000000000044E-2</v>
      </c>
      <c r="H63" s="55">
        <v>5.0000000000000044E-2</v>
      </c>
      <c r="I63" s="55">
        <v>5.0000000000000044E-2</v>
      </c>
      <c r="J63" s="55">
        <v>5.0000000000000044E-2</v>
      </c>
      <c r="K63" s="55">
        <v>5.0000000000000044E-2</v>
      </c>
    </row>
    <row r="64" spans="2:13" ht="15.75" customHeight="1" x14ac:dyDescent="0.2">
      <c r="B64" s="13" t="str">
        <f>'Company1153 3-Statement'!$B$61</f>
      </c>
      <c r="C64" s="54" t="s">
        <v>108</v>
      </c>
      <c r="E64" s="55">
        <v>8.5714285714285632E-2</v>
      </c>
      <c r="F64" s="55">
        <v>0.10526315789473695</v>
      </c>
      <c r="G64" s="55">
        <v>0.08</v>
      </c>
      <c r="H64" s="55">
        <v>0.08</v>
      </c>
      <c r="I64" s="55">
        <v>0.08</v>
      </c>
      <c r="J64" s="55">
        <v>0.08</v>
      </c>
      <c r="K64" s="55">
        <v>0.08</v>
      </c>
    </row>
    <row r="65" spans="2:13" ht="15.75" customHeight="1" x14ac:dyDescent="0.2">
      <c r="B65" s="13" t="str">
        <f>'Company1153 3-Statement'!$B$70</f>
      </c>
      <c r="C65" s="54" t="s">
        <v>108</v>
      </c>
      <c r="E65" s="55">
        <v>8.3333333333333259E-2</v>
      </c>
      <c r="F65" s="55">
        <v>7.6923076923076872E-2</v>
      </c>
      <c r="G65" s="55">
        <v>0.06</v>
      </c>
      <c r="H65" s="55">
        <v>0.06</v>
      </c>
      <c r="I65" s="55">
        <v>0.06</v>
      </c>
      <c r="J65" s="55">
        <v>0.06</v>
      </c>
      <c r="K65" s="55">
        <v>0.06</v>
      </c>
    </row>
    <row r="67" spans="2:13" ht="15" customHeight="1" x14ac:dyDescent="0.2">
      <c r="B67" s="12" t="s">
        <v>26</v>
      </c>
    </row>
    <row r="69" spans="2:13" ht="15" customHeight="1" x14ac:dyDescent="0.2">
      <c r="B69" s="13" t="s">
        <v>27</v>
      </c>
      <c r="C69" s="54" t="s">
        <v>4</v>
      </c>
      <c r="D69" s="55">
        <v>0.125</v>
      </c>
      <c r="E69" s="55">
        <v>0.13200000000000001</v>
      </c>
      <c r="F69" s="55">
        <v>0.14000000000000001</v>
      </c>
      <c r="G69" s="55">
        <v>0.13500000000000001</v>
      </c>
      <c r="H69" s="55">
        <v>0.13</v>
      </c>
      <c r="I69" s="55">
        <v>0.125</v>
      </c>
      <c r="J69" s="55">
        <v>0.12</v>
      </c>
      <c r="K69" s="55">
        <v>0.115</v>
      </c>
    </row>
    <row r="70" spans="2:13" ht="15" customHeight="1" x14ac:dyDescent="0.2">
      <c r="C70" s="54" t="s">
        <v>11</v>
      </c>
      <c r="D70" s="55">
        <v>0.125</v>
      </c>
      <c r="E70" s="55">
        <v>0.13200000000000001</v>
      </c>
      <c r="F70" s="55">
        <v>0.14000000000000001</v>
      </c>
      <c r="G70" s="55">
        <v>0.13</v>
      </c>
      <c r="H70" s="55">
        <v>0.125</v>
      </c>
      <c r="I70" s="55">
        <v>0.12</v>
      </c>
      <c r="J70" s="55">
        <v>0.115</v>
      </c>
      <c r="K70" s="55">
        <v>0.11</v>
      </c>
    </row>
    <row r="71" spans="2:13" ht="15" customHeight="1" x14ac:dyDescent="0.2">
      <c r="C71" s="54" t="s">
        <v>12</v>
      </c>
      <c r="D71" s="55">
        <v>0.125</v>
      </c>
      <c r="E71" s="55">
        <v>0.13200000000000001</v>
      </c>
      <c r="F71" s="55">
        <v>0.14000000000000001</v>
      </c>
      <c r="G71" s="55">
        <v>0.14000000000000001</v>
      </c>
      <c r="H71" s="55">
        <v>0.13500000000000001</v>
      </c>
      <c r="I71" s="55">
        <v>0.13</v>
      </c>
      <c r="J71" s="55">
        <v>0.125</v>
      </c>
      <c r="K71" s="55">
        <v>0.12</v>
      </c>
    </row>
    <row r="73" spans="2:13" ht="15.75" customHeight="1" x14ac:dyDescent="0.2">
      <c r="B73" s="13" t="s">
        <v>28</v>
      </c>
      <c r="C73" s="54" t="s">
        <v>4</v>
      </c>
      <c r="D73" s="55">
        <v>0.7</v>
      </c>
      <c r="E73" s="55">
        <v>0.7</v>
      </c>
      <c r="F73" s="55">
        <v>0.7</v>
      </c>
      <c r="G73" s="55">
        <v>0.7</v>
      </c>
      <c r="H73" s="55">
        <v>0.7</v>
      </c>
      <c r="I73" s="55">
        <v>0.7</v>
      </c>
      <c r="J73" s="55">
        <v>0.7</v>
      </c>
      <c r="K73" s="55">
        <v>0.7</v>
      </c>
    </row>
    <row r="74" spans="2:13" ht="15.75" customHeight="1" x14ac:dyDescent="0.2">
      <c r="C74" s="54" t="s">
        <v>11</v>
      </c>
      <c r="D74" s="55">
        <v>0.7</v>
      </c>
      <c r="E74" s="55">
        <v>0.7</v>
      </c>
      <c r="F74" s="55">
        <v>0.7</v>
      </c>
      <c r="G74" s="55">
        <v>0.68</v>
      </c>
      <c r="H74" s="55">
        <v>0.68</v>
      </c>
      <c r="I74" s="55">
        <v>0.68</v>
      </c>
      <c r="J74" s="55">
        <v>0.68</v>
      </c>
      <c r="K74" s="55">
        <v>0.68</v>
      </c>
    </row>
    <row r="75" spans="2:13" ht="15.75" customHeight="1" x14ac:dyDescent="0.2">
      <c r="C75" s="54" t="s">
        <v>12</v>
      </c>
      <c r="D75" s="55">
        <v>0.7</v>
      </c>
      <c r="E75" s="55">
        <v>0.7</v>
      </c>
      <c r="F75" s="55">
        <v>0.7</v>
      </c>
      <c r="G75" s="55">
        <v>0.72</v>
      </c>
      <c r="H75" s="55">
        <v>0.72</v>
      </c>
      <c r="I75" s="55">
        <v>0.72</v>
      </c>
      <c r="J75" s="55">
        <v>0.72</v>
      </c>
      <c r="K75" s="55">
        <v>0.72</v>
      </c>
    </row>
    <row r="76" spans="2:13" ht="15" customHeight="1" thickBot="1" x14ac:dyDescent="0.25"/>
    <row r="77" spans="2:13" ht="15.75" customHeight="1" x14ac:dyDescent="0.2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"/>
    <row r="79" spans="2:13" ht="15.75" customHeight="1" x14ac:dyDescent="0.2">
      <c r="B79" s="12" t="s">
        <v>30</v>
      </c>
    </row>
    <row r="81" spans="2:11" ht="15" customHeight="1" x14ac:dyDescent="0.2">
      <c r="B81" s="13" t="s">
        <v>31</v>
      </c>
      <c r="C81" s="54" t="s">
        <v>4</v>
      </c>
      <c r="D81" s="55">
        <v>0.16200000000000001</v>
      </c>
      <c r="E81" s="55">
        <v>0.16</v>
      </c>
      <c r="F81" s="55">
        <v>0.158</v>
      </c>
      <c r="G81" s="55">
        <v>0.16500000000000001</v>
      </c>
      <c r="H81" s="55">
        <v>0.17</v>
      </c>
      <c r="I81" s="55">
        <v>0.17499999999999999</v>
      </c>
      <c r="J81" s="55">
        <v>0.18</v>
      </c>
      <c r="K81" s="55">
        <v>0.185</v>
      </c>
    </row>
    <row r="82" spans="2:11" ht="15" customHeight="1" x14ac:dyDescent="0.2">
      <c r="C82" s="54" t="s">
        <v>11</v>
      </c>
      <c r="D82" s="55">
        <v>0.16200000000000001</v>
      </c>
      <c r="E82" s="55">
        <v>0.16</v>
      </c>
      <c r="F82" s="55">
        <v>0.158</v>
      </c>
      <c r="G82" s="55">
        <v>0.16</v>
      </c>
      <c r="H82" s="55">
        <v>0.16500000000000001</v>
      </c>
      <c r="I82" s="55">
        <v>0.17</v>
      </c>
      <c r="J82" s="55">
        <v>0.17499999999999999</v>
      </c>
      <c r="K82" s="55">
        <v>0.18</v>
      </c>
    </row>
    <row r="83" spans="2:11" ht="15" customHeight="1" x14ac:dyDescent="0.2">
      <c r="C83" s="54" t="s">
        <v>12</v>
      </c>
      <c r="D83" s="55">
        <v>0.16200000000000001</v>
      </c>
      <c r="E83" s="55">
        <v>0.16</v>
      </c>
      <c r="F83" s="55">
        <v>0.158</v>
      </c>
      <c r="G83" s="55">
        <v>0.17</v>
      </c>
      <c r="H83" s="55">
        <v>0.17499999999999999</v>
      </c>
      <c r="I83" s="55">
        <v>0.18</v>
      </c>
      <c r="J83" s="55">
        <v>0.185</v>
      </c>
      <c r="K83" s="55">
        <v>0.19</v>
      </c>
    </row>
    <row r="86" spans="2:11" ht="15" customHeight="1" x14ac:dyDescent="0.2">
      <c r="B86" s="12" t="s">
        <v>32</v>
      </c>
    </row>
    <row r="87" spans="2:11" ht="15.75" customHeight="1" x14ac:dyDescent="0.2"/>
    <row r="88" spans="2:11" ht="15.75" customHeight="1" x14ac:dyDescent="0.2">
      <c r="B88" s="13" t="s">
        <v>230</v>
      </c>
      <c r="C88" s="54" t="s">
        <v>4</v>
      </c>
      <c r="D88" s="55">
        <v>5.0000000000000001E-3</v>
      </c>
      <c r="E88" s="55">
        <v>1.4999999999999999E-2</v>
      </c>
      <c r="F88" s="55">
        <v>2.5000000000000001E-2</v>
      </c>
      <c r="G88" s="55">
        <v>3.5000000000000003E-2</v>
      </c>
      <c r="H88" s="55">
        <v>0.03</v>
      </c>
      <c r="I88" s="55">
        <v>2.5000000000000001E-2</v>
      </c>
      <c r="J88" s="55">
        <v>2.5000000000000001E-2</v>
      </c>
      <c r="K88" s="55">
        <v>0.02</v>
      </c>
    </row>
    <row r="89" spans="2:11" ht="15.75" customHeight="1" x14ac:dyDescent="0.2">
      <c r="C89" s="54" t="s">
        <v>11</v>
      </c>
      <c r="D89" s="55">
        <v>0.01</v>
      </c>
      <c r="E89" s="55">
        <v>0.02</v>
      </c>
      <c r="F89" s="55">
        <v>3.0000000000000002E-2</v>
      </c>
      <c r="G89" s="55">
        <v>0.04</v>
      </c>
      <c r="H89" s="55">
        <v>4.4999999999999998E-2</v>
      </c>
      <c r="I89" s="55">
        <v>0.04</v>
      </c>
      <c r="J89" s="55">
        <v>3.4999999999999996E-2</v>
      </c>
      <c r="K89" s="55">
        <v>3.4999999999999996E-2</v>
      </c>
    </row>
    <row r="90" spans="2:11" ht="15" customHeight="1" x14ac:dyDescent="0.2">
      <c r="C90" s="54" t="s">
        <v>12</v>
      </c>
      <c r="D90" s="55">
        <v>2.5000000000000001E-3</v>
      </c>
      <c r="E90" s="55">
        <v>1.2499999999999999E-2</v>
      </c>
      <c r="F90" s="55">
        <v>2.2500000000000003E-2</v>
      </c>
      <c r="G90" s="55">
        <v>3.2500000000000001E-2</v>
      </c>
      <c r="H90" s="55">
        <v>3.7499999999999999E-2</v>
      </c>
      <c r="I90" s="55">
        <v>3.2500000000000001E-2</v>
      </c>
      <c r="J90" s="55">
        <v>2.75E-2</v>
      </c>
      <c r="K90" s="55">
        <v>2.75E-2</v>
      </c>
    </row>
    <row r="91" spans="2:11" ht="15" customHeight="1" x14ac:dyDescent="0.2">
      <c r="C91" s="54"/>
      <c r="D91" s="55"/>
      <c r="E91" s="55"/>
      <c r="F91" s="55"/>
      <c r="G91" s="55"/>
      <c r="H91" s="55"/>
      <c r="I91" s="55"/>
      <c r="J91" s="55"/>
      <c r="K91" s="55"/>
    </row>
    <row r="92" spans="2:11" ht="15" customHeight="1" x14ac:dyDescent="0.2">
      <c r="B92" s="13" t="s">
        <v>231</v>
      </c>
      <c r="C92" s="54" t="s">
        <v>4</v>
      </c>
      <c r="D92" s="55">
        <v>0.03</v>
      </c>
      <c r="E92" s="55">
        <v>3.5000000000000003E-2</v>
      </c>
      <c r="F92" s="55">
        <v>0.04</v>
      </c>
      <c r="G92" s="55">
        <v>4.4999999999999998E-2</v>
      </c>
      <c r="H92" s="55">
        <v>0.04</v>
      </c>
      <c r="I92" s="55">
        <v>3.5000000000000003E-2</v>
      </c>
      <c r="J92" s="55">
        <v>0.03</v>
      </c>
      <c r="K92" s="55">
        <v>0.03</v>
      </c>
    </row>
    <row r="93" spans="2:11" ht="15" customHeight="1" x14ac:dyDescent="0.2">
      <c r="C93" s="54" t="s">
        <v>11</v>
      </c>
      <c r="D93" s="55">
        <v>2.4999999999999998E-2</v>
      </c>
      <c r="E93" s="55">
        <v>3.0000000000000002E-2</v>
      </c>
      <c r="F93" s="55">
        <v>3.5000000000000003E-2</v>
      </c>
      <c r="G93" s="55">
        <v>0.04</v>
      </c>
      <c r="H93" s="55">
        <v>3.5000000000000003E-2</v>
      </c>
      <c r="I93" s="55">
        <v>3.0000000000000002E-2</v>
      </c>
      <c r="J93" s="55">
        <v>2.4999999999999998E-2</v>
      </c>
      <c r="K93" s="55">
        <v>2.4999999999999998E-2</v>
      </c>
    </row>
    <row r="94" spans="2:11" ht="15.75" customHeight="1" x14ac:dyDescent="0.2">
      <c r="C94" s="54" t="s">
        <v>12</v>
      </c>
      <c r="D94" s="55">
        <v>0.04</v>
      </c>
      <c r="E94" s="55">
        <v>4.5000000000000005E-2</v>
      </c>
      <c r="F94" s="55">
        <v>0.05</v>
      </c>
      <c r="G94" s="55">
        <v>5.5E-2</v>
      </c>
      <c r="H94" s="55">
        <v>0.05</v>
      </c>
      <c r="I94" s="55">
        <v>4.5000000000000005E-2</v>
      </c>
      <c r="J94" s="55">
        <v>0.04</v>
      </c>
      <c r="K94" s="55">
        <v>0.04</v>
      </c>
    </row>
    <row r="95" spans="2:11" ht="15.75" customHeight="1" x14ac:dyDescent="0.2"/>
    <row r="96" spans="2:11" ht="15.75" customHeight="1" x14ac:dyDescent="0.2">
      <c r="B96" s="12" t="s">
        <v>33</v>
      </c>
    </row>
    <row r="98" spans="2:11" ht="15" customHeight="1" x14ac:dyDescent="0.2">
      <c r="B98" s="13" t="s">
        <v>34</v>
      </c>
      <c r="C98" s="54" t="s">
        <v>4</v>
      </c>
      <c r="D98" s="55">
        <v>0.75</v>
      </c>
      <c r="E98" s="55">
        <v>0.75</v>
      </c>
      <c r="F98" s="55">
        <v>0.75</v>
      </c>
      <c r="G98" s="55">
        <v>0.7</v>
      </c>
      <c r="H98" s="55">
        <v>0.7</v>
      </c>
      <c r="I98" s="55">
        <v>0.65</v>
      </c>
      <c r="J98" s="55">
        <v>0.65</v>
      </c>
      <c r="K98" s="55">
        <v>0.6</v>
      </c>
    </row>
    <row r="99" spans="2:11" ht="15" customHeight="1" x14ac:dyDescent="0.2">
      <c r="C99" s="54" t="s">
        <v>11</v>
      </c>
      <c r="D99" s="55">
        <v>0.75</v>
      </c>
      <c r="E99" s="55">
        <v>0.75</v>
      </c>
      <c r="F99" s="55">
        <v>0.75</v>
      </c>
      <c r="G99" s="55">
        <v>0.75</v>
      </c>
      <c r="H99" s="55">
        <v>0.75</v>
      </c>
      <c r="I99" s="55">
        <v>0.7</v>
      </c>
      <c r="J99" s="55">
        <v>0.7</v>
      </c>
      <c r="K99" s="55">
        <v>0.65</v>
      </c>
    </row>
    <row r="100" spans="2:11" ht="15" customHeight="1" thickBot="1" x14ac:dyDescent="0.25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"/>
    <row r="102" spans="2:11" ht="15.75" customHeight="1" x14ac:dyDescent="0.2"/>
    <row r="103" spans="2:11" ht="15.75" customHeight="1" x14ac:dyDescent="0.2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64" workbookViewId="0">
      <selection activeCell="B90" sqref="B90"/>
    </sheetView>
  </sheetViews>
  <sheetFormatPr baseColWidth="10" defaultColWidth="7.6640625" defaultRowHeight="15" customHeight="1" x14ac:dyDescent="0.2"/>
  <cols>
    <col min="2" max="2" width="25" customWidth="1"/>
    <col min="3" max="3" width="10" customWidth="1"/>
    <col min="4" max="11" width="8.6640625" customWidth="1"/>
  </cols>
  <sheetData>
    <row r="2" spans="2:17" ht="18" customHeight="1" x14ac:dyDescent="0.2">
      <c r="B2" s="62" t="s">
        <v>35</v>
      </c>
    </row>
    <row r="3" spans="2:17" ht="13.5" customHeight="1" x14ac:dyDescent="0.2">
      <c r="B3" s="16" t="s">
        <v>1</v>
      </c>
    </row>
    <row r="5" spans="2:17" ht="15" customHeight="1" x14ac:dyDescent="0.2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">
      <c r="B6" s="84" t="s">
        <v>3</v>
      </c>
      <c r="D6" s="3" t="s">
        <v>4</v>
      </c>
    </row>
    <row r="8" spans="2:17" ht="13.5" customHeight="1" x14ac:dyDescent="0.2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">
      <c r="D9" s="85">
        <v>2021</v>
      </c>
      <c r="E9" s="85">
        <v>2022</v>
      </c>
      <c r="F9" s="85">
        <v>2023</v>
      </c>
      <c r="G9" s="85">
        <v>2024</v>
      </c>
      <c r="H9" s="85">
        <v>2025</v>
      </c>
      <c r="I9" s="85">
        <v>2026</v>
      </c>
      <c r="J9" s="85">
        <v>2027</v>
      </c>
      <c r="K9" s="85">
        <v>2028</v>
      </c>
    </row>
    <row r="10" spans="2:17" ht="15" customHeight="1" thickBot="1" x14ac:dyDescent="0.25"/>
    <row r="11" spans="2:17" ht="15" customHeight="1" x14ac:dyDescent="0.2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0"/>
    </row>
    <row r="13" spans="2:17" ht="13.5" customHeight="1" x14ac:dyDescent="0.2">
      <c r="B13" s="12" t="s">
        <v>8</v>
      </c>
      <c r="C13" s="61"/>
      <c r="D13" s="61"/>
      <c r="E13" s="61"/>
      <c r="F13" s="61"/>
      <c r="G13" s="61"/>
      <c r="H13" s="61"/>
      <c r="I13" s="61"/>
      <c r="J13" s="61"/>
      <c r="K13" s="61"/>
      <c r="L13" s="61"/>
    </row>
    <row r="14" spans="2:17" ht="12.75" customHeight="1" x14ac:dyDescent="0.2">
      <c r="B14" s="61"/>
      <c r="C14" s="86" t="s">
        <v>9</v>
      </c>
      <c r="D14" s="88">
        <v>2021</v>
      </c>
      <c r="E14" s="88">
        <v>2022</v>
      </c>
      <c r="F14" s="88">
        <v>2023</v>
      </c>
      <c r="G14" s="88">
        <v>2024</v>
      </c>
      <c r="H14" s="88">
        <v>2025</v>
      </c>
      <c r="I14" s="88">
        <v>2026</v>
      </c>
      <c r="J14" s="88">
        <v>2027</v>
      </c>
      <c r="K14" s="88">
        <v>2028</v>
      </c>
      <c r="L14" s="61"/>
    </row>
    <row r="15" spans="2:17" ht="15.75" customHeight="1" x14ac:dyDescent="0.2">
      <c r="B15" s="89" t="s">
        <v>36</v>
      </c>
      <c r="C15" s="54" t="s">
        <v>4</v>
      </c>
      <c r="D15" s="61"/>
      <c r="E15" s="61"/>
      <c r="F15" s="61"/>
      <c r="G15" s="90">
        <v>0.12</v>
      </c>
      <c r="H15" s="90">
        <v>0.1</v>
      </c>
      <c r="I15" s="90">
        <v>8.5000000000000006E-2</v>
      </c>
      <c r="J15" s="90">
        <v>7.4999999999999997E-2</v>
      </c>
      <c r="K15" s="90">
        <v>7.0000000000000007E-2</v>
      </c>
      <c r="L15" s="61"/>
    </row>
    <row r="16" spans="2:17" ht="15.75" customHeight="1" x14ac:dyDescent="0.2">
      <c r="B16" s="61"/>
      <c r="C16" s="54" t="s">
        <v>11</v>
      </c>
      <c r="D16" s="61"/>
      <c r="E16" s="61"/>
      <c r="F16" s="61"/>
      <c r="G16" s="90">
        <v>0.14000000000000001</v>
      </c>
      <c r="H16" s="90">
        <v>0.12</v>
      </c>
      <c r="I16" s="90">
        <v>0.105</v>
      </c>
      <c r="J16" s="90">
        <v>9.5000000000000001E-2</v>
      </c>
      <c r="K16" s="90">
        <v>0.09</v>
      </c>
      <c r="L16" s="61"/>
    </row>
    <row r="17" spans="2:12" ht="15.75" customHeight="1" x14ac:dyDescent="0.2">
      <c r="B17" s="61"/>
      <c r="C17" s="54" t="s">
        <v>12</v>
      </c>
      <c r="D17" s="61"/>
      <c r="E17" s="61"/>
      <c r="F17" s="61"/>
      <c r="G17" s="90">
        <v>0.1</v>
      </c>
      <c r="H17" s="90">
        <v>0.08</v>
      </c>
      <c r="I17" s="90">
        <v>6.5000000000000002E-2</v>
      </c>
      <c r="J17" s="90">
        <v>5.5E-2</v>
      </c>
      <c r="K17" s="90">
        <v>0.05</v>
      </c>
      <c r="L17" s="61"/>
    </row>
    <row r="18" spans="2:12" ht="15" customHeight="1" x14ac:dyDescent="0.2"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</row>
    <row r="19" spans="2:12" ht="15.75" customHeight="1" x14ac:dyDescent="0.2">
      <c r="B19" s="89" t="s">
        <v>37</v>
      </c>
      <c r="C19" s="54" t="s">
        <v>4</v>
      </c>
      <c r="D19" s="61"/>
      <c r="E19" s="61"/>
      <c r="F19" s="61"/>
      <c r="G19" s="90">
        <v>0.25</v>
      </c>
      <c r="H19" s="90">
        <v>0.35</v>
      </c>
      <c r="I19" s="90">
        <v>0.45</v>
      </c>
      <c r="J19" s="90">
        <v>0.4</v>
      </c>
      <c r="K19" s="90">
        <v>0.35</v>
      </c>
      <c r="L19" s="61"/>
    </row>
    <row r="20" spans="2:12" ht="15.75" customHeight="1" x14ac:dyDescent="0.2">
      <c r="B20" s="61"/>
      <c r="C20" s="54" t="s">
        <v>11</v>
      </c>
      <c r="D20" s="61"/>
      <c r="E20" s="61"/>
      <c r="F20" s="61"/>
      <c r="G20" s="90">
        <v>0.3</v>
      </c>
      <c r="H20" s="90">
        <v>0.45</v>
      </c>
      <c r="I20" s="90">
        <v>0.55000000000000004</v>
      </c>
      <c r="J20" s="90">
        <v>0.5</v>
      </c>
      <c r="K20" s="90">
        <v>0.45</v>
      </c>
      <c r="L20" s="61"/>
    </row>
    <row r="21" spans="2:12" ht="15.75" customHeight="1" x14ac:dyDescent="0.2">
      <c r="B21" s="61"/>
      <c r="C21" s="54" t="s">
        <v>12</v>
      </c>
      <c r="D21" s="61"/>
      <c r="E21" s="61"/>
      <c r="F21" s="61"/>
      <c r="G21" s="90">
        <v>0.2</v>
      </c>
      <c r="H21" s="90">
        <v>0.25</v>
      </c>
      <c r="I21" s="90">
        <v>0.35</v>
      </c>
      <c r="J21" s="90">
        <v>0.3</v>
      </c>
      <c r="K21" s="90">
        <v>0.25</v>
      </c>
      <c r="L21" s="61"/>
    </row>
    <row r="22" spans="2:12" ht="15" customHeight="1" x14ac:dyDescent="0.2"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</row>
    <row r="23" spans="2:12" ht="15" customHeight="1" x14ac:dyDescent="0.2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</row>
    <row r="24" spans="2:12" ht="13.5" customHeight="1" x14ac:dyDescent="0.2">
      <c r="B24" s="12" t="s">
        <v>38</v>
      </c>
      <c r="C24" s="61"/>
      <c r="D24" s="61"/>
      <c r="E24" s="61"/>
      <c r="F24" s="61"/>
      <c r="G24" s="61"/>
      <c r="H24" s="61"/>
      <c r="I24" s="61"/>
      <c r="J24" s="61"/>
      <c r="K24" s="61"/>
      <c r="L24" s="61"/>
    </row>
    <row r="25" spans="2:12" ht="15" customHeight="1" x14ac:dyDescent="0.2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</row>
    <row r="26" spans="2:12" ht="15.75" customHeight="1" x14ac:dyDescent="0.2">
      <c r="B26" s="89" t="s">
        <v>39</v>
      </c>
      <c r="C26" s="54" t="s">
        <v>4</v>
      </c>
      <c r="D26" s="61"/>
      <c r="E26" s="61"/>
      <c r="F26" s="61"/>
      <c r="G26" s="90">
        <v>0.03</v>
      </c>
      <c r="H26" s="90">
        <v>2.5000000000000001E-2</v>
      </c>
      <c r="I26" s="90">
        <v>0.02</v>
      </c>
      <c r="J26" s="90">
        <v>1.4999999999999999E-2</v>
      </c>
      <c r="K26" s="90">
        <v>0.01</v>
      </c>
      <c r="L26" s="61"/>
    </row>
    <row r="27" spans="2:12" ht="15.75" customHeight="1" x14ac:dyDescent="0.2">
      <c r="B27" s="61"/>
      <c r="C27" s="54" t="s">
        <v>11</v>
      </c>
      <c r="D27" s="61"/>
      <c r="E27" s="61"/>
      <c r="F27" s="61"/>
      <c r="G27" s="90">
        <v>0.04</v>
      </c>
      <c r="H27" s="90">
        <v>3.5000000000000003E-2</v>
      </c>
      <c r="I27" s="90">
        <v>0.03</v>
      </c>
      <c r="J27" s="90">
        <v>2.5000000000000001E-2</v>
      </c>
      <c r="K27" s="90">
        <v>0.02</v>
      </c>
      <c r="L27" s="61"/>
    </row>
    <row r="28" spans="2:12" ht="15.75" customHeight="1" x14ac:dyDescent="0.2">
      <c r="B28" s="61"/>
      <c r="C28" s="54" t="s">
        <v>12</v>
      </c>
      <c r="D28" s="61"/>
      <c r="E28" s="61"/>
      <c r="F28" s="61"/>
      <c r="G28" s="90">
        <v>0.02</v>
      </c>
      <c r="H28" s="90">
        <v>1.4999999999999999E-2</v>
      </c>
      <c r="I28" s="90">
        <v>0.01</v>
      </c>
      <c r="J28" s="90">
        <v>5.0000000000000001E-3</v>
      </c>
      <c r="K28" s="90">
        <v>0</v>
      </c>
      <c r="L28" s="61"/>
    </row>
    <row r="29" spans="2:12" ht="15" customHeight="1" x14ac:dyDescent="0.2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</row>
    <row r="30" spans="2:12" ht="15.75" customHeight="1" x14ac:dyDescent="0.2">
      <c r="B30" s="89" t="s">
        <v>40</v>
      </c>
      <c r="C30" s="54" t="s">
        <v>4</v>
      </c>
      <c r="D30" s="61"/>
      <c r="E30" s="61"/>
      <c r="F30" s="61"/>
      <c r="G30" s="90">
        <v>8.5000000000000006E-2</v>
      </c>
      <c r="H30" s="90">
        <v>7.0000000000000007E-2</v>
      </c>
      <c r="I30" s="90">
        <v>0.06</v>
      </c>
      <c r="J30" s="90">
        <v>5.5E-2</v>
      </c>
      <c r="K30" s="90">
        <v>0.05</v>
      </c>
      <c r="L30" s="61"/>
    </row>
    <row r="31" spans="2:12" ht="15.75" customHeight="1" x14ac:dyDescent="0.2">
      <c r="B31" s="61"/>
      <c r="C31" s="54" t="s">
        <v>11</v>
      </c>
      <c r="D31" s="61"/>
      <c r="E31" s="61"/>
      <c r="F31" s="61"/>
      <c r="G31" s="90">
        <v>0.1</v>
      </c>
      <c r="H31" s="90">
        <v>8.5000000000000006E-2</v>
      </c>
      <c r="I31" s="90">
        <v>7.4999999999999997E-2</v>
      </c>
      <c r="J31" s="90">
        <v>7.0000000000000007E-2</v>
      </c>
      <c r="K31" s="90">
        <v>6.5000000000000002E-2</v>
      </c>
      <c r="L31" s="61"/>
    </row>
    <row r="32" spans="2:12" ht="15.75" customHeight="1" x14ac:dyDescent="0.2">
      <c r="B32" s="61"/>
      <c r="C32" s="54" t="s">
        <v>12</v>
      </c>
      <c r="D32" s="61"/>
      <c r="E32" s="61"/>
      <c r="F32" s="61"/>
      <c r="G32" s="90">
        <v>7.0000000000000007E-2</v>
      </c>
      <c r="H32" s="90">
        <v>5.5E-2</v>
      </c>
      <c r="I32" s="90">
        <v>4.4999999999999998E-2</v>
      </c>
      <c r="J32" s="90">
        <v>0.04</v>
      </c>
      <c r="K32" s="90">
        <v>3.5000000000000003E-2</v>
      </c>
      <c r="L32" s="61"/>
    </row>
    <row r="33" spans="2:13" ht="15" customHeight="1" thickBot="1" x14ac:dyDescent="0.25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</row>
    <row r="34" spans="2:13" ht="15" customHeight="1" x14ac:dyDescent="0.2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</row>
    <row r="36" spans="2:13" ht="15" customHeight="1" x14ac:dyDescent="0.2">
      <c r="B36" s="12" t="s">
        <v>17</v>
      </c>
      <c r="C36" s="61"/>
      <c r="D36" s="61"/>
      <c r="E36" s="61"/>
      <c r="F36" s="61"/>
      <c r="G36" s="61"/>
      <c r="H36" s="61"/>
      <c r="I36" s="61"/>
      <c r="J36" s="61"/>
      <c r="K36" s="61"/>
      <c r="L36" s="61"/>
    </row>
    <row r="37" spans="2:13" ht="13.5" customHeight="1" x14ac:dyDescent="0.2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</row>
    <row r="38" spans="2:13" ht="15" customHeight="1" x14ac:dyDescent="0.2">
      <c r="B38" s="89" t="s">
        <v>18</v>
      </c>
      <c r="C38" s="54" t="s">
        <v>4</v>
      </c>
      <c r="D38" s="90">
        <v>0.255</v>
      </c>
      <c r="E38" s="90">
        <v>0.27</v>
      </c>
      <c r="F38" s="90">
        <v>0.28999999999999998</v>
      </c>
      <c r="G38" s="90">
        <v>0.28499999999999998</v>
      </c>
      <c r="H38" s="90">
        <v>0.28000000000000003</v>
      </c>
      <c r="I38" s="90">
        <v>0.27500000000000002</v>
      </c>
      <c r="J38" s="90">
        <v>0.27</v>
      </c>
      <c r="K38" s="90">
        <v>0.26500000000000001</v>
      </c>
      <c r="L38" s="61"/>
    </row>
    <row r="39" spans="2:13" ht="15.75" customHeight="1" x14ac:dyDescent="0.2">
      <c r="B39" s="61"/>
      <c r="C39" s="54" t="s">
        <v>11</v>
      </c>
      <c r="D39" s="90">
        <v>0.255</v>
      </c>
      <c r="E39" s="90">
        <v>0.27</v>
      </c>
      <c r="F39" s="90">
        <v>0.28999999999999998</v>
      </c>
      <c r="G39" s="90">
        <v>0.28000000000000003</v>
      </c>
      <c r="H39" s="90">
        <v>0.27500000000000002</v>
      </c>
      <c r="I39" s="90">
        <v>0.27</v>
      </c>
      <c r="J39" s="90">
        <v>0.26500000000000001</v>
      </c>
      <c r="K39" s="90">
        <v>0.26</v>
      </c>
      <c r="L39" s="61"/>
    </row>
    <row r="40" spans="2:13" ht="15.75" customHeight="1" x14ac:dyDescent="0.2">
      <c r="B40" s="61"/>
      <c r="C40" s="54" t="s">
        <v>12</v>
      </c>
      <c r="D40" s="90">
        <v>0.255</v>
      </c>
      <c r="E40" s="90">
        <v>0.27</v>
      </c>
      <c r="F40" s="90">
        <v>0.28999999999999998</v>
      </c>
      <c r="G40" s="90">
        <v>0.28999999999999998</v>
      </c>
      <c r="H40" s="90">
        <v>0.28499999999999998</v>
      </c>
      <c r="I40" s="90">
        <v>0.28000000000000003</v>
      </c>
      <c r="J40" s="90">
        <v>0.27500000000000002</v>
      </c>
      <c r="K40" s="90">
        <v>0.27</v>
      </c>
      <c r="L40" s="61"/>
    </row>
    <row r="41" spans="2:13" ht="15.75" customHeight="1" x14ac:dyDescent="0.2"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2:13" ht="15" customHeight="1" x14ac:dyDescent="0.2">
      <c r="B42" s="89" t="s">
        <v>19</v>
      </c>
      <c r="C42" s="54" t="s">
        <v>4</v>
      </c>
      <c r="D42" s="90">
        <v>0.11800000000000001</v>
      </c>
      <c r="E42" s="90">
        <v>0.125</v>
      </c>
      <c r="F42" s="90">
        <v>0.13</v>
      </c>
      <c r="G42" s="90">
        <v>0.125</v>
      </c>
      <c r="H42" s="90">
        <v>0.12</v>
      </c>
      <c r="I42" s="90">
        <v>0.115</v>
      </c>
      <c r="J42" s="90">
        <v>0.11</v>
      </c>
      <c r="K42" s="90">
        <v>0.105</v>
      </c>
      <c r="L42" s="61"/>
    </row>
    <row r="43" spans="2:13" ht="15.75" customHeight="1" x14ac:dyDescent="0.2">
      <c r="B43" s="61"/>
      <c r="C43" s="54" t="s">
        <v>11</v>
      </c>
      <c r="D43" s="90">
        <v>0.11800000000000001</v>
      </c>
      <c r="E43" s="90">
        <v>0.125</v>
      </c>
      <c r="F43" s="90">
        <v>0.13</v>
      </c>
      <c r="G43" s="90">
        <v>0.12</v>
      </c>
      <c r="H43" s="90">
        <v>0.115</v>
      </c>
      <c r="I43" s="90">
        <v>0.11</v>
      </c>
      <c r="J43" s="90">
        <v>0.105</v>
      </c>
      <c r="K43" s="90">
        <v>0.1</v>
      </c>
      <c r="L43" s="61"/>
    </row>
    <row r="44" spans="2:13" ht="15.75" customHeight="1" x14ac:dyDescent="0.2">
      <c r="B44" s="61"/>
      <c r="C44" s="54" t="s">
        <v>12</v>
      </c>
      <c r="D44" s="90">
        <v>0.11800000000000001</v>
      </c>
      <c r="E44" s="90">
        <v>0.125</v>
      </c>
      <c r="F44" s="90">
        <v>0.13</v>
      </c>
      <c r="G44" s="90">
        <v>0.13</v>
      </c>
      <c r="H44" s="90">
        <v>0.125</v>
      </c>
      <c r="I44" s="90">
        <v>0.12</v>
      </c>
      <c r="J44" s="90">
        <v>0.115</v>
      </c>
      <c r="K44" s="90">
        <v>0.11</v>
      </c>
      <c r="L44" s="61"/>
    </row>
    <row r="45" spans="2:13" ht="15.75" customHeight="1" x14ac:dyDescent="0.2"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</row>
    <row r="46" spans="2:13" ht="15" customHeight="1" x14ac:dyDescent="0.2">
      <c r="B46" s="89" t="s">
        <v>20</v>
      </c>
      <c r="C46" s="54" t="s">
        <v>4</v>
      </c>
      <c r="D46" s="90">
        <v>0.10199999999999999</v>
      </c>
      <c r="E46" s="90">
        <v>0.10800000000000001</v>
      </c>
      <c r="F46" s="90">
        <v>0.115</v>
      </c>
      <c r="G46" s="90">
        <v>0.11</v>
      </c>
      <c r="H46" s="90">
        <v>0.105</v>
      </c>
      <c r="I46" s="90">
        <v>0.1</v>
      </c>
      <c r="J46" s="90">
        <v>9.5000000000000001E-2</v>
      </c>
      <c r="K46" s="90">
        <v>0.09</v>
      </c>
      <c r="L46" s="61"/>
    </row>
    <row r="47" spans="2:13" ht="15.75" customHeight="1" x14ac:dyDescent="0.2">
      <c r="B47" s="61"/>
      <c r="C47" s="54" t="s">
        <v>11</v>
      </c>
      <c r="D47" s="90">
        <v>0.10199999999999999</v>
      </c>
      <c r="E47" s="90">
        <v>0.10800000000000001</v>
      </c>
      <c r="F47" s="90">
        <v>0.115</v>
      </c>
      <c r="G47" s="90">
        <v>0.105</v>
      </c>
      <c r="H47" s="90">
        <v>0.1</v>
      </c>
      <c r="I47" s="90">
        <v>9.5000000000000001E-2</v>
      </c>
      <c r="J47" s="90">
        <v>0.09</v>
      </c>
      <c r="K47" s="90">
        <v>8.5000000000000006E-2</v>
      </c>
      <c r="L47" s="61"/>
    </row>
    <row r="48" spans="2:13" ht="15.75" customHeight="1" x14ac:dyDescent="0.2">
      <c r="B48" s="61"/>
      <c r="C48" s="54" t="s">
        <v>12</v>
      </c>
      <c r="D48" s="90">
        <v>0.10199999999999999</v>
      </c>
      <c r="E48" s="90">
        <v>0.10800000000000001</v>
      </c>
      <c r="F48" s="90">
        <v>0.115</v>
      </c>
      <c r="G48" s="90">
        <v>0.115</v>
      </c>
      <c r="H48" s="90">
        <v>0.11</v>
      </c>
      <c r="I48" s="90">
        <v>0.105</v>
      </c>
      <c r="J48" s="90">
        <v>0.1</v>
      </c>
      <c r="K48" s="90">
        <v>9.5000000000000001E-2</v>
      </c>
      <c r="L48" s="61"/>
    </row>
    <row r="49" spans="2:13" ht="15.75" customHeight="1" x14ac:dyDescent="0.2"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</row>
    <row r="50" spans="2:13" ht="15" customHeight="1" x14ac:dyDescent="0.2">
      <c r="B50" s="89" t="s">
        <v>21</v>
      </c>
      <c r="C50" s="54" t="s">
        <v>4</v>
      </c>
      <c r="D50" s="90">
        <v>8.5000000000000006E-2</v>
      </c>
      <c r="E50" s="90">
        <v>0.10199999999999999</v>
      </c>
      <c r="F50" s="90">
        <v>0.11800000000000001</v>
      </c>
      <c r="G50" s="90">
        <v>0.11</v>
      </c>
      <c r="H50" s="90">
        <v>0.105</v>
      </c>
      <c r="I50" s="90">
        <v>0.1</v>
      </c>
      <c r="J50" s="90">
        <v>9.5000000000000001E-2</v>
      </c>
      <c r="K50" s="90">
        <v>0.09</v>
      </c>
      <c r="L50" s="61"/>
    </row>
    <row r="51" spans="2:13" ht="15.75" customHeight="1" x14ac:dyDescent="0.2">
      <c r="B51" s="61"/>
      <c r="C51" s="54" t="s">
        <v>11</v>
      </c>
      <c r="D51" s="90">
        <v>8.5000000000000006E-2</v>
      </c>
      <c r="E51" s="90">
        <v>0.10199999999999999</v>
      </c>
      <c r="F51" s="90">
        <v>0.11800000000000001</v>
      </c>
      <c r="G51" s="90">
        <v>0.105</v>
      </c>
      <c r="H51" s="90">
        <v>0.1</v>
      </c>
      <c r="I51" s="90">
        <v>9.5000000000000001E-2</v>
      </c>
      <c r="J51" s="90">
        <v>0.09</v>
      </c>
      <c r="K51" s="90">
        <v>8.5000000000000006E-2</v>
      </c>
      <c r="L51" s="61"/>
    </row>
    <row r="52" spans="2:13" ht="15.75" customHeight="1" x14ac:dyDescent="0.2">
      <c r="B52" s="61"/>
      <c r="C52" s="54" t="s">
        <v>12</v>
      </c>
      <c r="D52" s="90">
        <v>8.5000000000000006E-2</v>
      </c>
      <c r="E52" s="90">
        <v>0.10199999999999999</v>
      </c>
      <c r="F52" s="90">
        <v>0.11800000000000001</v>
      </c>
      <c r="G52" s="90">
        <v>0.115</v>
      </c>
      <c r="H52" s="90">
        <v>0.11</v>
      </c>
      <c r="I52" s="90">
        <v>0.105</v>
      </c>
      <c r="J52" s="90">
        <v>0.1</v>
      </c>
      <c r="K52" s="90">
        <v>9.5000000000000001E-2</v>
      </c>
      <c r="L52" s="61"/>
    </row>
    <row r="53" spans="2:13" ht="15.75" customHeight="1" x14ac:dyDescent="0.2"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</row>
    <row r="54" spans="2:13" ht="15" customHeight="1" x14ac:dyDescent="0.2">
      <c r="B54" s="12" t="s">
        <v>221</v>
      </c>
      <c r="C54" s="61"/>
      <c r="D54" s="61"/>
      <c r="E54" s="61"/>
      <c r="F54" s="61"/>
      <c r="G54" s="61"/>
      <c r="H54" s="61"/>
      <c r="I54" s="61"/>
      <c r="J54" s="61"/>
      <c r="K54" s="61"/>
      <c r="L54" s="61"/>
    </row>
    <row r="55" spans="2:13" ht="13.5" customHeight="1" x14ac:dyDescent="0.2"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</row>
    <row r="56" spans="2:13" ht="15" customHeight="1" x14ac:dyDescent="0.2">
      <c r="B56" s="89" t="s">
        <v>222</v>
      </c>
      <c r="C56" s="54" t="s">
        <v>4</v>
      </c>
      <c r="D56" s="90">
        <v>-3.5</v>
      </c>
      <c r="E56" s="90">
        <v>-3</v>
      </c>
      <c r="F56" s="90">
        <v>-2.5</v>
      </c>
      <c r="G56" s="90">
        <v>-2</v>
      </c>
      <c r="H56" s="90">
        <v>-1.5</v>
      </c>
      <c r="I56" s="90">
        <v>-1</v>
      </c>
      <c r="J56" s="90">
        <v>-0.75</v>
      </c>
      <c r="K56" s="90">
        <v>-0.5</v>
      </c>
      <c r="L56" s="61"/>
    </row>
    <row r="57" spans="2:13" ht="15.75" customHeight="1" x14ac:dyDescent="0.2">
      <c r="B57" s="61"/>
      <c r="C57" s="54" t="s">
        <v>11</v>
      </c>
      <c r="D57" s="90">
        <v>-3.5</v>
      </c>
      <c r="E57" s="90">
        <v>-3</v>
      </c>
      <c r="F57" s="90">
        <v>-2.5</v>
      </c>
      <c r="G57" s="90">
        <v>-1.75</v>
      </c>
      <c r="H57" s="90">
        <v>-1.25</v>
      </c>
      <c r="I57" s="90">
        <v>-0.75</v>
      </c>
      <c r="J57" s="90">
        <v>-0.5</v>
      </c>
      <c r="K57" s="90">
        <v>-0.25</v>
      </c>
      <c r="L57" s="61"/>
    </row>
    <row r="58" spans="2:13" ht="15.75" customHeight="1" x14ac:dyDescent="0.2">
      <c r="B58" s="61"/>
      <c r="C58" s="54" t="s">
        <v>12</v>
      </c>
      <c r="D58" s="90">
        <v>-3.5</v>
      </c>
      <c r="E58" s="90">
        <v>-3</v>
      </c>
      <c r="F58" s="90">
        <v>-2.5</v>
      </c>
      <c r="G58" s="90">
        <v>-2.25</v>
      </c>
      <c r="H58" s="90">
        <v>-1.75</v>
      </c>
      <c r="I58" s="90">
        <v>-1.25</v>
      </c>
      <c r="J58" s="90">
        <v>-1</v>
      </c>
      <c r="K58" s="90">
        <v>-0.75</v>
      </c>
      <c r="L58" s="61"/>
    </row>
    <row r="59" spans="2:13" ht="15.75" customHeight="1" thickBot="1" x14ac:dyDescent="0.25"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</row>
    <row r="60" spans="2:13" ht="15" customHeight="1" x14ac:dyDescent="0.2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"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</row>
    <row r="62" spans="2:13" ht="15" customHeight="1" x14ac:dyDescent="0.2">
      <c r="B62" s="12" t="s">
        <v>23</v>
      </c>
      <c r="C62" s="61"/>
      <c r="D62" s="61"/>
      <c r="E62" s="61"/>
      <c r="F62" s="61"/>
      <c r="G62" s="61"/>
      <c r="H62" s="61"/>
      <c r="I62" s="61"/>
      <c r="J62" s="61"/>
      <c r="K62" s="61"/>
      <c r="L62" s="61"/>
    </row>
    <row r="63" spans="2:13" ht="15" customHeight="1" x14ac:dyDescent="0.2"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</row>
    <row r="64" spans="2:13" ht="15" customHeight="1" x14ac:dyDescent="0.2">
      <c r="B64" s="89" t="s">
        <v>24</v>
      </c>
      <c r="C64" s="54" t="s">
        <v>4</v>
      </c>
      <c r="D64" s="91">
        <v>55</v>
      </c>
      <c r="E64" s="91">
        <v>53</v>
      </c>
      <c r="F64" s="91">
        <v>51</v>
      </c>
      <c r="G64" s="91">
        <v>50</v>
      </c>
      <c r="H64" s="91">
        <v>49</v>
      </c>
      <c r="I64" s="91">
        <v>48</v>
      </c>
      <c r="J64" s="91">
        <v>47</v>
      </c>
      <c r="K64" s="91">
        <v>46</v>
      </c>
      <c r="L64" s="61"/>
    </row>
    <row r="65" spans="2:12" ht="13.5" customHeight="1" x14ac:dyDescent="0.2">
      <c r="B65" s="61"/>
      <c r="C65" s="54" t="s">
        <v>11</v>
      </c>
      <c r="D65" s="91">
        <v>55</v>
      </c>
      <c r="E65" s="91">
        <v>53</v>
      </c>
      <c r="F65" s="91">
        <v>51</v>
      </c>
      <c r="G65" s="91">
        <v>49</v>
      </c>
      <c r="H65" s="91">
        <v>47</v>
      </c>
      <c r="I65" s="91">
        <v>46</v>
      </c>
      <c r="J65" s="91">
        <v>45</v>
      </c>
      <c r="K65" s="91">
        <v>44</v>
      </c>
      <c r="L65" s="61"/>
    </row>
    <row r="66" spans="2:12" ht="15" customHeight="1" x14ac:dyDescent="0.2">
      <c r="B66" s="61"/>
      <c r="C66" s="54" t="s">
        <v>12</v>
      </c>
      <c r="D66" s="91">
        <v>55</v>
      </c>
      <c r="E66" s="91">
        <v>53</v>
      </c>
      <c r="F66" s="91">
        <v>51</v>
      </c>
      <c r="G66" s="91">
        <v>52</v>
      </c>
      <c r="H66" s="91">
        <v>51</v>
      </c>
      <c r="I66" s="91">
        <v>50</v>
      </c>
      <c r="J66" s="91">
        <v>49</v>
      </c>
      <c r="K66" s="91">
        <v>48</v>
      </c>
      <c r="L66" s="61"/>
    </row>
    <row r="67" spans="2:12" ht="15.75" customHeight="1" x14ac:dyDescent="0.2"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</row>
    <row r="68" spans="2:12" ht="15.75" customHeight="1" x14ac:dyDescent="0.2">
      <c r="B68" s="89" t="s">
        <v>25</v>
      </c>
      <c r="C68" s="54" t="s">
        <v>4</v>
      </c>
      <c r="D68" s="91">
        <v>28</v>
      </c>
      <c r="E68" s="91">
        <v>30</v>
      </c>
      <c r="F68" s="91">
        <v>32</v>
      </c>
      <c r="G68" s="91">
        <v>33</v>
      </c>
      <c r="H68" s="91">
        <v>34</v>
      </c>
      <c r="I68" s="91">
        <v>35</v>
      </c>
      <c r="J68" s="91">
        <v>36</v>
      </c>
      <c r="K68" s="91">
        <v>37</v>
      </c>
      <c r="L68" s="61"/>
    </row>
    <row r="69" spans="2:12" ht="15.75" customHeight="1" x14ac:dyDescent="0.2">
      <c r="B69" s="61"/>
      <c r="C69" s="54" t="s">
        <v>11</v>
      </c>
      <c r="D69" s="91">
        <v>28</v>
      </c>
      <c r="E69" s="91">
        <v>30</v>
      </c>
      <c r="F69" s="91">
        <v>32</v>
      </c>
      <c r="G69" s="91">
        <v>34</v>
      </c>
      <c r="H69" s="91">
        <v>36</v>
      </c>
      <c r="I69" s="91">
        <v>37</v>
      </c>
      <c r="J69" s="91">
        <v>38</v>
      </c>
      <c r="K69" s="91">
        <v>39</v>
      </c>
      <c r="L69" s="61"/>
    </row>
    <row r="70" spans="2:12" ht="15" customHeight="1" x14ac:dyDescent="0.2">
      <c r="B70" s="61"/>
      <c r="C70" s="54" t="s">
        <v>12</v>
      </c>
      <c r="D70" s="91">
        <v>28</v>
      </c>
      <c r="E70" s="91">
        <v>30</v>
      </c>
      <c r="F70" s="91">
        <v>32</v>
      </c>
      <c r="G70" s="91">
        <v>32</v>
      </c>
      <c r="H70" s="91">
        <v>32</v>
      </c>
      <c r="I70" s="91">
        <v>33</v>
      </c>
      <c r="J70" s="91">
        <v>34</v>
      </c>
      <c r="K70" s="91">
        <v>35</v>
      </c>
      <c r="L70" s="61"/>
    </row>
    <row r="71" spans="2:12" ht="15.75" customHeight="1" x14ac:dyDescent="0.2"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</row>
    <row r="72" spans="2:12" ht="15.75" customHeight="1" x14ac:dyDescent="0.2">
      <c r="B72" s="13" t="str">
        <f>'Company1808 3-Statement'!$B$51</f>
      </c>
      <c r="C72" s="54" t="s">
        <v>108</v>
      </c>
      <c r="D72" s="61"/>
      <c r="E72" s="90">
        <v>4.0000000000000036E-2</v>
      </c>
      <c r="F72" s="90">
        <v>3.8461538461538547E-2</v>
      </c>
      <c r="G72" s="90">
        <v>4.0000000000000036E-2</v>
      </c>
      <c r="H72" s="90">
        <v>4.0000000000000036E-2</v>
      </c>
      <c r="I72" s="90">
        <v>4.0000000000000036E-2</v>
      </c>
      <c r="J72" s="90">
        <v>4.0000000000000036E-2</v>
      </c>
      <c r="K72" s="90">
        <v>4.0000000000000036E-2</v>
      </c>
      <c r="L72" s="61"/>
    </row>
    <row r="73" spans="2:12" ht="15.75" customHeight="1" x14ac:dyDescent="0.2">
      <c r="B73" s="13" t="str">
        <f>'Company1808 3-Statement'!$B$59</f>
      </c>
      <c r="C73" s="54" t="s">
        <v>108</v>
      </c>
      <c r="D73" s="61"/>
      <c r="E73" s="90">
        <v>0.12000000000000011</v>
      </c>
      <c r="F73" s="90">
        <v>0.14285714285714279</v>
      </c>
      <c r="G73" s="90">
        <v>0.10000000000000009</v>
      </c>
      <c r="H73" s="90">
        <v>0.10000000000000009</v>
      </c>
      <c r="I73" s="90">
        <v>0.10000000000000009</v>
      </c>
      <c r="J73" s="90">
        <v>0.10000000000000009</v>
      </c>
      <c r="K73" s="90">
        <v>0.10000000000000009</v>
      </c>
      <c r="L73" s="61"/>
    </row>
    <row r="74" spans="2:12" ht="15" customHeight="1" x14ac:dyDescent="0.2">
      <c r="B74" s="13" t="str">
        <f>'Company1808 3-Statement'!$B$68</f>
      </c>
      <c r="C74" s="54" t="s">
        <v>108</v>
      </c>
      <c r="D74" s="61"/>
      <c r="E74" s="90">
        <v>6.25E-2</v>
      </c>
      <c r="F74" s="90">
        <v>5.8823529411764719E-2</v>
      </c>
      <c r="G74" s="90">
        <v>5.0000000000000044E-2</v>
      </c>
      <c r="H74" s="90">
        <v>5.0000000000000044E-2</v>
      </c>
      <c r="I74" s="90">
        <v>5.0000000000000044E-2</v>
      </c>
      <c r="J74" s="90">
        <v>5.0000000000000044E-2</v>
      </c>
      <c r="K74" s="90">
        <v>5.0000000000000044E-2</v>
      </c>
      <c r="L74" s="61"/>
    </row>
    <row r="75" spans="2:12" ht="15" customHeight="1" x14ac:dyDescent="0.2"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</row>
    <row r="76" spans="2:12" ht="15" customHeight="1" x14ac:dyDescent="0.2">
      <c r="B76" s="12" t="s">
        <v>26</v>
      </c>
      <c r="C76" s="61"/>
      <c r="D76" s="61"/>
      <c r="E76" s="61"/>
      <c r="F76" s="61"/>
      <c r="G76" s="61"/>
      <c r="H76" s="61"/>
      <c r="I76" s="61"/>
      <c r="J76" s="61"/>
      <c r="K76" s="61"/>
      <c r="L76" s="61"/>
    </row>
    <row r="77" spans="2:12" ht="15" customHeight="1" x14ac:dyDescent="0.2"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</row>
    <row r="78" spans="2:12" ht="15" customHeight="1" x14ac:dyDescent="0.2">
      <c r="B78" s="89" t="s">
        <v>27</v>
      </c>
      <c r="C78" s="54" t="s">
        <v>4</v>
      </c>
      <c r="D78" s="90">
        <v>0.185</v>
      </c>
      <c r="E78" s="90">
        <v>0.22</v>
      </c>
      <c r="F78" s="90">
        <v>0.245</v>
      </c>
      <c r="G78" s="90">
        <v>0.23</v>
      </c>
      <c r="H78" s="90">
        <v>0.215</v>
      </c>
      <c r="I78" s="90">
        <v>0.2</v>
      </c>
      <c r="J78" s="90">
        <v>0.19</v>
      </c>
      <c r="K78" s="90">
        <v>0.18</v>
      </c>
      <c r="L78" s="61"/>
    </row>
    <row r="79" spans="2:12" ht="13.5" customHeight="1" x14ac:dyDescent="0.2">
      <c r="B79" s="61"/>
      <c r="C79" s="54" t="s">
        <v>11</v>
      </c>
      <c r="D79" s="90">
        <v>0.185</v>
      </c>
      <c r="E79" s="90">
        <v>0.22</v>
      </c>
      <c r="F79" s="90">
        <v>0.245</v>
      </c>
      <c r="G79" s="90">
        <v>0.22</v>
      </c>
      <c r="H79" s="90">
        <v>0.20499999999999999</v>
      </c>
      <c r="I79" s="90">
        <v>0.19</v>
      </c>
      <c r="J79" s="90">
        <v>0.18</v>
      </c>
      <c r="K79" s="90">
        <v>0.17</v>
      </c>
      <c r="L79" s="61"/>
    </row>
    <row r="80" spans="2:12" ht="15" customHeight="1" x14ac:dyDescent="0.2">
      <c r="B80" s="61"/>
      <c r="C80" s="54" t="s">
        <v>12</v>
      </c>
      <c r="D80" s="90">
        <v>0.185</v>
      </c>
      <c r="E80" s="90">
        <v>0.22</v>
      </c>
      <c r="F80" s="90">
        <v>0.245</v>
      </c>
      <c r="G80" s="90">
        <v>0.24</v>
      </c>
      <c r="H80" s="90">
        <v>0.22500000000000001</v>
      </c>
      <c r="I80" s="90">
        <v>0.21</v>
      </c>
      <c r="J80" s="90">
        <v>0.2</v>
      </c>
      <c r="K80" s="90">
        <v>0.19</v>
      </c>
      <c r="L80" s="61"/>
    </row>
    <row r="81" spans="2:13" ht="15.75" customHeight="1" x14ac:dyDescent="0.2"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</row>
    <row r="82" spans="2:13" ht="15.75" customHeight="1" x14ac:dyDescent="0.2">
      <c r="B82" s="89" t="s">
        <v>28</v>
      </c>
      <c r="C82" s="54" t="s">
        <v>4</v>
      </c>
      <c r="D82" s="90">
        <v>0.65</v>
      </c>
      <c r="E82" s="90">
        <v>0.65</v>
      </c>
      <c r="F82" s="90">
        <v>0.65</v>
      </c>
      <c r="G82" s="90">
        <v>0.65</v>
      </c>
      <c r="H82" s="90">
        <v>0.65</v>
      </c>
      <c r="I82" s="90">
        <v>0.65</v>
      </c>
      <c r="J82" s="90">
        <v>0.65</v>
      </c>
      <c r="K82" s="90">
        <v>0.65</v>
      </c>
      <c r="L82" s="61"/>
    </row>
    <row r="83" spans="2:13" ht="15.75" customHeight="1" x14ac:dyDescent="0.2">
      <c r="B83" s="61"/>
      <c r="C83" s="54" t="s">
        <v>11</v>
      </c>
      <c r="D83" s="90">
        <v>0.65</v>
      </c>
      <c r="E83" s="90">
        <v>0.65</v>
      </c>
      <c r="F83" s="90">
        <v>0.65</v>
      </c>
      <c r="G83" s="90">
        <v>0.63</v>
      </c>
      <c r="H83" s="90">
        <v>0.63</v>
      </c>
      <c r="I83" s="90">
        <v>0.63</v>
      </c>
      <c r="J83" s="90">
        <v>0.63</v>
      </c>
      <c r="K83" s="90">
        <v>0.63</v>
      </c>
      <c r="L83" s="61"/>
    </row>
    <row r="84" spans="2:13" ht="15" customHeight="1" x14ac:dyDescent="0.2">
      <c r="B84" s="61"/>
      <c r="C84" s="54" t="s">
        <v>12</v>
      </c>
      <c r="D84" s="90">
        <v>0.65</v>
      </c>
      <c r="E84" s="90">
        <v>0.65</v>
      </c>
      <c r="F84" s="90">
        <v>0.65</v>
      </c>
      <c r="G84" s="90">
        <v>0.67</v>
      </c>
      <c r="H84" s="90">
        <v>0.67</v>
      </c>
      <c r="I84" s="90">
        <v>0.67</v>
      </c>
      <c r="J84" s="90">
        <v>0.67</v>
      </c>
      <c r="K84" s="90">
        <v>0.67</v>
      </c>
      <c r="L84" s="61"/>
    </row>
    <row r="85" spans="2:13" ht="15.75" customHeight="1" x14ac:dyDescent="0.2"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</row>
    <row r="86" spans="2:13" ht="15.75" customHeight="1" x14ac:dyDescent="0.2"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</row>
    <row r="87" spans="2:13" ht="15.75" customHeight="1" thickBot="1" x14ac:dyDescent="0.25"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</row>
    <row r="88" spans="2:13" ht="15" customHeight="1" x14ac:dyDescent="0.2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"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</row>
    <row r="90" spans="2:13" ht="15" customHeight="1" x14ac:dyDescent="0.2">
      <c r="B90" s="12" t="s">
        <v>30</v>
      </c>
      <c r="C90" s="61"/>
      <c r="D90" s="61"/>
      <c r="E90" s="61"/>
      <c r="F90" s="61"/>
      <c r="G90" s="61"/>
      <c r="H90" s="61"/>
      <c r="I90" s="61"/>
      <c r="J90" s="61"/>
      <c r="K90" s="61"/>
      <c r="L90" s="61"/>
    </row>
    <row r="91" spans="2:13" ht="15" customHeight="1" x14ac:dyDescent="0.2"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</row>
    <row r="92" spans="2:13" ht="15" customHeight="1" x14ac:dyDescent="0.2">
      <c r="B92" s="89" t="s">
        <v>31</v>
      </c>
      <c r="C92" s="54" t="s">
        <v>4</v>
      </c>
      <c r="D92" s="90">
        <v>0.17499999999999999</v>
      </c>
      <c r="E92" s="90">
        <v>0.19</v>
      </c>
      <c r="F92" s="90">
        <v>0.185</v>
      </c>
      <c r="G92" s="90">
        <v>0.19</v>
      </c>
      <c r="H92" s="90">
        <v>0.19500000000000001</v>
      </c>
      <c r="I92" s="90">
        <v>0.2</v>
      </c>
      <c r="J92" s="90">
        <v>0.20499999999999999</v>
      </c>
      <c r="K92" s="90">
        <v>0.21</v>
      </c>
      <c r="L92" s="61"/>
    </row>
    <row r="93" spans="2:13" ht="13.5" customHeight="1" x14ac:dyDescent="0.2">
      <c r="B93" s="61"/>
      <c r="C93" s="54" t="s">
        <v>11</v>
      </c>
      <c r="D93" s="90">
        <v>0.17499999999999999</v>
      </c>
      <c r="E93" s="90">
        <v>0.19</v>
      </c>
      <c r="F93" s="90">
        <v>0.185</v>
      </c>
      <c r="G93" s="90">
        <v>0.185</v>
      </c>
      <c r="H93" s="90">
        <v>0.19</v>
      </c>
      <c r="I93" s="90">
        <v>0.19500000000000001</v>
      </c>
      <c r="J93" s="90">
        <v>0.2</v>
      </c>
      <c r="K93" s="90">
        <v>0.20499999999999999</v>
      </c>
      <c r="L93" s="61"/>
    </row>
    <row r="94" spans="2:13" ht="15" customHeight="1" x14ac:dyDescent="0.2">
      <c r="B94" s="61"/>
      <c r="C94" s="54" t="s">
        <v>12</v>
      </c>
      <c r="D94" s="90">
        <v>0.17499999999999999</v>
      </c>
      <c r="E94" s="90">
        <v>0.19</v>
      </c>
      <c r="F94" s="90">
        <v>0.185</v>
      </c>
      <c r="G94" s="90">
        <v>0.19500000000000001</v>
      </c>
      <c r="H94" s="90">
        <v>0.2</v>
      </c>
      <c r="I94" s="90">
        <v>0.20499999999999999</v>
      </c>
      <c r="J94" s="90">
        <v>0.21</v>
      </c>
      <c r="K94" s="90">
        <v>0.215</v>
      </c>
      <c r="L94" s="61"/>
    </row>
    <row r="95" spans="2:13" ht="15.75" customHeight="1" x14ac:dyDescent="0.2"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</row>
    <row r="96" spans="2:13" ht="15.75" customHeight="1" x14ac:dyDescent="0.2"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</row>
    <row r="97" spans="2:12" ht="15.75" customHeight="1" x14ac:dyDescent="0.2">
      <c r="B97" s="12" t="s">
        <v>32</v>
      </c>
      <c r="C97" s="61"/>
      <c r="D97" s="61"/>
      <c r="E97" s="61"/>
      <c r="F97" s="61"/>
      <c r="G97" s="61"/>
      <c r="H97" s="61"/>
      <c r="I97" s="61"/>
      <c r="J97" s="61"/>
      <c r="K97" s="61"/>
      <c r="L97" s="61"/>
    </row>
    <row r="98" spans="2:12" ht="15" customHeight="1" x14ac:dyDescent="0.2"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</row>
    <row r="99" spans="2:12" ht="15" customHeight="1" x14ac:dyDescent="0.2">
      <c r="B99" s="13" t="s">
        <v>230</v>
      </c>
      <c r="C99" s="54" t="s">
        <v>4</v>
      </c>
      <c r="D99" s="55">
        <v>5.0000000000000001E-3</v>
      </c>
      <c r="E99" s="55">
        <v>1.4999999999999999E-2</v>
      </c>
      <c r="F99" s="55">
        <v>2.5000000000000001E-2</v>
      </c>
      <c r="G99" s="55">
        <v>3.5000000000000003E-2</v>
      </c>
      <c r="H99" s="55">
        <v>0.03</v>
      </c>
      <c r="I99" s="55">
        <v>2.5000000000000001E-2</v>
      </c>
      <c r="J99" s="55">
        <v>2.5000000000000001E-2</v>
      </c>
      <c r="K99" s="55">
        <v>0.02</v>
      </c>
      <c r="L99" s="61"/>
    </row>
    <row r="100" spans="2:12" ht="13.5" customHeight="1" x14ac:dyDescent="0.2">
      <c r="C100" s="54" t="s">
        <v>11</v>
      </c>
      <c r="D100" s="55">
        <v>0.01</v>
      </c>
      <c r="E100" s="55">
        <v>0.02</v>
      </c>
      <c r="F100" s="55">
        <v>3.0000000000000002E-2</v>
      </c>
      <c r="G100" s="55">
        <v>0.04</v>
      </c>
      <c r="H100" s="55">
        <v>4.4999999999999998E-2</v>
      </c>
      <c r="I100" s="55">
        <v>0.04</v>
      </c>
      <c r="J100" s="55">
        <v>3.4999999999999996E-2</v>
      </c>
      <c r="K100" s="55">
        <v>3.4999999999999996E-2</v>
      </c>
      <c r="L100" s="61"/>
    </row>
    <row r="101" spans="2:12" ht="15" customHeight="1" x14ac:dyDescent="0.2">
      <c r="C101" s="54" t="s">
        <v>12</v>
      </c>
      <c r="D101" s="55">
        <v>2.5000000000000001E-3</v>
      </c>
      <c r="E101" s="55">
        <v>1.2499999999999999E-2</v>
      </c>
      <c r="F101" s="55">
        <v>2.2500000000000003E-2</v>
      </c>
      <c r="G101" s="55">
        <v>3.2500000000000001E-2</v>
      </c>
      <c r="H101" s="55">
        <v>3.7499999999999999E-2</v>
      </c>
      <c r="I101" s="55">
        <v>3.2500000000000001E-2</v>
      </c>
      <c r="J101" s="55">
        <v>2.75E-2</v>
      </c>
      <c r="K101" s="55">
        <v>2.75E-2</v>
      </c>
      <c r="L101" s="61"/>
    </row>
    <row r="102" spans="2:12" ht="15.75" customHeight="1" x14ac:dyDescent="0.2">
      <c r="C102" s="54"/>
      <c r="D102" s="55"/>
      <c r="E102" s="55"/>
      <c r="F102" s="55"/>
      <c r="G102" s="55"/>
      <c r="H102" s="55"/>
      <c r="I102" s="55"/>
      <c r="J102" s="55"/>
      <c r="K102" s="55"/>
      <c r="L102" s="61"/>
    </row>
    <row r="103" spans="2:12" ht="15.75" customHeight="1" x14ac:dyDescent="0.2">
      <c r="B103" s="13" t="s">
        <v>231</v>
      </c>
      <c r="C103" s="54" t="s">
        <v>4</v>
      </c>
      <c r="D103" s="55">
        <v>0.03</v>
      </c>
      <c r="E103" s="55">
        <v>3.5000000000000003E-2</v>
      </c>
      <c r="F103" s="55">
        <v>0.04</v>
      </c>
      <c r="G103" s="55">
        <v>4.4999999999999998E-2</v>
      </c>
      <c r="H103" s="55">
        <v>0.04</v>
      </c>
      <c r="I103" s="55">
        <v>3.5000000000000003E-2</v>
      </c>
      <c r="J103" s="55">
        <v>0.03</v>
      </c>
      <c r="K103" s="55">
        <v>0.03</v>
      </c>
      <c r="L103" s="61"/>
    </row>
    <row r="104" spans="2:12" ht="15.75" customHeight="1" x14ac:dyDescent="0.2">
      <c r="C104" s="54" t="s">
        <v>11</v>
      </c>
      <c r="D104" s="55">
        <v>2.4999999999999998E-2</v>
      </c>
      <c r="E104" s="55">
        <v>3.0000000000000002E-2</v>
      </c>
      <c r="F104" s="55">
        <v>3.5000000000000003E-2</v>
      </c>
      <c r="G104" s="55">
        <v>0.04</v>
      </c>
      <c r="H104" s="55">
        <v>3.5000000000000003E-2</v>
      </c>
      <c r="I104" s="55">
        <v>3.0000000000000002E-2</v>
      </c>
      <c r="J104" s="55">
        <v>2.4999999999999998E-2</v>
      </c>
      <c r="K104" s="55">
        <v>2.4999999999999998E-2</v>
      </c>
      <c r="L104" s="61"/>
    </row>
    <row r="105" spans="2:12" ht="15" customHeight="1" x14ac:dyDescent="0.2">
      <c r="C105" s="54" t="s">
        <v>12</v>
      </c>
      <c r="D105" s="55">
        <v>0.04</v>
      </c>
      <c r="E105" s="55">
        <v>4.5000000000000005E-2</v>
      </c>
      <c r="F105" s="55">
        <v>0.05</v>
      </c>
      <c r="G105" s="55">
        <v>5.5E-2</v>
      </c>
      <c r="H105" s="55">
        <v>0.05</v>
      </c>
      <c r="I105" s="55">
        <v>4.5000000000000005E-2</v>
      </c>
      <c r="J105" s="55">
        <v>0.04</v>
      </c>
      <c r="K105" s="55">
        <v>0.04</v>
      </c>
      <c r="L105" s="61"/>
    </row>
    <row r="106" spans="2:12" ht="15" customHeight="1" x14ac:dyDescent="0.2"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</row>
    <row r="107" spans="2:12" ht="13.5" customHeight="1" x14ac:dyDescent="0.2">
      <c r="B107" s="12" t="s">
        <v>41</v>
      </c>
      <c r="C107" s="61"/>
      <c r="D107" s="61"/>
      <c r="E107" s="61"/>
      <c r="F107" s="61"/>
      <c r="G107" s="61"/>
      <c r="H107" s="61"/>
      <c r="I107" s="61"/>
      <c r="J107" s="61"/>
      <c r="K107" s="61"/>
      <c r="L107" s="61"/>
    </row>
    <row r="108" spans="2:12" ht="15" customHeight="1" x14ac:dyDescent="0.2"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</row>
    <row r="109" spans="2:12" ht="15.75" customHeight="1" x14ac:dyDescent="0.2">
      <c r="B109" s="89" t="s">
        <v>34</v>
      </c>
      <c r="C109" s="54" t="s">
        <v>4</v>
      </c>
      <c r="D109" s="90">
        <v>0.6</v>
      </c>
      <c r="E109" s="90">
        <v>0.65</v>
      </c>
      <c r="F109" s="90">
        <v>0.7</v>
      </c>
      <c r="G109" s="90">
        <v>0.65</v>
      </c>
      <c r="H109" s="90">
        <v>0.65</v>
      </c>
      <c r="I109" s="90">
        <v>0.6</v>
      </c>
      <c r="J109" s="90">
        <v>0.6</v>
      </c>
      <c r="K109" s="90">
        <v>0.55000000000000004</v>
      </c>
      <c r="L109" s="61"/>
    </row>
    <row r="110" spans="2:12" ht="15.75" customHeight="1" x14ac:dyDescent="0.2">
      <c r="B110" s="61"/>
      <c r="C110" s="54" t="s">
        <v>11</v>
      </c>
      <c r="D110" s="90">
        <v>0.6</v>
      </c>
      <c r="E110" s="90">
        <v>0.65</v>
      </c>
      <c r="F110" s="90">
        <v>0.7</v>
      </c>
      <c r="G110" s="90">
        <v>0.7</v>
      </c>
      <c r="H110" s="90">
        <v>0.7</v>
      </c>
      <c r="I110" s="90">
        <v>0.65</v>
      </c>
      <c r="J110" s="90">
        <v>0.65</v>
      </c>
      <c r="K110" s="90">
        <v>0.6</v>
      </c>
      <c r="L110" s="61"/>
    </row>
    <row r="111" spans="2:12" ht="15.75" customHeight="1" x14ac:dyDescent="0.2">
      <c r="B111" s="61"/>
      <c r="C111" s="54" t="s">
        <v>12</v>
      </c>
      <c r="D111" s="90">
        <v>0.6</v>
      </c>
      <c r="E111" s="90">
        <v>0.65</v>
      </c>
      <c r="F111" s="90">
        <v>0.7</v>
      </c>
      <c r="G111" s="90">
        <v>0.6</v>
      </c>
      <c r="H111" s="90">
        <v>0.6</v>
      </c>
      <c r="I111" s="90">
        <v>0.55000000000000004</v>
      </c>
      <c r="J111" s="90">
        <v>0.55000000000000004</v>
      </c>
      <c r="K111" s="90">
        <v>0.5</v>
      </c>
      <c r="L111" s="61"/>
    </row>
    <row r="112" spans="2:12" ht="15" customHeight="1" x14ac:dyDescent="0.2"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</row>
    <row r="113" spans="2:12" ht="15.75" customHeight="1" x14ac:dyDescent="0.2">
      <c r="B113" s="89" t="s">
        <v>42</v>
      </c>
      <c r="C113" s="54" t="s">
        <v>4</v>
      </c>
      <c r="D113" s="90">
        <v>0</v>
      </c>
      <c r="E113" s="90">
        <v>0</v>
      </c>
      <c r="F113" s="90">
        <v>0.02</v>
      </c>
      <c r="G113" s="90">
        <v>0.03</v>
      </c>
      <c r="H113" s="90">
        <v>0.04</v>
      </c>
      <c r="I113" s="90">
        <v>0.05</v>
      </c>
      <c r="J113" s="90">
        <v>0.06</v>
      </c>
      <c r="K113" s="90">
        <v>7.0000000000000007E-2</v>
      </c>
      <c r="L113" s="61"/>
    </row>
    <row r="114" spans="2:12" ht="15.75" customHeight="1" x14ac:dyDescent="0.2">
      <c r="B114" s="61"/>
      <c r="C114" s="54" t="s">
        <v>11</v>
      </c>
      <c r="D114" s="90">
        <v>0</v>
      </c>
      <c r="E114" s="90">
        <v>0</v>
      </c>
      <c r="F114" s="90">
        <v>0.02</v>
      </c>
      <c r="G114" s="90">
        <v>0.04</v>
      </c>
      <c r="H114" s="90">
        <v>0.05</v>
      </c>
      <c r="I114" s="90">
        <v>0.06</v>
      </c>
      <c r="J114" s="90">
        <v>7.0000000000000007E-2</v>
      </c>
      <c r="K114" s="90">
        <v>0.08</v>
      </c>
      <c r="L114" s="61"/>
    </row>
    <row r="115" spans="2:12" ht="15.75" customHeight="1" thickBot="1" x14ac:dyDescent="0.25">
      <c r="B115" s="92"/>
      <c r="C115" s="8" t="s">
        <v>12</v>
      </c>
      <c r="D115" s="93">
        <v>0</v>
      </c>
      <c r="E115" s="93">
        <v>0</v>
      </c>
      <c r="F115" s="93">
        <v>0.02</v>
      </c>
      <c r="G115" s="93">
        <v>0.02</v>
      </c>
      <c r="H115" s="93">
        <v>0.03</v>
      </c>
      <c r="I115" s="93">
        <v>0.04</v>
      </c>
      <c r="J115" s="93">
        <v>0.05</v>
      </c>
      <c r="K115" s="93">
        <v>0.06</v>
      </c>
      <c r="L115" s="61"/>
    </row>
    <row r="116" spans="2:12" ht="15" customHeight="1" x14ac:dyDescent="0.2"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</row>
    <row r="117" spans="2:12" ht="15" customHeight="1" x14ac:dyDescent="0.2"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</row>
    <row r="118" spans="2:12" ht="15" customHeight="1" x14ac:dyDescent="0.2"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</row>
    <row r="119" spans="2:12" ht="15" customHeight="1" x14ac:dyDescent="0.2"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</row>
    <row r="120" spans="2:12" ht="15" customHeight="1" x14ac:dyDescent="0.2"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10"/>
  <sheetViews>
    <sheetView showGridLines="0" topLeftCell="A27" workbookViewId="0">
      <selection activeCell="D32" sqref="D32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1" spans="1:11" ht="15" customHeight="1" x14ac:dyDescent="0.2">
      <c r="A1" s="61"/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8" customHeight="1" x14ac:dyDescent="0.2">
      <c r="A2" s="61"/>
      <c r="B2" s="62" t="s">
        <v>43</v>
      </c>
      <c r="C2" s="61"/>
      <c r="D2" s="61"/>
      <c r="E2" s="61"/>
      <c r="F2" s="61"/>
      <c r="G2" s="61"/>
      <c r="H2" s="61"/>
      <c r="I2" s="61"/>
      <c r="J2" s="61"/>
      <c r="K2" s="61"/>
    </row>
    <row r="3" spans="1:11" ht="13.5" customHeight="1" x14ac:dyDescent="0.2">
      <c r="A3" s="61"/>
      <c r="B3" s="63" t="s">
        <v>44</v>
      </c>
      <c r="C3" s="61"/>
      <c r="D3" s="61"/>
      <c r="E3" s="61"/>
      <c r="F3" s="61"/>
      <c r="G3" s="61"/>
      <c r="H3" s="61"/>
      <c r="I3" s="61"/>
      <c r="J3" s="61"/>
      <c r="K3" s="61"/>
    </row>
    <row r="4" spans="1:11" ht="15" customHeight="1" x14ac:dyDescent="0.2">
      <c r="A4" s="61"/>
      <c r="C4" s="61"/>
      <c r="D4" s="61"/>
      <c r="E4" s="61"/>
      <c r="F4" s="61"/>
      <c r="G4" s="61"/>
      <c r="H4" s="61"/>
      <c r="I4" s="61"/>
      <c r="J4" s="61"/>
      <c r="K4" s="61"/>
    </row>
    <row r="5" spans="1:11" ht="15.75" customHeight="1" x14ac:dyDescent="0.2">
      <c r="A5" s="61"/>
      <c r="B5" t="s">
        <v>3</v>
      </c>
      <c r="C5" s="61"/>
      <c r="D5" s="3" t="str">
        <f>'Company1153 Assumptions'!D6</f>
      </c>
      <c r="E5" s="61"/>
      <c r="F5" s="61"/>
      <c r="G5" s="61"/>
      <c r="H5" s="61"/>
      <c r="I5" s="61"/>
      <c r="J5" s="61"/>
      <c r="K5" s="61"/>
    </row>
    <row r="6" spans="1:11" ht="15" customHeight="1" x14ac:dyDescent="0.2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</row>
    <row r="7" spans="1:11" ht="13.5" customHeight="1" x14ac:dyDescent="0.2">
      <c r="A7" s="61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1"/>
    </row>
    <row r="8" spans="1:11" ht="13.5" customHeight="1" x14ac:dyDescent="0.2">
      <c r="A8" s="61"/>
      <c r="B8" s="61"/>
      <c r="C8" s="64">
        <v>2021</v>
      </c>
      <c r="D8" s="64">
        <v>2022</v>
      </c>
      <c r="E8" s="64">
        <v>2023</v>
      </c>
      <c r="F8" s="64">
        <v>2024</v>
      </c>
      <c r="G8" s="64">
        <v>2025</v>
      </c>
      <c r="H8" s="64">
        <v>2026</v>
      </c>
      <c r="I8" s="64">
        <v>2027</v>
      </c>
      <c r="J8" s="64">
        <v>2028</v>
      </c>
      <c r="K8" s="61"/>
    </row>
    <row r="9" spans="1:11" ht="15" customHeight="1" thickBot="1" x14ac:dyDescent="0.2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</row>
    <row r="10" spans="1:11" ht="15" customHeight="1" x14ac:dyDescent="0.2">
      <c r="A10" s="61"/>
      <c r="B10" s="6" t="s">
        <v>224</v>
      </c>
      <c r="C10" s="6"/>
      <c r="D10" s="6"/>
      <c r="E10" s="6"/>
      <c r="F10" s="6"/>
      <c r="G10" s="6"/>
      <c r="H10" s="6"/>
      <c r="I10" s="6"/>
      <c r="J10" s="6"/>
      <c r="K10" s="61"/>
    </row>
    <row r="11" spans="1:11" ht="15" customHeight="1" x14ac:dyDescent="0.2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</row>
    <row r="12" spans="1:11" ht="15.75" customHeight="1" x14ac:dyDescent="0.2">
      <c r="A12" s="61"/>
      <c r="B12" s="13" t="s">
        <v>10</v>
      </c>
      <c r="C12" s="65">
        <v>148951</v>
      </c>
      <c r="D12" s="65">
        <v>162450</v>
      </c>
      <c r="E12" s="65">
        <v>175033</v>
      </c>
      <c r="F12" s="66">
        <f>E12*(1+INDEX('Company1153 Assumptions'!G$15:G$17,MATCH($D$5,'Company1153 Assumptions'!$C$15:$C$17,0)))</f>
      </c>
      <c r="G12" s="66">
        <f>F12*(1+INDEX('Company1153 Assumptions'!H$15:H$17,MATCH($D$5,'Company1153 Assumptions'!$C$15:$C$17,0)))</f>
      </c>
      <c r="H12" s="66">
        <f>G12*(1+INDEX('Company1153 Assumptions'!I$15:I$17,MATCH($D$5,'Company1153 Assumptions'!$C$15:$C$17,0)))</f>
      </c>
      <c r="I12" s="66">
        <f>H12*(1+INDEX('Company1153 Assumptions'!J$15:J$17,MATCH($D$5,'Company1153 Assumptions'!$C$15:$C$17,0)))</f>
      </c>
      <c r="J12" s="66">
        <f>I12*(1+INDEX('Company1153 Assumptions'!K$15:K$17,MATCH($D$5,'Company1153 Assumptions'!$C$15:$C$17,0)))</f>
      </c>
      <c r="K12" s="61"/>
    </row>
    <row r="13" spans="1:11" ht="15.75" customHeight="1" x14ac:dyDescent="0.2">
      <c r="A13" s="61"/>
      <c r="B13" s="13" t="s">
        <v>13</v>
      </c>
      <c r="C13" s="65">
        <v>28845</v>
      </c>
      <c r="D13" s="65">
        <v>29243</v>
      </c>
      <c r="E13" s="65">
        <v>31865</v>
      </c>
      <c r="F13" s="66">
        <f>E13*(1+INDEX('Company1153 Assumptions'!G$19:G$21,MATCH($D$5,'Company1153 Assumptions'!$C$19:$C$21,0)))</f>
      </c>
      <c r="G13" s="66">
        <f>F13*(1+INDEX('Company1153 Assumptions'!H$19:H$21,MATCH($D$5,'Company1153 Assumptions'!$C$19:$C$21,0)))</f>
      </c>
      <c r="H13" s="66">
        <f>G13*(1+INDEX('Company1153 Assumptions'!I$19:I$21,MATCH($D$5,'Company1153 Assumptions'!$C$19:$C$21,0)))</f>
      </c>
      <c r="I13" s="66">
        <f>H13*(1+INDEX('Company1153 Assumptions'!J$19:J$21,MATCH($D$5,'Company1153 Assumptions'!$C$19:$C$21,0)))</f>
      </c>
      <c r="J13" s="66">
        <f>I13*(1+INDEX('Company1153 Assumptions'!K$19:K$21,MATCH($D$5,'Company1153 Assumptions'!$C$19:$C$21,0)))</f>
      </c>
      <c r="K13" s="61"/>
    </row>
    <row r="14" spans="1:11" ht="15.75" customHeight="1" x14ac:dyDescent="0.2">
      <c r="A14" s="61"/>
      <c r="B14" s="13" t="s">
        <v>14</v>
      </c>
      <c r="C14" s="65">
        <v>13059</v>
      </c>
      <c r="D14" s="65">
        <v>19206</v>
      </c>
      <c r="E14" s="65">
        <v>26280</v>
      </c>
      <c r="F14" s="66">
        <f>E14*(1+INDEX('Company1153 Assumptions'!G$23:G$25,MATCH($D$5,'Company1153 Assumptions'!$C$23:$C$25,0)))</f>
      </c>
      <c r="G14" s="66">
        <f>F14*(1+INDEX('Company1153 Assumptions'!H$23:H$25,MATCH($D$5,'Company1153 Assumptions'!$C$23:$C$25,0)))</f>
      </c>
      <c r="H14" s="66">
        <f>G14*(1+INDEX('Company1153 Assumptions'!I$23:I$25,MATCH($D$5,'Company1153 Assumptions'!$C$23:$C$25,0)))</f>
      </c>
      <c r="I14" s="66">
        <f>H14*(1+INDEX('Company1153 Assumptions'!J$23:J$25,MATCH($D$5,'Company1153 Assumptions'!$C$23:$C$25,0)))</f>
      </c>
      <c r="J14" s="66">
        <f>I14*(1+INDEX('Company1153 Assumptions'!K$23:K$25,MATCH($D$5,'Company1153 Assumptions'!$C$23:$C$25,0)))</f>
      </c>
      <c r="K14" s="61"/>
    </row>
    <row r="15" spans="1:11" ht="15.75" customHeight="1" x14ac:dyDescent="0.2">
      <c r="A15" s="61"/>
      <c r="B15" s="13" t="s">
        <v>15</v>
      </c>
      <c r="C15" s="65">
        <v>28032</v>
      </c>
      <c r="D15" s="65">
        <v>29071</v>
      </c>
      <c r="E15" s="65">
        <v>30300</v>
      </c>
      <c r="F15" s="66">
        <f>E15*(1+INDEX('Company1153 Assumptions'!G$27:G$29,MATCH($D$5,'Company1153 Assumptions'!$C$27:$C$29,0)))</f>
      </c>
      <c r="G15" s="66">
        <f>F15*(1+INDEX('Company1153 Assumptions'!H$27:H$29,MATCH($D$5,'Company1153 Assumptions'!$C$27:$C$29,0)))</f>
      </c>
      <c r="H15" s="66">
        <f>G15*(1+INDEX('Company1153 Assumptions'!I$27:I$29,MATCH($D$5,'Company1153 Assumptions'!$C$27:$C$29,0)))</f>
      </c>
      <c r="I15" s="66">
        <f>H15*(1+INDEX('Company1153 Assumptions'!J$27:J$29,MATCH($D$5,'Company1153 Assumptions'!$C$27:$C$29,0)))</f>
      </c>
      <c r="J15" s="66">
        <f>I15*(1+INDEX('Company1153 Assumptions'!K$27:K$29,MATCH($D$5,'Company1153 Assumptions'!$C$27:$C$29,0)))</f>
      </c>
      <c r="K15" s="61"/>
    </row>
    <row r="16" spans="1:11" ht="15.75" customHeight="1" x14ac:dyDescent="0.2">
      <c r="A16" s="61"/>
      <c r="B16" s="19" t="s">
        <v>45</v>
      </c>
      <c r="C16" s="67">
        <f t="shared" ref="C16:J27" si="0">SUM(C12:C15)</f>
      </c>
      <c r="D16" s="67">
        <f t="shared" si="0"/>
      </c>
      <c r="E16" s="67">
        <f t="shared" si="0"/>
      </c>
      <c r="F16" s="67">
        <f t="shared" si="0"/>
      </c>
      <c r="G16" s="67">
        <f t="shared" si="0"/>
      </c>
      <c r="H16" s="67">
        <f t="shared" si="0"/>
      </c>
      <c r="I16" s="67">
        <f t="shared" si="0"/>
      </c>
      <c r="J16" s="67">
        <f t="shared" si="0"/>
      </c>
      <c r="K16" s="61"/>
    </row>
    <row r="17" spans="1:11" ht="15.75" customHeight="1" x14ac:dyDescent="0.2">
      <c r="A17" s="61"/>
      <c r="B17" s="68" t="s">
        <v>46</v>
      </c>
      <c r="C17" s="61"/>
      <c r="D17" s="69">
        <f t="shared" ref="D17:J17" si="1">D16/C16-1</f>
      </c>
      <c r="E17" s="69">
        <f t="shared" si="1"/>
      </c>
      <c r="F17" s="69">
        <f t="shared" si="1"/>
      </c>
      <c r="G17" s="69">
        <f t="shared" si="1"/>
      </c>
      <c r="H17" s="69">
        <f t="shared" si="1"/>
      </c>
      <c r="I17" s="69">
        <f t="shared" si="1"/>
      </c>
      <c r="J17" s="69">
        <f t="shared" si="1"/>
      </c>
      <c r="K17" s="61"/>
    </row>
    <row r="18" spans="1:11" ht="15" customHeight="1" x14ac:dyDescent="0.2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</row>
    <row r="19" spans="1:11" ht="15" customHeight="1" x14ac:dyDescent="0.2">
      <c r="A19" s="61"/>
      <c r="B19" s="13" t="s">
        <v>48</v>
      </c>
      <c r="C19" s="70">
        <f t="shared" ref="C19:J19" si="2">C16*(1-C21)</f>
      </c>
      <c r="D19" s="70">
        <f t="shared" si="2"/>
      </c>
      <c r="E19" s="70">
        <f t="shared" si="2"/>
      </c>
      <c r="F19" s="70">
        <f t="shared" si="2"/>
      </c>
      <c r="G19" s="70">
        <f t="shared" si="2"/>
      </c>
      <c r="H19" s="70">
        <f t="shared" si="2"/>
      </c>
      <c r="I19" s="70">
        <f t="shared" si="2"/>
      </c>
      <c r="J19" s="70">
        <f t="shared" si="2"/>
      </c>
      <c r="K19" s="61"/>
    </row>
    <row r="20" spans="1:11" ht="15" customHeight="1" x14ac:dyDescent="0.2">
      <c r="A20" s="61"/>
      <c r="B20" s="20" t="s">
        <v>49</v>
      </c>
      <c r="C20" s="70">
        <f t="shared" ref="C20:J20" si="3">C16-C19</f>
      </c>
      <c r="D20" s="70">
        <f t="shared" si="3"/>
      </c>
      <c r="E20" s="70">
        <f t="shared" si="3"/>
      </c>
      <c r="F20" s="70">
        <f t="shared" si="3"/>
      </c>
      <c r="G20" s="70">
        <f t="shared" si="3"/>
      </c>
      <c r="H20" s="70">
        <f t="shared" si="3"/>
      </c>
      <c r="I20" s="70">
        <f t="shared" si="3"/>
      </c>
      <c r="J20" s="70">
        <f t="shared" si="3"/>
      </c>
      <c r="K20" s="61"/>
    </row>
    <row r="21" spans="1:11" ht="15.75" customHeight="1" x14ac:dyDescent="0.2">
      <c r="A21" s="61"/>
      <c r="B21" s="68" t="s">
        <v>50</v>
      </c>
      <c r="C21" s="71">
        <v>0.54499999999999993</v>
      </c>
      <c r="D21" s="71">
        <v>0.54800000000000004</v>
      </c>
      <c r="E21" s="71">
        <v>0.54999999999999993</v>
      </c>
      <c r="F21" s="71">
        <v>0.55199999999999994</v>
      </c>
      <c r="G21" s="71">
        <v>0.55399999999999994</v>
      </c>
      <c r="H21" s="71">
        <v>0.55599999999999994</v>
      </c>
      <c r="I21" s="71">
        <v>0.55800000000000005</v>
      </c>
      <c r="J21" s="71">
        <v>0.56000000000000005</v>
      </c>
      <c r="K21" s="61"/>
    </row>
    <row r="22" spans="1:11" ht="15.75" customHeight="1" x14ac:dyDescent="0.2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</row>
    <row r="23" spans="1:11" ht="15.75" customHeight="1" x14ac:dyDescent="0.2">
      <c r="A23" s="61"/>
      <c r="B23" s="13" t="s">
        <v>18</v>
      </c>
      <c r="C23" s="66">
        <f>C16*INDEX('Company1153 Assumptions'!D$35:D$37,MATCH($D$5,'Company1153 Assumptions'!$C$35:$C$37,0))</f>
      </c>
      <c r="D23" s="66">
        <f>D16*INDEX('Company1153 Assumptions'!E$35:E$37,MATCH($D$5,'Company1153 Assumptions'!$C$35:$C$37,0))</f>
      </c>
      <c r="E23" s="66">
        <f>E16*INDEX('Company1153 Assumptions'!F$35:F$37,MATCH($D$5,'Company1153 Assumptions'!$C$35:$C$37,0))</f>
      </c>
      <c r="F23" s="66">
        <f>F16*INDEX('Company1153 Assumptions'!G$35:G$37,MATCH($D$5,'Company1153 Assumptions'!$C$35:$C$37,0))</f>
      </c>
      <c r="G23" s="66">
        <f>G16*INDEX('Company1153 Assumptions'!H$35:H$37,MATCH($D$5,'Company1153 Assumptions'!$C$35:$C$37,0))</f>
      </c>
      <c r="H23" s="66">
        <f>H16*INDEX('Company1153 Assumptions'!I$35:I$37,MATCH($D$5,'Company1153 Assumptions'!$C$35:$C$37,0))</f>
      </c>
      <c r="I23" s="66">
        <f>I16*INDEX('Company1153 Assumptions'!J$35:J$37,MATCH($D$5,'Company1153 Assumptions'!$C$35:$C$37,0))</f>
      </c>
      <c r="J23" s="66">
        <f>J16*INDEX('Company1153 Assumptions'!K$35:K$37,MATCH($D$5,'Company1153 Assumptions'!$C$35:$C$37,0))</f>
      </c>
      <c r="K23" s="61"/>
    </row>
    <row r="24" spans="1:11" ht="15" customHeight="1" x14ac:dyDescent="0.2">
      <c r="A24" s="61"/>
      <c r="B24" s="13" t="s">
        <v>19</v>
      </c>
      <c r="C24" s="66">
        <f>C16*INDEX('Company1153 Assumptions'!D$39:D$41,MATCH($D$5,'Company1153 Assumptions'!$C$39:$C$41,0))</f>
      </c>
      <c r="D24" s="66">
        <f>D16*INDEX('Company1153 Assumptions'!E$39:E$41,MATCH($D$5,'Company1153 Assumptions'!$C$39:$C$41,0))</f>
      </c>
      <c r="E24" s="66">
        <f>E16*INDEX('Company1153 Assumptions'!F$39:F$41,MATCH($D$5,'Company1153 Assumptions'!$C$39:$C$41,0))</f>
      </c>
      <c r="F24" s="66">
        <f>F16*INDEX('Company1153 Assumptions'!G$39:G$41,MATCH($D$5,'Company1153 Assumptions'!$C$39:$C$41,0))</f>
      </c>
      <c r="G24" s="66">
        <f>G16*INDEX('Company1153 Assumptions'!H$39:H$41,MATCH($D$5,'Company1153 Assumptions'!$C$39:$C$41,0))</f>
      </c>
      <c r="H24" s="66">
        <f>H16*INDEX('Company1153 Assumptions'!I$39:I$41,MATCH($D$5,'Company1153 Assumptions'!$C$39:$C$41,0))</f>
      </c>
      <c r="I24" s="66">
        <f>I16*INDEX('Company1153 Assumptions'!J$39:J$41,MATCH($D$5,'Company1153 Assumptions'!$C$39:$C$41,0))</f>
      </c>
      <c r="J24" s="66">
        <f>J16*INDEX('Company1153 Assumptions'!K$39:K$41,MATCH($D$5,'Company1153 Assumptions'!$C$39:$C$41,0))</f>
      </c>
      <c r="K24" s="61"/>
    </row>
    <row r="25" spans="1:11" ht="15.75" customHeight="1" x14ac:dyDescent="0.2">
      <c r="A25" s="61"/>
      <c r="B25" s="13" t="s">
        <v>20</v>
      </c>
      <c r="C25" s="66">
        <f>C16*INDEX('Company1153 Assumptions'!D$43:D$45,MATCH($D$5,'Company1153 Assumptions'!$C$43:$C$45,0))</f>
      </c>
      <c r="D25" s="66">
        <f>D16*INDEX('Company1153 Assumptions'!E$43:E$45,MATCH($D$5,'Company1153 Assumptions'!$C$43:$C$45,0))</f>
      </c>
      <c r="E25" s="66">
        <f>E16*INDEX('Company1153 Assumptions'!F$43:F$45,MATCH($D$5,'Company1153 Assumptions'!$C$43:$C$45,0))</f>
      </c>
      <c r="F25" s="66">
        <f>F16*INDEX('Company1153 Assumptions'!G$43:G$45,MATCH($D$5,'Company1153 Assumptions'!$C$43:$C$45,0))</f>
      </c>
      <c r="G25" s="66">
        <f>G16*INDEX('Company1153 Assumptions'!H$43:H$45,MATCH($D$5,'Company1153 Assumptions'!$C$43:$C$45,0))</f>
      </c>
      <c r="H25" s="66">
        <f>H16*INDEX('Company1153 Assumptions'!I$43:I$45,MATCH($D$5,'Company1153 Assumptions'!$C$43:$C$45,0))</f>
      </c>
      <c r="I25" s="66">
        <f>I16*INDEX('Company1153 Assumptions'!J$43:J$45,MATCH($D$5,'Company1153 Assumptions'!$C$43:$C$45,0))</f>
      </c>
      <c r="J25" s="66">
        <f>J16*INDEX('Company1153 Assumptions'!K$43:K$45,MATCH($D$5,'Company1153 Assumptions'!$C$43:$C$45,0))</f>
      </c>
      <c r="K25" s="61"/>
    </row>
    <row r="26" spans="1:11" ht="15.75" customHeight="1" x14ac:dyDescent="0.2">
      <c r="A26" s="61"/>
      <c r="B26" s="13" t="s">
        <v>21</v>
      </c>
      <c r="C26" s="66">
        <f>C16*INDEX('Company1153 Assumptions'!D$47:D$49,MATCH($D$5,'Company1153 Assumptions'!$C$47:$C$49,0))</f>
      </c>
      <c r="D26" s="66">
        <f>D16*INDEX('Company1153 Assumptions'!E$47:E$49,MATCH($D$5,'Company1153 Assumptions'!$C$47:$C$49,0))</f>
      </c>
      <c r="E26" s="66">
        <f>E16*INDEX('Company1153 Assumptions'!F$47:F$49,MATCH($D$5,'Company1153 Assumptions'!$C$47:$C$49,0))</f>
      </c>
      <c r="F26" s="66">
        <f>F16*INDEX('Company1153 Assumptions'!G$47:G$49,MATCH($D$5,'Company1153 Assumptions'!$C$47:$C$49,0))</f>
      </c>
      <c r="G26" s="66">
        <f>G16*INDEX('Company1153 Assumptions'!H$47:H$49,MATCH($D$5,'Company1153 Assumptions'!$C$47:$C$49,0))</f>
      </c>
      <c r="H26" s="66">
        <f>H16*INDEX('Company1153 Assumptions'!I$47:I$49,MATCH($D$5,'Company1153 Assumptions'!$C$47:$C$49,0))</f>
      </c>
      <c r="I26" s="66">
        <f>I16*INDEX('Company1153 Assumptions'!J$47:J$49,MATCH($D$5,'Company1153 Assumptions'!$C$47:$C$49,0))</f>
      </c>
      <c r="J26" s="66">
        <f>J16*INDEX('Company1153 Assumptions'!K$47:K$49,MATCH($D$5,'Company1153 Assumptions'!$C$47:$C$49,0))</f>
      </c>
      <c r="K26" s="61"/>
    </row>
    <row r="27" spans="1:11" ht="15.75" customHeight="1" x14ac:dyDescent="0.2">
      <c r="A27" s="61"/>
      <c r="B27" s="19" t="s">
        <v>51</v>
      </c>
      <c r="C27" s="67">
        <f t="shared" si="0"/>
      </c>
      <c r="D27" s="67">
        <f t="shared" si="0"/>
      </c>
      <c r="E27" s="67">
        <f t="shared" si="0"/>
      </c>
      <c r="F27" s="67">
        <f t="shared" si="0"/>
      </c>
      <c r="G27" s="67">
        <f t="shared" si="0"/>
      </c>
      <c r="H27" s="67">
        <f t="shared" si="0"/>
      </c>
      <c r="I27" s="67">
        <f t="shared" si="0"/>
      </c>
      <c r="J27" s="67">
        <f t="shared" si="0"/>
      </c>
      <c r="K27" s="61"/>
    </row>
    <row r="28" spans="1:11" ht="15.75" customHeight="1" x14ac:dyDescent="0.2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</row>
    <row r="29" spans="1:11" ht="15.75" customHeight="1" x14ac:dyDescent="0.2">
      <c r="A29" s="61"/>
      <c r="B29" s="20" t="s">
        <v>52</v>
      </c>
      <c r="C29" s="70">
        <f t="shared" ref="C29:J29" si="4">C20-C27</f>
      </c>
      <c r="D29" s="70">
        <f t="shared" si="4"/>
      </c>
      <c r="E29" s="70">
        <f t="shared" si="4"/>
      </c>
      <c r="F29" s="70">
        <f t="shared" si="4"/>
      </c>
      <c r="G29" s="70">
        <f t="shared" si="4"/>
      </c>
      <c r="H29" s="70">
        <f t="shared" si="4"/>
      </c>
      <c r="I29" s="70">
        <f t="shared" si="4"/>
      </c>
      <c r="J29" s="70">
        <f t="shared" si="4"/>
      </c>
      <c r="K29" s="61"/>
    </row>
    <row r="30" spans="1:11" ht="15" customHeight="1" x14ac:dyDescent="0.2">
      <c r="A30" s="61"/>
      <c r="B30" s="68" t="s">
        <v>53</v>
      </c>
      <c r="C30" s="69">
        <f t="shared" ref="C30:J30" si="5">C29/C16</f>
      </c>
      <c r="D30" s="69">
        <f t="shared" si="5"/>
      </c>
      <c r="E30" s="69">
        <f t="shared" si="5"/>
      </c>
      <c r="F30" s="69">
        <f t="shared" si="5"/>
      </c>
      <c r="G30" s="69">
        <f t="shared" si="5"/>
      </c>
      <c r="H30" s="69">
        <f t="shared" si="5"/>
      </c>
      <c r="I30" s="69">
        <f t="shared" si="5"/>
      </c>
      <c r="J30" s="69">
        <f t="shared" si="5"/>
      </c>
      <c r="K30" s="61"/>
    </row>
    <row r="31" spans="1:11" ht="15.75" customHeight="1" x14ac:dyDescent="0.2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</row>
    <row r="32" spans="1:11" ht="15.75" customHeight="1" x14ac:dyDescent="0.2">
      <c r="A32" s="61"/>
      <c r="B32" s="21" t="s">
        <v>225</v>
      </c>
      <c r="C32" s="66">
        <f>(C$51*INDEX('Company1153 Assumptions'!$D$88:$D$90,MATCH($D$5,'Company1153 Assumptions'!$C$88:$C$90,0)))-(C73*INDEX('Company1153 Assumptions'!$D$92:$D$94,MATCH($D$5,'Company1153 Assumptions'!$C$92:$C$94,0)))</f>
      </c>
      <c r="D32" s="66">
        <f ca="1">(D$51*INDEX('Company1153 Assumptions'!$D$88:$D$90,MATCH($D$5,'Company1153 Assumptions'!$C$88:$C$90,0)))-(D73*INDEX('Company1153 Assumptions'!$D$92:$D$94,MATCH($D$5,'Company1153 Assumptions'!$C$92:$C$94,0)))</f>
      </c>
      <c r="E32" s="66">
        <f ca="1">(E$51*INDEX('Company1153 Assumptions'!$D$88:$D$90,MATCH($D$5,'Company1153 Assumptions'!$C$88:$C$90,0)))-(E73*INDEX('Company1153 Assumptions'!$D$92:$D$94,MATCH($D$5,'Company1153 Assumptions'!$C$92:$C$94,0)))</f>
      </c>
      <c r="F32" s="66">
        <f ca="1">(F$51*INDEX('Company1153 Assumptions'!$D$88:$D$90,MATCH($D$5,'Company1153 Assumptions'!$C$88:$C$90,0)))-(F73*INDEX('Company1153 Assumptions'!$D$92:$D$94,MATCH($D$5,'Company1153 Assumptions'!$C$92:$C$94,0)))</f>
      </c>
      <c r="G32" s="66">
        <f ca="1">(G$51*INDEX('Company1153 Assumptions'!$D$88:$D$90,MATCH($D$5,'Company1153 Assumptions'!$C$88:$C$90,0)))-(G73*INDEX('Company1153 Assumptions'!$D$92:$D$94,MATCH($D$5,'Company1153 Assumptions'!$C$92:$C$94,0)))</f>
      </c>
      <c r="H32" s="66">
        <f ca="1">(H$51*INDEX('Company1153 Assumptions'!$D$88:$D$90,MATCH($D$5,'Company1153 Assumptions'!$C$88:$C$90,0)))-(H73*INDEX('Company1153 Assumptions'!$D$92:$D$94,MATCH($D$5,'Company1153 Assumptions'!$C$92:$C$94,0)))</f>
      </c>
      <c r="I32" s="66">
        <f ca="1">(I$51*INDEX('Company1153 Assumptions'!$D$88:$D$90,MATCH($D$5,'Company1153 Assumptions'!$C$88:$C$90,0)))-(I73*INDEX('Company1153 Assumptions'!$D$92:$D$94,MATCH($D$5,'Company1153 Assumptions'!$C$92:$C$94,0)))</f>
      </c>
      <c r="J32" s="66">
        <f ca="1">(J$51*INDEX('Company1153 Assumptions'!$D$88:$D$90,MATCH($D$5,'Company1153 Assumptions'!$C$88:$C$90,0)))-(J73*INDEX('Company1153 Assumptions'!$D$92:$D$94,MATCH($D$5,'Company1153 Assumptions'!$C$92:$C$94,0)))</f>
      </c>
      <c r="K32" s="61"/>
    </row>
    <row r="33" spans="1:11" ht="15" customHeight="1" x14ac:dyDescent="0.2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</row>
    <row r="34" spans="1:11" ht="15.75" customHeight="1" x14ac:dyDescent="0.2">
      <c r="A34" s="61"/>
      <c r="B34" s="20" t="s">
        <v>54</v>
      </c>
      <c r="C34" s="70">
        <f t="shared" ref="C34:J34" si="6">C29+C32</f>
      </c>
      <c r="D34" s="70">
        <f t="shared" ca="1" si="6"/>
      </c>
      <c r="E34" s="70">
        <f t="shared" ca="1" si="6"/>
      </c>
      <c r="F34" s="70">
        <f t="shared" ca="1" si="6"/>
      </c>
      <c r="G34" s="70">
        <f t="shared" ca="1" si="6"/>
      </c>
      <c r="H34" s="70">
        <f t="shared" ca="1" si="6"/>
      </c>
      <c r="I34" s="70">
        <f t="shared" ca="1" si="6"/>
      </c>
      <c r="J34" s="70">
        <f t="shared" ca="1" si="6"/>
      </c>
      <c r="K34" s="61"/>
    </row>
    <row r="35" spans="1:11" ht="15" customHeight="1" x14ac:dyDescent="0.2">
      <c r="A35" s="61"/>
      <c r="B35" s="21" t="s">
        <v>55</v>
      </c>
      <c r="C35" s="66">
        <f>C34*INDEX('Company1153 Assumptions'!D$81:D$83,MATCH($D$5,'Company1153 Assumptions'!$C$81:$C$83,0))</f>
      </c>
      <c r="D35" s="66">
        <f ca="1">D34*INDEX('Company1153 Assumptions'!E$81:E$83,MATCH($D$5,'Company1153 Assumptions'!$C$81:$C$83,0))</f>
      </c>
      <c r="E35" s="66">
        <f ca="1">E34*INDEX('Company1153 Assumptions'!F$81:F$83,MATCH($D$5,'Company1153 Assumptions'!$C$81:$C$83,0))</f>
      </c>
      <c r="F35" s="66">
        <f ca="1">F34*INDEX('Company1153 Assumptions'!G$81:G$83,MATCH($D$5,'Company1153 Assumptions'!$C$81:$C$83,0))</f>
      </c>
      <c r="G35" s="66">
        <f ca="1">G34*INDEX('Company1153 Assumptions'!H$81:H$83,MATCH($D$5,'Company1153 Assumptions'!$C$81:$C$83,0))</f>
      </c>
      <c r="H35" s="66">
        <f ca="1">H34*INDEX('Company1153 Assumptions'!I$81:I$83,MATCH($D$5,'Company1153 Assumptions'!$C$81:$C$83,0))</f>
      </c>
      <c r="I35" s="66">
        <f ca="1">I34*INDEX('Company1153 Assumptions'!J$81:J$83,MATCH($D$5,'Company1153 Assumptions'!$C$81:$C$83,0))</f>
      </c>
      <c r="J35" s="66">
        <f ca="1">J34*INDEX('Company1153 Assumptions'!K$81:K$83,MATCH($D$5,'Company1153 Assumptions'!$C$81:$C$83,0))</f>
      </c>
      <c r="K35" s="61"/>
    </row>
    <row r="36" spans="1:11" ht="15.75" customHeight="1" thickBot="1" x14ac:dyDescent="0.2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</row>
    <row r="37" spans="1:11" ht="15.75" customHeight="1" thickBot="1" x14ac:dyDescent="0.25">
      <c r="A37" s="61"/>
      <c r="B37" s="20" t="s">
        <v>56</v>
      </c>
      <c r="C37" s="72">
        <f t="shared" ref="C37:J37" si="7">C34-C35</f>
      </c>
      <c r="D37" s="72">
        <f t="shared" ca="1" si="7"/>
      </c>
      <c r="E37" s="72">
        <f t="shared" ca="1" si="7"/>
      </c>
      <c r="F37" s="72">
        <f t="shared" ca="1" si="7"/>
      </c>
      <c r="G37" s="72">
        <f t="shared" ca="1" si="7"/>
      </c>
      <c r="H37" s="72">
        <f t="shared" ca="1" si="7"/>
      </c>
      <c r="I37" s="72">
        <f t="shared" ca="1" si="7"/>
      </c>
      <c r="J37" s="72">
        <f t="shared" ca="1" si="7"/>
      </c>
      <c r="K37" s="61"/>
    </row>
    <row r="38" spans="1:11" ht="15" customHeight="1" thickTop="1" x14ac:dyDescent="0.2">
      <c r="A38" s="61"/>
      <c r="B38" s="68" t="s">
        <v>57</v>
      </c>
      <c r="C38" s="69">
        <f t="shared" ref="C38:J38" si="8">C37/C16</f>
      </c>
      <c r="D38" s="69">
        <f t="shared" ca="1" si="8"/>
      </c>
      <c r="E38" s="69">
        <f t="shared" ca="1" si="8"/>
      </c>
      <c r="F38" s="69">
        <f t="shared" ca="1" si="8"/>
      </c>
      <c r="G38" s="69">
        <f t="shared" ca="1" si="8"/>
      </c>
      <c r="H38" s="69">
        <f t="shared" ca="1" si="8"/>
      </c>
      <c r="I38" s="69">
        <f t="shared" ca="1" si="8"/>
      </c>
      <c r="J38" s="69">
        <f t="shared" ca="1" si="8"/>
      </c>
      <c r="K38" s="61"/>
    </row>
    <row r="39" spans="1:11" ht="15.75" customHeight="1" thickBot="1" x14ac:dyDescent="0.2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</row>
    <row r="40" spans="1:11" ht="15.75" customHeight="1" x14ac:dyDescent="0.2">
      <c r="A40" s="61"/>
      <c r="B40" s="6" t="s">
        <v>58</v>
      </c>
      <c r="C40" s="6"/>
      <c r="D40" s="6"/>
      <c r="E40" s="6"/>
      <c r="F40" s="6"/>
      <c r="G40" s="6"/>
      <c r="H40" s="6"/>
      <c r="I40" s="6"/>
      <c r="J40" s="6"/>
      <c r="K40" s="61"/>
    </row>
    <row r="41" spans="1:11" ht="15" customHeight="1" x14ac:dyDescent="0.2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</row>
    <row r="42" spans="1:11" ht="15" customHeight="1" x14ac:dyDescent="0.2">
      <c r="A42" s="61"/>
      <c r="B42" s="21" t="s">
        <v>59</v>
      </c>
      <c r="C42" s="73">
        <v>13000</v>
      </c>
      <c r="D42" s="73">
        <v>12800</v>
      </c>
      <c r="E42" s="73">
        <v>12600</v>
      </c>
      <c r="F42" s="73">
        <v>12400</v>
      </c>
      <c r="G42" s="73">
        <v>12200</v>
      </c>
      <c r="H42" s="73">
        <v>12000</v>
      </c>
      <c r="I42" s="73">
        <v>11800</v>
      </c>
      <c r="J42" s="73">
        <v>11600</v>
      </c>
      <c r="K42" s="61"/>
    </row>
    <row r="43" spans="1:11" ht="15" customHeight="1" x14ac:dyDescent="0.2">
      <c r="A43" s="61"/>
      <c r="B43" s="20" t="s">
        <v>60</v>
      </c>
      <c r="C43" s="74">
        <f t="shared" ref="C43:J43" si="9">C37/C42</f>
      </c>
      <c r="D43" s="74">
        <f t="shared" ca="1" si="9"/>
      </c>
      <c r="E43" s="74">
        <f t="shared" ca="1" si="9"/>
      </c>
      <c r="F43" s="74">
        <f t="shared" ca="1" si="9"/>
      </c>
      <c r="G43" s="74">
        <f t="shared" ca="1" si="9"/>
      </c>
      <c r="H43" s="74">
        <f t="shared" ca="1" si="9"/>
      </c>
      <c r="I43" s="74">
        <f t="shared" ca="1" si="9"/>
      </c>
      <c r="J43" s="74">
        <f t="shared" ca="1" si="9"/>
      </c>
      <c r="K43" s="61"/>
    </row>
    <row r="44" spans="1:11" ht="15.75" customHeight="1" x14ac:dyDescent="0.2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</row>
    <row r="45" spans="1:11" ht="15.75" customHeight="1" thickBot="1" x14ac:dyDescent="0.2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</row>
    <row r="46" spans="1:11" ht="15" customHeight="1" thickBot="1" x14ac:dyDescent="0.25">
      <c r="A46" s="61"/>
      <c r="B46" s="75" t="s">
        <v>63</v>
      </c>
      <c r="C46" s="75"/>
      <c r="D46" s="75"/>
      <c r="E46" s="75"/>
      <c r="F46" s="75"/>
      <c r="G46" s="75"/>
      <c r="H46" s="75"/>
      <c r="I46" s="75"/>
      <c r="J46" s="75"/>
      <c r="K46" s="61"/>
    </row>
    <row r="47" spans="1:11" ht="15" customHeight="1" x14ac:dyDescent="0.2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</row>
    <row r="48" spans="1:11" ht="15.75" customHeight="1" x14ac:dyDescent="0.2">
      <c r="A48" s="61"/>
      <c r="B48" s="11" t="s">
        <v>64</v>
      </c>
      <c r="C48" s="11"/>
      <c r="D48" s="11"/>
      <c r="E48" s="11"/>
      <c r="F48" s="11"/>
      <c r="G48" s="11"/>
      <c r="H48" s="11"/>
      <c r="I48" s="11"/>
      <c r="J48" s="11"/>
      <c r="K48" s="61"/>
    </row>
    <row r="49" spans="1:11" ht="15" customHeight="1" x14ac:dyDescent="0.2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</row>
    <row r="50" spans="1:11" ht="15" customHeight="1" x14ac:dyDescent="0.2">
      <c r="A50" s="61"/>
      <c r="B50" s="12" t="s">
        <v>65</v>
      </c>
      <c r="C50" s="61"/>
      <c r="D50" s="61"/>
      <c r="E50" s="61"/>
      <c r="F50" s="61"/>
      <c r="G50" s="61"/>
      <c r="H50" s="61"/>
      <c r="I50" s="61"/>
      <c r="J50" s="61"/>
      <c r="K50" s="61"/>
    </row>
    <row r="51" spans="1:11" ht="15" customHeight="1" x14ac:dyDescent="0.2">
      <c r="A51" s="61"/>
      <c r="B51" s="13" t="s">
        <v>66</v>
      </c>
      <c r="C51" s="76">
        <v>90000</v>
      </c>
      <c r="D51" s="77">
        <f t="shared" ref="D51:J51" ca="1" si="10">D$108</f>
      </c>
      <c r="E51" s="77">
        <f t="shared" ca="1" si="10"/>
      </c>
      <c r="F51" s="77">
        <f t="shared" ca="1" si="10"/>
      </c>
      <c r="G51" s="77">
        <f t="shared" ca="1" si="10"/>
      </c>
      <c r="H51" s="77">
        <f t="shared" ca="1" si="10"/>
      </c>
      <c r="I51" s="77">
        <f t="shared" ca="1" si="10"/>
      </c>
      <c r="J51" s="77">
        <f t="shared" ca="1" si="10"/>
      </c>
      <c r="K51" s="61"/>
    </row>
    <row r="52" spans="1:11" ht="15" customHeight="1" x14ac:dyDescent="0.2">
      <c r="A52" s="61"/>
      <c r="B52" s="13" t="s">
        <v>67</v>
      </c>
      <c r="C52" s="66">
        <f>C$16*INDEX('Company1153 Assumptions'!D$55:D$57,MATCH($D$5,'Company1153 Assumptions'!$C$55:$C$57,0))/365</f>
      </c>
      <c r="D52" s="66">
        <f>D$16*INDEX('Company1153 Assumptions'!E$55:E$57,MATCH($D$5,'Company1153 Assumptions'!$C$55:$C$57,0))/365</f>
      </c>
      <c r="E52" s="66">
        <f>E$16*INDEX('Company1153 Assumptions'!F$55:F$57,MATCH($D$5,'Company1153 Assumptions'!$C$55:$C$57,0))/365</f>
      </c>
      <c r="F52" s="66">
        <f>F$16*INDEX('Company1153 Assumptions'!G$55:G$57,MATCH($D$5,'Company1153 Assumptions'!$C$55:$C$57,0))/365</f>
      </c>
      <c r="G52" s="66">
        <f>G$16*INDEX('Company1153 Assumptions'!H$55:H$57,MATCH($D$5,'Company1153 Assumptions'!$C$55:$C$57,0))/365</f>
      </c>
      <c r="H52" s="66">
        <f>H$16*INDEX('Company1153 Assumptions'!I$55:I$57,MATCH($D$5,'Company1153 Assumptions'!$C$55:$C$57,0))/365</f>
      </c>
      <c r="I52" s="66">
        <f>I$16*INDEX('Company1153 Assumptions'!J$55:J$57,MATCH($D$5,'Company1153 Assumptions'!$C$55:$C$57,0))/365</f>
      </c>
      <c r="J52" s="66">
        <f>J$16*INDEX('Company1153 Assumptions'!K$55:K$57,MATCH($D$5,'Company1153 Assumptions'!$C$55:$C$57,0))/365</f>
      </c>
      <c r="K52" s="61"/>
    </row>
    <row r="53" spans="1:11" ht="15.75" customHeight="1" x14ac:dyDescent="0.2">
      <c r="A53" s="61"/>
      <c r="B53" s="13" t="s">
        <v>68</v>
      </c>
      <c r="C53" s="76">
        <v>8500</v>
      </c>
      <c r="D53" s="66">
        <f>C53*(1+'Company1153 Assumptions'!E$63)</f>
      </c>
      <c r="E53" s="66">
        <f>D53*(1+'Company1153 Assumptions'!F$63)</f>
      </c>
      <c r="F53" s="66">
        <f>E53*(1+'Company1153 Assumptions'!G$63)</f>
      </c>
      <c r="G53" s="66">
        <f>F53*(1+'Company1153 Assumptions'!H$63)</f>
      </c>
      <c r="H53" s="66">
        <f>G53*(1+'Company1153 Assumptions'!I$63)</f>
      </c>
      <c r="I53" s="66">
        <f>H53*(1+'Company1153 Assumptions'!J$63)</f>
      </c>
      <c r="J53" s="66">
        <f>I53*(1+'Company1153 Assumptions'!K$63)</f>
      </c>
      <c r="K53" s="61"/>
    </row>
    <row r="54" spans="1:11" ht="15.75" customHeight="1" x14ac:dyDescent="0.2">
      <c r="A54" s="61"/>
      <c r="B54" s="14" t="s">
        <v>69</v>
      </c>
      <c r="C54" s="78">
        <f t="shared" ref="C54:J54" si="11">SUM(C51:C53)</f>
      </c>
      <c r="D54" s="78">
        <f t="shared" ca="1" si="11"/>
      </c>
      <c r="E54" s="78">
        <f t="shared" ca="1" si="11"/>
      </c>
      <c r="F54" s="78">
        <f t="shared" ca="1" si="11"/>
      </c>
      <c r="G54" s="78">
        <f t="shared" ca="1" si="11"/>
      </c>
      <c r="H54" s="78">
        <f t="shared" ca="1" si="11"/>
      </c>
      <c r="I54" s="78">
        <f t="shared" ca="1" si="11"/>
      </c>
      <c r="J54" s="78">
        <f t="shared" ca="1" si="11"/>
      </c>
      <c r="K54" s="61"/>
    </row>
    <row r="55" spans="1:11" ht="15.75" customHeight="1" x14ac:dyDescent="0.2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</row>
    <row r="56" spans="1:11" ht="15.75" customHeight="1" x14ac:dyDescent="0.2">
      <c r="A56" s="61"/>
      <c r="B56" s="12" t="s">
        <v>70</v>
      </c>
      <c r="C56" s="61"/>
      <c r="D56" s="61"/>
      <c r="E56" s="61"/>
      <c r="F56" s="61"/>
      <c r="G56" s="61"/>
      <c r="H56" s="61"/>
      <c r="I56" s="61"/>
      <c r="J56" s="61"/>
      <c r="K56" s="61"/>
    </row>
    <row r="57" spans="1:11" ht="15" customHeight="1" x14ac:dyDescent="0.2">
      <c r="A57" s="61"/>
      <c r="B57" s="13" t="s">
        <v>71</v>
      </c>
      <c r="C57" s="76">
        <v>80000</v>
      </c>
      <c r="D57" s="77">
        <f>C57+D97</f>
      </c>
      <c r="E57" s="77">
        <f t="shared" ref="E57:J57" si="12">D57+E97</f>
      </c>
      <c r="F57" s="77">
        <f t="shared" si="12"/>
      </c>
      <c r="G57" s="77">
        <f t="shared" si="12"/>
      </c>
      <c r="H57" s="77">
        <f t="shared" si="12"/>
      </c>
      <c r="I57" s="77">
        <f t="shared" si="12"/>
      </c>
      <c r="J57" s="77">
        <f t="shared" si="12"/>
      </c>
      <c r="K57" s="61"/>
    </row>
    <row r="58" spans="1:11" ht="15" customHeight="1" x14ac:dyDescent="0.2">
      <c r="A58" s="61"/>
      <c r="B58" s="13" t="s">
        <v>72</v>
      </c>
      <c r="C58" s="76">
        <v>25000</v>
      </c>
      <c r="D58" s="77">
        <f>C58+D89</f>
      </c>
      <c r="E58" s="77">
        <f t="shared" ref="E58:J58" si="13">D58+E89</f>
      </c>
      <c r="F58" s="77">
        <f t="shared" si="13"/>
      </c>
      <c r="G58" s="77">
        <f t="shared" si="13"/>
      </c>
      <c r="H58" s="77">
        <f t="shared" si="13"/>
      </c>
      <c r="I58" s="77">
        <f t="shared" si="13"/>
      </c>
      <c r="J58" s="77">
        <f t="shared" si="13"/>
      </c>
      <c r="K58" s="61"/>
    </row>
    <row r="59" spans="1:11" ht="15.75" customHeight="1" x14ac:dyDescent="0.2">
      <c r="A59" s="61"/>
      <c r="B59" s="79" t="s">
        <v>226</v>
      </c>
      <c r="C59" s="80">
        <f>C57-C58</f>
      </c>
      <c r="D59" s="80">
        <f>D57-D58</f>
      </c>
      <c r="E59" s="80">
        <f t="shared" ref="E59:J59" si="14">E57-E58</f>
      </c>
      <c r="F59" s="80">
        <f t="shared" si="14"/>
      </c>
      <c r="G59" s="80">
        <f t="shared" si="14"/>
      </c>
      <c r="H59" s="80">
        <f t="shared" si="14"/>
      </c>
      <c r="I59" s="80">
        <f t="shared" si="14"/>
      </c>
      <c r="J59" s="80">
        <f t="shared" si="14"/>
      </c>
      <c r="K59" s="61"/>
    </row>
    <row r="60" spans="1:11" ht="15.75" customHeight="1" x14ac:dyDescent="0.2">
      <c r="A60" s="61"/>
      <c r="B60" s="15"/>
      <c r="C60" s="77"/>
      <c r="D60" s="77"/>
      <c r="E60" s="77"/>
      <c r="F60" s="77"/>
      <c r="G60" s="77"/>
      <c r="H60" s="77"/>
      <c r="I60" s="77"/>
      <c r="J60" s="77"/>
      <c r="K60" s="61"/>
    </row>
    <row r="61" spans="1:11" ht="15.75" customHeight="1" x14ac:dyDescent="0.2">
      <c r="A61" s="61"/>
      <c r="B61" s="13" t="s">
        <v>73</v>
      </c>
      <c r="C61" s="76">
        <v>35000</v>
      </c>
      <c r="D61" s="66">
        <f>C61*(1+'Company1153 Assumptions'!E$64)</f>
      </c>
      <c r="E61" s="66">
        <f>D61*(1+'Company1153 Assumptions'!F$64)</f>
      </c>
      <c r="F61" s="66">
        <f>E61*(1+'Company1153 Assumptions'!G$64)</f>
      </c>
      <c r="G61" s="66">
        <f>F61*(1+'Company1153 Assumptions'!H$64)</f>
      </c>
      <c r="H61" s="66">
        <f>G61*(1+'Company1153 Assumptions'!I$64)</f>
      </c>
      <c r="I61" s="66">
        <f>H61*(1+'Company1153 Assumptions'!J$64)</f>
      </c>
      <c r="J61" s="66">
        <f>I61*(1+'Company1153 Assumptions'!K$64)</f>
      </c>
      <c r="K61" s="61"/>
    </row>
    <row r="62" spans="1:11" ht="15.75" customHeight="1" x14ac:dyDescent="0.2">
      <c r="A62" s="61"/>
      <c r="B62" s="14" t="s">
        <v>74</v>
      </c>
      <c r="C62" s="78">
        <f t="shared" ref="C62:J62" si="15">C59+C61</f>
      </c>
      <c r="D62" s="78">
        <f t="shared" si="15"/>
      </c>
      <c r="E62" s="78">
        <f t="shared" si="15"/>
      </c>
      <c r="F62" s="78">
        <f t="shared" si="15"/>
      </c>
      <c r="G62" s="78">
        <f t="shared" si="15"/>
      </c>
      <c r="H62" s="78">
        <f t="shared" si="15"/>
      </c>
      <c r="I62" s="78">
        <f t="shared" si="15"/>
      </c>
      <c r="J62" s="78">
        <f t="shared" si="15"/>
      </c>
      <c r="K62" s="61"/>
    </row>
    <row r="63" spans="1:11" ht="15.75" customHeight="1" thickBot="1" x14ac:dyDescent="0.2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</row>
    <row r="64" spans="1:11" ht="15" customHeight="1" thickBot="1" x14ac:dyDescent="0.25">
      <c r="A64" s="61"/>
      <c r="B64" s="10" t="s">
        <v>75</v>
      </c>
      <c r="C64" s="81">
        <f t="shared" ref="C64:J64" si="16">C54+C62</f>
      </c>
      <c r="D64" s="81">
        <f t="shared" ca="1" si="16"/>
      </c>
      <c r="E64" s="81">
        <f t="shared" ca="1" si="16"/>
      </c>
      <c r="F64" s="81">
        <f t="shared" ca="1" si="16"/>
      </c>
      <c r="G64" s="81">
        <f t="shared" ca="1" si="16"/>
      </c>
      <c r="H64" s="81">
        <f t="shared" ca="1" si="16"/>
      </c>
      <c r="I64" s="81">
        <f t="shared" ca="1" si="16"/>
      </c>
      <c r="J64" s="81">
        <f t="shared" ca="1" si="16"/>
      </c>
      <c r="K64" s="61"/>
    </row>
    <row r="65" spans="1:11" ht="15.75" customHeight="1" thickTop="1" x14ac:dyDescent="0.2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</row>
    <row r="66" spans="1:11" ht="15" customHeight="1" x14ac:dyDescent="0.2">
      <c r="A66" s="61"/>
      <c r="B66" s="11" t="s">
        <v>76</v>
      </c>
      <c r="C66" s="11"/>
      <c r="D66" s="11"/>
      <c r="E66" s="11"/>
      <c r="F66" s="11"/>
      <c r="G66" s="11"/>
      <c r="H66" s="11"/>
      <c r="I66" s="11"/>
      <c r="J66" s="11"/>
      <c r="K66" s="61"/>
    </row>
    <row r="67" spans="1:11" ht="15" customHeight="1" x14ac:dyDescent="0.2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</row>
    <row r="68" spans="1:11" ht="15" customHeight="1" x14ac:dyDescent="0.2">
      <c r="A68" s="61"/>
      <c r="B68" s="12" t="s">
        <v>77</v>
      </c>
      <c r="C68" s="61"/>
      <c r="D68" s="61"/>
      <c r="E68" s="61"/>
      <c r="F68" s="61"/>
      <c r="G68" s="61"/>
      <c r="H68" s="61"/>
      <c r="I68" s="61"/>
      <c r="J68" s="61"/>
      <c r="K68" s="61"/>
    </row>
    <row r="69" spans="1:11" ht="15" customHeight="1" x14ac:dyDescent="0.2">
      <c r="A69" s="61"/>
      <c r="B69" s="13" t="s">
        <v>78</v>
      </c>
      <c r="C69" s="66">
        <f>(C19+C23+C24+C25)*INDEX('Company1153 Assumptions'!D$59:D$61,MATCH($D$5,'Company1153 Assumptions'!$C$59:$C$61,0))/365</f>
      </c>
      <c r="D69" s="66">
        <f>(D19+D23+D24+D25)*INDEX('Company1153 Assumptions'!E$59:E$61,MATCH($D$5,'Company1153 Assumptions'!$C$59:$C$61,0))/365</f>
      </c>
      <c r="E69" s="66">
        <f>(E19+E23+E24+E25)*INDEX('Company1153 Assumptions'!F$59:F$61,MATCH($D$5,'Company1153 Assumptions'!$C$59:$C$61,0))/365</f>
      </c>
      <c r="F69" s="66">
        <f>(F19+F23+F24+F25)*INDEX('Company1153 Assumptions'!G$59:G$61,MATCH($D$5,'Company1153 Assumptions'!$C$59:$C$61,0))/365</f>
      </c>
      <c r="G69" s="66">
        <f>(G19+G23+G24+G25)*INDEX('Company1153 Assumptions'!H$59:H$61,MATCH($D$5,'Company1153 Assumptions'!$C$59:$C$61,0))/365</f>
      </c>
      <c r="H69" s="66">
        <f>(H19+H23+H24+H25)*INDEX('Company1153 Assumptions'!I$59:I$61,MATCH($D$5,'Company1153 Assumptions'!$C$59:$C$61,0))/365</f>
      </c>
      <c r="I69" s="66">
        <f>(I19+I23+I24+I25)*INDEX('Company1153 Assumptions'!J$59:J$61,MATCH($D$5,'Company1153 Assumptions'!$C$59:$C$61,0))/365</f>
      </c>
      <c r="J69" s="66">
        <f>(J19+J23+J24+J25)*INDEX('Company1153 Assumptions'!K$59:K$61,MATCH($D$5,'Company1153 Assumptions'!$C$59:$C$61,0))/365</f>
      </c>
      <c r="K69" s="61"/>
    </row>
    <row r="70" spans="1:11" ht="15.75" customHeight="1" x14ac:dyDescent="0.2">
      <c r="A70" s="61"/>
      <c r="B70" s="13" t="s">
        <v>79</v>
      </c>
      <c r="C70" s="76">
        <v>12000</v>
      </c>
      <c r="D70" s="66">
        <f>C70*(1+'Company1153 Assumptions'!E$65)</f>
      </c>
      <c r="E70" s="66">
        <f>D70*(1+'Company1153 Assumptions'!F$65)</f>
      </c>
      <c r="F70" s="66">
        <f>E70*(1+'Company1153 Assumptions'!G$65)</f>
      </c>
      <c r="G70" s="66">
        <f>F70*(1+'Company1153 Assumptions'!H$65)</f>
      </c>
      <c r="H70" s="66">
        <f>G70*(1+'Company1153 Assumptions'!I$65)</f>
      </c>
      <c r="I70" s="66">
        <f>H70*(1+'Company1153 Assumptions'!J$65)</f>
      </c>
      <c r="J70" s="66">
        <f>I70*(1+'Company1153 Assumptions'!K$65)</f>
      </c>
      <c r="K70" s="61"/>
    </row>
    <row r="71" spans="1:11" ht="15.75" customHeight="1" x14ac:dyDescent="0.2">
      <c r="A71" s="61"/>
      <c r="B71" s="14" t="s">
        <v>80</v>
      </c>
      <c r="C71" s="78">
        <f t="shared" ref="C71:J71" si="17">SUM(C69:C70)</f>
      </c>
      <c r="D71" s="78">
        <f t="shared" si="17"/>
      </c>
      <c r="E71" s="78">
        <f t="shared" si="17"/>
      </c>
      <c r="F71" s="78">
        <f t="shared" si="17"/>
      </c>
      <c r="G71" s="78">
        <f t="shared" si="17"/>
      </c>
      <c r="H71" s="78">
        <f t="shared" si="17"/>
      </c>
      <c r="I71" s="78">
        <f t="shared" si="17"/>
      </c>
      <c r="J71" s="78">
        <f t="shared" si="17"/>
      </c>
      <c r="K71" s="61"/>
    </row>
    <row r="72" spans="1:11" ht="15.75" customHeight="1" x14ac:dyDescent="0.2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</row>
    <row r="73" spans="1:11" ht="15" customHeight="1" x14ac:dyDescent="0.2">
      <c r="A73" s="61"/>
      <c r="B73" s="12" t="s">
        <v>81</v>
      </c>
      <c r="C73" s="76">
        <v>15000</v>
      </c>
      <c r="D73" s="76">
        <v>14000</v>
      </c>
      <c r="E73" s="76">
        <v>13000</v>
      </c>
      <c r="F73" s="76">
        <v>12500</v>
      </c>
      <c r="G73" s="76">
        <v>12000</v>
      </c>
      <c r="H73" s="76">
        <v>11500</v>
      </c>
      <c r="I73" s="76">
        <v>11000</v>
      </c>
      <c r="J73" s="76">
        <v>10500</v>
      </c>
      <c r="K73" s="61"/>
    </row>
    <row r="74" spans="1:11" ht="15.75" customHeight="1" x14ac:dyDescent="0.2">
      <c r="A74" s="61"/>
      <c r="B74" s="14" t="s">
        <v>82</v>
      </c>
      <c r="C74" s="78">
        <f t="shared" ref="C74:J74" si="18">C71+C73</f>
      </c>
      <c r="D74" s="78">
        <f t="shared" si="18"/>
      </c>
      <c r="E74" s="78">
        <f t="shared" si="18"/>
      </c>
      <c r="F74" s="78">
        <f t="shared" si="18"/>
      </c>
      <c r="G74" s="78">
        <f t="shared" si="18"/>
      </c>
      <c r="H74" s="78">
        <f t="shared" si="18"/>
      </c>
      <c r="I74" s="78">
        <f t="shared" si="18"/>
      </c>
      <c r="J74" s="78">
        <f t="shared" si="18"/>
      </c>
      <c r="K74" s="61"/>
    </row>
    <row r="75" spans="1:11" ht="15.75" customHeight="1" x14ac:dyDescent="0.2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</row>
    <row r="76" spans="1:11" ht="15" customHeight="1" x14ac:dyDescent="0.2">
      <c r="A76" s="61"/>
      <c r="B76" s="12" t="s">
        <v>83</v>
      </c>
      <c r="C76" s="61"/>
      <c r="D76" s="61"/>
      <c r="E76" s="61"/>
      <c r="F76" s="61"/>
      <c r="G76" s="61"/>
      <c r="H76" s="61"/>
      <c r="I76" s="61"/>
      <c r="J76" s="61"/>
      <c r="K76" s="61"/>
    </row>
    <row r="77" spans="1:11" ht="15" customHeight="1" x14ac:dyDescent="0.2">
      <c r="A77" s="61"/>
      <c r="B77" s="13" t="s">
        <v>227</v>
      </c>
      <c r="C77" s="76">
        <v>50000</v>
      </c>
      <c r="D77" s="77">
        <f>C77+D90</f>
      </c>
      <c r="E77" s="77">
        <f t="shared" ref="E77:J77" si="19">D77+E90</f>
      </c>
      <c r="F77" s="77">
        <f t="shared" si="19"/>
      </c>
      <c r="G77" s="77">
        <f t="shared" si="19"/>
      </c>
      <c r="H77" s="77">
        <f t="shared" si="19"/>
      </c>
      <c r="I77" s="77">
        <f t="shared" si="19"/>
      </c>
      <c r="J77" s="77">
        <f t="shared" si="19"/>
      </c>
      <c r="K77" s="61"/>
    </row>
    <row r="78" spans="1:11" ht="15.75" customHeight="1" x14ac:dyDescent="0.2">
      <c r="A78" s="61"/>
      <c r="B78" s="13" t="s">
        <v>228</v>
      </c>
      <c r="C78" s="76">
        <v>24855.843769863</v>
      </c>
      <c r="D78" s="77">
        <f ca="1">C78+D102</f>
      </c>
      <c r="E78" s="77">
        <f t="shared" ref="E78:J78" ca="1" si="20">D78+E102</f>
      </c>
      <c r="F78" s="77">
        <f t="shared" ca="1" si="20"/>
      </c>
      <c r="G78" s="77">
        <f t="shared" ca="1" si="20"/>
      </c>
      <c r="H78" s="77">
        <f t="shared" ca="1" si="20"/>
      </c>
      <c r="I78" s="77">
        <f t="shared" ca="1" si="20"/>
      </c>
      <c r="J78" s="77">
        <f t="shared" ca="1" si="20"/>
      </c>
      <c r="K78" s="61"/>
    </row>
    <row r="79" spans="1:11" ht="15.75" customHeight="1" x14ac:dyDescent="0.2">
      <c r="A79" s="61"/>
      <c r="B79" s="13" t="s">
        <v>84</v>
      </c>
      <c r="C79" s="76">
        <v>150000</v>
      </c>
      <c r="D79" s="77">
        <f ca="1">C79+D88</f>
      </c>
      <c r="E79" s="77">
        <f t="shared" ref="E79:J79" ca="1" si="21">D79+E88</f>
      </c>
      <c r="F79" s="77">
        <f t="shared" ca="1" si="21"/>
      </c>
      <c r="G79" s="77">
        <f t="shared" ca="1" si="21"/>
      </c>
      <c r="H79" s="77">
        <f t="shared" ca="1" si="21"/>
      </c>
      <c r="I79" s="77">
        <f t="shared" ca="1" si="21"/>
      </c>
      <c r="J79" s="77">
        <f t="shared" ca="1" si="21"/>
      </c>
      <c r="K79" s="61"/>
    </row>
    <row r="80" spans="1:11" ht="15.75" customHeight="1" x14ac:dyDescent="0.2">
      <c r="A80" s="61"/>
      <c r="B80" s="14" t="s">
        <v>85</v>
      </c>
      <c r="C80" s="78">
        <f>C77-C78+C79</f>
      </c>
      <c r="D80" s="78">
        <f t="shared" ref="D80:J80" ca="1" si="22">D77-D78+D79</f>
      </c>
      <c r="E80" s="78">
        <f t="shared" ca="1" si="22"/>
      </c>
      <c r="F80" s="78">
        <f t="shared" ca="1" si="22"/>
      </c>
      <c r="G80" s="78">
        <f t="shared" ca="1" si="22"/>
      </c>
      <c r="H80" s="78">
        <f t="shared" ca="1" si="22"/>
      </c>
      <c r="I80" s="78">
        <f t="shared" ca="1" si="22"/>
      </c>
      <c r="J80" s="78">
        <f t="shared" ca="1" si="22"/>
      </c>
      <c r="K80" s="61"/>
    </row>
    <row r="81" spans="1:11" ht="15" customHeight="1" thickBot="1" x14ac:dyDescent="0.2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</row>
    <row r="82" spans="1:11" ht="15.75" customHeight="1" thickBot="1" x14ac:dyDescent="0.25">
      <c r="A82" s="61"/>
      <c r="B82" s="10" t="s">
        <v>86</v>
      </c>
      <c r="C82" s="81">
        <f t="shared" ref="C82:J82" si="23">C74+C80</f>
      </c>
      <c r="D82" s="81">
        <f t="shared" ca="1" si="23"/>
      </c>
      <c r="E82" s="81">
        <f t="shared" ca="1" si="23"/>
      </c>
      <c r="F82" s="81">
        <f t="shared" ca="1" si="23"/>
      </c>
      <c r="G82" s="81">
        <f t="shared" ca="1" si="23"/>
      </c>
      <c r="H82" s="81">
        <f t="shared" ca="1" si="23"/>
      </c>
      <c r="I82" s="81">
        <f t="shared" ca="1" si="23"/>
      </c>
      <c r="J82" s="81">
        <f t="shared" ca="1" si="23"/>
      </c>
      <c r="K82" s="61"/>
    </row>
    <row r="83" spans="1:11" ht="15" customHeight="1" thickTop="1" x14ac:dyDescent="0.2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</row>
    <row r="84" spans="1:11" ht="15.75" customHeight="1" x14ac:dyDescent="0.2">
      <c r="A84" s="61"/>
      <c r="B84" s="16" t="s">
        <v>87</v>
      </c>
      <c r="C84" s="77">
        <f t="shared" ref="C84:J84" si="24">C64-C82</f>
      </c>
      <c r="D84" s="77">
        <f t="shared" ca="1" si="24"/>
      </c>
      <c r="E84" s="77">
        <f t="shared" ca="1" si="24"/>
      </c>
      <c r="F84" s="77">
        <f t="shared" ca="1" si="24"/>
      </c>
      <c r="G84" s="77">
        <f t="shared" ca="1" si="24"/>
      </c>
      <c r="H84" s="77">
        <f t="shared" ca="1" si="24"/>
      </c>
      <c r="I84" s="77">
        <f t="shared" ca="1" si="24"/>
      </c>
      <c r="J84" s="77">
        <f t="shared" ca="1" si="24"/>
      </c>
      <c r="K84" s="61"/>
    </row>
    <row r="85" spans="1:11" ht="15" customHeight="1" thickBot="1" x14ac:dyDescent="0.2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</row>
    <row r="86" spans="1:11" ht="15.75" customHeight="1" thickBot="1" x14ac:dyDescent="0.25">
      <c r="A86" s="61"/>
      <c r="B86" s="75" t="s">
        <v>88</v>
      </c>
      <c r="C86" s="75"/>
      <c r="D86" s="75"/>
      <c r="E86" s="75"/>
      <c r="F86" s="75"/>
      <c r="G86" s="75"/>
      <c r="H86" s="75"/>
      <c r="I86" s="75"/>
      <c r="J86" s="75"/>
      <c r="K86" s="61"/>
    </row>
    <row r="87" spans="1:11" ht="13.5" customHeight="1" x14ac:dyDescent="0.2">
      <c r="A87" s="61"/>
      <c r="B87" s="12" t="s">
        <v>89</v>
      </c>
      <c r="C87" s="61"/>
      <c r="D87" s="61"/>
      <c r="E87" s="61"/>
      <c r="F87" s="61"/>
      <c r="G87" s="61"/>
      <c r="H87" s="61"/>
      <c r="I87" s="61"/>
      <c r="J87" s="61"/>
      <c r="K87" s="61"/>
    </row>
    <row r="88" spans="1:11" ht="15.75" customHeight="1" x14ac:dyDescent="0.2">
      <c r="A88" s="61"/>
      <c r="B88" s="13" t="s">
        <v>90</v>
      </c>
      <c r="C88" s="77"/>
      <c r="D88" s="77" cm="1">
        <f t="array" aca="1" ref="D88" ca="1">D37</f>
      </c>
      <c r="E88" s="77" cm="1">
        <f t="array" aca="1" ref="E88" ca="1">E37</f>
      </c>
      <c r="F88" s="77" cm="1">
        <f t="array" aca="1" ref="F88" ca="1">F37</f>
      </c>
      <c r="G88" s="77" cm="1">
        <f t="array" aca="1" ref="G88" ca="1">G37</f>
      </c>
      <c r="H88" s="77" cm="1">
        <f t="array" aca="1" ref="H88" ca="1">H37</f>
      </c>
      <c r="I88" s="77" cm="1">
        <f t="array" aca="1" ref="I88" ca="1">I37</f>
      </c>
      <c r="J88" s="77" cm="1">
        <f t="array" aca="1" ref="J88" ca="1">J37</f>
      </c>
      <c r="K88" s="61"/>
    </row>
    <row r="89" spans="1:11" ht="15.75" customHeight="1" x14ac:dyDescent="0.2">
      <c r="A89" s="61"/>
      <c r="B89" s="13" t="s">
        <v>91</v>
      </c>
      <c r="C89" s="76"/>
      <c r="D89" s="66">
        <f>C$97*INDEX('Company1153 Assumptions'!E$73:E$75,MATCH($D$5,'Company1153 Assumptions'!$C$73:$C$75,0))</f>
      </c>
      <c r="E89" s="66">
        <f>D$97*INDEX('Company1153 Assumptions'!F$73:F$75,MATCH($D$5,'Company1153 Assumptions'!$C$73:$C$75,0))</f>
      </c>
      <c r="F89" s="66">
        <f>E$97*INDEX('Company1153 Assumptions'!G$73:G$75,MATCH($D$5,'Company1153 Assumptions'!$C$73:$C$75,0))</f>
      </c>
      <c r="G89" s="66">
        <f>F$97*INDEX('Company1153 Assumptions'!H$73:H$75,MATCH($D$5,'Company1153 Assumptions'!$C$73:$C$75,0))</f>
      </c>
      <c r="H89" s="66">
        <f>G$97*INDEX('Company1153 Assumptions'!I$73:I$75,MATCH($D$5,'Company1153 Assumptions'!$C$73:$C$75,0))</f>
      </c>
      <c r="I89" s="66">
        <f>H$97*INDEX('Company1153 Assumptions'!J$73:J$75,MATCH($D$5,'Company1153 Assumptions'!$C$73:$C$75,0))</f>
      </c>
      <c r="J89" s="66">
        <f>I$97*INDEX('Company1153 Assumptions'!K$73:K$75,MATCH($D$5,'Company1153 Assumptions'!$C$73:$C$75,0))</f>
      </c>
      <c r="K89" s="61"/>
    </row>
    <row r="90" spans="1:11" ht="15.75" customHeight="1" x14ac:dyDescent="0.2">
      <c r="A90" s="61"/>
      <c r="B90" s="13" t="s">
        <v>92</v>
      </c>
      <c r="C90" s="77"/>
      <c r="D90" s="77" cm="1">
        <f t="array" ref="D90">D26</f>
      </c>
      <c r="E90" s="77" cm="1">
        <f t="array" ref="E90">E26</f>
      </c>
      <c r="F90" s="77" cm="1">
        <f t="array" ref="F90">F26</f>
      </c>
      <c r="G90" s="77" cm="1">
        <f t="array" ref="G90">G26</f>
      </c>
      <c r="H90" s="77" cm="1">
        <f t="array" ref="H90">H26</f>
      </c>
      <c r="I90" s="77" cm="1">
        <f t="array" ref="I90">I26</f>
      </c>
      <c r="J90" s="77" cm="1">
        <f t="array" ref="J90">J26</f>
      </c>
      <c r="K90" s="61"/>
    </row>
    <row r="91" spans="1:11" ht="15" customHeight="1" x14ac:dyDescent="0.2">
      <c r="A91" s="61"/>
      <c r="B91" s="17" t="s">
        <v>93</v>
      </c>
      <c r="C91" s="61"/>
      <c r="D91" s="61"/>
      <c r="E91" s="61"/>
      <c r="F91" s="61"/>
      <c r="G91" s="61"/>
      <c r="H91" s="61"/>
      <c r="I91" s="61"/>
      <c r="J91" s="61"/>
      <c r="K91" s="61"/>
    </row>
    <row r="92" spans="1:11" ht="15.75" customHeight="1" x14ac:dyDescent="0.2">
      <c r="A92" s="61"/>
      <c r="B92" s="18" t="s">
        <v>106</v>
      </c>
      <c r="C92" s="61"/>
      <c r="D92" s="77">
        <f>-(SUM(D52:D53)-SUM(C52:C53))</f>
      </c>
      <c r="E92" s="77">
        <f t="shared" ref="E92:J92" si="25">-(SUM(E52:E53)-SUM(D52:D53))</f>
      </c>
      <c r="F92" s="77">
        <f t="shared" si="25"/>
      </c>
      <c r="G92" s="77">
        <f t="shared" si="25"/>
      </c>
      <c r="H92" s="77">
        <f t="shared" si="25"/>
      </c>
      <c r="I92" s="77">
        <f t="shared" si="25"/>
      </c>
      <c r="J92" s="77">
        <f t="shared" si="25"/>
      </c>
      <c r="K92" s="61"/>
    </row>
    <row r="93" spans="1:11" ht="15.75" customHeight="1" x14ac:dyDescent="0.2">
      <c r="A93" s="61"/>
      <c r="B93" s="18" t="s">
        <v>107</v>
      </c>
      <c r="C93" s="61"/>
      <c r="D93" s="77">
        <f t="shared" ref="D93:J93" si="26">SUM(D69:D70)-SUM(C69:C70)</f>
      </c>
      <c r="E93" s="77">
        <f t="shared" si="26"/>
      </c>
      <c r="F93" s="77">
        <f t="shared" si="26"/>
      </c>
      <c r="G93" s="77">
        <f t="shared" si="26"/>
      </c>
      <c r="H93" s="77">
        <f t="shared" si="26"/>
      </c>
      <c r="I93" s="77">
        <f t="shared" si="26"/>
      </c>
      <c r="J93" s="77">
        <f t="shared" si="26"/>
      </c>
      <c r="K93" s="61"/>
    </row>
    <row r="94" spans="1:11" ht="15.75" customHeight="1" x14ac:dyDescent="0.2">
      <c r="A94" s="61"/>
      <c r="B94" s="19" t="s">
        <v>94</v>
      </c>
      <c r="C94" s="78"/>
      <c r="D94" s="78">
        <f t="shared" ref="D94:J94" ca="1" si="27">SUM(D88:D93)</f>
      </c>
      <c r="E94" s="78">
        <f t="shared" ca="1" si="27"/>
      </c>
      <c r="F94" s="78">
        <f t="shared" ca="1" si="27"/>
      </c>
      <c r="G94" s="78">
        <f t="shared" ca="1" si="27"/>
      </c>
      <c r="H94" s="78">
        <f t="shared" ca="1" si="27"/>
      </c>
      <c r="I94" s="78">
        <f t="shared" ca="1" si="27"/>
      </c>
      <c r="J94" s="78">
        <f t="shared" ca="1" si="27"/>
      </c>
      <c r="K94" s="61"/>
    </row>
    <row r="95" spans="1:11" ht="15" customHeight="1" x14ac:dyDescent="0.2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</row>
    <row r="96" spans="1:11" ht="15" customHeight="1" x14ac:dyDescent="0.2">
      <c r="A96" s="61"/>
      <c r="B96" s="12" t="s">
        <v>95</v>
      </c>
      <c r="C96" s="61"/>
      <c r="D96" s="61"/>
      <c r="E96" s="61"/>
      <c r="F96" s="61"/>
      <c r="G96" s="61"/>
      <c r="H96" s="61"/>
      <c r="I96" s="61"/>
      <c r="J96" s="61"/>
      <c r="K96" s="61"/>
    </row>
    <row r="97" spans="1:11" ht="15.75" customHeight="1" x14ac:dyDescent="0.2">
      <c r="A97" s="61"/>
      <c r="B97" s="13" t="s">
        <v>96</v>
      </c>
      <c r="C97" s="66">
        <f>C$16*INDEX('Company1153 Assumptions'!D$69:D$71,MATCH($D$5,'Company1153 Assumptions'!$C$69:$C$71,0))</f>
      </c>
      <c r="D97" s="66">
        <f>D$16*INDEX('Company1153 Assumptions'!E$69:E$71,MATCH($D$5,'Company1153 Assumptions'!$C$69:$C$71,0))</f>
      </c>
      <c r="E97" s="66">
        <f>E$16*INDEX('Company1153 Assumptions'!F$69:F$71,MATCH($D$5,'Company1153 Assumptions'!$C$69:$C$71,0))</f>
      </c>
      <c r="F97" s="66">
        <f>F$16*INDEX('Company1153 Assumptions'!G$69:G$71,MATCH($D$5,'Company1153 Assumptions'!$C$69:$C$71,0))</f>
      </c>
      <c r="G97" s="66">
        <f>G$16*INDEX('Company1153 Assumptions'!H$69:H$71,MATCH($D$5,'Company1153 Assumptions'!$C$69:$C$71,0))</f>
      </c>
      <c r="H97" s="66">
        <f>H$16*INDEX('Company1153 Assumptions'!I$69:I$71,MATCH($D$5,'Company1153 Assumptions'!$C$69:$C$71,0))</f>
      </c>
      <c r="I97" s="66">
        <f>I$16*INDEX('Company1153 Assumptions'!J$69:J$71,MATCH($D$5,'Company1153 Assumptions'!$C$69:$C$71,0))</f>
      </c>
      <c r="J97" s="66">
        <f>J$16*INDEX('Company1153 Assumptions'!K$69:K$71,MATCH($D$5,'Company1153 Assumptions'!$C$69:$C$71,0))</f>
      </c>
      <c r="K97" s="61"/>
    </row>
    <row r="98" spans="1:11" ht="15.75" customHeight="1" x14ac:dyDescent="0.2">
      <c r="A98" s="61"/>
      <c r="B98" s="13" t="s">
        <v>229</v>
      </c>
      <c r="C98" s="66"/>
      <c r="D98" s="77">
        <f>D61-C61</f>
      </c>
      <c r="E98" s="77">
        <f t="shared" ref="E98:J98" si="28">E61-D61</f>
      </c>
      <c r="F98" s="77">
        <f t="shared" si="28"/>
      </c>
      <c r="G98" s="77">
        <f t="shared" si="28"/>
      </c>
      <c r="H98" s="77">
        <f t="shared" si="28"/>
      </c>
      <c r="I98" s="77">
        <f t="shared" si="28"/>
      </c>
      <c r="J98" s="77">
        <f t="shared" si="28"/>
      </c>
      <c r="K98" s="61"/>
    </row>
    <row r="99" spans="1:11" ht="15" customHeight="1" x14ac:dyDescent="0.2">
      <c r="A99" s="61"/>
      <c r="B99" s="19" t="s">
        <v>97</v>
      </c>
      <c r="C99" s="78"/>
      <c r="D99" s="78">
        <f>-D97-D98</f>
      </c>
      <c r="E99" s="78">
        <f t="shared" ref="E99:J99" si="29">-E97-E98</f>
      </c>
      <c r="F99" s="78">
        <f t="shared" si="29"/>
      </c>
      <c r="G99" s="78">
        <f t="shared" si="29"/>
      </c>
      <c r="H99" s="78">
        <f t="shared" si="29"/>
      </c>
      <c r="I99" s="78">
        <f t="shared" si="29"/>
      </c>
      <c r="J99" s="78">
        <f t="shared" si="29"/>
      </c>
      <c r="K99" s="61"/>
    </row>
    <row r="100" spans="1:11" ht="13.5" customHeight="1" x14ac:dyDescent="0.2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</row>
    <row r="101" spans="1:11" ht="15.75" customHeight="1" x14ac:dyDescent="0.2">
      <c r="A101" s="61"/>
      <c r="B101" s="12" t="s">
        <v>98</v>
      </c>
      <c r="C101" s="61"/>
      <c r="D101" s="61"/>
      <c r="E101" s="61"/>
      <c r="F101" s="61"/>
      <c r="G101" s="61"/>
      <c r="H101" s="61"/>
      <c r="I101" s="61"/>
      <c r="J101" s="61"/>
      <c r="K101" s="61"/>
    </row>
    <row r="102" spans="1:11" ht="15.75" customHeight="1" x14ac:dyDescent="0.2">
      <c r="A102" s="61"/>
      <c r="B102" s="13" t="s">
        <v>99</v>
      </c>
      <c r="C102" s="82"/>
      <c r="D102" s="66">
        <f ca="1">MAX(D94+D99,0)*INDEX('Company1153 Assumptions'!E$98:E$100,MATCH($D$5,'Company1153 Assumptions'!$C$98:$C$100,0))</f>
      </c>
      <c r="E102" s="66">
        <f ca="1">MAX(E94+E99,0)*INDEX('Company1153 Assumptions'!F$98:F$100,MATCH($D$5,'Company1153 Assumptions'!$C$98:$C$100,0))</f>
      </c>
      <c r="F102" s="66">
        <f ca="1">MAX(F94+F99,0)*INDEX('Company1153 Assumptions'!G$98:G$100,MATCH($D$5,'Company1153 Assumptions'!$C$98:$C$100,0))</f>
      </c>
      <c r="G102" s="66">
        <f ca="1">MAX(G94+G99,0)*INDEX('Company1153 Assumptions'!H$98:H$100,MATCH($D$5,'Company1153 Assumptions'!$C$98:$C$100,0))</f>
      </c>
      <c r="H102" s="66">
        <f ca="1">MAX(H94+H99,0)*INDEX('Company1153 Assumptions'!I$98:I$100,MATCH($D$5,'Company1153 Assumptions'!$C$98:$C$100,0))</f>
      </c>
      <c r="I102" s="66">
        <f ca="1">MAX(I94+I99,0)*INDEX('Company1153 Assumptions'!J$98:J$100,MATCH($D$5,'Company1153 Assumptions'!$C$98:$C$100,0))</f>
      </c>
      <c r="J102" s="66">
        <f ca="1">MAX(J94+J99,0)*INDEX('Company1153 Assumptions'!K$98:K$100,MATCH($D$5,'Company1153 Assumptions'!$C$98:$C$100,0))</f>
      </c>
      <c r="K102" s="61"/>
    </row>
    <row r="103" spans="1:11" ht="15.75" customHeight="1" x14ac:dyDescent="0.2">
      <c r="A103" s="61"/>
      <c r="B103" s="13" t="s">
        <v>100</v>
      </c>
      <c r="C103" s="76"/>
      <c r="D103" s="77">
        <f>-D$73+C$73</f>
      </c>
      <c r="E103" s="77">
        <f t="shared" ref="E103:J103" si="30">-E$73+D$73</f>
      </c>
      <c r="F103" s="77">
        <f t="shared" si="30"/>
      </c>
      <c r="G103" s="77">
        <f t="shared" si="30"/>
      </c>
      <c r="H103" s="77">
        <f t="shared" si="30"/>
      </c>
      <c r="I103" s="77">
        <f t="shared" si="30"/>
      </c>
      <c r="J103" s="77">
        <f t="shared" si="30"/>
      </c>
      <c r="K103" s="61"/>
    </row>
    <row r="104" spans="1:11" ht="15" customHeight="1" x14ac:dyDescent="0.2">
      <c r="A104" s="61"/>
      <c r="B104" s="19" t="s">
        <v>101</v>
      </c>
      <c r="C104" s="78"/>
      <c r="D104" s="78">
        <f ca="1">-D102-D103</f>
      </c>
      <c r="E104" s="78">
        <f t="shared" ref="E104:J104" ca="1" si="31">-E102-E103</f>
      </c>
      <c r="F104" s="78">
        <f t="shared" ca="1" si="31"/>
      </c>
      <c r="G104" s="78">
        <f t="shared" ca="1" si="31"/>
      </c>
      <c r="H104" s="78">
        <f t="shared" ca="1" si="31"/>
      </c>
      <c r="I104" s="78">
        <f t="shared" ca="1" si="31"/>
      </c>
      <c r="J104" s="78">
        <f t="shared" ca="1" si="31"/>
      </c>
      <c r="K104" s="61"/>
    </row>
    <row r="105" spans="1:11" ht="15.75" customHeight="1" x14ac:dyDescent="0.2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</row>
    <row r="106" spans="1:11" ht="15.75" customHeight="1" x14ac:dyDescent="0.2">
      <c r="A106" s="61"/>
      <c r="B106" s="20" t="s">
        <v>102</v>
      </c>
      <c r="C106" s="77"/>
      <c r="D106" s="77">
        <f t="shared" ref="D106:J106" ca="1" si="32">D94+D99+D104</f>
      </c>
      <c r="E106" s="77">
        <f t="shared" ca="1" si="32"/>
      </c>
      <c r="F106" s="77">
        <f t="shared" ca="1" si="32"/>
      </c>
      <c r="G106" s="77">
        <f t="shared" ca="1" si="32"/>
      </c>
      <c r="H106" s="77">
        <f t="shared" ca="1" si="32"/>
      </c>
      <c r="I106" s="77">
        <f t="shared" ca="1" si="32"/>
      </c>
      <c r="J106" s="77">
        <f t="shared" ca="1" si="32"/>
      </c>
      <c r="K106" s="61"/>
    </row>
    <row r="107" spans="1:11" ht="15.75" customHeight="1" thickBot="1" x14ac:dyDescent="0.25">
      <c r="A107" s="61"/>
      <c r="B107" s="21" t="s">
        <v>103</v>
      </c>
      <c r="C107" s="77"/>
      <c r="D107" s="77">
        <f t="shared" ref="D107:J107" si="33">C$108</f>
      </c>
      <c r="E107" s="77">
        <f t="shared" ca="1" si="33"/>
      </c>
      <c r="F107" s="77">
        <f t="shared" ca="1" si="33"/>
      </c>
      <c r="G107" s="77">
        <f t="shared" ca="1" si="33"/>
      </c>
      <c r="H107" s="77">
        <f t="shared" ca="1" si="33"/>
      </c>
      <c r="I107" s="77">
        <f t="shared" ca="1" si="33"/>
      </c>
      <c r="J107" s="77">
        <f t="shared" ca="1" si="33"/>
      </c>
      <c r="K107" s="61"/>
    </row>
    <row r="108" spans="1:11" ht="15" customHeight="1" thickBot="1" x14ac:dyDescent="0.25">
      <c r="A108" s="61"/>
      <c r="B108" s="10" t="s">
        <v>104</v>
      </c>
      <c r="C108" s="81">
        <f>C51</f>
      </c>
      <c r="D108" s="81">
        <f t="shared" ref="D108:J108" ca="1" si="34">D106+D107</f>
      </c>
      <c r="E108" s="81">
        <f t="shared" ca="1" si="34"/>
      </c>
      <c r="F108" s="81">
        <f t="shared" ca="1" si="34"/>
      </c>
      <c r="G108" s="81">
        <f t="shared" ca="1" si="34"/>
      </c>
      <c r="H108" s="81">
        <f t="shared" ca="1" si="34"/>
      </c>
      <c r="I108" s="81">
        <f t="shared" ca="1" si="34"/>
      </c>
      <c r="J108" s="81">
        <f t="shared" ca="1" si="34"/>
      </c>
      <c r="K108" s="61"/>
    </row>
    <row r="109" spans="1:11" ht="15.75" customHeight="1" thickTop="1" x14ac:dyDescent="0.2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</row>
    <row r="110" spans="1:11" ht="15" customHeight="1" x14ac:dyDescent="0.2">
      <c r="A110" s="61"/>
      <c r="B110" s="16" t="s">
        <v>105</v>
      </c>
      <c r="C110" s="77">
        <f t="shared" ref="C110:J110" si="35">C108-C51</f>
      </c>
      <c r="D110" s="77">
        <f t="shared" ca="1" si="35"/>
      </c>
      <c r="E110" s="77">
        <f t="shared" ca="1" si="35"/>
      </c>
      <c r="F110" s="77">
        <f t="shared" ca="1" si="35"/>
      </c>
      <c r="G110" s="77">
        <f t="shared" ca="1" si="35"/>
      </c>
      <c r="H110" s="77">
        <f t="shared" ca="1" si="35"/>
      </c>
      <c r="I110" s="77">
        <f t="shared" ca="1" si="35"/>
      </c>
      <c r="J110" s="77">
        <f t="shared" ca="1" si="35"/>
      </c>
      <c r="K11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0"/>
  <sheetViews>
    <sheetView showGridLines="0" topLeftCell="A6" workbookViewId="0">
      <selection activeCell="C33" sqref="C33"/>
    </sheetView>
  </sheetViews>
  <sheetFormatPr baseColWidth="10" defaultColWidth="7.6640625" defaultRowHeight="15" customHeight="1" x14ac:dyDescent="0.2"/>
  <cols>
    <col min="2" max="2" width="22.5" customWidth="1"/>
    <col min="3" max="10" width="10" customWidth="1"/>
  </cols>
  <sheetData>
    <row r="2" spans="2:10" ht="18" customHeight="1" x14ac:dyDescent="0.2">
      <c r="B2" s="62" t="s">
        <v>61</v>
      </c>
    </row>
    <row r="3" spans="2:10" ht="13.5" customHeight="1" x14ac:dyDescent="0.2">
      <c r="B3" s="63" t="s">
        <v>44</v>
      </c>
    </row>
    <row r="5" spans="2:10" ht="15.75" customHeight="1" x14ac:dyDescent="0.2">
      <c r="B5" t="s">
        <v>3</v>
      </c>
      <c r="D5" s="83" t="str">
        <f>'Company1808 Assumptions'!D6</f>
      </c>
    </row>
    <row r="7" spans="2:10" ht="13.5" customHeight="1" x14ac:dyDescent="0.2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">
      <c r="B8" s="61"/>
      <c r="C8" s="64">
        <v>2021</v>
      </c>
      <c r="D8" s="64">
        <v>2022</v>
      </c>
      <c r="E8" s="64">
        <v>2023</v>
      </c>
      <c r="F8" s="64">
        <v>2024</v>
      </c>
      <c r="G8" s="64">
        <v>2025</v>
      </c>
      <c r="H8" s="64">
        <v>2026</v>
      </c>
      <c r="I8" s="64">
        <v>2027</v>
      </c>
      <c r="J8" s="64">
        <v>2028</v>
      </c>
    </row>
    <row r="9" spans="2:10" ht="15" customHeight="1" thickBot="1" x14ac:dyDescent="0.25">
      <c r="B9" s="61"/>
      <c r="C9" s="61"/>
      <c r="D9" s="61"/>
      <c r="E9" s="61"/>
      <c r="F9" s="61"/>
      <c r="G9" s="61"/>
      <c r="H9" s="61"/>
      <c r="I9" s="61"/>
      <c r="J9" s="61"/>
    </row>
    <row r="10" spans="2:10" ht="15" customHeight="1" x14ac:dyDescent="0.2">
      <c r="B10" s="6" t="s">
        <v>224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">
      <c r="B11" s="61"/>
      <c r="C11" s="61"/>
      <c r="D11" s="61"/>
      <c r="E11" s="61"/>
      <c r="F11" s="61"/>
      <c r="G11" s="61"/>
      <c r="H11" s="61"/>
      <c r="I11" s="61"/>
      <c r="J11" s="61"/>
    </row>
    <row r="12" spans="2:10" ht="15.75" customHeight="1" x14ac:dyDescent="0.2">
      <c r="B12" s="13" t="s">
        <v>62</v>
      </c>
      <c r="C12" s="65">
        <v>115655</v>
      </c>
      <c r="D12" s="65">
        <v>114450</v>
      </c>
      <c r="E12" s="65">
        <v>133008</v>
      </c>
      <c r="F12" s="66">
        <f>E12*(1+INDEX('Company1808 Assumptions'!G$15:G$17,MATCH($D$5,'Company1808 Assumptions'!$C$15:$C$17,0)))</f>
      </c>
      <c r="G12" s="66">
        <f>F12*(1+INDEX('Company1808 Assumptions'!H$15:H$17,MATCH($D$5,'Company1808 Assumptions'!$C$15:$C$17,0)))</f>
      </c>
      <c r="H12" s="66">
        <f>G12*(1+INDEX('Company1808 Assumptions'!I$15:I$17,MATCH($D$5,'Company1808 Assumptions'!$C$15:$C$17,0)))</f>
      </c>
      <c r="I12" s="66">
        <f>H12*(1+INDEX('Company1808 Assumptions'!J$15:J$17,MATCH($D$5,'Company1808 Assumptions'!$C$15:$C$17,0)))</f>
      </c>
      <c r="J12" s="66">
        <f>I12*(1+INDEX('Company1808 Assumptions'!K$15:K$17,MATCH($D$5,'Company1808 Assumptions'!$C$15:$C$17,0)))</f>
      </c>
    </row>
    <row r="13" spans="2:10" ht="15.75" customHeight="1" x14ac:dyDescent="0.2">
      <c r="B13" s="13" t="s">
        <v>37</v>
      </c>
      <c r="C13" s="65">
        <v>2274</v>
      </c>
      <c r="D13" s="65">
        <v>2159</v>
      </c>
      <c r="E13" s="65">
        <v>1896</v>
      </c>
      <c r="F13" s="66">
        <f>E13*(1+INDEX('Company1808 Assumptions'!G$19:G$21,MATCH($D$5,'Company1808 Assumptions'!$C$19:$C$21,0)))</f>
      </c>
      <c r="G13" s="66">
        <f>F13*(1+INDEX('Company1808 Assumptions'!H$19:H$21,MATCH($D$5,'Company1808 Assumptions'!$C$19:$C$21,0)))</f>
      </c>
      <c r="H13" s="66">
        <f>G13*(1+INDEX('Company1808 Assumptions'!I$19:I$21,MATCH($D$5,'Company1808 Assumptions'!$C$19:$C$21,0)))</f>
      </c>
      <c r="I13" s="66">
        <f>H13*(1+INDEX('Company1808 Assumptions'!J$19:J$21,MATCH($D$5,'Company1808 Assumptions'!$C$19:$C$21,0)))</f>
      </c>
      <c r="J13" s="66">
        <f>I13*(1+INDEX('Company1808 Assumptions'!K$19:K$21,MATCH($D$5,'Company1808 Assumptions'!$C$19:$C$21,0)))</f>
      </c>
    </row>
    <row r="14" spans="2:10" ht="15.75" customHeight="1" x14ac:dyDescent="0.2">
      <c r="B14" s="19" t="s">
        <v>45</v>
      </c>
      <c r="C14" s="67">
        <f t="shared" ref="C14:J14" si="0">SUM(C12:C13)</f>
      </c>
      <c r="D14" s="67">
        <f t="shared" si="0"/>
      </c>
      <c r="E14" s="67">
        <f t="shared" si="0"/>
      </c>
      <c r="F14" s="67">
        <f t="shared" si="0"/>
      </c>
      <c r="G14" s="67">
        <f t="shared" si="0"/>
      </c>
      <c r="H14" s="67">
        <f t="shared" si="0"/>
      </c>
      <c r="I14" s="67">
        <f t="shared" si="0"/>
      </c>
      <c r="J14" s="67">
        <f t="shared" si="0"/>
      </c>
    </row>
    <row r="15" spans="2:10" ht="15.75" customHeight="1" x14ac:dyDescent="0.2">
      <c r="B15" s="68" t="s">
        <v>46</v>
      </c>
      <c r="C15" s="61"/>
      <c r="D15" s="69">
        <f t="shared" ref="D15:J15" si="1">D14/C14-1</f>
      </c>
      <c r="E15" s="69">
        <f t="shared" si="1"/>
      </c>
      <c r="F15" s="69">
        <f t="shared" si="1"/>
      </c>
      <c r="G15" s="69">
        <f t="shared" si="1"/>
      </c>
      <c r="H15" s="69">
        <f t="shared" si="1"/>
      </c>
      <c r="I15" s="69">
        <f t="shared" si="1"/>
      </c>
      <c r="J15" s="69">
        <f t="shared" si="1"/>
      </c>
    </row>
    <row r="16" spans="2:10" ht="15" customHeight="1" x14ac:dyDescent="0.2">
      <c r="B16" s="61"/>
      <c r="C16" s="61"/>
      <c r="D16" s="61"/>
      <c r="E16" s="61"/>
      <c r="F16" s="61"/>
      <c r="G16" s="61"/>
      <c r="H16" s="61"/>
      <c r="I16" s="61"/>
      <c r="J16" s="61"/>
    </row>
    <row r="17" spans="2:10" ht="15" customHeight="1" x14ac:dyDescent="0.2">
      <c r="B17" s="13" t="s">
        <v>48</v>
      </c>
      <c r="C17" s="70">
        <f t="shared" ref="C17:J17" si="2">C14*(1-C19)</f>
      </c>
      <c r="D17" s="70">
        <f t="shared" si="2"/>
      </c>
      <c r="E17" s="70">
        <f t="shared" si="2"/>
      </c>
      <c r="F17" s="70">
        <f t="shared" si="2"/>
      </c>
      <c r="G17" s="70">
        <f t="shared" si="2"/>
      </c>
      <c r="H17" s="70">
        <f t="shared" si="2"/>
      </c>
      <c r="I17" s="70">
        <f t="shared" si="2"/>
      </c>
      <c r="J17" s="70">
        <f t="shared" si="2"/>
      </c>
    </row>
    <row r="18" spans="2:10" ht="15" customHeight="1" x14ac:dyDescent="0.2">
      <c r="B18" s="20" t="s">
        <v>49</v>
      </c>
      <c r="C18" s="70">
        <f t="shared" ref="C18:J18" si="3">C14-C17</f>
      </c>
      <c r="D18" s="70">
        <f t="shared" si="3"/>
      </c>
      <c r="E18" s="70">
        <f t="shared" si="3"/>
      </c>
      <c r="F18" s="70">
        <f t="shared" si="3"/>
      </c>
      <c r="G18" s="70">
        <f t="shared" si="3"/>
      </c>
      <c r="H18" s="70">
        <f t="shared" si="3"/>
      </c>
      <c r="I18" s="70">
        <f t="shared" si="3"/>
      </c>
      <c r="J18" s="70">
        <f t="shared" si="3"/>
      </c>
    </row>
    <row r="19" spans="2:10" ht="15.75" customHeight="1" x14ac:dyDescent="0.2">
      <c r="B19" s="68" t="s">
        <v>50</v>
      </c>
      <c r="C19" s="71">
        <v>0.80199999999999994</v>
      </c>
      <c r="D19" s="71">
        <v>0.79800000000000004</v>
      </c>
      <c r="E19" s="71">
        <v>0.79499999999999993</v>
      </c>
      <c r="F19" s="71">
        <v>0.79699999999999993</v>
      </c>
      <c r="G19" s="71">
        <v>0.79899999999999993</v>
      </c>
      <c r="H19" s="71">
        <v>0.80099999999999993</v>
      </c>
      <c r="I19" s="71">
        <v>0.80300000000000005</v>
      </c>
      <c r="J19" s="71">
        <v>0.80499999999999994</v>
      </c>
    </row>
    <row r="20" spans="2:10" ht="15.75" customHeight="1" x14ac:dyDescent="0.2">
      <c r="B20" s="61"/>
      <c r="C20" s="61"/>
      <c r="D20" s="61"/>
      <c r="E20" s="61"/>
      <c r="F20" s="61"/>
      <c r="G20" s="61"/>
      <c r="H20" s="61"/>
      <c r="I20" s="61"/>
      <c r="J20" s="61"/>
    </row>
    <row r="21" spans="2:10" ht="15.75" customHeight="1" x14ac:dyDescent="0.2">
      <c r="B21" s="13" t="s">
        <v>18</v>
      </c>
      <c r="C21" s="66">
        <f>C14*INDEX('Company1808 Assumptions'!D$38:D$40,MATCH($D$5,'Company1808 Assumptions'!$C$38:$C$40,0))</f>
      </c>
      <c r="D21" s="66">
        <f>D14*INDEX('Company1808 Assumptions'!E$38:E$40,MATCH($D$5,'Company1808 Assumptions'!$C$38:$C$40,0))</f>
      </c>
      <c r="E21" s="66">
        <f>E14*INDEX('Company1808 Assumptions'!F$38:F$40,MATCH($D$5,'Company1808 Assumptions'!$C$38:$C$40,0))</f>
      </c>
      <c r="F21" s="66">
        <f>F14*INDEX('Company1808 Assumptions'!G$38:G$40,MATCH($D$5,'Company1808 Assumptions'!$C$38:$C$40,0))</f>
      </c>
      <c r="G21" s="66">
        <f>G14*INDEX('Company1808 Assumptions'!H$38:H$40,MATCH($D$5,'Company1808 Assumptions'!$C$38:$C$40,0))</f>
      </c>
      <c r="H21" s="66">
        <f>H14*INDEX('Company1808 Assumptions'!I$38:I$40,MATCH($D$5,'Company1808 Assumptions'!$C$38:$C$40,0))</f>
      </c>
      <c r="I21" s="66">
        <f>I14*INDEX('Company1808 Assumptions'!J$38:J$40,MATCH($D$5,'Company1808 Assumptions'!$C$38:$C$40,0))</f>
      </c>
      <c r="J21" s="66">
        <f>J14*INDEX('Company1808 Assumptions'!K$38:K$40,MATCH($D$5,'Company1808 Assumptions'!$C$38:$C$40,0))</f>
      </c>
    </row>
    <row r="22" spans="2:10" ht="15" customHeight="1" x14ac:dyDescent="0.2">
      <c r="B22" s="13" t="s">
        <v>19</v>
      </c>
      <c r="C22" s="66">
        <f>C14*INDEX('Company1808 Assumptions'!D$42:D$44,MATCH($D$5,'Company1808 Assumptions'!$C$42:$C$44,0))</f>
      </c>
      <c r="D22" s="66">
        <f>D14*INDEX('Company1808 Assumptions'!E$42:E$44,MATCH($D$5,'Company1808 Assumptions'!$C$42:$C$44,0))</f>
      </c>
      <c r="E22" s="66">
        <f>E14*INDEX('Company1808 Assumptions'!F$42:F$44,MATCH($D$5,'Company1808 Assumptions'!$C$42:$C$44,0))</f>
      </c>
      <c r="F22" s="66">
        <f>F14*INDEX('Company1808 Assumptions'!G$42:G$44,MATCH($D$5,'Company1808 Assumptions'!$C$42:$C$44,0))</f>
      </c>
      <c r="G22" s="66">
        <f>G14*INDEX('Company1808 Assumptions'!H$42:H$44,MATCH($D$5,'Company1808 Assumptions'!$C$42:$C$44,0))</f>
      </c>
      <c r="H22" s="66">
        <f>H14*INDEX('Company1808 Assumptions'!I$42:I$44,MATCH($D$5,'Company1808 Assumptions'!$C$42:$C$44,0))</f>
      </c>
      <c r="I22" s="66">
        <f>I14*INDEX('Company1808 Assumptions'!J$42:J$44,MATCH($D$5,'Company1808 Assumptions'!$C$42:$C$44,0))</f>
      </c>
      <c r="J22" s="66">
        <f>J14*INDEX('Company1808 Assumptions'!K$42:K$44,MATCH($D$5,'Company1808 Assumptions'!$C$42:$C$44,0))</f>
      </c>
    </row>
    <row r="23" spans="2:10" ht="15.75" customHeight="1" x14ac:dyDescent="0.2">
      <c r="B23" s="13" t="s">
        <v>20</v>
      </c>
      <c r="C23" s="66">
        <f>C14*INDEX('Company1808 Assumptions'!D$46:D$48,MATCH($D$5,'Company1808 Assumptions'!$C$46:$C$48,0))</f>
      </c>
      <c r="D23" s="66">
        <f>D14*INDEX('Company1808 Assumptions'!E$46:E$48,MATCH($D$5,'Company1808 Assumptions'!$C$46:$C$48,0))</f>
      </c>
      <c r="E23" s="66">
        <f>E14*INDEX('Company1808 Assumptions'!F$46:F$48,MATCH($D$5,'Company1808 Assumptions'!$C$46:$C$48,0))</f>
      </c>
      <c r="F23" s="66">
        <f>F14*INDEX('Company1808 Assumptions'!G$46:G$48,MATCH($D$5,'Company1808 Assumptions'!$C$46:$C$48,0))</f>
      </c>
      <c r="G23" s="66">
        <f>G14*INDEX('Company1808 Assumptions'!H$46:H$48,MATCH($D$5,'Company1808 Assumptions'!$C$46:$C$48,0))</f>
      </c>
      <c r="H23" s="66">
        <f>H14*INDEX('Company1808 Assumptions'!I$46:I$48,MATCH($D$5,'Company1808 Assumptions'!$C$46:$C$48,0))</f>
      </c>
      <c r="I23" s="66">
        <f>I14*INDEX('Company1808 Assumptions'!J$46:J$48,MATCH($D$5,'Company1808 Assumptions'!$C$46:$C$48,0))</f>
      </c>
      <c r="J23" s="66">
        <f>J14*INDEX('Company1808 Assumptions'!K$46:K$48,MATCH($D$5,'Company1808 Assumptions'!$C$46:$C$48,0))</f>
      </c>
    </row>
    <row r="24" spans="2:10" ht="15.75" customHeight="1" x14ac:dyDescent="0.2">
      <c r="B24" s="13" t="s">
        <v>21</v>
      </c>
      <c r="C24" s="66">
        <f>C14*INDEX('Company1808 Assumptions'!D$50:D$52,MATCH($D$5,'Company1808 Assumptions'!$C$50:$C$52,0))</f>
      </c>
      <c r="D24" s="66">
        <f>D14*INDEX('Company1808 Assumptions'!E$50:E$52,MATCH($D$5,'Company1808 Assumptions'!$C$50:$C$52,0))</f>
      </c>
      <c r="E24" s="66">
        <f>E14*INDEX('Company1808 Assumptions'!F$50:F$52,MATCH($D$5,'Company1808 Assumptions'!$C$50:$C$52,0))</f>
      </c>
      <c r="F24" s="66">
        <f>F14*INDEX('Company1808 Assumptions'!G$50:G$52,MATCH($D$5,'Company1808 Assumptions'!$C$50:$C$52,0))</f>
      </c>
      <c r="G24" s="66">
        <f>G14*INDEX('Company1808 Assumptions'!H$50:H$52,MATCH($D$5,'Company1808 Assumptions'!$C$50:$C$52,0))</f>
      </c>
      <c r="H24" s="66">
        <f>H14*INDEX('Company1808 Assumptions'!I$50:I$52,MATCH($D$5,'Company1808 Assumptions'!$C$50:$C$52,0))</f>
      </c>
      <c r="I24" s="66">
        <f>I14*INDEX('Company1808 Assumptions'!J$50:J$52,MATCH($D$5,'Company1808 Assumptions'!$C$50:$C$52,0))</f>
      </c>
      <c r="J24" s="66">
        <f>J14*INDEX('Company1808 Assumptions'!K$50:K$52,MATCH($D$5,'Company1808 Assumptions'!$C$50:$C$52,0))</f>
      </c>
    </row>
    <row r="25" spans="2:10" ht="15.75" customHeight="1" x14ac:dyDescent="0.2">
      <c r="B25" s="19" t="s">
        <v>51</v>
      </c>
      <c r="C25" s="67">
        <f t="shared" ref="C25:J25" si="4">SUM(C21:C24)</f>
      </c>
      <c r="D25" s="67">
        <f t="shared" si="4"/>
      </c>
      <c r="E25" s="67">
        <f t="shared" si="4"/>
      </c>
      <c r="F25" s="67">
        <f t="shared" si="4"/>
      </c>
      <c r="G25" s="67">
        <f t="shared" si="4"/>
      </c>
      <c r="H25" s="67">
        <f t="shared" si="4"/>
      </c>
      <c r="I25" s="67">
        <f t="shared" si="4"/>
      </c>
      <c r="J25" s="67">
        <f t="shared" si="4"/>
      </c>
    </row>
    <row r="26" spans="2:10" ht="15.75" customHeight="1" x14ac:dyDescent="0.2">
      <c r="B26" s="61"/>
      <c r="C26" s="61"/>
      <c r="D26" s="61"/>
      <c r="E26" s="61"/>
      <c r="F26" s="61"/>
      <c r="G26" s="61"/>
      <c r="H26" s="61"/>
      <c r="I26" s="61"/>
      <c r="J26" s="61"/>
    </row>
    <row r="27" spans="2:10" ht="15.75" customHeight="1" x14ac:dyDescent="0.2">
      <c r="B27" s="20" t="s">
        <v>52</v>
      </c>
      <c r="C27" s="70">
        <f t="shared" ref="C27:J27" si="5">C18-C25</f>
      </c>
      <c r="D27" s="70">
        <f t="shared" si="5"/>
      </c>
      <c r="E27" s="70">
        <f t="shared" si="5"/>
      </c>
      <c r="F27" s="70">
        <f t="shared" si="5"/>
      </c>
      <c r="G27" s="70">
        <f t="shared" si="5"/>
      </c>
      <c r="H27" s="70">
        <f t="shared" si="5"/>
      </c>
      <c r="I27" s="70">
        <f t="shared" si="5"/>
      </c>
      <c r="J27" s="70">
        <f t="shared" si="5"/>
      </c>
    </row>
    <row r="28" spans="2:10" ht="15" customHeight="1" x14ac:dyDescent="0.2">
      <c r="B28" s="68" t="s">
        <v>53</v>
      </c>
      <c r="C28" s="69">
        <f t="shared" ref="C28:J28" si="6">C27/C14</f>
      </c>
      <c r="D28" s="69">
        <f t="shared" si="6"/>
      </c>
      <c r="E28" s="69">
        <f t="shared" si="6"/>
      </c>
      <c r="F28" s="69">
        <f t="shared" si="6"/>
      </c>
      <c r="G28" s="69">
        <f t="shared" si="6"/>
      </c>
      <c r="H28" s="69">
        <f t="shared" si="6"/>
      </c>
      <c r="I28" s="69">
        <f t="shared" si="6"/>
      </c>
      <c r="J28" s="69">
        <f t="shared" si="6"/>
      </c>
    </row>
    <row r="29" spans="2:10" ht="15.75" customHeight="1" x14ac:dyDescent="0.2">
      <c r="B29" s="61"/>
      <c r="C29" s="61"/>
      <c r="D29" s="61"/>
      <c r="E29" s="61"/>
      <c r="F29" s="61"/>
      <c r="G29" s="61"/>
      <c r="H29" s="61"/>
      <c r="I29" s="61"/>
      <c r="J29" s="61"/>
    </row>
    <row r="30" spans="2:10" ht="15.75" customHeight="1" x14ac:dyDescent="0.2">
      <c r="B30" s="21" t="s">
        <v>225</v>
      </c>
      <c r="C30" s="66">
        <f>(C$49*INDEX('Company1808 Assumptions'!$D$99:$D$101,MATCH($D$5,'Company1808 Assumptions'!$C$99:$C$101,0)))-(C71*INDEX('Company1808 Assumptions'!$D$103:$D$105,MATCH($D$5,'Company1808 Assumptions'!$C$103:$C$105,0)))</f>
      </c>
      <c r="D30" s="66">
        <f ca="1">(D$49*INDEX('Company1808 Assumptions'!$D$99:$D$101,MATCH($D$5,'Company1808 Assumptions'!$C$99:$C$101,0)))-(D71*INDEX('Company1808 Assumptions'!$D$103:$D$105,MATCH($D$5,'Company1808 Assumptions'!$C$103:$C$105,0)))</f>
      </c>
      <c r="E30" s="66">
        <f ca="1">(E$49*INDEX('Company1808 Assumptions'!$D$99:$D$101,MATCH($D$5,'Company1808 Assumptions'!$C$99:$C$101,0)))-(E71*INDEX('Company1808 Assumptions'!$D$103:$D$105,MATCH($D$5,'Company1808 Assumptions'!$C$103:$C$105,0)))</f>
      </c>
      <c r="F30" s="66">
        <f ca="1">(F$49*INDEX('Company1808 Assumptions'!$D$99:$D$101,MATCH($D$5,'Company1808 Assumptions'!$C$99:$C$101,0)))-(F71*INDEX('Company1808 Assumptions'!$D$103:$D$105,MATCH($D$5,'Company1808 Assumptions'!$C$103:$C$105,0)))</f>
      </c>
      <c r="G30" s="66">
        <f ca="1">(G$49*INDEX('Company1808 Assumptions'!$D$99:$D$101,MATCH($D$5,'Company1808 Assumptions'!$C$99:$C$101,0)))-(G71*INDEX('Company1808 Assumptions'!$D$103:$D$105,MATCH($D$5,'Company1808 Assumptions'!$C$103:$C$105,0)))</f>
      </c>
      <c r="H30" s="66">
        <f ca="1">(H$49*INDEX('Company1808 Assumptions'!$D$99:$D$101,MATCH($D$5,'Company1808 Assumptions'!$C$99:$C$101,0)))-(H71*INDEX('Company1808 Assumptions'!$D$103:$D$105,MATCH($D$5,'Company1808 Assumptions'!$C$103:$C$105,0)))</f>
      </c>
      <c r="I30" s="66">
        <f ca="1">(I$49*INDEX('Company1808 Assumptions'!$D$99:$D$101,MATCH($D$5,'Company1808 Assumptions'!$C$99:$C$101,0)))-(I71*INDEX('Company1808 Assumptions'!$D$103:$D$105,MATCH($D$5,'Company1808 Assumptions'!$C$103:$C$105,0)))</f>
      </c>
      <c r="J30" s="66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">
      <c r="B31" s="61"/>
      <c r="C31" s="61"/>
      <c r="D31" s="61"/>
      <c r="E31" s="61"/>
      <c r="F31" s="61"/>
      <c r="G31" s="61"/>
      <c r="H31" s="61"/>
      <c r="I31" s="61"/>
      <c r="J31" s="61"/>
    </row>
    <row r="32" spans="2:10" ht="15.75" customHeight="1" x14ac:dyDescent="0.2">
      <c r="B32" s="20" t="s">
        <v>54</v>
      </c>
      <c r="C32" s="70">
        <f t="shared" ref="C32:J32" si="7">C27+C30</f>
      </c>
      <c r="D32" s="70">
        <f t="shared" ca="1" si="7"/>
      </c>
      <c r="E32" s="70">
        <f t="shared" ca="1" si="7"/>
      </c>
      <c r="F32" s="70">
        <f t="shared" ca="1" si="7"/>
      </c>
      <c r="G32" s="70">
        <f t="shared" ca="1" si="7"/>
      </c>
      <c r="H32" s="70">
        <f t="shared" ca="1" si="7"/>
      </c>
      <c r="I32" s="70">
        <f t="shared" ca="1" si="7"/>
      </c>
      <c r="J32" s="70">
        <f t="shared" ca="1" si="7"/>
      </c>
    </row>
    <row r="33" spans="2:10" ht="15" customHeight="1" x14ac:dyDescent="0.2">
      <c r="B33" s="21" t="s">
        <v>55</v>
      </c>
      <c r="C33" s="66">
        <f>C32*INDEX('Company1808 Assumptions'!D$92:D$94,MATCH($D$5,'Company1808 Assumptions'!$C$92:$C$94,0))</f>
      </c>
      <c r="D33" s="66">
        <f ca="1">D32*INDEX('Company1808 Assumptions'!E$92:E$94,MATCH($D$5,'Company1808 Assumptions'!$C$92:$C$94,0))</f>
      </c>
      <c r="E33" s="66">
        <f ca="1">E32*INDEX('Company1808 Assumptions'!F$92:F$94,MATCH($D$5,'Company1808 Assumptions'!$C$92:$C$94,0))</f>
      </c>
      <c r="F33" s="66">
        <f ca="1">F32*INDEX('Company1808 Assumptions'!G$92:G$94,MATCH($D$5,'Company1808 Assumptions'!$C$92:$C$94,0))</f>
      </c>
      <c r="G33" s="66">
        <f ca="1">G32*INDEX('Company1808 Assumptions'!H$92:H$94,MATCH($D$5,'Company1808 Assumptions'!$C$92:$C$94,0))</f>
      </c>
      <c r="H33" s="66">
        <f ca="1">H32*INDEX('Company1808 Assumptions'!I$92:I$94,MATCH($D$5,'Company1808 Assumptions'!$C$92:$C$94,0))</f>
      </c>
      <c r="I33" s="66">
        <f ca="1">I32*INDEX('Company1808 Assumptions'!J$92:J$94,MATCH($D$5,'Company1808 Assumptions'!$C$92:$C$94,0))</f>
      </c>
      <c r="J33" s="66">
        <f ca="1">J32*INDEX('Company1808 Assumptions'!K$92:K$94,MATCH($D$5,'Company1808 Assumptions'!$C$92:$C$94,0))</f>
      </c>
    </row>
    <row r="34" spans="2:10" ht="15.75" customHeight="1" thickBot="1" x14ac:dyDescent="0.25">
      <c r="B34" s="61"/>
      <c r="C34" s="61"/>
      <c r="D34" s="61"/>
      <c r="E34" s="61"/>
      <c r="F34" s="61"/>
      <c r="G34" s="61"/>
      <c r="H34" s="61"/>
      <c r="I34" s="61"/>
      <c r="J34" s="61"/>
    </row>
    <row r="35" spans="2:10" ht="15.75" customHeight="1" thickBot="1" x14ac:dyDescent="0.25">
      <c r="B35" s="10" t="s">
        <v>56</v>
      </c>
      <c r="C35" s="72">
        <f t="shared" ref="C35:J35" si="8">C32-C33</f>
      </c>
      <c r="D35" s="72">
        <f t="shared" ca="1" si="8"/>
      </c>
      <c r="E35" s="72">
        <f t="shared" ca="1" si="8"/>
      </c>
      <c r="F35" s="72">
        <f t="shared" ca="1" si="8"/>
      </c>
      <c r="G35" s="72">
        <f t="shared" ca="1" si="8"/>
      </c>
      <c r="H35" s="72">
        <f t="shared" ca="1" si="8"/>
      </c>
      <c r="I35" s="72">
        <f t="shared" ca="1" si="8"/>
      </c>
      <c r="J35" s="72">
        <f t="shared" ca="1" si="8"/>
      </c>
    </row>
    <row r="36" spans="2:10" ht="15" customHeight="1" thickTop="1" x14ac:dyDescent="0.2">
      <c r="B36" s="68" t="s">
        <v>57</v>
      </c>
      <c r="C36" s="69">
        <f t="shared" ref="C36:J36" si="9">C35/C14</f>
      </c>
      <c r="D36" s="69">
        <f t="shared" ca="1" si="9"/>
      </c>
      <c r="E36" s="69">
        <f t="shared" ca="1" si="9"/>
      </c>
      <c r="F36" s="69">
        <f t="shared" ca="1" si="9"/>
      </c>
      <c r="G36" s="69">
        <f t="shared" ca="1" si="9"/>
      </c>
      <c r="H36" s="69">
        <f t="shared" ca="1" si="9"/>
      </c>
      <c r="I36" s="69">
        <f t="shared" ca="1" si="9"/>
      </c>
      <c r="J36" s="69">
        <f t="shared" ca="1" si="9"/>
      </c>
    </row>
    <row r="37" spans="2:10" ht="15.75" customHeight="1" thickBot="1" x14ac:dyDescent="0.25">
      <c r="B37" s="61"/>
      <c r="C37" s="61"/>
      <c r="D37" s="61"/>
      <c r="E37" s="61"/>
      <c r="F37" s="61"/>
      <c r="G37" s="61"/>
      <c r="H37" s="61"/>
      <c r="I37" s="61"/>
      <c r="J37" s="61"/>
    </row>
    <row r="38" spans="2:10" ht="15.75" customHeight="1" x14ac:dyDescent="0.2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">
      <c r="B39" s="61"/>
      <c r="C39" s="61"/>
      <c r="D39" s="61"/>
      <c r="E39" s="61"/>
      <c r="F39" s="61"/>
      <c r="G39" s="61"/>
      <c r="H39" s="61"/>
      <c r="I39" s="61"/>
      <c r="J39" s="61"/>
    </row>
    <row r="40" spans="2:10" ht="15" customHeight="1" x14ac:dyDescent="0.2">
      <c r="B40" s="21" t="s">
        <v>59</v>
      </c>
      <c r="C40" s="73">
        <v>2800</v>
      </c>
      <c r="D40" s="73">
        <v>2750</v>
      </c>
      <c r="E40" s="73">
        <v>2700</v>
      </c>
      <c r="F40" s="73">
        <v>2650</v>
      </c>
      <c r="G40" s="73">
        <v>2600</v>
      </c>
      <c r="H40" s="73">
        <v>2550</v>
      </c>
      <c r="I40" s="73">
        <v>2500</v>
      </c>
      <c r="J40" s="73">
        <v>2450</v>
      </c>
    </row>
    <row r="41" spans="2:10" ht="15" customHeight="1" x14ac:dyDescent="0.2">
      <c r="B41" s="20" t="s">
        <v>60</v>
      </c>
      <c r="C41" s="74">
        <f t="shared" ref="C41:J41" si="10">C35/C40</f>
      </c>
      <c r="D41" s="74">
        <f t="shared" ca="1" si="10"/>
      </c>
      <c r="E41" s="74">
        <f t="shared" ca="1" si="10"/>
      </c>
      <c r="F41" s="74">
        <f t="shared" ca="1" si="10"/>
      </c>
      <c r="G41" s="74">
        <f t="shared" ca="1" si="10"/>
      </c>
      <c r="H41" s="74">
        <f t="shared" ca="1" si="10"/>
      </c>
      <c r="I41" s="74">
        <f t="shared" ca="1" si="10"/>
      </c>
      <c r="J41" s="74">
        <f t="shared" ca="1" si="10"/>
      </c>
    </row>
    <row r="42" spans="2:10" ht="15.75" customHeight="1" x14ac:dyDescent="0.2">
      <c r="B42" s="61"/>
      <c r="C42" s="61"/>
      <c r="D42" s="61"/>
      <c r="E42" s="61"/>
      <c r="F42" s="61"/>
      <c r="G42" s="61"/>
      <c r="H42" s="61"/>
      <c r="I42" s="61"/>
      <c r="J42" s="61"/>
    </row>
    <row r="43" spans="2:10" ht="15.75" customHeight="1" thickBot="1" x14ac:dyDescent="0.25">
      <c r="B43" s="61"/>
      <c r="C43" s="61"/>
      <c r="D43" s="61"/>
      <c r="E43" s="61"/>
      <c r="F43" s="61"/>
      <c r="G43" s="61"/>
      <c r="H43" s="61"/>
      <c r="I43" s="61"/>
      <c r="J43" s="61"/>
    </row>
    <row r="44" spans="2:10" ht="15" customHeight="1" thickBot="1" x14ac:dyDescent="0.25">
      <c r="B44" s="75" t="s">
        <v>63</v>
      </c>
      <c r="C44" s="75"/>
      <c r="D44" s="75"/>
      <c r="E44" s="75"/>
      <c r="F44" s="75"/>
      <c r="G44" s="75"/>
      <c r="H44" s="75"/>
      <c r="I44" s="75"/>
      <c r="J44" s="75"/>
    </row>
    <row r="45" spans="2:10" ht="15" customHeight="1" x14ac:dyDescent="0.2">
      <c r="B45" s="61"/>
      <c r="C45" s="61"/>
      <c r="D45" s="61"/>
      <c r="E45" s="61"/>
      <c r="F45" s="61"/>
      <c r="G45" s="61"/>
      <c r="H45" s="61"/>
      <c r="I45" s="61"/>
      <c r="J45" s="61"/>
    </row>
    <row r="46" spans="2:10" ht="15" customHeight="1" x14ac:dyDescent="0.2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">
      <c r="B47" s="61"/>
      <c r="C47" s="61"/>
      <c r="D47" s="61"/>
      <c r="E47" s="61"/>
      <c r="F47" s="61"/>
      <c r="G47" s="61"/>
      <c r="H47" s="61"/>
      <c r="I47" s="61"/>
      <c r="J47" s="61"/>
    </row>
    <row r="48" spans="2:10" ht="15" customHeight="1" x14ac:dyDescent="0.2">
      <c r="B48" s="12" t="s">
        <v>65</v>
      </c>
      <c r="C48" s="61"/>
      <c r="D48" s="61"/>
      <c r="E48" s="61"/>
      <c r="F48" s="61"/>
      <c r="G48" s="61"/>
      <c r="H48" s="61"/>
      <c r="I48" s="61"/>
      <c r="J48" s="61"/>
    </row>
    <row r="49" spans="2:10" ht="15" customHeight="1" x14ac:dyDescent="0.2">
      <c r="B49" s="13" t="s">
        <v>66</v>
      </c>
      <c r="C49" s="76">
        <v>35000</v>
      </c>
      <c r="D49" s="77">
        <f t="shared" ref="D49:J49" ca="1" si="11">D$106</f>
      </c>
      <c r="E49" s="77">
        <f t="shared" ca="1" si="11"/>
      </c>
      <c r="F49" s="77">
        <f t="shared" ca="1" si="11"/>
      </c>
      <c r="G49" s="77">
        <f t="shared" ca="1" si="11"/>
      </c>
      <c r="H49" s="77">
        <f t="shared" ca="1" si="11"/>
      </c>
      <c r="I49" s="77">
        <f t="shared" ca="1" si="11"/>
      </c>
      <c r="J49" s="77">
        <f t="shared" ca="1" si="11"/>
      </c>
    </row>
    <row r="50" spans="2:10" ht="15" customHeight="1" x14ac:dyDescent="0.2">
      <c r="B50" s="13" t="s">
        <v>67</v>
      </c>
      <c r="C50" s="66">
        <f>C$14*INDEX('Company1808 Assumptions'!D$64:D$66,MATCH($D$5,'Company1808 Assumptions'!$C$64:$C$66,0))/365</f>
      </c>
      <c r="D50" s="66">
        <f>D$14*INDEX('Company1808 Assumptions'!E$64:E$66,MATCH($D$5,'Company1808 Assumptions'!$C$64:$C$66,0))/365</f>
      </c>
      <c r="E50" s="66">
        <f>E$14*INDEX('Company1808 Assumptions'!F$64:F$66,MATCH($D$5,'Company1808 Assumptions'!$C$64:$C$66,0))/365</f>
      </c>
      <c r="F50" s="66">
        <f>F$14*INDEX('Company1808 Assumptions'!G$64:G$66,MATCH($D$5,'Company1808 Assumptions'!$C$64:$C$66,0))/365</f>
      </c>
      <c r="G50" s="66">
        <f>G$14*INDEX('Company1808 Assumptions'!H$64:H$66,MATCH($D$5,'Company1808 Assumptions'!$C$64:$C$66,0))/365</f>
      </c>
      <c r="H50" s="66">
        <f>H$14*INDEX('Company1808 Assumptions'!I$64:I$66,MATCH($D$5,'Company1808 Assumptions'!$C$64:$C$66,0))/365</f>
      </c>
      <c r="I50" s="66">
        <f>I$14*INDEX('Company1808 Assumptions'!J$64:J$66,MATCH($D$5,'Company1808 Assumptions'!$C$64:$C$66,0))/365</f>
      </c>
      <c r="J50" s="66">
        <f>J$14*INDEX('Company1808 Assumptions'!K$64:K$66,MATCH($D$5,'Company1808 Assumptions'!$C$64:$C$66,0))/365</f>
      </c>
    </row>
    <row r="51" spans="2:10" ht="15" customHeight="1" x14ac:dyDescent="0.2">
      <c r="B51" s="13" t="s">
        <v>68</v>
      </c>
      <c r="C51" s="76">
        <v>5000</v>
      </c>
      <c r="D51" s="66">
        <f>C51*(1+'Company1808 Assumptions'!E$72)</f>
      </c>
      <c r="E51" s="66">
        <f>D51*(1+'Company1808 Assumptions'!F$72)</f>
      </c>
      <c r="F51" s="66">
        <f>E51*(1+'Company1808 Assumptions'!G$72)</f>
      </c>
      <c r="G51" s="66">
        <f>F51*(1+'Company1808 Assumptions'!H$72)</f>
      </c>
      <c r="H51" s="66">
        <f>G51*(1+'Company1808 Assumptions'!I$72)</f>
      </c>
      <c r="I51" s="66">
        <f>H51*(1+'Company1808 Assumptions'!J$72)</f>
      </c>
      <c r="J51" s="66">
        <f>I51*(1+'Company1808 Assumptions'!K$72)</f>
      </c>
    </row>
    <row r="52" spans="2:10" ht="15" customHeight="1" x14ac:dyDescent="0.2">
      <c r="B52" s="14" t="s">
        <v>69</v>
      </c>
      <c r="C52" s="78">
        <f t="shared" ref="C52:J52" si="12">SUM(C49:C51)</f>
      </c>
      <c r="D52" s="78">
        <f t="shared" ca="1" si="12"/>
      </c>
      <c r="E52" s="78">
        <f t="shared" ca="1" si="12"/>
      </c>
      <c r="F52" s="78">
        <f t="shared" ca="1" si="12"/>
      </c>
      <c r="G52" s="78">
        <f t="shared" ca="1" si="12"/>
      </c>
      <c r="H52" s="78">
        <f t="shared" ca="1" si="12"/>
      </c>
      <c r="I52" s="78">
        <f t="shared" ca="1" si="12"/>
      </c>
      <c r="J52" s="78">
        <f t="shared" ca="1" si="12"/>
      </c>
    </row>
    <row r="53" spans="2:10" ht="15" customHeight="1" x14ac:dyDescent="0.2">
      <c r="B53" s="61"/>
      <c r="C53" s="61"/>
      <c r="D53" s="61"/>
      <c r="E53" s="61"/>
      <c r="F53" s="61"/>
      <c r="G53" s="61"/>
      <c r="H53" s="61"/>
      <c r="I53" s="61"/>
      <c r="J53" s="61"/>
    </row>
    <row r="54" spans="2:10" ht="15" customHeight="1" x14ac:dyDescent="0.2">
      <c r="B54" s="12" t="s">
        <v>70</v>
      </c>
      <c r="C54" s="61"/>
      <c r="D54" s="61"/>
      <c r="E54" s="61"/>
      <c r="F54" s="61"/>
      <c r="G54" s="61"/>
      <c r="H54" s="61"/>
      <c r="I54" s="61"/>
      <c r="J54" s="61"/>
    </row>
    <row r="55" spans="2:10" ht="15" customHeight="1" x14ac:dyDescent="0.2">
      <c r="B55" s="13" t="s">
        <v>71</v>
      </c>
      <c r="C55" s="76">
        <v>60000</v>
      </c>
      <c r="D55" s="77">
        <f>C55+D95</f>
      </c>
      <c r="E55" s="77">
        <f t="shared" ref="E55:J55" si="13">D55+E95</f>
      </c>
      <c r="F55" s="77">
        <f t="shared" si="13"/>
      </c>
      <c r="G55" s="77">
        <f t="shared" si="13"/>
      </c>
      <c r="H55" s="77">
        <f t="shared" si="13"/>
      </c>
      <c r="I55" s="77">
        <f t="shared" si="13"/>
      </c>
      <c r="J55" s="77">
        <f t="shared" si="13"/>
      </c>
    </row>
    <row r="56" spans="2:10" ht="15" customHeight="1" x14ac:dyDescent="0.2">
      <c r="B56" s="13" t="s">
        <v>72</v>
      </c>
      <c r="C56" s="76">
        <v>15000</v>
      </c>
      <c r="D56" s="77">
        <f>C56+D87</f>
      </c>
      <c r="E56" s="77">
        <f t="shared" ref="E56:J56" si="14">D56+E87</f>
      </c>
      <c r="F56" s="77">
        <f t="shared" si="14"/>
      </c>
      <c r="G56" s="77">
        <f t="shared" si="14"/>
      </c>
      <c r="H56" s="77">
        <f t="shared" si="14"/>
      </c>
      <c r="I56" s="77">
        <f t="shared" si="14"/>
      </c>
      <c r="J56" s="77">
        <f t="shared" si="14"/>
      </c>
    </row>
    <row r="57" spans="2:10" ht="15" customHeight="1" x14ac:dyDescent="0.2">
      <c r="B57" s="79" t="s">
        <v>226</v>
      </c>
      <c r="C57" s="80">
        <f>C55-C56</f>
      </c>
      <c r="D57" s="80">
        <f>D55-D56</f>
      </c>
      <c r="E57" s="80">
        <f t="shared" ref="E57:J57" si="15">E55-E56</f>
      </c>
      <c r="F57" s="80">
        <f t="shared" si="15"/>
      </c>
      <c r="G57" s="80">
        <f t="shared" si="15"/>
      </c>
      <c r="H57" s="80">
        <f t="shared" si="15"/>
      </c>
      <c r="I57" s="80">
        <f t="shared" si="15"/>
      </c>
      <c r="J57" s="80">
        <f t="shared" si="15"/>
      </c>
    </row>
    <row r="58" spans="2:10" ht="15" customHeight="1" x14ac:dyDescent="0.2">
      <c r="B58" s="15"/>
      <c r="C58" s="77"/>
      <c r="D58" s="77"/>
      <c r="E58" s="77"/>
      <c r="F58" s="77"/>
      <c r="G58" s="77"/>
      <c r="H58" s="77"/>
      <c r="I58" s="77"/>
      <c r="J58" s="77"/>
    </row>
    <row r="59" spans="2:10" ht="15" customHeight="1" x14ac:dyDescent="0.2">
      <c r="B59" s="13" t="s">
        <v>73</v>
      </c>
      <c r="C59" s="76">
        <v>25000</v>
      </c>
      <c r="D59" s="66">
        <f>C59*(1+'Company1808 Assumptions'!E$73)</f>
      </c>
      <c r="E59" s="66">
        <f>D59*(1+'Company1808 Assumptions'!F$73)</f>
      </c>
      <c r="F59" s="66">
        <f>E59*(1+'Company1808 Assumptions'!G$73)</f>
      </c>
      <c r="G59" s="66">
        <f>F59*(1+'Company1808 Assumptions'!H$73)</f>
      </c>
      <c r="H59" s="66">
        <f>G59*(1+'Company1808 Assumptions'!I$73)</f>
      </c>
      <c r="I59" s="66">
        <f>H59*(1+'Company1808 Assumptions'!J$73)</f>
      </c>
      <c r="J59" s="66">
        <f>I59*(1+'Company1808 Assumptions'!K$73)</f>
      </c>
    </row>
    <row r="60" spans="2:10" ht="15" customHeight="1" x14ac:dyDescent="0.2">
      <c r="B60" s="14" t="s">
        <v>74</v>
      </c>
      <c r="C60" s="78">
        <f t="shared" ref="C60:J60" si="16">C57+C59</f>
      </c>
      <c r="D60" s="78">
        <f t="shared" si="16"/>
      </c>
      <c r="E60" s="78">
        <f t="shared" si="16"/>
      </c>
      <c r="F60" s="78">
        <f t="shared" si="16"/>
      </c>
      <c r="G60" s="78">
        <f t="shared" si="16"/>
      </c>
      <c r="H60" s="78">
        <f t="shared" si="16"/>
      </c>
      <c r="I60" s="78">
        <f t="shared" si="16"/>
      </c>
      <c r="J60" s="78">
        <f t="shared" si="16"/>
      </c>
    </row>
    <row r="61" spans="2:10" ht="15" customHeight="1" thickBot="1" x14ac:dyDescent="0.25">
      <c r="B61" s="61"/>
      <c r="C61" s="61"/>
      <c r="D61" s="61"/>
      <c r="E61" s="61"/>
      <c r="F61" s="61"/>
      <c r="G61" s="61"/>
      <c r="H61" s="61"/>
      <c r="I61" s="61"/>
      <c r="J61" s="61"/>
    </row>
    <row r="62" spans="2:10" ht="15" customHeight="1" thickBot="1" x14ac:dyDescent="0.25">
      <c r="B62" s="10" t="s">
        <v>75</v>
      </c>
      <c r="C62" s="81">
        <f t="shared" ref="C62:J62" si="17">C52+C60</f>
      </c>
      <c r="D62" s="81">
        <f t="shared" ca="1" si="17"/>
      </c>
      <c r="E62" s="81">
        <f t="shared" ca="1" si="17"/>
      </c>
      <c r="F62" s="81">
        <f t="shared" ca="1" si="17"/>
      </c>
      <c r="G62" s="81">
        <f t="shared" ca="1" si="17"/>
      </c>
      <c r="H62" s="81">
        <f t="shared" ca="1" si="17"/>
      </c>
      <c r="I62" s="81">
        <f t="shared" ca="1" si="17"/>
      </c>
      <c r="J62" s="81">
        <f t="shared" ca="1" si="17"/>
      </c>
    </row>
    <row r="63" spans="2:10" ht="15" customHeight="1" thickTop="1" x14ac:dyDescent="0.2">
      <c r="B63" s="61"/>
      <c r="C63" s="61"/>
      <c r="D63" s="61"/>
      <c r="E63" s="61"/>
      <c r="F63" s="61"/>
      <c r="G63" s="61"/>
      <c r="H63" s="61"/>
      <c r="I63" s="61"/>
      <c r="J63" s="61"/>
    </row>
    <row r="64" spans="2:10" ht="15" customHeight="1" x14ac:dyDescent="0.2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">
      <c r="B65" s="61"/>
      <c r="C65" s="61"/>
      <c r="D65" s="61"/>
      <c r="E65" s="61"/>
      <c r="F65" s="61"/>
      <c r="G65" s="61"/>
      <c r="H65" s="61"/>
      <c r="I65" s="61"/>
      <c r="J65" s="61"/>
    </row>
    <row r="66" spans="2:10" ht="15" customHeight="1" x14ac:dyDescent="0.2">
      <c r="B66" s="12" t="s">
        <v>77</v>
      </c>
      <c r="C66" s="61"/>
      <c r="D66" s="61"/>
      <c r="E66" s="61"/>
      <c r="F66" s="61"/>
      <c r="G66" s="61"/>
      <c r="H66" s="61"/>
      <c r="I66" s="61"/>
      <c r="J66" s="61"/>
    </row>
    <row r="67" spans="2:10" ht="15" customHeight="1" x14ac:dyDescent="0.2">
      <c r="B67" s="13" t="s">
        <v>78</v>
      </c>
      <c r="C67" s="66">
        <f>(C17+C21+C22+C23)*INDEX('Company1808 Assumptions'!D$68:D$70,MATCH($D$5,'Company1808 Assumptions'!$C$68:$C$70,0))/365</f>
      </c>
      <c r="D67" s="66">
        <f>(D17+D21+D22+D23)*INDEX('Company1808 Assumptions'!E$68:E$70,MATCH($D$5,'Company1808 Assumptions'!$C$68:$C$70,0))/365</f>
      </c>
      <c r="E67" s="66">
        <f>(E17+E21+E22+E23)*INDEX('Company1808 Assumptions'!F$68:F$70,MATCH($D$5,'Company1808 Assumptions'!$C$68:$C$70,0))/365</f>
      </c>
      <c r="F67" s="66">
        <f>(F17+F21+F22+F23)*INDEX('Company1808 Assumptions'!G$68:G$70,MATCH($D$5,'Company1808 Assumptions'!$C$68:$C$70,0))/365</f>
      </c>
      <c r="G67" s="66">
        <f>(G17+G21+G22+G23)*INDEX('Company1808 Assumptions'!H$68:H$70,MATCH($D$5,'Company1808 Assumptions'!$C$68:$C$70,0))/365</f>
      </c>
      <c r="H67" s="66">
        <f>(H17+H21+H22+H23)*INDEX('Company1808 Assumptions'!I$68:I$70,MATCH($D$5,'Company1808 Assumptions'!$C$68:$C$70,0))/365</f>
      </c>
      <c r="I67" s="66">
        <f>(I17+I21+I22+I23)*INDEX('Company1808 Assumptions'!J$68:J$70,MATCH($D$5,'Company1808 Assumptions'!$C$68:$C$70,0))/365</f>
      </c>
      <c r="J67" s="66">
        <f>(J17+J21+J22+J23)*INDEX('Company1808 Assumptions'!K$68:K$70,MATCH($D$5,'Company1808 Assumptions'!$C$68:$C$70,0))/365</f>
      </c>
    </row>
    <row r="68" spans="2:10" ht="15" customHeight="1" x14ac:dyDescent="0.2">
      <c r="B68" s="13" t="s">
        <v>79</v>
      </c>
      <c r="C68" s="76">
        <v>8000</v>
      </c>
      <c r="D68" s="66">
        <f>C68*(1+'Company1808 Assumptions'!E$74)</f>
      </c>
      <c r="E68" s="66">
        <f>D68*(1+'Company1808 Assumptions'!F$74)</f>
      </c>
      <c r="F68" s="66">
        <f>E68*(1+'Company1808 Assumptions'!G$74)</f>
      </c>
      <c r="G68" s="66">
        <f>F68*(1+'Company1808 Assumptions'!H$74)</f>
      </c>
      <c r="H68" s="66">
        <f>G68*(1+'Company1808 Assumptions'!I$74)</f>
      </c>
      <c r="I68" s="66">
        <f>H68*(1+'Company1808 Assumptions'!J$74)</f>
      </c>
      <c r="J68" s="66">
        <f>I68*(1+'Company1808 Assumptions'!K$74)</f>
      </c>
    </row>
    <row r="69" spans="2:10" ht="15" customHeight="1" x14ac:dyDescent="0.2">
      <c r="B69" s="14" t="s">
        <v>80</v>
      </c>
      <c r="C69" s="78">
        <f t="shared" ref="C69:J69" si="18">SUM(C67:C68)</f>
      </c>
      <c r="D69" s="78">
        <f t="shared" si="18"/>
      </c>
      <c r="E69" s="78">
        <f t="shared" si="18"/>
      </c>
      <c r="F69" s="78">
        <f t="shared" si="18"/>
      </c>
      <c r="G69" s="78">
        <f t="shared" si="18"/>
      </c>
      <c r="H69" s="78">
        <f t="shared" si="18"/>
      </c>
      <c r="I69" s="78">
        <f t="shared" si="18"/>
      </c>
      <c r="J69" s="78">
        <f t="shared" si="18"/>
      </c>
    </row>
    <row r="70" spans="2:10" ht="15" customHeight="1" x14ac:dyDescent="0.2">
      <c r="B70" s="61"/>
      <c r="C70" s="61"/>
      <c r="D70" s="61"/>
      <c r="E70" s="61"/>
      <c r="F70" s="61"/>
      <c r="G70" s="61"/>
      <c r="H70" s="61"/>
      <c r="I70" s="61"/>
      <c r="J70" s="61"/>
    </row>
    <row r="71" spans="2:10" ht="15" customHeight="1" x14ac:dyDescent="0.2">
      <c r="B71" s="12" t="s">
        <v>81</v>
      </c>
      <c r="C71" s="76">
        <v>10000</v>
      </c>
      <c r="D71" s="76">
        <v>9500</v>
      </c>
      <c r="E71" s="76">
        <v>9000</v>
      </c>
      <c r="F71" s="76">
        <v>8500</v>
      </c>
      <c r="G71" s="76">
        <v>8000</v>
      </c>
      <c r="H71" s="76">
        <v>7500</v>
      </c>
      <c r="I71" s="76">
        <v>7000</v>
      </c>
      <c r="J71" s="76">
        <v>6500</v>
      </c>
    </row>
    <row r="72" spans="2:10" ht="15" customHeight="1" x14ac:dyDescent="0.2">
      <c r="B72" s="19" t="s">
        <v>82</v>
      </c>
      <c r="C72" s="78">
        <f t="shared" ref="C72:J72" si="19">C69+C71</f>
      </c>
      <c r="D72" s="78">
        <f t="shared" si="19"/>
      </c>
      <c r="E72" s="78">
        <f t="shared" si="19"/>
      </c>
      <c r="F72" s="78">
        <f t="shared" si="19"/>
      </c>
      <c r="G72" s="78">
        <f t="shared" si="19"/>
      </c>
      <c r="H72" s="78">
        <f t="shared" si="19"/>
      </c>
      <c r="I72" s="78">
        <f t="shared" si="19"/>
      </c>
      <c r="J72" s="78">
        <f t="shared" si="19"/>
      </c>
    </row>
    <row r="73" spans="2:10" ht="15" customHeight="1" x14ac:dyDescent="0.2">
      <c r="B73" s="61"/>
      <c r="C73" s="61"/>
      <c r="D73" s="61"/>
      <c r="E73" s="61"/>
      <c r="F73" s="61"/>
      <c r="G73" s="61"/>
      <c r="H73" s="61"/>
      <c r="I73" s="61"/>
      <c r="J73" s="61"/>
    </row>
    <row r="74" spans="2:10" ht="15" customHeight="1" x14ac:dyDescent="0.2">
      <c r="B74" s="12" t="s">
        <v>83</v>
      </c>
      <c r="C74" s="61"/>
      <c r="D74" s="61"/>
      <c r="E74" s="61"/>
      <c r="F74" s="61"/>
      <c r="G74" s="61"/>
      <c r="H74" s="61"/>
      <c r="I74" s="61"/>
      <c r="J74" s="61"/>
    </row>
    <row r="75" spans="2:10" ht="15" customHeight="1" x14ac:dyDescent="0.2">
      <c r="B75" s="13" t="s">
        <v>227</v>
      </c>
      <c r="C75" s="76">
        <v>40000</v>
      </c>
      <c r="D75" s="77">
        <f>C75+D88</f>
      </c>
      <c r="E75" s="77">
        <f t="shared" ref="E75:J75" si="20">D75+E88</f>
      </c>
      <c r="F75" s="77">
        <f t="shared" si="20"/>
      </c>
      <c r="G75" s="77">
        <f t="shared" si="20"/>
      </c>
      <c r="H75" s="77">
        <f t="shared" si="20"/>
      </c>
      <c r="I75" s="77">
        <f t="shared" si="20"/>
      </c>
      <c r="J75" s="77">
        <f t="shared" si="20"/>
      </c>
    </row>
    <row r="76" spans="2:10" ht="15" customHeight="1" x14ac:dyDescent="0.2">
      <c r="B76" s="13" t="s">
        <v>228</v>
      </c>
      <c r="C76" s="76">
        <v>36318.244043835599</v>
      </c>
      <c r="D76" s="77">
        <f ca="1">C76-D100</f>
      </c>
      <c r="E76" s="77">
        <f t="shared" ref="E76:J76" ca="1" si="21">D76-E100</f>
      </c>
      <c r="F76" s="77">
        <f t="shared" ca="1" si="21"/>
      </c>
      <c r="G76" s="77">
        <f t="shared" ca="1" si="21"/>
      </c>
      <c r="H76" s="77">
        <f t="shared" ca="1" si="21"/>
      </c>
      <c r="I76" s="77">
        <f t="shared" ca="1" si="21"/>
      </c>
      <c r="J76" s="77">
        <f t="shared" ca="1" si="21"/>
      </c>
    </row>
    <row r="77" spans="2:10" ht="15" customHeight="1" x14ac:dyDescent="0.2">
      <c r="B77" s="13" t="s">
        <v>84</v>
      </c>
      <c r="C77" s="76">
        <v>100000</v>
      </c>
      <c r="D77" s="77">
        <f ca="1">C77+D86</f>
      </c>
      <c r="E77" s="77">
        <f t="shared" ref="E77:J77" ca="1" si="22">D77+E86</f>
      </c>
      <c r="F77" s="77">
        <f t="shared" ca="1" si="22"/>
      </c>
      <c r="G77" s="77">
        <f t="shared" ca="1" si="22"/>
      </c>
      <c r="H77" s="77">
        <f t="shared" ca="1" si="22"/>
      </c>
      <c r="I77" s="77">
        <f t="shared" ca="1" si="22"/>
      </c>
      <c r="J77" s="77">
        <f t="shared" ca="1" si="22"/>
      </c>
    </row>
    <row r="78" spans="2:10" ht="15" customHeight="1" x14ac:dyDescent="0.2">
      <c r="B78" s="19" t="s">
        <v>85</v>
      </c>
      <c r="C78" s="78">
        <f>C75-C76+C77</f>
      </c>
      <c r="D78" s="78">
        <f t="shared" ref="D78:J78" ca="1" si="23">D75-D76+D77</f>
      </c>
      <c r="E78" s="78">
        <f t="shared" ca="1" si="23"/>
      </c>
      <c r="F78" s="78">
        <f t="shared" ca="1" si="23"/>
      </c>
      <c r="G78" s="78">
        <f t="shared" ca="1" si="23"/>
      </c>
      <c r="H78" s="78">
        <f t="shared" ca="1" si="23"/>
      </c>
      <c r="I78" s="78">
        <f t="shared" ca="1" si="23"/>
      </c>
      <c r="J78" s="78">
        <f t="shared" ca="1" si="23"/>
      </c>
    </row>
    <row r="79" spans="2:10" ht="15" customHeight="1" thickBot="1" x14ac:dyDescent="0.25">
      <c r="B79" s="61"/>
      <c r="C79" s="61"/>
      <c r="D79" s="61"/>
      <c r="E79" s="61"/>
      <c r="F79" s="61"/>
      <c r="G79" s="61"/>
      <c r="H79" s="61"/>
      <c r="I79" s="61"/>
      <c r="J79" s="61"/>
    </row>
    <row r="80" spans="2:10" ht="15" customHeight="1" thickBot="1" x14ac:dyDescent="0.25">
      <c r="B80" s="10" t="s">
        <v>86</v>
      </c>
      <c r="C80" s="81">
        <f t="shared" ref="C80:J80" si="24">C72+C78</f>
      </c>
      <c r="D80" s="81">
        <f t="shared" ca="1" si="24"/>
      </c>
      <c r="E80" s="81">
        <f t="shared" ca="1" si="24"/>
      </c>
      <c r="F80" s="81">
        <f t="shared" ca="1" si="24"/>
      </c>
      <c r="G80" s="81">
        <f t="shared" ca="1" si="24"/>
      </c>
      <c r="H80" s="81">
        <f t="shared" ca="1" si="24"/>
      </c>
      <c r="I80" s="81">
        <f t="shared" ca="1" si="24"/>
      </c>
      <c r="J80" s="81">
        <f t="shared" ca="1" si="24"/>
      </c>
    </row>
    <row r="81" spans="2:10" ht="15" customHeight="1" thickTop="1" x14ac:dyDescent="0.2">
      <c r="B81" s="61"/>
      <c r="C81" s="61"/>
      <c r="D81" s="61"/>
      <c r="E81" s="61"/>
      <c r="F81" s="61"/>
      <c r="G81" s="61"/>
      <c r="H81" s="61"/>
      <c r="I81" s="61"/>
      <c r="J81" s="61"/>
    </row>
    <row r="82" spans="2:10" ht="15" customHeight="1" x14ac:dyDescent="0.2">
      <c r="B82" s="16" t="s">
        <v>87</v>
      </c>
      <c r="C82" s="77">
        <f t="shared" ref="C82:J82" si="25">C62-C80</f>
      </c>
      <c r="D82" s="77">
        <f t="shared" ca="1" si="25"/>
      </c>
      <c r="E82" s="77">
        <f t="shared" ca="1" si="25"/>
      </c>
      <c r="F82" s="77">
        <f t="shared" ca="1" si="25"/>
      </c>
      <c r="G82" s="77">
        <f t="shared" ca="1" si="25"/>
      </c>
      <c r="H82" s="77">
        <f t="shared" ca="1" si="25"/>
      </c>
      <c r="I82" s="77">
        <f t="shared" ca="1" si="25"/>
      </c>
      <c r="J82" s="77">
        <f t="shared" ca="1" si="25"/>
      </c>
    </row>
    <row r="83" spans="2:10" ht="15" customHeight="1" thickBot="1" x14ac:dyDescent="0.25">
      <c r="B83" s="61"/>
      <c r="C83" s="61"/>
      <c r="D83" s="61"/>
      <c r="E83" s="61"/>
      <c r="F83" s="61"/>
      <c r="G83" s="61"/>
      <c r="H83" s="61"/>
      <c r="I83" s="61"/>
      <c r="J83" s="61"/>
    </row>
    <row r="84" spans="2:10" ht="15" customHeight="1" thickBot="1" x14ac:dyDescent="0.25">
      <c r="B84" s="75" t="s">
        <v>88</v>
      </c>
      <c r="C84" s="75"/>
      <c r="D84" s="75"/>
      <c r="E84" s="75"/>
      <c r="F84" s="75"/>
      <c r="G84" s="75"/>
      <c r="H84" s="75"/>
      <c r="I84" s="75"/>
      <c r="J84" s="75"/>
    </row>
    <row r="85" spans="2:10" ht="15" customHeight="1" x14ac:dyDescent="0.2">
      <c r="B85" s="12" t="s">
        <v>89</v>
      </c>
      <c r="C85" s="61"/>
      <c r="D85" s="61"/>
      <c r="E85" s="61"/>
      <c r="F85" s="61"/>
      <c r="G85" s="61"/>
      <c r="H85" s="61"/>
      <c r="I85" s="61"/>
      <c r="J85" s="61"/>
    </row>
    <row r="86" spans="2:10" ht="15" customHeight="1" x14ac:dyDescent="0.2">
      <c r="B86" s="13" t="s">
        <v>90</v>
      </c>
      <c r="C86" s="77"/>
      <c r="D86" s="77" cm="1">
        <f t="array" aca="1" ref="D86" ca="1">D35</f>
      </c>
      <c r="E86" s="77" cm="1">
        <f t="array" aca="1" ref="E86" ca="1">E35</f>
      </c>
      <c r="F86" s="77" cm="1">
        <f t="array" aca="1" ref="F86" ca="1">F35</f>
      </c>
      <c r="G86" s="77" cm="1">
        <f t="array" aca="1" ref="G86" ca="1">G35</f>
      </c>
      <c r="H86" s="77" cm="1">
        <f t="array" aca="1" ref="H86" ca="1">H35</f>
      </c>
      <c r="I86" s="77" cm="1">
        <f t="array" aca="1" ref="I86" ca="1">I35</f>
      </c>
      <c r="J86" s="77" cm="1">
        <f t="array" aca="1" ref="J86" ca="1">J35</f>
      </c>
    </row>
    <row r="87" spans="2:10" ht="15.75" customHeight="1" x14ac:dyDescent="0.2">
      <c r="B87" s="13" t="s">
        <v>91</v>
      </c>
      <c r="C87" s="76"/>
      <c r="D87" s="66">
        <f>C$95*INDEX('Company1808 Assumptions'!E$82:E$84,MATCH($D$5,'Company1808 Assumptions'!$C$82:$C$84,0))</f>
      </c>
      <c r="E87" s="66">
        <f>D$95*INDEX('Company1808 Assumptions'!F$82:F$84,MATCH($D$5,'Company1808 Assumptions'!$C$82:$C$84,0))</f>
      </c>
      <c r="F87" s="66">
        <f>E$95*INDEX('Company1808 Assumptions'!G$82:G$84,MATCH($D$5,'Company1808 Assumptions'!$C$82:$C$84,0))</f>
      </c>
      <c r="G87" s="66">
        <f>F$95*INDEX('Company1808 Assumptions'!H$82:H$84,MATCH($D$5,'Company1808 Assumptions'!$C$82:$C$84,0))</f>
      </c>
      <c r="H87" s="66">
        <f>G$95*INDEX('Company1808 Assumptions'!I$82:I$84,MATCH($D$5,'Company1808 Assumptions'!$C$82:$C$84,0))</f>
      </c>
      <c r="I87" s="66">
        <f>H$95*INDEX('Company1808 Assumptions'!J$82:J$84,MATCH($D$5,'Company1808 Assumptions'!$C$82:$C$84,0))</f>
      </c>
      <c r="J87" s="66">
        <f>I$95*INDEX('Company1808 Assumptions'!K$82:K$84,MATCH($D$5,'Company1808 Assumptions'!$C$82:$C$84,0))</f>
      </c>
    </row>
    <row r="88" spans="2:10" ht="15" customHeight="1" x14ac:dyDescent="0.2">
      <c r="B88" s="13" t="s">
        <v>92</v>
      </c>
      <c r="C88" s="77"/>
      <c r="D88" s="77" cm="1">
        <f t="array" ref="D88">D24</f>
      </c>
      <c r="E88" s="77" cm="1">
        <f t="array" ref="E88">E24</f>
      </c>
      <c r="F88" s="77" cm="1">
        <f t="array" ref="F88">F24</f>
      </c>
      <c r="G88" s="77" cm="1">
        <f t="array" ref="G88">G24</f>
      </c>
      <c r="H88" s="77" cm="1">
        <f t="array" ref="H88">H24</f>
      </c>
      <c r="I88" s="77" cm="1">
        <f t="array" ref="I88">I24</f>
      </c>
      <c r="J88" s="77" cm="1">
        <f t="array" ref="J88">J24</f>
      </c>
    </row>
    <row r="89" spans="2:10" ht="15" customHeight="1" x14ac:dyDescent="0.2">
      <c r="B89" s="17" t="s">
        <v>93</v>
      </c>
      <c r="C89" s="61"/>
      <c r="D89" s="61"/>
      <c r="E89" s="61"/>
      <c r="F89" s="61"/>
      <c r="G89" s="61"/>
      <c r="H89" s="61"/>
      <c r="I89" s="61"/>
      <c r="J89" s="61"/>
    </row>
    <row r="90" spans="2:10" ht="15" customHeight="1" x14ac:dyDescent="0.2">
      <c r="B90" s="18" t="s">
        <v>106</v>
      </c>
      <c r="C90" s="61"/>
      <c r="D90" s="77">
        <f>-(SUM(D50:D51)-SUM(C50:C51))</f>
      </c>
      <c r="E90" s="77">
        <f t="shared" ref="E90:J90" si="26">-(SUM(E50:E51)-SUM(D50:D51))</f>
      </c>
      <c r="F90" s="77">
        <f t="shared" si="26"/>
      </c>
      <c r="G90" s="77">
        <f t="shared" si="26"/>
      </c>
      <c r="H90" s="77">
        <f t="shared" si="26"/>
      </c>
      <c r="I90" s="77">
        <f t="shared" si="26"/>
      </c>
      <c r="J90" s="77">
        <f t="shared" si="26"/>
      </c>
    </row>
    <row r="91" spans="2:10" ht="15" customHeight="1" x14ac:dyDescent="0.2">
      <c r="B91" s="18" t="s">
        <v>107</v>
      </c>
      <c r="C91" s="61"/>
      <c r="D91" s="77">
        <f t="shared" ref="D91:J91" si="27">SUM(D67:D68)-SUM(C67:C68)</f>
      </c>
      <c r="E91" s="77">
        <f t="shared" si="27"/>
      </c>
      <c r="F91" s="77">
        <f t="shared" si="27"/>
      </c>
      <c r="G91" s="77">
        <f t="shared" si="27"/>
      </c>
      <c r="H91" s="77">
        <f t="shared" si="27"/>
      </c>
      <c r="I91" s="77">
        <f t="shared" si="27"/>
      </c>
      <c r="J91" s="77">
        <f t="shared" si="27"/>
      </c>
    </row>
    <row r="92" spans="2:10" ht="15.75" customHeight="1" x14ac:dyDescent="0.2">
      <c r="B92" s="19" t="s">
        <v>94</v>
      </c>
      <c r="C92" s="78"/>
      <c r="D92" s="78">
        <f ca="1">SUM(D86:D91)</f>
      </c>
      <c r="E92" s="78">
        <f t="shared" ref="E92:J92" ca="1" si="28">SUM(E86:E91)</f>
      </c>
      <c r="F92" s="78">
        <f t="shared" ca="1" si="28"/>
      </c>
      <c r="G92" s="78">
        <f t="shared" ca="1" si="28"/>
      </c>
      <c r="H92" s="78">
        <f t="shared" ca="1" si="28"/>
      </c>
      <c r="I92" s="78">
        <f t="shared" ca="1" si="28"/>
      </c>
      <c r="J92" s="78">
        <f t="shared" ca="1" si="28"/>
      </c>
    </row>
    <row r="93" spans="2:10" ht="15" customHeight="1" x14ac:dyDescent="0.2">
      <c r="B93" s="61"/>
      <c r="C93" s="61"/>
      <c r="D93" s="61"/>
      <c r="E93" s="61"/>
      <c r="F93" s="61"/>
      <c r="G93" s="61"/>
      <c r="H93" s="61"/>
      <c r="I93" s="61"/>
      <c r="J93" s="61"/>
    </row>
    <row r="94" spans="2:10" ht="15" customHeight="1" x14ac:dyDescent="0.2">
      <c r="B94" s="12" t="s">
        <v>95</v>
      </c>
      <c r="C94" s="61"/>
      <c r="D94" s="61"/>
      <c r="E94" s="61"/>
      <c r="F94" s="61"/>
      <c r="G94" s="61"/>
      <c r="H94" s="61"/>
      <c r="I94" s="61"/>
      <c r="J94" s="61"/>
    </row>
    <row r="95" spans="2:10" ht="15.75" customHeight="1" x14ac:dyDescent="0.2">
      <c r="B95" s="13" t="s">
        <v>96</v>
      </c>
      <c r="C95" s="66">
        <f>C$14*INDEX('Company1808 Assumptions'!D$78:D$80,MATCH($D$5,'Company1808 Assumptions'!$C$78:$C$80,0))</f>
      </c>
      <c r="D95" s="66">
        <f>D$14*INDEX('Company1808 Assumptions'!E$78:E$80,MATCH($D$5,'Company1808 Assumptions'!$C$78:$C$80,0))</f>
      </c>
      <c r="E95" s="66">
        <f>E$14*INDEX('Company1808 Assumptions'!F$78:F$80,MATCH($D$5,'Company1808 Assumptions'!$C$78:$C$80,0))</f>
      </c>
      <c r="F95" s="66">
        <f>F$14*INDEX('Company1808 Assumptions'!G$78:G$80,MATCH($D$5,'Company1808 Assumptions'!$C$78:$C$80,0))</f>
      </c>
      <c r="G95" s="66">
        <f>G$14*INDEX('Company1808 Assumptions'!H$78:H$80,MATCH($D$5,'Company1808 Assumptions'!$C$78:$C$80,0))</f>
      </c>
      <c r="H95" s="66">
        <f>H$14*INDEX('Company1808 Assumptions'!I$78:I$80,MATCH($D$5,'Company1808 Assumptions'!$C$78:$C$80,0))</f>
      </c>
      <c r="I95" s="66">
        <f>I$14*INDEX('Company1808 Assumptions'!J$78:J$80,MATCH($D$5,'Company1808 Assumptions'!$C$78:$C$80,0))</f>
      </c>
      <c r="J95" s="66">
        <f>J$14*INDEX('Company1808 Assumptions'!K$78:K$80,MATCH($D$5,'Company1808 Assumptions'!$C$78:$C$80,0))</f>
      </c>
    </row>
    <row r="96" spans="2:10" ht="15.75" customHeight="1" x14ac:dyDescent="0.2">
      <c r="B96" s="13" t="s">
        <v>229</v>
      </c>
      <c r="C96" s="66"/>
      <c r="D96" s="77">
        <f>D59-C59</f>
      </c>
      <c r="E96" s="77">
        <f t="shared" ref="E96:J96" si="29">E59-D59</f>
      </c>
      <c r="F96" s="77">
        <f t="shared" si="29"/>
      </c>
      <c r="G96" s="77">
        <f t="shared" si="29"/>
      </c>
      <c r="H96" s="77">
        <f t="shared" si="29"/>
      </c>
      <c r="I96" s="77">
        <f t="shared" si="29"/>
      </c>
      <c r="J96" s="77">
        <f t="shared" si="29"/>
      </c>
    </row>
    <row r="97" spans="2:10" ht="15" customHeight="1" x14ac:dyDescent="0.2">
      <c r="B97" s="19" t="s">
        <v>97</v>
      </c>
      <c r="C97" s="78"/>
      <c r="D97" s="78">
        <f>-SUM(D95:D96)</f>
      </c>
      <c r="E97" s="78">
        <f t="shared" ref="E97:J97" si="30">-SUM(E95:E96)</f>
      </c>
      <c r="F97" s="78">
        <f t="shared" si="30"/>
      </c>
      <c r="G97" s="78">
        <f t="shared" si="30"/>
      </c>
      <c r="H97" s="78">
        <f t="shared" si="30"/>
      </c>
      <c r="I97" s="78">
        <f t="shared" si="30"/>
      </c>
      <c r="J97" s="78">
        <f t="shared" si="30"/>
      </c>
    </row>
    <row r="98" spans="2:10" ht="13.5" customHeight="1" x14ac:dyDescent="0.2">
      <c r="B98" s="61"/>
      <c r="C98" s="61"/>
      <c r="D98" s="61"/>
      <c r="E98" s="61"/>
      <c r="F98" s="61"/>
      <c r="G98" s="61"/>
      <c r="H98" s="61"/>
      <c r="I98" s="61"/>
      <c r="J98" s="61"/>
    </row>
    <row r="99" spans="2:10" ht="15.75" customHeight="1" x14ac:dyDescent="0.2">
      <c r="B99" s="12" t="s">
        <v>98</v>
      </c>
      <c r="C99" s="61"/>
      <c r="D99" s="61"/>
      <c r="E99" s="61"/>
      <c r="F99" s="61"/>
      <c r="G99" s="61"/>
      <c r="H99" s="61"/>
      <c r="I99" s="61"/>
      <c r="J99" s="61"/>
    </row>
    <row r="100" spans="2:10" ht="15.75" customHeight="1" x14ac:dyDescent="0.2">
      <c r="B100" s="13" t="s">
        <v>99</v>
      </c>
      <c r="C100" s="82"/>
      <c r="D100" s="66">
        <f ca="1">-MAX(D92+D97,0)*INDEX('Company1808 Assumptions'!$G$109:$G$111,MATCH($D$5,'Company1808 Assumptions'!$C$109:$C$111,0))</f>
      </c>
      <c r="E100" s="66">
        <f ca="1">-MAX(E92+E97,0)*INDEX('Company1808 Assumptions'!$G$109:$G$111,MATCH($D$5,'Company1808 Assumptions'!$C$109:$C$111,0))</f>
      </c>
      <c r="F100" s="66">
        <f ca="1">-MAX(F92+F97,0)*INDEX('Company1808 Assumptions'!$G$109:$G$111,MATCH($D$5,'Company1808 Assumptions'!$C$109:$C$111,0))</f>
      </c>
      <c r="G100" s="66">
        <f ca="1">-MAX(G92+G97,0)*INDEX('Company1808 Assumptions'!$G$109:$G$111,MATCH($D$5,'Company1808 Assumptions'!$C$109:$C$111,0))</f>
      </c>
      <c r="H100" s="66">
        <f ca="1">-MAX(H92+H97,0)*INDEX('Company1808 Assumptions'!$G$109:$G$111,MATCH($D$5,'Company1808 Assumptions'!$C$109:$C$111,0))</f>
      </c>
      <c r="I100" s="66">
        <f ca="1">-MAX(I92+I97,0)*INDEX('Company1808 Assumptions'!$G$109:$G$111,MATCH($D$5,'Company1808 Assumptions'!$C$109:$C$111,0))</f>
      </c>
      <c r="J100" s="66">
        <f ca="1">-MAX(J92+J97,0)*INDEX('Company1808 Assumptions'!$G$109:$G$111,MATCH($D$5,'Company1808 Assumptions'!$C$109:$C$111,0))</f>
      </c>
    </row>
    <row r="101" spans="2:10" ht="15" customHeight="1" x14ac:dyDescent="0.2">
      <c r="B101" s="13" t="s">
        <v>100</v>
      </c>
      <c r="C101" s="76"/>
      <c r="D101" s="77">
        <f t="shared" ref="D101:J101" si="31">D$71-C$71</f>
      </c>
      <c r="E101" s="77">
        <f t="shared" si="31"/>
      </c>
      <c r="F101" s="77">
        <f t="shared" si="31"/>
      </c>
      <c r="G101" s="77">
        <f t="shared" si="31"/>
      </c>
      <c r="H101" s="77">
        <f t="shared" si="31"/>
      </c>
      <c r="I101" s="77">
        <f t="shared" si="31"/>
      </c>
      <c r="J101" s="77">
        <f t="shared" si="31"/>
      </c>
    </row>
    <row r="102" spans="2:10" ht="15" customHeight="1" x14ac:dyDescent="0.2">
      <c r="B102" s="19" t="s">
        <v>101</v>
      </c>
      <c r="C102" s="78"/>
      <c r="D102" s="78">
        <f t="shared" ref="D102:J102" ca="1" si="32">SUM(D99:D101)</f>
      </c>
      <c r="E102" s="78">
        <f t="shared" ca="1" si="32"/>
      </c>
      <c r="F102" s="78">
        <f t="shared" ca="1" si="32"/>
      </c>
      <c r="G102" s="78">
        <f t="shared" ca="1" si="32"/>
      </c>
      <c r="H102" s="78">
        <f t="shared" ca="1" si="32"/>
      </c>
      <c r="I102" s="78">
        <f t="shared" ca="1" si="32"/>
      </c>
      <c r="J102" s="78">
        <f t="shared" ca="1" si="32"/>
      </c>
    </row>
    <row r="103" spans="2:10" ht="15" customHeight="1" x14ac:dyDescent="0.2">
      <c r="B103" s="61"/>
      <c r="C103" s="61"/>
      <c r="D103" s="61"/>
      <c r="E103" s="61"/>
      <c r="F103" s="61"/>
      <c r="G103" s="61"/>
      <c r="H103" s="61"/>
      <c r="I103" s="61"/>
      <c r="J103" s="61"/>
    </row>
    <row r="104" spans="2:10" ht="15" customHeight="1" x14ac:dyDescent="0.2">
      <c r="B104" s="20" t="s">
        <v>102</v>
      </c>
      <c r="C104" s="77"/>
      <c r="D104" s="77">
        <f t="shared" ref="D104:J104" ca="1" si="33">D92+D97+D102</f>
      </c>
      <c r="E104" s="77">
        <f t="shared" ca="1" si="33"/>
      </c>
      <c r="F104" s="77">
        <f t="shared" ca="1" si="33"/>
      </c>
      <c r="G104" s="77">
        <f t="shared" ca="1" si="33"/>
      </c>
      <c r="H104" s="77">
        <f t="shared" ca="1" si="33"/>
      </c>
      <c r="I104" s="77">
        <f t="shared" ca="1" si="33"/>
      </c>
      <c r="J104" s="77">
        <f t="shared" ca="1" si="33"/>
      </c>
    </row>
    <row r="105" spans="2:10" ht="15" customHeight="1" thickBot="1" x14ac:dyDescent="0.25">
      <c r="B105" s="21" t="s">
        <v>103</v>
      </c>
      <c r="C105" s="77"/>
      <c r="D105" s="77">
        <f>C$106</f>
      </c>
      <c r="E105" s="77">
        <f t="shared" ref="E105:J105" ca="1" si="34">D$106</f>
      </c>
      <c r="F105" s="77">
        <f t="shared" ca="1" si="34"/>
      </c>
      <c r="G105" s="77">
        <f t="shared" ca="1" si="34"/>
      </c>
      <c r="H105" s="77">
        <f t="shared" ca="1" si="34"/>
      </c>
      <c r="I105" s="77">
        <f t="shared" ca="1" si="34"/>
      </c>
      <c r="J105" s="77">
        <f t="shared" ca="1" si="34"/>
      </c>
    </row>
    <row r="106" spans="2:10" ht="15" customHeight="1" thickBot="1" x14ac:dyDescent="0.25">
      <c r="B106" s="10" t="s">
        <v>104</v>
      </c>
      <c r="C106" s="81">
        <f>C$49</f>
      </c>
      <c r="D106" s="81">
        <f t="shared" ref="D106:J106" ca="1" si="35">D104+D105</f>
      </c>
      <c r="E106" s="81">
        <f t="shared" ca="1" si="35"/>
      </c>
      <c r="F106" s="81">
        <f t="shared" ca="1" si="35"/>
      </c>
      <c r="G106" s="81">
        <f t="shared" ca="1" si="35"/>
      </c>
      <c r="H106" s="81">
        <f t="shared" ca="1" si="35"/>
      </c>
      <c r="I106" s="81">
        <f t="shared" ca="1" si="35"/>
      </c>
      <c r="J106" s="81">
        <f t="shared" ca="1" si="35"/>
      </c>
    </row>
    <row r="107" spans="2:10" ht="15.75" customHeight="1" thickTop="1" x14ac:dyDescent="0.2">
      <c r="B107" s="61"/>
      <c r="C107" s="61"/>
      <c r="D107" s="61"/>
      <c r="E107" s="61"/>
      <c r="F107" s="61"/>
      <c r="G107" s="61"/>
      <c r="H107" s="61"/>
      <c r="I107" s="61"/>
      <c r="J107" s="61"/>
    </row>
    <row r="108" spans="2:10" ht="15" customHeight="1" x14ac:dyDescent="0.2">
      <c r="B108" s="16" t="s">
        <v>105</v>
      </c>
      <c r="C108" s="77">
        <f t="shared" ref="C108:J108" si="36">C106-C49</f>
      </c>
      <c r="D108" s="77">
        <f t="shared" ca="1" si="36"/>
      </c>
      <c r="E108" s="77">
        <f t="shared" ca="1" si="36"/>
      </c>
      <c r="F108" s="77">
        <f t="shared" ca="1" si="36"/>
      </c>
      <c r="G108" s="77">
        <f t="shared" ca="1" si="36"/>
      </c>
      <c r="H108" s="77">
        <f t="shared" ca="1" si="36"/>
      </c>
      <c r="I108" s="77">
        <f t="shared" ca="1" si="36"/>
      </c>
      <c r="J108" s="77">
        <f t="shared" ca="1" si="36"/>
      </c>
    </row>
    <row r="109" spans="2:10" ht="15" customHeight="1" x14ac:dyDescent="0.2">
      <c r="B109" s="61"/>
      <c r="C109" s="61"/>
      <c r="D109" s="61"/>
      <c r="E109" s="61"/>
      <c r="F109" s="61"/>
      <c r="G109" s="61"/>
      <c r="H109" s="61"/>
      <c r="I109" s="61"/>
      <c r="J109" s="61"/>
    </row>
    <row r="110" spans="2:10" ht="15" customHeight="1" x14ac:dyDescent="0.2">
      <c r="B110" s="61"/>
      <c r="C110" s="61"/>
      <c r="D110" s="61"/>
      <c r="E110" s="61"/>
      <c r="F110" s="61"/>
      <c r="G110" s="61"/>
      <c r="H110" s="61"/>
      <c r="I110" s="61"/>
      <c r="J110" s="61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tabSelected="1" topLeftCell="A36" zoomScale="85" zoomScaleNormal="85" workbookViewId="0">
      <selection activeCell="D75" sqref="D75"/>
    </sheetView>
  </sheetViews>
  <sheetFormatPr baseColWidth="10" defaultColWidth="7.6640625" defaultRowHeight="15" customHeight="1" x14ac:dyDescent="0.2"/>
  <cols>
    <col min="1" max="1" width="7.6640625" style="23"/>
    <col min="2" max="2" width="31.1640625" style="23" customWidth="1"/>
    <col min="3" max="3" width="2.5" style="23" customWidth="1"/>
    <col min="4" max="8" width="12.6640625" style="23" customWidth="1"/>
    <col min="9" max="16384" width="7.6640625" style="23"/>
  </cols>
  <sheetData>
    <row r="2" spans="2:13" ht="15" customHeight="1" x14ac:dyDescent="0.2">
      <c r="B2" s="22" t="s">
        <v>109</v>
      </c>
    </row>
    <row r="3" spans="2:13" ht="15" customHeight="1" x14ac:dyDescent="0.2">
      <c r="B3" s="24" t="s">
        <v>110</v>
      </c>
    </row>
    <row r="5" spans="2:13" ht="15" customHeight="1" x14ac:dyDescent="0.2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">
      <c r="B7" s="26" t="s">
        <v>112</v>
      </c>
    </row>
    <row r="8" spans="2:13" ht="15" customHeight="1" x14ac:dyDescent="0.2">
      <c r="B8" s="27" t="s">
        <v>113</v>
      </c>
      <c r="D8" s="28" t="s">
        <v>114</v>
      </c>
    </row>
    <row r="9" spans="2:13" ht="15" customHeight="1" x14ac:dyDescent="0.2">
      <c r="B9" s="27" t="s">
        <v>115</v>
      </c>
      <c r="D9" s="28" t="s">
        <v>116</v>
      </c>
    </row>
    <row r="10" spans="2:13" ht="15" customHeight="1" x14ac:dyDescent="0.2">
      <c r="B10" s="27" t="s">
        <v>117</v>
      </c>
      <c r="D10" s="28" t="s">
        <v>118</v>
      </c>
    </row>
    <row r="11" spans="2:13" ht="15" customHeight="1" x14ac:dyDescent="0.2">
      <c r="B11" s="27" t="s">
        <v>119</v>
      </c>
      <c r="D11" s="28" t="s">
        <v>223</v>
      </c>
    </row>
    <row r="12" spans="2:13" ht="15" customHeight="1" x14ac:dyDescent="0.2">
      <c r="B12" s="27" t="s">
        <v>121</v>
      </c>
      <c r="D12" s="28" t="s">
        <v>120</v>
      </c>
    </row>
    <row r="14" spans="2:13" ht="15" customHeight="1" x14ac:dyDescent="0.2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">
      <c r="B16" s="26" t="s">
        <v>123</v>
      </c>
    </row>
    <row r="17" spans="2:13" ht="15" customHeight="1" x14ac:dyDescent="0.2">
      <c r="B17" s="27" t="s">
        <v>124</v>
      </c>
      <c r="D17" s="29">
        <v>520</v>
      </c>
    </row>
    <row r="18" spans="2:13" ht="15" customHeight="1" x14ac:dyDescent="0.2">
      <c r="B18" s="27" t="s">
        <v>125</v>
      </c>
      <c r="D18" s="30">
        <v>0.3</v>
      </c>
    </row>
    <row r="19" spans="2:13" ht="15" customHeight="1" x14ac:dyDescent="0.2">
      <c r="B19" s="27" t="s">
        <v>126</v>
      </c>
      <c r="D19" s="31">
        <f>D17*(1+D18)</f>
      </c>
    </row>
    <row r="20" spans="2:13" ht="15" customHeight="1" x14ac:dyDescent="0.2">
      <c r="B20" s="27" t="s">
        <v>127</v>
      </c>
      <c r="D20" s="32">
        <v>2700</v>
      </c>
    </row>
    <row r="21" spans="2:13" ht="15" customHeight="1" x14ac:dyDescent="0.2">
      <c r="B21" s="33" t="s">
        <v>128</v>
      </c>
      <c r="D21" s="48">
        <f>D19*D20</f>
      </c>
    </row>
    <row r="23" spans="2:13" ht="15" customHeight="1" x14ac:dyDescent="0.2">
      <c r="B23" s="26" t="s">
        <v>129</v>
      </c>
    </row>
    <row r="24" spans="2:13" ht="15" customHeight="1" x14ac:dyDescent="0.2">
      <c r="B24" s="27" t="s">
        <v>130</v>
      </c>
      <c r="D24" s="30">
        <v>0.5</v>
      </c>
    </row>
    <row r="25" spans="2:13" ht="15" customHeight="1" x14ac:dyDescent="0.2">
      <c r="B25" s="27" t="s">
        <v>131</v>
      </c>
      <c r="D25" s="30">
        <v>0.5</v>
      </c>
    </row>
    <row r="26" spans="2:13" ht="15" customHeight="1" x14ac:dyDescent="0.2">
      <c r="B26" s="27" t="s">
        <v>132</v>
      </c>
      <c r="D26" s="48">
        <f t="shared" ref="D26:D27" si="0">$D$21*D24</f>
      </c>
    </row>
    <row r="27" spans="2:13" ht="15" customHeight="1" x14ac:dyDescent="0.2">
      <c r="B27" s="27" t="s">
        <v>133</v>
      </c>
      <c r="D27" s="48">
        <f t="shared" si="0"/>
      </c>
    </row>
    <row r="28" spans="2:13" ht="15" customHeight="1" x14ac:dyDescent="0.2">
      <c r="B28" s="27" t="s">
        <v>134</v>
      </c>
      <c r="D28" s="29">
        <v>175</v>
      </c>
    </row>
    <row r="29" spans="2:13" ht="15" customHeight="1" x14ac:dyDescent="0.2">
      <c r="B29" s="27" t="s">
        <v>135</v>
      </c>
      <c r="D29" s="35">
        <f t="shared" ref="D29" si="1">D27/D28</f>
      </c>
    </row>
    <row r="31" spans="2:13" ht="15" customHeight="1" x14ac:dyDescent="0.2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">
      <c r="B33" s="26" t="s">
        <v>137</v>
      </c>
      <c r="F33" s="26" t="s">
        <v>138</v>
      </c>
    </row>
    <row r="34" spans="2:13" ht="15" customHeight="1" x14ac:dyDescent="0.2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">
      <c r="B35" s="27" t="s">
        <v>141</v>
      </c>
      <c r="D35" s="49">
        <v>400000</v>
      </c>
      <c r="F35" s="27" t="s">
        <v>142</v>
      </c>
      <c r="H35" s="48">
        <f>$D$21*$I$35</f>
      </c>
      <c r="I35" s="52">
        <v>0.02</v>
      </c>
    </row>
    <row r="36" spans="2:13" ht="15" customHeight="1" x14ac:dyDescent="0.2">
      <c r="B36" s="27" t="s">
        <v>143</v>
      </c>
      <c r="D36" s="49">
        <v>100000</v>
      </c>
      <c r="F36" s="27" t="s">
        <v>144</v>
      </c>
      <c r="H36" s="48">
        <f>(D35+D36)*$I$36</f>
      </c>
      <c r="I36" s="52">
        <v>2.5000000000000001E-2</v>
      </c>
    </row>
    <row r="37" spans="2:13" ht="15" customHeight="1" x14ac:dyDescent="0.2">
      <c r="B37" s="27" t="s">
        <v>145</v>
      </c>
      <c r="D37" s="48">
        <f>H38-D34-D35-D36</f>
      </c>
      <c r="F37" s="27" t="s">
        <v>146</v>
      </c>
      <c r="H37" s="49">
        <v>5000</v>
      </c>
    </row>
    <row r="38" spans="2:13" ht="15" customHeight="1" x14ac:dyDescent="0.2">
      <c r="B38" s="36" t="s">
        <v>147</v>
      </c>
      <c r="C38" s="37"/>
      <c r="D38" s="50">
        <f>SUM(D34:D37)</f>
      </c>
      <c r="F38" s="36" t="s">
        <v>148</v>
      </c>
      <c r="G38" s="37"/>
      <c r="H38" s="50">
        <f t="shared" ref="D38:H54" si="2">SUM(H34:H37)</f>
      </c>
    </row>
    <row r="40" spans="2:13" ht="15" customHeight="1" x14ac:dyDescent="0.2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">
      <c r="B42" s="26" t="s">
        <v>150</v>
      </c>
    </row>
    <row r="43" spans="2:13" ht="15" customHeight="1" x14ac:dyDescent="0.2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">
      <c r="B49" s="26" t="s">
        <v>160</v>
      </c>
    </row>
    <row r="50" spans="2:13" ht="15" customHeight="1" x14ac:dyDescent="0.2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">
      <c r="B56" s="26" t="s">
        <v>165</v>
      </c>
    </row>
    <row r="57" spans="2:13" ht="15" customHeight="1" x14ac:dyDescent="0.2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25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">
      <c r="B66" s="26" t="s">
        <v>171</v>
      </c>
    </row>
    <row r="67" spans="2:13" ht="15" customHeight="1" x14ac:dyDescent="0.2">
      <c r="B67" s="27" t="s">
        <v>140</v>
      </c>
      <c r="D67" s="48" cm="1">
        <f t="array" ref="D67">D21</f>
      </c>
    </row>
    <row r="68" spans="2:13" ht="15" customHeight="1" x14ac:dyDescent="0.2">
      <c r="B68" s="27" t="s">
        <v>172</v>
      </c>
      <c r="D68" s="49">
        <v>-141740</v>
      </c>
    </row>
    <row r="69" spans="2:13" ht="15" customHeight="1" x14ac:dyDescent="0.2">
      <c r="B69" s="27" t="s">
        <v>173</v>
      </c>
      <c r="D69" s="48">
        <f>D67+D68</f>
      </c>
    </row>
    <row r="71" spans="2:13" ht="15" customHeight="1" x14ac:dyDescent="0.2">
      <c r="B71" s="26" t="s">
        <v>174</v>
      </c>
    </row>
    <row r="72" spans="2:13" ht="15" customHeight="1" x14ac:dyDescent="0.2">
      <c r="B72" s="27" t="s">
        <v>235</v>
      </c>
      <c r="D72" s="49">
        <v>25000</v>
      </c>
    </row>
    <row r="73" spans="2:13" ht="15" customHeight="1" x14ac:dyDescent="0.2">
      <c r="B73" s="27" t="s">
        <v>175</v>
      </c>
      <c r="D73" s="49">
        <v>0</v>
      </c>
    </row>
    <row r="74" spans="2:13" ht="15" customHeight="1" x14ac:dyDescent="0.2">
      <c r="B74" s="27" t="s">
        <v>176</v>
      </c>
      <c r="D74" s="48">
        <f>-(D72+D73)*$D$95</f>
      </c>
    </row>
    <row r="75" spans="2:13" ht="15" customHeight="1" x14ac:dyDescent="0.2">
      <c r="B75" s="33" t="s">
        <v>177</v>
      </c>
      <c r="D75" s="48">
        <f>D69-D72-D73-D74</f>
      </c>
    </row>
    <row r="77" spans="2:13" ht="15" customHeight="1" x14ac:dyDescent="0.2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">
      <c r="B79" s="26" t="s">
        <v>179</v>
      </c>
    </row>
    <row r="80" spans="2:13" ht="15" customHeight="1" x14ac:dyDescent="0.2">
      <c r="B80" s="27" t="s">
        <v>236</v>
      </c>
      <c r="D80" s="48" cm="1">
        <f t="array" ref="D80">D35</f>
      </c>
    </row>
    <row r="81" spans="2:13" ht="15" customHeight="1" x14ac:dyDescent="0.2">
      <c r="B81" s="27" t="s">
        <v>237</v>
      </c>
      <c r="D81" s="30">
        <v>5.5E-2</v>
      </c>
    </row>
    <row r="82" spans="2:13" ht="15" customHeight="1" x14ac:dyDescent="0.2">
      <c r="B82" s="27" t="s">
        <v>180</v>
      </c>
      <c r="D82" s="48" cm="1">
        <f t="array" ref="D82">D36</f>
      </c>
    </row>
    <row r="83" spans="2:13" ht="15" customHeight="1" x14ac:dyDescent="0.2">
      <c r="B83" s="27" t="s">
        <v>181</v>
      </c>
      <c r="D83" s="30">
        <v>6.5000000000000002E-2</v>
      </c>
    </row>
    <row r="84" spans="2:13" ht="15" customHeight="1" x14ac:dyDescent="0.2">
      <c r="B84" s="27" t="s">
        <v>182</v>
      </c>
      <c r="D84" s="30">
        <v>0.05</v>
      </c>
    </row>
    <row r="86" spans="2:13" ht="15" customHeight="1" x14ac:dyDescent="0.2">
      <c r="B86" s="25" t="s">
        <v>183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">
      <c r="B88" s="26" t="s">
        <v>184</v>
      </c>
    </row>
    <row r="89" spans="2:13" ht="15" customHeight="1" x14ac:dyDescent="0.2">
      <c r="B89" s="27" t="s">
        <v>235</v>
      </c>
      <c r="D89" s="48">
        <f>D72</f>
      </c>
    </row>
    <row r="90" spans="2:13" ht="15" customHeight="1" x14ac:dyDescent="0.2">
      <c r="B90" s="53" t="s">
        <v>185</v>
      </c>
      <c r="D90" s="32">
        <v>10</v>
      </c>
    </row>
    <row r="91" spans="2:13" ht="15" customHeight="1" x14ac:dyDescent="0.2">
      <c r="B91" s="53" t="s">
        <v>186</v>
      </c>
      <c r="D91" s="48">
        <f>D89/D90</f>
      </c>
    </row>
    <row r="93" spans="2:13" ht="15" customHeight="1" x14ac:dyDescent="0.2">
      <c r="B93" s="26" t="s">
        <v>187</v>
      </c>
    </row>
    <row r="94" spans="2:13" ht="15" customHeight="1" x14ac:dyDescent="0.2">
      <c r="B94" s="27" t="s">
        <v>188</v>
      </c>
      <c r="D94" s="94">
        <v>0</v>
      </c>
    </row>
    <row r="95" spans="2:13" ht="15" customHeight="1" x14ac:dyDescent="0.2">
      <c r="B95" s="27" t="s">
        <v>189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0"/>
  <sheetViews>
    <sheetView showGridLines="0" topLeftCell="A11" zoomScale="110" zoomScaleNormal="110" workbookViewId="0">
      <selection activeCell="K24" sqref="K24"/>
    </sheetView>
  </sheetViews>
  <sheetFormatPr baseColWidth="10" defaultColWidth="7.6640625" defaultRowHeight="15" customHeight="1" x14ac:dyDescent="0.2"/>
  <cols>
    <col min="1" max="1" width="7.6640625" style="23"/>
    <col min="2" max="2" width="34" style="23" bestFit="1" customWidth="1"/>
    <col min="3" max="3" width="2.5" style="23" customWidth="1"/>
    <col min="4" max="8" width="11.1640625" style="23" customWidth="1"/>
    <col min="9" max="16384" width="7.6640625" style="23"/>
  </cols>
  <sheetData>
    <row r="2" spans="2:10" ht="15" customHeight="1" x14ac:dyDescent="0.2">
      <c r="B2" s="22" t="s">
        <v>190</v>
      </c>
    </row>
    <row r="3" spans="2:10" ht="15" customHeight="1" x14ac:dyDescent="0.2">
      <c r="B3" s="24" t="s">
        <v>44</v>
      </c>
    </row>
    <row r="5" spans="2:10" ht="15" customHeight="1" x14ac:dyDescent="0.2">
      <c r="B5" s="25" t="s">
        <v>191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">
      <c r="B7" s="23" t="s">
        <v>192</v>
      </c>
      <c r="D7" s="56">
        <f>'Combination Assumptions'!$D$21</f>
      </c>
    </row>
    <row r="8" spans="2:10" ht="15" customHeight="1" x14ac:dyDescent="0.2">
      <c r="B8" s="23" t="s">
        <v>193</v>
      </c>
      <c r="D8" s="56">
        <f>'Combination Assumptions'!$D$26</f>
      </c>
    </row>
    <row r="9" spans="2:10" ht="15" customHeight="1" x14ac:dyDescent="0.2">
      <c r="B9" s="23" t="s">
        <v>194</v>
      </c>
      <c r="D9" s="56">
        <f>'Combination Assumptions'!$D$27</f>
      </c>
    </row>
    <row r="10" spans="2:10" ht="15" customHeight="1" x14ac:dyDescent="0.2">
      <c r="B10" s="23" t="s">
        <v>195</v>
      </c>
      <c r="D10" s="56">
        <f>'Combination Assumptions'!$D$35+'Combination Assumptions'!$D$36</f>
      </c>
    </row>
    <row r="11" spans="2:10" ht="15" customHeight="1" x14ac:dyDescent="0.2">
      <c r="B11" s="23" t="s">
        <v>196</v>
      </c>
      <c r="D11" s="56">
        <f>'Combination Assumptions'!$D$75</f>
      </c>
    </row>
    <row r="13" spans="2:10" ht="15" customHeight="1" thickBot="1" x14ac:dyDescent="0.25">
      <c r="B13" s="41" t="s">
        <v>197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">
      <c r="B15" s="23" t="s">
        <v>198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">
      <c r="B17" s="43" t="s">
        <v>199</v>
      </c>
    </row>
    <row r="18" spans="2:8" ht="15" customHeight="1" x14ac:dyDescent="0.2">
      <c r="B18" s="27" t="s">
        <v>200</v>
      </c>
      <c r="D18" s="56">
        <f>'Company1153 3-Statement'!F$16</f>
      </c>
      <c r="E18" s="56">
        <f>'Company1153 3-Statement'!G$16</f>
      </c>
      <c r="F18" s="56">
        <f>'Company1153 3-Statement'!H$16</f>
      </c>
      <c r="G18" s="56">
        <f>'Company1153 3-Statement'!I$16</f>
      </c>
      <c r="H18" s="56">
        <f>'Company1153 3-Statement'!J$16</f>
      </c>
    </row>
    <row r="19" spans="2:8" ht="15" customHeight="1" x14ac:dyDescent="0.2">
      <c r="B19" s="27" t="s">
        <v>201</v>
      </c>
      <c r="D19" s="56">
        <f>'Company1808 3-Statement'!F$14</f>
      </c>
      <c r="E19" s="56">
        <f>'Company1808 3-Statement'!G$14</f>
      </c>
      <c r="F19" s="56">
        <f>'Company1808 3-Statement'!H$14</f>
      </c>
      <c r="G19" s="56">
        <f>'Company1808 3-Statement'!I$14</f>
      </c>
      <c r="H19" s="56">
        <f>'Company1808 3-Statement'!J$14</f>
      </c>
    </row>
    <row r="20" spans="2:8" ht="15" customHeight="1" x14ac:dyDescent="0.2">
      <c r="B20" s="27" t="s">
        <v>202</v>
      </c>
      <c r="D20" s="56">
        <f>'Combination Assumptions'!D$47</f>
      </c>
      <c r="E20" s="57">
        <f>'Combination Assumptions'!E$47</f>
      </c>
      <c r="F20" s="56">
        <f>'Combination Assumptions'!F$47</f>
      </c>
      <c r="G20" s="56">
        <f>'Combination Assumptions'!G$47</f>
      </c>
      <c r="H20" s="56">
        <f>'Combination Assumptions'!H$47</f>
      </c>
    </row>
    <row r="21" spans="2:8" ht="15" customHeight="1" x14ac:dyDescent="0.2">
      <c r="B21" s="44" t="s">
        <v>203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">
      <c r="B23" s="43" t="s">
        <v>47</v>
      </c>
    </row>
    <row r="24" spans="2:8" ht="15" customHeight="1" x14ac:dyDescent="0.2">
      <c r="B24" s="27" t="s">
        <v>204</v>
      </c>
      <c r="D24" s="56">
        <f>'Company1153 3-Statement'!F$19+'Company1808 3-Statement'!F$17</f>
      </c>
      <c r="E24" s="56">
        <f>'Company1153 3-Statement'!G$19+'Company1808 3-Statement'!G$17</f>
      </c>
      <c r="F24" s="56">
        <f>'Company1153 3-Statement'!H$19+'Company1808 3-Statement'!H$17</f>
      </c>
      <c r="G24" s="56">
        <f>'Company1153 3-Statement'!I$19+'Company1808 3-Statement'!I$17</f>
      </c>
      <c r="H24" s="56">
        <f>'Company1153 3-Statement'!J$19+'Company1808 3-Statement'!J$17</f>
      </c>
    </row>
    <row r="25" spans="2:8" ht="15" customHeight="1" x14ac:dyDescent="0.2">
      <c r="B25" s="27" t="s">
        <v>205</v>
      </c>
      <c r="D25" s="56">
        <f>-'Combination Assumptions'!D$50</f>
      </c>
      <c r="E25" s="56">
        <f>-'Combination Assumptions'!E$50</f>
      </c>
      <c r="F25" s="56">
        <f>-'Combination Assumptions'!F$50</f>
      </c>
      <c r="G25" s="56">
        <f>-'Combination Assumptions'!G$50</f>
      </c>
      <c r="H25" s="56">
        <f>-'Combination Assumptions'!H$50</f>
      </c>
    </row>
    <row r="26" spans="2:8" ht="15" customHeight="1" x14ac:dyDescent="0.2">
      <c r="B26" s="44" t="s">
        <v>49</v>
      </c>
      <c r="C26" s="37"/>
      <c r="D26" s="50">
        <f t="shared" ref="D26:H26" si="1">D21-D24-D25</f>
      </c>
      <c r="E26" s="50">
        <f t="shared" si="1"/>
      </c>
      <c r="F26" s="50">
        <f t="shared" si="1"/>
      </c>
      <c r="G26" s="50">
        <f t="shared" si="1"/>
      </c>
      <c r="H26" s="50">
        <f t="shared" si="1"/>
      </c>
    </row>
    <row r="27" spans="2:8" ht="15" customHeight="1" x14ac:dyDescent="0.2">
      <c r="D27" s="34"/>
      <c r="E27" s="34"/>
      <c r="F27" s="34"/>
      <c r="G27" s="34"/>
      <c r="H27" s="34"/>
    </row>
    <row r="28" spans="2:8" ht="15" customHeight="1" x14ac:dyDescent="0.2">
      <c r="B28" s="27" t="s">
        <v>206</v>
      </c>
      <c r="D28" s="56">
        <f>'Company1153 3-Statement'!F$23+'Company1808 3-Statement'!F$21</f>
      </c>
      <c r="E28" s="56">
        <f>'Company1153 3-Statement'!G$23+'Company1808 3-Statement'!G$21</f>
      </c>
      <c r="F28" s="56">
        <f>'Company1153 3-Statement'!H$23+'Company1808 3-Statement'!H$21</f>
      </c>
      <c r="G28" s="56">
        <f>'Company1153 3-Statement'!I$23+'Company1808 3-Statement'!I$21</f>
      </c>
      <c r="H28" s="56">
        <f>'Company1153 3-Statement'!J$23+'Company1808 3-Statement'!J$21</f>
      </c>
    </row>
    <row r="29" spans="2:8" ht="15" customHeight="1" x14ac:dyDescent="0.2">
      <c r="B29" s="27" t="s">
        <v>207</v>
      </c>
      <c r="D29" s="56">
        <f>-'Combination Assumptions'!D$51</f>
      </c>
      <c r="E29" s="56">
        <f>-'Combination Assumptions'!E$51</f>
      </c>
      <c r="F29" s="56">
        <f>-'Combination Assumptions'!F$51</f>
      </c>
      <c r="G29" s="56">
        <f>-'Combination Assumptions'!G$51</f>
      </c>
      <c r="H29" s="56">
        <f>-'Combination Assumptions'!H$51</f>
      </c>
    </row>
    <row r="30" spans="2:8" ht="15" customHeight="1" x14ac:dyDescent="0.2">
      <c r="B30" s="27" t="s">
        <v>208</v>
      </c>
      <c r="D30" s="56">
        <f>'Company1153 3-Statement'!F$24+'Company1808 3-Statement'!F$22</f>
      </c>
      <c r="E30" s="56">
        <f>'Company1153 3-Statement'!G$24+'Company1808 3-Statement'!G$22</f>
      </c>
      <c r="F30" s="56">
        <f>'Company1153 3-Statement'!H$24+'Company1808 3-Statement'!H$22</f>
      </c>
      <c r="G30" s="56">
        <f>'Company1153 3-Statement'!I$24+'Company1808 3-Statement'!I$22</f>
      </c>
      <c r="H30" s="56">
        <f>'Company1153 3-Statement'!J$24+'Company1808 3-Statement'!J$22</f>
      </c>
    </row>
    <row r="31" spans="2:8" ht="15" customHeight="1" x14ac:dyDescent="0.2">
      <c r="B31" s="27" t="s">
        <v>209</v>
      </c>
      <c r="D31" s="56">
        <f>-'Combination Assumptions'!D$53</f>
      </c>
      <c r="E31" s="56">
        <f>-'Combination Assumptions'!E$53</f>
      </c>
      <c r="F31" s="56">
        <f>-'Combination Assumptions'!F$53</f>
      </c>
      <c r="G31" s="56">
        <f>-'Combination Assumptions'!G$53</f>
      </c>
      <c r="H31" s="56">
        <f>-'Combination Assumptions'!H$53</f>
      </c>
    </row>
    <row r="32" spans="2:8" ht="15" customHeight="1" x14ac:dyDescent="0.2">
      <c r="B32" s="27" t="s">
        <v>210</v>
      </c>
      <c r="D32" s="56">
        <f>'Company1153 3-Statement'!F$25+'Company1808 3-Statement'!F$23</f>
      </c>
      <c r="E32" s="56">
        <f>'Company1153 3-Statement'!G$25+'Company1808 3-Statement'!G$23</f>
      </c>
      <c r="F32" s="56">
        <f>'Company1153 3-Statement'!H$25+'Company1808 3-Statement'!H$23</f>
      </c>
      <c r="G32" s="56">
        <f>'Company1153 3-Statement'!I$25+'Company1808 3-Statement'!I$23</f>
      </c>
      <c r="H32" s="56">
        <f>'Company1153 3-Statement'!J$25+'Company1808 3-Statement'!J$23</f>
      </c>
    </row>
    <row r="33" spans="2:8" ht="15" customHeight="1" x14ac:dyDescent="0.2">
      <c r="B33" s="27" t="s">
        <v>211</v>
      </c>
      <c r="D33" s="56">
        <f>-'Combination Assumptions'!D$52</f>
      </c>
      <c r="E33" s="56">
        <f>-'Combination Assumptions'!E$52</f>
      </c>
      <c r="F33" s="56">
        <f>-'Combination Assumptions'!F$52</f>
      </c>
      <c r="G33" s="56">
        <f>-'Combination Assumptions'!G$52</f>
      </c>
      <c r="H33" s="56">
        <f>-'Combination Assumptions'!H$52</f>
      </c>
    </row>
    <row r="34" spans="2:8" ht="15" customHeight="1" x14ac:dyDescent="0.2">
      <c r="B34" s="27" t="s">
        <v>220</v>
      </c>
      <c r="D34" s="56">
        <f>'Company1153 3-Statement'!F$26+'Company1808 3-Statement'!F$24</f>
      </c>
      <c r="E34" s="56">
        <f>'Company1153 3-Statement'!G$26+'Company1808 3-Statement'!G$24</f>
      </c>
      <c r="F34" s="56">
        <f>'Company1153 3-Statement'!H$26+'Company1808 3-Statement'!H$24</f>
      </c>
      <c r="G34" s="56">
        <f>'Company1153 3-Statement'!I$26+'Company1808 3-Statement'!I$24</f>
      </c>
      <c r="H34" s="56">
        <f>'Company1153 3-Statement'!J$26+'Company1808 3-Statement'!J$24</f>
      </c>
    </row>
    <row r="35" spans="2:8" ht="15" customHeight="1" x14ac:dyDescent="0.2">
      <c r="B35" s="27" t="s">
        <v>212</v>
      </c>
      <c r="D35" s="56">
        <f>-'Combination Assumptions'!D$60</f>
      </c>
      <c r="E35" s="56">
        <f>-'Combination Assumptions'!E$60</f>
      </c>
      <c r="F35" s="56">
        <f>-'Combination Assumptions'!F$60</f>
      </c>
      <c r="G35" s="56">
        <f>-'Combination Assumptions'!G$60</f>
      </c>
      <c r="H35" s="56">
        <f>-'Combination Assumptions'!H$60</f>
      </c>
    </row>
    <row r="36" spans="2:8" ht="15" customHeight="1" x14ac:dyDescent="0.2">
      <c r="B36" s="27" t="s">
        <v>234</v>
      </c>
      <c r="D36" s="56">
        <f>'Combination Assumptions'!$D$91</f>
      </c>
      <c r="E36" s="56">
        <f>'Combination Assumptions'!$D$91</f>
      </c>
      <c r="F36" s="56">
        <f>'Combination Assumptions'!$D$91</f>
      </c>
      <c r="G36" s="56">
        <f>'Combination Assumptions'!$D$91</f>
      </c>
      <c r="H36" s="56">
        <f>'Combination Assumptions'!$D$91</f>
      </c>
    </row>
    <row r="37" spans="2:8" ht="15" customHeight="1" x14ac:dyDescent="0.2">
      <c r="B37" s="44" t="s">
        <v>213</v>
      </c>
      <c r="C37" s="37"/>
      <c r="D37" s="50">
        <f t="shared" ref="D37:G37" si="2">D26-D28-D29-D30-D31-D32-D33-D34-D35-D36</f>
      </c>
      <c r="E37" s="50">
        <f t="shared" si="2"/>
      </c>
      <c r="F37" s="50">
        <f t="shared" si="2"/>
      </c>
      <c r="G37" s="50">
        <f t="shared" si="2"/>
      </c>
      <c r="H37" s="50">
        <f>H26-H28-H29-H30-H31-H32-H33-H34-H35-H36</f>
      </c>
    </row>
    <row r="38" spans="2:8" ht="15" customHeight="1" x14ac:dyDescent="0.2">
      <c r="D38" s="48"/>
      <c r="E38" s="48"/>
      <c r="F38" s="48"/>
      <c r="G38" s="48"/>
      <c r="H38" s="48"/>
    </row>
    <row r="39" spans="2:8" ht="15" customHeight="1" x14ac:dyDescent="0.2">
      <c r="B39" s="27" t="s">
        <v>233</v>
      </c>
      <c r="D39" s="56">
        <f ca="1">-('Company1153 3-Statement'!F$32+'Company1808 3-Statement'!F$30)</f>
      </c>
      <c r="E39" s="56">
        <f ca="1">-('Company1153 3-Statement'!G$32+'Company1808 3-Statement'!G$30)</f>
      </c>
      <c r="F39" s="56">
        <f ca="1">-('Company1153 3-Statement'!H$32+'Company1808 3-Statement'!H$30)</f>
      </c>
      <c r="G39" s="56">
        <f ca="1">-('Company1153 3-Statement'!I$32+'Company1808 3-Statement'!I$30)</f>
      </c>
      <c r="H39" s="56">
        <f ca="1">-('Company1153 3-Statement'!J$32+'Company1808 3-Statement'!J$30)</f>
      </c>
    </row>
    <row r="40" spans="2:8" ht="15" customHeight="1" x14ac:dyDescent="0.2">
      <c r="B40" s="27" t="s">
        <v>232</v>
      </c>
      <c r="D40" s="56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0" s="56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0" s="56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0" s="56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0" s="56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1" spans="2:8" ht="15" customHeight="1" x14ac:dyDescent="0.2">
      <c r="B41" s="43" t="s">
        <v>214</v>
      </c>
      <c r="D41" s="48">
        <f ca="1">D37-D39-D40</f>
      </c>
      <c r="E41" s="48">
        <f t="shared" ref="E41:H41" ca="1" si="3">E37-E39-E40</f>
      </c>
      <c r="F41" s="48">
        <f t="shared" ca="1" si="3"/>
      </c>
      <c r="G41" s="48">
        <f t="shared" ca="1" si="3"/>
      </c>
      <c r="H41" s="48">
        <f t="shared" ca="1" si="3"/>
      </c>
    </row>
    <row r="42" spans="2:8" ht="15" customHeight="1" x14ac:dyDescent="0.2">
      <c r="B42" s="27" t="s">
        <v>215</v>
      </c>
      <c r="D42" s="48">
        <f ca="1">D41*'Combination Assumptions'!$D$95</f>
      </c>
      <c r="E42" s="48">
        <f ca="1">E41*'Combination Assumptions'!$D$95</f>
      </c>
      <c r="F42" s="48">
        <f ca="1">F41*'Combination Assumptions'!$D$95</f>
      </c>
      <c r="G42" s="48">
        <f ca="1">G41*'Combination Assumptions'!$D$95</f>
      </c>
      <c r="H42" s="48">
        <f ca="1">H41*'Combination Assumptions'!$D$95</f>
      </c>
    </row>
    <row r="43" spans="2:8" ht="15" customHeight="1" thickBot="1" x14ac:dyDescent="0.25">
      <c r="D43" s="34"/>
      <c r="E43" s="34"/>
      <c r="F43" s="34"/>
      <c r="G43" s="34"/>
      <c r="H43" s="34"/>
    </row>
    <row r="44" spans="2:8" ht="15" customHeight="1" thickBot="1" x14ac:dyDescent="0.25">
      <c r="B44" s="45" t="s">
        <v>56</v>
      </c>
      <c r="C44" s="40"/>
      <c r="D44" s="51">
        <f t="shared" ref="D44:H44" ca="1" si="4">D41-D42</f>
      </c>
      <c r="E44" s="51">
        <f t="shared" ca="1" si="4"/>
      </c>
      <c r="F44" s="51">
        <f t="shared" ca="1" si="4"/>
      </c>
      <c r="G44" s="51">
        <f t="shared" ca="1" si="4"/>
      </c>
      <c r="H44" s="51">
        <f t="shared" ca="1" si="4"/>
      </c>
    </row>
    <row r="46" spans="2:8" ht="15" customHeight="1" x14ac:dyDescent="0.2">
      <c r="B46" s="46" t="s">
        <v>216</v>
      </c>
      <c r="C46" s="46"/>
      <c r="D46" s="46"/>
      <c r="E46" s="46"/>
      <c r="F46" s="46"/>
      <c r="G46" s="46"/>
      <c r="H46" s="46"/>
    </row>
    <row r="48" spans="2:8" ht="15" customHeight="1" x14ac:dyDescent="0.2">
      <c r="B48" s="47" t="s">
        <v>217</v>
      </c>
      <c r="D48" s="58">
        <f>'Company1153 3-Statement'!F$42+'Combination Assumptions'!$D$29</f>
      </c>
      <c r="E48" s="58">
        <f>'Company1153 3-Statement'!G$42+'Combination Assumptions'!$D$29</f>
      </c>
      <c r="F48" s="58">
        <f>'Company1153 3-Statement'!H$42+'Combination Assumptions'!$D$29</f>
      </c>
      <c r="G48" s="58">
        <f>'Company1153 3-Statement'!I$42+'Combination Assumptions'!$D$29</f>
      </c>
      <c r="H48" s="58">
        <f>'Company1153 3-Statement'!J$42+'Combination Assumptions'!$D$29</f>
      </c>
    </row>
    <row r="49" spans="2:8" ht="15" customHeight="1" x14ac:dyDescent="0.2">
      <c r="B49" s="26" t="s">
        <v>218</v>
      </c>
      <c r="D49" s="34">
        <f t="shared" ref="D49:H49" ca="1" si="5">D44/D48</f>
      </c>
      <c r="E49" s="34">
        <f t="shared" ca="1" si="5"/>
      </c>
      <c r="F49" s="34">
        <f t="shared" ca="1" si="5"/>
      </c>
      <c r="G49" s="34">
        <f t="shared" ca="1" si="5"/>
      </c>
      <c r="H49" s="34">
        <f t="shared" ca="1" si="5"/>
      </c>
    </row>
    <row r="50" spans="2:8" ht="15" customHeight="1" x14ac:dyDescent="0.2">
      <c r="B50" s="47" t="s">
        <v>219</v>
      </c>
      <c r="D50" s="59">
        <f ca="1">D49/'Company1153 3-Statement'!F$43-1</f>
      </c>
      <c r="E50" s="59">
        <f ca="1">E49/'Company1153 3-Statement'!G$43-1</f>
      </c>
      <c r="F50" s="59">
        <f ca="1">F49/'Company1153 3-Statement'!H$43-1</f>
      </c>
      <c r="G50" s="59">
        <f ca="1">G49/'Company1153 3-Statement'!I$43-1</f>
      </c>
      <c r="H50" s="59">
        <f ca="1">H49/'Company1153 3-Statement'!J$43-1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