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bookViews>
    <workbookView xWindow="17480" yWindow="-20560" windowWidth="38400" windowHeight="21100" activeTab="2" xr2:uid="{EACFA1D5-5EA8-FC44-B62C-2E44FB628F6A}"/>
  </bookViews>
  <sheets>
    <sheet name="Income Stmnt" sheetId="1" r:id="rId1"/>
    <sheet name="Cash Flow Stmnt" sheetId="3" r:id="rId2"/>
    <sheet name="Balance Sheet" sheetId="2" r:id="rId3"/>
    <sheet name="FCF Forecast with WACC" sheetId="8" r:id="rId4"/>
    <sheet name="ST Debt Schedule" sheetId="7" r:id="rId5"/>
    <sheet name="LT Debt Schedule" sheetId="5" r:id="rId6"/>
    <sheet name="Loan &amp; Bond Data" sheetId="6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I24" i="1"/>
  <c r="J24" i="1"/>
  <c r="I43" i="3" l="1"/>
  <c r="H43" i="3"/>
  <c r="J43" i="3"/>
  <c r="J33" i="3"/>
  <c r="I33" i="3"/>
  <c r="H33" i="3"/>
  <c r="O19" i="1" l="1"/>
  <c r="N19" i="1"/>
  <c r="M19" i="1"/>
  <c r="L19" i="1"/>
  <c r="K19" i="1"/>
  <c r="H18" i="1" l="1"/>
  <c r="H13" i="1"/>
  <c r="H10" i="1"/>
  <c r="J35" i="8" l="1"/>
  <c r="H49" i="7"/>
  <c r="D11" i="6" l="1"/>
  <c r="P84" i="5"/>
  <c r="P81" i="5"/>
  <c r="P75" i="5"/>
  <c r="O65" i="5"/>
  <c r="N65" i="5"/>
  <c r="M65" i="5"/>
  <c r="L65" i="5"/>
  <c r="K65" i="5"/>
  <c r="J65" i="5"/>
  <c r="I65" i="5"/>
  <c r="H65" i="5"/>
  <c r="G65" i="5"/>
  <c r="F65" i="5"/>
  <c r="E65" i="5"/>
  <c r="P65" i="5" s="1"/>
  <c r="O59" i="5"/>
  <c r="O68" i="5" s="1"/>
  <c r="N59" i="5"/>
  <c r="N68" i="5" s="1"/>
  <c r="M59" i="5"/>
  <c r="M68" i="5" s="1"/>
  <c r="L59" i="5"/>
  <c r="L68" i="5" s="1"/>
  <c r="K59" i="5"/>
  <c r="K68" i="5" s="1"/>
  <c r="J59" i="5"/>
  <c r="J68" i="5" s="1"/>
  <c r="I59" i="5"/>
  <c r="I68" i="5" s="1"/>
  <c r="H59" i="5"/>
  <c r="H68" i="5" s="1"/>
  <c r="G59" i="5"/>
  <c r="G68" i="5" s="1"/>
  <c r="F59" i="5"/>
  <c r="F68" i="5" s="1"/>
  <c r="E59" i="5"/>
  <c r="P59" i="5" s="1"/>
  <c r="P68" i="5" s="1"/>
  <c r="K15" i="3"/>
  <c r="L15" i="3" s="1"/>
  <c r="M15" i="3" s="1"/>
  <c r="N15" i="3" s="1"/>
  <c r="O15" i="3" s="1"/>
  <c r="E68" i="5" l="1"/>
  <c r="K12" i="3" l="1"/>
  <c r="L12" i="3" s="1"/>
  <c r="M12" i="3" s="1"/>
  <c r="N12" i="3" s="1"/>
  <c r="O12" i="3" s="1"/>
  <c r="J17" i="2"/>
  <c r="J16" i="2"/>
  <c r="K16" i="2"/>
  <c r="L16" i="2" s="1"/>
  <c r="M16" i="2" s="1"/>
  <c r="N16" i="2" s="1"/>
  <c r="Q30" i="3"/>
  <c r="Q29" i="3"/>
  <c r="Q27" i="3"/>
  <c r="K27" i="3" s="1"/>
  <c r="L27" i="3" s="1"/>
  <c r="M27" i="3" s="1"/>
  <c r="N27" i="3" s="1"/>
  <c r="O27" i="3" s="1"/>
  <c r="K26" i="3"/>
  <c r="L26" i="3" s="1"/>
  <c r="M26" i="3" s="1"/>
  <c r="N26" i="3" s="1"/>
  <c r="O26" i="3" s="1"/>
  <c r="Q25" i="3"/>
  <c r="K25" i="3" s="1"/>
  <c r="L25" i="3" s="1"/>
  <c r="M25" i="3" s="1"/>
  <c r="N25" i="3" s="1"/>
  <c r="O25" i="3" s="1"/>
  <c r="K39" i="2"/>
  <c r="L39" i="2" s="1"/>
  <c r="M39" i="2" s="1"/>
  <c r="N39" i="2" s="1"/>
  <c r="K31" i="2"/>
  <c r="L31" i="2" s="1"/>
  <c r="M31" i="2" s="1"/>
  <c r="N31" i="2" s="1"/>
  <c r="K25" i="2"/>
  <c r="L25" i="2" s="1"/>
  <c r="M25" i="2" s="1"/>
  <c r="N25" i="2" s="1"/>
  <c r="K24" i="2"/>
  <c r="L24" i="2"/>
  <c r="M24" i="2" s="1"/>
  <c r="N24" i="2" s="1"/>
  <c r="N17" i="2"/>
  <c r="M17" i="2"/>
  <c r="L17" i="2"/>
  <c r="K17" i="2"/>
  <c r="K56" i="2"/>
  <c r="L56" i="2" s="1"/>
  <c r="M56" i="2" s="1"/>
  <c r="N56" i="2" s="1"/>
  <c r="H54" i="2"/>
  <c r="I54" i="2"/>
  <c r="G54" i="2"/>
  <c r="P53" i="2" s="1"/>
  <c r="M54" i="2" l="1"/>
  <c r="N54" i="2"/>
  <c r="K54" i="2"/>
  <c r="L54" i="2"/>
  <c r="Q9" i="1"/>
  <c r="J26" i="2" s="1"/>
  <c r="K26" i="2" s="1"/>
  <c r="K40" i="3"/>
  <c r="L40" i="3" s="1"/>
  <c r="M40" i="3" s="1"/>
  <c r="N40" i="3" s="1"/>
  <c r="O40" i="3" s="1"/>
  <c r="I22" i="1"/>
  <c r="J22" i="1"/>
  <c r="H11" i="8"/>
  <c r="I11" i="8"/>
  <c r="G11" i="8"/>
  <c r="J14" i="2" l="1"/>
  <c r="L26" i="2"/>
  <c r="L17" i="3"/>
  <c r="I68" i="2"/>
  <c r="D17" i="5"/>
  <c r="M26" i="2" l="1"/>
  <c r="M17" i="3"/>
  <c r="K14" i="2"/>
  <c r="K16" i="3"/>
  <c r="J43" i="8"/>
  <c r="J34" i="8" s="1"/>
  <c r="H7" i="8"/>
  <c r="I7" i="8"/>
  <c r="I13" i="8" s="1"/>
  <c r="G7" i="8"/>
  <c r="J37" i="2"/>
  <c r="K37" i="2" s="1"/>
  <c r="L37" i="2" s="1"/>
  <c r="M37" i="2" s="1"/>
  <c r="N37" i="2" s="1"/>
  <c r="Q15" i="3"/>
  <c r="J8" i="2"/>
  <c r="K8" i="2" s="1"/>
  <c r="L8" i="2" s="1"/>
  <c r="M8" i="2" s="1"/>
  <c r="N8" i="2" s="1"/>
  <c r="K48" i="3"/>
  <c r="K45" i="3"/>
  <c r="L45" i="3" s="1"/>
  <c r="M45" i="3" s="1"/>
  <c r="N45" i="3" s="1"/>
  <c r="O45" i="3" s="1"/>
  <c r="K20" i="3"/>
  <c r="L20" i="3" s="1"/>
  <c r="M20" i="3" s="1"/>
  <c r="N20" i="3" s="1"/>
  <c r="O20" i="3" s="1"/>
  <c r="K19" i="3"/>
  <c r="L19" i="3" s="1"/>
  <c r="M19" i="3" s="1"/>
  <c r="N19" i="3" s="1"/>
  <c r="O19" i="3" s="1"/>
  <c r="K18" i="3"/>
  <c r="L18" i="3" s="1"/>
  <c r="M18" i="3" s="1"/>
  <c r="N18" i="3" s="1"/>
  <c r="O18" i="3" s="1"/>
  <c r="K32" i="3"/>
  <c r="L32" i="3" s="1"/>
  <c r="M32" i="3" s="1"/>
  <c r="N32" i="3" s="1"/>
  <c r="O32" i="3" s="1"/>
  <c r="K30" i="3"/>
  <c r="L30" i="3" s="1"/>
  <c r="M30" i="3" s="1"/>
  <c r="N30" i="3" s="1"/>
  <c r="O30" i="3" s="1"/>
  <c r="K28" i="3"/>
  <c r="L28" i="3" s="1"/>
  <c r="M28" i="3" s="1"/>
  <c r="N28" i="3" s="1"/>
  <c r="O28" i="3" s="1"/>
  <c r="K31" i="3"/>
  <c r="L31" i="3" s="1"/>
  <c r="M31" i="3" s="1"/>
  <c r="N31" i="3" s="1"/>
  <c r="O31" i="3" s="1"/>
  <c r="K37" i="3"/>
  <c r="L37" i="3" s="1"/>
  <c r="K38" i="3"/>
  <c r="L38" i="3" s="1"/>
  <c r="M38" i="3" s="1"/>
  <c r="N38" i="3" s="1"/>
  <c r="O38" i="3" s="1"/>
  <c r="K42" i="3"/>
  <c r="L42" i="3" s="1"/>
  <c r="M42" i="3" s="1"/>
  <c r="N42" i="3" s="1"/>
  <c r="O42" i="3" s="1"/>
  <c r="K39" i="3"/>
  <c r="L39" i="3" s="1"/>
  <c r="M39" i="3" s="1"/>
  <c r="N39" i="3" s="1"/>
  <c r="O39" i="3" s="1"/>
  <c r="J13" i="2"/>
  <c r="K13" i="2" s="1"/>
  <c r="L13" i="2" s="1"/>
  <c r="M13" i="2" s="1"/>
  <c r="N13" i="2" s="1"/>
  <c r="K10" i="3"/>
  <c r="L10" i="3" s="1"/>
  <c r="M10" i="3" s="1"/>
  <c r="N10" i="3" s="1"/>
  <c r="O10" i="3" s="1"/>
  <c r="K8" i="3"/>
  <c r="L8" i="3" s="1"/>
  <c r="M8" i="3" s="1"/>
  <c r="N8" i="3" s="1"/>
  <c r="O8" i="3" s="1"/>
  <c r="I49" i="7"/>
  <c r="J49" i="7"/>
  <c r="H47" i="7"/>
  <c r="I47" i="7"/>
  <c r="J47" i="7"/>
  <c r="G49" i="7"/>
  <c r="G47" i="7"/>
  <c r="O43" i="5"/>
  <c r="N43" i="5"/>
  <c r="M43" i="5"/>
  <c r="L43" i="5"/>
  <c r="K43" i="5"/>
  <c r="J43" i="5"/>
  <c r="J52" i="5" s="1"/>
  <c r="I43" i="5"/>
  <c r="H43" i="5"/>
  <c r="H52" i="5" s="1"/>
  <c r="G43" i="5"/>
  <c r="F43" i="5"/>
  <c r="F52" i="5" s="1"/>
  <c r="E43" i="5"/>
  <c r="I52" i="5"/>
  <c r="O27" i="5"/>
  <c r="N27" i="5"/>
  <c r="N36" i="5" s="1"/>
  <c r="M27" i="5"/>
  <c r="M36" i="5" s="1"/>
  <c r="L27" i="5"/>
  <c r="K27" i="5"/>
  <c r="K36" i="5" s="1"/>
  <c r="J27" i="5"/>
  <c r="I27" i="5"/>
  <c r="H27" i="5"/>
  <c r="G27" i="5"/>
  <c r="F27" i="5"/>
  <c r="F36" i="5" s="1"/>
  <c r="E27" i="5"/>
  <c r="E36" i="5" s="1"/>
  <c r="D27" i="5"/>
  <c r="I36" i="5"/>
  <c r="O11" i="5"/>
  <c r="N11" i="5"/>
  <c r="M11" i="5"/>
  <c r="L11" i="5"/>
  <c r="K11" i="5"/>
  <c r="J11" i="5"/>
  <c r="I11" i="5"/>
  <c r="H11" i="5"/>
  <c r="G11" i="5"/>
  <c r="F11" i="5"/>
  <c r="E11" i="5"/>
  <c r="D11" i="5"/>
  <c r="G36" i="5"/>
  <c r="E52" i="5"/>
  <c r="L52" i="5"/>
  <c r="O52" i="5"/>
  <c r="M49" i="5"/>
  <c r="M52" i="5" s="1"/>
  <c r="M33" i="5"/>
  <c r="O49" i="5"/>
  <c r="O33" i="5"/>
  <c r="O36" i="5" s="1"/>
  <c r="O17" i="5"/>
  <c r="N49" i="5"/>
  <c r="N33" i="5"/>
  <c r="N17" i="5"/>
  <c r="N20" i="5" s="1"/>
  <c r="L49" i="5"/>
  <c r="L33" i="5"/>
  <c r="L36" i="5" s="1"/>
  <c r="L17" i="5"/>
  <c r="K49" i="5"/>
  <c r="K52" i="5" s="1"/>
  <c r="K33" i="5"/>
  <c r="M17" i="5"/>
  <c r="M20" i="5"/>
  <c r="K17" i="5"/>
  <c r="J49" i="5"/>
  <c r="J33" i="5"/>
  <c r="J17" i="5"/>
  <c r="I49" i="5"/>
  <c r="I33" i="5"/>
  <c r="I17" i="5"/>
  <c r="I20" i="5"/>
  <c r="H49" i="5"/>
  <c r="H33" i="5"/>
  <c r="H17" i="5"/>
  <c r="G49" i="5"/>
  <c r="G52" i="5" s="1"/>
  <c r="G33" i="5"/>
  <c r="G17" i="5"/>
  <c r="F17" i="5"/>
  <c r="P17" i="5" s="1"/>
  <c r="F33" i="5"/>
  <c r="F49" i="5"/>
  <c r="J11" i="6"/>
  <c r="E49" i="5"/>
  <c r="E33" i="5"/>
  <c r="E17" i="5"/>
  <c r="D33" i="5"/>
  <c r="D36" i="5" s="1"/>
  <c r="O20" i="5"/>
  <c r="D20" i="5"/>
  <c r="M25" i="6"/>
  <c r="J25" i="6"/>
  <c r="G25" i="6"/>
  <c r="D25" i="6"/>
  <c r="M18" i="6"/>
  <c r="J18" i="6"/>
  <c r="G18" i="6"/>
  <c r="M11" i="6"/>
  <c r="D18" i="6"/>
  <c r="G11" i="6"/>
  <c r="H45" i="7"/>
  <c r="I45" i="7"/>
  <c r="J45" i="7"/>
  <c r="H43" i="7"/>
  <c r="I43" i="7"/>
  <c r="J43" i="7"/>
  <c r="H41" i="7"/>
  <c r="I41" i="7"/>
  <c r="J41" i="7"/>
  <c r="H39" i="7"/>
  <c r="I39" i="7"/>
  <c r="J39" i="7"/>
  <c r="H37" i="7"/>
  <c r="I37" i="7"/>
  <c r="J37" i="7"/>
  <c r="G45" i="7"/>
  <c r="G41" i="7"/>
  <c r="G43" i="7" s="1"/>
  <c r="G37" i="7"/>
  <c r="G39" i="7" s="1"/>
  <c r="G33" i="7"/>
  <c r="G35" i="7" s="1"/>
  <c r="D33" i="7"/>
  <c r="H26" i="7"/>
  <c r="I26" i="7"/>
  <c r="J26" i="7"/>
  <c r="H12" i="7"/>
  <c r="I12" i="7" s="1"/>
  <c r="H21" i="7"/>
  <c r="I21" i="7"/>
  <c r="J21" i="7"/>
  <c r="H17" i="7"/>
  <c r="I17" i="7"/>
  <c r="J17" i="7"/>
  <c r="H16" i="7"/>
  <c r="I16" i="7"/>
  <c r="J16" i="7"/>
  <c r="G26" i="7"/>
  <c r="G21" i="7"/>
  <c r="G16" i="7"/>
  <c r="M37" i="3" l="1"/>
  <c r="L14" i="2"/>
  <c r="L16" i="3"/>
  <c r="N26" i="2"/>
  <c r="O17" i="3" s="1"/>
  <c r="N17" i="3"/>
  <c r="G13" i="8"/>
  <c r="H13" i="8"/>
  <c r="P49" i="5"/>
  <c r="H36" i="5"/>
  <c r="J36" i="5"/>
  <c r="N52" i="5"/>
  <c r="P33" i="5"/>
  <c r="P27" i="5"/>
  <c r="P43" i="5"/>
  <c r="P52" i="5" s="1"/>
  <c r="P11" i="5"/>
  <c r="L20" i="5"/>
  <c r="K20" i="5"/>
  <c r="J20" i="5"/>
  <c r="H20" i="5"/>
  <c r="G20" i="5"/>
  <c r="F20" i="5"/>
  <c r="E20" i="5"/>
  <c r="J12" i="7"/>
  <c r="J13" i="7" s="1"/>
  <c r="I13" i="7"/>
  <c r="H13" i="7"/>
  <c r="N37" i="3" l="1"/>
  <c r="M14" i="2"/>
  <c r="M16" i="3"/>
  <c r="P36" i="5"/>
  <c r="P20" i="5"/>
  <c r="H29" i="7"/>
  <c r="H33" i="7"/>
  <c r="H35" i="7" s="1"/>
  <c r="I29" i="7"/>
  <c r="I33" i="7"/>
  <c r="I35" i="7" s="1"/>
  <c r="J29" i="7"/>
  <c r="J33" i="7"/>
  <c r="J35" i="7" s="1"/>
  <c r="O37" i="3" l="1"/>
  <c r="N14" i="2"/>
  <c r="O16" i="3" s="1"/>
  <c r="N16" i="3"/>
  <c r="K23" i="1"/>
  <c r="L23" i="1" s="1"/>
  <c r="M23" i="1" s="1"/>
  <c r="N23" i="1" s="1"/>
  <c r="O23" i="1" s="1"/>
  <c r="I41" i="2"/>
  <c r="H41" i="2"/>
  <c r="I30" i="2"/>
  <c r="I21" i="2"/>
  <c r="H21" i="2"/>
  <c r="P40" i="2"/>
  <c r="J39" i="2"/>
  <c r="J65" i="2"/>
  <c r="I65" i="2"/>
  <c r="I67" i="2"/>
  <c r="J67" i="2" s="1"/>
  <c r="J20" i="2"/>
  <c r="K20" i="2" s="1"/>
  <c r="L20" i="2" s="1"/>
  <c r="M20" i="2" s="1"/>
  <c r="N20" i="2" s="1"/>
  <c r="J19" i="2"/>
  <c r="K19" i="2" s="1"/>
  <c r="L19" i="2" s="1"/>
  <c r="M19" i="2" s="1"/>
  <c r="N19" i="2" s="1"/>
  <c r="J18" i="2"/>
  <c r="K18" i="2" s="1"/>
  <c r="L18" i="2" s="1"/>
  <c r="M18" i="2" s="1"/>
  <c r="N18" i="2" s="1"/>
  <c r="J31" i="2"/>
  <c r="J25" i="2"/>
  <c r="J24" i="2"/>
  <c r="I62" i="2"/>
  <c r="I60" i="2" s="1"/>
  <c r="K67" i="2" l="1"/>
  <c r="K41" i="3"/>
  <c r="K43" i="3" s="1"/>
  <c r="K29" i="3"/>
  <c r="L29" i="3" s="1"/>
  <c r="G55" i="2"/>
  <c r="G57" i="2" s="1"/>
  <c r="H53" i="2"/>
  <c r="K17" i="3"/>
  <c r="H6" i="3"/>
  <c r="I6" i="3"/>
  <c r="J6" i="3"/>
  <c r="J21" i="3" s="1"/>
  <c r="I6" i="8" s="1"/>
  <c r="I17" i="1"/>
  <c r="J17" i="1"/>
  <c r="H17" i="1"/>
  <c r="I15" i="1"/>
  <c r="J15" i="1"/>
  <c r="H15" i="1"/>
  <c r="I13" i="1"/>
  <c r="J13" i="1"/>
  <c r="I21" i="3" l="1"/>
  <c r="H6" i="8" s="1"/>
  <c r="H8" i="8" s="1"/>
  <c r="H21" i="3"/>
  <c r="G6" i="8" s="1"/>
  <c r="G8" i="8" s="1"/>
  <c r="L67" i="2"/>
  <c r="L41" i="3"/>
  <c r="L43" i="3" s="1"/>
  <c r="M29" i="3"/>
  <c r="L33" i="3"/>
  <c r="O17" i="1"/>
  <c r="K17" i="1"/>
  <c r="M17" i="1"/>
  <c r="L17" i="1"/>
  <c r="N17" i="1"/>
  <c r="M13" i="1"/>
  <c r="K13" i="1"/>
  <c r="L13" i="1"/>
  <c r="N13" i="1"/>
  <c r="O13" i="1"/>
  <c r="N15" i="1"/>
  <c r="O15" i="1"/>
  <c r="M15" i="1"/>
  <c r="K15" i="1"/>
  <c r="L15" i="1"/>
  <c r="K33" i="3"/>
  <c r="J7" i="8"/>
  <c r="J13" i="8" s="1"/>
  <c r="I8" i="8"/>
  <c r="I12" i="8"/>
  <c r="G56" i="2"/>
  <c r="H55" i="2"/>
  <c r="H56" i="2" s="1"/>
  <c r="I55" i="2"/>
  <c r="I57" i="2" s="1"/>
  <c r="H9" i="8" l="1"/>
  <c r="M67" i="2"/>
  <c r="M41" i="3"/>
  <c r="M43" i="3" s="1"/>
  <c r="G12" i="8"/>
  <c r="H12" i="8"/>
  <c r="M33" i="3"/>
  <c r="N29" i="3"/>
  <c r="I9" i="8"/>
  <c r="I56" i="2"/>
  <c r="J56" i="2" s="1"/>
  <c r="I61" i="2"/>
  <c r="J61" i="2" s="1"/>
  <c r="K61" i="2" s="1"/>
  <c r="H57" i="2"/>
  <c r="N67" i="2" l="1"/>
  <c r="O41" i="3" s="1"/>
  <c r="O43" i="3" s="1"/>
  <c r="N41" i="3"/>
  <c r="N43" i="3" s="1"/>
  <c r="L61" i="2"/>
  <c r="O29" i="3"/>
  <c r="O33" i="3" s="1"/>
  <c r="N33" i="3"/>
  <c r="J55" i="2"/>
  <c r="J57" i="2" s="1"/>
  <c r="M61" i="2" l="1"/>
  <c r="J15" i="2"/>
  <c r="K52" i="2"/>
  <c r="I11" i="1"/>
  <c r="J11" i="1"/>
  <c r="H11" i="1"/>
  <c r="I10" i="1"/>
  <c r="J10" i="1"/>
  <c r="J8" i="1"/>
  <c r="I8" i="1"/>
  <c r="I45" i="2"/>
  <c r="H45" i="2"/>
  <c r="I44" i="2"/>
  <c r="H44" i="2"/>
  <c r="M8" i="1" l="1"/>
  <c r="O8" i="1"/>
  <c r="K8" i="1"/>
  <c r="K7" i="1" s="1"/>
  <c r="J54" i="2" s="1"/>
  <c r="N8" i="1"/>
  <c r="L8" i="1"/>
  <c r="Q8" i="1"/>
  <c r="Q10" i="1"/>
  <c r="N61" i="2"/>
  <c r="K10" i="1"/>
  <c r="O10" i="1"/>
  <c r="L10" i="1"/>
  <c r="M10" i="1"/>
  <c r="N10" i="1"/>
  <c r="J29" i="2" l="1"/>
  <c r="K29" i="2" s="1"/>
  <c r="L29" i="2" s="1"/>
  <c r="M29" i="2" s="1"/>
  <c r="N29" i="2" s="1"/>
  <c r="K11" i="3"/>
  <c r="J11" i="2"/>
  <c r="K11" i="2" s="1"/>
  <c r="L11" i="2" s="1"/>
  <c r="M11" i="2" s="1"/>
  <c r="N11" i="2" s="1"/>
  <c r="J9" i="2"/>
  <c r="K9" i="2" s="1"/>
  <c r="L9" i="2" s="1"/>
  <c r="M9" i="2" s="1"/>
  <c r="N9" i="2" s="1"/>
  <c r="J10" i="2"/>
  <c r="K10" i="2" s="1"/>
  <c r="L10" i="2" s="1"/>
  <c r="M10" i="2" s="1"/>
  <c r="N10" i="2" s="1"/>
  <c r="J12" i="2"/>
  <c r="K12" i="2" s="1"/>
  <c r="L12" i="2" s="1"/>
  <c r="M12" i="2" s="1"/>
  <c r="N12" i="2" s="1"/>
  <c r="L7" i="1"/>
  <c r="K12" i="1"/>
  <c r="K9" i="1"/>
  <c r="K11" i="1" s="1"/>
  <c r="K16" i="1"/>
  <c r="K14" i="1"/>
  <c r="J60" i="2"/>
  <c r="I18" i="1"/>
  <c r="H10" i="8" s="1"/>
  <c r="H14" i="8" s="1"/>
  <c r="J18" i="1"/>
  <c r="I10" i="8" s="1"/>
  <c r="I14" i="8" s="1"/>
  <c r="G10" i="8" l="1"/>
  <c r="G14" i="8" s="1"/>
  <c r="H15" i="8" s="1"/>
  <c r="H20" i="1"/>
  <c r="H22" i="1" s="1"/>
  <c r="Q22" i="1" s="1"/>
  <c r="J35" i="2"/>
  <c r="L11" i="3"/>
  <c r="M11" i="3" s="1"/>
  <c r="N11" i="3" s="1"/>
  <c r="O11" i="3" s="1"/>
  <c r="K53" i="2"/>
  <c r="K60" i="2"/>
  <c r="J62" i="2"/>
  <c r="K9" i="3" s="1"/>
  <c r="I15" i="8"/>
  <c r="L9" i="1"/>
  <c r="L11" i="1" s="1"/>
  <c r="L12" i="1"/>
  <c r="L16" i="1"/>
  <c r="L14" i="1"/>
  <c r="M7" i="1"/>
  <c r="K18" i="1"/>
  <c r="K20" i="1" s="1"/>
  <c r="L18" i="1" l="1"/>
  <c r="N22" i="1"/>
  <c r="L22" i="1"/>
  <c r="M22" i="1"/>
  <c r="K22" i="1"/>
  <c r="O22" i="1"/>
  <c r="L53" i="2"/>
  <c r="L55" i="2" s="1"/>
  <c r="L60" i="2"/>
  <c r="K55" i="2"/>
  <c r="K62" i="2" s="1"/>
  <c r="L9" i="3" s="1"/>
  <c r="K35" i="2"/>
  <c r="N7" i="1"/>
  <c r="M14" i="1"/>
  <c r="M9" i="1"/>
  <c r="M11" i="1" s="1"/>
  <c r="M16" i="1"/>
  <c r="M12" i="1"/>
  <c r="J10" i="8"/>
  <c r="K57" i="2" l="1"/>
  <c r="L62" i="2"/>
  <c r="M9" i="3" s="1"/>
  <c r="L52" i="2"/>
  <c r="L57" i="2" s="1"/>
  <c r="K15" i="2"/>
  <c r="L35" i="2"/>
  <c r="M53" i="2"/>
  <c r="M55" i="2" s="1"/>
  <c r="M60" i="2"/>
  <c r="M62" i="2" s="1"/>
  <c r="N9" i="3" s="1"/>
  <c r="M18" i="1"/>
  <c r="O7" i="1"/>
  <c r="N16" i="1"/>
  <c r="N12" i="1"/>
  <c r="N14" i="1"/>
  <c r="N9" i="1"/>
  <c r="N11" i="1" s="1"/>
  <c r="N18" i="1" l="1"/>
  <c r="M35" i="2"/>
  <c r="N53" i="2"/>
  <c r="N55" i="2" s="1"/>
  <c r="N60" i="2"/>
  <c r="L15" i="2"/>
  <c r="M52" i="2"/>
  <c r="M57" i="2" s="1"/>
  <c r="O9" i="1"/>
  <c r="O11" i="1" s="1"/>
  <c r="O16" i="1"/>
  <c r="O14" i="1"/>
  <c r="O12" i="1"/>
  <c r="N62" i="2" l="1"/>
  <c r="O9" i="3" s="1"/>
  <c r="O18" i="1"/>
  <c r="N52" i="2"/>
  <c r="N57" i="2" s="1"/>
  <c r="N15" i="2" s="1"/>
  <c r="M15" i="2"/>
  <c r="N35" i="2"/>
  <c r="L20" i="1" l="1"/>
  <c r="L21" i="1" s="1"/>
  <c r="L24" i="1" s="1"/>
  <c r="M20" i="1"/>
  <c r="L6" i="3" l="1"/>
  <c r="L21" i="3" s="1"/>
  <c r="L49" i="3" s="1"/>
  <c r="K66" i="2"/>
  <c r="M21" i="1"/>
  <c r="M24" i="1" s="1"/>
  <c r="L66" i="2" l="1"/>
  <c r="M6" i="3"/>
  <c r="M21" i="3" s="1"/>
  <c r="M49" i="3" s="1"/>
  <c r="N20" i="1"/>
  <c r="O20" i="1"/>
  <c r="M48" i="3"/>
  <c r="K7" i="2"/>
  <c r="K21" i="2" s="1"/>
  <c r="N21" i="1" l="1"/>
  <c r="N24" i="1" s="1"/>
  <c r="O21" i="1"/>
  <c r="O24" i="1" s="1"/>
  <c r="L7" i="2"/>
  <c r="L21" i="2" s="1"/>
  <c r="M47" i="3"/>
  <c r="N48" i="3"/>
  <c r="M66" i="2" l="1"/>
  <c r="N6" i="3"/>
  <c r="N21" i="3" s="1"/>
  <c r="N49" i="3" s="1"/>
  <c r="N66" i="2"/>
  <c r="O6" i="3"/>
  <c r="O21" i="3" s="1"/>
  <c r="O49" i="3" s="1"/>
  <c r="O47" i="3" l="1"/>
  <c r="N7" i="2"/>
  <c r="N21" i="2" s="1"/>
  <c r="O48" i="3"/>
  <c r="M7" i="2"/>
  <c r="M21" i="2" s="1"/>
  <c r="N47" i="3"/>
  <c r="K21" i="1"/>
  <c r="K24" i="1" s="1"/>
  <c r="J11" i="8" l="1"/>
  <c r="K6" i="3"/>
  <c r="K21" i="3" s="1"/>
  <c r="K49" i="3" s="1"/>
  <c r="J66" i="2"/>
  <c r="J68" i="2" s="1"/>
  <c r="J38" i="2" l="1"/>
  <c r="J41" i="2" s="1"/>
  <c r="K65" i="2"/>
  <c r="K68" i="2" s="1"/>
  <c r="J12" i="8"/>
  <c r="J14" i="8" s="1"/>
  <c r="J6" i="8"/>
  <c r="J8" i="8" s="1"/>
  <c r="J22" i="8" s="1"/>
  <c r="J15" i="8" l="1"/>
  <c r="J7" i="2"/>
  <c r="J21" i="2" s="1"/>
  <c r="J28" i="2" s="1"/>
  <c r="L48" i="3"/>
  <c r="K47" i="3"/>
  <c r="L47" i="3"/>
  <c r="L65" i="2"/>
  <c r="L68" i="2" s="1"/>
  <c r="K38" i="2"/>
  <c r="J9" i="8"/>
  <c r="K28" i="2" l="1"/>
  <c r="K30" i="2" s="1"/>
  <c r="K41" i="2"/>
  <c r="J33" i="8"/>
  <c r="J30" i="2"/>
  <c r="J43" i="2" s="1"/>
  <c r="L38" i="2"/>
  <c r="M65" i="2"/>
  <c r="M68" i="2" s="1"/>
  <c r="P38" i="8" l="1"/>
  <c r="J36" i="8"/>
  <c r="J37" i="8" s="1"/>
  <c r="J23" i="8" s="1"/>
  <c r="J24" i="8" s="1"/>
  <c r="J25" i="8" s="1"/>
  <c r="K43" i="2"/>
  <c r="J45" i="2"/>
  <c r="J44" i="2"/>
  <c r="L41" i="2"/>
  <c r="L28" i="2"/>
  <c r="L30" i="2" s="1"/>
  <c r="J26" i="8"/>
  <c r="N65" i="2"/>
  <c r="N68" i="2" s="1"/>
  <c r="N38" i="2" s="1"/>
  <c r="M38" i="2"/>
  <c r="K44" i="2"/>
  <c r="K45" i="2"/>
  <c r="J27" i="8" l="1"/>
  <c r="J28" i="8" s="1"/>
  <c r="M41" i="2"/>
  <c r="M28" i="2"/>
  <c r="M30" i="2" s="1"/>
  <c r="N41" i="2"/>
  <c r="N28" i="2"/>
  <c r="N30" i="2" s="1"/>
  <c r="N43" i="2" s="1"/>
  <c r="L43" i="2"/>
  <c r="M43" i="2" l="1"/>
  <c r="M44" i="2" s="1"/>
  <c r="M45" i="2"/>
  <c r="L45" i="2"/>
  <c r="L44" i="2"/>
  <c r="N45" i="2"/>
  <c r="N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I68" authorId="0" shapeId="0" xr:uid="{635E4D19-84BB-F045-A074-A382111915B1}">
      <text>
        <t>[Threaded comment]
Your version of Excel allows you to read this threaded comment; however, any edits to it will get removed if the file is opened in a newer version of Excel. Learn more: https://example.com/
Comment:
    Company0785's EOP Retained Earnings omits Common Stock Repurchases from calculations and there are some additional values not shown in their 2023 10-K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G42" authorId="0" shapeId="0" xr:uid="{F062C9A8-7A03-944C-A4A4-DABA5B510600}">
      <text>
        <t>[Threaded comment]
Your version of Excel allows you to read this threaded comment; however, any edits to it will get removed if the file is opened in a newer version of Excel. Learn more: https://example.com/
Comment:
    ’23 10-K, Note 24</t>
      </text>
    </comment>
  </commentList>
</comments>
</file>

<file path=xl/sharedStrings.xml><?xml version="1.0" encoding="utf-8"?>
<sst xmlns="http://schemas.openxmlformats.org/spreadsheetml/2006/main" count="517" uniqueCount="242">
  <si>
    <t xml:space="preserve">Research and development expenses </t>
  </si>
  <si>
    <t xml:space="preserve">Selling, administrative and general expenses </t>
  </si>
  <si>
    <t xml:space="preserve">Interest expense </t>
  </si>
  <si>
    <t xml:space="preserve">Other operating expenses </t>
  </si>
  <si>
    <t xml:space="preserve">Equity in income of unconsolidated affiliates </t>
  </si>
  <si>
    <t>Provision for income taxes</t>
  </si>
  <si>
    <t>Gross Profit</t>
  </si>
  <si>
    <t>Net Income</t>
  </si>
  <si>
    <t xml:space="preserve">Retirement benefits </t>
  </si>
  <si>
    <t xml:space="preserve">Accounts payable and accrued expenses </t>
  </si>
  <si>
    <t>Accumulated other comprehensive income (loss)</t>
  </si>
  <si>
    <t>Assets</t>
  </si>
  <si>
    <t>Cash and Cash Equivalents</t>
  </si>
  <si>
    <t>Marketable Securities</t>
  </si>
  <si>
    <t>Trade accounts and notes receivable - net</t>
  </si>
  <si>
    <t>Financing receivables securitized - net</t>
  </si>
  <si>
    <t>Other receivables</t>
  </si>
  <si>
    <t>Equipment on operating leases - net</t>
  </si>
  <si>
    <t>Inventories</t>
  </si>
  <si>
    <t>Property and equipment - net</t>
  </si>
  <si>
    <t>Goodwill</t>
  </si>
  <si>
    <t>Other intangible assets - net</t>
  </si>
  <si>
    <t>Retirement benefits</t>
  </si>
  <si>
    <t>Deferred income taxes</t>
  </si>
  <si>
    <t>Other assets</t>
  </si>
  <si>
    <t>TOTAL ASSETS</t>
  </si>
  <si>
    <t>Company0786 Consolidated Balance Sheets with Forecast</t>
  </si>
  <si>
    <t>Liabilities</t>
  </si>
  <si>
    <t>Short-term borrowings</t>
  </si>
  <si>
    <t>Short-term securitizations borrowings</t>
  </si>
  <si>
    <t>Accounts payable and accrued expenses</t>
  </si>
  <si>
    <t>Long-term borrowings</t>
  </si>
  <si>
    <t>Retirement benefits and other liabilities</t>
  </si>
  <si>
    <t>TOTAL LIABILITIES</t>
  </si>
  <si>
    <t>Stockholders' Equity</t>
  </si>
  <si>
    <t xml:space="preserve">Common stock, $1 par value (authorized – 1,200,000,000 shares; </t>
  </si>
  <si>
    <t xml:space="preserve">          issued – 536,431,204 shares in 2023 and 2022), at paid-in amount </t>
  </si>
  <si>
    <t>Common stock in treasury, 254,846,927 shares in 2023</t>
  </si>
  <si>
    <t xml:space="preserve">          and 237,659,289 shares in 2022, at cost</t>
  </si>
  <si>
    <t>Retained Earnings</t>
  </si>
  <si>
    <t>TOTAL STOCKHOLDERS' EQUITY</t>
  </si>
  <si>
    <t>Noncontroliing interests</t>
  </si>
  <si>
    <t>TOTAL LIABILITIES + STOCKHOLDERS' EQUITY</t>
  </si>
  <si>
    <t>Redeemable noncontrolling interest</t>
  </si>
  <si>
    <t>Balance</t>
  </si>
  <si>
    <t>Difference</t>
  </si>
  <si>
    <t>Company0786 Consolidated Income Statements with Forecasts</t>
  </si>
  <si>
    <t>Operating Income</t>
  </si>
  <si>
    <t>Revenue Growth Rate</t>
  </si>
  <si>
    <t xml:space="preserve">Cost of Sales </t>
  </si>
  <si>
    <t>EBT Excl. Unusual Items</t>
  </si>
  <si>
    <t>Margin %</t>
  </si>
  <si>
    <t>SG&amp;A Exp Margin %</t>
  </si>
  <si>
    <t>R&amp;D Exp Margin %</t>
  </si>
  <si>
    <t>2022A</t>
  </si>
  <si>
    <t>2023A</t>
  </si>
  <si>
    <t>2024P</t>
  </si>
  <si>
    <t>2021A</t>
  </si>
  <si>
    <t>Company0786 Statements of Consolidated Cash Flows  with Forecasts</t>
  </si>
  <si>
    <t xml:space="preserve">Net income </t>
  </si>
  <si>
    <t xml:space="preserve">Adjustments to reconcile net income to net cash provided by operating activities: </t>
  </si>
  <si>
    <t xml:space="preserve">Provision (credit) for credit losses </t>
  </si>
  <si>
    <t xml:space="preserve">Provision for depreciation and amortization </t>
  </si>
  <si>
    <t xml:space="preserve">Impairments and other adjustments </t>
  </si>
  <si>
    <t xml:space="preserve">Share-based compensation expense </t>
  </si>
  <si>
    <t xml:space="preserve">Credit for deferred income taxes </t>
  </si>
  <si>
    <t xml:space="preserve">Changes in assets and liabilities: </t>
  </si>
  <si>
    <t xml:space="preserve">Receivables related to sales </t>
  </si>
  <si>
    <t xml:space="preserve">Inventories </t>
  </si>
  <si>
    <t xml:space="preserve">Accrued income taxes payable/receivable </t>
  </si>
  <si>
    <t xml:space="preserve">Other </t>
  </si>
  <si>
    <t>Net Cash provided by Operating Activities</t>
  </si>
  <si>
    <t>Cash Flows from Investing Activities</t>
  </si>
  <si>
    <t>Cash Flows from Operating Activities</t>
  </si>
  <si>
    <t xml:space="preserve">Collections of receivables (excluding receivables related to sales) </t>
  </si>
  <si>
    <t xml:space="preserve">Proceeds from sales of equipment on operating leases </t>
  </si>
  <si>
    <t xml:space="preserve">Cost of receivables acquired (excluding receivables related to sales) </t>
  </si>
  <si>
    <t xml:space="preserve">Acquisitions of businesses, net of cash acquired </t>
  </si>
  <si>
    <t xml:space="preserve">Purchases of property and equipment </t>
  </si>
  <si>
    <t xml:space="preserve">Cost of equipment on operating leases acquired </t>
  </si>
  <si>
    <t xml:space="preserve">Collateral on derivatives – net </t>
  </si>
  <si>
    <t>Net Cash used for Investing Activities</t>
  </si>
  <si>
    <t xml:space="preserve">Cash Flows from Financing Activities </t>
  </si>
  <si>
    <t xml:space="preserve">Net proceeds in short-term borrowings (original maturities three months or less) </t>
  </si>
  <si>
    <t xml:space="preserve">Proceeds from borrowings issued (original maturities greater than three months) </t>
  </si>
  <si>
    <t xml:space="preserve">Payments of borrowings (original maturities greater than three months) </t>
  </si>
  <si>
    <t xml:space="preserve">Repurchases of common stock </t>
  </si>
  <si>
    <t xml:space="preserve">Dividends paid </t>
  </si>
  <si>
    <t>Net Cash provided by (used for) Financing Activities</t>
  </si>
  <si>
    <t xml:space="preserve">Effect of Exchange Rate Changes on Cash, Cash Equivalents, and Restricted Cash </t>
  </si>
  <si>
    <t xml:space="preserve">Net Increase (Decrease) in Cash, Cash Equivalents, and Restricted Cash </t>
  </si>
  <si>
    <t xml:space="preserve">Cash, Cash Equivalents, and Restricted Cash at Beginning of Year </t>
  </si>
  <si>
    <t>Total Cash, Cash Equivalents, and Restricted Cash</t>
  </si>
  <si>
    <t>Other</t>
  </si>
  <si>
    <t>Beginning of Period</t>
  </si>
  <si>
    <t>Plus: Capital Expenditures</t>
  </si>
  <si>
    <t>Less: Depreciation</t>
  </si>
  <si>
    <t>End of Period</t>
  </si>
  <si>
    <t>Grow in-line with revenue growth</t>
  </si>
  <si>
    <t>Reference PP&amp;E Schedule</t>
  </si>
  <si>
    <t>Notes/Assumptions</t>
  </si>
  <si>
    <t>Property, Plant &amp; Equipment Schedule</t>
  </si>
  <si>
    <t>Revenue growth rate averaged from last three years' growth</t>
  </si>
  <si>
    <t>D&amp;A as a % of CAPEX</t>
  </si>
  <si>
    <t>Total Depreciation &amp; Amortization</t>
  </si>
  <si>
    <t>D&amp;A not related to PP&amp;E</t>
  </si>
  <si>
    <t>as % revenue</t>
  </si>
  <si>
    <t>TOTAL D&amp;A</t>
  </si>
  <si>
    <t>Straight-line assumption</t>
  </si>
  <si>
    <t>Less: Dividends</t>
  </si>
  <si>
    <t>Plus: Net Income attributable to Company0785</t>
  </si>
  <si>
    <t>Straight-line last historical year dividends</t>
  </si>
  <si>
    <t>Reference Retained Earnings Schedule</t>
  </si>
  <si>
    <t>Increase by stock-based compensation forecasted in Cash Flow Statement</t>
  </si>
  <si>
    <t>SBC grow in-line with revenue growth rate</t>
  </si>
  <si>
    <t>Refer to D&amp;A Schedule</t>
  </si>
  <si>
    <t>Interest Expense</t>
  </si>
  <si>
    <t>Total Interest Expense</t>
  </si>
  <si>
    <t>Weighted Average Interest Rate</t>
  </si>
  <si>
    <t>Short-Term Debt, net</t>
  </si>
  <si>
    <t>Straight-line assumption from previous year</t>
  </si>
  <si>
    <t>Margin% assumption from average historical years'</t>
  </si>
  <si>
    <t>Calculation of Interest Expense for F/S Purposes</t>
  </si>
  <si>
    <t>Company0786</t>
  </si>
  <si>
    <t>(for the fiscal year ended 10/29/23)</t>
  </si>
  <si>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</si>
  <si>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</si>
  <si>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</si>
  <si>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</si>
  <si>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</si>
  <si>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</si>
  <si>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</si>
  <si>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</si>
  <si>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</si>
  <si>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</si>
  <si>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</si>
  <si>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</si>
  <si>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</si>
  <si>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Commercial Paper</t>
  </si>
  <si>
    <t>2.75% notes due 2025</t>
  </si>
  <si>
    <t>6.55% debuntures due 2028</t>
  </si>
  <si>
    <t>3.10% notes due 2030</t>
  </si>
  <si>
    <t>7.125% notes due 2031</t>
  </si>
  <si>
    <t>3.90% notes due 2042</t>
  </si>
  <si>
    <t>2.875% notes due 2049</t>
  </si>
  <si>
    <t>3.75% notes due 2050</t>
  </si>
  <si>
    <t>5.375% notes due 2029</t>
  </si>
  <si>
    <t>1.85% notes due 2028</t>
  </si>
  <si>
    <t>2.20% notes due 2032</t>
  </si>
  <si>
    <t>1.65% notes due 2039</t>
  </si>
  <si>
    <t>Interest Expense Calculation</t>
  </si>
  <si>
    <t>Notes payable to banks</t>
  </si>
  <si>
    <t>8.10% debuntures due 2030</t>
  </si>
  <si>
    <t>Interest Rate:</t>
  </si>
  <si>
    <t>Pmts/Yr:</t>
  </si>
  <si>
    <t>Finance lease obligations</t>
  </si>
  <si>
    <t>2025P</t>
  </si>
  <si>
    <t>2026P</t>
  </si>
  <si>
    <t>Current Portion of Long-term Debt</t>
  </si>
  <si>
    <t>Short-Term Debt</t>
  </si>
  <si>
    <t>Draw/(paydown)</t>
  </si>
  <si>
    <t>Discretionary borrowing/(paydown)</t>
  </si>
  <si>
    <t>Continuing obligations/(paydown)</t>
  </si>
  <si>
    <t>Short-term Borrowings, Interest Expense</t>
  </si>
  <si>
    <t>Short-Term Debt Payment and Interest Expense Schedule</t>
  </si>
  <si>
    <t>Loan Outstanding:</t>
  </si>
  <si>
    <t>Calculation Date:</t>
  </si>
  <si>
    <t>Remaining Loan Term (Yrs):</t>
  </si>
  <si>
    <t>Remaining Loan Term (Yrs:</t>
  </si>
  <si>
    <t>Settlement:</t>
  </si>
  <si>
    <t>Average growth rate</t>
  </si>
  <si>
    <t>Straight-line assumption due to variability from historical years</t>
  </si>
  <si>
    <t>Change in B/S Inventories</t>
  </si>
  <si>
    <t>Change in B/S Accounts payable and accrued expenses</t>
  </si>
  <si>
    <t>Refer to CFS Total Cash &amp; Cash Equivalents</t>
  </si>
  <si>
    <t>Average Repurchases from historical years</t>
  </si>
  <si>
    <t>Less: Capital Expenditures</t>
  </si>
  <si>
    <t>FCF Growth Rate</t>
  </si>
  <si>
    <t>Weighted Average Cost of Capital</t>
  </si>
  <si>
    <t>Cost of Debt</t>
  </si>
  <si>
    <t>Total Debt</t>
  </si>
  <si>
    <t>Cost of Equity</t>
  </si>
  <si>
    <t>Equity Value</t>
  </si>
  <si>
    <t>Diluted Shares Outstanding</t>
  </si>
  <si>
    <t>Risk-free Rate</t>
  </si>
  <si>
    <t>Beta</t>
  </si>
  <si>
    <t>Market Risk Premium</t>
  </si>
  <si>
    <t>Levered Free Cash Flow</t>
  </si>
  <si>
    <t>Capital Asset Pricing Model (CAPM)</t>
  </si>
  <si>
    <t>Share Price (as of 10/30/23)</t>
  </si>
  <si>
    <t>Debt + Equity</t>
  </si>
  <si>
    <t xml:space="preserve">WACC </t>
  </si>
  <si>
    <t>Terminal Value</t>
  </si>
  <si>
    <t>From Company2593 Historical Data of 10/30/23</t>
  </si>
  <si>
    <t xml:space="preserve">From Capital IQ company profile </t>
  </si>
  <si>
    <t>Growth Rate</t>
  </si>
  <si>
    <t>Unlevered Free Cash Flow</t>
  </si>
  <si>
    <t>Plus: Operating Activities Adjustments</t>
  </si>
  <si>
    <t>Inflation Rate as of January 2024</t>
  </si>
  <si>
    <t>PV of Terminal Value</t>
  </si>
  <si>
    <t>Enterprise Value</t>
  </si>
  <si>
    <t>Net Debt</t>
  </si>
  <si>
    <t>Reference Cash Flow Statement's Purchases of Property and Equipment</t>
  </si>
  <si>
    <t>Value derived from Cash Flow Statement's Net Cash provided by Operating Activities less Net Income</t>
  </si>
  <si>
    <t>Aggregate of Short-term borrowings, Short-term securitizations borrowings, and Long-term borrowings</t>
  </si>
  <si>
    <t>From CAPM</t>
  </si>
  <si>
    <t>Share Price multiplied by Diluted Shares Outstanding</t>
  </si>
  <si>
    <t>10-Yr US Treasury Rate as of 10/30/23</t>
  </si>
  <si>
    <t>Reference Operating Activities section of CF Statement</t>
  </si>
  <si>
    <t>Reference Income Statement</t>
  </si>
  <si>
    <t>UFCF/LFCF</t>
  </si>
  <si>
    <t>Fiscal Year</t>
  </si>
  <si>
    <t>Equity Value per Share</t>
  </si>
  <si>
    <t>Average Interest Rate from current issuance of Long-Term Borrowings in LT Debt Schedule</t>
  </si>
  <si>
    <t>Reference 2023 10-K</t>
  </si>
  <si>
    <t>NPV of FCF + PV of Terminal Value</t>
  </si>
  <si>
    <t>Total Debt less Cash &amp; Cash Equivalents and Marketable Securities</t>
  </si>
  <si>
    <t>Calculation &amp; Forecast of LT Borrowings Interest Expense</t>
  </si>
  <si>
    <t>Financing receivables - net</t>
  </si>
  <si>
    <t>NPV of UFCF</t>
  </si>
  <si>
    <t>UFCF used for calculations to arrive at Enterprise Value</t>
  </si>
  <si>
    <t>Less: Tax Expense</t>
  </si>
  <si>
    <t>Reference Income Statement's Provision from Income Tax</t>
  </si>
  <si>
    <t>Referenced from Yahoo Finance</t>
  </si>
  <si>
    <t>2023 Treasury added by Repurchases from Cash Flow Statement</t>
  </si>
  <si>
    <t>2027P</t>
  </si>
  <si>
    <t>2028P</t>
  </si>
  <si>
    <t>Tax %</t>
  </si>
  <si>
    <t>Average Cost of Sales Margin from historicals</t>
  </si>
  <si>
    <t>Average  Tax Rate based on average of historical years' tax provision</t>
  </si>
  <si>
    <t>Average Cost of Sales growth rate from 3 years historicals</t>
  </si>
  <si>
    <t>Grow in-line with Cost of Sales average growth</t>
  </si>
  <si>
    <t>2024P forecasted capex from 2023 10-K MD&amp;A; 2025P-2028P grow at a rate of average margin%</t>
  </si>
  <si>
    <t>2024 depreciation% of capex applied in forecasts</t>
  </si>
  <si>
    <t>Average Growth Rate from historical years; 2024 Forecast as mentioned 2023 10-K MD&amp;A Forecast</t>
  </si>
  <si>
    <t>Levered-up to balance</t>
  </si>
  <si>
    <t>2023A Goodwill</t>
  </si>
  <si>
    <t>Average from historical years then straight-line assumption from 2024P Forecast</t>
  </si>
  <si>
    <t>Consolidated Net Sales and Revenues</t>
  </si>
  <si>
    <t>COGS Margin %</t>
  </si>
  <si>
    <t>Gain on remeasurement of previously held equity investment</t>
  </si>
  <si>
    <t>Assume 2022 was 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</si>
</sst>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4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432FF"/>
      <name val="Arial"/>
      <family val="2"/>
    </font>
    <font>
      <sz val="12"/>
      <color rgb="FFFF0000"/>
      <name val="Arial"/>
      <family val="2"/>
    </font>
    <font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i/>
      <sz val="12"/>
      <color theme="1"/>
      <name val="Aptos Narrow"/>
      <scheme val="minor"/>
    </font>
    <font>
      <i/>
      <sz val="9"/>
      <color theme="1"/>
      <name val="Arial"/>
      <family val="2"/>
    </font>
    <font>
      <sz val="9"/>
      <name val="Arial"/>
      <family val="2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sz val="9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0"/>
      <color theme="1"/>
      <name val="Aptos Display"/>
      <scheme val="major"/>
    </font>
    <font>
      <sz val="12"/>
      <color rgb="FF0432FF"/>
      <name val="Aptos Display"/>
      <scheme val="major"/>
    </font>
    <font>
      <b/>
      <sz val="12"/>
      <color rgb="FF0432FF"/>
      <name val="Arial"/>
      <family val="2"/>
    </font>
    <font>
      <b/>
      <sz val="12"/>
      <color rgb="FF0432FF"/>
      <name val="Aptos Display"/>
      <scheme val="major"/>
    </font>
    <font>
      <i/>
      <sz val="9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432FF"/>
      <name val="Aptos Narrow"/>
      <scheme val="minor"/>
    </font>
    <font>
      <sz val="12"/>
      <color rgb="FF00B050"/>
      <name val="Aptos Narrow"/>
      <scheme val="minor"/>
    </font>
    <font>
      <sz val="12"/>
      <color rgb="FF00B050"/>
      <name val="Arial"/>
      <family val="2"/>
    </font>
    <font>
      <sz val="12"/>
      <color rgb="FFFF0000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432FF"/>
      <name val="Aptos Narrow"/>
      <scheme val="minor"/>
    </font>
    <font>
      <sz val="12"/>
      <name val="Aptos Display"/>
      <scheme val="major"/>
    </font>
    <font>
      <sz val="9"/>
      <color rgb="FFFF0000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9"/>
      <name val="Aptos Narrow"/>
      <family val="2"/>
      <scheme val="minor"/>
    </font>
    <font>
      <sz val="9"/>
      <name val="Aptos Narrow"/>
      <family val="2"/>
      <scheme val="minor"/>
    </font>
    <font>
      <sz val="12"/>
      <color theme="9"/>
      <name val="Aptos Display"/>
      <scheme val="major"/>
    </font>
    <font>
      <b/>
      <sz val="14"/>
      <color rgb="FF000000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64" fontId="7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8" fillId="0" borderId="0" xfId="0" applyNumberFormat="1" applyFont="1"/>
    <xf numFmtId="165" fontId="5" fillId="0" borderId="0" xfId="2" applyNumberFormat="1" applyFont="1"/>
    <xf numFmtId="164" fontId="6" fillId="0" borderId="0" xfId="0" applyNumberFormat="1" applyFont="1"/>
    <xf numFmtId="164" fontId="0" fillId="0" borderId="0" xfId="0" applyNumberFormat="1"/>
    <xf numFmtId="164" fontId="10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0" fillId="0" borderId="1" xfId="0" applyNumberFormat="1" applyFont="1" applyBorder="1"/>
    <xf numFmtId="164" fontId="0" fillId="0" borderId="1" xfId="0" applyNumberFormat="1" applyBorder="1"/>
    <xf numFmtId="164" fontId="5" fillId="2" borderId="4" xfId="0" applyNumberFormat="1" applyFont="1" applyFill="1" applyBorder="1"/>
    <xf numFmtId="164" fontId="5" fillId="2" borderId="5" xfId="0" applyNumberFormat="1" applyFont="1" applyFill="1" applyBorder="1"/>
    <xf numFmtId="164" fontId="7" fillId="0" borderId="0" xfId="1" applyNumberFormat="1" applyFont="1" applyBorder="1"/>
    <xf numFmtId="165" fontId="3" fillId="0" borderId="0" xfId="2" applyNumberFormat="1" applyFont="1" applyBorder="1" applyAlignment="1">
      <alignment horizontal="center"/>
    </xf>
    <xf numFmtId="165" fontId="13" fillId="0" borderId="0" xfId="2" applyNumberFormat="1" applyFont="1" applyBorder="1" applyAlignment="1">
      <alignment horizontal="center"/>
    </xf>
    <xf numFmtId="164" fontId="0" fillId="3" borderId="4" xfId="0" applyNumberFormat="1" applyFill="1" applyBorder="1"/>
    <xf numFmtId="164" fontId="7" fillId="2" borderId="4" xfId="0" applyNumberFormat="1" applyFont="1" applyFill="1" applyBorder="1"/>
    <xf numFmtId="164" fontId="7" fillId="2" borderId="5" xfId="0" applyNumberFormat="1" applyFont="1" applyFill="1" applyBorder="1"/>
    <xf numFmtId="0" fontId="15" fillId="0" borderId="3" xfId="0" applyFont="1" applyBorder="1" applyAlignment="1">
      <alignment horizontal="center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164" fontId="0" fillId="0" borderId="6" xfId="0" applyNumberFormat="1" applyBorder="1"/>
    <xf numFmtId="165" fontId="23" fillId="0" borderId="1" xfId="2" applyNumberFormat="1" applyFont="1" applyBorder="1" applyAlignment="1">
      <alignment horizontal="center"/>
    </xf>
    <xf numFmtId="164" fontId="0" fillId="0" borderId="7" xfId="0" applyNumberFormat="1" applyBorder="1"/>
    <xf numFmtId="0" fontId="0" fillId="0" borderId="10" xfId="0" applyBorder="1"/>
    <xf numFmtId="164" fontId="10" fillId="0" borderId="0" xfId="1" applyNumberFormat="1" applyFont="1" applyBorder="1"/>
    <xf numFmtId="0" fontId="22" fillId="0" borderId="0" xfId="0" applyFont="1"/>
    <xf numFmtId="165" fontId="23" fillId="0" borderId="0" xfId="2" applyNumberFormat="1" applyFont="1" applyBorder="1" applyAlignment="1">
      <alignment horizontal="center"/>
    </xf>
    <xf numFmtId="0" fontId="0" fillId="0" borderId="8" xfId="0" applyBorder="1"/>
    <xf numFmtId="0" fontId="4" fillId="0" borderId="11" xfId="0" applyFont="1" applyBorder="1"/>
    <xf numFmtId="0" fontId="0" fillId="0" borderId="9" xfId="0" applyBorder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" xfId="0" applyBorder="1"/>
    <xf numFmtId="164" fontId="24" fillId="0" borderId="1" xfId="0" applyNumberFormat="1" applyFont="1" applyBorder="1"/>
    <xf numFmtId="164" fontId="10" fillId="2" borderId="5" xfId="0" applyNumberFormat="1" applyFont="1" applyFill="1" applyBorder="1"/>
    <xf numFmtId="164" fontId="27" fillId="0" borderId="0" xfId="0" applyNumberFormat="1" applyFont="1"/>
    <xf numFmtId="0" fontId="4" fillId="0" borderId="0" xfId="0" applyFont="1" applyAlignment="1">
      <alignment horizontal="center"/>
    </xf>
    <xf numFmtId="0" fontId="30" fillId="0" borderId="0" xfId="0" applyFont="1"/>
    <xf numFmtId="0" fontId="0" fillId="0" borderId="3" xfId="0" applyBorder="1"/>
    <xf numFmtId="0" fontId="4" fillId="0" borderId="0" xfId="0" applyFont="1" applyAlignment="1">
      <alignment horizontal="right"/>
    </xf>
    <xf numFmtId="0" fontId="0" fillId="3" borderId="4" xfId="0" applyFill="1" applyBorder="1"/>
    <xf numFmtId="164" fontId="0" fillId="2" borderId="0" xfId="0" applyNumberFormat="1" applyFill="1"/>
    <xf numFmtId="164" fontId="0" fillId="0" borderId="9" xfId="0" applyNumberFormat="1" applyBorder="1"/>
    <xf numFmtId="0" fontId="0" fillId="0" borderId="12" xfId="0" applyBorder="1"/>
    <xf numFmtId="0" fontId="29" fillId="0" borderId="14" xfId="0" applyFont="1" applyBorder="1" applyAlignment="1">
      <alignment horizontal="left" vertical="center"/>
    </xf>
    <xf numFmtId="0" fontId="0" fillId="0" borderId="7" xfId="0" applyBorder="1"/>
    <xf numFmtId="0" fontId="0" fillId="0" borderId="15" xfId="0" applyBorder="1"/>
    <xf numFmtId="0" fontId="29" fillId="0" borderId="14" xfId="0" applyFont="1" applyBorder="1"/>
    <xf numFmtId="10" fontId="29" fillId="0" borderId="14" xfId="0" applyNumberFormat="1" applyFont="1" applyBorder="1"/>
    <xf numFmtId="44" fontId="2" fillId="0" borderId="0" xfId="0" applyNumberFormat="1" applyFont="1"/>
    <xf numFmtId="0" fontId="32" fillId="0" borderId="0" xfId="0" applyFont="1"/>
    <xf numFmtId="44" fontId="2" fillId="0" borderId="4" xfId="0" applyNumberFormat="1" applyFont="1" applyBorder="1"/>
    <xf numFmtId="0" fontId="30" fillId="0" borderId="14" xfId="0" applyFont="1" applyBorder="1"/>
    <xf numFmtId="0" fontId="29" fillId="0" borderId="6" xfId="0" applyFont="1" applyBorder="1"/>
    <xf numFmtId="44" fontId="2" fillId="0" borderId="5" xfId="0" applyNumberFormat="1" applyFont="1" applyBorder="1"/>
    <xf numFmtId="44" fontId="2" fillId="0" borderId="1" xfId="0" applyNumberFormat="1" applyFont="1" applyBorder="1"/>
    <xf numFmtId="0" fontId="30" fillId="0" borderId="15" xfId="0" applyFont="1" applyBorder="1"/>
    <xf numFmtId="0" fontId="29" fillId="0" borderId="2" xfId="0" applyFont="1" applyBorder="1"/>
    <xf numFmtId="0" fontId="30" fillId="0" borderId="2" xfId="0" applyFont="1" applyBorder="1"/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8" xfId="0" applyFont="1" applyBorder="1" applyAlignment="1">
      <alignment horizontal="center" wrapText="1"/>
    </xf>
    <xf numFmtId="10" fontId="29" fillId="0" borderId="8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8" xfId="0" applyFont="1" applyBorder="1" applyAlignment="1">
      <alignment horizontal="center" vertical="center" wrapText="1"/>
    </xf>
    <xf numFmtId="10" fontId="29" fillId="0" borderId="8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0" fillId="0" borderId="1" xfId="0" applyFont="1" applyBorder="1"/>
    <xf numFmtId="10" fontId="10" fillId="0" borderId="1" xfId="0" applyNumberFormat="1" applyFont="1" applyBorder="1"/>
    <xf numFmtId="0" fontId="10" fillId="0" borderId="3" xfId="0" applyFont="1" applyBorder="1"/>
    <xf numFmtId="14" fontId="0" fillId="0" borderId="1" xfId="0" applyNumberFormat="1" applyBorder="1"/>
    <xf numFmtId="14" fontId="10" fillId="0" borderId="0" xfId="0" applyNumberFormat="1" applyFont="1"/>
    <xf numFmtId="164" fontId="10" fillId="0" borderId="12" xfId="0" applyNumberFormat="1" applyFont="1" applyBorder="1"/>
    <xf numFmtId="164" fontId="28" fillId="0" borderId="12" xfId="0" applyNumberFormat="1" applyFont="1" applyBorder="1"/>
    <xf numFmtId="166" fontId="26" fillId="0" borderId="0" xfId="2" applyNumberFormat="1" applyFont="1" applyBorder="1"/>
    <xf numFmtId="0" fontId="4" fillId="0" borderId="8" xfId="0" applyFont="1" applyBorder="1"/>
    <xf numFmtId="0" fontId="0" fillId="0" borderId="0" xfId="0" quotePrefix="1"/>
    <xf numFmtId="6" fontId="0" fillId="0" borderId="0" xfId="0" applyNumberFormat="1"/>
    <xf numFmtId="164" fontId="0" fillId="3" borderId="5" xfId="0" applyNumberFormat="1" applyFill="1" applyBorder="1"/>
    <xf numFmtId="0" fontId="14" fillId="2" borderId="0" xfId="0" applyFont="1" applyFill="1"/>
    <xf numFmtId="0" fontId="15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3" xfId="0" applyFont="1" applyFill="1" applyBorder="1"/>
    <xf numFmtId="0" fontId="5" fillId="0" borderId="10" xfId="0" applyFont="1" applyBorder="1"/>
    <xf numFmtId="0" fontId="6" fillId="0" borderId="10" xfId="0" applyFont="1" applyBorder="1"/>
    <xf numFmtId="164" fontId="7" fillId="0" borderId="12" xfId="0" applyNumberFormat="1" applyFont="1" applyBorder="1"/>
    <xf numFmtId="0" fontId="12" fillId="0" borderId="0" xfId="0" applyFont="1"/>
    <xf numFmtId="165" fontId="3" fillId="0" borderId="12" xfId="2" applyNumberFormat="1" applyFont="1" applyBorder="1" applyAlignment="1">
      <alignment horizontal="center"/>
    </xf>
    <xf numFmtId="165" fontId="13" fillId="0" borderId="12" xfId="2" applyNumberFormat="1" applyFont="1" applyBorder="1" applyAlignment="1">
      <alignment horizontal="center"/>
    </xf>
    <xf numFmtId="0" fontId="6" fillId="2" borderId="10" xfId="0" applyFont="1" applyFill="1" applyBorder="1"/>
    <xf numFmtId="0" fontId="5" fillId="2" borderId="0" xfId="0" applyFont="1" applyFill="1"/>
    <xf numFmtId="0" fontId="3" fillId="0" borderId="0" xfId="0" applyFont="1"/>
    <xf numFmtId="0" fontId="6" fillId="2" borderId="0" xfId="0" applyFont="1" applyFill="1"/>
    <xf numFmtId="164" fontId="7" fillId="0" borderId="12" xfId="1" applyNumberFormat="1" applyFont="1" applyBorder="1"/>
    <xf numFmtId="164" fontId="20" fillId="3" borderId="8" xfId="0" applyNumberFormat="1" applyFont="1" applyFill="1" applyBorder="1"/>
    <xf numFmtId="164" fontId="20" fillId="3" borderId="13" xfId="0" applyNumberFormat="1" applyFont="1" applyFill="1" applyBorder="1"/>
    <xf numFmtId="0" fontId="6" fillId="3" borderId="11" xfId="0" applyFont="1" applyFill="1" applyBorder="1"/>
    <xf numFmtId="0" fontId="5" fillId="3" borderId="8" xfId="0" applyFont="1" applyFill="1" applyBorder="1"/>
    <xf numFmtId="0" fontId="6" fillId="0" borderId="11" xfId="0" applyFont="1" applyBorder="1" applyAlignment="1">
      <alignment horizontal="center"/>
    </xf>
    <xf numFmtId="164" fontId="7" fillId="0" borderId="10" xfId="0" applyNumberFormat="1" applyFont="1" applyBorder="1"/>
    <xf numFmtId="165" fontId="3" fillId="0" borderId="10" xfId="2" applyNumberFormat="1" applyFont="1" applyBorder="1" applyAlignment="1">
      <alignment horizontal="center"/>
    </xf>
    <xf numFmtId="165" fontId="13" fillId="0" borderId="10" xfId="2" applyNumberFormat="1" applyFont="1" applyBorder="1" applyAlignment="1">
      <alignment horizontal="center"/>
    </xf>
    <xf numFmtId="164" fontId="5" fillId="2" borderId="20" xfId="0" applyNumberFormat="1" applyFont="1" applyFill="1" applyBorder="1"/>
    <xf numFmtId="164" fontId="7" fillId="2" borderId="20" xfId="0" applyNumberFormat="1" applyFont="1" applyFill="1" applyBorder="1"/>
    <xf numFmtId="164" fontId="7" fillId="0" borderId="10" xfId="1" applyNumberFormat="1" applyFont="1" applyBorder="1"/>
    <xf numFmtId="164" fontId="20" fillId="3" borderId="11" xfId="0" applyNumberFormat="1" applyFont="1" applyFill="1" applyBorder="1"/>
    <xf numFmtId="0" fontId="4" fillId="4" borderId="11" xfId="0" applyFont="1" applyFill="1" applyBorder="1"/>
    <xf numFmtId="0" fontId="0" fillId="4" borderId="8" xfId="0" applyFill="1" applyBorder="1"/>
    <xf numFmtId="0" fontId="0" fillId="4" borderId="13" xfId="0" applyFill="1" applyBorder="1"/>
    <xf numFmtId="0" fontId="4" fillId="0" borderId="10" xfId="0" applyFont="1" applyBorder="1"/>
    <xf numFmtId="164" fontId="0" fillId="0" borderId="12" xfId="0" applyNumberFormat="1" applyBorder="1"/>
    <xf numFmtId="0" fontId="9" fillId="0" borderId="10" xfId="0" applyFont="1" applyBorder="1"/>
    <xf numFmtId="0" fontId="4" fillId="2" borderId="10" xfId="0" applyFont="1" applyFill="1" applyBorder="1"/>
    <xf numFmtId="0" fontId="0" fillId="2" borderId="0" xfId="0" applyFill="1"/>
    <xf numFmtId="164" fontId="26" fillId="0" borderId="12" xfId="0" applyNumberFormat="1" applyFont="1" applyBorder="1"/>
    <xf numFmtId="0" fontId="11" fillId="0" borderId="10" xfId="0" applyFont="1" applyBorder="1"/>
    <xf numFmtId="0" fontId="11" fillId="0" borderId="15" xfId="0" applyFont="1" applyBorder="1"/>
    <xf numFmtId="164" fontId="0" fillId="0" borderId="2" xfId="0" applyNumberFormat="1" applyBorder="1"/>
    <xf numFmtId="164" fontId="10" fillId="0" borderId="10" xfId="0" applyNumberFormat="1" applyFont="1" applyBorder="1"/>
    <xf numFmtId="164" fontId="0" fillId="0" borderId="10" xfId="0" applyNumberFormat="1" applyBorder="1"/>
    <xf numFmtId="164" fontId="10" fillId="2" borderId="20" xfId="0" applyNumberFormat="1" applyFont="1" applyFill="1" applyBorder="1"/>
    <xf numFmtId="164" fontId="0" fillId="0" borderId="15" xfId="0" applyNumberFormat="1" applyBorder="1"/>
    <xf numFmtId="0" fontId="4" fillId="3" borderId="11" xfId="0" applyFont="1" applyFill="1" applyBorder="1"/>
    <xf numFmtId="0" fontId="0" fillId="3" borderId="8" xfId="0" applyFill="1" applyBorder="1"/>
    <xf numFmtId="164" fontId="25" fillId="3" borderId="11" xfId="0" applyNumberFormat="1" applyFont="1" applyFill="1" applyBorder="1"/>
    <xf numFmtId="164" fontId="25" fillId="3" borderId="13" xfId="0" applyNumberFormat="1" applyFont="1" applyFill="1" applyBorder="1"/>
    <xf numFmtId="0" fontId="4" fillId="5" borderId="11" xfId="0" applyFont="1" applyFill="1" applyBorder="1" applyAlignment="1">
      <alignment horizontal="left"/>
    </xf>
    <xf numFmtId="0" fontId="0" fillId="5" borderId="13" xfId="0" applyFill="1" applyBorder="1"/>
    <xf numFmtId="0" fontId="4" fillId="4" borderId="11" xfId="0" applyFont="1" applyFill="1" applyBorder="1" applyAlignment="1">
      <alignment horizontal="left"/>
    </xf>
    <xf numFmtId="0" fontId="15" fillId="2" borderId="10" xfId="0" applyFont="1" applyFill="1" applyBorder="1"/>
    <xf numFmtId="164" fontId="35" fillId="2" borderId="0" xfId="0" applyNumberFormat="1" applyFont="1" applyFill="1"/>
    <xf numFmtId="164" fontId="35" fillId="2" borderId="12" xfId="0" applyNumberFormat="1" applyFont="1" applyFill="1" applyBorder="1"/>
    <xf numFmtId="0" fontId="4" fillId="3" borderId="20" xfId="0" applyFont="1" applyFill="1" applyBorder="1"/>
    <xf numFmtId="0" fontId="22" fillId="0" borderId="10" xfId="0" applyFont="1" applyBorder="1"/>
    <xf numFmtId="9" fontId="36" fillId="0" borderId="0" xfId="2" applyFont="1" applyBorder="1" applyAlignment="1">
      <alignment horizontal="center"/>
    </xf>
    <xf numFmtId="9" fontId="23" fillId="0" borderId="12" xfId="2" applyFont="1" applyBorder="1" applyAlignment="1">
      <alignment horizontal="center"/>
    </xf>
    <xf numFmtId="164" fontId="5" fillId="2" borderId="0" xfId="0" applyNumberFormat="1" applyFont="1" applyFill="1"/>
    <xf numFmtId="164" fontId="5" fillId="2" borderId="12" xfId="0" applyNumberFormat="1" applyFont="1" applyFill="1" applyBorder="1"/>
    <xf numFmtId="0" fontId="22" fillId="0" borderId="15" xfId="0" applyFont="1" applyBorder="1"/>
    <xf numFmtId="9" fontId="36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3" xfId="2" applyFont="1" applyBorder="1" applyAlignment="1">
      <alignment horizontal="center"/>
    </xf>
    <xf numFmtId="0" fontId="15" fillId="5" borderId="11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right"/>
    </xf>
    <xf numFmtId="0" fontId="3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6" fillId="0" borderId="0" xfId="0" applyNumberFormat="1" applyFont="1"/>
    <xf numFmtId="164" fontId="28" fillId="0" borderId="0" xfId="0" applyNumberFormat="1" applyFont="1"/>
    <xf numFmtId="0" fontId="26" fillId="0" borderId="0" xfId="0" applyFont="1"/>
    <xf numFmtId="0" fontId="26" fillId="0" borderId="12" xfId="0" applyFont="1" applyBorder="1"/>
    <xf numFmtId="0" fontId="4" fillId="0" borderId="0" xfId="0" applyFont="1" applyAlignment="1">
      <alignment horizontal="left"/>
    </xf>
    <xf numFmtId="10" fontId="26" fillId="0" borderId="0" xfId="0" applyNumberFormat="1" applyFont="1"/>
    <xf numFmtId="10" fontId="26" fillId="0" borderId="12" xfId="0" applyNumberFormat="1" applyFont="1" applyBorder="1"/>
    <xf numFmtId="166" fontId="26" fillId="0" borderId="12" xfId="2" applyNumberFormat="1" applyFont="1" applyBorder="1"/>
    <xf numFmtId="0" fontId="4" fillId="0" borderId="19" xfId="0" applyFont="1" applyBorder="1" applyAlignment="1">
      <alignment horizontal="center"/>
    </xf>
    <xf numFmtId="0" fontId="0" fillId="0" borderId="17" xfId="0" applyBorder="1"/>
    <xf numFmtId="164" fontId="10" fillId="0" borderId="17" xfId="0" applyNumberFormat="1" applyFont="1" applyBorder="1"/>
    <xf numFmtId="0" fontId="34" fillId="0" borderId="17" xfId="0" applyFont="1" applyBorder="1"/>
    <xf numFmtId="164" fontId="34" fillId="0" borderId="17" xfId="0" applyNumberFormat="1" applyFont="1" applyBorder="1"/>
    <xf numFmtId="164" fontId="34" fillId="0" borderId="19" xfId="0" applyNumberFormat="1" applyFont="1" applyBorder="1"/>
    <xf numFmtId="10" fontId="34" fillId="0" borderId="17" xfId="0" applyNumberFormat="1" applyFont="1" applyBorder="1"/>
    <xf numFmtId="166" fontId="34" fillId="0" borderId="17" xfId="2" applyNumberFormat="1" applyFont="1" applyBorder="1"/>
    <xf numFmtId="164" fontId="34" fillId="2" borderId="17" xfId="0" applyNumberFormat="1" applyFont="1" applyFill="1" applyBorder="1"/>
    <xf numFmtId="0" fontId="26" fillId="2" borderId="0" xfId="0" applyFont="1" applyFill="1"/>
    <xf numFmtId="0" fontId="26" fillId="2" borderId="12" xfId="0" applyFont="1" applyFill="1" applyBorder="1"/>
    <xf numFmtId="0" fontId="0" fillId="2" borderId="17" xfId="0" applyFill="1" applyBorder="1"/>
    <xf numFmtId="0" fontId="0" fillId="2" borderId="12" xfId="0" applyFill="1" applyBorder="1"/>
    <xf numFmtId="164" fontId="25" fillId="3" borderId="19" xfId="0" applyNumberFormat="1" applyFont="1" applyFill="1" applyBorder="1"/>
    <xf numFmtId="164" fontId="35" fillId="2" borderId="10" xfId="0" applyNumberFormat="1" applyFont="1" applyFill="1" applyBorder="1"/>
    <xf numFmtId="164" fontId="0" fillId="3" borderId="20" xfId="0" applyNumberFormat="1" applyFill="1" applyBorder="1"/>
    <xf numFmtId="164" fontId="5" fillId="2" borderId="10" xfId="0" applyNumberFormat="1" applyFont="1" applyFill="1" applyBorder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right"/>
    </xf>
    <xf numFmtId="44" fontId="0" fillId="2" borderId="0" xfId="0" applyNumberFormat="1" applyFill="1"/>
    <xf numFmtId="165" fontId="0" fillId="0" borderId="12" xfId="0" applyNumberFormat="1" applyBorder="1"/>
    <xf numFmtId="0" fontId="4" fillId="3" borderId="19" xfId="0" applyFont="1" applyFill="1" applyBorder="1"/>
    <xf numFmtId="10" fontId="0" fillId="3" borderId="13" xfId="2" applyNumberFormat="1" applyFont="1" applyFill="1" applyBorder="1"/>
    <xf numFmtId="0" fontId="4" fillId="6" borderId="11" xfId="0" applyFont="1" applyFill="1" applyBorder="1" applyAlignment="1">
      <alignment horizontal="left"/>
    </xf>
    <xf numFmtId="0" fontId="0" fillId="6" borderId="13" xfId="0" applyFill="1" applyBorder="1"/>
    <xf numFmtId="10" fontId="0" fillId="3" borderId="13" xfId="0" applyNumberFormat="1" applyFill="1" applyBorder="1"/>
    <xf numFmtId="0" fontId="0" fillId="0" borderId="18" xfId="0" applyBorder="1" applyAlignment="1">
      <alignment horizontal="left"/>
    </xf>
    <xf numFmtId="0" fontId="0" fillId="6" borderId="8" xfId="0" applyFill="1" applyBorder="1"/>
    <xf numFmtId="0" fontId="29" fillId="6" borderId="8" xfId="0" applyFont="1" applyFill="1" applyBorder="1"/>
    <xf numFmtId="0" fontId="30" fillId="6" borderId="8" xfId="0" applyFont="1" applyFill="1" applyBorder="1"/>
    <xf numFmtId="10" fontId="10" fillId="0" borderId="0" xfId="0" applyNumberFormat="1" applyFont="1"/>
    <xf numFmtId="8" fontId="10" fillId="0" borderId="0" xfId="0" applyNumberFormat="1" applyFont="1"/>
    <xf numFmtId="0" fontId="10" fillId="0" borderId="0" xfId="0" applyFont="1"/>
    <xf numFmtId="10" fontId="10" fillId="0" borderId="12" xfId="0" applyNumberFormat="1" applyFont="1" applyBorder="1"/>
    <xf numFmtId="0" fontId="10" fillId="0" borderId="12" xfId="0" applyFont="1" applyBorder="1"/>
    <xf numFmtId="10" fontId="10" fillId="0" borderId="3" xfId="0" applyNumberFormat="1" applyFont="1" applyBorder="1"/>
    <xf numFmtId="164" fontId="5" fillId="0" borderId="12" xfId="0" applyNumberFormat="1" applyFont="1" applyBorder="1"/>
    <xf numFmtId="164" fontId="6" fillId="3" borderId="13" xfId="0" applyNumberFormat="1" applyFont="1" applyFill="1" applyBorder="1"/>
    <xf numFmtId="164" fontId="24" fillId="0" borderId="12" xfId="0" applyNumberFormat="1" applyFont="1" applyBorder="1"/>
    <xf numFmtId="164" fontId="37" fillId="3" borderId="13" xfId="0" applyNumberFormat="1" applyFont="1" applyFill="1" applyBorder="1"/>
    <xf numFmtId="164" fontId="38" fillId="0" borderId="12" xfId="0" applyNumberFormat="1" applyFont="1" applyBorder="1"/>
    <xf numFmtId="164" fontId="24" fillId="0" borderId="10" xfId="0" applyNumberFormat="1" applyFont="1" applyBorder="1"/>
    <xf numFmtId="164" fontId="24" fillId="0" borderId="0" xfId="0" applyNumberFormat="1" applyFont="1"/>
    <xf numFmtId="164" fontId="24" fillId="3" borderId="20" xfId="0" applyNumberFormat="1" applyFont="1" applyFill="1" applyBorder="1"/>
    <xf numFmtId="164" fontId="24" fillId="3" borderId="4" xfId="0" applyNumberFormat="1" applyFont="1" applyFill="1" applyBorder="1"/>
    <xf numFmtId="164" fontId="24" fillId="3" borderId="5" xfId="0" applyNumberFormat="1" applyFont="1" applyFill="1" applyBorder="1"/>
    <xf numFmtId="0" fontId="15" fillId="0" borderId="8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64" fontId="37" fillId="3" borderId="8" xfId="0" applyNumberFormat="1" applyFont="1" applyFill="1" applyBorder="1"/>
    <xf numFmtId="164" fontId="38" fillId="0" borderId="0" xfId="0" applyNumberFormat="1" applyFont="1"/>
    <xf numFmtId="164" fontId="38" fillId="0" borderId="8" xfId="0" applyNumberFormat="1" applyFont="1" applyBorder="1"/>
    <xf numFmtId="164" fontId="38" fillId="0" borderId="13" xfId="0" applyNumberFormat="1" applyFont="1" applyBorder="1"/>
    <xf numFmtId="164" fontId="6" fillId="3" borderId="8" xfId="0" applyNumberFormat="1" applyFont="1" applyFill="1" applyBorder="1"/>
    <xf numFmtId="0" fontId="6" fillId="0" borderId="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5" fontId="5" fillId="0" borderId="0" xfId="0" applyNumberFormat="1" applyFont="1"/>
    <xf numFmtId="10" fontId="5" fillId="0" borderId="0" xfId="0" applyNumberFormat="1" applyFont="1"/>
    <xf numFmtId="10" fontId="3" fillId="0" borderId="0" xfId="2" applyNumberFormat="1" applyFont="1" applyBorder="1"/>
    <xf numFmtId="10" fontId="3" fillId="0" borderId="12" xfId="2" applyNumberFormat="1" applyFont="1" applyBorder="1"/>
    <xf numFmtId="9" fontId="5" fillId="0" borderId="0" xfId="2" applyFont="1"/>
    <xf numFmtId="164" fontId="0" fillId="2" borderId="4" xfId="0" applyNumberFormat="1" applyFill="1" applyBorder="1"/>
    <xf numFmtId="164" fontId="24" fillId="0" borderId="6" xfId="0" applyNumberFormat="1" applyFont="1" applyBorder="1"/>
    <xf numFmtId="164" fontId="24" fillId="0" borderId="8" xfId="0" applyNumberFormat="1" applyFont="1" applyBorder="1"/>
    <xf numFmtId="164" fontId="39" fillId="0" borderId="1" xfId="0" applyNumberFormat="1" applyFont="1" applyBorder="1"/>
    <xf numFmtId="164" fontId="39" fillId="0" borderId="7" xfId="1" applyNumberFormat="1" applyFont="1" applyBorder="1"/>
    <xf numFmtId="165" fontId="40" fillId="0" borderId="0" xfId="2" applyNumberFormat="1" applyFont="1" applyBorder="1" applyAlignment="1">
      <alignment horizontal="center"/>
    </xf>
    <xf numFmtId="165" fontId="0" fillId="0" borderId="0" xfId="0" applyNumberFormat="1"/>
    <xf numFmtId="165" fontId="40" fillId="0" borderId="12" xfId="2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5" fontId="40" fillId="0" borderId="10" xfId="2" applyNumberFormat="1" applyFont="1" applyBorder="1" applyAlignment="1">
      <alignment horizontal="center"/>
    </xf>
    <xf numFmtId="44" fontId="0" fillId="0" borderId="0" xfId="0" applyNumberFormat="1"/>
    <xf numFmtId="44" fontId="0" fillId="0" borderId="12" xfId="0" applyNumberFormat="1" applyBorder="1"/>
    <xf numFmtId="165" fontId="23" fillId="0" borderId="10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164" fontId="24" fillId="0" borderId="14" xfId="0" applyNumberFormat="1" applyFont="1" applyBorder="1"/>
    <xf numFmtId="164" fontId="24" fillId="0" borderId="7" xfId="0" applyNumberFormat="1" applyFont="1" applyBorder="1"/>
    <xf numFmtId="164" fontId="39" fillId="0" borderId="10" xfId="0" applyNumberFormat="1" applyFont="1" applyBorder="1"/>
    <xf numFmtId="164" fontId="39" fillId="0" borderId="0" xfId="0" applyNumberFormat="1" applyFont="1"/>
    <xf numFmtId="164" fontId="39" fillId="0" borderId="12" xfId="0" applyNumberFormat="1" applyFont="1" applyBorder="1"/>
    <xf numFmtId="164" fontId="24" fillId="0" borderId="11" xfId="0" applyNumberFormat="1" applyFont="1" applyBorder="1"/>
    <xf numFmtId="164" fontId="24" fillId="0" borderId="13" xfId="0" applyNumberFormat="1" applyFont="1" applyBorder="1"/>
    <xf numFmtId="164" fontId="0" fillId="2" borderId="5" xfId="0" applyNumberFormat="1" applyFill="1" applyBorder="1"/>
    <xf numFmtId="164" fontId="9" fillId="0" borderId="0" xfId="0" applyNumberFormat="1" applyFont="1"/>
    <xf numFmtId="164" fontId="9" fillId="0" borderId="12" xfId="0" applyNumberFormat="1" applyFont="1" applyBorder="1"/>
    <xf numFmtId="0" fontId="4" fillId="2" borderId="15" xfId="0" applyFont="1" applyFill="1" applyBorder="1"/>
    <xf numFmtId="0" fontId="0" fillId="2" borderId="2" xfId="0" applyFill="1" applyBorder="1"/>
    <xf numFmtId="164" fontId="10" fillId="2" borderId="11" xfId="0" applyNumberFormat="1" applyFont="1" applyFill="1" applyBorder="1"/>
    <xf numFmtId="164" fontId="10" fillId="2" borderId="13" xfId="0" applyNumberFormat="1" applyFont="1" applyFill="1" applyBorder="1"/>
    <xf numFmtId="164" fontId="38" fillId="2" borderId="8" xfId="0" applyNumberFormat="1" applyFont="1" applyFill="1" applyBorder="1"/>
    <xf numFmtId="164" fontId="38" fillId="2" borderId="13" xfId="0" applyNumberFormat="1" applyFont="1" applyFill="1" applyBorder="1"/>
    <xf numFmtId="0" fontId="11" fillId="0" borderId="0" xfId="0" applyFont="1"/>
    <xf numFmtId="0" fontId="11" fillId="0" borderId="12" xfId="0" applyFont="1" applyBorder="1"/>
    <xf numFmtId="164" fontId="0" fillId="0" borderId="3" xfId="0" applyNumberFormat="1" applyBorder="1"/>
    <xf numFmtId="0" fontId="43" fillId="0" borderId="8" xfId="0" applyFont="1" applyBorder="1" applyAlignment="1">
      <alignment horizontal="center" vertical="center" wrapText="1"/>
    </xf>
    <xf numFmtId="10" fontId="43" fillId="0" borderId="8" xfId="0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32" fillId="0" borderId="12" xfId="0" applyFont="1" applyBorder="1"/>
    <xf numFmtId="44" fontId="2" fillId="0" borderId="12" xfId="0" applyNumberFormat="1" applyFont="1" applyBorder="1"/>
    <xf numFmtId="0" fontId="43" fillId="0" borderId="18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4" fillId="0" borderId="10" xfId="0" applyFont="1" applyBorder="1"/>
    <xf numFmtId="0" fontId="43" fillId="0" borderId="0" xfId="0" applyFont="1"/>
    <xf numFmtId="0" fontId="32" fillId="0" borderId="15" xfId="0" applyFont="1" applyBorder="1"/>
    <xf numFmtId="0" fontId="32" fillId="0" borderId="2" xfId="0" applyFont="1" applyBorder="1"/>
    <xf numFmtId="0" fontId="32" fillId="0" borderId="3" xfId="0" applyFont="1" applyBorder="1"/>
    <xf numFmtId="0" fontId="14" fillId="0" borderId="0" xfId="0" applyFont="1"/>
    <xf numFmtId="0" fontId="15" fillId="0" borderId="11" xfId="0" applyFont="1" applyBorder="1"/>
    <xf numFmtId="0" fontId="14" fillId="0" borderId="8" xfId="0" applyFont="1" applyBorder="1"/>
    <xf numFmtId="0" fontId="14" fillId="0" borderId="13" xfId="0" applyFont="1" applyBorder="1"/>
    <xf numFmtId="0" fontId="14" fillId="0" borderId="10" xfId="0" applyFont="1" applyBorder="1"/>
    <xf numFmtId="0" fontId="15" fillId="0" borderId="1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0" xfId="0" applyFont="1" applyBorder="1"/>
    <xf numFmtId="0" fontId="14" fillId="0" borderId="12" xfId="0" applyFont="1" applyBorder="1"/>
    <xf numFmtId="0" fontId="16" fillId="0" borderId="10" xfId="0" applyFont="1" applyBorder="1"/>
    <xf numFmtId="164" fontId="14" fillId="0" borderId="10" xfId="1" applyNumberFormat="1" applyFont="1" applyFill="1" applyBorder="1"/>
    <xf numFmtId="164" fontId="14" fillId="0" borderId="0" xfId="1" applyNumberFormat="1" applyFont="1" applyFill="1" applyBorder="1"/>
    <xf numFmtId="164" fontId="14" fillId="0" borderId="12" xfId="1" applyNumberFormat="1" applyFont="1" applyFill="1" applyBorder="1"/>
    <xf numFmtId="164" fontId="35" fillId="0" borderId="0" xfId="0" applyNumberFormat="1" applyFont="1"/>
    <xf numFmtId="164" fontId="35" fillId="0" borderId="12" xfId="0" applyNumberFormat="1" applyFont="1" applyBorder="1"/>
    <xf numFmtId="164" fontId="19" fillId="0" borderId="12" xfId="0" applyNumberFormat="1" applyFont="1" applyBorder="1"/>
    <xf numFmtId="164" fontId="14" fillId="0" borderId="0" xfId="0" applyNumberFormat="1" applyFont="1"/>
    <xf numFmtId="0" fontId="16" fillId="0" borderId="0" xfId="0" applyFont="1"/>
    <xf numFmtId="164" fontId="19" fillId="0" borderId="10" xfId="0" applyNumberFormat="1" applyFont="1" applyBorder="1"/>
    <xf numFmtId="164" fontId="19" fillId="0" borderId="0" xfId="0" applyNumberFormat="1" applyFont="1"/>
    <xf numFmtId="164" fontId="14" fillId="0" borderId="12" xfId="0" applyNumberFormat="1" applyFont="1" applyBorder="1"/>
    <xf numFmtId="164" fontId="41" fillId="0" borderId="0" xfId="0" applyNumberFormat="1" applyFont="1"/>
    <xf numFmtId="164" fontId="41" fillId="0" borderId="21" xfId="0" applyNumberFormat="1" applyFont="1" applyBorder="1"/>
    <xf numFmtId="164" fontId="14" fillId="0" borderId="21" xfId="0" applyNumberFormat="1" applyFont="1" applyBorder="1"/>
    <xf numFmtId="164" fontId="14" fillId="0" borderId="10" xfId="0" applyNumberFormat="1" applyFont="1" applyBorder="1"/>
    <xf numFmtId="0" fontId="14" fillId="0" borderId="21" xfId="0" applyFont="1" applyBorder="1"/>
    <xf numFmtId="0" fontId="18" fillId="0" borderId="10" xfId="0" applyFont="1" applyBorder="1"/>
    <xf numFmtId="164" fontId="19" fillId="0" borderId="20" xfId="0" applyNumberFormat="1" applyFont="1" applyBorder="1"/>
    <xf numFmtId="164" fontId="19" fillId="0" borderId="4" xfId="0" applyNumberFormat="1" applyFont="1" applyBorder="1"/>
    <xf numFmtId="164" fontId="19" fillId="0" borderId="5" xfId="0" applyNumberFormat="1" applyFont="1" applyBorder="1"/>
    <xf numFmtId="164" fontId="14" fillId="0" borderId="4" xfId="0" applyNumberFormat="1" applyFont="1" applyBorder="1"/>
    <xf numFmtId="164" fontId="14" fillId="0" borderId="22" xfId="0" applyNumberFormat="1" applyFont="1" applyBorder="1"/>
    <xf numFmtId="10" fontId="14" fillId="0" borderId="0" xfId="2" applyNumberFormat="1" applyFont="1" applyFill="1"/>
    <xf numFmtId="164" fontId="41" fillId="0" borderId="12" xfId="0" applyNumberFormat="1" applyFont="1" applyBorder="1"/>
    <xf numFmtId="0" fontId="17" fillId="0" borderId="14" xfId="0" applyFont="1" applyBorder="1"/>
    <xf numFmtId="0" fontId="14" fillId="0" borderId="6" xfId="0" applyFont="1" applyBorder="1"/>
    <xf numFmtId="164" fontId="19" fillId="0" borderId="14" xfId="0" applyNumberFormat="1" applyFont="1" applyBorder="1"/>
    <xf numFmtId="164" fontId="19" fillId="0" borderId="6" xfId="0" applyNumberFormat="1" applyFont="1" applyBorder="1"/>
    <xf numFmtId="164" fontId="19" fillId="0" borderId="7" xfId="0" applyNumberFormat="1" applyFont="1" applyBorder="1"/>
    <xf numFmtId="164" fontId="14" fillId="0" borderId="6" xfId="0" applyNumberFormat="1" applyFont="1" applyBorder="1"/>
    <xf numFmtId="164" fontId="14" fillId="0" borderId="23" xfId="0" applyNumberFormat="1" applyFont="1" applyBorder="1"/>
    <xf numFmtId="0" fontId="17" fillId="0" borderId="10" xfId="0" applyFont="1" applyBorder="1"/>
    <xf numFmtId="0" fontId="17" fillId="0" borderId="11" xfId="0" applyFont="1" applyBorder="1"/>
    <xf numFmtId="164" fontId="21" fillId="0" borderId="11" xfId="0" applyNumberFormat="1" applyFont="1" applyBorder="1"/>
    <xf numFmtId="164" fontId="21" fillId="0" borderId="8" xfId="0" applyNumberFormat="1" applyFont="1" applyBorder="1"/>
    <xf numFmtId="164" fontId="21" fillId="0" borderId="13" xfId="0" applyNumberFormat="1" applyFont="1" applyBorder="1"/>
    <xf numFmtId="164" fontId="15" fillId="0" borderId="11" xfId="0" applyNumberFormat="1" applyFont="1" applyBorder="1"/>
    <xf numFmtId="164" fontId="15" fillId="0" borderId="8" xfId="0" applyNumberFormat="1" applyFont="1" applyBorder="1"/>
    <xf numFmtId="164" fontId="15" fillId="0" borderId="24" xfId="0" applyNumberFormat="1" applyFont="1" applyBorder="1"/>
    <xf numFmtId="10" fontId="5" fillId="0" borderId="0" xfId="2" applyNumberFormat="1" applyFont="1"/>
    <xf numFmtId="0" fontId="6" fillId="5" borderId="26" xfId="0" applyFont="1" applyFill="1" applyBorder="1"/>
    <xf numFmtId="0" fontId="5" fillId="5" borderId="27" xfId="0" applyFont="1" applyFill="1" applyBorder="1"/>
    <xf numFmtId="165" fontId="3" fillId="0" borderId="21" xfId="2" applyNumberFormat="1" applyFont="1" applyBorder="1" applyAlignment="1">
      <alignment horizontal="center"/>
    </xf>
    <xf numFmtId="0" fontId="33" fillId="0" borderId="11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3" id="{5074EBE3-9652-0A49-888B-1863A671F3DF}" userId="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" dT="2024-02-20T02:43:55.20" personId="{5074EBE3-9652-0A49-888B-1863A671F3DF}" id="{635E4D19-84BB-F045-A074-A382111915B1}">
    <text>Company0785's EOP Retained Earnings omits Common Stock Repurchases from calculations and there are some additional values not shown in their 2023 10-K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2" dT="2024-02-20T22:16:00.02" personId="{5074EBE3-9652-0A49-888B-1863A671F3DF}" id="{F062C9A8-7A03-944C-A4A4-DABA5B510600}">
    <text>’23 10-K, Note 24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D3D5-5714-8B47-8FBB-39F0C031BA86}">
  <sheetPr>
    <tabColor rgb="FFFFFF00"/>
  </sheetPr>
  <dimension ref="B1:S38"/>
  <sheetViews>
    <sheetView topLeftCell="B4" workbookViewId="0">
      <selection activeCell="K32" sqref="K32"/>
    </sheetView>
  </sheetViews>
  <sheetFormatPr baseColWidth="10" defaultRowHeight="16"/>
  <cols>
    <col min="1" max="1" width="1.83203125" style="2" customWidth="1"/>
    <col min="2" max="7" width="10.83203125" style="2"/>
    <col min="8" max="8" width="13" style="2" bestFit="1" customWidth="1"/>
    <col min="9" max="9" width="12.83203125" style="2" bestFit="1" customWidth="1"/>
    <col min="10" max="10" width="13.1640625" style="2" bestFit="1" customWidth="1"/>
    <col min="11" max="11" width="12.83203125" style="2" bestFit="1" customWidth="1"/>
    <col min="12" max="12" width="13" style="2" customWidth="1"/>
    <col min="13" max="15" width="10.83203125" style="2"/>
    <col min="16" max="16" width="2.6640625" style="2" customWidth="1"/>
    <col min="17" max="17" width="8.1640625" style="2" customWidth="1"/>
    <col min="18" max="18" width="12.83203125" style="2" customWidth="1"/>
    <col min="19" max="16384" width="10.83203125" style="2"/>
  </cols>
  <sheetData>
    <row r="1" spans="2:19" ht="10" customHeight="1"/>
    <row r="5" spans="2:19" ht="17" thickBot="1">
      <c r="B5" s="94" t="s">
        <v>46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6"/>
    </row>
    <row r="6" spans="2:19" ht="17" thickBot="1">
      <c r="B6" s="97"/>
      <c r="H6" s="112" t="s">
        <v>57</v>
      </c>
      <c r="I6" s="6" t="s">
        <v>54</v>
      </c>
      <c r="J6" s="7" t="s">
        <v>55</v>
      </c>
      <c r="K6" s="112" t="s">
        <v>56</v>
      </c>
      <c r="L6" s="221" t="s">
        <v>156</v>
      </c>
      <c r="M6" s="221" t="s">
        <v>157</v>
      </c>
      <c r="N6" s="221" t="s">
        <v>225</v>
      </c>
      <c r="O6" s="222" t="s">
        <v>226</v>
      </c>
      <c r="Q6" s="327" t="s">
        <v>100</v>
      </c>
      <c r="R6" s="328"/>
    </row>
    <row r="7" spans="2:19">
      <c r="B7" s="98" t="s">
        <v>238</v>
      </c>
      <c r="H7" s="113">
        <v>44024</v>
      </c>
      <c r="I7" s="5">
        <v>52577</v>
      </c>
      <c r="J7" s="99">
        <v>61251</v>
      </c>
      <c r="K7" s="4">
        <f>J7*(1+K8)</f>
        <v>72253.439762220791</v>
      </c>
      <c r="L7" s="4">
        <f>K7*(1+L8)</f>
        <v>85232.233881452848</v>
      </c>
      <c r="M7" s="4">
        <f t="shared" ref="M7:O7" si="0">L7*(1+M8)</f>
        <v>100542.39239445997</v>
      </c>
      <c r="N7" s="4">
        <f t="shared" si="0"/>
        <v>118602.69534248712</v>
      </c>
      <c r="O7" s="204">
        <f t="shared" si="0"/>
        <v>139907.14769661584</v>
      </c>
    </row>
    <row r="8" spans="2:19">
      <c r="B8" s="97"/>
      <c r="D8" s="100" t="s">
        <v>48</v>
      </c>
      <c r="H8" s="114"/>
      <c r="I8" s="20">
        <f>I7/H7-1</f>
        <v>0.19428039251317464</v>
      </c>
      <c r="J8" s="101">
        <f>J7/I7-1</f>
        <v>0.16497708123323895</v>
      </c>
      <c r="K8" s="20">
        <f>AVERAGE($I$8:$J$8)</f>
        <v>0.1796287368732068</v>
      </c>
      <c r="L8" s="20">
        <f t="shared" ref="L8:O8" si="1">AVERAGE($I$8:$J$8)</f>
        <v>0.1796287368732068</v>
      </c>
      <c r="M8" s="20">
        <f t="shared" si="1"/>
        <v>0.1796287368732068</v>
      </c>
      <c r="N8" s="20">
        <f t="shared" si="1"/>
        <v>0.1796287368732068</v>
      </c>
      <c r="O8" s="329">
        <f t="shared" si="1"/>
        <v>0.1796287368732068</v>
      </c>
      <c r="Q8" s="223">
        <f>AVERAGE(H8:J8)</f>
        <v>0.1796287368732068</v>
      </c>
      <c r="R8" s="2" t="s">
        <v>102</v>
      </c>
      <c r="S8" s="9"/>
    </row>
    <row r="9" spans="2:19">
      <c r="B9" s="98" t="s">
        <v>49</v>
      </c>
      <c r="H9" s="113">
        <v>29116</v>
      </c>
      <c r="I9" s="5">
        <v>35338</v>
      </c>
      <c r="J9" s="99">
        <v>37715</v>
      </c>
      <c r="K9" s="4">
        <f>K7*K10</f>
        <v>46946.204374711822</v>
      </c>
      <c r="L9" s="4">
        <f t="shared" ref="L9:O9" si="2">L7*L10</f>
        <v>55379.091767532722</v>
      </c>
      <c r="M9" s="4">
        <f t="shared" si="2"/>
        <v>65326.768070920036</v>
      </c>
      <c r="N9" s="4">
        <f t="shared" si="2"/>
        <v>77061.33290350833</v>
      </c>
      <c r="O9" s="204">
        <f t="shared" si="2"/>
        <v>90903.762794731214</v>
      </c>
      <c r="Q9" s="227">
        <f>AVERAGE(I9/H9-1,J9/I9-1)</f>
        <v>0.14048081864046169</v>
      </c>
      <c r="R9" s="2" t="s">
        <v>230</v>
      </c>
      <c r="S9" s="9"/>
    </row>
    <row r="10" spans="2:19">
      <c r="B10" s="97"/>
      <c r="D10" s="100" t="s">
        <v>239</v>
      </c>
      <c r="H10" s="115">
        <f>H9/H7</f>
        <v>0.66136652734871892</v>
      </c>
      <c r="I10" s="21">
        <f>I9/I7</f>
        <v>0.67211898738992337</v>
      </c>
      <c r="J10" s="102">
        <f>J9/J7</f>
        <v>0.61574504906042349</v>
      </c>
      <c r="K10" s="20">
        <f>AVERAGE($H$10:$J$10)</f>
        <v>0.64974352126635526</v>
      </c>
      <c r="L10" s="20">
        <f t="shared" ref="L10:O10" si="3">AVERAGE($H$10:$J$10)</f>
        <v>0.64974352126635526</v>
      </c>
      <c r="M10" s="20">
        <f t="shared" si="3"/>
        <v>0.64974352126635526</v>
      </c>
      <c r="N10" s="20">
        <f t="shared" si="3"/>
        <v>0.64974352126635526</v>
      </c>
      <c r="O10" s="101">
        <f t="shared" si="3"/>
        <v>0.64974352126635526</v>
      </c>
      <c r="Q10" s="223">
        <f>AVERAGE(H10:J10)</f>
        <v>0.64974352126635526</v>
      </c>
      <c r="R10" s="2" t="s">
        <v>228</v>
      </c>
      <c r="S10" s="9"/>
    </row>
    <row r="11" spans="2:19" ht="17" thickBot="1">
      <c r="B11" s="103" t="s">
        <v>6</v>
      </c>
      <c r="C11" s="104"/>
      <c r="D11" s="104"/>
      <c r="E11" s="104"/>
      <c r="F11" s="104"/>
      <c r="G11" s="104"/>
      <c r="H11" s="116">
        <f>H7-H9</f>
        <v>14908</v>
      </c>
      <c r="I11" s="17">
        <f t="shared" ref="I11:O11" si="4">I7-I9</f>
        <v>17239</v>
      </c>
      <c r="J11" s="18">
        <f t="shared" si="4"/>
        <v>23536</v>
      </c>
      <c r="K11" s="116">
        <f t="shared" si="4"/>
        <v>25307.235387508968</v>
      </c>
      <c r="L11" s="17">
        <f t="shared" si="4"/>
        <v>29853.142113920127</v>
      </c>
      <c r="M11" s="17">
        <f t="shared" si="4"/>
        <v>35215.624323539931</v>
      </c>
      <c r="N11" s="17">
        <f t="shared" si="4"/>
        <v>41541.362438978787</v>
      </c>
      <c r="O11" s="18">
        <f t="shared" si="4"/>
        <v>49003.384901884623</v>
      </c>
      <c r="S11" s="9"/>
    </row>
    <row r="12" spans="2:19" ht="17" thickTop="1">
      <c r="B12" s="97"/>
      <c r="C12" s="2" t="s">
        <v>0</v>
      </c>
      <c r="H12" s="113">
        <v>1587</v>
      </c>
      <c r="I12" s="5">
        <v>1912</v>
      </c>
      <c r="J12" s="99">
        <v>2177</v>
      </c>
      <c r="K12" s="4">
        <f>K7*K13</f>
        <v>2600.0763273942866</v>
      </c>
      <c r="L12" s="4">
        <f t="shared" ref="L12:O12" si="5">L7*L13</f>
        <v>3067.1247538580492</v>
      </c>
      <c r="M12" s="4">
        <f t="shared" si="5"/>
        <v>3618.0684992261158</v>
      </c>
      <c r="N12" s="4">
        <f t="shared" si="5"/>
        <v>4267.9775736628417</v>
      </c>
      <c r="O12" s="204">
        <f t="shared" si="5"/>
        <v>5034.6289942230715</v>
      </c>
    </row>
    <row r="13" spans="2:19">
      <c r="B13" s="97"/>
      <c r="D13" s="100" t="s">
        <v>53</v>
      </c>
      <c r="H13" s="115">
        <f>H12/H7</f>
        <v>3.6048518989642016E-2</v>
      </c>
      <c r="I13" s="21">
        <f t="shared" ref="I13:J13" si="6">I12/I7</f>
        <v>3.6365711242558531E-2</v>
      </c>
      <c r="J13" s="102">
        <f t="shared" si="6"/>
        <v>3.5542276860785947E-2</v>
      </c>
      <c r="K13" s="21">
        <f>AVERAGE($H$13:$J$13)</f>
        <v>3.5985502364328827E-2</v>
      </c>
      <c r="L13" s="21">
        <f t="shared" ref="L13:O13" si="7">AVERAGE($H$13:$J$13)</f>
        <v>3.5985502364328827E-2</v>
      </c>
      <c r="M13" s="21">
        <f t="shared" si="7"/>
        <v>3.5985502364328827E-2</v>
      </c>
      <c r="N13" s="21">
        <f t="shared" si="7"/>
        <v>3.5985502364328827E-2</v>
      </c>
      <c r="O13" s="102">
        <f t="shared" si="7"/>
        <v>3.5985502364328827E-2</v>
      </c>
      <c r="R13" s="2" t="s">
        <v>121</v>
      </c>
    </row>
    <row r="14" spans="2:19">
      <c r="B14" s="97"/>
      <c r="C14" s="2" t="s">
        <v>1</v>
      </c>
      <c r="H14" s="113">
        <v>3383</v>
      </c>
      <c r="I14" s="5">
        <v>3863</v>
      </c>
      <c r="J14" s="99">
        <v>4595</v>
      </c>
      <c r="K14" s="4">
        <f>K7*K15</f>
        <v>5427.1202020177952</v>
      </c>
      <c r="L14" s="4">
        <f t="shared" ref="L14:O14" si="8">L7*L15</f>
        <v>6401.986948765315</v>
      </c>
      <c r="M14" s="4">
        <f t="shared" si="8"/>
        <v>7551.9677778507839</v>
      </c>
      <c r="N14" s="4">
        <f t="shared" si="8"/>
        <v>8908.5182106932789</v>
      </c>
      <c r="O14" s="204">
        <f t="shared" si="8"/>
        <v>10508.744084292071</v>
      </c>
    </row>
    <row r="15" spans="2:19">
      <c r="B15" s="97"/>
      <c r="D15" s="105" t="s">
        <v>52</v>
      </c>
      <c r="H15" s="115">
        <f>H14/H7</f>
        <v>7.6844448482645836E-2</v>
      </c>
      <c r="I15" s="21">
        <f t="shared" ref="I15:J15" si="9">I14/I7</f>
        <v>7.3473191699792689E-2</v>
      </c>
      <c r="J15" s="102">
        <f t="shared" si="9"/>
        <v>7.5019183360271663E-2</v>
      </c>
      <c r="K15" s="21">
        <f>AVERAGE($H$15:$J$15)</f>
        <v>7.5112274514236729E-2</v>
      </c>
      <c r="L15" s="21">
        <f t="shared" ref="L15:O15" si="10">AVERAGE($H$15:$J$15)</f>
        <v>7.5112274514236729E-2</v>
      </c>
      <c r="M15" s="21">
        <f t="shared" si="10"/>
        <v>7.5112274514236729E-2</v>
      </c>
      <c r="N15" s="21">
        <f t="shared" si="10"/>
        <v>7.5112274514236729E-2</v>
      </c>
      <c r="O15" s="102">
        <f t="shared" si="10"/>
        <v>7.5112274514236729E-2</v>
      </c>
      <c r="R15" s="2" t="s">
        <v>121</v>
      </c>
    </row>
    <row r="16" spans="2:19">
      <c r="B16" s="97"/>
      <c r="C16" s="2" t="s">
        <v>3</v>
      </c>
      <c r="H16" s="113">
        <v>1343</v>
      </c>
      <c r="I16" s="5">
        <v>1275</v>
      </c>
      <c r="J16" s="99">
        <v>1292</v>
      </c>
      <c r="K16" s="4">
        <f>K7*K17</f>
        <v>1826.8022182001823</v>
      </c>
      <c r="L16" s="4">
        <f t="shared" ref="L16:O16" si="11">L7*L17</f>
        <v>2154.9483931726536</v>
      </c>
      <c r="M16" s="4">
        <f t="shared" si="11"/>
        <v>2542.0390510652037</v>
      </c>
      <c r="N16" s="4">
        <f t="shared" si="11"/>
        <v>2998.6623148904114</v>
      </c>
      <c r="O16" s="204">
        <f t="shared" si="11"/>
        <v>3537.308238823462</v>
      </c>
    </row>
    <row r="17" spans="2:18">
      <c r="B17" s="97"/>
      <c r="D17" s="100" t="s">
        <v>51</v>
      </c>
      <c r="H17" s="115">
        <f>H16/H7</f>
        <v>3.0506087588588044E-2</v>
      </c>
      <c r="I17" s="21">
        <f t="shared" ref="I17:J17" si="12">I16/I7</f>
        <v>2.4250147402856762E-2</v>
      </c>
      <c r="J17" s="102">
        <f t="shared" si="12"/>
        <v>2.1093533166805439E-2</v>
      </c>
      <c r="K17" s="20">
        <f>AVERAGE($H$17:$J$17)</f>
        <v>2.5283256052750083E-2</v>
      </c>
      <c r="L17" s="20">
        <f t="shared" ref="L17:O17" si="13">AVERAGE($H$17:$J$17)</f>
        <v>2.5283256052750083E-2</v>
      </c>
      <c r="M17" s="20">
        <f t="shared" si="13"/>
        <v>2.5283256052750083E-2</v>
      </c>
      <c r="N17" s="20">
        <f t="shared" si="13"/>
        <v>2.5283256052750083E-2</v>
      </c>
      <c r="O17" s="101">
        <f t="shared" si="13"/>
        <v>2.5283256052750083E-2</v>
      </c>
      <c r="R17" s="2" t="s">
        <v>121</v>
      </c>
    </row>
    <row r="18" spans="2:18" ht="17" thickBot="1">
      <c r="B18" s="103" t="s">
        <v>47</v>
      </c>
      <c r="C18" s="104"/>
      <c r="D18" s="104"/>
      <c r="E18" s="104"/>
      <c r="F18" s="104"/>
      <c r="G18" s="104"/>
      <c r="H18" s="116">
        <f>H11-(SUM(H12:H16))</f>
        <v>8594.8871070325276</v>
      </c>
      <c r="I18" s="17">
        <f t="shared" ref="I18:J18" si="14">I11-(SUM(I12:I16))</f>
        <v>10188.890161097057</v>
      </c>
      <c r="J18" s="18">
        <f t="shared" si="14"/>
        <v>15471.88943853978</v>
      </c>
      <c r="K18" s="17">
        <f>K11-K12-K14-K16</f>
        <v>15453.236639896704</v>
      </c>
      <c r="L18" s="17">
        <f t="shared" ref="L18:O18" si="15">L11-L12-L14-L16</f>
        <v>18229.082018124107</v>
      </c>
      <c r="M18" s="17">
        <f t="shared" si="15"/>
        <v>21503.548995397829</v>
      </c>
      <c r="N18" s="17">
        <f t="shared" si="15"/>
        <v>25366.204339732256</v>
      </c>
      <c r="O18" s="18">
        <f t="shared" si="15"/>
        <v>29922.70358454602</v>
      </c>
    </row>
    <row r="19" spans="2:18" ht="18" customHeight="1" thickTop="1">
      <c r="B19" s="98"/>
      <c r="C19" s="2" t="s">
        <v>2</v>
      </c>
      <c r="H19" s="113">
        <v>993</v>
      </c>
      <c r="I19" s="5">
        <v>1062</v>
      </c>
      <c r="J19" s="99">
        <v>2453</v>
      </c>
      <c r="K19" s="4">
        <f>J19</f>
        <v>2453</v>
      </c>
      <c r="L19" s="4">
        <f>J19</f>
        <v>2453</v>
      </c>
      <c r="M19" s="4">
        <f>J19</f>
        <v>2453</v>
      </c>
      <c r="N19" s="4">
        <f>J19</f>
        <v>2453</v>
      </c>
      <c r="O19" s="4">
        <f>J19</f>
        <v>2453</v>
      </c>
    </row>
    <row r="20" spans="2:18" ht="17" thickBot="1">
      <c r="B20" s="103" t="s">
        <v>50</v>
      </c>
      <c r="C20" s="106"/>
      <c r="D20" s="104"/>
      <c r="E20" s="104"/>
      <c r="F20" s="104"/>
      <c r="G20" s="104"/>
      <c r="H20" s="117">
        <f>H18-H19</f>
        <v>7601.8871070325276</v>
      </c>
      <c r="I20" s="23">
        <v>9127</v>
      </c>
      <c r="J20" s="24">
        <v>13019</v>
      </c>
      <c r="K20" s="17">
        <f>K18-K19</f>
        <v>13000.236639896704</v>
      </c>
      <c r="L20" s="17">
        <f>L18-L19</f>
        <v>15776.082018124107</v>
      </c>
      <c r="M20" s="17">
        <f>M18-M19</f>
        <v>19050.548995397829</v>
      </c>
      <c r="N20" s="17">
        <f>N18-N19</f>
        <v>22913.204339732256</v>
      </c>
      <c r="O20" s="18">
        <f>O18-O19</f>
        <v>27469.70358454602</v>
      </c>
    </row>
    <row r="21" spans="2:18" ht="17" thickTop="1">
      <c r="B21" s="97"/>
      <c r="C21" s="2" t="s">
        <v>5</v>
      </c>
      <c r="H21" s="113">
        <v>1658</v>
      </c>
      <c r="I21" s="5">
        <v>2007</v>
      </c>
      <c r="J21" s="99">
        <v>2871</v>
      </c>
      <c r="K21" s="4">
        <f>K20*$Q$22</f>
        <v>2853.658533284889</v>
      </c>
      <c r="L21" s="4">
        <f t="shared" ref="L21:O21" si="16">L20*$Q$22</f>
        <v>3462.9793533650522</v>
      </c>
      <c r="M21" s="4">
        <f t="shared" si="16"/>
        <v>4181.7517027067624</v>
      </c>
      <c r="N21" s="4">
        <f t="shared" si="16"/>
        <v>5029.6362212601107</v>
      </c>
      <c r="O21" s="204">
        <f t="shared" si="16"/>
        <v>6029.8251648955447</v>
      </c>
    </row>
    <row r="22" spans="2:18">
      <c r="B22" s="97"/>
      <c r="D22" s="100" t="s">
        <v>227</v>
      </c>
      <c r="H22" s="114">
        <f>H21/H20</f>
        <v>0.21810373880272169</v>
      </c>
      <c r="I22" s="20">
        <f t="shared" ref="I22:J22" si="17">I21/I20</f>
        <v>0.21989700887476718</v>
      </c>
      <c r="J22" s="101">
        <f t="shared" si="17"/>
        <v>0.22052384975804593</v>
      </c>
      <c r="K22" s="225">
        <f>$Q$22</f>
        <v>0.21950819914517827</v>
      </c>
      <c r="L22" s="225">
        <f t="shared" ref="L22:O22" si="18">$Q$22</f>
        <v>0.21950819914517827</v>
      </c>
      <c r="M22" s="225">
        <f t="shared" si="18"/>
        <v>0.21950819914517827</v>
      </c>
      <c r="N22" s="225">
        <f t="shared" si="18"/>
        <v>0.21950819914517827</v>
      </c>
      <c r="O22" s="226">
        <f t="shared" si="18"/>
        <v>0.21950819914517827</v>
      </c>
      <c r="Q22" s="224">
        <f>AVERAGE(H22:J22)</f>
        <v>0.21950819914517827</v>
      </c>
      <c r="R22" s="2" t="s">
        <v>229</v>
      </c>
    </row>
    <row r="23" spans="2:18">
      <c r="B23" s="97"/>
      <c r="C23" s="2" t="s">
        <v>4</v>
      </c>
      <c r="H23" s="118">
        <v>21</v>
      </c>
      <c r="I23" s="19">
        <v>10</v>
      </c>
      <c r="J23" s="107">
        <v>7</v>
      </c>
      <c r="K23" s="4">
        <f>J23</f>
        <v>7</v>
      </c>
      <c r="L23" s="4">
        <f t="shared" ref="L23:O23" si="19">K23</f>
        <v>7</v>
      </c>
      <c r="M23" s="4">
        <f t="shared" si="19"/>
        <v>7</v>
      </c>
      <c r="N23" s="4">
        <f t="shared" si="19"/>
        <v>7</v>
      </c>
      <c r="O23" s="204">
        <f t="shared" si="19"/>
        <v>7</v>
      </c>
      <c r="R23" s="2" t="s">
        <v>120</v>
      </c>
    </row>
    <row r="24" spans="2:18">
      <c r="B24" s="110" t="s">
        <v>7</v>
      </c>
      <c r="C24" s="111"/>
      <c r="D24" s="111"/>
      <c r="E24" s="111"/>
      <c r="F24" s="111"/>
      <c r="G24" s="111"/>
      <c r="H24" s="119">
        <f>H20-H21+H23</f>
        <v>5964.8871070325276</v>
      </c>
      <c r="I24" s="108">
        <f>I20-I21+I23</f>
        <v>7130</v>
      </c>
      <c r="J24" s="109">
        <f>J20-J21+J23</f>
        <v>10155</v>
      </c>
      <c r="K24" s="220">
        <f>K20-K21+K23</f>
        <v>10153.578106611814</v>
      </c>
      <c r="L24" s="220">
        <f t="shared" ref="L24:O24" si="20">L20-L21+L23</f>
        <v>12320.102664759055</v>
      </c>
      <c r="M24" s="220">
        <f t="shared" si="20"/>
        <v>14875.797292691066</v>
      </c>
      <c r="N24" s="220">
        <f t="shared" si="20"/>
        <v>17890.568118472147</v>
      </c>
      <c r="O24" s="205">
        <f t="shared" si="20"/>
        <v>21446.878419650475</v>
      </c>
    </row>
    <row r="26" spans="2:18">
      <c r="K26" s="326"/>
    </row>
    <row r="30" spans="2:18">
      <c r="I30" s="5"/>
      <c r="J30" s="8"/>
      <c r="K30" s="8"/>
      <c r="L30" s="4"/>
    </row>
    <row r="31" spans="2:18">
      <c r="B31" s="3"/>
      <c r="I31" s="10"/>
      <c r="J31" s="10"/>
      <c r="K31" s="10"/>
      <c r="L31" s="4"/>
    </row>
    <row r="32" spans="2:18">
      <c r="I32" s="10"/>
      <c r="J32" s="10"/>
      <c r="K32" s="10"/>
      <c r="L32" s="4"/>
    </row>
    <row r="33" spans="8:12">
      <c r="I33" s="10"/>
      <c r="J33" s="10"/>
      <c r="K33" s="10"/>
      <c r="L33" s="4"/>
    </row>
    <row r="34" spans="8:12">
      <c r="I34" s="10"/>
      <c r="J34" s="10"/>
      <c r="K34" s="10"/>
      <c r="L34" s="4"/>
    </row>
    <row r="35" spans="8:12">
      <c r="I35" s="10"/>
      <c r="J35" s="10"/>
      <c r="K35" s="10"/>
      <c r="L35" s="4"/>
    </row>
    <row r="36" spans="8:12">
      <c r="I36" s="10"/>
      <c r="J36" s="10"/>
      <c r="K36" s="10"/>
      <c r="L36" s="4"/>
    </row>
    <row r="37" spans="8:12">
      <c r="H37" s="4"/>
      <c r="I37" s="4"/>
      <c r="J37" s="4"/>
      <c r="K37" s="4"/>
    </row>
    <row r="38" spans="8:12">
      <c r="H38" s="4"/>
      <c r="I38" s="4"/>
      <c r="J38" s="4"/>
      <c r="K3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8596-1773-C14B-B2A7-C35C4AAADE21}">
  <sheetPr>
    <tabColor rgb="FFFFFF00"/>
  </sheetPr>
  <dimension ref="B1:R49"/>
  <sheetViews>
    <sheetView topLeftCell="B4" workbookViewId="0">
      <selection activeCell="H24" sqref="H24"/>
    </sheetView>
  </sheetViews>
  <sheetFormatPr baseColWidth="10" defaultRowHeight="15"/>
  <cols>
    <col min="1" max="1" width="3" style="277" customWidth="1"/>
    <col min="2" max="7" width="10.83203125" style="277"/>
    <col min="8" max="8" width="11.5" style="277" bestFit="1" customWidth="1"/>
    <col min="9" max="9" width="12.1640625" style="277" bestFit="1" customWidth="1"/>
    <col min="10" max="10" width="11.5" style="277" bestFit="1" customWidth="1"/>
    <col min="11" max="11" width="10.83203125" style="277" customWidth="1"/>
    <col min="12" max="12" width="11.33203125" style="277" bestFit="1" customWidth="1"/>
    <col min="13" max="14" width="11" style="277" bestFit="1" customWidth="1"/>
    <col min="15" max="15" width="11.1640625" style="277" bestFit="1" customWidth="1"/>
    <col min="16" max="16" width="2.1640625" style="277" customWidth="1"/>
    <col min="17" max="16384" width="10.83203125" style="277"/>
  </cols>
  <sheetData>
    <row r="1" spans="2:18" ht="10" customHeight="1"/>
    <row r="3" spans="2:18">
      <c r="B3" s="278" t="s">
        <v>58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/>
    </row>
    <row r="4" spans="2:18">
      <c r="B4" s="281"/>
      <c r="H4" s="282" t="s">
        <v>57</v>
      </c>
      <c r="I4" s="283" t="s">
        <v>54</v>
      </c>
      <c r="J4" s="25" t="s">
        <v>55</v>
      </c>
      <c r="K4" s="93" t="s">
        <v>56</v>
      </c>
      <c r="L4" s="214" t="s">
        <v>156</v>
      </c>
      <c r="M4" s="214" t="s">
        <v>157</v>
      </c>
      <c r="N4" s="214" t="s">
        <v>225</v>
      </c>
      <c r="O4" s="215" t="s">
        <v>226</v>
      </c>
      <c r="Q4" s="278" t="s">
        <v>100</v>
      </c>
      <c r="R4" s="280"/>
    </row>
    <row r="5" spans="2:18">
      <c r="B5" s="284" t="s">
        <v>73</v>
      </c>
      <c r="H5" s="281"/>
      <c r="J5" s="285"/>
      <c r="O5" s="285"/>
    </row>
    <row r="6" spans="2:18">
      <c r="B6" s="286" t="s">
        <v>59</v>
      </c>
      <c r="H6" s="287">
        <f>'Income Stmnt'!H24</f>
        <v>5964.8871070325276</v>
      </c>
      <c r="I6" s="288">
        <f>'Income Stmnt'!I24</f>
        <v>7130</v>
      </c>
      <c r="J6" s="289">
        <f>'Income Stmnt'!J24</f>
        <v>10155</v>
      </c>
      <c r="K6" s="290">
        <f>'Income Stmnt'!K24</f>
        <v>10153.578106611814</v>
      </c>
      <c r="L6" s="290">
        <f>'Income Stmnt'!L24</f>
        <v>12320.102664759055</v>
      </c>
      <c r="M6" s="290">
        <f>'Income Stmnt'!M24</f>
        <v>14875.797292691066</v>
      </c>
      <c r="N6" s="290">
        <f>'Income Stmnt'!N24</f>
        <v>17890.568118472147</v>
      </c>
      <c r="O6" s="291">
        <f>'Income Stmnt'!O24</f>
        <v>21446.878419650475</v>
      </c>
      <c r="Q6" s="277" t="s">
        <v>209</v>
      </c>
    </row>
    <row r="7" spans="2:18">
      <c r="B7" s="286" t="s">
        <v>60</v>
      </c>
      <c r="H7" s="281"/>
      <c r="J7" s="292"/>
      <c r="K7" s="293"/>
      <c r="O7" s="285"/>
    </row>
    <row r="8" spans="2:18">
      <c r="B8" s="281"/>
      <c r="C8" s="294" t="s">
        <v>61</v>
      </c>
      <c r="H8" s="295">
        <v>-6</v>
      </c>
      <c r="I8" s="296">
        <v>192</v>
      </c>
      <c r="J8" s="291">
        <v>-16</v>
      </c>
      <c r="K8" s="293">
        <f>J8</f>
        <v>-16</v>
      </c>
      <c r="L8" s="293">
        <f t="shared" ref="L8:O8" si="0">K8</f>
        <v>-16</v>
      </c>
      <c r="M8" s="293">
        <f t="shared" si="0"/>
        <v>-16</v>
      </c>
      <c r="N8" s="293">
        <f t="shared" si="0"/>
        <v>-16</v>
      </c>
      <c r="O8" s="297">
        <f t="shared" si="0"/>
        <v>-16</v>
      </c>
      <c r="Q8" s="277" t="s">
        <v>108</v>
      </c>
    </row>
    <row r="9" spans="2:18">
      <c r="B9" s="281"/>
      <c r="C9" s="294" t="s">
        <v>62</v>
      </c>
      <c r="H9" s="295">
        <v>2050</v>
      </c>
      <c r="I9" s="296">
        <v>1895</v>
      </c>
      <c r="J9" s="292">
        <v>2004</v>
      </c>
      <c r="K9" s="298">
        <f>'Balance Sheet'!J62</f>
        <v>2423.8681133338641</v>
      </c>
      <c r="L9" s="298">
        <f>'Balance Sheet'!K62</f>
        <v>2685.1374957871608</v>
      </c>
      <c r="M9" s="298">
        <f>'Balance Sheet'!L62</f>
        <v>3167.4653524862943</v>
      </c>
      <c r="N9" s="298">
        <f>'Balance Sheet'!M62</f>
        <v>3736.4331528430534</v>
      </c>
      <c r="O9" s="299">
        <f>'Balance Sheet'!N62</f>
        <v>4407.6039204994249</v>
      </c>
      <c r="Q9" s="277" t="s">
        <v>115</v>
      </c>
    </row>
    <row r="10" spans="2:18">
      <c r="B10" s="281"/>
      <c r="C10" s="294" t="s">
        <v>63</v>
      </c>
      <c r="H10" s="295">
        <v>50</v>
      </c>
      <c r="I10" s="296">
        <v>88</v>
      </c>
      <c r="J10" s="292">
        <v>191</v>
      </c>
      <c r="K10" s="293">
        <f>J10</f>
        <v>191</v>
      </c>
      <c r="L10" s="293">
        <f t="shared" ref="L10:O10" si="1">K10</f>
        <v>191</v>
      </c>
      <c r="M10" s="293">
        <f t="shared" si="1"/>
        <v>191</v>
      </c>
      <c r="N10" s="293">
        <f t="shared" si="1"/>
        <v>191</v>
      </c>
      <c r="O10" s="300">
        <f t="shared" si="1"/>
        <v>191</v>
      </c>
      <c r="Q10" s="277" t="s">
        <v>108</v>
      </c>
    </row>
    <row r="11" spans="2:18">
      <c r="B11" s="281"/>
      <c r="C11" s="294" t="s">
        <v>64</v>
      </c>
      <c r="H11" s="295">
        <v>82</v>
      </c>
      <c r="I11" s="296">
        <v>85</v>
      </c>
      <c r="J11" s="292">
        <v>130</v>
      </c>
      <c r="K11" s="293">
        <f>J11*(1+'Income Stmnt'!$Q$8)</f>
        <v>153.35173579351689</v>
      </c>
      <c r="L11" s="293">
        <f>K11*(1+'Income Stmnt'!$Q$8)</f>
        <v>180.89811439142008</v>
      </c>
      <c r="M11" s="293">
        <f>L11*(1+'Income Stmnt'!$Q$8)</f>
        <v>213.39261418229574</v>
      </c>
      <c r="N11" s="293">
        <f>M11*(1+'Income Stmnt'!$Q$8)</f>
        <v>251.72405992593309</v>
      </c>
      <c r="O11" s="300">
        <f>N11*(1+'Income Stmnt'!$Q$8)</f>
        <v>296.94093485102388</v>
      </c>
      <c r="Q11" s="277" t="s">
        <v>114</v>
      </c>
    </row>
    <row r="12" spans="2:18">
      <c r="B12" s="281"/>
      <c r="C12" s="294" t="s">
        <v>65</v>
      </c>
      <c r="H12" s="295">
        <v>-441</v>
      </c>
      <c r="I12" s="296">
        <v>-66</v>
      </c>
      <c r="J12" s="292">
        <v>-790</v>
      </c>
      <c r="K12" s="293">
        <f>AVERAGE(H12:J12)</f>
        <v>-432.33333333333331</v>
      </c>
      <c r="L12" s="293">
        <f>K12</f>
        <v>-432.33333333333331</v>
      </c>
      <c r="M12" s="293">
        <f t="shared" ref="M12:O12" si="2">L12</f>
        <v>-432.33333333333331</v>
      </c>
      <c r="N12" s="293">
        <f t="shared" si="2"/>
        <v>-432.33333333333331</v>
      </c>
      <c r="O12" s="300">
        <f t="shared" si="2"/>
        <v>-432.33333333333331</v>
      </c>
      <c r="Q12" s="277" t="s">
        <v>237</v>
      </c>
    </row>
    <row r="13" spans="2:18">
      <c r="B13" s="281"/>
      <c r="C13" s="294" t="s">
        <v>240</v>
      </c>
      <c r="H13" s="295">
        <v>0</v>
      </c>
      <c r="I13" s="296">
        <v>-326</v>
      </c>
      <c r="J13" s="292">
        <v>0</v>
      </c>
      <c r="K13" s="293">
        <v>0</v>
      </c>
      <c r="L13" s="293">
        <v>0</v>
      </c>
      <c r="M13" s="293">
        <v>0</v>
      </c>
      <c r="N13" s="293">
        <v>0</v>
      </c>
      <c r="O13" s="300">
        <v>0</v>
      </c>
      <c r="Q13" s="277" t="s">
        <v>241</v>
      </c>
    </row>
    <row r="14" spans="2:18">
      <c r="B14" s="286" t="s">
        <v>66</v>
      </c>
      <c r="H14" s="301"/>
      <c r="I14" s="293"/>
      <c r="J14" s="292"/>
      <c r="K14" s="293"/>
      <c r="O14" s="302"/>
    </row>
    <row r="15" spans="2:18">
      <c r="B15" s="281"/>
      <c r="C15" s="294" t="s">
        <v>67</v>
      </c>
      <c r="H15" s="295">
        <v>969</v>
      </c>
      <c r="I15" s="296">
        <v>-2483</v>
      </c>
      <c r="J15" s="292">
        <v>-4253</v>
      </c>
      <c r="K15" s="293">
        <f>J15</f>
        <v>-4253</v>
      </c>
      <c r="L15" s="293">
        <f>K15</f>
        <v>-4253</v>
      </c>
      <c r="M15" s="293">
        <f t="shared" ref="M15:O15" si="3">L15</f>
        <v>-4253</v>
      </c>
      <c r="N15" s="293">
        <f t="shared" si="3"/>
        <v>-4253</v>
      </c>
      <c r="O15" s="300">
        <f t="shared" si="3"/>
        <v>-4253</v>
      </c>
      <c r="Q15" s="277" t="str">
        <f>Q18</f>
        <v>Straight-line assumption</v>
      </c>
    </row>
    <row r="16" spans="2:18">
      <c r="B16" s="281"/>
      <c r="C16" s="294" t="s">
        <v>68</v>
      </c>
      <c r="H16" s="295">
        <v>-2497</v>
      </c>
      <c r="I16" s="296">
        <v>-2091</v>
      </c>
      <c r="J16" s="292">
        <v>279</v>
      </c>
      <c r="K16" s="293">
        <f>('Balance Sheet'!J14-'Balance Sheet'!I14)</f>
        <v>1146.3234801061681</v>
      </c>
      <c r="L16" s="293">
        <f>-('Balance Sheet'!K14-'Balance Sheet'!J14)</f>
        <v>-1307.3599410182651</v>
      </c>
      <c r="M16" s="293">
        <f>-('Balance Sheet'!L14-'Balance Sheet'!K14)</f>
        <v>-1491.0189357902582</v>
      </c>
      <c r="N16" s="293">
        <f>-('Balance Sheet'!M14-'Balance Sheet'!L14)</f>
        <v>-1700.4784964985029</v>
      </c>
      <c r="O16" s="300">
        <f>-('Balance Sheet'!N14-'Balance Sheet'!M14)</f>
        <v>-1939.3631077671143</v>
      </c>
      <c r="Q16" s="277" t="s">
        <v>172</v>
      </c>
    </row>
    <row r="17" spans="2:18">
      <c r="B17" s="281"/>
      <c r="C17" s="294" t="s">
        <v>9</v>
      </c>
      <c r="H17" s="295">
        <v>1884</v>
      </c>
      <c r="I17" s="296">
        <v>1133</v>
      </c>
      <c r="J17" s="292">
        <v>830</v>
      </c>
      <c r="K17" s="293">
        <f>'Balance Sheet'!J26-'Balance Sheet'!I26</f>
        <v>2265.9556046706493</v>
      </c>
      <c r="L17" s="293">
        <f>'Balance Sheet'!K26-'Balance Sheet'!J26</f>
        <v>2584.2789030177228</v>
      </c>
      <c r="M17" s="293">
        <f>'Balance Sheet'!L26-'Balance Sheet'!K26</f>
        <v>2947.3205189089276</v>
      </c>
      <c r="N17" s="293">
        <f>'Balance Sheet'!M26-'Balance Sheet'!L26</f>
        <v>3361.3625182010837</v>
      </c>
      <c r="O17" s="300">
        <f>'Balance Sheet'!N26-'Balance Sheet'!M26</f>
        <v>3833.5694765053377</v>
      </c>
      <c r="Q17" s="277" t="s">
        <v>173</v>
      </c>
    </row>
    <row r="18" spans="2:18">
      <c r="B18" s="281"/>
      <c r="C18" s="294" t="s">
        <v>69</v>
      </c>
      <c r="H18" s="295">
        <v>11</v>
      </c>
      <c r="I18" s="296">
        <v>141</v>
      </c>
      <c r="J18" s="292">
        <v>-23</v>
      </c>
      <c r="K18" s="293">
        <f>J18</f>
        <v>-23</v>
      </c>
      <c r="L18" s="293">
        <f t="shared" ref="L18:O18" si="4">K18</f>
        <v>-23</v>
      </c>
      <c r="M18" s="293">
        <f t="shared" si="4"/>
        <v>-23</v>
      </c>
      <c r="N18" s="293">
        <f t="shared" si="4"/>
        <v>-23</v>
      </c>
      <c r="O18" s="300">
        <f t="shared" si="4"/>
        <v>-23</v>
      </c>
      <c r="Q18" s="277" t="s">
        <v>108</v>
      </c>
    </row>
    <row r="19" spans="2:18">
      <c r="B19" s="281"/>
      <c r="C19" s="294" t="s">
        <v>8</v>
      </c>
      <c r="H19" s="295">
        <v>29</v>
      </c>
      <c r="I19" s="296">
        <v>-1015</v>
      </c>
      <c r="J19" s="292">
        <v>-170</v>
      </c>
      <c r="K19" s="293">
        <f>J19</f>
        <v>-170</v>
      </c>
      <c r="L19" s="293">
        <f t="shared" ref="L19:O19" si="5">K19</f>
        <v>-170</v>
      </c>
      <c r="M19" s="293">
        <f t="shared" si="5"/>
        <v>-170</v>
      </c>
      <c r="N19" s="293">
        <f t="shared" si="5"/>
        <v>-170</v>
      </c>
      <c r="O19" s="300">
        <f t="shared" si="5"/>
        <v>-170</v>
      </c>
      <c r="Q19" s="277" t="s">
        <v>108</v>
      </c>
    </row>
    <row r="20" spans="2:18">
      <c r="B20" s="281"/>
      <c r="C20" s="294" t="s">
        <v>70</v>
      </c>
      <c r="H20" s="295">
        <v>-370</v>
      </c>
      <c r="I20" s="296">
        <v>16</v>
      </c>
      <c r="J20" s="292">
        <v>252</v>
      </c>
      <c r="K20" s="293">
        <f>J20</f>
        <v>252</v>
      </c>
      <c r="L20" s="293">
        <f t="shared" ref="L20:O20" si="6">K20</f>
        <v>252</v>
      </c>
      <c r="M20" s="293">
        <f t="shared" si="6"/>
        <v>252</v>
      </c>
      <c r="N20" s="293">
        <f t="shared" si="6"/>
        <v>252</v>
      </c>
      <c r="O20" s="300">
        <f t="shared" si="6"/>
        <v>252</v>
      </c>
      <c r="Q20" s="277" t="s">
        <v>108</v>
      </c>
    </row>
    <row r="21" spans="2:18" ht="16" thickBot="1">
      <c r="B21" s="303" t="s">
        <v>71</v>
      </c>
      <c r="H21" s="304">
        <f>SUM(H6:H20)</f>
        <v>7725.8871070325276</v>
      </c>
      <c r="I21" s="305">
        <f>SUM(I6:I20)</f>
        <v>4699</v>
      </c>
      <c r="J21" s="306">
        <f>SUM(J6:J20)</f>
        <v>8589</v>
      </c>
      <c r="K21" s="307">
        <f>SUM(K6:K20)</f>
        <v>11691.743707182679</v>
      </c>
      <c r="L21" s="307">
        <f t="shared" ref="L21:O21" si="7">SUM(L6:L20)</f>
        <v>12011.723903603761</v>
      </c>
      <c r="M21" s="307">
        <f t="shared" si="7"/>
        <v>15261.623509144994</v>
      </c>
      <c r="N21" s="307">
        <f t="shared" si="7"/>
        <v>19088.276019610385</v>
      </c>
      <c r="O21" s="308">
        <f t="shared" si="7"/>
        <v>23594.296310405818</v>
      </c>
    </row>
    <row r="22" spans="2:18" ht="16" thickTop="1">
      <c r="B22" s="281"/>
      <c r="H22" s="281"/>
      <c r="J22" s="285"/>
      <c r="K22" s="293"/>
      <c r="O22" s="302"/>
    </row>
    <row r="23" spans="2:18">
      <c r="B23" s="281"/>
      <c r="H23" s="281"/>
      <c r="J23" s="292"/>
      <c r="K23" s="293"/>
      <c r="O23" s="302"/>
    </row>
    <row r="24" spans="2:18">
      <c r="B24" s="284" t="s">
        <v>72</v>
      </c>
      <c r="H24" s="281"/>
      <c r="J24" s="292"/>
      <c r="K24" s="293"/>
      <c r="O24" s="302"/>
    </row>
    <row r="25" spans="2:18">
      <c r="B25" s="286" t="s">
        <v>74</v>
      </c>
      <c r="H25" s="295">
        <v>18959</v>
      </c>
      <c r="I25" s="296">
        <v>20907</v>
      </c>
      <c r="J25" s="292">
        <v>23051</v>
      </c>
      <c r="K25" s="293">
        <f>J25*(1+$Q$25)</f>
        <v>25417.155421208812</v>
      </c>
      <c r="L25" s="293">
        <f t="shared" ref="L25:O25" si="8">K25*(1+$Q$25)</f>
        <v>28026.193644782634</v>
      </c>
      <c r="M25" s="293">
        <f t="shared" si="8"/>
        <v>30903.046277139161</v>
      </c>
      <c r="N25" s="293">
        <f t="shared" si="8"/>
        <v>34075.204121940667</v>
      </c>
      <c r="O25" s="300">
        <f t="shared" si="8"/>
        <v>37572.979878390572</v>
      </c>
      <c r="Q25" s="309">
        <f>AVERAGE(I25/H25,J25/I25)-1</f>
        <v>0.10264871030362288</v>
      </c>
      <c r="R25" s="277" t="s">
        <v>170</v>
      </c>
    </row>
    <row r="26" spans="2:18">
      <c r="B26" s="286" t="s">
        <v>75</v>
      </c>
      <c r="H26" s="295">
        <v>2094</v>
      </c>
      <c r="I26" s="296">
        <v>2093</v>
      </c>
      <c r="J26" s="292">
        <v>1981</v>
      </c>
      <c r="K26" s="293">
        <f>AVERAGE(I26/H26,J26/I26)*J26</f>
        <v>1927.5236373713078</v>
      </c>
      <c r="L26" s="293">
        <f>K26</f>
        <v>1927.5236373713078</v>
      </c>
      <c r="M26" s="293">
        <f t="shared" ref="M26:O26" si="9">L26</f>
        <v>1927.5236373713078</v>
      </c>
      <c r="N26" s="293">
        <f t="shared" si="9"/>
        <v>1927.5236373713078</v>
      </c>
      <c r="O26" s="300">
        <f t="shared" si="9"/>
        <v>1927.5236373713078</v>
      </c>
      <c r="Q26" s="277" t="s">
        <v>171</v>
      </c>
    </row>
    <row r="27" spans="2:18">
      <c r="B27" s="286" t="s">
        <v>76</v>
      </c>
      <c r="H27" s="295">
        <v>-23653</v>
      </c>
      <c r="I27" s="296">
        <v>-26300</v>
      </c>
      <c r="J27" s="292">
        <v>-28772</v>
      </c>
      <c r="K27" s="293">
        <f>J27*(1+$Q$27)</f>
        <v>-31734.107463399447</v>
      </c>
      <c r="L27" s="293">
        <f t="shared" ref="L27:O27" si="10">K27*(1+$Q$27)</f>
        <v>-35001.166985214251</v>
      </c>
      <c r="M27" s="293">
        <f t="shared" si="10"/>
        <v>-38604.57369849777</v>
      </c>
      <c r="N27" s="293">
        <f t="shared" si="10"/>
        <v>-42578.954898055475</v>
      </c>
      <c r="O27" s="300">
        <f t="shared" si="10"/>
        <v>-46962.502794874556</v>
      </c>
      <c r="Q27" s="309">
        <f>AVERAGE(I27/H27,J27/I27)-1</f>
        <v>0.10295104488389573</v>
      </c>
      <c r="R27" s="277" t="s">
        <v>170</v>
      </c>
    </row>
    <row r="28" spans="2:18">
      <c r="B28" s="286" t="s">
        <v>77</v>
      </c>
      <c r="H28" s="295">
        <v>-244</v>
      </c>
      <c r="I28" s="296">
        <v>-498</v>
      </c>
      <c r="J28" s="292">
        <v>-82</v>
      </c>
      <c r="K28" s="293">
        <f>J28</f>
        <v>-82</v>
      </c>
      <c r="L28" s="293">
        <f t="shared" ref="L28:O28" si="11">K28</f>
        <v>-82</v>
      </c>
      <c r="M28" s="293">
        <f t="shared" si="11"/>
        <v>-82</v>
      </c>
      <c r="N28" s="293">
        <f t="shared" si="11"/>
        <v>-82</v>
      </c>
      <c r="O28" s="300">
        <f t="shared" si="11"/>
        <v>-82</v>
      </c>
      <c r="Q28" s="277" t="s">
        <v>171</v>
      </c>
    </row>
    <row r="29" spans="2:18">
      <c r="B29" s="286" t="s">
        <v>78</v>
      </c>
      <c r="H29" s="295">
        <v>-848</v>
      </c>
      <c r="I29" s="296">
        <v>-1134</v>
      </c>
      <c r="J29" s="292">
        <v>-1498</v>
      </c>
      <c r="K29" s="293">
        <f>-'Balance Sheet'!J53</f>
        <v>-1900</v>
      </c>
      <c r="L29" s="293">
        <f>K29*(1+$Q$29)</f>
        <v>-2525.3392150011646</v>
      </c>
      <c r="M29" s="293">
        <f t="shared" ref="M29:O29" si="12">L29*(1+$Q$29)</f>
        <v>-3356.4937635908941</v>
      </c>
      <c r="N29" s="293">
        <f t="shared" si="12"/>
        <v>-4461.2028032120706</v>
      </c>
      <c r="O29" s="300">
        <f t="shared" si="12"/>
        <v>-5929.5002026445081</v>
      </c>
      <c r="Q29" s="309">
        <f>AVERAGE(I29/H29,J29/I29)-1</f>
        <v>0.32912590263219199</v>
      </c>
      <c r="R29" s="277" t="s">
        <v>234</v>
      </c>
    </row>
    <row r="30" spans="2:18">
      <c r="B30" s="286" t="s">
        <v>79</v>
      </c>
      <c r="H30" s="295">
        <v>-1732</v>
      </c>
      <c r="I30" s="296">
        <v>-2654</v>
      </c>
      <c r="J30" s="292">
        <v>-2970</v>
      </c>
      <c r="K30" s="293">
        <f>AVERAGE(I30/H30,J30/I30)*J30</f>
        <v>-3937.3262155167768</v>
      </c>
      <c r="L30" s="293">
        <f>K30*(1+$Q$30)</f>
        <v>-5219.7096725237925</v>
      </c>
      <c r="M30" s="293">
        <f t="shared" ref="M30:O30" si="13">L30*(1+$Q$30)</f>
        <v>-6919.7642191967734</v>
      </c>
      <c r="N30" s="293">
        <f t="shared" si="13"/>
        <v>-9173.5249378580593</v>
      </c>
      <c r="O30" s="300">
        <f t="shared" si="13"/>
        <v>-12161.333409604527</v>
      </c>
      <c r="Q30" s="309">
        <f>AVERAGE(I30/H30,J30/I30)-1</f>
        <v>0.32569906246356117</v>
      </c>
      <c r="R30" s="277" t="s">
        <v>170</v>
      </c>
    </row>
    <row r="31" spans="2:18">
      <c r="B31" s="286" t="s">
        <v>80</v>
      </c>
      <c r="H31" s="295">
        <v>-281</v>
      </c>
      <c r="I31" s="296">
        <v>-642</v>
      </c>
      <c r="J31" s="292">
        <v>-12</v>
      </c>
      <c r="K31" s="293">
        <f>J31</f>
        <v>-12</v>
      </c>
      <c r="L31" s="293">
        <f t="shared" ref="L31:O31" si="14">K31</f>
        <v>-12</v>
      </c>
      <c r="M31" s="293">
        <f t="shared" si="14"/>
        <v>-12</v>
      </c>
      <c r="N31" s="293">
        <f t="shared" si="14"/>
        <v>-12</v>
      </c>
      <c r="O31" s="300">
        <f t="shared" si="14"/>
        <v>-12</v>
      </c>
      <c r="Q31" s="277" t="s">
        <v>171</v>
      </c>
    </row>
    <row r="32" spans="2:18">
      <c r="B32" s="286" t="s">
        <v>93</v>
      </c>
      <c r="H32" s="295">
        <v>-45</v>
      </c>
      <c r="I32" s="296">
        <v>-257</v>
      </c>
      <c r="J32" s="292">
        <v>-447</v>
      </c>
      <c r="K32" s="293">
        <f>J32</f>
        <v>-447</v>
      </c>
      <c r="L32" s="293">
        <f t="shared" ref="L32:O32" si="15">K32</f>
        <v>-447</v>
      </c>
      <c r="M32" s="293">
        <f t="shared" si="15"/>
        <v>-447</v>
      </c>
      <c r="N32" s="293">
        <f t="shared" si="15"/>
        <v>-447</v>
      </c>
      <c r="O32" s="300">
        <f t="shared" si="15"/>
        <v>-447</v>
      </c>
      <c r="Q32" s="277" t="s">
        <v>171</v>
      </c>
    </row>
    <row r="33" spans="2:17" ht="16" thickBot="1">
      <c r="B33" s="303" t="s">
        <v>81</v>
      </c>
      <c r="H33" s="304">
        <f>SUM(H25:H32)</f>
        <v>-5750</v>
      </c>
      <c r="I33" s="305">
        <f>SUM(I25:I32)</f>
        <v>-8485</v>
      </c>
      <c r="J33" s="306">
        <f>SUM(J25:J32)</f>
        <v>-8749</v>
      </c>
      <c r="K33" s="307">
        <f>SUM(K25:K32)</f>
        <v>-10767.754620336102</v>
      </c>
      <c r="L33" s="307">
        <f t="shared" ref="L33:O33" si="16">SUM(L25:L32)</f>
        <v>-13333.498590585266</v>
      </c>
      <c r="M33" s="307">
        <f t="shared" si="16"/>
        <v>-16591.261766774973</v>
      </c>
      <c r="N33" s="307">
        <f t="shared" si="16"/>
        <v>-20751.954879813631</v>
      </c>
      <c r="O33" s="308">
        <f t="shared" si="16"/>
        <v>-26093.832891361715</v>
      </c>
    </row>
    <row r="34" spans="2:17" ht="16" thickTop="1">
      <c r="B34" s="281"/>
      <c r="H34" s="281"/>
      <c r="J34" s="292"/>
      <c r="K34" s="293"/>
      <c r="O34" s="302"/>
    </row>
    <row r="35" spans="2:17">
      <c r="B35" s="281"/>
      <c r="H35" s="281"/>
      <c r="J35" s="292"/>
      <c r="K35" s="293"/>
      <c r="O35" s="302"/>
    </row>
    <row r="36" spans="2:17">
      <c r="B36" s="284" t="s">
        <v>82</v>
      </c>
      <c r="H36" s="281"/>
      <c r="J36" s="292"/>
      <c r="K36" s="293"/>
      <c r="O36" s="302"/>
    </row>
    <row r="37" spans="2:17">
      <c r="B37" s="286" t="s">
        <v>83</v>
      </c>
      <c r="H37" s="295">
        <v>818</v>
      </c>
      <c r="I37" s="296">
        <v>3852</v>
      </c>
      <c r="J37" s="292">
        <v>4008</v>
      </c>
      <c r="K37" s="293">
        <f t="shared" ref="K37:L39" si="17">J37</f>
        <v>4008</v>
      </c>
      <c r="L37" s="293">
        <f t="shared" si="17"/>
        <v>4008</v>
      </c>
      <c r="M37" s="293">
        <f t="shared" ref="M37:O37" si="18">L37</f>
        <v>4008</v>
      </c>
      <c r="N37" s="293">
        <f t="shared" si="18"/>
        <v>4008</v>
      </c>
      <c r="O37" s="300">
        <f t="shared" si="18"/>
        <v>4008</v>
      </c>
      <c r="Q37" s="277" t="s">
        <v>108</v>
      </c>
    </row>
    <row r="38" spans="2:17">
      <c r="B38" s="286" t="s">
        <v>84</v>
      </c>
      <c r="H38" s="295">
        <v>8722</v>
      </c>
      <c r="I38" s="296">
        <v>10358</v>
      </c>
      <c r="J38" s="292">
        <v>15429</v>
      </c>
      <c r="K38" s="293">
        <f t="shared" si="17"/>
        <v>15429</v>
      </c>
      <c r="L38" s="293">
        <f t="shared" si="17"/>
        <v>15429</v>
      </c>
      <c r="M38" s="293">
        <f t="shared" ref="M38:O38" si="19">L38</f>
        <v>15429</v>
      </c>
      <c r="N38" s="293">
        <f t="shared" si="19"/>
        <v>15429</v>
      </c>
      <c r="O38" s="300">
        <f t="shared" si="19"/>
        <v>15429</v>
      </c>
      <c r="Q38" s="277" t="s">
        <v>108</v>
      </c>
    </row>
    <row r="39" spans="2:17">
      <c r="B39" s="286" t="s">
        <v>85</v>
      </c>
      <c r="H39" s="295">
        <v>-7090</v>
      </c>
      <c r="I39" s="296">
        <v>-8445</v>
      </c>
      <c r="J39" s="292">
        <v>-7913</v>
      </c>
      <c r="K39" s="293">
        <f t="shared" si="17"/>
        <v>-7913</v>
      </c>
      <c r="L39" s="293">
        <f t="shared" si="17"/>
        <v>-7913</v>
      </c>
      <c r="M39" s="293">
        <f t="shared" ref="M39:O39" si="20">L39</f>
        <v>-7913</v>
      </c>
      <c r="N39" s="293">
        <f t="shared" si="20"/>
        <v>-7913</v>
      </c>
      <c r="O39" s="300">
        <f t="shared" si="20"/>
        <v>-7913</v>
      </c>
      <c r="Q39" s="277" t="s">
        <v>108</v>
      </c>
    </row>
    <row r="40" spans="2:17">
      <c r="B40" s="286" t="s">
        <v>86</v>
      </c>
      <c r="H40" s="295">
        <v>-2538</v>
      </c>
      <c r="I40" s="296">
        <v>-3597</v>
      </c>
      <c r="J40" s="292">
        <v>-7216</v>
      </c>
      <c r="K40" s="293">
        <f>AVERAGE(H40:J40)</f>
        <v>-4450.333333333333</v>
      </c>
      <c r="L40" s="293">
        <f>K40</f>
        <v>-4450.333333333333</v>
      </c>
      <c r="M40" s="293">
        <f t="shared" ref="M40:O40" si="21">L40</f>
        <v>-4450.333333333333</v>
      </c>
      <c r="N40" s="293">
        <f t="shared" si="21"/>
        <v>-4450.333333333333</v>
      </c>
      <c r="O40" s="300">
        <f t="shared" si="21"/>
        <v>-4450.333333333333</v>
      </c>
      <c r="Q40" s="277" t="s">
        <v>175</v>
      </c>
    </row>
    <row r="41" spans="2:17">
      <c r="B41" s="286" t="s">
        <v>87</v>
      </c>
      <c r="H41" s="295">
        <v>-1040</v>
      </c>
      <c r="I41" s="296">
        <v>-1313</v>
      </c>
      <c r="J41" s="292">
        <v>-1427</v>
      </c>
      <c r="K41" s="298">
        <f>'Balance Sheet'!J67</f>
        <v>-1427</v>
      </c>
      <c r="L41" s="298">
        <f>'Balance Sheet'!K67</f>
        <v>-1427</v>
      </c>
      <c r="M41" s="298">
        <f>'Balance Sheet'!L67</f>
        <v>-1427</v>
      </c>
      <c r="N41" s="298">
        <f>'Balance Sheet'!M67</f>
        <v>-1427</v>
      </c>
      <c r="O41" s="310">
        <f>'Balance Sheet'!N67</f>
        <v>-1427</v>
      </c>
      <c r="Q41" s="277" t="s">
        <v>112</v>
      </c>
    </row>
    <row r="42" spans="2:17">
      <c r="B42" s="286" t="s">
        <v>70</v>
      </c>
      <c r="H42" s="295">
        <v>50</v>
      </c>
      <c r="I42" s="296">
        <v>-29</v>
      </c>
      <c r="J42" s="292">
        <v>-73</v>
      </c>
      <c r="K42" s="293">
        <f>J42</f>
        <v>-73</v>
      </c>
      <c r="L42" s="293">
        <f>K42</f>
        <v>-73</v>
      </c>
      <c r="M42" s="293">
        <f t="shared" ref="M42:O42" si="22">L42</f>
        <v>-73</v>
      </c>
      <c r="N42" s="293">
        <f t="shared" si="22"/>
        <v>-73</v>
      </c>
      <c r="O42" s="300">
        <f t="shared" si="22"/>
        <v>-73</v>
      </c>
      <c r="Q42" s="277" t="s">
        <v>108</v>
      </c>
    </row>
    <row r="43" spans="2:17" ht="16" thickBot="1">
      <c r="B43" s="303" t="s">
        <v>88</v>
      </c>
      <c r="H43" s="304">
        <f t="shared" ref="H43:I43" si="23">SUM(H37:H42)</f>
        <v>-1078</v>
      </c>
      <c r="I43" s="305">
        <f t="shared" si="23"/>
        <v>826</v>
      </c>
      <c r="J43" s="306">
        <f>SUM(J37:J42)</f>
        <v>2808</v>
      </c>
      <c r="K43" s="307">
        <f>SUM(K37:K42)</f>
        <v>5573.666666666667</v>
      </c>
      <c r="L43" s="307">
        <f t="shared" ref="L43:O43" si="24">SUM(L37:L42)</f>
        <v>5573.666666666667</v>
      </c>
      <c r="M43" s="307">
        <f t="shared" si="24"/>
        <v>5573.666666666667</v>
      </c>
      <c r="N43" s="307">
        <f t="shared" si="24"/>
        <v>5573.666666666667</v>
      </c>
      <c r="O43" s="308">
        <f t="shared" si="24"/>
        <v>5573.666666666667</v>
      </c>
    </row>
    <row r="44" spans="2:17" ht="16" thickTop="1">
      <c r="B44" s="281"/>
      <c r="H44" s="295"/>
      <c r="I44" s="296"/>
      <c r="J44" s="292"/>
      <c r="K44" s="293"/>
      <c r="O44" s="302"/>
    </row>
    <row r="45" spans="2:17">
      <c r="B45" s="303" t="s">
        <v>89</v>
      </c>
      <c r="H45" s="295">
        <v>55</v>
      </c>
      <c r="I45" s="296">
        <v>-224</v>
      </c>
      <c r="J45" s="292">
        <v>31</v>
      </c>
      <c r="K45" s="293">
        <f>J45</f>
        <v>31</v>
      </c>
      <c r="L45" s="293">
        <f t="shared" ref="L45:O45" si="25">K45</f>
        <v>31</v>
      </c>
      <c r="M45" s="293">
        <f t="shared" si="25"/>
        <v>31</v>
      </c>
      <c r="N45" s="293">
        <f t="shared" si="25"/>
        <v>31</v>
      </c>
      <c r="O45" s="300">
        <f t="shared" si="25"/>
        <v>31</v>
      </c>
      <c r="Q45" s="277" t="s">
        <v>108</v>
      </c>
    </row>
    <row r="46" spans="2:17">
      <c r="B46" s="281"/>
      <c r="H46" s="295"/>
      <c r="I46" s="296"/>
      <c r="J46" s="292"/>
      <c r="K46" s="293"/>
      <c r="O46" s="302"/>
    </row>
    <row r="47" spans="2:17">
      <c r="B47" s="311" t="s">
        <v>90</v>
      </c>
      <c r="C47" s="312"/>
      <c r="D47" s="312"/>
      <c r="E47" s="312"/>
      <c r="F47" s="312"/>
      <c r="G47" s="312"/>
      <c r="H47" s="313">
        <v>953</v>
      </c>
      <c r="I47" s="314">
        <v>-3184</v>
      </c>
      <c r="J47" s="315">
        <v>2679</v>
      </c>
      <c r="K47" s="316">
        <f>K49-J49</f>
        <v>-1122.3442464867558</v>
      </c>
      <c r="L47" s="316">
        <f t="shared" ref="L47:O47" si="26">L49-K49</f>
        <v>-2245.7637738280828</v>
      </c>
      <c r="M47" s="316">
        <f t="shared" si="26"/>
        <v>-7.8635706484728871</v>
      </c>
      <c r="N47" s="316">
        <f t="shared" si="26"/>
        <v>-334.04060257326819</v>
      </c>
      <c r="O47" s="317">
        <f t="shared" si="26"/>
        <v>-835.85772075265049</v>
      </c>
    </row>
    <row r="48" spans="2:17">
      <c r="B48" s="318" t="s">
        <v>91</v>
      </c>
      <c r="H48" s="295">
        <v>7172</v>
      </c>
      <c r="I48" s="296">
        <v>8125</v>
      </c>
      <c r="J48" s="292">
        <v>4941</v>
      </c>
      <c r="K48" s="293">
        <f>J49</f>
        <v>7620</v>
      </c>
      <c r="L48" s="293">
        <f t="shared" ref="L48:O48" si="27">K49</f>
        <v>6497.6557535132442</v>
      </c>
      <c r="M48" s="293">
        <f t="shared" si="27"/>
        <v>4251.8919796851615</v>
      </c>
      <c r="N48" s="293">
        <f t="shared" si="27"/>
        <v>4244.0284090366886</v>
      </c>
      <c r="O48" s="300">
        <f t="shared" si="27"/>
        <v>3909.9878064634204</v>
      </c>
    </row>
    <row r="49" spans="2:15">
      <c r="B49" s="319" t="s">
        <v>92</v>
      </c>
      <c r="C49" s="279"/>
      <c r="D49" s="279"/>
      <c r="E49" s="279"/>
      <c r="F49" s="279"/>
      <c r="G49" s="279"/>
      <c r="H49" s="320">
        <v>8125</v>
      </c>
      <c r="I49" s="321">
        <v>4941</v>
      </c>
      <c r="J49" s="322">
        <v>7620</v>
      </c>
      <c r="K49" s="323">
        <f>K21+K33+K43</f>
        <v>6497.6557535132442</v>
      </c>
      <c r="L49" s="324">
        <f t="shared" ref="L49:O49" si="28">L21+L33+L43</f>
        <v>4251.8919796851615</v>
      </c>
      <c r="M49" s="324">
        <f t="shared" si="28"/>
        <v>4244.0284090366886</v>
      </c>
      <c r="N49" s="324">
        <f t="shared" si="28"/>
        <v>3909.9878064634204</v>
      </c>
      <c r="O49" s="325">
        <f t="shared" si="28"/>
        <v>3074.1300857107699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668C-9156-5A4D-9B80-303F92F41235}">
  <sheetPr>
    <tabColor rgb="FFFFFF00"/>
  </sheetPr>
  <dimension ref="B1:Q68"/>
  <sheetViews>
    <sheetView tabSelected="1" workbookViewId="0">
      <selection activeCell="H3" sqref="H3"/>
    </sheetView>
  </sheetViews>
  <sheetFormatPr baseColWidth="10" defaultRowHeight="16"/>
  <cols>
    <col min="1" max="1" width="2.83203125" customWidth="1"/>
    <col min="8" max="8" width="11.5" bestFit="1" customWidth="1"/>
    <col min="9" max="9" width="12.5" bestFit="1" customWidth="1"/>
    <col min="10" max="10" width="10" bestFit="1" customWidth="1"/>
    <col min="11" max="11" width="10.1640625" customWidth="1"/>
    <col min="15" max="15" width="2.5" customWidth="1"/>
    <col min="16" max="16" width="6.33203125" customWidth="1"/>
  </cols>
  <sheetData>
    <row r="1" spans="2:17" ht="9" customHeight="1"/>
    <row r="5" spans="2:17">
      <c r="B5" s="120" t="s">
        <v>26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2"/>
    </row>
    <row r="6" spans="2:17">
      <c r="B6" s="123" t="s">
        <v>11</v>
      </c>
      <c r="H6" s="236" t="s">
        <v>54</v>
      </c>
      <c r="I6" s="14" t="s">
        <v>55</v>
      </c>
      <c r="J6" s="13" t="s">
        <v>56</v>
      </c>
      <c r="K6" s="13" t="s">
        <v>156</v>
      </c>
      <c r="L6" s="13" t="s">
        <v>157</v>
      </c>
      <c r="M6" s="13" t="s">
        <v>225</v>
      </c>
      <c r="N6" s="14" t="s">
        <v>226</v>
      </c>
      <c r="P6" s="140" t="s">
        <v>100</v>
      </c>
      <c r="Q6" s="141"/>
    </row>
    <row r="7" spans="2:17">
      <c r="B7" s="32" t="s">
        <v>12</v>
      </c>
      <c r="H7" s="132">
        <v>4774</v>
      </c>
      <c r="I7" s="85">
        <v>7458</v>
      </c>
      <c r="J7" s="247">
        <f>'Cash Flow Stmnt'!K49</f>
        <v>6497.6557535132442</v>
      </c>
      <c r="K7" s="247">
        <f>'Cash Flow Stmnt'!L49</f>
        <v>4251.8919796851615</v>
      </c>
      <c r="L7" s="247">
        <f>'Cash Flow Stmnt'!M49</f>
        <v>4244.0284090366886</v>
      </c>
      <c r="M7" s="247">
        <f>'Cash Flow Stmnt'!N49</f>
        <v>3909.9878064634204</v>
      </c>
      <c r="N7" s="248">
        <f>'Cash Flow Stmnt'!O49</f>
        <v>3074.1300857107699</v>
      </c>
      <c r="P7" t="s">
        <v>174</v>
      </c>
    </row>
    <row r="8" spans="2:17">
      <c r="B8" s="32" t="s">
        <v>13</v>
      </c>
      <c r="H8" s="132">
        <v>734</v>
      </c>
      <c r="I8" s="85">
        <v>946</v>
      </c>
      <c r="J8" s="11">
        <f>I8</f>
        <v>946</v>
      </c>
      <c r="K8" s="11">
        <f>J8</f>
        <v>946</v>
      </c>
      <c r="L8" s="11">
        <f t="shared" ref="L8:N8" si="0">K8</f>
        <v>946</v>
      </c>
      <c r="M8" s="11">
        <f t="shared" si="0"/>
        <v>946</v>
      </c>
      <c r="N8" s="124">
        <f t="shared" si="0"/>
        <v>946</v>
      </c>
      <c r="P8" t="s">
        <v>108</v>
      </c>
    </row>
    <row r="9" spans="2:17">
      <c r="B9" s="32" t="s">
        <v>14</v>
      </c>
      <c r="H9" s="132">
        <v>6410</v>
      </c>
      <c r="I9" s="85">
        <v>7739</v>
      </c>
      <c r="J9" s="210">
        <f>I9*(1+'Income Stmnt'!$Q$8)</f>
        <v>9129.1467946617468</v>
      </c>
      <c r="K9" s="210">
        <f>J9*(1+'Income Stmnt'!$Q$8)</f>
        <v>10769.003902116921</v>
      </c>
      <c r="L9" s="210">
        <f>K9*(1+'Income Stmnt'!$Q$8)</f>
        <v>12703.42647043682</v>
      </c>
      <c r="M9" s="210">
        <f>L9*(1+'Income Stmnt'!$Q$8)</f>
        <v>14985.326921283046</v>
      </c>
      <c r="N9" s="206">
        <f>M9*(1+'Income Stmnt'!$Q$8)</f>
        <v>17677.12226778518</v>
      </c>
      <c r="P9" t="s">
        <v>98</v>
      </c>
    </row>
    <row r="10" spans="2:17">
      <c r="B10" s="32" t="s">
        <v>218</v>
      </c>
      <c r="H10" s="132">
        <v>36634</v>
      </c>
      <c r="I10" s="85">
        <v>43673</v>
      </c>
      <c r="J10" s="210">
        <f>I10*(1+'Income Stmnt'!$Q$8)</f>
        <v>51517.925825463557</v>
      </c>
      <c r="K10" s="210">
        <f>J10*(1+'Income Stmnt'!$Q$8)</f>
        <v>60772.025767819134</v>
      </c>
      <c r="L10" s="210">
        <f>K10*(1+'Income Stmnt'!$Q$8)</f>
        <v>71688.427993718462</v>
      </c>
      <c r="M10" s="210">
        <f>L10*(1+'Income Stmnt'!$Q$8)</f>
        <v>84565.729762655945</v>
      </c>
      <c r="N10" s="206">
        <f>M10*(1+'Income Stmnt'!$Q$8)</f>
        <v>99756.164982682778</v>
      </c>
      <c r="P10" t="s">
        <v>98</v>
      </c>
    </row>
    <row r="11" spans="2:17">
      <c r="B11" s="32" t="s">
        <v>15</v>
      </c>
      <c r="H11" s="132">
        <v>5936</v>
      </c>
      <c r="I11" s="85">
        <v>7335</v>
      </c>
      <c r="J11" s="210">
        <f>I11*(1+'Income Stmnt'!$Q$8)</f>
        <v>8652.576784964971</v>
      </c>
      <c r="K11" s="210">
        <f>J11*(1+'Income Stmnt'!$Q$8)</f>
        <v>10206.828223546661</v>
      </c>
      <c r="L11" s="210">
        <f>K11*(1+'Income Stmnt'!$Q$8)</f>
        <v>12040.267884824145</v>
      </c>
      <c r="M11" s="210">
        <f>L11*(1+'Income Stmnt'!$Q$8)</f>
        <v>14203.045996590143</v>
      </c>
      <c r="N11" s="206">
        <f>M11*(1+'Income Stmnt'!$Q$8)</f>
        <v>16754.321208709687</v>
      </c>
      <c r="P11" t="s">
        <v>98</v>
      </c>
    </row>
    <row r="12" spans="2:17">
      <c r="B12" s="32" t="s">
        <v>16</v>
      </c>
      <c r="H12" s="132">
        <v>2492</v>
      </c>
      <c r="I12" s="85">
        <v>2623</v>
      </c>
      <c r="J12" s="210">
        <f>I12*(1+'Income Stmnt'!$Q$8)</f>
        <v>3094.1661768184213</v>
      </c>
      <c r="K12" s="210">
        <f>J12*(1+'Income Stmnt'!$Q$8)</f>
        <v>3649.9673388361139</v>
      </c>
      <c r="L12" s="210">
        <f>K12*(1+'Income Stmnt'!$Q$8)</f>
        <v>4305.6063615397052</v>
      </c>
      <c r="M12" s="210">
        <f>L12*(1+'Income Stmnt'!$Q$8)</f>
        <v>5079.0169937363262</v>
      </c>
      <c r="N12" s="206">
        <f>M12*(1+'Income Stmnt'!$Q$8)</f>
        <v>5991.3544008787349</v>
      </c>
      <c r="P12" t="s">
        <v>98</v>
      </c>
    </row>
    <row r="13" spans="2:17">
      <c r="B13" s="32" t="s">
        <v>17</v>
      </c>
      <c r="H13" s="132">
        <v>6623</v>
      </c>
      <c r="I13" s="85">
        <v>6917</v>
      </c>
      <c r="J13" s="11">
        <f>I13</f>
        <v>6917</v>
      </c>
      <c r="K13" s="11">
        <f t="shared" ref="K13:N13" si="1">J13</f>
        <v>6917</v>
      </c>
      <c r="L13" s="11">
        <f t="shared" si="1"/>
        <v>6917</v>
      </c>
      <c r="M13" s="11">
        <f t="shared" si="1"/>
        <v>6917</v>
      </c>
      <c r="N13" s="124">
        <f t="shared" si="1"/>
        <v>6917</v>
      </c>
      <c r="P13" t="s">
        <v>108</v>
      </c>
    </row>
    <row r="14" spans="2:17">
      <c r="B14" s="32" t="s">
        <v>18</v>
      </c>
      <c r="H14" s="132">
        <v>8495</v>
      </c>
      <c r="I14" s="85">
        <v>8160</v>
      </c>
      <c r="J14" s="210">
        <f>I14*(1+'Income Stmnt'!$Q$9)</f>
        <v>9306.3234801061681</v>
      </c>
      <c r="K14" s="210">
        <f>J14*(1+'Income Stmnt'!$Q$9)</f>
        <v>10613.683421124433</v>
      </c>
      <c r="L14" s="210">
        <f>K14*(1+'Income Stmnt'!$Q$9)</f>
        <v>12104.702356914691</v>
      </c>
      <c r="M14" s="210">
        <f>L14*(1+'Income Stmnt'!$Q$9)</f>
        <v>13805.180853413194</v>
      </c>
      <c r="N14" s="206">
        <f>M14*(1+'Income Stmnt'!$Q$9)</f>
        <v>15744.543961180309</v>
      </c>
      <c r="P14" t="s">
        <v>231</v>
      </c>
    </row>
    <row r="15" spans="2:17">
      <c r="B15" s="32" t="s">
        <v>19</v>
      </c>
      <c r="H15" s="132">
        <v>6056</v>
      </c>
      <c r="I15" s="85">
        <v>6879</v>
      </c>
      <c r="J15" s="210">
        <f>J57</f>
        <v>7922.8584779706271</v>
      </c>
      <c r="K15" s="210">
        <f t="shared" ref="K15:N15" si="2">K57</f>
        <v>8941.9179969530542</v>
      </c>
      <c r="L15" s="210">
        <f t="shared" si="2"/>
        <v>10144.029890128913</v>
      </c>
      <c r="M15" s="210">
        <f t="shared" si="2"/>
        <v>11562.075624256211</v>
      </c>
      <c r="N15" s="206">
        <f t="shared" si="2"/>
        <v>13234.843122433234</v>
      </c>
      <c r="P15" t="s">
        <v>99</v>
      </c>
    </row>
    <row r="16" spans="2:17">
      <c r="B16" s="32" t="s">
        <v>20</v>
      </c>
      <c r="H16" s="132">
        <v>3687</v>
      </c>
      <c r="I16" s="85">
        <v>3900</v>
      </c>
      <c r="J16" s="210">
        <f>I16</f>
        <v>3900</v>
      </c>
      <c r="K16" s="210">
        <f>J16</f>
        <v>3900</v>
      </c>
      <c r="L16" s="210">
        <f t="shared" ref="L16:N16" si="3">K16</f>
        <v>3900</v>
      </c>
      <c r="M16" s="210">
        <f t="shared" si="3"/>
        <v>3900</v>
      </c>
      <c r="N16" s="206">
        <f t="shared" si="3"/>
        <v>3900</v>
      </c>
      <c r="P16" s="89" t="s">
        <v>236</v>
      </c>
    </row>
    <row r="17" spans="2:16">
      <c r="B17" s="32" t="s">
        <v>21</v>
      </c>
      <c r="H17" s="132">
        <v>1218</v>
      </c>
      <c r="I17" s="85">
        <v>1133</v>
      </c>
      <c r="J17" s="11">
        <f>I17</f>
        <v>1133</v>
      </c>
      <c r="K17" s="11">
        <f>I17</f>
        <v>1133</v>
      </c>
      <c r="L17" s="11">
        <f>K17</f>
        <v>1133</v>
      </c>
      <c r="M17" s="11">
        <f>L17</f>
        <v>1133</v>
      </c>
      <c r="N17" s="124">
        <f>M17</f>
        <v>1133</v>
      </c>
      <c r="P17" t="s">
        <v>108</v>
      </c>
    </row>
    <row r="18" spans="2:16">
      <c r="B18" s="32" t="s">
        <v>22</v>
      </c>
      <c r="H18" s="132">
        <v>3730</v>
      </c>
      <c r="I18" s="85">
        <v>3007</v>
      </c>
      <c r="J18" s="11">
        <f>I18</f>
        <v>3007</v>
      </c>
      <c r="K18" s="11">
        <f t="shared" ref="K18:N18" si="4">J18</f>
        <v>3007</v>
      </c>
      <c r="L18" s="11">
        <f t="shared" si="4"/>
        <v>3007</v>
      </c>
      <c r="M18" s="11">
        <f t="shared" si="4"/>
        <v>3007</v>
      </c>
      <c r="N18" s="124">
        <f t="shared" si="4"/>
        <v>3007</v>
      </c>
      <c r="P18" t="s">
        <v>108</v>
      </c>
    </row>
    <row r="19" spans="2:16">
      <c r="B19" s="32" t="s">
        <v>23</v>
      </c>
      <c r="H19" s="132">
        <v>824</v>
      </c>
      <c r="I19" s="85">
        <v>1814</v>
      </c>
      <c r="J19" s="11">
        <f>I19</f>
        <v>1814</v>
      </c>
      <c r="K19" s="11">
        <f t="shared" ref="K19:N19" si="5">J19</f>
        <v>1814</v>
      </c>
      <c r="L19" s="11">
        <f t="shared" si="5"/>
        <v>1814</v>
      </c>
      <c r="M19" s="11">
        <f t="shared" si="5"/>
        <v>1814</v>
      </c>
      <c r="N19" s="124">
        <f t="shared" si="5"/>
        <v>1814</v>
      </c>
      <c r="P19" t="s">
        <v>108</v>
      </c>
    </row>
    <row r="20" spans="2:16">
      <c r="B20" s="32" t="s">
        <v>24</v>
      </c>
      <c r="H20" s="132">
        <v>2417</v>
      </c>
      <c r="I20" s="85">
        <v>2503</v>
      </c>
      <c r="J20" s="11">
        <f>I20</f>
        <v>2503</v>
      </c>
      <c r="K20" s="11">
        <f t="shared" ref="K20:N20" si="6">J20</f>
        <v>2503</v>
      </c>
      <c r="L20" s="11">
        <f t="shared" si="6"/>
        <v>2503</v>
      </c>
      <c r="M20" s="11">
        <f t="shared" si="6"/>
        <v>2503</v>
      </c>
      <c r="N20" s="124">
        <f t="shared" si="6"/>
        <v>2503</v>
      </c>
      <c r="P20" t="s">
        <v>108</v>
      </c>
    </row>
    <row r="21" spans="2:16">
      <c r="B21" s="136" t="s">
        <v>25</v>
      </c>
      <c r="C21" s="137"/>
      <c r="D21" s="137"/>
      <c r="E21" s="137"/>
      <c r="F21" s="137"/>
      <c r="G21" s="137"/>
      <c r="H21" s="138">
        <f>90030</f>
        <v>90030</v>
      </c>
      <c r="I21" s="139">
        <f>104087</f>
        <v>104087</v>
      </c>
      <c r="J21" s="216">
        <f>SUM(J7:J20)</f>
        <v>116340.65329349873</v>
      </c>
      <c r="K21" s="216">
        <f t="shared" ref="K21:N21" si="7">SUM(K7:K20)</f>
        <v>129425.31863008147</v>
      </c>
      <c r="L21" s="216">
        <f t="shared" si="7"/>
        <v>147450.48936659942</v>
      </c>
      <c r="M21" s="216">
        <f t="shared" si="7"/>
        <v>168330.36395839829</v>
      </c>
      <c r="N21" s="207">
        <f t="shared" si="7"/>
        <v>192452.48002938071</v>
      </c>
    </row>
    <row r="22" spans="2:16">
      <c r="B22" s="32"/>
      <c r="H22" s="133"/>
      <c r="I22" s="124"/>
      <c r="J22" s="11"/>
      <c r="N22" s="53"/>
    </row>
    <row r="23" spans="2:16">
      <c r="B23" s="123" t="s">
        <v>27</v>
      </c>
      <c r="H23" s="133"/>
      <c r="I23" s="124"/>
      <c r="J23" s="11"/>
      <c r="N23" s="53"/>
    </row>
    <row r="24" spans="2:16">
      <c r="B24" s="32" t="s">
        <v>28</v>
      </c>
      <c r="H24" s="132">
        <v>12592</v>
      </c>
      <c r="I24" s="85">
        <v>17939</v>
      </c>
      <c r="J24" s="11">
        <f>I24</f>
        <v>17939</v>
      </c>
      <c r="K24" s="11">
        <f t="shared" ref="K24:N24" si="8">J24</f>
        <v>17939</v>
      </c>
      <c r="L24" s="11">
        <f t="shared" si="8"/>
        <v>17939</v>
      </c>
      <c r="M24" s="11">
        <f t="shared" si="8"/>
        <v>17939</v>
      </c>
      <c r="N24" s="124">
        <f t="shared" si="8"/>
        <v>17939</v>
      </c>
      <c r="P24" t="s">
        <v>108</v>
      </c>
    </row>
    <row r="25" spans="2:16">
      <c r="B25" s="125" t="s">
        <v>29</v>
      </c>
      <c r="H25" s="132">
        <v>5711</v>
      </c>
      <c r="I25" s="85">
        <v>6995</v>
      </c>
      <c r="J25" s="11">
        <f>I25</f>
        <v>6995</v>
      </c>
      <c r="K25" s="11">
        <f t="shared" ref="K25:N25" si="9">J25</f>
        <v>6995</v>
      </c>
      <c r="L25" s="11">
        <f t="shared" si="9"/>
        <v>6995</v>
      </c>
      <c r="M25" s="11">
        <f t="shared" si="9"/>
        <v>6995</v>
      </c>
      <c r="N25" s="124">
        <f t="shared" si="9"/>
        <v>6995</v>
      </c>
      <c r="P25" t="s">
        <v>108</v>
      </c>
    </row>
    <row r="26" spans="2:16">
      <c r="B26" s="125" t="s">
        <v>30</v>
      </c>
      <c r="H26" s="132">
        <v>14822</v>
      </c>
      <c r="I26" s="85">
        <v>16130</v>
      </c>
      <c r="J26" s="11">
        <f>I26*(1+'Income Stmnt'!$Q$9)</f>
        <v>18395.955604670649</v>
      </c>
      <c r="K26" s="11">
        <f>J26*(1+'Income Stmnt'!$Q$9)</f>
        <v>20980.234507688372</v>
      </c>
      <c r="L26" s="11">
        <f>K26*(1+'Income Stmnt'!$Q$9)</f>
        <v>23927.5550265973</v>
      </c>
      <c r="M26" s="11">
        <f>L26*(1+'Income Stmnt'!$Q$9)</f>
        <v>27288.917544798383</v>
      </c>
      <c r="N26" s="124">
        <f>M26*(1+'Income Stmnt'!$Q$9)</f>
        <v>31122.487021303721</v>
      </c>
      <c r="P26" t="s">
        <v>231</v>
      </c>
    </row>
    <row r="27" spans="2:16">
      <c r="B27" s="125" t="s">
        <v>23</v>
      </c>
      <c r="H27" s="132">
        <v>495</v>
      </c>
      <c r="I27" s="85">
        <v>520</v>
      </c>
      <c r="J27" s="11">
        <v>520</v>
      </c>
      <c r="K27" s="11">
        <v>520</v>
      </c>
      <c r="L27" s="11">
        <v>520</v>
      </c>
      <c r="M27" s="11">
        <v>520</v>
      </c>
      <c r="N27" s="124">
        <v>520</v>
      </c>
      <c r="P27" t="s">
        <v>108</v>
      </c>
    </row>
    <row r="28" spans="2:16">
      <c r="B28" s="125" t="s">
        <v>31</v>
      </c>
      <c r="H28" s="132">
        <v>33596</v>
      </c>
      <c r="I28" s="85">
        <v>38477</v>
      </c>
      <c r="J28" s="11">
        <f>J21-SUM(J24:J27,J29,J35:J40,J31)</f>
        <v>43650.695682847421</v>
      </c>
      <c r="K28" s="11">
        <f t="shared" ref="K28:N28" si="10">K21-SUM(K24:K27,K29,K35:K40,K31)</f>
        <v>47073.958899829813</v>
      </c>
      <c r="L28" s="11">
        <f t="shared" si="10"/>
        <v>52405.04308580287</v>
      </c>
      <c r="M28" s="11">
        <f t="shared" si="10"/>
        <v>57027.601745940643</v>
      </c>
      <c r="N28" s="124">
        <f t="shared" si="10"/>
        <v>60705.322993559617</v>
      </c>
      <c r="P28" t="s">
        <v>235</v>
      </c>
    </row>
    <row r="29" spans="2:16">
      <c r="B29" s="125" t="s">
        <v>32</v>
      </c>
      <c r="H29" s="132">
        <v>2457</v>
      </c>
      <c r="I29" s="85">
        <v>2140</v>
      </c>
      <c r="J29" s="11">
        <f>I29*(1+'Income Stmnt'!$Q$8)</f>
        <v>2524.4054969086624</v>
      </c>
      <c r="K29" s="11">
        <f>J29*(1+'Income Stmnt'!$Q$8)</f>
        <v>2977.8612676741454</v>
      </c>
      <c r="L29" s="11">
        <f>K29*(1+'Income Stmnt'!$Q$8)</f>
        <v>3512.7707257700986</v>
      </c>
      <c r="M29" s="11">
        <f>L29*(1+'Income Stmnt'!$Q$8)</f>
        <v>4143.7652941653596</v>
      </c>
      <c r="N29" s="124">
        <f>M29*(1+'Income Stmnt'!$Q$8)</f>
        <v>4888.1046198553149</v>
      </c>
      <c r="P29" t="s">
        <v>98</v>
      </c>
    </row>
    <row r="30" spans="2:16" ht="17" thickBot="1">
      <c r="B30" s="126" t="s">
        <v>33</v>
      </c>
      <c r="C30" s="127"/>
      <c r="D30" s="127"/>
      <c r="E30" s="127"/>
      <c r="F30" s="127"/>
      <c r="G30" s="127"/>
      <c r="H30" s="134">
        <v>69673</v>
      </c>
      <c r="I30" s="44">
        <f>82201</f>
        <v>82201</v>
      </c>
      <c r="J30" s="228">
        <f>SUM(J24:J29)</f>
        <v>90025.056784426721</v>
      </c>
      <c r="K30" s="228">
        <f t="shared" ref="K30:N30" si="11">SUM(K24:K29)</f>
        <v>96486.054675192325</v>
      </c>
      <c r="L30" s="228">
        <f t="shared" si="11"/>
        <v>105299.36883817027</v>
      </c>
      <c r="M30" s="228">
        <f t="shared" si="11"/>
        <v>113914.2845849044</v>
      </c>
      <c r="N30" s="251">
        <f t="shared" si="11"/>
        <v>122169.91463471865</v>
      </c>
    </row>
    <row r="31" spans="2:16" ht="17" thickTop="1">
      <c r="B31" s="32"/>
      <c r="C31" t="s">
        <v>43</v>
      </c>
      <c r="H31" s="132">
        <v>92</v>
      </c>
      <c r="I31" s="85">
        <v>97</v>
      </c>
      <c r="J31" s="11">
        <f>I31</f>
        <v>97</v>
      </c>
      <c r="K31" s="11">
        <f t="shared" ref="K31:N31" si="12">J31</f>
        <v>97</v>
      </c>
      <c r="L31" s="11">
        <f t="shared" si="12"/>
        <v>97</v>
      </c>
      <c r="M31" s="11">
        <f t="shared" si="12"/>
        <v>97</v>
      </c>
      <c r="N31" s="124">
        <f t="shared" si="12"/>
        <v>97</v>
      </c>
      <c r="P31" t="s">
        <v>108</v>
      </c>
    </row>
    <row r="32" spans="2:16">
      <c r="B32" s="32"/>
      <c r="H32" s="133"/>
      <c r="I32" s="124"/>
      <c r="J32" s="11"/>
      <c r="N32" s="53"/>
    </row>
    <row r="33" spans="2:16">
      <c r="B33" s="123" t="s">
        <v>34</v>
      </c>
      <c r="H33" s="133"/>
      <c r="I33" s="124"/>
      <c r="J33" s="11"/>
      <c r="N33" s="53"/>
    </row>
    <row r="34" spans="2:16">
      <c r="B34" s="32" t="s">
        <v>35</v>
      </c>
      <c r="H34" s="133"/>
      <c r="I34" s="124"/>
      <c r="J34" s="11"/>
      <c r="N34" s="53"/>
    </row>
    <row r="35" spans="2:16">
      <c r="B35" s="32" t="s">
        <v>36</v>
      </c>
      <c r="H35" s="132">
        <v>5165</v>
      </c>
      <c r="I35" s="85">
        <v>5303</v>
      </c>
      <c r="J35" s="217">
        <f>I35+'Cash Flow Stmnt'!K11</f>
        <v>5456.351735793517</v>
      </c>
      <c r="K35" s="217">
        <f>J35+'Cash Flow Stmnt'!L11</f>
        <v>5637.2498501849368</v>
      </c>
      <c r="L35" s="217">
        <f>K35+'Cash Flow Stmnt'!M11</f>
        <v>5850.6424643672326</v>
      </c>
      <c r="M35" s="217">
        <f>L35+'Cash Flow Stmnt'!N11</f>
        <v>6102.3665242931656</v>
      </c>
      <c r="N35" s="208">
        <f>M35+'Cash Flow Stmnt'!O11</f>
        <v>6399.3074591441891</v>
      </c>
      <c r="P35" t="s">
        <v>113</v>
      </c>
    </row>
    <row r="36" spans="2:16">
      <c r="B36" s="32" t="s">
        <v>37</v>
      </c>
      <c r="H36" s="32"/>
      <c r="I36" s="124"/>
      <c r="J36" s="160"/>
      <c r="N36" s="53"/>
    </row>
    <row r="37" spans="2:16">
      <c r="B37" s="32" t="s">
        <v>38</v>
      </c>
      <c r="H37" s="132">
        <v>-24094</v>
      </c>
      <c r="I37" s="85">
        <v>-31335</v>
      </c>
      <c r="J37" s="217">
        <f>I37+'Cash Flow Stmnt'!K40</f>
        <v>-35785.333333333336</v>
      </c>
      <c r="K37" s="217">
        <f>J37+'Cash Flow Stmnt'!L40</f>
        <v>-40235.666666666672</v>
      </c>
      <c r="L37" s="217">
        <f>K37+'Cash Flow Stmnt'!M40</f>
        <v>-44686.000000000007</v>
      </c>
      <c r="M37" s="217">
        <f>L37+'Cash Flow Stmnt'!N40</f>
        <v>-49136.333333333343</v>
      </c>
      <c r="N37" s="208">
        <f>M37+'Cash Flow Stmnt'!O40</f>
        <v>-53586.666666666679</v>
      </c>
      <c r="P37" t="s">
        <v>224</v>
      </c>
    </row>
    <row r="38" spans="2:16">
      <c r="B38" s="32" t="s">
        <v>39</v>
      </c>
      <c r="H38" s="132">
        <v>42247</v>
      </c>
      <c r="I38" s="85">
        <v>50931</v>
      </c>
      <c r="J38" s="217">
        <f>J68</f>
        <v>59657.578106611814</v>
      </c>
      <c r="K38" s="217">
        <f t="shared" ref="K38:N38" si="13">K68</f>
        <v>70550.680771370869</v>
      </c>
      <c r="L38" s="217">
        <f t="shared" si="13"/>
        <v>83999.478064061928</v>
      </c>
      <c r="M38" s="217">
        <f t="shared" si="13"/>
        <v>100463.04618253408</v>
      </c>
      <c r="N38" s="208">
        <f t="shared" si="13"/>
        <v>120482.92460218455</v>
      </c>
      <c r="P38" t="s">
        <v>112</v>
      </c>
    </row>
    <row r="39" spans="2:16">
      <c r="B39" s="32" t="s">
        <v>10</v>
      </c>
      <c r="H39" s="132">
        <v>-3056</v>
      </c>
      <c r="I39" s="85">
        <v>-3114</v>
      </c>
      <c r="J39" s="252">
        <f>I39</f>
        <v>-3114</v>
      </c>
      <c r="K39" s="252">
        <f t="shared" ref="K39:N39" si="14">J39</f>
        <v>-3114</v>
      </c>
      <c r="L39" s="252">
        <f t="shared" si="14"/>
        <v>-3114</v>
      </c>
      <c r="M39" s="252">
        <f t="shared" si="14"/>
        <v>-3114</v>
      </c>
      <c r="N39" s="253">
        <f t="shared" si="14"/>
        <v>-3114</v>
      </c>
      <c r="P39" t="s">
        <v>108</v>
      </c>
    </row>
    <row r="40" spans="2:16">
      <c r="B40" s="32" t="s">
        <v>41</v>
      </c>
      <c r="H40" s="132">
        <v>3</v>
      </c>
      <c r="I40" s="85">
        <v>4</v>
      </c>
      <c r="J40" s="252">
        <v>4</v>
      </c>
      <c r="K40" s="252">
        <v>4</v>
      </c>
      <c r="L40" s="252">
        <v>4</v>
      </c>
      <c r="M40" s="252">
        <v>4</v>
      </c>
      <c r="N40" s="253">
        <v>4</v>
      </c>
      <c r="P40" t="str">
        <f>P39</f>
        <v>Straight-line assumption</v>
      </c>
    </row>
    <row r="41" spans="2:16">
      <c r="B41" s="254" t="s">
        <v>40</v>
      </c>
      <c r="C41" s="255"/>
      <c r="D41" s="255"/>
      <c r="E41" s="255"/>
      <c r="F41" s="255"/>
      <c r="G41" s="255"/>
      <c r="H41" s="256">
        <f>20265</f>
        <v>20265</v>
      </c>
      <c r="I41" s="257">
        <f>21789</f>
        <v>21789</v>
      </c>
      <c r="J41" s="258">
        <f>SUM(J35:J40)</f>
        <v>26218.596509071995</v>
      </c>
      <c r="K41" s="258">
        <f t="shared" ref="K41:N41" si="15">SUM(K35:K40)</f>
        <v>32842.263954889131</v>
      </c>
      <c r="L41" s="258">
        <f t="shared" si="15"/>
        <v>42054.12052842915</v>
      </c>
      <c r="M41" s="258">
        <f t="shared" si="15"/>
        <v>54319.0793734939</v>
      </c>
      <c r="N41" s="259">
        <f t="shared" si="15"/>
        <v>70185.565394662059</v>
      </c>
    </row>
    <row r="42" spans="2:16">
      <c r="B42" s="32"/>
      <c r="H42" s="133"/>
      <c r="I42" s="124"/>
      <c r="J42" s="160"/>
      <c r="N42" s="53"/>
    </row>
    <row r="43" spans="2:16">
      <c r="B43" s="136" t="s">
        <v>42</v>
      </c>
      <c r="C43" s="137"/>
      <c r="D43" s="137"/>
      <c r="E43" s="137"/>
      <c r="F43" s="137"/>
      <c r="G43" s="137"/>
      <c r="H43" s="138">
        <v>90030</v>
      </c>
      <c r="I43" s="139">
        <v>104087</v>
      </c>
      <c r="J43" s="216">
        <f>J30+J41+J31</f>
        <v>116340.65329349872</v>
      </c>
      <c r="K43" s="216">
        <f t="shared" ref="K43:N43" si="16">K30+K41+K31</f>
        <v>129425.31863008146</v>
      </c>
      <c r="L43" s="216">
        <f t="shared" si="16"/>
        <v>147450.48936659942</v>
      </c>
      <c r="M43" s="216">
        <f t="shared" si="16"/>
        <v>168330.36395839829</v>
      </c>
      <c r="N43" s="207">
        <f t="shared" si="16"/>
        <v>192452.48002938071</v>
      </c>
    </row>
    <row r="44" spans="2:16">
      <c r="B44" s="129" t="s">
        <v>44</v>
      </c>
      <c r="H44" s="129" t="b">
        <f>H43=H21</f>
        <v>1</v>
      </c>
      <c r="I44" s="260" t="b">
        <f>I43=I21</f>
        <v>1</v>
      </c>
      <c r="J44" s="260" t="b">
        <f>IF(J43-J21&lt;1,TRUE)</f>
        <v>1</v>
      </c>
      <c r="K44" s="260" t="b">
        <f t="shared" ref="K44:N44" si="17">IF(K43-K21&lt;1,TRUE)</f>
        <v>1</v>
      </c>
      <c r="L44" s="260" t="b">
        <f t="shared" si="17"/>
        <v>1</v>
      </c>
      <c r="M44" s="260" t="b">
        <f t="shared" si="17"/>
        <v>1</v>
      </c>
      <c r="N44" s="261" t="b">
        <f t="shared" si="17"/>
        <v>1</v>
      </c>
    </row>
    <row r="45" spans="2:16">
      <c r="B45" s="130" t="s">
        <v>45</v>
      </c>
      <c r="C45" s="26"/>
      <c r="D45" s="26"/>
      <c r="E45" s="26"/>
      <c r="F45" s="26"/>
      <c r="G45" s="26"/>
      <c r="H45" s="135">
        <f>H43-H21</f>
        <v>0</v>
      </c>
      <c r="I45" s="131">
        <f t="shared" ref="I45" si="18">I43-I21</f>
        <v>0</v>
      </c>
      <c r="J45" s="131">
        <f>IF(J43-J21&lt;1,0)</f>
        <v>0</v>
      </c>
      <c r="K45" s="131">
        <f t="shared" ref="K45:N45" si="19">IF(K43-K21&lt;1,0)</f>
        <v>0</v>
      </c>
      <c r="L45" s="131">
        <f t="shared" si="19"/>
        <v>0</v>
      </c>
      <c r="M45" s="131">
        <f t="shared" si="19"/>
        <v>0</v>
      </c>
      <c r="N45" s="262">
        <f t="shared" si="19"/>
        <v>0</v>
      </c>
    </row>
    <row r="51" spans="2:17">
      <c r="B51" s="37" t="s">
        <v>101</v>
      </c>
      <c r="C51" s="36"/>
      <c r="D51" s="38"/>
      <c r="E51" s="28"/>
      <c r="F51" s="28"/>
      <c r="G51" s="39" t="s">
        <v>57</v>
      </c>
      <c r="H51" s="40" t="s">
        <v>54</v>
      </c>
      <c r="I51" s="41" t="s">
        <v>55</v>
      </c>
      <c r="J51" s="237" t="s">
        <v>56</v>
      </c>
      <c r="K51" s="40" t="s">
        <v>156</v>
      </c>
      <c r="L51" s="40" t="s">
        <v>157</v>
      </c>
      <c r="M51" s="40" t="s">
        <v>225</v>
      </c>
      <c r="N51" s="41" t="s">
        <v>226</v>
      </c>
    </row>
    <row r="52" spans="2:17">
      <c r="B52" s="32"/>
      <c r="C52" t="s">
        <v>94</v>
      </c>
      <c r="G52" s="12">
        <v>5817</v>
      </c>
      <c r="H52" s="12">
        <v>5820</v>
      </c>
      <c r="I52" s="15">
        <v>6056</v>
      </c>
      <c r="J52" s="132">
        <v>6879</v>
      </c>
      <c r="K52" s="11">
        <f>J57</f>
        <v>7922.8584779706271</v>
      </c>
      <c r="L52" s="11">
        <f>K57</f>
        <v>8941.9179969530542</v>
      </c>
      <c r="M52" s="11">
        <f t="shared" ref="M52:N52" si="20">L57</f>
        <v>10144.029890128913</v>
      </c>
      <c r="N52" s="124">
        <f t="shared" si="20"/>
        <v>11562.075624256211</v>
      </c>
    </row>
    <row r="53" spans="2:17">
      <c r="B53" s="32"/>
      <c r="D53" t="s">
        <v>95</v>
      </c>
      <c r="G53" s="33">
        <v>848</v>
      </c>
      <c r="H53" s="12">
        <f>1134</f>
        <v>1134</v>
      </c>
      <c r="I53" s="15">
        <v>1498</v>
      </c>
      <c r="J53" s="132">
        <v>1900</v>
      </c>
      <c r="K53" s="11">
        <f>'Income Stmnt'!L7*'Balance Sheet'!K54</f>
        <v>1854.8616761065318</v>
      </c>
      <c r="L53" s="11">
        <f>'Income Stmnt'!M7*'Balance Sheet'!L54</f>
        <v>2188.0481360600675</v>
      </c>
      <c r="M53" s="11">
        <f>'Income Stmnt'!N7*'Balance Sheet'!M54</f>
        <v>2581.0844589583116</v>
      </c>
      <c r="N53" s="124">
        <f>'Income Stmnt'!O7*'Balance Sheet'!N54</f>
        <v>3044.7214000840577</v>
      </c>
      <c r="P53" s="234">
        <f>AVERAGE(G54:I54)</f>
        <v>2.1762443522088223E-2</v>
      </c>
      <c r="Q53" t="s">
        <v>232</v>
      </c>
    </row>
    <row r="54" spans="2:17">
      <c r="B54" s="32"/>
      <c r="E54" s="34" t="s">
        <v>51</v>
      </c>
      <c r="G54" s="233">
        <f>G53/'Income Stmnt'!H7</f>
        <v>1.9262220606941667E-2</v>
      </c>
      <c r="H54" s="233">
        <f>H53/'Income Stmnt'!I7</f>
        <v>2.1568366395952603E-2</v>
      </c>
      <c r="I54" s="235">
        <f>I53/'Income Stmnt'!J7</f>
        <v>2.4456743563370395E-2</v>
      </c>
      <c r="J54" s="238">
        <f>J53/'Income Stmnt'!K7</f>
        <v>2.6296325908534177E-2</v>
      </c>
      <c r="K54" s="233">
        <f>$P$53</f>
        <v>2.1762443522088223E-2</v>
      </c>
      <c r="L54" s="233">
        <f t="shared" ref="L54:N54" si="21">$P$53</f>
        <v>2.1762443522088223E-2</v>
      </c>
      <c r="M54" s="233">
        <f t="shared" si="21"/>
        <v>2.1762443522088223E-2</v>
      </c>
      <c r="N54" s="235">
        <f t="shared" si="21"/>
        <v>2.1762443522088223E-2</v>
      </c>
    </row>
    <row r="55" spans="2:17">
      <c r="B55" s="32"/>
      <c r="D55" t="s">
        <v>96</v>
      </c>
      <c r="G55" s="11">
        <f>G52+G53-H52</f>
        <v>845</v>
      </c>
      <c r="H55" s="11">
        <f>H52+H53-I52</f>
        <v>898</v>
      </c>
      <c r="I55" s="16">
        <f>I52+I53-J52</f>
        <v>675</v>
      </c>
      <c r="J55" s="209">
        <f>J56*J53</f>
        <v>856.14152202937248</v>
      </c>
      <c r="K55" s="239">
        <f>K53*K56</f>
        <v>835.80215712410484</v>
      </c>
      <c r="L55" s="239">
        <f t="shared" ref="L55:N55" si="22">L53*L56</f>
        <v>985.93624288420938</v>
      </c>
      <c r="M55" s="239">
        <f t="shared" si="22"/>
        <v>1163.0387248310149</v>
      </c>
      <c r="N55" s="240">
        <f t="shared" si="22"/>
        <v>1371.9539019070353</v>
      </c>
      <c r="P55" t="s">
        <v>233</v>
      </c>
    </row>
    <row r="56" spans="2:17">
      <c r="B56" s="32"/>
      <c r="E56" s="34" t="s">
        <v>103</v>
      </c>
      <c r="G56" s="35">
        <f>G55/G53</f>
        <v>0.99646226415094341</v>
      </c>
      <c r="H56" s="35">
        <f>H55/H53</f>
        <v>0.79188712522045857</v>
      </c>
      <c r="I56" s="30">
        <f>I55/I53</f>
        <v>0.45060080106809081</v>
      </c>
      <c r="J56" s="241">
        <f>I56</f>
        <v>0.45060080106809081</v>
      </c>
      <c r="K56" s="242">
        <f t="shared" ref="K56:N56" si="23">J56</f>
        <v>0.45060080106809081</v>
      </c>
      <c r="L56" s="242">
        <f t="shared" si="23"/>
        <v>0.45060080106809081</v>
      </c>
      <c r="M56" s="242">
        <f t="shared" si="23"/>
        <v>0.45060080106809081</v>
      </c>
      <c r="N56" s="243">
        <f t="shared" si="23"/>
        <v>0.45060080106809081</v>
      </c>
    </row>
    <row r="57" spans="2:17">
      <c r="B57" s="32"/>
      <c r="C57" s="27" t="s">
        <v>97</v>
      </c>
      <c r="D57" s="28"/>
      <c r="E57" s="28"/>
      <c r="F57" s="28"/>
      <c r="G57" s="29">
        <f>G52+G53-G55</f>
        <v>5820</v>
      </c>
      <c r="H57" s="29">
        <f>H52+H53-H55</f>
        <v>6056</v>
      </c>
      <c r="I57" s="31">
        <f>I52+I53-I55</f>
        <v>6879</v>
      </c>
      <c r="J57" s="244">
        <f>J52+J53-J55</f>
        <v>7922.8584779706271</v>
      </c>
      <c r="K57" s="29">
        <f>K52+K53-K55</f>
        <v>8941.9179969530542</v>
      </c>
      <c r="L57" s="29">
        <f t="shared" ref="L57:N57" si="24">L52+L53-L55</f>
        <v>10144.029890128913</v>
      </c>
      <c r="M57" s="29">
        <f t="shared" si="24"/>
        <v>11562.075624256211</v>
      </c>
      <c r="N57" s="31">
        <f t="shared" si="24"/>
        <v>13234.843122433234</v>
      </c>
    </row>
    <row r="58" spans="2:17">
      <c r="B58" s="32"/>
      <c r="I58" s="42"/>
      <c r="J58" s="32"/>
      <c r="N58" s="53"/>
    </row>
    <row r="59" spans="2:17">
      <c r="B59" s="37" t="s">
        <v>104</v>
      </c>
      <c r="C59" s="36"/>
      <c r="D59" s="38"/>
      <c r="I59" s="42"/>
      <c r="J59" s="32"/>
      <c r="N59" s="53"/>
    </row>
    <row r="60" spans="2:17">
      <c r="B60" s="32"/>
      <c r="C60" t="s">
        <v>105</v>
      </c>
      <c r="I60" s="16">
        <f>I62-I55</f>
        <v>1329</v>
      </c>
      <c r="J60" s="209">
        <f>J61*'Income Stmnt'!K7</f>
        <v>1567.7265913044919</v>
      </c>
      <c r="K60" s="210">
        <f>K61*'Income Stmnt'!L7</f>
        <v>1849.3353386630561</v>
      </c>
      <c r="L60" s="210">
        <f>L61*'Income Stmnt'!M7</f>
        <v>2181.5291096020851</v>
      </c>
      <c r="M60" s="210">
        <f>M61*'Income Stmnt'!N7</f>
        <v>2573.3944280120386</v>
      </c>
      <c r="N60" s="206">
        <f>N61*'Income Stmnt'!O7</f>
        <v>3035.6500185923896</v>
      </c>
    </row>
    <row r="61" spans="2:17">
      <c r="B61" s="32"/>
      <c r="D61" t="s">
        <v>106</v>
      </c>
      <c r="I61" s="30">
        <f>I60/'Income Stmnt'!J7</f>
        <v>2.1697604937062253E-2</v>
      </c>
      <c r="J61" s="241">
        <f>I61</f>
        <v>2.1697604937062253E-2</v>
      </c>
      <c r="K61" s="242">
        <f t="shared" ref="K61:N61" si="25">J61</f>
        <v>2.1697604937062253E-2</v>
      </c>
      <c r="L61" s="242">
        <f t="shared" si="25"/>
        <v>2.1697604937062253E-2</v>
      </c>
      <c r="M61" s="242">
        <f t="shared" si="25"/>
        <v>2.1697604937062253E-2</v>
      </c>
      <c r="N61" s="243">
        <f t="shared" si="25"/>
        <v>2.1697604937062253E-2</v>
      </c>
    </row>
    <row r="62" spans="2:17">
      <c r="B62" s="32"/>
      <c r="C62" s="27" t="s">
        <v>107</v>
      </c>
      <c r="D62" s="28"/>
      <c r="E62" s="28"/>
      <c r="F62" s="28"/>
      <c r="G62" s="28"/>
      <c r="H62" s="28"/>
      <c r="I62" s="232">
        <f>'Cash Flow Stmnt'!J9</f>
        <v>2004</v>
      </c>
      <c r="J62" s="244">
        <f>J60+J55</f>
        <v>2423.8681133338641</v>
      </c>
      <c r="K62" s="229">
        <f>K60+K55</f>
        <v>2685.1374957871608</v>
      </c>
      <c r="L62" s="229">
        <f t="shared" ref="L62:N62" si="26">L60+L55</f>
        <v>3167.4653524862943</v>
      </c>
      <c r="M62" s="229">
        <f t="shared" si="26"/>
        <v>3736.4331528430534</v>
      </c>
      <c r="N62" s="245">
        <f t="shared" si="26"/>
        <v>4407.6039204994249</v>
      </c>
    </row>
    <row r="63" spans="2:17">
      <c r="B63" s="32"/>
      <c r="I63" s="42"/>
      <c r="J63" s="32"/>
      <c r="N63" s="53"/>
    </row>
    <row r="64" spans="2:17">
      <c r="B64" s="37" t="s">
        <v>39</v>
      </c>
      <c r="C64" s="36"/>
      <c r="D64" s="38"/>
      <c r="I64" s="42"/>
      <c r="J64" s="32"/>
      <c r="N64" s="53"/>
    </row>
    <row r="65" spans="2:16">
      <c r="B65" s="32"/>
      <c r="C65" t="s">
        <v>94</v>
      </c>
      <c r="I65" s="43">
        <f>H38</f>
        <v>42247</v>
      </c>
      <c r="J65" s="133">
        <f>I68</f>
        <v>50931</v>
      </c>
      <c r="K65" s="11">
        <f t="shared" ref="K65:N65" si="27">J68</f>
        <v>59657.578106611814</v>
      </c>
      <c r="L65" s="11">
        <f t="shared" si="27"/>
        <v>70550.680771370869</v>
      </c>
      <c r="M65" s="11">
        <f t="shared" si="27"/>
        <v>83999.478064061928</v>
      </c>
      <c r="N65" s="124">
        <f t="shared" si="27"/>
        <v>100463.04618253408</v>
      </c>
    </row>
    <row r="66" spans="2:16">
      <c r="B66" s="32"/>
      <c r="D66" t="s">
        <v>110</v>
      </c>
      <c r="I66" s="15">
        <v>10166</v>
      </c>
      <c r="J66" s="246">
        <f>'Income Stmnt'!K24</f>
        <v>10153.578106611814</v>
      </c>
      <c r="K66" s="247">
        <f>'Income Stmnt'!L24</f>
        <v>12320.102664759055</v>
      </c>
      <c r="L66" s="247">
        <f>'Income Stmnt'!M24</f>
        <v>14875.797292691066</v>
      </c>
      <c r="M66" s="247">
        <f>'Income Stmnt'!N24</f>
        <v>17890.568118472147</v>
      </c>
      <c r="N66" s="248">
        <f>'Income Stmnt'!O24</f>
        <v>21446.878419650475</v>
      </c>
    </row>
    <row r="67" spans="2:16">
      <c r="B67" s="32"/>
      <c r="D67" t="s">
        <v>109</v>
      </c>
      <c r="I67" s="231">
        <f>'Cash Flow Stmnt'!J41</f>
        <v>-1427</v>
      </c>
      <c r="J67" s="133">
        <f>I67</f>
        <v>-1427</v>
      </c>
      <c r="K67" s="11">
        <f t="shared" ref="K67:N67" si="28">J67</f>
        <v>-1427</v>
      </c>
      <c r="L67" s="11">
        <f t="shared" si="28"/>
        <v>-1427</v>
      </c>
      <c r="M67" s="11">
        <f t="shared" si="28"/>
        <v>-1427</v>
      </c>
      <c r="N67" s="124">
        <f t="shared" si="28"/>
        <v>-1427</v>
      </c>
      <c r="P67" t="s">
        <v>111</v>
      </c>
    </row>
    <row r="68" spans="2:16">
      <c r="B68" s="56"/>
      <c r="C68" s="88" t="s">
        <v>97</v>
      </c>
      <c r="D68" s="36"/>
      <c r="E68" s="36"/>
      <c r="F68" s="36"/>
      <c r="G68" s="36"/>
      <c r="H68" s="36"/>
      <c r="I68" s="52">
        <f>I38</f>
        <v>50931</v>
      </c>
      <c r="J68" s="249">
        <f>SUM(J65:J67)</f>
        <v>59657.578106611814</v>
      </c>
      <c r="K68" s="230">
        <f t="shared" ref="K68:N68" si="29">SUM(K65:K67)</f>
        <v>70550.680771370869</v>
      </c>
      <c r="L68" s="230">
        <f t="shared" si="29"/>
        <v>83999.478064061928</v>
      </c>
      <c r="M68" s="230">
        <f t="shared" si="29"/>
        <v>100463.04618253408</v>
      </c>
      <c r="N68" s="250">
        <f t="shared" si="29"/>
        <v>120482.92460218455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9B91-5FF6-8D49-BBCB-193ACB13EA2A}">
  <sheetPr>
    <tabColor rgb="FFFFFF00"/>
  </sheetPr>
  <dimension ref="C1:P43"/>
  <sheetViews>
    <sheetView topLeftCell="B1" workbookViewId="0">
      <selection activeCell="J36" sqref="J36"/>
    </sheetView>
  </sheetViews>
  <sheetFormatPr baseColWidth="10" defaultRowHeight="16"/>
  <cols>
    <col min="1" max="1" width="1.83203125" customWidth="1"/>
    <col min="3" max="3" width="18.6640625" customWidth="1"/>
    <col min="4" max="4" width="14" bestFit="1" customWidth="1"/>
    <col min="6" max="6" width="19" bestFit="1" customWidth="1"/>
    <col min="7" max="7" width="17.5" customWidth="1"/>
    <col min="8" max="9" width="18.5" customWidth="1"/>
    <col min="10" max="10" width="17.6640625" customWidth="1"/>
    <col min="11" max="11" width="2" customWidth="1"/>
  </cols>
  <sheetData>
    <row r="1" spans="3:13" ht="9" customHeight="1"/>
    <row r="4" spans="3:13">
      <c r="C4" s="142" t="s">
        <v>210</v>
      </c>
      <c r="D4" s="121"/>
      <c r="E4" s="121"/>
      <c r="F4" s="121"/>
      <c r="G4" s="121"/>
      <c r="H4" s="121"/>
      <c r="I4" s="121"/>
      <c r="J4" s="122"/>
    </row>
    <row r="5" spans="3:13">
      <c r="C5" s="129" t="s">
        <v>211</v>
      </c>
      <c r="G5" s="93" t="s">
        <v>57</v>
      </c>
      <c r="H5" s="214" t="s">
        <v>54</v>
      </c>
      <c r="I5" s="215" t="s">
        <v>55</v>
      </c>
      <c r="J5" s="25" t="s">
        <v>56</v>
      </c>
      <c r="L5" s="156" t="s">
        <v>100</v>
      </c>
      <c r="M5" s="141"/>
    </row>
    <row r="6" spans="3:13">
      <c r="C6" s="143" t="s">
        <v>71</v>
      </c>
      <c r="D6" s="92"/>
      <c r="E6" s="92"/>
      <c r="F6" s="127"/>
      <c r="G6" s="182">
        <f>'Cash Flow Stmnt'!H21</f>
        <v>7725.8871070325276</v>
      </c>
      <c r="H6" s="144">
        <f>'Cash Flow Stmnt'!I21</f>
        <v>4699</v>
      </c>
      <c r="I6" s="145">
        <f>'Cash Flow Stmnt'!J21</f>
        <v>8589</v>
      </c>
      <c r="J6" s="145">
        <f>'Cash Flow Stmnt'!K21</f>
        <v>11691.743707182679</v>
      </c>
      <c r="L6" t="s">
        <v>208</v>
      </c>
    </row>
    <row r="7" spans="3:13">
      <c r="C7" s="32"/>
      <c r="D7" t="s">
        <v>176</v>
      </c>
      <c r="G7" s="209">
        <f>'Cash Flow Stmnt'!H29</f>
        <v>-848</v>
      </c>
      <c r="H7" s="210">
        <f>'Cash Flow Stmnt'!I29</f>
        <v>-1134</v>
      </c>
      <c r="I7" s="206">
        <f>'Cash Flow Stmnt'!J29</f>
        <v>-1498</v>
      </c>
      <c r="J7" s="206">
        <f>'Cash Flow Stmnt'!K29</f>
        <v>-1900</v>
      </c>
      <c r="L7" t="s">
        <v>202</v>
      </c>
    </row>
    <row r="8" spans="3:13" ht="17" thickBot="1">
      <c r="C8" s="146" t="s">
        <v>187</v>
      </c>
      <c r="D8" s="50"/>
      <c r="E8" s="50"/>
      <c r="F8" s="50"/>
      <c r="G8" s="211">
        <f>G6+G7</f>
        <v>6877.8871070325276</v>
      </c>
      <c r="H8" s="212">
        <f>H6+H7</f>
        <v>3565</v>
      </c>
      <c r="I8" s="213">
        <f>I6+I7</f>
        <v>7091</v>
      </c>
      <c r="J8" s="213">
        <f>J6+J7</f>
        <v>9791.7437071826789</v>
      </c>
    </row>
    <row r="9" spans="3:13" ht="17" thickTop="1">
      <c r="C9" s="147" t="s">
        <v>177</v>
      </c>
      <c r="G9" s="32"/>
      <c r="H9" s="148">
        <f>(H8-G8)/G8</f>
        <v>-0.48167221349782763</v>
      </c>
      <c r="I9" s="149">
        <f t="shared" ref="I9:J9" si="0">(I8-H8)/H8</f>
        <v>0.98906030855539973</v>
      </c>
      <c r="J9" s="149">
        <f t="shared" si="0"/>
        <v>0.38086922961256225</v>
      </c>
      <c r="K9" s="4"/>
      <c r="L9" s="45"/>
    </row>
    <row r="10" spans="3:13">
      <c r="C10" s="143" t="s">
        <v>47</v>
      </c>
      <c r="D10" s="104"/>
      <c r="E10" s="104"/>
      <c r="F10" s="127"/>
      <c r="G10" s="184">
        <f>'Income Stmnt'!H18</f>
        <v>8594.8871070325276</v>
      </c>
      <c r="H10" s="150">
        <f>'Income Stmnt'!I18</f>
        <v>10188.890161097057</v>
      </c>
      <c r="I10" s="151">
        <f>'Income Stmnt'!J18</f>
        <v>15471.88943853978</v>
      </c>
      <c r="J10" s="151">
        <f>'Income Stmnt'!K18</f>
        <v>15453.236639896704</v>
      </c>
    </row>
    <row r="11" spans="3:13">
      <c r="C11" s="32"/>
      <c r="D11" t="s">
        <v>221</v>
      </c>
      <c r="F11" s="53"/>
      <c r="G11" s="210">
        <f>-'Income Stmnt'!H21</f>
        <v>-1658</v>
      </c>
      <c r="H11" s="210">
        <f>-'Income Stmnt'!I21</f>
        <v>-2007</v>
      </c>
      <c r="I11" s="210">
        <f>-'Income Stmnt'!J21</f>
        <v>-2871</v>
      </c>
      <c r="J11" s="210">
        <f>-'Income Stmnt'!K21</f>
        <v>-2853.658533284889</v>
      </c>
      <c r="L11" t="s">
        <v>222</v>
      </c>
    </row>
    <row r="12" spans="3:13">
      <c r="C12" s="32"/>
      <c r="D12" t="s">
        <v>197</v>
      </c>
      <c r="G12" s="209">
        <f>'Cash Flow Stmnt'!H21-'Cash Flow Stmnt'!H6</f>
        <v>1761</v>
      </c>
      <c r="H12" s="210">
        <f>'Cash Flow Stmnt'!I21-'Cash Flow Stmnt'!I6</f>
        <v>-2431</v>
      </c>
      <c r="I12" s="206">
        <f>'Cash Flow Stmnt'!J21-'Cash Flow Stmnt'!J6</f>
        <v>-1566</v>
      </c>
      <c r="J12" s="206">
        <f>'Cash Flow Stmnt'!K21-'Cash Flow Stmnt'!K6</f>
        <v>1538.1656005708646</v>
      </c>
      <c r="L12" t="s">
        <v>203</v>
      </c>
    </row>
    <row r="13" spans="3:13">
      <c r="C13" s="32"/>
      <c r="D13" t="s">
        <v>176</v>
      </c>
      <c r="G13" s="209">
        <f>G7</f>
        <v>-848</v>
      </c>
      <c r="H13" s="210">
        <f>H7</f>
        <v>-1134</v>
      </c>
      <c r="I13" s="206">
        <f>I7</f>
        <v>-1498</v>
      </c>
      <c r="J13" s="206">
        <f>J7</f>
        <v>-1900</v>
      </c>
    </row>
    <row r="14" spans="3:13" ht="17" thickBot="1">
      <c r="C14" s="146" t="s">
        <v>196</v>
      </c>
      <c r="D14" s="50"/>
      <c r="E14" s="50"/>
      <c r="F14" s="50"/>
      <c r="G14" s="183">
        <f>SUM(G10:G13)</f>
        <v>7849.8871070325276</v>
      </c>
      <c r="H14" s="22">
        <f t="shared" ref="H14:I14" si="1">SUM(H10:H13)</f>
        <v>4616.890161097057</v>
      </c>
      <c r="I14" s="91">
        <f t="shared" si="1"/>
        <v>9536.8894385397798</v>
      </c>
      <c r="J14" s="91">
        <f>SUM(J10:J13)</f>
        <v>12237.743707182679</v>
      </c>
    </row>
    <row r="15" spans="3:13" ht="17" thickTop="1">
      <c r="C15" s="152" t="s">
        <v>177</v>
      </c>
      <c r="D15" s="26"/>
      <c r="E15" s="26"/>
      <c r="F15" s="26"/>
      <c r="G15" s="26"/>
      <c r="H15" s="153">
        <f>(H14-G14)/G14</f>
        <v>-0.4118526676694631</v>
      </c>
      <c r="I15" s="154">
        <f t="shared" ref="I15:J15" si="2">(I14-H14)/H14</f>
        <v>1.0656522260156265</v>
      </c>
      <c r="J15" s="155">
        <f t="shared" si="2"/>
        <v>0.28320075282915669</v>
      </c>
    </row>
    <row r="18" spans="9:12">
      <c r="I18" s="49" t="s">
        <v>195</v>
      </c>
      <c r="J18" s="198">
        <v>3.1E-2</v>
      </c>
      <c r="L18" t="s">
        <v>198</v>
      </c>
    </row>
    <row r="19" spans="9:12">
      <c r="I19" s="49" t="s">
        <v>189</v>
      </c>
      <c r="J19" s="199">
        <v>367.8</v>
      </c>
      <c r="L19" t="s">
        <v>223</v>
      </c>
    </row>
    <row r="20" spans="9:12">
      <c r="I20" s="49" t="s">
        <v>183</v>
      </c>
      <c r="J20" s="200">
        <v>293.60000000000002</v>
      </c>
      <c r="L20" t="s">
        <v>214</v>
      </c>
    </row>
    <row r="22" spans="9:12">
      <c r="I22" s="185" t="s">
        <v>219</v>
      </c>
      <c r="J22" s="90">
        <f>NPV(J43,G8:J8)</f>
        <v>20916.92260322619</v>
      </c>
      <c r="L22" t="s">
        <v>220</v>
      </c>
    </row>
    <row r="23" spans="9:12">
      <c r="I23" s="185" t="s">
        <v>192</v>
      </c>
      <c r="J23" s="11">
        <f>(J14*(1+J18))/(J37-J18)</f>
        <v>280937.42735542508</v>
      </c>
    </row>
    <row r="24" spans="9:12">
      <c r="I24" s="185" t="s">
        <v>199</v>
      </c>
      <c r="J24" s="11">
        <f>J23/(1+J37)+ (I14/(1+J37))</f>
        <v>269979.93441569048</v>
      </c>
    </row>
    <row r="25" spans="9:12">
      <c r="I25" s="186" t="s">
        <v>200</v>
      </c>
      <c r="J25" s="51">
        <f>J24+J22</f>
        <v>290896.85701891669</v>
      </c>
      <c r="L25" t="s">
        <v>215</v>
      </c>
    </row>
    <row r="26" spans="9:12">
      <c r="I26" s="185" t="s">
        <v>201</v>
      </c>
      <c r="J26" s="11">
        <f>J33-'Balance Sheet'!J7-'Balance Sheet'!J8</f>
        <v>61141.039929334176</v>
      </c>
      <c r="L26" t="s">
        <v>216</v>
      </c>
    </row>
    <row r="27" spans="9:12">
      <c r="I27" s="186" t="s">
        <v>182</v>
      </c>
      <c r="J27" s="51">
        <f>J25-J26</f>
        <v>229755.8170895825</v>
      </c>
    </row>
    <row r="28" spans="9:12">
      <c r="I28" s="186" t="s">
        <v>212</v>
      </c>
      <c r="J28" s="187">
        <f>J27/J20</f>
        <v>782.5470609318204</v>
      </c>
    </row>
    <row r="31" spans="9:12">
      <c r="I31" s="191" t="s">
        <v>178</v>
      </c>
      <c r="J31" s="192"/>
    </row>
    <row r="32" spans="9:12">
      <c r="I32" s="169" t="s">
        <v>179</v>
      </c>
      <c r="J32" s="201">
        <v>3.6499999999999998E-2</v>
      </c>
      <c r="L32" t="s">
        <v>213</v>
      </c>
    </row>
    <row r="33" spans="9:16">
      <c r="I33" s="169" t="s">
        <v>180</v>
      </c>
      <c r="J33" s="124">
        <f>'Balance Sheet'!J24+'Balance Sheet'!J25+'Balance Sheet'!J28</f>
        <v>68584.695682847421</v>
      </c>
      <c r="L33" t="s">
        <v>204</v>
      </c>
    </row>
    <row r="34" spans="9:16">
      <c r="I34" s="169" t="s">
        <v>181</v>
      </c>
      <c r="J34" s="188">
        <f>J43</f>
        <v>0.10603000000000001</v>
      </c>
      <c r="L34" t="s">
        <v>205</v>
      </c>
    </row>
    <row r="35" spans="9:16">
      <c r="I35" s="169" t="s">
        <v>182</v>
      </c>
      <c r="J35" s="124">
        <f>J19*J20</f>
        <v>107986.08000000002</v>
      </c>
      <c r="L35" t="s">
        <v>206</v>
      </c>
    </row>
    <row r="36" spans="9:16">
      <c r="I36" s="169" t="s">
        <v>190</v>
      </c>
      <c r="J36" s="124">
        <f>J35+J33</f>
        <v>176570.77568284742</v>
      </c>
    </row>
    <row r="37" spans="9:16">
      <c r="I37" s="189" t="s">
        <v>191</v>
      </c>
      <c r="J37" s="190">
        <f>J34*(J35/J36)+J32*(J33/J36)*(1-21.95%)</f>
        <v>7.5910761377988023E-2</v>
      </c>
    </row>
    <row r="38" spans="9:16">
      <c r="P38">
        <f>J33/J35</f>
        <v>0.63512533914415092</v>
      </c>
    </row>
    <row r="39" spans="9:16">
      <c r="I39" s="191" t="s">
        <v>188</v>
      </c>
      <c r="J39" s="192"/>
    </row>
    <row r="40" spans="9:16">
      <c r="I40" s="169" t="s">
        <v>184</v>
      </c>
      <c r="J40" s="201">
        <v>4.5609999999999998E-2</v>
      </c>
      <c r="L40" t="s">
        <v>207</v>
      </c>
    </row>
    <row r="41" spans="9:16">
      <c r="I41" s="169" t="s">
        <v>185</v>
      </c>
      <c r="J41" s="202">
        <v>1.06</v>
      </c>
      <c r="L41" t="s">
        <v>194</v>
      </c>
    </row>
    <row r="42" spans="9:16">
      <c r="I42" s="194" t="s">
        <v>186</v>
      </c>
      <c r="J42" s="203">
        <v>5.7000000000000002E-2</v>
      </c>
      <c r="L42" t="s">
        <v>193</v>
      </c>
    </row>
    <row r="43" spans="9:16">
      <c r="I43" s="189" t="s">
        <v>181</v>
      </c>
      <c r="J43" s="193">
        <f>J40+J41*J42</f>
        <v>0.10603000000000001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D5BD-C3BA-204B-917E-F066217D277A}">
  <sheetPr>
    <tabColor rgb="FFFFFF00"/>
  </sheetPr>
  <dimension ref="B1:J117"/>
  <sheetViews>
    <sheetView workbookViewId="0">
      <selection activeCell="L38" sqref="L38"/>
    </sheetView>
  </sheetViews>
  <sheetFormatPr baseColWidth="10" defaultRowHeight="16"/>
  <cols>
    <col min="1" max="1" width="3.6640625" customWidth="1"/>
    <col min="5" max="5" width="10.83203125" customWidth="1"/>
    <col min="7" max="7" width="16" customWidth="1"/>
    <col min="8" max="8" width="11.1640625" customWidth="1"/>
  </cols>
  <sheetData>
    <row r="1" spans="2:10" ht="11" customHeight="1"/>
    <row r="6" spans="2:10">
      <c r="B6" s="120" t="s">
        <v>164</v>
      </c>
      <c r="C6" s="121"/>
      <c r="D6" s="121"/>
      <c r="E6" s="121"/>
      <c r="F6" s="121"/>
      <c r="G6" s="157"/>
      <c r="H6" s="121"/>
      <c r="I6" s="121"/>
      <c r="J6" s="122"/>
    </row>
    <row r="7" spans="2:10">
      <c r="B7" s="32"/>
      <c r="G7" s="168" t="s">
        <v>55</v>
      </c>
      <c r="H7" s="13" t="s">
        <v>56</v>
      </c>
      <c r="I7" s="13" t="s">
        <v>156</v>
      </c>
      <c r="J7" s="14" t="s">
        <v>157</v>
      </c>
    </row>
    <row r="8" spans="2:10">
      <c r="B8" s="126" t="s">
        <v>159</v>
      </c>
      <c r="C8" s="127"/>
      <c r="D8" s="127"/>
      <c r="E8" s="127"/>
      <c r="F8" s="127"/>
      <c r="G8" s="179"/>
      <c r="H8" s="127"/>
      <c r="I8" s="127"/>
      <c r="J8" s="180"/>
    </row>
    <row r="9" spans="2:10">
      <c r="B9" s="32"/>
      <c r="C9" s="158" t="s">
        <v>138</v>
      </c>
      <c r="G9" s="169"/>
      <c r="J9" s="53"/>
    </row>
    <row r="10" spans="2:10">
      <c r="B10" s="32"/>
      <c r="D10" s="159" t="s">
        <v>94</v>
      </c>
      <c r="G10" s="170">
        <v>4703</v>
      </c>
      <c r="H10" s="160">
        <v>4703</v>
      </c>
      <c r="I10" s="160">
        <v>4703</v>
      </c>
      <c r="J10" s="128">
        <v>4703</v>
      </c>
    </row>
    <row r="11" spans="2:10">
      <c r="B11" s="32"/>
      <c r="D11" s="159" t="s">
        <v>160</v>
      </c>
      <c r="G11" s="170">
        <v>-4703</v>
      </c>
      <c r="H11" s="161">
        <v>-4703</v>
      </c>
      <c r="I11" s="161">
        <v>-4703</v>
      </c>
      <c r="J11" s="86">
        <v>-4703</v>
      </c>
    </row>
    <row r="12" spans="2:10">
      <c r="B12" s="32"/>
      <c r="D12" s="159" t="s">
        <v>161</v>
      </c>
      <c r="G12" s="170">
        <v>9100</v>
      </c>
      <c r="H12" s="160">
        <f>G12</f>
        <v>9100</v>
      </c>
      <c r="I12" s="160">
        <f t="shared" ref="I12:J12" si="0">H12</f>
        <v>9100</v>
      </c>
      <c r="J12" s="128">
        <f t="shared" si="0"/>
        <v>9100</v>
      </c>
    </row>
    <row r="13" spans="2:10">
      <c r="B13" s="32"/>
      <c r="D13" s="159" t="s">
        <v>97</v>
      </c>
      <c r="G13" s="170">
        <v>9100</v>
      </c>
      <c r="H13" s="217">
        <f>SUM(H10:H12)</f>
        <v>9100</v>
      </c>
      <c r="I13" s="217">
        <f t="shared" ref="I13:J13" si="1">SUM(I10:I12)</f>
        <v>9100</v>
      </c>
      <c r="J13" s="208">
        <f t="shared" si="1"/>
        <v>9100</v>
      </c>
    </row>
    <row r="14" spans="2:10">
      <c r="B14" s="32"/>
      <c r="C14" s="158" t="s">
        <v>151</v>
      </c>
      <c r="D14" s="159"/>
      <c r="G14" s="171"/>
      <c r="H14" s="162"/>
      <c r="I14" s="162"/>
      <c r="J14" s="163"/>
    </row>
    <row r="15" spans="2:10">
      <c r="B15" s="32"/>
      <c r="D15" s="159" t="s">
        <v>94</v>
      </c>
      <c r="G15" s="172">
        <v>402</v>
      </c>
      <c r="H15" s="160">
        <v>402</v>
      </c>
      <c r="I15" s="160">
        <v>402</v>
      </c>
      <c r="J15" s="128">
        <v>402</v>
      </c>
    </row>
    <row r="16" spans="2:10">
      <c r="B16" s="32"/>
      <c r="D16" s="159" t="s">
        <v>160</v>
      </c>
      <c r="G16" s="172">
        <f>-G15</f>
        <v>-402</v>
      </c>
      <c r="H16" s="161">
        <f t="shared" ref="H16:J16" si="2">-H15</f>
        <v>-402</v>
      </c>
      <c r="I16" s="161">
        <f t="shared" si="2"/>
        <v>-402</v>
      </c>
      <c r="J16" s="86">
        <f t="shared" si="2"/>
        <v>-402</v>
      </c>
    </row>
    <row r="17" spans="2:10">
      <c r="B17" s="32"/>
      <c r="D17" s="159" t="s">
        <v>161</v>
      </c>
      <c r="G17" s="172">
        <v>483</v>
      </c>
      <c r="H17" s="160">
        <f t="shared" ref="H17:J17" si="3">H18</f>
        <v>483</v>
      </c>
      <c r="I17" s="160">
        <f t="shared" si="3"/>
        <v>483</v>
      </c>
      <c r="J17" s="128">
        <f t="shared" si="3"/>
        <v>483</v>
      </c>
    </row>
    <row r="18" spans="2:10">
      <c r="B18" s="32"/>
      <c r="D18" s="159" t="s">
        <v>97</v>
      </c>
      <c r="G18" s="172">
        <v>483</v>
      </c>
      <c r="H18" s="160">
        <v>483</v>
      </c>
      <c r="I18" s="160">
        <v>483</v>
      </c>
      <c r="J18" s="128">
        <v>483</v>
      </c>
    </row>
    <row r="19" spans="2:10">
      <c r="B19" s="32"/>
      <c r="C19" s="158" t="s">
        <v>155</v>
      </c>
      <c r="D19" s="159"/>
      <c r="G19" s="171"/>
      <c r="H19" s="162"/>
      <c r="I19" s="162"/>
      <c r="J19" s="163"/>
    </row>
    <row r="20" spans="2:10">
      <c r="B20" s="32"/>
      <c r="D20" s="159" t="s">
        <v>94</v>
      </c>
      <c r="G20" s="172">
        <v>21</v>
      </c>
      <c r="H20" s="160">
        <v>21</v>
      </c>
      <c r="I20" s="160">
        <v>21</v>
      </c>
      <c r="J20" s="128">
        <v>21</v>
      </c>
    </row>
    <row r="21" spans="2:10">
      <c r="B21" s="32"/>
      <c r="D21" s="159" t="s">
        <v>160</v>
      </c>
      <c r="G21" s="172">
        <f>-G20</f>
        <v>-21</v>
      </c>
      <c r="H21" s="161">
        <f t="shared" ref="H21:J21" si="4">-H20</f>
        <v>-21</v>
      </c>
      <c r="I21" s="161">
        <f t="shared" si="4"/>
        <v>-21</v>
      </c>
      <c r="J21" s="86">
        <f t="shared" si="4"/>
        <v>-21</v>
      </c>
    </row>
    <row r="22" spans="2:10">
      <c r="B22" s="32"/>
      <c r="D22" s="159" t="s">
        <v>161</v>
      </c>
      <c r="G22" s="172">
        <v>25</v>
      </c>
      <c r="H22" s="160">
        <v>25</v>
      </c>
      <c r="I22" s="160">
        <v>25</v>
      </c>
      <c r="J22" s="128">
        <v>25</v>
      </c>
    </row>
    <row r="23" spans="2:10">
      <c r="B23" s="32"/>
      <c r="D23" s="159" t="s">
        <v>97</v>
      </c>
      <c r="G23" s="172">
        <v>25</v>
      </c>
      <c r="H23" s="160">
        <v>25</v>
      </c>
      <c r="I23" s="160">
        <v>25</v>
      </c>
      <c r="J23" s="128">
        <v>25</v>
      </c>
    </row>
    <row r="24" spans="2:10">
      <c r="B24" s="32"/>
      <c r="C24" s="158" t="s">
        <v>158</v>
      </c>
      <c r="D24" s="159"/>
      <c r="G24" s="171"/>
      <c r="H24" s="162"/>
      <c r="I24" s="162"/>
      <c r="J24" s="163"/>
    </row>
    <row r="25" spans="2:10">
      <c r="B25" s="32"/>
      <c r="C25" s="158"/>
      <c r="D25" s="159" t="s">
        <v>94</v>
      </c>
      <c r="G25" s="172">
        <v>7446</v>
      </c>
      <c r="H25" s="160">
        <v>7446</v>
      </c>
      <c r="I25" s="160">
        <v>7446</v>
      </c>
      <c r="J25" s="128">
        <v>7446</v>
      </c>
    </row>
    <row r="26" spans="2:10">
      <c r="B26" s="32"/>
      <c r="C26" s="158"/>
      <c r="D26" s="159" t="s">
        <v>160</v>
      </c>
      <c r="G26" s="172">
        <f>-G25</f>
        <v>-7446</v>
      </c>
      <c r="H26" s="161">
        <f t="shared" ref="H26:J26" si="5">-H25</f>
        <v>-7446</v>
      </c>
      <c r="I26" s="161">
        <f t="shared" si="5"/>
        <v>-7446</v>
      </c>
      <c r="J26" s="86">
        <f t="shared" si="5"/>
        <v>-7446</v>
      </c>
    </row>
    <row r="27" spans="2:10">
      <c r="B27" s="32"/>
      <c r="D27" s="159" t="s">
        <v>162</v>
      </c>
      <c r="G27" s="172">
        <v>8331</v>
      </c>
      <c r="H27" s="160">
        <v>8331</v>
      </c>
      <c r="I27" s="160">
        <v>8331</v>
      </c>
      <c r="J27" s="128">
        <v>8331</v>
      </c>
    </row>
    <row r="28" spans="2:10">
      <c r="B28" s="32"/>
      <c r="D28" s="159" t="s">
        <v>97</v>
      </c>
      <c r="G28" s="172">
        <v>8331</v>
      </c>
      <c r="H28" s="160">
        <v>8331</v>
      </c>
      <c r="I28" s="160">
        <v>8331</v>
      </c>
      <c r="J28" s="128">
        <v>8331</v>
      </c>
    </row>
    <row r="29" spans="2:10">
      <c r="B29" s="32"/>
      <c r="C29" s="164" t="s">
        <v>119</v>
      </c>
      <c r="G29" s="173">
        <v>17939</v>
      </c>
      <c r="H29" s="218">
        <f>H13+H18+H23+H28</f>
        <v>17939</v>
      </c>
      <c r="I29" s="218">
        <f t="shared" ref="I29:J29" si="6">I13+I18+I23+I28</f>
        <v>17939</v>
      </c>
      <c r="J29" s="219">
        <f t="shared" si="6"/>
        <v>17939</v>
      </c>
    </row>
    <row r="30" spans="2:10">
      <c r="B30" s="32"/>
      <c r="G30" s="171"/>
      <c r="H30" s="162"/>
      <c r="I30" s="162"/>
      <c r="J30" s="163"/>
    </row>
    <row r="31" spans="2:10">
      <c r="B31" s="126" t="s">
        <v>163</v>
      </c>
      <c r="C31" s="127"/>
      <c r="D31" s="127"/>
      <c r="E31" s="127"/>
      <c r="F31" s="127"/>
      <c r="G31" s="176"/>
      <c r="H31" s="177"/>
      <c r="I31" s="177"/>
      <c r="J31" s="178"/>
    </row>
    <row r="32" spans="2:10">
      <c r="B32" s="32"/>
      <c r="C32" s="158" t="s">
        <v>138</v>
      </c>
      <c r="G32" s="172"/>
      <c r="H32" s="162"/>
      <c r="I32" s="162"/>
      <c r="J32" s="163"/>
    </row>
    <row r="33" spans="2:10">
      <c r="B33" s="32"/>
      <c r="D33" t="str">
        <f>D13</f>
        <v>End of Period</v>
      </c>
      <c r="G33" s="172">
        <f>G13</f>
        <v>9100</v>
      </c>
      <c r="H33" s="160">
        <f t="shared" ref="H33:I33" si="7">H13</f>
        <v>9100</v>
      </c>
      <c r="I33" s="160">
        <f t="shared" si="7"/>
        <v>9100</v>
      </c>
      <c r="J33" s="128">
        <f>J13</f>
        <v>9100</v>
      </c>
    </row>
    <row r="34" spans="2:10">
      <c r="B34" s="32"/>
      <c r="D34" t="s">
        <v>118</v>
      </c>
      <c r="G34" s="174">
        <v>5.2999999999999999E-2</v>
      </c>
      <c r="H34" s="165">
        <v>5.2999999999999999E-2</v>
      </c>
      <c r="I34" s="165">
        <v>5.2999999999999999E-2</v>
      </c>
      <c r="J34" s="166">
        <v>5.2999999999999999E-2</v>
      </c>
    </row>
    <row r="35" spans="2:10">
      <c r="B35" s="32"/>
      <c r="D35" s="1" t="s">
        <v>116</v>
      </c>
      <c r="G35" s="172">
        <f>G33*G34</f>
        <v>482.3</v>
      </c>
      <c r="H35" s="217">
        <f>H33*H34</f>
        <v>482.3</v>
      </c>
      <c r="I35" s="217">
        <f t="shared" ref="I35:J35" si="8">I33*I34</f>
        <v>482.3</v>
      </c>
      <c r="J35" s="208">
        <f t="shared" si="8"/>
        <v>482.3</v>
      </c>
    </row>
    <row r="36" spans="2:10">
      <c r="B36" s="32"/>
      <c r="C36" s="158" t="s">
        <v>151</v>
      </c>
      <c r="D36" s="1"/>
      <c r="G36" s="172"/>
      <c r="H36" s="162"/>
      <c r="I36" s="162"/>
      <c r="J36" s="163"/>
    </row>
    <row r="37" spans="2:10">
      <c r="B37" s="32"/>
      <c r="D37" t="s">
        <v>97</v>
      </c>
      <c r="G37" s="172">
        <f>G15</f>
        <v>402</v>
      </c>
      <c r="H37" s="160">
        <f t="shared" ref="H37:J37" si="9">H15</f>
        <v>402</v>
      </c>
      <c r="I37" s="160">
        <f t="shared" si="9"/>
        <v>402</v>
      </c>
      <c r="J37" s="128">
        <f t="shared" si="9"/>
        <v>402</v>
      </c>
    </row>
    <row r="38" spans="2:10">
      <c r="B38" s="32"/>
      <c r="D38" t="s">
        <v>118</v>
      </c>
      <c r="G38" s="174">
        <v>0.316</v>
      </c>
      <c r="H38" s="165">
        <v>0.316</v>
      </c>
      <c r="I38" s="165">
        <v>0.316</v>
      </c>
      <c r="J38" s="166">
        <v>0.316</v>
      </c>
    </row>
    <row r="39" spans="2:10">
      <c r="B39" s="32"/>
      <c r="D39" s="1" t="s">
        <v>116</v>
      </c>
      <c r="G39" s="172">
        <f>G37*G38</f>
        <v>127.032</v>
      </c>
      <c r="H39" s="217">
        <f t="shared" ref="H39:J39" si="10">H37*H38</f>
        <v>127.032</v>
      </c>
      <c r="I39" s="217">
        <f t="shared" si="10"/>
        <v>127.032</v>
      </c>
      <c r="J39" s="208">
        <f t="shared" si="10"/>
        <v>127.032</v>
      </c>
    </row>
    <row r="40" spans="2:10">
      <c r="B40" s="32"/>
      <c r="C40" s="158" t="s">
        <v>155</v>
      </c>
      <c r="D40" s="1"/>
      <c r="G40" s="172"/>
      <c r="H40" s="162"/>
      <c r="I40" s="162"/>
      <c r="J40" s="163"/>
    </row>
    <row r="41" spans="2:10">
      <c r="B41" s="32"/>
      <c r="D41" t="s">
        <v>97</v>
      </c>
      <c r="G41" s="172">
        <f>G23</f>
        <v>25</v>
      </c>
      <c r="H41" s="160">
        <f t="shared" ref="H41:J41" si="11">H23</f>
        <v>25</v>
      </c>
      <c r="I41" s="160">
        <f t="shared" si="11"/>
        <v>25</v>
      </c>
      <c r="J41" s="128">
        <f t="shared" si="11"/>
        <v>25</v>
      </c>
    </row>
    <row r="42" spans="2:10">
      <c r="B42" s="32"/>
      <c r="D42" t="s">
        <v>118</v>
      </c>
      <c r="G42" s="174">
        <v>3.5999999999999997E-2</v>
      </c>
      <c r="H42" s="165">
        <v>3.5999999999999997E-2</v>
      </c>
      <c r="I42" s="165">
        <v>3.5999999999999997E-2</v>
      </c>
      <c r="J42" s="166">
        <v>3.5999999999999997E-2</v>
      </c>
    </row>
    <row r="43" spans="2:10">
      <c r="B43" s="32"/>
      <c r="D43" s="1" t="s">
        <v>116</v>
      </c>
      <c r="G43" s="172">
        <f>G41*G42</f>
        <v>0.89999999999999991</v>
      </c>
      <c r="H43" s="217">
        <f t="shared" ref="H43:J43" si="12">H41*H42</f>
        <v>0.89999999999999991</v>
      </c>
      <c r="I43" s="217">
        <f t="shared" si="12"/>
        <v>0.89999999999999991</v>
      </c>
      <c r="J43" s="208">
        <f t="shared" si="12"/>
        <v>0.89999999999999991</v>
      </c>
    </row>
    <row r="44" spans="2:10">
      <c r="B44" s="32"/>
      <c r="C44" s="158" t="s">
        <v>158</v>
      </c>
      <c r="D44" s="1"/>
      <c r="G44" s="172"/>
      <c r="H44" s="162"/>
      <c r="I44" s="162"/>
      <c r="J44" s="163"/>
    </row>
    <row r="45" spans="2:10">
      <c r="B45" s="32"/>
      <c r="D45" t="s">
        <v>97</v>
      </c>
      <c r="G45" s="172">
        <f>G28</f>
        <v>8331</v>
      </c>
      <c r="H45" s="160">
        <f t="shared" ref="H45:J45" si="13">H28</f>
        <v>8331</v>
      </c>
      <c r="I45" s="160">
        <f t="shared" si="13"/>
        <v>8331</v>
      </c>
      <c r="J45" s="128">
        <f t="shared" si="13"/>
        <v>8331</v>
      </c>
    </row>
    <row r="46" spans="2:10">
      <c r="B46" s="32"/>
      <c r="D46" t="s">
        <v>118</v>
      </c>
      <c r="G46" s="175">
        <v>1.375E-2</v>
      </c>
      <c r="H46" s="87">
        <v>1.375E-2</v>
      </c>
      <c r="I46" s="87">
        <v>1.375E-2</v>
      </c>
      <c r="J46" s="167">
        <v>1.375E-2</v>
      </c>
    </row>
    <row r="47" spans="2:10">
      <c r="B47" s="32"/>
      <c r="D47" s="1" t="s">
        <v>116</v>
      </c>
      <c r="G47" s="172">
        <f>G45*G46</f>
        <v>114.55125</v>
      </c>
      <c r="H47" s="217">
        <f t="shared" ref="H47:J47" si="14">H45*H46</f>
        <v>114.55125</v>
      </c>
      <c r="I47" s="217">
        <f t="shared" si="14"/>
        <v>114.55125</v>
      </c>
      <c r="J47" s="208">
        <f t="shared" si="14"/>
        <v>114.55125</v>
      </c>
    </row>
    <row r="48" spans="2:10">
      <c r="B48" s="32"/>
      <c r="G48" s="172"/>
      <c r="H48" s="162"/>
      <c r="I48" s="162"/>
      <c r="J48" s="163"/>
    </row>
    <row r="49" spans="2:10">
      <c r="B49" s="136" t="s">
        <v>117</v>
      </c>
      <c r="C49" s="137"/>
      <c r="D49" s="137"/>
      <c r="E49" s="137"/>
      <c r="F49" s="137"/>
      <c r="G49" s="181">
        <f>G35+G39+G43+G47</f>
        <v>724.78324999999995</v>
      </c>
      <c r="H49" s="216">
        <f>H35+H39+H43+H47</f>
        <v>724.78324999999995</v>
      </c>
      <c r="I49" s="216">
        <f t="shared" ref="I49:J49" si="15">I35+I39+I43+I47</f>
        <v>724.78324999999995</v>
      </c>
      <c r="J49" s="207">
        <f t="shared" si="15"/>
        <v>724.78324999999995</v>
      </c>
    </row>
    <row r="50" spans="2:10">
      <c r="H50" s="11"/>
    </row>
    <row r="51" spans="2:10">
      <c r="H51" s="11"/>
    </row>
    <row r="52" spans="2:10">
      <c r="H52" s="11"/>
    </row>
    <row r="53" spans="2:10">
      <c r="H53" s="11"/>
    </row>
    <row r="54" spans="2:10">
      <c r="H54" s="11"/>
    </row>
    <row r="55" spans="2:10">
      <c r="H55" s="11"/>
    </row>
    <row r="56" spans="2:10">
      <c r="H56" s="11"/>
    </row>
    <row r="57" spans="2:10">
      <c r="H57" s="11"/>
    </row>
    <row r="58" spans="2:10">
      <c r="H58" s="11"/>
    </row>
    <row r="59" spans="2:10">
      <c r="H59" s="11"/>
    </row>
    <row r="60" spans="2:10">
      <c r="H60" s="11"/>
    </row>
    <row r="61" spans="2:10">
      <c r="H61" s="11"/>
    </row>
    <row r="62" spans="2:10">
      <c r="H62" s="11"/>
    </row>
    <row r="63" spans="2:10">
      <c r="H63" s="11"/>
    </row>
    <row r="64" spans="2:10">
      <c r="H64" s="11"/>
    </row>
    <row r="65" spans="8:8">
      <c r="H65" s="11"/>
    </row>
    <row r="66" spans="8:8">
      <c r="H66" s="11"/>
    </row>
    <row r="67" spans="8:8">
      <c r="H67" s="11"/>
    </row>
    <row r="68" spans="8:8">
      <c r="H68" s="11"/>
    </row>
    <row r="69" spans="8:8">
      <c r="H69" s="11"/>
    </row>
    <row r="70" spans="8:8">
      <c r="H70" s="11"/>
    </row>
    <row r="71" spans="8:8">
      <c r="H71" s="11"/>
    </row>
    <row r="72" spans="8:8">
      <c r="H72" s="11"/>
    </row>
    <row r="73" spans="8:8">
      <c r="H73" s="11"/>
    </row>
    <row r="74" spans="8:8">
      <c r="H74" s="11"/>
    </row>
    <row r="75" spans="8:8">
      <c r="H75" s="11"/>
    </row>
    <row r="76" spans="8:8">
      <c r="H76" s="11"/>
    </row>
    <row r="77" spans="8:8">
      <c r="H77" s="11"/>
    </row>
    <row r="78" spans="8:8">
      <c r="H78" s="11"/>
    </row>
    <row r="79" spans="8:8">
      <c r="H79" s="11"/>
    </row>
    <row r="80" spans="8:8">
      <c r="H80" s="11"/>
    </row>
    <row r="81" spans="8:8">
      <c r="H81" s="11"/>
    </row>
    <row r="82" spans="8:8">
      <c r="H82" s="11"/>
    </row>
    <row r="83" spans="8:8">
      <c r="H83" s="11"/>
    </row>
    <row r="84" spans="8:8">
      <c r="H84" s="11"/>
    </row>
    <row r="85" spans="8:8">
      <c r="H85" s="11"/>
    </row>
    <row r="86" spans="8:8">
      <c r="H86" s="11"/>
    </row>
    <row r="87" spans="8:8">
      <c r="H87" s="11"/>
    </row>
    <row r="88" spans="8:8">
      <c r="H88" s="11"/>
    </row>
    <row r="89" spans="8:8">
      <c r="H89" s="11"/>
    </row>
    <row r="90" spans="8:8">
      <c r="H90" s="11"/>
    </row>
    <row r="91" spans="8:8">
      <c r="H91" s="11"/>
    </row>
    <row r="92" spans="8:8">
      <c r="H92" s="11"/>
    </row>
    <row r="93" spans="8:8">
      <c r="H93" s="11"/>
    </row>
    <row r="94" spans="8:8">
      <c r="H94" s="11"/>
    </row>
    <row r="95" spans="8:8">
      <c r="H95" s="11"/>
    </row>
    <row r="96" spans="8:8">
      <c r="H96" s="11"/>
    </row>
    <row r="97" spans="8:8">
      <c r="H97" s="11"/>
    </row>
    <row r="98" spans="8:8">
      <c r="H98" s="11"/>
    </row>
    <row r="99" spans="8:8">
      <c r="H99" s="11"/>
    </row>
    <row r="100" spans="8:8">
      <c r="H100" s="11"/>
    </row>
    <row r="101" spans="8:8">
      <c r="H101" s="11"/>
    </row>
    <row r="102" spans="8:8">
      <c r="H102" s="11"/>
    </row>
    <row r="103" spans="8:8">
      <c r="H103" s="11"/>
    </row>
    <row r="104" spans="8:8">
      <c r="H104" s="11"/>
    </row>
    <row r="105" spans="8:8">
      <c r="H105" s="11"/>
    </row>
    <row r="106" spans="8:8">
      <c r="H106" s="11"/>
    </row>
    <row r="107" spans="8:8">
      <c r="H107" s="11"/>
    </row>
    <row r="108" spans="8:8">
      <c r="H108" s="11"/>
    </row>
    <row r="109" spans="8:8">
      <c r="H109" s="11"/>
    </row>
    <row r="110" spans="8:8">
      <c r="H110" s="11"/>
    </row>
    <row r="111" spans="8:8">
      <c r="H111" s="11"/>
    </row>
    <row r="112" spans="8:8">
      <c r="H112" s="11"/>
    </row>
    <row r="113" spans="8:8">
      <c r="H113" s="11"/>
    </row>
    <row r="114" spans="8:8">
      <c r="H114" s="11"/>
    </row>
    <row r="115" spans="8:8">
      <c r="H115" s="11"/>
    </row>
    <row r="116" spans="8:8">
      <c r="H116" s="11"/>
    </row>
    <row r="117" spans="8:8">
      <c r="H117" s="1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B033-B71C-A944-A9CD-0CFDD3E458C9}">
  <sheetPr>
    <tabColor rgb="FFFFFF00"/>
  </sheetPr>
  <dimension ref="B1:P85"/>
  <sheetViews>
    <sheetView topLeftCell="H5" workbookViewId="0">
      <selection activeCell="P85" sqref="P85"/>
    </sheetView>
  </sheetViews>
  <sheetFormatPr baseColWidth="10" defaultRowHeight="16"/>
  <cols>
    <col min="1" max="1" width="3.1640625" customWidth="1"/>
    <col min="4" max="4" width="16.1640625" customWidth="1"/>
    <col min="5" max="5" width="16.5" customWidth="1"/>
    <col min="6" max="6" width="11.83203125" customWidth="1"/>
    <col min="7" max="7" width="13.1640625" customWidth="1"/>
    <col min="8" max="8" width="15" customWidth="1"/>
    <col min="9" max="9" width="11.83203125" customWidth="1"/>
    <col min="10" max="10" width="12.83203125" customWidth="1"/>
    <col min="11" max="11" width="11.6640625" customWidth="1"/>
    <col min="14" max="14" width="11.5" customWidth="1"/>
    <col min="16" max="16" width="14.5" customWidth="1"/>
    <col min="17" max="17" width="15.5" customWidth="1"/>
  </cols>
  <sheetData>
    <row r="1" spans="2:16" ht="12" customHeight="1"/>
    <row r="3" spans="2:16">
      <c r="I3" s="46"/>
    </row>
    <row r="4" spans="2:16">
      <c r="I4" s="46"/>
    </row>
    <row r="6" spans="2:16">
      <c r="B6" s="191" t="s">
        <v>217</v>
      </c>
      <c r="C6" s="195"/>
      <c r="D6" s="196"/>
      <c r="E6" s="196"/>
      <c r="F6" s="197"/>
      <c r="G6" s="197"/>
      <c r="H6" s="197"/>
      <c r="I6" s="197"/>
      <c r="J6" s="197"/>
      <c r="K6" s="197"/>
      <c r="L6" s="197"/>
      <c r="M6" s="195"/>
      <c r="N6" s="195"/>
      <c r="O6" s="195"/>
      <c r="P6" s="192"/>
    </row>
    <row r="7" spans="2:16" ht="28" customHeight="1">
      <c r="B7" s="330">
        <v>2024</v>
      </c>
      <c r="C7" s="331"/>
      <c r="D7" s="74" t="s">
        <v>139</v>
      </c>
      <c r="E7" s="74" t="s">
        <v>140</v>
      </c>
      <c r="F7" s="75" t="s">
        <v>146</v>
      </c>
      <c r="G7" s="74" t="s">
        <v>141</v>
      </c>
      <c r="H7" s="74" t="s">
        <v>152</v>
      </c>
      <c r="I7" s="74" t="s">
        <v>142</v>
      </c>
      <c r="J7" s="74" t="s">
        <v>143</v>
      </c>
      <c r="K7" s="74" t="s">
        <v>144</v>
      </c>
      <c r="L7" s="74" t="s">
        <v>145</v>
      </c>
      <c r="M7" s="74" t="s">
        <v>147</v>
      </c>
      <c r="N7" s="74" t="s">
        <v>148</v>
      </c>
      <c r="O7" s="74" t="s">
        <v>149</v>
      </c>
      <c r="P7" s="76" t="s">
        <v>150</v>
      </c>
    </row>
    <row r="8" spans="2:16">
      <c r="B8" s="69">
        <v>1</v>
      </c>
      <c r="C8" s="69" t="s">
        <v>126</v>
      </c>
      <c r="P8" s="42"/>
    </row>
    <row r="9" spans="2:16">
      <c r="B9" s="69">
        <v>2</v>
      </c>
      <c r="C9" s="69" t="s">
        <v>127</v>
      </c>
      <c r="P9" s="42"/>
    </row>
    <row r="10" spans="2:16">
      <c r="B10" s="69">
        <v>3</v>
      </c>
      <c r="C10" s="69" t="s">
        <v>128</v>
      </c>
      <c r="P10" s="42"/>
    </row>
    <row r="11" spans="2:16">
      <c r="B11" s="69">
        <v>4</v>
      </c>
      <c r="C11" s="69" t="s">
        <v>129</v>
      </c>
      <c r="D11" s="59">
        <f>-('Loan &amp; Bond Data'!$D$12*'Loan &amp; Bond Data'!$D$13/'Loan &amp; Bond Data'!$D$14)*4/6</f>
        <v>-6.416666666666667</v>
      </c>
      <c r="E11" s="59">
        <f>-('Loan &amp; Bond Data'!$G$12*'Loan &amp; Bond Data'!$G$13/'Loan &amp; Bond Data'!$G$14)*4/6</f>
        <v>-4.3666666666666671</v>
      </c>
      <c r="F11" s="59">
        <f>-('Loan &amp; Bond Data'!$J$12*'Loan &amp; Bond Data'!$J$13/'Loan &amp; Bond Data'!$J$14)*4/6</f>
        <v>-8.9583333333333339</v>
      </c>
      <c r="G11" s="59">
        <f>-('Loan &amp; Bond Data'!$M$12*'Loan &amp; Bond Data'!$M$13/'Loan &amp; Bond Data'!$M$14)*4/6</f>
        <v>-7.2333333333333334</v>
      </c>
      <c r="H11" s="59">
        <f>-('Loan &amp; Bond Data'!$D$19*'Loan &amp; Bond Data'!$D$20/'Loan &amp; Bond Data'!$D$21)*4/6</f>
        <v>-2.5833333333333335</v>
      </c>
      <c r="I11" s="59">
        <f>-('Loan &amp; Bond Data'!$G$19*'Loan &amp; Bond Data'!$G$20/'Loan &amp; Bond Data'!$G$21)*4/6</f>
        <v>-7.1249999999999991</v>
      </c>
      <c r="J11" s="59">
        <f>-('Loan &amp; Bond Data'!$J$19*'Loan &amp; Bond Data'!$J$20/'Loan &amp; Bond Data'!$J$21)*4/6</f>
        <v>-16.25</v>
      </c>
      <c r="K11" s="59">
        <f>-('Loan &amp; Bond Data'!$M$19*'Loan &amp; Bond Data'!$M$20/'Loan &amp; Bond Data'!$M$21)*4/6</f>
        <v>-4.791666666666667</v>
      </c>
      <c r="L11" s="59">
        <f>-('Loan &amp; Bond Data'!$G$26*'Loan &amp; Bond Data'!$G$27/'Loan &amp; Bond Data'!$G$28)*4/6</f>
        <v>-3.9096666666666664</v>
      </c>
      <c r="M11" s="59">
        <f>-('Loan &amp; Bond Data'!$D$26*'Loan &amp; Bond Data'!$D$27/'Loan &amp; Bond Data'!$D$28)*4/6</f>
        <v>-10.625</v>
      </c>
      <c r="N11" s="59">
        <f>-('Loan &amp; Bond Data'!$J$26*'Loan &amp; Bond Data'!$J$27/'Loan &amp; Bond Data'!$J$28)*4/6</f>
        <v>-4.6493333333333329</v>
      </c>
      <c r="O11" s="59">
        <f>-('Loan &amp; Bond Data'!$M$26*'Loan &amp; Bond Data'!$M$27/'Loan &amp; Bond Data'!$M$28)*4/6</f>
        <v>-3.7784999999999997</v>
      </c>
      <c r="P11" s="65">
        <f>SUM(D11:O11)</f>
        <v>-80.687499999999986</v>
      </c>
    </row>
    <row r="12" spans="2:16">
      <c r="B12" s="69">
        <v>5</v>
      </c>
      <c r="C12" s="69" t="s">
        <v>130</v>
      </c>
      <c r="F12" s="60"/>
      <c r="P12" s="65"/>
    </row>
    <row r="13" spans="2:16">
      <c r="B13" s="69">
        <v>6</v>
      </c>
      <c r="C13" s="69" t="s">
        <v>131</v>
      </c>
      <c r="F13" s="60"/>
      <c r="P13" s="65"/>
    </row>
    <row r="14" spans="2:16">
      <c r="B14" s="69">
        <v>7</v>
      </c>
      <c r="C14" s="69" t="s">
        <v>132</v>
      </c>
      <c r="F14" s="60"/>
      <c r="P14" s="65"/>
    </row>
    <row r="15" spans="2:16">
      <c r="B15" s="69">
        <v>8</v>
      </c>
      <c r="C15" s="69" t="s">
        <v>133</v>
      </c>
      <c r="F15" s="60"/>
      <c r="P15" s="65"/>
    </row>
    <row r="16" spans="2:16">
      <c r="B16" s="69">
        <v>9</v>
      </c>
      <c r="C16" s="69" t="s">
        <v>134</v>
      </c>
      <c r="F16" s="60"/>
      <c r="P16" s="65"/>
    </row>
    <row r="17" spans="2:16">
      <c r="B17" s="69">
        <v>10</v>
      </c>
      <c r="C17" s="69" t="s">
        <v>135</v>
      </c>
      <c r="D17" s="59">
        <f>-('Loan &amp; Bond Data'!$D$12*'Loan &amp; Bond Data'!$D$13/'Loan &amp; Bond Data'!$D$14)</f>
        <v>-9.625</v>
      </c>
      <c r="E17" s="59">
        <f>-('Loan &amp; Bond Data'!$G$12*'Loan &amp; Bond Data'!$G$13/'Loan &amp; Bond Data'!$G$14)/6*6</f>
        <v>-6.5500000000000007</v>
      </c>
      <c r="F17" s="59">
        <f>-('Loan &amp; Bond Data'!$J$12*'Loan &amp; Bond Data'!$J$13/'Loan &amp; Bond Data'!$J$14)/6*6</f>
        <v>-13.4375</v>
      </c>
      <c r="G17" s="59">
        <f>-('Loan &amp; Bond Data'!$M$12*'Loan &amp; Bond Data'!$M$13/'Loan &amp; Bond Data'!$M$14)/6*6</f>
        <v>-10.85</v>
      </c>
      <c r="H17" s="59">
        <f>-('Loan &amp; Bond Data'!$D$19*'Loan &amp; Bond Data'!$D$20/'Loan &amp; Bond Data'!$D$21)/6*6</f>
        <v>-3.875</v>
      </c>
      <c r="I17" s="59">
        <f>-('Loan &amp; Bond Data'!$G$19*'Loan &amp; Bond Data'!$G$20/'Loan &amp; Bond Data'!$G$21)/6*6</f>
        <v>-10.687499999999998</v>
      </c>
      <c r="J17" s="59">
        <f>-('Loan &amp; Bond Data'!$J$19*'Loan &amp; Bond Data'!$J$20/'Loan &amp; Bond Data'!$J$21)/6*6</f>
        <v>-24.375</v>
      </c>
      <c r="K17" s="59">
        <f>-('Loan &amp; Bond Data'!$M$19*'Loan &amp; Bond Data'!$M$20/'Loan &amp; Bond Data'!$M$21)/6*6</f>
        <v>-7.1875</v>
      </c>
      <c r="L17" s="59">
        <f>-('Loan &amp; Bond Data'!$G$26*'Loan &amp; Bond Data'!$G$27/'Loan &amp; Bond Data'!$G$28)/6*6</f>
        <v>-5.8644999999999996</v>
      </c>
      <c r="M17" s="59">
        <f>-('Loan &amp; Bond Data'!$D$26*'Loan &amp; Bond Data'!$D$27/'Loan &amp; Bond Data'!$D$28)/6*6</f>
        <v>-15.9375</v>
      </c>
      <c r="N17" s="59">
        <f>-('Loan &amp; Bond Data'!$J$26*'Loan &amp; Bond Data'!$J$27/'Loan &amp; Bond Data'!$J$28)/6*6</f>
        <v>-6.9739999999999993</v>
      </c>
      <c r="O17" s="59">
        <f>-('Loan &amp; Bond Data'!$M$26*'Loan &amp; Bond Data'!$M$27/'Loan &amp; Bond Data'!$M$28)/6*6</f>
        <v>-5.6677499999999998</v>
      </c>
      <c r="P17" s="65">
        <f t="shared" ref="P17" si="0">SUM(D17:O17)</f>
        <v>-121.03125</v>
      </c>
    </row>
    <row r="18" spans="2:16">
      <c r="B18" s="69">
        <v>11</v>
      </c>
      <c r="C18" s="69" t="s">
        <v>136</v>
      </c>
      <c r="P18" s="42"/>
    </row>
    <row r="19" spans="2:16">
      <c r="B19" s="70">
        <v>12</v>
      </c>
      <c r="C19" s="70" t="s">
        <v>137</v>
      </c>
      <c r="P19" s="42"/>
    </row>
    <row r="20" spans="2:16" ht="17" thickBot="1">
      <c r="B20" s="62"/>
      <c r="C20" s="63" t="s">
        <v>125</v>
      </c>
      <c r="D20" s="61">
        <f>SUM(D8:D19)</f>
        <v>-16.041666666666668</v>
      </c>
      <c r="E20" s="61">
        <f t="shared" ref="E20:O20" si="1">SUM(E8:E19)</f>
        <v>-10.916666666666668</v>
      </c>
      <c r="F20" s="61">
        <f t="shared" si="1"/>
        <v>-22.395833333333336</v>
      </c>
      <c r="G20" s="61">
        <f t="shared" si="1"/>
        <v>-18.083333333333332</v>
      </c>
      <c r="H20" s="61">
        <f t="shared" si="1"/>
        <v>-6.4583333333333339</v>
      </c>
      <c r="I20" s="61">
        <f t="shared" si="1"/>
        <v>-17.812499999999996</v>
      </c>
      <c r="J20" s="61">
        <f t="shared" si="1"/>
        <v>-40.625</v>
      </c>
      <c r="K20" s="61">
        <f t="shared" si="1"/>
        <v>-11.979166666666668</v>
      </c>
      <c r="L20" s="61">
        <f t="shared" si="1"/>
        <v>-9.774166666666666</v>
      </c>
      <c r="M20" s="61">
        <f t="shared" si="1"/>
        <v>-26.5625</v>
      </c>
      <c r="N20" s="61">
        <f t="shared" si="1"/>
        <v>-11.623333333333331</v>
      </c>
      <c r="O20" s="61">
        <f t="shared" si="1"/>
        <v>-9.4462499999999991</v>
      </c>
      <c r="P20" s="64">
        <f>SUM(D20:O20)</f>
        <v>-201.71874999999997</v>
      </c>
    </row>
    <row r="21" spans="2:16" ht="17" thickTop="1"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26"/>
      <c r="N21" s="26"/>
      <c r="O21" s="26"/>
      <c r="P21" s="48"/>
    </row>
    <row r="22" spans="2:16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6" ht="30" customHeight="1">
      <c r="B23" s="330">
        <v>2025</v>
      </c>
      <c r="C23" s="331"/>
      <c r="D23" s="74" t="s">
        <v>139</v>
      </c>
      <c r="E23" s="74" t="s">
        <v>140</v>
      </c>
      <c r="F23" s="75" t="s">
        <v>146</v>
      </c>
      <c r="G23" s="74" t="s">
        <v>141</v>
      </c>
      <c r="H23" s="74" t="s">
        <v>152</v>
      </c>
      <c r="I23" s="74" t="s">
        <v>142</v>
      </c>
      <c r="J23" s="74" t="s">
        <v>143</v>
      </c>
      <c r="K23" s="74" t="s">
        <v>144</v>
      </c>
      <c r="L23" s="74" t="s">
        <v>145</v>
      </c>
      <c r="M23" s="74" t="s">
        <v>147</v>
      </c>
      <c r="N23" s="74" t="s">
        <v>148</v>
      </c>
      <c r="O23" s="74" t="s">
        <v>149</v>
      </c>
      <c r="P23" s="76" t="s">
        <v>150</v>
      </c>
    </row>
    <row r="24" spans="2:16">
      <c r="B24" s="69">
        <v>1</v>
      </c>
      <c r="C24" s="71" t="s">
        <v>126</v>
      </c>
      <c r="P24" s="42"/>
    </row>
    <row r="25" spans="2:16">
      <c r="B25" s="69">
        <v>2</v>
      </c>
      <c r="C25" s="71" t="s">
        <v>127</v>
      </c>
      <c r="P25" s="42"/>
    </row>
    <row r="26" spans="2:16">
      <c r="B26" s="69">
        <v>3</v>
      </c>
      <c r="C26" s="71" t="s">
        <v>128</v>
      </c>
      <c r="P26" s="42"/>
    </row>
    <row r="27" spans="2:16">
      <c r="B27" s="69">
        <v>4</v>
      </c>
      <c r="C27" s="71" t="s">
        <v>129</v>
      </c>
      <c r="D27" s="59">
        <f>-('Loan &amp; Bond Data'!$D$12*'Loan &amp; Bond Data'!$D$13/'Loan &amp; Bond Data'!$D$14)*4/6</f>
        <v>-6.416666666666667</v>
      </c>
      <c r="E27" s="59">
        <f>-('Loan &amp; Bond Data'!$G$12*'Loan &amp; Bond Data'!$G$13/'Loan &amp; Bond Data'!$G$14)*4/6</f>
        <v>-4.3666666666666671</v>
      </c>
      <c r="F27" s="59">
        <f>-('Loan &amp; Bond Data'!$J$12*'Loan &amp; Bond Data'!$J$13/'Loan &amp; Bond Data'!$J$14)*4/6</f>
        <v>-8.9583333333333339</v>
      </c>
      <c r="G27" s="59">
        <f>-('Loan &amp; Bond Data'!$M$12*'Loan &amp; Bond Data'!$M$13/'Loan &amp; Bond Data'!$M$14)*4/6</f>
        <v>-7.2333333333333334</v>
      </c>
      <c r="H27" s="59">
        <f>-('Loan &amp; Bond Data'!$D$19*'Loan &amp; Bond Data'!$D$20/'Loan &amp; Bond Data'!$D$21)*4/6</f>
        <v>-2.5833333333333335</v>
      </c>
      <c r="I27" s="59">
        <f>-('Loan &amp; Bond Data'!$G$19*'Loan &amp; Bond Data'!$G$20/'Loan &amp; Bond Data'!$G$21)*4/6</f>
        <v>-7.1249999999999991</v>
      </c>
      <c r="J27" s="59">
        <f>-('Loan &amp; Bond Data'!$J$19*'Loan &amp; Bond Data'!$J$20/'Loan &amp; Bond Data'!$J$21)*4/6</f>
        <v>-16.25</v>
      </c>
      <c r="K27" s="59">
        <f>-('Loan &amp; Bond Data'!$M$19*'Loan &amp; Bond Data'!$M$20/'Loan &amp; Bond Data'!$M$21)*4/6</f>
        <v>-4.791666666666667</v>
      </c>
      <c r="L27" s="59">
        <f>-('Loan &amp; Bond Data'!$G$26*'Loan &amp; Bond Data'!$G$27/'Loan &amp; Bond Data'!$G$28)*4/6</f>
        <v>-3.9096666666666664</v>
      </c>
      <c r="M27" s="59">
        <f>-('Loan &amp; Bond Data'!$D$26*'Loan &amp; Bond Data'!$D$27/'Loan &amp; Bond Data'!$D$28)*4/6</f>
        <v>-10.625</v>
      </c>
      <c r="N27" s="59">
        <f>-('Loan &amp; Bond Data'!$J$26*'Loan &amp; Bond Data'!$J$27/'Loan &amp; Bond Data'!$J$28)*4/6</f>
        <v>-4.6493333333333329</v>
      </c>
      <c r="O27" s="59">
        <f>-('Loan &amp; Bond Data'!$M$26*'Loan &amp; Bond Data'!$M$27/'Loan &amp; Bond Data'!$M$28)*4/6</f>
        <v>-3.7784999999999997</v>
      </c>
      <c r="P27" s="65">
        <f>SUM(D27:O27)</f>
        <v>-80.687499999999986</v>
      </c>
    </row>
    <row r="28" spans="2:16">
      <c r="B28" s="69">
        <v>5</v>
      </c>
      <c r="C28" s="71" t="s">
        <v>130</v>
      </c>
      <c r="F28" s="60"/>
      <c r="P28" s="42"/>
    </row>
    <row r="29" spans="2:16">
      <c r="B29" s="69">
        <v>6</v>
      </c>
      <c r="C29" s="71" t="s">
        <v>131</v>
      </c>
      <c r="F29" s="60"/>
      <c r="P29" s="42"/>
    </row>
    <row r="30" spans="2:16">
      <c r="B30" s="69">
        <v>7</v>
      </c>
      <c r="C30" s="71" t="s">
        <v>132</v>
      </c>
      <c r="F30" s="60"/>
      <c r="P30" s="42"/>
    </row>
    <row r="31" spans="2:16">
      <c r="B31" s="69">
        <v>8</v>
      </c>
      <c r="C31" s="71" t="s">
        <v>133</v>
      </c>
      <c r="F31" s="60"/>
      <c r="P31" s="42"/>
    </row>
    <row r="32" spans="2:16">
      <c r="B32" s="69">
        <v>9</v>
      </c>
      <c r="C32" s="71" t="s">
        <v>134</v>
      </c>
      <c r="F32" s="60"/>
      <c r="P32" s="42"/>
    </row>
    <row r="33" spans="2:16">
      <c r="B33" s="69">
        <v>10</v>
      </c>
      <c r="C33" s="71" t="s">
        <v>135</v>
      </c>
      <c r="D33" s="59">
        <f>-('Loan &amp; Bond Data'!$D$12*'Loan &amp; Bond Data'!$D$13/'Loan &amp; Bond Data'!$D$14)/6*6</f>
        <v>-9.625</v>
      </c>
      <c r="E33" s="59">
        <f>-('Loan &amp; Bond Data'!$G$12*'Loan &amp; Bond Data'!$G$13/'Loan &amp; Bond Data'!$G$14)/6*6</f>
        <v>-6.5500000000000007</v>
      </c>
      <c r="F33" s="59">
        <f>-('Loan &amp; Bond Data'!$J$12*'Loan &amp; Bond Data'!$J$13/'Loan &amp; Bond Data'!$J$14)/6*6</f>
        <v>-13.4375</v>
      </c>
      <c r="G33" s="59">
        <f>-('Loan &amp; Bond Data'!$M$12*'Loan &amp; Bond Data'!$M$13/'Loan &amp; Bond Data'!$M$14)/6*6</f>
        <v>-10.85</v>
      </c>
      <c r="H33" s="59">
        <f>-('Loan &amp; Bond Data'!$D$19*'Loan &amp; Bond Data'!$D$20/'Loan &amp; Bond Data'!$D$21)/6*6</f>
        <v>-3.875</v>
      </c>
      <c r="I33" s="59">
        <f>-('Loan &amp; Bond Data'!$G$19*'Loan &amp; Bond Data'!$G$20/'Loan &amp; Bond Data'!$G$21)/6*6</f>
        <v>-10.687499999999998</v>
      </c>
      <c r="J33" s="59">
        <f>-('Loan &amp; Bond Data'!$J$19*'Loan &amp; Bond Data'!$J$20/'Loan &amp; Bond Data'!$J$21)/6*6</f>
        <v>-24.375</v>
      </c>
      <c r="K33" s="59">
        <f>-('Loan &amp; Bond Data'!$M$19*'Loan &amp; Bond Data'!$M$20/'Loan &amp; Bond Data'!$M$21)/6*6</f>
        <v>-7.1875</v>
      </c>
      <c r="L33" s="59">
        <f>-('Loan &amp; Bond Data'!$G$26*'Loan &amp; Bond Data'!$G$27/'Loan &amp; Bond Data'!$G$28)/6*6</f>
        <v>-5.8644999999999996</v>
      </c>
      <c r="M33" s="59">
        <f>-('Loan &amp; Bond Data'!$D$26*'Loan &amp; Bond Data'!$D$27/'Loan &amp; Bond Data'!$D$28)/6*6</f>
        <v>-15.9375</v>
      </c>
      <c r="N33" s="59">
        <f>-('Loan &amp; Bond Data'!$J$26*'Loan &amp; Bond Data'!$J$27/'Loan &amp; Bond Data'!$J$28)/6*6</f>
        <v>-6.9739999999999993</v>
      </c>
      <c r="O33" s="59">
        <f>-('Loan &amp; Bond Data'!$M$26*'Loan &amp; Bond Data'!$M$27/'Loan &amp; Bond Data'!$M$28)/6*6</f>
        <v>-5.6677499999999998</v>
      </c>
      <c r="P33" s="65">
        <f>SUM(D33:O33)</f>
        <v>-121.03125</v>
      </c>
    </row>
    <row r="34" spans="2:16">
      <c r="B34" s="69">
        <v>11</v>
      </c>
      <c r="C34" s="71" t="s">
        <v>136</v>
      </c>
      <c r="P34" s="42"/>
    </row>
    <row r="35" spans="2:16">
      <c r="B35" s="70">
        <v>12</v>
      </c>
      <c r="C35" s="72" t="s">
        <v>137</v>
      </c>
      <c r="P35" s="42"/>
    </row>
    <row r="36" spans="2:16" ht="17" thickBot="1">
      <c r="B36" s="62"/>
      <c r="C36" s="63" t="s">
        <v>125</v>
      </c>
      <c r="D36" s="61">
        <f>SUM(D24:D35)</f>
        <v>-16.041666666666668</v>
      </c>
      <c r="E36" s="61">
        <f t="shared" ref="E36:P36" si="2">SUM(E24:E35)</f>
        <v>-10.916666666666668</v>
      </c>
      <c r="F36" s="61">
        <f t="shared" si="2"/>
        <v>-22.395833333333336</v>
      </c>
      <c r="G36" s="61">
        <f t="shared" si="2"/>
        <v>-18.083333333333332</v>
      </c>
      <c r="H36" s="61">
        <f t="shared" si="2"/>
        <v>-6.4583333333333339</v>
      </c>
      <c r="I36" s="61">
        <f t="shared" si="2"/>
        <v>-17.812499999999996</v>
      </c>
      <c r="J36" s="61">
        <f t="shared" si="2"/>
        <v>-40.625</v>
      </c>
      <c r="K36" s="61">
        <f t="shared" si="2"/>
        <v>-11.979166666666668</v>
      </c>
      <c r="L36" s="61">
        <f t="shared" si="2"/>
        <v>-9.774166666666666</v>
      </c>
      <c r="M36" s="61">
        <f t="shared" si="2"/>
        <v>-26.5625</v>
      </c>
      <c r="N36" s="61">
        <f t="shared" si="2"/>
        <v>-11.623333333333331</v>
      </c>
      <c r="O36" s="61">
        <f t="shared" si="2"/>
        <v>-9.4462499999999991</v>
      </c>
      <c r="P36" s="64">
        <f t="shared" si="2"/>
        <v>-201.71875</v>
      </c>
    </row>
    <row r="37" spans="2:16" ht="17" thickTop="1">
      <c r="B37" s="5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48"/>
    </row>
    <row r="38" spans="2:16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2:16" ht="31" customHeight="1">
      <c r="B39" s="330">
        <v>2026</v>
      </c>
      <c r="C39" s="331"/>
      <c r="D39" s="77" t="s">
        <v>139</v>
      </c>
      <c r="E39" s="77" t="s">
        <v>140</v>
      </c>
      <c r="F39" s="78" t="s">
        <v>146</v>
      </c>
      <c r="G39" s="77" t="s">
        <v>141</v>
      </c>
      <c r="H39" s="77" t="s">
        <v>152</v>
      </c>
      <c r="I39" s="77" t="s">
        <v>142</v>
      </c>
      <c r="J39" s="77" t="s">
        <v>143</v>
      </c>
      <c r="K39" s="77" t="s">
        <v>144</v>
      </c>
      <c r="L39" s="77" t="s">
        <v>145</v>
      </c>
      <c r="M39" s="77" t="s">
        <v>147</v>
      </c>
      <c r="N39" s="77" t="s">
        <v>148</v>
      </c>
      <c r="O39" s="77" t="s">
        <v>149</v>
      </c>
      <c r="P39" s="79" t="s">
        <v>150</v>
      </c>
    </row>
    <row r="40" spans="2:16">
      <c r="B40" s="73">
        <v>1</v>
      </c>
      <c r="C40" s="73" t="s">
        <v>126</v>
      </c>
      <c r="P40" s="42"/>
    </row>
    <row r="41" spans="2:16">
      <c r="B41" s="69">
        <v>2</v>
      </c>
      <c r="C41" s="69" t="s">
        <v>127</v>
      </c>
      <c r="P41" s="42"/>
    </row>
    <row r="42" spans="2:16">
      <c r="B42" s="69">
        <v>3</v>
      </c>
      <c r="C42" s="69" t="s">
        <v>128</v>
      </c>
      <c r="P42" s="42"/>
    </row>
    <row r="43" spans="2:16">
      <c r="B43" s="69">
        <v>4</v>
      </c>
      <c r="C43" s="69" t="s">
        <v>129</v>
      </c>
      <c r="D43" s="59"/>
      <c r="E43" s="59">
        <f>-('Loan &amp; Bond Data'!$G$12*'Loan &amp; Bond Data'!$G$13/'Loan &amp; Bond Data'!$G$14)*4/6</f>
        <v>-4.3666666666666671</v>
      </c>
      <c r="F43" s="59">
        <f>-('Loan &amp; Bond Data'!$J$12*'Loan &amp; Bond Data'!$J$13/'Loan &amp; Bond Data'!$J$14)*4/6</f>
        <v>-8.9583333333333339</v>
      </c>
      <c r="G43" s="59">
        <f>-('Loan &amp; Bond Data'!$M$12*'Loan &amp; Bond Data'!$M$13/'Loan &amp; Bond Data'!$M$14)*4/6</f>
        <v>-7.2333333333333334</v>
      </c>
      <c r="H43" s="59">
        <f>-('Loan &amp; Bond Data'!$D$19*'Loan &amp; Bond Data'!$D$20/'Loan &amp; Bond Data'!$D$21)*4/6</f>
        <v>-2.5833333333333335</v>
      </c>
      <c r="I43" s="59">
        <f>-('Loan &amp; Bond Data'!$G$19*'Loan &amp; Bond Data'!$G$20/'Loan &amp; Bond Data'!$G$21)*4/6</f>
        <v>-7.1249999999999991</v>
      </c>
      <c r="J43" s="59">
        <f>-('Loan &amp; Bond Data'!$J$19*'Loan &amp; Bond Data'!$J$20/'Loan &amp; Bond Data'!$J$21)*4/6</f>
        <v>-16.25</v>
      </c>
      <c r="K43" s="59">
        <f>-('Loan &amp; Bond Data'!$M$19*'Loan &amp; Bond Data'!$M$20/'Loan &amp; Bond Data'!$M$21)*4/6</f>
        <v>-4.791666666666667</v>
      </c>
      <c r="L43" s="59">
        <f>-('Loan &amp; Bond Data'!$G$26*'Loan &amp; Bond Data'!$G$27/'Loan &amp; Bond Data'!$G$28)*4/6</f>
        <v>-3.9096666666666664</v>
      </c>
      <c r="M43" s="59">
        <f>-('Loan &amp; Bond Data'!$D$26*'Loan &amp; Bond Data'!$D$27/'Loan &amp; Bond Data'!$D$28)*4/6</f>
        <v>-10.625</v>
      </c>
      <c r="N43" s="59">
        <f>-('Loan &amp; Bond Data'!$J$26*'Loan &amp; Bond Data'!$J$27/'Loan &amp; Bond Data'!$J$28)*4/6</f>
        <v>-4.6493333333333329</v>
      </c>
      <c r="O43" s="59">
        <f>-('Loan &amp; Bond Data'!$M$26*'Loan &amp; Bond Data'!$M$27/'Loan &amp; Bond Data'!$M$28)*4/6</f>
        <v>-3.7784999999999997</v>
      </c>
      <c r="P43" s="65">
        <f>SUM(D43:O43)</f>
        <v>-74.270833333333314</v>
      </c>
    </row>
    <row r="44" spans="2:16">
      <c r="B44" s="69">
        <v>5</v>
      </c>
      <c r="C44" s="69" t="s">
        <v>130</v>
      </c>
      <c r="F44" s="60"/>
      <c r="P44" s="65"/>
    </row>
    <row r="45" spans="2:16">
      <c r="B45" s="69">
        <v>6</v>
      </c>
      <c r="C45" s="69" t="s">
        <v>131</v>
      </c>
      <c r="F45" s="60"/>
      <c r="P45" s="65"/>
    </row>
    <row r="46" spans="2:16">
      <c r="B46" s="69">
        <v>7</v>
      </c>
      <c r="C46" s="69" t="s">
        <v>132</v>
      </c>
      <c r="F46" s="60"/>
      <c r="P46" s="65"/>
    </row>
    <row r="47" spans="2:16">
      <c r="B47" s="69">
        <v>8</v>
      </c>
      <c r="C47" s="69" t="s">
        <v>133</v>
      </c>
      <c r="F47" s="60"/>
      <c r="P47" s="65"/>
    </row>
    <row r="48" spans="2:16">
      <c r="B48" s="69">
        <v>9</v>
      </c>
      <c r="C48" s="69" t="s">
        <v>134</v>
      </c>
      <c r="F48" s="60"/>
      <c r="P48" s="65"/>
    </row>
    <row r="49" spans="2:16">
      <c r="B49" s="69">
        <v>10</v>
      </c>
      <c r="C49" s="69" t="s">
        <v>135</v>
      </c>
      <c r="D49" s="59"/>
      <c r="E49" s="59">
        <f>-('Loan &amp; Bond Data'!$G$12*'Loan &amp; Bond Data'!$G$13/'Loan &amp; Bond Data'!$G$14)/6*6</f>
        <v>-6.5500000000000007</v>
      </c>
      <c r="F49" s="59">
        <f>-('Loan &amp; Bond Data'!$J$12*'Loan &amp; Bond Data'!$J$13/'Loan &amp; Bond Data'!$J$14)/6*6</f>
        <v>-13.4375</v>
      </c>
      <c r="G49" s="59">
        <f>-('Loan &amp; Bond Data'!$M$12*'Loan &amp; Bond Data'!$M$13/'Loan &amp; Bond Data'!$M$14)/6*6</f>
        <v>-10.85</v>
      </c>
      <c r="H49" s="59">
        <f>-('Loan &amp; Bond Data'!$D$19*'Loan &amp; Bond Data'!$D$20/'Loan &amp; Bond Data'!$D$21)/6*6</f>
        <v>-3.875</v>
      </c>
      <c r="I49" s="59">
        <f>-('Loan &amp; Bond Data'!$G$19*'Loan &amp; Bond Data'!$G$20/'Loan &amp; Bond Data'!$G$21)/6*6</f>
        <v>-10.687499999999998</v>
      </c>
      <c r="J49" s="59">
        <f>-('Loan &amp; Bond Data'!$J$19*'Loan &amp; Bond Data'!$J$20/'Loan &amp; Bond Data'!$J$21)/6*6</f>
        <v>-24.375</v>
      </c>
      <c r="K49" s="59">
        <f>-('Loan &amp; Bond Data'!$M$19*'Loan &amp; Bond Data'!$M$20/'Loan &amp; Bond Data'!$M$21)/6*6</f>
        <v>-7.1875</v>
      </c>
      <c r="L49" s="59">
        <f>-('Loan &amp; Bond Data'!$G$26*'Loan &amp; Bond Data'!$G$27/'Loan &amp; Bond Data'!$G$28)/6*6</f>
        <v>-5.8644999999999996</v>
      </c>
      <c r="M49" s="59">
        <f>-('Loan &amp; Bond Data'!$D$26*'Loan &amp; Bond Data'!$D$27/'Loan &amp; Bond Data'!$D$28)/6*6</f>
        <v>-15.9375</v>
      </c>
      <c r="N49" s="59">
        <f>-('Loan &amp; Bond Data'!$J$26*'Loan &amp; Bond Data'!$J$27/'Loan &amp; Bond Data'!$J$28)/6*6</f>
        <v>-6.9739999999999993</v>
      </c>
      <c r="O49" s="59">
        <f>-('Loan &amp; Bond Data'!$M$26*'Loan &amp; Bond Data'!$M$27/'Loan &amp; Bond Data'!$M$28)/6*6</f>
        <v>-5.6677499999999998</v>
      </c>
      <c r="P49" s="65">
        <f t="shared" ref="P49" si="3">SUM(D49:O49)</f>
        <v>-111.40625</v>
      </c>
    </row>
    <row r="50" spans="2:16">
      <c r="B50" s="69">
        <v>11</v>
      </c>
      <c r="C50" s="69" t="s">
        <v>136</v>
      </c>
      <c r="P50" s="42"/>
    </row>
    <row r="51" spans="2:16">
      <c r="B51" s="70">
        <v>12</v>
      </c>
      <c r="C51" s="70" t="s">
        <v>137</v>
      </c>
      <c r="P51" s="42"/>
    </row>
    <row r="52" spans="2:16" ht="17" thickBot="1">
      <c r="B52" s="62"/>
      <c r="C52" s="63" t="s">
        <v>125</v>
      </c>
      <c r="D52" s="61"/>
      <c r="E52" s="61">
        <f t="shared" ref="E52:P52" si="4">SUM(E40:E51)</f>
        <v>-10.916666666666668</v>
      </c>
      <c r="F52" s="61">
        <f t="shared" si="4"/>
        <v>-22.395833333333336</v>
      </c>
      <c r="G52" s="61">
        <f t="shared" si="4"/>
        <v>-18.083333333333332</v>
      </c>
      <c r="H52" s="61">
        <f t="shared" si="4"/>
        <v>-6.4583333333333339</v>
      </c>
      <c r="I52" s="61">
        <f t="shared" si="4"/>
        <v>-17.812499999999996</v>
      </c>
      <c r="J52" s="61">
        <f t="shared" si="4"/>
        <v>-40.625</v>
      </c>
      <c r="K52" s="61">
        <f t="shared" si="4"/>
        <v>-11.979166666666668</v>
      </c>
      <c r="L52" s="61">
        <f t="shared" si="4"/>
        <v>-9.774166666666666</v>
      </c>
      <c r="M52" s="61">
        <f t="shared" si="4"/>
        <v>-26.5625</v>
      </c>
      <c r="N52" s="61">
        <f t="shared" si="4"/>
        <v>-11.623333333333331</v>
      </c>
      <c r="O52" s="61">
        <f t="shared" si="4"/>
        <v>-9.4462499999999991</v>
      </c>
      <c r="P52" s="64">
        <f t="shared" si="4"/>
        <v>-185.67708333333331</v>
      </c>
    </row>
    <row r="53" spans="2:16" ht="17" thickTop="1">
      <c r="B53" s="5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48"/>
    </row>
    <row r="55" spans="2:16" ht="48">
      <c r="B55" s="330">
        <v>2027</v>
      </c>
      <c r="C55" s="331"/>
      <c r="D55" s="77" t="s">
        <v>139</v>
      </c>
      <c r="E55" s="77" t="s">
        <v>140</v>
      </c>
      <c r="F55" s="78" t="s">
        <v>146</v>
      </c>
      <c r="G55" s="77" t="s">
        <v>141</v>
      </c>
      <c r="H55" s="77" t="s">
        <v>152</v>
      </c>
      <c r="I55" s="77" t="s">
        <v>142</v>
      </c>
      <c r="J55" s="77" t="s">
        <v>143</v>
      </c>
      <c r="K55" s="77" t="s">
        <v>144</v>
      </c>
      <c r="L55" s="77" t="s">
        <v>145</v>
      </c>
      <c r="M55" s="77" t="s">
        <v>147</v>
      </c>
      <c r="N55" s="77" t="s">
        <v>148</v>
      </c>
      <c r="O55" s="77" t="s">
        <v>149</v>
      </c>
      <c r="P55" s="79" t="s">
        <v>150</v>
      </c>
    </row>
    <row r="56" spans="2:16">
      <c r="B56" s="73">
        <v>1</v>
      </c>
      <c r="C56" s="73" t="s">
        <v>126</v>
      </c>
      <c r="P56" s="42"/>
    </row>
    <row r="57" spans="2:16">
      <c r="B57" s="69">
        <v>2</v>
      </c>
      <c r="C57" s="69" t="s">
        <v>127</v>
      </c>
      <c r="P57" s="42"/>
    </row>
    <row r="58" spans="2:16">
      <c r="B58" s="69">
        <v>3</v>
      </c>
      <c r="C58" s="69" t="s">
        <v>128</v>
      </c>
      <c r="P58" s="42"/>
    </row>
    <row r="59" spans="2:16">
      <c r="B59" s="69">
        <v>4</v>
      </c>
      <c r="C59" s="69" t="s">
        <v>129</v>
      </c>
      <c r="D59" s="59"/>
      <c r="E59" s="59">
        <f>-('Loan &amp; Bond Data'!$G$12*'Loan &amp; Bond Data'!$G$13/'Loan &amp; Bond Data'!$G$14)*4/6</f>
        <v>-4.3666666666666671</v>
      </c>
      <c r="F59" s="59">
        <f>-('Loan &amp; Bond Data'!$J$12*'Loan &amp; Bond Data'!$J$13/'Loan &amp; Bond Data'!$J$14)*4/6</f>
        <v>-8.9583333333333339</v>
      </c>
      <c r="G59" s="59">
        <f>-('Loan &amp; Bond Data'!$M$12*'Loan &amp; Bond Data'!$M$13/'Loan &amp; Bond Data'!$M$14)*4/6</f>
        <v>-7.2333333333333334</v>
      </c>
      <c r="H59" s="59">
        <f>-('Loan &amp; Bond Data'!$D$19*'Loan &amp; Bond Data'!$D$20/'Loan &amp; Bond Data'!$D$21)*4/6</f>
        <v>-2.5833333333333335</v>
      </c>
      <c r="I59" s="59">
        <f>-('Loan &amp; Bond Data'!$G$19*'Loan &amp; Bond Data'!$G$20/'Loan &amp; Bond Data'!$G$21)*4/6</f>
        <v>-7.1249999999999991</v>
      </c>
      <c r="J59" s="59">
        <f>-('Loan &amp; Bond Data'!$J$19*'Loan &amp; Bond Data'!$J$20/'Loan &amp; Bond Data'!$J$21)*4/6</f>
        <v>-16.25</v>
      </c>
      <c r="K59" s="59">
        <f>-('Loan &amp; Bond Data'!$M$19*'Loan &amp; Bond Data'!$M$20/'Loan &amp; Bond Data'!$M$21)*4/6</f>
        <v>-4.791666666666667</v>
      </c>
      <c r="L59" s="59">
        <f>-('Loan &amp; Bond Data'!$G$26*'Loan &amp; Bond Data'!$G$27/'Loan &amp; Bond Data'!$G$28)*4/6</f>
        <v>-3.9096666666666664</v>
      </c>
      <c r="M59" s="59">
        <f>-('Loan &amp; Bond Data'!$D$26*'Loan &amp; Bond Data'!$D$27/'Loan &amp; Bond Data'!$D$28)*4/6</f>
        <v>-10.625</v>
      </c>
      <c r="N59" s="59">
        <f>-('Loan &amp; Bond Data'!$J$26*'Loan &amp; Bond Data'!$J$27/'Loan &amp; Bond Data'!$J$28)*4/6</f>
        <v>-4.6493333333333329</v>
      </c>
      <c r="O59" s="59">
        <f>-('Loan &amp; Bond Data'!$M$26*'Loan &amp; Bond Data'!$M$27/'Loan &amp; Bond Data'!$M$28)*4/6</f>
        <v>-3.7784999999999997</v>
      </c>
      <c r="P59" s="65">
        <f>SUM(D59:O59)</f>
        <v>-74.270833333333314</v>
      </c>
    </row>
    <row r="60" spans="2:16">
      <c r="B60" s="69">
        <v>5</v>
      </c>
      <c r="C60" s="69" t="s">
        <v>130</v>
      </c>
      <c r="F60" s="60"/>
      <c r="P60" s="65"/>
    </row>
    <row r="61" spans="2:16">
      <c r="B61" s="69">
        <v>6</v>
      </c>
      <c r="C61" s="69" t="s">
        <v>131</v>
      </c>
      <c r="F61" s="60"/>
      <c r="P61" s="65"/>
    </row>
    <row r="62" spans="2:16">
      <c r="B62" s="69">
        <v>7</v>
      </c>
      <c r="C62" s="69" t="s">
        <v>132</v>
      </c>
      <c r="F62" s="60"/>
      <c r="P62" s="65"/>
    </row>
    <row r="63" spans="2:16">
      <c r="B63" s="69">
        <v>8</v>
      </c>
      <c r="C63" s="69" t="s">
        <v>133</v>
      </c>
      <c r="F63" s="60"/>
      <c r="P63" s="65"/>
    </row>
    <row r="64" spans="2:16">
      <c r="B64" s="69">
        <v>9</v>
      </c>
      <c r="C64" s="69" t="s">
        <v>134</v>
      </c>
      <c r="F64" s="60"/>
      <c r="P64" s="65"/>
    </row>
    <row r="65" spans="2:16">
      <c r="B65" s="69">
        <v>10</v>
      </c>
      <c r="C65" s="69" t="s">
        <v>135</v>
      </c>
      <c r="D65" s="59"/>
      <c r="E65" s="59">
        <f>-('Loan &amp; Bond Data'!$G$12*'Loan &amp; Bond Data'!$G$13/'Loan &amp; Bond Data'!$G$14)/6*6</f>
        <v>-6.5500000000000007</v>
      </c>
      <c r="F65" s="59">
        <f>-('Loan &amp; Bond Data'!$J$12*'Loan &amp; Bond Data'!$J$13/'Loan &amp; Bond Data'!$J$14)/6*6</f>
        <v>-13.4375</v>
      </c>
      <c r="G65" s="59">
        <f>-('Loan &amp; Bond Data'!$M$12*'Loan &amp; Bond Data'!$M$13/'Loan &amp; Bond Data'!$M$14)/6*6</f>
        <v>-10.85</v>
      </c>
      <c r="H65" s="59">
        <f>-('Loan &amp; Bond Data'!$D$19*'Loan &amp; Bond Data'!$D$20/'Loan &amp; Bond Data'!$D$21)/6*6</f>
        <v>-3.875</v>
      </c>
      <c r="I65" s="59">
        <f>-('Loan &amp; Bond Data'!$G$19*'Loan &amp; Bond Data'!$G$20/'Loan &amp; Bond Data'!$G$21)/6*6</f>
        <v>-10.687499999999998</v>
      </c>
      <c r="J65" s="59">
        <f>-('Loan &amp; Bond Data'!$J$19*'Loan &amp; Bond Data'!$J$20/'Loan &amp; Bond Data'!$J$21)/6*6</f>
        <v>-24.375</v>
      </c>
      <c r="K65" s="59">
        <f>-('Loan &amp; Bond Data'!$M$19*'Loan &amp; Bond Data'!$M$20/'Loan &amp; Bond Data'!$M$21)/6*6</f>
        <v>-7.1875</v>
      </c>
      <c r="L65" s="59">
        <f>-('Loan &amp; Bond Data'!$G$26*'Loan &amp; Bond Data'!$G$27/'Loan &amp; Bond Data'!$G$28)/6*6</f>
        <v>-5.8644999999999996</v>
      </c>
      <c r="M65" s="59">
        <f>-('Loan &amp; Bond Data'!$D$26*'Loan &amp; Bond Data'!$D$27/'Loan &amp; Bond Data'!$D$28)/6*6</f>
        <v>-15.9375</v>
      </c>
      <c r="N65" s="59">
        <f>-('Loan &amp; Bond Data'!$J$26*'Loan &amp; Bond Data'!$J$27/'Loan &amp; Bond Data'!$J$28)/6*6</f>
        <v>-6.9739999999999993</v>
      </c>
      <c r="O65" s="59">
        <f>-('Loan &amp; Bond Data'!$M$26*'Loan &amp; Bond Data'!$M$27/'Loan &amp; Bond Data'!$M$28)/6*6</f>
        <v>-5.6677499999999998</v>
      </c>
      <c r="P65" s="65">
        <f t="shared" ref="P65" si="5">SUM(D65:O65)</f>
        <v>-111.40625</v>
      </c>
    </row>
    <row r="66" spans="2:16">
      <c r="B66" s="69">
        <v>11</v>
      </c>
      <c r="C66" s="69" t="s">
        <v>136</v>
      </c>
      <c r="P66" s="42"/>
    </row>
    <row r="67" spans="2:16">
      <c r="B67" s="70">
        <v>12</v>
      </c>
      <c r="C67" s="70" t="s">
        <v>137</v>
      </c>
      <c r="P67" s="42"/>
    </row>
    <row r="68" spans="2:16" ht="17" thickBot="1">
      <c r="B68" s="62"/>
      <c r="C68" s="63" t="s">
        <v>125</v>
      </c>
      <c r="D68" s="61"/>
      <c r="E68" s="61">
        <f t="shared" ref="E68:P68" si="6">SUM(E56:E67)</f>
        <v>-10.916666666666668</v>
      </c>
      <c r="F68" s="61">
        <f t="shared" si="6"/>
        <v>-22.395833333333336</v>
      </c>
      <c r="G68" s="61">
        <f t="shared" si="6"/>
        <v>-18.083333333333332</v>
      </c>
      <c r="H68" s="61">
        <f t="shared" si="6"/>
        <v>-6.4583333333333339</v>
      </c>
      <c r="I68" s="61">
        <f t="shared" si="6"/>
        <v>-17.812499999999996</v>
      </c>
      <c r="J68" s="61">
        <f t="shared" si="6"/>
        <v>-40.625</v>
      </c>
      <c r="K68" s="61">
        <f t="shared" si="6"/>
        <v>-11.979166666666668</v>
      </c>
      <c r="L68" s="61">
        <f t="shared" si="6"/>
        <v>-9.774166666666666</v>
      </c>
      <c r="M68" s="61">
        <f t="shared" si="6"/>
        <v>-26.5625</v>
      </c>
      <c r="N68" s="61">
        <f t="shared" si="6"/>
        <v>-11.623333333333331</v>
      </c>
      <c r="O68" s="61">
        <f t="shared" si="6"/>
        <v>-9.4462499999999991</v>
      </c>
      <c r="P68" s="64">
        <f t="shared" si="6"/>
        <v>-185.67708333333331</v>
      </c>
    </row>
    <row r="69" spans="2:16" ht="17" thickTop="1">
      <c r="B69" s="5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48"/>
    </row>
    <row r="71" spans="2:16" ht="48">
      <c r="B71" s="332">
        <v>2028</v>
      </c>
      <c r="C71" s="333"/>
      <c r="D71" s="263" t="s">
        <v>139</v>
      </c>
      <c r="E71" s="263" t="s">
        <v>140</v>
      </c>
      <c r="F71" s="264" t="s">
        <v>146</v>
      </c>
      <c r="G71" s="263" t="s">
        <v>141</v>
      </c>
      <c r="H71" s="263" t="s">
        <v>152</v>
      </c>
      <c r="I71" s="263" t="s">
        <v>142</v>
      </c>
      <c r="J71" s="263" t="s">
        <v>143</v>
      </c>
      <c r="K71" s="263" t="s">
        <v>144</v>
      </c>
      <c r="L71" s="263" t="s">
        <v>145</v>
      </c>
      <c r="M71" s="263" t="s">
        <v>147</v>
      </c>
      <c r="N71" s="263" t="s">
        <v>148</v>
      </c>
      <c r="O71" s="263" t="s">
        <v>149</v>
      </c>
      <c r="P71" s="265" t="s">
        <v>150</v>
      </c>
    </row>
    <row r="72" spans="2:16">
      <c r="B72" s="266">
        <v>1</v>
      </c>
      <c r="C72" s="267" t="s">
        <v>126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268"/>
    </row>
    <row r="73" spans="2:16">
      <c r="B73" s="266">
        <v>2</v>
      </c>
      <c r="C73" s="267" t="s">
        <v>127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268"/>
    </row>
    <row r="74" spans="2:16">
      <c r="B74" s="266">
        <v>3</v>
      </c>
      <c r="C74" s="267" t="s">
        <v>128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268"/>
    </row>
    <row r="75" spans="2:16">
      <c r="B75" s="266">
        <v>4</v>
      </c>
      <c r="C75" s="267" t="s">
        <v>129</v>
      </c>
      <c r="D75" s="59"/>
      <c r="E75" s="59"/>
      <c r="F75" s="59">
        <v>-8.9600000000000009</v>
      </c>
      <c r="G75" s="59">
        <v>-7.23</v>
      </c>
      <c r="H75" s="59">
        <v>-2.58</v>
      </c>
      <c r="I75" s="59">
        <v>-7.13</v>
      </c>
      <c r="J75" s="59">
        <v>-16.25</v>
      </c>
      <c r="K75" s="59">
        <v>-4.79</v>
      </c>
      <c r="L75" s="59">
        <v>-3.91</v>
      </c>
      <c r="M75" s="59">
        <v>-10.63</v>
      </c>
      <c r="N75" s="59">
        <v>-4.6500000000000004</v>
      </c>
      <c r="O75" s="59">
        <v>-3.78</v>
      </c>
      <c r="P75" s="269">
        <f>SUM(D75:O75)</f>
        <v>-69.910000000000011</v>
      </c>
    </row>
    <row r="76" spans="2:16">
      <c r="B76" s="266">
        <v>5</v>
      </c>
      <c r="C76" s="267" t="s">
        <v>130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269"/>
    </row>
    <row r="77" spans="2:16">
      <c r="B77" s="266">
        <v>6</v>
      </c>
      <c r="C77" s="267" t="s">
        <v>131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269"/>
    </row>
    <row r="78" spans="2:16">
      <c r="B78" s="266">
        <v>7</v>
      </c>
      <c r="C78" s="267" t="s">
        <v>132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269"/>
    </row>
    <row r="79" spans="2:16">
      <c r="B79" s="266">
        <v>8</v>
      </c>
      <c r="C79" s="267" t="s">
        <v>133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269"/>
    </row>
    <row r="80" spans="2:16">
      <c r="B80" s="266">
        <v>9</v>
      </c>
      <c r="C80" s="267" t="s">
        <v>134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269"/>
    </row>
    <row r="81" spans="2:16">
      <c r="B81" s="266">
        <v>10</v>
      </c>
      <c r="C81" s="267" t="s">
        <v>135</v>
      </c>
      <c r="D81" s="59"/>
      <c r="E81" s="59"/>
      <c r="F81" s="59">
        <v>-13.44</v>
      </c>
      <c r="G81" s="59">
        <v>-10.85</v>
      </c>
      <c r="H81" s="59">
        <v>-3.88</v>
      </c>
      <c r="I81" s="59">
        <v>-10.69</v>
      </c>
      <c r="J81" s="59">
        <v>-24.38</v>
      </c>
      <c r="K81" s="59">
        <v>-7.19</v>
      </c>
      <c r="L81" s="59">
        <v>-5.86</v>
      </c>
      <c r="M81" s="59">
        <v>-15.94</v>
      </c>
      <c r="N81" s="59">
        <v>-6.97</v>
      </c>
      <c r="O81" s="59">
        <v>-5.67</v>
      </c>
      <c r="P81" s="269">
        <f>SUM(D81:O81)</f>
        <v>-104.86999999999999</v>
      </c>
    </row>
    <row r="82" spans="2:16">
      <c r="B82" s="266">
        <v>11</v>
      </c>
      <c r="C82" s="267" t="s">
        <v>136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268"/>
    </row>
    <row r="83" spans="2:16">
      <c r="B83" s="270">
        <v>12</v>
      </c>
      <c r="C83" s="271" t="s">
        <v>137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268"/>
    </row>
    <row r="84" spans="2:16" ht="17" thickBot="1">
      <c r="B84" s="272"/>
      <c r="C84" s="273" t="s">
        <v>125</v>
      </c>
      <c r="D84" s="61"/>
      <c r="E84" s="61"/>
      <c r="F84" s="61">
        <v>-22.4</v>
      </c>
      <c r="G84" s="61">
        <v>-18.079999999999998</v>
      </c>
      <c r="H84" s="61">
        <v>-6.46</v>
      </c>
      <c r="I84" s="61">
        <v>-17.809999999999999</v>
      </c>
      <c r="J84" s="61">
        <v>-40.630000000000003</v>
      </c>
      <c r="K84" s="61">
        <v>-11.98</v>
      </c>
      <c r="L84" s="61">
        <v>-9.77</v>
      </c>
      <c r="M84" s="61">
        <v>-26.56</v>
      </c>
      <c r="N84" s="61">
        <v>-11.62</v>
      </c>
      <c r="O84" s="61">
        <v>-9.4499999999999993</v>
      </c>
      <c r="P84" s="64">
        <f>SUM(P75:P81)</f>
        <v>-174.78</v>
      </c>
    </row>
    <row r="85" spans="2:16" ht="17" thickTop="1">
      <c r="B85" s="274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6"/>
    </row>
  </sheetData>
  <mergeCells count="5">
    <mergeCell ref="B39:C39"/>
    <mergeCell ref="B7:C7"/>
    <mergeCell ref="B23:C23"/>
    <mergeCell ref="B55:C55"/>
    <mergeCell ref="B71:C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BA39-FFA9-ED45-B98D-7EAFD1C74C37}">
  <dimension ref="C1:M28"/>
  <sheetViews>
    <sheetView zoomScale="90" zoomScaleNormal="90" workbookViewId="0">
      <selection activeCell="D11" sqref="D11"/>
    </sheetView>
  </sheetViews>
  <sheetFormatPr baseColWidth="10" defaultRowHeight="16"/>
  <cols>
    <col min="1" max="1" width="2" customWidth="1"/>
    <col min="3" max="3" width="22.5" customWidth="1"/>
    <col min="6" max="6" width="23.33203125" bestFit="1" customWidth="1"/>
    <col min="9" max="9" width="23.1640625" bestFit="1" customWidth="1"/>
    <col min="12" max="12" width="23.1640625" bestFit="1" customWidth="1"/>
    <col min="15" max="15" width="19" bestFit="1" customWidth="1"/>
  </cols>
  <sheetData>
    <row r="1" spans="3:13" ht="9" customHeight="1"/>
    <row r="2" spans="3:13">
      <c r="H2" s="46" t="s">
        <v>122</v>
      </c>
    </row>
    <row r="3" spans="3:13">
      <c r="H3" s="46" t="s">
        <v>123</v>
      </c>
    </row>
    <row r="4" spans="3:13">
      <c r="H4" s="46" t="s">
        <v>124</v>
      </c>
    </row>
    <row r="7" spans="3:13">
      <c r="C7" s="1" t="s">
        <v>166</v>
      </c>
      <c r="D7" s="84">
        <v>45228</v>
      </c>
    </row>
    <row r="9" spans="3:13">
      <c r="C9" s="54" t="s">
        <v>139</v>
      </c>
      <c r="D9" s="55"/>
      <c r="F9" s="57" t="s">
        <v>140</v>
      </c>
      <c r="G9" s="55"/>
      <c r="I9" s="58" t="s">
        <v>146</v>
      </c>
      <c r="J9" s="55"/>
      <c r="L9" s="57" t="s">
        <v>141</v>
      </c>
      <c r="M9" s="55"/>
    </row>
    <row r="10" spans="3:13">
      <c r="C10" s="32" t="s">
        <v>167</v>
      </c>
      <c r="D10" s="80">
        <v>2</v>
      </c>
      <c r="F10" s="32" t="s">
        <v>168</v>
      </c>
      <c r="G10" s="80">
        <v>5</v>
      </c>
      <c r="I10" s="32" t="s">
        <v>167</v>
      </c>
      <c r="J10" s="80">
        <v>6</v>
      </c>
      <c r="L10" s="32" t="s">
        <v>167</v>
      </c>
      <c r="M10" s="80">
        <v>7</v>
      </c>
    </row>
    <row r="11" spans="3:13">
      <c r="C11" s="32" t="s">
        <v>169</v>
      </c>
      <c r="D11" s="83">
        <f>EOMONTH(D7,24)</f>
        <v>45961</v>
      </c>
      <c r="F11" s="32" t="s">
        <v>169</v>
      </c>
      <c r="G11" s="83">
        <f>EOMONTH($D$7,60)</f>
        <v>47057</v>
      </c>
      <c r="I11" s="32" t="s">
        <v>169</v>
      </c>
      <c r="J11" s="83">
        <f>EOMONTH(D7,72)</f>
        <v>47422</v>
      </c>
      <c r="L11" s="32" t="s">
        <v>169</v>
      </c>
      <c r="M11" s="83">
        <f>EOMONTH(D7,84)</f>
        <v>47787</v>
      </c>
    </row>
    <row r="12" spans="3:13">
      <c r="C12" s="32" t="s">
        <v>165</v>
      </c>
      <c r="D12" s="80">
        <v>700</v>
      </c>
      <c r="F12" s="32" t="s">
        <v>165</v>
      </c>
      <c r="G12" s="80">
        <v>200</v>
      </c>
      <c r="I12" s="32" t="s">
        <v>165</v>
      </c>
      <c r="J12" s="80">
        <v>500</v>
      </c>
      <c r="L12" s="32" t="s">
        <v>165</v>
      </c>
      <c r="M12" s="80">
        <v>700</v>
      </c>
    </row>
    <row r="13" spans="3:13">
      <c r="C13" s="32" t="s">
        <v>153</v>
      </c>
      <c r="D13" s="81">
        <v>2.75E-2</v>
      </c>
      <c r="F13" s="32" t="s">
        <v>153</v>
      </c>
      <c r="G13" s="81">
        <v>6.5500000000000003E-2</v>
      </c>
      <c r="I13" s="32" t="s">
        <v>153</v>
      </c>
      <c r="J13" s="81">
        <v>5.3749999999999999E-2</v>
      </c>
      <c r="L13" s="32" t="s">
        <v>153</v>
      </c>
      <c r="M13" s="81">
        <v>3.1E-2</v>
      </c>
    </row>
    <row r="14" spans="3:13">
      <c r="C14" s="56" t="s">
        <v>154</v>
      </c>
      <c r="D14" s="82">
        <v>2</v>
      </c>
      <c r="F14" s="56" t="s">
        <v>154</v>
      </c>
      <c r="G14" s="82">
        <v>2</v>
      </c>
      <c r="I14" s="56" t="s">
        <v>154</v>
      </c>
      <c r="J14" s="82">
        <v>2</v>
      </c>
      <c r="L14" s="56" t="s">
        <v>154</v>
      </c>
      <c r="M14" s="82">
        <v>2</v>
      </c>
    </row>
    <row r="16" spans="3:13">
      <c r="C16" s="57" t="s">
        <v>152</v>
      </c>
      <c r="D16" s="55"/>
      <c r="F16" s="57" t="s">
        <v>142</v>
      </c>
      <c r="G16" s="55"/>
      <c r="I16" s="57" t="s">
        <v>143</v>
      </c>
      <c r="J16" s="55"/>
      <c r="L16" s="57" t="s">
        <v>144</v>
      </c>
      <c r="M16" s="55"/>
    </row>
    <row r="17" spans="3:13">
      <c r="C17" s="32" t="s">
        <v>167</v>
      </c>
      <c r="D17" s="80">
        <v>7</v>
      </c>
      <c r="F17" s="32" t="s">
        <v>167</v>
      </c>
      <c r="G17" s="80">
        <v>8</v>
      </c>
      <c r="I17" s="32" t="s">
        <v>167</v>
      </c>
      <c r="J17" s="80">
        <v>19</v>
      </c>
      <c r="L17" s="32" t="s">
        <v>167</v>
      </c>
      <c r="M17" s="80">
        <v>26</v>
      </c>
    </row>
    <row r="18" spans="3:13">
      <c r="C18" s="32" t="s">
        <v>169</v>
      </c>
      <c r="D18" s="83">
        <f>EOMONTH($D$7,84)</f>
        <v>47787</v>
      </c>
      <c r="F18" s="32" t="s">
        <v>169</v>
      </c>
      <c r="G18" s="83">
        <f>EOMONTH($D$7,96)</f>
        <v>48152</v>
      </c>
      <c r="I18" s="32" t="s">
        <v>169</v>
      </c>
      <c r="J18" s="83">
        <f>EOMONTH($D$7,19*12)</f>
        <v>52170</v>
      </c>
      <c r="L18" s="32" t="s">
        <v>169</v>
      </c>
      <c r="M18" s="83">
        <f>EOMONTH($D$7,26*12)</f>
        <v>54727</v>
      </c>
    </row>
    <row r="19" spans="3:13">
      <c r="C19" s="32" t="s">
        <v>165</v>
      </c>
      <c r="D19" s="80">
        <v>250</v>
      </c>
      <c r="F19" s="32" t="s">
        <v>165</v>
      </c>
      <c r="G19" s="80">
        <v>300</v>
      </c>
      <c r="I19" s="32" t="s">
        <v>165</v>
      </c>
      <c r="J19" s="80">
        <v>1250</v>
      </c>
      <c r="L19" s="32" t="s">
        <v>165</v>
      </c>
      <c r="M19" s="80">
        <v>500</v>
      </c>
    </row>
    <row r="20" spans="3:13">
      <c r="C20" s="32" t="s">
        <v>153</v>
      </c>
      <c r="D20" s="81">
        <v>3.1E-2</v>
      </c>
      <c r="F20" s="32" t="s">
        <v>153</v>
      </c>
      <c r="G20" s="81">
        <v>7.1249999999999994E-2</v>
      </c>
      <c r="I20" s="32" t="s">
        <v>153</v>
      </c>
      <c r="J20" s="81">
        <v>3.9E-2</v>
      </c>
      <c r="L20" s="32" t="s">
        <v>153</v>
      </c>
      <c r="M20" s="81">
        <v>2.8750000000000001E-2</v>
      </c>
    </row>
    <row r="21" spans="3:13">
      <c r="C21" s="56" t="s">
        <v>154</v>
      </c>
      <c r="D21" s="82">
        <v>2</v>
      </c>
      <c r="F21" s="56" t="s">
        <v>154</v>
      </c>
      <c r="G21" s="82">
        <v>2</v>
      </c>
      <c r="I21" s="56" t="s">
        <v>154</v>
      </c>
      <c r="J21" s="82">
        <v>2</v>
      </c>
      <c r="L21" s="56" t="s">
        <v>154</v>
      </c>
      <c r="M21" s="82">
        <v>2</v>
      </c>
    </row>
    <row r="23" spans="3:13">
      <c r="C23" s="57" t="s">
        <v>145</v>
      </c>
      <c r="D23" s="55"/>
      <c r="F23" s="57" t="s">
        <v>147</v>
      </c>
      <c r="G23" s="55"/>
      <c r="I23" s="57" t="s">
        <v>148</v>
      </c>
      <c r="J23" s="55"/>
      <c r="L23" s="57" t="s">
        <v>149</v>
      </c>
      <c r="M23" s="55"/>
    </row>
    <row r="24" spans="3:13">
      <c r="C24" s="32" t="s">
        <v>167</v>
      </c>
      <c r="D24" s="80">
        <v>27</v>
      </c>
      <c r="F24" s="32" t="s">
        <v>167</v>
      </c>
      <c r="G24" s="80">
        <v>5</v>
      </c>
      <c r="I24" s="32" t="s">
        <v>167</v>
      </c>
      <c r="J24" s="80">
        <v>9</v>
      </c>
      <c r="L24" s="32" t="s">
        <v>167</v>
      </c>
      <c r="M24" s="80">
        <v>16</v>
      </c>
    </row>
    <row r="25" spans="3:13">
      <c r="C25" s="32" t="s">
        <v>169</v>
      </c>
      <c r="D25" s="83">
        <f>EOMONTH($D$7,27*12)</f>
        <v>55092</v>
      </c>
      <c r="F25" s="32" t="s">
        <v>169</v>
      </c>
      <c r="G25" s="83">
        <f>EOMONTH($D$7,60)</f>
        <v>47057</v>
      </c>
      <c r="I25" s="32" t="s">
        <v>169</v>
      </c>
      <c r="J25" s="83">
        <f>EOMONTH($D$7,9*12)</f>
        <v>48518</v>
      </c>
      <c r="L25" s="32" t="s">
        <v>169</v>
      </c>
      <c r="M25" s="83">
        <f>EOMONTH($D$7,16*12)</f>
        <v>51074</v>
      </c>
    </row>
    <row r="26" spans="3:13">
      <c r="C26" s="32" t="s">
        <v>165</v>
      </c>
      <c r="D26" s="80">
        <v>850</v>
      </c>
      <c r="F26" s="32" t="s">
        <v>165</v>
      </c>
      <c r="G26" s="80">
        <v>634</v>
      </c>
      <c r="I26" s="32" t="s">
        <v>165</v>
      </c>
      <c r="J26" s="80">
        <v>634</v>
      </c>
      <c r="L26" s="32" t="s">
        <v>165</v>
      </c>
      <c r="M26" s="80">
        <v>687</v>
      </c>
    </row>
    <row r="27" spans="3:13">
      <c r="C27" s="32" t="s">
        <v>153</v>
      </c>
      <c r="D27" s="81">
        <v>3.7499999999999999E-2</v>
      </c>
      <c r="F27" s="32" t="s">
        <v>153</v>
      </c>
      <c r="G27" s="81">
        <v>1.8499999999999999E-2</v>
      </c>
      <c r="I27" s="32" t="s">
        <v>153</v>
      </c>
      <c r="J27" s="81">
        <v>2.1999999999999999E-2</v>
      </c>
      <c r="L27" s="32" t="s">
        <v>153</v>
      </c>
      <c r="M27" s="81">
        <v>1.6500000000000001E-2</v>
      </c>
    </row>
    <row r="28" spans="3:13">
      <c r="C28" s="56" t="s">
        <v>154</v>
      </c>
      <c r="D28" s="82">
        <v>2</v>
      </c>
      <c r="F28" s="56" t="s">
        <v>154</v>
      </c>
      <c r="G28" s="82">
        <v>2</v>
      </c>
      <c r="I28" s="56" t="s">
        <v>154</v>
      </c>
      <c r="J28" s="82">
        <v>2</v>
      </c>
      <c r="L28" s="56" t="s">
        <v>154</v>
      </c>
      <c r="M28" s="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Stmnt</vt:lpstr>
      <vt:lpstr>Cash Flow Stmnt</vt:lpstr>
      <vt:lpstr>Balance Sheet</vt:lpstr>
      <vt:lpstr>FCF Forecast with WACC</vt:lpstr>
      <vt:lpstr>ST Debt Schedule</vt:lpstr>
      <vt:lpstr>LT Debt Schedule</vt:lpstr>
      <vt:lpstr>Loan &amp; Bond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