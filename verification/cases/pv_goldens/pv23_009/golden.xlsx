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bookViews>
    <workbookView xWindow="-22960" yWindow="-21100" windowWidth="38400" windowHeight="21100" xr2:uid="{BE03FA4A-7A4A-4860-BD9C-B8A98036165A}"/>
  </bookViews>
  <sheets>
    <sheet name="Equity Waterfall Model" sheetId="1" r:id="rId1"/>
  </sheets>
  <externalReferences>
    <externalReference r:id="rId2"/>
    <externalReference r:id="rId3"/>
  </externalReferences>
  <definedNames>
    <definedName name="_" hidden="1">'[1]1999 BUDGET'!#REF!</definedName>
    <definedName name="__a1" hidden="1">{"Assump",#N/A,TRUE,"Proforma";"first",#N/A,TRUE,"Proforma";"second",#N/A,TRUE,"Proforma";"lease1",#N/A,TRUE,"Proforma";"lease2",#N/A,TRUE,"Proforma"}</definedName>
    <definedName name="__FDS_HYPERLINK_TOGGLE_STATE__" hidden="1">"ON"</definedName>
    <definedName name="_a1" hidden="1">{"Assump",#N/A,TRUE,"Proforma";"first",#N/A,TRUE,"Proforma";"second",#N/A,TRUE,"Proforma";"lease1",#N/A,TRUE,"Proforma";"lease2",#N/A,TRUE,"Proforma"}</definedName>
    <definedName name="_COO2" hidden="1">{#N/A,#N/A,FALSE,"Matrix";#N/A,#N/A,FALSE,"Cash Flow";#N/A,#N/A,FALSE,"10 Year Cost Analysis"}</definedName>
    <definedName name="_dfadfasd" hidden="1">{"cap_structure",#N/A,FALSE,"Graph-Mkt Cap";"price",#N/A,FALSE,"Graph-Price";"ebit",#N/A,FALSE,"Graph-EBITDA";"ebitda",#N/A,FALSE,"Graph-EBITDA"}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1a1" hidden="1">{"Assump",#N/A,TRUE,"Proforma";"first",#N/A,TRUE,"Proforma";"second",#N/A,TRUE,"Proforma";"lease1",#N/A,TRUE,"Proforma";"lease2",#N/A,TRUE,"Proforma"}</definedName>
    <definedName name="aa" hidden="1">{"AnnualRentRoll",#N/A,FALSE,"RentRoll"}</definedName>
    <definedName name="aaa" hidden="1">{"AnnualRentRoll",#N/A,FALSE,"RentRoll"}</definedName>
    <definedName name="aaaaa" hidden="1">{"Assump",#N/A,TRUE,"Proforma";"first",#N/A,TRUE,"Proforma";"second",#N/A,TRUE,"Proforma";"lease1",#N/A,TRUE,"Proforma";"lease2",#N/A,TRUE,"Proforma"}</definedName>
    <definedName name="aaaaaaa" hidden="1">{"Outflow 1",#N/A,FALSE,"Outflows-Inflows";"Outflow 2",#N/A,FALSE,"Outflows-Inflows";"Inflow 1",#N/A,FALSE,"Outflows-Inflows";"Inflow 2",#N/A,FALSE,"Outflows-Inflows"}</definedName>
    <definedName name="AAAAAAAA" hidden="1">{"Outflow 1",#N/A,FALSE,"Outflows-Inflows";"Outflow 2",#N/A,FALSE,"Outflows-Inflows";"Inflow 1",#N/A,FALSE,"Outflows-Inflows";"Inflow 2",#N/A,FALSE,"Outflows-Inflows"}</definedName>
    <definedName name="aasdfa" hidden="1">{"rtn",#N/A,FALSE,"RTN";"tables",#N/A,FALSE,"RTN";"cf",#N/A,FALSE,"CF";"stats",#N/A,FALSE,"Stats";"prop",#N/A,FALSE,"Prop"}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hidden="1">{"cap_structure",#N/A,FALSE,"Graph-Mkt Cap";"price",#N/A,FALSE,"Graph-Price";"ebit",#N/A,FALSE,"Graph-EBITDA";"ebitda",#N/A,FALSE,"Graph-EBITDA"}</definedName>
    <definedName name="adfgga" hidden="1">{"FCB_ALL",#N/A,FALSE,"FCB"}</definedName>
    <definedName name="adfghsdfgas" hidden="1">{"inputs raw data",#N/A,TRUE,"INPUT"}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EWEW" hidden="1">{"inputs raw data",#N/A,TRUE,"INPUT"}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{"Outflow 1",#N/A,FALSE,"Outflows-Inflows";"Outflow 2",#N/A,FALSE,"Outflows-Inflows";"Inflow 1",#N/A,FALSE,"Outflows-Inflows";"Inflow 2",#N/A,FALSE,"Outflows-Inflows"}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{"cap_structure",#N/A,FALSE,"Graph-Mkt Cap";"price",#N/A,FALSE,"Graph-Price";"ebit",#N/A,FALSE,"Graph-EBITDA";"ebitda",#N/A,FALSE,"Graph-EBITDA"}</definedName>
    <definedName name="asdfasdf" hidden="1">{"rtn",#N/A,FALSE,"RTN";"tables",#N/A,FALSE,"RTN";"cf",#N/A,FALSE,"CF";"stats",#N/A,FALSE,"Stats";"prop",#N/A,FALSE,"Prop"}</definedName>
    <definedName name="asdfasdfasd" hidden="1">{"summary1",#N/A,TRUE,"Comps";"summary2",#N/A,TRUE,"Comps";"summary3",#N/A,TRUE,"Comps"}</definedName>
    <definedName name="asdfg" hidden="1">{"rtn",#N/A,FALSE,"RTN";"tables",#N/A,FALSE,"RTN";"cf",#N/A,FALSE,"CF";"stats",#N/A,FALSE,"Stats";"prop",#N/A,FALSE,"Prop"}</definedName>
    <definedName name="asfdgsdfg" hidden="1">{"inputs raw data",#N/A,TRUE,"INPUT"}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hidden="1">{"Assump",#N/A,TRUE,"Proforma";"first",#N/A,TRUE,"Proforma";"second",#N/A,TRUE,"Proforma";"lease1",#N/A,TRUE,"Proforma";"lease2",#N/A,TRUE,"Proforma"}</definedName>
    <definedName name="BadLink" hidden="1">#REF!</definedName>
    <definedName name="bb" hidden="1">{#N/A,#N/A,FALSE,"ExitStratigy"}</definedName>
    <definedName name="bbb" hidden="1">{#N/A,#N/A,FALSE,"ExitStratigy"}</definedName>
    <definedName name="c.LTMYear" hidden="1">#REF!</definedName>
    <definedName name="cc" hidden="1">{#N/A,#N/A,FALSE,"LoanAssumptions"}</definedName>
    <definedName name="ccc" hidden="1">{#N/A,#N/A,FALSE,"LoanAssumptions"}</definedName>
    <definedName name="COO" hidden="1">{#N/A,#N/A,FALSE,"Matrix";#N/A,#N/A,FALSE,"Cash Flow";#N/A,#N/A,FALSE,"10 Year Cost Analysis"}</definedName>
    <definedName name="CreditStats" hidden="1">#REF!</definedName>
    <definedName name="DAFAD" hidden="1">{"cap_structure",#N/A,FALSE,"Graph-Mkt Cap";"price",#N/A,FALSE,"Graph-Price";"ebit",#N/A,FALSE,"Graph-EBITDA";"ebitda",#N/A,FALSE,"Graph-EBITDA"}</definedName>
    <definedName name="dafgdfg" hidden="1">{"inputs raw data",#N/A,TRUE,"INPUT"}</definedName>
    <definedName name="data" hidden="1">{"data",#N/A,FALSE,"INPUT"}</definedName>
    <definedName name="dd" hidden="1">{"MonthlyRentRoll",#N/A,FALSE,"RentRoll"}</definedName>
    <definedName name="ddd" hidden="1">{"MonthlyRentRoll",#N/A,FALSE,"RentRoll"}</definedName>
    <definedName name="dfahga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" hidden="1">{"FCB_ALL",#N/A,FALSE,"FCB";"Company1110_ALL",#N/A,FALSE,"Company1110"}</definedName>
    <definedName name="dfdas" hidden="1">{"FCB_ALL",#N/A,FALSE,"FCB";"Company1110_ALL",#N/A,FALSE,"Company1110"}</definedName>
    <definedName name="dfdfd" hidden="1">{"FCB_ALL",#N/A,FALSE,"FCB";"Company1110_ALL",#N/A,FALSE,"Company1110"}</definedName>
    <definedName name="dfdfdfd" hidden="1">{"FCB_ALL",#N/A,FALSE,"FCB"}</definedName>
    <definedName name="dfhdfagdf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arghdf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e" hidden="1">{#N/A,#N/A,FALSE,"OperatingAssumptions"}</definedName>
    <definedName name="eee" hidden="1">{#N/A,#N/A,FALSE,"OperatingAssumptions"}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yui" hidden="1">{"FCB_ALL",#N/A,FALSE,"FCB";"Company1110_ALL",#N/A,FALSE,"Company1110"}</definedName>
    <definedName name="EV__LASTREFTIME__" hidden="1">38433.706724537</definedName>
    <definedName name="ev.Calculation" hidden="1">-4135</definedName>
    <definedName name="ev.Initialized" hidden="1">FALSE</definedName>
    <definedName name="Exchange_Rates" hidden="1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m" hidden="1">{"summary1",#N/A,TRUE,"Comps";"summary2",#N/A,TRUE,"Comps";"summary3",#N/A,TRUE,"Comps"}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h" hidden="1">{"FCB_ALL",#N/A,FALSE,"FCB";"Company1110_ALL",#N/A,FALSE,"Company1110"}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[2]DropZone!$B$2:$I$118,[2]DropZone!$B$120:$I$132,[2]DropZone!$B$134:$I$136,[2]DropZone!$B$138:$I$146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USLast" hidden="1">#REF!</definedName>
    <definedName name="hn.YearLabel" hidden="1">#REF!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IsColHidden" hidden="1">FALSE</definedName>
    <definedName name="IsLTMColHidden" hidden="1">FALSE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ll" hidden="1">{"Outflow 1",#N/A,FALSE,"Outflows-Inflows";"Outflow 2",#N/A,FALSE,"Outflows-Inflows";"Inflow 1",#N/A,FALSE,"Outflows-Inflows";"Inflow 2",#N/A,FALSE,"Outflows-Inflows"}</definedName>
    <definedName name="ltm_BalanceSheet" hidden="1">#REF!</definedName>
    <definedName name="ltm_IncomeStatement" hidden="1">#REF!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q" hidden="1">{"summary1",#N/A,TRUE,"Comps";"summary2",#N/A,TRUE,"Comps";"summary3",#N/A,TRUE,"Comps"}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s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trial" hidden="1">{"Outflow 1",#N/A,FALSE,"Outflows-Inflows";"Outflow 2",#N/A,FALSE,"Outflows-Inflows";"Inflow 1",#N/A,FALSE,"Outflows-Inflows";"Inflow 2",#N/A,FALSE,"Outflows-Inflows"}</definedName>
    <definedName name="USDollar" hidden="1">#REF!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etrwergfwer" hidden="1">{"cap_structure",#N/A,FALSE,"Graph-Mkt Cap";"price",#N/A,FALSE,"Graph-Price";"ebit",#N/A,FALSE,"Graph-EBITDA";"ebitda",#N/A,FALSE,"Graph-EBITDA"}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nnualRentRoll." hidden="1">{"AnnualRentRoll",#N/A,FALSE,"RentRoll"}</definedName>
    <definedName name="wrn.Assumptions." hidden="1">{"Assumptions",#N/A,FALSE,"Assum"}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onds." hidden="1">{#N/A,#N/A,FALSE,"Bonds - Consol";#N/A,#N/A,FALSE,"Bonds - Lakes";#N/A,#N/A,FALSE,"Bonds - Chabot";#N/A,#N/A,FALSE,"Bonds - Diablo"}</definedName>
    <definedName name="wrn.Capx." hidden="1">{"Capx/exp",#N/A,FALSE,"CapX"}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data." hidden="1">{"data",#N/A,FALSE,"INPUT"}</definedName>
    <definedName name="wrn.data5" hidden="1">{"data",#N/A,FALSE,"INPUT"}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elopment._.Budget." hidden="1">{"Year 1",#N/A,FALSE,"Budget";"Year 2",#N/A,FALSE,"Budget";"Year 3",#N/A,FALSE,"Budget";"Year 4",#N/A,FALSE,"Budget"}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hidden="1">{"Summary",#N/A,FALSE,"Assumptions";"Development 1 2",#N/A,FALSE,"Budget";"Operating Income",#N/A,FALSE,"Budget"}</definedName>
    <definedName name="wrn.Exhibits." hidden="1">{#N/A,#N/A,FALSE,"Historical";#N/A,#N/A,FALSE,"Adjusted";#N/A,#N/A,FALSE,"PERSON0198 Alloc.";#N/A,#N/A,FALSE,"Projected PERSON0198"}</definedName>
    <definedName name="wrn.ExitAndSalesAssumptions." hidden="1">{#N/A,#N/A,FALSE,"ExitStratigy"}</definedName>
    <definedName name="wrn.FCB." hidden="1">{"FCB_ALL",#N/A,FALSE,"FCB"}</definedName>
    <definedName name="wrn.fcb2" hidden="1">{"FCB_ALL",#N/A,FALSE,"FCB"}</definedName>
    <definedName name="wrn.FOschedules." hidden="1">{"FOschedule1",#N/A,FALSE,"Sheet1";"FOschedule2",#N/A,FALSE,"Sheet1";"FOschedule3",#N/A,FALSE,"Sheet1"}</definedName>
    <definedName name="wrn.Garage." hidden="1">{#N/A,#N/A,FALSE,"Garage Assumpt 1";#N/A,#N/A,FALSE,"Garage Op Proj";#N/A,#N/A,FALSE,"Hist I&amp;E";#N/A,#N/A,FALSE,"Garage Lease"}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s." hidden="1">{"Annual Income",#N/A,FALSE,"Revenues";"Quarter Income",#N/A,FALSE,"Revenues"}</definedName>
    <definedName name="wrn.LoanInformation." hidden="1">{#N/A,#N/A,FALSE,"LoanAssumptions"}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hidden="1">{"MonthlyRentRoll",#N/A,FALSE,"RentRoll"}</definedName>
    <definedName name="wrn.OperatingAssumtions." hidden="1">{#N/A,#N/A,FALSE,"OperatingAssumptions"}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hidden="1">{#N/A,#N/A,TRUE,"Summary";"AnnualRentRoll",#N/A,TRUE,"RentRoll";#N/A,#N/A,TRUE,"ExitStratigy";#N/A,#N/A,TRUE,"OperatingAssumptions"}</definedName>
    <definedName name="wrn.print." hidden="1">{"Assump",#N/A,TRUE,"Proforma";"first",#N/A,TRUE,"Proforma";"second",#N/A,TRUE,"Proforma";"lease1",#N/A,TRUE,"Proforma";"lease2",#N/A,TRUE,"Proforma"}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opertyInformation." hidden="1">{#N/A,#N/A,FALSE,"PropertyInfo"}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TAND_ALONE_BOTH." hidden="1">{"FCB_ALL",#N/A,FALSE,"FCB";"Company1110_ALL",#N/A,FALSE,"Company1110"}</definedName>
    <definedName name="wrn.Summary." hidden="1">{#N/A,#N/A,FALSE,"Summary"}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hidden="1">{"rtn",#N/A,FALSE,"RTN";"tables",#N/A,FALSE,"RTN";"cf",#N/A,FALSE,"CF";"stats",#N/A,FALSE,"Stats";"prop",#N/A,FALSE,"Prop"}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C56" i="1" l="1"/>
  <c r="C44" i="1"/>
  <c r="C37" i="1" l="1"/>
  <c r="C19" i="1"/>
  <c r="C20" i="1" s="1"/>
  <c r="C16" i="1"/>
  <c r="C17" i="1" s="1"/>
  <c r="D11" i="1"/>
  <c r="C12" i="1"/>
  <c r="E5" i="1"/>
  <c r="F5" i="1" s="1"/>
  <c r="E4" i="1"/>
  <c r="F4" i="1" s="1"/>
  <c r="C60" i="1" s="1"/>
  <c r="C61" i="1" s="1"/>
  <c r="E3" i="1"/>
  <c r="F3" i="1" s="1"/>
  <c r="C48" i="1" s="1"/>
  <c r="C49" i="1" s="1"/>
  <c r="C9" i="1"/>
  <c r="F2" i="1" s="1"/>
  <c r="E2" i="1"/>
  <c r="C27" i="1" l="1"/>
  <c r="C40" i="1" s="1"/>
  <c r="C52" i="1" s="1"/>
  <c r="C64" i="1" s="1"/>
  <c r="C70" i="1" s="1"/>
  <c r="C75" i="1" s="1"/>
  <c r="D12" i="1"/>
  <c r="E12" i="1" s="1"/>
  <c r="D15" i="1"/>
  <c r="C18" i="1"/>
  <c r="C25" i="1" s="1"/>
  <c r="C38" i="1" s="1"/>
  <c r="D21" i="1"/>
  <c r="D24" i="1"/>
  <c r="D13" i="1"/>
  <c r="E11" i="1"/>
  <c r="D14" i="1"/>
  <c r="D27" i="1" l="1"/>
  <c r="D40" i="1" s="1"/>
  <c r="D52" i="1" s="1"/>
  <c r="D64" i="1" s="1"/>
  <c r="D70" i="1" s="1"/>
  <c r="D75" i="1" s="1"/>
  <c r="C62" i="1"/>
  <c r="C50" i="1"/>
  <c r="F12" i="1"/>
  <c r="E27" i="1"/>
  <c r="E40" i="1" s="1"/>
  <c r="E52" i="1" s="1"/>
  <c r="E64" i="1" s="1"/>
  <c r="E70" i="1" s="1"/>
  <c r="E75" i="1" s="1"/>
  <c r="C34" i="1"/>
  <c r="C30" i="1"/>
  <c r="E24" i="1"/>
  <c r="E14" i="1"/>
  <c r="E13" i="1"/>
  <c r="F11" i="1"/>
  <c r="E21" i="1"/>
  <c r="E15" i="1"/>
  <c r="D23" i="1"/>
  <c r="D22" i="1"/>
  <c r="D25" i="1" s="1"/>
  <c r="C36" i="1" l="1"/>
  <c r="C76" i="1"/>
  <c r="C43" i="1"/>
  <c r="C55" i="1" s="1"/>
  <c r="C71" i="1"/>
  <c r="C47" i="1"/>
  <c r="C46" i="1"/>
  <c r="D41" i="1" s="1"/>
  <c r="D42" i="1" s="1"/>
  <c r="C66" i="1"/>
  <c r="C77" i="1" s="1"/>
  <c r="C65" i="1"/>
  <c r="D34" i="1"/>
  <c r="D76" i="1" s="1"/>
  <c r="D30" i="1"/>
  <c r="C33" i="1"/>
  <c r="C32" i="1"/>
  <c r="D28" i="1" s="1"/>
  <c r="G12" i="1"/>
  <c r="F27" i="1"/>
  <c r="F40" i="1" s="1"/>
  <c r="F52" i="1" s="1"/>
  <c r="F64" i="1" s="1"/>
  <c r="F70" i="1" s="1"/>
  <c r="F75" i="1" s="1"/>
  <c r="E22" i="1"/>
  <c r="E23" i="1"/>
  <c r="G11" i="1"/>
  <c r="F24" i="1"/>
  <c r="F15" i="1"/>
  <c r="F21" i="1"/>
  <c r="F14" i="1"/>
  <c r="F13" i="1"/>
  <c r="D43" i="1" l="1"/>
  <c r="D55" i="1" s="1"/>
  <c r="D71" i="1"/>
  <c r="C78" i="1"/>
  <c r="C67" i="1"/>
  <c r="C72" i="1"/>
  <c r="C73" i="1" s="1"/>
  <c r="C58" i="1"/>
  <c r="D53" i="1" s="1"/>
  <c r="D54" i="1" s="1"/>
  <c r="C59" i="1"/>
  <c r="E25" i="1"/>
  <c r="D29" i="1"/>
  <c r="H12" i="1"/>
  <c r="G27" i="1"/>
  <c r="G40" i="1" s="1"/>
  <c r="G52" i="1" s="1"/>
  <c r="G64" i="1" s="1"/>
  <c r="G70" i="1" s="1"/>
  <c r="G75" i="1" s="1"/>
  <c r="F22" i="1"/>
  <c r="F23" i="1"/>
  <c r="H11" i="1"/>
  <c r="G14" i="1"/>
  <c r="G24" i="1"/>
  <c r="G21" i="1"/>
  <c r="G13" i="1"/>
  <c r="G15" i="1"/>
  <c r="C68" i="1" l="1"/>
  <c r="E34" i="1"/>
  <c r="E76" i="1" s="1"/>
  <c r="E30" i="1"/>
  <c r="F25" i="1"/>
  <c r="F34" i="1" s="1"/>
  <c r="F76" i="1" s="1"/>
  <c r="D31" i="1"/>
  <c r="I12" i="1"/>
  <c r="H27" i="1"/>
  <c r="H40" i="1" s="1"/>
  <c r="H52" i="1" s="1"/>
  <c r="H64" i="1" s="1"/>
  <c r="H70" i="1" s="1"/>
  <c r="H75" i="1" s="1"/>
  <c r="G22" i="1"/>
  <c r="G23" i="1"/>
  <c r="I11" i="1"/>
  <c r="H21" i="1"/>
  <c r="H24" i="1"/>
  <c r="H15" i="1"/>
  <c r="H14" i="1"/>
  <c r="H13" i="1"/>
  <c r="E43" i="1" l="1"/>
  <c r="E55" i="1" s="1"/>
  <c r="E71" i="1"/>
  <c r="F30" i="1"/>
  <c r="D44" i="1"/>
  <c r="D32" i="1"/>
  <c r="E28" i="1" s="1"/>
  <c r="E29" i="1" s="1"/>
  <c r="E31" i="1" s="1"/>
  <c r="G25" i="1"/>
  <c r="J12" i="1"/>
  <c r="I27" i="1"/>
  <c r="I40" i="1" s="1"/>
  <c r="I52" i="1" s="1"/>
  <c r="I64" i="1" s="1"/>
  <c r="I70" i="1" s="1"/>
  <c r="I75" i="1" s="1"/>
  <c r="D35" i="1"/>
  <c r="D33" i="1"/>
  <c r="H23" i="1"/>
  <c r="H22" i="1"/>
  <c r="J11" i="1"/>
  <c r="I14" i="1"/>
  <c r="I24" i="1"/>
  <c r="I13" i="1"/>
  <c r="I21" i="1"/>
  <c r="I15" i="1"/>
  <c r="F43" i="1" l="1"/>
  <c r="F55" i="1" s="1"/>
  <c r="F71" i="1"/>
  <c r="D36" i="1"/>
  <c r="E44" i="1"/>
  <c r="G34" i="1"/>
  <c r="G76" i="1" s="1"/>
  <c r="G30" i="1"/>
  <c r="H25" i="1"/>
  <c r="H34" i="1" s="1"/>
  <c r="H76" i="1" s="1"/>
  <c r="E32" i="1"/>
  <c r="F28" i="1" s="1"/>
  <c r="F29" i="1" s="1"/>
  <c r="F31" i="1" s="1"/>
  <c r="D37" i="1"/>
  <c r="K12" i="1"/>
  <c r="J27" i="1"/>
  <c r="J40" i="1" s="1"/>
  <c r="J52" i="1" s="1"/>
  <c r="J64" i="1" s="1"/>
  <c r="J70" i="1" s="1"/>
  <c r="J75" i="1" s="1"/>
  <c r="E35" i="1"/>
  <c r="E33" i="1"/>
  <c r="I23" i="1"/>
  <c r="I22" i="1"/>
  <c r="K11" i="1"/>
  <c r="J21" i="1"/>
  <c r="J14" i="1"/>
  <c r="J24" i="1"/>
  <c r="J15" i="1"/>
  <c r="J13" i="1"/>
  <c r="H30" i="1" l="1"/>
  <c r="H43" i="1" s="1"/>
  <c r="H55" i="1" s="1"/>
  <c r="I25" i="1"/>
  <c r="I34" i="1" s="1"/>
  <c r="I76" i="1" s="1"/>
  <c r="E36" i="1"/>
  <c r="G43" i="1"/>
  <c r="G55" i="1" s="1"/>
  <c r="G71" i="1"/>
  <c r="D38" i="1"/>
  <c r="D45" i="1" s="1"/>
  <c r="F44" i="1"/>
  <c r="E37" i="1"/>
  <c r="L12" i="1"/>
  <c r="K27" i="1"/>
  <c r="K40" i="1" s="1"/>
  <c r="K52" i="1" s="1"/>
  <c r="K64" i="1" s="1"/>
  <c r="K70" i="1" s="1"/>
  <c r="K75" i="1" s="1"/>
  <c r="F33" i="1"/>
  <c r="F35" i="1"/>
  <c r="F32" i="1"/>
  <c r="G28" i="1" s="1"/>
  <c r="J23" i="1"/>
  <c r="J22" i="1"/>
  <c r="L11" i="1"/>
  <c r="K21" i="1"/>
  <c r="K14" i="1"/>
  <c r="K24" i="1"/>
  <c r="K15" i="1"/>
  <c r="K13" i="1"/>
  <c r="I30" i="1" l="1"/>
  <c r="I43" i="1" s="1"/>
  <c r="I55" i="1" s="1"/>
  <c r="J25" i="1"/>
  <c r="J34" i="1" s="1"/>
  <c r="J76" i="1" s="1"/>
  <c r="H71" i="1"/>
  <c r="F36" i="1"/>
  <c r="E38" i="1"/>
  <c r="D48" i="1"/>
  <c r="D56" i="1"/>
  <c r="D47" i="1"/>
  <c r="D46" i="1"/>
  <c r="E41" i="1" s="1"/>
  <c r="F37" i="1"/>
  <c r="M12" i="1"/>
  <c r="L27" i="1"/>
  <c r="L40" i="1" s="1"/>
  <c r="L52" i="1" s="1"/>
  <c r="L64" i="1" s="1"/>
  <c r="L70" i="1" s="1"/>
  <c r="L75" i="1" s="1"/>
  <c r="G29" i="1"/>
  <c r="M11" i="1"/>
  <c r="L24" i="1"/>
  <c r="L15" i="1"/>
  <c r="L21" i="1"/>
  <c r="L14" i="1"/>
  <c r="L13" i="1"/>
  <c r="K23" i="1"/>
  <c r="K22" i="1"/>
  <c r="J30" i="1" l="1"/>
  <c r="J43" i="1" s="1"/>
  <c r="J55" i="1" s="1"/>
  <c r="I71" i="1"/>
  <c r="D49" i="1"/>
  <c r="D50" i="1" s="1"/>
  <c r="D57" i="1" s="1"/>
  <c r="E42" i="1"/>
  <c r="E45" i="1" s="1"/>
  <c r="F38" i="1"/>
  <c r="G31" i="1"/>
  <c r="K25" i="1"/>
  <c r="N12" i="1"/>
  <c r="M27" i="1"/>
  <c r="M40" i="1" s="1"/>
  <c r="M52" i="1" s="1"/>
  <c r="M64" i="1" s="1"/>
  <c r="M70" i="1" s="1"/>
  <c r="M75" i="1" s="1"/>
  <c r="L22" i="1"/>
  <c r="L23" i="1"/>
  <c r="N11" i="1"/>
  <c r="M24" i="1"/>
  <c r="M14" i="1"/>
  <c r="M15" i="1"/>
  <c r="M13" i="1"/>
  <c r="M21" i="1"/>
  <c r="J71" i="1" l="1"/>
  <c r="D60" i="1"/>
  <c r="L25" i="1"/>
  <c r="L30" i="1" s="1"/>
  <c r="D59" i="1"/>
  <c r="G33" i="1"/>
  <c r="G44" i="1"/>
  <c r="D58" i="1"/>
  <c r="E53" i="1" s="1"/>
  <c r="E46" i="1"/>
  <c r="F41" i="1" s="1"/>
  <c r="E47" i="1"/>
  <c r="E48" i="1"/>
  <c r="E56" i="1"/>
  <c r="K34" i="1"/>
  <c r="K76" i="1" s="1"/>
  <c r="K30" i="1"/>
  <c r="G35" i="1"/>
  <c r="G32" i="1"/>
  <c r="H28" i="1" s="1"/>
  <c r="H29" i="1" s="1"/>
  <c r="H31" i="1" s="1"/>
  <c r="O12" i="1"/>
  <c r="N27" i="1"/>
  <c r="N40" i="1" s="1"/>
  <c r="N52" i="1" s="1"/>
  <c r="N64" i="1" s="1"/>
  <c r="N70" i="1" s="1"/>
  <c r="N75" i="1" s="1"/>
  <c r="O11" i="1"/>
  <c r="N24" i="1"/>
  <c r="N15" i="1"/>
  <c r="N21" i="1"/>
  <c r="N14" i="1"/>
  <c r="N13" i="1"/>
  <c r="M22" i="1"/>
  <c r="M23" i="1"/>
  <c r="E49" i="1" l="1"/>
  <c r="E50" i="1" s="1"/>
  <c r="L43" i="1"/>
  <c r="L55" i="1" s="1"/>
  <c r="L71" i="1"/>
  <c r="G36" i="1"/>
  <c r="K43" i="1"/>
  <c r="K55" i="1" s="1"/>
  <c r="K71" i="1"/>
  <c r="D61" i="1"/>
  <c r="L34" i="1"/>
  <c r="L76" i="1" s="1"/>
  <c r="F42" i="1"/>
  <c r="F45" i="1" s="1"/>
  <c r="H33" i="1"/>
  <c r="H44" i="1"/>
  <c r="E54" i="1"/>
  <c r="G37" i="1"/>
  <c r="M25" i="1"/>
  <c r="M30" i="1" s="1"/>
  <c r="H32" i="1"/>
  <c r="I28" i="1" s="1"/>
  <c r="I29" i="1" s="1"/>
  <c r="I31" i="1" s="1"/>
  <c r="H35" i="1"/>
  <c r="P12" i="1"/>
  <c r="O27" i="1"/>
  <c r="O40" i="1" s="1"/>
  <c r="O52" i="1" s="1"/>
  <c r="O64" i="1" s="1"/>
  <c r="O70" i="1" s="1"/>
  <c r="O75" i="1" s="1"/>
  <c r="N22" i="1"/>
  <c r="N23" i="1"/>
  <c r="P11" i="1"/>
  <c r="O14" i="1"/>
  <c r="O24" i="1"/>
  <c r="O21" i="1"/>
  <c r="O15" i="1"/>
  <c r="O13" i="1"/>
  <c r="H36" i="1" l="1"/>
  <c r="M43" i="1"/>
  <c r="M55" i="1" s="1"/>
  <c r="M71" i="1"/>
  <c r="D62" i="1"/>
  <c r="E57" i="1"/>
  <c r="E58" i="1" s="1"/>
  <c r="F53" i="1" s="1"/>
  <c r="F46" i="1"/>
  <c r="G41" i="1" s="1"/>
  <c r="G42" i="1" s="1"/>
  <c r="G38" i="1"/>
  <c r="F47" i="1"/>
  <c r="F48" i="1"/>
  <c r="F56" i="1"/>
  <c r="I44" i="1"/>
  <c r="M34" i="1"/>
  <c r="M76" i="1" s="1"/>
  <c r="I32" i="1"/>
  <c r="J28" i="1" s="1"/>
  <c r="J29" i="1" s="1"/>
  <c r="J31" i="1" s="1"/>
  <c r="N25" i="1"/>
  <c r="H37" i="1"/>
  <c r="Q12" i="1"/>
  <c r="P27" i="1"/>
  <c r="P40" i="1" s="1"/>
  <c r="P52" i="1" s="1"/>
  <c r="P64" i="1" s="1"/>
  <c r="P70" i="1" s="1"/>
  <c r="P75" i="1" s="1"/>
  <c r="I33" i="1"/>
  <c r="I35" i="1"/>
  <c r="O22" i="1"/>
  <c r="O23" i="1"/>
  <c r="Q11" i="1"/>
  <c r="P21" i="1"/>
  <c r="P24" i="1"/>
  <c r="P13" i="1"/>
  <c r="P15" i="1"/>
  <c r="P14" i="1"/>
  <c r="E60" i="1" l="1"/>
  <c r="E61" i="1" s="1"/>
  <c r="D66" i="1"/>
  <c r="D65" i="1"/>
  <c r="D72" i="1" s="1"/>
  <c r="D73" i="1" s="1"/>
  <c r="F49" i="1"/>
  <c r="I36" i="1"/>
  <c r="E59" i="1"/>
  <c r="G45" i="1"/>
  <c r="G48" i="1" s="1"/>
  <c r="H38" i="1"/>
  <c r="J32" i="1"/>
  <c r="K28" i="1" s="1"/>
  <c r="K29" i="1" s="1"/>
  <c r="K31" i="1" s="1"/>
  <c r="J44" i="1"/>
  <c r="O25" i="1"/>
  <c r="O34" i="1" s="1"/>
  <c r="O76" i="1" s="1"/>
  <c r="F54" i="1"/>
  <c r="N30" i="1"/>
  <c r="I37" i="1"/>
  <c r="N34" i="1"/>
  <c r="N76" i="1" s="1"/>
  <c r="R12" i="1"/>
  <c r="Q27" i="1"/>
  <c r="Q40" i="1" s="1"/>
  <c r="Q52" i="1" s="1"/>
  <c r="Q64" i="1" s="1"/>
  <c r="Q70" i="1" s="1"/>
  <c r="Q75" i="1" s="1"/>
  <c r="J33" i="1"/>
  <c r="J35" i="1"/>
  <c r="P23" i="1"/>
  <c r="P22" i="1"/>
  <c r="R11" i="1"/>
  <c r="Q14" i="1"/>
  <c r="Q24" i="1"/>
  <c r="Q13" i="1"/>
  <c r="Q15" i="1"/>
  <c r="Q21" i="1"/>
  <c r="G47" i="1" l="1"/>
  <c r="P25" i="1"/>
  <c r="P34" i="1" s="1"/>
  <c r="P76" i="1" s="1"/>
  <c r="K33" i="1"/>
  <c r="G46" i="1"/>
  <c r="H41" i="1" s="1"/>
  <c r="H42" i="1" s="1"/>
  <c r="J36" i="1"/>
  <c r="G49" i="1"/>
  <c r="G50" i="1" s="1"/>
  <c r="F50" i="1"/>
  <c r="F57" i="1" s="1"/>
  <c r="F59" i="1" s="1"/>
  <c r="N43" i="1"/>
  <c r="N55" i="1" s="1"/>
  <c r="N71" i="1"/>
  <c r="D67" i="1"/>
  <c r="D77" i="1"/>
  <c r="D78" i="1" s="1"/>
  <c r="G56" i="1"/>
  <c r="E62" i="1"/>
  <c r="K35" i="1"/>
  <c r="K32" i="1"/>
  <c r="L28" i="1" s="1"/>
  <c r="L29" i="1" s="1"/>
  <c r="I38" i="1"/>
  <c r="O30" i="1"/>
  <c r="K44" i="1"/>
  <c r="J37" i="1"/>
  <c r="S12" i="1"/>
  <c r="R27" i="1"/>
  <c r="R40" i="1" s="1"/>
  <c r="R52" i="1" s="1"/>
  <c r="R64" i="1" s="1"/>
  <c r="R70" i="1" s="1"/>
  <c r="R75" i="1" s="1"/>
  <c r="Q23" i="1"/>
  <c r="Q22" i="1"/>
  <c r="S11" i="1"/>
  <c r="R21" i="1"/>
  <c r="R14" i="1"/>
  <c r="R24" i="1"/>
  <c r="R15" i="1"/>
  <c r="R13" i="1"/>
  <c r="P30" i="1" l="1"/>
  <c r="P43" i="1" s="1"/>
  <c r="P55" i="1" s="1"/>
  <c r="D68" i="1"/>
  <c r="K36" i="1"/>
  <c r="F58" i="1"/>
  <c r="G53" i="1" s="1"/>
  <c r="G54" i="1" s="1"/>
  <c r="G57" i="1" s="1"/>
  <c r="O43" i="1"/>
  <c r="O55" i="1" s="1"/>
  <c r="O71" i="1"/>
  <c r="E66" i="1"/>
  <c r="E77" i="1" s="1"/>
  <c r="E78" i="1" s="1"/>
  <c r="E65" i="1"/>
  <c r="K37" i="1"/>
  <c r="K38" i="1" s="1"/>
  <c r="F60" i="1"/>
  <c r="H45" i="1"/>
  <c r="J38" i="1"/>
  <c r="Q25" i="1"/>
  <c r="T12" i="1"/>
  <c r="S27" i="1"/>
  <c r="S40" i="1" s="1"/>
  <c r="S52" i="1" s="1"/>
  <c r="S64" i="1" s="1"/>
  <c r="S70" i="1" s="1"/>
  <c r="S75" i="1" s="1"/>
  <c r="L31" i="1"/>
  <c r="R23" i="1"/>
  <c r="R22" i="1"/>
  <c r="T11" i="1"/>
  <c r="S21" i="1"/>
  <c r="S14" i="1"/>
  <c r="S24" i="1"/>
  <c r="S15" i="1"/>
  <c r="S13" i="1"/>
  <c r="P71" i="1" l="1"/>
  <c r="R25" i="1"/>
  <c r="R34" i="1" s="1"/>
  <c r="R76" i="1" s="1"/>
  <c r="G60" i="1"/>
  <c r="G59" i="1"/>
  <c r="G58" i="1"/>
  <c r="H53" i="1" s="1"/>
  <c r="H54" i="1" s="1"/>
  <c r="E72" i="1"/>
  <c r="E73" i="1" s="1"/>
  <c r="E67" i="1"/>
  <c r="F61" i="1"/>
  <c r="Q34" i="1"/>
  <c r="Q76" i="1" s="1"/>
  <c r="H47" i="1"/>
  <c r="H48" i="1"/>
  <c r="H56" i="1"/>
  <c r="L44" i="1"/>
  <c r="H46" i="1"/>
  <c r="I41" i="1" s="1"/>
  <c r="Q30" i="1"/>
  <c r="U12" i="1"/>
  <c r="T27" i="1"/>
  <c r="T40" i="1" s="1"/>
  <c r="T52" i="1" s="1"/>
  <c r="T64" i="1" s="1"/>
  <c r="T70" i="1" s="1"/>
  <c r="T75" i="1" s="1"/>
  <c r="L33" i="1"/>
  <c r="L35" i="1"/>
  <c r="L32" i="1"/>
  <c r="M28" i="1" s="1"/>
  <c r="S23" i="1"/>
  <c r="S22" i="1"/>
  <c r="U11" i="1"/>
  <c r="T24" i="1"/>
  <c r="T15" i="1"/>
  <c r="T21" i="1"/>
  <c r="T14" i="1"/>
  <c r="T13" i="1"/>
  <c r="R30" i="1" l="1"/>
  <c r="H49" i="1"/>
  <c r="H50" i="1" s="1"/>
  <c r="H57" i="1" s="1"/>
  <c r="Q43" i="1"/>
  <c r="Q55" i="1" s="1"/>
  <c r="Q71" i="1"/>
  <c r="F62" i="1"/>
  <c r="R43" i="1"/>
  <c r="R55" i="1" s="1"/>
  <c r="R71" i="1"/>
  <c r="L36" i="1"/>
  <c r="E68" i="1"/>
  <c r="G61" i="1"/>
  <c r="G62" i="1" s="1"/>
  <c r="I42" i="1"/>
  <c r="I45" i="1" s="1"/>
  <c r="S25" i="1"/>
  <c r="S34" i="1" s="1"/>
  <c r="S76" i="1" s="1"/>
  <c r="L37" i="1"/>
  <c r="V12" i="1"/>
  <c r="U27" i="1"/>
  <c r="U40" i="1" s="1"/>
  <c r="U52" i="1" s="1"/>
  <c r="U64" i="1" s="1"/>
  <c r="U70" i="1" s="1"/>
  <c r="U75" i="1" s="1"/>
  <c r="M29" i="1"/>
  <c r="T22" i="1"/>
  <c r="T23" i="1"/>
  <c r="V11" i="1"/>
  <c r="U24" i="1"/>
  <c r="U14" i="1"/>
  <c r="U15" i="1"/>
  <c r="U21" i="1"/>
  <c r="U13" i="1"/>
  <c r="S30" i="1" l="1"/>
  <c r="S71" i="1" s="1"/>
  <c r="H58" i="1"/>
  <c r="I53" i="1" s="1"/>
  <c r="I54" i="1" s="1"/>
  <c r="G66" i="1"/>
  <c r="G65" i="1"/>
  <c r="G72" i="1" s="1"/>
  <c r="G73" i="1" s="1"/>
  <c r="F65" i="1"/>
  <c r="F72" i="1" s="1"/>
  <c r="F73" i="1" s="1"/>
  <c r="F66" i="1"/>
  <c r="I47" i="1"/>
  <c r="I48" i="1"/>
  <c r="I56" i="1"/>
  <c r="I46" i="1"/>
  <c r="J41" i="1" s="1"/>
  <c r="L38" i="1"/>
  <c r="H59" i="1"/>
  <c r="H60" i="1"/>
  <c r="T25" i="1"/>
  <c r="W12" i="1"/>
  <c r="V27" i="1"/>
  <c r="V40" i="1" s="1"/>
  <c r="V52" i="1" s="1"/>
  <c r="V64" i="1" s="1"/>
  <c r="V70" i="1" s="1"/>
  <c r="V75" i="1" s="1"/>
  <c r="M31" i="1"/>
  <c r="U22" i="1"/>
  <c r="U23" i="1"/>
  <c r="W11" i="1"/>
  <c r="V24" i="1"/>
  <c r="V21" i="1"/>
  <c r="V14" i="1"/>
  <c r="V13" i="1"/>
  <c r="V15" i="1"/>
  <c r="S43" i="1" l="1"/>
  <c r="S55" i="1" s="1"/>
  <c r="I49" i="1"/>
  <c r="I50" i="1" s="1"/>
  <c r="I57" i="1" s="1"/>
  <c r="H61" i="1"/>
  <c r="G67" i="1"/>
  <c r="G68" i="1" s="1"/>
  <c r="G77" i="1"/>
  <c r="G78" i="1" s="1"/>
  <c r="F67" i="1"/>
  <c r="F77" i="1"/>
  <c r="F78" i="1" s="1"/>
  <c r="J42" i="1"/>
  <c r="J45" i="1" s="1"/>
  <c r="T30" i="1"/>
  <c r="M44" i="1"/>
  <c r="T34" i="1"/>
  <c r="T76" i="1" s="1"/>
  <c r="U25" i="1"/>
  <c r="M33" i="1"/>
  <c r="M35" i="1"/>
  <c r="X12" i="1"/>
  <c r="W27" i="1"/>
  <c r="W40" i="1" s="1"/>
  <c r="W52" i="1" s="1"/>
  <c r="W64" i="1" s="1"/>
  <c r="W70" i="1" s="1"/>
  <c r="W75" i="1" s="1"/>
  <c r="M32" i="1"/>
  <c r="N28" i="1" s="1"/>
  <c r="X11" i="1"/>
  <c r="W14" i="1"/>
  <c r="W24" i="1"/>
  <c r="W21" i="1"/>
  <c r="W13" i="1"/>
  <c r="W15" i="1"/>
  <c r="V22" i="1"/>
  <c r="V23" i="1"/>
  <c r="T43" i="1" l="1"/>
  <c r="T55" i="1" s="1"/>
  <c r="T71" i="1"/>
  <c r="M36" i="1"/>
  <c r="H62" i="1"/>
  <c r="F68" i="1"/>
  <c r="I59" i="1"/>
  <c r="I60" i="1"/>
  <c r="I58" i="1"/>
  <c r="J53" i="1" s="1"/>
  <c r="J47" i="1"/>
  <c r="J48" i="1"/>
  <c r="J56" i="1"/>
  <c r="U30" i="1"/>
  <c r="J46" i="1"/>
  <c r="K41" i="1" s="1"/>
  <c r="U34" i="1"/>
  <c r="U76" i="1" s="1"/>
  <c r="V25" i="1"/>
  <c r="M37" i="1"/>
  <c r="Y12" i="1"/>
  <c r="X27" i="1"/>
  <c r="X40" i="1" s="1"/>
  <c r="X52" i="1" s="1"/>
  <c r="X64" i="1" s="1"/>
  <c r="X70" i="1" s="1"/>
  <c r="X75" i="1" s="1"/>
  <c r="N29" i="1"/>
  <c r="N31" i="1" s="1"/>
  <c r="W22" i="1"/>
  <c r="W23" i="1"/>
  <c r="Y11" i="1"/>
  <c r="X21" i="1"/>
  <c r="X24" i="1"/>
  <c r="X13" i="1"/>
  <c r="X15" i="1"/>
  <c r="X14" i="1"/>
  <c r="H65" i="1" l="1"/>
  <c r="H66" i="1"/>
  <c r="H77" i="1" s="1"/>
  <c r="H78" i="1" s="1"/>
  <c r="I61" i="1"/>
  <c r="I62" i="1" s="1"/>
  <c r="I66" i="1" s="1"/>
  <c r="I77" i="1" s="1"/>
  <c r="I78" i="1" s="1"/>
  <c r="U43" i="1"/>
  <c r="U55" i="1" s="1"/>
  <c r="U71" i="1"/>
  <c r="J49" i="1"/>
  <c r="J50" i="1" s="1"/>
  <c r="W25" i="1"/>
  <c r="W30" i="1" s="1"/>
  <c r="K42" i="1"/>
  <c r="J54" i="1"/>
  <c r="V30" i="1"/>
  <c r="N44" i="1"/>
  <c r="V34" i="1"/>
  <c r="V76" i="1" s="1"/>
  <c r="M38" i="1"/>
  <c r="Z12" i="1"/>
  <c r="Y27" i="1"/>
  <c r="Y40" i="1" s="1"/>
  <c r="Y52" i="1" s="1"/>
  <c r="Y64" i="1" s="1"/>
  <c r="Y70" i="1" s="1"/>
  <c r="Y75" i="1" s="1"/>
  <c r="N33" i="1"/>
  <c r="N35" i="1"/>
  <c r="N32" i="1"/>
  <c r="O28" i="1" s="1"/>
  <c r="O29" i="1" s="1"/>
  <c r="O31" i="1" s="1"/>
  <c r="X23" i="1"/>
  <c r="X22" i="1"/>
  <c r="Z11" i="1"/>
  <c r="Y14" i="1"/>
  <c r="Y24" i="1"/>
  <c r="Y21" i="1"/>
  <c r="Y15" i="1"/>
  <c r="Y13" i="1"/>
  <c r="I65" i="1" l="1"/>
  <c r="I72" i="1" s="1"/>
  <c r="I73" i="1" s="1"/>
  <c r="V43" i="1"/>
  <c r="V55" i="1" s="1"/>
  <c r="V71" i="1"/>
  <c r="W43" i="1"/>
  <c r="W55" i="1" s="1"/>
  <c r="W71" i="1"/>
  <c r="J57" i="1"/>
  <c r="N36" i="1"/>
  <c r="H72" i="1"/>
  <c r="H73" i="1" s="1"/>
  <c r="H67" i="1"/>
  <c r="W34" i="1"/>
  <c r="W76" i="1" s="1"/>
  <c r="O44" i="1"/>
  <c r="K45" i="1"/>
  <c r="X25" i="1"/>
  <c r="X30" i="1" s="1"/>
  <c r="N37" i="1"/>
  <c r="AA12" i="1"/>
  <c r="Z27" i="1"/>
  <c r="Z40" i="1" s="1"/>
  <c r="Z52" i="1" s="1"/>
  <c r="Z64" i="1" s="1"/>
  <c r="Z70" i="1" s="1"/>
  <c r="Z75" i="1" s="1"/>
  <c r="O33" i="1"/>
  <c r="O35" i="1"/>
  <c r="O32" i="1"/>
  <c r="P28" i="1" s="1"/>
  <c r="AA11" i="1"/>
  <c r="Z21" i="1"/>
  <c r="Z14" i="1"/>
  <c r="Z24" i="1"/>
  <c r="Z15" i="1"/>
  <c r="Z13" i="1"/>
  <c r="Y23" i="1"/>
  <c r="Y22" i="1"/>
  <c r="I67" i="1" l="1"/>
  <c r="I68" i="1" s="1"/>
  <c r="H68" i="1"/>
  <c r="K46" i="1"/>
  <c r="L41" i="1" s="1"/>
  <c r="L42" i="1" s="1"/>
  <c r="L45" i="1" s="1"/>
  <c r="X43" i="1"/>
  <c r="X55" i="1" s="1"/>
  <c r="X71" i="1"/>
  <c r="O36" i="1"/>
  <c r="J60" i="1"/>
  <c r="J59" i="1"/>
  <c r="J58" i="1"/>
  <c r="K53" i="1" s="1"/>
  <c r="K54" i="1" s="1"/>
  <c r="X34" i="1"/>
  <c r="X76" i="1" s="1"/>
  <c r="N38" i="1"/>
  <c r="K47" i="1"/>
  <c r="K48" i="1"/>
  <c r="K56" i="1"/>
  <c r="O37" i="1"/>
  <c r="Y25" i="1"/>
  <c r="AB12" i="1"/>
  <c r="AA27" i="1"/>
  <c r="AA40" i="1" s="1"/>
  <c r="AA52" i="1" s="1"/>
  <c r="AA64" i="1" s="1"/>
  <c r="AA70" i="1" s="1"/>
  <c r="AA75" i="1" s="1"/>
  <c r="P29" i="1"/>
  <c r="P31" i="1" s="1"/>
  <c r="Z23" i="1"/>
  <c r="Z22" i="1"/>
  <c r="AB11" i="1"/>
  <c r="AA14" i="1"/>
  <c r="AA24" i="1"/>
  <c r="AA15" i="1"/>
  <c r="AA13" i="1"/>
  <c r="K49" i="1" l="1"/>
  <c r="K50" i="1" s="1"/>
  <c r="K57" i="1" s="1"/>
  <c r="J61" i="1"/>
  <c r="J62" i="1" s="1"/>
  <c r="L47" i="1"/>
  <c r="L48" i="1"/>
  <c r="L56" i="1"/>
  <c r="Y34" i="1"/>
  <c r="Y76" i="1" s="1"/>
  <c r="P44" i="1"/>
  <c r="O38" i="1"/>
  <c r="L46" i="1"/>
  <c r="M41" i="1" s="1"/>
  <c r="Y30" i="1"/>
  <c r="P35" i="1"/>
  <c r="Z25" i="1"/>
  <c r="AC12" i="1"/>
  <c r="AB27" i="1"/>
  <c r="AB40" i="1" s="1"/>
  <c r="AB52" i="1" s="1"/>
  <c r="AB64" i="1" s="1"/>
  <c r="AB70" i="1" s="1"/>
  <c r="AB75" i="1" s="1"/>
  <c r="P33" i="1"/>
  <c r="P32" i="1"/>
  <c r="Q28" i="1" s="1"/>
  <c r="AC11" i="1"/>
  <c r="AB24" i="1"/>
  <c r="AB21" i="1"/>
  <c r="AB15" i="1"/>
  <c r="AB13" i="1"/>
  <c r="AB14" i="1"/>
  <c r="K59" i="1" l="1"/>
  <c r="L49" i="1"/>
  <c r="Y43" i="1"/>
  <c r="Y55" i="1" s="1"/>
  <c r="Y71" i="1"/>
  <c r="J66" i="1"/>
  <c r="J77" i="1" s="1"/>
  <c r="J78" i="1" s="1"/>
  <c r="J65" i="1"/>
  <c r="P36" i="1"/>
  <c r="K60" i="1"/>
  <c r="K58" i="1"/>
  <c r="L53" i="1" s="1"/>
  <c r="L54" i="1" s="1"/>
  <c r="L50" i="1"/>
  <c r="Z34" i="1"/>
  <c r="Z76" i="1" s="1"/>
  <c r="M42" i="1"/>
  <c r="M45" i="1" s="1"/>
  <c r="Z30" i="1"/>
  <c r="P37" i="1"/>
  <c r="AD12" i="1"/>
  <c r="AC27" i="1"/>
  <c r="AC40" i="1" s="1"/>
  <c r="AC52" i="1" s="1"/>
  <c r="AC64" i="1" s="1"/>
  <c r="AC70" i="1" s="1"/>
  <c r="AC75" i="1" s="1"/>
  <c r="Q29" i="1"/>
  <c r="AB22" i="1"/>
  <c r="AB23" i="1"/>
  <c r="AD11" i="1"/>
  <c r="AC24" i="1"/>
  <c r="AC14" i="1"/>
  <c r="AC21" i="1"/>
  <c r="AC15" i="1"/>
  <c r="AC13" i="1"/>
  <c r="L57" i="1" l="1"/>
  <c r="L58" i="1" s="1"/>
  <c r="M53" i="1" s="1"/>
  <c r="K61" i="1"/>
  <c r="K62" i="1" s="1"/>
  <c r="K65" i="1" s="1"/>
  <c r="K72" i="1" s="1"/>
  <c r="K73" i="1" s="1"/>
  <c r="Z43" i="1"/>
  <c r="Z55" i="1" s="1"/>
  <c r="Z71" i="1"/>
  <c r="M46" i="1"/>
  <c r="N41" i="1" s="1"/>
  <c r="N42" i="1" s="1"/>
  <c r="N45" i="1" s="1"/>
  <c r="J72" i="1"/>
  <c r="J73" i="1" s="1"/>
  <c r="J67" i="1"/>
  <c r="J68" i="1" s="1"/>
  <c r="AB25" i="1"/>
  <c r="AB34" i="1" s="1"/>
  <c r="AB76" i="1" s="1"/>
  <c r="M47" i="1"/>
  <c r="M48" i="1"/>
  <c r="M56" i="1"/>
  <c r="P38" i="1"/>
  <c r="AE12" i="1"/>
  <c r="AD27" i="1"/>
  <c r="AD40" i="1" s="1"/>
  <c r="AD52" i="1" s="1"/>
  <c r="AD64" i="1" s="1"/>
  <c r="AD70" i="1" s="1"/>
  <c r="AD75" i="1" s="1"/>
  <c r="Q31" i="1"/>
  <c r="AE11" i="1"/>
  <c r="AD24" i="1"/>
  <c r="AD21" i="1"/>
  <c r="AD14" i="1"/>
  <c r="AD15" i="1"/>
  <c r="AD13" i="1"/>
  <c r="AC22" i="1"/>
  <c r="AC23" i="1"/>
  <c r="L59" i="1" l="1"/>
  <c r="L60" i="1"/>
  <c r="L61" i="1" s="1"/>
  <c r="L62" i="1" s="1"/>
  <c r="L65" i="1" s="1"/>
  <c r="L72" i="1" s="1"/>
  <c r="L73" i="1" s="1"/>
  <c r="K66" i="1"/>
  <c r="K67" i="1" s="1"/>
  <c r="K68" i="1" s="1"/>
  <c r="AB30" i="1"/>
  <c r="AB43" i="1" s="1"/>
  <c r="AB55" i="1" s="1"/>
  <c r="AB71" i="1"/>
  <c r="M49" i="1"/>
  <c r="M50" i="1" s="1"/>
  <c r="Q44" i="1"/>
  <c r="M54" i="1"/>
  <c r="N47" i="1"/>
  <c r="N48" i="1"/>
  <c r="N56" i="1"/>
  <c r="N46" i="1"/>
  <c r="O41" i="1" s="1"/>
  <c r="AC25" i="1"/>
  <c r="AC34" i="1" s="1"/>
  <c r="AC76" i="1" s="1"/>
  <c r="AF12" i="1"/>
  <c r="AE27" i="1"/>
  <c r="AE40" i="1" s="1"/>
  <c r="AE52" i="1" s="1"/>
  <c r="AE64" i="1" s="1"/>
  <c r="AE70" i="1" s="1"/>
  <c r="AE75" i="1" s="1"/>
  <c r="Q33" i="1"/>
  <c r="Q35" i="1"/>
  <c r="Q32" i="1"/>
  <c r="R28" i="1" s="1"/>
  <c r="AD22" i="1"/>
  <c r="AD23" i="1"/>
  <c r="AF11" i="1"/>
  <c r="AE14" i="1"/>
  <c r="AE24" i="1"/>
  <c r="AE21" i="1"/>
  <c r="AE13" i="1"/>
  <c r="AE15" i="1"/>
  <c r="K77" i="1" l="1"/>
  <c r="K78" i="1" s="1"/>
  <c r="Q36" i="1"/>
  <c r="M57" i="1"/>
  <c r="N49" i="1"/>
  <c r="N50" i="1" s="1"/>
  <c r="L66" i="1"/>
  <c r="O42" i="1"/>
  <c r="O45" i="1" s="1"/>
  <c r="AC30" i="1"/>
  <c r="AD25" i="1"/>
  <c r="AD30" i="1" s="1"/>
  <c r="Q37" i="1"/>
  <c r="AG12" i="1"/>
  <c r="AF27" i="1"/>
  <c r="AF40" i="1" s="1"/>
  <c r="AF52" i="1" s="1"/>
  <c r="AF64" i="1" s="1"/>
  <c r="AF70" i="1" s="1"/>
  <c r="AF75" i="1" s="1"/>
  <c r="R29" i="1"/>
  <c r="R31" i="1" s="1"/>
  <c r="AG11" i="1"/>
  <c r="AF21" i="1"/>
  <c r="AF24" i="1"/>
  <c r="AF13" i="1"/>
  <c r="AF15" i="1"/>
  <c r="AF14" i="1"/>
  <c r="AE22" i="1"/>
  <c r="AE23" i="1"/>
  <c r="AD43" i="1" l="1"/>
  <c r="AD55" i="1" s="1"/>
  <c r="AD71" i="1"/>
  <c r="AC43" i="1"/>
  <c r="AC55" i="1" s="1"/>
  <c r="AC71" i="1"/>
  <c r="M59" i="1"/>
  <c r="M60" i="1"/>
  <c r="M58" i="1"/>
  <c r="N53" i="1" s="1"/>
  <c r="N54" i="1" s="1"/>
  <c r="L67" i="1"/>
  <c r="L68" i="1" s="1"/>
  <c r="L77" i="1"/>
  <c r="L78" i="1" s="1"/>
  <c r="O46" i="1"/>
  <c r="P41" i="1" s="1"/>
  <c r="P42" i="1" s="1"/>
  <c r="P45" i="1" s="1"/>
  <c r="Q38" i="1"/>
  <c r="O48" i="1"/>
  <c r="O56" i="1"/>
  <c r="O47" i="1"/>
  <c r="AD34" i="1"/>
  <c r="AD76" i="1" s="1"/>
  <c r="R44" i="1"/>
  <c r="AE25" i="1"/>
  <c r="AH12" i="1"/>
  <c r="AG27" i="1"/>
  <c r="AG40" i="1" s="1"/>
  <c r="AG52" i="1" s="1"/>
  <c r="AG64" i="1" s="1"/>
  <c r="AG70" i="1" s="1"/>
  <c r="AG75" i="1" s="1"/>
  <c r="R33" i="1"/>
  <c r="R35" i="1"/>
  <c r="R32" i="1"/>
  <c r="S28" i="1" s="1"/>
  <c r="AH11" i="1"/>
  <c r="AG14" i="1"/>
  <c r="AG24" i="1"/>
  <c r="AG15" i="1"/>
  <c r="AG13" i="1"/>
  <c r="AG21" i="1"/>
  <c r="AF23" i="1"/>
  <c r="AF22" i="1"/>
  <c r="P46" i="1" l="1"/>
  <c r="Q41" i="1" s="1"/>
  <c r="Q42" i="1" s="1"/>
  <c r="Q45" i="1" s="1"/>
  <c r="O49" i="1"/>
  <c r="O50" i="1" s="1"/>
  <c r="R36" i="1"/>
  <c r="M61" i="1"/>
  <c r="M62" i="1" s="1"/>
  <c r="N57" i="1"/>
  <c r="AE34" i="1"/>
  <c r="AE76" i="1" s="1"/>
  <c r="P47" i="1"/>
  <c r="P48" i="1"/>
  <c r="P56" i="1"/>
  <c r="R37" i="1"/>
  <c r="AE30" i="1"/>
  <c r="AF25" i="1"/>
  <c r="AI12" i="1"/>
  <c r="AH27" i="1"/>
  <c r="AH40" i="1" s="1"/>
  <c r="AH52" i="1" s="1"/>
  <c r="AH64" i="1" s="1"/>
  <c r="AH70" i="1" s="1"/>
  <c r="AH75" i="1" s="1"/>
  <c r="S29" i="1"/>
  <c r="AI11" i="1"/>
  <c r="AH21" i="1"/>
  <c r="AH14" i="1"/>
  <c r="AH24" i="1"/>
  <c r="AH15" i="1"/>
  <c r="AH13" i="1"/>
  <c r="AG23" i="1"/>
  <c r="AG22" i="1"/>
  <c r="AG25" i="1" l="1"/>
  <c r="AE43" i="1"/>
  <c r="AE55" i="1" s="1"/>
  <c r="AE71" i="1"/>
  <c r="Q46" i="1"/>
  <c r="R41" i="1" s="1"/>
  <c r="R42" i="1" s="1"/>
  <c r="M65" i="1"/>
  <c r="M66" i="1"/>
  <c r="M77" i="1" s="1"/>
  <c r="M78" i="1" s="1"/>
  <c r="P49" i="1"/>
  <c r="P50" i="1" s="1"/>
  <c r="N59" i="1"/>
  <c r="N60" i="1"/>
  <c r="AF34" i="1"/>
  <c r="AF76" i="1" s="1"/>
  <c r="R38" i="1"/>
  <c r="Q47" i="1"/>
  <c r="Q48" i="1"/>
  <c r="Q56" i="1"/>
  <c r="AF30" i="1"/>
  <c r="N58" i="1"/>
  <c r="O53" i="1" s="1"/>
  <c r="AG34" i="1"/>
  <c r="AG76" i="1" s="1"/>
  <c r="AG30" i="1"/>
  <c r="AJ12" i="1"/>
  <c r="AI27" i="1"/>
  <c r="AI40" i="1" s="1"/>
  <c r="AI52" i="1" s="1"/>
  <c r="AI64" i="1" s="1"/>
  <c r="AI70" i="1" s="1"/>
  <c r="AI75" i="1" s="1"/>
  <c r="S31" i="1"/>
  <c r="AJ11" i="1"/>
  <c r="AI21" i="1"/>
  <c r="AI14" i="1"/>
  <c r="AI24" i="1"/>
  <c r="AI15" i="1"/>
  <c r="AI13" i="1"/>
  <c r="AH23" i="1"/>
  <c r="AH22" i="1"/>
  <c r="M72" i="1" l="1"/>
  <c r="M73" i="1" s="1"/>
  <c r="M67" i="1"/>
  <c r="M68" i="1" s="1"/>
  <c r="Q49" i="1"/>
  <c r="Q50" i="1" s="1"/>
  <c r="N61" i="1"/>
  <c r="N62" i="1" s="1"/>
  <c r="N65" i="1" s="1"/>
  <c r="N72" i="1" s="1"/>
  <c r="N73" i="1" s="1"/>
  <c r="AG43" i="1"/>
  <c r="AG55" i="1" s="1"/>
  <c r="AG71" i="1"/>
  <c r="AF43" i="1"/>
  <c r="AF55" i="1" s="1"/>
  <c r="AF71" i="1"/>
  <c r="R45" i="1"/>
  <c r="R47" i="1" s="1"/>
  <c r="O54" i="1"/>
  <c r="S44" i="1"/>
  <c r="AH25" i="1"/>
  <c r="S33" i="1"/>
  <c r="S35" i="1"/>
  <c r="AK12" i="1"/>
  <c r="AJ27" i="1"/>
  <c r="AJ40" i="1" s="1"/>
  <c r="AJ52" i="1" s="1"/>
  <c r="AJ64" i="1" s="1"/>
  <c r="AJ70" i="1" s="1"/>
  <c r="AJ75" i="1" s="1"/>
  <c r="S32" i="1"/>
  <c r="T28" i="1" s="1"/>
  <c r="AI23" i="1"/>
  <c r="AI22" i="1"/>
  <c r="AK11" i="1"/>
  <c r="AJ24" i="1"/>
  <c r="AJ21" i="1"/>
  <c r="AJ14" i="1"/>
  <c r="AJ13" i="1"/>
  <c r="AJ15" i="1"/>
  <c r="R46" i="1" l="1"/>
  <c r="S41" i="1" s="1"/>
  <c r="S42" i="1" s="1"/>
  <c r="S36" i="1"/>
  <c r="R48" i="1"/>
  <c r="N66" i="1"/>
  <c r="N77" i="1" s="1"/>
  <c r="N78" i="1" s="1"/>
  <c r="R56" i="1"/>
  <c r="O57" i="1"/>
  <c r="AH34" i="1"/>
  <c r="AH76" i="1" s="1"/>
  <c r="AH30" i="1"/>
  <c r="AI25" i="1"/>
  <c r="S37" i="1"/>
  <c r="AL12" i="1"/>
  <c r="AK27" i="1"/>
  <c r="AK40" i="1" s="1"/>
  <c r="AK52" i="1" s="1"/>
  <c r="AK64" i="1" s="1"/>
  <c r="AK70" i="1" s="1"/>
  <c r="AK75" i="1" s="1"/>
  <c r="T29" i="1"/>
  <c r="T31" i="1" s="1"/>
  <c r="AJ22" i="1"/>
  <c r="AJ23" i="1"/>
  <c r="AL11" i="1"/>
  <c r="AK24" i="1"/>
  <c r="AK14" i="1"/>
  <c r="AK15" i="1"/>
  <c r="AK21" i="1"/>
  <c r="AK13" i="1"/>
  <c r="R49" i="1" l="1"/>
  <c r="R50" i="1" s="1"/>
  <c r="AH43" i="1"/>
  <c r="AH55" i="1" s="1"/>
  <c r="AH71" i="1"/>
  <c r="N67" i="1"/>
  <c r="N68" i="1" s="1"/>
  <c r="AJ25" i="1"/>
  <c r="AJ34" i="1" s="1"/>
  <c r="AJ76" i="1" s="1"/>
  <c r="AI34" i="1"/>
  <c r="AI76" i="1" s="1"/>
  <c r="T44" i="1"/>
  <c r="S38" i="1"/>
  <c r="S45" i="1" s="1"/>
  <c r="O59" i="1"/>
  <c r="O60" i="1"/>
  <c r="O58" i="1"/>
  <c r="P53" i="1" s="1"/>
  <c r="AI30" i="1"/>
  <c r="T35" i="1"/>
  <c r="T37" i="1" s="1"/>
  <c r="AM12" i="1"/>
  <c r="AL27" i="1"/>
  <c r="AL40" i="1" s="1"/>
  <c r="AL52" i="1" s="1"/>
  <c r="AL64" i="1" s="1"/>
  <c r="AL70" i="1" s="1"/>
  <c r="AL75" i="1" s="1"/>
  <c r="T33" i="1"/>
  <c r="T32" i="1"/>
  <c r="U28" i="1" s="1"/>
  <c r="AK22" i="1"/>
  <c r="AK23" i="1"/>
  <c r="AM11" i="1"/>
  <c r="AL24" i="1"/>
  <c r="AL21" i="1"/>
  <c r="AL14" i="1"/>
  <c r="AL13" i="1"/>
  <c r="AL15" i="1"/>
  <c r="AJ30" i="1" l="1"/>
  <c r="AJ43" i="1" s="1"/>
  <c r="AJ55" i="1" s="1"/>
  <c r="AI43" i="1"/>
  <c r="AI55" i="1" s="1"/>
  <c r="AI71" i="1"/>
  <c r="O61" i="1"/>
  <c r="O62" i="1" s="1"/>
  <c r="O65" i="1" s="1"/>
  <c r="O72" i="1" s="1"/>
  <c r="O73" i="1" s="1"/>
  <c r="T36" i="1"/>
  <c r="S47" i="1"/>
  <c r="S48" i="1"/>
  <c r="S56" i="1"/>
  <c r="S46" i="1"/>
  <c r="T41" i="1" s="1"/>
  <c r="P54" i="1"/>
  <c r="T38" i="1"/>
  <c r="AK25" i="1"/>
  <c r="AN12" i="1"/>
  <c r="AM27" i="1"/>
  <c r="AM40" i="1" s="1"/>
  <c r="AM52" i="1" s="1"/>
  <c r="AM64" i="1" s="1"/>
  <c r="AM70" i="1" s="1"/>
  <c r="AM75" i="1" s="1"/>
  <c r="U29" i="1"/>
  <c r="AL22" i="1"/>
  <c r="AL23" i="1"/>
  <c r="AN11" i="1"/>
  <c r="AM14" i="1"/>
  <c r="AM24" i="1"/>
  <c r="AM21" i="1"/>
  <c r="AM15" i="1"/>
  <c r="AM13" i="1"/>
  <c r="AA21" i="1" s="1"/>
  <c r="AA22" i="1" l="1"/>
  <c r="AA23" i="1"/>
  <c r="AA25" i="1"/>
  <c r="AJ71" i="1"/>
  <c r="S49" i="1"/>
  <c r="S50" i="1" s="1"/>
  <c r="O66" i="1"/>
  <c r="T42" i="1"/>
  <c r="T45" i="1" s="1"/>
  <c r="AK34" i="1"/>
  <c r="AK76" i="1" s="1"/>
  <c r="P57" i="1"/>
  <c r="AL25" i="1"/>
  <c r="AL34" i="1" s="1"/>
  <c r="AL76" i="1" s="1"/>
  <c r="AK30" i="1"/>
  <c r="AO12" i="1"/>
  <c r="AN27" i="1"/>
  <c r="AN40" i="1" s="1"/>
  <c r="AN52" i="1" s="1"/>
  <c r="AN64" i="1" s="1"/>
  <c r="AN70" i="1" s="1"/>
  <c r="AN75" i="1" s="1"/>
  <c r="U31" i="1"/>
  <c r="AM22" i="1"/>
  <c r="AM23" i="1"/>
  <c r="AO11" i="1"/>
  <c r="AN21" i="1"/>
  <c r="AN24" i="1"/>
  <c r="AN13" i="1"/>
  <c r="AN14" i="1"/>
  <c r="AN15" i="1"/>
  <c r="AA30" i="1" l="1"/>
  <c r="AA34" i="1"/>
  <c r="AA76" i="1" s="1"/>
  <c r="T46" i="1"/>
  <c r="U41" i="1" s="1"/>
  <c r="U42" i="1" s="1"/>
  <c r="O67" i="1"/>
  <c r="O68" i="1" s="1"/>
  <c r="O77" i="1"/>
  <c r="O78" i="1" s="1"/>
  <c r="AK43" i="1"/>
  <c r="AK55" i="1" s="1"/>
  <c r="AK71" i="1"/>
  <c r="P59" i="1"/>
  <c r="P60" i="1"/>
  <c r="U44" i="1"/>
  <c r="AL30" i="1"/>
  <c r="T47" i="1"/>
  <c r="T48" i="1"/>
  <c r="T56" i="1"/>
  <c r="P58" i="1"/>
  <c r="Q53" i="1" s="1"/>
  <c r="AM25" i="1"/>
  <c r="U33" i="1"/>
  <c r="U35" i="1"/>
  <c r="AP12" i="1"/>
  <c r="AO27" i="1"/>
  <c r="AO40" i="1" s="1"/>
  <c r="AO52" i="1" s="1"/>
  <c r="AO64" i="1" s="1"/>
  <c r="AO70" i="1" s="1"/>
  <c r="AO75" i="1" s="1"/>
  <c r="U32" i="1"/>
  <c r="V28" i="1" s="1"/>
  <c r="AN23" i="1"/>
  <c r="AN22" i="1"/>
  <c r="AP11" i="1"/>
  <c r="AO14" i="1"/>
  <c r="AO24" i="1"/>
  <c r="AO15" i="1"/>
  <c r="AO21" i="1"/>
  <c r="AO13" i="1"/>
  <c r="AA71" i="1" l="1"/>
  <c r="AA43" i="1"/>
  <c r="AA55" i="1" s="1"/>
  <c r="AN25" i="1"/>
  <c r="AN34" i="1" s="1"/>
  <c r="AN76" i="1" s="1"/>
  <c r="U36" i="1"/>
  <c r="P61" i="1"/>
  <c r="P62" i="1" s="1"/>
  <c r="P65" i="1" s="1"/>
  <c r="AL43" i="1"/>
  <c r="AL55" i="1" s="1"/>
  <c r="AL71" i="1"/>
  <c r="T49" i="1"/>
  <c r="T50" i="1" s="1"/>
  <c r="Q54" i="1"/>
  <c r="Q57" i="1" s="1"/>
  <c r="AM30" i="1"/>
  <c r="AM34" i="1"/>
  <c r="AM76" i="1" s="1"/>
  <c r="U37" i="1"/>
  <c r="AQ12" i="1"/>
  <c r="AP27" i="1"/>
  <c r="AP40" i="1" s="1"/>
  <c r="AP52" i="1" s="1"/>
  <c r="AP64" i="1" s="1"/>
  <c r="AP70" i="1" s="1"/>
  <c r="AP75" i="1" s="1"/>
  <c r="V29" i="1"/>
  <c r="V31" i="1" s="1"/>
  <c r="AO23" i="1"/>
  <c r="AO22" i="1"/>
  <c r="AQ11" i="1"/>
  <c r="AP21" i="1"/>
  <c r="AP14" i="1"/>
  <c r="AP24" i="1"/>
  <c r="AP15" i="1"/>
  <c r="AP13" i="1"/>
  <c r="P66" i="1" l="1"/>
  <c r="P77" i="1" s="1"/>
  <c r="P78" i="1" s="1"/>
  <c r="AN30" i="1"/>
  <c r="AN43" i="1" s="1"/>
  <c r="AN55" i="1" s="1"/>
  <c r="P72" i="1"/>
  <c r="P73" i="1" s="1"/>
  <c r="AM43" i="1"/>
  <c r="AM55" i="1" s="1"/>
  <c r="AM71" i="1"/>
  <c r="Q59" i="1"/>
  <c r="Q60" i="1"/>
  <c r="Q58" i="1"/>
  <c r="R53" i="1" s="1"/>
  <c r="V44" i="1"/>
  <c r="U38" i="1"/>
  <c r="U45" i="1" s="1"/>
  <c r="AO25" i="1"/>
  <c r="AR12" i="1"/>
  <c r="AQ27" i="1"/>
  <c r="AQ40" i="1" s="1"/>
  <c r="AQ52" i="1" s="1"/>
  <c r="AQ64" i="1" s="1"/>
  <c r="AQ70" i="1" s="1"/>
  <c r="AQ75" i="1" s="1"/>
  <c r="V33" i="1"/>
  <c r="V35" i="1"/>
  <c r="V32" i="1"/>
  <c r="W28" i="1" s="1"/>
  <c r="AP23" i="1"/>
  <c r="AP22" i="1"/>
  <c r="AR11" i="1"/>
  <c r="AQ21" i="1"/>
  <c r="AQ14" i="1"/>
  <c r="AQ24" i="1"/>
  <c r="AQ15" i="1"/>
  <c r="AQ13" i="1"/>
  <c r="AN71" i="1" l="1"/>
  <c r="P67" i="1"/>
  <c r="P68" i="1" s="1"/>
  <c r="Q61" i="1"/>
  <c r="Q62" i="1" s="1"/>
  <c r="Q66" i="1" s="1"/>
  <c r="Q77" i="1" s="1"/>
  <c r="Q78" i="1" s="1"/>
  <c r="V36" i="1"/>
  <c r="U47" i="1"/>
  <c r="U48" i="1"/>
  <c r="U56" i="1"/>
  <c r="U46" i="1"/>
  <c r="V41" i="1" s="1"/>
  <c r="AO34" i="1"/>
  <c r="AO76" i="1" s="1"/>
  <c r="R54" i="1"/>
  <c r="R57" i="1" s="1"/>
  <c r="AO30" i="1"/>
  <c r="AP25" i="1"/>
  <c r="V37" i="1"/>
  <c r="AS12" i="1"/>
  <c r="AR27" i="1"/>
  <c r="AR40" i="1" s="1"/>
  <c r="AR52" i="1" s="1"/>
  <c r="AR64" i="1" s="1"/>
  <c r="AR70" i="1" s="1"/>
  <c r="AR75" i="1" s="1"/>
  <c r="W29" i="1"/>
  <c r="W31" i="1" s="1"/>
  <c r="AQ23" i="1"/>
  <c r="AQ22" i="1"/>
  <c r="AS11" i="1"/>
  <c r="AR24" i="1"/>
  <c r="AR21" i="1"/>
  <c r="AR13" i="1"/>
  <c r="AR14" i="1"/>
  <c r="AR15" i="1"/>
  <c r="Q65" i="1" l="1"/>
  <c r="Q72" i="1" s="1"/>
  <c r="Q73" i="1" s="1"/>
  <c r="AO43" i="1"/>
  <c r="AO55" i="1" s="1"/>
  <c r="AO71" i="1"/>
  <c r="U49" i="1"/>
  <c r="U50" i="1" s="1"/>
  <c r="R59" i="1"/>
  <c r="R60" i="1"/>
  <c r="V42" i="1"/>
  <c r="V38" i="1"/>
  <c r="AP34" i="1"/>
  <c r="AP76" i="1" s="1"/>
  <c r="R58" i="1"/>
  <c r="S53" i="1" s="1"/>
  <c r="W44" i="1"/>
  <c r="AP30" i="1"/>
  <c r="AQ25" i="1"/>
  <c r="W33" i="1"/>
  <c r="W35" i="1"/>
  <c r="AT12" i="1"/>
  <c r="AS27" i="1"/>
  <c r="AS40" i="1" s="1"/>
  <c r="AS52" i="1" s="1"/>
  <c r="AS64" i="1" s="1"/>
  <c r="AS70" i="1" s="1"/>
  <c r="AS75" i="1" s="1"/>
  <c r="W32" i="1"/>
  <c r="X28" i="1" s="1"/>
  <c r="AR22" i="1"/>
  <c r="AR23" i="1"/>
  <c r="AT11" i="1"/>
  <c r="AS24" i="1"/>
  <c r="AS14" i="1"/>
  <c r="AS15" i="1"/>
  <c r="AS21" i="1"/>
  <c r="AS13" i="1"/>
  <c r="Q67" i="1" l="1"/>
  <c r="Q68" i="1" s="1"/>
  <c r="R61" i="1"/>
  <c r="R62" i="1" s="1"/>
  <c r="R65" i="1" s="1"/>
  <c r="R72" i="1" s="1"/>
  <c r="R73" i="1" s="1"/>
  <c r="W36" i="1"/>
  <c r="AP43" i="1"/>
  <c r="AP55" i="1" s="1"/>
  <c r="AP71" i="1"/>
  <c r="V45" i="1"/>
  <c r="S54" i="1"/>
  <c r="S57" i="1" s="1"/>
  <c r="AQ34" i="1"/>
  <c r="AQ76" i="1" s="1"/>
  <c r="AR25" i="1"/>
  <c r="AQ30" i="1"/>
  <c r="W37" i="1"/>
  <c r="AU12" i="1"/>
  <c r="AT27" i="1"/>
  <c r="AT40" i="1" s="1"/>
  <c r="AT52" i="1" s="1"/>
  <c r="AT64" i="1" s="1"/>
  <c r="AT70" i="1" s="1"/>
  <c r="AT75" i="1" s="1"/>
  <c r="X29" i="1"/>
  <c r="AS22" i="1"/>
  <c r="AS23" i="1"/>
  <c r="AU11" i="1"/>
  <c r="AT24" i="1"/>
  <c r="AT21" i="1"/>
  <c r="AT14" i="1"/>
  <c r="AT13" i="1"/>
  <c r="AT15" i="1"/>
  <c r="R66" i="1" l="1"/>
  <c r="R77" i="1" s="1"/>
  <c r="R78" i="1" s="1"/>
  <c r="AQ43" i="1"/>
  <c r="AQ55" i="1" s="1"/>
  <c r="AQ71" i="1"/>
  <c r="V47" i="1"/>
  <c r="V46" i="1"/>
  <c r="W41" i="1" s="1"/>
  <c r="W42" i="1" s="1"/>
  <c r="V56" i="1"/>
  <c r="V48" i="1"/>
  <c r="S58" i="1"/>
  <c r="T53" i="1" s="1"/>
  <c r="T54" i="1" s="1"/>
  <c r="W38" i="1"/>
  <c r="S59" i="1"/>
  <c r="S60" i="1"/>
  <c r="AR34" i="1"/>
  <c r="AR76" i="1" s="1"/>
  <c r="AS25" i="1"/>
  <c r="AR30" i="1"/>
  <c r="AV12" i="1"/>
  <c r="AU27" i="1"/>
  <c r="AU40" i="1" s="1"/>
  <c r="AU52" i="1" s="1"/>
  <c r="AU64" i="1" s="1"/>
  <c r="AU70" i="1" s="1"/>
  <c r="AU75" i="1" s="1"/>
  <c r="X31" i="1"/>
  <c r="AT22" i="1"/>
  <c r="AT23" i="1"/>
  <c r="AV11" i="1"/>
  <c r="AU14" i="1"/>
  <c r="AU24" i="1"/>
  <c r="AU21" i="1"/>
  <c r="AU13" i="1"/>
  <c r="AU15" i="1"/>
  <c r="R67" i="1" l="1"/>
  <c r="R68" i="1" s="1"/>
  <c r="S61" i="1"/>
  <c r="S62" i="1" s="1"/>
  <c r="S66" i="1" s="1"/>
  <c r="S77" i="1" s="1"/>
  <c r="S78" i="1" s="1"/>
  <c r="AR43" i="1"/>
  <c r="AR55" i="1" s="1"/>
  <c r="AR71" i="1"/>
  <c r="V49" i="1"/>
  <c r="V50" i="1" s="1"/>
  <c r="T57" i="1"/>
  <c r="T60" i="1" s="1"/>
  <c r="X44" i="1"/>
  <c r="AS30" i="1"/>
  <c r="AS34" i="1"/>
  <c r="AS76" i="1" s="1"/>
  <c r="W45" i="1"/>
  <c r="AT25" i="1"/>
  <c r="X33" i="1"/>
  <c r="X35" i="1"/>
  <c r="AW12" i="1"/>
  <c r="AV27" i="1"/>
  <c r="AV40" i="1" s="1"/>
  <c r="AV52" i="1" s="1"/>
  <c r="AV64" i="1" s="1"/>
  <c r="AV70" i="1" s="1"/>
  <c r="AV75" i="1" s="1"/>
  <c r="X32" i="1"/>
  <c r="Y28" i="1" s="1"/>
  <c r="Y29" i="1" s="1"/>
  <c r="AU22" i="1"/>
  <c r="AU23" i="1"/>
  <c r="AW11" i="1"/>
  <c r="AV21" i="1"/>
  <c r="AV24" i="1"/>
  <c r="AV13" i="1"/>
  <c r="AV15" i="1"/>
  <c r="AV14" i="1"/>
  <c r="T59" i="1" l="1"/>
  <c r="S65" i="1"/>
  <c r="S67" i="1" s="1"/>
  <c r="S68" i="1" s="1"/>
  <c r="T61" i="1"/>
  <c r="T62" i="1" s="1"/>
  <c r="T65" i="1" s="1"/>
  <c r="T72" i="1" s="1"/>
  <c r="T73" i="1" s="1"/>
  <c r="W46" i="1"/>
  <c r="X41" i="1" s="1"/>
  <c r="X42" i="1" s="1"/>
  <c r="T58" i="1"/>
  <c r="U53" i="1" s="1"/>
  <c r="U54" i="1" s="1"/>
  <c r="U57" i="1" s="1"/>
  <c r="AS43" i="1"/>
  <c r="AS55" i="1" s="1"/>
  <c r="AS71" i="1"/>
  <c r="X36" i="1"/>
  <c r="AU25" i="1"/>
  <c r="AU34" i="1" s="1"/>
  <c r="AU76" i="1" s="1"/>
  <c r="W47" i="1"/>
  <c r="W48" i="1"/>
  <c r="W56" i="1"/>
  <c r="X37" i="1"/>
  <c r="AX12" i="1"/>
  <c r="AW27" i="1"/>
  <c r="AW40" i="1" s="1"/>
  <c r="AW52" i="1" s="1"/>
  <c r="AW64" i="1" s="1"/>
  <c r="AW70" i="1" s="1"/>
  <c r="AW75" i="1" s="1"/>
  <c r="AT34" i="1"/>
  <c r="AT76" i="1" s="1"/>
  <c r="AT30" i="1"/>
  <c r="Y31" i="1"/>
  <c r="AV23" i="1"/>
  <c r="AV22" i="1"/>
  <c r="AX11" i="1"/>
  <c r="AW14" i="1"/>
  <c r="AW24" i="1"/>
  <c r="AW15" i="1"/>
  <c r="AW13" i="1"/>
  <c r="AW21" i="1"/>
  <c r="S72" i="1" l="1"/>
  <c r="S73" i="1" s="1"/>
  <c r="T66" i="1"/>
  <c r="T77" i="1" s="1"/>
  <c r="T78" i="1" s="1"/>
  <c r="AT43" i="1"/>
  <c r="AT55" i="1" s="1"/>
  <c r="AT71" i="1"/>
  <c r="U58" i="1"/>
  <c r="V53" i="1" s="1"/>
  <c r="W49" i="1"/>
  <c r="W50" i="1" s="1"/>
  <c r="AU30" i="1"/>
  <c r="U60" i="1"/>
  <c r="U59" i="1"/>
  <c r="Y44" i="1"/>
  <c r="X38" i="1"/>
  <c r="X45" i="1" s="1"/>
  <c r="AV25" i="1"/>
  <c r="Y32" i="1"/>
  <c r="Z28" i="1" s="1"/>
  <c r="Z29" i="1" s="1"/>
  <c r="Z31" i="1" s="1"/>
  <c r="AY12" i="1"/>
  <c r="AX27" i="1"/>
  <c r="AX40" i="1" s="1"/>
  <c r="AX52" i="1" s="1"/>
  <c r="AX64" i="1" s="1"/>
  <c r="AX70" i="1" s="1"/>
  <c r="AX75" i="1" s="1"/>
  <c r="Y33" i="1"/>
  <c r="Y35" i="1"/>
  <c r="AW23" i="1"/>
  <c r="AW22" i="1"/>
  <c r="AY11" i="1"/>
  <c r="AX21" i="1"/>
  <c r="AX14" i="1"/>
  <c r="AX24" i="1"/>
  <c r="AX15" i="1"/>
  <c r="AX13" i="1"/>
  <c r="T67" i="1" l="1"/>
  <c r="T68" i="1" s="1"/>
  <c r="V54" i="1"/>
  <c r="V57" i="1" s="1"/>
  <c r="U61" i="1"/>
  <c r="U62" i="1" s="1"/>
  <c r="Y36" i="1"/>
  <c r="AU43" i="1"/>
  <c r="AU55" i="1" s="1"/>
  <c r="AU71" i="1"/>
  <c r="X47" i="1"/>
  <c r="X48" i="1"/>
  <c r="X56" i="1"/>
  <c r="X46" i="1"/>
  <c r="Y41" i="1" s="1"/>
  <c r="AV34" i="1"/>
  <c r="AV76" i="1" s="1"/>
  <c r="AV30" i="1"/>
  <c r="Z44" i="1"/>
  <c r="AW25" i="1"/>
  <c r="Y37" i="1"/>
  <c r="AZ12" i="1"/>
  <c r="AY27" i="1"/>
  <c r="AY40" i="1" s="1"/>
  <c r="AY52" i="1" s="1"/>
  <c r="AY64" i="1" s="1"/>
  <c r="AY70" i="1" s="1"/>
  <c r="AY75" i="1" s="1"/>
  <c r="Z33" i="1"/>
  <c r="Z35" i="1"/>
  <c r="Z32" i="1"/>
  <c r="AA28" i="1" s="1"/>
  <c r="AX23" i="1"/>
  <c r="AX22" i="1"/>
  <c r="AZ11" i="1"/>
  <c r="AY21" i="1"/>
  <c r="AY14" i="1"/>
  <c r="AY24" i="1"/>
  <c r="AY15" i="1"/>
  <c r="AY13" i="1"/>
  <c r="V59" i="1" l="1"/>
  <c r="V60" i="1"/>
  <c r="V61" i="1" s="1"/>
  <c r="V62" i="1" s="1"/>
  <c r="V66" i="1" s="1"/>
  <c r="V58" i="1"/>
  <c r="W53" i="1" s="1"/>
  <c r="W54" i="1" s="1"/>
  <c r="W57" i="1" s="1"/>
  <c r="X49" i="1"/>
  <c r="X50" i="1" s="1"/>
  <c r="AV43" i="1"/>
  <c r="AV55" i="1" s="1"/>
  <c r="AV71" i="1"/>
  <c r="Z36" i="1"/>
  <c r="U66" i="1"/>
  <c r="U77" i="1" s="1"/>
  <c r="U78" i="1" s="1"/>
  <c r="U65" i="1"/>
  <c r="AW34" i="1"/>
  <c r="AW76" i="1" s="1"/>
  <c r="Z37" i="1"/>
  <c r="Y42" i="1"/>
  <c r="AW30" i="1"/>
  <c r="Y38" i="1"/>
  <c r="AX25" i="1"/>
  <c r="BA12" i="1"/>
  <c r="AZ27" i="1"/>
  <c r="AZ40" i="1" s="1"/>
  <c r="AZ52" i="1" s="1"/>
  <c r="AZ64" i="1" s="1"/>
  <c r="AZ70" i="1" s="1"/>
  <c r="AZ75" i="1" s="1"/>
  <c r="AA29" i="1"/>
  <c r="AY23" i="1"/>
  <c r="AY22" i="1"/>
  <c r="BA11" i="1"/>
  <c r="AZ24" i="1"/>
  <c r="AZ21" i="1"/>
  <c r="AZ14" i="1"/>
  <c r="AZ15" i="1"/>
  <c r="AZ13" i="1"/>
  <c r="V65" i="1" l="1"/>
  <c r="V72" i="1" s="1"/>
  <c r="V73" i="1" s="1"/>
  <c r="V77" i="1"/>
  <c r="V78" i="1" s="1"/>
  <c r="AW43" i="1"/>
  <c r="AW55" i="1" s="1"/>
  <c r="AW71" i="1"/>
  <c r="U67" i="1"/>
  <c r="U68" i="1" s="1"/>
  <c r="U72" i="1"/>
  <c r="U73" i="1" s="1"/>
  <c r="W58" i="1"/>
  <c r="X53" i="1" s="1"/>
  <c r="X54" i="1" s="1"/>
  <c r="W59" i="1"/>
  <c r="W60" i="1"/>
  <c r="Z38" i="1"/>
  <c r="Y45" i="1"/>
  <c r="AY25" i="1"/>
  <c r="AX34" i="1"/>
  <c r="AX76" i="1" s="1"/>
  <c r="AX30" i="1"/>
  <c r="BB12" i="1"/>
  <c r="BA27" i="1"/>
  <c r="BA40" i="1" s="1"/>
  <c r="BA52" i="1" s="1"/>
  <c r="BA64" i="1" s="1"/>
  <c r="BA70" i="1" s="1"/>
  <c r="BA75" i="1" s="1"/>
  <c r="AA31" i="1"/>
  <c r="AZ22" i="1"/>
  <c r="AZ23" i="1"/>
  <c r="BB11" i="1"/>
  <c r="BA24" i="1"/>
  <c r="BA14" i="1"/>
  <c r="BA21" i="1"/>
  <c r="BA15" i="1"/>
  <c r="BA13" i="1"/>
  <c r="V67" i="1" l="1"/>
  <c r="V68" i="1" s="1"/>
  <c r="W61" i="1"/>
  <c r="W62" i="1" s="1"/>
  <c r="W66" i="1" s="1"/>
  <c r="AX43" i="1"/>
  <c r="AX55" i="1" s="1"/>
  <c r="AX71" i="1"/>
  <c r="X57" i="1"/>
  <c r="X58" i="1" s="1"/>
  <c r="Y53" i="1" s="1"/>
  <c r="Y54" i="1" s="1"/>
  <c r="AY34" i="1"/>
  <c r="AY76" i="1" s="1"/>
  <c r="Y47" i="1"/>
  <c r="Y48" i="1"/>
  <c r="Y56" i="1"/>
  <c r="AA44" i="1"/>
  <c r="Y46" i="1"/>
  <c r="Z41" i="1" s="1"/>
  <c r="AY30" i="1"/>
  <c r="AZ25" i="1"/>
  <c r="AZ34" i="1" s="1"/>
  <c r="AZ76" i="1" s="1"/>
  <c r="AA33" i="1"/>
  <c r="AA35" i="1"/>
  <c r="BC12" i="1"/>
  <c r="BB27" i="1"/>
  <c r="BB40" i="1" s="1"/>
  <c r="BB52" i="1" s="1"/>
  <c r="BB64" i="1" s="1"/>
  <c r="BB70" i="1" s="1"/>
  <c r="BB75" i="1" s="1"/>
  <c r="AA32" i="1"/>
  <c r="AB28" i="1" s="1"/>
  <c r="BA22" i="1"/>
  <c r="BA23" i="1"/>
  <c r="BC11" i="1"/>
  <c r="BB24" i="1"/>
  <c r="BB21" i="1"/>
  <c r="BB14" i="1"/>
  <c r="BB15" i="1"/>
  <c r="BB13" i="1"/>
  <c r="W65" i="1" l="1"/>
  <c r="W72" i="1" s="1"/>
  <c r="W73" i="1" s="1"/>
  <c r="W77" i="1"/>
  <c r="W78" i="1" s="1"/>
  <c r="AA36" i="1"/>
  <c r="Y49" i="1"/>
  <c r="Y50" i="1" s="1"/>
  <c r="Y57" i="1" s="1"/>
  <c r="AY43" i="1"/>
  <c r="AY55" i="1" s="1"/>
  <c r="AY71" i="1"/>
  <c r="X59" i="1"/>
  <c r="AZ30" i="1"/>
  <c r="X60" i="1"/>
  <c r="Z42" i="1"/>
  <c r="Z45" i="1" s="1"/>
  <c r="BA25" i="1"/>
  <c r="AA37" i="1"/>
  <c r="BD12" i="1"/>
  <c r="BC27" i="1"/>
  <c r="BC40" i="1" s="1"/>
  <c r="BC52" i="1" s="1"/>
  <c r="BC64" i="1" s="1"/>
  <c r="BC70" i="1" s="1"/>
  <c r="BC75" i="1" s="1"/>
  <c r="AB29" i="1"/>
  <c r="AB31" i="1" s="1"/>
  <c r="BB22" i="1"/>
  <c r="BB23" i="1"/>
  <c r="BD11" i="1"/>
  <c r="BC14" i="1"/>
  <c r="BC24" i="1"/>
  <c r="BC21" i="1"/>
  <c r="BC13" i="1"/>
  <c r="BC15" i="1"/>
  <c r="W67" i="1" l="1"/>
  <c r="W68" i="1" s="1"/>
  <c r="AZ43" i="1"/>
  <c r="AZ55" i="1" s="1"/>
  <c r="AZ71" i="1"/>
  <c r="X61" i="1"/>
  <c r="X62" i="1" s="1"/>
  <c r="X65" i="1" s="1"/>
  <c r="X72" i="1" s="1"/>
  <c r="X73" i="1" s="1"/>
  <c r="Y59" i="1"/>
  <c r="Y60" i="1"/>
  <c r="Y58" i="1"/>
  <c r="Z53" i="1" s="1"/>
  <c r="AA38" i="1"/>
  <c r="BB25" i="1"/>
  <c r="Z48" i="1"/>
  <c r="Z56" i="1"/>
  <c r="Z47" i="1"/>
  <c r="AB44" i="1"/>
  <c r="BA34" i="1"/>
  <c r="BA76" i="1" s="1"/>
  <c r="Z46" i="1"/>
  <c r="AA41" i="1" s="1"/>
  <c r="BA30" i="1"/>
  <c r="AB35" i="1"/>
  <c r="BE12" i="1"/>
  <c r="BD27" i="1"/>
  <c r="BD40" i="1" s="1"/>
  <c r="BD52" i="1" s="1"/>
  <c r="BD64" i="1" s="1"/>
  <c r="BD70" i="1" s="1"/>
  <c r="BD75" i="1" s="1"/>
  <c r="AB33" i="1"/>
  <c r="AB32" i="1"/>
  <c r="AC28" i="1" s="1"/>
  <c r="BC22" i="1"/>
  <c r="BC23" i="1"/>
  <c r="BE11" i="1"/>
  <c r="BD21" i="1"/>
  <c r="BD24" i="1"/>
  <c r="BD13" i="1"/>
  <c r="BD14" i="1"/>
  <c r="BD15" i="1"/>
  <c r="AB36" i="1" l="1"/>
  <c r="BA43" i="1"/>
  <c r="BA55" i="1" s="1"/>
  <c r="BA71" i="1"/>
  <c r="Y61" i="1"/>
  <c r="Y62" i="1" s="1"/>
  <c r="Y66" i="1" s="1"/>
  <c r="Y77" i="1" s="1"/>
  <c r="Y78" i="1" s="1"/>
  <c r="Z49" i="1"/>
  <c r="Z50" i="1" s="1"/>
  <c r="X66" i="1"/>
  <c r="BB30" i="1"/>
  <c r="BB34" i="1"/>
  <c r="BB76" i="1" s="1"/>
  <c r="Z54" i="1"/>
  <c r="AA42" i="1"/>
  <c r="AA45" i="1" s="1"/>
  <c r="BC25" i="1"/>
  <c r="AB37" i="1"/>
  <c r="BF12" i="1"/>
  <c r="BE27" i="1"/>
  <c r="BE40" i="1" s="1"/>
  <c r="BE52" i="1" s="1"/>
  <c r="BE64" i="1" s="1"/>
  <c r="BE70" i="1" s="1"/>
  <c r="BE75" i="1" s="1"/>
  <c r="AC29" i="1"/>
  <c r="AC31" i="1" s="1"/>
  <c r="BD23" i="1"/>
  <c r="BD22" i="1"/>
  <c r="BF11" i="1"/>
  <c r="BE14" i="1"/>
  <c r="BE24" i="1"/>
  <c r="BE21" i="1"/>
  <c r="BE15" i="1"/>
  <c r="BE13" i="1"/>
  <c r="Y65" i="1" l="1"/>
  <c r="Y67" i="1" s="1"/>
  <c r="Y68" i="1" s="1"/>
  <c r="Z57" i="1"/>
  <c r="Z60" i="1" s="1"/>
  <c r="BB43" i="1"/>
  <c r="BB55" i="1" s="1"/>
  <c r="BB71" i="1"/>
  <c r="X67" i="1"/>
  <c r="X68" i="1" s="1"/>
  <c r="X77" i="1"/>
  <c r="X78" i="1" s="1"/>
  <c r="AA46" i="1"/>
  <c r="AB41" i="1" s="1"/>
  <c r="AB42" i="1" s="1"/>
  <c r="BD25" i="1"/>
  <c r="BD34" i="1" s="1"/>
  <c r="BD76" i="1" s="1"/>
  <c r="AB38" i="1"/>
  <c r="BC30" i="1"/>
  <c r="AC44" i="1"/>
  <c r="AA48" i="1"/>
  <c r="AA56" i="1"/>
  <c r="AA47" i="1"/>
  <c r="BC34" i="1"/>
  <c r="BC76" i="1" s="1"/>
  <c r="BG12" i="1"/>
  <c r="BF27" i="1"/>
  <c r="BF40" i="1" s="1"/>
  <c r="BF52" i="1" s="1"/>
  <c r="BF64" i="1" s="1"/>
  <c r="BF70" i="1" s="1"/>
  <c r="BF75" i="1" s="1"/>
  <c r="AC33" i="1"/>
  <c r="AC35" i="1"/>
  <c r="AC32" i="1"/>
  <c r="AD28" i="1" s="1"/>
  <c r="BE23" i="1"/>
  <c r="BE22" i="1"/>
  <c r="BG11" i="1"/>
  <c r="BF21" i="1"/>
  <c r="BF14" i="1"/>
  <c r="BF24" i="1"/>
  <c r="BF15" i="1"/>
  <c r="BF13" i="1"/>
  <c r="Y72" i="1" l="1"/>
  <c r="Y73" i="1" s="1"/>
  <c r="Z59" i="1"/>
  <c r="AC36" i="1"/>
  <c r="Z61" i="1"/>
  <c r="Z62" i="1" s="1"/>
  <c r="Z65" i="1" s="1"/>
  <c r="AA49" i="1"/>
  <c r="AA50" i="1" s="1"/>
  <c r="BC43" i="1"/>
  <c r="BC55" i="1" s="1"/>
  <c r="BC71" i="1"/>
  <c r="Z58" i="1"/>
  <c r="AA53" i="1" s="1"/>
  <c r="AA54" i="1" s="1"/>
  <c r="BD30" i="1"/>
  <c r="AB45" i="1"/>
  <c r="BE25" i="1"/>
  <c r="AC37" i="1"/>
  <c r="BH12" i="1"/>
  <c r="BG27" i="1"/>
  <c r="BG40" i="1" s="1"/>
  <c r="BG52" i="1" s="1"/>
  <c r="BG64" i="1" s="1"/>
  <c r="BG70" i="1" s="1"/>
  <c r="BG75" i="1" s="1"/>
  <c r="AD29" i="1"/>
  <c r="AD31" i="1" s="1"/>
  <c r="BF23" i="1"/>
  <c r="BF22" i="1"/>
  <c r="BH11" i="1"/>
  <c r="BG21" i="1"/>
  <c r="BG14" i="1"/>
  <c r="BG24" i="1"/>
  <c r="BG15" i="1"/>
  <c r="BG13" i="1"/>
  <c r="AA57" i="1" l="1"/>
  <c r="AA60" i="1" s="1"/>
  <c r="Z66" i="1"/>
  <c r="Z77" i="1" s="1"/>
  <c r="Z78" i="1" s="1"/>
  <c r="Z72" i="1"/>
  <c r="Z73" i="1" s="1"/>
  <c r="BD43" i="1"/>
  <c r="BD55" i="1" s="1"/>
  <c r="BD71" i="1"/>
  <c r="AD44" i="1"/>
  <c r="AC38" i="1"/>
  <c r="AB47" i="1"/>
  <c r="AB48" i="1"/>
  <c r="AB56" i="1"/>
  <c r="AB46" i="1"/>
  <c r="AC41" i="1" s="1"/>
  <c r="BE34" i="1"/>
  <c r="BE76" i="1" s="1"/>
  <c r="BE30" i="1"/>
  <c r="BF25" i="1"/>
  <c r="BF30" i="1" s="1"/>
  <c r="AD33" i="1"/>
  <c r="AD35" i="1"/>
  <c r="BI12" i="1"/>
  <c r="BH27" i="1"/>
  <c r="BH40" i="1" s="1"/>
  <c r="BH52" i="1" s="1"/>
  <c r="BH64" i="1" s="1"/>
  <c r="BH70" i="1" s="1"/>
  <c r="BH75" i="1" s="1"/>
  <c r="AD32" i="1"/>
  <c r="AE28" i="1" s="1"/>
  <c r="BG23" i="1"/>
  <c r="BG22" i="1"/>
  <c r="BI11" i="1"/>
  <c r="BH24" i="1"/>
  <c r="BH21" i="1"/>
  <c r="BH13" i="1"/>
  <c r="BH15" i="1"/>
  <c r="BH14" i="1"/>
  <c r="AA59" i="1" l="1"/>
  <c r="AA58" i="1"/>
  <c r="AB53" i="1" s="1"/>
  <c r="AB54" i="1" s="1"/>
  <c r="Z67" i="1"/>
  <c r="Z68" i="1" s="1"/>
  <c r="BF43" i="1"/>
  <c r="BF55" i="1" s="1"/>
  <c r="BF71" i="1"/>
  <c r="AB49" i="1"/>
  <c r="AB50" i="1" s="1"/>
  <c r="AD36" i="1"/>
  <c r="BE43" i="1"/>
  <c r="BE55" i="1" s="1"/>
  <c r="BE71" i="1"/>
  <c r="AA61" i="1"/>
  <c r="AA62" i="1" s="1"/>
  <c r="AA66" i="1" s="1"/>
  <c r="AA77" i="1" s="1"/>
  <c r="AA78" i="1" s="1"/>
  <c r="BF34" i="1"/>
  <c r="BF76" i="1" s="1"/>
  <c r="AC42" i="1"/>
  <c r="AC45" i="1" s="1"/>
  <c r="BG25" i="1"/>
  <c r="BG30" i="1" s="1"/>
  <c r="AD37" i="1"/>
  <c r="BJ12" i="1"/>
  <c r="BI27" i="1"/>
  <c r="BI40" i="1" s="1"/>
  <c r="BI52" i="1" s="1"/>
  <c r="BI64" i="1" s="1"/>
  <c r="BI70" i="1" s="1"/>
  <c r="BI75" i="1" s="1"/>
  <c r="AE29" i="1"/>
  <c r="AE31" i="1" s="1"/>
  <c r="BH22" i="1"/>
  <c r="BH23" i="1"/>
  <c r="BJ11" i="1"/>
  <c r="BI24" i="1"/>
  <c r="BI14" i="1"/>
  <c r="BI21" i="1"/>
  <c r="BI15" i="1"/>
  <c r="BI13" i="1"/>
  <c r="AB57" i="1" l="1"/>
  <c r="AB60" i="1" s="1"/>
  <c r="AA65" i="1"/>
  <c r="AA67" i="1" s="1"/>
  <c r="AA68" i="1" s="1"/>
  <c r="BG43" i="1"/>
  <c r="BG55" i="1" s="1"/>
  <c r="BG71" i="1"/>
  <c r="AC46" i="1"/>
  <c r="AD41" i="1" s="1"/>
  <c r="AD42" i="1" s="1"/>
  <c r="AD38" i="1"/>
  <c r="BG34" i="1"/>
  <c r="BG76" i="1" s="1"/>
  <c r="AE44" i="1"/>
  <c r="AC47" i="1"/>
  <c r="AC48" i="1"/>
  <c r="AC56" i="1"/>
  <c r="BH25" i="1"/>
  <c r="BH30" i="1" s="1"/>
  <c r="BK12" i="1"/>
  <c r="BJ27" i="1"/>
  <c r="BJ40" i="1" s="1"/>
  <c r="BJ52" i="1" s="1"/>
  <c r="BJ64" i="1" s="1"/>
  <c r="BJ70" i="1" s="1"/>
  <c r="BJ75" i="1" s="1"/>
  <c r="AE33" i="1"/>
  <c r="AE35" i="1"/>
  <c r="AE32" i="1"/>
  <c r="AF28" i="1" s="1"/>
  <c r="BI22" i="1"/>
  <c r="BI23" i="1"/>
  <c r="BK11" i="1"/>
  <c r="BJ24" i="1"/>
  <c r="BJ21" i="1"/>
  <c r="BJ14" i="1"/>
  <c r="BJ13" i="1"/>
  <c r="BJ15" i="1"/>
  <c r="AB59" i="1" l="1"/>
  <c r="AB58" i="1"/>
  <c r="AC53" i="1" s="1"/>
  <c r="AC54" i="1" s="1"/>
  <c r="AA72" i="1"/>
  <c r="AA73" i="1" s="1"/>
  <c r="AB61" i="1"/>
  <c r="AB62" i="1" s="1"/>
  <c r="AB66" i="1" s="1"/>
  <c r="AC49" i="1"/>
  <c r="AC50" i="1" s="1"/>
  <c r="BH43" i="1"/>
  <c r="BH55" i="1" s="1"/>
  <c r="BH71" i="1"/>
  <c r="AE36" i="1"/>
  <c r="AD45" i="1"/>
  <c r="BH34" i="1"/>
  <c r="BH76" i="1" s="1"/>
  <c r="BI25" i="1"/>
  <c r="BI34" i="1" s="1"/>
  <c r="BI76" i="1" s="1"/>
  <c r="AE37" i="1"/>
  <c r="BL12" i="1"/>
  <c r="BK27" i="1"/>
  <c r="BK40" i="1" s="1"/>
  <c r="BK52" i="1" s="1"/>
  <c r="BK64" i="1" s="1"/>
  <c r="BK70" i="1" s="1"/>
  <c r="BK75" i="1" s="1"/>
  <c r="AF29" i="1"/>
  <c r="AF31" i="1" s="1"/>
  <c r="BJ22" i="1"/>
  <c r="BJ23" i="1"/>
  <c r="BL11" i="1"/>
  <c r="BK14" i="1"/>
  <c r="BK15" i="1"/>
  <c r="BK13" i="1"/>
  <c r="AB65" i="1" l="1"/>
  <c r="AB72" i="1" s="1"/>
  <c r="AB73" i="1" s="1"/>
  <c r="BI30" i="1"/>
  <c r="BI71" i="1" s="1"/>
  <c r="AB77" i="1"/>
  <c r="AB78" i="1" s="1"/>
  <c r="AD47" i="1"/>
  <c r="AD56" i="1"/>
  <c r="AD48" i="1"/>
  <c r="BL53" i="1"/>
  <c r="BL41" i="1"/>
  <c r="AD46" i="1"/>
  <c r="AE41" i="1" s="1"/>
  <c r="AE42" i="1" s="1"/>
  <c r="AC57" i="1"/>
  <c r="AF44" i="1"/>
  <c r="AE38" i="1"/>
  <c r="BJ25" i="1"/>
  <c r="AF33" i="1"/>
  <c r="AF35" i="1"/>
  <c r="BK24" i="1"/>
  <c r="BM12" i="1"/>
  <c r="BL27" i="1"/>
  <c r="BL40" i="1" s="1"/>
  <c r="BL52" i="1" s="1"/>
  <c r="BL64" i="1" s="1"/>
  <c r="BL70" i="1" s="1"/>
  <c r="BL75" i="1" s="1"/>
  <c r="BL28" i="1"/>
  <c r="BL25" i="1"/>
  <c r="AF32" i="1"/>
  <c r="AG28" i="1" s="1"/>
  <c r="BM11" i="1"/>
  <c r="BL21" i="1"/>
  <c r="BL24" i="1"/>
  <c r="BL13" i="1"/>
  <c r="BL14" i="1"/>
  <c r="BL15" i="1"/>
  <c r="BI43" i="1" l="1"/>
  <c r="BI55" i="1" s="1"/>
  <c r="AB67" i="1"/>
  <c r="AB68" i="1" s="1"/>
  <c r="AF36" i="1"/>
  <c r="AC60" i="1"/>
  <c r="AD49" i="1"/>
  <c r="AD50" i="1" s="1"/>
  <c r="BM41" i="1"/>
  <c r="BM53" i="1"/>
  <c r="BL42" i="1"/>
  <c r="AC58" i="1"/>
  <c r="AD53" i="1" s="1"/>
  <c r="AD54" i="1" s="1"/>
  <c r="BL54" i="1"/>
  <c r="AE45" i="1"/>
  <c r="AE56" i="1" s="1"/>
  <c r="AC59" i="1"/>
  <c r="BJ30" i="1"/>
  <c r="BJ34" i="1"/>
  <c r="BJ76" i="1" s="1"/>
  <c r="AF37" i="1"/>
  <c r="BN12" i="1"/>
  <c r="BM27" i="1"/>
  <c r="BM40" i="1" s="1"/>
  <c r="BM52" i="1" s="1"/>
  <c r="BM64" i="1" s="1"/>
  <c r="BM70" i="1" s="1"/>
  <c r="BM75" i="1" s="1"/>
  <c r="BL34" i="1"/>
  <c r="BL76" i="1" s="1"/>
  <c r="BL30" i="1"/>
  <c r="BM28" i="1"/>
  <c r="BM25" i="1"/>
  <c r="BL29" i="1"/>
  <c r="BL31" i="1" s="1"/>
  <c r="AG29" i="1"/>
  <c r="AG31" i="1" s="1"/>
  <c r="BN11" i="1"/>
  <c r="BM14" i="1"/>
  <c r="BM24" i="1"/>
  <c r="BM15" i="1"/>
  <c r="BM13" i="1"/>
  <c r="BM21" i="1"/>
  <c r="BL23" i="1"/>
  <c r="BL22" i="1"/>
  <c r="AD57" i="1" l="1"/>
  <c r="AE46" i="1"/>
  <c r="AF41" i="1" s="1"/>
  <c r="AC61" i="1"/>
  <c r="AC62" i="1" s="1"/>
  <c r="AE47" i="1"/>
  <c r="BJ43" i="1"/>
  <c r="BJ55" i="1" s="1"/>
  <c r="BJ71" i="1"/>
  <c r="BL43" i="1"/>
  <c r="BL55" i="1" s="1"/>
  <c r="BL71" i="1"/>
  <c r="BN53" i="1"/>
  <c r="BN41" i="1"/>
  <c r="AE48" i="1"/>
  <c r="BM54" i="1"/>
  <c r="BM42" i="1"/>
  <c r="AD59" i="1"/>
  <c r="AD60" i="1"/>
  <c r="AD58" i="1"/>
  <c r="AE53" i="1" s="1"/>
  <c r="AF42" i="1"/>
  <c r="AF38" i="1"/>
  <c r="AG44" i="1"/>
  <c r="BL44" i="1"/>
  <c r="BL35" i="1"/>
  <c r="BL32" i="1"/>
  <c r="BM29" i="1"/>
  <c r="BM31" i="1" s="1"/>
  <c r="BL33" i="1"/>
  <c r="AG33" i="1"/>
  <c r="AG35" i="1"/>
  <c r="BM34" i="1"/>
  <c r="BM76" i="1" s="1"/>
  <c r="BM30" i="1"/>
  <c r="BN28" i="1"/>
  <c r="BN25" i="1"/>
  <c r="BO12" i="1"/>
  <c r="BN27" i="1"/>
  <c r="BN40" i="1" s="1"/>
  <c r="BN52" i="1" s="1"/>
  <c r="BN64" i="1" s="1"/>
  <c r="BN70" i="1" s="1"/>
  <c r="BN75" i="1" s="1"/>
  <c r="AG32" i="1"/>
  <c r="AH28" i="1" s="1"/>
  <c r="BM23" i="1"/>
  <c r="BM22" i="1"/>
  <c r="BO11" i="1"/>
  <c r="BN21" i="1"/>
  <c r="BN14" i="1"/>
  <c r="BN24" i="1"/>
  <c r="BN15" i="1"/>
  <c r="BN13" i="1"/>
  <c r="AG36" i="1" l="1"/>
  <c r="AE49" i="1"/>
  <c r="AE50" i="1" s="1"/>
  <c r="AD61" i="1"/>
  <c r="AD62" i="1" s="1"/>
  <c r="AD65" i="1" s="1"/>
  <c r="AD72" i="1" s="1"/>
  <c r="AD73" i="1" s="1"/>
  <c r="AC65" i="1"/>
  <c r="AC72" i="1" s="1"/>
  <c r="AC73" i="1" s="1"/>
  <c r="AC66" i="1"/>
  <c r="AF45" i="1"/>
  <c r="AF48" i="1" s="1"/>
  <c r="BL37" i="1"/>
  <c r="BL38" i="1" s="1"/>
  <c r="BL45" i="1" s="1"/>
  <c r="BM43" i="1"/>
  <c r="BM55" i="1" s="1"/>
  <c r="BM71" i="1"/>
  <c r="BN42" i="1"/>
  <c r="BO53" i="1"/>
  <c r="BO41" i="1"/>
  <c r="BN54" i="1"/>
  <c r="BL36" i="1"/>
  <c r="BM44" i="1"/>
  <c r="AE54" i="1"/>
  <c r="AE57" i="1" s="1"/>
  <c r="AG37" i="1"/>
  <c r="BO28" i="1"/>
  <c r="BO25" i="1"/>
  <c r="BP12" i="1"/>
  <c r="BO27" i="1"/>
  <c r="BO40" i="1" s="1"/>
  <c r="BO52" i="1" s="1"/>
  <c r="BO64" i="1" s="1"/>
  <c r="BO70" i="1" s="1"/>
  <c r="BO75" i="1" s="1"/>
  <c r="BM33" i="1"/>
  <c r="BM35" i="1"/>
  <c r="BN30" i="1"/>
  <c r="BN34" i="1"/>
  <c r="BN76" i="1" s="1"/>
  <c r="BN29" i="1"/>
  <c r="BN31" i="1" s="1"/>
  <c r="BM32" i="1"/>
  <c r="AH29" i="1"/>
  <c r="BN23" i="1"/>
  <c r="BN22" i="1"/>
  <c r="BP11" i="1"/>
  <c r="BO21" i="1"/>
  <c r="BO14" i="1"/>
  <c r="BO24" i="1"/>
  <c r="BO15" i="1"/>
  <c r="BO13" i="1"/>
  <c r="AF47" i="1" l="1"/>
  <c r="AF46" i="1"/>
  <c r="AG41" i="1" s="1"/>
  <c r="AG42" i="1" s="1"/>
  <c r="AE58" i="1"/>
  <c r="AF53" i="1" s="1"/>
  <c r="AF54" i="1" s="1"/>
  <c r="AD66" i="1"/>
  <c r="AD77" i="1" s="1"/>
  <c r="AD78" i="1" s="1"/>
  <c r="BN43" i="1"/>
  <c r="BN55" i="1" s="1"/>
  <c r="BN71" i="1"/>
  <c r="AF49" i="1"/>
  <c r="AF50" i="1" s="1"/>
  <c r="BM36" i="1"/>
  <c r="AF56" i="1"/>
  <c r="AC67" i="1"/>
  <c r="AC68" i="1" s="1"/>
  <c r="AC77" i="1"/>
  <c r="AC78" i="1" s="1"/>
  <c r="BP53" i="1"/>
  <c r="BP41" i="1"/>
  <c r="BO42" i="1"/>
  <c r="BO54" i="1"/>
  <c r="BN44" i="1"/>
  <c r="BL47" i="1"/>
  <c r="BL48" i="1"/>
  <c r="BL56" i="1"/>
  <c r="BL46" i="1"/>
  <c r="AE59" i="1"/>
  <c r="AE60" i="1"/>
  <c r="AG38" i="1"/>
  <c r="BN32" i="1"/>
  <c r="BM37" i="1"/>
  <c r="BQ12" i="1"/>
  <c r="BP27" i="1"/>
  <c r="BP40" i="1" s="1"/>
  <c r="BP52" i="1" s="1"/>
  <c r="BP64" i="1" s="1"/>
  <c r="BP70" i="1" s="1"/>
  <c r="BP75" i="1" s="1"/>
  <c r="BO34" i="1"/>
  <c r="BO76" i="1" s="1"/>
  <c r="BO30" i="1"/>
  <c r="BO71" i="1" s="1"/>
  <c r="BP28" i="1"/>
  <c r="BP25" i="1"/>
  <c r="BN33" i="1"/>
  <c r="BN35" i="1"/>
  <c r="BO29" i="1"/>
  <c r="BO31" i="1" s="1"/>
  <c r="AH31" i="1"/>
  <c r="BO23" i="1"/>
  <c r="BO22" i="1"/>
  <c r="BQ11" i="1"/>
  <c r="BP24" i="1"/>
  <c r="BP21" i="1"/>
  <c r="BP14" i="1"/>
  <c r="BP13" i="1"/>
  <c r="BP15" i="1"/>
  <c r="AD67" i="1" l="1"/>
  <c r="AD68" i="1" s="1"/>
  <c r="AG45" i="1"/>
  <c r="AG47" i="1" s="1"/>
  <c r="BL49" i="1"/>
  <c r="BL50" i="1" s="1"/>
  <c r="BL57" i="1" s="1"/>
  <c r="AE61" i="1"/>
  <c r="AE62" i="1" s="1"/>
  <c r="AE65" i="1" s="1"/>
  <c r="AE72" i="1" s="1"/>
  <c r="AE73" i="1" s="1"/>
  <c r="BN36" i="1"/>
  <c r="AF57" i="1"/>
  <c r="AF59" i="1" s="1"/>
  <c r="BP42" i="1"/>
  <c r="BQ53" i="1"/>
  <c r="BQ41" i="1"/>
  <c r="BP54" i="1"/>
  <c r="BM38" i="1"/>
  <c r="BM45" i="1" s="1"/>
  <c r="AH44" i="1"/>
  <c r="BO44" i="1"/>
  <c r="BO33" i="1"/>
  <c r="BO43" i="1"/>
  <c r="BN37" i="1"/>
  <c r="BO35" i="1"/>
  <c r="BP34" i="1"/>
  <c r="BP76" i="1" s="1"/>
  <c r="BP30" i="1"/>
  <c r="BP29" i="1"/>
  <c r="BQ28" i="1"/>
  <c r="BQ25" i="1"/>
  <c r="BO32" i="1"/>
  <c r="AH33" i="1"/>
  <c r="AH35" i="1"/>
  <c r="BR12" i="1"/>
  <c r="BQ27" i="1"/>
  <c r="BQ40" i="1" s="1"/>
  <c r="BQ52" i="1" s="1"/>
  <c r="BQ64" i="1" s="1"/>
  <c r="BQ70" i="1" s="1"/>
  <c r="BQ75" i="1" s="1"/>
  <c r="AH32" i="1"/>
  <c r="AI28" i="1" s="1"/>
  <c r="BR11" i="1"/>
  <c r="BQ24" i="1"/>
  <c r="BQ14" i="1"/>
  <c r="BQ15" i="1"/>
  <c r="BQ21" i="1"/>
  <c r="BQ13" i="1"/>
  <c r="BP22" i="1"/>
  <c r="BP23" i="1"/>
  <c r="AG56" i="1" l="1"/>
  <c r="AG46" i="1"/>
  <c r="AH41" i="1" s="1"/>
  <c r="AH42" i="1" s="1"/>
  <c r="AG48" i="1"/>
  <c r="AG49" i="1" s="1"/>
  <c r="AG50" i="1" s="1"/>
  <c r="AE66" i="1"/>
  <c r="AE77" i="1" s="1"/>
  <c r="AE78" i="1" s="1"/>
  <c r="AF60" i="1"/>
  <c r="BP43" i="1"/>
  <c r="BP55" i="1" s="1"/>
  <c r="BP71" i="1"/>
  <c r="AE67" i="1"/>
  <c r="AE68" i="1" s="1"/>
  <c r="AF58" i="1"/>
  <c r="AG53" i="1" s="1"/>
  <c r="AG54" i="1" s="1"/>
  <c r="AH36" i="1"/>
  <c r="BO36" i="1"/>
  <c r="BQ42" i="1"/>
  <c r="BQ54" i="1"/>
  <c r="BR53" i="1"/>
  <c r="BR41" i="1"/>
  <c r="BL59" i="1"/>
  <c r="BL60" i="1"/>
  <c r="BL58" i="1"/>
  <c r="BO55" i="1"/>
  <c r="BN38" i="1"/>
  <c r="BN45" i="1" s="1"/>
  <c r="BM47" i="1"/>
  <c r="BM48" i="1"/>
  <c r="BM56" i="1"/>
  <c r="BM46" i="1"/>
  <c r="BO37" i="1"/>
  <c r="AH37" i="1"/>
  <c r="BQ29" i="1"/>
  <c r="BQ31" i="1" s="1"/>
  <c r="BS12" i="1"/>
  <c r="BR27" i="1"/>
  <c r="BR40" i="1" s="1"/>
  <c r="BR52" i="1" s="1"/>
  <c r="BR64" i="1" s="1"/>
  <c r="BR70" i="1" s="1"/>
  <c r="BR75" i="1" s="1"/>
  <c r="BQ34" i="1"/>
  <c r="BQ76" i="1" s="1"/>
  <c r="BQ30" i="1"/>
  <c r="BR28" i="1"/>
  <c r="BR25" i="1"/>
  <c r="BP31" i="1"/>
  <c r="AI29" i="1"/>
  <c r="BQ22" i="1"/>
  <c r="BQ23" i="1"/>
  <c r="BS11" i="1"/>
  <c r="BR24" i="1"/>
  <c r="BR21" i="1"/>
  <c r="BR14" i="1"/>
  <c r="BR15" i="1"/>
  <c r="BR13" i="1"/>
  <c r="BM49" i="1" l="1"/>
  <c r="BM50" i="1" s="1"/>
  <c r="BM57" i="1" s="1"/>
  <c r="BL61" i="1"/>
  <c r="BL62" i="1" s="1"/>
  <c r="BL66" i="1" s="1"/>
  <c r="BL77" i="1" s="1"/>
  <c r="BL78" i="1" s="1"/>
  <c r="BQ43" i="1"/>
  <c r="BQ55" i="1" s="1"/>
  <c r="BQ71" i="1"/>
  <c r="AF61" i="1"/>
  <c r="AF62" i="1" s="1"/>
  <c r="BS53" i="1"/>
  <c r="BS41" i="1"/>
  <c r="BR42" i="1"/>
  <c r="BR54" i="1"/>
  <c r="AG57" i="1"/>
  <c r="AG59" i="1" s="1"/>
  <c r="BP32" i="1"/>
  <c r="BP44" i="1"/>
  <c r="BN48" i="1"/>
  <c r="BN56" i="1"/>
  <c r="BN47" i="1"/>
  <c r="BN46" i="1"/>
  <c r="BO38" i="1"/>
  <c r="BO45" i="1" s="1"/>
  <c r="BQ44" i="1"/>
  <c r="AH38" i="1"/>
  <c r="AH45" i="1" s="1"/>
  <c r="BQ35" i="1"/>
  <c r="BT12" i="1"/>
  <c r="BS27" i="1"/>
  <c r="BS40" i="1" s="1"/>
  <c r="BS52" i="1" s="1"/>
  <c r="BS64" i="1" s="1"/>
  <c r="BS70" i="1" s="1"/>
  <c r="BS75" i="1" s="1"/>
  <c r="BQ33" i="1"/>
  <c r="BS28" i="1"/>
  <c r="BS25" i="1"/>
  <c r="BP33" i="1"/>
  <c r="BP35" i="1"/>
  <c r="BQ32" i="1"/>
  <c r="BR34" i="1"/>
  <c r="BR76" i="1" s="1"/>
  <c r="BR30" i="1"/>
  <c r="BR29" i="1"/>
  <c r="BR31" i="1" s="1"/>
  <c r="AI31" i="1"/>
  <c r="BR22" i="1"/>
  <c r="BR23" i="1"/>
  <c r="BT11" i="1"/>
  <c r="BS14" i="1"/>
  <c r="BS24" i="1"/>
  <c r="BS21" i="1"/>
  <c r="BS13" i="1"/>
  <c r="BS15" i="1"/>
  <c r="BL65" i="1" l="1"/>
  <c r="BL67" i="1" s="1"/>
  <c r="BL68" i="1" s="1"/>
  <c r="AG60" i="1"/>
  <c r="AG61" i="1" s="1"/>
  <c r="AG62" i="1" s="1"/>
  <c r="AF66" i="1"/>
  <c r="AF77" i="1" s="1"/>
  <c r="AF78" i="1" s="1"/>
  <c r="AF65" i="1"/>
  <c r="BR43" i="1"/>
  <c r="BR55" i="1" s="1"/>
  <c r="BR71" i="1"/>
  <c r="BQ36" i="1"/>
  <c r="BP36" i="1"/>
  <c r="BM60" i="1"/>
  <c r="AG58" i="1"/>
  <c r="AH53" i="1" s="1"/>
  <c r="AH54" i="1" s="1"/>
  <c r="BN49" i="1"/>
  <c r="BN50" i="1" s="1"/>
  <c r="BN57" i="1" s="1"/>
  <c r="BT53" i="1"/>
  <c r="BT41" i="1"/>
  <c r="BS42" i="1"/>
  <c r="BQ37" i="1"/>
  <c r="BQ38" i="1" s="1"/>
  <c r="BQ45" i="1" s="1"/>
  <c r="BS54" i="1"/>
  <c r="BM58" i="1"/>
  <c r="AH47" i="1"/>
  <c r="AH48" i="1"/>
  <c r="AH56" i="1"/>
  <c r="AH46" i="1"/>
  <c r="AI41" i="1" s="1"/>
  <c r="AI44" i="1"/>
  <c r="BR44" i="1"/>
  <c r="BM59" i="1"/>
  <c r="BO47" i="1"/>
  <c r="BO48" i="1"/>
  <c r="BO56" i="1"/>
  <c r="BO46" i="1"/>
  <c r="BP37" i="1"/>
  <c r="BR35" i="1"/>
  <c r="BR32" i="1"/>
  <c r="BS29" i="1"/>
  <c r="BS31" i="1" s="1"/>
  <c r="AI33" i="1"/>
  <c r="AI35" i="1"/>
  <c r="BT28" i="1"/>
  <c r="BT25" i="1"/>
  <c r="BS34" i="1"/>
  <c r="BS76" i="1" s="1"/>
  <c r="BS30" i="1"/>
  <c r="BR33" i="1"/>
  <c r="BU12" i="1"/>
  <c r="BT27" i="1"/>
  <c r="BT40" i="1" s="1"/>
  <c r="BT52" i="1" s="1"/>
  <c r="BT64" i="1" s="1"/>
  <c r="BT70" i="1" s="1"/>
  <c r="BT75" i="1" s="1"/>
  <c r="AI32" i="1"/>
  <c r="AJ28" i="1" s="1"/>
  <c r="BU11" i="1"/>
  <c r="BT21" i="1"/>
  <c r="BT24" i="1"/>
  <c r="BT13" i="1"/>
  <c r="BT14" i="1"/>
  <c r="BT15" i="1"/>
  <c r="BS22" i="1"/>
  <c r="BS23" i="1"/>
  <c r="BL72" i="1" l="1"/>
  <c r="BL73" i="1" s="1"/>
  <c r="BT42" i="1"/>
  <c r="AG65" i="1"/>
  <c r="AG72" i="1" s="1"/>
  <c r="AG73" i="1" s="1"/>
  <c r="AG66" i="1"/>
  <c r="AG77" i="1" s="1"/>
  <c r="AG78" i="1" s="1"/>
  <c r="BT54" i="1"/>
  <c r="BN60" i="1"/>
  <c r="AI36" i="1"/>
  <c r="AF72" i="1"/>
  <c r="AF73" i="1" s="1"/>
  <c r="AF67" i="1"/>
  <c r="AF68" i="1" s="1"/>
  <c r="BS43" i="1"/>
  <c r="BS55" i="1" s="1"/>
  <c r="BS71" i="1"/>
  <c r="BR37" i="1"/>
  <c r="BR38" i="1" s="1"/>
  <c r="BR45" i="1" s="1"/>
  <c r="AH49" i="1"/>
  <c r="AH50" i="1" s="1"/>
  <c r="AH57" i="1" s="1"/>
  <c r="AH59" i="1" s="1"/>
  <c r="BM61" i="1"/>
  <c r="BM62" i="1" s="1"/>
  <c r="BO49" i="1"/>
  <c r="BO50" i="1" s="1"/>
  <c r="BO57" i="1" s="1"/>
  <c r="BO59" i="1" s="1"/>
  <c r="BU41" i="1"/>
  <c r="BU53" i="1"/>
  <c r="BR36" i="1"/>
  <c r="BN59" i="1"/>
  <c r="BQ47" i="1"/>
  <c r="BQ48" i="1"/>
  <c r="BQ56" i="1"/>
  <c r="AI42" i="1"/>
  <c r="BS44" i="1"/>
  <c r="BN58" i="1"/>
  <c r="BP38" i="1"/>
  <c r="BP45" i="1" s="1"/>
  <c r="BQ46" i="1"/>
  <c r="AI37" i="1"/>
  <c r="BS35" i="1"/>
  <c r="BS32" i="1"/>
  <c r="BT29" i="1"/>
  <c r="BT31" i="1" s="1"/>
  <c r="BV12" i="1"/>
  <c r="BU27" i="1"/>
  <c r="BU40" i="1" s="1"/>
  <c r="BU52" i="1" s="1"/>
  <c r="BU64" i="1" s="1"/>
  <c r="BU70" i="1" s="1"/>
  <c r="BU75" i="1" s="1"/>
  <c r="BU28" i="1"/>
  <c r="BU25" i="1"/>
  <c r="BT34" i="1"/>
  <c r="BT76" i="1" s="1"/>
  <c r="BT30" i="1"/>
  <c r="BS33" i="1"/>
  <c r="AJ29" i="1"/>
  <c r="AJ31" i="1" s="1"/>
  <c r="BT23" i="1"/>
  <c r="BT22" i="1"/>
  <c r="BV11" i="1"/>
  <c r="BU14" i="1"/>
  <c r="BU24" i="1"/>
  <c r="BU15" i="1"/>
  <c r="BU13" i="1"/>
  <c r="BU21" i="1"/>
  <c r="AG67" i="1" l="1"/>
  <c r="AG68" i="1" s="1"/>
  <c r="BU42" i="1"/>
  <c r="BQ49" i="1"/>
  <c r="BQ50" i="1" s="1"/>
  <c r="BQ57" i="1" s="1"/>
  <c r="AH58" i="1"/>
  <c r="AI53" i="1" s="1"/>
  <c r="AI54" i="1" s="1"/>
  <c r="BM65" i="1"/>
  <c r="BM66" i="1"/>
  <c r="BM77" i="1" s="1"/>
  <c r="BM78" i="1" s="1"/>
  <c r="AH60" i="1"/>
  <c r="BO60" i="1"/>
  <c r="BT43" i="1"/>
  <c r="BT55" i="1" s="1"/>
  <c r="BT71" i="1"/>
  <c r="BS37" i="1"/>
  <c r="BS38" i="1" s="1"/>
  <c r="BS45" i="1" s="1"/>
  <c r="BN61" i="1"/>
  <c r="BN62" i="1" s="1"/>
  <c r="BV53" i="1"/>
  <c r="BV41" i="1"/>
  <c r="BU54" i="1"/>
  <c r="BS36" i="1"/>
  <c r="BR48" i="1"/>
  <c r="BR46" i="1"/>
  <c r="BR56" i="1"/>
  <c r="BR47" i="1"/>
  <c r="AJ44" i="1"/>
  <c r="AI38" i="1"/>
  <c r="AI45" i="1" s="1"/>
  <c r="BO58" i="1"/>
  <c r="BT44" i="1"/>
  <c r="BP47" i="1"/>
  <c r="BP48" i="1"/>
  <c r="BP56" i="1"/>
  <c r="BP46" i="1"/>
  <c r="AJ35" i="1"/>
  <c r="BT32" i="1"/>
  <c r="BT35" i="1"/>
  <c r="BV28" i="1"/>
  <c r="BV25" i="1"/>
  <c r="BW12" i="1"/>
  <c r="BV27" i="1"/>
  <c r="BV40" i="1" s="1"/>
  <c r="BV52" i="1" s="1"/>
  <c r="BV64" i="1" s="1"/>
  <c r="BV70" i="1" s="1"/>
  <c r="BV75" i="1" s="1"/>
  <c r="BT33" i="1"/>
  <c r="BU29" i="1"/>
  <c r="BU31" i="1" s="1"/>
  <c r="BU34" i="1"/>
  <c r="BU76" i="1" s="1"/>
  <c r="BU30" i="1"/>
  <c r="AJ33" i="1"/>
  <c r="AJ32" i="1"/>
  <c r="AK28" i="1" s="1"/>
  <c r="BW11" i="1"/>
  <c r="BV21" i="1"/>
  <c r="BV14" i="1"/>
  <c r="BV24" i="1"/>
  <c r="BV15" i="1"/>
  <c r="BV13" i="1"/>
  <c r="BU23" i="1"/>
  <c r="BU22" i="1"/>
  <c r="BU43" i="1" l="1"/>
  <c r="BU71" i="1"/>
  <c r="AJ36" i="1"/>
  <c r="BN66" i="1"/>
  <c r="BN77" i="1" s="1"/>
  <c r="BN78" i="1" s="1"/>
  <c r="BN65" i="1"/>
  <c r="BO61" i="1"/>
  <c r="BO62" i="1" s="1"/>
  <c r="BM67" i="1"/>
  <c r="BM68" i="1" s="1"/>
  <c r="BM72" i="1"/>
  <c r="BM73" i="1" s="1"/>
  <c r="BR49" i="1"/>
  <c r="BR50" i="1" s="1"/>
  <c r="BR57" i="1" s="1"/>
  <c r="AH61" i="1"/>
  <c r="AH62" i="1" s="1"/>
  <c r="BT37" i="1"/>
  <c r="BT38" i="1" s="1"/>
  <c r="BT45" i="1" s="1"/>
  <c r="BP49" i="1"/>
  <c r="BP50" i="1" s="1"/>
  <c r="BP57" i="1" s="1"/>
  <c r="BW53" i="1"/>
  <c r="BW41" i="1"/>
  <c r="BV42" i="1"/>
  <c r="BV54" i="1"/>
  <c r="BQ58" i="1"/>
  <c r="BQ60" i="1"/>
  <c r="BQ59" i="1"/>
  <c r="AI48" i="1"/>
  <c r="AI56" i="1"/>
  <c r="AI47" i="1"/>
  <c r="AI46" i="1"/>
  <c r="AJ41" i="1" s="1"/>
  <c r="BS48" i="1"/>
  <c r="BS56" i="1"/>
  <c r="BS46" i="1"/>
  <c r="BU55" i="1"/>
  <c r="BU44" i="1"/>
  <c r="AJ37" i="1"/>
  <c r="BS47" i="1"/>
  <c r="BU32" i="1"/>
  <c r="BT36" i="1"/>
  <c r="BW28" i="1"/>
  <c r="BW25" i="1"/>
  <c r="BX12" i="1"/>
  <c r="BW27" i="1"/>
  <c r="BW40" i="1" s="1"/>
  <c r="BW52" i="1" s="1"/>
  <c r="BW64" i="1" s="1"/>
  <c r="BW70" i="1" s="1"/>
  <c r="BW75" i="1" s="1"/>
  <c r="BV34" i="1"/>
  <c r="BV76" i="1" s="1"/>
  <c r="BV30" i="1"/>
  <c r="BV29" i="1"/>
  <c r="BV31" i="1" s="1"/>
  <c r="BU33" i="1"/>
  <c r="BU35" i="1"/>
  <c r="AK29" i="1"/>
  <c r="AK31" i="1" s="1"/>
  <c r="BV23" i="1"/>
  <c r="BV22" i="1"/>
  <c r="BX11" i="1"/>
  <c r="BW21" i="1"/>
  <c r="BW14" i="1"/>
  <c r="BW24" i="1"/>
  <c r="BW15" i="1"/>
  <c r="BW13" i="1"/>
  <c r="BK21" i="1" s="1"/>
  <c r="BW54" i="1" l="1"/>
  <c r="BR58" i="1"/>
  <c r="BQ61" i="1"/>
  <c r="BQ62" i="1" s="1"/>
  <c r="BQ66" i="1" s="1"/>
  <c r="BQ77" i="1" s="1"/>
  <c r="BQ78" i="1" s="1"/>
  <c r="BS49" i="1"/>
  <c r="BS50" i="1" s="1"/>
  <c r="BS57" i="1" s="1"/>
  <c r="BO65" i="1"/>
  <c r="BO66" i="1"/>
  <c r="BO77" i="1" s="1"/>
  <c r="BO78" i="1" s="1"/>
  <c r="BU37" i="1"/>
  <c r="BU38" i="1" s="1"/>
  <c r="BU45" i="1" s="1"/>
  <c r="AI49" i="1"/>
  <c r="AI50" i="1" s="1"/>
  <c r="AI57" i="1" s="1"/>
  <c r="AH65" i="1"/>
  <c r="AH66" i="1"/>
  <c r="AH77" i="1" s="1"/>
  <c r="AH78" i="1" s="1"/>
  <c r="BN72" i="1"/>
  <c r="BN73" i="1" s="1"/>
  <c r="BN67" i="1"/>
  <c r="BN68" i="1" s="1"/>
  <c r="BV43" i="1"/>
  <c r="BV55" i="1" s="1"/>
  <c r="BV71" i="1"/>
  <c r="BX53" i="1"/>
  <c r="BX41" i="1"/>
  <c r="BW42" i="1"/>
  <c r="BP60" i="1"/>
  <c r="BP58" i="1"/>
  <c r="BP59" i="1"/>
  <c r="AJ38" i="1"/>
  <c r="BR59" i="1"/>
  <c r="BR60" i="1"/>
  <c r="AK44" i="1"/>
  <c r="BT47" i="1"/>
  <c r="BT48" i="1"/>
  <c r="BT56" i="1"/>
  <c r="BQ65" i="1"/>
  <c r="BQ72" i="1" s="1"/>
  <c r="BQ73" i="1" s="1"/>
  <c r="BT46" i="1"/>
  <c r="BV44" i="1"/>
  <c r="AJ42" i="1"/>
  <c r="BU36" i="1"/>
  <c r="BV33" i="1"/>
  <c r="BX25" i="1"/>
  <c r="BX28" i="1"/>
  <c r="BY12" i="1"/>
  <c r="BX27" i="1"/>
  <c r="BX40" i="1" s="1"/>
  <c r="BX52" i="1" s="1"/>
  <c r="BX64" i="1" s="1"/>
  <c r="BX70" i="1" s="1"/>
  <c r="BX75" i="1" s="1"/>
  <c r="BV32" i="1"/>
  <c r="BV35" i="1"/>
  <c r="AK33" i="1"/>
  <c r="AK35" i="1"/>
  <c r="BW34" i="1"/>
  <c r="BW76" i="1" s="1"/>
  <c r="BW30" i="1"/>
  <c r="BW29" i="1"/>
  <c r="BW31" i="1" s="1"/>
  <c r="AK32" i="1"/>
  <c r="AL28" i="1" s="1"/>
  <c r="BK22" i="1"/>
  <c r="BK23" i="1"/>
  <c r="BK25" i="1" s="1"/>
  <c r="BW23" i="1"/>
  <c r="BW22" i="1"/>
  <c r="BY11" i="1"/>
  <c r="BX24" i="1"/>
  <c r="BX21" i="1"/>
  <c r="BX13" i="1"/>
  <c r="BX14" i="1"/>
  <c r="BX15" i="1"/>
  <c r="BS59" i="1" l="1"/>
  <c r="AK36" i="1"/>
  <c r="BT49" i="1"/>
  <c r="BT50" i="1" s="1"/>
  <c r="BT57" i="1" s="1"/>
  <c r="BP61" i="1"/>
  <c r="BP62" i="1" s="1"/>
  <c r="BP65" i="1" s="1"/>
  <c r="BP72" i="1" s="1"/>
  <c r="BP73" i="1" s="1"/>
  <c r="BV36" i="1"/>
  <c r="BW43" i="1"/>
  <c r="BW55" i="1" s="1"/>
  <c r="BW71" i="1"/>
  <c r="AH72" i="1"/>
  <c r="AH73" i="1" s="1"/>
  <c r="AH67" i="1"/>
  <c r="AH68" i="1" s="1"/>
  <c r="BR61" i="1"/>
  <c r="BR62" i="1" s="1"/>
  <c r="BR65" i="1" s="1"/>
  <c r="BR72" i="1" s="1"/>
  <c r="BR73" i="1" s="1"/>
  <c r="BO72" i="1"/>
  <c r="BO73" i="1" s="1"/>
  <c r="BO67" i="1"/>
  <c r="BO68" i="1" s="1"/>
  <c r="AJ45" i="1"/>
  <c r="AJ46" i="1" s="1"/>
  <c r="AK41" i="1" s="1"/>
  <c r="BX42" i="1"/>
  <c r="BY53" i="1"/>
  <c r="BY41" i="1"/>
  <c r="BX54" i="1"/>
  <c r="BQ67" i="1"/>
  <c r="BQ68" i="1" s="1"/>
  <c r="BU47" i="1"/>
  <c r="BU48" i="1"/>
  <c r="BU56" i="1"/>
  <c r="BU46" i="1"/>
  <c r="BW44" i="1"/>
  <c r="BS58" i="1"/>
  <c r="BS60" i="1"/>
  <c r="AI59" i="1"/>
  <c r="AI60" i="1"/>
  <c r="AI58" i="1"/>
  <c r="AJ53" i="1" s="1"/>
  <c r="BW35" i="1"/>
  <c r="BV37" i="1"/>
  <c r="AK37" i="1"/>
  <c r="BK34" i="1"/>
  <c r="BK76" i="1" s="1"/>
  <c r="BK30" i="1"/>
  <c r="BW32" i="1"/>
  <c r="BZ12" i="1"/>
  <c r="BY27" i="1"/>
  <c r="BY40" i="1" s="1"/>
  <c r="BY52" i="1" s="1"/>
  <c r="BY64" i="1" s="1"/>
  <c r="BY70" i="1" s="1"/>
  <c r="BY75" i="1" s="1"/>
  <c r="BW33" i="1"/>
  <c r="BX29" i="1"/>
  <c r="BX31" i="1" s="1"/>
  <c r="BY28" i="1"/>
  <c r="BY25" i="1"/>
  <c r="BX34" i="1"/>
  <c r="BX76" i="1" s="1"/>
  <c r="BX30" i="1"/>
  <c r="AL29" i="1"/>
  <c r="AL31" i="1" s="1"/>
  <c r="BZ11" i="1"/>
  <c r="BY24" i="1"/>
  <c r="BY14" i="1"/>
  <c r="BY15" i="1"/>
  <c r="BY21" i="1"/>
  <c r="BY13" i="1"/>
  <c r="BX22" i="1"/>
  <c r="BX23" i="1"/>
  <c r="BR66" i="1" l="1"/>
  <c r="BR77" i="1" s="1"/>
  <c r="BR78" i="1" s="1"/>
  <c r="BP66" i="1"/>
  <c r="BP67" i="1" s="1"/>
  <c r="BP68" i="1" s="1"/>
  <c r="BT58" i="1"/>
  <c r="AI61" i="1"/>
  <c r="AI62" i="1" s="1"/>
  <c r="AI66" i="1" s="1"/>
  <c r="AI77" i="1" s="1"/>
  <c r="AI78" i="1" s="1"/>
  <c r="BW37" i="1"/>
  <c r="BW38" i="1" s="1"/>
  <c r="BW45" i="1" s="1"/>
  <c r="BS61" i="1"/>
  <c r="BS62" i="1" s="1"/>
  <c r="BS65" i="1" s="1"/>
  <c r="BS72" i="1" s="1"/>
  <c r="BS73" i="1" s="1"/>
  <c r="BU49" i="1"/>
  <c r="BU50" i="1" s="1"/>
  <c r="BU57" i="1" s="1"/>
  <c r="BX43" i="1"/>
  <c r="BX55" i="1" s="1"/>
  <c r="BX71" i="1"/>
  <c r="BK43" i="1"/>
  <c r="BK55" i="1" s="1"/>
  <c r="BK71" i="1"/>
  <c r="AJ48" i="1"/>
  <c r="AJ47" i="1"/>
  <c r="AJ56" i="1"/>
  <c r="BZ53" i="1"/>
  <c r="BZ41" i="1"/>
  <c r="BY42" i="1"/>
  <c r="BY54" i="1"/>
  <c r="AL44" i="1"/>
  <c r="AK38" i="1"/>
  <c r="BV38" i="1"/>
  <c r="BV45" i="1" s="1"/>
  <c r="AJ54" i="1"/>
  <c r="BT59" i="1"/>
  <c r="BT60" i="1"/>
  <c r="BX44" i="1"/>
  <c r="AK42" i="1"/>
  <c r="BW36" i="1"/>
  <c r="BX35" i="1"/>
  <c r="AL33" i="1"/>
  <c r="AL35" i="1"/>
  <c r="BZ25" i="1"/>
  <c r="BZ28" i="1"/>
  <c r="BX33" i="1"/>
  <c r="BY34" i="1"/>
  <c r="BY76" i="1" s="1"/>
  <c r="BY30" i="1"/>
  <c r="BX32" i="1"/>
  <c r="CA12" i="1"/>
  <c r="BZ27" i="1"/>
  <c r="BZ40" i="1" s="1"/>
  <c r="BZ52" i="1" s="1"/>
  <c r="BZ64" i="1" s="1"/>
  <c r="BZ70" i="1" s="1"/>
  <c r="BZ75" i="1" s="1"/>
  <c r="BY29" i="1"/>
  <c r="BY31" i="1" s="1"/>
  <c r="AL32" i="1"/>
  <c r="AM28" i="1" s="1"/>
  <c r="BY22" i="1"/>
  <c r="BY23" i="1"/>
  <c r="CA11" i="1"/>
  <c r="BZ24" i="1"/>
  <c r="BZ21" i="1"/>
  <c r="BZ14" i="1"/>
  <c r="BZ13" i="1"/>
  <c r="BZ15" i="1"/>
  <c r="BP77" i="1" l="1"/>
  <c r="BP78" i="1" s="1"/>
  <c r="BR67" i="1"/>
  <c r="BR68" i="1" s="1"/>
  <c r="AI65" i="1"/>
  <c r="BS66" i="1"/>
  <c r="BS77" i="1" s="1"/>
  <c r="BS78" i="1" s="1"/>
  <c r="AI67" i="1"/>
  <c r="AI68" i="1" s="1"/>
  <c r="AI72" i="1"/>
  <c r="AI73" i="1" s="1"/>
  <c r="BX36" i="1"/>
  <c r="BY43" i="1"/>
  <c r="BY55" i="1" s="1"/>
  <c r="BY71" i="1"/>
  <c r="AJ49" i="1"/>
  <c r="AJ50" i="1" s="1"/>
  <c r="AJ57" i="1" s="1"/>
  <c r="AJ59" i="1" s="1"/>
  <c r="BT61" i="1"/>
  <c r="BT62" i="1" s="1"/>
  <c r="BT65" i="1" s="1"/>
  <c r="BT72" i="1" s="1"/>
  <c r="BT73" i="1" s="1"/>
  <c r="AL36" i="1"/>
  <c r="BZ42" i="1"/>
  <c r="BZ54" i="1"/>
  <c r="CA53" i="1"/>
  <c r="CA41" i="1"/>
  <c r="BX37" i="1"/>
  <c r="BX38" i="1" s="1"/>
  <c r="BX45" i="1" s="1"/>
  <c r="BW48" i="1"/>
  <c r="BW56" i="1"/>
  <c r="BW47" i="1"/>
  <c r="BW46" i="1"/>
  <c r="BU58" i="1"/>
  <c r="BU60" i="1"/>
  <c r="BU59" i="1"/>
  <c r="BY44" i="1"/>
  <c r="BV48" i="1"/>
  <c r="BV46" i="1"/>
  <c r="BV56" i="1"/>
  <c r="BV47" i="1"/>
  <c r="AK45" i="1"/>
  <c r="BY35" i="1"/>
  <c r="BY33" i="1"/>
  <c r="AL37" i="1"/>
  <c r="BY32" i="1"/>
  <c r="BZ29" i="1"/>
  <c r="BZ31" i="1" s="1"/>
  <c r="BZ34" i="1"/>
  <c r="BZ76" i="1" s="1"/>
  <c r="BZ30" i="1"/>
  <c r="CA28" i="1"/>
  <c r="CA25" i="1"/>
  <c r="CB12" i="1"/>
  <c r="CA27" i="1"/>
  <c r="CA40" i="1" s="1"/>
  <c r="CA52" i="1" s="1"/>
  <c r="CA64" i="1" s="1"/>
  <c r="CA70" i="1" s="1"/>
  <c r="CA75" i="1" s="1"/>
  <c r="AM29" i="1"/>
  <c r="BZ22" i="1"/>
  <c r="BZ23" i="1"/>
  <c r="CB11" i="1"/>
  <c r="CA14" i="1"/>
  <c r="CA24" i="1"/>
  <c r="CA21" i="1"/>
  <c r="CA15" i="1"/>
  <c r="CA13" i="1"/>
  <c r="BS67" i="1" l="1"/>
  <c r="BS68" i="1" s="1"/>
  <c r="AJ60" i="1"/>
  <c r="AJ61" i="1" s="1"/>
  <c r="AJ62" i="1" s="1"/>
  <c r="AJ66" i="1" s="1"/>
  <c r="AJ77" i="1" s="1"/>
  <c r="AJ78" i="1" s="1"/>
  <c r="BT66" i="1"/>
  <c r="BT77" i="1" s="1"/>
  <c r="BT78" i="1" s="1"/>
  <c r="BW49" i="1"/>
  <c r="BW50" i="1" s="1"/>
  <c r="BW57" i="1" s="1"/>
  <c r="BV49" i="1"/>
  <c r="BV50" i="1" s="1"/>
  <c r="BV57" i="1" s="1"/>
  <c r="BZ43" i="1"/>
  <c r="BZ55" i="1" s="1"/>
  <c r="BZ71" i="1"/>
  <c r="BY37" i="1"/>
  <c r="BY38" i="1" s="1"/>
  <c r="BY45" i="1" s="1"/>
  <c r="BU61" i="1"/>
  <c r="BU62" i="1" s="1"/>
  <c r="BU66" i="1" s="1"/>
  <c r="BU77" i="1" s="1"/>
  <c r="BU78" i="1" s="1"/>
  <c r="AJ58" i="1"/>
  <c r="AK53" i="1" s="1"/>
  <c r="AK54" i="1" s="1"/>
  <c r="CA42" i="1"/>
  <c r="CA54" i="1"/>
  <c r="CB53" i="1"/>
  <c r="CB41" i="1"/>
  <c r="AK47" i="1"/>
  <c r="AK48" i="1"/>
  <c r="AK56" i="1"/>
  <c r="AK46" i="1"/>
  <c r="AL41" i="1" s="1"/>
  <c r="AL38" i="1"/>
  <c r="BY36" i="1"/>
  <c r="AJ65" i="1"/>
  <c r="AJ72" i="1" s="1"/>
  <c r="AJ73" i="1" s="1"/>
  <c r="BZ44" i="1"/>
  <c r="BX47" i="1"/>
  <c r="BX48" i="1"/>
  <c r="BX56" i="1"/>
  <c r="BX46" i="1"/>
  <c r="BZ33" i="1"/>
  <c r="BZ35" i="1"/>
  <c r="BZ32" i="1"/>
  <c r="AM31" i="1"/>
  <c r="CA34" i="1"/>
  <c r="CA76" i="1" s="1"/>
  <c r="CA30" i="1"/>
  <c r="CB28" i="1"/>
  <c r="CB25" i="1"/>
  <c r="CA29" i="1"/>
  <c r="CA31" i="1" s="1"/>
  <c r="CC12" i="1"/>
  <c r="CB27" i="1"/>
  <c r="CB40" i="1" s="1"/>
  <c r="CB52" i="1" s="1"/>
  <c r="CB64" i="1" s="1"/>
  <c r="CB70" i="1" s="1"/>
  <c r="CB75" i="1" s="1"/>
  <c r="CA22" i="1"/>
  <c r="CA23" i="1"/>
  <c r="CC11" i="1"/>
  <c r="CB21" i="1"/>
  <c r="CB24" i="1"/>
  <c r="CB13" i="1"/>
  <c r="CB15" i="1"/>
  <c r="CB14" i="1"/>
  <c r="BT67" i="1" l="1"/>
  <c r="BT68" i="1" s="1"/>
  <c r="BZ37" i="1"/>
  <c r="BZ38" i="1" s="1"/>
  <c r="BZ45" i="1" s="1"/>
  <c r="BY46" i="1"/>
  <c r="AK49" i="1"/>
  <c r="AK50" i="1" s="1"/>
  <c r="AK57" i="1" s="1"/>
  <c r="BU65" i="1"/>
  <c r="BU72" i="1" s="1"/>
  <c r="BU73" i="1" s="1"/>
  <c r="CA43" i="1"/>
  <c r="CA55" i="1" s="1"/>
  <c r="CA71" i="1"/>
  <c r="BX49" i="1"/>
  <c r="BX50" i="1" s="1"/>
  <c r="BX57" i="1" s="1"/>
  <c r="BW60" i="1"/>
  <c r="CB42" i="1"/>
  <c r="CB54" i="1"/>
  <c r="BW58" i="1"/>
  <c r="CC53" i="1"/>
  <c r="CC41" i="1"/>
  <c r="BW59" i="1"/>
  <c r="AJ67" i="1"/>
  <c r="AJ68" i="1" s="1"/>
  <c r="AL42" i="1"/>
  <c r="AM44" i="1"/>
  <c r="BV59" i="1"/>
  <c r="BV60" i="1"/>
  <c r="CA44" i="1"/>
  <c r="BV58" i="1"/>
  <c r="BY47" i="1"/>
  <c r="BY48" i="1"/>
  <c r="BY56" i="1"/>
  <c r="CA35" i="1"/>
  <c r="CA33" i="1"/>
  <c r="BZ36" i="1"/>
  <c r="AM32" i="1"/>
  <c r="AN28" i="1" s="1"/>
  <c r="AN29" i="1" s="1"/>
  <c r="CB29" i="1"/>
  <c r="CB31" i="1" s="1"/>
  <c r="AM33" i="1"/>
  <c r="AM35" i="1"/>
  <c r="CD12" i="1"/>
  <c r="CC27" i="1"/>
  <c r="CC40" i="1" s="1"/>
  <c r="CC52" i="1" s="1"/>
  <c r="CC64" i="1" s="1"/>
  <c r="CC70" i="1" s="1"/>
  <c r="CC75" i="1" s="1"/>
  <c r="CC28" i="1"/>
  <c r="CC25" i="1"/>
  <c r="CA32" i="1"/>
  <c r="CB34" i="1"/>
  <c r="CB76" i="1" s="1"/>
  <c r="CB30" i="1"/>
  <c r="CB23" i="1"/>
  <c r="CB22" i="1"/>
  <c r="CD11" i="1"/>
  <c r="CC14" i="1"/>
  <c r="CC24" i="1"/>
  <c r="CC15" i="1"/>
  <c r="CC13" i="1"/>
  <c r="CC21" i="1"/>
  <c r="BU67" i="1" l="1"/>
  <c r="BU68" i="1" s="1"/>
  <c r="AM36" i="1"/>
  <c r="CB43" i="1"/>
  <c r="CB55" i="1" s="1"/>
  <c r="CB71" i="1"/>
  <c r="BW61" i="1"/>
  <c r="BW62" i="1" s="1"/>
  <c r="BV61" i="1"/>
  <c r="BV62" i="1" s="1"/>
  <c r="BV65" i="1" s="1"/>
  <c r="BV72" i="1" s="1"/>
  <c r="BV73" i="1" s="1"/>
  <c r="BY49" i="1"/>
  <c r="BY50" i="1" s="1"/>
  <c r="BY57" i="1" s="1"/>
  <c r="CA37" i="1"/>
  <c r="CA38" i="1" s="1"/>
  <c r="CA45" i="1" s="1"/>
  <c r="CD53" i="1"/>
  <c r="CD41" i="1"/>
  <c r="CA36" i="1"/>
  <c r="CC42" i="1"/>
  <c r="CC54" i="1"/>
  <c r="AL45" i="1"/>
  <c r="AL47" i="1" s="1"/>
  <c r="BX59" i="1"/>
  <c r="BX60" i="1"/>
  <c r="BX58" i="1"/>
  <c r="AK59" i="1"/>
  <c r="AK60" i="1"/>
  <c r="AK58" i="1"/>
  <c r="AL53" i="1" s="1"/>
  <c r="BZ46" i="1"/>
  <c r="BZ48" i="1"/>
  <c r="BZ56" i="1"/>
  <c r="BZ47" i="1"/>
  <c r="CB44" i="1"/>
  <c r="AM37" i="1"/>
  <c r="CB33" i="1"/>
  <c r="CB32" i="1"/>
  <c r="CB35" i="1"/>
  <c r="CE12" i="1"/>
  <c r="CD27" i="1"/>
  <c r="CD40" i="1" s="1"/>
  <c r="CD52" i="1" s="1"/>
  <c r="CD64" i="1" s="1"/>
  <c r="CD70" i="1" s="1"/>
  <c r="CD75" i="1" s="1"/>
  <c r="CC34" i="1"/>
  <c r="CC76" i="1" s="1"/>
  <c r="CC30" i="1"/>
  <c r="CC29" i="1"/>
  <c r="CC31" i="1" s="1"/>
  <c r="CD28" i="1"/>
  <c r="CD25" i="1"/>
  <c r="AN31" i="1"/>
  <c r="CC23" i="1"/>
  <c r="CC22" i="1"/>
  <c r="CE11" i="1"/>
  <c r="CD21" i="1"/>
  <c r="CD14" i="1"/>
  <c r="CD24" i="1"/>
  <c r="CD15" i="1"/>
  <c r="CD13" i="1"/>
  <c r="CD42" i="1" l="1"/>
  <c r="CD54" i="1"/>
  <c r="BV66" i="1"/>
  <c r="BV77" i="1" s="1"/>
  <c r="BV78" i="1" s="1"/>
  <c r="CC43" i="1"/>
  <c r="CC55" i="1" s="1"/>
  <c r="CC71" i="1"/>
  <c r="CB36" i="1"/>
  <c r="AK61" i="1"/>
  <c r="AK62" i="1" s="1"/>
  <c r="AK66" i="1" s="1"/>
  <c r="AK77" i="1" s="1"/>
  <c r="AK78" i="1" s="1"/>
  <c r="AL46" i="1"/>
  <c r="AM41" i="1" s="1"/>
  <c r="AM42" i="1" s="1"/>
  <c r="BZ49" i="1"/>
  <c r="BZ50" i="1" s="1"/>
  <c r="BZ57" i="1" s="1"/>
  <c r="BX61" i="1"/>
  <c r="BX62" i="1" s="1"/>
  <c r="BX65" i="1" s="1"/>
  <c r="BX72" i="1" s="1"/>
  <c r="BX73" i="1" s="1"/>
  <c r="BW66" i="1"/>
  <c r="BW77" i="1" s="1"/>
  <c r="BW78" i="1" s="1"/>
  <c r="BW65" i="1"/>
  <c r="CE53" i="1"/>
  <c r="CE41" i="1"/>
  <c r="AL48" i="1"/>
  <c r="BY60" i="1"/>
  <c r="BY58" i="1"/>
  <c r="AL56" i="1"/>
  <c r="CA48" i="1"/>
  <c r="CA56" i="1"/>
  <c r="CA46" i="1"/>
  <c r="CA47" i="1"/>
  <c r="AL54" i="1"/>
  <c r="AN44" i="1"/>
  <c r="BY59" i="1"/>
  <c r="CC44" i="1"/>
  <c r="AM38" i="1"/>
  <c r="AN32" i="1"/>
  <c r="AO28" i="1" s="1"/>
  <c r="AO29" i="1" s="1"/>
  <c r="AO31" i="1" s="1"/>
  <c r="CB37" i="1"/>
  <c r="CC33" i="1"/>
  <c r="CC35" i="1"/>
  <c r="CD34" i="1"/>
  <c r="CD76" i="1" s="1"/>
  <c r="CD30" i="1"/>
  <c r="AN33" i="1"/>
  <c r="AN35" i="1"/>
  <c r="CD29" i="1"/>
  <c r="CD31" i="1" s="1"/>
  <c r="CC32" i="1"/>
  <c r="CF12" i="1"/>
  <c r="CE27" i="1"/>
  <c r="CE40" i="1" s="1"/>
  <c r="CE52" i="1" s="1"/>
  <c r="CE64" i="1" s="1"/>
  <c r="CE70" i="1" s="1"/>
  <c r="CE75" i="1" s="1"/>
  <c r="CE28" i="1"/>
  <c r="CE25" i="1"/>
  <c r="CD23" i="1"/>
  <c r="CD22" i="1"/>
  <c r="CF11" i="1"/>
  <c r="CE21" i="1"/>
  <c r="CE14" i="1"/>
  <c r="CE24" i="1"/>
  <c r="CE13" i="1"/>
  <c r="CE15" i="1"/>
  <c r="BV67" i="1" l="1"/>
  <c r="BV68" i="1" s="1"/>
  <c r="CE54" i="1"/>
  <c r="CE42" i="1"/>
  <c r="AK65" i="1"/>
  <c r="AK72" i="1" s="1"/>
  <c r="AK73" i="1" s="1"/>
  <c r="AM45" i="1"/>
  <c r="AM47" i="1" s="1"/>
  <c r="BX66" i="1"/>
  <c r="BX67" i="1" s="1"/>
  <c r="BX68" i="1" s="1"/>
  <c r="BZ60" i="1"/>
  <c r="AL49" i="1"/>
  <c r="AL50" i="1" s="1"/>
  <c r="AL57" i="1" s="1"/>
  <c r="AL60" i="1" s="1"/>
  <c r="AL61" i="1" s="1"/>
  <c r="AL62" i="1" s="1"/>
  <c r="BW67" i="1"/>
  <c r="BW68" i="1" s="1"/>
  <c r="BW72" i="1"/>
  <c r="BW73" i="1" s="1"/>
  <c r="CA49" i="1"/>
  <c r="CA50" i="1" s="1"/>
  <c r="CA57" i="1" s="1"/>
  <c r="AN36" i="1"/>
  <c r="CD43" i="1"/>
  <c r="CD55" i="1" s="1"/>
  <c r="CD71" i="1"/>
  <c r="CC36" i="1"/>
  <c r="BY61" i="1"/>
  <c r="BY62" i="1" s="1"/>
  <c r="CF53" i="1"/>
  <c r="CF41" i="1"/>
  <c r="BZ59" i="1"/>
  <c r="AO44" i="1"/>
  <c r="CB38" i="1"/>
  <c r="CB45" i="1" s="1"/>
  <c r="CD44" i="1"/>
  <c r="BZ58" i="1"/>
  <c r="AN37" i="1"/>
  <c r="CD32" i="1"/>
  <c r="CD35" i="1"/>
  <c r="AO32" i="1"/>
  <c r="AP28" i="1" s="1"/>
  <c r="AP29" i="1" s="1"/>
  <c r="AP31" i="1" s="1"/>
  <c r="CC37" i="1"/>
  <c r="CD33" i="1"/>
  <c r="CE29" i="1"/>
  <c r="CE31" i="1" s="1"/>
  <c r="CG12" i="1"/>
  <c r="CF27" i="1"/>
  <c r="CF40" i="1" s="1"/>
  <c r="CF52" i="1" s="1"/>
  <c r="CF64" i="1" s="1"/>
  <c r="CF70" i="1" s="1"/>
  <c r="CF75" i="1" s="1"/>
  <c r="CF28" i="1"/>
  <c r="CF25" i="1"/>
  <c r="CE34" i="1"/>
  <c r="CE76" i="1" s="1"/>
  <c r="CE30" i="1"/>
  <c r="AO35" i="1"/>
  <c r="AO33" i="1"/>
  <c r="CE23" i="1"/>
  <c r="CE22" i="1"/>
  <c r="CG11" i="1"/>
  <c r="CF24" i="1"/>
  <c r="CF21" i="1"/>
  <c r="CF14" i="1"/>
  <c r="CF13" i="1"/>
  <c r="CF15" i="1"/>
  <c r="BX77" i="1" l="1"/>
  <c r="BX78" i="1" s="1"/>
  <c r="AM46" i="1"/>
  <c r="AN41" i="1" s="1"/>
  <c r="AN42" i="1" s="1"/>
  <c r="AM56" i="1"/>
  <c r="AK67" i="1"/>
  <c r="AK68" i="1" s="1"/>
  <c r="AM48" i="1"/>
  <c r="AM49" i="1" s="1"/>
  <c r="AM50" i="1" s="1"/>
  <c r="AL59" i="1"/>
  <c r="CD37" i="1"/>
  <c r="CD38" i="1" s="1"/>
  <c r="CD45" i="1" s="1"/>
  <c r="AO36" i="1"/>
  <c r="AL58" i="1"/>
  <c r="AM53" i="1" s="1"/>
  <c r="AM54" i="1" s="1"/>
  <c r="BY65" i="1"/>
  <c r="BY66" i="1"/>
  <c r="BY77" i="1" s="1"/>
  <c r="BY78" i="1" s="1"/>
  <c r="CA59" i="1"/>
  <c r="CE43" i="1"/>
  <c r="CE71" i="1"/>
  <c r="BZ61" i="1"/>
  <c r="BZ62" i="1" s="1"/>
  <c r="CG53" i="1"/>
  <c r="CG41" i="1"/>
  <c r="CF42" i="1"/>
  <c r="CF54" i="1"/>
  <c r="CE44" i="1"/>
  <c r="CE55" i="1"/>
  <c r="AP44" i="1"/>
  <c r="CC38" i="1"/>
  <c r="CC45" i="1" s="1"/>
  <c r="AL65" i="1"/>
  <c r="AL72" i="1" s="1"/>
  <c r="AL73" i="1" s="1"/>
  <c r="AL66" i="1"/>
  <c r="AL77" i="1" s="1"/>
  <c r="AL78" i="1" s="1"/>
  <c r="CA58" i="1"/>
  <c r="CA60" i="1"/>
  <c r="AN38" i="1"/>
  <c r="CB47" i="1"/>
  <c r="CB48" i="1"/>
  <c r="CB56" i="1"/>
  <c r="CB46" i="1"/>
  <c r="CD36" i="1"/>
  <c r="CE35" i="1"/>
  <c r="CE32" i="1"/>
  <c r="AO37" i="1"/>
  <c r="CE33" i="1"/>
  <c r="AP33" i="1"/>
  <c r="AP35" i="1"/>
  <c r="CH12" i="1"/>
  <c r="CG27" i="1"/>
  <c r="CG40" i="1" s="1"/>
  <c r="CG52" i="1" s="1"/>
  <c r="CG64" i="1" s="1"/>
  <c r="CG70" i="1" s="1"/>
  <c r="CG75" i="1" s="1"/>
  <c r="CG28" i="1"/>
  <c r="CG25" i="1"/>
  <c r="AP32" i="1"/>
  <c r="AQ28" i="1" s="1"/>
  <c r="AQ29" i="1" s="1"/>
  <c r="CF29" i="1"/>
  <c r="CF31" i="1" s="1"/>
  <c r="CF34" i="1"/>
  <c r="CF76" i="1" s="1"/>
  <c r="CF30" i="1"/>
  <c r="CF22" i="1"/>
  <c r="CF23" i="1"/>
  <c r="CH11" i="1"/>
  <c r="CG24" i="1"/>
  <c r="CG14" i="1"/>
  <c r="CG15" i="1"/>
  <c r="CG13" i="1"/>
  <c r="CG21" i="1"/>
  <c r="CG54" i="1" l="1"/>
  <c r="CG42" i="1"/>
  <c r="CE36" i="1"/>
  <c r="BZ65" i="1"/>
  <c r="BZ66" i="1"/>
  <c r="BZ77" i="1" s="1"/>
  <c r="BZ78" i="1" s="1"/>
  <c r="CA61" i="1"/>
  <c r="CA62" i="1" s="1"/>
  <c r="CA65" i="1" s="1"/>
  <c r="CA72" i="1" s="1"/>
  <c r="CA73" i="1" s="1"/>
  <c r="BY72" i="1"/>
  <c r="BY73" i="1" s="1"/>
  <c r="BY67" i="1"/>
  <c r="BY68" i="1" s="1"/>
  <c r="AM57" i="1"/>
  <c r="AM60" i="1" s="1"/>
  <c r="CB49" i="1"/>
  <c r="CB50" i="1" s="1"/>
  <c r="CB57" i="1" s="1"/>
  <c r="CF43" i="1"/>
  <c r="CF55" i="1" s="1"/>
  <c r="CF71" i="1"/>
  <c r="AP36" i="1"/>
  <c r="CH53" i="1"/>
  <c r="CH41" i="1"/>
  <c r="CE37" i="1"/>
  <c r="CE38" i="1" s="1"/>
  <c r="CE45" i="1" s="1"/>
  <c r="AN45" i="1"/>
  <c r="CC47" i="1"/>
  <c r="CC48" i="1"/>
  <c r="CC56" i="1"/>
  <c r="CC46" i="1"/>
  <c r="AO38" i="1"/>
  <c r="AL67" i="1"/>
  <c r="AL68" i="1" s="1"/>
  <c r="CD48" i="1"/>
  <c r="CD47" i="1"/>
  <c r="CD56" i="1"/>
  <c r="CF44" i="1"/>
  <c r="CD46" i="1"/>
  <c r="AP37" i="1"/>
  <c r="CF33" i="1"/>
  <c r="CF35" i="1"/>
  <c r="CG34" i="1"/>
  <c r="CG76" i="1" s="1"/>
  <c r="CG30" i="1"/>
  <c r="CG29" i="1"/>
  <c r="CG31" i="1" s="1"/>
  <c r="CI12" i="1"/>
  <c r="CH27" i="1"/>
  <c r="CH40" i="1" s="1"/>
  <c r="CH52" i="1" s="1"/>
  <c r="CH64" i="1" s="1"/>
  <c r="CH70" i="1" s="1"/>
  <c r="CH75" i="1" s="1"/>
  <c r="CH28" i="1"/>
  <c r="CH25" i="1"/>
  <c r="CF32" i="1"/>
  <c r="AQ31" i="1"/>
  <c r="CG22" i="1"/>
  <c r="CG23" i="1"/>
  <c r="CI11" i="1"/>
  <c r="CH24" i="1"/>
  <c r="CH21" i="1"/>
  <c r="CH14" i="1"/>
  <c r="CH13" i="1"/>
  <c r="CH15" i="1"/>
  <c r="CH42" i="1" l="1"/>
  <c r="CH54" i="1"/>
  <c r="AM59" i="1"/>
  <c r="CD49" i="1"/>
  <c r="CD50" i="1" s="1"/>
  <c r="CD57" i="1" s="1"/>
  <c r="BZ72" i="1"/>
  <c r="BZ73" i="1" s="1"/>
  <c r="BZ67" i="1"/>
  <c r="BZ68" i="1" s="1"/>
  <c r="AN47" i="1"/>
  <c r="AM58" i="1"/>
  <c r="AN53" i="1" s="1"/>
  <c r="AN54" i="1" s="1"/>
  <c r="CC49" i="1"/>
  <c r="CC50" i="1" s="1"/>
  <c r="CC57" i="1" s="1"/>
  <c r="CA66" i="1"/>
  <c r="CA77" i="1" s="1"/>
  <c r="CA78" i="1" s="1"/>
  <c r="CF37" i="1"/>
  <c r="CF38" i="1" s="1"/>
  <c r="CF45" i="1" s="1"/>
  <c r="AM61" i="1"/>
  <c r="AM62" i="1" s="1"/>
  <c r="AM66" i="1" s="1"/>
  <c r="CG43" i="1"/>
  <c r="CG71" i="1"/>
  <c r="AN46" i="1"/>
  <c r="AO41" i="1" s="1"/>
  <c r="AO42" i="1" s="1"/>
  <c r="AO45" i="1" s="1"/>
  <c r="AN56" i="1"/>
  <c r="AN48" i="1"/>
  <c r="CI53" i="1"/>
  <c r="CI41" i="1"/>
  <c r="AP38" i="1"/>
  <c r="CB59" i="1"/>
  <c r="CB60" i="1"/>
  <c r="CG44" i="1"/>
  <c r="CG55" i="1"/>
  <c r="AQ44" i="1"/>
  <c r="CE47" i="1"/>
  <c r="CE48" i="1"/>
  <c r="CE56" i="1"/>
  <c r="CE46" i="1"/>
  <c r="CB58" i="1"/>
  <c r="CF36" i="1"/>
  <c r="CG32" i="1"/>
  <c r="AQ33" i="1"/>
  <c r="AQ35" i="1"/>
  <c r="AQ32" i="1"/>
  <c r="AR28" i="1" s="1"/>
  <c r="AR29" i="1" s="1"/>
  <c r="AR31" i="1" s="1"/>
  <c r="CH34" i="1"/>
  <c r="CH76" i="1" s="1"/>
  <c r="CH30" i="1"/>
  <c r="CJ12" i="1"/>
  <c r="CI27" i="1"/>
  <c r="CI40" i="1" s="1"/>
  <c r="CI52" i="1" s="1"/>
  <c r="CI64" i="1" s="1"/>
  <c r="CI70" i="1" s="1"/>
  <c r="CI75" i="1" s="1"/>
  <c r="CG33" i="1"/>
  <c r="CG35" i="1"/>
  <c r="CG36" i="1" s="1"/>
  <c r="CH29" i="1"/>
  <c r="CH31" i="1" s="1"/>
  <c r="CI28" i="1"/>
  <c r="CI25" i="1"/>
  <c r="CH22" i="1"/>
  <c r="CH23" i="1"/>
  <c r="CJ11" i="1"/>
  <c r="CI14" i="1"/>
  <c r="CI24" i="1"/>
  <c r="CI21" i="1"/>
  <c r="CI15" i="1"/>
  <c r="CI13" i="1"/>
  <c r="AM65" i="1" l="1"/>
  <c r="AM72" i="1" s="1"/>
  <c r="AM73" i="1" s="1"/>
  <c r="CA67" i="1"/>
  <c r="CA68" i="1" s="1"/>
  <c r="CC59" i="1"/>
  <c r="CD60" i="1"/>
  <c r="AQ36" i="1"/>
  <c r="CG37" i="1"/>
  <c r="CG38" i="1" s="1"/>
  <c r="CG45" i="1" s="1"/>
  <c r="CH43" i="1"/>
  <c r="CH55" i="1" s="1"/>
  <c r="CH71" i="1"/>
  <c r="CE49" i="1"/>
  <c r="CE50" i="1" s="1"/>
  <c r="CE57" i="1" s="1"/>
  <c r="AN49" i="1"/>
  <c r="AN50" i="1" s="1"/>
  <c r="AN57" i="1" s="1"/>
  <c r="AN60" i="1" s="1"/>
  <c r="AM77" i="1"/>
  <c r="AM78" i="1" s="1"/>
  <c r="CB61" i="1"/>
  <c r="CB62" i="1" s="1"/>
  <c r="CB65" i="1" s="1"/>
  <c r="CB72" i="1" s="1"/>
  <c r="CB73" i="1" s="1"/>
  <c r="CI42" i="1"/>
  <c r="CJ53" i="1"/>
  <c r="CJ41" i="1"/>
  <c r="CI54" i="1"/>
  <c r="AO46" i="1"/>
  <c r="AP41" i="1" s="1"/>
  <c r="CF47" i="1"/>
  <c r="CF48" i="1"/>
  <c r="CF46" i="1"/>
  <c r="CF56" i="1"/>
  <c r="AO47" i="1"/>
  <c r="AO48" i="1"/>
  <c r="AO56" i="1"/>
  <c r="CC58" i="1"/>
  <c r="CC60" i="1"/>
  <c r="AR44" i="1"/>
  <c r="CD59" i="1"/>
  <c r="CH44" i="1"/>
  <c r="CD58" i="1"/>
  <c r="AQ37" i="1"/>
  <c r="CH32" i="1"/>
  <c r="AR33" i="1"/>
  <c r="AR35" i="1"/>
  <c r="CK12" i="1"/>
  <c r="CJ27" i="1"/>
  <c r="CJ40" i="1" s="1"/>
  <c r="CJ52" i="1" s="1"/>
  <c r="CJ64" i="1" s="1"/>
  <c r="CJ70" i="1" s="1"/>
  <c r="CJ75" i="1" s="1"/>
  <c r="CH33" i="1"/>
  <c r="CH35" i="1"/>
  <c r="CI34" i="1"/>
  <c r="CI76" i="1" s="1"/>
  <c r="CI30" i="1"/>
  <c r="CI29" i="1"/>
  <c r="CI31" i="1" s="1"/>
  <c r="CJ28" i="1"/>
  <c r="CJ25" i="1"/>
  <c r="AR32" i="1"/>
  <c r="AS28" i="1" s="1"/>
  <c r="CI22" i="1"/>
  <c r="CI23" i="1"/>
  <c r="CK11" i="1"/>
  <c r="CJ21" i="1"/>
  <c r="CJ24" i="1"/>
  <c r="CJ13" i="1"/>
  <c r="CJ15" i="1"/>
  <c r="CJ14" i="1"/>
  <c r="AM67" i="1" l="1"/>
  <c r="AM68" i="1" s="1"/>
  <c r="CB66" i="1"/>
  <c r="CB77" i="1" s="1"/>
  <c r="CB78" i="1" s="1"/>
  <c r="AN58" i="1"/>
  <c r="AO53" i="1" s="1"/>
  <c r="AN61" i="1"/>
  <c r="AN62" i="1" s="1"/>
  <c r="AN65" i="1" s="1"/>
  <c r="AN72" i="1" s="1"/>
  <c r="AN73" i="1" s="1"/>
  <c r="CC61" i="1"/>
  <c r="CC62" i="1" s="1"/>
  <c r="CC65" i="1" s="1"/>
  <c r="CC72" i="1" s="1"/>
  <c r="CC73" i="1" s="1"/>
  <c r="CF49" i="1"/>
  <c r="CF50" i="1" s="1"/>
  <c r="CF57" i="1" s="1"/>
  <c r="AN59" i="1"/>
  <c r="CI43" i="1"/>
  <c r="CI55" i="1" s="1"/>
  <c r="CI71" i="1"/>
  <c r="CH36" i="1"/>
  <c r="AO49" i="1"/>
  <c r="AO50" i="1" s="1"/>
  <c r="AR36" i="1"/>
  <c r="CD61" i="1"/>
  <c r="CD62" i="1" s="1"/>
  <c r="CE60" i="1"/>
  <c r="CK41" i="1"/>
  <c r="CK53" i="1"/>
  <c r="CJ42" i="1"/>
  <c r="CB67" i="1"/>
  <c r="CB68" i="1" s="1"/>
  <c r="CJ54" i="1"/>
  <c r="CG47" i="1"/>
  <c r="CG48" i="1"/>
  <c r="CG56" i="1"/>
  <c r="CG46" i="1"/>
  <c r="CE59" i="1"/>
  <c r="CE58" i="1"/>
  <c r="AP42" i="1"/>
  <c r="AP45" i="1" s="1"/>
  <c r="AO54" i="1"/>
  <c r="AN66" i="1"/>
  <c r="AN77" i="1" s="1"/>
  <c r="AN78" i="1" s="1"/>
  <c r="CI44" i="1"/>
  <c r="AQ38" i="1"/>
  <c r="CI35" i="1"/>
  <c r="CI36" i="1" s="1"/>
  <c r="CH37" i="1"/>
  <c r="AR37" i="1"/>
  <c r="CI33" i="1"/>
  <c r="CJ29" i="1"/>
  <c r="CJ31" i="1" s="1"/>
  <c r="CJ34" i="1"/>
  <c r="CJ76" i="1" s="1"/>
  <c r="CJ30" i="1"/>
  <c r="CL12" i="1"/>
  <c r="CK27" i="1"/>
  <c r="CK40" i="1" s="1"/>
  <c r="CK52" i="1" s="1"/>
  <c r="CK64" i="1" s="1"/>
  <c r="CK70" i="1" s="1"/>
  <c r="CK75" i="1" s="1"/>
  <c r="CI32" i="1"/>
  <c r="CK28" i="1"/>
  <c r="CK25" i="1"/>
  <c r="AS29" i="1"/>
  <c r="AS31" i="1" s="1"/>
  <c r="CJ23" i="1"/>
  <c r="CJ22" i="1"/>
  <c r="CL11" i="1"/>
  <c r="CK14" i="1"/>
  <c r="CK24" i="1"/>
  <c r="CK21" i="1"/>
  <c r="CK15" i="1"/>
  <c r="CK13" i="1"/>
  <c r="CK42" i="1" l="1"/>
  <c r="CC66" i="1"/>
  <c r="CC77" i="1" s="1"/>
  <c r="CC78" i="1" s="1"/>
  <c r="CF58" i="1"/>
  <c r="CE61" i="1"/>
  <c r="CE62" i="1" s="1"/>
  <c r="CJ43" i="1"/>
  <c r="CJ55" i="1" s="1"/>
  <c r="CJ71" i="1"/>
  <c r="CD66" i="1"/>
  <c r="CD77" i="1" s="1"/>
  <c r="CD78" i="1" s="1"/>
  <c r="CD65" i="1"/>
  <c r="CG49" i="1"/>
  <c r="CG50" i="1" s="1"/>
  <c r="CG57" i="1" s="1"/>
  <c r="CI37" i="1"/>
  <c r="CI38" i="1" s="1"/>
  <c r="CI45" i="1" s="1"/>
  <c r="CL53" i="1"/>
  <c r="CL41" i="1"/>
  <c r="CK54" i="1"/>
  <c r="AO57" i="1"/>
  <c r="AO58" i="1" s="1"/>
  <c r="AP53" i="1" s="1"/>
  <c r="AP46" i="1"/>
  <c r="AQ41" i="1" s="1"/>
  <c r="AQ42" i="1" s="1"/>
  <c r="AQ45" i="1" s="1"/>
  <c r="CJ44" i="1"/>
  <c r="CH38" i="1"/>
  <c r="CH45" i="1" s="1"/>
  <c r="AN67" i="1"/>
  <c r="AN68" i="1" s="1"/>
  <c r="AS44" i="1"/>
  <c r="AP47" i="1"/>
  <c r="AP48" i="1"/>
  <c r="AP56" i="1"/>
  <c r="CF59" i="1"/>
  <c r="CF60" i="1"/>
  <c r="AR38" i="1"/>
  <c r="CJ35" i="1"/>
  <c r="CJ33" i="1"/>
  <c r="CM12" i="1"/>
  <c r="CL27" i="1"/>
  <c r="CL40" i="1" s="1"/>
  <c r="CL52" i="1" s="1"/>
  <c r="CL64" i="1" s="1"/>
  <c r="CL70" i="1" s="1"/>
  <c r="CL75" i="1" s="1"/>
  <c r="CL28" i="1"/>
  <c r="CL25" i="1"/>
  <c r="AS33" i="1"/>
  <c r="AS35" i="1"/>
  <c r="CK34" i="1"/>
  <c r="CK76" i="1" s="1"/>
  <c r="CK30" i="1"/>
  <c r="CJ32" i="1"/>
  <c r="CK29" i="1"/>
  <c r="CK31" i="1" s="1"/>
  <c r="AS32" i="1"/>
  <c r="AT28" i="1" s="1"/>
  <c r="CK23" i="1"/>
  <c r="CK22" i="1"/>
  <c r="CM11" i="1"/>
  <c r="CL21" i="1"/>
  <c r="CL14" i="1"/>
  <c r="CL24" i="1"/>
  <c r="CL15" i="1"/>
  <c r="CL13" i="1"/>
  <c r="CC67" i="1" l="1"/>
  <c r="CC68" i="1" s="1"/>
  <c r="AO59" i="1"/>
  <c r="CJ36" i="1"/>
  <c r="AP49" i="1"/>
  <c r="AP50" i="1" s="1"/>
  <c r="AQ46" i="1"/>
  <c r="AR41" i="1" s="1"/>
  <c r="AR42" i="1" s="1"/>
  <c r="AR45" i="1" s="1"/>
  <c r="AO60" i="1"/>
  <c r="AS36" i="1"/>
  <c r="CF61" i="1"/>
  <c r="CF62" i="1" s="1"/>
  <c r="CF65" i="1" s="1"/>
  <c r="CF72" i="1" s="1"/>
  <c r="CF73" i="1" s="1"/>
  <c r="CE66" i="1"/>
  <c r="CE77" i="1" s="1"/>
  <c r="CE78" i="1" s="1"/>
  <c r="CE65" i="1"/>
  <c r="CD67" i="1"/>
  <c r="CD68" i="1" s="1"/>
  <c r="CD72" i="1"/>
  <c r="CD73" i="1" s="1"/>
  <c r="CK43" i="1"/>
  <c r="CK55" i="1" s="1"/>
  <c r="CK71" i="1"/>
  <c r="CM53" i="1"/>
  <c r="CM41" i="1"/>
  <c r="CL42" i="1"/>
  <c r="CL54" i="1"/>
  <c r="CG58" i="1"/>
  <c r="CG60" i="1"/>
  <c r="CG59" i="1"/>
  <c r="AP54" i="1"/>
  <c r="CK44" i="1"/>
  <c r="CH46" i="1"/>
  <c r="CH48" i="1"/>
  <c r="CH56" i="1"/>
  <c r="CH47" i="1"/>
  <c r="CI48" i="1"/>
  <c r="CI56" i="1"/>
  <c r="CI47" i="1"/>
  <c r="CI46" i="1"/>
  <c r="AQ48" i="1"/>
  <c r="AQ56" i="1"/>
  <c r="AQ47" i="1"/>
  <c r="AS37" i="1"/>
  <c r="CK32" i="1"/>
  <c r="CJ37" i="1"/>
  <c r="CM28" i="1"/>
  <c r="CM25" i="1"/>
  <c r="CN12" i="1"/>
  <c r="CM27" i="1"/>
  <c r="CM40" i="1" s="1"/>
  <c r="CM52" i="1" s="1"/>
  <c r="CM64" i="1" s="1"/>
  <c r="CM70" i="1" s="1"/>
  <c r="CM75" i="1" s="1"/>
  <c r="CK33" i="1"/>
  <c r="CK35" i="1"/>
  <c r="CL29" i="1"/>
  <c r="CL31" i="1" s="1"/>
  <c r="CL34" i="1"/>
  <c r="CL76" i="1" s="1"/>
  <c r="CL30" i="1"/>
  <c r="AT29" i="1"/>
  <c r="CL23" i="1"/>
  <c r="CL22" i="1"/>
  <c r="CN11" i="1"/>
  <c r="CM21" i="1"/>
  <c r="CM14" i="1"/>
  <c r="CM24" i="1"/>
  <c r="CM15" i="1"/>
  <c r="CM13" i="1"/>
  <c r="AR46" i="1" l="1"/>
  <c r="AS41" i="1" s="1"/>
  <c r="AS42" i="1" s="1"/>
  <c r="CH49" i="1"/>
  <c r="CH50" i="1" s="1"/>
  <c r="CH57" i="1" s="1"/>
  <c r="CL43" i="1"/>
  <c r="CL71" i="1"/>
  <c r="CF66" i="1"/>
  <c r="CF77" i="1" s="1"/>
  <c r="CF78" i="1" s="1"/>
  <c r="AQ49" i="1"/>
  <c r="AQ50" i="1" s="1"/>
  <c r="CG61" i="1"/>
  <c r="CG62" i="1" s="1"/>
  <c r="CG65" i="1" s="1"/>
  <c r="CI49" i="1"/>
  <c r="CI50" i="1" s="1"/>
  <c r="CI57" i="1" s="1"/>
  <c r="AP57" i="1"/>
  <c r="CK37" i="1"/>
  <c r="CK38" i="1" s="1"/>
  <c r="CK45" i="1" s="1"/>
  <c r="CE72" i="1"/>
  <c r="CE73" i="1" s="1"/>
  <c r="CE67" i="1"/>
  <c r="CE68" i="1" s="1"/>
  <c r="AO61" i="1"/>
  <c r="AO62" i="1" s="1"/>
  <c r="CM42" i="1"/>
  <c r="CM54" i="1"/>
  <c r="CN53" i="1"/>
  <c r="CN41" i="1"/>
  <c r="CL55" i="1"/>
  <c r="CL44" i="1"/>
  <c r="AR47" i="1"/>
  <c r="AR48" i="1"/>
  <c r="AR56" i="1"/>
  <c r="CJ38" i="1"/>
  <c r="CJ45" i="1" s="1"/>
  <c r="AS38" i="1"/>
  <c r="CK36" i="1"/>
  <c r="CL35" i="1"/>
  <c r="CL32" i="1"/>
  <c r="CN25" i="1"/>
  <c r="CN28" i="1"/>
  <c r="AT31" i="1"/>
  <c r="CL33" i="1"/>
  <c r="CM34" i="1"/>
  <c r="CM76" i="1" s="1"/>
  <c r="CM30" i="1"/>
  <c r="CO12" i="1"/>
  <c r="CN27" i="1"/>
  <c r="CN40" i="1" s="1"/>
  <c r="CN52" i="1" s="1"/>
  <c r="CN64" i="1" s="1"/>
  <c r="CN70" i="1" s="1"/>
  <c r="CN75" i="1" s="1"/>
  <c r="CM29" i="1"/>
  <c r="CM31" i="1" s="1"/>
  <c r="CM23" i="1"/>
  <c r="CM22" i="1"/>
  <c r="CO11" i="1"/>
  <c r="CN24" i="1"/>
  <c r="CN21" i="1"/>
  <c r="CN15" i="1"/>
  <c r="CN13" i="1"/>
  <c r="CN14" i="1"/>
  <c r="CG66" i="1" l="1"/>
  <c r="CG77" i="1" s="1"/>
  <c r="CG78" i="1" s="1"/>
  <c r="CH59" i="1"/>
  <c r="CL36" i="1"/>
  <c r="CM43" i="1"/>
  <c r="CM71" i="1"/>
  <c r="CG72" i="1"/>
  <c r="CG73" i="1" s="1"/>
  <c r="AP59" i="1"/>
  <c r="CF67" i="1"/>
  <c r="CF68" i="1" s="1"/>
  <c r="AO66" i="1"/>
  <c r="AO77" i="1" s="1"/>
  <c r="AO78" i="1" s="1"/>
  <c r="AO65" i="1"/>
  <c r="AR49" i="1"/>
  <c r="AR50" i="1" s="1"/>
  <c r="AP60" i="1"/>
  <c r="AP58" i="1"/>
  <c r="AQ53" i="1" s="1"/>
  <c r="AQ54" i="1" s="1"/>
  <c r="CI59" i="1"/>
  <c r="CO53" i="1"/>
  <c r="CO41" i="1"/>
  <c r="CN42" i="1"/>
  <c r="CN54" i="1"/>
  <c r="CL37" i="1"/>
  <c r="CL38" i="1" s="1"/>
  <c r="CL45" i="1" s="1"/>
  <c r="AS45" i="1"/>
  <c r="CJ47" i="1"/>
  <c r="CJ48" i="1"/>
  <c r="CJ56" i="1"/>
  <c r="CJ46" i="1"/>
  <c r="CK47" i="1"/>
  <c r="CK48" i="1"/>
  <c r="CK56" i="1"/>
  <c r="CK46" i="1"/>
  <c r="CM44" i="1"/>
  <c r="CM55" i="1"/>
  <c r="CH58" i="1"/>
  <c r="CH60" i="1"/>
  <c r="AT44" i="1"/>
  <c r="CI58" i="1"/>
  <c r="CI60" i="1"/>
  <c r="CM35" i="1"/>
  <c r="CM33" i="1"/>
  <c r="CP12" i="1"/>
  <c r="CO27" i="1"/>
  <c r="CO40" i="1" s="1"/>
  <c r="CO52" i="1" s="1"/>
  <c r="CO64" i="1" s="1"/>
  <c r="CO70" i="1" s="1"/>
  <c r="CO75" i="1" s="1"/>
  <c r="CO28" i="1"/>
  <c r="CO25" i="1"/>
  <c r="CM32" i="1"/>
  <c r="CN29" i="1"/>
  <c r="CN31" i="1" s="1"/>
  <c r="CN34" i="1"/>
  <c r="CN76" i="1" s="1"/>
  <c r="CN30" i="1"/>
  <c r="AT33" i="1"/>
  <c r="AT35" i="1"/>
  <c r="AT32" i="1"/>
  <c r="AU28" i="1" s="1"/>
  <c r="CN22" i="1"/>
  <c r="CN23" i="1"/>
  <c r="CP11" i="1"/>
  <c r="CO24" i="1"/>
  <c r="CO14" i="1"/>
  <c r="CO15" i="1"/>
  <c r="CO21" i="1"/>
  <c r="CO13" i="1"/>
  <c r="CG67" i="1" l="1"/>
  <c r="CG68" i="1" s="1"/>
  <c r="CN43" i="1"/>
  <c r="CN71" i="1"/>
  <c r="AO67" i="1"/>
  <c r="AO68" i="1" s="1"/>
  <c r="AO72" i="1"/>
  <c r="AO73" i="1" s="1"/>
  <c r="CK49" i="1"/>
  <c r="CK50" i="1" s="1"/>
  <c r="CK57" i="1" s="1"/>
  <c r="AS46" i="1"/>
  <c r="AT41" i="1" s="1"/>
  <c r="AT42" i="1" s="1"/>
  <c r="AQ57" i="1"/>
  <c r="AQ60" i="1" s="1"/>
  <c r="AP61" i="1"/>
  <c r="AP62" i="1" s="1"/>
  <c r="CM36" i="1"/>
  <c r="CI61" i="1"/>
  <c r="CI62" i="1" s="1"/>
  <c r="CI65" i="1" s="1"/>
  <c r="CI72" i="1" s="1"/>
  <c r="CI73" i="1" s="1"/>
  <c r="CH61" i="1"/>
  <c r="CH62" i="1" s="1"/>
  <c r="CH65" i="1" s="1"/>
  <c r="CH72" i="1" s="1"/>
  <c r="CH73" i="1" s="1"/>
  <c r="CJ49" i="1"/>
  <c r="CJ50" i="1" s="1"/>
  <c r="CJ57" i="1" s="1"/>
  <c r="AS56" i="1"/>
  <c r="AT36" i="1"/>
  <c r="CP53" i="1"/>
  <c r="CP41" i="1"/>
  <c r="AS47" i="1"/>
  <c r="CO42" i="1"/>
  <c r="AS48" i="1"/>
  <c r="CM37" i="1"/>
  <c r="CM38" i="1" s="1"/>
  <c r="CM45" i="1" s="1"/>
  <c r="CO54" i="1"/>
  <c r="CL48" i="1"/>
  <c r="CL56" i="1"/>
  <c r="CL46" i="1"/>
  <c r="CL47" i="1"/>
  <c r="CN55" i="1"/>
  <c r="CN44" i="1"/>
  <c r="AT37" i="1"/>
  <c r="AU29" i="1"/>
  <c r="CO34" i="1"/>
  <c r="CO76" i="1" s="1"/>
  <c r="CO30" i="1"/>
  <c r="CP25" i="1"/>
  <c r="CP28" i="1"/>
  <c r="CN33" i="1"/>
  <c r="CN35" i="1"/>
  <c r="CO29" i="1"/>
  <c r="CO31" i="1" s="1"/>
  <c r="CN32" i="1"/>
  <c r="CQ12" i="1"/>
  <c r="CP27" i="1"/>
  <c r="CP40" i="1" s="1"/>
  <c r="CP52" i="1" s="1"/>
  <c r="CP64" i="1" s="1"/>
  <c r="CP70" i="1" s="1"/>
  <c r="CP75" i="1" s="1"/>
  <c r="CO22" i="1"/>
  <c r="CO23" i="1"/>
  <c r="CQ11" i="1"/>
  <c r="CP24" i="1"/>
  <c r="CP21" i="1"/>
  <c r="CP14" i="1"/>
  <c r="CP15" i="1"/>
  <c r="CP13" i="1"/>
  <c r="CH66" i="1" l="1"/>
  <c r="CH67" i="1" s="1"/>
  <c r="CH68" i="1" s="1"/>
  <c r="CI66" i="1"/>
  <c r="CI77" i="1" s="1"/>
  <c r="CI78" i="1" s="1"/>
  <c r="AQ59" i="1"/>
  <c r="AS49" i="1"/>
  <c r="AS50" i="1" s="1"/>
  <c r="CJ58" i="1"/>
  <c r="CO43" i="1"/>
  <c r="CO55" i="1" s="1"/>
  <c r="CO71" i="1"/>
  <c r="AP65" i="1"/>
  <c r="AP66" i="1"/>
  <c r="AP77" i="1" s="1"/>
  <c r="AP78" i="1" s="1"/>
  <c r="CL49" i="1"/>
  <c r="CL50" i="1" s="1"/>
  <c r="CL57" i="1" s="1"/>
  <c r="CH77" i="1"/>
  <c r="CH78" i="1" s="1"/>
  <c r="AQ61" i="1"/>
  <c r="AQ62" i="1" s="1"/>
  <c r="AQ66" i="1" s="1"/>
  <c r="AQ77" i="1" s="1"/>
  <c r="AQ78" i="1" s="1"/>
  <c r="AQ58" i="1"/>
  <c r="AR53" i="1" s="1"/>
  <c r="AR54" i="1" s="1"/>
  <c r="AR57" i="1" s="1"/>
  <c r="CN36" i="1"/>
  <c r="CQ53" i="1"/>
  <c r="CQ41" i="1"/>
  <c r="CP42" i="1"/>
  <c r="CP54" i="1"/>
  <c r="CK58" i="1"/>
  <c r="CK60" i="1"/>
  <c r="CK59" i="1"/>
  <c r="CM47" i="1"/>
  <c r="CM48" i="1"/>
  <c r="CM46" i="1"/>
  <c r="CM56" i="1"/>
  <c r="CJ59" i="1"/>
  <c r="CJ60" i="1"/>
  <c r="CO44" i="1"/>
  <c r="AT38" i="1"/>
  <c r="AT45" i="1" s="1"/>
  <c r="CN37" i="1"/>
  <c r="CO33" i="1"/>
  <c r="CR12" i="1"/>
  <c r="CQ27" i="1"/>
  <c r="CQ40" i="1" s="1"/>
  <c r="CQ52" i="1" s="1"/>
  <c r="CQ64" i="1" s="1"/>
  <c r="CQ70" i="1" s="1"/>
  <c r="CQ75" i="1" s="1"/>
  <c r="CQ25" i="1"/>
  <c r="CQ28" i="1"/>
  <c r="CP34" i="1"/>
  <c r="CP76" i="1" s="1"/>
  <c r="CP30" i="1"/>
  <c r="CP71" i="1" s="1"/>
  <c r="CO32" i="1"/>
  <c r="CO35" i="1"/>
  <c r="CP29" i="1"/>
  <c r="CP31" i="1" s="1"/>
  <c r="AU31" i="1"/>
  <c r="CP22" i="1"/>
  <c r="CP23" i="1"/>
  <c r="CR11" i="1"/>
  <c r="CQ14" i="1"/>
  <c r="CQ24" i="1"/>
  <c r="CQ21" i="1"/>
  <c r="CQ15" i="1"/>
  <c r="CQ13" i="1"/>
  <c r="CI67" i="1" l="1"/>
  <c r="CI68" i="1" s="1"/>
  <c r="CQ54" i="1"/>
  <c r="AP72" i="1"/>
  <c r="AP73" i="1" s="1"/>
  <c r="AP67" i="1"/>
  <c r="AP68" i="1" s="1"/>
  <c r="CO36" i="1"/>
  <c r="AR58" i="1"/>
  <c r="AS53" i="1" s="1"/>
  <c r="AS54" i="1" s="1"/>
  <c r="CK61" i="1"/>
  <c r="CK62" i="1" s="1"/>
  <c r="CK66" i="1" s="1"/>
  <c r="CK77" i="1" s="1"/>
  <c r="CK78" i="1" s="1"/>
  <c r="CJ61" i="1"/>
  <c r="CJ62" i="1" s="1"/>
  <c r="CJ66" i="1" s="1"/>
  <c r="CJ77" i="1" s="1"/>
  <c r="CJ78" i="1" s="1"/>
  <c r="AR60" i="1"/>
  <c r="CL58" i="1"/>
  <c r="AQ65" i="1"/>
  <c r="AR59" i="1"/>
  <c r="CM49" i="1"/>
  <c r="CM50" i="1" s="1"/>
  <c r="CM57" i="1" s="1"/>
  <c r="CR53" i="1"/>
  <c r="CR41" i="1"/>
  <c r="CQ42" i="1"/>
  <c r="CP44" i="1"/>
  <c r="CN38" i="1"/>
  <c r="CN45" i="1" s="1"/>
  <c r="CL59" i="1"/>
  <c r="CL60" i="1"/>
  <c r="CP32" i="1"/>
  <c r="CP43" i="1"/>
  <c r="AT47" i="1"/>
  <c r="AT48" i="1"/>
  <c r="AT56" i="1"/>
  <c r="AT46" i="1"/>
  <c r="AU41" i="1" s="1"/>
  <c r="AU44" i="1"/>
  <c r="CO37" i="1"/>
  <c r="CR28" i="1"/>
  <c r="CR25" i="1"/>
  <c r="AU33" i="1"/>
  <c r="AU35" i="1"/>
  <c r="CQ29" i="1"/>
  <c r="CQ31" i="1" s="1"/>
  <c r="CQ34" i="1"/>
  <c r="CQ76" i="1" s="1"/>
  <c r="CQ30" i="1"/>
  <c r="CP33" i="1"/>
  <c r="CP35" i="1"/>
  <c r="AU32" i="1"/>
  <c r="AV28" i="1" s="1"/>
  <c r="CS12" i="1"/>
  <c r="CR27" i="1"/>
  <c r="CR40" i="1" s="1"/>
  <c r="CR52" i="1" s="1"/>
  <c r="CR64" i="1" s="1"/>
  <c r="CR70" i="1" s="1"/>
  <c r="CR75" i="1" s="1"/>
  <c r="CQ22" i="1"/>
  <c r="CQ23" i="1"/>
  <c r="CS11" i="1"/>
  <c r="CR21" i="1"/>
  <c r="CR24" i="1"/>
  <c r="CR13" i="1"/>
  <c r="CR14" i="1"/>
  <c r="CR15" i="1"/>
  <c r="CJ65" i="1" l="1"/>
  <c r="CJ72" i="1" s="1"/>
  <c r="CJ73" i="1" s="1"/>
  <c r="CM60" i="1"/>
  <c r="AT49" i="1"/>
  <c r="AT50" i="1" s="1"/>
  <c r="CQ43" i="1"/>
  <c r="CQ55" i="1" s="1"/>
  <c r="CQ71" i="1"/>
  <c r="CL61" i="1"/>
  <c r="CL62" i="1" s="1"/>
  <c r="CL65" i="1" s="1"/>
  <c r="AR61" i="1"/>
  <c r="AR62" i="1" s="1"/>
  <c r="AU36" i="1"/>
  <c r="CK65" i="1"/>
  <c r="CK72" i="1" s="1"/>
  <c r="CK73" i="1" s="1"/>
  <c r="CP37" i="1"/>
  <c r="CP38" i="1" s="1"/>
  <c r="CP45" i="1" s="1"/>
  <c r="AQ67" i="1"/>
  <c r="AQ68" i="1" s="1"/>
  <c r="AQ72" i="1"/>
  <c r="AQ73" i="1" s="1"/>
  <c r="CS41" i="1"/>
  <c r="CS53" i="1"/>
  <c r="CR42" i="1"/>
  <c r="CR54" i="1"/>
  <c r="CM59" i="1"/>
  <c r="AS57" i="1"/>
  <c r="CP55" i="1"/>
  <c r="AU42" i="1"/>
  <c r="CN47" i="1"/>
  <c r="CN48" i="1"/>
  <c r="CN56" i="1"/>
  <c r="CN46" i="1"/>
  <c r="CQ44" i="1"/>
  <c r="CO38" i="1"/>
  <c r="CO45" i="1" s="1"/>
  <c r="CM58" i="1"/>
  <c r="CQ35" i="1"/>
  <c r="CQ36" i="1" s="1"/>
  <c r="CP36" i="1"/>
  <c r="CQ33" i="1"/>
  <c r="AU37" i="1"/>
  <c r="CQ32" i="1"/>
  <c r="AV29" i="1"/>
  <c r="AV31" i="1" s="1"/>
  <c r="CR29" i="1"/>
  <c r="CR31" i="1" s="1"/>
  <c r="CT12" i="1"/>
  <c r="CS27" i="1"/>
  <c r="CS40" i="1" s="1"/>
  <c r="CS52" i="1" s="1"/>
  <c r="CS64" i="1" s="1"/>
  <c r="CS70" i="1" s="1"/>
  <c r="CS75" i="1" s="1"/>
  <c r="CS28" i="1"/>
  <c r="CS25" i="1"/>
  <c r="CR34" i="1"/>
  <c r="CR76" i="1" s="1"/>
  <c r="CR30" i="1"/>
  <c r="CR23" i="1"/>
  <c r="CR22" i="1"/>
  <c r="CT11" i="1"/>
  <c r="CS14" i="1"/>
  <c r="CS24" i="1"/>
  <c r="CS15" i="1"/>
  <c r="CS13" i="1"/>
  <c r="CS21" i="1"/>
  <c r="CJ67" i="1" l="1"/>
  <c r="CJ68" i="1" s="1"/>
  <c r="CL66" i="1"/>
  <c r="CL77" i="1" s="1"/>
  <c r="CL78" i="1" s="1"/>
  <c r="CL72" i="1"/>
  <c r="CL73" i="1" s="1"/>
  <c r="CP46" i="1"/>
  <c r="CQ37" i="1"/>
  <c r="CQ38" i="1" s="1"/>
  <c r="CQ45" i="1" s="1"/>
  <c r="CK67" i="1"/>
  <c r="CK68" i="1" s="1"/>
  <c r="AR66" i="1"/>
  <c r="AR77" i="1" s="1"/>
  <c r="AR78" i="1" s="1"/>
  <c r="AR65" i="1"/>
  <c r="CN49" i="1"/>
  <c r="CN50" i="1" s="1"/>
  <c r="CN57" i="1" s="1"/>
  <c r="CR43" i="1"/>
  <c r="CR55" i="1" s="1"/>
  <c r="CR71" i="1"/>
  <c r="CM61" i="1"/>
  <c r="CM62" i="1" s="1"/>
  <c r="CT53" i="1"/>
  <c r="CT41" i="1"/>
  <c r="CS54" i="1"/>
  <c r="CS42" i="1"/>
  <c r="CR44" i="1"/>
  <c r="CP48" i="1"/>
  <c r="CP56" i="1"/>
  <c r="AV44" i="1"/>
  <c r="AS59" i="1"/>
  <c r="AS60" i="1"/>
  <c r="AU38" i="1"/>
  <c r="AU45" i="1" s="1"/>
  <c r="CO47" i="1"/>
  <c r="CO48" i="1"/>
  <c r="CO56" i="1"/>
  <c r="CO46" i="1"/>
  <c r="CP47" i="1"/>
  <c r="AS58" i="1"/>
  <c r="AT53" i="1" s="1"/>
  <c r="CR32" i="1"/>
  <c r="AV33" i="1"/>
  <c r="AV35" i="1"/>
  <c r="AV32" i="1"/>
  <c r="AW28" i="1" s="1"/>
  <c r="CU12" i="1"/>
  <c r="CT27" i="1"/>
  <c r="CT40" i="1" s="1"/>
  <c r="CT52" i="1" s="1"/>
  <c r="CT64" i="1" s="1"/>
  <c r="CT70" i="1" s="1"/>
  <c r="CT75" i="1" s="1"/>
  <c r="CT28" i="1"/>
  <c r="CT25" i="1"/>
  <c r="CS34" i="1"/>
  <c r="CS76" i="1" s="1"/>
  <c r="CS30" i="1"/>
  <c r="CS29" i="1"/>
  <c r="CS31" i="1" s="1"/>
  <c r="CR33" i="1"/>
  <c r="CR35" i="1"/>
  <c r="CS23" i="1"/>
  <c r="CS22" i="1"/>
  <c r="CU11" i="1"/>
  <c r="CT21" i="1"/>
  <c r="CT14" i="1"/>
  <c r="CT24" i="1"/>
  <c r="CT15" i="1"/>
  <c r="CT13" i="1"/>
  <c r="CT54" i="1" l="1"/>
  <c r="CL67" i="1"/>
  <c r="CL68" i="1" s="1"/>
  <c r="CQ46" i="1"/>
  <c r="AR72" i="1"/>
  <c r="AR73" i="1" s="1"/>
  <c r="AR67" i="1"/>
  <c r="AR68" i="1" s="1"/>
  <c r="CO49" i="1"/>
  <c r="CO50" i="1" s="1"/>
  <c r="CO57" i="1" s="1"/>
  <c r="CP49" i="1"/>
  <c r="CP50" i="1" s="1"/>
  <c r="CP57" i="1" s="1"/>
  <c r="AV36" i="1"/>
  <c r="CR36" i="1"/>
  <c r="CM65" i="1"/>
  <c r="CM66" i="1"/>
  <c r="CM77" i="1" s="1"/>
  <c r="CM78" i="1" s="1"/>
  <c r="CS43" i="1"/>
  <c r="CS55" i="1" s="1"/>
  <c r="CS71" i="1"/>
  <c r="AS61" i="1"/>
  <c r="AS62" i="1" s="1"/>
  <c r="AS65" i="1" s="1"/>
  <c r="AS72" i="1" s="1"/>
  <c r="AS73" i="1" s="1"/>
  <c r="CU53" i="1"/>
  <c r="CU41" i="1"/>
  <c r="CT42" i="1"/>
  <c r="CN59" i="1"/>
  <c r="CN60" i="1"/>
  <c r="AT54" i="1"/>
  <c r="AU47" i="1"/>
  <c r="AU48" i="1"/>
  <c r="AU56" i="1"/>
  <c r="AU46" i="1"/>
  <c r="AV41" i="1" s="1"/>
  <c r="CQ48" i="1"/>
  <c r="CQ56" i="1"/>
  <c r="CS32" i="1"/>
  <c r="CS44" i="1"/>
  <c r="CN58" i="1"/>
  <c r="CQ47" i="1"/>
  <c r="AV37" i="1"/>
  <c r="CR37" i="1"/>
  <c r="CT34" i="1"/>
  <c r="CT76" i="1" s="1"/>
  <c r="CT30" i="1"/>
  <c r="CT29" i="1"/>
  <c r="CT31" i="1" s="1"/>
  <c r="CV12" i="1"/>
  <c r="CU27" i="1"/>
  <c r="CU40" i="1" s="1"/>
  <c r="CU52" i="1" s="1"/>
  <c r="CU64" i="1" s="1"/>
  <c r="CU70" i="1" s="1"/>
  <c r="CU75" i="1" s="1"/>
  <c r="CS33" i="1"/>
  <c r="CS35" i="1"/>
  <c r="AW29" i="1"/>
  <c r="AW31" i="1" s="1"/>
  <c r="CU28" i="1"/>
  <c r="CU25" i="1"/>
  <c r="CT23" i="1"/>
  <c r="CT22" i="1"/>
  <c r="CV11" i="1"/>
  <c r="CU21" i="1"/>
  <c r="CU14" i="1"/>
  <c r="CU24" i="1"/>
  <c r="CU13" i="1"/>
  <c r="CU15" i="1"/>
  <c r="CP60" i="1" l="1"/>
  <c r="CP58" i="1"/>
  <c r="CP59" i="1"/>
  <c r="CO59" i="1"/>
  <c r="AU49" i="1"/>
  <c r="AU50" i="1" s="1"/>
  <c r="CM67" i="1"/>
  <c r="CM68" i="1" s="1"/>
  <c r="CM72" i="1"/>
  <c r="CM73" i="1" s="1"/>
  <c r="CT43" i="1"/>
  <c r="CT55" i="1" s="1"/>
  <c r="CT71" i="1"/>
  <c r="CN61" i="1"/>
  <c r="CN62" i="1" s="1"/>
  <c r="CN65" i="1" s="1"/>
  <c r="CN72" i="1" s="1"/>
  <c r="CN73" i="1" s="1"/>
  <c r="CQ49" i="1"/>
  <c r="CQ50" i="1" s="1"/>
  <c r="CQ57" i="1" s="1"/>
  <c r="CQ59" i="1" s="1"/>
  <c r="AS66" i="1"/>
  <c r="AS77" i="1" s="1"/>
  <c r="AS78" i="1" s="1"/>
  <c r="AT57" i="1"/>
  <c r="AT58" i="1" s="1"/>
  <c r="AU53" i="1" s="1"/>
  <c r="AU54" i="1" s="1"/>
  <c r="CS36" i="1"/>
  <c r="CV53" i="1"/>
  <c r="CV41" i="1"/>
  <c r="CU42" i="1"/>
  <c r="CU54" i="1"/>
  <c r="AV42" i="1"/>
  <c r="CO58" i="1"/>
  <c r="CO60" i="1"/>
  <c r="CR38" i="1"/>
  <c r="CR45" i="1" s="1"/>
  <c r="AW44" i="1"/>
  <c r="CT44" i="1"/>
  <c r="AV38" i="1"/>
  <c r="AW32" i="1"/>
  <c r="AX28" i="1" s="1"/>
  <c r="AX29" i="1" s="1"/>
  <c r="AX31" i="1" s="1"/>
  <c r="CS37" i="1"/>
  <c r="CT32" i="1"/>
  <c r="CT35" i="1"/>
  <c r="CW12" i="1"/>
  <c r="CV27" i="1"/>
  <c r="CV40" i="1" s="1"/>
  <c r="CV52" i="1" s="1"/>
  <c r="CV64" i="1" s="1"/>
  <c r="CV70" i="1" s="1"/>
  <c r="CV75" i="1" s="1"/>
  <c r="CU29" i="1"/>
  <c r="CU31" i="1" s="1"/>
  <c r="CT33" i="1"/>
  <c r="CU34" i="1"/>
  <c r="CU76" i="1" s="1"/>
  <c r="CU30" i="1"/>
  <c r="CV28" i="1"/>
  <c r="CV25" i="1"/>
  <c r="AW35" i="1"/>
  <c r="AW33" i="1"/>
  <c r="CU23" i="1"/>
  <c r="CU22" i="1"/>
  <c r="CW11" i="1"/>
  <c r="CV24" i="1"/>
  <c r="CV21" i="1"/>
  <c r="CV14" i="1"/>
  <c r="CV13" i="1"/>
  <c r="CV15" i="1"/>
  <c r="AU57" i="1" l="1"/>
  <c r="AU60" i="1" s="1"/>
  <c r="AT60" i="1"/>
  <c r="AS67" i="1"/>
  <c r="AS68" i="1" s="1"/>
  <c r="AT59" i="1"/>
  <c r="CN66" i="1"/>
  <c r="CN77" i="1" s="1"/>
  <c r="CN78" i="1" s="1"/>
  <c r="AT61" i="1"/>
  <c r="AT62" i="1" s="1"/>
  <c r="AT65" i="1" s="1"/>
  <c r="AT72" i="1" s="1"/>
  <c r="AT73" i="1" s="1"/>
  <c r="CU43" i="1"/>
  <c r="CU55" i="1" s="1"/>
  <c r="CU71" i="1"/>
  <c r="AW36" i="1"/>
  <c r="CQ60" i="1"/>
  <c r="CT36" i="1"/>
  <c r="CO61" i="1"/>
  <c r="CO62" i="1" s="1"/>
  <c r="CO65" i="1" s="1"/>
  <c r="CO72" i="1" s="1"/>
  <c r="CO73" i="1" s="1"/>
  <c r="CP61" i="1"/>
  <c r="CP62" i="1" s="1"/>
  <c r="AV45" i="1"/>
  <c r="AV48" i="1" s="1"/>
  <c r="CQ58" i="1"/>
  <c r="CW53" i="1"/>
  <c r="CW41" i="1"/>
  <c r="CV42" i="1"/>
  <c r="CV54" i="1"/>
  <c r="AU58" i="1"/>
  <c r="AV53" i="1" s="1"/>
  <c r="AV54" i="1" s="1"/>
  <c r="AX44" i="1"/>
  <c r="CU44" i="1"/>
  <c r="CR47" i="1"/>
  <c r="CR48" i="1"/>
  <c r="CR56" i="1"/>
  <c r="CR46" i="1"/>
  <c r="CS38" i="1"/>
  <c r="CS45" i="1" s="1"/>
  <c r="AX32" i="1"/>
  <c r="AY28" i="1" s="1"/>
  <c r="AY29" i="1" s="1"/>
  <c r="CU35" i="1"/>
  <c r="AW37" i="1"/>
  <c r="CT37" i="1"/>
  <c r="CX12" i="1"/>
  <c r="CW27" i="1"/>
  <c r="CW40" i="1" s="1"/>
  <c r="CW52" i="1" s="1"/>
  <c r="CW64" i="1" s="1"/>
  <c r="CW70" i="1" s="1"/>
  <c r="CW75" i="1" s="1"/>
  <c r="CW28" i="1"/>
  <c r="CW25" i="1"/>
  <c r="CV34" i="1"/>
  <c r="CV76" i="1" s="1"/>
  <c r="CV30" i="1"/>
  <c r="AX33" i="1"/>
  <c r="AX35" i="1"/>
  <c r="CV29" i="1"/>
  <c r="CV31" i="1" s="1"/>
  <c r="CU33" i="1"/>
  <c r="CU32" i="1"/>
  <c r="CV22" i="1"/>
  <c r="CV23" i="1"/>
  <c r="CX11" i="1"/>
  <c r="CW24" i="1"/>
  <c r="CW14" i="1"/>
  <c r="CW21" i="1"/>
  <c r="CW15" i="1"/>
  <c r="CW13" i="1"/>
  <c r="AU59" i="1" l="1"/>
  <c r="AT66" i="1"/>
  <c r="AT67" i="1" s="1"/>
  <c r="AT68" i="1" s="1"/>
  <c r="CO66" i="1"/>
  <c r="CO77" i="1" s="1"/>
  <c r="CO78" i="1" s="1"/>
  <c r="CN67" i="1"/>
  <c r="CN68" i="1" s="1"/>
  <c r="AV49" i="1"/>
  <c r="AV56" i="1"/>
  <c r="CQ61" i="1"/>
  <c r="CQ62" i="1" s="1"/>
  <c r="AV47" i="1"/>
  <c r="CR49" i="1"/>
  <c r="CR50" i="1" s="1"/>
  <c r="CR57" i="1" s="1"/>
  <c r="AT77" i="1"/>
  <c r="AT78" i="1" s="1"/>
  <c r="CP65" i="1"/>
  <c r="CP72" i="1" s="1"/>
  <c r="CP73" i="1" s="1"/>
  <c r="CP66" i="1"/>
  <c r="AX36" i="1"/>
  <c r="CV43" i="1"/>
  <c r="CV55" i="1" s="1"/>
  <c r="CV71" i="1"/>
  <c r="CU37" i="1"/>
  <c r="CU38" i="1" s="1"/>
  <c r="CU45" i="1" s="1"/>
  <c r="AU61" i="1"/>
  <c r="AU62" i="1" s="1"/>
  <c r="AU65" i="1" s="1"/>
  <c r="AU72" i="1" s="1"/>
  <c r="AU73" i="1" s="1"/>
  <c r="CX53" i="1"/>
  <c r="CX41" i="1"/>
  <c r="CW42" i="1"/>
  <c r="AV46" i="1"/>
  <c r="AW41" i="1" s="1"/>
  <c r="AW42" i="1" s="1"/>
  <c r="CW54" i="1"/>
  <c r="CU36" i="1"/>
  <c r="AW38" i="1"/>
  <c r="CS47" i="1"/>
  <c r="CS48" i="1"/>
  <c r="CS56" i="1"/>
  <c r="CS46" i="1"/>
  <c r="AV50" i="1"/>
  <c r="CV44" i="1"/>
  <c r="CT38" i="1"/>
  <c r="CT45" i="1" s="1"/>
  <c r="AX37" i="1"/>
  <c r="CV33" i="1"/>
  <c r="CV35" i="1"/>
  <c r="CV32" i="1"/>
  <c r="CW34" i="1"/>
  <c r="CW76" i="1" s="1"/>
  <c r="CW30" i="1"/>
  <c r="CW29" i="1"/>
  <c r="CW31" i="1" s="1"/>
  <c r="CY12" i="1"/>
  <c r="CX27" i="1"/>
  <c r="CX40" i="1" s="1"/>
  <c r="CX52" i="1" s="1"/>
  <c r="CX64" i="1" s="1"/>
  <c r="CX70" i="1" s="1"/>
  <c r="CX75" i="1" s="1"/>
  <c r="CX28" i="1"/>
  <c r="CX25" i="1"/>
  <c r="AY31" i="1"/>
  <c r="CW23" i="1"/>
  <c r="CW22" i="1"/>
  <c r="CY11" i="1"/>
  <c r="CX24" i="1"/>
  <c r="CX21" i="1"/>
  <c r="CX14" i="1"/>
  <c r="CX13" i="1"/>
  <c r="CX15" i="1"/>
  <c r="CO67" i="1" l="1"/>
  <c r="CO68" i="1" s="1"/>
  <c r="AU66" i="1"/>
  <c r="AU67" i="1" s="1"/>
  <c r="AU68" i="1" s="1"/>
  <c r="AV57" i="1"/>
  <c r="AV58" i="1" s="1"/>
  <c r="AW53" i="1" s="1"/>
  <c r="CV37" i="1"/>
  <c r="CV38" i="1" s="1"/>
  <c r="CV45" i="1" s="1"/>
  <c r="CQ65" i="1"/>
  <c r="CQ72" i="1" s="1"/>
  <c r="CQ73" i="1" s="1"/>
  <c r="CQ66" i="1"/>
  <c r="AU77" i="1"/>
  <c r="AU78" i="1" s="1"/>
  <c r="CP67" i="1"/>
  <c r="CP68" i="1" s="1"/>
  <c r="CP77" i="1"/>
  <c r="CP78" i="1" s="1"/>
  <c r="CW43" i="1"/>
  <c r="CW55" i="1" s="1"/>
  <c r="CW71" i="1"/>
  <c r="CS49" i="1"/>
  <c r="CS50" i="1" s="1"/>
  <c r="CS57" i="1" s="1"/>
  <c r="AW45" i="1"/>
  <c r="AW47" i="1" s="1"/>
  <c r="CY53" i="1"/>
  <c r="CY41" i="1"/>
  <c r="CX42" i="1"/>
  <c r="CX54" i="1"/>
  <c r="CR59" i="1"/>
  <c r="CR60" i="1"/>
  <c r="CR58" i="1"/>
  <c r="AY44" i="1"/>
  <c r="AX38" i="1"/>
  <c r="CU47" i="1"/>
  <c r="CU48" i="1"/>
  <c r="CU56" i="1"/>
  <c r="CU46" i="1"/>
  <c r="CT48" i="1"/>
  <c r="CT46" i="1"/>
  <c r="CT47" i="1"/>
  <c r="CT56" i="1"/>
  <c r="CW44" i="1"/>
  <c r="CV36" i="1"/>
  <c r="CW35" i="1"/>
  <c r="CW33" i="1"/>
  <c r="CW32" i="1"/>
  <c r="AY33" i="1"/>
  <c r="AY35" i="1"/>
  <c r="CX34" i="1"/>
  <c r="CX76" i="1" s="1"/>
  <c r="CX30" i="1"/>
  <c r="CX29" i="1"/>
  <c r="CX31" i="1" s="1"/>
  <c r="CY28" i="1"/>
  <c r="CY25" i="1"/>
  <c r="CZ12" i="1"/>
  <c r="CY27" i="1"/>
  <c r="CY40" i="1" s="1"/>
  <c r="CY52" i="1" s="1"/>
  <c r="CY64" i="1" s="1"/>
  <c r="CY70" i="1" s="1"/>
  <c r="CY75" i="1" s="1"/>
  <c r="AY32" i="1"/>
  <c r="AZ28" i="1" s="1"/>
  <c r="CX22" i="1"/>
  <c r="CX23" i="1"/>
  <c r="CZ11" i="1"/>
  <c r="CY14" i="1"/>
  <c r="CY24" i="1"/>
  <c r="CY21" i="1"/>
  <c r="CY15" i="1"/>
  <c r="CY13" i="1"/>
  <c r="AV60" i="1" l="1"/>
  <c r="AV61" i="1" s="1"/>
  <c r="AV62" i="1" s="1"/>
  <c r="AV66" i="1" s="1"/>
  <c r="AV77" i="1" s="1"/>
  <c r="AV78" i="1" s="1"/>
  <c r="AV59" i="1"/>
  <c r="AW56" i="1"/>
  <c r="AW48" i="1"/>
  <c r="AW49" i="1" s="1"/>
  <c r="AW50" i="1" s="1"/>
  <c r="CS60" i="1"/>
  <c r="AY36" i="1"/>
  <c r="CQ67" i="1"/>
  <c r="CQ68" i="1" s="1"/>
  <c r="CQ77" i="1"/>
  <c r="CQ78" i="1" s="1"/>
  <c r="CX43" i="1"/>
  <c r="CX55" i="1" s="1"/>
  <c r="CX71" i="1"/>
  <c r="CU49" i="1"/>
  <c r="CU50" i="1" s="1"/>
  <c r="CU57" i="1" s="1"/>
  <c r="CW37" i="1"/>
  <c r="CW38" i="1" s="1"/>
  <c r="CW45" i="1" s="1"/>
  <c r="CT49" i="1"/>
  <c r="CT50" i="1" s="1"/>
  <c r="CT57" i="1" s="1"/>
  <c r="AW46" i="1"/>
  <c r="AX41" i="1" s="1"/>
  <c r="AX42" i="1" s="1"/>
  <c r="AX45" i="1" s="1"/>
  <c r="CR61" i="1"/>
  <c r="CR62" i="1" s="1"/>
  <c r="CR66" i="1" s="1"/>
  <c r="CR77" i="1" s="1"/>
  <c r="CR78" i="1" s="1"/>
  <c r="CZ53" i="1"/>
  <c r="CZ41" i="1"/>
  <c r="CY42" i="1"/>
  <c r="CY54" i="1"/>
  <c r="AW54" i="1"/>
  <c r="CS59" i="1"/>
  <c r="CX44" i="1"/>
  <c r="CV47" i="1"/>
  <c r="CV48" i="1"/>
  <c r="CV46" i="1"/>
  <c r="CV56" i="1"/>
  <c r="CS58" i="1"/>
  <c r="CW36" i="1"/>
  <c r="AY37" i="1"/>
  <c r="DA12" i="1"/>
  <c r="CZ27" i="1"/>
  <c r="CZ40" i="1" s="1"/>
  <c r="CZ52" i="1" s="1"/>
  <c r="CZ64" i="1" s="1"/>
  <c r="CZ70" i="1" s="1"/>
  <c r="CZ75" i="1" s="1"/>
  <c r="CX33" i="1"/>
  <c r="CX35" i="1"/>
  <c r="CY34" i="1"/>
  <c r="CY76" i="1" s="1"/>
  <c r="CY30" i="1"/>
  <c r="CZ28" i="1"/>
  <c r="CZ25" i="1"/>
  <c r="CY29" i="1"/>
  <c r="CY31" i="1" s="1"/>
  <c r="AZ29" i="1"/>
  <c r="AZ31" i="1" s="1"/>
  <c r="CX32" i="1"/>
  <c r="CY22" i="1"/>
  <c r="CY23" i="1"/>
  <c r="DA11" i="1"/>
  <c r="CZ21" i="1"/>
  <c r="CZ24" i="1"/>
  <c r="CZ13" i="1"/>
  <c r="CZ14" i="1"/>
  <c r="CZ15" i="1"/>
  <c r="AV65" i="1" l="1"/>
  <c r="AV67" i="1" s="1"/>
  <c r="AV68" i="1" s="1"/>
  <c r="CR65" i="1"/>
  <c r="CR72" i="1" s="1"/>
  <c r="CR73" i="1" s="1"/>
  <c r="AX46" i="1"/>
  <c r="AY41" i="1" s="1"/>
  <c r="AY42" i="1" s="1"/>
  <c r="CT60" i="1"/>
  <c r="CT58" i="1"/>
  <c r="AV72" i="1"/>
  <c r="AV73" i="1" s="1"/>
  <c r="CW46" i="1"/>
  <c r="CU59" i="1"/>
  <c r="CY43" i="1"/>
  <c r="CY55" i="1" s="1"/>
  <c r="CY71" i="1"/>
  <c r="CV49" i="1"/>
  <c r="CV50" i="1" s="1"/>
  <c r="CV57" i="1" s="1"/>
  <c r="CX37" i="1"/>
  <c r="CX38" i="1" s="1"/>
  <c r="CX45" i="1" s="1"/>
  <c r="CS61" i="1"/>
  <c r="CS62" i="1" s="1"/>
  <c r="DA53" i="1"/>
  <c r="DA41" i="1"/>
  <c r="CZ42" i="1"/>
  <c r="CZ54" i="1"/>
  <c r="AW57" i="1"/>
  <c r="AZ44" i="1"/>
  <c r="AX47" i="1"/>
  <c r="AX48" i="1"/>
  <c r="AX56" i="1"/>
  <c r="CU58" i="1"/>
  <c r="CU60" i="1"/>
  <c r="CT59" i="1"/>
  <c r="CY44" i="1"/>
  <c r="AY38" i="1"/>
  <c r="CX36" i="1"/>
  <c r="CW47" i="1"/>
  <c r="CW48" i="1"/>
  <c r="CW56" i="1"/>
  <c r="CY35" i="1"/>
  <c r="CY33" i="1"/>
  <c r="CY32" i="1"/>
  <c r="CZ29" i="1"/>
  <c r="CZ31" i="1" s="1"/>
  <c r="AZ32" i="1"/>
  <c r="BA28" i="1" s="1"/>
  <c r="AZ33" i="1"/>
  <c r="AZ35" i="1"/>
  <c r="DA28" i="1"/>
  <c r="DA25" i="1"/>
  <c r="CZ34" i="1"/>
  <c r="CZ76" i="1" s="1"/>
  <c r="CZ30" i="1"/>
  <c r="DB12" i="1"/>
  <c r="DA27" i="1"/>
  <c r="DA40" i="1" s="1"/>
  <c r="DA52" i="1" s="1"/>
  <c r="DA64" i="1" s="1"/>
  <c r="DA70" i="1" s="1"/>
  <c r="DA75" i="1" s="1"/>
  <c r="CZ23" i="1"/>
  <c r="CZ22" i="1"/>
  <c r="DB11" i="1"/>
  <c r="DA14" i="1"/>
  <c r="DA24" i="1"/>
  <c r="DA15" i="1"/>
  <c r="DA13" i="1"/>
  <c r="DA21" i="1"/>
  <c r="CR67" i="1" l="1"/>
  <c r="CR68" i="1" s="1"/>
  <c r="CW49" i="1"/>
  <c r="CS65" i="1"/>
  <c r="CS66" i="1"/>
  <c r="CS77" i="1" s="1"/>
  <c r="CS78" i="1" s="1"/>
  <c r="AZ36" i="1"/>
  <c r="CZ43" i="1"/>
  <c r="CZ55" i="1" s="1"/>
  <c r="CZ71" i="1"/>
  <c r="CT61" i="1"/>
  <c r="CT62" i="1" s="1"/>
  <c r="AX49" i="1"/>
  <c r="AX50" i="1" s="1"/>
  <c r="CU61" i="1"/>
  <c r="CU62" i="1" s="1"/>
  <c r="CU65" i="1" s="1"/>
  <c r="CU72" i="1" s="1"/>
  <c r="CU73" i="1" s="1"/>
  <c r="CY37" i="1"/>
  <c r="CY38" i="1" s="1"/>
  <c r="CY45" i="1" s="1"/>
  <c r="DB53" i="1"/>
  <c r="DB41" i="1"/>
  <c r="DA42" i="1"/>
  <c r="DA54" i="1"/>
  <c r="CV59" i="1"/>
  <c r="CV60" i="1"/>
  <c r="CV58" i="1"/>
  <c r="AY45" i="1"/>
  <c r="CZ44" i="1"/>
  <c r="CW50" i="1"/>
  <c r="CW57" i="1" s="1"/>
  <c r="AW59" i="1"/>
  <c r="AW60" i="1"/>
  <c r="CX47" i="1"/>
  <c r="CX48" i="1"/>
  <c r="CX56" i="1"/>
  <c r="CX46" i="1"/>
  <c r="AW58" i="1"/>
  <c r="AX53" i="1" s="1"/>
  <c r="CY36" i="1"/>
  <c r="AZ37" i="1"/>
  <c r="CZ32" i="1"/>
  <c r="CZ35" i="1"/>
  <c r="BA29" i="1"/>
  <c r="BA31" i="1" s="1"/>
  <c r="CZ33" i="1"/>
  <c r="DC12" i="1"/>
  <c r="DB27" i="1"/>
  <c r="DB40" i="1" s="1"/>
  <c r="DB52" i="1" s="1"/>
  <c r="DB64" i="1" s="1"/>
  <c r="DB70" i="1" s="1"/>
  <c r="DB75" i="1" s="1"/>
  <c r="DA34" i="1"/>
  <c r="DA76" i="1" s="1"/>
  <c r="DA30" i="1"/>
  <c r="DB28" i="1"/>
  <c r="DB25" i="1"/>
  <c r="DA29" i="1"/>
  <c r="DA31" i="1" s="1"/>
  <c r="DA23" i="1"/>
  <c r="DA22" i="1"/>
  <c r="DC11" i="1"/>
  <c r="DB21" i="1"/>
  <c r="DB24" i="1"/>
  <c r="DB15" i="1"/>
  <c r="DB14" i="1"/>
  <c r="DB13" i="1"/>
  <c r="CU66" i="1" l="1"/>
  <c r="CU77" i="1" s="1"/>
  <c r="CU78" i="1" s="1"/>
  <c r="DA43" i="1"/>
  <c r="DA71" i="1"/>
  <c r="CT66" i="1"/>
  <c r="CT77" i="1" s="1"/>
  <c r="CT78" i="1" s="1"/>
  <c r="CT65" i="1"/>
  <c r="CS67" i="1"/>
  <c r="CS68" i="1" s="1"/>
  <c r="CS72" i="1"/>
  <c r="CS73" i="1" s="1"/>
  <c r="CV61" i="1"/>
  <c r="CV62" i="1" s="1"/>
  <c r="CV66" i="1" s="1"/>
  <c r="CV77" i="1" s="1"/>
  <c r="CV78" i="1" s="1"/>
  <c r="CZ36" i="1"/>
  <c r="CX49" i="1"/>
  <c r="CX50" i="1" s="1"/>
  <c r="CX57" i="1" s="1"/>
  <c r="AW61" i="1"/>
  <c r="AW62" i="1" s="1"/>
  <c r="AW65" i="1" s="1"/>
  <c r="AW72" i="1" s="1"/>
  <c r="AW73" i="1" s="1"/>
  <c r="DC53" i="1"/>
  <c r="DC41" i="1"/>
  <c r="DB42" i="1"/>
  <c r="DB54" i="1"/>
  <c r="CY48" i="1"/>
  <c r="CY56" i="1"/>
  <c r="CY46" i="1"/>
  <c r="CY47" i="1"/>
  <c r="CW58" i="1"/>
  <c r="CW60" i="1"/>
  <c r="CW59" i="1"/>
  <c r="AY47" i="1"/>
  <c r="AY48" i="1"/>
  <c r="AY56" i="1"/>
  <c r="AY46" i="1"/>
  <c r="AZ41" i="1" s="1"/>
  <c r="DA44" i="1"/>
  <c r="AX54" i="1"/>
  <c r="AX57" i="1" s="1"/>
  <c r="BA44" i="1"/>
  <c r="DA55" i="1"/>
  <c r="AZ38" i="1"/>
  <c r="CU67" i="1"/>
  <c r="CU68" i="1" s="1"/>
  <c r="DA32" i="1"/>
  <c r="CZ37" i="1"/>
  <c r="BA33" i="1"/>
  <c r="BA35" i="1"/>
  <c r="BA32" i="1"/>
  <c r="BB28" i="1" s="1"/>
  <c r="DD12" i="1"/>
  <c r="DC27" i="1"/>
  <c r="DC40" i="1" s="1"/>
  <c r="DC52" i="1" s="1"/>
  <c r="DC64" i="1" s="1"/>
  <c r="DC70" i="1" s="1"/>
  <c r="DC75" i="1" s="1"/>
  <c r="DC28" i="1"/>
  <c r="DC25" i="1"/>
  <c r="DB34" i="1"/>
  <c r="DB76" i="1" s="1"/>
  <c r="DB30" i="1"/>
  <c r="DB29" i="1"/>
  <c r="DB31" i="1" s="1"/>
  <c r="DA33" i="1"/>
  <c r="DA35" i="1"/>
  <c r="DB23" i="1"/>
  <c r="DB22" i="1"/>
  <c r="DD11" i="1"/>
  <c r="DC21" i="1"/>
  <c r="DC14" i="1"/>
  <c r="DC24" i="1"/>
  <c r="DC15" i="1"/>
  <c r="DC13" i="1"/>
  <c r="AW66" i="1" l="1"/>
  <c r="AW77" i="1" s="1"/>
  <c r="AW78" i="1" s="1"/>
  <c r="CV65" i="1"/>
  <c r="CV72" i="1" s="1"/>
  <c r="CV73" i="1" s="1"/>
  <c r="CX60" i="1"/>
  <c r="CW61" i="1"/>
  <c r="CW62" i="1" s="1"/>
  <c r="CW66" i="1" s="1"/>
  <c r="CW77" i="1" s="1"/>
  <c r="CW78" i="1" s="1"/>
  <c r="CT72" i="1"/>
  <c r="CT73" i="1" s="1"/>
  <c r="CT67" i="1"/>
  <c r="CT68" i="1" s="1"/>
  <c r="DA36" i="1"/>
  <c r="DB43" i="1"/>
  <c r="DB55" i="1" s="1"/>
  <c r="DB71" i="1"/>
  <c r="CY49" i="1"/>
  <c r="CY50" i="1" s="1"/>
  <c r="CY57" i="1" s="1"/>
  <c r="BA36" i="1"/>
  <c r="AY49" i="1"/>
  <c r="AY50" i="1" s="1"/>
  <c r="DD53" i="1"/>
  <c r="DD41" i="1"/>
  <c r="DC42" i="1"/>
  <c r="DC54" i="1"/>
  <c r="AW67" i="1"/>
  <c r="AW68" i="1" s="1"/>
  <c r="AZ42" i="1"/>
  <c r="AZ45" i="1" s="1"/>
  <c r="AX59" i="1"/>
  <c r="AX60" i="1"/>
  <c r="AX58" i="1"/>
  <c r="AY53" i="1" s="1"/>
  <c r="CX59" i="1"/>
  <c r="DB44" i="1"/>
  <c r="CZ38" i="1"/>
  <c r="CZ45" i="1" s="1"/>
  <c r="CX58" i="1"/>
  <c r="BA37" i="1"/>
  <c r="DA37" i="1"/>
  <c r="DC34" i="1"/>
  <c r="DC76" i="1" s="1"/>
  <c r="DC30" i="1"/>
  <c r="DC29" i="1"/>
  <c r="DC31" i="1" s="1"/>
  <c r="DB32" i="1"/>
  <c r="DB35" i="1"/>
  <c r="BB29" i="1"/>
  <c r="BB31" i="1" s="1"/>
  <c r="DE12" i="1"/>
  <c r="DD27" i="1"/>
  <c r="DD40" i="1" s="1"/>
  <c r="DD52" i="1" s="1"/>
  <c r="DD64" i="1" s="1"/>
  <c r="DD70" i="1" s="1"/>
  <c r="DD75" i="1" s="1"/>
  <c r="DD25" i="1"/>
  <c r="DD28" i="1"/>
  <c r="DB33" i="1"/>
  <c r="DC23" i="1"/>
  <c r="DC22" i="1"/>
  <c r="DE11" i="1"/>
  <c r="DD24" i="1"/>
  <c r="DD21" i="1"/>
  <c r="DD13" i="1"/>
  <c r="DD14" i="1"/>
  <c r="DD15" i="1"/>
  <c r="CW65" i="1" l="1"/>
  <c r="CW72" i="1" s="1"/>
  <c r="CW73" i="1" s="1"/>
  <c r="CV67" i="1"/>
  <c r="CV68" i="1" s="1"/>
  <c r="CY59" i="1"/>
  <c r="DC43" i="1"/>
  <c r="DC55" i="1" s="1"/>
  <c r="DC71" i="1"/>
  <c r="DB36" i="1"/>
  <c r="AX61" i="1"/>
  <c r="AX62" i="1" s="1"/>
  <c r="AX66" i="1" s="1"/>
  <c r="AX77" i="1" s="1"/>
  <c r="AX78" i="1" s="1"/>
  <c r="CX61" i="1"/>
  <c r="CX62" i="1" s="1"/>
  <c r="DE53" i="1"/>
  <c r="DE41" i="1"/>
  <c r="DD42" i="1"/>
  <c r="DD54" i="1"/>
  <c r="DC44" i="1"/>
  <c r="CZ47" i="1"/>
  <c r="CZ48" i="1"/>
  <c r="CZ56" i="1"/>
  <c r="CZ46" i="1"/>
  <c r="BB44" i="1"/>
  <c r="BA38" i="1"/>
  <c r="CY58" i="1"/>
  <c r="CY60" i="1"/>
  <c r="AZ46" i="1"/>
  <c r="BA41" i="1" s="1"/>
  <c r="AZ47" i="1"/>
  <c r="AZ48" i="1"/>
  <c r="AZ56" i="1"/>
  <c r="DA38" i="1"/>
  <c r="DA45" i="1" s="1"/>
  <c r="AY54" i="1"/>
  <c r="AY57" i="1" s="1"/>
  <c r="DC35" i="1"/>
  <c r="DB37" i="1"/>
  <c r="DD29" i="1"/>
  <c r="DD31" i="1" s="1"/>
  <c r="DD34" i="1"/>
  <c r="DD76" i="1" s="1"/>
  <c r="DD30" i="1"/>
  <c r="DD71" i="1" s="1"/>
  <c r="DF12" i="1"/>
  <c r="DE27" i="1"/>
  <c r="DE40" i="1" s="1"/>
  <c r="DE52" i="1" s="1"/>
  <c r="DE64" i="1" s="1"/>
  <c r="DE70" i="1" s="1"/>
  <c r="DE75" i="1" s="1"/>
  <c r="DC33" i="1"/>
  <c r="BB33" i="1"/>
  <c r="BB35" i="1"/>
  <c r="DC32" i="1"/>
  <c r="DE28" i="1"/>
  <c r="DE25" i="1"/>
  <c r="BB32" i="1"/>
  <c r="BC28" i="1" s="1"/>
  <c r="DD22" i="1"/>
  <c r="DD23" i="1"/>
  <c r="DF11" i="1"/>
  <c r="DE24" i="1"/>
  <c r="DE14" i="1"/>
  <c r="DE15" i="1"/>
  <c r="DE21" i="1"/>
  <c r="DE13" i="1"/>
  <c r="CW67" i="1" l="1"/>
  <c r="CW68" i="1" s="1"/>
  <c r="AX65" i="1"/>
  <c r="AX72" i="1" s="1"/>
  <c r="AX73" i="1" s="1"/>
  <c r="CX65" i="1"/>
  <c r="CX66" i="1"/>
  <c r="CX77" i="1" s="1"/>
  <c r="CX78" i="1" s="1"/>
  <c r="CY61" i="1"/>
  <c r="CY62" i="1" s="1"/>
  <c r="CY65" i="1" s="1"/>
  <c r="CY72" i="1" s="1"/>
  <c r="CY73" i="1" s="1"/>
  <c r="AZ49" i="1"/>
  <c r="AZ50" i="1" s="1"/>
  <c r="BB36" i="1"/>
  <c r="DC36" i="1"/>
  <c r="CZ49" i="1"/>
  <c r="CZ50" i="1" s="1"/>
  <c r="CZ57" i="1" s="1"/>
  <c r="DE42" i="1"/>
  <c r="DF41" i="1"/>
  <c r="DF53" i="1"/>
  <c r="DE54" i="1"/>
  <c r="DD33" i="1"/>
  <c r="DD43" i="1"/>
  <c r="DD44" i="1"/>
  <c r="AY60" i="1"/>
  <c r="AY59" i="1"/>
  <c r="BA42" i="1"/>
  <c r="AY58" i="1"/>
  <c r="AZ53" i="1" s="1"/>
  <c r="DA47" i="1"/>
  <c r="DA48" i="1"/>
  <c r="DA46" i="1"/>
  <c r="DA56" i="1"/>
  <c r="DB38" i="1"/>
  <c r="DB45" i="1" s="1"/>
  <c r="DC37" i="1"/>
  <c r="DD35" i="1"/>
  <c r="BB37" i="1"/>
  <c r="BC29" i="1"/>
  <c r="BC31" i="1" s="1"/>
  <c r="DF28" i="1"/>
  <c r="DF25" i="1"/>
  <c r="DG12" i="1"/>
  <c r="DF27" i="1"/>
  <c r="DF40" i="1" s="1"/>
  <c r="DF52" i="1" s="1"/>
  <c r="DF64" i="1" s="1"/>
  <c r="DF70" i="1" s="1"/>
  <c r="DF75" i="1" s="1"/>
  <c r="DE34" i="1"/>
  <c r="DE76" i="1" s="1"/>
  <c r="DE30" i="1"/>
  <c r="DE29" i="1"/>
  <c r="DE31" i="1" s="1"/>
  <c r="DD32" i="1"/>
  <c r="DE23" i="1"/>
  <c r="DE22" i="1"/>
  <c r="DG11" i="1"/>
  <c r="DF24" i="1"/>
  <c r="DF21" i="1"/>
  <c r="DF14" i="1"/>
  <c r="DF13" i="1"/>
  <c r="DF15" i="1"/>
  <c r="AX67" i="1" l="1"/>
  <c r="AX68" i="1" s="1"/>
  <c r="DF42" i="1"/>
  <c r="CY66" i="1"/>
  <c r="CY77" i="1" s="1"/>
  <c r="CY78" i="1" s="1"/>
  <c r="DA49" i="1"/>
  <c r="DA50" i="1" s="1"/>
  <c r="DA57" i="1" s="1"/>
  <c r="AY61" i="1"/>
  <c r="AY62" i="1" s="1"/>
  <c r="AY66" i="1" s="1"/>
  <c r="AY77" i="1" s="1"/>
  <c r="AY78" i="1" s="1"/>
  <c r="CX72" i="1"/>
  <c r="CX73" i="1" s="1"/>
  <c r="CX67" i="1"/>
  <c r="CX68" i="1" s="1"/>
  <c r="DE43" i="1"/>
  <c r="DE55" i="1" s="1"/>
  <c r="DE71" i="1"/>
  <c r="DD36" i="1"/>
  <c r="DG53" i="1"/>
  <c r="DG41" i="1"/>
  <c r="DF54" i="1"/>
  <c r="CZ59" i="1"/>
  <c r="CZ60" i="1"/>
  <c r="CZ58" i="1"/>
  <c r="BA45" i="1"/>
  <c r="BC44" i="1"/>
  <c r="DE44" i="1"/>
  <c r="AZ54" i="1"/>
  <c r="DD55" i="1"/>
  <c r="BB38" i="1"/>
  <c r="DC38" i="1"/>
  <c r="DC45" i="1" s="1"/>
  <c r="DB48" i="1"/>
  <c r="DB56" i="1"/>
  <c r="DB46" i="1"/>
  <c r="DB47" i="1"/>
  <c r="DD37" i="1"/>
  <c r="DE32" i="1"/>
  <c r="DE35" i="1"/>
  <c r="BC33" i="1"/>
  <c r="BC35" i="1"/>
  <c r="DG25" i="1"/>
  <c r="DG28" i="1"/>
  <c r="BC32" i="1"/>
  <c r="BD28" i="1" s="1"/>
  <c r="DH12" i="1"/>
  <c r="DG27" i="1"/>
  <c r="DG40" i="1" s="1"/>
  <c r="DG52" i="1" s="1"/>
  <c r="DG64" i="1" s="1"/>
  <c r="DG70" i="1" s="1"/>
  <c r="DG75" i="1" s="1"/>
  <c r="DF34" i="1"/>
  <c r="DF76" i="1" s="1"/>
  <c r="DF30" i="1"/>
  <c r="DE33" i="1"/>
  <c r="DF29" i="1"/>
  <c r="DF22" i="1"/>
  <c r="DF23" i="1"/>
  <c r="DH11" i="1"/>
  <c r="DG14" i="1"/>
  <c r="DG24" i="1"/>
  <c r="DG21" i="1"/>
  <c r="DG15" i="1"/>
  <c r="DG13" i="1"/>
  <c r="CY67" i="1" l="1"/>
  <c r="CY68" i="1" s="1"/>
  <c r="AY65" i="1"/>
  <c r="AY67" i="1" s="1"/>
  <c r="AY68" i="1" s="1"/>
  <c r="AY72" i="1"/>
  <c r="AY73" i="1" s="1"/>
  <c r="CZ61" i="1"/>
  <c r="CZ62" i="1" s="1"/>
  <c r="CZ66" i="1" s="1"/>
  <c r="CZ77" i="1" s="1"/>
  <c r="CZ78" i="1" s="1"/>
  <c r="BC36" i="1"/>
  <c r="DB49" i="1"/>
  <c r="DB50" i="1" s="1"/>
  <c r="DB57" i="1" s="1"/>
  <c r="DE36" i="1"/>
  <c r="DF43" i="1"/>
  <c r="DF55" i="1" s="1"/>
  <c r="DF71" i="1"/>
  <c r="DG42" i="1"/>
  <c r="DH53" i="1"/>
  <c r="DH41" i="1"/>
  <c r="DG54" i="1"/>
  <c r="DA58" i="1"/>
  <c r="DA60" i="1"/>
  <c r="BA47" i="1"/>
  <c r="BA48" i="1"/>
  <c r="BA56" i="1"/>
  <c r="DA59" i="1"/>
  <c r="BA46" i="1"/>
  <c r="BB41" i="1" s="1"/>
  <c r="DD38" i="1"/>
  <c r="DD45" i="1" s="1"/>
  <c r="CZ65" i="1"/>
  <c r="CZ72" i="1" s="1"/>
  <c r="CZ73" i="1" s="1"/>
  <c r="DC47" i="1"/>
  <c r="DC48" i="1"/>
  <c r="DC56" i="1"/>
  <c r="DC46" i="1"/>
  <c r="AZ57" i="1"/>
  <c r="BC37" i="1"/>
  <c r="DF31" i="1"/>
  <c r="DE37" i="1"/>
  <c r="BD29" i="1"/>
  <c r="DH28" i="1"/>
  <c r="DH25" i="1"/>
  <c r="DG29" i="1"/>
  <c r="DG31" i="1" s="1"/>
  <c r="DI12" i="1"/>
  <c r="DH27" i="1"/>
  <c r="DH40" i="1" s="1"/>
  <c r="DH52" i="1" s="1"/>
  <c r="DH64" i="1" s="1"/>
  <c r="DH70" i="1" s="1"/>
  <c r="DH75" i="1" s="1"/>
  <c r="DG34" i="1"/>
  <c r="DG76" i="1" s="1"/>
  <c r="DG30" i="1"/>
  <c r="DG22" i="1"/>
  <c r="DG23" i="1"/>
  <c r="DI11" i="1"/>
  <c r="DH21" i="1"/>
  <c r="DH24" i="1"/>
  <c r="DH13" i="1"/>
  <c r="DH14" i="1"/>
  <c r="DH15" i="1"/>
  <c r="DB58" i="1" l="1"/>
  <c r="BA49" i="1"/>
  <c r="BA50" i="1" s="1"/>
  <c r="DC49" i="1"/>
  <c r="DC50" i="1" s="1"/>
  <c r="DG43" i="1"/>
  <c r="DG55" i="1" s="1"/>
  <c r="DG71" i="1"/>
  <c r="DA61" i="1"/>
  <c r="DA62" i="1" s="1"/>
  <c r="DA66" i="1" s="1"/>
  <c r="DA77" i="1" s="1"/>
  <c r="DA78" i="1" s="1"/>
  <c r="DI41" i="1"/>
  <c r="DI53" i="1"/>
  <c r="DH42" i="1"/>
  <c r="DH54" i="1"/>
  <c r="DB59" i="1"/>
  <c r="DB60" i="1"/>
  <c r="CZ67" i="1"/>
  <c r="CZ68" i="1" s="1"/>
  <c r="AZ59" i="1"/>
  <c r="AZ60" i="1"/>
  <c r="AZ58" i="1"/>
  <c r="BA53" i="1" s="1"/>
  <c r="DG44" i="1"/>
  <c r="DE38" i="1"/>
  <c r="DE45" i="1" s="1"/>
  <c r="DC57" i="1"/>
  <c r="DF44" i="1"/>
  <c r="DD47" i="1"/>
  <c r="DD48" i="1"/>
  <c r="DD56" i="1"/>
  <c r="DD46" i="1"/>
  <c r="BC38" i="1"/>
  <c r="BB42" i="1"/>
  <c r="BB45" i="1" s="1"/>
  <c r="DG35" i="1"/>
  <c r="DG32" i="1"/>
  <c r="DF35" i="1"/>
  <c r="DF33" i="1"/>
  <c r="DF32" i="1"/>
  <c r="DJ12" i="1"/>
  <c r="DI27" i="1"/>
  <c r="DI40" i="1" s="1"/>
  <c r="DI52" i="1" s="1"/>
  <c r="DI64" i="1" s="1"/>
  <c r="DI70" i="1" s="1"/>
  <c r="DI75" i="1" s="1"/>
  <c r="DI28" i="1"/>
  <c r="DI25" i="1"/>
  <c r="DG33" i="1"/>
  <c r="BD31" i="1"/>
  <c r="DH34" i="1"/>
  <c r="DH76" i="1" s="1"/>
  <c r="DH30" i="1"/>
  <c r="DH29" i="1"/>
  <c r="DH31" i="1" s="1"/>
  <c r="DH23" i="1"/>
  <c r="DH22" i="1"/>
  <c r="DJ11" i="1"/>
  <c r="DI14" i="1"/>
  <c r="DI24" i="1"/>
  <c r="DI15" i="1"/>
  <c r="DI13" i="1"/>
  <c r="DI21" i="1"/>
  <c r="DA65" i="1" l="1"/>
  <c r="DA72" i="1" s="1"/>
  <c r="DA73" i="1" s="1"/>
  <c r="DC60" i="1"/>
  <c r="DB61" i="1"/>
  <c r="DB62" i="1" s="1"/>
  <c r="DB66" i="1" s="1"/>
  <c r="DB77" i="1" s="1"/>
  <c r="DB78" i="1" s="1"/>
  <c r="DG36" i="1"/>
  <c r="DH43" i="1"/>
  <c r="DH55" i="1" s="1"/>
  <c r="DH71" i="1"/>
  <c r="AZ61" i="1"/>
  <c r="AZ62" i="1" s="1"/>
  <c r="AZ66" i="1" s="1"/>
  <c r="DF36" i="1"/>
  <c r="DD49" i="1"/>
  <c r="DD50" i="1" s="1"/>
  <c r="DD57" i="1" s="1"/>
  <c r="DJ53" i="1"/>
  <c r="DJ41" i="1"/>
  <c r="BB46" i="1"/>
  <c r="BC41" i="1" s="1"/>
  <c r="BC42" i="1" s="1"/>
  <c r="BC45" i="1" s="1"/>
  <c r="DI54" i="1"/>
  <c r="DI42" i="1"/>
  <c r="DC59" i="1"/>
  <c r="DC58" i="1"/>
  <c r="BA54" i="1"/>
  <c r="BA57" i="1" s="1"/>
  <c r="DH44" i="1"/>
  <c r="BB47" i="1"/>
  <c r="BB48" i="1"/>
  <c r="BB56" i="1"/>
  <c r="BD44" i="1"/>
  <c r="DE47" i="1"/>
  <c r="DE48" i="1"/>
  <c r="DE56" i="1"/>
  <c r="DE46" i="1"/>
  <c r="DG37" i="1"/>
  <c r="DF37" i="1"/>
  <c r="DH32" i="1"/>
  <c r="DH35" i="1"/>
  <c r="DI34" i="1"/>
  <c r="DI76" i="1" s="1"/>
  <c r="DI30" i="1"/>
  <c r="DI29" i="1"/>
  <c r="DI31" i="1" s="1"/>
  <c r="DJ28" i="1"/>
  <c r="DJ25" i="1"/>
  <c r="DK12" i="1"/>
  <c r="DJ27" i="1"/>
  <c r="DJ40" i="1" s="1"/>
  <c r="DJ52" i="1" s="1"/>
  <c r="DJ64" i="1" s="1"/>
  <c r="DJ70" i="1" s="1"/>
  <c r="DJ75" i="1" s="1"/>
  <c r="BD33" i="1"/>
  <c r="BD35" i="1"/>
  <c r="DH33" i="1"/>
  <c r="BD32" i="1"/>
  <c r="BE28" i="1" s="1"/>
  <c r="DI23" i="1"/>
  <c r="DI22" i="1"/>
  <c r="DK11" i="1"/>
  <c r="DJ21" i="1"/>
  <c r="DJ24" i="1"/>
  <c r="DJ15" i="1"/>
  <c r="DJ13" i="1"/>
  <c r="DJ14" i="1"/>
  <c r="DB65" i="1" l="1"/>
  <c r="DA67" i="1"/>
  <c r="DA68" i="1" s="1"/>
  <c r="AZ65" i="1"/>
  <c r="AZ72" i="1" s="1"/>
  <c r="AZ73" i="1" s="1"/>
  <c r="AZ77" i="1"/>
  <c r="AZ78" i="1" s="1"/>
  <c r="BB49" i="1"/>
  <c r="BB50" i="1" s="1"/>
  <c r="DE49" i="1"/>
  <c r="DI43" i="1"/>
  <c r="DI55" i="1" s="1"/>
  <c r="DI71" i="1"/>
  <c r="DB67" i="1"/>
  <c r="DB68" i="1" s="1"/>
  <c r="DB72" i="1"/>
  <c r="DB73" i="1" s="1"/>
  <c r="BD36" i="1"/>
  <c r="DC61" i="1"/>
  <c r="DC62" i="1" s="1"/>
  <c r="DH37" i="1"/>
  <c r="DH38" i="1" s="1"/>
  <c r="DH45" i="1" s="1"/>
  <c r="DK53" i="1"/>
  <c r="DK41" i="1"/>
  <c r="DJ42" i="1"/>
  <c r="DH36" i="1"/>
  <c r="BA58" i="1"/>
  <c r="BB53" i="1" s="1"/>
  <c r="BB54" i="1" s="1"/>
  <c r="DJ54" i="1"/>
  <c r="DD59" i="1"/>
  <c r="DD60" i="1"/>
  <c r="DD58" i="1"/>
  <c r="BC47" i="1"/>
  <c r="BC48" i="1"/>
  <c r="BC56" i="1"/>
  <c r="DG38" i="1"/>
  <c r="DG45" i="1" s="1"/>
  <c r="BA60" i="1"/>
  <c r="BA59" i="1"/>
  <c r="DI44" i="1"/>
  <c r="DE50" i="1"/>
  <c r="DE57" i="1" s="1"/>
  <c r="BC46" i="1"/>
  <c r="BD41" i="1" s="1"/>
  <c r="DF38" i="1"/>
  <c r="DF45" i="1" s="1"/>
  <c r="BD37" i="1"/>
  <c r="DJ29" i="1"/>
  <c r="BE29" i="1"/>
  <c r="BE31" i="1" s="1"/>
  <c r="DI32" i="1"/>
  <c r="DI33" i="1"/>
  <c r="DI35" i="1"/>
  <c r="DK28" i="1"/>
  <c r="DK25" i="1"/>
  <c r="DL12" i="1"/>
  <c r="DK27" i="1"/>
  <c r="DK40" i="1" s="1"/>
  <c r="DK52" i="1" s="1"/>
  <c r="DK64" i="1" s="1"/>
  <c r="DK70" i="1" s="1"/>
  <c r="DK75" i="1" s="1"/>
  <c r="DJ30" i="1"/>
  <c r="DJ34" i="1"/>
  <c r="DJ76" i="1" s="1"/>
  <c r="DJ23" i="1"/>
  <c r="DJ22" i="1"/>
  <c r="DL11" i="1"/>
  <c r="DK21" i="1"/>
  <c r="DK14" i="1"/>
  <c r="DK24" i="1"/>
  <c r="DK13" i="1"/>
  <c r="DK15" i="1"/>
  <c r="AZ67" i="1" l="1"/>
  <c r="AZ68" i="1" s="1"/>
  <c r="BA61" i="1"/>
  <c r="BA62" i="1" s="1"/>
  <c r="BA65" i="1" s="1"/>
  <c r="BB57" i="1"/>
  <c r="BB60" i="1" s="1"/>
  <c r="DD61" i="1"/>
  <c r="DD62" i="1" s="1"/>
  <c r="DD65" i="1" s="1"/>
  <c r="DD72" i="1" s="1"/>
  <c r="DD73" i="1" s="1"/>
  <c r="DC65" i="1"/>
  <c r="DC66" i="1"/>
  <c r="DC77" i="1" s="1"/>
  <c r="DC78" i="1" s="1"/>
  <c r="DJ43" i="1"/>
  <c r="DJ55" i="1" s="1"/>
  <c r="DJ71" i="1"/>
  <c r="DI37" i="1"/>
  <c r="DI38" i="1" s="1"/>
  <c r="DI45" i="1" s="1"/>
  <c r="BC49" i="1"/>
  <c r="BC50" i="1" s="1"/>
  <c r="DL53" i="1"/>
  <c r="DL41" i="1"/>
  <c r="DK42" i="1"/>
  <c r="DK54" i="1"/>
  <c r="DH47" i="1"/>
  <c r="DH48" i="1"/>
  <c r="DH56" i="1"/>
  <c r="DH46" i="1"/>
  <c r="DE58" i="1"/>
  <c r="DE60" i="1"/>
  <c r="DE59" i="1"/>
  <c r="BD42" i="1"/>
  <c r="DG48" i="1"/>
  <c r="DG56" i="1"/>
  <c r="DG46" i="1"/>
  <c r="DG47" i="1"/>
  <c r="DF47" i="1"/>
  <c r="DF48" i="1"/>
  <c r="DF56" i="1"/>
  <c r="DF46" i="1"/>
  <c r="BE44" i="1"/>
  <c r="BA66" i="1"/>
  <c r="BA77" i="1" s="1"/>
  <c r="BA78" i="1" s="1"/>
  <c r="BD38" i="1"/>
  <c r="DI36" i="1"/>
  <c r="BE32" i="1"/>
  <c r="BF28" i="1" s="1"/>
  <c r="BF29" i="1" s="1"/>
  <c r="BE33" i="1"/>
  <c r="BE35" i="1"/>
  <c r="DK29" i="1"/>
  <c r="DJ31" i="1"/>
  <c r="DK30" i="1"/>
  <c r="DK34" i="1"/>
  <c r="DK76" i="1" s="1"/>
  <c r="DM12" i="1"/>
  <c r="DL27" i="1"/>
  <c r="DL40" i="1" s="1"/>
  <c r="DL52" i="1" s="1"/>
  <c r="DL64" i="1" s="1"/>
  <c r="DL70" i="1" s="1"/>
  <c r="DL75" i="1" s="1"/>
  <c r="DL28" i="1"/>
  <c r="DL25" i="1"/>
  <c r="DK23" i="1"/>
  <c r="DK22" i="1"/>
  <c r="DM11" i="1"/>
  <c r="DL24" i="1"/>
  <c r="DL21" i="1"/>
  <c r="DL13" i="1"/>
  <c r="DL15" i="1"/>
  <c r="DL14" i="1"/>
  <c r="DD66" i="1" l="1"/>
  <c r="DD77" i="1" s="1"/>
  <c r="DD78" i="1" s="1"/>
  <c r="BB61" i="1"/>
  <c r="BB62" i="1" s="1"/>
  <c r="BB65" i="1" s="1"/>
  <c r="BB72" i="1" s="1"/>
  <c r="BB73" i="1" s="1"/>
  <c r="BA67" i="1"/>
  <c r="BA68" i="1" s="1"/>
  <c r="BA72" i="1"/>
  <c r="BA73" i="1" s="1"/>
  <c r="DC67" i="1"/>
  <c r="DC68" i="1" s="1"/>
  <c r="DC72" i="1"/>
  <c r="DC73" i="1" s="1"/>
  <c r="BB59" i="1"/>
  <c r="BB58" i="1"/>
  <c r="BC53" i="1" s="1"/>
  <c r="BC54" i="1" s="1"/>
  <c r="BC57" i="1" s="1"/>
  <c r="DK43" i="1"/>
  <c r="DK55" i="1" s="1"/>
  <c r="DK71" i="1"/>
  <c r="DH49" i="1"/>
  <c r="DH50" i="1" s="1"/>
  <c r="DH57" i="1" s="1"/>
  <c r="BE36" i="1"/>
  <c r="DF49" i="1"/>
  <c r="DF50" i="1" s="1"/>
  <c r="DF57" i="1" s="1"/>
  <c r="DE61" i="1"/>
  <c r="DE62" i="1" s="1"/>
  <c r="DE65" i="1" s="1"/>
  <c r="DE72" i="1" s="1"/>
  <c r="DE73" i="1" s="1"/>
  <c r="DG49" i="1"/>
  <c r="DG50" i="1" s="1"/>
  <c r="DG57" i="1" s="1"/>
  <c r="DM53" i="1"/>
  <c r="DM41" i="1"/>
  <c r="BD45" i="1"/>
  <c r="DL42" i="1"/>
  <c r="DL54" i="1"/>
  <c r="BD47" i="1"/>
  <c r="DI47" i="1"/>
  <c r="DI48" i="1"/>
  <c r="DI46" i="1"/>
  <c r="DI56" i="1"/>
  <c r="DJ44" i="1"/>
  <c r="BF31" i="1"/>
  <c r="BE37" i="1"/>
  <c r="DJ35" i="1"/>
  <c r="DL29" i="1"/>
  <c r="DL31" i="1" s="1"/>
  <c r="DK31" i="1"/>
  <c r="DL34" i="1"/>
  <c r="DL76" i="1" s="1"/>
  <c r="DL30" i="1"/>
  <c r="DN12" i="1"/>
  <c r="DM27" i="1"/>
  <c r="DM40" i="1" s="1"/>
  <c r="DM52" i="1" s="1"/>
  <c r="DM64" i="1" s="1"/>
  <c r="DM70" i="1" s="1"/>
  <c r="DM75" i="1" s="1"/>
  <c r="DJ33" i="1"/>
  <c r="DM28" i="1"/>
  <c r="DM25" i="1"/>
  <c r="DJ32" i="1"/>
  <c r="DL22" i="1"/>
  <c r="DL23" i="1"/>
  <c r="DN11" i="1"/>
  <c r="DM24" i="1"/>
  <c r="DM14" i="1"/>
  <c r="DM15" i="1"/>
  <c r="DM21" i="1"/>
  <c r="DM13" i="1"/>
  <c r="BB66" i="1" l="1"/>
  <c r="BB77" i="1" s="1"/>
  <c r="BB78" i="1" s="1"/>
  <c r="DD67" i="1"/>
  <c r="DD68" i="1" s="1"/>
  <c r="DG60" i="1"/>
  <c r="DF58" i="1"/>
  <c r="DL43" i="1"/>
  <c r="DL71" i="1"/>
  <c r="DI49" i="1"/>
  <c r="DI50" i="1" s="1"/>
  <c r="DI57" i="1" s="1"/>
  <c r="BD56" i="1"/>
  <c r="DE66" i="1"/>
  <c r="DE77" i="1" s="1"/>
  <c r="DE78" i="1" s="1"/>
  <c r="DJ36" i="1"/>
  <c r="BD48" i="1"/>
  <c r="DN53" i="1"/>
  <c r="DN41" i="1"/>
  <c r="BD46" i="1"/>
  <c r="BE41" i="1" s="1"/>
  <c r="BE42" i="1" s="1"/>
  <c r="DM42" i="1"/>
  <c r="DM54" i="1"/>
  <c r="DG59" i="1"/>
  <c r="DH59" i="1"/>
  <c r="DH60" i="1"/>
  <c r="DH58" i="1"/>
  <c r="DK44" i="1"/>
  <c r="DG58" i="1"/>
  <c r="BE38" i="1"/>
  <c r="BC60" i="1"/>
  <c r="BC59" i="1"/>
  <c r="DL44" i="1"/>
  <c r="BC58" i="1"/>
  <c r="BD53" i="1" s="1"/>
  <c r="BF32" i="1"/>
  <c r="BG28" i="1" s="1"/>
  <c r="BG29" i="1" s="1"/>
  <c r="BF44" i="1"/>
  <c r="DL55" i="1"/>
  <c r="DF59" i="1"/>
  <c r="DF60" i="1"/>
  <c r="BF35" i="1"/>
  <c r="BF33" i="1"/>
  <c r="DK35" i="1"/>
  <c r="DL35" i="1"/>
  <c r="DJ37" i="1"/>
  <c r="DK33" i="1"/>
  <c r="DL33" i="1"/>
  <c r="DO12" i="1"/>
  <c r="DN27" i="1"/>
  <c r="DN40" i="1" s="1"/>
  <c r="DN52" i="1" s="1"/>
  <c r="DN64" i="1" s="1"/>
  <c r="DN70" i="1" s="1"/>
  <c r="DN75" i="1" s="1"/>
  <c r="DN28" i="1"/>
  <c r="DN25" i="1"/>
  <c r="DM29" i="1"/>
  <c r="DM31" i="1" s="1"/>
  <c r="DL32" i="1"/>
  <c r="DM34" i="1"/>
  <c r="DM76" i="1" s="1"/>
  <c r="DM30" i="1"/>
  <c r="DK32" i="1"/>
  <c r="DM23" i="1"/>
  <c r="DM22" i="1"/>
  <c r="DO11" i="1"/>
  <c r="DN24" i="1"/>
  <c r="DN21" i="1"/>
  <c r="DN14" i="1"/>
  <c r="DN15" i="1"/>
  <c r="DN13" i="1"/>
  <c r="BB67" i="1" l="1"/>
  <c r="BB68" i="1" s="1"/>
  <c r="DE67" i="1"/>
  <c r="DE68" i="1" s="1"/>
  <c r="DM43" i="1"/>
  <c r="DM71" i="1"/>
  <c r="DF61" i="1"/>
  <c r="DF62" i="1" s="1"/>
  <c r="DF65" i="1" s="1"/>
  <c r="DF72" i="1" s="1"/>
  <c r="DF73" i="1" s="1"/>
  <c r="DL36" i="1"/>
  <c r="BC61" i="1"/>
  <c r="BC62" i="1" s="1"/>
  <c r="BC65" i="1" s="1"/>
  <c r="BC72" i="1" s="1"/>
  <c r="BC73" i="1" s="1"/>
  <c r="DH61" i="1"/>
  <c r="DH62" i="1" s="1"/>
  <c r="DH65" i="1" s="1"/>
  <c r="DH72" i="1" s="1"/>
  <c r="DH73" i="1" s="1"/>
  <c r="BD49" i="1"/>
  <c r="BD50" i="1" s="1"/>
  <c r="BF36" i="1"/>
  <c r="DK36" i="1"/>
  <c r="DG61" i="1"/>
  <c r="DG62" i="1" s="1"/>
  <c r="DO53" i="1"/>
  <c r="DO41" i="1"/>
  <c r="BF37" i="1"/>
  <c r="BF38" i="1" s="1"/>
  <c r="DN42" i="1"/>
  <c r="DN54" i="1"/>
  <c r="DL37" i="1"/>
  <c r="DL38" i="1" s="1"/>
  <c r="DL45" i="1" s="1"/>
  <c r="DI58" i="1"/>
  <c r="DI60" i="1"/>
  <c r="DI59" i="1"/>
  <c r="DM55" i="1"/>
  <c r="BE45" i="1"/>
  <c r="BD54" i="1"/>
  <c r="DM44" i="1"/>
  <c r="DJ38" i="1"/>
  <c r="DJ45" i="1" s="1"/>
  <c r="BG31" i="1"/>
  <c r="DK37" i="1"/>
  <c r="DM32" i="1"/>
  <c r="DN34" i="1"/>
  <c r="DN76" i="1" s="1"/>
  <c r="DN30" i="1"/>
  <c r="DN29" i="1"/>
  <c r="DN31" i="1" s="1"/>
  <c r="DP12" i="1"/>
  <c r="DO27" i="1"/>
  <c r="DO40" i="1" s="1"/>
  <c r="DO52" i="1" s="1"/>
  <c r="DO64" i="1" s="1"/>
  <c r="DO70" i="1" s="1"/>
  <c r="DO75" i="1" s="1"/>
  <c r="DM33" i="1"/>
  <c r="DM35" i="1"/>
  <c r="DM36" i="1" s="1"/>
  <c r="DO28" i="1"/>
  <c r="DO25" i="1"/>
  <c r="DN22" i="1"/>
  <c r="DN23" i="1"/>
  <c r="DP11" i="1"/>
  <c r="DO14" i="1"/>
  <c r="DO24" i="1"/>
  <c r="DO21" i="1"/>
  <c r="DO15" i="1"/>
  <c r="DO13" i="1"/>
  <c r="DF66" i="1" l="1"/>
  <c r="DF77" i="1" s="1"/>
  <c r="DF78" i="1" s="1"/>
  <c r="DH66" i="1"/>
  <c r="DH77" i="1" s="1"/>
  <c r="DH78" i="1" s="1"/>
  <c r="BC66" i="1"/>
  <c r="BC67" i="1" s="1"/>
  <c r="BC68" i="1" s="1"/>
  <c r="BD57" i="1"/>
  <c r="BD58" i="1" s="1"/>
  <c r="BE53" i="1" s="1"/>
  <c r="BE54" i="1" s="1"/>
  <c r="DG65" i="1"/>
  <c r="DG72" i="1" s="1"/>
  <c r="DG73" i="1" s="1"/>
  <c r="DG66" i="1"/>
  <c r="DM37" i="1"/>
  <c r="DM38" i="1" s="1"/>
  <c r="DM45" i="1" s="1"/>
  <c r="DI61" i="1"/>
  <c r="DI62" i="1" s="1"/>
  <c r="DI65" i="1" s="1"/>
  <c r="DI72" i="1" s="1"/>
  <c r="DI73" i="1" s="1"/>
  <c r="BE46" i="1"/>
  <c r="BF41" i="1" s="1"/>
  <c r="BF42" i="1" s="1"/>
  <c r="BF45" i="1" s="1"/>
  <c r="DN43" i="1"/>
  <c r="DN55" i="1" s="1"/>
  <c r="DN71" i="1"/>
  <c r="DP53" i="1"/>
  <c r="DP41" i="1"/>
  <c r="DO42" i="1"/>
  <c r="DO54" i="1"/>
  <c r="DL47" i="1"/>
  <c r="DL48" i="1"/>
  <c r="DL46" i="1"/>
  <c r="DL56" i="1"/>
  <c r="BD60" i="1"/>
  <c r="DK38" i="1"/>
  <c r="DK45" i="1" s="1"/>
  <c r="DN44" i="1"/>
  <c r="DJ48" i="1"/>
  <c r="DJ56" i="1"/>
  <c r="DJ46" i="1"/>
  <c r="DJ47" i="1"/>
  <c r="BG33" i="1"/>
  <c r="BG44" i="1"/>
  <c r="BE47" i="1"/>
  <c r="BE48" i="1"/>
  <c r="BE56" i="1"/>
  <c r="BG35" i="1"/>
  <c r="BG32" i="1"/>
  <c r="BH28" i="1" s="1"/>
  <c r="DN33" i="1"/>
  <c r="DN35" i="1"/>
  <c r="DN32" i="1"/>
  <c r="DQ12" i="1"/>
  <c r="DP27" i="1"/>
  <c r="DP40" i="1" s="1"/>
  <c r="DP52" i="1" s="1"/>
  <c r="DP64" i="1" s="1"/>
  <c r="DP70" i="1" s="1"/>
  <c r="DP75" i="1" s="1"/>
  <c r="DP28" i="1"/>
  <c r="DP25" i="1"/>
  <c r="DO34" i="1"/>
  <c r="DO76" i="1" s="1"/>
  <c r="DO30" i="1"/>
  <c r="DO29" i="1"/>
  <c r="DO31" i="1" s="1"/>
  <c r="DO22" i="1"/>
  <c r="DO23" i="1"/>
  <c r="DQ11" i="1"/>
  <c r="DP21" i="1"/>
  <c r="DP24" i="1"/>
  <c r="DP13" i="1"/>
  <c r="DP14" i="1"/>
  <c r="DP15" i="1"/>
  <c r="DF67" i="1" l="1"/>
  <c r="DF68" i="1" s="1"/>
  <c r="BD59" i="1"/>
  <c r="DH67" i="1"/>
  <c r="DH68" i="1" s="1"/>
  <c r="BC77" i="1"/>
  <c r="BC78" i="1" s="1"/>
  <c r="BF46" i="1"/>
  <c r="BG41" i="1" s="1"/>
  <c r="BG42" i="1" s="1"/>
  <c r="BD61" i="1"/>
  <c r="BD62" i="1" s="1"/>
  <c r="BD65" i="1" s="1"/>
  <c r="BD72" i="1" s="1"/>
  <c r="BD73" i="1" s="1"/>
  <c r="BE49" i="1"/>
  <c r="BE50" i="1" s="1"/>
  <c r="BE57" i="1" s="1"/>
  <c r="DJ49" i="1"/>
  <c r="DJ50" i="1" s="1"/>
  <c r="DJ57" i="1" s="1"/>
  <c r="DN37" i="1"/>
  <c r="DN38" i="1" s="1"/>
  <c r="DN45" i="1" s="1"/>
  <c r="DI66" i="1"/>
  <c r="DI77" i="1" s="1"/>
  <c r="DI78" i="1" s="1"/>
  <c r="DL49" i="1"/>
  <c r="DL50" i="1" s="1"/>
  <c r="DL57" i="1" s="1"/>
  <c r="DG67" i="1"/>
  <c r="DG68" i="1" s="1"/>
  <c r="DG77" i="1"/>
  <c r="DG78" i="1" s="1"/>
  <c r="DO43" i="1"/>
  <c r="DO55" i="1" s="1"/>
  <c r="DO71" i="1"/>
  <c r="BG36" i="1"/>
  <c r="DP42" i="1"/>
  <c r="DQ53" i="1"/>
  <c r="DQ41" i="1"/>
  <c r="DP54" i="1"/>
  <c r="DK47" i="1"/>
  <c r="DK48" i="1"/>
  <c r="DK56" i="1"/>
  <c r="DK46" i="1"/>
  <c r="BF47" i="1"/>
  <c r="BF48" i="1"/>
  <c r="BF56" i="1"/>
  <c r="DM47" i="1"/>
  <c r="DM48" i="1"/>
  <c r="DM56" i="1"/>
  <c r="DM46" i="1"/>
  <c r="DO44" i="1"/>
  <c r="BG37" i="1"/>
  <c r="BH29" i="1"/>
  <c r="BH31" i="1" s="1"/>
  <c r="DO35" i="1"/>
  <c r="DO37" i="1" s="1"/>
  <c r="DN36" i="1"/>
  <c r="DP29" i="1"/>
  <c r="DP31" i="1" s="1"/>
  <c r="DO32" i="1"/>
  <c r="DR12" i="1"/>
  <c r="DQ27" i="1"/>
  <c r="DQ40" i="1" s="1"/>
  <c r="DQ52" i="1" s="1"/>
  <c r="DQ64" i="1" s="1"/>
  <c r="DQ70" i="1" s="1"/>
  <c r="DQ75" i="1" s="1"/>
  <c r="DO33" i="1"/>
  <c r="DP34" i="1"/>
  <c r="DP76" i="1" s="1"/>
  <c r="DP30" i="1"/>
  <c r="DQ28" i="1"/>
  <c r="DQ25" i="1"/>
  <c r="DP23" i="1"/>
  <c r="DP22" i="1"/>
  <c r="DR11" i="1"/>
  <c r="DQ14" i="1"/>
  <c r="DQ24" i="1"/>
  <c r="DQ21" i="1"/>
  <c r="DQ15" i="1"/>
  <c r="DQ13" i="1"/>
  <c r="DI67" i="1" l="1"/>
  <c r="DI68" i="1" s="1"/>
  <c r="BD66" i="1"/>
  <c r="BD77" i="1" s="1"/>
  <c r="BD78" i="1" s="1"/>
  <c r="DJ58" i="1"/>
  <c r="BF49" i="1"/>
  <c r="BF50" i="1" s="1"/>
  <c r="DP43" i="1"/>
  <c r="DP55" i="1" s="1"/>
  <c r="DP71" i="1"/>
  <c r="DK49" i="1"/>
  <c r="DK50" i="1" s="1"/>
  <c r="DK57" i="1" s="1"/>
  <c r="DM49" i="1"/>
  <c r="DM50" i="1" s="1"/>
  <c r="DM57" i="1" s="1"/>
  <c r="DO36" i="1"/>
  <c r="DQ42" i="1"/>
  <c r="DQ54" i="1"/>
  <c r="DR53" i="1"/>
  <c r="DR41" i="1"/>
  <c r="BE60" i="1"/>
  <c r="BE58" i="1"/>
  <c r="BF53" i="1" s="1"/>
  <c r="BF54" i="1" s="1"/>
  <c r="BE59" i="1"/>
  <c r="DL60" i="1"/>
  <c r="DL59" i="1"/>
  <c r="DL58" i="1"/>
  <c r="BH44" i="1"/>
  <c r="DO38" i="1"/>
  <c r="DO45" i="1" s="1"/>
  <c r="DN46" i="1"/>
  <c r="DN48" i="1"/>
  <c r="DN47" i="1"/>
  <c r="DN56" i="1"/>
  <c r="DJ59" i="1"/>
  <c r="DJ60" i="1"/>
  <c r="DP44" i="1"/>
  <c r="BG38" i="1"/>
  <c r="BG45" i="1" s="1"/>
  <c r="BD67" i="1"/>
  <c r="BD68" i="1" s="1"/>
  <c r="BH32" i="1"/>
  <c r="BI28" i="1" s="1"/>
  <c r="BH35" i="1"/>
  <c r="BH37" i="1" s="1"/>
  <c r="BH33" i="1"/>
  <c r="DP35" i="1"/>
  <c r="DR28" i="1"/>
  <c r="DR25" i="1"/>
  <c r="DS12" i="1"/>
  <c r="DR27" i="1"/>
  <c r="DR40" i="1" s="1"/>
  <c r="DR52" i="1" s="1"/>
  <c r="DR64" i="1" s="1"/>
  <c r="DR70" i="1" s="1"/>
  <c r="DR75" i="1" s="1"/>
  <c r="DQ34" i="1"/>
  <c r="DQ76" i="1" s="1"/>
  <c r="DQ30" i="1"/>
  <c r="DQ29" i="1"/>
  <c r="DQ31" i="1" s="1"/>
  <c r="DP33" i="1"/>
  <c r="DP32" i="1"/>
  <c r="DQ23" i="1"/>
  <c r="DQ22" i="1"/>
  <c r="DS11" i="1"/>
  <c r="DR21" i="1"/>
  <c r="DR24" i="1"/>
  <c r="DR14" i="1"/>
  <c r="DR15" i="1"/>
  <c r="DR13" i="1"/>
  <c r="DK60" i="1" l="1"/>
  <c r="DK59" i="1"/>
  <c r="DN49" i="1"/>
  <c r="DN50" i="1" s="1"/>
  <c r="DN57" i="1" s="1"/>
  <c r="DP36" i="1"/>
  <c r="DQ43" i="1"/>
  <c r="DQ55" i="1" s="1"/>
  <c r="DQ71" i="1"/>
  <c r="DJ61" i="1"/>
  <c r="DJ62" i="1" s="1"/>
  <c r="DJ66" i="1" s="1"/>
  <c r="DJ77" i="1" s="1"/>
  <c r="DJ78" i="1" s="1"/>
  <c r="BH36" i="1"/>
  <c r="BE61" i="1"/>
  <c r="BE62" i="1" s="1"/>
  <c r="BE65" i="1" s="1"/>
  <c r="BE72" i="1" s="1"/>
  <c r="BE73" i="1" s="1"/>
  <c r="DL61" i="1"/>
  <c r="DL62" i="1" s="1"/>
  <c r="DL65" i="1" s="1"/>
  <c r="DL72" i="1" s="1"/>
  <c r="DL73" i="1" s="1"/>
  <c r="DS53" i="1"/>
  <c r="DS41" i="1"/>
  <c r="DR42" i="1"/>
  <c r="DR54" i="1"/>
  <c r="BF57" i="1"/>
  <c r="DP37" i="1"/>
  <c r="DP38" i="1" s="1"/>
  <c r="DP45" i="1" s="1"/>
  <c r="DM58" i="1"/>
  <c r="DM60" i="1"/>
  <c r="DM59" i="1"/>
  <c r="DO48" i="1"/>
  <c r="DO56" i="1"/>
  <c r="DO47" i="1"/>
  <c r="DO46" i="1"/>
  <c r="BG47" i="1"/>
  <c r="BG48" i="1"/>
  <c r="BG56" i="1"/>
  <c r="BG46" i="1"/>
  <c r="BH41" i="1" s="1"/>
  <c r="DK58" i="1"/>
  <c r="DQ44" i="1"/>
  <c r="BH38" i="1"/>
  <c r="BI29" i="1"/>
  <c r="BI31" i="1" s="1"/>
  <c r="DQ32" i="1"/>
  <c r="DR34" i="1"/>
  <c r="DR76" i="1" s="1"/>
  <c r="DR30" i="1"/>
  <c r="DQ33" i="1"/>
  <c r="DQ35" i="1"/>
  <c r="DR29" i="1"/>
  <c r="DR31" i="1" s="1"/>
  <c r="DS28" i="1"/>
  <c r="DS25" i="1"/>
  <c r="DT12" i="1"/>
  <c r="DS27" i="1"/>
  <c r="DS40" i="1" s="1"/>
  <c r="DS52" i="1" s="1"/>
  <c r="DS64" i="1" s="1"/>
  <c r="DS70" i="1" s="1"/>
  <c r="DS75" i="1" s="1"/>
  <c r="DR23" i="1"/>
  <c r="DR22" i="1"/>
  <c r="DT11" i="1"/>
  <c r="DS21" i="1"/>
  <c r="DS14" i="1"/>
  <c r="DS24" i="1"/>
  <c r="DS13" i="1"/>
  <c r="DS15" i="1"/>
  <c r="DL66" i="1" l="1"/>
  <c r="DL77" i="1" s="1"/>
  <c r="DL78" i="1" s="1"/>
  <c r="BE66" i="1"/>
  <c r="BE67" i="1" s="1"/>
  <c r="BE68" i="1" s="1"/>
  <c r="DJ65" i="1"/>
  <c r="DJ72" i="1" s="1"/>
  <c r="DJ73" i="1" s="1"/>
  <c r="DN60" i="1"/>
  <c r="BG49" i="1"/>
  <c r="BG50" i="1" s="1"/>
  <c r="BF59" i="1"/>
  <c r="DQ37" i="1"/>
  <c r="DQ38" i="1" s="1"/>
  <c r="DQ45" i="1" s="1"/>
  <c r="DO49" i="1"/>
  <c r="DO50" i="1" s="1"/>
  <c r="DO57" i="1" s="1"/>
  <c r="DM61" i="1"/>
  <c r="DM62" i="1" s="1"/>
  <c r="DM66" i="1" s="1"/>
  <c r="DM77" i="1" s="1"/>
  <c r="DM78" i="1" s="1"/>
  <c r="DR43" i="1"/>
  <c r="DR55" i="1" s="1"/>
  <c r="DR71" i="1"/>
  <c r="DK61" i="1"/>
  <c r="DK62" i="1" s="1"/>
  <c r="BF58" i="1"/>
  <c r="BG53" i="1" s="1"/>
  <c r="BG54" i="1" s="1"/>
  <c r="BF60" i="1"/>
  <c r="DS42" i="1"/>
  <c r="DS54" i="1"/>
  <c r="DT53" i="1"/>
  <c r="DT41" i="1"/>
  <c r="DP47" i="1"/>
  <c r="DP48" i="1"/>
  <c r="DP56" i="1"/>
  <c r="DP46" i="1"/>
  <c r="DN59" i="1"/>
  <c r="BH42" i="1"/>
  <c r="BH45" i="1" s="1"/>
  <c r="BI44" i="1"/>
  <c r="DR44" i="1"/>
  <c r="DN58" i="1"/>
  <c r="DJ67" i="1"/>
  <c r="DJ68" i="1" s="1"/>
  <c r="BI35" i="1"/>
  <c r="BI33" i="1"/>
  <c r="BI32" i="1"/>
  <c r="BJ28" i="1" s="1"/>
  <c r="DQ36" i="1"/>
  <c r="DR32" i="1"/>
  <c r="DR35" i="1"/>
  <c r="DU12" i="1"/>
  <c r="DT27" i="1"/>
  <c r="DT40" i="1" s="1"/>
  <c r="DT52" i="1" s="1"/>
  <c r="DT64" i="1" s="1"/>
  <c r="DT70" i="1" s="1"/>
  <c r="DT75" i="1" s="1"/>
  <c r="DS34" i="1"/>
  <c r="DS76" i="1" s="1"/>
  <c r="DS30" i="1"/>
  <c r="DT25" i="1"/>
  <c r="DT28" i="1"/>
  <c r="DS29" i="1"/>
  <c r="DS31" i="1" s="1"/>
  <c r="DR33" i="1"/>
  <c r="DS23" i="1"/>
  <c r="DS22" i="1"/>
  <c r="DU11" i="1"/>
  <c r="DT24" i="1"/>
  <c r="DT21" i="1"/>
  <c r="DT14" i="1"/>
  <c r="DT15" i="1"/>
  <c r="DT13" i="1"/>
  <c r="BG57" i="1" l="1"/>
  <c r="BG58" i="1" s="1"/>
  <c r="BH53" i="1" s="1"/>
  <c r="BH54" i="1" s="1"/>
  <c r="DL67" i="1"/>
  <c r="DL68" i="1" s="1"/>
  <c r="BE77" i="1"/>
  <c r="BE78" i="1" s="1"/>
  <c r="DR36" i="1"/>
  <c r="DP49" i="1"/>
  <c r="DP50" i="1" s="1"/>
  <c r="DP57" i="1" s="1"/>
  <c r="DM65" i="1"/>
  <c r="DM72" i="1" s="1"/>
  <c r="DM73" i="1" s="1"/>
  <c r="DK66" i="1"/>
  <c r="DK77" i="1" s="1"/>
  <c r="DK78" i="1" s="1"/>
  <c r="DK65" i="1"/>
  <c r="DS43" i="1"/>
  <c r="DS55" i="1" s="1"/>
  <c r="DS71" i="1"/>
  <c r="DN61" i="1"/>
  <c r="DN62" i="1" s="1"/>
  <c r="BI36" i="1"/>
  <c r="BF61" i="1"/>
  <c r="BF62" i="1" s="1"/>
  <c r="DT42" i="1"/>
  <c r="DT54" i="1"/>
  <c r="DU53" i="1"/>
  <c r="DU41" i="1"/>
  <c r="BH48" i="1"/>
  <c r="BH56" i="1"/>
  <c r="BH47" i="1"/>
  <c r="BG59" i="1"/>
  <c r="BG60" i="1"/>
  <c r="DQ47" i="1"/>
  <c r="DQ48" i="1"/>
  <c r="DQ46" i="1"/>
  <c r="DQ56" i="1"/>
  <c r="DO58" i="1"/>
  <c r="DO60" i="1"/>
  <c r="DS44" i="1"/>
  <c r="BH46" i="1"/>
  <c r="BI41" i="1" s="1"/>
  <c r="DO59" i="1"/>
  <c r="BJ29" i="1"/>
  <c r="BJ31" i="1" s="1"/>
  <c r="BI37" i="1"/>
  <c r="DS35" i="1"/>
  <c r="DS33" i="1"/>
  <c r="DR37" i="1"/>
  <c r="DV12" i="1"/>
  <c r="DU27" i="1"/>
  <c r="DU40" i="1" s="1"/>
  <c r="DU52" i="1" s="1"/>
  <c r="DU64" i="1" s="1"/>
  <c r="DU70" i="1" s="1"/>
  <c r="DU75" i="1" s="1"/>
  <c r="DT34" i="1"/>
  <c r="DT76" i="1" s="1"/>
  <c r="DT30" i="1"/>
  <c r="DT29" i="1"/>
  <c r="DT31" i="1" s="1"/>
  <c r="DU28" i="1"/>
  <c r="DU25" i="1"/>
  <c r="DS32" i="1"/>
  <c r="DT22" i="1"/>
  <c r="DT23" i="1"/>
  <c r="DV11" i="1"/>
  <c r="DU24" i="1"/>
  <c r="DU14" i="1"/>
  <c r="DU21" i="1"/>
  <c r="DU15" i="1"/>
  <c r="DU13" i="1"/>
  <c r="DM67" i="1" l="1"/>
  <c r="DM68" i="1" s="1"/>
  <c r="DK67" i="1"/>
  <c r="DK68" i="1" s="1"/>
  <c r="DK72" i="1"/>
  <c r="DK73" i="1" s="1"/>
  <c r="BF66" i="1"/>
  <c r="BF77" i="1" s="1"/>
  <c r="BF78" i="1" s="1"/>
  <c r="BF65" i="1"/>
  <c r="BH49" i="1"/>
  <c r="BH50" i="1" s="1"/>
  <c r="BH57" i="1" s="1"/>
  <c r="DN65" i="1"/>
  <c r="DN72" i="1" s="1"/>
  <c r="DN73" i="1" s="1"/>
  <c r="DN66" i="1"/>
  <c r="DQ49" i="1"/>
  <c r="DQ50" i="1" s="1"/>
  <c r="DQ57" i="1" s="1"/>
  <c r="DT43" i="1"/>
  <c r="DT55" i="1" s="1"/>
  <c r="DT71" i="1"/>
  <c r="DS37" i="1"/>
  <c r="DS38" i="1" s="1"/>
  <c r="DS45" i="1" s="1"/>
  <c r="DO61" i="1"/>
  <c r="DO62" i="1" s="1"/>
  <c r="DO65" i="1" s="1"/>
  <c r="DO72" i="1" s="1"/>
  <c r="DO73" i="1" s="1"/>
  <c r="BG61" i="1"/>
  <c r="BG62" i="1" s="1"/>
  <c r="BG65" i="1" s="1"/>
  <c r="BG72" i="1" s="1"/>
  <c r="BG73" i="1" s="1"/>
  <c r="DU42" i="1"/>
  <c r="DU54" i="1"/>
  <c r="DV41" i="1"/>
  <c r="DV53" i="1"/>
  <c r="DP59" i="1"/>
  <c r="DP60" i="1"/>
  <c r="DR38" i="1"/>
  <c r="DR45" i="1" s="1"/>
  <c r="DT44" i="1"/>
  <c r="BJ32" i="1"/>
  <c r="BK28" i="1" s="1"/>
  <c r="BK29" i="1" s="1"/>
  <c r="BK31" i="1" s="1"/>
  <c r="BJ44" i="1"/>
  <c r="BI38" i="1"/>
  <c r="BI42" i="1"/>
  <c r="DP58" i="1"/>
  <c r="BJ33" i="1"/>
  <c r="BJ35" i="1"/>
  <c r="DS36" i="1"/>
  <c r="DT33" i="1"/>
  <c r="DT35" i="1"/>
  <c r="DU29" i="1"/>
  <c r="DU31" i="1" s="1"/>
  <c r="DV28" i="1"/>
  <c r="DV25" i="1"/>
  <c r="DW12" i="1"/>
  <c r="DV27" i="1"/>
  <c r="DV40" i="1" s="1"/>
  <c r="DV52" i="1" s="1"/>
  <c r="DV64" i="1" s="1"/>
  <c r="DV70" i="1" s="1"/>
  <c r="DV75" i="1" s="1"/>
  <c r="DT32" i="1"/>
  <c r="DU34" i="1"/>
  <c r="DU76" i="1" s="1"/>
  <c r="DU30" i="1"/>
  <c r="DU23" i="1"/>
  <c r="DU22" i="1"/>
  <c r="DW11" i="1"/>
  <c r="DV24" i="1"/>
  <c r="DV21" i="1"/>
  <c r="DV14" i="1"/>
  <c r="DV13" i="1"/>
  <c r="DV15" i="1"/>
  <c r="BG66" i="1" l="1"/>
  <c r="BG77" i="1" s="1"/>
  <c r="BG78" i="1" s="1"/>
  <c r="DQ60" i="1"/>
  <c r="DP61" i="1"/>
  <c r="DP62" i="1" s="1"/>
  <c r="DP65" i="1" s="1"/>
  <c r="DP72" i="1" s="1"/>
  <c r="DP73" i="1" s="1"/>
  <c r="BF67" i="1"/>
  <c r="BF68" i="1" s="1"/>
  <c r="BF72" i="1"/>
  <c r="BF73" i="1" s="1"/>
  <c r="BJ36" i="1"/>
  <c r="DO66" i="1"/>
  <c r="DO77" i="1" s="1"/>
  <c r="DO78" i="1" s="1"/>
  <c r="DN67" i="1"/>
  <c r="DN68" i="1" s="1"/>
  <c r="DN77" i="1"/>
  <c r="DN78" i="1" s="1"/>
  <c r="DU43" i="1"/>
  <c r="DU55" i="1" s="1"/>
  <c r="DU71" i="1"/>
  <c r="DT36" i="1"/>
  <c r="BI45" i="1"/>
  <c r="BI48" i="1" s="1"/>
  <c r="DV54" i="1"/>
  <c r="DW53" i="1"/>
  <c r="DW41" i="1"/>
  <c r="DV42" i="1"/>
  <c r="BH59" i="1"/>
  <c r="BH60" i="1"/>
  <c r="BH58" i="1"/>
  <c r="BI53" i="1" s="1"/>
  <c r="DS47" i="1"/>
  <c r="DS48" i="1"/>
  <c r="DS56" i="1"/>
  <c r="DS46" i="1"/>
  <c r="BK44" i="1"/>
  <c r="DU44" i="1"/>
  <c r="BJ37" i="1"/>
  <c r="DQ58" i="1"/>
  <c r="DQ59" i="1"/>
  <c r="DR48" i="1"/>
  <c r="DR56" i="1"/>
  <c r="DR46" i="1"/>
  <c r="DR47" i="1"/>
  <c r="DT37" i="1"/>
  <c r="BK32" i="1"/>
  <c r="BK33" i="1"/>
  <c r="BK35" i="1"/>
  <c r="DU35" i="1"/>
  <c r="DU32" i="1"/>
  <c r="DV29" i="1"/>
  <c r="DV31" i="1" s="1"/>
  <c r="DV34" i="1"/>
  <c r="DV76" i="1" s="1"/>
  <c r="DV30" i="1"/>
  <c r="DW28" i="1"/>
  <c r="DW25" i="1"/>
  <c r="DU33" i="1"/>
  <c r="DX12" i="1"/>
  <c r="DW27" i="1"/>
  <c r="DW40" i="1" s="1"/>
  <c r="DW52" i="1" s="1"/>
  <c r="DW64" i="1" s="1"/>
  <c r="DW70" i="1" s="1"/>
  <c r="DW75" i="1" s="1"/>
  <c r="DV22" i="1"/>
  <c r="DV23" i="1"/>
  <c r="DX11" i="1"/>
  <c r="DW14" i="1"/>
  <c r="DW24" i="1"/>
  <c r="DW21" i="1"/>
  <c r="DW15" i="1"/>
  <c r="DW13" i="1"/>
  <c r="BI46" i="1" l="1"/>
  <c r="BJ41" i="1" s="1"/>
  <c r="BJ42" i="1" s="1"/>
  <c r="DP66" i="1"/>
  <c r="DP77" i="1" s="1"/>
  <c r="DP78" i="1" s="1"/>
  <c r="BG67" i="1"/>
  <c r="BG68" i="1" s="1"/>
  <c r="BI47" i="1"/>
  <c r="BI56" i="1"/>
  <c r="DO67" i="1"/>
  <c r="DO68" i="1" s="1"/>
  <c r="BK36" i="1"/>
  <c r="DR49" i="1"/>
  <c r="DR50" i="1" s="1"/>
  <c r="DR57" i="1" s="1"/>
  <c r="DV43" i="1"/>
  <c r="DV55" i="1" s="1"/>
  <c r="DV71" i="1"/>
  <c r="BH61" i="1"/>
  <c r="BH62" i="1" s="1"/>
  <c r="BH65" i="1" s="1"/>
  <c r="BH72" i="1" s="1"/>
  <c r="BH73" i="1" s="1"/>
  <c r="BI49" i="1"/>
  <c r="BI50" i="1" s="1"/>
  <c r="DU36" i="1"/>
  <c r="DS49" i="1"/>
  <c r="DS50" i="1" s="1"/>
  <c r="DS57" i="1" s="1"/>
  <c r="DQ61" i="1"/>
  <c r="DQ62" i="1" s="1"/>
  <c r="DW42" i="1"/>
  <c r="DW54" i="1"/>
  <c r="DX53" i="1"/>
  <c r="DX41" i="1"/>
  <c r="DU37" i="1"/>
  <c r="DU38" i="1" s="1"/>
  <c r="DU45" i="1" s="1"/>
  <c r="BJ38" i="1"/>
  <c r="DT38" i="1"/>
  <c r="DT45" i="1" s="1"/>
  <c r="BI54" i="1"/>
  <c r="BK37" i="1"/>
  <c r="DV44" i="1"/>
  <c r="DV32" i="1"/>
  <c r="DW29" i="1"/>
  <c r="DX28" i="1"/>
  <c r="DX25" i="1"/>
  <c r="DW34" i="1"/>
  <c r="DW76" i="1" s="1"/>
  <c r="DW30" i="1"/>
  <c r="DY12" i="1"/>
  <c r="DX27" i="1"/>
  <c r="DX40" i="1" s="1"/>
  <c r="DX52" i="1" s="1"/>
  <c r="DX64" i="1" s="1"/>
  <c r="DX70" i="1" s="1"/>
  <c r="DX75" i="1" s="1"/>
  <c r="DV33" i="1"/>
  <c r="DV35" i="1"/>
  <c r="DW22" i="1"/>
  <c r="DW23" i="1"/>
  <c r="DY11" i="1"/>
  <c r="DX21" i="1"/>
  <c r="DX24" i="1"/>
  <c r="DX13" i="1"/>
  <c r="DX15" i="1"/>
  <c r="DX14" i="1"/>
  <c r="DP67" i="1" l="1"/>
  <c r="DP68" i="1" s="1"/>
  <c r="BH66" i="1"/>
  <c r="BH77" i="1" s="1"/>
  <c r="BH78" i="1" s="1"/>
  <c r="DV37" i="1"/>
  <c r="DW43" i="1"/>
  <c r="DW71" i="1"/>
  <c r="DR60" i="1"/>
  <c r="DQ66" i="1"/>
  <c r="DQ77" i="1" s="1"/>
  <c r="DQ78" i="1" s="1"/>
  <c r="DQ65" i="1"/>
  <c r="DY53" i="1"/>
  <c r="DY41" i="1"/>
  <c r="BI57" i="1"/>
  <c r="BI58" i="1" s="1"/>
  <c r="BJ53" i="1" s="1"/>
  <c r="DX42" i="1"/>
  <c r="DX54" i="1"/>
  <c r="BH67" i="1"/>
  <c r="BH68" i="1" s="1"/>
  <c r="DR59" i="1"/>
  <c r="BJ45" i="1"/>
  <c r="DR58" i="1"/>
  <c r="DU47" i="1"/>
  <c r="DU48" i="1"/>
  <c r="DU56" i="1"/>
  <c r="DU46" i="1"/>
  <c r="DW55" i="1"/>
  <c r="DT47" i="1"/>
  <c r="DT48" i="1"/>
  <c r="DT56" i="1"/>
  <c r="DT46" i="1"/>
  <c r="DV38" i="1"/>
  <c r="DV45" i="1" s="1"/>
  <c r="DS59" i="1"/>
  <c r="DS60" i="1"/>
  <c r="DS58" i="1"/>
  <c r="BK38" i="1"/>
  <c r="DV36" i="1"/>
  <c r="DW31" i="1"/>
  <c r="DX34" i="1"/>
  <c r="DX76" i="1" s="1"/>
  <c r="DX30" i="1"/>
  <c r="DY28" i="1"/>
  <c r="DY25" i="1"/>
  <c r="DX29" i="1"/>
  <c r="DX31" i="1" s="1"/>
  <c r="DZ12" i="1"/>
  <c r="DY27" i="1"/>
  <c r="DY40" i="1" s="1"/>
  <c r="DY52" i="1" s="1"/>
  <c r="DY64" i="1" s="1"/>
  <c r="DY70" i="1" s="1"/>
  <c r="DY75" i="1" s="1"/>
  <c r="DX23" i="1"/>
  <c r="DX22" i="1"/>
  <c r="DZ11" i="1"/>
  <c r="DY14" i="1"/>
  <c r="DY24" i="1"/>
  <c r="DY15" i="1"/>
  <c r="DY13" i="1"/>
  <c r="DY21" i="1"/>
  <c r="DX43" i="1" l="1"/>
  <c r="DX55" i="1" s="1"/>
  <c r="DX71" i="1"/>
  <c r="DS61" i="1"/>
  <c r="DS62" i="1" s="1"/>
  <c r="DS66" i="1" s="1"/>
  <c r="DS77" i="1" s="1"/>
  <c r="DS78" i="1" s="1"/>
  <c r="DR61" i="1"/>
  <c r="DR62" i="1" s="1"/>
  <c r="DU49" i="1"/>
  <c r="DU50" i="1" s="1"/>
  <c r="DU57" i="1" s="1"/>
  <c r="BI60" i="1"/>
  <c r="DT49" i="1"/>
  <c r="DT50" i="1" s="1"/>
  <c r="DT57" i="1" s="1"/>
  <c r="BJ48" i="1"/>
  <c r="DQ67" i="1"/>
  <c r="DQ68" i="1" s="1"/>
  <c r="DQ72" i="1"/>
  <c r="DQ73" i="1" s="1"/>
  <c r="BJ46" i="1"/>
  <c r="BK41" i="1" s="1"/>
  <c r="BK42" i="1" s="1"/>
  <c r="BJ47" i="1"/>
  <c r="BI59" i="1"/>
  <c r="BJ56" i="1"/>
  <c r="DY42" i="1"/>
  <c r="DZ53" i="1"/>
  <c r="DZ41" i="1"/>
  <c r="DY54" i="1"/>
  <c r="DX44" i="1"/>
  <c r="BJ54" i="1"/>
  <c r="DW44" i="1"/>
  <c r="DV46" i="1"/>
  <c r="DV48" i="1"/>
  <c r="DV47" i="1"/>
  <c r="DV56" i="1"/>
  <c r="DX35" i="1"/>
  <c r="DW35" i="1"/>
  <c r="DY29" i="1"/>
  <c r="DY31" i="1" s="1"/>
  <c r="DZ28" i="1"/>
  <c r="DZ25" i="1"/>
  <c r="DX33" i="1"/>
  <c r="DY34" i="1"/>
  <c r="DY76" i="1" s="1"/>
  <c r="DY30" i="1"/>
  <c r="DW33" i="1"/>
  <c r="EA12" i="1"/>
  <c r="DZ27" i="1"/>
  <c r="DZ40" i="1" s="1"/>
  <c r="DZ52" i="1" s="1"/>
  <c r="DZ64" i="1" s="1"/>
  <c r="DZ70" i="1" s="1"/>
  <c r="DZ75" i="1" s="1"/>
  <c r="DX32" i="1"/>
  <c r="DW32" i="1"/>
  <c r="DY23" i="1"/>
  <c r="DY22" i="1"/>
  <c r="EA11" i="1"/>
  <c r="DZ21" i="1"/>
  <c r="DZ24" i="1"/>
  <c r="DZ15" i="1"/>
  <c r="DZ13" i="1"/>
  <c r="DZ14" i="1"/>
  <c r="DZ54" i="1" l="1"/>
  <c r="DS65" i="1"/>
  <c r="DS72" i="1" s="1"/>
  <c r="DS73" i="1" s="1"/>
  <c r="DZ42" i="1"/>
  <c r="BJ49" i="1"/>
  <c r="BJ50" i="1" s="1"/>
  <c r="BJ57" i="1" s="1"/>
  <c r="DW36" i="1"/>
  <c r="DV49" i="1"/>
  <c r="DV50" i="1" s="1"/>
  <c r="DV57" i="1" s="1"/>
  <c r="DR66" i="1"/>
  <c r="DR77" i="1" s="1"/>
  <c r="DR78" i="1" s="1"/>
  <c r="DR65" i="1"/>
  <c r="DY43" i="1"/>
  <c r="DY55" i="1" s="1"/>
  <c r="DY71" i="1"/>
  <c r="BI61" i="1"/>
  <c r="BI62" i="1" s="1"/>
  <c r="DX37" i="1"/>
  <c r="DX38" i="1" s="1"/>
  <c r="DX45" i="1" s="1"/>
  <c r="EA53" i="1"/>
  <c r="EA41" i="1"/>
  <c r="DU58" i="1"/>
  <c r="DU60" i="1"/>
  <c r="DU59" i="1"/>
  <c r="DY44" i="1"/>
  <c r="DT59" i="1"/>
  <c r="DT60" i="1"/>
  <c r="DT58" i="1"/>
  <c r="BK45" i="1"/>
  <c r="DX36" i="1"/>
  <c r="DW37" i="1"/>
  <c r="DY35" i="1"/>
  <c r="DY33" i="1"/>
  <c r="EA28" i="1"/>
  <c r="EA25" i="1"/>
  <c r="DZ30" i="1"/>
  <c r="DZ34" i="1"/>
  <c r="DZ76" i="1" s="1"/>
  <c r="DZ29" i="1"/>
  <c r="EB12" i="1"/>
  <c r="EA27" i="1"/>
  <c r="EA40" i="1" s="1"/>
  <c r="EA52" i="1" s="1"/>
  <c r="EA64" i="1" s="1"/>
  <c r="EA70" i="1" s="1"/>
  <c r="EA75" i="1" s="1"/>
  <c r="DY32" i="1"/>
  <c r="DZ23" i="1"/>
  <c r="DZ22" i="1"/>
  <c r="EB11" i="1"/>
  <c r="EA21" i="1"/>
  <c r="EA14" i="1"/>
  <c r="EA24" i="1"/>
  <c r="EA15" i="1"/>
  <c r="EA13" i="1"/>
  <c r="DS67" i="1" l="1"/>
  <c r="DS68" i="1" s="1"/>
  <c r="DV59" i="1"/>
  <c r="DY37" i="1"/>
  <c r="DY38" i="1" s="1"/>
  <c r="DY45" i="1" s="1"/>
  <c r="BJ58" i="1"/>
  <c r="BK53" i="1" s="1"/>
  <c r="BK54" i="1" s="1"/>
  <c r="BK46" i="1"/>
  <c r="BJ60" i="1"/>
  <c r="DZ43" i="1"/>
  <c r="DZ55" i="1" s="1"/>
  <c r="DZ71" i="1"/>
  <c r="BJ59" i="1"/>
  <c r="DT61" i="1"/>
  <c r="DT62" i="1" s="1"/>
  <c r="DT65" i="1" s="1"/>
  <c r="DT72" i="1" s="1"/>
  <c r="DT73" i="1" s="1"/>
  <c r="DR72" i="1"/>
  <c r="DR73" i="1" s="1"/>
  <c r="DR67" i="1"/>
  <c r="DR68" i="1" s="1"/>
  <c r="DU61" i="1"/>
  <c r="DU62" i="1" s="1"/>
  <c r="DU66" i="1" s="1"/>
  <c r="DU77" i="1" s="1"/>
  <c r="DU78" i="1" s="1"/>
  <c r="BI65" i="1"/>
  <c r="BI66" i="1"/>
  <c r="BI77" i="1" s="1"/>
  <c r="BI78" i="1" s="1"/>
  <c r="EB53" i="1"/>
  <c r="EB41" i="1"/>
  <c r="EA42" i="1"/>
  <c r="EA54" i="1"/>
  <c r="BK47" i="1"/>
  <c r="BK48" i="1"/>
  <c r="BK56" i="1"/>
  <c r="DW38" i="1"/>
  <c r="DW45" i="1" s="1"/>
  <c r="DV58" i="1"/>
  <c r="DV60" i="1"/>
  <c r="DX47" i="1"/>
  <c r="DX48" i="1"/>
  <c r="DX56" i="1"/>
  <c r="DX46" i="1"/>
  <c r="DY36" i="1"/>
  <c r="EA29" i="1"/>
  <c r="EA31" i="1" s="1"/>
  <c r="EC12" i="1"/>
  <c r="EB27" i="1"/>
  <c r="EB40" i="1" s="1"/>
  <c r="EB52" i="1" s="1"/>
  <c r="EB64" i="1" s="1"/>
  <c r="EB70" i="1" s="1"/>
  <c r="EB75" i="1" s="1"/>
  <c r="DZ31" i="1"/>
  <c r="EA30" i="1"/>
  <c r="EA34" i="1"/>
  <c r="EA76" i="1" s="1"/>
  <c r="EB28" i="1"/>
  <c r="EB25" i="1"/>
  <c r="EA23" i="1"/>
  <c r="EA22" i="1"/>
  <c r="EC11" i="1"/>
  <c r="EB24" i="1"/>
  <c r="EB21" i="1"/>
  <c r="EB13" i="1"/>
  <c r="EB15" i="1"/>
  <c r="EB14" i="1"/>
  <c r="DT66" i="1" l="1"/>
  <c r="DT77" i="1" s="1"/>
  <c r="DT78" i="1" s="1"/>
  <c r="DU65" i="1"/>
  <c r="DU72" i="1" s="1"/>
  <c r="DU73" i="1" s="1"/>
  <c r="DX49" i="1"/>
  <c r="BK49" i="1"/>
  <c r="BK50" i="1" s="1"/>
  <c r="BK57" i="1" s="1"/>
  <c r="BI72" i="1"/>
  <c r="BI73" i="1" s="1"/>
  <c r="BI67" i="1"/>
  <c r="BI68" i="1" s="1"/>
  <c r="DV61" i="1"/>
  <c r="DV62" i="1" s="1"/>
  <c r="DV65" i="1" s="1"/>
  <c r="DV72" i="1" s="1"/>
  <c r="DV73" i="1" s="1"/>
  <c r="EA43" i="1"/>
  <c r="EA55" i="1" s="1"/>
  <c r="EA71" i="1"/>
  <c r="BJ61" i="1"/>
  <c r="BJ62" i="1" s="1"/>
  <c r="EB42" i="1"/>
  <c r="EC53" i="1"/>
  <c r="EC41" i="1"/>
  <c r="EB54" i="1"/>
  <c r="DY47" i="1"/>
  <c r="DY48" i="1"/>
  <c r="DY56" i="1"/>
  <c r="DY46" i="1"/>
  <c r="DX50" i="1"/>
  <c r="DX57" i="1" s="1"/>
  <c r="DU67" i="1"/>
  <c r="DU68" i="1" s="1"/>
  <c r="DZ44" i="1"/>
  <c r="DW46" i="1"/>
  <c r="DW48" i="1"/>
  <c r="DW56" i="1"/>
  <c r="DW47" i="1"/>
  <c r="EA44" i="1"/>
  <c r="DZ32" i="1"/>
  <c r="EA35" i="1"/>
  <c r="EB29" i="1"/>
  <c r="DZ33" i="1"/>
  <c r="DZ35" i="1"/>
  <c r="EB34" i="1"/>
  <c r="EB76" i="1" s="1"/>
  <c r="EB30" i="1"/>
  <c r="EA33" i="1"/>
  <c r="ED12" i="1"/>
  <c r="EC27" i="1"/>
  <c r="EC40" i="1" s="1"/>
  <c r="EC52" i="1" s="1"/>
  <c r="EC64" i="1" s="1"/>
  <c r="EC70" i="1" s="1"/>
  <c r="EC75" i="1" s="1"/>
  <c r="EC28" i="1"/>
  <c r="EC25" i="1"/>
  <c r="EA32" i="1"/>
  <c r="ED11" i="1"/>
  <c r="EC24" i="1"/>
  <c r="EC14" i="1"/>
  <c r="EC21" i="1"/>
  <c r="EC15" i="1"/>
  <c r="EC13" i="1"/>
  <c r="EB22" i="1"/>
  <c r="EB23" i="1"/>
  <c r="DT67" i="1" l="1"/>
  <c r="DT68" i="1" s="1"/>
  <c r="DV66" i="1"/>
  <c r="DV77" i="1" s="1"/>
  <c r="DV78" i="1" s="1"/>
  <c r="BK59" i="1"/>
  <c r="EB43" i="1"/>
  <c r="EB55" i="1" s="1"/>
  <c r="EB71" i="1"/>
  <c r="DZ36" i="1"/>
  <c r="DW49" i="1"/>
  <c r="DW50" i="1" s="1"/>
  <c r="DW57" i="1" s="1"/>
  <c r="DY49" i="1"/>
  <c r="DY50" i="1" s="1"/>
  <c r="DY57" i="1" s="1"/>
  <c r="EA36" i="1"/>
  <c r="BJ65" i="1"/>
  <c r="BJ66" i="1"/>
  <c r="BJ77" i="1" s="1"/>
  <c r="BJ78" i="1" s="1"/>
  <c r="BK58" i="1"/>
  <c r="BK60" i="1"/>
  <c r="EC42" i="1"/>
  <c r="ED41" i="1"/>
  <c r="ED53" i="1"/>
  <c r="EC54" i="1"/>
  <c r="DX60" i="1"/>
  <c r="DX58" i="1"/>
  <c r="DX59" i="1"/>
  <c r="EA37" i="1"/>
  <c r="DZ37" i="1"/>
  <c r="EE12" i="1"/>
  <c r="ED27" i="1"/>
  <c r="ED40" i="1" s="1"/>
  <c r="ED52" i="1" s="1"/>
  <c r="ED64" i="1" s="1"/>
  <c r="ED70" i="1" s="1"/>
  <c r="ED75" i="1" s="1"/>
  <c r="EB31" i="1"/>
  <c r="ED28" i="1"/>
  <c r="ED25" i="1"/>
  <c r="EC34" i="1"/>
  <c r="EC76" i="1" s="1"/>
  <c r="EC30" i="1"/>
  <c r="EC29" i="1"/>
  <c r="EC31" i="1" s="1"/>
  <c r="EC23" i="1"/>
  <c r="EC22" i="1"/>
  <c r="EE11" i="1"/>
  <c r="ED24" i="1"/>
  <c r="ED21" i="1"/>
  <c r="ED14" i="1"/>
  <c r="ED15" i="1"/>
  <c r="ED13" i="1"/>
  <c r="DV67" i="1" l="1"/>
  <c r="DV68" i="1" s="1"/>
  <c r="ED54" i="1"/>
  <c r="ED42" i="1"/>
  <c r="DX61" i="1"/>
  <c r="DX62" i="1" s="1"/>
  <c r="DX65" i="1" s="1"/>
  <c r="BJ72" i="1"/>
  <c r="BJ73" i="1" s="1"/>
  <c r="BJ67" i="1"/>
  <c r="BJ68" i="1" s="1"/>
  <c r="EC43" i="1"/>
  <c r="EC55" i="1" s="1"/>
  <c r="EC71" i="1"/>
  <c r="BK61" i="1"/>
  <c r="BK62" i="1" s="1"/>
  <c r="EE53" i="1"/>
  <c r="EE41" i="1"/>
  <c r="DY60" i="1"/>
  <c r="DY59" i="1"/>
  <c r="DY58" i="1"/>
  <c r="DW59" i="1"/>
  <c r="DW60" i="1"/>
  <c r="EC44" i="1"/>
  <c r="EB32" i="1"/>
  <c r="EB44" i="1"/>
  <c r="DZ38" i="1"/>
  <c r="DZ45" i="1" s="1"/>
  <c r="DW58" i="1"/>
  <c r="EA38" i="1"/>
  <c r="EA45" i="1" s="1"/>
  <c r="EE27" i="1"/>
  <c r="EE40" i="1" s="1"/>
  <c r="EE52" i="1" s="1"/>
  <c r="EE64" i="1" s="1"/>
  <c r="EE70" i="1" s="1"/>
  <c r="EE75" i="1" s="1"/>
  <c r="EC35" i="1"/>
  <c r="ED34" i="1"/>
  <c r="ED76" i="1" s="1"/>
  <c r="ED30" i="1"/>
  <c r="EE28" i="1"/>
  <c r="EE25" i="1"/>
  <c r="I3" i="1" s="1"/>
  <c r="ED29" i="1"/>
  <c r="ED31" i="1" s="1"/>
  <c r="EC32" i="1"/>
  <c r="EB33" i="1"/>
  <c r="EB35" i="1"/>
  <c r="EC33" i="1"/>
  <c r="EE14" i="1"/>
  <c r="EE24" i="1"/>
  <c r="EE21" i="1"/>
  <c r="EE15" i="1"/>
  <c r="EE13" i="1"/>
  <c r="ED22" i="1"/>
  <c r="ED23" i="1"/>
  <c r="I2" i="1" l="1"/>
  <c r="DX66" i="1"/>
  <c r="DX77" i="1" s="1"/>
  <c r="DX78" i="1" s="1"/>
  <c r="EB36" i="1"/>
  <c r="BK65" i="1"/>
  <c r="BK72" i="1" s="1"/>
  <c r="BK73" i="1" s="1"/>
  <c r="BK66" i="1"/>
  <c r="EC37" i="1"/>
  <c r="EC38" i="1" s="1"/>
  <c r="EC45" i="1" s="1"/>
  <c r="DW61" i="1"/>
  <c r="DW62" i="1" s="1"/>
  <c r="DW66" i="1" s="1"/>
  <c r="ED43" i="1"/>
  <c r="ED55" i="1" s="1"/>
  <c r="ED71" i="1"/>
  <c r="DX67" i="1"/>
  <c r="DX68" i="1" s="1"/>
  <c r="DX72" i="1"/>
  <c r="DX73" i="1" s="1"/>
  <c r="DY61" i="1"/>
  <c r="DY62" i="1" s="1"/>
  <c r="DY66" i="1" s="1"/>
  <c r="DY77" i="1" s="1"/>
  <c r="DY78" i="1" s="1"/>
  <c r="EE42" i="1"/>
  <c r="EE54" i="1"/>
  <c r="EC36" i="1"/>
  <c r="EA47" i="1"/>
  <c r="EA48" i="1"/>
  <c r="EA56" i="1"/>
  <c r="EA46" i="1"/>
  <c r="DZ48" i="1"/>
  <c r="DZ56" i="1"/>
  <c r="DZ46" i="1"/>
  <c r="DZ47" i="1"/>
  <c r="ED44" i="1"/>
  <c r="EB37" i="1"/>
  <c r="ED32" i="1"/>
  <c r="ED33" i="1"/>
  <c r="ED35" i="1"/>
  <c r="EE34" i="1"/>
  <c r="EE76" i="1" s="1"/>
  <c r="EE30" i="1"/>
  <c r="EE29" i="1"/>
  <c r="EE31" i="1" s="1"/>
  <c r="EE22" i="1"/>
  <c r="EE23" i="1"/>
  <c r="DW65" i="1" l="1"/>
  <c r="DW72" i="1" s="1"/>
  <c r="DW73" i="1" s="1"/>
  <c r="DY65" i="1"/>
  <c r="DY72" i="1" s="1"/>
  <c r="DY73" i="1" s="1"/>
  <c r="EE43" i="1"/>
  <c r="EE71" i="1"/>
  <c r="BK67" i="1"/>
  <c r="BK68" i="1" s="1"/>
  <c r="BK77" i="1"/>
  <c r="BK78" i="1" s="1"/>
  <c r="DZ49" i="1"/>
  <c r="DZ50" i="1" s="1"/>
  <c r="DZ57" i="1" s="1"/>
  <c r="ED36" i="1"/>
  <c r="EA49" i="1"/>
  <c r="EA50" i="1" s="1"/>
  <c r="EA57" i="1" s="1"/>
  <c r="DW77" i="1"/>
  <c r="DW78" i="1" s="1"/>
  <c r="EE44" i="1"/>
  <c r="EC47" i="1"/>
  <c r="EC48" i="1"/>
  <c r="EC56" i="1"/>
  <c r="EE55" i="1"/>
  <c r="EB38" i="1"/>
  <c r="EB45" i="1" s="1"/>
  <c r="EC46" i="1"/>
  <c r="ED37" i="1"/>
  <c r="EE35" i="1"/>
  <c r="EE37" i="1" s="1"/>
  <c r="EE32" i="1"/>
  <c r="EE33" i="1"/>
  <c r="A33" i="1" s="1"/>
  <c r="DW67" i="1" l="1"/>
  <c r="DW68" i="1" s="1"/>
  <c r="DY67" i="1"/>
  <c r="DY68" i="1" s="1"/>
  <c r="DZ60" i="1"/>
  <c r="DZ59" i="1"/>
  <c r="EA60" i="1"/>
  <c r="EC49" i="1"/>
  <c r="EC50" i="1" s="1"/>
  <c r="EC57" i="1" s="1"/>
  <c r="EE36" i="1"/>
  <c r="A36" i="1" s="1"/>
  <c r="EE38" i="1"/>
  <c r="EE45" i="1" s="1"/>
  <c r="EB48" i="1"/>
  <c r="EB56" i="1"/>
  <c r="EB47" i="1"/>
  <c r="EB46" i="1"/>
  <c r="ED38" i="1"/>
  <c r="ED45" i="1" s="1"/>
  <c r="EA59" i="1"/>
  <c r="DZ58" i="1"/>
  <c r="EA58" i="1"/>
  <c r="DZ61" i="1" l="1"/>
  <c r="DZ62" i="1" s="1"/>
  <c r="EB49" i="1"/>
  <c r="EB50" i="1" s="1"/>
  <c r="EB57" i="1" s="1"/>
  <c r="EA61" i="1"/>
  <c r="EA62" i="1" s="1"/>
  <c r="EC58" i="1"/>
  <c r="EC60" i="1"/>
  <c r="EC59" i="1"/>
  <c r="EE46" i="1"/>
  <c r="EE48" i="1"/>
  <c r="EE56" i="1"/>
  <c r="EE47" i="1"/>
  <c r="ED46" i="1"/>
  <c r="ED48" i="1"/>
  <c r="ED56" i="1"/>
  <c r="ED47" i="1"/>
  <c r="A47" i="1" l="1"/>
  <c r="EB60" i="1"/>
  <c r="EA66" i="1"/>
  <c r="EA77" i="1" s="1"/>
  <c r="EA78" i="1" s="1"/>
  <c r="EA65" i="1"/>
  <c r="ED49" i="1"/>
  <c r="ED50" i="1" s="1"/>
  <c r="ED57" i="1" s="1"/>
  <c r="EE49" i="1"/>
  <c r="EC61" i="1"/>
  <c r="EC62" i="1" s="1"/>
  <c r="EC66" i="1" s="1"/>
  <c r="EC77" i="1" s="1"/>
  <c r="EC78" i="1" s="1"/>
  <c r="DZ66" i="1"/>
  <c r="DZ77" i="1" s="1"/>
  <c r="DZ78" i="1" s="1"/>
  <c r="DZ65" i="1"/>
  <c r="EB58" i="1"/>
  <c r="EB59" i="1"/>
  <c r="EC65" i="1" l="1"/>
  <c r="EC72" i="1" s="1"/>
  <c r="EC73" i="1" s="1"/>
  <c r="EE50" i="1"/>
  <c r="EE57" i="1" s="1"/>
  <c r="EE58" i="1" s="1"/>
  <c r="C81" i="1"/>
  <c r="DZ67" i="1"/>
  <c r="DZ68" i="1" s="1"/>
  <c r="DZ72" i="1"/>
  <c r="DZ73" i="1" s="1"/>
  <c r="EA72" i="1"/>
  <c r="EA73" i="1" s="1"/>
  <c r="EA67" i="1"/>
  <c r="EA68" i="1" s="1"/>
  <c r="EB61" i="1"/>
  <c r="EB62" i="1" s="1"/>
  <c r="EC67" i="1"/>
  <c r="EC68" i="1" s="1"/>
  <c r="ED59" i="1"/>
  <c r="ED60" i="1"/>
  <c r="ED58" i="1"/>
  <c r="EE59" i="1" l="1"/>
  <c r="A59" i="1" s="1"/>
  <c r="EE60" i="1"/>
  <c r="EE61" i="1" s="1"/>
  <c r="EB65" i="1"/>
  <c r="EB72" i="1" s="1"/>
  <c r="EB73" i="1" s="1"/>
  <c r="EB66" i="1"/>
  <c r="ED61" i="1"/>
  <c r="ED62" i="1" s="1"/>
  <c r="ED65" i="1" s="1"/>
  <c r="ED72" i="1" s="1"/>
  <c r="ED73" i="1" s="1"/>
  <c r="EE62" i="1" l="1"/>
  <c r="C82" i="1"/>
  <c r="ED66" i="1"/>
  <c r="EB67" i="1"/>
  <c r="EB68" i="1" s="1"/>
  <c r="EB77" i="1"/>
  <c r="EB78" i="1" s="1"/>
  <c r="ED67" i="1" l="1"/>
  <c r="ED68" i="1" s="1"/>
  <c r="ED77" i="1"/>
  <c r="ED78" i="1" s="1"/>
  <c r="EE65" i="1"/>
  <c r="EE72" i="1" s="1"/>
  <c r="EE73" i="1" s="1"/>
  <c r="EE66" i="1"/>
  <c r="I4" i="1" l="1"/>
  <c r="I5" i="1"/>
  <c r="EE67" i="1"/>
  <c r="EE77" i="1"/>
  <c r="EE78" i="1" s="1"/>
  <c r="I6" i="1" l="1"/>
  <c r="I7" i="1"/>
  <c r="EE68" i="1"/>
  <c r="C83" i="1"/>
  <c r="C84" i="1" s="1"/>
  <c r="I8" i="1" s="1"/>
</calcChain>
</file>

<file path=xl/sharedStrings.xml><?xml version="1.0" encoding="utf-8"?>
<sst xmlns="http://schemas.openxmlformats.org/spreadsheetml/2006/main" count="108" uniqueCount="68">
  <si>
    <t>GP Equity</t>
  </si>
  <si>
    <t>LP Equity</t>
  </si>
  <si>
    <t>Project-Level IRR</t>
  </si>
  <si>
    <t>Project-Level EM</t>
  </si>
  <si>
    <t>LP IRR</t>
  </si>
  <si>
    <t>LP EM</t>
  </si>
  <si>
    <t>GP IRR</t>
  </si>
  <si>
    <t>GP EM</t>
  </si>
  <si>
    <t>GP Promote</t>
  </si>
  <si>
    <t>Preferred Return</t>
  </si>
  <si>
    <t>Hurdle #2</t>
  </si>
  <si>
    <t>Hurdle #3</t>
  </si>
  <si>
    <t>Hurdle #4</t>
  </si>
  <si>
    <t>Return</t>
  </si>
  <si>
    <t>GP Cash Flow</t>
  </si>
  <si>
    <t>LP Cash Flow</t>
  </si>
  <si>
    <t>Purchase Price</t>
  </si>
  <si>
    <t>Going-In Cap Rate</t>
  </si>
  <si>
    <t>NOI Growth/Year</t>
  </si>
  <si>
    <t>Sale Month</t>
  </si>
  <si>
    <t>Exit Cap Rate</t>
  </si>
  <si>
    <t>LTV</t>
  </si>
  <si>
    <t>Interest Rate</t>
  </si>
  <si>
    <t>Amortization</t>
  </si>
  <si>
    <t>Date of Close</t>
  </si>
  <si>
    <t>Loan Metrics</t>
  </si>
  <si>
    <t>Return Metrics</t>
  </si>
  <si>
    <t>Equity Investment</t>
  </si>
  <si>
    <t>Deal Metrics</t>
  </si>
  <si>
    <t>Partnership Metrics</t>
  </si>
  <si>
    <t>Acquisition Fee</t>
  </si>
  <si>
    <t>Disposition Fee</t>
  </si>
  <si>
    <t>Costs of Sale</t>
  </si>
  <si>
    <t>Closing Costs</t>
  </si>
  <si>
    <t>Loan Fee</t>
  </si>
  <si>
    <t>Waterfall Structure (IRR)</t>
  </si>
  <si>
    <t>Month</t>
  </si>
  <si>
    <t>Month Ending</t>
  </si>
  <si>
    <t>NOI</t>
  </si>
  <si>
    <t>Principal Payment</t>
  </si>
  <si>
    <t>Interest Payment</t>
  </si>
  <si>
    <t>Loan Proceeds</t>
  </si>
  <si>
    <t>Sale Price</t>
  </si>
  <si>
    <t>Loan Payoff</t>
  </si>
  <si>
    <t>Project-Level Cash Flows</t>
  </si>
  <si>
    <t>Beginning Balance</t>
  </si>
  <si>
    <t>Preferred Interest Accrual</t>
  </si>
  <si>
    <t>LP Contributions</t>
  </si>
  <si>
    <t>LP Distributions</t>
  </si>
  <si>
    <t>Ending Balance</t>
  </si>
  <si>
    <t>Total LP Cash Flow</t>
  </si>
  <si>
    <t>IRR</t>
  </si>
  <si>
    <t>GP Contributions</t>
  </si>
  <si>
    <t>GP Distributions</t>
  </si>
  <si>
    <t>Total GP Cash Flow</t>
  </si>
  <si>
    <t>Total Distributions</t>
  </si>
  <si>
    <t>Cash Flow Remaining</t>
  </si>
  <si>
    <t>Hurdle #2 Accrual</t>
  </si>
  <si>
    <t>Prior Distributions</t>
  </si>
  <si>
    <t>Hurdle #3 Accrual</t>
  </si>
  <si>
    <t>LP Cash Flows</t>
  </si>
  <si>
    <t>Contributions</t>
  </si>
  <si>
    <t>Distributions</t>
  </si>
  <si>
    <t>LP Net Cash Flow</t>
  </si>
  <si>
    <t>GP Cash Flows</t>
  </si>
  <si>
    <t>GP Net Cash Flow</t>
  </si>
  <si>
    <t>GP Promoted Interest</t>
  </si>
  <si>
    <t>Total GP Promoted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</si>
</sst>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0.00&quot;x&quot;"/>
    <numFmt numFmtId="165" formatCode="&quot;$&quot;#,##0"/>
    <numFmt numFmtId="166" formatCode="&quot;Month&quot;\ 0"/>
    <numFmt numFmtId="167" formatCode="0\ &quot;Years&quot;"/>
    <numFmt numFmtId="168" formatCode="&quot;Year&quot;\ 0"/>
    <numFmt numFmtId="169" formatCode="&quot;Acquisition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sz val="10"/>
      <color rgb="FF0000FF"/>
      <name val="Franklin Gothic Book"/>
      <family val="2"/>
    </font>
    <font>
      <b/>
      <sz val="10"/>
      <color theme="1"/>
      <name val="Franklin Gothic Book"/>
      <family val="2"/>
    </font>
    <font>
      <b/>
      <i/>
      <sz val="10"/>
      <color theme="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74">
    <xf numFmtId="0" fontId="0" fillId="0" borderId="0" xfId="0"/>
    <xf numFmtId="0" fontId="1" fillId="0" borderId="0" xfId="0" applyFont="1"/>
    <xf numFmtId="9" fontId="1" fillId="0" borderId="4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10" fontId="1" fillId="0" borderId="1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8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5" fillId="0" borderId="12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3" xfId="0" applyNumberFormat="1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centerContinuous"/>
    </xf>
    <xf numFmtId="6" fontId="5" fillId="0" borderId="7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Continuous"/>
    </xf>
    <xf numFmtId="0" fontId="3" fillId="3" borderId="1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0" fontId="3" fillId="4" borderId="5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0" fontId="3" fillId="4" borderId="7" xfId="0" applyNumberFormat="1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38" fontId="1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0" fontId="1" fillId="0" borderId="0" xfId="1" applyNumberFormat="1" applyFont="1" applyFill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69" fontId="2" fillId="2" borderId="12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14" fontId="2" fillId="2" borderId="1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0" fontId="6" fillId="3" borderId="15" xfId="0" applyFont="1" applyFill="1" applyBorder="1" applyAlignment="1">
      <alignment horizontal="right"/>
    </xf>
    <xf numFmtId="6" fontId="6" fillId="0" borderId="10" xfId="0" applyNumberFormat="1" applyFont="1" applyBorder="1" applyAlignment="1">
      <alignment horizontal="center"/>
    </xf>
    <xf numFmtId="6" fontId="6" fillId="0" borderId="1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10" fontId="1" fillId="0" borderId="15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0" fontId="6" fillId="3" borderId="11" xfId="0" applyFont="1" applyFill="1" applyBorder="1" applyAlignment="1">
      <alignment horizontal="right"/>
    </xf>
    <xf numFmtId="10" fontId="1" fillId="0" borderId="8" xfId="1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6" fontId="1" fillId="0" borderId="8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Continuous"/>
    </xf>
    <xf numFmtId="14" fontId="2" fillId="2" borderId="11" xfId="0" applyNumberFormat="1" applyFont="1" applyFill="1" applyBorder="1" applyAlignment="1">
      <alignment horizontal="centerContinuous"/>
    </xf>
    <xf numFmtId="6" fontId="1" fillId="5" borderId="0" xfId="0" applyNumberFormat="1" applyFont="1" applyFill="1" applyAlignment="1">
      <alignment horizontal="center"/>
    </xf>
    <xf numFmtId="6" fontId="1" fillId="5" borderId="8" xfId="0" applyNumberFormat="1" applyFont="1" applyFill="1" applyBorder="1" applyAlignment="1">
      <alignment horizontal="center"/>
    </xf>
    <xf numFmtId="10" fontId="1" fillId="0" borderId="15" xfId="1" applyNumberFormat="1" applyFont="1" applyFill="1" applyBorder="1" applyAlignment="1">
      <alignment horizontal="center"/>
    </xf>
    <xf numFmtId="6" fontId="6" fillId="5" borderId="10" xfId="0" applyNumberFormat="1" applyFont="1" applyFill="1" applyBorder="1" applyAlignment="1">
      <alignment horizontal="center"/>
    </xf>
    <xf numFmtId="6" fontId="6" fillId="5" borderId="11" xfId="0" applyNumberFormat="1" applyFont="1" applyFill="1" applyBorder="1" applyAlignment="1">
      <alignment horizontal="center"/>
    </xf>
  </cellXfs>
  <cellStyles count="4">
    <cellStyle name="Normal" xfId="0" builtinId="0"/>
    <cellStyle name="Normal 2" xfId="2" xr:uid="{2D83300E-002C-43F4-A185-3B4E83FCA632}"/>
    <cellStyle name="Normal 2 2" xfId="3" xr:uid="{4BC1F33D-A7A9-4348-96AD-F72C1C326C72}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F3B5-D38A-4039-B003-FDF118F5DB40}">
  <dimension ref="A1:EE84"/>
  <sheetViews>
    <sheetView showGridLines="0" tabSelected="1" topLeftCell="A36" zoomScale="114" zoomScaleNormal="90" workbookViewId="0">
      <selection activeCell="K34" sqref="K34"/>
    </sheetView>
  </sheetViews>
  <sheetFormatPr baseColWidth="10" defaultColWidth="8.83203125" defaultRowHeight="13" x14ac:dyDescent="0.15"/>
  <cols>
    <col min="1" max="1" width="5.83203125" style="1" bestFit="1" customWidth="1"/>
    <col min="2" max="2" width="22.6640625" style="1" bestFit="1" customWidth="1"/>
    <col min="3" max="4" width="10.33203125" style="1" bestFit="1" customWidth="1"/>
    <col min="5" max="5" width="11.5" style="1" bestFit="1" customWidth="1"/>
    <col min="6" max="6" width="11.33203125" style="1" bestFit="1" customWidth="1"/>
    <col min="7" max="7" width="10.33203125" style="1" bestFit="1" customWidth="1"/>
    <col min="8" max="8" width="13.5" style="1" bestFit="1" customWidth="1"/>
    <col min="9" max="9" width="10.33203125" style="1" bestFit="1" customWidth="1"/>
    <col min="10" max="10" width="11.5" style="1" bestFit="1" customWidth="1"/>
    <col min="11" max="11" width="14.1640625" style="1" bestFit="1" customWidth="1"/>
    <col min="12" max="12" width="11.5" style="1" bestFit="1" customWidth="1"/>
    <col min="13" max="13" width="10.33203125" style="1" bestFit="1" customWidth="1"/>
    <col min="14" max="14" width="12.1640625" style="1" bestFit="1" customWidth="1"/>
    <col min="15" max="21" width="10.33203125" style="1" bestFit="1" customWidth="1"/>
    <col min="22" max="24" width="11.5" style="1" bestFit="1" customWidth="1"/>
    <col min="25" max="33" width="10.33203125" style="1" bestFit="1" customWidth="1"/>
    <col min="34" max="36" width="11.5" style="1" bestFit="1" customWidth="1"/>
    <col min="37" max="45" width="10.33203125" style="1" bestFit="1" customWidth="1"/>
    <col min="46" max="48" width="11.5" style="1" bestFit="1" customWidth="1"/>
    <col min="49" max="57" width="10.33203125" style="1" bestFit="1" customWidth="1"/>
    <col min="58" max="60" width="11.5" style="1" bestFit="1" customWidth="1"/>
    <col min="61" max="69" width="10.33203125" style="1" bestFit="1" customWidth="1"/>
    <col min="70" max="72" width="11.5" style="1" bestFit="1" customWidth="1"/>
    <col min="73" max="81" width="10.33203125" style="1" bestFit="1" customWidth="1"/>
    <col min="82" max="84" width="11.5" style="1" bestFit="1" customWidth="1"/>
    <col min="85" max="93" width="10.33203125" style="1" bestFit="1" customWidth="1"/>
    <col min="94" max="96" width="11.5" style="1" bestFit="1" customWidth="1"/>
    <col min="97" max="105" width="10.33203125" style="1" bestFit="1" customWidth="1"/>
    <col min="106" max="108" width="11.5" style="1" bestFit="1" customWidth="1"/>
    <col min="109" max="117" width="10.33203125" style="1" bestFit="1" customWidth="1"/>
    <col min="118" max="120" width="11.5" style="1" bestFit="1" customWidth="1"/>
    <col min="121" max="129" width="10.33203125" style="1" bestFit="1" customWidth="1"/>
    <col min="130" max="132" width="11.5" style="1" bestFit="1" customWidth="1"/>
    <col min="133" max="135" width="10.33203125" style="1" bestFit="1" customWidth="1"/>
    <col min="136" max="16384" width="8.83203125" style="1"/>
  </cols>
  <sheetData>
    <row r="1" spans="2:135" x14ac:dyDescent="0.15">
      <c r="B1" s="3" t="s">
        <v>35</v>
      </c>
      <c r="C1" s="4" t="s">
        <v>13</v>
      </c>
      <c r="D1" s="4" t="s">
        <v>8</v>
      </c>
      <c r="E1" s="4" t="s">
        <v>14</v>
      </c>
      <c r="F1" s="5" t="s">
        <v>15</v>
      </c>
      <c r="H1" s="33" t="s">
        <v>26</v>
      </c>
      <c r="I1" s="33"/>
      <c r="K1" s="30" t="s">
        <v>28</v>
      </c>
      <c r="L1" s="30"/>
      <c r="N1" s="30" t="s">
        <v>29</v>
      </c>
      <c r="O1" s="30"/>
      <c r="S1" s="44"/>
      <c r="T1" s="44"/>
    </row>
    <row r="2" spans="2:135" x14ac:dyDescent="0.15">
      <c r="B2" s="6" t="s">
        <v>9</v>
      </c>
      <c r="C2" s="16">
        <v>0.12</v>
      </c>
      <c r="D2" s="17"/>
      <c r="E2" s="9">
        <f>C8</f>
        <v>0.1</v>
      </c>
      <c r="F2" s="10">
        <f>C9</f>
        <v>0.9</v>
      </c>
      <c r="H2" s="34" t="s">
        <v>2</v>
      </c>
      <c r="I2" s="39">
        <f ca="1">IFERROR(XIRR(C25:EE25,C12:EE12),0)</f>
        <v>0.52482327818870556</v>
      </c>
      <c r="K2" s="27" t="s">
        <v>24</v>
      </c>
      <c r="L2" s="32">
        <f ca="1">EOMONTH(TODAY(),3)</f>
        <v>46053</v>
      </c>
      <c r="N2" s="27" t="s">
        <v>30</v>
      </c>
      <c r="O2" s="46">
        <v>0.01</v>
      </c>
      <c r="S2" s="43"/>
      <c r="T2" s="43"/>
    </row>
    <row r="3" spans="2:135" x14ac:dyDescent="0.15">
      <c r="B3" s="7" t="s">
        <v>10</v>
      </c>
      <c r="C3" s="18">
        <v>0.14000000000000001</v>
      </c>
      <c r="D3" s="19">
        <v>0.02</v>
      </c>
      <c r="E3" s="11">
        <f>D3+(1-D3)*$C$8</f>
        <v>0.11800000000000001</v>
      </c>
      <c r="F3" s="12">
        <f>1-E3</f>
        <v>0.88200000000000001</v>
      </c>
      <c r="H3" s="35" t="s">
        <v>3</v>
      </c>
      <c r="I3" s="40">
        <f>IFERROR(SUMIF(C25:EE25,"&gt;0",C25:EE25)/ABS(SUMIF(C25:EE25,"&lt;0",C25:EE25)),0)</f>
        <v>2.2151199954328278</v>
      </c>
      <c r="K3" s="28" t="s">
        <v>16</v>
      </c>
      <c r="L3" s="31">
        <v>25000000</v>
      </c>
      <c r="N3" s="29" t="s">
        <v>31</v>
      </c>
      <c r="O3" s="24">
        <v>0.01</v>
      </c>
      <c r="S3" s="43"/>
      <c r="T3" s="43"/>
    </row>
    <row r="4" spans="2:135" x14ac:dyDescent="0.15">
      <c r="B4" s="7" t="s">
        <v>11</v>
      </c>
      <c r="C4" s="18">
        <v>0.16</v>
      </c>
      <c r="D4" s="19">
        <v>0.03</v>
      </c>
      <c r="E4" s="11">
        <f t="shared" ref="E4:E5" si="0">D4+(1-D4)*$C$8</f>
        <v>0.127</v>
      </c>
      <c r="F4" s="12">
        <f t="shared" ref="F4:F5" si="1">1-E4</f>
        <v>0.873</v>
      </c>
      <c r="H4" s="35" t="s">
        <v>4</v>
      </c>
      <c r="I4" s="41">
        <f ca="1">IFERROR(XIRR(C73:EE73,C12:EE12),0)</f>
        <v>0.51127216219902039</v>
      </c>
      <c r="K4" s="28" t="s">
        <v>33</v>
      </c>
      <c r="L4" s="22">
        <v>0.03</v>
      </c>
      <c r="S4" s="45"/>
    </row>
    <row r="5" spans="2:135" x14ac:dyDescent="0.15">
      <c r="B5" s="8" t="s">
        <v>12</v>
      </c>
      <c r="C5" s="20"/>
      <c r="D5" s="21">
        <v>0.04</v>
      </c>
      <c r="E5" s="13">
        <f t="shared" si="0"/>
        <v>0.13600000000000001</v>
      </c>
      <c r="F5" s="14">
        <f t="shared" si="1"/>
        <v>0.86399999999999999</v>
      </c>
      <c r="H5" s="35" t="s">
        <v>5</v>
      </c>
      <c r="I5" s="40">
        <f ca="1">IFERROR(SUMIF(C73:EE73,"&gt;0",C73:EE73)/ABS(SUMIF(C73:EE73,"&lt;0",C73:EE73)),0)</f>
        <v>2.1770132362032699</v>
      </c>
      <c r="K5" s="28" t="s">
        <v>17</v>
      </c>
      <c r="L5" s="22">
        <v>0.08</v>
      </c>
      <c r="N5" s="30" t="s">
        <v>25</v>
      </c>
      <c r="O5" s="30"/>
    </row>
    <row r="6" spans="2:135" x14ac:dyDescent="0.15">
      <c r="H6" s="35" t="s">
        <v>6</v>
      </c>
      <c r="I6" s="41">
        <f ca="1">IFERROR(XIRR(C78:EE78,C12:EE12),0)</f>
        <v>0.64152860045433069</v>
      </c>
      <c r="K6" s="28" t="s">
        <v>18</v>
      </c>
      <c r="L6" s="22">
        <v>0.03</v>
      </c>
      <c r="N6" s="27" t="s">
        <v>21</v>
      </c>
      <c r="O6" s="25">
        <v>0.7</v>
      </c>
    </row>
    <row r="7" spans="2:135" x14ac:dyDescent="0.15">
      <c r="B7" s="33" t="s">
        <v>27</v>
      </c>
      <c r="C7" s="33"/>
      <c r="H7" s="35" t="s">
        <v>7</v>
      </c>
      <c r="I7" s="40">
        <f ca="1">IFERROR(SUMIF(C78:EE78,"&gt;0",C78:EE78)/ABS(SUMIF(C78:EE78,"&lt;0",C78:EE78)),0)</f>
        <v>2.5580808284988468</v>
      </c>
      <c r="K7" s="28" t="s">
        <v>19</v>
      </c>
      <c r="L7" s="23">
        <v>24</v>
      </c>
      <c r="N7" s="28" t="s">
        <v>34</v>
      </c>
      <c r="O7" s="22">
        <v>0.01</v>
      </c>
    </row>
    <row r="8" spans="2:135" x14ac:dyDescent="0.15">
      <c r="B8" s="27" t="s">
        <v>0</v>
      </c>
      <c r="C8" s="15">
        <v>0.1</v>
      </c>
      <c r="H8" s="36" t="s">
        <v>8</v>
      </c>
      <c r="I8" s="42">
        <f ca="1">C84</f>
        <v>330576.13631641259</v>
      </c>
      <c r="K8" s="28" t="s">
        <v>20</v>
      </c>
      <c r="L8" s="22">
        <v>0.06</v>
      </c>
      <c r="N8" s="28" t="s">
        <v>22</v>
      </c>
      <c r="O8" s="22">
        <v>5.2499999999999998E-2</v>
      </c>
    </row>
    <row r="9" spans="2:135" x14ac:dyDescent="0.15">
      <c r="B9" s="29" t="s">
        <v>1</v>
      </c>
      <c r="C9" s="2">
        <f>1-C8</f>
        <v>0.9</v>
      </c>
      <c r="K9" s="29" t="s">
        <v>32</v>
      </c>
      <c r="L9" s="24">
        <v>0.03</v>
      </c>
      <c r="N9" s="29" t="s">
        <v>23</v>
      </c>
      <c r="O9" s="26">
        <v>30</v>
      </c>
    </row>
    <row r="10" spans="2:135" x14ac:dyDescent="0.15">
      <c r="B10" s="38"/>
      <c r="C10" s="37"/>
    </row>
    <row r="11" spans="2:135" x14ac:dyDescent="0.15">
      <c r="B11" s="47" t="s">
        <v>36</v>
      </c>
      <c r="C11" s="48">
        <v>0</v>
      </c>
      <c r="D11" s="49">
        <f>C11+1</f>
        <v>1</v>
      </c>
      <c r="E11" s="49">
        <f t="shared" ref="E11:BP11" si="2">D11+1</f>
        <v>2</v>
      </c>
      <c r="F11" s="49">
        <f t="shared" si="2"/>
        <v>3</v>
      </c>
      <c r="G11" s="49">
        <f t="shared" si="2"/>
        <v>4</v>
      </c>
      <c r="H11" s="49">
        <f t="shared" si="2"/>
        <v>5</v>
      </c>
      <c r="I11" s="49">
        <f t="shared" si="2"/>
        <v>6</v>
      </c>
      <c r="J11" s="49">
        <f t="shared" si="2"/>
        <v>7</v>
      </c>
      <c r="K11" s="49">
        <f t="shared" si="2"/>
        <v>8</v>
      </c>
      <c r="L11" s="49">
        <f t="shared" si="2"/>
        <v>9</v>
      </c>
      <c r="M11" s="49">
        <f t="shared" si="2"/>
        <v>10</v>
      </c>
      <c r="N11" s="49">
        <f t="shared" si="2"/>
        <v>11</v>
      </c>
      <c r="O11" s="49">
        <f t="shared" si="2"/>
        <v>12</v>
      </c>
      <c r="P11" s="49">
        <f t="shared" si="2"/>
        <v>13</v>
      </c>
      <c r="Q11" s="49">
        <f t="shared" si="2"/>
        <v>14</v>
      </c>
      <c r="R11" s="49">
        <f t="shared" si="2"/>
        <v>15</v>
      </c>
      <c r="S11" s="49">
        <f t="shared" si="2"/>
        <v>16</v>
      </c>
      <c r="T11" s="49">
        <f t="shared" si="2"/>
        <v>17</v>
      </c>
      <c r="U11" s="49">
        <f t="shared" si="2"/>
        <v>18</v>
      </c>
      <c r="V11" s="49">
        <f t="shared" si="2"/>
        <v>19</v>
      </c>
      <c r="W11" s="49">
        <f t="shared" si="2"/>
        <v>20</v>
      </c>
      <c r="X11" s="49">
        <f t="shared" si="2"/>
        <v>21</v>
      </c>
      <c r="Y11" s="49">
        <f t="shared" si="2"/>
        <v>22</v>
      </c>
      <c r="Z11" s="49">
        <f t="shared" si="2"/>
        <v>23</v>
      </c>
      <c r="AA11" s="49">
        <f t="shared" si="2"/>
        <v>24</v>
      </c>
      <c r="AB11" s="49">
        <f t="shared" si="2"/>
        <v>25</v>
      </c>
      <c r="AC11" s="49">
        <f t="shared" si="2"/>
        <v>26</v>
      </c>
      <c r="AD11" s="49">
        <f t="shared" si="2"/>
        <v>27</v>
      </c>
      <c r="AE11" s="49">
        <f t="shared" si="2"/>
        <v>28</v>
      </c>
      <c r="AF11" s="49">
        <f t="shared" si="2"/>
        <v>29</v>
      </c>
      <c r="AG11" s="49">
        <f t="shared" si="2"/>
        <v>30</v>
      </c>
      <c r="AH11" s="49">
        <f t="shared" si="2"/>
        <v>31</v>
      </c>
      <c r="AI11" s="49">
        <f t="shared" si="2"/>
        <v>32</v>
      </c>
      <c r="AJ11" s="49">
        <f t="shared" si="2"/>
        <v>33</v>
      </c>
      <c r="AK11" s="49">
        <f t="shared" si="2"/>
        <v>34</v>
      </c>
      <c r="AL11" s="49">
        <f t="shared" si="2"/>
        <v>35</v>
      </c>
      <c r="AM11" s="49">
        <f t="shared" si="2"/>
        <v>36</v>
      </c>
      <c r="AN11" s="49">
        <f t="shared" si="2"/>
        <v>37</v>
      </c>
      <c r="AO11" s="49">
        <f t="shared" si="2"/>
        <v>38</v>
      </c>
      <c r="AP11" s="49">
        <f t="shared" si="2"/>
        <v>39</v>
      </c>
      <c r="AQ11" s="49">
        <f t="shared" si="2"/>
        <v>40</v>
      </c>
      <c r="AR11" s="49">
        <f t="shared" si="2"/>
        <v>41</v>
      </c>
      <c r="AS11" s="49">
        <f t="shared" si="2"/>
        <v>42</v>
      </c>
      <c r="AT11" s="49">
        <f t="shared" si="2"/>
        <v>43</v>
      </c>
      <c r="AU11" s="49">
        <f t="shared" si="2"/>
        <v>44</v>
      </c>
      <c r="AV11" s="49">
        <f t="shared" si="2"/>
        <v>45</v>
      </c>
      <c r="AW11" s="49">
        <f t="shared" si="2"/>
        <v>46</v>
      </c>
      <c r="AX11" s="49">
        <f t="shared" si="2"/>
        <v>47</v>
      </c>
      <c r="AY11" s="49">
        <f t="shared" si="2"/>
        <v>48</v>
      </c>
      <c r="AZ11" s="49">
        <f t="shared" si="2"/>
        <v>49</v>
      </c>
      <c r="BA11" s="49">
        <f t="shared" si="2"/>
        <v>50</v>
      </c>
      <c r="BB11" s="49">
        <f t="shared" si="2"/>
        <v>51</v>
      </c>
      <c r="BC11" s="49">
        <f t="shared" si="2"/>
        <v>52</v>
      </c>
      <c r="BD11" s="49">
        <f t="shared" si="2"/>
        <v>53</v>
      </c>
      <c r="BE11" s="49">
        <f t="shared" si="2"/>
        <v>54</v>
      </c>
      <c r="BF11" s="49">
        <f t="shared" si="2"/>
        <v>55</v>
      </c>
      <c r="BG11" s="49">
        <f t="shared" si="2"/>
        <v>56</v>
      </c>
      <c r="BH11" s="49">
        <f t="shared" si="2"/>
        <v>57</v>
      </c>
      <c r="BI11" s="49">
        <f t="shared" si="2"/>
        <v>58</v>
      </c>
      <c r="BJ11" s="49">
        <f t="shared" si="2"/>
        <v>59</v>
      </c>
      <c r="BK11" s="49">
        <f t="shared" si="2"/>
        <v>60</v>
      </c>
      <c r="BL11" s="49">
        <f t="shared" si="2"/>
        <v>61</v>
      </c>
      <c r="BM11" s="49">
        <f t="shared" si="2"/>
        <v>62</v>
      </c>
      <c r="BN11" s="49">
        <f t="shared" si="2"/>
        <v>63</v>
      </c>
      <c r="BO11" s="49">
        <f t="shared" si="2"/>
        <v>64</v>
      </c>
      <c r="BP11" s="49">
        <f t="shared" si="2"/>
        <v>65</v>
      </c>
      <c r="BQ11" s="49">
        <f t="shared" ref="BQ11:EB11" si="3">BP11+1</f>
        <v>66</v>
      </c>
      <c r="BR11" s="49">
        <f t="shared" si="3"/>
        <v>67</v>
      </c>
      <c r="BS11" s="49">
        <f t="shared" si="3"/>
        <v>68</v>
      </c>
      <c r="BT11" s="49">
        <f t="shared" si="3"/>
        <v>69</v>
      </c>
      <c r="BU11" s="49">
        <f t="shared" si="3"/>
        <v>70</v>
      </c>
      <c r="BV11" s="49">
        <f t="shared" si="3"/>
        <v>71</v>
      </c>
      <c r="BW11" s="49">
        <f t="shared" si="3"/>
        <v>72</v>
      </c>
      <c r="BX11" s="49">
        <f t="shared" si="3"/>
        <v>73</v>
      </c>
      <c r="BY11" s="49">
        <f t="shared" si="3"/>
        <v>74</v>
      </c>
      <c r="BZ11" s="49">
        <f t="shared" si="3"/>
        <v>75</v>
      </c>
      <c r="CA11" s="49">
        <f t="shared" si="3"/>
        <v>76</v>
      </c>
      <c r="CB11" s="49">
        <f t="shared" si="3"/>
        <v>77</v>
      </c>
      <c r="CC11" s="49">
        <f t="shared" si="3"/>
        <v>78</v>
      </c>
      <c r="CD11" s="49">
        <f t="shared" si="3"/>
        <v>79</v>
      </c>
      <c r="CE11" s="49">
        <f t="shared" si="3"/>
        <v>80</v>
      </c>
      <c r="CF11" s="49">
        <f t="shared" si="3"/>
        <v>81</v>
      </c>
      <c r="CG11" s="49">
        <f t="shared" si="3"/>
        <v>82</v>
      </c>
      <c r="CH11" s="49">
        <f t="shared" si="3"/>
        <v>83</v>
      </c>
      <c r="CI11" s="49">
        <f t="shared" si="3"/>
        <v>84</v>
      </c>
      <c r="CJ11" s="49">
        <f t="shared" si="3"/>
        <v>85</v>
      </c>
      <c r="CK11" s="49">
        <f t="shared" si="3"/>
        <v>86</v>
      </c>
      <c r="CL11" s="49">
        <f t="shared" si="3"/>
        <v>87</v>
      </c>
      <c r="CM11" s="49">
        <f t="shared" si="3"/>
        <v>88</v>
      </c>
      <c r="CN11" s="49">
        <f t="shared" si="3"/>
        <v>89</v>
      </c>
      <c r="CO11" s="49">
        <f t="shared" si="3"/>
        <v>90</v>
      </c>
      <c r="CP11" s="49">
        <f t="shared" si="3"/>
        <v>91</v>
      </c>
      <c r="CQ11" s="49">
        <f t="shared" si="3"/>
        <v>92</v>
      </c>
      <c r="CR11" s="49">
        <f t="shared" si="3"/>
        <v>93</v>
      </c>
      <c r="CS11" s="49">
        <f t="shared" si="3"/>
        <v>94</v>
      </c>
      <c r="CT11" s="49">
        <f t="shared" si="3"/>
        <v>95</v>
      </c>
      <c r="CU11" s="49">
        <f t="shared" si="3"/>
        <v>96</v>
      </c>
      <c r="CV11" s="49">
        <f t="shared" si="3"/>
        <v>97</v>
      </c>
      <c r="CW11" s="49">
        <f t="shared" si="3"/>
        <v>98</v>
      </c>
      <c r="CX11" s="49">
        <f t="shared" si="3"/>
        <v>99</v>
      </c>
      <c r="CY11" s="49">
        <f t="shared" si="3"/>
        <v>100</v>
      </c>
      <c r="CZ11" s="49">
        <f t="shared" si="3"/>
        <v>101</v>
      </c>
      <c r="DA11" s="49">
        <f t="shared" si="3"/>
        <v>102</v>
      </c>
      <c r="DB11" s="49">
        <f t="shared" si="3"/>
        <v>103</v>
      </c>
      <c r="DC11" s="49">
        <f t="shared" si="3"/>
        <v>104</v>
      </c>
      <c r="DD11" s="49">
        <f t="shared" si="3"/>
        <v>105</v>
      </c>
      <c r="DE11" s="49">
        <f t="shared" si="3"/>
        <v>106</v>
      </c>
      <c r="DF11" s="49">
        <f t="shared" si="3"/>
        <v>107</v>
      </c>
      <c r="DG11" s="49">
        <f t="shared" si="3"/>
        <v>108</v>
      </c>
      <c r="DH11" s="49">
        <f t="shared" si="3"/>
        <v>109</v>
      </c>
      <c r="DI11" s="49">
        <f t="shared" si="3"/>
        <v>110</v>
      </c>
      <c r="DJ11" s="49">
        <f t="shared" si="3"/>
        <v>111</v>
      </c>
      <c r="DK11" s="49">
        <f t="shared" si="3"/>
        <v>112</v>
      </c>
      <c r="DL11" s="49">
        <f t="shared" si="3"/>
        <v>113</v>
      </c>
      <c r="DM11" s="49">
        <f t="shared" si="3"/>
        <v>114</v>
      </c>
      <c r="DN11" s="49">
        <f t="shared" si="3"/>
        <v>115</v>
      </c>
      <c r="DO11" s="49">
        <f t="shared" si="3"/>
        <v>116</v>
      </c>
      <c r="DP11" s="49">
        <f t="shared" si="3"/>
        <v>117</v>
      </c>
      <c r="DQ11" s="49">
        <f t="shared" si="3"/>
        <v>118</v>
      </c>
      <c r="DR11" s="49">
        <f t="shared" si="3"/>
        <v>119</v>
      </c>
      <c r="DS11" s="49">
        <f t="shared" si="3"/>
        <v>120</v>
      </c>
      <c r="DT11" s="49">
        <f t="shared" si="3"/>
        <v>121</v>
      </c>
      <c r="DU11" s="49">
        <f t="shared" si="3"/>
        <v>122</v>
      </c>
      <c r="DV11" s="49">
        <f t="shared" si="3"/>
        <v>123</v>
      </c>
      <c r="DW11" s="49">
        <f t="shared" si="3"/>
        <v>124</v>
      </c>
      <c r="DX11" s="49">
        <f t="shared" si="3"/>
        <v>125</v>
      </c>
      <c r="DY11" s="49">
        <f t="shared" si="3"/>
        <v>126</v>
      </c>
      <c r="DZ11" s="49">
        <f t="shared" si="3"/>
        <v>127</v>
      </c>
      <c r="EA11" s="49">
        <f t="shared" si="3"/>
        <v>128</v>
      </c>
      <c r="EB11" s="49">
        <f t="shared" si="3"/>
        <v>129</v>
      </c>
      <c r="EC11" s="49">
        <f t="shared" ref="EC11:EE11" si="4">EB11+1</f>
        <v>130</v>
      </c>
      <c r="ED11" s="49">
        <f t="shared" si="4"/>
        <v>131</v>
      </c>
      <c r="EE11" s="50">
        <f t="shared" si="4"/>
        <v>132</v>
      </c>
    </row>
    <row r="12" spans="2:135" x14ac:dyDescent="0.15">
      <c r="B12" s="51" t="s">
        <v>37</v>
      </c>
      <c r="C12" s="52">
        <f ca="1">L2</f>
        <v>46053</v>
      </c>
      <c r="D12" s="52">
        <f ca="1">EOMONTH(C12,1)</f>
        <v>46081</v>
      </c>
      <c r="E12" s="52">
        <f t="shared" ref="E12:BP12" ca="1" si="5">EOMONTH(D12,1)</f>
        <v>46112</v>
      </c>
      <c r="F12" s="52">
        <f t="shared" ca="1" si="5"/>
        <v>46142</v>
      </c>
      <c r="G12" s="52">
        <f t="shared" ca="1" si="5"/>
        <v>46173</v>
      </c>
      <c r="H12" s="52">
        <f t="shared" ca="1" si="5"/>
        <v>46203</v>
      </c>
      <c r="I12" s="52">
        <f t="shared" ca="1" si="5"/>
        <v>46234</v>
      </c>
      <c r="J12" s="52">
        <f t="shared" ca="1" si="5"/>
        <v>46265</v>
      </c>
      <c r="K12" s="52">
        <f t="shared" ca="1" si="5"/>
        <v>46295</v>
      </c>
      <c r="L12" s="52">
        <f t="shared" ca="1" si="5"/>
        <v>46326</v>
      </c>
      <c r="M12" s="52">
        <f t="shared" ca="1" si="5"/>
        <v>46356</v>
      </c>
      <c r="N12" s="52">
        <f t="shared" ca="1" si="5"/>
        <v>46387</v>
      </c>
      <c r="O12" s="52">
        <f t="shared" ca="1" si="5"/>
        <v>46418</v>
      </c>
      <c r="P12" s="52">
        <f t="shared" ca="1" si="5"/>
        <v>46446</v>
      </c>
      <c r="Q12" s="52">
        <f t="shared" ca="1" si="5"/>
        <v>46477</v>
      </c>
      <c r="R12" s="52">
        <f t="shared" ca="1" si="5"/>
        <v>46507</v>
      </c>
      <c r="S12" s="52">
        <f t="shared" ca="1" si="5"/>
        <v>46538</v>
      </c>
      <c r="T12" s="52">
        <f t="shared" ca="1" si="5"/>
        <v>46568</v>
      </c>
      <c r="U12" s="52">
        <f t="shared" ca="1" si="5"/>
        <v>46599</v>
      </c>
      <c r="V12" s="52">
        <f t="shared" ca="1" si="5"/>
        <v>46630</v>
      </c>
      <c r="W12" s="52">
        <f t="shared" ca="1" si="5"/>
        <v>46660</v>
      </c>
      <c r="X12" s="52">
        <f t="shared" ca="1" si="5"/>
        <v>46691</v>
      </c>
      <c r="Y12" s="52">
        <f t="shared" ca="1" si="5"/>
        <v>46721</v>
      </c>
      <c r="Z12" s="52">
        <f t="shared" ca="1" si="5"/>
        <v>46752</v>
      </c>
      <c r="AA12" s="52">
        <f t="shared" ca="1" si="5"/>
        <v>46783</v>
      </c>
      <c r="AB12" s="52">
        <f t="shared" ca="1" si="5"/>
        <v>46812</v>
      </c>
      <c r="AC12" s="52">
        <f t="shared" ca="1" si="5"/>
        <v>46843</v>
      </c>
      <c r="AD12" s="52">
        <f t="shared" ca="1" si="5"/>
        <v>46873</v>
      </c>
      <c r="AE12" s="52">
        <f t="shared" ca="1" si="5"/>
        <v>46904</v>
      </c>
      <c r="AF12" s="52">
        <f t="shared" ca="1" si="5"/>
        <v>46934</v>
      </c>
      <c r="AG12" s="52">
        <f t="shared" ca="1" si="5"/>
        <v>46965</v>
      </c>
      <c r="AH12" s="52">
        <f t="shared" ca="1" si="5"/>
        <v>46996</v>
      </c>
      <c r="AI12" s="52">
        <f t="shared" ca="1" si="5"/>
        <v>47026</v>
      </c>
      <c r="AJ12" s="52">
        <f t="shared" ca="1" si="5"/>
        <v>47057</v>
      </c>
      <c r="AK12" s="52">
        <f t="shared" ca="1" si="5"/>
        <v>47087</v>
      </c>
      <c r="AL12" s="52">
        <f t="shared" ca="1" si="5"/>
        <v>47118</v>
      </c>
      <c r="AM12" s="52">
        <f t="shared" ca="1" si="5"/>
        <v>47149</v>
      </c>
      <c r="AN12" s="52">
        <f t="shared" ca="1" si="5"/>
        <v>47177</v>
      </c>
      <c r="AO12" s="52">
        <f t="shared" ca="1" si="5"/>
        <v>47208</v>
      </c>
      <c r="AP12" s="52">
        <f t="shared" ca="1" si="5"/>
        <v>47238</v>
      </c>
      <c r="AQ12" s="52">
        <f t="shared" ca="1" si="5"/>
        <v>47269</v>
      </c>
      <c r="AR12" s="52">
        <f t="shared" ca="1" si="5"/>
        <v>47299</v>
      </c>
      <c r="AS12" s="52">
        <f t="shared" ca="1" si="5"/>
        <v>47330</v>
      </c>
      <c r="AT12" s="52">
        <f t="shared" ca="1" si="5"/>
        <v>47361</v>
      </c>
      <c r="AU12" s="52">
        <f t="shared" ca="1" si="5"/>
        <v>47391</v>
      </c>
      <c r="AV12" s="52">
        <f t="shared" ca="1" si="5"/>
        <v>47422</v>
      </c>
      <c r="AW12" s="52">
        <f t="shared" ca="1" si="5"/>
        <v>47452</v>
      </c>
      <c r="AX12" s="52">
        <f t="shared" ca="1" si="5"/>
        <v>47483</v>
      </c>
      <c r="AY12" s="52">
        <f t="shared" ca="1" si="5"/>
        <v>47514</v>
      </c>
      <c r="AZ12" s="52">
        <f t="shared" ca="1" si="5"/>
        <v>47542</v>
      </c>
      <c r="BA12" s="52">
        <f t="shared" ca="1" si="5"/>
        <v>47573</v>
      </c>
      <c r="BB12" s="52">
        <f t="shared" ca="1" si="5"/>
        <v>47603</v>
      </c>
      <c r="BC12" s="52">
        <f t="shared" ca="1" si="5"/>
        <v>47634</v>
      </c>
      <c r="BD12" s="52">
        <f t="shared" ca="1" si="5"/>
        <v>47664</v>
      </c>
      <c r="BE12" s="52">
        <f t="shared" ca="1" si="5"/>
        <v>47695</v>
      </c>
      <c r="BF12" s="52">
        <f t="shared" ca="1" si="5"/>
        <v>47726</v>
      </c>
      <c r="BG12" s="52">
        <f t="shared" ca="1" si="5"/>
        <v>47756</v>
      </c>
      <c r="BH12" s="52">
        <f t="shared" ca="1" si="5"/>
        <v>47787</v>
      </c>
      <c r="BI12" s="52">
        <f t="shared" ca="1" si="5"/>
        <v>47817</v>
      </c>
      <c r="BJ12" s="52">
        <f t="shared" ca="1" si="5"/>
        <v>47848</v>
      </c>
      <c r="BK12" s="52">
        <f t="shared" ca="1" si="5"/>
        <v>47879</v>
      </c>
      <c r="BL12" s="52">
        <f t="shared" ca="1" si="5"/>
        <v>47907</v>
      </c>
      <c r="BM12" s="52">
        <f t="shared" ca="1" si="5"/>
        <v>47938</v>
      </c>
      <c r="BN12" s="52">
        <f t="shared" ca="1" si="5"/>
        <v>47968</v>
      </c>
      <c r="BO12" s="52">
        <f t="shared" ca="1" si="5"/>
        <v>47999</v>
      </c>
      <c r="BP12" s="52">
        <f t="shared" ca="1" si="5"/>
        <v>48029</v>
      </c>
      <c r="BQ12" s="52">
        <f t="shared" ref="BQ12:EB12" ca="1" si="6">EOMONTH(BP12,1)</f>
        <v>48060</v>
      </c>
      <c r="BR12" s="52">
        <f t="shared" ca="1" si="6"/>
        <v>48091</v>
      </c>
      <c r="BS12" s="52">
        <f t="shared" ca="1" si="6"/>
        <v>48121</v>
      </c>
      <c r="BT12" s="52">
        <f t="shared" ca="1" si="6"/>
        <v>48152</v>
      </c>
      <c r="BU12" s="52">
        <f t="shared" ca="1" si="6"/>
        <v>48182</v>
      </c>
      <c r="BV12" s="52">
        <f t="shared" ca="1" si="6"/>
        <v>48213</v>
      </c>
      <c r="BW12" s="52">
        <f t="shared" ca="1" si="6"/>
        <v>48244</v>
      </c>
      <c r="BX12" s="52">
        <f t="shared" ca="1" si="6"/>
        <v>48273</v>
      </c>
      <c r="BY12" s="52">
        <f t="shared" ca="1" si="6"/>
        <v>48304</v>
      </c>
      <c r="BZ12" s="52">
        <f t="shared" ca="1" si="6"/>
        <v>48334</v>
      </c>
      <c r="CA12" s="52">
        <f t="shared" ca="1" si="6"/>
        <v>48365</v>
      </c>
      <c r="CB12" s="52">
        <f t="shared" ca="1" si="6"/>
        <v>48395</v>
      </c>
      <c r="CC12" s="52">
        <f t="shared" ca="1" si="6"/>
        <v>48426</v>
      </c>
      <c r="CD12" s="52">
        <f t="shared" ca="1" si="6"/>
        <v>48457</v>
      </c>
      <c r="CE12" s="52">
        <f t="shared" ca="1" si="6"/>
        <v>48487</v>
      </c>
      <c r="CF12" s="52">
        <f t="shared" ca="1" si="6"/>
        <v>48518</v>
      </c>
      <c r="CG12" s="52">
        <f t="shared" ca="1" si="6"/>
        <v>48548</v>
      </c>
      <c r="CH12" s="52">
        <f t="shared" ca="1" si="6"/>
        <v>48579</v>
      </c>
      <c r="CI12" s="52">
        <f t="shared" ca="1" si="6"/>
        <v>48610</v>
      </c>
      <c r="CJ12" s="52">
        <f t="shared" ca="1" si="6"/>
        <v>48638</v>
      </c>
      <c r="CK12" s="52">
        <f t="shared" ca="1" si="6"/>
        <v>48669</v>
      </c>
      <c r="CL12" s="52">
        <f t="shared" ca="1" si="6"/>
        <v>48699</v>
      </c>
      <c r="CM12" s="52">
        <f t="shared" ca="1" si="6"/>
        <v>48730</v>
      </c>
      <c r="CN12" s="52">
        <f t="shared" ca="1" si="6"/>
        <v>48760</v>
      </c>
      <c r="CO12" s="52">
        <f t="shared" ca="1" si="6"/>
        <v>48791</v>
      </c>
      <c r="CP12" s="52">
        <f t="shared" ca="1" si="6"/>
        <v>48822</v>
      </c>
      <c r="CQ12" s="52">
        <f t="shared" ca="1" si="6"/>
        <v>48852</v>
      </c>
      <c r="CR12" s="52">
        <f t="shared" ca="1" si="6"/>
        <v>48883</v>
      </c>
      <c r="CS12" s="52">
        <f t="shared" ca="1" si="6"/>
        <v>48913</v>
      </c>
      <c r="CT12" s="52">
        <f t="shared" ca="1" si="6"/>
        <v>48944</v>
      </c>
      <c r="CU12" s="52">
        <f t="shared" ca="1" si="6"/>
        <v>48975</v>
      </c>
      <c r="CV12" s="52">
        <f t="shared" ca="1" si="6"/>
        <v>49003</v>
      </c>
      <c r="CW12" s="52">
        <f t="shared" ca="1" si="6"/>
        <v>49034</v>
      </c>
      <c r="CX12" s="52">
        <f t="shared" ca="1" si="6"/>
        <v>49064</v>
      </c>
      <c r="CY12" s="52">
        <f t="shared" ca="1" si="6"/>
        <v>49095</v>
      </c>
      <c r="CZ12" s="52">
        <f t="shared" ca="1" si="6"/>
        <v>49125</v>
      </c>
      <c r="DA12" s="52">
        <f t="shared" ca="1" si="6"/>
        <v>49156</v>
      </c>
      <c r="DB12" s="52">
        <f t="shared" ca="1" si="6"/>
        <v>49187</v>
      </c>
      <c r="DC12" s="52">
        <f t="shared" ca="1" si="6"/>
        <v>49217</v>
      </c>
      <c r="DD12" s="52">
        <f t="shared" ca="1" si="6"/>
        <v>49248</v>
      </c>
      <c r="DE12" s="52">
        <f t="shared" ca="1" si="6"/>
        <v>49278</v>
      </c>
      <c r="DF12" s="52">
        <f t="shared" ca="1" si="6"/>
        <v>49309</v>
      </c>
      <c r="DG12" s="52">
        <f t="shared" ca="1" si="6"/>
        <v>49340</v>
      </c>
      <c r="DH12" s="52">
        <f t="shared" ca="1" si="6"/>
        <v>49368</v>
      </c>
      <c r="DI12" s="52">
        <f t="shared" ca="1" si="6"/>
        <v>49399</v>
      </c>
      <c r="DJ12" s="52">
        <f t="shared" ca="1" si="6"/>
        <v>49429</v>
      </c>
      <c r="DK12" s="52">
        <f t="shared" ca="1" si="6"/>
        <v>49460</v>
      </c>
      <c r="DL12" s="52">
        <f t="shared" ca="1" si="6"/>
        <v>49490</v>
      </c>
      <c r="DM12" s="52">
        <f t="shared" ca="1" si="6"/>
        <v>49521</v>
      </c>
      <c r="DN12" s="52">
        <f t="shared" ca="1" si="6"/>
        <v>49552</v>
      </c>
      <c r="DO12" s="52">
        <f t="shared" ca="1" si="6"/>
        <v>49582</v>
      </c>
      <c r="DP12" s="52">
        <f t="shared" ca="1" si="6"/>
        <v>49613</v>
      </c>
      <c r="DQ12" s="52">
        <f t="shared" ca="1" si="6"/>
        <v>49643</v>
      </c>
      <c r="DR12" s="52">
        <f t="shared" ca="1" si="6"/>
        <v>49674</v>
      </c>
      <c r="DS12" s="52">
        <f t="shared" ca="1" si="6"/>
        <v>49705</v>
      </c>
      <c r="DT12" s="52">
        <f t="shared" ca="1" si="6"/>
        <v>49734</v>
      </c>
      <c r="DU12" s="52">
        <f t="shared" ca="1" si="6"/>
        <v>49765</v>
      </c>
      <c r="DV12" s="52">
        <f t="shared" ca="1" si="6"/>
        <v>49795</v>
      </c>
      <c r="DW12" s="52">
        <f t="shared" ca="1" si="6"/>
        <v>49826</v>
      </c>
      <c r="DX12" s="52">
        <f t="shared" ca="1" si="6"/>
        <v>49856</v>
      </c>
      <c r="DY12" s="52">
        <f t="shared" ca="1" si="6"/>
        <v>49887</v>
      </c>
      <c r="DZ12" s="52">
        <f t="shared" ca="1" si="6"/>
        <v>49918</v>
      </c>
      <c r="EA12" s="52">
        <f t="shared" ca="1" si="6"/>
        <v>49948</v>
      </c>
      <c r="EB12" s="52">
        <f t="shared" ca="1" si="6"/>
        <v>49979</v>
      </c>
      <c r="EC12" s="52">
        <f t="shared" ref="EC12:EE12" ca="1" si="7">EOMONTH(EB12,1)</f>
        <v>50009</v>
      </c>
      <c r="ED12" s="52">
        <f t="shared" ca="1" si="7"/>
        <v>50040</v>
      </c>
      <c r="EE12" s="53">
        <f t="shared" ca="1" si="7"/>
        <v>50071</v>
      </c>
    </row>
    <row r="13" spans="2:135" x14ac:dyDescent="0.15">
      <c r="B13" s="6" t="s">
        <v>38</v>
      </c>
      <c r="C13" s="54">
        <v>0</v>
      </c>
      <c r="D13" s="54">
        <f>($L$3*$L$5/12)*(1+$L$6)^((D11-1)/12)</f>
        <v>166666.66666666666</v>
      </c>
      <c r="E13" s="54">
        <f t="shared" ref="E13:BP13" si="8">($L$3*$L$5/12)*(1+$L$6)^((E11-1)/12)</f>
        <v>167077.71162871728</v>
      </c>
      <c r="F13" s="54">
        <f t="shared" si="8"/>
        <v>167489.77033853281</v>
      </c>
      <c r="G13" s="54">
        <f t="shared" si="8"/>
        <v>167902.84529628881</v>
      </c>
      <c r="H13" s="54">
        <f t="shared" si="8"/>
        <v>168316.93900832682</v>
      </c>
      <c r="I13" s="54">
        <f t="shared" si="8"/>
        <v>168732.05398716973</v>
      </c>
      <c r="J13" s="54">
        <f t="shared" si="8"/>
        <v>169148.19275153699</v>
      </c>
      <c r="K13" s="54">
        <f t="shared" si="8"/>
        <v>169565.35782635986</v>
      </c>
      <c r="L13" s="54">
        <f t="shared" si="8"/>
        <v>169983.55174279687</v>
      </c>
      <c r="M13" s="54">
        <f t="shared" si="8"/>
        <v>170402.77703824893</v>
      </c>
      <c r="N13" s="54">
        <f t="shared" si="8"/>
        <v>170823.03625637494</v>
      </c>
      <c r="O13" s="54">
        <f t="shared" si="8"/>
        <v>171244.33194710719</v>
      </c>
      <c r="P13" s="54">
        <f t="shared" si="8"/>
        <v>171666.66666666666</v>
      </c>
      <c r="Q13" s="54">
        <f t="shared" si="8"/>
        <v>172090.04297757879</v>
      </c>
      <c r="R13" s="54">
        <f t="shared" si="8"/>
        <v>172514.4634486888</v>
      </c>
      <c r="S13" s="54">
        <f t="shared" si="8"/>
        <v>172939.93065517751</v>
      </c>
      <c r="T13" s="54">
        <f t="shared" si="8"/>
        <v>173366.44717857664</v>
      </c>
      <c r="U13" s="54">
        <f t="shared" si="8"/>
        <v>173794.01560678481</v>
      </c>
      <c r="V13" s="54">
        <f t="shared" si="8"/>
        <v>174222.63853408312</v>
      </c>
      <c r="W13" s="54">
        <f t="shared" si="8"/>
        <v>174652.31856115069</v>
      </c>
      <c r="X13" s="54">
        <f t="shared" si="8"/>
        <v>175083.05829508079</v>
      </c>
      <c r="Y13" s="54">
        <f t="shared" si="8"/>
        <v>175514.86034939639</v>
      </c>
      <c r="Z13" s="54">
        <f t="shared" si="8"/>
        <v>175947.72734406622</v>
      </c>
      <c r="AA13" s="54">
        <f t="shared" si="8"/>
        <v>176381.66190552039</v>
      </c>
      <c r="AB13" s="54">
        <f t="shared" si="8"/>
        <v>176816.66666666666</v>
      </c>
      <c r="AC13" s="54">
        <f t="shared" si="8"/>
        <v>177252.74426690614</v>
      </c>
      <c r="AD13" s="54">
        <f t="shared" si="8"/>
        <v>177689.89735214948</v>
      </c>
      <c r="AE13" s="54">
        <f t="shared" si="8"/>
        <v>178128.12857483281</v>
      </c>
      <c r="AF13" s="54">
        <f t="shared" si="8"/>
        <v>178567.44059393395</v>
      </c>
      <c r="AG13" s="54">
        <f t="shared" si="8"/>
        <v>179007.83607498836</v>
      </c>
      <c r="AH13" s="54">
        <f t="shared" si="8"/>
        <v>179449.31769010558</v>
      </c>
      <c r="AI13" s="54">
        <f t="shared" si="8"/>
        <v>179891.88811798522</v>
      </c>
      <c r="AJ13" s="54">
        <f t="shared" si="8"/>
        <v>180335.55004393324</v>
      </c>
      <c r="AK13" s="54">
        <f t="shared" si="8"/>
        <v>180780.3061598783</v>
      </c>
      <c r="AL13" s="54">
        <f t="shared" si="8"/>
        <v>181226.1591643882</v>
      </c>
      <c r="AM13" s="54">
        <f t="shared" si="8"/>
        <v>181673.11176268602</v>
      </c>
      <c r="AN13" s="54">
        <f t="shared" si="8"/>
        <v>182121.16666666666</v>
      </c>
      <c r="AO13" s="54">
        <f t="shared" si="8"/>
        <v>182570.32659491335</v>
      </c>
      <c r="AP13" s="54">
        <f t="shared" si="8"/>
        <v>183020.59427271396</v>
      </c>
      <c r="AQ13" s="54">
        <f t="shared" si="8"/>
        <v>183471.9724320778</v>
      </c>
      <c r="AR13" s="54">
        <f t="shared" si="8"/>
        <v>183924.46381175198</v>
      </c>
      <c r="AS13" s="54">
        <f t="shared" si="8"/>
        <v>184378.07115723801</v>
      </c>
      <c r="AT13" s="54">
        <f t="shared" si="8"/>
        <v>184832.79722080877</v>
      </c>
      <c r="AU13" s="54">
        <f t="shared" si="8"/>
        <v>185288.64476152477</v>
      </c>
      <c r="AV13" s="54">
        <f t="shared" si="8"/>
        <v>185745.61654525122</v>
      </c>
      <c r="AW13" s="54">
        <f t="shared" si="8"/>
        <v>186203.71534467468</v>
      </c>
      <c r="AX13" s="54">
        <f t="shared" si="8"/>
        <v>186662.94393931987</v>
      </c>
      <c r="AY13" s="54">
        <f t="shared" si="8"/>
        <v>187123.30511556662</v>
      </c>
      <c r="AZ13" s="54">
        <f t="shared" si="8"/>
        <v>187584.80166666664</v>
      </c>
      <c r="BA13" s="54">
        <f t="shared" si="8"/>
        <v>188047.43639276072</v>
      </c>
      <c r="BB13" s="54">
        <f t="shared" si="8"/>
        <v>188511.21210089538</v>
      </c>
      <c r="BC13" s="54">
        <f t="shared" si="8"/>
        <v>188976.13160504014</v>
      </c>
      <c r="BD13" s="54">
        <f t="shared" si="8"/>
        <v>189442.19772610452</v>
      </c>
      <c r="BE13" s="54">
        <f t="shared" si="8"/>
        <v>189909.41329195516</v>
      </c>
      <c r="BF13" s="54">
        <f t="shared" si="8"/>
        <v>190377.78113743305</v>
      </c>
      <c r="BG13" s="54">
        <f t="shared" si="8"/>
        <v>190847.3041043705</v>
      </c>
      <c r="BH13" s="54">
        <f t="shared" si="8"/>
        <v>191317.98504160874</v>
      </c>
      <c r="BI13" s="54">
        <f t="shared" si="8"/>
        <v>191789.82680501492</v>
      </c>
      <c r="BJ13" s="54">
        <f t="shared" si="8"/>
        <v>192262.83225749948</v>
      </c>
      <c r="BK13" s="54">
        <f t="shared" si="8"/>
        <v>192737.00426903361</v>
      </c>
      <c r="BL13" s="54">
        <f t="shared" si="8"/>
        <v>193212.34571666663</v>
      </c>
      <c r="BM13" s="54">
        <f t="shared" si="8"/>
        <v>193688.85948454356</v>
      </c>
      <c r="BN13" s="54">
        <f t="shared" si="8"/>
        <v>194166.54846392226</v>
      </c>
      <c r="BO13" s="54">
        <f t="shared" si="8"/>
        <v>194645.41555319136</v>
      </c>
      <c r="BP13" s="54">
        <f t="shared" si="8"/>
        <v>195125.46365788765</v>
      </c>
      <c r="BQ13" s="54">
        <f t="shared" ref="BQ13:EB13" si="9">($L$3*$L$5/12)*(1+$L$6)^((BQ11-1)/12)</f>
        <v>195606.69569071382</v>
      </c>
      <c r="BR13" s="54">
        <f t="shared" si="9"/>
        <v>196089.11457155604</v>
      </c>
      <c r="BS13" s="54">
        <f t="shared" si="9"/>
        <v>196572.72322750161</v>
      </c>
      <c r="BT13" s="54">
        <f t="shared" si="9"/>
        <v>197057.52459285702</v>
      </c>
      <c r="BU13" s="54">
        <f t="shared" si="9"/>
        <v>197543.52160916536</v>
      </c>
      <c r="BV13" s="54">
        <f t="shared" si="9"/>
        <v>198030.71722522445</v>
      </c>
      <c r="BW13" s="54">
        <f t="shared" si="9"/>
        <v>198519.11439710463</v>
      </c>
      <c r="BX13" s="54">
        <f t="shared" si="9"/>
        <v>199008.71608816664</v>
      </c>
      <c r="BY13" s="54">
        <f t="shared" si="9"/>
        <v>199499.52526907987</v>
      </c>
      <c r="BZ13" s="54">
        <f t="shared" si="9"/>
        <v>199991.54491783996</v>
      </c>
      <c r="CA13" s="54">
        <f t="shared" si="9"/>
        <v>200484.7780197871</v>
      </c>
      <c r="CB13" s="54">
        <f t="shared" si="9"/>
        <v>200979.2275676243</v>
      </c>
      <c r="CC13" s="54">
        <f t="shared" si="9"/>
        <v>201474.89656143528</v>
      </c>
      <c r="CD13" s="54">
        <f t="shared" si="9"/>
        <v>201971.78800870274</v>
      </c>
      <c r="CE13" s="54">
        <f t="shared" si="9"/>
        <v>202469.90492432669</v>
      </c>
      <c r="CF13" s="54">
        <f t="shared" si="9"/>
        <v>202969.25033064274</v>
      </c>
      <c r="CG13" s="54">
        <f t="shared" si="9"/>
        <v>203469.82725744034</v>
      </c>
      <c r="CH13" s="54">
        <f t="shared" si="9"/>
        <v>203971.63874198121</v>
      </c>
      <c r="CI13" s="54">
        <f t="shared" si="9"/>
        <v>204474.68782901778</v>
      </c>
      <c r="CJ13" s="54">
        <f t="shared" si="9"/>
        <v>204978.97757081166</v>
      </c>
      <c r="CK13" s="54">
        <f t="shared" si="9"/>
        <v>205484.5110271523</v>
      </c>
      <c r="CL13" s="54">
        <f t="shared" si="9"/>
        <v>205991.29126537513</v>
      </c>
      <c r="CM13" s="54">
        <f t="shared" si="9"/>
        <v>206499.32136038074</v>
      </c>
      <c r="CN13" s="54">
        <f t="shared" si="9"/>
        <v>207008.60439465303</v>
      </c>
      <c r="CO13" s="54">
        <f t="shared" si="9"/>
        <v>207519.14345827833</v>
      </c>
      <c r="CP13" s="54">
        <f t="shared" si="9"/>
        <v>208030.94164896381</v>
      </c>
      <c r="CQ13" s="54">
        <f t="shared" si="9"/>
        <v>208544.00207205649</v>
      </c>
      <c r="CR13" s="54">
        <f t="shared" si="9"/>
        <v>209058.32784056201</v>
      </c>
      <c r="CS13" s="54">
        <f t="shared" si="9"/>
        <v>209573.92207516354</v>
      </c>
      <c r="CT13" s="54">
        <f t="shared" si="9"/>
        <v>210090.78790424063</v>
      </c>
      <c r="CU13" s="54">
        <f t="shared" si="9"/>
        <v>210608.9284638883</v>
      </c>
      <c r="CV13" s="54">
        <f t="shared" si="9"/>
        <v>211128.34689793599</v>
      </c>
      <c r="CW13" s="54">
        <f t="shared" si="9"/>
        <v>211649.04635796687</v>
      </c>
      <c r="CX13" s="54">
        <f t="shared" si="9"/>
        <v>212171.0300033364</v>
      </c>
      <c r="CY13" s="54">
        <f t="shared" si="9"/>
        <v>212694.30100119216</v>
      </c>
      <c r="CZ13" s="54">
        <f t="shared" si="9"/>
        <v>213218.86252649265</v>
      </c>
      <c r="DA13" s="54">
        <f t="shared" si="9"/>
        <v>213744.71776202667</v>
      </c>
      <c r="DB13" s="54">
        <f t="shared" si="9"/>
        <v>214271.86989843275</v>
      </c>
      <c r="DC13" s="54">
        <f t="shared" si="9"/>
        <v>214800.32213421821</v>
      </c>
      <c r="DD13" s="54">
        <f t="shared" si="9"/>
        <v>215330.07767577888</v>
      </c>
      <c r="DE13" s="54">
        <f t="shared" si="9"/>
        <v>215861.13973741847</v>
      </c>
      <c r="DF13" s="54">
        <f t="shared" si="9"/>
        <v>216393.51154136786</v>
      </c>
      <c r="DG13" s="54">
        <f t="shared" si="9"/>
        <v>216927.19631780495</v>
      </c>
      <c r="DH13" s="54">
        <f t="shared" si="9"/>
        <v>217462.19730487408</v>
      </c>
      <c r="DI13" s="54">
        <f t="shared" si="9"/>
        <v>217998.5177487059</v>
      </c>
      <c r="DJ13" s="54">
        <f t="shared" si="9"/>
        <v>218536.16090343648</v>
      </c>
      <c r="DK13" s="54">
        <f t="shared" si="9"/>
        <v>219075.13003122789</v>
      </c>
      <c r="DL13" s="54">
        <f t="shared" si="9"/>
        <v>219615.42840228742</v>
      </c>
      <c r="DM13" s="54">
        <f t="shared" si="9"/>
        <v>220157.05929488747</v>
      </c>
      <c r="DN13" s="54">
        <f t="shared" si="9"/>
        <v>220700.02599538572</v>
      </c>
      <c r="DO13" s="54">
        <f t="shared" si="9"/>
        <v>221244.33179824476</v>
      </c>
      <c r="DP13" s="54">
        <f t="shared" si="9"/>
        <v>221789.98000605227</v>
      </c>
      <c r="DQ13" s="54">
        <f t="shared" si="9"/>
        <v>222336.97392954101</v>
      </c>
      <c r="DR13" s="54">
        <f t="shared" si="9"/>
        <v>222885.3168876089</v>
      </c>
      <c r="DS13" s="54">
        <f t="shared" si="9"/>
        <v>223435.01220733911</v>
      </c>
      <c r="DT13" s="54">
        <f t="shared" si="9"/>
        <v>223986.0632240203</v>
      </c>
      <c r="DU13" s="54">
        <f t="shared" si="9"/>
        <v>224538.47328116707</v>
      </c>
      <c r="DV13" s="54">
        <f t="shared" si="9"/>
        <v>225092.24573053961</v>
      </c>
      <c r="DW13" s="54">
        <f t="shared" si="9"/>
        <v>225647.38393216475</v>
      </c>
      <c r="DX13" s="54">
        <f t="shared" si="9"/>
        <v>226203.89125435604</v>
      </c>
      <c r="DY13" s="54">
        <f t="shared" si="9"/>
        <v>226761.7710737341</v>
      </c>
      <c r="DZ13" s="54">
        <f t="shared" si="9"/>
        <v>227321.0267752473</v>
      </c>
      <c r="EA13" s="54">
        <f t="shared" si="9"/>
        <v>227881.6617521921</v>
      </c>
      <c r="EB13" s="54">
        <f t="shared" si="9"/>
        <v>228443.67940623383</v>
      </c>
      <c r="EC13" s="54">
        <f t="shared" ref="EC13:EE13" si="10">($L$3*$L$5/12)*(1+$L$6)^((EC11-1)/12)</f>
        <v>229007.08314742727</v>
      </c>
      <c r="ED13" s="54">
        <f t="shared" si="10"/>
        <v>229571.87639423719</v>
      </c>
      <c r="EE13" s="66">
        <f t="shared" si="10"/>
        <v>230138.06257355932</v>
      </c>
    </row>
    <row r="14" spans="2:135" x14ac:dyDescent="0.15">
      <c r="B14" s="7" t="s">
        <v>39</v>
      </c>
      <c r="C14" s="54">
        <v>0</v>
      </c>
      <c r="D14" s="54">
        <f>IF(D11&lt;=$L$7,PPMT($O$8/12,D11,$O$9*12,$L$3*$O$6,0,0),0)</f>
        <v>-20073.147874832212</v>
      </c>
      <c r="E14" s="54">
        <f t="shared" ref="E14:BP14" si="11">IF(E11&lt;=$L$7,PPMT($O$8/12,E11,$O$9*12,$L$3*$O$6,0,0),0)</f>
        <v>-20160.967896784601</v>
      </c>
      <c r="F14" s="54">
        <f t="shared" si="11"/>
        <v>-20249.172131333034</v>
      </c>
      <c r="G14" s="54">
        <f t="shared" si="11"/>
        <v>-20337.762259407613</v>
      </c>
      <c r="H14" s="54">
        <f t="shared" si="11"/>
        <v>-20426.739969292525</v>
      </c>
      <c r="I14" s="54">
        <f t="shared" si="11"/>
        <v>-20516.106956658179</v>
      </c>
      <c r="J14" s="54">
        <f t="shared" si="11"/>
        <v>-20605.864924593563</v>
      </c>
      <c r="K14" s="54">
        <f t="shared" si="11"/>
        <v>-20696.015583638655</v>
      </c>
      <c r="L14" s="54">
        <f t="shared" si="11"/>
        <v>-20786.560651817072</v>
      </c>
      <c r="M14" s="54">
        <f t="shared" si="11"/>
        <v>-20877.501854668779</v>
      </c>
      <c r="N14" s="54">
        <f t="shared" si="11"/>
        <v>-20968.840925282952</v>
      </c>
      <c r="O14" s="54">
        <f t="shared" si="11"/>
        <v>-21060.579604331062</v>
      </c>
      <c r="P14" s="54">
        <f t="shared" si="11"/>
        <v>-21152.719640100015</v>
      </c>
      <c r="Q14" s="54">
        <f t="shared" si="11"/>
        <v>-21245.262788525448</v>
      </c>
      <c r="R14" s="54">
        <f t="shared" si="11"/>
        <v>-21338.210813225243</v>
      </c>
      <c r="S14" s="54">
        <f t="shared" si="11"/>
        <v>-21431.565485533109</v>
      </c>
      <c r="T14" s="54">
        <f t="shared" si="11"/>
        <v>-21525.328584532319</v>
      </c>
      <c r="U14" s="54">
        <f t="shared" si="11"/>
        <v>-21619.501897089642</v>
      </c>
      <c r="V14" s="54">
        <f t="shared" si="11"/>
        <v>-21714.08721788941</v>
      </c>
      <c r="W14" s="54">
        <f t="shared" si="11"/>
        <v>-21809.086349467678</v>
      </c>
      <c r="X14" s="54">
        <f t="shared" si="11"/>
        <v>-21904.501102246599</v>
      </c>
      <c r="Y14" s="54">
        <f t="shared" si="11"/>
        <v>-22000.333294568929</v>
      </c>
      <c r="Z14" s="54">
        <f t="shared" si="11"/>
        <v>-22096.58475273267</v>
      </c>
      <c r="AA14" s="54">
        <f t="shared" si="11"/>
        <v>-22193.257311025875</v>
      </c>
      <c r="AB14" s="54">
        <f t="shared" si="11"/>
        <v>0</v>
      </c>
      <c r="AC14" s="54">
        <f t="shared" si="11"/>
        <v>0</v>
      </c>
      <c r="AD14" s="54">
        <f t="shared" si="11"/>
        <v>0</v>
      </c>
      <c r="AE14" s="54">
        <f t="shared" si="11"/>
        <v>0</v>
      </c>
      <c r="AF14" s="54">
        <f t="shared" si="11"/>
        <v>0</v>
      </c>
      <c r="AG14" s="54">
        <f t="shared" si="11"/>
        <v>0</v>
      </c>
      <c r="AH14" s="54">
        <f t="shared" si="11"/>
        <v>0</v>
      </c>
      <c r="AI14" s="54">
        <f t="shared" si="11"/>
        <v>0</v>
      </c>
      <c r="AJ14" s="54">
        <f t="shared" si="11"/>
        <v>0</v>
      </c>
      <c r="AK14" s="54">
        <f t="shared" si="11"/>
        <v>0</v>
      </c>
      <c r="AL14" s="54">
        <f t="shared" si="11"/>
        <v>0</v>
      </c>
      <c r="AM14" s="54">
        <f t="shared" si="11"/>
        <v>0</v>
      </c>
      <c r="AN14" s="54">
        <f t="shared" si="11"/>
        <v>0</v>
      </c>
      <c r="AO14" s="54">
        <f t="shared" si="11"/>
        <v>0</v>
      </c>
      <c r="AP14" s="54">
        <f t="shared" si="11"/>
        <v>0</v>
      </c>
      <c r="AQ14" s="54">
        <f t="shared" si="11"/>
        <v>0</v>
      </c>
      <c r="AR14" s="54">
        <f t="shared" si="11"/>
        <v>0</v>
      </c>
      <c r="AS14" s="54">
        <f t="shared" si="11"/>
        <v>0</v>
      </c>
      <c r="AT14" s="54">
        <f t="shared" si="11"/>
        <v>0</v>
      </c>
      <c r="AU14" s="54">
        <f t="shared" si="11"/>
        <v>0</v>
      </c>
      <c r="AV14" s="54">
        <f t="shared" si="11"/>
        <v>0</v>
      </c>
      <c r="AW14" s="54">
        <f t="shared" si="11"/>
        <v>0</v>
      </c>
      <c r="AX14" s="54">
        <f t="shared" si="11"/>
        <v>0</v>
      </c>
      <c r="AY14" s="54">
        <f t="shared" si="11"/>
        <v>0</v>
      </c>
      <c r="AZ14" s="54">
        <f t="shared" si="11"/>
        <v>0</v>
      </c>
      <c r="BA14" s="54">
        <f t="shared" si="11"/>
        <v>0</v>
      </c>
      <c r="BB14" s="54">
        <f t="shared" si="11"/>
        <v>0</v>
      </c>
      <c r="BC14" s="54">
        <f t="shared" si="11"/>
        <v>0</v>
      </c>
      <c r="BD14" s="54">
        <f t="shared" si="11"/>
        <v>0</v>
      </c>
      <c r="BE14" s="54">
        <f t="shared" si="11"/>
        <v>0</v>
      </c>
      <c r="BF14" s="54">
        <f t="shared" si="11"/>
        <v>0</v>
      </c>
      <c r="BG14" s="54">
        <f t="shared" si="11"/>
        <v>0</v>
      </c>
      <c r="BH14" s="54">
        <f t="shared" si="11"/>
        <v>0</v>
      </c>
      <c r="BI14" s="54">
        <f t="shared" si="11"/>
        <v>0</v>
      </c>
      <c r="BJ14" s="54">
        <f t="shared" si="11"/>
        <v>0</v>
      </c>
      <c r="BK14" s="54">
        <f t="shared" si="11"/>
        <v>0</v>
      </c>
      <c r="BL14" s="54">
        <f t="shared" si="11"/>
        <v>0</v>
      </c>
      <c r="BM14" s="54">
        <f t="shared" si="11"/>
        <v>0</v>
      </c>
      <c r="BN14" s="54">
        <f t="shared" si="11"/>
        <v>0</v>
      </c>
      <c r="BO14" s="54">
        <f t="shared" si="11"/>
        <v>0</v>
      </c>
      <c r="BP14" s="54">
        <f t="shared" si="11"/>
        <v>0</v>
      </c>
      <c r="BQ14" s="54">
        <f t="shared" ref="BQ14:EB14" si="12">IF(BQ11&lt;=$L$7,PPMT($O$8/12,BQ11,$O$9*12,$L$3*$O$6,0,0),0)</f>
        <v>0</v>
      </c>
      <c r="BR14" s="54">
        <f t="shared" si="12"/>
        <v>0</v>
      </c>
      <c r="BS14" s="54">
        <f t="shared" si="12"/>
        <v>0</v>
      </c>
      <c r="BT14" s="54">
        <f t="shared" si="12"/>
        <v>0</v>
      </c>
      <c r="BU14" s="54">
        <f t="shared" si="12"/>
        <v>0</v>
      </c>
      <c r="BV14" s="54">
        <f t="shared" si="12"/>
        <v>0</v>
      </c>
      <c r="BW14" s="54">
        <f t="shared" si="12"/>
        <v>0</v>
      </c>
      <c r="BX14" s="54">
        <f t="shared" si="12"/>
        <v>0</v>
      </c>
      <c r="BY14" s="54">
        <f t="shared" si="12"/>
        <v>0</v>
      </c>
      <c r="BZ14" s="54">
        <f t="shared" si="12"/>
        <v>0</v>
      </c>
      <c r="CA14" s="54">
        <f t="shared" si="12"/>
        <v>0</v>
      </c>
      <c r="CB14" s="54">
        <f t="shared" si="12"/>
        <v>0</v>
      </c>
      <c r="CC14" s="54">
        <f t="shared" si="12"/>
        <v>0</v>
      </c>
      <c r="CD14" s="54">
        <f t="shared" si="12"/>
        <v>0</v>
      </c>
      <c r="CE14" s="54">
        <f t="shared" si="12"/>
        <v>0</v>
      </c>
      <c r="CF14" s="54">
        <f t="shared" si="12"/>
        <v>0</v>
      </c>
      <c r="CG14" s="54">
        <f t="shared" si="12"/>
        <v>0</v>
      </c>
      <c r="CH14" s="54">
        <f t="shared" si="12"/>
        <v>0</v>
      </c>
      <c r="CI14" s="54">
        <f t="shared" si="12"/>
        <v>0</v>
      </c>
      <c r="CJ14" s="54">
        <f t="shared" si="12"/>
        <v>0</v>
      </c>
      <c r="CK14" s="54">
        <f t="shared" si="12"/>
        <v>0</v>
      </c>
      <c r="CL14" s="54">
        <f t="shared" si="12"/>
        <v>0</v>
      </c>
      <c r="CM14" s="54">
        <f t="shared" si="12"/>
        <v>0</v>
      </c>
      <c r="CN14" s="54">
        <f t="shared" si="12"/>
        <v>0</v>
      </c>
      <c r="CO14" s="54">
        <f t="shared" si="12"/>
        <v>0</v>
      </c>
      <c r="CP14" s="54">
        <f t="shared" si="12"/>
        <v>0</v>
      </c>
      <c r="CQ14" s="54">
        <f t="shared" si="12"/>
        <v>0</v>
      </c>
      <c r="CR14" s="54">
        <f t="shared" si="12"/>
        <v>0</v>
      </c>
      <c r="CS14" s="54">
        <f t="shared" si="12"/>
        <v>0</v>
      </c>
      <c r="CT14" s="54">
        <f t="shared" si="12"/>
        <v>0</v>
      </c>
      <c r="CU14" s="54">
        <f t="shared" si="12"/>
        <v>0</v>
      </c>
      <c r="CV14" s="54">
        <f t="shared" si="12"/>
        <v>0</v>
      </c>
      <c r="CW14" s="54">
        <f t="shared" si="12"/>
        <v>0</v>
      </c>
      <c r="CX14" s="54">
        <f t="shared" si="12"/>
        <v>0</v>
      </c>
      <c r="CY14" s="54">
        <f t="shared" si="12"/>
        <v>0</v>
      </c>
      <c r="CZ14" s="54">
        <f t="shared" si="12"/>
        <v>0</v>
      </c>
      <c r="DA14" s="54">
        <f t="shared" si="12"/>
        <v>0</v>
      </c>
      <c r="DB14" s="54">
        <f t="shared" si="12"/>
        <v>0</v>
      </c>
      <c r="DC14" s="54">
        <f t="shared" si="12"/>
        <v>0</v>
      </c>
      <c r="DD14" s="54">
        <f t="shared" si="12"/>
        <v>0</v>
      </c>
      <c r="DE14" s="54">
        <f t="shared" si="12"/>
        <v>0</v>
      </c>
      <c r="DF14" s="54">
        <f t="shared" si="12"/>
        <v>0</v>
      </c>
      <c r="DG14" s="54">
        <f t="shared" si="12"/>
        <v>0</v>
      </c>
      <c r="DH14" s="54">
        <f t="shared" si="12"/>
        <v>0</v>
      </c>
      <c r="DI14" s="54">
        <f t="shared" si="12"/>
        <v>0</v>
      </c>
      <c r="DJ14" s="54">
        <f t="shared" si="12"/>
        <v>0</v>
      </c>
      <c r="DK14" s="54">
        <f t="shared" si="12"/>
        <v>0</v>
      </c>
      <c r="DL14" s="54">
        <f t="shared" si="12"/>
        <v>0</v>
      </c>
      <c r="DM14" s="54">
        <f t="shared" si="12"/>
        <v>0</v>
      </c>
      <c r="DN14" s="54">
        <f t="shared" si="12"/>
        <v>0</v>
      </c>
      <c r="DO14" s="54">
        <f t="shared" si="12"/>
        <v>0</v>
      </c>
      <c r="DP14" s="54">
        <f t="shared" si="12"/>
        <v>0</v>
      </c>
      <c r="DQ14" s="54">
        <f t="shared" si="12"/>
        <v>0</v>
      </c>
      <c r="DR14" s="54">
        <f t="shared" si="12"/>
        <v>0</v>
      </c>
      <c r="DS14" s="54">
        <f t="shared" si="12"/>
        <v>0</v>
      </c>
      <c r="DT14" s="54">
        <f t="shared" si="12"/>
        <v>0</v>
      </c>
      <c r="DU14" s="54">
        <f t="shared" si="12"/>
        <v>0</v>
      </c>
      <c r="DV14" s="54">
        <f t="shared" si="12"/>
        <v>0</v>
      </c>
      <c r="DW14" s="54">
        <f t="shared" si="12"/>
        <v>0</v>
      </c>
      <c r="DX14" s="54">
        <f t="shared" si="12"/>
        <v>0</v>
      </c>
      <c r="DY14" s="54">
        <f t="shared" si="12"/>
        <v>0</v>
      </c>
      <c r="DZ14" s="54">
        <f t="shared" si="12"/>
        <v>0</v>
      </c>
      <c r="EA14" s="54">
        <f t="shared" si="12"/>
        <v>0</v>
      </c>
      <c r="EB14" s="54">
        <f t="shared" si="12"/>
        <v>0</v>
      </c>
      <c r="EC14" s="54">
        <f t="shared" ref="EC14:EE14" si="13">IF(EC11&lt;=$L$7,PPMT($O$8/12,EC11,$O$9*12,$L$3*$O$6,0,0),0)</f>
        <v>0</v>
      </c>
      <c r="ED14" s="54">
        <f t="shared" si="13"/>
        <v>0</v>
      </c>
      <c r="EE14" s="66">
        <f t="shared" si="13"/>
        <v>0</v>
      </c>
    </row>
    <row r="15" spans="2:135" x14ac:dyDescent="0.15">
      <c r="B15" s="7" t="s">
        <v>40</v>
      </c>
      <c r="C15" s="54">
        <v>0</v>
      </c>
      <c r="D15" s="54">
        <f>IF(D11&lt;=$L$7,IPMT($O$8/12,D11,$O$9*12,$L$3*$O$6,0,0),0)</f>
        <v>-76562.499999999985</v>
      </c>
      <c r="E15" s="54">
        <f t="shared" ref="E15:BP15" si="14">IF(E11&lt;=$L$7,IPMT($O$8/12,E11,$O$9*12,$L$3*$O$6,0,0),0)</f>
        <v>-76474.679978047599</v>
      </c>
      <c r="F15" s="54">
        <f t="shared" si="14"/>
        <v>-76386.475743499177</v>
      </c>
      <c r="G15" s="54">
        <f t="shared" si="14"/>
        <v>-76297.885615424602</v>
      </c>
      <c r="H15" s="54">
        <f t="shared" si="14"/>
        <v>-76208.907905539687</v>
      </c>
      <c r="I15" s="54">
        <f t="shared" si="14"/>
        <v>-76119.54091817404</v>
      </c>
      <c r="J15" s="54">
        <f t="shared" si="14"/>
        <v>-76029.782950238645</v>
      </c>
      <c r="K15" s="54">
        <f t="shared" si="14"/>
        <v>-75939.632291193557</v>
      </c>
      <c r="L15" s="54">
        <f t="shared" si="14"/>
        <v>-75849.087223015129</v>
      </c>
      <c r="M15" s="54">
        <f t="shared" si="14"/>
        <v>-75758.146020163433</v>
      </c>
      <c r="N15" s="54">
        <f t="shared" si="14"/>
        <v>-75666.806949549253</v>
      </c>
      <c r="O15" s="54">
        <f t="shared" si="14"/>
        <v>-75575.068270501157</v>
      </c>
      <c r="P15" s="54">
        <f t="shared" si="14"/>
        <v>-75482.928234732201</v>
      </c>
      <c r="Q15" s="54">
        <f t="shared" si="14"/>
        <v>-75390.385086306764</v>
      </c>
      <c r="R15" s="54">
        <f t="shared" si="14"/>
        <v>-75297.437061606965</v>
      </c>
      <c r="S15" s="54">
        <f t="shared" si="14"/>
        <v>-75204.082389299103</v>
      </c>
      <c r="T15" s="54">
        <f t="shared" si="14"/>
        <v>-75110.319290299885</v>
      </c>
      <c r="U15" s="54">
        <f t="shared" si="14"/>
        <v>-75016.145977742563</v>
      </c>
      <c r="V15" s="54">
        <f t="shared" si="14"/>
        <v>-74921.560656942806</v>
      </c>
      <c r="W15" s="54">
        <f t="shared" si="14"/>
        <v>-74826.561525364537</v>
      </c>
      <c r="X15" s="54">
        <f t="shared" si="14"/>
        <v>-74731.146772585606</v>
      </c>
      <c r="Y15" s="54">
        <f t="shared" si="14"/>
        <v>-74635.314580263279</v>
      </c>
      <c r="Z15" s="54">
        <f t="shared" si="14"/>
        <v>-74539.063122099542</v>
      </c>
      <c r="AA15" s="54">
        <f t="shared" si="14"/>
        <v>-74442.390563806344</v>
      </c>
      <c r="AB15" s="54">
        <f t="shared" si="14"/>
        <v>0</v>
      </c>
      <c r="AC15" s="54">
        <f t="shared" si="14"/>
        <v>0</v>
      </c>
      <c r="AD15" s="54">
        <f t="shared" si="14"/>
        <v>0</v>
      </c>
      <c r="AE15" s="54">
        <f t="shared" si="14"/>
        <v>0</v>
      </c>
      <c r="AF15" s="54">
        <f t="shared" si="14"/>
        <v>0</v>
      </c>
      <c r="AG15" s="54">
        <f t="shared" si="14"/>
        <v>0</v>
      </c>
      <c r="AH15" s="54">
        <f t="shared" si="14"/>
        <v>0</v>
      </c>
      <c r="AI15" s="54">
        <f t="shared" si="14"/>
        <v>0</v>
      </c>
      <c r="AJ15" s="54">
        <f t="shared" si="14"/>
        <v>0</v>
      </c>
      <c r="AK15" s="54">
        <f t="shared" si="14"/>
        <v>0</v>
      </c>
      <c r="AL15" s="54">
        <f t="shared" si="14"/>
        <v>0</v>
      </c>
      <c r="AM15" s="54">
        <f t="shared" si="14"/>
        <v>0</v>
      </c>
      <c r="AN15" s="54">
        <f t="shared" si="14"/>
        <v>0</v>
      </c>
      <c r="AO15" s="54">
        <f t="shared" si="14"/>
        <v>0</v>
      </c>
      <c r="AP15" s="54">
        <f t="shared" si="14"/>
        <v>0</v>
      </c>
      <c r="AQ15" s="54">
        <f t="shared" si="14"/>
        <v>0</v>
      </c>
      <c r="AR15" s="54">
        <f t="shared" si="14"/>
        <v>0</v>
      </c>
      <c r="AS15" s="54">
        <f t="shared" si="14"/>
        <v>0</v>
      </c>
      <c r="AT15" s="54">
        <f t="shared" si="14"/>
        <v>0</v>
      </c>
      <c r="AU15" s="54">
        <f t="shared" si="14"/>
        <v>0</v>
      </c>
      <c r="AV15" s="54">
        <f t="shared" si="14"/>
        <v>0</v>
      </c>
      <c r="AW15" s="54">
        <f t="shared" si="14"/>
        <v>0</v>
      </c>
      <c r="AX15" s="54">
        <f t="shared" si="14"/>
        <v>0</v>
      </c>
      <c r="AY15" s="54">
        <f t="shared" si="14"/>
        <v>0</v>
      </c>
      <c r="AZ15" s="54">
        <f t="shared" si="14"/>
        <v>0</v>
      </c>
      <c r="BA15" s="54">
        <f t="shared" si="14"/>
        <v>0</v>
      </c>
      <c r="BB15" s="54">
        <f t="shared" si="14"/>
        <v>0</v>
      </c>
      <c r="BC15" s="54">
        <f t="shared" si="14"/>
        <v>0</v>
      </c>
      <c r="BD15" s="54">
        <f t="shared" si="14"/>
        <v>0</v>
      </c>
      <c r="BE15" s="54">
        <f t="shared" si="14"/>
        <v>0</v>
      </c>
      <c r="BF15" s="54">
        <f t="shared" si="14"/>
        <v>0</v>
      </c>
      <c r="BG15" s="54">
        <f t="shared" si="14"/>
        <v>0</v>
      </c>
      <c r="BH15" s="54">
        <f t="shared" si="14"/>
        <v>0</v>
      </c>
      <c r="BI15" s="54">
        <f t="shared" si="14"/>
        <v>0</v>
      </c>
      <c r="BJ15" s="54">
        <f t="shared" si="14"/>
        <v>0</v>
      </c>
      <c r="BK15" s="54">
        <f t="shared" si="14"/>
        <v>0</v>
      </c>
      <c r="BL15" s="54">
        <f t="shared" si="14"/>
        <v>0</v>
      </c>
      <c r="BM15" s="54">
        <f t="shared" si="14"/>
        <v>0</v>
      </c>
      <c r="BN15" s="54">
        <f t="shared" si="14"/>
        <v>0</v>
      </c>
      <c r="BO15" s="54">
        <f t="shared" si="14"/>
        <v>0</v>
      </c>
      <c r="BP15" s="54">
        <f t="shared" si="14"/>
        <v>0</v>
      </c>
      <c r="BQ15" s="54">
        <f t="shared" ref="BQ15:EB15" si="15">IF(BQ11&lt;=$L$7,IPMT($O$8/12,BQ11,$O$9*12,$L$3*$O$6,0,0),0)</f>
        <v>0</v>
      </c>
      <c r="BR15" s="54">
        <f t="shared" si="15"/>
        <v>0</v>
      </c>
      <c r="BS15" s="54">
        <f t="shared" si="15"/>
        <v>0</v>
      </c>
      <c r="BT15" s="54">
        <f t="shared" si="15"/>
        <v>0</v>
      </c>
      <c r="BU15" s="54">
        <f t="shared" si="15"/>
        <v>0</v>
      </c>
      <c r="BV15" s="54">
        <f t="shared" si="15"/>
        <v>0</v>
      </c>
      <c r="BW15" s="54">
        <f t="shared" si="15"/>
        <v>0</v>
      </c>
      <c r="BX15" s="54">
        <f t="shared" si="15"/>
        <v>0</v>
      </c>
      <c r="BY15" s="54">
        <f t="shared" si="15"/>
        <v>0</v>
      </c>
      <c r="BZ15" s="54">
        <f t="shared" si="15"/>
        <v>0</v>
      </c>
      <c r="CA15" s="54">
        <f t="shared" si="15"/>
        <v>0</v>
      </c>
      <c r="CB15" s="54">
        <f t="shared" si="15"/>
        <v>0</v>
      </c>
      <c r="CC15" s="54">
        <f t="shared" si="15"/>
        <v>0</v>
      </c>
      <c r="CD15" s="54">
        <f t="shared" si="15"/>
        <v>0</v>
      </c>
      <c r="CE15" s="54">
        <f t="shared" si="15"/>
        <v>0</v>
      </c>
      <c r="CF15" s="54">
        <f t="shared" si="15"/>
        <v>0</v>
      </c>
      <c r="CG15" s="54">
        <f t="shared" si="15"/>
        <v>0</v>
      </c>
      <c r="CH15" s="54">
        <f t="shared" si="15"/>
        <v>0</v>
      </c>
      <c r="CI15" s="54">
        <f t="shared" si="15"/>
        <v>0</v>
      </c>
      <c r="CJ15" s="54">
        <f t="shared" si="15"/>
        <v>0</v>
      </c>
      <c r="CK15" s="54">
        <f t="shared" si="15"/>
        <v>0</v>
      </c>
      <c r="CL15" s="54">
        <f t="shared" si="15"/>
        <v>0</v>
      </c>
      <c r="CM15" s="54">
        <f t="shared" si="15"/>
        <v>0</v>
      </c>
      <c r="CN15" s="54">
        <f t="shared" si="15"/>
        <v>0</v>
      </c>
      <c r="CO15" s="54">
        <f t="shared" si="15"/>
        <v>0</v>
      </c>
      <c r="CP15" s="54">
        <f t="shared" si="15"/>
        <v>0</v>
      </c>
      <c r="CQ15" s="54">
        <f t="shared" si="15"/>
        <v>0</v>
      </c>
      <c r="CR15" s="54">
        <f t="shared" si="15"/>
        <v>0</v>
      </c>
      <c r="CS15" s="54">
        <f t="shared" si="15"/>
        <v>0</v>
      </c>
      <c r="CT15" s="54">
        <f t="shared" si="15"/>
        <v>0</v>
      </c>
      <c r="CU15" s="54">
        <f t="shared" si="15"/>
        <v>0</v>
      </c>
      <c r="CV15" s="54">
        <f t="shared" si="15"/>
        <v>0</v>
      </c>
      <c r="CW15" s="54">
        <f t="shared" si="15"/>
        <v>0</v>
      </c>
      <c r="CX15" s="54">
        <f t="shared" si="15"/>
        <v>0</v>
      </c>
      <c r="CY15" s="54">
        <f t="shared" si="15"/>
        <v>0</v>
      </c>
      <c r="CZ15" s="54">
        <f t="shared" si="15"/>
        <v>0</v>
      </c>
      <c r="DA15" s="54">
        <f t="shared" si="15"/>
        <v>0</v>
      </c>
      <c r="DB15" s="54">
        <f t="shared" si="15"/>
        <v>0</v>
      </c>
      <c r="DC15" s="54">
        <f t="shared" si="15"/>
        <v>0</v>
      </c>
      <c r="DD15" s="54">
        <f t="shared" si="15"/>
        <v>0</v>
      </c>
      <c r="DE15" s="54">
        <f t="shared" si="15"/>
        <v>0</v>
      </c>
      <c r="DF15" s="54">
        <f t="shared" si="15"/>
        <v>0</v>
      </c>
      <c r="DG15" s="54">
        <f t="shared" si="15"/>
        <v>0</v>
      </c>
      <c r="DH15" s="54">
        <f t="shared" si="15"/>
        <v>0</v>
      </c>
      <c r="DI15" s="54">
        <f t="shared" si="15"/>
        <v>0</v>
      </c>
      <c r="DJ15" s="54">
        <f t="shared" si="15"/>
        <v>0</v>
      </c>
      <c r="DK15" s="54">
        <f t="shared" si="15"/>
        <v>0</v>
      </c>
      <c r="DL15" s="54">
        <f t="shared" si="15"/>
        <v>0</v>
      </c>
      <c r="DM15" s="54">
        <f t="shared" si="15"/>
        <v>0</v>
      </c>
      <c r="DN15" s="54">
        <f t="shared" si="15"/>
        <v>0</v>
      </c>
      <c r="DO15" s="54">
        <f t="shared" si="15"/>
        <v>0</v>
      </c>
      <c r="DP15" s="54">
        <f t="shared" si="15"/>
        <v>0</v>
      </c>
      <c r="DQ15" s="54">
        <f t="shared" si="15"/>
        <v>0</v>
      </c>
      <c r="DR15" s="54">
        <f t="shared" si="15"/>
        <v>0</v>
      </c>
      <c r="DS15" s="54">
        <f t="shared" si="15"/>
        <v>0</v>
      </c>
      <c r="DT15" s="54">
        <f t="shared" si="15"/>
        <v>0</v>
      </c>
      <c r="DU15" s="54">
        <f t="shared" si="15"/>
        <v>0</v>
      </c>
      <c r="DV15" s="54">
        <f t="shared" si="15"/>
        <v>0</v>
      </c>
      <c r="DW15" s="54">
        <f t="shared" si="15"/>
        <v>0</v>
      </c>
      <c r="DX15" s="54">
        <f t="shared" si="15"/>
        <v>0</v>
      </c>
      <c r="DY15" s="54">
        <f t="shared" si="15"/>
        <v>0</v>
      </c>
      <c r="DZ15" s="54">
        <f t="shared" si="15"/>
        <v>0</v>
      </c>
      <c r="EA15" s="54">
        <f t="shared" si="15"/>
        <v>0</v>
      </c>
      <c r="EB15" s="54">
        <f t="shared" si="15"/>
        <v>0</v>
      </c>
      <c r="EC15" s="54">
        <f t="shared" ref="EC15:EE15" si="16">IF(EC11&lt;=$L$7,IPMT($O$8/12,EC11,$O$9*12,$L$3*$O$6,0,0),0)</f>
        <v>0</v>
      </c>
      <c r="ED15" s="54">
        <f t="shared" si="16"/>
        <v>0</v>
      </c>
      <c r="EE15" s="66">
        <f t="shared" si="16"/>
        <v>0</v>
      </c>
    </row>
    <row r="16" spans="2:135" x14ac:dyDescent="0.15">
      <c r="B16" s="7" t="s">
        <v>16</v>
      </c>
      <c r="C16" s="54">
        <f>-L3</f>
        <v>-25000000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</v>
      </c>
      <c r="BZ16" s="54">
        <v>0</v>
      </c>
      <c r="CA16" s="54">
        <v>0</v>
      </c>
      <c r="CB16" s="54">
        <v>0</v>
      </c>
      <c r="CC16" s="54">
        <v>0</v>
      </c>
      <c r="CD16" s="54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4">
        <v>0</v>
      </c>
      <c r="CQ16" s="54">
        <v>0</v>
      </c>
      <c r="CR16" s="54">
        <v>0</v>
      </c>
      <c r="CS16" s="54">
        <v>0</v>
      </c>
      <c r="CT16" s="54">
        <v>0</v>
      </c>
      <c r="CU16" s="54">
        <v>0</v>
      </c>
      <c r="CV16" s="54">
        <v>0</v>
      </c>
      <c r="CW16" s="54">
        <v>0</v>
      </c>
      <c r="CX16" s="54">
        <v>0</v>
      </c>
      <c r="CY16" s="54">
        <v>0</v>
      </c>
      <c r="CZ16" s="54">
        <v>0</v>
      </c>
      <c r="DA16" s="54">
        <v>0</v>
      </c>
      <c r="DB16" s="54">
        <v>0</v>
      </c>
      <c r="DC16" s="54">
        <v>0</v>
      </c>
      <c r="DD16" s="54">
        <v>0</v>
      </c>
      <c r="DE16" s="54">
        <v>0</v>
      </c>
      <c r="DF16" s="54">
        <v>0</v>
      </c>
      <c r="DG16" s="54">
        <v>0</v>
      </c>
      <c r="DH16" s="54">
        <v>0</v>
      </c>
      <c r="DI16" s="54">
        <v>0</v>
      </c>
      <c r="DJ16" s="54">
        <v>0</v>
      </c>
      <c r="DK16" s="54">
        <v>0</v>
      </c>
      <c r="DL16" s="54">
        <v>0</v>
      </c>
      <c r="DM16" s="54">
        <v>0</v>
      </c>
      <c r="DN16" s="54">
        <v>0</v>
      </c>
      <c r="DO16" s="54">
        <v>0</v>
      </c>
      <c r="DP16" s="54">
        <v>0</v>
      </c>
      <c r="DQ16" s="54">
        <v>0</v>
      </c>
      <c r="DR16" s="54">
        <v>0</v>
      </c>
      <c r="DS16" s="54">
        <v>0</v>
      </c>
      <c r="DT16" s="54">
        <v>0</v>
      </c>
      <c r="DU16" s="54">
        <v>0</v>
      </c>
      <c r="DV16" s="54">
        <v>0</v>
      </c>
      <c r="DW16" s="54">
        <v>0</v>
      </c>
      <c r="DX16" s="54">
        <v>0</v>
      </c>
      <c r="DY16" s="54">
        <v>0</v>
      </c>
      <c r="DZ16" s="54">
        <v>0</v>
      </c>
      <c r="EA16" s="54">
        <v>0</v>
      </c>
      <c r="EB16" s="54">
        <v>0</v>
      </c>
      <c r="EC16" s="54">
        <v>0</v>
      </c>
      <c r="ED16" s="54">
        <v>0</v>
      </c>
      <c r="EE16" s="66">
        <v>0</v>
      </c>
    </row>
    <row r="17" spans="1:135" x14ac:dyDescent="0.15">
      <c r="B17" s="7" t="s">
        <v>33</v>
      </c>
      <c r="C17" s="54">
        <f>C16*L4</f>
        <v>-750000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4">
        <v>0</v>
      </c>
      <c r="BO17" s="54">
        <v>0</v>
      </c>
      <c r="BP17" s="54">
        <v>0</v>
      </c>
      <c r="BQ17" s="54">
        <v>0</v>
      </c>
      <c r="BR17" s="54">
        <v>0</v>
      </c>
      <c r="BS17" s="54">
        <v>0</v>
      </c>
      <c r="BT17" s="54">
        <v>0</v>
      </c>
      <c r="BU17" s="54">
        <v>0</v>
      </c>
      <c r="BV17" s="54">
        <v>0</v>
      </c>
      <c r="BW17" s="54">
        <v>0</v>
      </c>
      <c r="BX17" s="54">
        <v>0</v>
      </c>
      <c r="BY17" s="54">
        <v>0</v>
      </c>
      <c r="BZ17" s="54">
        <v>0</v>
      </c>
      <c r="CA17" s="54">
        <v>0</v>
      </c>
      <c r="CB17" s="54">
        <v>0</v>
      </c>
      <c r="CC17" s="54">
        <v>0</v>
      </c>
      <c r="CD17" s="54">
        <v>0</v>
      </c>
      <c r="CE17" s="54">
        <v>0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4">
        <v>0</v>
      </c>
      <c r="CQ17" s="54">
        <v>0</v>
      </c>
      <c r="CR17" s="54">
        <v>0</v>
      </c>
      <c r="CS17" s="54">
        <v>0</v>
      </c>
      <c r="CT17" s="54">
        <v>0</v>
      </c>
      <c r="CU17" s="54">
        <v>0</v>
      </c>
      <c r="CV17" s="54">
        <v>0</v>
      </c>
      <c r="CW17" s="54">
        <v>0</v>
      </c>
      <c r="CX17" s="54">
        <v>0</v>
      </c>
      <c r="CY17" s="54">
        <v>0</v>
      </c>
      <c r="CZ17" s="54">
        <v>0</v>
      </c>
      <c r="DA17" s="54">
        <v>0</v>
      </c>
      <c r="DB17" s="54">
        <v>0</v>
      </c>
      <c r="DC17" s="54">
        <v>0</v>
      </c>
      <c r="DD17" s="54">
        <v>0</v>
      </c>
      <c r="DE17" s="54">
        <v>0</v>
      </c>
      <c r="DF17" s="54">
        <v>0</v>
      </c>
      <c r="DG17" s="54">
        <v>0</v>
      </c>
      <c r="DH17" s="54">
        <v>0</v>
      </c>
      <c r="DI17" s="54">
        <v>0</v>
      </c>
      <c r="DJ17" s="54">
        <v>0</v>
      </c>
      <c r="DK17" s="54">
        <v>0</v>
      </c>
      <c r="DL17" s="54">
        <v>0</v>
      </c>
      <c r="DM17" s="54">
        <v>0</v>
      </c>
      <c r="DN17" s="54">
        <v>0</v>
      </c>
      <c r="DO17" s="54">
        <v>0</v>
      </c>
      <c r="DP17" s="54">
        <v>0</v>
      </c>
      <c r="DQ17" s="54">
        <v>0</v>
      </c>
      <c r="DR17" s="54">
        <v>0</v>
      </c>
      <c r="DS17" s="54">
        <v>0</v>
      </c>
      <c r="DT17" s="54">
        <v>0</v>
      </c>
      <c r="DU17" s="54">
        <v>0</v>
      </c>
      <c r="DV17" s="54">
        <v>0</v>
      </c>
      <c r="DW17" s="54">
        <v>0</v>
      </c>
      <c r="DX17" s="54">
        <v>0</v>
      </c>
      <c r="DY17" s="54">
        <v>0</v>
      </c>
      <c r="DZ17" s="54">
        <v>0</v>
      </c>
      <c r="EA17" s="54">
        <v>0</v>
      </c>
      <c r="EB17" s="54">
        <v>0</v>
      </c>
      <c r="EC17" s="54">
        <v>0</v>
      </c>
      <c r="ED17" s="54">
        <v>0</v>
      </c>
      <c r="EE17" s="66">
        <v>0</v>
      </c>
    </row>
    <row r="18" spans="1:135" x14ac:dyDescent="0.15">
      <c r="B18" s="7" t="s">
        <v>30</v>
      </c>
      <c r="C18" s="54">
        <f>C16*O2</f>
        <v>-250000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4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4">
        <v>0</v>
      </c>
      <c r="CA18" s="54">
        <v>0</v>
      </c>
      <c r="CB18" s="54">
        <v>0</v>
      </c>
      <c r="CC18" s="54">
        <v>0</v>
      </c>
      <c r="CD18" s="54">
        <v>0</v>
      </c>
      <c r="CE18" s="54">
        <v>0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4">
        <v>0</v>
      </c>
      <c r="CQ18" s="54">
        <v>0</v>
      </c>
      <c r="CR18" s="54">
        <v>0</v>
      </c>
      <c r="CS18" s="54">
        <v>0</v>
      </c>
      <c r="CT18" s="54">
        <v>0</v>
      </c>
      <c r="CU18" s="54">
        <v>0</v>
      </c>
      <c r="CV18" s="54">
        <v>0</v>
      </c>
      <c r="CW18" s="54">
        <v>0</v>
      </c>
      <c r="CX18" s="54">
        <v>0</v>
      </c>
      <c r="CY18" s="54">
        <v>0</v>
      </c>
      <c r="CZ18" s="54">
        <v>0</v>
      </c>
      <c r="DA18" s="54">
        <v>0</v>
      </c>
      <c r="DB18" s="54">
        <v>0</v>
      </c>
      <c r="DC18" s="54">
        <v>0</v>
      </c>
      <c r="DD18" s="54">
        <v>0</v>
      </c>
      <c r="DE18" s="54">
        <v>0</v>
      </c>
      <c r="DF18" s="54">
        <v>0</v>
      </c>
      <c r="DG18" s="54">
        <v>0</v>
      </c>
      <c r="DH18" s="54">
        <v>0</v>
      </c>
      <c r="DI18" s="54">
        <v>0</v>
      </c>
      <c r="DJ18" s="54">
        <v>0</v>
      </c>
      <c r="DK18" s="54">
        <v>0</v>
      </c>
      <c r="DL18" s="54">
        <v>0</v>
      </c>
      <c r="DM18" s="54">
        <v>0</v>
      </c>
      <c r="DN18" s="54">
        <v>0</v>
      </c>
      <c r="DO18" s="54">
        <v>0</v>
      </c>
      <c r="DP18" s="54">
        <v>0</v>
      </c>
      <c r="DQ18" s="54">
        <v>0</v>
      </c>
      <c r="DR18" s="54">
        <v>0</v>
      </c>
      <c r="DS18" s="54">
        <v>0</v>
      </c>
      <c r="DT18" s="54">
        <v>0</v>
      </c>
      <c r="DU18" s="54">
        <v>0</v>
      </c>
      <c r="DV18" s="54">
        <v>0</v>
      </c>
      <c r="DW18" s="54">
        <v>0</v>
      </c>
      <c r="DX18" s="54">
        <v>0</v>
      </c>
      <c r="DY18" s="54">
        <v>0</v>
      </c>
      <c r="DZ18" s="54">
        <v>0</v>
      </c>
      <c r="EA18" s="54">
        <v>0</v>
      </c>
      <c r="EB18" s="54">
        <v>0</v>
      </c>
      <c r="EC18" s="54">
        <v>0</v>
      </c>
      <c r="ED18" s="54">
        <v>0</v>
      </c>
      <c r="EE18" s="66">
        <v>0</v>
      </c>
    </row>
    <row r="19" spans="1:135" x14ac:dyDescent="0.15">
      <c r="B19" s="7" t="s">
        <v>41</v>
      </c>
      <c r="C19" s="54">
        <f>L3*O6</f>
        <v>17500000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54">
        <v>0</v>
      </c>
      <c r="AU19" s="54">
        <v>0</v>
      </c>
      <c r="AV19" s="54">
        <v>0</v>
      </c>
      <c r="AW19" s="54">
        <v>0</v>
      </c>
      <c r="AX19" s="54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4">
        <v>0</v>
      </c>
      <c r="BO19" s="54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4">
        <v>0</v>
      </c>
      <c r="CA19" s="54">
        <v>0</v>
      </c>
      <c r="CB19" s="54">
        <v>0</v>
      </c>
      <c r="CC19" s="54">
        <v>0</v>
      </c>
      <c r="CD19" s="54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4">
        <v>0</v>
      </c>
      <c r="CQ19" s="54">
        <v>0</v>
      </c>
      <c r="CR19" s="54">
        <v>0</v>
      </c>
      <c r="CS19" s="54">
        <v>0</v>
      </c>
      <c r="CT19" s="54">
        <v>0</v>
      </c>
      <c r="CU19" s="54">
        <v>0</v>
      </c>
      <c r="CV19" s="54">
        <v>0</v>
      </c>
      <c r="CW19" s="54">
        <v>0</v>
      </c>
      <c r="CX19" s="54">
        <v>0</v>
      </c>
      <c r="CY19" s="54">
        <v>0</v>
      </c>
      <c r="CZ19" s="54">
        <v>0</v>
      </c>
      <c r="DA19" s="54">
        <v>0</v>
      </c>
      <c r="DB19" s="54">
        <v>0</v>
      </c>
      <c r="DC19" s="54">
        <v>0</v>
      </c>
      <c r="DD19" s="54">
        <v>0</v>
      </c>
      <c r="DE19" s="54">
        <v>0</v>
      </c>
      <c r="DF19" s="54">
        <v>0</v>
      </c>
      <c r="DG19" s="54">
        <v>0</v>
      </c>
      <c r="DH19" s="54">
        <v>0</v>
      </c>
      <c r="DI19" s="54">
        <v>0</v>
      </c>
      <c r="DJ19" s="54">
        <v>0</v>
      </c>
      <c r="DK19" s="54">
        <v>0</v>
      </c>
      <c r="DL19" s="54">
        <v>0</v>
      </c>
      <c r="DM19" s="54">
        <v>0</v>
      </c>
      <c r="DN19" s="54">
        <v>0</v>
      </c>
      <c r="DO19" s="54">
        <v>0</v>
      </c>
      <c r="DP19" s="54">
        <v>0</v>
      </c>
      <c r="DQ19" s="54">
        <v>0</v>
      </c>
      <c r="DR19" s="54">
        <v>0</v>
      </c>
      <c r="DS19" s="54">
        <v>0</v>
      </c>
      <c r="DT19" s="54">
        <v>0</v>
      </c>
      <c r="DU19" s="54">
        <v>0</v>
      </c>
      <c r="DV19" s="54">
        <v>0</v>
      </c>
      <c r="DW19" s="54">
        <v>0</v>
      </c>
      <c r="DX19" s="54">
        <v>0</v>
      </c>
      <c r="DY19" s="54">
        <v>0</v>
      </c>
      <c r="DZ19" s="54">
        <v>0</v>
      </c>
      <c r="EA19" s="54">
        <v>0</v>
      </c>
      <c r="EB19" s="54">
        <v>0</v>
      </c>
      <c r="EC19" s="54">
        <v>0</v>
      </c>
      <c r="ED19" s="54">
        <v>0</v>
      </c>
      <c r="EE19" s="66">
        <v>0</v>
      </c>
    </row>
    <row r="20" spans="1:135" x14ac:dyDescent="0.15">
      <c r="B20" s="7" t="s">
        <v>34</v>
      </c>
      <c r="C20" s="54">
        <f>C19*-O7</f>
        <v>-175000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4">
        <v>0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4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4">
        <v>0</v>
      </c>
      <c r="CA20" s="54">
        <v>0</v>
      </c>
      <c r="CB20" s="54">
        <v>0</v>
      </c>
      <c r="CC20" s="54">
        <v>0</v>
      </c>
      <c r="CD20" s="54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4">
        <v>0</v>
      </c>
      <c r="CQ20" s="54">
        <v>0</v>
      </c>
      <c r="CR20" s="54">
        <v>0</v>
      </c>
      <c r="CS20" s="54">
        <v>0</v>
      </c>
      <c r="CT20" s="54">
        <v>0</v>
      </c>
      <c r="CU20" s="54">
        <v>0</v>
      </c>
      <c r="CV20" s="54">
        <v>0</v>
      </c>
      <c r="CW20" s="54">
        <v>0</v>
      </c>
      <c r="CX20" s="54">
        <v>0</v>
      </c>
      <c r="CY20" s="54">
        <v>0</v>
      </c>
      <c r="CZ20" s="54">
        <v>0</v>
      </c>
      <c r="DA20" s="54">
        <v>0</v>
      </c>
      <c r="DB20" s="54">
        <v>0</v>
      </c>
      <c r="DC20" s="54">
        <v>0</v>
      </c>
      <c r="DD20" s="54">
        <v>0</v>
      </c>
      <c r="DE20" s="54">
        <v>0</v>
      </c>
      <c r="DF20" s="54">
        <v>0</v>
      </c>
      <c r="DG20" s="54">
        <v>0</v>
      </c>
      <c r="DH20" s="54">
        <v>0</v>
      </c>
      <c r="DI20" s="54">
        <v>0</v>
      </c>
      <c r="DJ20" s="54">
        <v>0</v>
      </c>
      <c r="DK20" s="54">
        <v>0</v>
      </c>
      <c r="DL20" s="54">
        <v>0</v>
      </c>
      <c r="DM20" s="54">
        <v>0</v>
      </c>
      <c r="DN20" s="54">
        <v>0</v>
      </c>
      <c r="DO20" s="54">
        <v>0</v>
      </c>
      <c r="DP20" s="54">
        <v>0</v>
      </c>
      <c r="DQ20" s="54">
        <v>0</v>
      </c>
      <c r="DR20" s="54">
        <v>0</v>
      </c>
      <c r="DS20" s="54">
        <v>0</v>
      </c>
      <c r="DT20" s="54">
        <v>0</v>
      </c>
      <c r="DU20" s="54">
        <v>0</v>
      </c>
      <c r="DV20" s="54">
        <v>0</v>
      </c>
      <c r="DW20" s="54">
        <v>0</v>
      </c>
      <c r="DX20" s="54">
        <v>0</v>
      </c>
      <c r="DY20" s="54">
        <v>0</v>
      </c>
      <c r="DZ20" s="54">
        <v>0</v>
      </c>
      <c r="EA20" s="54">
        <v>0</v>
      </c>
      <c r="EB20" s="54">
        <v>0</v>
      </c>
      <c r="EC20" s="54">
        <v>0</v>
      </c>
      <c r="ED20" s="54">
        <v>0</v>
      </c>
      <c r="EE20" s="66">
        <v>0</v>
      </c>
    </row>
    <row r="21" spans="1:135" x14ac:dyDescent="0.15">
      <c r="B21" s="7" t="s">
        <v>42</v>
      </c>
      <c r="C21" s="54">
        <v>0</v>
      </c>
      <c r="D21" s="54">
        <f>IF(D11=$L$7,SUM(E13:P13)/$L$8,0)</f>
        <v>0</v>
      </c>
      <c r="E21" s="54">
        <f t="shared" ref="E21:BP21" si="17">IF(E11=$L$7,SUM(F13:Q13)/$L$8,0)</f>
        <v>0</v>
      </c>
      <c r="F21" s="54">
        <f t="shared" si="17"/>
        <v>0</v>
      </c>
      <c r="G21" s="54">
        <f t="shared" si="17"/>
        <v>0</v>
      </c>
      <c r="H21" s="54">
        <f t="shared" si="17"/>
        <v>0</v>
      </c>
      <c r="I21" s="54">
        <f t="shared" si="17"/>
        <v>0</v>
      </c>
      <c r="J21" s="54">
        <f t="shared" si="17"/>
        <v>0</v>
      </c>
      <c r="K21" s="54">
        <f t="shared" si="17"/>
        <v>0</v>
      </c>
      <c r="L21" s="54">
        <f t="shared" si="17"/>
        <v>0</v>
      </c>
      <c r="M21" s="54">
        <f t="shared" si="17"/>
        <v>0</v>
      </c>
      <c r="N21" s="54">
        <f t="shared" si="17"/>
        <v>0</v>
      </c>
      <c r="O21" s="54">
        <f t="shared" si="17"/>
        <v>0</v>
      </c>
      <c r="P21" s="54">
        <f t="shared" si="17"/>
        <v>0</v>
      </c>
      <c r="Q21" s="54">
        <f t="shared" si="17"/>
        <v>0</v>
      </c>
      <c r="R21" s="54">
        <f t="shared" si="17"/>
        <v>0</v>
      </c>
      <c r="S21" s="54">
        <f t="shared" si="17"/>
        <v>0</v>
      </c>
      <c r="T21" s="54">
        <f t="shared" si="17"/>
        <v>0</v>
      </c>
      <c r="U21" s="54">
        <f t="shared" si="17"/>
        <v>0</v>
      </c>
      <c r="V21" s="54">
        <f t="shared" si="17"/>
        <v>0</v>
      </c>
      <c r="W21" s="54">
        <f t="shared" si="17"/>
        <v>0</v>
      </c>
      <c r="X21" s="54">
        <f t="shared" si="17"/>
        <v>0</v>
      </c>
      <c r="Y21" s="54">
        <f t="shared" si="17"/>
        <v>0</v>
      </c>
      <c r="Z21" s="54">
        <f t="shared" si="17"/>
        <v>0</v>
      </c>
      <c r="AA21" s="54">
        <f t="shared" si="17"/>
        <v>35846984.107807577</v>
      </c>
      <c r="AB21" s="54">
        <f t="shared" si="17"/>
        <v>0</v>
      </c>
      <c r="AC21" s="54">
        <f t="shared" si="17"/>
        <v>0</v>
      </c>
      <c r="AD21" s="54">
        <f t="shared" si="17"/>
        <v>0</v>
      </c>
      <c r="AE21" s="54">
        <f t="shared" si="17"/>
        <v>0</v>
      </c>
      <c r="AF21" s="54">
        <f t="shared" si="17"/>
        <v>0</v>
      </c>
      <c r="AG21" s="54">
        <f t="shared" si="17"/>
        <v>0</v>
      </c>
      <c r="AH21" s="54">
        <f t="shared" si="17"/>
        <v>0</v>
      </c>
      <c r="AI21" s="54">
        <f t="shared" si="17"/>
        <v>0</v>
      </c>
      <c r="AJ21" s="54">
        <f t="shared" si="17"/>
        <v>0</v>
      </c>
      <c r="AK21" s="54">
        <f t="shared" si="17"/>
        <v>0</v>
      </c>
      <c r="AL21" s="54">
        <f t="shared" si="17"/>
        <v>0</v>
      </c>
      <c r="AM21" s="54">
        <f t="shared" si="17"/>
        <v>0</v>
      </c>
      <c r="AN21" s="54">
        <f t="shared" si="17"/>
        <v>0</v>
      </c>
      <c r="AO21" s="54">
        <f t="shared" si="17"/>
        <v>0</v>
      </c>
      <c r="AP21" s="54">
        <f t="shared" si="17"/>
        <v>0</v>
      </c>
      <c r="AQ21" s="54">
        <f t="shared" si="17"/>
        <v>0</v>
      </c>
      <c r="AR21" s="54">
        <f t="shared" si="17"/>
        <v>0</v>
      </c>
      <c r="AS21" s="54">
        <f t="shared" si="17"/>
        <v>0</v>
      </c>
      <c r="AT21" s="54">
        <f t="shared" si="17"/>
        <v>0</v>
      </c>
      <c r="AU21" s="54">
        <f t="shared" si="17"/>
        <v>0</v>
      </c>
      <c r="AV21" s="54">
        <f t="shared" si="17"/>
        <v>0</v>
      </c>
      <c r="AW21" s="54">
        <f t="shared" si="17"/>
        <v>0</v>
      </c>
      <c r="AX21" s="54">
        <f t="shared" si="17"/>
        <v>0</v>
      </c>
      <c r="AY21" s="54">
        <f t="shared" si="17"/>
        <v>0</v>
      </c>
      <c r="AZ21" s="54">
        <f t="shared" si="17"/>
        <v>0</v>
      </c>
      <c r="BA21" s="54">
        <f t="shared" si="17"/>
        <v>0</v>
      </c>
      <c r="BB21" s="54">
        <f t="shared" si="17"/>
        <v>0</v>
      </c>
      <c r="BC21" s="54">
        <f t="shared" si="17"/>
        <v>0</v>
      </c>
      <c r="BD21" s="54">
        <f t="shared" si="17"/>
        <v>0</v>
      </c>
      <c r="BE21" s="54">
        <f t="shared" si="17"/>
        <v>0</v>
      </c>
      <c r="BF21" s="54">
        <f t="shared" si="17"/>
        <v>0</v>
      </c>
      <c r="BG21" s="54">
        <f t="shared" si="17"/>
        <v>0</v>
      </c>
      <c r="BH21" s="54">
        <f t="shared" si="17"/>
        <v>0</v>
      </c>
      <c r="BI21" s="54">
        <f t="shared" si="17"/>
        <v>0</v>
      </c>
      <c r="BJ21" s="54">
        <f t="shared" si="17"/>
        <v>0</v>
      </c>
      <c r="BK21" s="54">
        <f t="shared" si="17"/>
        <v>0</v>
      </c>
      <c r="BL21" s="54">
        <f t="shared" si="17"/>
        <v>0</v>
      </c>
      <c r="BM21" s="54">
        <f t="shared" si="17"/>
        <v>0</v>
      </c>
      <c r="BN21" s="54">
        <f t="shared" si="17"/>
        <v>0</v>
      </c>
      <c r="BO21" s="54">
        <f t="shared" si="17"/>
        <v>0</v>
      </c>
      <c r="BP21" s="54">
        <f t="shared" si="17"/>
        <v>0</v>
      </c>
      <c r="BQ21" s="54">
        <f t="shared" ref="BQ21:EB21" si="18">IF(BQ11=$L$7,SUM(BR13:CC13)/$L$8,0)</f>
        <v>0</v>
      </c>
      <c r="BR21" s="54">
        <f t="shared" si="18"/>
        <v>0</v>
      </c>
      <c r="BS21" s="54">
        <f t="shared" si="18"/>
        <v>0</v>
      </c>
      <c r="BT21" s="54">
        <f t="shared" si="18"/>
        <v>0</v>
      </c>
      <c r="BU21" s="54">
        <f t="shared" si="18"/>
        <v>0</v>
      </c>
      <c r="BV21" s="54">
        <f t="shared" si="18"/>
        <v>0</v>
      </c>
      <c r="BW21" s="54">
        <f t="shared" si="18"/>
        <v>0</v>
      </c>
      <c r="BX21" s="54">
        <f t="shared" si="18"/>
        <v>0</v>
      </c>
      <c r="BY21" s="54">
        <f t="shared" si="18"/>
        <v>0</v>
      </c>
      <c r="BZ21" s="54">
        <f t="shared" si="18"/>
        <v>0</v>
      </c>
      <c r="CA21" s="54">
        <f t="shared" si="18"/>
        <v>0</v>
      </c>
      <c r="CB21" s="54">
        <f t="shared" si="18"/>
        <v>0</v>
      </c>
      <c r="CC21" s="54">
        <f t="shared" si="18"/>
        <v>0</v>
      </c>
      <c r="CD21" s="54">
        <f t="shared" si="18"/>
        <v>0</v>
      </c>
      <c r="CE21" s="54">
        <f t="shared" si="18"/>
        <v>0</v>
      </c>
      <c r="CF21" s="54">
        <f t="shared" si="18"/>
        <v>0</v>
      </c>
      <c r="CG21" s="54">
        <f t="shared" si="18"/>
        <v>0</v>
      </c>
      <c r="CH21" s="54">
        <f t="shared" si="18"/>
        <v>0</v>
      </c>
      <c r="CI21" s="54">
        <f t="shared" si="18"/>
        <v>0</v>
      </c>
      <c r="CJ21" s="54">
        <f t="shared" si="18"/>
        <v>0</v>
      </c>
      <c r="CK21" s="54">
        <f t="shared" si="18"/>
        <v>0</v>
      </c>
      <c r="CL21" s="54">
        <f t="shared" si="18"/>
        <v>0</v>
      </c>
      <c r="CM21" s="54">
        <f t="shared" si="18"/>
        <v>0</v>
      </c>
      <c r="CN21" s="54">
        <f t="shared" si="18"/>
        <v>0</v>
      </c>
      <c r="CO21" s="54">
        <f t="shared" si="18"/>
        <v>0</v>
      </c>
      <c r="CP21" s="54">
        <f t="shared" si="18"/>
        <v>0</v>
      </c>
      <c r="CQ21" s="54">
        <f t="shared" si="18"/>
        <v>0</v>
      </c>
      <c r="CR21" s="54">
        <f t="shared" si="18"/>
        <v>0</v>
      </c>
      <c r="CS21" s="54">
        <f t="shared" si="18"/>
        <v>0</v>
      </c>
      <c r="CT21" s="54">
        <f t="shared" si="18"/>
        <v>0</v>
      </c>
      <c r="CU21" s="54">
        <f t="shared" si="18"/>
        <v>0</v>
      </c>
      <c r="CV21" s="54">
        <f t="shared" si="18"/>
        <v>0</v>
      </c>
      <c r="CW21" s="54">
        <f t="shared" si="18"/>
        <v>0</v>
      </c>
      <c r="CX21" s="54">
        <f t="shared" si="18"/>
        <v>0</v>
      </c>
      <c r="CY21" s="54">
        <f t="shared" si="18"/>
        <v>0</v>
      </c>
      <c r="CZ21" s="54">
        <f t="shared" si="18"/>
        <v>0</v>
      </c>
      <c r="DA21" s="54">
        <f t="shared" si="18"/>
        <v>0</v>
      </c>
      <c r="DB21" s="54">
        <f t="shared" si="18"/>
        <v>0</v>
      </c>
      <c r="DC21" s="54">
        <f t="shared" si="18"/>
        <v>0</v>
      </c>
      <c r="DD21" s="54">
        <f t="shared" si="18"/>
        <v>0</v>
      </c>
      <c r="DE21" s="54">
        <f t="shared" si="18"/>
        <v>0</v>
      </c>
      <c r="DF21" s="54">
        <f t="shared" si="18"/>
        <v>0</v>
      </c>
      <c r="DG21" s="54">
        <f t="shared" si="18"/>
        <v>0</v>
      </c>
      <c r="DH21" s="54">
        <f t="shared" si="18"/>
        <v>0</v>
      </c>
      <c r="DI21" s="54">
        <f t="shared" si="18"/>
        <v>0</v>
      </c>
      <c r="DJ21" s="54">
        <f t="shared" si="18"/>
        <v>0</v>
      </c>
      <c r="DK21" s="54">
        <f t="shared" si="18"/>
        <v>0</v>
      </c>
      <c r="DL21" s="54">
        <f t="shared" si="18"/>
        <v>0</v>
      </c>
      <c r="DM21" s="54">
        <f t="shared" si="18"/>
        <v>0</v>
      </c>
      <c r="DN21" s="54">
        <f t="shared" si="18"/>
        <v>0</v>
      </c>
      <c r="DO21" s="54">
        <f t="shared" si="18"/>
        <v>0</v>
      </c>
      <c r="DP21" s="54">
        <f t="shared" si="18"/>
        <v>0</v>
      </c>
      <c r="DQ21" s="54">
        <f t="shared" si="18"/>
        <v>0</v>
      </c>
      <c r="DR21" s="54">
        <f t="shared" si="18"/>
        <v>0</v>
      </c>
      <c r="DS21" s="54">
        <f t="shared" si="18"/>
        <v>0</v>
      </c>
      <c r="DT21" s="54">
        <f t="shared" si="18"/>
        <v>0</v>
      </c>
      <c r="DU21" s="54">
        <f t="shared" si="18"/>
        <v>0</v>
      </c>
      <c r="DV21" s="54">
        <f t="shared" si="18"/>
        <v>0</v>
      </c>
      <c r="DW21" s="54">
        <f t="shared" si="18"/>
        <v>0</v>
      </c>
      <c r="DX21" s="54">
        <f t="shared" si="18"/>
        <v>0</v>
      </c>
      <c r="DY21" s="54">
        <f t="shared" si="18"/>
        <v>0</v>
      </c>
      <c r="DZ21" s="54">
        <f t="shared" si="18"/>
        <v>0</v>
      </c>
      <c r="EA21" s="54">
        <f t="shared" si="18"/>
        <v>0</v>
      </c>
      <c r="EB21" s="54">
        <f t="shared" si="18"/>
        <v>0</v>
      </c>
      <c r="EC21" s="54">
        <f t="shared" ref="EC21:EE21" si="19">IF(EC11=$L$7,SUM(ED13:EO13)/$L$8,0)</f>
        <v>0</v>
      </c>
      <c r="ED21" s="54">
        <f t="shared" si="19"/>
        <v>0</v>
      </c>
      <c r="EE21" s="66">
        <f t="shared" si="19"/>
        <v>0</v>
      </c>
    </row>
    <row r="22" spans="1:135" x14ac:dyDescent="0.15">
      <c r="B22" s="7" t="s">
        <v>32</v>
      </c>
      <c r="C22" s="54">
        <v>0</v>
      </c>
      <c r="D22" s="54">
        <f>D21*-$L$9</f>
        <v>0</v>
      </c>
      <c r="E22" s="54">
        <f t="shared" ref="E22:BP22" si="20">E21*-$L$9</f>
        <v>0</v>
      </c>
      <c r="F22" s="54">
        <f t="shared" si="20"/>
        <v>0</v>
      </c>
      <c r="G22" s="54">
        <f t="shared" si="20"/>
        <v>0</v>
      </c>
      <c r="H22" s="54">
        <f t="shared" si="20"/>
        <v>0</v>
      </c>
      <c r="I22" s="54">
        <f t="shared" si="20"/>
        <v>0</v>
      </c>
      <c r="J22" s="54">
        <f t="shared" si="20"/>
        <v>0</v>
      </c>
      <c r="K22" s="54">
        <f t="shared" si="20"/>
        <v>0</v>
      </c>
      <c r="L22" s="54">
        <f t="shared" si="20"/>
        <v>0</v>
      </c>
      <c r="M22" s="54">
        <f t="shared" si="20"/>
        <v>0</v>
      </c>
      <c r="N22" s="54">
        <f t="shared" si="20"/>
        <v>0</v>
      </c>
      <c r="O22" s="54">
        <f t="shared" si="20"/>
        <v>0</v>
      </c>
      <c r="P22" s="54">
        <f t="shared" si="20"/>
        <v>0</v>
      </c>
      <c r="Q22" s="54">
        <f t="shared" si="20"/>
        <v>0</v>
      </c>
      <c r="R22" s="54">
        <f t="shared" si="20"/>
        <v>0</v>
      </c>
      <c r="S22" s="54">
        <f t="shared" si="20"/>
        <v>0</v>
      </c>
      <c r="T22" s="54">
        <f t="shared" si="20"/>
        <v>0</v>
      </c>
      <c r="U22" s="54">
        <f t="shared" si="20"/>
        <v>0</v>
      </c>
      <c r="V22" s="54">
        <f t="shared" si="20"/>
        <v>0</v>
      </c>
      <c r="W22" s="54">
        <f t="shared" si="20"/>
        <v>0</v>
      </c>
      <c r="X22" s="54">
        <f t="shared" si="20"/>
        <v>0</v>
      </c>
      <c r="Y22" s="54">
        <f t="shared" si="20"/>
        <v>0</v>
      </c>
      <c r="Z22" s="54">
        <f t="shared" si="20"/>
        <v>0</v>
      </c>
      <c r="AA22" s="54">
        <f t="shared" si="20"/>
        <v>-1075409.5232342272</v>
      </c>
      <c r="AB22" s="54">
        <f t="shared" si="20"/>
        <v>0</v>
      </c>
      <c r="AC22" s="54">
        <f t="shared" si="20"/>
        <v>0</v>
      </c>
      <c r="AD22" s="54">
        <f t="shared" si="20"/>
        <v>0</v>
      </c>
      <c r="AE22" s="54">
        <f t="shared" si="20"/>
        <v>0</v>
      </c>
      <c r="AF22" s="54">
        <f t="shared" si="20"/>
        <v>0</v>
      </c>
      <c r="AG22" s="54">
        <f t="shared" si="20"/>
        <v>0</v>
      </c>
      <c r="AH22" s="54">
        <f t="shared" si="20"/>
        <v>0</v>
      </c>
      <c r="AI22" s="54">
        <f t="shared" si="20"/>
        <v>0</v>
      </c>
      <c r="AJ22" s="54">
        <f t="shared" si="20"/>
        <v>0</v>
      </c>
      <c r="AK22" s="54">
        <f t="shared" si="20"/>
        <v>0</v>
      </c>
      <c r="AL22" s="54">
        <f t="shared" si="20"/>
        <v>0</v>
      </c>
      <c r="AM22" s="54">
        <f t="shared" si="20"/>
        <v>0</v>
      </c>
      <c r="AN22" s="54">
        <f t="shared" si="20"/>
        <v>0</v>
      </c>
      <c r="AO22" s="54">
        <f t="shared" si="20"/>
        <v>0</v>
      </c>
      <c r="AP22" s="54">
        <f t="shared" si="20"/>
        <v>0</v>
      </c>
      <c r="AQ22" s="54">
        <f t="shared" si="20"/>
        <v>0</v>
      </c>
      <c r="AR22" s="54">
        <f t="shared" si="20"/>
        <v>0</v>
      </c>
      <c r="AS22" s="54">
        <f t="shared" si="20"/>
        <v>0</v>
      </c>
      <c r="AT22" s="54">
        <f t="shared" si="20"/>
        <v>0</v>
      </c>
      <c r="AU22" s="54">
        <f t="shared" si="20"/>
        <v>0</v>
      </c>
      <c r="AV22" s="54">
        <f t="shared" si="20"/>
        <v>0</v>
      </c>
      <c r="AW22" s="54">
        <f t="shared" si="20"/>
        <v>0</v>
      </c>
      <c r="AX22" s="54">
        <f t="shared" si="20"/>
        <v>0</v>
      </c>
      <c r="AY22" s="54">
        <f t="shared" si="20"/>
        <v>0</v>
      </c>
      <c r="AZ22" s="54">
        <f t="shared" si="20"/>
        <v>0</v>
      </c>
      <c r="BA22" s="54">
        <f t="shared" si="20"/>
        <v>0</v>
      </c>
      <c r="BB22" s="54">
        <f t="shared" si="20"/>
        <v>0</v>
      </c>
      <c r="BC22" s="54">
        <f t="shared" si="20"/>
        <v>0</v>
      </c>
      <c r="BD22" s="54">
        <f t="shared" si="20"/>
        <v>0</v>
      </c>
      <c r="BE22" s="54">
        <f t="shared" si="20"/>
        <v>0</v>
      </c>
      <c r="BF22" s="54">
        <f t="shared" si="20"/>
        <v>0</v>
      </c>
      <c r="BG22" s="54">
        <f t="shared" si="20"/>
        <v>0</v>
      </c>
      <c r="BH22" s="54">
        <f t="shared" si="20"/>
        <v>0</v>
      </c>
      <c r="BI22" s="54">
        <f t="shared" si="20"/>
        <v>0</v>
      </c>
      <c r="BJ22" s="54">
        <f t="shared" si="20"/>
        <v>0</v>
      </c>
      <c r="BK22" s="54">
        <f t="shared" si="20"/>
        <v>0</v>
      </c>
      <c r="BL22" s="54">
        <f t="shared" si="20"/>
        <v>0</v>
      </c>
      <c r="BM22" s="54">
        <f t="shared" si="20"/>
        <v>0</v>
      </c>
      <c r="BN22" s="54">
        <f t="shared" si="20"/>
        <v>0</v>
      </c>
      <c r="BO22" s="54">
        <f t="shared" si="20"/>
        <v>0</v>
      </c>
      <c r="BP22" s="54">
        <f t="shared" si="20"/>
        <v>0</v>
      </c>
      <c r="BQ22" s="54">
        <f t="shared" ref="BQ22:EB22" si="21">BQ21*-$L$9</f>
        <v>0</v>
      </c>
      <c r="BR22" s="54">
        <f t="shared" si="21"/>
        <v>0</v>
      </c>
      <c r="BS22" s="54">
        <f t="shared" si="21"/>
        <v>0</v>
      </c>
      <c r="BT22" s="54">
        <f t="shared" si="21"/>
        <v>0</v>
      </c>
      <c r="BU22" s="54">
        <f t="shared" si="21"/>
        <v>0</v>
      </c>
      <c r="BV22" s="54">
        <f t="shared" si="21"/>
        <v>0</v>
      </c>
      <c r="BW22" s="54">
        <f t="shared" si="21"/>
        <v>0</v>
      </c>
      <c r="BX22" s="54">
        <f t="shared" si="21"/>
        <v>0</v>
      </c>
      <c r="BY22" s="54">
        <f t="shared" si="21"/>
        <v>0</v>
      </c>
      <c r="BZ22" s="54">
        <f t="shared" si="21"/>
        <v>0</v>
      </c>
      <c r="CA22" s="54">
        <f t="shared" si="21"/>
        <v>0</v>
      </c>
      <c r="CB22" s="54">
        <f t="shared" si="21"/>
        <v>0</v>
      </c>
      <c r="CC22" s="54">
        <f t="shared" si="21"/>
        <v>0</v>
      </c>
      <c r="CD22" s="54">
        <f t="shared" si="21"/>
        <v>0</v>
      </c>
      <c r="CE22" s="54">
        <f t="shared" si="21"/>
        <v>0</v>
      </c>
      <c r="CF22" s="54">
        <f t="shared" si="21"/>
        <v>0</v>
      </c>
      <c r="CG22" s="54">
        <f t="shared" si="21"/>
        <v>0</v>
      </c>
      <c r="CH22" s="54">
        <f t="shared" si="21"/>
        <v>0</v>
      </c>
      <c r="CI22" s="54">
        <f t="shared" si="21"/>
        <v>0</v>
      </c>
      <c r="CJ22" s="54">
        <f t="shared" si="21"/>
        <v>0</v>
      </c>
      <c r="CK22" s="54">
        <f t="shared" si="21"/>
        <v>0</v>
      </c>
      <c r="CL22" s="54">
        <f t="shared" si="21"/>
        <v>0</v>
      </c>
      <c r="CM22" s="54">
        <f t="shared" si="21"/>
        <v>0</v>
      </c>
      <c r="CN22" s="54">
        <f t="shared" si="21"/>
        <v>0</v>
      </c>
      <c r="CO22" s="54">
        <f t="shared" si="21"/>
        <v>0</v>
      </c>
      <c r="CP22" s="54">
        <f t="shared" si="21"/>
        <v>0</v>
      </c>
      <c r="CQ22" s="54">
        <f t="shared" si="21"/>
        <v>0</v>
      </c>
      <c r="CR22" s="54">
        <f t="shared" si="21"/>
        <v>0</v>
      </c>
      <c r="CS22" s="54">
        <f t="shared" si="21"/>
        <v>0</v>
      </c>
      <c r="CT22" s="54">
        <f t="shared" si="21"/>
        <v>0</v>
      </c>
      <c r="CU22" s="54">
        <f t="shared" si="21"/>
        <v>0</v>
      </c>
      <c r="CV22" s="54">
        <f t="shared" si="21"/>
        <v>0</v>
      </c>
      <c r="CW22" s="54">
        <f t="shared" si="21"/>
        <v>0</v>
      </c>
      <c r="CX22" s="54">
        <f t="shared" si="21"/>
        <v>0</v>
      </c>
      <c r="CY22" s="54">
        <f t="shared" si="21"/>
        <v>0</v>
      </c>
      <c r="CZ22" s="54">
        <f t="shared" si="21"/>
        <v>0</v>
      </c>
      <c r="DA22" s="54">
        <f t="shared" si="21"/>
        <v>0</v>
      </c>
      <c r="DB22" s="54">
        <f t="shared" si="21"/>
        <v>0</v>
      </c>
      <c r="DC22" s="54">
        <f t="shared" si="21"/>
        <v>0</v>
      </c>
      <c r="DD22" s="54">
        <f t="shared" si="21"/>
        <v>0</v>
      </c>
      <c r="DE22" s="54">
        <f t="shared" si="21"/>
        <v>0</v>
      </c>
      <c r="DF22" s="54">
        <f t="shared" si="21"/>
        <v>0</v>
      </c>
      <c r="DG22" s="54">
        <f t="shared" si="21"/>
        <v>0</v>
      </c>
      <c r="DH22" s="54">
        <f t="shared" si="21"/>
        <v>0</v>
      </c>
      <c r="DI22" s="54">
        <f t="shared" si="21"/>
        <v>0</v>
      </c>
      <c r="DJ22" s="54">
        <f t="shared" si="21"/>
        <v>0</v>
      </c>
      <c r="DK22" s="54">
        <f t="shared" si="21"/>
        <v>0</v>
      </c>
      <c r="DL22" s="54">
        <f t="shared" si="21"/>
        <v>0</v>
      </c>
      <c r="DM22" s="54">
        <f t="shared" si="21"/>
        <v>0</v>
      </c>
      <c r="DN22" s="54">
        <f t="shared" si="21"/>
        <v>0</v>
      </c>
      <c r="DO22" s="54">
        <f t="shared" si="21"/>
        <v>0</v>
      </c>
      <c r="DP22" s="54">
        <f t="shared" si="21"/>
        <v>0</v>
      </c>
      <c r="DQ22" s="54">
        <f t="shared" si="21"/>
        <v>0</v>
      </c>
      <c r="DR22" s="54">
        <f t="shared" si="21"/>
        <v>0</v>
      </c>
      <c r="DS22" s="54">
        <f t="shared" si="21"/>
        <v>0</v>
      </c>
      <c r="DT22" s="54">
        <f t="shared" si="21"/>
        <v>0</v>
      </c>
      <c r="DU22" s="54">
        <f t="shared" si="21"/>
        <v>0</v>
      </c>
      <c r="DV22" s="54">
        <f t="shared" si="21"/>
        <v>0</v>
      </c>
      <c r="DW22" s="54">
        <f t="shared" si="21"/>
        <v>0</v>
      </c>
      <c r="DX22" s="54">
        <f t="shared" si="21"/>
        <v>0</v>
      </c>
      <c r="DY22" s="54">
        <f t="shared" si="21"/>
        <v>0</v>
      </c>
      <c r="DZ22" s="54">
        <f t="shared" si="21"/>
        <v>0</v>
      </c>
      <c r="EA22" s="54">
        <f t="shared" si="21"/>
        <v>0</v>
      </c>
      <c r="EB22" s="54">
        <f t="shared" si="21"/>
        <v>0</v>
      </c>
      <c r="EC22" s="54">
        <f t="shared" ref="EC22:EE22" si="22">EC21*-$L$9</f>
        <v>0</v>
      </c>
      <c r="ED22" s="54">
        <f t="shared" si="22"/>
        <v>0</v>
      </c>
      <c r="EE22" s="66">
        <f t="shared" si="22"/>
        <v>0</v>
      </c>
    </row>
    <row r="23" spans="1:135" x14ac:dyDescent="0.15">
      <c r="B23" s="7" t="s">
        <v>31</v>
      </c>
      <c r="C23" s="54">
        <v>0</v>
      </c>
      <c r="D23" s="54">
        <f>D21*-$O$3</f>
        <v>0</v>
      </c>
      <c r="E23" s="54">
        <f t="shared" ref="E23:BP23" si="23">E21*-$O$3</f>
        <v>0</v>
      </c>
      <c r="F23" s="54">
        <f t="shared" si="23"/>
        <v>0</v>
      </c>
      <c r="G23" s="54">
        <f t="shared" si="23"/>
        <v>0</v>
      </c>
      <c r="H23" s="54">
        <f t="shared" si="23"/>
        <v>0</v>
      </c>
      <c r="I23" s="54">
        <f t="shared" si="23"/>
        <v>0</v>
      </c>
      <c r="J23" s="54">
        <f t="shared" si="23"/>
        <v>0</v>
      </c>
      <c r="K23" s="54">
        <f t="shared" si="23"/>
        <v>0</v>
      </c>
      <c r="L23" s="54">
        <f t="shared" si="23"/>
        <v>0</v>
      </c>
      <c r="M23" s="54">
        <f t="shared" si="23"/>
        <v>0</v>
      </c>
      <c r="N23" s="54">
        <f t="shared" si="23"/>
        <v>0</v>
      </c>
      <c r="O23" s="54">
        <f t="shared" si="23"/>
        <v>0</v>
      </c>
      <c r="P23" s="54">
        <f t="shared" si="23"/>
        <v>0</v>
      </c>
      <c r="Q23" s="54">
        <f t="shared" si="23"/>
        <v>0</v>
      </c>
      <c r="R23" s="54">
        <f t="shared" si="23"/>
        <v>0</v>
      </c>
      <c r="S23" s="54">
        <f t="shared" si="23"/>
        <v>0</v>
      </c>
      <c r="T23" s="54">
        <f t="shared" si="23"/>
        <v>0</v>
      </c>
      <c r="U23" s="54">
        <f t="shared" si="23"/>
        <v>0</v>
      </c>
      <c r="V23" s="54">
        <f t="shared" si="23"/>
        <v>0</v>
      </c>
      <c r="W23" s="54">
        <f t="shared" si="23"/>
        <v>0</v>
      </c>
      <c r="X23" s="54">
        <f t="shared" si="23"/>
        <v>0</v>
      </c>
      <c r="Y23" s="54">
        <f t="shared" si="23"/>
        <v>0</v>
      </c>
      <c r="Z23" s="54">
        <f t="shared" si="23"/>
        <v>0</v>
      </c>
      <c r="AA23" s="54">
        <f t="shared" si="23"/>
        <v>-358469.84107807575</v>
      </c>
      <c r="AB23" s="54">
        <f t="shared" si="23"/>
        <v>0</v>
      </c>
      <c r="AC23" s="54">
        <f t="shared" si="23"/>
        <v>0</v>
      </c>
      <c r="AD23" s="54">
        <f t="shared" si="23"/>
        <v>0</v>
      </c>
      <c r="AE23" s="54">
        <f t="shared" si="23"/>
        <v>0</v>
      </c>
      <c r="AF23" s="54">
        <f t="shared" si="23"/>
        <v>0</v>
      </c>
      <c r="AG23" s="54">
        <f t="shared" si="23"/>
        <v>0</v>
      </c>
      <c r="AH23" s="54">
        <f t="shared" si="23"/>
        <v>0</v>
      </c>
      <c r="AI23" s="54">
        <f t="shared" si="23"/>
        <v>0</v>
      </c>
      <c r="AJ23" s="54">
        <f t="shared" si="23"/>
        <v>0</v>
      </c>
      <c r="AK23" s="54">
        <f t="shared" si="23"/>
        <v>0</v>
      </c>
      <c r="AL23" s="54">
        <f t="shared" si="23"/>
        <v>0</v>
      </c>
      <c r="AM23" s="54">
        <f t="shared" si="23"/>
        <v>0</v>
      </c>
      <c r="AN23" s="54">
        <f t="shared" si="23"/>
        <v>0</v>
      </c>
      <c r="AO23" s="54">
        <f t="shared" si="23"/>
        <v>0</v>
      </c>
      <c r="AP23" s="54">
        <f t="shared" si="23"/>
        <v>0</v>
      </c>
      <c r="AQ23" s="54">
        <f t="shared" si="23"/>
        <v>0</v>
      </c>
      <c r="AR23" s="54">
        <f t="shared" si="23"/>
        <v>0</v>
      </c>
      <c r="AS23" s="54">
        <f t="shared" si="23"/>
        <v>0</v>
      </c>
      <c r="AT23" s="54">
        <f t="shared" si="23"/>
        <v>0</v>
      </c>
      <c r="AU23" s="54">
        <f t="shared" si="23"/>
        <v>0</v>
      </c>
      <c r="AV23" s="54">
        <f t="shared" si="23"/>
        <v>0</v>
      </c>
      <c r="AW23" s="54">
        <f t="shared" si="23"/>
        <v>0</v>
      </c>
      <c r="AX23" s="54">
        <f t="shared" si="23"/>
        <v>0</v>
      </c>
      <c r="AY23" s="54">
        <f t="shared" si="23"/>
        <v>0</v>
      </c>
      <c r="AZ23" s="54">
        <f t="shared" si="23"/>
        <v>0</v>
      </c>
      <c r="BA23" s="54">
        <f t="shared" si="23"/>
        <v>0</v>
      </c>
      <c r="BB23" s="54">
        <f t="shared" si="23"/>
        <v>0</v>
      </c>
      <c r="BC23" s="54">
        <f t="shared" si="23"/>
        <v>0</v>
      </c>
      <c r="BD23" s="54">
        <f t="shared" si="23"/>
        <v>0</v>
      </c>
      <c r="BE23" s="54">
        <f t="shared" si="23"/>
        <v>0</v>
      </c>
      <c r="BF23" s="54">
        <f t="shared" si="23"/>
        <v>0</v>
      </c>
      <c r="BG23" s="54">
        <f t="shared" si="23"/>
        <v>0</v>
      </c>
      <c r="BH23" s="54">
        <f t="shared" si="23"/>
        <v>0</v>
      </c>
      <c r="BI23" s="54">
        <f t="shared" si="23"/>
        <v>0</v>
      </c>
      <c r="BJ23" s="54">
        <f t="shared" si="23"/>
        <v>0</v>
      </c>
      <c r="BK23" s="54">
        <f t="shared" si="23"/>
        <v>0</v>
      </c>
      <c r="BL23" s="54">
        <f t="shared" si="23"/>
        <v>0</v>
      </c>
      <c r="BM23" s="54">
        <f t="shared" si="23"/>
        <v>0</v>
      </c>
      <c r="BN23" s="54">
        <f t="shared" si="23"/>
        <v>0</v>
      </c>
      <c r="BO23" s="54">
        <f t="shared" si="23"/>
        <v>0</v>
      </c>
      <c r="BP23" s="54">
        <f t="shared" si="23"/>
        <v>0</v>
      </c>
      <c r="BQ23" s="54">
        <f t="shared" ref="BQ23:EB23" si="24">BQ21*-$O$3</f>
        <v>0</v>
      </c>
      <c r="BR23" s="54">
        <f t="shared" si="24"/>
        <v>0</v>
      </c>
      <c r="BS23" s="54">
        <f t="shared" si="24"/>
        <v>0</v>
      </c>
      <c r="BT23" s="54">
        <f t="shared" si="24"/>
        <v>0</v>
      </c>
      <c r="BU23" s="54">
        <f t="shared" si="24"/>
        <v>0</v>
      </c>
      <c r="BV23" s="54">
        <f t="shared" si="24"/>
        <v>0</v>
      </c>
      <c r="BW23" s="54">
        <f t="shared" si="24"/>
        <v>0</v>
      </c>
      <c r="BX23" s="54">
        <f t="shared" si="24"/>
        <v>0</v>
      </c>
      <c r="BY23" s="54">
        <f t="shared" si="24"/>
        <v>0</v>
      </c>
      <c r="BZ23" s="54">
        <f t="shared" si="24"/>
        <v>0</v>
      </c>
      <c r="CA23" s="54">
        <f t="shared" si="24"/>
        <v>0</v>
      </c>
      <c r="CB23" s="54">
        <f t="shared" si="24"/>
        <v>0</v>
      </c>
      <c r="CC23" s="54">
        <f t="shared" si="24"/>
        <v>0</v>
      </c>
      <c r="CD23" s="54">
        <f t="shared" si="24"/>
        <v>0</v>
      </c>
      <c r="CE23" s="54">
        <f t="shared" si="24"/>
        <v>0</v>
      </c>
      <c r="CF23" s="54">
        <f t="shared" si="24"/>
        <v>0</v>
      </c>
      <c r="CG23" s="54">
        <f t="shared" si="24"/>
        <v>0</v>
      </c>
      <c r="CH23" s="54">
        <f t="shared" si="24"/>
        <v>0</v>
      </c>
      <c r="CI23" s="54">
        <f t="shared" si="24"/>
        <v>0</v>
      </c>
      <c r="CJ23" s="54">
        <f t="shared" si="24"/>
        <v>0</v>
      </c>
      <c r="CK23" s="54">
        <f t="shared" si="24"/>
        <v>0</v>
      </c>
      <c r="CL23" s="54">
        <f t="shared" si="24"/>
        <v>0</v>
      </c>
      <c r="CM23" s="54">
        <f t="shared" si="24"/>
        <v>0</v>
      </c>
      <c r="CN23" s="54">
        <f t="shared" si="24"/>
        <v>0</v>
      </c>
      <c r="CO23" s="54">
        <f t="shared" si="24"/>
        <v>0</v>
      </c>
      <c r="CP23" s="54">
        <f t="shared" si="24"/>
        <v>0</v>
      </c>
      <c r="CQ23" s="54">
        <f t="shared" si="24"/>
        <v>0</v>
      </c>
      <c r="CR23" s="54">
        <f t="shared" si="24"/>
        <v>0</v>
      </c>
      <c r="CS23" s="54">
        <f t="shared" si="24"/>
        <v>0</v>
      </c>
      <c r="CT23" s="54">
        <f t="shared" si="24"/>
        <v>0</v>
      </c>
      <c r="CU23" s="54">
        <f t="shared" si="24"/>
        <v>0</v>
      </c>
      <c r="CV23" s="54">
        <f t="shared" si="24"/>
        <v>0</v>
      </c>
      <c r="CW23" s="54">
        <f t="shared" si="24"/>
        <v>0</v>
      </c>
      <c r="CX23" s="54">
        <f t="shared" si="24"/>
        <v>0</v>
      </c>
      <c r="CY23" s="54">
        <f t="shared" si="24"/>
        <v>0</v>
      </c>
      <c r="CZ23" s="54">
        <f t="shared" si="24"/>
        <v>0</v>
      </c>
      <c r="DA23" s="54">
        <f t="shared" si="24"/>
        <v>0</v>
      </c>
      <c r="DB23" s="54">
        <f t="shared" si="24"/>
        <v>0</v>
      </c>
      <c r="DC23" s="54">
        <f t="shared" si="24"/>
        <v>0</v>
      </c>
      <c r="DD23" s="54">
        <f t="shared" si="24"/>
        <v>0</v>
      </c>
      <c r="DE23" s="54">
        <f t="shared" si="24"/>
        <v>0</v>
      </c>
      <c r="DF23" s="54">
        <f t="shared" si="24"/>
        <v>0</v>
      </c>
      <c r="DG23" s="54">
        <f t="shared" si="24"/>
        <v>0</v>
      </c>
      <c r="DH23" s="54">
        <f t="shared" si="24"/>
        <v>0</v>
      </c>
      <c r="DI23" s="54">
        <f t="shared" si="24"/>
        <v>0</v>
      </c>
      <c r="DJ23" s="54">
        <f t="shared" si="24"/>
        <v>0</v>
      </c>
      <c r="DK23" s="54">
        <f t="shared" si="24"/>
        <v>0</v>
      </c>
      <c r="DL23" s="54">
        <f t="shared" si="24"/>
        <v>0</v>
      </c>
      <c r="DM23" s="54">
        <f t="shared" si="24"/>
        <v>0</v>
      </c>
      <c r="DN23" s="54">
        <f t="shared" si="24"/>
        <v>0</v>
      </c>
      <c r="DO23" s="54">
        <f t="shared" si="24"/>
        <v>0</v>
      </c>
      <c r="DP23" s="54">
        <f t="shared" si="24"/>
        <v>0</v>
      </c>
      <c r="DQ23" s="54">
        <f t="shared" si="24"/>
        <v>0</v>
      </c>
      <c r="DR23" s="54">
        <f t="shared" si="24"/>
        <v>0</v>
      </c>
      <c r="DS23" s="54">
        <f t="shared" si="24"/>
        <v>0</v>
      </c>
      <c r="DT23" s="54">
        <f t="shared" si="24"/>
        <v>0</v>
      </c>
      <c r="DU23" s="54">
        <f t="shared" si="24"/>
        <v>0</v>
      </c>
      <c r="DV23" s="54">
        <f t="shared" si="24"/>
        <v>0</v>
      </c>
      <c r="DW23" s="54">
        <f t="shared" si="24"/>
        <v>0</v>
      </c>
      <c r="DX23" s="54">
        <f t="shared" si="24"/>
        <v>0</v>
      </c>
      <c r="DY23" s="54">
        <f t="shared" si="24"/>
        <v>0</v>
      </c>
      <c r="DZ23" s="54">
        <f t="shared" si="24"/>
        <v>0</v>
      </c>
      <c r="EA23" s="54">
        <f t="shared" si="24"/>
        <v>0</v>
      </c>
      <c r="EB23" s="54">
        <f t="shared" si="24"/>
        <v>0</v>
      </c>
      <c r="EC23" s="54">
        <f t="shared" ref="EC23:EE23" si="25">EC21*-$O$3</f>
        <v>0</v>
      </c>
      <c r="ED23" s="54">
        <f t="shared" si="25"/>
        <v>0</v>
      </c>
      <c r="EE23" s="66">
        <f t="shared" si="25"/>
        <v>0</v>
      </c>
    </row>
    <row r="24" spans="1:135" x14ac:dyDescent="0.15">
      <c r="B24" s="7" t="s">
        <v>43</v>
      </c>
      <c r="C24" s="54">
        <v>0</v>
      </c>
      <c r="D24" s="54">
        <f>IF(D11=$L$7,-($C$19+SUM($D$14:D14)),0)</f>
        <v>0</v>
      </c>
      <c r="E24" s="54">
        <f>IF(E11=$L$7,-($C$19+SUM($D$14:E14)),0)</f>
        <v>0</v>
      </c>
      <c r="F24" s="54">
        <f>IF(F11=$L$7,-($C$19+SUM($D$14:F14)),0)</f>
        <v>0</v>
      </c>
      <c r="G24" s="54">
        <f>IF(G11=$L$7,-($C$19+SUM($D$14:G14)),0)</f>
        <v>0</v>
      </c>
      <c r="H24" s="54">
        <f>IF(H11=$L$7,-($C$19+SUM($D$14:H14)),0)</f>
        <v>0</v>
      </c>
      <c r="I24" s="54">
        <f>IF(I11=$L$7,-($C$19+SUM($D$14:I14)),0)</f>
        <v>0</v>
      </c>
      <c r="J24" s="54">
        <f>IF(J11=$L$7,-($C$19+SUM($D$14:J14)),0)</f>
        <v>0</v>
      </c>
      <c r="K24" s="54">
        <f>IF(K11=$L$7,-($C$19+SUM($D$14:K14)),0)</f>
        <v>0</v>
      </c>
      <c r="L24" s="54">
        <f>IF(L11=$L$7,-($C$19+SUM($D$14:L14)),0)</f>
        <v>0</v>
      </c>
      <c r="M24" s="54">
        <f>IF(M11=$L$7,-($C$19+SUM($D$14:M14)),0)</f>
        <v>0</v>
      </c>
      <c r="N24" s="54">
        <f>IF(N11=$L$7,-($C$19+SUM($D$14:N14)),0)</f>
        <v>0</v>
      </c>
      <c r="O24" s="54">
        <f>IF(O11=$L$7,-($C$19+SUM($D$14:O14)),0)</f>
        <v>0</v>
      </c>
      <c r="P24" s="54">
        <f>IF(P11=$L$7,-($C$19+SUM($D$14:P14)),0)</f>
        <v>0</v>
      </c>
      <c r="Q24" s="54">
        <f>IF(Q11=$L$7,-($C$19+SUM($D$14:Q14)),0)</f>
        <v>0</v>
      </c>
      <c r="R24" s="54">
        <f>IF(R11=$L$7,-($C$19+SUM($D$14:R14)),0)</f>
        <v>0</v>
      </c>
      <c r="S24" s="54">
        <f>IF(S11=$L$7,-($C$19+SUM($D$14:S14)),0)</f>
        <v>0</v>
      </c>
      <c r="T24" s="54">
        <f>IF(T11=$L$7,-($C$19+SUM($D$14:T14)),0)</f>
        <v>0</v>
      </c>
      <c r="U24" s="54">
        <f>IF(U11=$L$7,-($C$19+SUM($D$14:U14)),0)</f>
        <v>0</v>
      </c>
      <c r="V24" s="54">
        <f>IF(V11=$L$7,-($C$19+SUM($D$14:V14)),0)</f>
        <v>0</v>
      </c>
      <c r="W24" s="54">
        <f>IF(W11=$L$7,-($C$19+SUM($D$14:W14)),0)</f>
        <v>0</v>
      </c>
      <c r="X24" s="54">
        <f>IF(X11=$L$7,-($C$19+SUM($D$14:X14)),0)</f>
        <v>0</v>
      </c>
      <c r="Y24" s="54">
        <f>IF(Y11=$L$7,-($C$19+SUM($D$14:Y14)),0)</f>
        <v>0</v>
      </c>
      <c r="Z24" s="54">
        <f>IF(Z11=$L$7,-($C$19+SUM($D$14:Z14)),0)</f>
        <v>0</v>
      </c>
      <c r="AA24" s="54">
        <f>IF(AA11=$L$7,-($C$19+SUM($D$14:AA14)),0)</f>
        <v>-16993210.300130423</v>
      </c>
      <c r="AB24" s="54">
        <f>IF(AB11=$L$7,-($C$19+SUM($D$14:AB14)),0)</f>
        <v>0</v>
      </c>
      <c r="AC24" s="54">
        <f>IF(AC11=$L$7,-($C$19+SUM($D$14:AC14)),0)</f>
        <v>0</v>
      </c>
      <c r="AD24" s="54">
        <f>IF(AD11=$L$7,-($C$19+SUM($D$14:AD14)),0)</f>
        <v>0</v>
      </c>
      <c r="AE24" s="54">
        <f>IF(AE11=$L$7,-($C$19+SUM($D$14:AE14)),0)</f>
        <v>0</v>
      </c>
      <c r="AF24" s="54">
        <f>IF(AF11=$L$7,-($C$19+SUM($D$14:AF14)),0)</f>
        <v>0</v>
      </c>
      <c r="AG24" s="54">
        <f>IF(AG11=$L$7,-($C$19+SUM($D$14:AG14)),0)</f>
        <v>0</v>
      </c>
      <c r="AH24" s="54">
        <f>IF(AH11=$L$7,-($C$19+SUM($D$14:AH14)),0)</f>
        <v>0</v>
      </c>
      <c r="AI24" s="54">
        <f>IF(AI11=$L$7,-($C$19+SUM($D$14:AI14)),0)</f>
        <v>0</v>
      </c>
      <c r="AJ24" s="54">
        <f>IF(AJ11=$L$7,-($C$19+SUM($D$14:AJ14)),0)</f>
        <v>0</v>
      </c>
      <c r="AK24" s="54">
        <f>IF(AK11=$L$7,-($C$19+SUM($D$14:AK14)),0)</f>
        <v>0</v>
      </c>
      <c r="AL24" s="54">
        <f>IF(AL11=$L$7,-($C$19+SUM($D$14:AL14)),0)</f>
        <v>0</v>
      </c>
      <c r="AM24" s="54">
        <f>IF(AM11=$L$7,-($C$19+SUM($D$14:AM14)),0)</f>
        <v>0</v>
      </c>
      <c r="AN24" s="54">
        <f>IF(AN11=$L$7,-($C$19+SUM($D$14:AN14)),0)</f>
        <v>0</v>
      </c>
      <c r="AO24" s="54">
        <f>IF(AO11=$L$7,-($C$19+SUM($D$14:AO14)),0)</f>
        <v>0</v>
      </c>
      <c r="AP24" s="54">
        <f>IF(AP11=$L$7,-($C$19+SUM($D$14:AP14)),0)</f>
        <v>0</v>
      </c>
      <c r="AQ24" s="54">
        <f>IF(AQ11=$L$7,-($C$19+SUM($D$14:AQ14)),0)</f>
        <v>0</v>
      </c>
      <c r="AR24" s="54">
        <f>IF(AR11=$L$7,-($C$19+SUM($D$14:AR14)),0)</f>
        <v>0</v>
      </c>
      <c r="AS24" s="54">
        <f>IF(AS11=$L$7,-($C$19+SUM($D$14:AS14)),0)</f>
        <v>0</v>
      </c>
      <c r="AT24" s="54">
        <f>IF(AT11=$L$7,-($C$19+SUM($D$14:AT14)),0)</f>
        <v>0</v>
      </c>
      <c r="AU24" s="54">
        <f>IF(AU11=$L$7,-($C$19+SUM($D$14:AU14)),0)</f>
        <v>0</v>
      </c>
      <c r="AV24" s="54">
        <f>IF(AV11=$L$7,-($C$19+SUM($D$14:AV14)),0)</f>
        <v>0</v>
      </c>
      <c r="AW24" s="54">
        <f>IF(AW11=$L$7,-($C$19+SUM($D$14:AW14)),0)</f>
        <v>0</v>
      </c>
      <c r="AX24" s="54">
        <f>IF(AX11=$L$7,-($C$19+SUM($D$14:AX14)),0)</f>
        <v>0</v>
      </c>
      <c r="AY24" s="54">
        <f>IF(AY11=$L$7,-($C$19+SUM($D$14:AY14)),0)</f>
        <v>0</v>
      </c>
      <c r="AZ24" s="54">
        <f>IF(AZ11=$L$7,-($C$19+SUM($D$14:AZ14)),0)</f>
        <v>0</v>
      </c>
      <c r="BA24" s="54">
        <f>IF(BA11=$L$7,-($C$19+SUM($D$14:BA14)),0)</f>
        <v>0</v>
      </c>
      <c r="BB24" s="54">
        <f>IF(BB11=$L$7,-($C$19+SUM($D$14:BB14)),0)</f>
        <v>0</v>
      </c>
      <c r="BC24" s="54">
        <f>IF(BC11=$L$7,-($C$19+SUM($D$14:BC14)),0)</f>
        <v>0</v>
      </c>
      <c r="BD24" s="54">
        <f>IF(BD11=$L$7,-($C$19+SUM($D$14:BD14)),0)</f>
        <v>0</v>
      </c>
      <c r="BE24" s="54">
        <f>IF(BE11=$L$7,-($C$19+SUM($D$14:BE14)),0)</f>
        <v>0</v>
      </c>
      <c r="BF24" s="54">
        <f>IF(BF11=$L$7,-($C$19+SUM($D$14:BF14)),0)</f>
        <v>0</v>
      </c>
      <c r="BG24" s="54">
        <f>IF(BG11=$L$7,-($C$19+SUM($D$14:BG14)),0)</f>
        <v>0</v>
      </c>
      <c r="BH24" s="54">
        <f>IF(BH11=$L$7,-($C$19+SUM($D$14:BH14)),0)</f>
        <v>0</v>
      </c>
      <c r="BI24" s="54">
        <f>IF(BI11=$L$7,-($C$19+SUM($D$14:BI14)),0)</f>
        <v>0</v>
      </c>
      <c r="BJ24" s="54">
        <f>IF(BJ11=$L$7,-($C$19+SUM($D$14:BJ14)),0)</f>
        <v>0</v>
      </c>
      <c r="BK24" s="54">
        <f>IF(BK11=$L$7,-($C$19+SUM($D$14:BK14)),0)</f>
        <v>0</v>
      </c>
      <c r="BL24" s="54">
        <f>IF(BL11=$L$7,-($C$19+SUM($D$14:BL14)),0)</f>
        <v>0</v>
      </c>
      <c r="BM24" s="54">
        <f>IF(BM11=$L$7,-($C$19+SUM($D$14:BM14)),0)</f>
        <v>0</v>
      </c>
      <c r="BN24" s="54">
        <f>IF(BN11=$L$7,-($C$19+SUM($D$14:BN14)),0)</f>
        <v>0</v>
      </c>
      <c r="BO24" s="54">
        <f>IF(BO11=$L$7,-($C$19+SUM($D$14:BO14)),0)</f>
        <v>0</v>
      </c>
      <c r="BP24" s="54">
        <f>IF(BP11=$L$7,-($C$19+SUM($D$14:BP14)),0)</f>
        <v>0</v>
      </c>
      <c r="BQ24" s="54">
        <f>IF(BQ11=$L$7,-($C$19+SUM($D$14:BQ14)),0)</f>
        <v>0</v>
      </c>
      <c r="BR24" s="54">
        <f>IF(BR11=$L$7,-($C$19+SUM($D$14:BR14)),0)</f>
        <v>0</v>
      </c>
      <c r="BS24" s="54">
        <f>IF(BS11=$L$7,-($C$19+SUM($D$14:BS14)),0)</f>
        <v>0</v>
      </c>
      <c r="BT24" s="54">
        <f>IF(BT11=$L$7,-($C$19+SUM($D$14:BT14)),0)</f>
        <v>0</v>
      </c>
      <c r="BU24" s="54">
        <f>IF(BU11=$L$7,-($C$19+SUM($D$14:BU14)),0)</f>
        <v>0</v>
      </c>
      <c r="BV24" s="54">
        <f>IF(BV11=$L$7,-($C$19+SUM($D$14:BV14)),0)</f>
        <v>0</v>
      </c>
      <c r="BW24" s="54">
        <f>IF(BW11=$L$7,-($C$19+SUM($D$14:BW14)),0)</f>
        <v>0</v>
      </c>
      <c r="BX24" s="54">
        <f>IF(BX11=$L$7,-($C$19+SUM($D$14:BX14)),0)</f>
        <v>0</v>
      </c>
      <c r="BY24" s="54">
        <f>IF(BY11=$L$7,-($C$19+SUM($D$14:BY14)),0)</f>
        <v>0</v>
      </c>
      <c r="BZ24" s="54">
        <f>IF(BZ11=$L$7,-($C$19+SUM($D$14:BZ14)),0)</f>
        <v>0</v>
      </c>
      <c r="CA24" s="54">
        <f>IF(CA11=$L$7,-($C$19+SUM($D$14:CA14)),0)</f>
        <v>0</v>
      </c>
      <c r="CB24" s="54">
        <f>IF(CB11=$L$7,-($C$19+SUM($D$14:CB14)),0)</f>
        <v>0</v>
      </c>
      <c r="CC24" s="54">
        <f>IF(CC11=$L$7,-($C$19+SUM($D$14:CC14)),0)</f>
        <v>0</v>
      </c>
      <c r="CD24" s="54">
        <f>IF(CD11=$L$7,-($C$19+SUM($D$14:CD14)),0)</f>
        <v>0</v>
      </c>
      <c r="CE24" s="54">
        <f>IF(CE11=$L$7,-($C$19+SUM($D$14:CE14)),0)</f>
        <v>0</v>
      </c>
      <c r="CF24" s="54">
        <f>IF(CF11=$L$7,-($C$19+SUM($D$14:CF14)),0)</f>
        <v>0</v>
      </c>
      <c r="CG24" s="54">
        <f>IF(CG11=$L$7,-($C$19+SUM($D$14:CG14)),0)</f>
        <v>0</v>
      </c>
      <c r="CH24" s="54">
        <f>IF(CH11=$L$7,-($C$19+SUM($D$14:CH14)),0)</f>
        <v>0</v>
      </c>
      <c r="CI24" s="54">
        <f>IF(CI11=$L$7,-($C$19+SUM($D$14:CI14)),0)</f>
        <v>0</v>
      </c>
      <c r="CJ24" s="54">
        <f>IF(CJ11=$L$7,-($C$19+SUM($D$14:CJ14)),0)</f>
        <v>0</v>
      </c>
      <c r="CK24" s="54">
        <f>IF(CK11=$L$7,-($C$19+SUM($D$14:CK14)),0)</f>
        <v>0</v>
      </c>
      <c r="CL24" s="54">
        <f>IF(CL11=$L$7,-($C$19+SUM($D$14:CL14)),0)</f>
        <v>0</v>
      </c>
      <c r="CM24" s="54">
        <f>IF(CM11=$L$7,-($C$19+SUM($D$14:CM14)),0)</f>
        <v>0</v>
      </c>
      <c r="CN24" s="54">
        <f>IF(CN11=$L$7,-($C$19+SUM($D$14:CN14)),0)</f>
        <v>0</v>
      </c>
      <c r="CO24" s="54">
        <f>IF(CO11=$L$7,-($C$19+SUM($D$14:CO14)),0)</f>
        <v>0</v>
      </c>
      <c r="CP24" s="54">
        <f>IF(CP11=$L$7,-($C$19+SUM($D$14:CP14)),0)</f>
        <v>0</v>
      </c>
      <c r="CQ24" s="54">
        <f>IF(CQ11=$L$7,-($C$19+SUM($D$14:CQ14)),0)</f>
        <v>0</v>
      </c>
      <c r="CR24" s="54">
        <f>IF(CR11=$L$7,-($C$19+SUM($D$14:CR14)),0)</f>
        <v>0</v>
      </c>
      <c r="CS24" s="54">
        <f>IF(CS11=$L$7,-($C$19+SUM($D$14:CS14)),0)</f>
        <v>0</v>
      </c>
      <c r="CT24" s="54">
        <f>IF(CT11=$L$7,-($C$19+SUM($D$14:CT14)),0)</f>
        <v>0</v>
      </c>
      <c r="CU24" s="54">
        <f>IF(CU11=$L$7,-($C$19+SUM($D$14:CU14)),0)</f>
        <v>0</v>
      </c>
      <c r="CV24" s="54">
        <f>IF(CV11=$L$7,-($C$19+SUM($D$14:CV14)),0)</f>
        <v>0</v>
      </c>
      <c r="CW24" s="54">
        <f>IF(CW11=$L$7,-($C$19+SUM($D$14:CW14)),0)</f>
        <v>0</v>
      </c>
      <c r="CX24" s="54">
        <f>IF(CX11=$L$7,-($C$19+SUM($D$14:CX14)),0)</f>
        <v>0</v>
      </c>
      <c r="CY24" s="54">
        <f>IF(CY11=$L$7,-($C$19+SUM($D$14:CY14)),0)</f>
        <v>0</v>
      </c>
      <c r="CZ24" s="54">
        <f>IF(CZ11=$L$7,-($C$19+SUM($D$14:CZ14)),0)</f>
        <v>0</v>
      </c>
      <c r="DA24" s="54">
        <f>IF(DA11=$L$7,-($C$19+SUM($D$14:DA14)),0)</f>
        <v>0</v>
      </c>
      <c r="DB24" s="54">
        <f>IF(DB11=$L$7,-($C$19+SUM($D$14:DB14)),0)</f>
        <v>0</v>
      </c>
      <c r="DC24" s="54">
        <f>IF(DC11=$L$7,-($C$19+SUM($D$14:DC14)),0)</f>
        <v>0</v>
      </c>
      <c r="DD24" s="54">
        <f>IF(DD11=$L$7,-($C$19+SUM($D$14:DD14)),0)</f>
        <v>0</v>
      </c>
      <c r="DE24" s="54">
        <f>IF(DE11=$L$7,-($C$19+SUM($D$14:DE14)),0)</f>
        <v>0</v>
      </c>
      <c r="DF24" s="54">
        <f>IF(DF11=$L$7,-($C$19+SUM($D$14:DF14)),0)</f>
        <v>0</v>
      </c>
      <c r="DG24" s="54">
        <f>IF(DG11=$L$7,-($C$19+SUM($D$14:DG14)),0)</f>
        <v>0</v>
      </c>
      <c r="DH24" s="54">
        <f>IF(DH11=$L$7,-($C$19+SUM($D$14:DH14)),0)</f>
        <v>0</v>
      </c>
      <c r="DI24" s="54">
        <f>IF(DI11=$L$7,-($C$19+SUM($D$14:DI14)),0)</f>
        <v>0</v>
      </c>
      <c r="DJ24" s="54">
        <f>IF(DJ11=$L$7,-($C$19+SUM($D$14:DJ14)),0)</f>
        <v>0</v>
      </c>
      <c r="DK24" s="54">
        <f>IF(DK11=$L$7,-($C$19+SUM($D$14:DK14)),0)</f>
        <v>0</v>
      </c>
      <c r="DL24" s="54">
        <f>IF(DL11=$L$7,-($C$19+SUM($D$14:DL14)),0)</f>
        <v>0</v>
      </c>
      <c r="DM24" s="54">
        <f>IF(DM11=$L$7,-($C$19+SUM($D$14:DM14)),0)</f>
        <v>0</v>
      </c>
      <c r="DN24" s="54">
        <f>IF(DN11=$L$7,-($C$19+SUM($D$14:DN14)),0)</f>
        <v>0</v>
      </c>
      <c r="DO24" s="54">
        <f>IF(DO11=$L$7,-($C$19+SUM($D$14:DO14)),0)</f>
        <v>0</v>
      </c>
      <c r="DP24" s="54">
        <f>IF(DP11=$L$7,-($C$19+SUM($D$14:DP14)),0)</f>
        <v>0</v>
      </c>
      <c r="DQ24" s="54">
        <f>IF(DQ11=$L$7,-($C$19+SUM($D$14:DQ14)),0)</f>
        <v>0</v>
      </c>
      <c r="DR24" s="54">
        <f>IF(DR11=$L$7,-($C$19+SUM($D$14:DR14)),0)</f>
        <v>0</v>
      </c>
      <c r="DS24" s="54">
        <f>IF(DS11=$L$7,-($C$19+SUM($D$14:DS14)),0)</f>
        <v>0</v>
      </c>
      <c r="DT24" s="54">
        <f>IF(DT11=$L$7,-($C$19+SUM($D$14:DT14)),0)</f>
        <v>0</v>
      </c>
      <c r="DU24" s="54">
        <f>IF(DU11=$L$7,-($C$19+SUM($D$14:DU14)),0)</f>
        <v>0</v>
      </c>
      <c r="DV24" s="54">
        <f>IF(DV11=$L$7,-($C$19+SUM($D$14:DV14)),0)</f>
        <v>0</v>
      </c>
      <c r="DW24" s="54">
        <f>IF(DW11=$L$7,-($C$19+SUM($D$14:DW14)),0)</f>
        <v>0</v>
      </c>
      <c r="DX24" s="54">
        <f>IF(DX11=$L$7,-($C$19+SUM($D$14:DX14)),0)</f>
        <v>0</v>
      </c>
      <c r="DY24" s="54">
        <f>IF(DY11=$L$7,-($C$19+SUM($D$14:DY14)),0)</f>
        <v>0</v>
      </c>
      <c r="DZ24" s="54">
        <f>IF(DZ11=$L$7,-($C$19+SUM($D$14:DZ14)),0)</f>
        <v>0</v>
      </c>
      <c r="EA24" s="54">
        <f>IF(EA11=$L$7,-($C$19+SUM($D$14:EA14)),0)</f>
        <v>0</v>
      </c>
      <c r="EB24" s="54">
        <f>IF(EB11=$L$7,-($C$19+SUM($D$14:EB14)),0)</f>
        <v>0</v>
      </c>
      <c r="EC24" s="54">
        <f>IF(EC11=$L$7,-($C$19+SUM($D$14:EC14)),0)</f>
        <v>0</v>
      </c>
      <c r="ED24" s="54">
        <f>IF(ED11=$L$7,-($C$19+SUM($D$14:ED14)),0)</f>
        <v>0</v>
      </c>
      <c r="EE24" s="66">
        <f>IF(EE11=$L$7,-($C$19+SUM($D$14:EE14)),0)</f>
        <v>0</v>
      </c>
    </row>
    <row r="25" spans="1:135" x14ac:dyDescent="0.15">
      <c r="B25" s="55" t="s">
        <v>44</v>
      </c>
      <c r="C25" s="56">
        <f>IF(C11&lt;=$L$7,SUM(C13:C24),0)</f>
        <v>-8675000</v>
      </c>
      <c r="D25" s="56">
        <f t="shared" ref="D25:BO25" si="26">IF(D11&lt;=$L$7,SUM(D13:D24),0)</f>
        <v>70031.01879183446</v>
      </c>
      <c r="E25" s="56">
        <f t="shared" si="26"/>
        <v>70442.063753885086</v>
      </c>
      <c r="F25" s="56">
        <f t="shared" si="26"/>
        <v>70854.122463700594</v>
      </c>
      <c r="G25" s="56">
        <f t="shared" si="26"/>
        <v>71267.1974214566</v>
      </c>
      <c r="H25" s="56">
        <f t="shared" si="26"/>
        <v>71681.291133494626</v>
      </c>
      <c r="I25" s="56">
        <f t="shared" si="26"/>
        <v>72096.4061123375</v>
      </c>
      <c r="J25" s="56">
        <f t="shared" si="26"/>
        <v>72512.544876704778</v>
      </c>
      <c r="K25" s="56">
        <f t="shared" si="26"/>
        <v>72929.70995152765</v>
      </c>
      <c r="L25" s="56">
        <f t="shared" si="26"/>
        <v>73347.903867964676</v>
      </c>
      <c r="M25" s="56">
        <f t="shared" si="26"/>
        <v>73767.129163416714</v>
      </c>
      <c r="N25" s="56">
        <f t="shared" si="26"/>
        <v>74187.38838154274</v>
      </c>
      <c r="O25" s="56">
        <f t="shared" si="26"/>
        <v>74608.684072274977</v>
      </c>
      <c r="P25" s="56">
        <f t="shared" si="26"/>
        <v>75031.018791834431</v>
      </c>
      <c r="Q25" s="56">
        <f t="shared" si="26"/>
        <v>75454.395102746566</v>
      </c>
      <c r="R25" s="56">
        <f t="shared" si="26"/>
        <v>75878.815573856584</v>
      </c>
      <c r="S25" s="56">
        <f t="shared" si="26"/>
        <v>76304.282780345311</v>
      </c>
      <c r="T25" s="56">
        <f t="shared" si="26"/>
        <v>76730.799303744439</v>
      </c>
      <c r="U25" s="56">
        <f t="shared" si="26"/>
        <v>77158.367731952603</v>
      </c>
      <c r="V25" s="56">
        <f t="shared" si="26"/>
        <v>77586.990659250907</v>
      </c>
      <c r="W25" s="56">
        <f t="shared" si="26"/>
        <v>78016.670686318466</v>
      </c>
      <c r="X25" s="56">
        <f t="shared" si="26"/>
        <v>78447.410420248576</v>
      </c>
      <c r="Y25" s="56">
        <f t="shared" si="26"/>
        <v>78879.212474564178</v>
      </c>
      <c r="Z25" s="56">
        <f t="shared" si="26"/>
        <v>79312.079469233999</v>
      </c>
      <c r="AA25" s="56">
        <f t="shared" si="26"/>
        <v>17499640.457395542</v>
      </c>
      <c r="AB25" s="56">
        <f t="shared" si="26"/>
        <v>0</v>
      </c>
      <c r="AC25" s="56">
        <f t="shared" si="26"/>
        <v>0</v>
      </c>
      <c r="AD25" s="56">
        <f t="shared" si="26"/>
        <v>0</v>
      </c>
      <c r="AE25" s="56">
        <f t="shared" si="26"/>
        <v>0</v>
      </c>
      <c r="AF25" s="56">
        <f t="shared" si="26"/>
        <v>0</v>
      </c>
      <c r="AG25" s="56">
        <f t="shared" si="26"/>
        <v>0</v>
      </c>
      <c r="AH25" s="56">
        <f t="shared" si="26"/>
        <v>0</v>
      </c>
      <c r="AI25" s="56">
        <f t="shared" si="26"/>
        <v>0</v>
      </c>
      <c r="AJ25" s="56">
        <f t="shared" si="26"/>
        <v>0</v>
      </c>
      <c r="AK25" s="56">
        <f t="shared" si="26"/>
        <v>0</v>
      </c>
      <c r="AL25" s="56">
        <f t="shared" si="26"/>
        <v>0</v>
      </c>
      <c r="AM25" s="56">
        <f t="shared" si="26"/>
        <v>0</v>
      </c>
      <c r="AN25" s="56">
        <f t="shared" si="26"/>
        <v>0</v>
      </c>
      <c r="AO25" s="56">
        <f t="shared" si="26"/>
        <v>0</v>
      </c>
      <c r="AP25" s="56">
        <f t="shared" si="26"/>
        <v>0</v>
      </c>
      <c r="AQ25" s="56">
        <f t="shared" si="26"/>
        <v>0</v>
      </c>
      <c r="AR25" s="56">
        <f t="shared" si="26"/>
        <v>0</v>
      </c>
      <c r="AS25" s="56">
        <f t="shared" si="26"/>
        <v>0</v>
      </c>
      <c r="AT25" s="56">
        <f t="shared" si="26"/>
        <v>0</v>
      </c>
      <c r="AU25" s="56">
        <f t="shared" si="26"/>
        <v>0</v>
      </c>
      <c r="AV25" s="56">
        <f t="shared" si="26"/>
        <v>0</v>
      </c>
      <c r="AW25" s="56">
        <f t="shared" si="26"/>
        <v>0</v>
      </c>
      <c r="AX25" s="56">
        <f t="shared" si="26"/>
        <v>0</v>
      </c>
      <c r="AY25" s="56">
        <f t="shared" si="26"/>
        <v>0</v>
      </c>
      <c r="AZ25" s="56">
        <f t="shared" si="26"/>
        <v>0</v>
      </c>
      <c r="BA25" s="56">
        <f t="shared" si="26"/>
        <v>0</v>
      </c>
      <c r="BB25" s="56">
        <f t="shared" si="26"/>
        <v>0</v>
      </c>
      <c r="BC25" s="56">
        <f t="shared" si="26"/>
        <v>0</v>
      </c>
      <c r="BD25" s="56">
        <f t="shared" si="26"/>
        <v>0</v>
      </c>
      <c r="BE25" s="56">
        <f t="shared" si="26"/>
        <v>0</v>
      </c>
      <c r="BF25" s="56">
        <f t="shared" si="26"/>
        <v>0</v>
      </c>
      <c r="BG25" s="56">
        <f t="shared" si="26"/>
        <v>0</v>
      </c>
      <c r="BH25" s="56">
        <f t="shared" si="26"/>
        <v>0</v>
      </c>
      <c r="BI25" s="56">
        <f t="shared" si="26"/>
        <v>0</v>
      </c>
      <c r="BJ25" s="56">
        <f t="shared" si="26"/>
        <v>0</v>
      </c>
      <c r="BK25" s="56">
        <f t="shared" si="26"/>
        <v>0</v>
      </c>
      <c r="BL25" s="56">
        <f t="shared" si="26"/>
        <v>0</v>
      </c>
      <c r="BM25" s="56">
        <f t="shared" si="26"/>
        <v>0</v>
      </c>
      <c r="BN25" s="56">
        <f t="shared" si="26"/>
        <v>0</v>
      </c>
      <c r="BO25" s="56">
        <f t="shared" si="26"/>
        <v>0</v>
      </c>
      <c r="BP25" s="56">
        <f t="shared" ref="BP25:EA25" si="27">IF(BP11&lt;=$L$7,SUM(BP13:BP24),0)</f>
        <v>0</v>
      </c>
      <c r="BQ25" s="56">
        <f t="shared" si="27"/>
        <v>0</v>
      </c>
      <c r="BR25" s="56">
        <f t="shared" si="27"/>
        <v>0</v>
      </c>
      <c r="BS25" s="56">
        <f t="shared" si="27"/>
        <v>0</v>
      </c>
      <c r="BT25" s="56">
        <f t="shared" si="27"/>
        <v>0</v>
      </c>
      <c r="BU25" s="56">
        <f t="shared" si="27"/>
        <v>0</v>
      </c>
      <c r="BV25" s="56">
        <f t="shared" si="27"/>
        <v>0</v>
      </c>
      <c r="BW25" s="56">
        <f t="shared" si="27"/>
        <v>0</v>
      </c>
      <c r="BX25" s="56">
        <f t="shared" si="27"/>
        <v>0</v>
      </c>
      <c r="BY25" s="56">
        <f t="shared" si="27"/>
        <v>0</v>
      </c>
      <c r="BZ25" s="56">
        <f t="shared" si="27"/>
        <v>0</v>
      </c>
      <c r="CA25" s="56">
        <f t="shared" si="27"/>
        <v>0</v>
      </c>
      <c r="CB25" s="56">
        <f t="shared" si="27"/>
        <v>0</v>
      </c>
      <c r="CC25" s="56">
        <f t="shared" si="27"/>
        <v>0</v>
      </c>
      <c r="CD25" s="56">
        <f t="shared" si="27"/>
        <v>0</v>
      </c>
      <c r="CE25" s="56">
        <f t="shared" si="27"/>
        <v>0</v>
      </c>
      <c r="CF25" s="56">
        <f t="shared" si="27"/>
        <v>0</v>
      </c>
      <c r="CG25" s="56">
        <f t="shared" si="27"/>
        <v>0</v>
      </c>
      <c r="CH25" s="56">
        <f t="shared" si="27"/>
        <v>0</v>
      </c>
      <c r="CI25" s="56">
        <f t="shared" si="27"/>
        <v>0</v>
      </c>
      <c r="CJ25" s="56">
        <f t="shared" si="27"/>
        <v>0</v>
      </c>
      <c r="CK25" s="56">
        <f t="shared" si="27"/>
        <v>0</v>
      </c>
      <c r="CL25" s="56">
        <f t="shared" si="27"/>
        <v>0</v>
      </c>
      <c r="CM25" s="56">
        <f t="shared" si="27"/>
        <v>0</v>
      </c>
      <c r="CN25" s="56">
        <f t="shared" si="27"/>
        <v>0</v>
      </c>
      <c r="CO25" s="56">
        <f t="shared" si="27"/>
        <v>0</v>
      </c>
      <c r="CP25" s="56">
        <f t="shared" si="27"/>
        <v>0</v>
      </c>
      <c r="CQ25" s="56">
        <f t="shared" si="27"/>
        <v>0</v>
      </c>
      <c r="CR25" s="56">
        <f t="shared" si="27"/>
        <v>0</v>
      </c>
      <c r="CS25" s="56">
        <f t="shared" si="27"/>
        <v>0</v>
      </c>
      <c r="CT25" s="56">
        <f t="shared" si="27"/>
        <v>0</v>
      </c>
      <c r="CU25" s="56">
        <f t="shared" si="27"/>
        <v>0</v>
      </c>
      <c r="CV25" s="56">
        <f t="shared" si="27"/>
        <v>0</v>
      </c>
      <c r="CW25" s="56">
        <f t="shared" si="27"/>
        <v>0</v>
      </c>
      <c r="CX25" s="56">
        <f t="shared" si="27"/>
        <v>0</v>
      </c>
      <c r="CY25" s="56">
        <f t="shared" si="27"/>
        <v>0</v>
      </c>
      <c r="CZ25" s="56">
        <f t="shared" si="27"/>
        <v>0</v>
      </c>
      <c r="DA25" s="56">
        <f t="shared" si="27"/>
        <v>0</v>
      </c>
      <c r="DB25" s="56">
        <f t="shared" si="27"/>
        <v>0</v>
      </c>
      <c r="DC25" s="56">
        <f t="shared" si="27"/>
        <v>0</v>
      </c>
      <c r="DD25" s="56">
        <f t="shared" si="27"/>
        <v>0</v>
      </c>
      <c r="DE25" s="56">
        <f t="shared" si="27"/>
        <v>0</v>
      </c>
      <c r="DF25" s="56">
        <f t="shared" si="27"/>
        <v>0</v>
      </c>
      <c r="DG25" s="56">
        <f t="shared" si="27"/>
        <v>0</v>
      </c>
      <c r="DH25" s="56">
        <f t="shared" si="27"/>
        <v>0</v>
      </c>
      <c r="DI25" s="56">
        <f t="shared" si="27"/>
        <v>0</v>
      </c>
      <c r="DJ25" s="56">
        <f t="shared" si="27"/>
        <v>0</v>
      </c>
      <c r="DK25" s="56">
        <f t="shared" si="27"/>
        <v>0</v>
      </c>
      <c r="DL25" s="56">
        <f t="shared" si="27"/>
        <v>0</v>
      </c>
      <c r="DM25" s="56">
        <f t="shared" si="27"/>
        <v>0</v>
      </c>
      <c r="DN25" s="56">
        <f t="shared" si="27"/>
        <v>0</v>
      </c>
      <c r="DO25" s="56">
        <f t="shared" si="27"/>
        <v>0</v>
      </c>
      <c r="DP25" s="56">
        <f t="shared" si="27"/>
        <v>0</v>
      </c>
      <c r="DQ25" s="56">
        <f t="shared" si="27"/>
        <v>0</v>
      </c>
      <c r="DR25" s="56">
        <f t="shared" si="27"/>
        <v>0</v>
      </c>
      <c r="DS25" s="56">
        <f t="shared" si="27"/>
        <v>0</v>
      </c>
      <c r="DT25" s="56">
        <f t="shared" si="27"/>
        <v>0</v>
      </c>
      <c r="DU25" s="56">
        <f t="shared" si="27"/>
        <v>0</v>
      </c>
      <c r="DV25" s="56">
        <f t="shared" si="27"/>
        <v>0</v>
      </c>
      <c r="DW25" s="56">
        <f t="shared" si="27"/>
        <v>0</v>
      </c>
      <c r="DX25" s="56">
        <f t="shared" si="27"/>
        <v>0</v>
      </c>
      <c r="DY25" s="56">
        <f t="shared" si="27"/>
        <v>0</v>
      </c>
      <c r="DZ25" s="56">
        <f t="shared" si="27"/>
        <v>0</v>
      </c>
      <c r="EA25" s="56">
        <f t="shared" si="27"/>
        <v>0</v>
      </c>
      <c r="EB25" s="56">
        <f t="shared" ref="EB25:EE25" si="28">IF(EB11&lt;=$L$7,SUM(EB13:EB24),0)</f>
        <v>0</v>
      </c>
      <c r="EC25" s="56">
        <f t="shared" si="28"/>
        <v>0</v>
      </c>
      <c r="ED25" s="56">
        <f t="shared" si="28"/>
        <v>0</v>
      </c>
      <c r="EE25" s="57">
        <f t="shared" si="28"/>
        <v>0</v>
      </c>
    </row>
    <row r="27" spans="1:135" x14ac:dyDescent="0.15">
      <c r="B27" s="58" t="s">
        <v>9</v>
      </c>
      <c r="C27" s="52">
        <f ca="1">C12</f>
        <v>46053</v>
      </c>
      <c r="D27" s="52">
        <f t="shared" ref="D27:BO27" ca="1" si="29">D12</f>
        <v>46081</v>
      </c>
      <c r="E27" s="52">
        <f t="shared" ca="1" si="29"/>
        <v>46112</v>
      </c>
      <c r="F27" s="52">
        <f t="shared" ca="1" si="29"/>
        <v>46142</v>
      </c>
      <c r="G27" s="52">
        <f t="shared" ca="1" si="29"/>
        <v>46173</v>
      </c>
      <c r="H27" s="52">
        <f t="shared" ca="1" si="29"/>
        <v>46203</v>
      </c>
      <c r="I27" s="52">
        <f t="shared" ca="1" si="29"/>
        <v>46234</v>
      </c>
      <c r="J27" s="52">
        <f t="shared" ca="1" si="29"/>
        <v>46265</v>
      </c>
      <c r="K27" s="52">
        <f t="shared" ca="1" si="29"/>
        <v>46295</v>
      </c>
      <c r="L27" s="52">
        <f t="shared" ca="1" si="29"/>
        <v>46326</v>
      </c>
      <c r="M27" s="52">
        <f t="shared" ca="1" si="29"/>
        <v>46356</v>
      </c>
      <c r="N27" s="52">
        <f t="shared" ca="1" si="29"/>
        <v>46387</v>
      </c>
      <c r="O27" s="52">
        <f t="shared" ca="1" si="29"/>
        <v>46418</v>
      </c>
      <c r="P27" s="52">
        <f t="shared" ca="1" si="29"/>
        <v>46446</v>
      </c>
      <c r="Q27" s="52">
        <f t="shared" ca="1" si="29"/>
        <v>46477</v>
      </c>
      <c r="R27" s="52">
        <f t="shared" ca="1" si="29"/>
        <v>46507</v>
      </c>
      <c r="S27" s="52">
        <f t="shared" ca="1" si="29"/>
        <v>46538</v>
      </c>
      <c r="T27" s="52">
        <f t="shared" ca="1" si="29"/>
        <v>46568</v>
      </c>
      <c r="U27" s="52">
        <f t="shared" ca="1" si="29"/>
        <v>46599</v>
      </c>
      <c r="V27" s="52">
        <f t="shared" ca="1" si="29"/>
        <v>46630</v>
      </c>
      <c r="W27" s="52">
        <f t="shared" ca="1" si="29"/>
        <v>46660</v>
      </c>
      <c r="X27" s="52">
        <f t="shared" ca="1" si="29"/>
        <v>46691</v>
      </c>
      <c r="Y27" s="52">
        <f t="shared" ca="1" si="29"/>
        <v>46721</v>
      </c>
      <c r="Z27" s="52">
        <f t="shared" ca="1" si="29"/>
        <v>46752</v>
      </c>
      <c r="AA27" s="52">
        <f t="shared" ca="1" si="29"/>
        <v>46783</v>
      </c>
      <c r="AB27" s="52">
        <f t="shared" ca="1" si="29"/>
        <v>46812</v>
      </c>
      <c r="AC27" s="52">
        <f t="shared" ca="1" si="29"/>
        <v>46843</v>
      </c>
      <c r="AD27" s="52">
        <f t="shared" ca="1" si="29"/>
        <v>46873</v>
      </c>
      <c r="AE27" s="52">
        <f t="shared" ca="1" si="29"/>
        <v>46904</v>
      </c>
      <c r="AF27" s="52">
        <f t="shared" ca="1" si="29"/>
        <v>46934</v>
      </c>
      <c r="AG27" s="52">
        <f t="shared" ca="1" si="29"/>
        <v>46965</v>
      </c>
      <c r="AH27" s="52">
        <f t="shared" ca="1" si="29"/>
        <v>46996</v>
      </c>
      <c r="AI27" s="52">
        <f t="shared" ca="1" si="29"/>
        <v>47026</v>
      </c>
      <c r="AJ27" s="52">
        <f t="shared" ca="1" si="29"/>
        <v>47057</v>
      </c>
      <c r="AK27" s="52">
        <f t="shared" ca="1" si="29"/>
        <v>47087</v>
      </c>
      <c r="AL27" s="52">
        <f t="shared" ca="1" si="29"/>
        <v>47118</v>
      </c>
      <c r="AM27" s="52">
        <f t="shared" ca="1" si="29"/>
        <v>47149</v>
      </c>
      <c r="AN27" s="52">
        <f t="shared" ca="1" si="29"/>
        <v>47177</v>
      </c>
      <c r="AO27" s="52">
        <f t="shared" ca="1" si="29"/>
        <v>47208</v>
      </c>
      <c r="AP27" s="52">
        <f t="shared" ca="1" si="29"/>
        <v>47238</v>
      </c>
      <c r="AQ27" s="52">
        <f t="shared" ca="1" si="29"/>
        <v>47269</v>
      </c>
      <c r="AR27" s="52">
        <f t="shared" ca="1" si="29"/>
        <v>47299</v>
      </c>
      <c r="AS27" s="52">
        <f t="shared" ca="1" si="29"/>
        <v>47330</v>
      </c>
      <c r="AT27" s="52">
        <f t="shared" ca="1" si="29"/>
        <v>47361</v>
      </c>
      <c r="AU27" s="52">
        <f t="shared" ca="1" si="29"/>
        <v>47391</v>
      </c>
      <c r="AV27" s="52">
        <f t="shared" ca="1" si="29"/>
        <v>47422</v>
      </c>
      <c r="AW27" s="52">
        <f t="shared" ca="1" si="29"/>
        <v>47452</v>
      </c>
      <c r="AX27" s="52">
        <f t="shared" ca="1" si="29"/>
        <v>47483</v>
      </c>
      <c r="AY27" s="52">
        <f t="shared" ca="1" si="29"/>
        <v>47514</v>
      </c>
      <c r="AZ27" s="52">
        <f t="shared" ca="1" si="29"/>
        <v>47542</v>
      </c>
      <c r="BA27" s="52">
        <f t="shared" ca="1" si="29"/>
        <v>47573</v>
      </c>
      <c r="BB27" s="52">
        <f t="shared" ca="1" si="29"/>
        <v>47603</v>
      </c>
      <c r="BC27" s="52">
        <f t="shared" ca="1" si="29"/>
        <v>47634</v>
      </c>
      <c r="BD27" s="52">
        <f t="shared" ca="1" si="29"/>
        <v>47664</v>
      </c>
      <c r="BE27" s="52">
        <f t="shared" ca="1" si="29"/>
        <v>47695</v>
      </c>
      <c r="BF27" s="52">
        <f t="shared" ca="1" si="29"/>
        <v>47726</v>
      </c>
      <c r="BG27" s="52">
        <f t="shared" ca="1" si="29"/>
        <v>47756</v>
      </c>
      <c r="BH27" s="52">
        <f t="shared" ca="1" si="29"/>
        <v>47787</v>
      </c>
      <c r="BI27" s="52">
        <f t="shared" ca="1" si="29"/>
        <v>47817</v>
      </c>
      <c r="BJ27" s="52">
        <f t="shared" ca="1" si="29"/>
        <v>47848</v>
      </c>
      <c r="BK27" s="52">
        <f t="shared" ca="1" si="29"/>
        <v>47879</v>
      </c>
      <c r="BL27" s="52">
        <f t="shared" ca="1" si="29"/>
        <v>47907</v>
      </c>
      <c r="BM27" s="52">
        <f t="shared" ca="1" si="29"/>
        <v>47938</v>
      </c>
      <c r="BN27" s="52">
        <f t="shared" ca="1" si="29"/>
        <v>47968</v>
      </c>
      <c r="BO27" s="52">
        <f t="shared" ca="1" si="29"/>
        <v>47999</v>
      </c>
      <c r="BP27" s="52">
        <f t="shared" ref="BP27:EA27" ca="1" si="30">BP12</f>
        <v>48029</v>
      </c>
      <c r="BQ27" s="52">
        <f t="shared" ca="1" si="30"/>
        <v>48060</v>
      </c>
      <c r="BR27" s="52">
        <f t="shared" ca="1" si="30"/>
        <v>48091</v>
      </c>
      <c r="BS27" s="52">
        <f t="shared" ca="1" si="30"/>
        <v>48121</v>
      </c>
      <c r="BT27" s="52">
        <f t="shared" ca="1" si="30"/>
        <v>48152</v>
      </c>
      <c r="BU27" s="52">
        <f t="shared" ca="1" si="30"/>
        <v>48182</v>
      </c>
      <c r="BV27" s="52">
        <f t="shared" ca="1" si="30"/>
        <v>48213</v>
      </c>
      <c r="BW27" s="52">
        <f t="shared" ca="1" si="30"/>
        <v>48244</v>
      </c>
      <c r="BX27" s="52">
        <f t="shared" ca="1" si="30"/>
        <v>48273</v>
      </c>
      <c r="BY27" s="52">
        <f t="shared" ca="1" si="30"/>
        <v>48304</v>
      </c>
      <c r="BZ27" s="52">
        <f t="shared" ca="1" si="30"/>
        <v>48334</v>
      </c>
      <c r="CA27" s="52">
        <f t="shared" ca="1" si="30"/>
        <v>48365</v>
      </c>
      <c r="CB27" s="52">
        <f t="shared" ca="1" si="30"/>
        <v>48395</v>
      </c>
      <c r="CC27" s="52">
        <f t="shared" ca="1" si="30"/>
        <v>48426</v>
      </c>
      <c r="CD27" s="52">
        <f t="shared" ca="1" si="30"/>
        <v>48457</v>
      </c>
      <c r="CE27" s="52">
        <f t="shared" ca="1" si="30"/>
        <v>48487</v>
      </c>
      <c r="CF27" s="52">
        <f t="shared" ca="1" si="30"/>
        <v>48518</v>
      </c>
      <c r="CG27" s="52">
        <f t="shared" ca="1" si="30"/>
        <v>48548</v>
      </c>
      <c r="CH27" s="52">
        <f t="shared" ca="1" si="30"/>
        <v>48579</v>
      </c>
      <c r="CI27" s="52">
        <f t="shared" ca="1" si="30"/>
        <v>48610</v>
      </c>
      <c r="CJ27" s="52">
        <f t="shared" ca="1" si="30"/>
        <v>48638</v>
      </c>
      <c r="CK27" s="52">
        <f t="shared" ca="1" si="30"/>
        <v>48669</v>
      </c>
      <c r="CL27" s="52">
        <f t="shared" ca="1" si="30"/>
        <v>48699</v>
      </c>
      <c r="CM27" s="52">
        <f t="shared" ca="1" si="30"/>
        <v>48730</v>
      </c>
      <c r="CN27" s="52">
        <f t="shared" ca="1" si="30"/>
        <v>48760</v>
      </c>
      <c r="CO27" s="52">
        <f t="shared" ca="1" si="30"/>
        <v>48791</v>
      </c>
      <c r="CP27" s="52">
        <f t="shared" ca="1" si="30"/>
        <v>48822</v>
      </c>
      <c r="CQ27" s="52">
        <f t="shared" ca="1" si="30"/>
        <v>48852</v>
      </c>
      <c r="CR27" s="52">
        <f t="shared" ca="1" si="30"/>
        <v>48883</v>
      </c>
      <c r="CS27" s="52">
        <f t="shared" ca="1" si="30"/>
        <v>48913</v>
      </c>
      <c r="CT27" s="52">
        <f t="shared" ca="1" si="30"/>
        <v>48944</v>
      </c>
      <c r="CU27" s="52">
        <f t="shared" ca="1" si="30"/>
        <v>48975</v>
      </c>
      <c r="CV27" s="52">
        <f t="shared" ca="1" si="30"/>
        <v>49003</v>
      </c>
      <c r="CW27" s="52">
        <f t="shared" ca="1" si="30"/>
        <v>49034</v>
      </c>
      <c r="CX27" s="52">
        <f t="shared" ca="1" si="30"/>
        <v>49064</v>
      </c>
      <c r="CY27" s="52">
        <f t="shared" ca="1" si="30"/>
        <v>49095</v>
      </c>
      <c r="CZ27" s="52">
        <f t="shared" ca="1" si="30"/>
        <v>49125</v>
      </c>
      <c r="DA27" s="52">
        <f t="shared" ca="1" si="30"/>
        <v>49156</v>
      </c>
      <c r="DB27" s="52">
        <f t="shared" ca="1" si="30"/>
        <v>49187</v>
      </c>
      <c r="DC27" s="52">
        <f t="shared" ca="1" si="30"/>
        <v>49217</v>
      </c>
      <c r="DD27" s="52">
        <f t="shared" ca="1" si="30"/>
        <v>49248</v>
      </c>
      <c r="DE27" s="52">
        <f t="shared" ca="1" si="30"/>
        <v>49278</v>
      </c>
      <c r="DF27" s="52">
        <f t="shared" ca="1" si="30"/>
        <v>49309</v>
      </c>
      <c r="DG27" s="52">
        <f t="shared" ca="1" si="30"/>
        <v>49340</v>
      </c>
      <c r="DH27" s="52">
        <f t="shared" ca="1" si="30"/>
        <v>49368</v>
      </c>
      <c r="DI27" s="52">
        <f t="shared" ca="1" si="30"/>
        <v>49399</v>
      </c>
      <c r="DJ27" s="52">
        <f t="shared" ca="1" si="30"/>
        <v>49429</v>
      </c>
      <c r="DK27" s="52">
        <f t="shared" ca="1" si="30"/>
        <v>49460</v>
      </c>
      <c r="DL27" s="52">
        <f t="shared" ca="1" si="30"/>
        <v>49490</v>
      </c>
      <c r="DM27" s="52">
        <f t="shared" ca="1" si="30"/>
        <v>49521</v>
      </c>
      <c r="DN27" s="52">
        <f t="shared" ca="1" si="30"/>
        <v>49552</v>
      </c>
      <c r="DO27" s="52">
        <f t="shared" ca="1" si="30"/>
        <v>49582</v>
      </c>
      <c r="DP27" s="52">
        <f t="shared" ca="1" si="30"/>
        <v>49613</v>
      </c>
      <c r="DQ27" s="52">
        <f t="shared" ca="1" si="30"/>
        <v>49643</v>
      </c>
      <c r="DR27" s="52">
        <f t="shared" ca="1" si="30"/>
        <v>49674</v>
      </c>
      <c r="DS27" s="52">
        <f t="shared" ca="1" si="30"/>
        <v>49705</v>
      </c>
      <c r="DT27" s="52">
        <f t="shared" ca="1" si="30"/>
        <v>49734</v>
      </c>
      <c r="DU27" s="52">
        <f t="shared" ca="1" si="30"/>
        <v>49765</v>
      </c>
      <c r="DV27" s="52">
        <f t="shared" ca="1" si="30"/>
        <v>49795</v>
      </c>
      <c r="DW27" s="52">
        <f t="shared" ca="1" si="30"/>
        <v>49826</v>
      </c>
      <c r="DX27" s="52">
        <f t="shared" ca="1" si="30"/>
        <v>49856</v>
      </c>
      <c r="DY27" s="52">
        <f t="shared" ca="1" si="30"/>
        <v>49887</v>
      </c>
      <c r="DZ27" s="52">
        <f t="shared" ca="1" si="30"/>
        <v>49918</v>
      </c>
      <c r="EA27" s="52">
        <f t="shared" ca="1" si="30"/>
        <v>49948</v>
      </c>
      <c r="EB27" s="52">
        <f t="shared" ref="EB27:EE27" ca="1" si="31">EB12</f>
        <v>49979</v>
      </c>
      <c r="EC27" s="52">
        <f t="shared" ca="1" si="31"/>
        <v>50009</v>
      </c>
      <c r="ED27" s="52">
        <f t="shared" ca="1" si="31"/>
        <v>50040</v>
      </c>
      <c r="EE27" s="53">
        <f t="shared" ca="1" si="31"/>
        <v>50071</v>
      </c>
    </row>
    <row r="28" spans="1:135" x14ac:dyDescent="0.15">
      <c r="B28" s="6" t="s">
        <v>45</v>
      </c>
      <c r="C28" s="69">
        <v>0</v>
      </c>
      <c r="D28" s="69">
        <f>IF(D11&gt;$L$7,0,C32)</f>
        <v>7807500</v>
      </c>
      <c r="E28" s="69">
        <f t="shared" ref="E28:BP28" ca="1" si="32">IF(E11&gt;$L$7,0,D32)</f>
        <v>7812644.1077914806</v>
      </c>
      <c r="F28" s="69">
        <f t="shared" ca="1" si="32"/>
        <v>7824807.3863326479</v>
      </c>
      <c r="G28" s="69">
        <f t="shared" ca="1" si="32"/>
        <v>7834264.8133668471</v>
      </c>
      <c r="H28" s="69">
        <f t="shared" ca="1" si="32"/>
        <v>7845894.5794393392</v>
      </c>
      <c r="I28" s="69">
        <f t="shared" ca="1" si="32"/>
        <v>7854804.892908005</v>
      </c>
      <c r="J28" s="69">
        <f t="shared" ca="1" si="32"/>
        <v>7865887.0275573069</v>
      </c>
      <c r="K28" s="69">
        <f t="shared" ca="1" si="32"/>
        <v>7876701.819812974</v>
      </c>
      <c r="L28" s="69">
        <f t="shared" ca="1" si="32"/>
        <v>7884776.8567597913</v>
      </c>
      <c r="M28" s="69">
        <f t="shared" ca="1" si="32"/>
        <v>7895022.5216831937</v>
      </c>
      <c r="N28" s="69">
        <f t="shared" ca="1" si="32"/>
        <v>7902515.3301895456</v>
      </c>
      <c r="O28" s="69">
        <f t="shared" ca="1" si="32"/>
        <v>7912177.019303997</v>
      </c>
      <c r="P28" s="69">
        <f t="shared" ca="1" si="32"/>
        <v>7921552.9867432937</v>
      </c>
      <c r="Q28" s="69">
        <f t="shared" ca="1" si="32"/>
        <v>7923192.9604367716</v>
      </c>
      <c r="R28" s="69">
        <f t="shared" ca="1" si="32"/>
        <v>7931914.3302426143</v>
      </c>
      <c r="S28" s="69">
        <f t="shared" ca="1" si="32"/>
        <v>7937851.8620192092</v>
      </c>
      <c r="T28" s="69">
        <f t="shared" ca="1" si="32"/>
        <v>7945950.1086366745</v>
      </c>
      <c r="U28" s="69">
        <f t="shared" ca="1" si="32"/>
        <v>7951252.204722167</v>
      </c>
      <c r="V28" s="69">
        <f t="shared" ca="1" si="32"/>
        <v>7958711.37826744</v>
      </c>
      <c r="W28" s="69">
        <f t="shared" ca="1" si="32"/>
        <v>7965856.9336715601</v>
      </c>
      <c r="X28" s="69">
        <f t="shared" ca="1" si="32"/>
        <v>7970188.0376257906</v>
      </c>
      <c r="Y28" s="69">
        <f t="shared" ca="1" si="32"/>
        <v>7976670.2134430259</v>
      </c>
      <c r="Z28" s="69">
        <f t="shared" ca="1" si="32"/>
        <v>7980326.2226568209</v>
      </c>
      <c r="AA28" s="69">
        <f t="shared" ca="1" si="32"/>
        <v>7986128.2492767749</v>
      </c>
      <c r="AB28" s="69">
        <f t="shared" si="32"/>
        <v>0</v>
      </c>
      <c r="AC28" s="69">
        <f t="shared" si="32"/>
        <v>0</v>
      </c>
      <c r="AD28" s="69">
        <f t="shared" si="32"/>
        <v>0</v>
      </c>
      <c r="AE28" s="69">
        <f t="shared" si="32"/>
        <v>0</v>
      </c>
      <c r="AF28" s="69">
        <f t="shared" si="32"/>
        <v>0</v>
      </c>
      <c r="AG28" s="69">
        <f t="shared" si="32"/>
        <v>0</v>
      </c>
      <c r="AH28" s="69">
        <f t="shared" si="32"/>
        <v>0</v>
      </c>
      <c r="AI28" s="69">
        <f t="shared" si="32"/>
        <v>0</v>
      </c>
      <c r="AJ28" s="69">
        <f t="shared" si="32"/>
        <v>0</v>
      </c>
      <c r="AK28" s="69">
        <f t="shared" si="32"/>
        <v>0</v>
      </c>
      <c r="AL28" s="69">
        <f t="shared" si="32"/>
        <v>0</v>
      </c>
      <c r="AM28" s="69">
        <f t="shared" si="32"/>
        <v>0</v>
      </c>
      <c r="AN28" s="69">
        <f t="shared" si="32"/>
        <v>0</v>
      </c>
      <c r="AO28" s="69">
        <f t="shared" si="32"/>
        <v>0</v>
      </c>
      <c r="AP28" s="69">
        <f t="shared" si="32"/>
        <v>0</v>
      </c>
      <c r="AQ28" s="69">
        <f t="shared" si="32"/>
        <v>0</v>
      </c>
      <c r="AR28" s="69">
        <f t="shared" si="32"/>
        <v>0</v>
      </c>
      <c r="AS28" s="69">
        <f t="shared" si="32"/>
        <v>0</v>
      </c>
      <c r="AT28" s="69">
        <f t="shared" si="32"/>
        <v>0</v>
      </c>
      <c r="AU28" s="69">
        <f t="shared" si="32"/>
        <v>0</v>
      </c>
      <c r="AV28" s="69">
        <f t="shared" si="32"/>
        <v>0</v>
      </c>
      <c r="AW28" s="69">
        <f t="shared" si="32"/>
        <v>0</v>
      </c>
      <c r="AX28" s="69">
        <f t="shared" si="32"/>
        <v>0</v>
      </c>
      <c r="AY28" s="69">
        <f t="shared" si="32"/>
        <v>0</v>
      </c>
      <c r="AZ28" s="69">
        <f t="shared" si="32"/>
        <v>0</v>
      </c>
      <c r="BA28" s="69">
        <f t="shared" si="32"/>
        <v>0</v>
      </c>
      <c r="BB28" s="69">
        <f t="shared" si="32"/>
        <v>0</v>
      </c>
      <c r="BC28" s="69">
        <f t="shared" si="32"/>
        <v>0</v>
      </c>
      <c r="BD28" s="69">
        <f t="shared" si="32"/>
        <v>0</v>
      </c>
      <c r="BE28" s="69">
        <f t="shared" si="32"/>
        <v>0</v>
      </c>
      <c r="BF28" s="69">
        <f t="shared" si="32"/>
        <v>0</v>
      </c>
      <c r="BG28" s="69">
        <f t="shared" si="32"/>
        <v>0</v>
      </c>
      <c r="BH28" s="69">
        <f t="shared" si="32"/>
        <v>0</v>
      </c>
      <c r="BI28" s="69">
        <f t="shared" si="32"/>
        <v>0</v>
      </c>
      <c r="BJ28" s="69">
        <f t="shared" si="32"/>
        <v>0</v>
      </c>
      <c r="BK28" s="69">
        <f t="shared" si="32"/>
        <v>0</v>
      </c>
      <c r="BL28" s="69">
        <f t="shared" si="32"/>
        <v>0</v>
      </c>
      <c r="BM28" s="69">
        <f t="shared" si="32"/>
        <v>0</v>
      </c>
      <c r="BN28" s="69">
        <f t="shared" si="32"/>
        <v>0</v>
      </c>
      <c r="BO28" s="69">
        <f t="shared" si="32"/>
        <v>0</v>
      </c>
      <c r="BP28" s="69">
        <f t="shared" si="32"/>
        <v>0</v>
      </c>
      <c r="BQ28" s="69">
        <f t="shared" ref="BQ28:EB28" si="33">IF(BQ11&gt;$L$7,0,BP32)</f>
        <v>0</v>
      </c>
      <c r="BR28" s="69">
        <f t="shared" si="33"/>
        <v>0</v>
      </c>
      <c r="BS28" s="69">
        <f t="shared" si="33"/>
        <v>0</v>
      </c>
      <c r="BT28" s="69">
        <f t="shared" si="33"/>
        <v>0</v>
      </c>
      <c r="BU28" s="69">
        <f t="shared" si="33"/>
        <v>0</v>
      </c>
      <c r="BV28" s="69">
        <f t="shared" si="33"/>
        <v>0</v>
      </c>
      <c r="BW28" s="69">
        <f t="shared" si="33"/>
        <v>0</v>
      </c>
      <c r="BX28" s="69">
        <f t="shared" si="33"/>
        <v>0</v>
      </c>
      <c r="BY28" s="69">
        <f t="shared" si="33"/>
        <v>0</v>
      </c>
      <c r="BZ28" s="69">
        <f t="shared" si="33"/>
        <v>0</v>
      </c>
      <c r="CA28" s="69">
        <f t="shared" si="33"/>
        <v>0</v>
      </c>
      <c r="CB28" s="69">
        <f t="shared" si="33"/>
        <v>0</v>
      </c>
      <c r="CC28" s="69">
        <f t="shared" si="33"/>
        <v>0</v>
      </c>
      <c r="CD28" s="69">
        <f t="shared" si="33"/>
        <v>0</v>
      </c>
      <c r="CE28" s="69">
        <f t="shared" si="33"/>
        <v>0</v>
      </c>
      <c r="CF28" s="69">
        <f t="shared" si="33"/>
        <v>0</v>
      </c>
      <c r="CG28" s="69">
        <f t="shared" si="33"/>
        <v>0</v>
      </c>
      <c r="CH28" s="69">
        <f t="shared" si="33"/>
        <v>0</v>
      </c>
      <c r="CI28" s="69">
        <f t="shared" si="33"/>
        <v>0</v>
      </c>
      <c r="CJ28" s="69">
        <f t="shared" si="33"/>
        <v>0</v>
      </c>
      <c r="CK28" s="69">
        <f t="shared" si="33"/>
        <v>0</v>
      </c>
      <c r="CL28" s="69">
        <f t="shared" si="33"/>
        <v>0</v>
      </c>
      <c r="CM28" s="69">
        <f t="shared" si="33"/>
        <v>0</v>
      </c>
      <c r="CN28" s="69">
        <f t="shared" si="33"/>
        <v>0</v>
      </c>
      <c r="CO28" s="69">
        <f t="shared" si="33"/>
        <v>0</v>
      </c>
      <c r="CP28" s="69">
        <f t="shared" si="33"/>
        <v>0</v>
      </c>
      <c r="CQ28" s="69">
        <f t="shared" si="33"/>
        <v>0</v>
      </c>
      <c r="CR28" s="69">
        <f t="shared" si="33"/>
        <v>0</v>
      </c>
      <c r="CS28" s="69">
        <f t="shared" si="33"/>
        <v>0</v>
      </c>
      <c r="CT28" s="69">
        <f t="shared" si="33"/>
        <v>0</v>
      </c>
      <c r="CU28" s="69">
        <f t="shared" si="33"/>
        <v>0</v>
      </c>
      <c r="CV28" s="69">
        <f t="shared" si="33"/>
        <v>0</v>
      </c>
      <c r="CW28" s="69">
        <f t="shared" si="33"/>
        <v>0</v>
      </c>
      <c r="CX28" s="69">
        <f t="shared" si="33"/>
        <v>0</v>
      </c>
      <c r="CY28" s="69">
        <f t="shared" si="33"/>
        <v>0</v>
      </c>
      <c r="CZ28" s="69">
        <f t="shared" si="33"/>
        <v>0</v>
      </c>
      <c r="DA28" s="69">
        <f t="shared" si="33"/>
        <v>0</v>
      </c>
      <c r="DB28" s="69">
        <f t="shared" si="33"/>
        <v>0</v>
      </c>
      <c r="DC28" s="69">
        <f t="shared" si="33"/>
        <v>0</v>
      </c>
      <c r="DD28" s="69">
        <f t="shared" si="33"/>
        <v>0</v>
      </c>
      <c r="DE28" s="69">
        <f t="shared" si="33"/>
        <v>0</v>
      </c>
      <c r="DF28" s="69">
        <f t="shared" si="33"/>
        <v>0</v>
      </c>
      <c r="DG28" s="69">
        <f t="shared" si="33"/>
        <v>0</v>
      </c>
      <c r="DH28" s="69">
        <f t="shared" si="33"/>
        <v>0</v>
      </c>
      <c r="DI28" s="69">
        <f t="shared" si="33"/>
        <v>0</v>
      </c>
      <c r="DJ28" s="69">
        <f t="shared" si="33"/>
        <v>0</v>
      </c>
      <c r="DK28" s="69">
        <f t="shared" si="33"/>
        <v>0</v>
      </c>
      <c r="DL28" s="69">
        <f t="shared" si="33"/>
        <v>0</v>
      </c>
      <c r="DM28" s="69">
        <f t="shared" si="33"/>
        <v>0</v>
      </c>
      <c r="DN28" s="69">
        <f t="shared" si="33"/>
        <v>0</v>
      </c>
      <c r="DO28" s="69">
        <f t="shared" si="33"/>
        <v>0</v>
      </c>
      <c r="DP28" s="69">
        <f t="shared" si="33"/>
        <v>0</v>
      </c>
      <c r="DQ28" s="69">
        <f t="shared" si="33"/>
        <v>0</v>
      </c>
      <c r="DR28" s="69">
        <f t="shared" si="33"/>
        <v>0</v>
      </c>
      <c r="DS28" s="69">
        <f t="shared" si="33"/>
        <v>0</v>
      </c>
      <c r="DT28" s="69">
        <f t="shared" si="33"/>
        <v>0</v>
      </c>
      <c r="DU28" s="69">
        <f t="shared" si="33"/>
        <v>0</v>
      </c>
      <c r="DV28" s="69">
        <f t="shared" si="33"/>
        <v>0</v>
      </c>
      <c r="DW28" s="69">
        <f t="shared" si="33"/>
        <v>0</v>
      </c>
      <c r="DX28" s="69">
        <f t="shared" si="33"/>
        <v>0</v>
      </c>
      <c r="DY28" s="69">
        <f t="shared" si="33"/>
        <v>0</v>
      </c>
      <c r="DZ28" s="69">
        <f t="shared" si="33"/>
        <v>0</v>
      </c>
      <c r="EA28" s="69">
        <f t="shared" si="33"/>
        <v>0</v>
      </c>
      <c r="EB28" s="69">
        <f t="shared" si="33"/>
        <v>0</v>
      </c>
      <c r="EC28" s="69">
        <f t="shared" ref="EC28:EE28" si="34">IF(EC11&gt;$L$7,0,EB32)</f>
        <v>0</v>
      </c>
      <c r="ED28" s="69">
        <f t="shared" si="34"/>
        <v>0</v>
      </c>
      <c r="EE28" s="70">
        <f t="shared" si="34"/>
        <v>0</v>
      </c>
    </row>
    <row r="29" spans="1:135" x14ac:dyDescent="0.15">
      <c r="B29" s="7" t="s">
        <v>46</v>
      </c>
      <c r="C29" s="69">
        <v>0</v>
      </c>
      <c r="D29" s="69">
        <f ca="1">D28*(1+$C$2)^((D27-C27)/365)-D28</f>
        <v>68172.024704131298</v>
      </c>
      <c r="E29" s="69">
        <f t="shared" ref="E29:BP29" ca="1" si="35">E28*(1+$C$2)^((E27-D27)/365)-E28</f>
        <v>75561.135919664055</v>
      </c>
      <c r="F29" s="69">
        <f t="shared" ca="1" si="35"/>
        <v>73226.137251529843</v>
      </c>
      <c r="G29" s="69">
        <f t="shared" ca="1" si="35"/>
        <v>75770.243751803413</v>
      </c>
      <c r="H29" s="69">
        <f t="shared" ca="1" si="35"/>
        <v>73423.4754888108</v>
      </c>
      <c r="I29" s="69">
        <f t="shared" ca="1" si="35"/>
        <v>75968.900150405243</v>
      </c>
      <c r="J29" s="69">
        <f t="shared" ca="1" si="35"/>
        <v>76076.082644701004</v>
      </c>
      <c r="K29" s="69">
        <f t="shared" ca="1" si="35"/>
        <v>73711.775903192349</v>
      </c>
      <c r="L29" s="69">
        <f t="shared" ca="1" si="35"/>
        <v>76258.778404571116</v>
      </c>
      <c r="M29" s="69">
        <f t="shared" ca="1" si="35"/>
        <v>73883.224753427319</v>
      </c>
      <c r="N29" s="69">
        <f t="shared" ca="1" si="35"/>
        <v>76430.338657840155</v>
      </c>
      <c r="O29" s="69">
        <f t="shared" ca="1" si="35"/>
        <v>76523.783104344271</v>
      </c>
      <c r="P29" s="69">
        <f t="shared" ca="1" si="35"/>
        <v>69167.890606128611</v>
      </c>
      <c r="Q29" s="69">
        <f t="shared" ca="1" si="35"/>
        <v>76630.325398314744</v>
      </c>
      <c r="R29" s="69">
        <f t="shared" ca="1" si="35"/>
        <v>74228.465793065727</v>
      </c>
      <c r="S29" s="69">
        <f t="shared" ca="1" si="35"/>
        <v>76772.101119776256</v>
      </c>
      <c r="T29" s="69">
        <f t="shared" ca="1" si="35"/>
        <v>74359.815458862111</v>
      </c>
      <c r="U29" s="69">
        <f t="shared" ca="1" si="35"/>
        <v>76901.704504030757</v>
      </c>
      <c r="V29" s="69">
        <f t="shared" ca="1" si="35"/>
        <v>76973.846997446381</v>
      </c>
      <c r="W29" s="69">
        <f t="shared" ca="1" si="35"/>
        <v>74546.107571916655</v>
      </c>
      <c r="X29" s="69">
        <f t="shared" ca="1" si="35"/>
        <v>77084.845195459202</v>
      </c>
      <c r="Y29" s="69">
        <f t="shared" ca="1" si="35"/>
        <v>74647.300440902822</v>
      </c>
      <c r="Z29" s="69">
        <f t="shared" ca="1" si="35"/>
        <v>77182.898142264225</v>
      </c>
      <c r="AA29" s="69">
        <f t="shared" ca="1" si="35"/>
        <v>77239.013295596465</v>
      </c>
      <c r="AB29" s="69">
        <f t="shared" ca="1" si="35"/>
        <v>0</v>
      </c>
      <c r="AC29" s="69">
        <f t="shared" ca="1" si="35"/>
        <v>0</v>
      </c>
      <c r="AD29" s="69">
        <f t="shared" ca="1" si="35"/>
        <v>0</v>
      </c>
      <c r="AE29" s="69">
        <f t="shared" ca="1" si="35"/>
        <v>0</v>
      </c>
      <c r="AF29" s="69">
        <f t="shared" ca="1" si="35"/>
        <v>0</v>
      </c>
      <c r="AG29" s="69">
        <f t="shared" ca="1" si="35"/>
        <v>0</v>
      </c>
      <c r="AH29" s="69">
        <f t="shared" ca="1" si="35"/>
        <v>0</v>
      </c>
      <c r="AI29" s="69">
        <f t="shared" ca="1" si="35"/>
        <v>0</v>
      </c>
      <c r="AJ29" s="69">
        <f t="shared" ca="1" si="35"/>
        <v>0</v>
      </c>
      <c r="AK29" s="69">
        <f t="shared" ca="1" si="35"/>
        <v>0</v>
      </c>
      <c r="AL29" s="69">
        <f t="shared" ca="1" si="35"/>
        <v>0</v>
      </c>
      <c r="AM29" s="69">
        <f t="shared" ca="1" si="35"/>
        <v>0</v>
      </c>
      <c r="AN29" s="69">
        <f t="shared" ca="1" si="35"/>
        <v>0</v>
      </c>
      <c r="AO29" s="69">
        <f t="shared" ca="1" si="35"/>
        <v>0</v>
      </c>
      <c r="AP29" s="69">
        <f t="shared" ca="1" si="35"/>
        <v>0</v>
      </c>
      <c r="AQ29" s="69">
        <f t="shared" ca="1" si="35"/>
        <v>0</v>
      </c>
      <c r="AR29" s="69">
        <f t="shared" ca="1" si="35"/>
        <v>0</v>
      </c>
      <c r="AS29" s="69">
        <f t="shared" ca="1" si="35"/>
        <v>0</v>
      </c>
      <c r="AT29" s="69">
        <f t="shared" ca="1" si="35"/>
        <v>0</v>
      </c>
      <c r="AU29" s="69">
        <f t="shared" ca="1" si="35"/>
        <v>0</v>
      </c>
      <c r="AV29" s="69">
        <f t="shared" ca="1" si="35"/>
        <v>0</v>
      </c>
      <c r="AW29" s="69">
        <f t="shared" ca="1" si="35"/>
        <v>0</v>
      </c>
      <c r="AX29" s="69">
        <f t="shared" ca="1" si="35"/>
        <v>0</v>
      </c>
      <c r="AY29" s="69">
        <f t="shared" ca="1" si="35"/>
        <v>0</v>
      </c>
      <c r="AZ29" s="69">
        <f t="shared" ca="1" si="35"/>
        <v>0</v>
      </c>
      <c r="BA29" s="69">
        <f t="shared" ca="1" si="35"/>
        <v>0</v>
      </c>
      <c r="BB29" s="69">
        <f t="shared" ca="1" si="35"/>
        <v>0</v>
      </c>
      <c r="BC29" s="69">
        <f t="shared" ca="1" si="35"/>
        <v>0</v>
      </c>
      <c r="BD29" s="69">
        <f t="shared" ca="1" si="35"/>
        <v>0</v>
      </c>
      <c r="BE29" s="69">
        <f t="shared" ca="1" si="35"/>
        <v>0</v>
      </c>
      <c r="BF29" s="69">
        <f t="shared" ca="1" si="35"/>
        <v>0</v>
      </c>
      <c r="BG29" s="69">
        <f t="shared" ca="1" si="35"/>
        <v>0</v>
      </c>
      <c r="BH29" s="69">
        <f t="shared" ca="1" si="35"/>
        <v>0</v>
      </c>
      <c r="BI29" s="69">
        <f t="shared" ca="1" si="35"/>
        <v>0</v>
      </c>
      <c r="BJ29" s="69">
        <f t="shared" ca="1" si="35"/>
        <v>0</v>
      </c>
      <c r="BK29" s="69">
        <f t="shared" ca="1" si="35"/>
        <v>0</v>
      </c>
      <c r="BL29" s="69">
        <f t="shared" ca="1" si="35"/>
        <v>0</v>
      </c>
      <c r="BM29" s="69">
        <f t="shared" ca="1" si="35"/>
        <v>0</v>
      </c>
      <c r="BN29" s="69">
        <f t="shared" ca="1" si="35"/>
        <v>0</v>
      </c>
      <c r="BO29" s="69">
        <f t="shared" ca="1" si="35"/>
        <v>0</v>
      </c>
      <c r="BP29" s="69">
        <f t="shared" ca="1" si="35"/>
        <v>0</v>
      </c>
      <c r="BQ29" s="69">
        <f t="shared" ref="BQ29:EB29" ca="1" si="36">BQ28*(1+$C$2)^((BQ27-BP27)/365)-BQ28</f>
        <v>0</v>
      </c>
      <c r="BR29" s="69">
        <f t="shared" ca="1" si="36"/>
        <v>0</v>
      </c>
      <c r="BS29" s="69">
        <f t="shared" ca="1" si="36"/>
        <v>0</v>
      </c>
      <c r="BT29" s="69">
        <f t="shared" ca="1" si="36"/>
        <v>0</v>
      </c>
      <c r="BU29" s="69">
        <f t="shared" ca="1" si="36"/>
        <v>0</v>
      </c>
      <c r="BV29" s="69">
        <f t="shared" ca="1" si="36"/>
        <v>0</v>
      </c>
      <c r="BW29" s="69">
        <f t="shared" ca="1" si="36"/>
        <v>0</v>
      </c>
      <c r="BX29" s="69">
        <f t="shared" ca="1" si="36"/>
        <v>0</v>
      </c>
      <c r="BY29" s="69">
        <f t="shared" ca="1" si="36"/>
        <v>0</v>
      </c>
      <c r="BZ29" s="69">
        <f t="shared" ca="1" si="36"/>
        <v>0</v>
      </c>
      <c r="CA29" s="69">
        <f t="shared" ca="1" si="36"/>
        <v>0</v>
      </c>
      <c r="CB29" s="69">
        <f t="shared" ca="1" si="36"/>
        <v>0</v>
      </c>
      <c r="CC29" s="69">
        <f t="shared" ca="1" si="36"/>
        <v>0</v>
      </c>
      <c r="CD29" s="69">
        <f t="shared" ca="1" si="36"/>
        <v>0</v>
      </c>
      <c r="CE29" s="69">
        <f t="shared" ca="1" si="36"/>
        <v>0</v>
      </c>
      <c r="CF29" s="69">
        <f t="shared" ca="1" si="36"/>
        <v>0</v>
      </c>
      <c r="CG29" s="69">
        <f t="shared" ca="1" si="36"/>
        <v>0</v>
      </c>
      <c r="CH29" s="69">
        <f t="shared" ca="1" si="36"/>
        <v>0</v>
      </c>
      <c r="CI29" s="69">
        <f t="shared" ca="1" si="36"/>
        <v>0</v>
      </c>
      <c r="CJ29" s="69">
        <f t="shared" ca="1" si="36"/>
        <v>0</v>
      </c>
      <c r="CK29" s="69">
        <f t="shared" ca="1" si="36"/>
        <v>0</v>
      </c>
      <c r="CL29" s="69">
        <f t="shared" ca="1" si="36"/>
        <v>0</v>
      </c>
      <c r="CM29" s="69">
        <f t="shared" ca="1" si="36"/>
        <v>0</v>
      </c>
      <c r="CN29" s="69">
        <f t="shared" ca="1" si="36"/>
        <v>0</v>
      </c>
      <c r="CO29" s="69">
        <f t="shared" ca="1" si="36"/>
        <v>0</v>
      </c>
      <c r="CP29" s="69">
        <f t="shared" ca="1" si="36"/>
        <v>0</v>
      </c>
      <c r="CQ29" s="69">
        <f t="shared" ca="1" si="36"/>
        <v>0</v>
      </c>
      <c r="CR29" s="69">
        <f t="shared" ca="1" si="36"/>
        <v>0</v>
      </c>
      <c r="CS29" s="69">
        <f t="shared" ca="1" si="36"/>
        <v>0</v>
      </c>
      <c r="CT29" s="69">
        <f t="shared" ca="1" si="36"/>
        <v>0</v>
      </c>
      <c r="CU29" s="69">
        <f t="shared" ca="1" si="36"/>
        <v>0</v>
      </c>
      <c r="CV29" s="69">
        <f t="shared" ca="1" si="36"/>
        <v>0</v>
      </c>
      <c r="CW29" s="69">
        <f t="shared" ca="1" si="36"/>
        <v>0</v>
      </c>
      <c r="CX29" s="69">
        <f t="shared" ca="1" si="36"/>
        <v>0</v>
      </c>
      <c r="CY29" s="69">
        <f t="shared" ca="1" si="36"/>
        <v>0</v>
      </c>
      <c r="CZ29" s="69">
        <f t="shared" ca="1" si="36"/>
        <v>0</v>
      </c>
      <c r="DA29" s="69">
        <f t="shared" ca="1" si="36"/>
        <v>0</v>
      </c>
      <c r="DB29" s="69">
        <f t="shared" ca="1" si="36"/>
        <v>0</v>
      </c>
      <c r="DC29" s="69">
        <f t="shared" ca="1" si="36"/>
        <v>0</v>
      </c>
      <c r="DD29" s="69">
        <f t="shared" ca="1" si="36"/>
        <v>0</v>
      </c>
      <c r="DE29" s="69">
        <f t="shared" ca="1" si="36"/>
        <v>0</v>
      </c>
      <c r="DF29" s="69">
        <f t="shared" ca="1" si="36"/>
        <v>0</v>
      </c>
      <c r="DG29" s="69">
        <f t="shared" ca="1" si="36"/>
        <v>0</v>
      </c>
      <c r="DH29" s="69">
        <f t="shared" ca="1" si="36"/>
        <v>0</v>
      </c>
      <c r="DI29" s="69">
        <f t="shared" ca="1" si="36"/>
        <v>0</v>
      </c>
      <c r="DJ29" s="69">
        <f t="shared" ca="1" si="36"/>
        <v>0</v>
      </c>
      <c r="DK29" s="69">
        <f t="shared" ca="1" si="36"/>
        <v>0</v>
      </c>
      <c r="DL29" s="69">
        <f t="shared" ca="1" si="36"/>
        <v>0</v>
      </c>
      <c r="DM29" s="69">
        <f t="shared" ca="1" si="36"/>
        <v>0</v>
      </c>
      <c r="DN29" s="69">
        <f t="shared" ca="1" si="36"/>
        <v>0</v>
      </c>
      <c r="DO29" s="69">
        <f t="shared" ca="1" si="36"/>
        <v>0</v>
      </c>
      <c r="DP29" s="69">
        <f t="shared" ca="1" si="36"/>
        <v>0</v>
      </c>
      <c r="DQ29" s="69">
        <f t="shared" ca="1" si="36"/>
        <v>0</v>
      </c>
      <c r="DR29" s="69">
        <f t="shared" ca="1" si="36"/>
        <v>0</v>
      </c>
      <c r="DS29" s="69">
        <f t="shared" ca="1" si="36"/>
        <v>0</v>
      </c>
      <c r="DT29" s="69">
        <f t="shared" ca="1" si="36"/>
        <v>0</v>
      </c>
      <c r="DU29" s="69">
        <f t="shared" ca="1" si="36"/>
        <v>0</v>
      </c>
      <c r="DV29" s="69">
        <f t="shared" ca="1" si="36"/>
        <v>0</v>
      </c>
      <c r="DW29" s="69">
        <f t="shared" ca="1" si="36"/>
        <v>0</v>
      </c>
      <c r="DX29" s="69">
        <f t="shared" ca="1" si="36"/>
        <v>0</v>
      </c>
      <c r="DY29" s="69">
        <f t="shared" ca="1" si="36"/>
        <v>0</v>
      </c>
      <c r="DZ29" s="69">
        <f t="shared" ca="1" si="36"/>
        <v>0</v>
      </c>
      <c r="EA29" s="69">
        <f t="shared" ca="1" si="36"/>
        <v>0</v>
      </c>
      <c r="EB29" s="69">
        <f t="shared" ca="1" si="36"/>
        <v>0</v>
      </c>
      <c r="EC29" s="69">
        <f t="shared" ref="EC29:EE29" ca="1" si="37">EC28*(1+$C$2)^((EC27-EB27)/365)-EC28</f>
        <v>0</v>
      </c>
      <c r="ED29" s="69">
        <f t="shared" ca="1" si="37"/>
        <v>0</v>
      </c>
      <c r="EE29" s="70">
        <f t="shared" ca="1" si="37"/>
        <v>0</v>
      </c>
    </row>
    <row r="30" spans="1:135" x14ac:dyDescent="0.15">
      <c r="B30" s="7" t="s">
        <v>47</v>
      </c>
      <c r="C30" s="69">
        <f>IF(C25&lt;0,C25*$C$9,0)</f>
        <v>-7807500</v>
      </c>
      <c r="D30" s="69">
        <f>IF(D25&lt;0,D25*$C$9,0)</f>
        <v>0</v>
      </c>
      <c r="E30" s="69">
        <f t="shared" ref="E30:BP30" si="38">IF(E25&lt;0,E25*$C$9,0)</f>
        <v>0</v>
      </c>
      <c r="F30" s="69">
        <f t="shared" si="38"/>
        <v>0</v>
      </c>
      <c r="G30" s="69">
        <f t="shared" si="38"/>
        <v>0</v>
      </c>
      <c r="H30" s="69">
        <f t="shared" si="38"/>
        <v>0</v>
      </c>
      <c r="I30" s="69">
        <f t="shared" si="38"/>
        <v>0</v>
      </c>
      <c r="J30" s="69">
        <f t="shared" si="38"/>
        <v>0</v>
      </c>
      <c r="K30" s="69">
        <f t="shared" si="38"/>
        <v>0</v>
      </c>
      <c r="L30" s="69">
        <f t="shared" si="38"/>
        <v>0</v>
      </c>
      <c r="M30" s="69">
        <f t="shared" si="38"/>
        <v>0</v>
      </c>
      <c r="N30" s="69">
        <f t="shared" si="38"/>
        <v>0</v>
      </c>
      <c r="O30" s="69">
        <f t="shared" si="38"/>
        <v>0</v>
      </c>
      <c r="P30" s="69">
        <f t="shared" si="38"/>
        <v>0</v>
      </c>
      <c r="Q30" s="69">
        <f t="shared" si="38"/>
        <v>0</v>
      </c>
      <c r="R30" s="69">
        <f t="shared" si="38"/>
        <v>0</v>
      </c>
      <c r="S30" s="69">
        <f t="shared" si="38"/>
        <v>0</v>
      </c>
      <c r="T30" s="69">
        <f t="shared" si="38"/>
        <v>0</v>
      </c>
      <c r="U30" s="69">
        <f t="shared" si="38"/>
        <v>0</v>
      </c>
      <c r="V30" s="69">
        <f t="shared" si="38"/>
        <v>0</v>
      </c>
      <c r="W30" s="69">
        <f t="shared" si="38"/>
        <v>0</v>
      </c>
      <c r="X30" s="69">
        <f t="shared" si="38"/>
        <v>0</v>
      </c>
      <c r="Y30" s="69">
        <f t="shared" si="38"/>
        <v>0</v>
      </c>
      <c r="Z30" s="69">
        <f t="shared" si="38"/>
        <v>0</v>
      </c>
      <c r="AA30" s="69">
        <f t="shared" si="38"/>
        <v>0</v>
      </c>
      <c r="AB30" s="69">
        <f t="shared" si="38"/>
        <v>0</v>
      </c>
      <c r="AC30" s="69">
        <f t="shared" si="38"/>
        <v>0</v>
      </c>
      <c r="AD30" s="69">
        <f t="shared" si="38"/>
        <v>0</v>
      </c>
      <c r="AE30" s="69">
        <f t="shared" si="38"/>
        <v>0</v>
      </c>
      <c r="AF30" s="69">
        <f t="shared" si="38"/>
        <v>0</v>
      </c>
      <c r="AG30" s="69">
        <f t="shared" si="38"/>
        <v>0</v>
      </c>
      <c r="AH30" s="69">
        <f t="shared" si="38"/>
        <v>0</v>
      </c>
      <c r="AI30" s="69">
        <f t="shared" si="38"/>
        <v>0</v>
      </c>
      <c r="AJ30" s="69">
        <f t="shared" si="38"/>
        <v>0</v>
      </c>
      <c r="AK30" s="69">
        <f t="shared" si="38"/>
        <v>0</v>
      </c>
      <c r="AL30" s="69">
        <f t="shared" si="38"/>
        <v>0</v>
      </c>
      <c r="AM30" s="69">
        <f t="shared" si="38"/>
        <v>0</v>
      </c>
      <c r="AN30" s="69">
        <f t="shared" si="38"/>
        <v>0</v>
      </c>
      <c r="AO30" s="69">
        <f t="shared" si="38"/>
        <v>0</v>
      </c>
      <c r="AP30" s="69">
        <f t="shared" si="38"/>
        <v>0</v>
      </c>
      <c r="AQ30" s="69">
        <f t="shared" si="38"/>
        <v>0</v>
      </c>
      <c r="AR30" s="69">
        <f t="shared" si="38"/>
        <v>0</v>
      </c>
      <c r="AS30" s="69">
        <f t="shared" si="38"/>
        <v>0</v>
      </c>
      <c r="AT30" s="69">
        <f t="shared" si="38"/>
        <v>0</v>
      </c>
      <c r="AU30" s="69">
        <f t="shared" si="38"/>
        <v>0</v>
      </c>
      <c r="AV30" s="69">
        <f t="shared" si="38"/>
        <v>0</v>
      </c>
      <c r="AW30" s="69">
        <f t="shared" si="38"/>
        <v>0</v>
      </c>
      <c r="AX30" s="69">
        <f t="shared" si="38"/>
        <v>0</v>
      </c>
      <c r="AY30" s="69">
        <f t="shared" si="38"/>
        <v>0</v>
      </c>
      <c r="AZ30" s="69">
        <f t="shared" si="38"/>
        <v>0</v>
      </c>
      <c r="BA30" s="69">
        <f t="shared" si="38"/>
        <v>0</v>
      </c>
      <c r="BB30" s="69">
        <f t="shared" si="38"/>
        <v>0</v>
      </c>
      <c r="BC30" s="69">
        <f t="shared" si="38"/>
        <v>0</v>
      </c>
      <c r="BD30" s="69">
        <f t="shared" si="38"/>
        <v>0</v>
      </c>
      <c r="BE30" s="69">
        <f t="shared" si="38"/>
        <v>0</v>
      </c>
      <c r="BF30" s="69">
        <f t="shared" si="38"/>
        <v>0</v>
      </c>
      <c r="BG30" s="69">
        <f t="shared" si="38"/>
        <v>0</v>
      </c>
      <c r="BH30" s="69">
        <f t="shared" si="38"/>
        <v>0</v>
      </c>
      <c r="BI30" s="69">
        <f t="shared" si="38"/>
        <v>0</v>
      </c>
      <c r="BJ30" s="69">
        <f t="shared" si="38"/>
        <v>0</v>
      </c>
      <c r="BK30" s="69">
        <f t="shared" si="38"/>
        <v>0</v>
      </c>
      <c r="BL30" s="69">
        <f t="shared" si="38"/>
        <v>0</v>
      </c>
      <c r="BM30" s="69">
        <f t="shared" si="38"/>
        <v>0</v>
      </c>
      <c r="BN30" s="69">
        <f t="shared" si="38"/>
        <v>0</v>
      </c>
      <c r="BO30" s="69">
        <f t="shared" si="38"/>
        <v>0</v>
      </c>
      <c r="BP30" s="69">
        <f t="shared" si="38"/>
        <v>0</v>
      </c>
      <c r="BQ30" s="69">
        <f t="shared" ref="BQ30:EB30" si="39">IF(BQ25&lt;0,BQ25*$C$9,0)</f>
        <v>0</v>
      </c>
      <c r="BR30" s="69">
        <f t="shared" si="39"/>
        <v>0</v>
      </c>
      <c r="BS30" s="69">
        <f t="shared" si="39"/>
        <v>0</v>
      </c>
      <c r="BT30" s="69">
        <f t="shared" si="39"/>
        <v>0</v>
      </c>
      <c r="BU30" s="69">
        <f t="shared" si="39"/>
        <v>0</v>
      </c>
      <c r="BV30" s="69">
        <f t="shared" si="39"/>
        <v>0</v>
      </c>
      <c r="BW30" s="69">
        <f t="shared" si="39"/>
        <v>0</v>
      </c>
      <c r="BX30" s="69">
        <f t="shared" si="39"/>
        <v>0</v>
      </c>
      <c r="BY30" s="69">
        <f t="shared" si="39"/>
        <v>0</v>
      </c>
      <c r="BZ30" s="69">
        <f t="shared" si="39"/>
        <v>0</v>
      </c>
      <c r="CA30" s="69">
        <f t="shared" si="39"/>
        <v>0</v>
      </c>
      <c r="CB30" s="69">
        <f t="shared" si="39"/>
        <v>0</v>
      </c>
      <c r="CC30" s="69">
        <f t="shared" si="39"/>
        <v>0</v>
      </c>
      <c r="CD30" s="69">
        <f t="shared" si="39"/>
        <v>0</v>
      </c>
      <c r="CE30" s="69">
        <f t="shared" si="39"/>
        <v>0</v>
      </c>
      <c r="CF30" s="69">
        <f t="shared" si="39"/>
        <v>0</v>
      </c>
      <c r="CG30" s="69">
        <f t="shared" si="39"/>
        <v>0</v>
      </c>
      <c r="CH30" s="69">
        <f t="shared" si="39"/>
        <v>0</v>
      </c>
      <c r="CI30" s="69">
        <f t="shared" si="39"/>
        <v>0</v>
      </c>
      <c r="CJ30" s="69">
        <f t="shared" si="39"/>
        <v>0</v>
      </c>
      <c r="CK30" s="69">
        <f t="shared" si="39"/>
        <v>0</v>
      </c>
      <c r="CL30" s="69">
        <f t="shared" si="39"/>
        <v>0</v>
      </c>
      <c r="CM30" s="69">
        <f t="shared" si="39"/>
        <v>0</v>
      </c>
      <c r="CN30" s="69">
        <f t="shared" si="39"/>
        <v>0</v>
      </c>
      <c r="CO30" s="69">
        <f t="shared" si="39"/>
        <v>0</v>
      </c>
      <c r="CP30" s="69">
        <f t="shared" si="39"/>
        <v>0</v>
      </c>
      <c r="CQ30" s="69">
        <f t="shared" si="39"/>
        <v>0</v>
      </c>
      <c r="CR30" s="69">
        <f t="shared" si="39"/>
        <v>0</v>
      </c>
      <c r="CS30" s="69">
        <f t="shared" si="39"/>
        <v>0</v>
      </c>
      <c r="CT30" s="69">
        <f t="shared" si="39"/>
        <v>0</v>
      </c>
      <c r="CU30" s="69">
        <f t="shared" si="39"/>
        <v>0</v>
      </c>
      <c r="CV30" s="69">
        <f t="shared" si="39"/>
        <v>0</v>
      </c>
      <c r="CW30" s="69">
        <f t="shared" si="39"/>
        <v>0</v>
      </c>
      <c r="CX30" s="69">
        <f t="shared" si="39"/>
        <v>0</v>
      </c>
      <c r="CY30" s="69">
        <f t="shared" si="39"/>
        <v>0</v>
      </c>
      <c r="CZ30" s="69">
        <f t="shared" si="39"/>
        <v>0</v>
      </c>
      <c r="DA30" s="69">
        <f t="shared" si="39"/>
        <v>0</v>
      </c>
      <c r="DB30" s="69">
        <f t="shared" si="39"/>
        <v>0</v>
      </c>
      <c r="DC30" s="69">
        <f t="shared" si="39"/>
        <v>0</v>
      </c>
      <c r="DD30" s="69">
        <f t="shared" si="39"/>
        <v>0</v>
      </c>
      <c r="DE30" s="69">
        <f t="shared" si="39"/>
        <v>0</v>
      </c>
      <c r="DF30" s="69">
        <f t="shared" si="39"/>
        <v>0</v>
      </c>
      <c r="DG30" s="69">
        <f t="shared" si="39"/>
        <v>0</v>
      </c>
      <c r="DH30" s="69">
        <f t="shared" si="39"/>
        <v>0</v>
      </c>
      <c r="DI30" s="69">
        <f t="shared" si="39"/>
        <v>0</v>
      </c>
      <c r="DJ30" s="69">
        <f t="shared" si="39"/>
        <v>0</v>
      </c>
      <c r="DK30" s="69">
        <f t="shared" si="39"/>
        <v>0</v>
      </c>
      <c r="DL30" s="69">
        <f t="shared" si="39"/>
        <v>0</v>
      </c>
      <c r="DM30" s="69">
        <f t="shared" si="39"/>
        <v>0</v>
      </c>
      <c r="DN30" s="69">
        <f t="shared" si="39"/>
        <v>0</v>
      </c>
      <c r="DO30" s="69">
        <f t="shared" si="39"/>
        <v>0</v>
      </c>
      <c r="DP30" s="69">
        <f t="shared" si="39"/>
        <v>0</v>
      </c>
      <c r="DQ30" s="69">
        <f t="shared" si="39"/>
        <v>0</v>
      </c>
      <c r="DR30" s="69">
        <f t="shared" si="39"/>
        <v>0</v>
      </c>
      <c r="DS30" s="69">
        <f t="shared" si="39"/>
        <v>0</v>
      </c>
      <c r="DT30" s="69">
        <f t="shared" si="39"/>
        <v>0</v>
      </c>
      <c r="DU30" s="69">
        <f t="shared" si="39"/>
        <v>0</v>
      </c>
      <c r="DV30" s="69">
        <f t="shared" si="39"/>
        <v>0</v>
      </c>
      <c r="DW30" s="69">
        <f t="shared" si="39"/>
        <v>0</v>
      </c>
      <c r="DX30" s="69">
        <f t="shared" si="39"/>
        <v>0</v>
      </c>
      <c r="DY30" s="69">
        <f t="shared" si="39"/>
        <v>0</v>
      </c>
      <c r="DZ30" s="69">
        <f t="shared" si="39"/>
        <v>0</v>
      </c>
      <c r="EA30" s="69">
        <f t="shared" si="39"/>
        <v>0</v>
      </c>
      <c r="EB30" s="69">
        <f t="shared" si="39"/>
        <v>0</v>
      </c>
      <c r="EC30" s="69">
        <f t="shared" ref="EC30:EE30" si="40">IF(EC25&lt;0,EC25*$C$9,0)</f>
        <v>0</v>
      </c>
      <c r="ED30" s="69">
        <f t="shared" si="40"/>
        <v>0</v>
      </c>
      <c r="EE30" s="70">
        <f t="shared" si="40"/>
        <v>0</v>
      </c>
    </row>
    <row r="31" spans="1:135" x14ac:dyDescent="0.15">
      <c r="B31" s="7" t="s">
        <v>48</v>
      </c>
      <c r="C31" s="69">
        <v>0</v>
      </c>
      <c r="D31" s="69">
        <f ca="1">MIN(SUM(D28:D29),MAX(D25,0)*$F$2)</f>
        <v>63027.916912651017</v>
      </c>
      <c r="E31" s="69">
        <f t="shared" ref="E31:BP31" ca="1" si="41">MIN(SUM(E28:E29),MAX(E25,0)*$F$2)</f>
        <v>63397.857378496577</v>
      </c>
      <c r="F31" s="69">
        <f t="shared" ca="1" si="41"/>
        <v>63768.710217330539</v>
      </c>
      <c r="G31" s="69">
        <f t="shared" ca="1" si="41"/>
        <v>64140.477679310941</v>
      </c>
      <c r="H31" s="69">
        <f t="shared" ca="1" si="41"/>
        <v>64513.162020145166</v>
      </c>
      <c r="I31" s="69">
        <f t="shared" ca="1" si="41"/>
        <v>64886.76550110375</v>
      </c>
      <c r="J31" s="69">
        <f t="shared" ca="1" si="41"/>
        <v>65261.2903890343</v>
      </c>
      <c r="K31" s="69">
        <f t="shared" ca="1" si="41"/>
        <v>65636.738956374887</v>
      </c>
      <c r="L31" s="69">
        <f t="shared" ca="1" si="41"/>
        <v>66013.113481168213</v>
      </c>
      <c r="M31" s="69">
        <f t="shared" ca="1" si="41"/>
        <v>66390.416247075045</v>
      </c>
      <c r="N31" s="69">
        <f t="shared" ca="1" si="41"/>
        <v>66768.64954338847</v>
      </c>
      <c r="O31" s="69">
        <f t="shared" ca="1" si="41"/>
        <v>67147.815665047485</v>
      </c>
      <c r="P31" s="69">
        <f t="shared" ca="1" si="41"/>
        <v>67527.916912650995</v>
      </c>
      <c r="Q31" s="69">
        <f t="shared" ca="1" si="41"/>
        <v>67908.955592471917</v>
      </c>
      <c r="R31" s="69">
        <f t="shared" ca="1" si="41"/>
        <v>68290.934016470928</v>
      </c>
      <c r="S31" s="69">
        <f t="shared" ca="1" si="41"/>
        <v>68673.854502310787</v>
      </c>
      <c r="T31" s="69">
        <f t="shared" ca="1" si="41"/>
        <v>69057.719373369997</v>
      </c>
      <c r="U31" s="69">
        <f t="shared" ca="1" si="41"/>
        <v>69442.530958757343</v>
      </c>
      <c r="V31" s="69">
        <f t="shared" ca="1" si="41"/>
        <v>69828.291593325819</v>
      </c>
      <c r="W31" s="69">
        <f t="shared" ca="1" si="41"/>
        <v>70215.003617686627</v>
      </c>
      <c r="X31" s="69">
        <f t="shared" ca="1" si="41"/>
        <v>70602.669378223727</v>
      </c>
      <c r="Y31" s="69">
        <f t="shared" ca="1" si="41"/>
        <v>70991.291227107766</v>
      </c>
      <c r="Z31" s="69">
        <f t="shared" ca="1" si="41"/>
        <v>71380.871522310597</v>
      </c>
      <c r="AA31" s="69">
        <f t="shared" ca="1" si="41"/>
        <v>8063367.2625723714</v>
      </c>
      <c r="AB31" s="69">
        <f t="shared" ca="1" si="41"/>
        <v>0</v>
      </c>
      <c r="AC31" s="69">
        <f t="shared" ca="1" si="41"/>
        <v>0</v>
      </c>
      <c r="AD31" s="69">
        <f t="shared" ca="1" si="41"/>
        <v>0</v>
      </c>
      <c r="AE31" s="69">
        <f t="shared" ca="1" si="41"/>
        <v>0</v>
      </c>
      <c r="AF31" s="69">
        <f t="shared" ca="1" si="41"/>
        <v>0</v>
      </c>
      <c r="AG31" s="69">
        <f t="shared" ca="1" si="41"/>
        <v>0</v>
      </c>
      <c r="AH31" s="69">
        <f t="shared" ca="1" si="41"/>
        <v>0</v>
      </c>
      <c r="AI31" s="69">
        <f t="shared" ca="1" si="41"/>
        <v>0</v>
      </c>
      <c r="AJ31" s="69">
        <f t="shared" ca="1" si="41"/>
        <v>0</v>
      </c>
      <c r="AK31" s="69">
        <f t="shared" ca="1" si="41"/>
        <v>0</v>
      </c>
      <c r="AL31" s="69">
        <f t="shared" ca="1" si="41"/>
        <v>0</v>
      </c>
      <c r="AM31" s="69">
        <f t="shared" ca="1" si="41"/>
        <v>0</v>
      </c>
      <c r="AN31" s="69">
        <f t="shared" ca="1" si="41"/>
        <v>0</v>
      </c>
      <c r="AO31" s="69">
        <f t="shared" ca="1" si="41"/>
        <v>0</v>
      </c>
      <c r="AP31" s="69">
        <f t="shared" ca="1" si="41"/>
        <v>0</v>
      </c>
      <c r="AQ31" s="69">
        <f t="shared" ca="1" si="41"/>
        <v>0</v>
      </c>
      <c r="AR31" s="69">
        <f t="shared" ca="1" si="41"/>
        <v>0</v>
      </c>
      <c r="AS31" s="69">
        <f t="shared" ca="1" si="41"/>
        <v>0</v>
      </c>
      <c r="AT31" s="69">
        <f t="shared" ca="1" si="41"/>
        <v>0</v>
      </c>
      <c r="AU31" s="69">
        <f t="shared" ca="1" si="41"/>
        <v>0</v>
      </c>
      <c r="AV31" s="69">
        <f t="shared" ca="1" si="41"/>
        <v>0</v>
      </c>
      <c r="AW31" s="69">
        <f t="shared" ca="1" si="41"/>
        <v>0</v>
      </c>
      <c r="AX31" s="69">
        <f t="shared" ca="1" si="41"/>
        <v>0</v>
      </c>
      <c r="AY31" s="69">
        <f t="shared" ca="1" si="41"/>
        <v>0</v>
      </c>
      <c r="AZ31" s="69">
        <f t="shared" ca="1" si="41"/>
        <v>0</v>
      </c>
      <c r="BA31" s="69">
        <f t="shared" ca="1" si="41"/>
        <v>0</v>
      </c>
      <c r="BB31" s="69">
        <f t="shared" ca="1" si="41"/>
        <v>0</v>
      </c>
      <c r="BC31" s="69">
        <f t="shared" ca="1" si="41"/>
        <v>0</v>
      </c>
      <c r="BD31" s="69">
        <f t="shared" ca="1" si="41"/>
        <v>0</v>
      </c>
      <c r="BE31" s="69">
        <f t="shared" ca="1" si="41"/>
        <v>0</v>
      </c>
      <c r="BF31" s="69">
        <f t="shared" ca="1" si="41"/>
        <v>0</v>
      </c>
      <c r="BG31" s="69">
        <f t="shared" ca="1" si="41"/>
        <v>0</v>
      </c>
      <c r="BH31" s="69">
        <f t="shared" ca="1" si="41"/>
        <v>0</v>
      </c>
      <c r="BI31" s="69">
        <f t="shared" ca="1" si="41"/>
        <v>0</v>
      </c>
      <c r="BJ31" s="69">
        <f t="shared" ca="1" si="41"/>
        <v>0</v>
      </c>
      <c r="BK31" s="69">
        <f t="shared" ca="1" si="41"/>
        <v>0</v>
      </c>
      <c r="BL31" s="69">
        <f t="shared" ca="1" si="41"/>
        <v>0</v>
      </c>
      <c r="BM31" s="69">
        <f t="shared" ca="1" si="41"/>
        <v>0</v>
      </c>
      <c r="BN31" s="69">
        <f t="shared" ca="1" si="41"/>
        <v>0</v>
      </c>
      <c r="BO31" s="69">
        <f t="shared" ca="1" si="41"/>
        <v>0</v>
      </c>
      <c r="BP31" s="69">
        <f t="shared" ca="1" si="41"/>
        <v>0</v>
      </c>
      <c r="BQ31" s="69">
        <f t="shared" ref="BQ31:EB31" ca="1" si="42">MIN(SUM(BQ28:BQ29),MAX(BQ25,0)*$F$2)</f>
        <v>0</v>
      </c>
      <c r="BR31" s="69">
        <f t="shared" ca="1" si="42"/>
        <v>0</v>
      </c>
      <c r="BS31" s="69">
        <f t="shared" ca="1" si="42"/>
        <v>0</v>
      </c>
      <c r="BT31" s="69">
        <f t="shared" ca="1" si="42"/>
        <v>0</v>
      </c>
      <c r="BU31" s="69">
        <f t="shared" ca="1" si="42"/>
        <v>0</v>
      </c>
      <c r="BV31" s="69">
        <f t="shared" ca="1" si="42"/>
        <v>0</v>
      </c>
      <c r="BW31" s="69">
        <f t="shared" ca="1" si="42"/>
        <v>0</v>
      </c>
      <c r="BX31" s="69">
        <f t="shared" ca="1" si="42"/>
        <v>0</v>
      </c>
      <c r="BY31" s="69">
        <f t="shared" ca="1" si="42"/>
        <v>0</v>
      </c>
      <c r="BZ31" s="69">
        <f t="shared" ca="1" si="42"/>
        <v>0</v>
      </c>
      <c r="CA31" s="69">
        <f t="shared" ca="1" si="42"/>
        <v>0</v>
      </c>
      <c r="CB31" s="69">
        <f t="shared" ca="1" si="42"/>
        <v>0</v>
      </c>
      <c r="CC31" s="69">
        <f t="shared" ca="1" si="42"/>
        <v>0</v>
      </c>
      <c r="CD31" s="69">
        <f t="shared" ca="1" si="42"/>
        <v>0</v>
      </c>
      <c r="CE31" s="69">
        <f t="shared" ca="1" si="42"/>
        <v>0</v>
      </c>
      <c r="CF31" s="69">
        <f t="shared" ca="1" si="42"/>
        <v>0</v>
      </c>
      <c r="CG31" s="69">
        <f t="shared" ca="1" si="42"/>
        <v>0</v>
      </c>
      <c r="CH31" s="69">
        <f t="shared" ca="1" si="42"/>
        <v>0</v>
      </c>
      <c r="CI31" s="69">
        <f t="shared" ca="1" si="42"/>
        <v>0</v>
      </c>
      <c r="CJ31" s="69">
        <f t="shared" ca="1" si="42"/>
        <v>0</v>
      </c>
      <c r="CK31" s="69">
        <f t="shared" ca="1" si="42"/>
        <v>0</v>
      </c>
      <c r="CL31" s="69">
        <f t="shared" ca="1" si="42"/>
        <v>0</v>
      </c>
      <c r="CM31" s="69">
        <f t="shared" ca="1" si="42"/>
        <v>0</v>
      </c>
      <c r="CN31" s="69">
        <f t="shared" ca="1" si="42"/>
        <v>0</v>
      </c>
      <c r="CO31" s="69">
        <f t="shared" ca="1" si="42"/>
        <v>0</v>
      </c>
      <c r="CP31" s="69">
        <f t="shared" ca="1" si="42"/>
        <v>0</v>
      </c>
      <c r="CQ31" s="69">
        <f t="shared" ca="1" si="42"/>
        <v>0</v>
      </c>
      <c r="CR31" s="69">
        <f t="shared" ca="1" si="42"/>
        <v>0</v>
      </c>
      <c r="CS31" s="69">
        <f t="shared" ca="1" si="42"/>
        <v>0</v>
      </c>
      <c r="CT31" s="69">
        <f t="shared" ca="1" si="42"/>
        <v>0</v>
      </c>
      <c r="CU31" s="69">
        <f t="shared" ca="1" si="42"/>
        <v>0</v>
      </c>
      <c r="CV31" s="69">
        <f t="shared" ca="1" si="42"/>
        <v>0</v>
      </c>
      <c r="CW31" s="69">
        <f t="shared" ca="1" si="42"/>
        <v>0</v>
      </c>
      <c r="CX31" s="69">
        <f t="shared" ca="1" si="42"/>
        <v>0</v>
      </c>
      <c r="CY31" s="69">
        <f t="shared" ca="1" si="42"/>
        <v>0</v>
      </c>
      <c r="CZ31" s="69">
        <f t="shared" ca="1" si="42"/>
        <v>0</v>
      </c>
      <c r="DA31" s="69">
        <f t="shared" ca="1" si="42"/>
        <v>0</v>
      </c>
      <c r="DB31" s="69">
        <f t="shared" ca="1" si="42"/>
        <v>0</v>
      </c>
      <c r="DC31" s="69">
        <f t="shared" ca="1" si="42"/>
        <v>0</v>
      </c>
      <c r="DD31" s="69">
        <f t="shared" ca="1" si="42"/>
        <v>0</v>
      </c>
      <c r="DE31" s="69">
        <f t="shared" ca="1" si="42"/>
        <v>0</v>
      </c>
      <c r="DF31" s="69">
        <f t="shared" ca="1" si="42"/>
        <v>0</v>
      </c>
      <c r="DG31" s="69">
        <f t="shared" ca="1" si="42"/>
        <v>0</v>
      </c>
      <c r="DH31" s="69">
        <f t="shared" ca="1" si="42"/>
        <v>0</v>
      </c>
      <c r="DI31" s="69">
        <f t="shared" ca="1" si="42"/>
        <v>0</v>
      </c>
      <c r="DJ31" s="69">
        <f t="shared" ca="1" si="42"/>
        <v>0</v>
      </c>
      <c r="DK31" s="69">
        <f t="shared" ca="1" si="42"/>
        <v>0</v>
      </c>
      <c r="DL31" s="69">
        <f t="shared" ca="1" si="42"/>
        <v>0</v>
      </c>
      <c r="DM31" s="69">
        <f t="shared" ca="1" si="42"/>
        <v>0</v>
      </c>
      <c r="DN31" s="69">
        <f t="shared" ca="1" si="42"/>
        <v>0</v>
      </c>
      <c r="DO31" s="69">
        <f t="shared" ca="1" si="42"/>
        <v>0</v>
      </c>
      <c r="DP31" s="69">
        <f t="shared" ca="1" si="42"/>
        <v>0</v>
      </c>
      <c r="DQ31" s="69">
        <f t="shared" ca="1" si="42"/>
        <v>0</v>
      </c>
      <c r="DR31" s="69">
        <f t="shared" ca="1" si="42"/>
        <v>0</v>
      </c>
      <c r="DS31" s="69">
        <f t="shared" ca="1" si="42"/>
        <v>0</v>
      </c>
      <c r="DT31" s="69">
        <f t="shared" ca="1" si="42"/>
        <v>0</v>
      </c>
      <c r="DU31" s="69">
        <f t="shared" ca="1" si="42"/>
        <v>0</v>
      </c>
      <c r="DV31" s="69">
        <f t="shared" ca="1" si="42"/>
        <v>0</v>
      </c>
      <c r="DW31" s="69">
        <f t="shared" ca="1" si="42"/>
        <v>0</v>
      </c>
      <c r="DX31" s="69">
        <f t="shared" ca="1" si="42"/>
        <v>0</v>
      </c>
      <c r="DY31" s="69">
        <f t="shared" ca="1" si="42"/>
        <v>0</v>
      </c>
      <c r="DZ31" s="69">
        <f t="shared" ca="1" si="42"/>
        <v>0</v>
      </c>
      <c r="EA31" s="69">
        <f t="shared" ca="1" si="42"/>
        <v>0</v>
      </c>
      <c r="EB31" s="69">
        <f t="shared" ca="1" si="42"/>
        <v>0</v>
      </c>
      <c r="EC31" s="69">
        <f t="shared" ref="EC31:EE31" ca="1" si="43">MIN(SUM(EC28:EC29),MAX(EC25,0)*$F$2)</f>
        <v>0</v>
      </c>
      <c r="ED31" s="69">
        <f t="shared" ca="1" si="43"/>
        <v>0</v>
      </c>
      <c r="EE31" s="70">
        <f t="shared" ca="1" si="43"/>
        <v>0</v>
      </c>
    </row>
    <row r="32" spans="1:135" x14ac:dyDescent="0.15">
      <c r="A32" s="52" t="s">
        <v>51</v>
      </c>
      <c r="B32" s="7" t="s">
        <v>49</v>
      </c>
      <c r="C32" s="69">
        <f>C28+C29-C30-C31</f>
        <v>7807500</v>
      </c>
      <c r="D32" s="69">
        <f ca="1">D28+D29-D30-D31</f>
        <v>7812644.1077914806</v>
      </c>
      <c r="E32" s="69">
        <f t="shared" ref="E32:BP32" ca="1" si="44">E28+E29-E30-E31</f>
        <v>7824807.3863326479</v>
      </c>
      <c r="F32" s="69">
        <f t="shared" ca="1" si="44"/>
        <v>7834264.8133668471</v>
      </c>
      <c r="G32" s="69">
        <f t="shared" ca="1" si="44"/>
        <v>7845894.5794393392</v>
      </c>
      <c r="H32" s="69">
        <f t="shared" ca="1" si="44"/>
        <v>7854804.892908005</v>
      </c>
      <c r="I32" s="69">
        <f t="shared" ca="1" si="44"/>
        <v>7865887.0275573069</v>
      </c>
      <c r="J32" s="69">
        <f t="shared" ca="1" si="44"/>
        <v>7876701.819812974</v>
      </c>
      <c r="K32" s="69">
        <f t="shared" ca="1" si="44"/>
        <v>7884776.8567597913</v>
      </c>
      <c r="L32" s="69">
        <f t="shared" ca="1" si="44"/>
        <v>7895022.5216831937</v>
      </c>
      <c r="M32" s="69">
        <f t="shared" ca="1" si="44"/>
        <v>7902515.3301895456</v>
      </c>
      <c r="N32" s="69">
        <f t="shared" ca="1" si="44"/>
        <v>7912177.019303997</v>
      </c>
      <c r="O32" s="69">
        <f t="shared" ca="1" si="44"/>
        <v>7921552.9867432937</v>
      </c>
      <c r="P32" s="69">
        <f t="shared" ca="1" si="44"/>
        <v>7923192.9604367716</v>
      </c>
      <c r="Q32" s="69">
        <f t="shared" ca="1" si="44"/>
        <v>7931914.3302426143</v>
      </c>
      <c r="R32" s="69">
        <f t="shared" ca="1" si="44"/>
        <v>7937851.8620192092</v>
      </c>
      <c r="S32" s="69">
        <f t="shared" ca="1" si="44"/>
        <v>7945950.1086366745</v>
      </c>
      <c r="T32" s="69">
        <f t="shared" ca="1" si="44"/>
        <v>7951252.204722167</v>
      </c>
      <c r="U32" s="69">
        <f t="shared" ca="1" si="44"/>
        <v>7958711.37826744</v>
      </c>
      <c r="V32" s="69">
        <f t="shared" ca="1" si="44"/>
        <v>7965856.9336715601</v>
      </c>
      <c r="W32" s="69">
        <f t="shared" ca="1" si="44"/>
        <v>7970188.0376257906</v>
      </c>
      <c r="X32" s="69">
        <f t="shared" ca="1" si="44"/>
        <v>7976670.2134430259</v>
      </c>
      <c r="Y32" s="69">
        <f t="shared" ca="1" si="44"/>
        <v>7980326.2226568209</v>
      </c>
      <c r="Z32" s="69">
        <f t="shared" ca="1" si="44"/>
        <v>7986128.2492767749</v>
      </c>
      <c r="AA32" s="69">
        <f t="shared" ca="1" si="44"/>
        <v>0</v>
      </c>
      <c r="AB32" s="69">
        <f t="shared" ca="1" si="44"/>
        <v>0</v>
      </c>
      <c r="AC32" s="69">
        <f t="shared" ca="1" si="44"/>
        <v>0</v>
      </c>
      <c r="AD32" s="69">
        <f t="shared" ca="1" si="44"/>
        <v>0</v>
      </c>
      <c r="AE32" s="69">
        <f t="shared" ca="1" si="44"/>
        <v>0</v>
      </c>
      <c r="AF32" s="69">
        <f t="shared" ca="1" si="44"/>
        <v>0</v>
      </c>
      <c r="AG32" s="69">
        <f t="shared" ca="1" si="44"/>
        <v>0</v>
      </c>
      <c r="AH32" s="69">
        <f t="shared" ca="1" si="44"/>
        <v>0</v>
      </c>
      <c r="AI32" s="69">
        <f t="shared" ca="1" si="44"/>
        <v>0</v>
      </c>
      <c r="AJ32" s="69">
        <f t="shared" ca="1" si="44"/>
        <v>0</v>
      </c>
      <c r="AK32" s="69">
        <f t="shared" ca="1" si="44"/>
        <v>0</v>
      </c>
      <c r="AL32" s="69">
        <f t="shared" ca="1" si="44"/>
        <v>0</v>
      </c>
      <c r="AM32" s="69">
        <f t="shared" ca="1" si="44"/>
        <v>0</v>
      </c>
      <c r="AN32" s="69">
        <f t="shared" ca="1" si="44"/>
        <v>0</v>
      </c>
      <c r="AO32" s="69">
        <f t="shared" ca="1" si="44"/>
        <v>0</v>
      </c>
      <c r="AP32" s="69">
        <f t="shared" ca="1" si="44"/>
        <v>0</v>
      </c>
      <c r="AQ32" s="69">
        <f t="shared" ca="1" si="44"/>
        <v>0</v>
      </c>
      <c r="AR32" s="69">
        <f t="shared" ca="1" si="44"/>
        <v>0</v>
      </c>
      <c r="AS32" s="69">
        <f t="shared" ca="1" si="44"/>
        <v>0</v>
      </c>
      <c r="AT32" s="69">
        <f t="shared" ca="1" si="44"/>
        <v>0</v>
      </c>
      <c r="AU32" s="69">
        <f t="shared" ca="1" si="44"/>
        <v>0</v>
      </c>
      <c r="AV32" s="69">
        <f t="shared" ca="1" si="44"/>
        <v>0</v>
      </c>
      <c r="AW32" s="69">
        <f t="shared" ca="1" si="44"/>
        <v>0</v>
      </c>
      <c r="AX32" s="69">
        <f t="shared" ca="1" si="44"/>
        <v>0</v>
      </c>
      <c r="AY32" s="69">
        <f t="shared" ca="1" si="44"/>
        <v>0</v>
      </c>
      <c r="AZ32" s="69">
        <f t="shared" ca="1" si="44"/>
        <v>0</v>
      </c>
      <c r="BA32" s="69">
        <f t="shared" ca="1" si="44"/>
        <v>0</v>
      </c>
      <c r="BB32" s="69">
        <f t="shared" ca="1" si="44"/>
        <v>0</v>
      </c>
      <c r="BC32" s="69">
        <f t="shared" ca="1" si="44"/>
        <v>0</v>
      </c>
      <c r="BD32" s="69">
        <f t="shared" ca="1" si="44"/>
        <v>0</v>
      </c>
      <c r="BE32" s="69">
        <f t="shared" ca="1" si="44"/>
        <v>0</v>
      </c>
      <c r="BF32" s="69">
        <f t="shared" ca="1" si="44"/>
        <v>0</v>
      </c>
      <c r="BG32" s="69">
        <f t="shared" ca="1" si="44"/>
        <v>0</v>
      </c>
      <c r="BH32" s="69">
        <f t="shared" ca="1" si="44"/>
        <v>0</v>
      </c>
      <c r="BI32" s="69">
        <f t="shared" ca="1" si="44"/>
        <v>0</v>
      </c>
      <c r="BJ32" s="69">
        <f t="shared" ca="1" si="44"/>
        <v>0</v>
      </c>
      <c r="BK32" s="69">
        <f t="shared" ca="1" si="44"/>
        <v>0</v>
      </c>
      <c r="BL32" s="69">
        <f t="shared" ca="1" si="44"/>
        <v>0</v>
      </c>
      <c r="BM32" s="69">
        <f t="shared" ca="1" si="44"/>
        <v>0</v>
      </c>
      <c r="BN32" s="69">
        <f t="shared" ca="1" si="44"/>
        <v>0</v>
      </c>
      <c r="BO32" s="69">
        <f t="shared" ca="1" si="44"/>
        <v>0</v>
      </c>
      <c r="BP32" s="69">
        <f t="shared" ca="1" si="44"/>
        <v>0</v>
      </c>
      <c r="BQ32" s="69">
        <f t="shared" ref="BQ32:EB32" ca="1" si="45">BQ28+BQ29-BQ30-BQ31</f>
        <v>0</v>
      </c>
      <c r="BR32" s="69">
        <f t="shared" ca="1" si="45"/>
        <v>0</v>
      </c>
      <c r="BS32" s="69">
        <f t="shared" ca="1" si="45"/>
        <v>0</v>
      </c>
      <c r="BT32" s="69">
        <f t="shared" ca="1" si="45"/>
        <v>0</v>
      </c>
      <c r="BU32" s="69">
        <f t="shared" ca="1" si="45"/>
        <v>0</v>
      </c>
      <c r="BV32" s="69">
        <f t="shared" ca="1" si="45"/>
        <v>0</v>
      </c>
      <c r="BW32" s="69">
        <f t="shared" ca="1" si="45"/>
        <v>0</v>
      </c>
      <c r="BX32" s="69">
        <f t="shared" ca="1" si="45"/>
        <v>0</v>
      </c>
      <c r="BY32" s="69">
        <f t="shared" ca="1" si="45"/>
        <v>0</v>
      </c>
      <c r="BZ32" s="69">
        <f t="shared" ca="1" si="45"/>
        <v>0</v>
      </c>
      <c r="CA32" s="69">
        <f t="shared" ca="1" si="45"/>
        <v>0</v>
      </c>
      <c r="CB32" s="69">
        <f t="shared" ca="1" si="45"/>
        <v>0</v>
      </c>
      <c r="CC32" s="69">
        <f t="shared" ca="1" si="45"/>
        <v>0</v>
      </c>
      <c r="CD32" s="69">
        <f t="shared" ca="1" si="45"/>
        <v>0</v>
      </c>
      <c r="CE32" s="69">
        <f t="shared" ca="1" si="45"/>
        <v>0</v>
      </c>
      <c r="CF32" s="69">
        <f t="shared" ca="1" si="45"/>
        <v>0</v>
      </c>
      <c r="CG32" s="69">
        <f t="shared" ca="1" si="45"/>
        <v>0</v>
      </c>
      <c r="CH32" s="69">
        <f t="shared" ca="1" si="45"/>
        <v>0</v>
      </c>
      <c r="CI32" s="69">
        <f t="shared" ca="1" si="45"/>
        <v>0</v>
      </c>
      <c r="CJ32" s="69">
        <f t="shared" ca="1" si="45"/>
        <v>0</v>
      </c>
      <c r="CK32" s="69">
        <f t="shared" ca="1" si="45"/>
        <v>0</v>
      </c>
      <c r="CL32" s="69">
        <f t="shared" ca="1" si="45"/>
        <v>0</v>
      </c>
      <c r="CM32" s="69">
        <f t="shared" ca="1" si="45"/>
        <v>0</v>
      </c>
      <c r="CN32" s="69">
        <f t="shared" ca="1" si="45"/>
        <v>0</v>
      </c>
      <c r="CO32" s="69">
        <f t="shared" ca="1" si="45"/>
        <v>0</v>
      </c>
      <c r="CP32" s="69">
        <f t="shared" ca="1" si="45"/>
        <v>0</v>
      </c>
      <c r="CQ32" s="69">
        <f t="shared" ca="1" si="45"/>
        <v>0</v>
      </c>
      <c r="CR32" s="69">
        <f t="shared" ca="1" si="45"/>
        <v>0</v>
      </c>
      <c r="CS32" s="69">
        <f t="shared" ca="1" si="45"/>
        <v>0</v>
      </c>
      <c r="CT32" s="69">
        <f t="shared" ca="1" si="45"/>
        <v>0</v>
      </c>
      <c r="CU32" s="69">
        <f t="shared" ca="1" si="45"/>
        <v>0</v>
      </c>
      <c r="CV32" s="69">
        <f t="shared" ca="1" si="45"/>
        <v>0</v>
      </c>
      <c r="CW32" s="69">
        <f t="shared" ca="1" si="45"/>
        <v>0</v>
      </c>
      <c r="CX32" s="69">
        <f t="shared" ca="1" si="45"/>
        <v>0</v>
      </c>
      <c r="CY32" s="69">
        <f t="shared" ca="1" si="45"/>
        <v>0</v>
      </c>
      <c r="CZ32" s="69">
        <f t="shared" ca="1" si="45"/>
        <v>0</v>
      </c>
      <c r="DA32" s="69">
        <f t="shared" ca="1" si="45"/>
        <v>0</v>
      </c>
      <c r="DB32" s="69">
        <f t="shared" ca="1" si="45"/>
        <v>0</v>
      </c>
      <c r="DC32" s="69">
        <f t="shared" ca="1" si="45"/>
        <v>0</v>
      </c>
      <c r="DD32" s="69">
        <f t="shared" ca="1" si="45"/>
        <v>0</v>
      </c>
      <c r="DE32" s="69">
        <f t="shared" ca="1" si="45"/>
        <v>0</v>
      </c>
      <c r="DF32" s="69">
        <f t="shared" ca="1" si="45"/>
        <v>0</v>
      </c>
      <c r="DG32" s="69">
        <f t="shared" ca="1" si="45"/>
        <v>0</v>
      </c>
      <c r="DH32" s="69">
        <f t="shared" ca="1" si="45"/>
        <v>0</v>
      </c>
      <c r="DI32" s="69">
        <f t="shared" ca="1" si="45"/>
        <v>0</v>
      </c>
      <c r="DJ32" s="69">
        <f t="shared" ca="1" si="45"/>
        <v>0</v>
      </c>
      <c r="DK32" s="69">
        <f t="shared" ca="1" si="45"/>
        <v>0</v>
      </c>
      <c r="DL32" s="69">
        <f t="shared" ca="1" si="45"/>
        <v>0</v>
      </c>
      <c r="DM32" s="69">
        <f t="shared" ca="1" si="45"/>
        <v>0</v>
      </c>
      <c r="DN32" s="69">
        <f t="shared" ca="1" si="45"/>
        <v>0</v>
      </c>
      <c r="DO32" s="69">
        <f t="shared" ca="1" si="45"/>
        <v>0</v>
      </c>
      <c r="DP32" s="69">
        <f t="shared" ca="1" si="45"/>
        <v>0</v>
      </c>
      <c r="DQ32" s="69">
        <f t="shared" ca="1" si="45"/>
        <v>0</v>
      </c>
      <c r="DR32" s="69">
        <f t="shared" ca="1" si="45"/>
        <v>0</v>
      </c>
      <c r="DS32" s="69">
        <f t="shared" ca="1" si="45"/>
        <v>0</v>
      </c>
      <c r="DT32" s="69">
        <f t="shared" ca="1" si="45"/>
        <v>0</v>
      </c>
      <c r="DU32" s="69">
        <f t="shared" ca="1" si="45"/>
        <v>0</v>
      </c>
      <c r="DV32" s="69">
        <f t="shared" ca="1" si="45"/>
        <v>0</v>
      </c>
      <c r="DW32" s="69">
        <f t="shared" ca="1" si="45"/>
        <v>0</v>
      </c>
      <c r="DX32" s="69">
        <f t="shared" ca="1" si="45"/>
        <v>0</v>
      </c>
      <c r="DY32" s="69">
        <f t="shared" ca="1" si="45"/>
        <v>0</v>
      </c>
      <c r="DZ32" s="69">
        <f t="shared" ca="1" si="45"/>
        <v>0</v>
      </c>
      <c r="EA32" s="69">
        <f t="shared" ca="1" si="45"/>
        <v>0</v>
      </c>
      <c r="EB32" s="69">
        <f t="shared" ca="1" si="45"/>
        <v>0</v>
      </c>
      <c r="EC32" s="69">
        <f t="shared" ref="EC32:EE32" ca="1" si="46">EC28+EC29-EC30-EC31</f>
        <v>0</v>
      </c>
      <c r="ED32" s="69">
        <f t="shared" ca="1" si="46"/>
        <v>0</v>
      </c>
      <c r="EE32" s="70">
        <f t="shared" ca="1" si="46"/>
        <v>0</v>
      </c>
    </row>
    <row r="33" spans="1:135" x14ac:dyDescent="0.15">
      <c r="A33" s="71">
        <f ca="1">IFERROR(XIRR(C33:EE33,$C$12:$EE$12),0)</f>
        <v>0.11999999880790704</v>
      </c>
      <c r="B33" s="55" t="s">
        <v>50</v>
      </c>
      <c r="C33" s="72">
        <f>SUM(C30:C31)</f>
        <v>-7807500</v>
      </c>
      <c r="D33" s="72">
        <f ca="1">SUM(D30:D31)</f>
        <v>63027.916912651017</v>
      </c>
      <c r="E33" s="72">
        <f t="shared" ref="E33:BP33" ca="1" si="47">SUM(E30:E31)</f>
        <v>63397.857378496577</v>
      </c>
      <c r="F33" s="72">
        <f t="shared" ca="1" si="47"/>
        <v>63768.710217330539</v>
      </c>
      <c r="G33" s="72">
        <f t="shared" ca="1" si="47"/>
        <v>64140.477679310941</v>
      </c>
      <c r="H33" s="72">
        <f t="shared" ca="1" si="47"/>
        <v>64513.162020145166</v>
      </c>
      <c r="I33" s="72">
        <f t="shared" ca="1" si="47"/>
        <v>64886.76550110375</v>
      </c>
      <c r="J33" s="72">
        <f t="shared" ca="1" si="47"/>
        <v>65261.2903890343</v>
      </c>
      <c r="K33" s="72">
        <f t="shared" ca="1" si="47"/>
        <v>65636.738956374887</v>
      </c>
      <c r="L33" s="72">
        <f t="shared" ca="1" si="47"/>
        <v>66013.113481168213</v>
      </c>
      <c r="M33" s="72">
        <f t="shared" ca="1" si="47"/>
        <v>66390.416247075045</v>
      </c>
      <c r="N33" s="72">
        <f t="shared" ca="1" si="47"/>
        <v>66768.64954338847</v>
      </c>
      <c r="O33" s="72">
        <f t="shared" ca="1" si="47"/>
        <v>67147.815665047485</v>
      </c>
      <c r="P33" s="72">
        <f t="shared" ca="1" si="47"/>
        <v>67527.916912650995</v>
      </c>
      <c r="Q33" s="72">
        <f t="shared" ca="1" si="47"/>
        <v>67908.955592471917</v>
      </c>
      <c r="R33" s="72">
        <f t="shared" ca="1" si="47"/>
        <v>68290.934016470928</v>
      </c>
      <c r="S33" s="72">
        <f t="shared" ca="1" si="47"/>
        <v>68673.854502310787</v>
      </c>
      <c r="T33" s="72">
        <f t="shared" ca="1" si="47"/>
        <v>69057.719373369997</v>
      </c>
      <c r="U33" s="72">
        <f t="shared" ca="1" si="47"/>
        <v>69442.530958757343</v>
      </c>
      <c r="V33" s="72">
        <f t="shared" ca="1" si="47"/>
        <v>69828.291593325819</v>
      </c>
      <c r="W33" s="72">
        <f t="shared" ca="1" si="47"/>
        <v>70215.003617686627</v>
      </c>
      <c r="X33" s="72">
        <f t="shared" ca="1" si="47"/>
        <v>70602.669378223727</v>
      </c>
      <c r="Y33" s="72">
        <f t="shared" ca="1" si="47"/>
        <v>70991.291227107766</v>
      </c>
      <c r="Z33" s="72">
        <f t="shared" ca="1" si="47"/>
        <v>71380.871522310597</v>
      </c>
      <c r="AA33" s="72">
        <f t="shared" ca="1" si="47"/>
        <v>8063367.2625723714</v>
      </c>
      <c r="AB33" s="72">
        <f t="shared" ca="1" si="47"/>
        <v>0</v>
      </c>
      <c r="AC33" s="72">
        <f t="shared" ca="1" si="47"/>
        <v>0</v>
      </c>
      <c r="AD33" s="72">
        <f t="shared" ca="1" si="47"/>
        <v>0</v>
      </c>
      <c r="AE33" s="72">
        <f t="shared" ca="1" si="47"/>
        <v>0</v>
      </c>
      <c r="AF33" s="72">
        <f t="shared" ca="1" si="47"/>
        <v>0</v>
      </c>
      <c r="AG33" s="72">
        <f t="shared" ca="1" si="47"/>
        <v>0</v>
      </c>
      <c r="AH33" s="72">
        <f t="shared" ca="1" si="47"/>
        <v>0</v>
      </c>
      <c r="AI33" s="72">
        <f t="shared" ca="1" si="47"/>
        <v>0</v>
      </c>
      <c r="AJ33" s="72">
        <f t="shared" ca="1" si="47"/>
        <v>0</v>
      </c>
      <c r="AK33" s="72">
        <f t="shared" ca="1" si="47"/>
        <v>0</v>
      </c>
      <c r="AL33" s="72">
        <f t="shared" ca="1" si="47"/>
        <v>0</v>
      </c>
      <c r="AM33" s="72">
        <f t="shared" ca="1" si="47"/>
        <v>0</v>
      </c>
      <c r="AN33" s="72">
        <f t="shared" ca="1" si="47"/>
        <v>0</v>
      </c>
      <c r="AO33" s="72">
        <f t="shared" ca="1" si="47"/>
        <v>0</v>
      </c>
      <c r="AP33" s="72">
        <f t="shared" ca="1" si="47"/>
        <v>0</v>
      </c>
      <c r="AQ33" s="72">
        <f t="shared" ca="1" si="47"/>
        <v>0</v>
      </c>
      <c r="AR33" s="72">
        <f t="shared" ca="1" si="47"/>
        <v>0</v>
      </c>
      <c r="AS33" s="72">
        <f t="shared" ca="1" si="47"/>
        <v>0</v>
      </c>
      <c r="AT33" s="72">
        <f t="shared" ca="1" si="47"/>
        <v>0</v>
      </c>
      <c r="AU33" s="72">
        <f t="shared" ca="1" si="47"/>
        <v>0</v>
      </c>
      <c r="AV33" s="72">
        <f t="shared" ca="1" si="47"/>
        <v>0</v>
      </c>
      <c r="AW33" s="72">
        <f t="shared" ca="1" si="47"/>
        <v>0</v>
      </c>
      <c r="AX33" s="72">
        <f t="shared" ca="1" si="47"/>
        <v>0</v>
      </c>
      <c r="AY33" s="72">
        <f t="shared" ca="1" si="47"/>
        <v>0</v>
      </c>
      <c r="AZ33" s="72">
        <f t="shared" ca="1" si="47"/>
        <v>0</v>
      </c>
      <c r="BA33" s="72">
        <f t="shared" ca="1" si="47"/>
        <v>0</v>
      </c>
      <c r="BB33" s="72">
        <f t="shared" ca="1" si="47"/>
        <v>0</v>
      </c>
      <c r="BC33" s="72">
        <f t="shared" ca="1" si="47"/>
        <v>0</v>
      </c>
      <c r="BD33" s="72">
        <f t="shared" ca="1" si="47"/>
        <v>0</v>
      </c>
      <c r="BE33" s="72">
        <f t="shared" ca="1" si="47"/>
        <v>0</v>
      </c>
      <c r="BF33" s="72">
        <f t="shared" ca="1" si="47"/>
        <v>0</v>
      </c>
      <c r="BG33" s="72">
        <f t="shared" ca="1" si="47"/>
        <v>0</v>
      </c>
      <c r="BH33" s="72">
        <f t="shared" ca="1" si="47"/>
        <v>0</v>
      </c>
      <c r="BI33" s="72">
        <f t="shared" ca="1" si="47"/>
        <v>0</v>
      </c>
      <c r="BJ33" s="72">
        <f t="shared" ca="1" si="47"/>
        <v>0</v>
      </c>
      <c r="BK33" s="72">
        <f t="shared" ca="1" si="47"/>
        <v>0</v>
      </c>
      <c r="BL33" s="72">
        <f t="shared" ca="1" si="47"/>
        <v>0</v>
      </c>
      <c r="BM33" s="72">
        <f t="shared" ca="1" si="47"/>
        <v>0</v>
      </c>
      <c r="BN33" s="72">
        <f t="shared" ca="1" si="47"/>
        <v>0</v>
      </c>
      <c r="BO33" s="72">
        <f t="shared" ca="1" si="47"/>
        <v>0</v>
      </c>
      <c r="BP33" s="72">
        <f t="shared" ca="1" si="47"/>
        <v>0</v>
      </c>
      <c r="BQ33" s="72">
        <f t="shared" ref="BQ33:EB33" ca="1" si="48">SUM(BQ30:BQ31)</f>
        <v>0</v>
      </c>
      <c r="BR33" s="72">
        <f t="shared" ca="1" si="48"/>
        <v>0</v>
      </c>
      <c r="BS33" s="72">
        <f t="shared" ca="1" si="48"/>
        <v>0</v>
      </c>
      <c r="BT33" s="72">
        <f t="shared" ca="1" si="48"/>
        <v>0</v>
      </c>
      <c r="BU33" s="72">
        <f t="shared" ca="1" si="48"/>
        <v>0</v>
      </c>
      <c r="BV33" s="72">
        <f t="shared" ca="1" si="48"/>
        <v>0</v>
      </c>
      <c r="BW33" s="72">
        <f t="shared" ca="1" si="48"/>
        <v>0</v>
      </c>
      <c r="BX33" s="72">
        <f t="shared" ca="1" si="48"/>
        <v>0</v>
      </c>
      <c r="BY33" s="72">
        <f t="shared" ca="1" si="48"/>
        <v>0</v>
      </c>
      <c r="BZ33" s="72">
        <f t="shared" ca="1" si="48"/>
        <v>0</v>
      </c>
      <c r="CA33" s="72">
        <f t="shared" ca="1" si="48"/>
        <v>0</v>
      </c>
      <c r="CB33" s="72">
        <f t="shared" ca="1" si="48"/>
        <v>0</v>
      </c>
      <c r="CC33" s="72">
        <f t="shared" ca="1" si="48"/>
        <v>0</v>
      </c>
      <c r="CD33" s="72">
        <f t="shared" ca="1" si="48"/>
        <v>0</v>
      </c>
      <c r="CE33" s="72">
        <f t="shared" ca="1" si="48"/>
        <v>0</v>
      </c>
      <c r="CF33" s="72">
        <f t="shared" ca="1" si="48"/>
        <v>0</v>
      </c>
      <c r="CG33" s="72">
        <f t="shared" ca="1" si="48"/>
        <v>0</v>
      </c>
      <c r="CH33" s="72">
        <f t="shared" ca="1" si="48"/>
        <v>0</v>
      </c>
      <c r="CI33" s="72">
        <f t="shared" ca="1" si="48"/>
        <v>0</v>
      </c>
      <c r="CJ33" s="72">
        <f t="shared" ca="1" si="48"/>
        <v>0</v>
      </c>
      <c r="CK33" s="72">
        <f t="shared" ca="1" si="48"/>
        <v>0</v>
      </c>
      <c r="CL33" s="72">
        <f t="shared" ca="1" si="48"/>
        <v>0</v>
      </c>
      <c r="CM33" s="72">
        <f t="shared" ca="1" si="48"/>
        <v>0</v>
      </c>
      <c r="CN33" s="72">
        <f t="shared" ca="1" si="48"/>
        <v>0</v>
      </c>
      <c r="CO33" s="72">
        <f t="shared" ca="1" si="48"/>
        <v>0</v>
      </c>
      <c r="CP33" s="72">
        <f t="shared" ca="1" si="48"/>
        <v>0</v>
      </c>
      <c r="CQ33" s="72">
        <f t="shared" ca="1" si="48"/>
        <v>0</v>
      </c>
      <c r="CR33" s="72">
        <f t="shared" ca="1" si="48"/>
        <v>0</v>
      </c>
      <c r="CS33" s="72">
        <f t="shared" ca="1" si="48"/>
        <v>0</v>
      </c>
      <c r="CT33" s="72">
        <f t="shared" ca="1" si="48"/>
        <v>0</v>
      </c>
      <c r="CU33" s="72">
        <f t="shared" ca="1" si="48"/>
        <v>0</v>
      </c>
      <c r="CV33" s="72">
        <f t="shared" ca="1" si="48"/>
        <v>0</v>
      </c>
      <c r="CW33" s="72">
        <f t="shared" ca="1" si="48"/>
        <v>0</v>
      </c>
      <c r="CX33" s="72">
        <f t="shared" ca="1" si="48"/>
        <v>0</v>
      </c>
      <c r="CY33" s="72">
        <f t="shared" ca="1" si="48"/>
        <v>0</v>
      </c>
      <c r="CZ33" s="72">
        <f t="shared" ca="1" si="48"/>
        <v>0</v>
      </c>
      <c r="DA33" s="72">
        <f t="shared" ca="1" si="48"/>
        <v>0</v>
      </c>
      <c r="DB33" s="72">
        <f t="shared" ca="1" si="48"/>
        <v>0</v>
      </c>
      <c r="DC33" s="72">
        <f t="shared" ca="1" si="48"/>
        <v>0</v>
      </c>
      <c r="DD33" s="72">
        <f t="shared" ca="1" si="48"/>
        <v>0</v>
      </c>
      <c r="DE33" s="72">
        <f t="shared" ca="1" si="48"/>
        <v>0</v>
      </c>
      <c r="DF33" s="72">
        <f t="shared" ca="1" si="48"/>
        <v>0</v>
      </c>
      <c r="DG33" s="72">
        <f t="shared" ca="1" si="48"/>
        <v>0</v>
      </c>
      <c r="DH33" s="72">
        <f t="shared" ca="1" si="48"/>
        <v>0</v>
      </c>
      <c r="DI33" s="72">
        <f t="shared" ca="1" si="48"/>
        <v>0</v>
      </c>
      <c r="DJ33" s="72">
        <f t="shared" ca="1" si="48"/>
        <v>0</v>
      </c>
      <c r="DK33" s="72">
        <f t="shared" ca="1" si="48"/>
        <v>0</v>
      </c>
      <c r="DL33" s="72">
        <f t="shared" ca="1" si="48"/>
        <v>0</v>
      </c>
      <c r="DM33" s="72">
        <f t="shared" ca="1" si="48"/>
        <v>0</v>
      </c>
      <c r="DN33" s="72">
        <f t="shared" ca="1" si="48"/>
        <v>0</v>
      </c>
      <c r="DO33" s="72">
        <f t="shared" ca="1" si="48"/>
        <v>0</v>
      </c>
      <c r="DP33" s="72">
        <f t="shared" ca="1" si="48"/>
        <v>0</v>
      </c>
      <c r="DQ33" s="72">
        <f t="shared" ca="1" si="48"/>
        <v>0</v>
      </c>
      <c r="DR33" s="72">
        <f t="shared" ca="1" si="48"/>
        <v>0</v>
      </c>
      <c r="DS33" s="72">
        <f t="shared" ca="1" si="48"/>
        <v>0</v>
      </c>
      <c r="DT33" s="72">
        <f t="shared" ca="1" si="48"/>
        <v>0</v>
      </c>
      <c r="DU33" s="72">
        <f t="shared" ca="1" si="48"/>
        <v>0</v>
      </c>
      <c r="DV33" s="72">
        <f t="shared" ca="1" si="48"/>
        <v>0</v>
      </c>
      <c r="DW33" s="72">
        <f t="shared" ca="1" si="48"/>
        <v>0</v>
      </c>
      <c r="DX33" s="72">
        <f t="shared" ca="1" si="48"/>
        <v>0</v>
      </c>
      <c r="DY33" s="72">
        <f t="shared" ca="1" si="48"/>
        <v>0</v>
      </c>
      <c r="DZ33" s="72">
        <f t="shared" ca="1" si="48"/>
        <v>0</v>
      </c>
      <c r="EA33" s="72">
        <f t="shared" ca="1" si="48"/>
        <v>0</v>
      </c>
      <c r="EB33" s="72">
        <f t="shared" ca="1" si="48"/>
        <v>0</v>
      </c>
      <c r="EC33" s="72">
        <f t="shared" ref="EC33:EE33" ca="1" si="49">SUM(EC30:EC31)</f>
        <v>0</v>
      </c>
      <c r="ED33" s="72">
        <f t="shared" ca="1" si="49"/>
        <v>0</v>
      </c>
      <c r="EE33" s="73">
        <f t="shared" ca="1" si="49"/>
        <v>0</v>
      </c>
    </row>
    <row r="34" spans="1:135" x14ac:dyDescent="0.15">
      <c r="B34" s="7" t="s">
        <v>52</v>
      </c>
      <c r="C34" s="69">
        <f>IF(C25&lt;0,C25*$C$8,0)</f>
        <v>-867500</v>
      </c>
      <c r="D34" s="69">
        <f>IF(D25&lt;0,D25*$C$8,0)</f>
        <v>0</v>
      </c>
      <c r="E34" s="69">
        <f t="shared" ref="E34:BP34" si="50">IF(E25&lt;0,E25*$C$8,0)</f>
        <v>0</v>
      </c>
      <c r="F34" s="69">
        <f t="shared" si="50"/>
        <v>0</v>
      </c>
      <c r="G34" s="69">
        <f t="shared" si="50"/>
        <v>0</v>
      </c>
      <c r="H34" s="69">
        <f t="shared" si="50"/>
        <v>0</v>
      </c>
      <c r="I34" s="69">
        <f t="shared" si="50"/>
        <v>0</v>
      </c>
      <c r="J34" s="69">
        <f t="shared" si="50"/>
        <v>0</v>
      </c>
      <c r="K34" s="69">
        <f t="shared" si="50"/>
        <v>0</v>
      </c>
      <c r="L34" s="69">
        <f t="shared" si="50"/>
        <v>0</v>
      </c>
      <c r="M34" s="69">
        <f t="shared" si="50"/>
        <v>0</v>
      </c>
      <c r="N34" s="69">
        <f t="shared" si="50"/>
        <v>0</v>
      </c>
      <c r="O34" s="69">
        <f t="shared" si="50"/>
        <v>0</v>
      </c>
      <c r="P34" s="69">
        <f t="shared" si="50"/>
        <v>0</v>
      </c>
      <c r="Q34" s="69">
        <f t="shared" si="50"/>
        <v>0</v>
      </c>
      <c r="R34" s="69">
        <f t="shared" si="50"/>
        <v>0</v>
      </c>
      <c r="S34" s="69">
        <f t="shared" si="50"/>
        <v>0</v>
      </c>
      <c r="T34" s="69">
        <f t="shared" si="50"/>
        <v>0</v>
      </c>
      <c r="U34" s="69">
        <f t="shared" si="50"/>
        <v>0</v>
      </c>
      <c r="V34" s="69">
        <f t="shared" si="50"/>
        <v>0</v>
      </c>
      <c r="W34" s="69">
        <f t="shared" si="50"/>
        <v>0</v>
      </c>
      <c r="X34" s="69">
        <f t="shared" si="50"/>
        <v>0</v>
      </c>
      <c r="Y34" s="69">
        <f t="shared" si="50"/>
        <v>0</v>
      </c>
      <c r="Z34" s="69">
        <f t="shared" si="50"/>
        <v>0</v>
      </c>
      <c r="AA34" s="69">
        <f t="shared" si="50"/>
        <v>0</v>
      </c>
      <c r="AB34" s="69">
        <f t="shared" si="50"/>
        <v>0</v>
      </c>
      <c r="AC34" s="69">
        <f t="shared" si="50"/>
        <v>0</v>
      </c>
      <c r="AD34" s="69">
        <f t="shared" si="50"/>
        <v>0</v>
      </c>
      <c r="AE34" s="69">
        <f t="shared" si="50"/>
        <v>0</v>
      </c>
      <c r="AF34" s="69">
        <f t="shared" si="50"/>
        <v>0</v>
      </c>
      <c r="AG34" s="69">
        <f t="shared" si="50"/>
        <v>0</v>
      </c>
      <c r="AH34" s="69">
        <f t="shared" si="50"/>
        <v>0</v>
      </c>
      <c r="AI34" s="69">
        <f t="shared" si="50"/>
        <v>0</v>
      </c>
      <c r="AJ34" s="69">
        <f t="shared" si="50"/>
        <v>0</v>
      </c>
      <c r="AK34" s="69">
        <f t="shared" si="50"/>
        <v>0</v>
      </c>
      <c r="AL34" s="69">
        <f t="shared" si="50"/>
        <v>0</v>
      </c>
      <c r="AM34" s="69">
        <f t="shared" si="50"/>
        <v>0</v>
      </c>
      <c r="AN34" s="69">
        <f t="shared" si="50"/>
        <v>0</v>
      </c>
      <c r="AO34" s="69">
        <f t="shared" si="50"/>
        <v>0</v>
      </c>
      <c r="AP34" s="69">
        <f t="shared" si="50"/>
        <v>0</v>
      </c>
      <c r="AQ34" s="69">
        <f t="shared" si="50"/>
        <v>0</v>
      </c>
      <c r="AR34" s="69">
        <f t="shared" si="50"/>
        <v>0</v>
      </c>
      <c r="AS34" s="69">
        <f t="shared" si="50"/>
        <v>0</v>
      </c>
      <c r="AT34" s="69">
        <f t="shared" si="50"/>
        <v>0</v>
      </c>
      <c r="AU34" s="69">
        <f t="shared" si="50"/>
        <v>0</v>
      </c>
      <c r="AV34" s="69">
        <f t="shared" si="50"/>
        <v>0</v>
      </c>
      <c r="AW34" s="69">
        <f t="shared" si="50"/>
        <v>0</v>
      </c>
      <c r="AX34" s="69">
        <f t="shared" si="50"/>
        <v>0</v>
      </c>
      <c r="AY34" s="69">
        <f t="shared" si="50"/>
        <v>0</v>
      </c>
      <c r="AZ34" s="69">
        <f t="shared" si="50"/>
        <v>0</v>
      </c>
      <c r="BA34" s="69">
        <f t="shared" si="50"/>
        <v>0</v>
      </c>
      <c r="BB34" s="69">
        <f t="shared" si="50"/>
        <v>0</v>
      </c>
      <c r="BC34" s="69">
        <f t="shared" si="50"/>
        <v>0</v>
      </c>
      <c r="BD34" s="69">
        <f t="shared" si="50"/>
        <v>0</v>
      </c>
      <c r="BE34" s="69">
        <f t="shared" si="50"/>
        <v>0</v>
      </c>
      <c r="BF34" s="69">
        <f t="shared" si="50"/>
        <v>0</v>
      </c>
      <c r="BG34" s="69">
        <f t="shared" si="50"/>
        <v>0</v>
      </c>
      <c r="BH34" s="69">
        <f t="shared" si="50"/>
        <v>0</v>
      </c>
      <c r="BI34" s="69">
        <f t="shared" si="50"/>
        <v>0</v>
      </c>
      <c r="BJ34" s="69">
        <f t="shared" si="50"/>
        <v>0</v>
      </c>
      <c r="BK34" s="69">
        <f t="shared" si="50"/>
        <v>0</v>
      </c>
      <c r="BL34" s="69">
        <f t="shared" si="50"/>
        <v>0</v>
      </c>
      <c r="BM34" s="69">
        <f t="shared" si="50"/>
        <v>0</v>
      </c>
      <c r="BN34" s="69">
        <f t="shared" si="50"/>
        <v>0</v>
      </c>
      <c r="BO34" s="69">
        <f t="shared" si="50"/>
        <v>0</v>
      </c>
      <c r="BP34" s="69">
        <f t="shared" si="50"/>
        <v>0</v>
      </c>
      <c r="BQ34" s="69">
        <f t="shared" ref="BQ34:EB34" si="51">IF(BQ25&lt;0,BQ25*$C$8,0)</f>
        <v>0</v>
      </c>
      <c r="BR34" s="69">
        <f t="shared" si="51"/>
        <v>0</v>
      </c>
      <c r="BS34" s="69">
        <f t="shared" si="51"/>
        <v>0</v>
      </c>
      <c r="BT34" s="69">
        <f t="shared" si="51"/>
        <v>0</v>
      </c>
      <c r="BU34" s="69">
        <f t="shared" si="51"/>
        <v>0</v>
      </c>
      <c r="BV34" s="69">
        <f t="shared" si="51"/>
        <v>0</v>
      </c>
      <c r="BW34" s="69">
        <f t="shared" si="51"/>
        <v>0</v>
      </c>
      <c r="BX34" s="69">
        <f t="shared" si="51"/>
        <v>0</v>
      </c>
      <c r="BY34" s="69">
        <f t="shared" si="51"/>
        <v>0</v>
      </c>
      <c r="BZ34" s="69">
        <f t="shared" si="51"/>
        <v>0</v>
      </c>
      <c r="CA34" s="69">
        <f t="shared" si="51"/>
        <v>0</v>
      </c>
      <c r="CB34" s="69">
        <f t="shared" si="51"/>
        <v>0</v>
      </c>
      <c r="CC34" s="69">
        <f t="shared" si="51"/>
        <v>0</v>
      </c>
      <c r="CD34" s="69">
        <f t="shared" si="51"/>
        <v>0</v>
      </c>
      <c r="CE34" s="69">
        <f t="shared" si="51"/>
        <v>0</v>
      </c>
      <c r="CF34" s="69">
        <f t="shared" si="51"/>
        <v>0</v>
      </c>
      <c r="CG34" s="69">
        <f t="shared" si="51"/>
        <v>0</v>
      </c>
      <c r="CH34" s="69">
        <f t="shared" si="51"/>
        <v>0</v>
      </c>
      <c r="CI34" s="69">
        <f t="shared" si="51"/>
        <v>0</v>
      </c>
      <c r="CJ34" s="69">
        <f t="shared" si="51"/>
        <v>0</v>
      </c>
      <c r="CK34" s="69">
        <f t="shared" si="51"/>
        <v>0</v>
      </c>
      <c r="CL34" s="69">
        <f t="shared" si="51"/>
        <v>0</v>
      </c>
      <c r="CM34" s="69">
        <f t="shared" si="51"/>
        <v>0</v>
      </c>
      <c r="CN34" s="69">
        <f t="shared" si="51"/>
        <v>0</v>
      </c>
      <c r="CO34" s="69">
        <f t="shared" si="51"/>
        <v>0</v>
      </c>
      <c r="CP34" s="69">
        <f t="shared" si="51"/>
        <v>0</v>
      </c>
      <c r="CQ34" s="69">
        <f t="shared" si="51"/>
        <v>0</v>
      </c>
      <c r="CR34" s="69">
        <f t="shared" si="51"/>
        <v>0</v>
      </c>
      <c r="CS34" s="69">
        <f t="shared" si="51"/>
        <v>0</v>
      </c>
      <c r="CT34" s="69">
        <f t="shared" si="51"/>
        <v>0</v>
      </c>
      <c r="CU34" s="69">
        <f t="shared" si="51"/>
        <v>0</v>
      </c>
      <c r="CV34" s="69">
        <f t="shared" si="51"/>
        <v>0</v>
      </c>
      <c r="CW34" s="69">
        <f t="shared" si="51"/>
        <v>0</v>
      </c>
      <c r="CX34" s="69">
        <f t="shared" si="51"/>
        <v>0</v>
      </c>
      <c r="CY34" s="69">
        <f t="shared" si="51"/>
        <v>0</v>
      </c>
      <c r="CZ34" s="69">
        <f t="shared" si="51"/>
        <v>0</v>
      </c>
      <c r="DA34" s="69">
        <f t="shared" si="51"/>
        <v>0</v>
      </c>
      <c r="DB34" s="69">
        <f t="shared" si="51"/>
        <v>0</v>
      </c>
      <c r="DC34" s="69">
        <f t="shared" si="51"/>
        <v>0</v>
      </c>
      <c r="DD34" s="69">
        <f t="shared" si="51"/>
        <v>0</v>
      </c>
      <c r="DE34" s="69">
        <f t="shared" si="51"/>
        <v>0</v>
      </c>
      <c r="DF34" s="69">
        <f t="shared" si="51"/>
        <v>0</v>
      </c>
      <c r="DG34" s="69">
        <f t="shared" si="51"/>
        <v>0</v>
      </c>
      <c r="DH34" s="69">
        <f t="shared" si="51"/>
        <v>0</v>
      </c>
      <c r="DI34" s="69">
        <f t="shared" si="51"/>
        <v>0</v>
      </c>
      <c r="DJ34" s="69">
        <f t="shared" si="51"/>
        <v>0</v>
      </c>
      <c r="DK34" s="69">
        <f t="shared" si="51"/>
        <v>0</v>
      </c>
      <c r="DL34" s="69">
        <f t="shared" si="51"/>
        <v>0</v>
      </c>
      <c r="DM34" s="69">
        <f t="shared" si="51"/>
        <v>0</v>
      </c>
      <c r="DN34" s="69">
        <f t="shared" si="51"/>
        <v>0</v>
      </c>
      <c r="DO34" s="69">
        <f t="shared" si="51"/>
        <v>0</v>
      </c>
      <c r="DP34" s="69">
        <f t="shared" si="51"/>
        <v>0</v>
      </c>
      <c r="DQ34" s="69">
        <f t="shared" si="51"/>
        <v>0</v>
      </c>
      <c r="DR34" s="69">
        <f t="shared" si="51"/>
        <v>0</v>
      </c>
      <c r="DS34" s="69">
        <f t="shared" si="51"/>
        <v>0</v>
      </c>
      <c r="DT34" s="69">
        <f t="shared" si="51"/>
        <v>0</v>
      </c>
      <c r="DU34" s="69">
        <f t="shared" si="51"/>
        <v>0</v>
      </c>
      <c r="DV34" s="69">
        <f t="shared" si="51"/>
        <v>0</v>
      </c>
      <c r="DW34" s="69">
        <f t="shared" si="51"/>
        <v>0</v>
      </c>
      <c r="DX34" s="69">
        <f t="shared" si="51"/>
        <v>0</v>
      </c>
      <c r="DY34" s="69">
        <f t="shared" si="51"/>
        <v>0</v>
      </c>
      <c r="DZ34" s="69">
        <f t="shared" si="51"/>
        <v>0</v>
      </c>
      <c r="EA34" s="69">
        <f t="shared" si="51"/>
        <v>0</v>
      </c>
      <c r="EB34" s="69">
        <f t="shared" si="51"/>
        <v>0</v>
      </c>
      <c r="EC34" s="69">
        <f t="shared" ref="EC34:EE34" si="52">IF(EC25&lt;0,EC25*$C$8,0)</f>
        <v>0</v>
      </c>
      <c r="ED34" s="69">
        <f t="shared" si="52"/>
        <v>0</v>
      </c>
      <c r="EE34" s="70">
        <f t="shared" si="52"/>
        <v>0</v>
      </c>
    </row>
    <row r="35" spans="1:135" x14ac:dyDescent="0.15">
      <c r="A35" s="52" t="s">
        <v>51</v>
      </c>
      <c r="B35" s="7" t="s">
        <v>53</v>
      </c>
      <c r="C35" s="69">
        <v>0</v>
      </c>
      <c r="D35" s="69">
        <f ca="1">(D31/$F$2)*$E$2</f>
        <v>7003.1018791834467</v>
      </c>
      <c r="E35" s="69">
        <f t="shared" ref="E35:BP35" ca="1" si="53">(E31/$F$2)*$E$2</f>
        <v>7044.2063753885086</v>
      </c>
      <c r="F35" s="69">
        <f t="shared" ca="1" si="53"/>
        <v>7085.4122463700596</v>
      </c>
      <c r="G35" s="69">
        <f t="shared" ca="1" si="53"/>
        <v>7126.7197421456603</v>
      </c>
      <c r="H35" s="69">
        <f t="shared" ca="1" si="53"/>
        <v>7168.1291133494633</v>
      </c>
      <c r="I35" s="69">
        <f t="shared" ca="1" si="53"/>
        <v>7209.64061123375</v>
      </c>
      <c r="J35" s="69">
        <f t="shared" ca="1" si="53"/>
        <v>7251.2544876704778</v>
      </c>
      <c r="K35" s="69">
        <f t="shared" ca="1" si="53"/>
        <v>7292.9709951527657</v>
      </c>
      <c r="L35" s="69">
        <f t="shared" ca="1" si="53"/>
        <v>7334.7903867964678</v>
      </c>
      <c r="M35" s="69">
        <f t="shared" ca="1" si="53"/>
        <v>7376.7129163416721</v>
      </c>
      <c r="N35" s="69">
        <f t="shared" ca="1" si="53"/>
        <v>7418.7388381542742</v>
      </c>
      <c r="O35" s="69">
        <f t="shared" ca="1" si="53"/>
        <v>7460.8684072274982</v>
      </c>
      <c r="P35" s="69">
        <f t="shared" ca="1" si="53"/>
        <v>7503.1018791834431</v>
      </c>
      <c r="Q35" s="69">
        <f t="shared" ca="1" si="53"/>
        <v>7545.4395102746566</v>
      </c>
      <c r="R35" s="69">
        <f t="shared" ca="1" si="53"/>
        <v>7587.8815573856591</v>
      </c>
      <c r="S35" s="69">
        <f t="shared" ca="1" si="53"/>
        <v>7630.4282780345311</v>
      </c>
      <c r="T35" s="69">
        <f t="shared" ca="1" si="53"/>
        <v>7673.0799303744443</v>
      </c>
      <c r="U35" s="69">
        <f t="shared" ca="1" si="53"/>
        <v>7715.8367731952603</v>
      </c>
      <c r="V35" s="69">
        <f t="shared" ca="1" si="53"/>
        <v>7758.6990659250914</v>
      </c>
      <c r="W35" s="69">
        <f t="shared" ca="1" si="53"/>
        <v>7801.6670686318466</v>
      </c>
      <c r="X35" s="69">
        <f t="shared" ca="1" si="53"/>
        <v>7844.7410420248598</v>
      </c>
      <c r="Y35" s="69">
        <f t="shared" ca="1" si="53"/>
        <v>7887.9212474564183</v>
      </c>
      <c r="Z35" s="69">
        <f t="shared" ca="1" si="53"/>
        <v>7931.2079469234004</v>
      </c>
      <c r="AA35" s="69">
        <f t="shared" ca="1" si="53"/>
        <v>895929.69584137469</v>
      </c>
      <c r="AB35" s="69">
        <f t="shared" ca="1" si="53"/>
        <v>0</v>
      </c>
      <c r="AC35" s="69">
        <f t="shared" ca="1" si="53"/>
        <v>0</v>
      </c>
      <c r="AD35" s="69">
        <f t="shared" ca="1" si="53"/>
        <v>0</v>
      </c>
      <c r="AE35" s="69">
        <f t="shared" ca="1" si="53"/>
        <v>0</v>
      </c>
      <c r="AF35" s="69">
        <f t="shared" ca="1" si="53"/>
        <v>0</v>
      </c>
      <c r="AG35" s="69">
        <f t="shared" ca="1" si="53"/>
        <v>0</v>
      </c>
      <c r="AH35" s="69">
        <f t="shared" ca="1" si="53"/>
        <v>0</v>
      </c>
      <c r="AI35" s="69">
        <f t="shared" ca="1" si="53"/>
        <v>0</v>
      </c>
      <c r="AJ35" s="69">
        <f t="shared" ca="1" si="53"/>
        <v>0</v>
      </c>
      <c r="AK35" s="69">
        <f t="shared" ca="1" si="53"/>
        <v>0</v>
      </c>
      <c r="AL35" s="69">
        <f t="shared" ca="1" si="53"/>
        <v>0</v>
      </c>
      <c r="AM35" s="69">
        <f t="shared" ca="1" si="53"/>
        <v>0</v>
      </c>
      <c r="AN35" s="69">
        <f t="shared" ca="1" si="53"/>
        <v>0</v>
      </c>
      <c r="AO35" s="69">
        <f t="shared" ca="1" si="53"/>
        <v>0</v>
      </c>
      <c r="AP35" s="69">
        <f t="shared" ca="1" si="53"/>
        <v>0</v>
      </c>
      <c r="AQ35" s="69">
        <f t="shared" ca="1" si="53"/>
        <v>0</v>
      </c>
      <c r="AR35" s="69">
        <f t="shared" ca="1" si="53"/>
        <v>0</v>
      </c>
      <c r="AS35" s="69">
        <f t="shared" ca="1" si="53"/>
        <v>0</v>
      </c>
      <c r="AT35" s="69">
        <f t="shared" ca="1" si="53"/>
        <v>0</v>
      </c>
      <c r="AU35" s="69">
        <f t="shared" ca="1" si="53"/>
        <v>0</v>
      </c>
      <c r="AV35" s="69">
        <f t="shared" ca="1" si="53"/>
        <v>0</v>
      </c>
      <c r="AW35" s="69">
        <f t="shared" ca="1" si="53"/>
        <v>0</v>
      </c>
      <c r="AX35" s="69">
        <f t="shared" ca="1" si="53"/>
        <v>0</v>
      </c>
      <c r="AY35" s="69">
        <f t="shared" ca="1" si="53"/>
        <v>0</v>
      </c>
      <c r="AZ35" s="69">
        <f t="shared" ca="1" si="53"/>
        <v>0</v>
      </c>
      <c r="BA35" s="69">
        <f t="shared" ca="1" si="53"/>
        <v>0</v>
      </c>
      <c r="BB35" s="69">
        <f t="shared" ca="1" si="53"/>
        <v>0</v>
      </c>
      <c r="BC35" s="69">
        <f t="shared" ca="1" si="53"/>
        <v>0</v>
      </c>
      <c r="BD35" s="69">
        <f t="shared" ca="1" si="53"/>
        <v>0</v>
      </c>
      <c r="BE35" s="69">
        <f t="shared" ca="1" si="53"/>
        <v>0</v>
      </c>
      <c r="BF35" s="69">
        <f t="shared" ca="1" si="53"/>
        <v>0</v>
      </c>
      <c r="BG35" s="69">
        <f t="shared" ca="1" si="53"/>
        <v>0</v>
      </c>
      <c r="BH35" s="69">
        <f t="shared" ca="1" si="53"/>
        <v>0</v>
      </c>
      <c r="BI35" s="69">
        <f t="shared" ca="1" si="53"/>
        <v>0</v>
      </c>
      <c r="BJ35" s="69">
        <f t="shared" ca="1" si="53"/>
        <v>0</v>
      </c>
      <c r="BK35" s="69">
        <f t="shared" ca="1" si="53"/>
        <v>0</v>
      </c>
      <c r="BL35" s="69">
        <f t="shared" ca="1" si="53"/>
        <v>0</v>
      </c>
      <c r="BM35" s="69">
        <f t="shared" ca="1" si="53"/>
        <v>0</v>
      </c>
      <c r="BN35" s="69">
        <f t="shared" ca="1" si="53"/>
        <v>0</v>
      </c>
      <c r="BO35" s="69">
        <f t="shared" ca="1" si="53"/>
        <v>0</v>
      </c>
      <c r="BP35" s="69">
        <f t="shared" ca="1" si="53"/>
        <v>0</v>
      </c>
      <c r="BQ35" s="69">
        <f t="shared" ref="BQ35:EB35" ca="1" si="54">(BQ31/$F$2)*$E$2</f>
        <v>0</v>
      </c>
      <c r="BR35" s="69">
        <f t="shared" ca="1" si="54"/>
        <v>0</v>
      </c>
      <c r="BS35" s="69">
        <f t="shared" ca="1" si="54"/>
        <v>0</v>
      </c>
      <c r="BT35" s="69">
        <f t="shared" ca="1" si="54"/>
        <v>0</v>
      </c>
      <c r="BU35" s="69">
        <f t="shared" ca="1" si="54"/>
        <v>0</v>
      </c>
      <c r="BV35" s="69">
        <f t="shared" ca="1" si="54"/>
        <v>0</v>
      </c>
      <c r="BW35" s="69">
        <f t="shared" ca="1" si="54"/>
        <v>0</v>
      </c>
      <c r="BX35" s="69">
        <f t="shared" ca="1" si="54"/>
        <v>0</v>
      </c>
      <c r="BY35" s="69">
        <f t="shared" ca="1" si="54"/>
        <v>0</v>
      </c>
      <c r="BZ35" s="69">
        <f t="shared" ca="1" si="54"/>
        <v>0</v>
      </c>
      <c r="CA35" s="69">
        <f t="shared" ca="1" si="54"/>
        <v>0</v>
      </c>
      <c r="CB35" s="69">
        <f t="shared" ca="1" si="54"/>
        <v>0</v>
      </c>
      <c r="CC35" s="69">
        <f t="shared" ca="1" si="54"/>
        <v>0</v>
      </c>
      <c r="CD35" s="69">
        <f t="shared" ca="1" si="54"/>
        <v>0</v>
      </c>
      <c r="CE35" s="69">
        <f t="shared" ca="1" si="54"/>
        <v>0</v>
      </c>
      <c r="CF35" s="69">
        <f t="shared" ca="1" si="54"/>
        <v>0</v>
      </c>
      <c r="CG35" s="69">
        <f t="shared" ca="1" si="54"/>
        <v>0</v>
      </c>
      <c r="CH35" s="69">
        <f t="shared" ca="1" si="54"/>
        <v>0</v>
      </c>
      <c r="CI35" s="69">
        <f t="shared" ca="1" si="54"/>
        <v>0</v>
      </c>
      <c r="CJ35" s="69">
        <f t="shared" ca="1" si="54"/>
        <v>0</v>
      </c>
      <c r="CK35" s="69">
        <f t="shared" ca="1" si="54"/>
        <v>0</v>
      </c>
      <c r="CL35" s="69">
        <f t="shared" ca="1" si="54"/>
        <v>0</v>
      </c>
      <c r="CM35" s="69">
        <f t="shared" ca="1" si="54"/>
        <v>0</v>
      </c>
      <c r="CN35" s="69">
        <f t="shared" ca="1" si="54"/>
        <v>0</v>
      </c>
      <c r="CO35" s="69">
        <f t="shared" ca="1" si="54"/>
        <v>0</v>
      </c>
      <c r="CP35" s="69">
        <f t="shared" ca="1" si="54"/>
        <v>0</v>
      </c>
      <c r="CQ35" s="69">
        <f t="shared" ca="1" si="54"/>
        <v>0</v>
      </c>
      <c r="CR35" s="69">
        <f t="shared" ca="1" si="54"/>
        <v>0</v>
      </c>
      <c r="CS35" s="69">
        <f t="shared" ca="1" si="54"/>
        <v>0</v>
      </c>
      <c r="CT35" s="69">
        <f t="shared" ca="1" si="54"/>
        <v>0</v>
      </c>
      <c r="CU35" s="69">
        <f t="shared" ca="1" si="54"/>
        <v>0</v>
      </c>
      <c r="CV35" s="69">
        <f t="shared" ca="1" si="54"/>
        <v>0</v>
      </c>
      <c r="CW35" s="69">
        <f t="shared" ca="1" si="54"/>
        <v>0</v>
      </c>
      <c r="CX35" s="69">
        <f t="shared" ca="1" si="54"/>
        <v>0</v>
      </c>
      <c r="CY35" s="69">
        <f t="shared" ca="1" si="54"/>
        <v>0</v>
      </c>
      <c r="CZ35" s="69">
        <f t="shared" ca="1" si="54"/>
        <v>0</v>
      </c>
      <c r="DA35" s="69">
        <f t="shared" ca="1" si="54"/>
        <v>0</v>
      </c>
      <c r="DB35" s="69">
        <f t="shared" ca="1" si="54"/>
        <v>0</v>
      </c>
      <c r="DC35" s="69">
        <f t="shared" ca="1" si="54"/>
        <v>0</v>
      </c>
      <c r="DD35" s="69">
        <f t="shared" ca="1" si="54"/>
        <v>0</v>
      </c>
      <c r="DE35" s="69">
        <f t="shared" ca="1" si="54"/>
        <v>0</v>
      </c>
      <c r="DF35" s="69">
        <f t="shared" ca="1" si="54"/>
        <v>0</v>
      </c>
      <c r="DG35" s="69">
        <f t="shared" ca="1" si="54"/>
        <v>0</v>
      </c>
      <c r="DH35" s="69">
        <f t="shared" ca="1" si="54"/>
        <v>0</v>
      </c>
      <c r="DI35" s="69">
        <f t="shared" ca="1" si="54"/>
        <v>0</v>
      </c>
      <c r="DJ35" s="69">
        <f t="shared" ca="1" si="54"/>
        <v>0</v>
      </c>
      <c r="DK35" s="69">
        <f t="shared" ca="1" si="54"/>
        <v>0</v>
      </c>
      <c r="DL35" s="69">
        <f t="shared" ca="1" si="54"/>
        <v>0</v>
      </c>
      <c r="DM35" s="69">
        <f t="shared" ca="1" si="54"/>
        <v>0</v>
      </c>
      <c r="DN35" s="69">
        <f t="shared" ca="1" si="54"/>
        <v>0</v>
      </c>
      <c r="DO35" s="69">
        <f t="shared" ca="1" si="54"/>
        <v>0</v>
      </c>
      <c r="DP35" s="69">
        <f t="shared" ca="1" si="54"/>
        <v>0</v>
      </c>
      <c r="DQ35" s="69">
        <f t="shared" ca="1" si="54"/>
        <v>0</v>
      </c>
      <c r="DR35" s="69">
        <f t="shared" ca="1" si="54"/>
        <v>0</v>
      </c>
      <c r="DS35" s="69">
        <f t="shared" ca="1" si="54"/>
        <v>0</v>
      </c>
      <c r="DT35" s="69">
        <f t="shared" ca="1" si="54"/>
        <v>0</v>
      </c>
      <c r="DU35" s="69">
        <f t="shared" ca="1" si="54"/>
        <v>0</v>
      </c>
      <c r="DV35" s="69">
        <f t="shared" ca="1" si="54"/>
        <v>0</v>
      </c>
      <c r="DW35" s="69">
        <f t="shared" ca="1" si="54"/>
        <v>0</v>
      </c>
      <c r="DX35" s="69">
        <f t="shared" ca="1" si="54"/>
        <v>0</v>
      </c>
      <c r="DY35" s="69">
        <f t="shared" ca="1" si="54"/>
        <v>0</v>
      </c>
      <c r="DZ35" s="69">
        <f t="shared" ca="1" si="54"/>
        <v>0</v>
      </c>
      <c r="EA35" s="69">
        <f t="shared" ca="1" si="54"/>
        <v>0</v>
      </c>
      <c r="EB35" s="69">
        <f t="shared" ca="1" si="54"/>
        <v>0</v>
      </c>
      <c r="EC35" s="69">
        <f t="shared" ref="EC35:EE35" ca="1" si="55">(EC31/$F$2)*$E$2</f>
        <v>0</v>
      </c>
      <c r="ED35" s="69">
        <f t="shared" ca="1" si="55"/>
        <v>0</v>
      </c>
      <c r="EE35" s="70">
        <f t="shared" ca="1" si="55"/>
        <v>0</v>
      </c>
    </row>
    <row r="36" spans="1:135" x14ac:dyDescent="0.15">
      <c r="A36" s="71">
        <f ca="1">IFERROR(XIRR(C36:EE36,$C$12:$EE$12),0)</f>
        <v>0.11999999880790704</v>
      </c>
      <c r="B36" s="55" t="s">
        <v>54</v>
      </c>
      <c r="C36" s="72">
        <f>SUM(C34:C35)</f>
        <v>-867500</v>
      </c>
      <c r="D36" s="72">
        <f ca="1">SUM(D34:D35)</f>
        <v>7003.1018791834467</v>
      </c>
      <c r="E36" s="72">
        <f t="shared" ref="E36:BP36" ca="1" si="56">SUM(E34:E35)</f>
        <v>7044.2063753885086</v>
      </c>
      <c r="F36" s="72">
        <f t="shared" ca="1" si="56"/>
        <v>7085.4122463700596</v>
      </c>
      <c r="G36" s="72">
        <f t="shared" ca="1" si="56"/>
        <v>7126.7197421456603</v>
      </c>
      <c r="H36" s="72">
        <f t="shared" ca="1" si="56"/>
        <v>7168.1291133494633</v>
      </c>
      <c r="I36" s="72">
        <f t="shared" ca="1" si="56"/>
        <v>7209.64061123375</v>
      </c>
      <c r="J36" s="72">
        <f t="shared" ca="1" si="56"/>
        <v>7251.2544876704778</v>
      </c>
      <c r="K36" s="72">
        <f t="shared" ca="1" si="56"/>
        <v>7292.9709951527657</v>
      </c>
      <c r="L36" s="72">
        <f t="shared" ca="1" si="56"/>
        <v>7334.7903867964678</v>
      </c>
      <c r="M36" s="72">
        <f t="shared" ca="1" si="56"/>
        <v>7376.7129163416721</v>
      </c>
      <c r="N36" s="72">
        <f t="shared" ca="1" si="56"/>
        <v>7418.7388381542742</v>
      </c>
      <c r="O36" s="72">
        <f t="shared" ca="1" si="56"/>
        <v>7460.8684072274982</v>
      </c>
      <c r="P36" s="72">
        <f t="shared" ca="1" si="56"/>
        <v>7503.1018791834431</v>
      </c>
      <c r="Q36" s="72">
        <f t="shared" ca="1" si="56"/>
        <v>7545.4395102746566</v>
      </c>
      <c r="R36" s="72">
        <f t="shared" ca="1" si="56"/>
        <v>7587.8815573856591</v>
      </c>
      <c r="S36" s="72">
        <f t="shared" ca="1" si="56"/>
        <v>7630.4282780345311</v>
      </c>
      <c r="T36" s="72">
        <f t="shared" ca="1" si="56"/>
        <v>7673.0799303744443</v>
      </c>
      <c r="U36" s="72">
        <f t="shared" ca="1" si="56"/>
        <v>7715.8367731952603</v>
      </c>
      <c r="V36" s="72">
        <f t="shared" ca="1" si="56"/>
        <v>7758.6990659250914</v>
      </c>
      <c r="W36" s="72">
        <f t="shared" ca="1" si="56"/>
        <v>7801.6670686318466</v>
      </c>
      <c r="X36" s="72">
        <f t="shared" ca="1" si="56"/>
        <v>7844.7410420248598</v>
      </c>
      <c r="Y36" s="72">
        <f t="shared" ca="1" si="56"/>
        <v>7887.9212474564183</v>
      </c>
      <c r="Z36" s="72">
        <f t="shared" ca="1" si="56"/>
        <v>7931.2079469234004</v>
      </c>
      <c r="AA36" s="72">
        <f t="shared" ca="1" si="56"/>
        <v>895929.69584137469</v>
      </c>
      <c r="AB36" s="72">
        <f t="shared" ca="1" si="56"/>
        <v>0</v>
      </c>
      <c r="AC36" s="72">
        <f t="shared" ca="1" si="56"/>
        <v>0</v>
      </c>
      <c r="AD36" s="72">
        <f t="shared" ca="1" si="56"/>
        <v>0</v>
      </c>
      <c r="AE36" s="72">
        <f t="shared" ca="1" si="56"/>
        <v>0</v>
      </c>
      <c r="AF36" s="72">
        <f t="shared" ca="1" si="56"/>
        <v>0</v>
      </c>
      <c r="AG36" s="72">
        <f t="shared" ca="1" si="56"/>
        <v>0</v>
      </c>
      <c r="AH36" s="72">
        <f t="shared" ca="1" si="56"/>
        <v>0</v>
      </c>
      <c r="AI36" s="72">
        <f t="shared" ca="1" si="56"/>
        <v>0</v>
      </c>
      <c r="AJ36" s="72">
        <f t="shared" ca="1" si="56"/>
        <v>0</v>
      </c>
      <c r="AK36" s="72">
        <f t="shared" ca="1" si="56"/>
        <v>0</v>
      </c>
      <c r="AL36" s="72">
        <f t="shared" ca="1" si="56"/>
        <v>0</v>
      </c>
      <c r="AM36" s="72">
        <f t="shared" ca="1" si="56"/>
        <v>0</v>
      </c>
      <c r="AN36" s="72">
        <f t="shared" ca="1" si="56"/>
        <v>0</v>
      </c>
      <c r="AO36" s="72">
        <f t="shared" ca="1" si="56"/>
        <v>0</v>
      </c>
      <c r="AP36" s="72">
        <f t="shared" ca="1" si="56"/>
        <v>0</v>
      </c>
      <c r="AQ36" s="72">
        <f t="shared" ca="1" si="56"/>
        <v>0</v>
      </c>
      <c r="AR36" s="72">
        <f t="shared" ca="1" si="56"/>
        <v>0</v>
      </c>
      <c r="AS36" s="72">
        <f t="shared" ca="1" si="56"/>
        <v>0</v>
      </c>
      <c r="AT36" s="72">
        <f t="shared" ca="1" si="56"/>
        <v>0</v>
      </c>
      <c r="AU36" s="72">
        <f t="shared" ca="1" si="56"/>
        <v>0</v>
      </c>
      <c r="AV36" s="72">
        <f t="shared" ca="1" si="56"/>
        <v>0</v>
      </c>
      <c r="AW36" s="72">
        <f t="shared" ca="1" si="56"/>
        <v>0</v>
      </c>
      <c r="AX36" s="72">
        <f t="shared" ca="1" si="56"/>
        <v>0</v>
      </c>
      <c r="AY36" s="72">
        <f t="shared" ca="1" si="56"/>
        <v>0</v>
      </c>
      <c r="AZ36" s="72">
        <f t="shared" ca="1" si="56"/>
        <v>0</v>
      </c>
      <c r="BA36" s="72">
        <f t="shared" ca="1" si="56"/>
        <v>0</v>
      </c>
      <c r="BB36" s="72">
        <f t="shared" ca="1" si="56"/>
        <v>0</v>
      </c>
      <c r="BC36" s="72">
        <f t="shared" ca="1" si="56"/>
        <v>0</v>
      </c>
      <c r="BD36" s="72">
        <f t="shared" ca="1" si="56"/>
        <v>0</v>
      </c>
      <c r="BE36" s="72">
        <f t="shared" ca="1" si="56"/>
        <v>0</v>
      </c>
      <c r="BF36" s="72">
        <f t="shared" ca="1" si="56"/>
        <v>0</v>
      </c>
      <c r="BG36" s="72">
        <f t="shared" ca="1" si="56"/>
        <v>0</v>
      </c>
      <c r="BH36" s="72">
        <f t="shared" ca="1" si="56"/>
        <v>0</v>
      </c>
      <c r="BI36" s="72">
        <f t="shared" ca="1" si="56"/>
        <v>0</v>
      </c>
      <c r="BJ36" s="72">
        <f t="shared" ca="1" si="56"/>
        <v>0</v>
      </c>
      <c r="BK36" s="72">
        <f t="shared" ca="1" si="56"/>
        <v>0</v>
      </c>
      <c r="BL36" s="72">
        <f t="shared" ca="1" si="56"/>
        <v>0</v>
      </c>
      <c r="BM36" s="72">
        <f t="shared" ca="1" si="56"/>
        <v>0</v>
      </c>
      <c r="BN36" s="72">
        <f t="shared" ca="1" si="56"/>
        <v>0</v>
      </c>
      <c r="BO36" s="72">
        <f t="shared" ca="1" si="56"/>
        <v>0</v>
      </c>
      <c r="BP36" s="72">
        <f t="shared" ca="1" si="56"/>
        <v>0</v>
      </c>
      <c r="BQ36" s="72">
        <f t="shared" ref="BQ36:EB36" ca="1" si="57">SUM(BQ34:BQ35)</f>
        <v>0</v>
      </c>
      <c r="BR36" s="72">
        <f t="shared" ca="1" si="57"/>
        <v>0</v>
      </c>
      <c r="BS36" s="72">
        <f t="shared" ca="1" si="57"/>
        <v>0</v>
      </c>
      <c r="BT36" s="72">
        <f t="shared" ca="1" si="57"/>
        <v>0</v>
      </c>
      <c r="BU36" s="72">
        <f t="shared" ca="1" si="57"/>
        <v>0</v>
      </c>
      <c r="BV36" s="72">
        <f t="shared" ca="1" si="57"/>
        <v>0</v>
      </c>
      <c r="BW36" s="72">
        <f t="shared" ca="1" si="57"/>
        <v>0</v>
      </c>
      <c r="BX36" s="72">
        <f t="shared" ca="1" si="57"/>
        <v>0</v>
      </c>
      <c r="BY36" s="72">
        <f t="shared" ca="1" si="57"/>
        <v>0</v>
      </c>
      <c r="BZ36" s="72">
        <f t="shared" ca="1" si="57"/>
        <v>0</v>
      </c>
      <c r="CA36" s="72">
        <f t="shared" ca="1" si="57"/>
        <v>0</v>
      </c>
      <c r="CB36" s="72">
        <f t="shared" ca="1" si="57"/>
        <v>0</v>
      </c>
      <c r="CC36" s="72">
        <f t="shared" ca="1" si="57"/>
        <v>0</v>
      </c>
      <c r="CD36" s="72">
        <f t="shared" ca="1" si="57"/>
        <v>0</v>
      </c>
      <c r="CE36" s="72">
        <f t="shared" ca="1" si="57"/>
        <v>0</v>
      </c>
      <c r="CF36" s="72">
        <f t="shared" ca="1" si="57"/>
        <v>0</v>
      </c>
      <c r="CG36" s="72">
        <f t="shared" ca="1" si="57"/>
        <v>0</v>
      </c>
      <c r="CH36" s="72">
        <f t="shared" ca="1" si="57"/>
        <v>0</v>
      </c>
      <c r="CI36" s="72">
        <f t="shared" ca="1" si="57"/>
        <v>0</v>
      </c>
      <c r="CJ36" s="72">
        <f t="shared" ca="1" si="57"/>
        <v>0</v>
      </c>
      <c r="CK36" s="72">
        <f t="shared" ca="1" si="57"/>
        <v>0</v>
      </c>
      <c r="CL36" s="72">
        <f t="shared" ca="1" si="57"/>
        <v>0</v>
      </c>
      <c r="CM36" s="72">
        <f t="shared" ca="1" si="57"/>
        <v>0</v>
      </c>
      <c r="CN36" s="72">
        <f t="shared" ca="1" si="57"/>
        <v>0</v>
      </c>
      <c r="CO36" s="72">
        <f t="shared" ca="1" si="57"/>
        <v>0</v>
      </c>
      <c r="CP36" s="72">
        <f t="shared" ca="1" si="57"/>
        <v>0</v>
      </c>
      <c r="CQ36" s="72">
        <f t="shared" ca="1" si="57"/>
        <v>0</v>
      </c>
      <c r="CR36" s="72">
        <f t="shared" ca="1" si="57"/>
        <v>0</v>
      </c>
      <c r="CS36" s="72">
        <f t="shared" ca="1" si="57"/>
        <v>0</v>
      </c>
      <c r="CT36" s="72">
        <f t="shared" ca="1" si="57"/>
        <v>0</v>
      </c>
      <c r="CU36" s="72">
        <f t="shared" ca="1" si="57"/>
        <v>0</v>
      </c>
      <c r="CV36" s="72">
        <f t="shared" ca="1" si="57"/>
        <v>0</v>
      </c>
      <c r="CW36" s="72">
        <f t="shared" ca="1" si="57"/>
        <v>0</v>
      </c>
      <c r="CX36" s="72">
        <f t="shared" ca="1" si="57"/>
        <v>0</v>
      </c>
      <c r="CY36" s="72">
        <f t="shared" ca="1" si="57"/>
        <v>0</v>
      </c>
      <c r="CZ36" s="72">
        <f t="shared" ca="1" si="57"/>
        <v>0</v>
      </c>
      <c r="DA36" s="72">
        <f t="shared" ca="1" si="57"/>
        <v>0</v>
      </c>
      <c r="DB36" s="72">
        <f t="shared" ca="1" si="57"/>
        <v>0</v>
      </c>
      <c r="DC36" s="72">
        <f t="shared" ca="1" si="57"/>
        <v>0</v>
      </c>
      <c r="DD36" s="72">
        <f t="shared" ca="1" si="57"/>
        <v>0</v>
      </c>
      <c r="DE36" s="72">
        <f t="shared" ca="1" si="57"/>
        <v>0</v>
      </c>
      <c r="DF36" s="72">
        <f t="shared" ca="1" si="57"/>
        <v>0</v>
      </c>
      <c r="DG36" s="72">
        <f t="shared" ca="1" si="57"/>
        <v>0</v>
      </c>
      <c r="DH36" s="72">
        <f t="shared" ca="1" si="57"/>
        <v>0</v>
      </c>
      <c r="DI36" s="72">
        <f t="shared" ca="1" si="57"/>
        <v>0</v>
      </c>
      <c r="DJ36" s="72">
        <f t="shared" ca="1" si="57"/>
        <v>0</v>
      </c>
      <c r="DK36" s="72">
        <f t="shared" ca="1" si="57"/>
        <v>0</v>
      </c>
      <c r="DL36" s="72">
        <f t="shared" ca="1" si="57"/>
        <v>0</v>
      </c>
      <c r="DM36" s="72">
        <f t="shared" ca="1" si="57"/>
        <v>0</v>
      </c>
      <c r="DN36" s="72">
        <f t="shared" ca="1" si="57"/>
        <v>0</v>
      </c>
      <c r="DO36" s="72">
        <f t="shared" ca="1" si="57"/>
        <v>0</v>
      </c>
      <c r="DP36" s="72">
        <f t="shared" ca="1" si="57"/>
        <v>0</v>
      </c>
      <c r="DQ36" s="72">
        <f t="shared" ca="1" si="57"/>
        <v>0</v>
      </c>
      <c r="DR36" s="72">
        <f t="shared" ca="1" si="57"/>
        <v>0</v>
      </c>
      <c r="DS36" s="72">
        <f t="shared" ca="1" si="57"/>
        <v>0</v>
      </c>
      <c r="DT36" s="72">
        <f t="shared" ca="1" si="57"/>
        <v>0</v>
      </c>
      <c r="DU36" s="72">
        <f t="shared" ca="1" si="57"/>
        <v>0</v>
      </c>
      <c r="DV36" s="72">
        <f t="shared" ca="1" si="57"/>
        <v>0</v>
      </c>
      <c r="DW36" s="72">
        <f t="shared" ca="1" si="57"/>
        <v>0</v>
      </c>
      <c r="DX36" s="72">
        <f t="shared" ca="1" si="57"/>
        <v>0</v>
      </c>
      <c r="DY36" s="72">
        <f t="shared" ca="1" si="57"/>
        <v>0</v>
      </c>
      <c r="DZ36" s="72">
        <f t="shared" ca="1" si="57"/>
        <v>0</v>
      </c>
      <c r="EA36" s="72">
        <f t="shared" ca="1" si="57"/>
        <v>0</v>
      </c>
      <c r="EB36" s="72">
        <f t="shared" ca="1" si="57"/>
        <v>0</v>
      </c>
      <c r="EC36" s="72">
        <f t="shared" ref="EC36:EE36" ca="1" si="58">SUM(EC34:EC35)</f>
        <v>0</v>
      </c>
      <c r="ED36" s="72">
        <f t="shared" ca="1" si="58"/>
        <v>0</v>
      </c>
      <c r="EE36" s="73">
        <f t="shared" ca="1" si="58"/>
        <v>0</v>
      </c>
    </row>
    <row r="37" spans="1:135" x14ac:dyDescent="0.15">
      <c r="B37" s="7" t="s">
        <v>55</v>
      </c>
      <c r="C37" s="69">
        <f>SUM(C31,C35)</f>
        <v>0</v>
      </c>
      <c r="D37" s="69">
        <f ca="1">SUM(D31,D35)</f>
        <v>70031.01879183446</v>
      </c>
      <c r="E37" s="69">
        <f t="shared" ref="E37:BP37" ca="1" si="59">SUM(E31,E35)</f>
        <v>70442.063753885086</v>
      </c>
      <c r="F37" s="69">
        <f t="shared" ca="1" si="59"/>
        <v>70854.122463700594</v>
      </c>
      <c r="G37" s="69">
        <f t="shared" ca="1" si="59"/>
        <v>71267.1974214566</v>
      </c>
      <c r="H37" s="69">
        <f t="shared" ca="1" si="59"/>
        <v>71681.291133494626</v>
      </c>
      <c r="I37" s="69">
        <f t="shared" ca="1" si="59"/>
        <v>72096.4061123375</v>
      </c>
      <c r="J37" s="69">
        <f t="shared" ca="1" si="59"/>
        <v>72512.544876704778</v>
      </c>
      <c r="K37" s="69">
        <f t="shared" ca="1" si="59"/>
        <v>72929.70995152765</v>
      </c>
      <c r="L37" s="69">
        <f t="shared" ca="1" si="59"/>
        <v>73347.903867964676</v>
      </c>
      <c r="M37" s="69">
        <f t="shared" ca="1" si="59"/>
        <v>73767.129163416714</v>
      </c>
      <c r="N37" s="69">
        <f t="shared" ca="1" si="59"/>
        <v>74187.38838154274</v>
      </c>
      <c r="O37" s="69">
        <f t="shared" ca="1" si="59"/>
        <v>74608.684072274977</v>
      </c>
      <c r="P37" s="69">
        <f t="shared" ca="1" si="59"/>
        <v>75031.018791834445</v>
      </c>
      <c r="Q37" s="69">
        <f t="shared" ca="1" si="59"/>
        <v>75454.395102746581</v>
      </c>
      <c r="R37" s="69">
        <f t="shared" ca="1" si="59"/>
        <v>75878.815573856584</v>
      </c>
      <c r="S37" s="69">
        <f t="shared" ca="1" si="59"/>
        <v>76304.282780345326</v>
      </c>
      <c r="T37" s="69">
        <f t="shared" ca="1" si="59"/>
        <v>76730.799303744439</v>
      </c>
      <c r="U37" s="69">
        <f t="shared" ca="1" si="59"/>
        <v>77158.367731952603</v>
      </c>
      <c r="V37" s="69">
        <f t="shared" ca="1" si="59"/>
        <v>77586.990659250907</v>
      </c>
      <c r="W37" s="69">
        <f t="shared" ca="1" si="59"/>
        <v>78016.670686318481</v>
      </c>
      <c r="X37" s="69">
        <f t="shared" ca="1" si="59"/>
        <v>78447.410420248591</v>
      </c>
      <c r="Y37" s="69">
        <f t="shared" ca="1" si="59"/>
        <v>78879.212474564178</v>
      </c>
      <c r="Z37" s="69">
        <f t="shared" ca="1" si="59"/>
        <v>79312.079469233999</v>
      </c>
      <c r="AA37" s="69">
        <f t="shared" ca="1" si="59"/>
        <v>8959296.9584137462</v>
      </c>
      <c r="AB37" s="69">
        <f t="shared" ca="1" si="59"/>
        <v>0</v>
      </c>
      <c r="AC37" s="69">
        <f t="shared" ca="1" si="59"/>
        <v>0</v>
      </c>
      <c r="AD37" s="69">
        <f t="shared" ca="1" si="59"/>
        <v>0</v>
      </c>
      <c r="AE37" s="69">
        <f t="shared" ca="1" si="59"/>
        <v>0</v>
      </c>
      <c r="AF37" s="69">
        <f t="shared" ca="1" si="59"/>
        <v>0</v>
      </c>
      <c r="AG37" s="69">
        <f t="shared" ca="1" si="59"/>
        <v>0</v>
      </c>
      <c r="AH37" s="69">
        <f t="shared" ca="1" si="59"/>
        <v>0</v>
      </c>
      <c r="AI37" s="69">
        <f t="shared" ca="1" si="59"/>
        <v>0</v>
      </c>
      <c r="AJ37" s="69">
        <f t="shared" ca="1" si="59"/>
        <v>0</v>
      </c>
      <c r="AK37" s="69">
        <f t="shared" ca="1" si="59"/>
        <v>0</v>
      </c>
      <c r="AL37" s="69">
        <f t="shared" ca="1" si="59"/>
        <v>0</v>
      </c>
      <c r="AM37" s="69">
        <f t="shared" ca="1" si="59"/>
        <v>0</v>
      </c>
      <c r="AN37" s="69">
        <f t="shared" ca="1" si="59"/>
        <v>0</v>
      </c>
      <c r="AO37" s="69">
        <f t="shared" ca="1" si="59"/>
        <v>0</v>
      </c>
      <c r="AP37" s="69">
        <f t="shared" ca="1" si="59"/>
        <v>0</v>
      </c>
      <c r="AQ37" s="69">
        <f t="shared" ca="1" si="59"/>
        <v>0</v>
      </c>
      <c r="AR37" s="69">
        <f t="shared" ca="1" si="59"/>
        <v>0</v>
      </c>
      <c r="AS37" s="69">
        <f t="shared" ca="1" si="59"/>
        <v>0</v>
      </c>
      <c r="AT37" s="69">
        <f t="shared" ca="1" si="59"/>
        <v>0</v>
      </c>
      <c r="AU37" s="69">
        <f t="shared" ca="1" si="59"/>
        <v>0</v>
      </c>
      <c r="AV37" s="69">
        <f t="shared" ca="1" si="59"/>
        <v>0</v>
      </c>
      <c r="AW37" s="69">
        <f t="shared" ca="1" si="59"/>
        <v>0</v>
      </c>
      <c r="AX37" s="69">
        <f t="shared" ca="1" si="59"/>
        <v>0</v>
      </c>
      <c r="AY37" s="69">
        <f t="shared" ca="1" si="59"/>
        <v>0</v>
      </c>
      <c r="AZ37" s="69">
        <f t="shared" ca="1" si="59"/>
        <v>0</v>
      </c>
      <c r="BA37" s="69">
        <f t="shared" ca="1" si="59"/>
        <v>0</v>
      </c>
      <c r="BB37" s="69">
        <f t="shared" ca="1" si="59"/>
        <v>0</v>
      </c>
      <c r="BC37" s="69">
        <f t="shared" ca="1" si="59"/>
        <v>0</v>
      </c>
      <c r="BD37" s="69">
        <f t="shared" ca="1" si="59"/>
        <v>0</v>
      </c>
      <c r="BE37" s="69">
        <f t="shared" ca="1" si="59"/>
        <v>0</v>
      </c>
      <c r="BF37" s="69">
        <f t="shared" ca="1" si="59"/>
        <v>0</v>
      </c>
      <c r="BG37" s="69">
        <f t="shared" ca="1" si="59"/>
        <v>0</v>
      </c>
      <c r="BH37" s="69">
        <f t="shared" ca="1" si="59"/>
        <v>0</v>
      </c>
      <c r="BI37" s="69">
        <f t="shared" ca="1" si="59"/>
        <v>0</v>
      </c>
      <c r="BJ37" s="69">
        <f t="shared" ca="1" si="59"/>
        <v>0</v>
      </c>
      <c r="BK37" s="69">
        <f t="shared" ca="1" si="59"/>
        <v>0</v>
      </c>
      <c r="BL37" s="69">
        <f t="shared" ca="1" si="59"/>
        <v>0</v>
      </c>
      <c r="BM37" s="69">
        <f t="shared" ca="1" si="59"/>
        <v>0</v>
      </c>
      <c r="BN37" s="69">
        <f t="shared" ca="1" si="59"/>
        <v>0</v>
      </c>
      <c r="BO37" s="69">
        <f t="shared" ca="1" si="59"/>
        <v>0</v>
      </c>
      <c r="BP37" s="69">
        <f t="shared" ca="1" si="59"/>
        <v>0</v>
      </c>
      <c r="BQ37" s="69">
        <f t="shared" ref="BQ37:EB37" ca="1" si="60">SUM(BQ31,BQ35)</f>
        <v>0</v>
      </c>
      <c r="BR37" s="69">
        <f t="shared" ca="1" si="60"/>
        <v>0</v>
      </c>
      <c r="BS37" s="69">
        <f t="shared" ca="1" si="60"/>
        <v>0</v>
      </c>
      <c r="BT37" s="69">
        <f t="shared" ca="1" si="60"/>
        <v>0</v>
      </c>
      <c r="BU37" s="69">
        <f t="shared" ca="1" si="60"/>
        <v>0</v>
      </c>
      <c r="BV37" s="69">
        <f t="shared" ca="1" si="60"/>
        <v>0</v>
      </c>
      <c r="BW37" s="69">
        <f t="shared" ca="1" si="60"/>
        <v>0</v>
      </c>
      <c r="BX37" s="69">
        <f t="shared" ca="1" si="60"/>
        <v>0</v>
      </c>
      <c r="BY37" s="69">
        <f t="shared" ca="1" si="60"/>
        <v>0</v>
      </c>
      <c r="BZ37" s="69">
        <f t="shared" ca="1" si="60"/>
        <v>0</v>
      </c>
      <c r="CA37" s="69">
        <f t="shared" ca="1" si="60"/>
        <v>0</v>
      </c>
      <c r="CB37" s="69">
        <f t="shared" ca="1" si="60"/>
        <v>0</v>
      </c>
      <c r="CC37" s="69">
        <f t="shared" ca="1" si="60"/>
        <v>0</v>
      </c>
      <c r="CD37" s="69">
        <f t="shared" ca="1" si="60"/>
        <v>0</v>
      </c>
      <c r="CE37" s="69">
        <f t="shared" ca="1" si="60"/>
        <v>0</v>
      </c>
      <c r="CF37" s="69">
        <f t="shared" ca="1" si="60"/>
        <v>0</v>
      </c>
      <c r="CG37" s="69">
        <f t="shared" ca="1" si="60"/>
        <v>0</v>
      </c>
      <c r="CH37" s="69">
        <f t="shared" ca="1" si="60"/>
        <v>0</v>
      </c>
      <c r="CI37" s="69">
        <f t="shared" ca="1" si="60"/>
        <v>0</v>
      </c>
      <c r="CJ37" s="69">
        <f t="shared" ca="1" si="60"/>
        <v>0</v>
      </c>
      <c r="CK37" s="69">
        <f t="shared" ca="1" si="60"/>
        <v>0</v>
      </c>
      <c r="CL37" s="69">
        <f t="shared" ca="1" si="60"/>
        <v>0</v>
      </c>
      <c r="CM37" s="69">
        <f t="shared" ca="1" si="60"/>
        <v>0</v>
      </c>
      <c r="CN37" s="69">
        <f t="shared" ca="1" si="60"/>
        <v>0</v>
      </c>
      <c r="CO37" s="69">
        <f t="shared" ca="1" si="60"/>
        <v>0</v>
      </c>
      <c r="CP37" s="69">
        <f t="shared" ca="1" si="60"/>
        <v>0</v>
      </c>
      <c r="CQ37" s="69">
        <f t="shared" ca="1" si="60"/>
        <v>0</v>
      </c>
      <c r="CR37" s="69">
        <f t="shared" ca="1" si="60"/>
        <v>0</v>
      </c>
      <c r="CS37" s="69">
        <f t="shared" ca="1" si="60"/>
        <v>0</v>
      </c>
      <c r="CT37" s="69">
        <f t="shared" ca="1" si="60"/>
        <v>0</v>
      </c>
      <c r="CU37" s="69">
        <f t="shared" ca="1" si="60"/>
        <v>0</v>
      </c>
      <c r="CV37" s="69">
        <f t="shared" ca="1" si="60"/>
        <v>0</v>
      </c>
      <c r="CW37" s="69">
        <f t="shared" ca="1" si="60"/>
        <v>0</v>
      </c>
      <c r="CX37" s="69">
        <f t="shared" ca="1" si="60"/>
        <v>0</v>
      </c>
      <c r="CY37" s="69">
        <f t="shared" ca="1" si="60"/>
        <v>0</v>
      </c>
      <c r="CZ37" s="69">
        <f t="shared" ca="1" si="60"/>
        <v>0</v>
      </c>
      <c r="DA37" s="69">
        <f t="shared" ca="1" si="60"/>
        <v>0</v>
      </c>
      <c r="DB37" s="69">
        <f t="shared" ca="1" si="60"/>
        <v>0</v>
      </c>
      <c r="DC37" s="69">
        <f t="shared" ca="1" si="60"/>
        <v>0</v>
      </c>
      <c r="DD37" s="69">
        <f t="shared" ca="1" si="60"/>
        <v>0</v>
      </c>
      <c r="DE37" s="69">
        <f t="shared" ca="1" si="60"/>
        <v>0</v>
      </c>
      <c r="DF37" s="69">
        <f t="shared" ca="1" si="60"/>
        <v>0</v>
      </c>
      <c r="DG37" s="69">
        <f t="shared" ca="1" si="60"/>
        <v>0</v>
      </c>
      <c r="DH37" s="69">
        <f t="shared" ca="1" si="60"/>
        <v>0</v>
      </c>
      <c r="DI37" s="69">
        <f t="shared" ca="1" si="60"/>
        <v>0</v>
      </c>
      <c r="DJ37" s="69">
        <f t="shared" ca="1" si="60"/>
        <v>0</v>
      </c>
      <c r="DK37" s="69">
        <f t="shared" ca="1" si="60"/>
        <v>0</v>
      </c>
      <c r="DL37" s="69">
        <f t="shared" ca="1" si="60"/>
        <v>0</v>
      </c>
      <c r="DM37" s="69">
        <f t="shared" ca="1" si="60"/>
        <v>0</v>
      </c>
      <c r="DN37" s="69">
        <f t="shared" ca="1" si="60"/>
        <v>0</v>
      </c>
      <c r="DO37" s="69">
        <f t="shared" ca="1" si="60"/>
        <v>0</v>
      </c>
      <c r="DP37" s="69">
        <f t="shared" ca="1" si="60"/>
        <v>0</v>
      </c>
      <c r="DQ37" s="69">
        <f t="shared" ca="1" si="60"/>
        <v>0</v>
      </c>
      <c r="DR37" s="69">
        <f t="shared" ca="1" si="60"/>
        <v>0</v>
      </c>
      <c r="DS37" s="69">
        <f t="shared" ca="1" si="60"/>
        <v>0</v>
      </c>
      <c r="DT37" s="69">
        <f t="shared" ca="1" si="60"/>
        <v>0</v>
      </c>
      <c r="DU37" s="69">
        <f t="shared" ca="1" si="60"/>
        <v>0</v>
      </c>
      <c r="DV37" s="69">
        <f t="shared" ca="1" si="60"/>
        <v>0</v>
      </c>
      <c r="DW37" s="69">
        <f t="shared" ca="1" si="60"/>
        <v>0</v>
      </c>
      <c r="DX37" s="69">
        <f t="shared" ca="1" si="60"/>
        <v>0</v>
      </c>
      <c r="DY37" s="69">
        <f t="shared" ca="1" si="60"/>
        <v>0</v>
      </c>
      <c r="DZ37" s="69">
        <f t="shared" ca="1" si="60"/>
        <v>0</v>
      </c>
      <c r="EA37" s="69">
        <f t="shared" ca="1" si="60"/>
        <v>0</v>
      </c>
      <c r="EB37" s="69">
        <f t="shared" ca="1" si="60"/>
        <v>0</v>
      </c>
      <c r="EC37" s="69">
        <f t="shared" ref="EC37:EE37" ca="1" si="61">SUM(EC31,EC35)</f>
        <v>0</v>
      </c>
      <c r="ED37" s="69">
        <f t="shared" ca="1" si="61"/>
        <v>0</v>
      </c>
      <c r="EE37" s="70">
        <f t="shared" ca="1" si="61"/>
        <v>0</v>
      </c>
    </row>
    <row r="38" spans="1:135" x14ac:dyDescent="0.15">
      <c r="B38" s="55" t="s">
        <v>56</v>
      </c>
      <c r="C38" s="72">
        <f>MAX(C25-C37,0)</f>
        <v>0</v>
      </c>
      <c r="D38" s="72">
        <f ca="1">MAX(D25-D37,0)</f>
        <v>0</v>
      </c>
      <c r="E38" s="72">
        <f t="shared" ref="E38:BP38" ca="1" si="62">MAX(E25-E37,0)</f>
        <v>0</v>
      </c>
      <c r="F38" s="72">
        <f t="shared" ca="1" si="62"/>
        <v>0</v>
      </c>
      <c r="G38" s="72">
        <f t="shared" ca="1" si="62"/>
        <v>0</v>
      </c>
      <c r="H38" s="72">
        <f t="shared" ca="1" si="62"/>
        <v>0</v>
      </c>
      <c r="I38" s="72">
        <f t="shared" ca="1" si="62"/>
        <v>0</v>
      </c>
      <c r="J38" s="72">
        <f t="shared" ca="1" si="62"/>
        <v>0</v>
      </c>
      <c r="K38" s="72">
        <f t="shared" ca="1" si="62"/>
        <v>0</v>
      </c>
      <c r="L38" s="72">
        <f t="shared" ca="1" si="62"/>
        <v>0</v>
      </c>
      <c r="M38" s="72">
        <f t="shared" ca="1" si="62"/>
        <v>0</v>
      </c>
      <c r="N38" s="72">
        <f t="shared" ca="1" si="62"/>
        <v>0</v>
      </c>
      <c r="O38" s="72">
        <f t="shared" ca="1" si="62"/>
        <v>0</v>
      </c>
      <c r="P38" s="72">
        <f t="shared" ca="1" si="62"/>
        <v>0</v>
      </c>
      <c r="Q38" s="72">
        <f t="shared" ca="1" si="62"/>
        <v>0</v>
      </c>
      <c r="R38" s="72">
        <f t="shared" ca="1" si="62"/>
        <v>0</v>
      </c>
      <c r="S38" s="72">
        <f t="shared" ca="1" si="62"/>
        <v>0</v>
      </c>
      <c r="T38" s="72">
        <f t="shared" ca="1" si="62"/>
        <v>0</v>
      </c>
      <c r="U38" s="72">
        <f t="shared" ca="1" si="62"/>
        <v>0</v>
      </c>
      <c r="V38" s="72">
        <f t="shared" ca="1" si="62"/>
        <v>0</v>
      </c>
      <c r="W38" s="72">
        <f t="shared" ca="1" si="62"/>
        <v>0</v>
      </c>
      <c r="X38" s="72">
        <f t="shared" ca="1" si="62"/>
        <v>0</v>
      </c>
      <c r="Y38" s="72">
        <f t="shared" ca="1" si="62"/>
        <v>0</v>
      </c>
      <c r="Z38" s="72">
        <f t="shared" ca="1" si="62"/>
        <v>0</v>
      </c>
      <c r="AA38" s="72">
        <f t="shared" ca="1" si="62"/>
        <v>8540343.4989817962</v>
      </c>
      <c r="AB38" s="72">
        <f t="shared" ca="1" si="62"/>
        <v>0</v>
      </c>
      <c r="AC38" s="72">
        <f t="shared" ca="1" si="62"/>
        <v>0</v>
      </c>
      <c r="AD38" s="72">
        <f t="shared" ca="1" si="62"/>
        <v>0</v>
      </c>
      <c r="AE38" s="72">
        <f t="shared" ca="1" si="62"/>
        <v>0</v>
      </c>
      <c r="AF38" s="72">
        <f t="shared" ca="1" si="62"/>
        <v>0</v>
      </c>
      <c r="AG38" s="72">
        <f t="shared" ca="1" si="62"/>
        <v>0</v>
      </c>
      <c r="AH38" s="72">
        <f t="shared" ca="1" si="62"/>
        <v>0</v>
      </c>
      <c r="AI38" s="72">
        <f t="shared" ca="1" si="62"/>
        <v>0</v>
      </c>
      <c r="AJ38" s="72">
        <f t="shared" ca="1" si="62"/>
        <v>0</v>
      </c>
      <c r="AK38" s="72">
        <f t="shared" ca="1" si="62"/>
        <v>0</v>
      </c>
      <c r="AL38" s="72">
        <f t="shared" ca="1" si="62"/>
        <v>0</v>
      </c>
      <c r="AM38" s="72">
        <f t="shared" ca="1" si="62"/>
        <v>0</v>
      </c>
      <c r="AN38" s="72">
        <f t="shared" ca="1" si="62"/>
        <v>0</v>
      </c>
      <c r="AO38" s="72">
        <f t="shared" ca="1" si="62"/>
        <v>0</v>
      </c>
      <c r="AP38" s="72">
        <f t="shared" ca="1" si="62"/>
        <v>0</v>
      </c>
      <c r="AQ38" s="72">
        <f t="shared" ca="1" si="62"/>
        <v>0</v>
      </c>
      <c r="AR38" s="72">
        <f t="shared" ca="1" si="62"/>
        <v>0</v>
      </c>
      <c r="AS38" s="72">
        <f t="shared" ca="1" si="62"/>
        <v>0</v>
      </c>
      <c r="AT38" s="72">
        <f t="shared" ca="1" si="62"/>
        <v>0</v>
      </c>
      <c r="AU38" s="72">
        <f t="shared" ca="1" si="62"/>
        <v>0</v>
      </c>
      <c r="AV38" s="72">
        <f t="shared" ca="1" si="62"/>
        <v>0</v>
      </c>
      <c r="AW38" s="72">
        <f t="shared" ca="1" si="62"/>
        <v>0</v>
      </c>
      <c r="AX38" s="72">
        <f t="shared" ca="1" si="62"/>
        <v>0</v>
      </c>
      <c r="AY38" s="72">
        <f t="shared" ca="1" si="62"/>
        <v>0</v>
      </c>
      <c r="AZ38" s="72">
        <f t="shared" ca="1" si="62"/>
        <v>0</v>
      </c>
      <c r="BA38" s="72">
        <f t="shared" ca="1" si="62"/>
        <v>0</v>
      </c>
      <c r="BB38" s="72">
        <f t="shared" ca="1" si="62"/>
        <v>0</v>
      </c>
      <c r="BC38" s="72">
        <f t="shared" ca="1" si="62"/>
        <v>0</v>
      </c>
      <c r="BD38" s="72">
        <f t="shared" ca="1" si="62"/>
        <v>0</v>
      </c>
      <c r="BE38" s="72">
        <f t="shared" ca="1" si="62"/>
        <v>0</v>
      </c>
      <c r="BF38" s="72">
        <f t="shared" ca="1" si="62"/>
        <v>0</v>
      </c>
      <c r="BG38" s="72">
        <f t="shared" ca="1" si="62"/>
        <v>0</v>
      </c>
      <c r="BH38" s="72">
        <f t="shared" ca="1" si="62"/>
        <v>0</v>
      </c>
      <c r="BI38" s="72">
        <f t="shared" ca="1" si="62"/>
        <v>0</v>
      </c>
      <c r="BJ38" s="72">
        <f t="shared" ca="1" si="62"/>
        <v>0</v>
      </c>
      <c r="BK38" s="72">
        <f t="shared" ca="1" si="62"/>
        <v>0</v>
      </c>
      <c r="BL38" s="72">
        <f t="shared" ca="1" si="62"/>
        <v>0</v>
      </c>
      <c r="BM38" s="72">
        <f t="shared" ca="1" si="62"/>
        <v>0</v>
      </c>
      <c r="BN38" s="72">
        <f t="shared" ca="1" si="62"/>
        <v>0</v>
      </c>
      <c r="BO38" s="72">
        <f t="shared" ca="1" si="62"/>
        <v>0</v>
      </c>
      <c r="BP38" s="72">
        <f t="shared" ca="1" si="62"/>
        <v>0</v>
      </c>
      <c r="BQ38" s="72">
        <f t="shared" ref="BQ38:EB38" ca="1" si="63">MAX(BQ25-BQ37,0)</f>
        <v>0</v>
      </c>
      <c r="BR38" s="72">
        <f t="shared" ca="1" si="63"/>
        <v>0</v>
      </c>
      <c r="BS38" s="72">
        <f t="shared" ca="1" si="63"/>
        <v>0</v>
      </c>
      <c r="BT38" s="72">
        <f t="shared" ca="1" si="63"/>
        <v>0</v>
      </c>
      <c r="BU38" s="72">
        <f t="shared" ca="1" si="63"/>
        <v>0</v>
      </c>
      <c r="BV38" s="72">
        <f t="shared" ca="1" si="63"/>
        <v>0</v>
      </c>
      <c r="BW38" s="72">
        <f t="shared" ca="1" si="63"/>
        <v>0</v>
      </c>
      <c r="BX38" s="72">
        <f t="shared" ca="1" si="63"/>
        <v>0</v>
      </c>
      <c r="BY38" s="72">
        <f t="shared" ca="1" si="63"/>
        <v>0</v>
      </c>
      <c r="BZ38" s="72">
        <f t="shared" ca="1" si="63"/>
        <v>0</v>
      </c>
      <c r="CA38" s="72">
        <f t="shared" ca="1" si="63"/>
        <v>0</v>
      </c>
      <c r="CB38" s="72">
        <f t="shared" ca="1" si="63"/>
        <v>0</v>
      </c>
      <c r="CC38" s="72">
        <f t="shared" ca="1" si="63"/>
        <v>0</v>
      </c>
      <c r="CD38" s="72">
        <f t="shared" ca="1" si="63"/>
        <v>0</v>
      </c>
      <c r="CE38" s="72">
        <f t="shared" ca="1" si="63"/>
        <v>0</v>
      </c>
      <c r="CF38" s="72">
        <f t="shared" ca="1" si="63"/>
        <v>0</v>
      </c>
      <c r="CG38" s="72">
        <f t="shared" ca="1" si="63"/>
        <v>0</v>
      </c>
      <c r="CH38" s="72">
        <f t="shared" ca="1" si="63"/>
        <v>0</v>
      </c>
      <c r="CI38" s="72">
        <f t="shared" ca="1" si="63"/>
        <v>0</v>
      </c>
      <c r="CJ38" s="72">
        <f t="shared" ca="1" si="63"/>
        <v>0</v>
      </c>
      <c r="CK38" s="72">
        <f t="shared" ca="1" si="63"/>
        <v>0</v>
      </c>
      <c r="CL38" s="72">
        <f t="shared" ca="1" si="63"/>
        <v>0</v>
      </c>
      <c r="CM38" s="72">
        <f t="shared" ca="1" si="63"/>
        <v>0</v>
      </c>
      <c r="CN38" s="72">
        <f t="shared" ca="1" si="63"/>
        <v>0</v>
      </c>
      <c r="CO38" s="72">
        <f t="shared" ca="1" si="63"/>
        <v>0</v>
      </c>
      <c r="CP38" s="72">
        <f t="shared" ca="1" si="63"/>
        <v>0</v>
      </c>
      <c r="CQ38" s="72">
        <f t="shared" ca="1" si="63"/>
        <v>0</v>
      </c>
      <c r="CR38" s="72">
        <f t="shared" ca="1" si="63"/>
        <v>0</v>
      </c>
      <c r="CS38" s="72">
        <f t="shared" ca="1" si="63"/>
        <v>0</v>
      </c>
      <c r="CT38" s="72">
        <f t="shared" ca="1" si="63"/>
        <v>0</v>
      </c>
      <c r="CU38" s="72">
        <f t="shared" ca="1" si="63"/>
        <v>0</v>
      </c>
      <c r="CV38" s="72">
        <f t="shared" ca="1" si="63"/>
        <v>0</v>
      </c>
      <c r="CW38" s="72">
        <f t="shared" ca="1" si="63"/>
        <v>0</v>
      </c>
      <c r="CX38" s="72">
        <f t="shared" ca="1" si="63"/>
        <v>0</v>
      </c>
      <c r="CY38" s="72">
        <f t="shared" ca="1" si="63"/>
        <v>0</v>
      </c>
      <c r="CZ38" s="72">
        <f t="shared" ca="1" si="63"/>
        <v>0</v>
      </c>
      <c r="DA38" s="72">
        <f t="shared" ca="1" si="63"/>
        <v>0</v>
      </c>
      <c r="DB38" s="72">
        <f t="shared" ca="1" si="63"/>
        <v>0</v>
      </c>
      <c r="DC38" s="72">
        <f t="shared" ca="1" si="63"/>
        <v>0</v>
      </c>
      <c r="DD38" s="72">
        <f t="shared" ca="1" si="63"/>
        <v>0</v>
      </c>
      <c r="DE38" s="72">
        <f t="shared" ca="1" si="63"/>
        <v>0</v>
      </c>
      <c r="DF38" s="72">
        <f t="shared" ca="1" si="63"/>
        <v>0</v>
      </c>
      <c r="DG38" s="72">
        <f t="shared" ca="1" si="63"/>
        <v>0</v>
      </c>
      <c r="DH38" s="72">
        <f t="shared" ca="1" si="63"/>
        <v>0</v>
      </c>
      <c r="DI38" s="72">
        <f t="shared" ca="1" si="63"/>
        <v>0</v>
      </c>
      <c r="DJ38" s="72">
        <f t="shared" ca="1" si="63"/>
        <v>0</v>
      </c>
      <c r="DK38" s="72">
        <f t="shared" ca="1" si="63"/>
        <v>0</v>
      </c>
      <c r="DL38" s="72">
        <f t="shared" ca="1" si="63"/>
        <v>0</v>
      </c>
      <c r="DM38" s="72">
        <f t="shared" ca="1" si="63"/>
        <v>0</v>
      </c>
      <c r="DN38" s="72">
        <f t="shared" ca="1" si="63"/>
        <v>0</v>
      </c>
      <c r="DO38" s="72">
        <f t="shared" ca="1" si="63"/>
        <v>0</v>
      </c>
      <c r="DP38" s="72">
        <f t="shared" ca="1" si="63"/>
        <v>0</v>
      </c>
      <c r="DQ38" s="72">
        <f t="shared" ca="1" si="63"/>
        <v>0</v>
      </c>
      <c r="DR38" s="72">
        <f t="shared" ca="1" si="63"/>
        <v>0</v>
      </c>
      <c r="DS38" s="72">
        <f t="shared" ca="1" si="63"/>
        <v>0</v>
      </c>
      <c r="DT38" s="72">
        <f t="shared" ca="1" si="63"/>
        <v>0</v>
      </c>
      <c r="DU38" s="72">
        <f t="shared" ca="1" si="63"/>
        <v>0</v>
      </c>
      <c r="DV38" s="72">
        <f t="shared" ca="1" si="63"/>
        <v>0</v>
      </c>
      <c r="DW38" s="72">
        <f t="shared" ca="1" si="63"/>
        <v>0</v>
      </c>
      <c r="DX38" s="72">
        <f t="shared" ca="1" si="63"/>
        <v>0</v>
      </c>
      <c r="DY38" s="72">
        <f t="shared" ca="1" si="63"/>
        <v>0</v>
      </c>
      <c r="DZ38" s="72">
        <f t="shared" ca="1" si="63"/>
        <v>0</v>
      </c>
      <c r="EA38" s="72">
        <f t="shared" ca="1" si="63"/>
        <v>0</v>
      </c>
      <c r="EB38" s="72">
        <f t="shared" ca="1" si="63"/>
        <v>0</v>
      </c>
      <c r="EC38" s="72">
        <f t="shared" ref="EC38:EE38" ca="1" si="64">MAX(EC25-EC37,0)</f>
        <v>0</v>
      </c>
      <c r="ED38" s="72">
        <f t="shared" ca="1" si="64"/>
        <v>0</v>
      </c>
      <c r="EE38" s="73">
        <f t="shared" ca="1" si="64"/>
        <v>0</v>
      </c>
    </row>
    <row r="40" spans="1:135" x14ac:dyDescent="0.15">
      <c r="B40" s="58" t="s">
        <v>10</v>
      </c>
      <c r="C40" s="52">
        <f ca="1">C27</f>
        <v>46053</v>
      </c>
      <c r="D40" s="52">
        <f t="shared" ref="D40:BO40" ca="1" si="65">D27</f>
        <v>46081</v>
      </c>
      <c r="E40" s="52">
        <f t="shared" ca="1" si="65"/>
        <v>46112</v>
      </c>
      <c r="F40" s="52">
        <f t="shared" ca="1" si="65"/>
        <v>46142</v>
      </c>
      <c r="G40" s="52">
        <f t="shared" ca="1" si="65"/>
        <v>46173</v>
      </c>
      <c r="H40" s="52">
        <f t="shared" ca="1" si="65"/>
        <v>46203</v>
      </c>
      <c r="I40" s="52">
        <f t="shared" ca="1" si="65"/>
        <v>46234</v>
      </c>
      <c r="J40" s="52">
        <f t="shared" ca="1" si="65"/>
        <v>46265</v>
      </c>
      <c r="K40" s="52">
        <f t="shared" ca="1" si="65"/>
        <v>46295</v>
      </c>
      <c r="L40" s="52">
        <f t="shared" ca="1" si="65"/>
        <v>46326</v>
      </c>
      <c r="M40" s="52">
        <f t="shared" ca="1" si="65"/>
        <v>46356</v>
      </c>
      <c r="N40" s="52">
        <f t="shared" ca="1" si="65"/>
        <v>46387</v>
      </c>
      <c r="O40" s="52">
        <f t="shared" ca="1" si="65"/>
        <v>46418</v>
      </c>
      <c r="P40" s="52">
        <f t="shared" ca="1" si="65"/>
        <v>46446</v>
      </c>
      <c r="Q40" s="52">
        <f t="shared" ca="1" si="65"/>
        <v>46477</v>
      </c>
      <c r="R40" s="52">
        <f t="shared" ca="1" si="65"/>
        <v>46507</v>
      </c>
      <c r="S40" s="52">
        <f t="shared" ca="1" si="65"/>
        <v>46538</v>
      </c>
      <c r="T40" s="52">
        <f t="shared" ca="1" si="65"/>
        <v>46568</v>
      </c>
      <c r="U40" s="52">
        <f t="shared" ca="1" si="65"/>
        <v>46599</v>
      </c>
      <c r="V40" s="52">
        <f t="shared" ca="1" si="65"/>
        <v>46630</v>
      </c>
      <c r="W40" s="52">
        <f t="shared" ca="1" si="65"/>
        <v>46660</v>
      </c>
      <c r="X40" s="52">
        <f t="shared" ca="1" si="65"/>
        <v>46691</v>
      </c>
      <c r="Y40" s="52">
        <f t="shared" ca="1" si="65"/>
        <v>46721</v>
      </c>
      <c r="Z40" s="52">
        <f t="shared" ca="1" si="65"/>
        <v>46752</v>
      </c>
      <c r="AA40" s="52">
        <f t="shared" ca="1" si="65"/>
        <v>46783</v>
      </c>
      <c r="AB40" s="52">
        <f t="shared" ca="1" si="65"/>
        <v>46812</v>
      </c>
      <c r="AC40" s="52">
        <f t="shared" ca="1" si="65"/>
        <v>46843</v>
      </c>
      <c r="AD40" s="52">
        <f t="shared" ca="1" si="65"/>
        <v>46873</v>
      </c>
      <c r="AE40" s="52">
        <f t="shared" ca="1" si="65"/>
        <v>46904</v>
      </c>
      <c r="AF40" s="52">
        <f t="shared" ca="1" si="65"/>
        <v>46934</v>
      </c>
      <c r="AG40" s="52">
        <f t="shared" ca="1" si="65"/>
        <v>46965</v>
      </c>
      <c r="AH40" s="52">
        <f t="shared" ca="1" si="65"/>
        <v>46996</v>
      </c>
      <c r="AI40" s="52">
        <f t="shared" ca="1" si="65"/>
        <v>47026</v>
      </c>
      <c r="AJ40" s="52">
        <f t="shared" ca="1" si="65"/>
        <v>47057</v>
      </c>
      <c r="AK40" s="52">
        <f t="shared" ca="1" si="65"/>
        <v>47087</v>
      </c>
      <c r="AL40" s="52">
        <f t="shared" ca="1" si="65"/>
        <v>47118</v>
      </c>
      <c r="AM40" s="52">
        <f t="shared" ca="1" si="65"/>
        <v>47149</v>
      </c>
      <c r="AN40" s="52">
        <f t="shared" ca="1" si="65"/>
        <v>47177</v>
      </c>
      <c r="AO40" s="52">
        <f t="shared" ca="1" si="65"/>
        <v>47208</v>
      </c>
      <c r="AP40" s="52">
        <f t="shared" ca="1" si="65"/>
        <v>47238</v>
      </c>
      <c r="AQ40" s="52">
        <f t="shared" ca="1" si="65"/>
        <v>47269</v>
      </c>
      <c r="AR40" s="52">
        <f t="shared" ca="1" si="65"/>
        <v>47299</v>
      </c>
      <c r="AS40" s="52">
        <f t="shared" ca="1" si="65"/>
        <v>47330</v>
      </c>
      <c r="AT40" s="52">
        <f t="shared" ca="1" si="65"/>
        <v>47361</v>
      </c>
      <c r="AU40" s="52">
        <f t="shared" ca="1" si="65"/>
        <v>47391</v>
      </c>
      <c r="AV40" s="52">
        <f t="shared" ca="1" si="65"/>
        <v>47422</v>
      </c>
      <c r="AW40" s="52">
        <f t="shared" ca="1" si="65"/>
        <v>47452</v>
      </c>
      <c r="AX40" s="52">
        <f t="shared" ca="1" si="65"/>
        <v>47483</v>
      </c>
      <c r="AY40" s="52">
        <f t="shared" ca="1" si="65"/>
        <v>47514</v>
      </c>
      <c r="AZ40" s="52">
        <f t="shared" ca="1" si="65"/>
        <v>47542</v>
      </c>
      <c r="BA40" s="52">
        <f t="shared" ca="1" si="65"/>
        <v>47573</v>
      </c>
      <c r="BB40" s="52">
        <f t="shared" ca="1" si="65"/>
        <v>47603</v>
      </c>
      <c r="BC40" s="52">
        <f t="shared" ca="1" si="65"/>
        <v>47634</v>
      </c>
      <c r="BD40" s="52">
        <f t="shared" ca="1" si="65"/>
        <v>47664</v>
      </c>
      <c r="BE40" s="52">
        <f t="shared" ca="1" si="65"/>
        <v>47695</v>
      </c>
      <c r="BF40" s="52">
        <f t="shared" ca="1" si="65"/>
        <v>47726</v>
      </c>
      <c r="BG40" s="52">
        <f t="shared" ca="1" si="65"/>
        <v>47756</v>
      </c>
      <c r="BH40" s="52">
        <f t="shared" ca="1" si="65"/>
        <v>47787</v>
      </c>
      <c r="BI40" s="52">
        <f t="shared" ca="1" si="65"/>
        <v>47817</v>
      </c>
      <c r="BJ40" s="52">
        <f t="shared" ca="1" si="65"/>
        <v>47848</v>
      </c>
      <c r="BK40" s="52">
        <f t="shared" ca="1" si="65"/>
        <v>47879</v>
      </c>
      <c r="BL40" s="52">
        <f t="shared" ca="1" si="65"/>
        <v>47907</v>
      </c>
      <c r="BM40" s="52">
        <f t="shared" ca="1" si="65"/>
        <v>47938</v>
      </c>
      <c r="BN40" s="52">
        <f t="shared" ca="1" si="65"/>
        <v>47968</v>
      </c>
      <c r="BO40" s="52">
        <f t="shared" ca="1" si="65"/>
        <v>47999</v>
      </c>
      <c r="BP40" s="52">
        <f t="shared" ref="BP40:EA40" ca="1" si="66">BP27</f>
        <v>48029</v>
      </c>
      <c r="BQ40" s="52">
        <f t="shared" ca="1" si="66"/>
        <v>48060</v>
      </c>
      <c r="BR40" s="52">
        <f t="shared" ca="1" si="66"/>
        <v>48091</v>
      </c>
      <c r="BS40" s="52">
        <f t="shared" ca="1" si="66"/>
        <v>48121</v>
      </c>
      <c r="BT40" s="52">
        <f t="shared" ca="1" si="66"/>
        <v>48152</v>
      </c>
      <c r="BU40" s="52">
        <f t="shared" ca="1" si="66"/>
        <v>48182</v>
      </c>
      <c r="BV40" s="52">
        <f t="shared" ca="1" si="66"/>
        <v>48213</v>
      </c>
      <c r="BW40" s="52">
        <f t="shared" ca="1" si="66"/>
        <v>48244</v>
      </c>
      <c r="BX40" s="52">
        <f t="shared" ca="1" si="66"/>
        <v>48273</v>
      </c>
      <c r="BY40" s="52">
        <f t="shared" ca="1" si="66"/>
        <v>48304</v>
      </c>
      <c r="BZ40" s="52">
        <f t="shared" ca="1" si="66"/>
        <v>48334</v>
      </c>
      <c r="CA40" s="52">
        <f t="shared" ca="1" si="66"/>
        <v>48365</v>
      </c>
      <c r="CB40" s="52">
        <f t="shared" ca="1" si="66"/>
        <v>48395</v>
      </c>
      <c r="CC40" s="52">
        <f t="shared" ca="1" si="66"/>
        <v>48426</v>
      </c>
      <c r="CD40" s="52">
        <f t="shared" ca="1" si="66"/>
        <v>48457</v>
      </c>
      <c r="CE40" s="52">
        <f t="shared" ca="1" si="66"/>
        <v>48487</v>
      </c>
      <c r="CF40" s="52">
        <f t="shared" ca="1" si="66"/>
        <v>48518</v>
      </c>
      <c r="CG40" s="52">
        <f t="shared" ca="1" si="66"/>
        <v>48548</v>
      </c>
      <c r="CH40" s="52">
        <f t="shared" ca="1" si="66"/>
        <v>48579</v>
      </c>
      <c r="CI40" s="52">
        <f t="shared" ca="1" si="66"/>
        <v>48610</v>
      </c>
      <c r="CJ40" s="52">
        <f t="shared" ca="1" si="66"/>
        <v>48638</v>
      </c>
      <c r="CK40" s="52">
        <f t="shared" ca="1" si="66"/>
        <v>48669</v>
      </c>
      <c r="CL40" s="52">
        <f t="shared" ca="1" si="66"/>
        <v>48699</v>
      </c>
      <c r="CM40" s="52">
        <f t="shared" ca="1" si="66"/>
        <v>48730</v>
      </c>
      <c r="CN40" s="52">
        <f t="shared" ca="1" si="66"/>
        <v>48760</v>
      </c>
      <c r="CO40" s="52">
        <f t="shared" ca="1" si="66"/>
        <v>48791</v>
      </c>
      <c r="CP40" s="52">
        <f t="shared" ca="1" si="66"/>
        <v>48822</v>
      </c>
      <c r="CQ40" s="52">
        <f t="shared" ca="1" si="66"/>
        <v>48852</v>
      </c>
      <c r="CR40" s="52">
        <f t="shared" ca="1" si="66"/>
        <v>48883</v>
      </c>
      <c r="CS40" s="52">
        <f t="shared" ca="1" si="66"/>
        <v>48913</v>
      </c>
      <c r="CT40" s="52">
        <f t="shared" ca="1" si="66"/>
        <v>48944</v>
      </c>
      <c r="CU40" s="52">
        <f t="shared" ca="1" si="66"/>
        <v>48975</v>
      </c>
      <c r="CV40" s="52">
        <f t="shared" ca="1" si="66"/>
        <v>49003</v>
      </c>
      <c r="CW40" s="52">
        <f t="shared" ca="1" si="66"/>
        <v>49034</v>
      </c>
      <c r="CX40" s="52">
        <f t="shared" ca="1" si="66"/>
        <v>49064</v>
      </c>
      <c r="CY40" s="52">
        <f t="shared" ca="1" si="66"/>
        <v>49095</v>
      </c>
      <c r="CZ40" s="52">
        <f t="shared" ca="1" si="66"/>
        <v>49125</v>
      </c>
      <c r="DA40" s="52">
        <f t="shared" ca="1" si="66"/>
        <v>49156</v>
      </c>
      <c r="DB40" s="52">
        <f t="shared" ca="1" si="66"/>
        <v>49187</v>
      </c>
      <c r="DC40" s="52">
        <f t="shared" ca="1" si="66"/>
        <v>49217</v>
      </c>
      <c r="DD40" s="52">
        <f t="shared" ca="1" si="66"/>
        <v>49248</v>
      </c>
      <c r="DE40" s="52">
        <f t="shared" ca="1" si="66"/>
        <v>49278</v>
      </c>
      <c r="DF40" s="52">
        <f t="shared" ca="1" si="66"/>
        <v>49309</v>
      </c>
      <c r="DG40" s="52">
        <f t="shared" ca="1" si="66"/>
        <v>49340</v>
      </c>
      <c r="DH40" s="52">
        <f t="shared" ca="1" si="66"/>
        <v>49368</v>
      </c>
      <c r="DI40" s="52">
        <f t="shared" ca="1" si="66"/>
        <v>49399</v>
      </c>
      <c r="DJ40" s="52">
        <f t="shared" ca="1" si="66"/>
        <v>49429</v>
      </c>
      <c r="DK40" s="52">
        <f t="shared" ca="1" si="66"/>
        <v>49460</v>
      </c>
      <c r="DL40" s="52">
        <f t="shared" ca="1" si="66"/>
        <v>49490</v>
      </c>
      <c r="DM40" s="52">
        <f t="shared" ca="1" si="66"/>
        <v>49521</v>
      </c>
      <c r="DN40" s="52">
        <f t="shared" ca="1" si="66"/>
        <v>49552</v>
      </c>
      <c r="DO40" s="52">
        <f t="shared" ca="1" si="66"/>
        <v>49582</v>
      </c>
      <c r="DP40" s="52">
        <f t="shared" ca="1" si="66"/>
        <v>49613</v>
      </c>
      <c r="DQ40" s="52">
        <f t="shared" ca="1" si="66"/>
        <v>49643</v>
      </c>
      <c r="DR40" s="52">
        <f t="shared" ca="1" si="66"/>
        <v>49674</v>
      </c>
      <c r="DS40" s="52">
        <f t="shared" ca="1" si="66"/>
        <v>49705</v>
      </c>
      <c r="DT40" s="52">
        <f t="shared" ca="1" si="66"/>
        <v>49734</v>
      </c>
      <c r="DU40" s="52">
        <f t="shared" ca="1" si="66"/>
        <v>49765</v>
      </c>
      <c r="DV40" s="52">
        <f t="shared" ca="1" si="66"/>
        <v>49795</v>
      </c>
      <c r="DW40" s="52">
        <f t="shared" ca="1" si="66"/>
        <v>49826</v>
      </c>
      <c r="DX40" s="52">
        <f t="shared" ca="1" si="66"/>
        <v>49856</v>
      </c>
      <c r="DY40" s="52">
        <f t="shared" ca="1" si="66"/>
        <v>49887</v>
      </c>
      <c r="DZ40" s="52">
        <f t="shared" ca="1" si="66"/>
        <v>49918</v>
      </c>
      <c r="EA40" s="52">
        <f t="shared" ca="1" si="66"/>
        <v>49948</v>
      </c>
      <c r="EB40" s="52">
        <f t="shared" ref="EB40:EE40" ca="1" si="67">EB27</f>
        <v>49979</v>
      </c>
      <c r="EC40" s="52">
        <f t="shared" ca="1" si="67"/>
        <v>50009</v>
      </c>
      <c r="ED40" s="52">
        <f t="shared" ca="1" si="67"/>
        <v>50040</v>
      </c>
      <c r="EE40" s="53">
        <f t="shared" ca="1" si="67"/>
        <v>50071</v>
      </c>
    </row>
    <row r="41" spans="1:135" x14ac:dyDescent="0.15">
      <c r="B41" s="6" t="s">
        <v>45</v>
      </c>
      <c r="C41" s="69">
        <v>0</v>
      </c>
      <c r="D41" s="69">
        <f>IF(D11&gt;$L$7,0,C46)</f>
        <v>7807500</v>
      </c>
      <c r="E41" s="69">
        <f t="shared" ref="E41:BP41" ca="1" si="68">IF(E11&gt;$L$7,0,D46)</f>
        <v>7823344.7674023407</v>
      </c>
      <c r="F41" s="69">
        <f t="shared" ca="1" si="68"/>
        <v>7847494.6681026137</v>
      </c>
      <c r="G41" s="69">
        <f t="shared" ca="1" si="68"/>
        <v>7868695.8478066837</v>
      </c>
      <c r="H41" s="69">
        <f t="shared" ca="1" si="68"/>
        <v>7892610.6330565475</v>
      </c>
      <c r="I41" s="69">
        <f t="shared" ca="1" si="68"/>
        <v>7913555.8606303697</v>
      </c>
      <c r="J41" s="69">
        <f t="shared" ca="1" si="68"/>
        <v>7937226.3675782653</v>
      </c>
      <c r="K41" s="69">
        <f t="shared" ca="1" si="68"/>
        <v>7960787.2363174558</v>
      </c>
      <c r="L41" s="69">
        <f t="shared" ca="1" si="68"/>
        <v>7981347.0790430075</v>
      </c>
      <c r="M41" s="69">
        <f t="shared" ca="1" si="68"/>
        <v>8004649.8609995861</v>
      </c>
      <c r="N41" s="69">
        <f t="shared" ca="1" si="68"/>
        <v>8024930.9553829143</v>
      </c>
      <c r="O41" s="69">
        <f t="shared" ca="1" si="68"/>
        <v>8047965.9300908921</v>
      </c>
      <c r="P41" s="69">
        <f t="shared" ca="1" si="68"/>
        <v>8070879.5133826649</v>
      </c>
      <c r="Q41" s="69">
        <f t="shared" ca="1" si="68"/>
        <v>8084884.9851351902</v>
      </c>
      <c r="R41" s="69">
        <f t="shared" ca="1" si="68"/>
        <v>8107450.5741035752</v>
      </c>
      <c r="S41" s="69">
        <f t="shared" ca="1" si="68"/>
        <v>8126944.2403908018</v>
      </c>
      <c r="T41" s="69">
        <f t="shared" ca="1" si="68"/>
        <v>8149215.5978701981</v>
      </c>
      <c r="U41" s="69">
        <f t="shared" ca="1" si="68"/>
        <v>8168394.6956699984</v>
      </c>
      <c r="V41" s="69">
        <f t="shared" ca="1" si="68"/>
        <v>8190361.2312895339</v>
      </c>
      <c r="W41" s="69">
        <f t="shared" ca="1" si="68"/>
        <v>8212187.8245278727</v>
      </c>
      <c r="X41" s="69">
        <f t="shared" ca="1" si="68"/>
        <v>8230891.479026678</v>
      </c>
      <c r="Y41" s="69">
        <f t="shared" ca="1" si="68"/>
        <v>8252397.2514214609</v>
      </c>
      <c r="Z41" s="69">
        <f t="shared" ca="1" si="68"/>
        <v>8270759.9917289158</v>
      </c>
      <c r="AA41" s="69">
        <f t="shared" ca="1" si="68"/>
        <v>8291933.7137227338</v>
      </c>
      <c r="AB41" s="69">
        <f t="shared" si="68"/>
        <v>0</v>
      </c>
      <c r="AC41" s="69">
        <f t="shared" si="68"/>
        <v>0</v>
      </c>
      <c r="AD41" s="69">
        <f t="shared" si="68"/>
        <v>0</v>
      </c>
      <c r="AE41" s="69">
        <f t="shared" si="68"/>
        <v>0</v>
      </c>
      <c r="AF41" s="69">
        <f t="shared" si="68"/>
        <v>0</v>
      </c>
      <c r="AG41" s="69">
        <f t="shared" si="68"/>
        <v>0</v>
      </c>
      <c r="AH41" s="69">
        <f t="shared" si="68"/>
        <v>0</v>
      </c>
      <c r="AI41" s="69">
        <f t="shared" si="68"/>
        <v>0</v>
      </c>
      <c r="AJ41" s="69">
        <f t="shared" si="68"/>
        <v>0</v>
      </c>
      <c r="AK41" s="69">
        <f t="shared" si="68"/>
        <v>0</v>
      </c>
      <c r="AL41" s="69">
        <f t="shared" si="68"/>
        <v>0</v>
      </c>
      <c r="AM41" s="69">
        <f t="shared" si="68"/>
        <v>0</v>
      </c>
      <c r="AN41" s="69">
        <f t="shared" si="68"/>
        <v>0</v>
      </c>
      <c r="AO41" s="69">
        <f t="shared" si="68"/>
        <v>0</v>
      </c>
      <c r="AP41" s="69">
        <f t="shared" si="68"/>
        <v>0</v>
      </c>
      <c r="AQ41" s="69">
        <f t="shared" si="68"/>
        <v>0</v>
      </c>
      <c r="AR41" s="69">
        <f t="shared" si="68"/>
        <v>0</v>
      </c>
      <c r="AS41" s="69">
        <f t="shared" si="68"/>
        <v>0</v>
      </c>
      <c r="AT41" s="69">
        <f t="shared" si="68"/>
        <v>0</v>
      </c>
      <c r="AU41" s="69">
        <f t="shared" si="68"/>
        <v>0</v>
      </c>
      <c r="AV41" s="69">
        <f t="shared" si="68"/>
        <v>0</v>
      </c>
      <c r="AW41" s="69">
        <f t="shared" si="68"/>
        <v>0</v>
      </c>
      <c r="AX41" s="69">
        <f t="shared" si="68"/>
        <v>0</v>
      </c>
      <c r="AY41" s="69">
        <f t="shared" si="68"/>
        <v>0</v>
      </c>
      <c r="AZ41" s="69">
        <f t="shared" si="68"/>
        <v>0</v>
      </c>
      <c r="BA41" s="69">
        <f t="shared" si="68"/>
        <v>0</v>
      </c>
      <c r="BB41" s="69">
        <f t="shared" si="68"/>
        <v>0</v>
      </c>
      <c r="BC41" s="69">
        <f t="shared" si="68"/>
        <v>0</v>
      </c>
      <c r="BD41" s="69">
        <f t="shared" si="68"/>
        <v>0</v>
      </c>
      <c r="BE41" s="69">
        <f t="shared" si="68"/>
        <v>0</v>
      </c>
      <c r="BF41" s="69">
        <f t="shared" si="68"/>
        <v>0</v>
      </c>
      <c r="BG41" s="69">
        <f t="shared" si="68"/>
        <v>0</v>
      </c>
      <c r="BH41" s="69">
        <f t="shared" si="68"/>
        <v>0</v>
      </c>
      <c r="BI41" s="69">
        <f t="shared" si="68"/>
        <v>0</v>
      </c>
      <c r="BJ41" s="69">
        <f t="shared" si="68"/>
        <v>0</v>
      </c>
      <c r="BK41" s="69">
        <f t="shared" si="68"/>
        <v>0</v>
      </c>
      <c r="BL41" s="69">
        <f t="shared" si="68"/>
        <v>0</v>
      </c>
      <c r="BM41" s="69">
        <f t="shared" si="68"/>
        <v>0</v>
      </c>
      <c r="BN41" s="69">
        <f t="shared" si="68"/>
        <v>0</v>
      </c>
      <c r="BO41" s="69">
        <f t="shared" si="68"/>
        <v>0</v>
      </c>
      <c r="BP41" s="69">
        <f t="shared" si="68"/>
        <v>0</v>
      </c>
      <c r="BQ41" s="69">
        <f t="shared" ref="BQ41:EB41" si="69">IF(BQ11&gt;$L$7,0,BP46)</f>
        <v>0</v>
      </c>
      <c r="BR41" s="69">
        <f t="shared" si="69"/>
        <v>0</v>
      </c>
      <c r="BS41" s="69">
        <f t="shared" si="69"/>
        <v>0</v>
      </c>
      <c r="BT41" s="69">
        <f t="shared" si="69"/>
        <v>0</v>
      </c>
      <c r="BU41" s="69">
        <f t="shared" si="69"/>
        <v>0</v>
      </c>
      <c r="BV41" s="69">
        <f t="shared" si="69"/>
        <v>0</v>
      </c>
      <c r="BW41" s="69">
        <f t="shared" si="69"/>
        <v>0</v>
      </c>
      <c r="BX41" s="69">
        <f t="shared" si="69"/>
        <v>0</v>
      </c>
      <c r="BY41" s="69">
        <f t="shared" si="69"/>
        <v>0</v>
      </c>
      <c r="BZ41" s="69">
        <f t="shared" si="69"/>
        <v>0</v>
      </c>
      <c r="CA41" s="69">
        <f t="shared" si="69"/>
        <v>0</v>
      </c>
      <c r="CB41" s="69">
        <f t="shared" si="69"/>
        <v>0</v>
      </c>
      <c r="CC41" s="69">
        <f t="shared" si="69"/>
        <v>0</v>
      </c>
      <c r="CD41" s="69">
        <f t="shared" si="69"/>
        <v>0</v>
      </c>
      <c r="CE41" s="69">
        <f t="shared" si="69"/>
        <v>0</v>
      </c>
      <c r="CF41" s="69">
        <f t="shared" si="69"/>
        <v>0</v>
      </c>
      <c r="CG41" s="69">
        <f t="shared" si="69"/>
        <v>0</v>
      </c>
      <c r="CH41" s="69">
        <f t="shared" si="69"/>
        <v>0</v>
      </c>
      <c r="CI41" s="69">
        <f t="shared" si="69"/>
        <v>0</v>
      </c>
      <c r="CJ41" s="69">
        <f t="shared" si="69"/>
        <v>0</v>
      </c>
      <c r="CK41" s="69">
        <f t="shared" si="69"/>
        <v>0</v>
      </c>
      <c r="CL41" s="69">
        <f t="shared" si="69"/>
        <v>0</v>
      </c>
      <c r="CM41" s="69">
        <f t="shared" si="69"/>
        <v>0</v>
      </c>
      <c r="CN41" s="69">
        <f t="shared" si="69"/>
        <v>0</v>
      </c>
      <c r="CO41" s="69">
        <f t="shared" si="69"/>
        <v>0</v>
      </c>
      <c r="CP41" s="69">
        <f t="shared" si="69"/>
        <v>0</v>
      </c>
      <c r="CQ41" s="69">
        <f t="shared" si="69"/>
        <v>0</v>
      </c>
      <c r="CR41" s="69">
        <f t="shared" si="69"/>
        <v>0</v>
      </c>
      <c r="CS41" s="69">
        <f t="shared" si="69"/>
        <v>0</v>
      </c>
      <c r="CT41" s="69">
        <f t="shared" si="69"/>
        <v>0</v>
      </c>
      <c r="CU41" s="69">
        <f t="shared" si="69"/>
        <v>0</v>
      </c>
      <c r="CV41" s="69">
        <f t="shared" si="69"/>
        <v>0</v>
      </c>
      <c r="CW41" s="69">
        <f t="shared" si="69"/>
        <v>0</v>
      </c>
      <c r="CX41" s="69">
        <f t="shared" si="69"/>
        <v>0</v>
      </c>
      <c r="CY41" s="69">
        <f t="shared" si="69"/>
        <v>0</v>
      </c>
      <c r="CZ41" s="69">
        <f t="shared" si="69"/>
        <v>0</v>
      </c>
      <c r="DA41" s="69">
        <f t="shared" si="69"/>
        <v>0</v>
      </c>
      <c r="DB41" s="69">
        <f t="shared" si="69"/>
        <v>0</v>
      </c>
      <c r="DC41" s="69">
        <f t="shared" si="69"/>
        <v>0</v>
      </c>
      <c r="DD41" s="69">
        <f t="shared" si="69"/>
        <v>0</v>
      </c>
      <c r="DE41" s="69">
        <f t="shared" si="69"/>
        <v>0</v>
      </c>
      <c r="DF41" s="69">
        <f t="shared" si="69"/>
        <v>0</v>
      </c>
      <c r="DG41" s="69">
        <f t="shared" si="69"/>
        <v>0</v>
      </c>
      <c r="DH41" s="69">
        <f t="shared" si="69"/>
        <v>0</v>
      </c>
      <c r="DI41" s="69">
        <f t="shared" si="69"/>
        <v>0</v>
      </c>
      <c r="DJ41" s="69">
        <f t="shared" si="69"/>
        <v>0</v>
      </c>
      <c r="DK41" s="69">
        <f t="shared" si="69"/>
        <v>0</v>
      </c>
      <c r="DL41" s="69">
        <f t="shared" si="69"/>
        <v>0</v>
      </c>
      <c r="DM41" s="69">
        <f t="shared" si="69"/>
        <v>0</v>
      </c>
      <c r="DN41" s="69">
        <f t="shared" si="69"/>
        <v>0</v>
      </c>
      <c r="DO41" s="69">
        <f t="shared" si="69"/>
        <v>0</v>
      </c>
      <c r="DP41" s="69">
        <f t="shared" si="69"/>
        <v>0</v>
      </c>
      <c r="DQ41" s="69">
        <f t="shared" si="69"/>
        <v>0</v>
      </c>
      <c r="DR41" s="69">
        <f t="shared" si="69"/>
        <v>0</v>
      </c>
      <c r="DS41" s="69">
        <f t="shared" si="69"/>
        <v>0</v>
      </c>
      <c r="DT41" s="69">
        <f t="shared" si="69"/>
        <v>0</v>
      </c>
      <c r="DU41" s="69">
        <f t="shared" si="69"/>
        <v>0</v>
      </c>
      <c r="DV41" s="69">
        <f t="shared" si="69"/>
        <v>0</v>
      </c>
      <c r="DW41" s="69">
        <f t="shared" si="69"/>
        <v>0</v>
      </c>
      <c r="DX41" s="69">
        <f t="shared" si="69"/>
        <v>0</v>
      </c>
      <c r="DY41" s="69">
        <f t="shared" si="69"/>
        <v>0</v>
      </c>
      <c r="DZ41" s="69">
        <f t="shared" si="69"/>
        <v>0</v>
      </c>
      <c r="EA41" s="69">
        <f t="shared" si="69"/>
        <v>0</v>
      </c>
      <c r="EB41" s="69">
        <f t="shared" si="69"/>
        <v>0</v>
      </c>
      <c r="EC41" s="69">
        <f t="shared" ref="EC41:EE41" si="70">IF(EC11&gt;$L$7,0,EB46)</f>
        <v>0</v>
      </c>
      <c r="ED41" s="69">
        <f t="shared" si="70"/>
        <v>0</v>
      </c>
      <c r="EE41" s="70">
        <f t="shared" si="70"/>
        <v>0</v>
      </c>
    </row>
    <row r="42" spans="1:135" x14ac:dyDescent="0.15">
      <c r="B42" s="7" t="s">
        <v>57</v>
      </c>
      <c r="C42" s="69">
        <v>0</v>
      </c>
      <c r="D42" s="69">
        <f ca="1">D41*(1+$C$3)^((D40-C40)/365)-D41</f>
        <v>78872.684314991347</v>
      </c>
      <c r="E42" s="69">
        <f t="shared" ref="E42:BP42" ca="1" si="71">E41*(1+$C$3)^((E40-D40)/365)-E41</f>
        <v>87547.758078769781</v>
      </c>
      <c r="F42" s="69">
        <f t="shared" ca="1" si="71"/>
        <v>84969.889921400696</v>
      </c>
      <c r="G42" s="69">
        <f t="shared" ca="1" si="71"/>
        <v>88055.262929175049</v>
      </c>
      <c r="H42" s="69">
        <f t="shared" ca="1" si="71"/>
        <v>85458.389593967237</v>
      </c>
      <c r="I42" s="69">
        <f t="shared" ca="1" si="71"/>
        <v>88557.272448998876</v>
      </c>
      <c r="J42" s="69">
        <f t="shared" ca="1" si="71"/>
        <v>88822.159128224477</v>
      </c>
      <c r="K42" s="69">
        <f t="shared" ca="1" si="71"/>
        <v>86196.581681926735</v>
      </c>
      <c r="L42" s="69">
        <f t="shared" ca="1" si="71"/>
        <v>89315.89543774724</v>
      </c>
      <c r="M42" s="69">
        <f t="shared" ca="1" si="71"/>
        <v>86671.510630403645</v>
      </c>
      <c r="N42" s="69">
        <f t="shared" ca="1" si="71"/>
        <v>89803.624251366593</v>
      </c>
      <c r="O42" s="69">
        <f t="shared" ca="1" si="71"/>
        <v>90061.398956820369</v>
      </c>
      <c r="P42" s="69">
        <f t="shared" ca="1" si="71"/>
        <v>81533.388665175997</v>
      </c>
      <c r="Q42" s="69">
        <f t="shared" ca="1" si="71"/>
        <v>90474.544560857117</v>
      </c>
      <c r="R42" s="69">
        <f t="shared" ca="1" si="71"/>
        <v>87784.6003036974</v>
      </c>
      <c r="S42" s="69">
        <f t="shared" ca="1" si="71"/>
        <v>90945.211981707253</v>
      </c>
      <c r="T42" s="69">
        <f t="shared" ca="1" si="71"/>
        <v>88236.817173169926</v>
      </c>
      <c r="U42" s="69">
        <f t="shared" ca="1" si="71"/>
        <v>91409.066578293219</v>
      </c>
      <c r="V42" s="69">
        <f t="shared" ca="1" si="71"/>
        <v>91654.884831665084</v>
      </c>
      <c r="W42" s="69">
        <f t="shared" ca="1" si="71"/>
        <v>88918.658116491511</v>
      </c>
      <c r="X42" s="69">
        <f t="shared" ca="1" si="71"/>
        <v>92108.441773006693</v>
      </c>
      <c r="Y42" s="69">
        <f t="shared" ca="1" si="71"/>
        <v>89354.031534562819</v>
      </c>
      <c r="Z42" s="69">
        <f t="shared" ca="1" si="71"/>
        <v>92554.593516128138</v>
      </c>
      <c r="AA42" s="69">
        <f t="shared" ca="1" si="71"/>
        <v>92791.539725947194</v>
      </c>
      <c r="AB42" s="69">
        <f t="shared" ca="1" si="71"/>
        <v>0</v>
      </c>
      <c r="AC42" s="69">
        <f t="shared" ca="1" si="71"/>
        <v>0</v>
      </c>
      <c r="AD42" s="69">
        <f t="shared" ca="1" si="71"/>
        <v>0</v>
      </c>
      <c r="AE42" s="69">
        <f t="shared" ca="1" si="71"/>
        <v>0</v>
      </c>
      <c r="AF42" s="69">
        <f t="shared" ca="1" si="71"/>
        <v>0</v>
      </c>
      <c r="AG42" s="69">
        <f t="shared" ca="1" si="71"/>
        <v>0</v>
      </c>
      <c r="AH42" s="69">
        <f t="shared" ca="1" si="71"/>
        <v>0</v>
      </c>
      <c r="AI42" s="69">
        <f t="shared" ca="1" si="71"/>
        <v>0</v>
      </c>
      <c r="AJ42" s="69">
        <f t="shared" ca="1" si="71"/>
        <v>0</v>
      </c>
      <c r="AK42" s="69">
        <f t="shared" ca="1" si="71"/>
        <v>0</v>
      </c>
      <c r="AL42" s="69">
        <f t="shared" ca="1" si="71"/>
        <v>0</v>
      </c>
      <c r="AM42" s="69">
        <f t="shared" ca="1" si="71"/>
        <v>0</v>
      </c>
      <c r="AN42" s="69">
        <f t="shared" ca="1" si="71"/>
        <v>0</v>
      </c>
      <c r="AO42" s="69">
        <f t="shared" ca="1" si="71"/>
        <v>0</v>
      </c>
      <c r="AP42" s="69">
        <f t="shared" ca="1" si="71"/>
        <v>0</v>
      </c>
      <c r="AQ42" s="69">
        <f t="shared" ca="1" si="71"/>
        <v>0</v>
      </c>
      <c r="AR42" s="69">
        <f t="shared" ca="1" si="71"/>
        <v>0</v>
      </c>
      <c r="AS42" s="69">
        <f t="shared" ca="1" si="71"/>
        <v>0</v>
      </c>
      <c r="AT42" s="69">
        <f t="shared" ca="1" si="71"/>
        <v>0</v>
      </c>
      <c r="AU42" s="69">
        <f t="shared" ca="1" si="71"/>
        <v>0</v>
      </c>
      <c r="AV42" s="69">
        <f t="shared" ca="1" si="71"/>
        <v>0</v>
      </c>
      <c r="AW42" s="69">
        <f t="shared" ca="1" si="71"/>
        <v>0</v>
      </c>
      <c r="AX42" s="69">
        <f t="shared" ca="1" si="71"/>
        <v>0</v>
      </c>
      <c r="AY42" s="69">
        <f t="shared" ca="1" si="71"/>
        <v>0</v>
      </c>
      <c r="AZ42" s="69">
        <f t="shared" ca="1" si="71"/>
        <v>0</v>
      </c>
      <c r="BA42" s="69">
        <f t="shared" ca="1" si="71"/>
        <v>0</v>
      </c>
      <c r="BB42" s="69">
        <f t="shared" ca="1" si="71"/>
        <v>0</v>
      </c>
      <c r="BC42" s="69">
        <f t="shared" ca="1" si="71"/>
        <v>0</v>
      </c>
      <c r="BD42" s="69">
        <f t="shared" ca="1" si="71"/>
        <v>0</v>
      </c>
      <c r="BE42" s="69">
        <f t="shared" ca="1" si="71"/>
        <v>0</v>
      </c>
      <c r="BF42" s="69">
        <f t="shared" ca="1" si="71"/>
        <v>0</v>
      </c>
      <c r="BG42" s="69">
        <f t="shared" ca="1" si="71"/>
        <v>0</v>
      </c>
      <c r="BH42" s="69">
        <f t="shared" ca="1" si="71"/>
        <v>0</v>
      </c>
      <c r="BI42" s="69">
        <f t="shared" ca="1" si="71"/>
        <v>0</v>
      </c>
      <c r="BJ42" s="69">
        <f t="shared" ca="1" si="71"/>
        <v>0</v>
      </c>
      <c r="BK42" s="69">
        <f t="shared" ca="1" si="71"/>
        <v>0</v>
      </c>
      <c r="BL42" s="69">
        <f t="shared" ca="1" si="71"/>
        <v>0</v>
      </c>
      <c r="BM42" s="69">
        <f t="shared" ca="1" si="71"/>
        <v>0</v>
      </c>
      <c r="BN42" s="69">
        <f t="shared" ca="1" si="71"/>
        <v>0</v>
      </c>
      <c r="BO42" s="69">
        <f t="shared" ca="1" si="71"/>
        <v>0</v>
      </c>
      <c r="BP42" s="69">
        <f t="shared" ca="1" si="71"/>
        <v>0</v>
      </c>
      <c r="BQ42" s="69">
        <f t="shared" ref="BQ42:EB42" ca="1" si="72">BQ41*(1+$C$3)^((BQ40-BP40)/365)-BQ41</f>
        <v>0</v>
      </c>
      <c r="BR42" s="69">
        <f t="shared" ca="1" si="72"/>
        <v>0</v>
      </c>
      <c r="BS42" s="69">
        <f t="shared" ca="1" si="72"/>
        <v>0</v>
      </c>
      <c r="BT42" s="69">
        <f t="shared" ca="1" si="72"/>
        <v>0</v>
      </c>
      <c r="BU42" s="69">
        <f t="shared" ca="1" si="72"/>
        <v>0</v>
      </c>
      <c r="BV42" s="69">
        <f t="shared" ca="1" si="72"/>
        <v>0</v>
      </c>
      <c r="BW42" s="69">
        <f t="shared" ca="1" si="72"/>
        <v>0</v>
      </c>
      <c r="BX42" s="69">
        <f t="shared" ca="1" si="72"/>
        <v>0</v>
      </c>
      <c r="BY42" s="69">
        <f t="shared" ca="1" si="72"/>
        <v>0</v>
      </c>
      <c r="BZ42" s="69">
        <f t="shared" ca="1" si="72"/>
        <v>0</v>
      </c>
      <c r="CA42" s="69">
        <f t="shared" ca="1" si="72"/>
        <v>0</v>
      </c>
      <c r="CB42" s="69">
        <f t="shared" ca="1" si="72"/>
        <v>0</v>
      </c>
      <c r="CC42" s="69">
        <f t="shared" ca="1" si="72"/>
        <v>0</v>
      </c>
      <c r="CD42" s="69">
        <f t="shared" ca="1" si="72"/>
        <v>0</v>
      </c>
      <c r="CE42" s="69">
        <f t="shared" ca="1" si="72"/>
        <v>0</v>
      </c>
      <c r="CF42" s="69">
        <f t="shared" ca="1" si="72"/>
        <v>0</v>
      </c>
      <c r="CG42" s="69">
        <f t="shared" ca="1" si="72"/>
        <v>0</v>
      </c>
      <c r="CH42" s="69">
        <f t="shared" ca="1" si="72"/>
        <v>0</v>
      </c>
      <c r="CI42" s="69">
        <f t="shared" ca="1" si="72"/>
        <v>0</v>
      </c>
      <c r="CJ42" s="69">
        <f t="shared" ca="1" si="72"/>
        <v>0</v>
      </c>
      <c r="CK42" s="69">
        <f t="shared" ca="1" si="72"/>
        <v>0</v>
      </c>
      <c r="CL42" s="69">
        <f t="shared" ca="1" si="72"/>
        <v>0</v>
      </c>
      <c r="CM42" s="69">
        <f t="shared" ca="1" si="72"/>
        <v>0</v>
      </c>
      <c r="CN42" s="69">
        <f t="shared" ca="1" si="72"/>
        <v>0</v>
      </c>
      <c r="CO42" s="69">
        <f t="shared" ca="1" si="72"/>
        <v>0</v>
      </c>
      <c r="CP42" s="69">
        <f t="shared" ca="1" si="72"/>
        <v>0</v>
      </c>
      <c r="CQ42" s="69">
        <f t="shared" ca="1" si="72"/>
        <v>0</v>
      </c>
      <c r="CR42" s="69">
        <f t="shared" ca="1" si="72"/>
        <v>0</v>
      </c>
      <c r="CS42" s="69">
        <f t="shared" ca="1" si="72"/>
        <v>0</v>
      </c>
      <c r="CT42" s="69">
        <f t="shared" ca="1" si="72"/>
        <v>0</v>
      </c>
      <c r="CU42" s="69">
        <f t="shared" ca="1" si="72"/>
        <v>0</v>
      </c>
      <c r="CV42" s="69">
        <f t="shared" ca="1" si="72"/>
        <v>0</v>
      </c>
      <c r="CW42" s="69">
        <f t="shared" ca="1" si="72"/>
        <v>0</v>
      </c>
      <c r="CX42" s="69">
        <f t="shared" ca="1" si="72"/>
        <v>0</v>
      </c>
      <c r="CY42" s="69">
        <f t="shared" ca="1" si="72"/>
        <v>0</v>
      </c>
      <c r="CZ42" s="69">
        <f t="shared" ca="1" si="72"/>
        <v>0</v>
      </c>
      <c r="DA42" s="69">
        <f t="shared" ca="1" si="72"/>
        <v>0</v>
      </c>
      <c r="DB42" s="69">
        <f t="shared" ca="1" si="72"/>
        <v>0</v>
      </c>
      <c r="DC42" s="69">
        <f t="shared" ca="1" si="72"/>
        <v>0</v>
      </c>
      <c r="DD42" s="69">
        <f t="shared" ca="1" si="72"/>
        <v>0</v>
      </c>
      <c r="DE42" s="69">
        <f t="shared" ca="1" si="72"/>
        <v>0</v>
      </c>
      <c r="DF42" s="69">
        <f t="shared" ca="1" si="72"/>
        <v>0</v>
      </c>
      <c r="DG42" s="69">
        <f t="shared" ca="1" si="72"/>
        <v>0</v>
      </c>
      <c r="DH42" s="69">
        <f t="shared" ca="1" si="72"/>
        <v>0</v>
      </c>
      <c r="DI42" s="69">
        <f t="shared" ca="1" si="72"/>
        <v>0</v>
      </c>
      <c r="DJ42" s="69">
        <f t="shared" ca="1" si="72"/>
        <v>0</v>
      </c>
      <c r="DK42" s="69">
        <f t="shared" ca="1" si="72"/>
        <v>0</v>
      </c>
      <c r="DL42" s="69">
        <f t="shared" ca="1" si="72"/>
        <v>0</v>
      </c>
      <c r="DM42" s="69">
        <f t="shared" ca="1" si="72"/>
        <v>0</v>
      </c>
      <c r="DN42" s="69">
        <f t="shared" ca="1" si="72"/>
        <v>0</v>
      </c>
      <c r="DO42" s="69">
        <f t="shared" ca="1" si="72"/>
        <v>0</v>
      </c>
      <c r="DP42" s="69">
        <f t="shared" ca="1" si="72"/>
        <v>0</v>
      </c>
      <c r="DQ42" s="69">
        <f t="shared" ca="1" si="72"/>
        <v>0</v>
      </c>
      <c r="DR42" s="69">
        <f t="shared" ca="1" si="72"/>
        <v>0</v>
      </c>
      <c r="DS42" s="69">
        <f t="shared" ca="1" si="72"/>
        <v>0</v>
      </c>
      <c r="DT42" s="69">
        <f t="shared" ca="1" si="72"/>
        <v>0</v>
      </c>
      <c r="DU42" s="69">
        <f t="shared" ca="1" si="72"/>
        <v>0</v>
      </c>
      <c r="DV42" s="69">
        <f t="shared" ca="1" si="72"/>
        <v>0</v>
      </c>
      <c r="DW42" s="69">
        <f t="shared" ca="1" si="72"/>
        <v>0</v>
      </c>
      <c r="DX42" s="69">
        <f t="shared" ca="1" si="72"/>
        <v>0</v>
      </c>
      <c r="DY42" s="69">
        <f t="shared" ca="1" si="72"/>
        <v>0</v>
      </c>
      <c r="DZ42" s="69">
        <f t="shared" ca="1" si="72"/>
        <v>0</v>
      </c>
      <c r="EA42" s="69">
        <f t="shared" ca="1" si="72"/>
        <v>0</v>
      </c>
      <c r="EB42" s="69">
        <f t="shared" ca="1" si="72"/>
        <v>0</v>
      </c>
      <c r="EC42" s="69">
        <f t="shared" ref="EC42:EE42" ca="1" si="73">EC41*(1+$C$3)^((EC40-EB40)/365)-EC41</f>
        <v>0</v>
      </c>
      <c r="ED42" s="69">
        <f t="shared" ca="1" si="73"/>
        <v>0</v>
      </c>
      <c r="EE42" s="70">
        <f t="shared" ca="1" si="73"/>
        <v>0</v>
      </c>
    </row>
    <row r="43" spans="1:135" x14ac:dyDescent="0.15">
      <c r="B43" s="7" t="s">
        <v>47</v>
      </c>
      <c r="C43" s="69">
        <f>C30</f>
        <v>-7807500</v>
      </c>
      <c r="D43" s="69">
        <f>D30</f>
        <v>0</v>
      </c>
      <c r="E43" s="69">
        <f t="shared" ref="E43:BP43" si="74">E30</f>
        <v>0</v>
      </c>
      <c r="F43" s="69">
        <f t="shared" si="74"/>
        <v>0</v>
      </c>
      <c r="G43" s="69">
        <f t="shared" si="74"/>
        <v>0</v>
      </c>
      <c r="H43" s="69">
        <f t="shared" si="74"/>
        <v>0</v>
      </c>
      <c r="I43" s="69">
        <f t="shared" si="74"/>
        <v>0</v>
      </c>
      <c r="J43" s="69">
        <f t="shared" si="74"/>
        <v>0</v>
      </c>
      <c r="K43" s="69">
        <f t="shared" si="74"/>
        <v>0</v>
      </c>
      <c r="L43" s="69">
        <f t="shared" si="74"/>
        <v>0</v>
      </c>
      <c r="M43" s="69">
        <f t="shared" si="74"/>
        <v>0</v>
      </c>
      <c r="N43" s="69">
        <f t="shared" si="74"/>
        <v>0</v>
      </c>
      <c r="O43" s="69">
        <f t="shared" si="74"/>
        <v>0</v>
      </c>
      <c r="P43" s="69">
        <f t="shared" si="74"/>
        <v>0</v>
      </c>
      <c r="Q43" s="69">
        <f t="shared" si="74"/>
        <v>0</v>
      </c>
      <c r="R43" s="69">
        <f t="shared" si="74"/>
        <v>0</v>
      </c>
      <c r="S43" s="69">
        <f t="shared" si="74"/>
        <v>0</v>
      </c>
      <c r="T43" s="69">
        <f t="shared" si="74"/>
        <v>0</v>
      </c>
      <c r="U43" s="69">
        <f t="shared" si="74"/>
        <v>0</v>
      </c>
      <c r="V43" s="69">
        <f t="shared" si="74"/>
        <v>0</v>
      </c>
      <c r="W43" s="69">
        <f t="shared" si="74"/>
        <v>0</v>
      </c>
      <c r="X43" s="69">
        <f t="shared" si="74"/>
        <v>0</v>
      </c>
      <c r="Y43" s="69">
        <f t="shared" si="74"/>
        <v>0</v>
      </c>
      <c r="Z43" s="69">
        <f t="shared" si="74"/>
        <v>0</v>
      </c>
      <c r="AA43" s="69">
        <f t="shared" si="74"/>
        <v>0</v>
      </c>
      <c r="AB43" s="69">
        <f t="shared" si="74"/>
        <v>0</v>
      </c>
      <c r="AC43" s="69">
        <f t="shared" si="74"/>
        <v>0</v>
      </c>
      <c r="AD43" s="69">
        <f t="shared" si="74"/>
        <v>0</v>
      </c>
      <c r="AE43" s="69">
        <f t="shared" si="74"/>
        <v>0</v>
      </c>
      <c r="AF43" s="69">
        <f t="shared" si="74"/>
        <v>0</v>
      </c>
      <c r="AG43" s="69">
        <f t="shared" si="74"/>
        <v>0</v>
      </c>
      <c r="AH43" s="69">
        <f t="shared" si="74"/>
        <v>0</v>
      </c>
      <c r="AI43" s="69">
        <f t="shared" si="74"/>
        <v>0</v>
      </c>
      <c r="AJ43" s="69">
        <f t="shared" si="74"/>
        <v>0</v>
      </c>
      <c r="AK43" s="69">
        <f t="shared" si="74"/>
        <v>0</v>
      </c>
      <c r="AL43" s="69">
        <f t="shared" si="74"/>
        <v>0</v>
      </c>
      <c r="AM43" s="69">
        <f t="shared" si="74"/>
        <v>0</v>
      </c>
      <c r="AN43" s="69">
        <f t="shared" si="74"/>
        <v>0</v>
      </c>
      <c r="AO43" s="69">
        <f t="shared" si="74"/>
        <v>0</v>
      </c>
      <c r="AP43" s="69">
        <f t="shared" si="74"/>
        <v>0</v>
      </c>
      <c r="AQ43" s="69">
        <f t="shared" si="74"/>
        <v>0</v>
      </c>
      <c r="AR43" s="69">
        <f t="shared" si="74"/>
        <v>0</v>
      </c>
      <c r="AS43" s="69">
        <f t="shared" si="74"/>
        <v>0</v>
      </c>
      <c r="AT43" s="69">
        <f t="shared" si="74"/>
        <v>0</v>
      </c>
      <c r="AU43" s="69">
        <f t="shared" si="74"/>
        <v>0</v>
      </c>
      <c r="AV43" s="69">
        <f t="shared" si="74"/>
        <v>0</v>
      </c>
      <c r="AW43" s="69">
        <f t="shared" si="74"/>
        <v>0</v>
      </c>
      <c r="AX43" s="69">
        <f t="shared" si="74"/>
        <v>0</v>
      </c>
      <c r="AY43" s="69">
        <f t="shared" si="74"/>
        <v>0</v>
      </c>
      <c r="AZ43" s="69">
        <f t="shared" si="74"/>
        <v>0</v>
      </c>
      <c r="BA43" s="69">
        <f t="shared" si="74"/>
        <v>0</v>
      </c>
      <c r="BB43" s="69">
        <f t="shared" si="74"/>
        <v>0</v>
      </c>
      <c r="BC43" s="69">
        <f t="shared" si="74"/>
        <v>0</v>
      </c>
      <c r="BD43" s="69">
        <f t="shared" si="74"/>
        <v>0</v>
      </c>
      <c r="BE43" s="69">
        <f t="shared" si="74"/>
        <v>0</v>
      </c>
      <c r="BF43" s="69">
        <f t="shared" si="74"/>
        <v>0</v>
      </c>
      <c r="BG43" s="69">
        <f t="shared" si="74"/>
        <v>0</v>
      </c>
      <c r="BH43" s="69">
        <f t="shared" si="74"/>
        <v>0</v>
      </c>
      <c r="BI43" s="69">
        <f t="shared" si="74"/>
        <v>0</v>
      </c>
      <c r="BJ43" s="69">
        <f t="shared" si="74"/>
        <v>0</v>
      </c>
      <c r="BK43" s="69">
        <f t="shared" si="74"/>
        <v>0</v>
      </c>
      <c r="BL43" s="69">
        <f t="shared" si="74"/>
        <v>0</v>
      </c>
      <c r="BM43" s="69">
        <f t="shared" si="74"/>
        <v>0</v>
      </c>
      <c r="BN43" s="69">
        <f t="shared" si="74"/>
        <v>0</v>
      </c>
      <c r="BO43" s="69">
        <f t="shared" si="74"/>
        <v>0</v>
      </c>
      <c r="BP43" s="69">
        <f t="shared" si="74"/>
        <v>0</v>
      </c>
      <c r="BQ43" s="69">
        <f t="shared" ref="BQ43:EB43" si="75">BQ30</f>
        <v>0</v>
      </c>
      <c r="BR43" s="69">
        <f t="shared" si="75"/>
        <v>0</v>
      </c>
      <c r="BS43" s="69">
        <f t="shared" si="75"/>
        <v>0</v>
      </c>
      <c r="BT43" s="69">
        <f t="shared" si="75"/>
        <v>0</v>
      </c>
      <c r="BU43" s="69">
        <f t="shared" si="75"/>
        <v>0</v>
      </c>
      <c r="BV43" s="69">
        <f t="shared" si="75"/>
        <v>0</v>
      </c>
      <c r="BW43" s="69">
        <f t="shared" si="75"/>
        <v>0</v>
      </c>
      <c r="BX43" s="69">
        <f t="shared" si="75"/>
        <v>0</v>
      </c>
      <c r="BY43" s="69">
        <f t="shared" si="75"/>
        <v>0</v>
      </c>
      <c r="BZ43" s="69">
        <f t="shared" si="75"/>
        <v>0</v>
      </c>
      <c r="CA43" s="69">
        <f t="shared" si="75"/>
        <v>0</v>
      </c>
      <c r="CB43" s="69">
        <f t="shared" si="75"/>
        <v>0</v>
      </c>
      <c r="CC43" s="69">
        <f t="shared" si="75"/>
        <v>0</v>
      </c>
      <c r="CD43" s="69">
        <f t="shared" si="75"/>
        <v>0</v>
      </c>
      <c r="CE43" s="69">
        <f t="shared" si="75"/>
        <v>0</v>
      </c>
      <c r="CF43" s="69">
        <f t="shared" si="75"/>
        <v>0</v>
      </c>
      <c r="CG43" s="69">
        <f t="shared" si="75"/>
        <v>0</v>
      </c>
      <c r="CH43" s="69">
        <f t="shared" si="75"/>
        <v>0</v>
      </c>
      <c r="CI43" s="69">
        <f t="shared" si="75"/>
        <v>0</v>
      </c>
      <c r="CJ43" s="69">
        <f t="shared" si="75"/>
        <v>0</v>
      </c>
      <c r="CK43" s="69">
        <f t="shared" si="75"/>
        <v>0</v>
      </c>
      <c r="CL43" s="69">
        <f t="shared" si="75"/>
        <v>0</v>
      </c>
      <c r="CM43" s="69">
        <f t="shared" si="75"/>
        <v>0</v>
      </c>
      <c r="CN43" s="69">
        <f t="shared" si="75"/>
        <v>0</v>
      </c>
      <c r="CO43" s="69">
        <f t="shared" si="75"/>
        <v>0</v>
      </c>
      <c r="CP43" s="69">
        <f t="shared" si="75"/>
        <v>0</v>
      </c>
      <c r="CQ43" s="69">
        <f t="shared" si="75"/>
        <v>0</v>
      </c>
      <c r="CR43" s="69">
        <f t="shared" si="75"/>
        <v>0</v>
      </c>
      <c r="CS43" s="69">
        <f t="shared" si="75"/>
        <v>0</v>
      </c>
      <c r="CT43" s="69">
        <f t="shared" si="75"/>
        <v>0</v>
      </c>
      <c r="CU43" s="69">
        <f t="shared" si="75"/>
        <v>0</v>
      </c>
      <c r="CV43" s="69">
        <f t="shared" si="75"/>
        <v>0</v>
      </c>
      <c r="CW43" s="69">
        <f t="shared" si="75"/>
        <v>0</v>
      </c>
      <c r="CX43" s="69">
        <f t="shared" si="75"/>
        <v>0</v>
      </c>
      <c r="CY43" s="69">
        <f t="shared" si="75"/>
        <v>0</v>
      </c>
      <c r="CZ43" s="69">
        <f t="shared" si="75"/>
        <v>0</v>
      </c>
      <c r="DA43" s="69">
        <f t="shared" si="75"/>
        <v>0</v>
      </c>
      <c r="DB43" s="69">
        <f t="shared" si="75"/>
        <v>0</v>
      </c>
      <c r="DC43" s="69">
        <f t="shared" si="75"/>
        <v>0</v>
      </c>
      <c r="DD43" s="69">
        <f t="shared" si="75"/>
        <v>0</v>
      </c>
      <c r="DE43" s="69">
        <f t="shared" si="75"/>
        <v>0</v>
      </c>
      <c r="DF43" s="69">
        <f t="shared" si="75"/>
        <v>0</v>
      </c>
      <c r="DG43" s="69">
        <f t="shared" si="75"/>
        <v>0</v>
      </c>
      <c r="DH43" s="69">
        <f t="shared" si="75"/>
        <v>0</v>
      </c>
      <c r="DI43" s="69">
        <f t="shared" si="75"/>
        <v>0</v>
      </c>
      <c r="DJ43" s="69">
        <f t="shared" si="75"/>
        <v>0</v>
      </c>
      <c r="DK43" s="69">
        <f t="shared" si="75"/>
        <v>0</v>
      </c>
      <c r="DL43" s="69">
        <f t="shared" si="75"/>
        <v>0</v>
      </c>
      <c r="DM43" s="69">
        <f t="shared" si="75"/>
        <v>0</v>
      </c>
      <c r="DN43" s="69">
        <f t="shared" si="75"/>
        <v>0</v>
      </c>
      <c r="DO43" s="69">
        <f t="shared" si="75"/>
        <v>0</v>
      </c>
      <c r="DP43" s="69">
        <f t="shared" si="75"/>
        <v>0</v>
      </c>
      <c r="DQ43" s="69">
        <f t="shared" si="75"/>
        <v>0</v>
      </c>
      <c r="DR43" s="69">
        <f t="shared" si="75"/>
        <v>0</v>
      </c>
      <c r="DS43" s="69">
        <f t="shared" si="75"/>
        <v>0</v>
      </c>
      <c r="DT43" s="69">
        <f t="shared" si="75"/>
        <v>0</v>
      </c>
      <c r="DU43" s="69">
        <f t="shared" si="75"/>
        <v>0</v>
      </c>
      <c r="DV43" s="69">
        <f t="shared" si="75"/>
        <v>0</v>
      </c>
      <c r="DW43" s="69">
        <f t="shared" si="75"/>
        <v>0</v>
      </c>
      <c r="DX43" s="69">
        <f t="shared" si="75"/>
        <v>0</v>
      </c>
      <c r="DY43" s="69">
        <f t="shared" si="75"/>
        <v>0</v>
      </c>
      <c r="DZ43" s="69">
        <f t="shared" si="75"/>
        <v>0</v>
      </c>
      <c r="EA43" s="69">
        <f t="shared" si="75"/>
        <v>0</v>
      </c>
      <c r="EB43" s="69">
        <f t="shared" si="75"/>
        <v>0</v>
      </c>
      <c r="EC43" s="69">
        <f t="shared" ref="EC43:EE43" si="76">EC30</f>
        <v>0</v>
      </c>
      <c r="ED43" s="69">
        <f t="shared" si="76"/>
        <v>0</v>
      </c>
      <c r="EE43" s="70">
        <f t="shared" si="76"/>
        <v>0</v>
      </c>
    </row>
    <row r="44" spans="1:135" x14ac:dyDescent="0.15">
      <c r="B44" s="7" t="s">
        <v>58</v>
      </c>
      <c r="C44" s="69">
        <f>C31</f>
        <v>0</v>
      </c>
      <c r="D44" s="69">
        <f ca="1">D31</f>
        <v>63027.916912651017</v>
      </c>
      <c r="E44" s="69">
        <f t="shared" ref="E44:BP44" ca="1" si="77">E31</f>
        <v>63397.857378496577</v>
      </c>
      <c r="F44" s="69">
        <f t="shared" ca="1" si="77"/>
        <v>63768.710217330539</v>
      </c>
      <c r="G44" s="69">
        <f t="shared" ca="1" si="77"/>
        <v>64140.477679310941</v>
      </c>
      <c r="H44" s="69">
        <f t="shared" ca="1" si="77"/>
        <v>64513.162020145166</v>
      </c>
      <c r="I44" s="69">
        <f t="shared" ca="1" si="77"/>
        <v>64886.76550110375</v>
      </c>
      <c r="J44" s="69">
        <f t="shared" ca="1" si="77"/>
        <v>65261.2903890343</v>
      </c>
      <c r="K44" s="69">
        <f t="shared" ca="1" si="77"/>
        <v>65636.738956374887</v>
      </c>
      <c r="L44" s="69">
        <f t="shared" ca="1" si="77"/>
        <v>66013.113481168213</v>
      </c>
      <c r="M44" s="69">
        <f t="shared" ca="1" si="77"/>
        <v>66390.416247075045</v>
      </c>
      <c r="N44" s="69">
        <f t="shared" ca="1" si="77"/>
        <v>66768.64954338847</v>
      </c>
      <c r="O44" s="69">
        <f t="shared" ca="1" si="77"/>
        <v>67147.815665047485</v>
      </c>
      <c r="P44" s="69">
        <f t="shared" ca="1" si="77"/>
        <v>67527.916912650995</v>
      </c>
      <c r="Q44" s="69">
        <f t="shared" ca="1" si="77"/>
        <v>67908.955592471917</v>
      </c>
      <c r="R44" s="69">
        <f t="shared" ca="1" si="77"/>
        <v>68290.934016470928</v>
      </c>
      <c r="S44" s="69">
        <f t="shared" ca="1" si="77"/>
        <v>68673.854502310787</v>
      </c>
      <c r="T44" s="69">
        <f t="shared" ca="1" si="77"/>
        <v>69057.719373369997</v>
      </c>
      <c r="U44" s="69">
        <f t="shared" ca="1" si="77"/>
        <v>69442.530958757343</v>
      </c>
      <c r="V44" s="69">
        <f t="shared" ca="1" si="77"/>
        <v>69828.291593325819</v>
      </c>
      <c r="W44" s="69">
        <f t="shared" ca="1" si="77"/>
        <v>70215.003617686627</v>
      </c>
      <c r="X44" s="69">
        <f t="shared" ca="1" si="77"/>
        <v>70602.669378223727</v>
      </c>
      <c r="Y44" s="69">
        <f t="shared" ca="1" si="77"/>
        <v>70991.291227107766</v>
      </c>
      <c r="Z44" s="69">
        <f t="shared" ca="1" si="77"/>
        <v>71380.871522310597</v>
      </c>
      <c r="AA44" s="69">
        <f t="shared" ca="1" si="77"/>
        <v>8063367.2625723714</v>
      </c>
      <c r="AB44" s="69">
        <f t="shared" ca="1" si="77"/>
        <v>0</v>
      </c>
      <c r="AC44" s="69">
        <f t="shared" ca="1" si="77"/>
        <v>0</v>
      </c>
      <c r="AD44" s="69">
        <f t="shared" ca="1" si="77"/>
        <v>0</v>
      </c>
      <c r="AE44" s="69">
        <f t="shared" ca="1" si="77"/>
        <v>0</v>
      </c>
      <c r="AF44" s="69">
        <f t="shared" ca="1" si="77"/>
        <v>0</v>
      </c>
      <c r="AG44" s="69">
        <f t="shared" ca="1" si="77"/>
        <v>0</v>
      </c>
      <c r="AH44" s="69">
        <f t="shared" ca="1" si="77"/>
        <v>0</v>
      </c>
      <c r="AI44" s="69">
        <f t="shared" ca="1" si="77"/>
        <v>0</v>
      </c>
      <c r="AJ44" s="69">
        <f t="shared" ca="1" si="77"/>
        <v>0</v>
      </c>
      <c r="AK44" s="69">
        <f t="shared" ca="1" si="77"/>
        <v>0</v>
      </c>
      <c r="AL44" s="69">
        <f t="shared" ca="1" si="77"/>
        <v>0</v>
      </c>
      <c r="AM44" s="69">
        <f t="shared" ca="1" si="77"/>
        <v>0</v>
      </c>
      <c r="AN44" s="69">
        <f t="shared" ca="1" si="77"/>
        <v>0</v>
      </c>
      <c r="AO44" s="69">
        <f t="shared" ca="1" si="77"/>
        <v>0</v>
      </c>
      <c r="AP44" s="69">
        <f t="shared" ca="1" si="77"/>
        <v>0</v>
      </c>
      <c r="AQ44" s="69">
        <f t="shared" ca="1" si="77"/>
        <v>0</v>
      </c>
      <c r="AR44" s="69">
        <f t="shared" ca="1" si="77"/>
        <v>0</v>
      </c>
      <c r="AS44" s="69">
        <f t="shared" ca="1" si="77"/>
        <v>0</v>
      </c>
      <c r="AT44" s="69">
        <f t="shared" ca="1" si="77"/>
        <v>0</v>
      </c>
      <c r="AU44" s="69">
        <f t="shared" ca="1" si="77"/>
        <v>0</v>
      </c>
      <c r="AV44" s="69">
        <f t="shared" ca="1" si="77"/>
        <v>0</v>
      </c>
      <c r="AW44" s="69">
        <f t="shared" ca="1" si="77"/>
        <v>0</v>
      </c>
      <c r="AX44" s="69">
        <f t="shared" ca="1" si="77"/>
        <v>0</v>
      </c>
      <c r="AY44" s="69">
        <f t="shared" ca="1" si="77"/>
        <v>0</v>
      </c>
      <c r="AZ44" s="69">
        <f t="shared" ca="1" si="77"/>
        <v>0</v>
      </c>
      <c r="BA44" s="69">
        <f t="shared" ca="1" si="77"/>
        <v>0</v>
      </c>
      <c r="BB44" s="69">
        <f t="shared" ca="1" si="77"/>
        <v>0</v>
      </c>
      <c r="BC44" s="69">
        <f t="shared" ca="1" si="77"/>
        <v>0</v>
      </c>
      <c r="BD44" s="69">
        <f t="shared" ca="1" si="77"/>
        <v>0</v>
      </c>
      <c r="BE44" s="69">
        <f t="shared" ca="1" si="77"/>
        <v>0</v>
      </c>
      <c r="BF44" s="69">
        <f t="shared" ca="1" si="77"/>
        <v>0</v>
      </c>
      <c r="BG44" s="69">
        <f t="shared" ca="1" si="77"/>
        <v>0</v>
      </c>
      <c r="BH44" s="69">
        <f t="shared" ca="1" si="77"/>
        <v>0</v>
      </c>
      <c r="BI44" s="69">
        <f t="shared" ca="1" si="77"/>
        <v>0</v>
      </c>
      <c r="BJ44" s="69">
        <f t="shared" ca="1" si="77"/>
        <v>0</v>
      </c>
      <c r="BK44" s="69">
        <f t="shared" ca="1" si="77"/>
        <v>0</v>
      </c>
      <c r="BL44" s="69">
        <f t="shared" ca="1" si="77"/>
        <v>0</v>
      </c>
      <c r="BM44" s="69">
        <f t="shared" ca="1" si="77"/>
        <v>0</v>
      </c>
      <c r="BN44" s="69">
        <f t="shared" ca="1" si="77"/>
        <v>0</v>
      </c>
      <c r="BO44" s="69">
        <f t="shared" ca="1" si="77"/>
        <v>0</v>
      </c>
      <c r="BP44" s="69">
        <f t="shared" ca="1" si="77"/>
        <v>0</v>
      </c>
      <c r="BQ44" s="69">
        <f t="shared" ref="BQ44:EB44" ca="1" si="78">BQ31</f>
        <v>0</v>
      </c>
      <c r="BR44" s="69">
        <f t="shared" ca="1" si="78"/>
        <v>0</v>
      </c>
      <c r="BS44" s="69">
        <f t="shared" ca="1" si="78"/>
        <v>0</v>
      </c>
      <c r="BT44" s="69">
        <f t="shared" ca="1" si="78"/>
        <v>0</v>
      </c>
      <c r="BU44" s="69">
        <f t="shared" ca="1" si="78"/>
        <v>0</v>
      </c>
      <c r="BV44" s="69">
        <f t="shared" ca="1" si="78"/>
        <v>0</v>
      </c>
      <c r="BW44" s="69">
        <f t="shared" ca="1" si="78"/>
        <v>0</v>
      </c>
      <c r="BX44" s="69">
        <f t="shared" ca="1" si="78"/>
        <v>0</v>
      </c>
      <c r="BY44" s="69">
        <f t="shared" ca="1" si="78"/>
        <v>0</v>
      </c>
      <c r="BZ44" s="69">
        <f t="shared" ca="1" si="78"/>
        <v>0</v>
      </c>
      <c r="CA44" s="69">
        <f t="shared" ca="1" si="78"/>
        <v>0</v>
      </c>
      <c r="CB44" s="69">
        <f t="shared" ca="1" si="78"/>
        <v>0</v>
      </c>
      <c r="CC44" s="69">
        <f t="shared" ca="1" si="78"/>
        <v>0</v>
      </c>
      <c r="CD44" s="69">
        <f t="shared" ca="1" si="78"/>
        <v>0</v>
      </c>
      <c r="CE44" s="69">
        <f t="shared" ca="1" si="78"/>
        <v>0</v>
      </c>
      <c r="CF44" s="69">
        <f t="shared" ca="1" si="78"/>
        <v>0</v>
      </c>
      <c r="CG44" s="69">
        <f t="shared" ca="1" si="78"/>
        <v>0</v>
      </c>
      <c r="CH44" s="69">
        <f t="shared" ca="1" si="78"/>
        <v>0</v>
      </c>
      <c r="CI44" s="69">
        <f t="shared" ca="1" si="78"/>
        <v>0</v>
      </c>
      <c r="CJ44" s="69">
        <f t="shared" ca="1" si="78"/>
        <v>0</v>
      </c>
      <c r="CK44" s="69">
        <f t="shared" ca="1" si="78"/>
        <v>0</v>
      </c>
      <c r="CL44" s="69">
        <f t="shared" ca="1" si="78"/>
        <v>0</v>
      </c>
      <c r="CM44" s="69">
        <f t="shared" ca="1" si="78"/>
        <v>0</v>
      </c>
      <c r="CN44" s="69">
        <f t="shared" ca="1" si="78"/>
        <v>0</v>
      </c>
      <c r="CO44" s="69">
        <f t="shared" ca="1" si="78"/>
        <v>0</v>
      </c>
      <c r="CP44" s="69">
        <f t="shared" ca="1" si="78"/>
        <v>0</v>
      </c>
      <c r="CQ44" s="69">
        <f t="shared" ca="1" si="78"/>
        <v>0</v>
      </c>
      <c r="CR44" s="69">
        <f t="shared" ca="1" si="78"/>
        <v>0</v>
      </c>
      <c r="CS44" s="69">
        <f t="shared" ca="1" si="78"/>
        <v>0</v>
      </c>
      <c r="CT44" s="69">
        <f t="shared" ca="1" si="78"/>
        <v>0</v>
      </c>
      <c r="CU44" s="69">
        <f t="shared" ca="1" si="78"/>
        <v>0</v>
      </c>
      <c r="CV44" s="69">
        <f t="shared" ca="1" si="78"/>
        <v>0</v>
      </c>
      <c r="CW44" s="69">
        <f t="shared" ca="1" si="78"/>
        <v>0</v>
      </c>
      <c r="CX44" s="69">
        <f t="shared" ca="1" si="78"/>
        <v>0</v>
      </c>
      <c r="CY44" s="69">
        <f t="shared" ca="1" si="78"/>
        <v>0</v>
      </c>
      <c r="CZ44" s="69">
        <f t="shared" ca="1" si="78"/>
        <v>0</v>
      </c>
      <c r="DA44" s="69">
        <f t="shared" ca="1" si="78"/>
        <v>0</v>
      </c>
      <c r="DB44" s="69">
        <f t="shared" ca="1" si="78"/>
        <v>0</v>
      </c>
      <c r="DC44" s="69">
        <f t="shared" ca="1" si="78"/>
        <v>0</v>
      </c>
      <c r="DD44" s="69">
        <f t="shared" ca="1" si="78"/>
        <v>0</v>
      </c>
      <c r="DE44" s="69">
        <f t="shared" ca="1" si="78"/>
        <v>0</v>
      </c>
      <c r="DF44" s="69">
        <f t="shared" ca="1" si="78"/>
        <v>0</v>
      </c>
      <c r="DG44" s="69">
        <f t="shared" ca="1" si="78"/>
        <v>0</v>
      </c>
      <c r="DH44" s="69">
        <f t="shared" ca="1" si="78"/>
        <v>0</v>
      </c>
      <c r="DI44" s="69">
        <f t="shared" ca="1" si="78"/>
        <v>0</v>
      </c>
      <c r="DJ44" s="69">
        <f t="shared" ca="1" si="78"/>
        <v>0</v>
      </c>
      <c r="DK44" s="69">
        <f t="shared" ca="1" si="78"/>
        <v>0</v>
      </c>
      <c r="DL44" s="69">
        <f t="shared" ca="1" si="78"/>
        <v>0</v>
      </c>
      <c r="DM44" s="69">
        <f t="shared" ca="1" si="78"/>
        <v>0</v>
      </c>
      <c r="DN44" s="69">
        <f t="shared" ca="1" si="78"/>
        <v>0</v>
      </c>
      <c r="DO44" s="69">
        <f t="shared" ca="1" si="78"/>
        <v>0</v>
      </c>
      <c r="DP44" s="69">
        <f t="shared" ca="1" si="78"/>
        <v>0</v>
      </c>
      <c r="DQ44" s="69">
        <f t="shared" ca="1" si="78"/>
        <v>0</v>
      </c>
      <c r="DR44" s="69">
        <f t="shared" ca="1" si="78"/>
        <v>0</v>
      </c>
      <c r="DS44" s="69">
        <f t="shared" ca="1" si="78"/>
        <v>0</v>
      </c>
      <c r="DT44" s="69">
        <f t="shared" ca="1" si="78"/>
        <v>0</v>
      </c>
      <c r="DU44" s="69">
        <f t="shared" ca="1" si="78"/>
        <v>0</v>
      </c>
      <c r="DV44" s="69">
        <f t="shared" ca="1" si="78"/>
        <v>0</v>
      </c>
      <c r="DW44" s="69">
        <f t="shared" ca="1" si="78"/>
        <v>0</v>
      </c>
      <c r="DX44" s="69">
        <f t="shared" ca="1" si="78"/>
        <v>0</v>
      </c>
      <c r="DY44" s="69">
        <f t="shared" ca="1" si="78"/>
        <v>0</v>
      </c>
      <c r="DZ44" s="69">
        <f t="shared" ca="1" si="78"/>
        <v>0</v>
      </c>
      <c r="EA44" s="69">
        <f t="shared" ca="1" si="78"/>
        <v>0</v>
      </c>
      <c r="EB44" s="69">
        <f t="shared" ca="1" si="78"/>
        <v>0</v>
      </c>
      <c r="EC44" s="69">
        <f t="shared" ref="EC44:EE44" ca="1" si="79">EC31</f>
        <v>0</v>
      </c>
      <c r="ED44" s="69">
        <f t="shared" ca="1" si="79"/>
        <v>0</v>
      </c>
      <c r="EE44" s="70">
        <f t="shared" ca="1" si="79"/>
        <v>0</v>
      </c>
    </row>
    <row r="45" spans="1:135" x14ac:dyDescent="0.15">
      <c r="B45" s="7" t="s">
        <v>48</v>
      </c>
      <c r="C45" s="69">
        <v>0</v>
      </c>
      <c r="D45" s="69">
        <f ca="1">MIN(D41+D42-D43-D44,D38*$F$3)</f>
        <v>0</v>
      </c>
      <c r="E45" s="69">
        <f t="shared" ref="E45:BP45" ca="1" si="80">MIN(E41+E42-E43-E44,E38*$F$3)</f>
        <v>0</v>
      </c>
      <c r="F45" s="69">
        <f t="shared" ca="1" si="80"/>
        <v>0</v>
      </c>
      <c r="G45" s="69">
        <f t="shared" ca="1" si="80"/>
        <v>0</v>
      </c>
      <c r="H45" s="69">
        <f t="shared" ca="1" si="80"/>
        <v>0</v>
      </c>
      <c r="I45" s="69">
        <f t="shared" ca="1" si="80"/>
        <v>0</v>
      </c>
      <c r="J45" s="69">
        <f t="shared" ca="1" si="80"/>
        <v>0</v>
      </c>
      <c r="K45" s="69">
        <f t="shared" ca="1" si="80"/>
        <v>0</v>
      </c>
      <c r="L45" s="69">
        <f t="shared" ca="1" si="80"/>
        <v>0</v>
      </c>
      <c r="M45" s="69">
        <f t="shared" ca="1" si="80"/>
        <v>0</v>
      </c>
      <c r="N45" s="69">
        <f t="shared" ca="1" si="80"/>
        <v>0</v>
      </c>
      <c r="O45" s="69">
        <f t="shared" ca="1" si="80"/>
        <v>0</v>
      </c>
      <c r="P45" s="69">
        <f t="shared" ca="1" si="80"/>
        <v>0</v>
      </c>
      <c r="Q45" s="69">
        <f t="shared" ca="1" si="80"/>
        <v>0</v>
      </c>
      <c r="R45" s="69">
        <f t="shared" ca="1" si="80"/>
        <v>0</v>
      </c>
      <c r="S45" s="69">
        <f t="shared" ca="1" si="80"/>
        <v>0</v>
      </c>
      <c r="T45" s="69">
        <f t="shared" ca="1" si="80"/>
        <v>0</v>
      </c>
      <c r="U45" s="69">
        <f t="shared" ca="1" si="80"/>
        <v>0</v>
      </c>
      <c r="V45" s="69">
        <f t="shared" ca="1" si="80"/>
        <v>0</v>
      </c>
      <c r="W45" s="69">
        <f t="shared" ca="1" si="80"/>
        <v>0</v>
      </c>
      <c r="X45" s="69">
        <f t="shared" ca="1" si="80"/>
        <v>0</v>
      </c>
      <c r="Y45" s="69">
        <f t="shared" ca="1" si="80"/>
        <v>0</v>
      </c>
      <c r="Z45" s="69">
        <f t="shared" ca="1" si="80"/>
        <v>0</v>
      </c>
      <c r="AA45" s="69">
        <f t="shared" ca="1" si="80"/>
        <v>321357.99087630957</v>
      </c>
      <c r="AB45" s="69">
        <f t="shared" ca="1" si="80"/>
        <v>0</v>
      </c>
      <c r="AC45" s="69">
        <f t="shared" ca="1" si="80"/>
        <v>0</v>
      </c>
      <c r="AD45" s="69">
        <f t="shared" ca="1" si="80"/>
        <v>0</v>
      </c>
      <c r="AE45" s="69">
        <f t="shared" ca="1" si="80"/>
        <v>0</v>
      </c>
      <c r="AF45" s="69">
        <f t="shared" ca="1" si="80"/>
        <v>0</v>
      </c>
      <c r="AG45" s="69">
        <f t="shared" ca="1" si="80"/>
        <v>0</v>
      </c>
      <c r="AH45" s="69">
        <f t="shared" ca="1" si="80"/>
        <v>0</v>
      </c>
      <c r="AI45" s="69">
        <f t="shared" ca="1" si="80"/>
        <v>0</v>
      </c>
      <c r="AJ45" s="69">
        <f t="shared" ca="1" si="80"/>
        <v>0</v>
      </c>
      <c r="AK45" s="69">
        <f t="shared" ca="1" si="80"/>
        <v>0</v>
      </c>
      <c r="AL45" s="69">
        <f t="shared" ca="1" si="80"/>
        <v>0</v>
      </c>
      <c r="AM45" s="69">
        <f t="shared" ca="1" si="80"/>
        <v>0</v>
      </c>
      <c r="AN45" s="69">
        <f t="shared" ca="1" si="80"/>
        <v>0</v>
      </c>
      <c r="AO45" s="69">
        <f t="shared" ca="1" si="80"/>
        <v>0</v>
      </c>
      <c r="AP45" s="69">
        <f t="shared" ca="1" si="80"/>
        <v>0</v>
      </c>
      <c r="AQ45" s="69">
        <f t="shared" ca="1" si="80"/>
        <v>0</v>
      </c>
      <c r="AR45" s="69">
        <f t="shared" ca="1" si="80"/>
        <v>0</v>
      </c>
      <c r="AS45" s="69">
        <f t="shared" ca="1" si="80"/>
        <v>0</v>
      </c>
      <c r="AT45" s="69">
        <f t="shared" ca="1" si="80"/>
        <v>0</v>
      </c>
      <c r="AU45" s="69">
        <f t="shared" ca="1" si="80"/>
        <v>0</v>
      </c>
      <c r="AV45" s="69">
        <f t="shared" ca="1" si="80"/>
        <v>0</v>
      </c>
      <c r="AW45" s="69">
        <f t="shared" ca="1" si="80"/>
        <v>0</v>
      </c>
      <c r="AX45" s="69">
        <f t="shared" ca="1" si="80"/>
        <v>0</v>
      </c>
      <c r="AY45" s="69">
        <f t="shared" ca="1" si="80"/>
        <v>0</v>
      </c>
      <c r="AZ45" s="69">
        <f t="shared" ca="1" si="80"/>
        <v>0</v>
      </c>
      <c r="BA45" s="69">
        <f t="shared" ca="1" si="80"/>
        <v>0</v>
      </c>
      <c r="BB45" s="69">
        <f t="shared" ca="1" si="80"/>
        <v>0</v>
      </c>
      <c r="BC45" s="69">
        <f t="shared" ca="1" si="80"/>
        <v>0</v>
      </c>
      <c r="BD45" s="69">
        <f t="shared" ca="1" si="80"/>
        <v>0</v>
      </c>
      <c r="BE45" s="69">
        <f t="shared" ca="1" si="80"/>
        <v>0</v>
      </c>
      <c r="BF45" s="69">
        <f t="shared" ca="1" si="80"/>
        <v>0</v>
      </c>
      <c r="BG45" s="69">
        <f t="shared" ca="1" si="80"/>
        <v>0</v>
      </c>
      <c r="BH45" s="69">
        <f t="shared" ca="1" si="80"/>
        <v>0</v>
      </c>
      <c r="BI45" s="69">
        <f t="shared" ca="1" si="80"/>
        <v>0</v>
      </c>
      <c r="BJ45" s="69">
        <f t="shared" ca="1" si="80"/>
        <v>0</v>
      </c>
      <c r="BK45" s="69">
        <f t="shared" ca="1" si="80"/>
        <v>0</v>
      </c>
      <c r="BL45" s="69">
        <f t="shared" ca="1" si="80"/>
        <v>0</v>
      </c>
      <c r="BM45" s="69">
        <f t="shared" ca="1" si="80"/>
        <v>0</v>
      </c>
      <c r="BN45" s="69">
        <f t="shared" ca="1" si="80"/>
        <v>0</v>
      </c>
      <c r="BO45" s="69">
        <f t="shared" ca="1" si="80"/>
        <v>0</v>
      </c>
      <c r="BP45" s="69">
        <f t="shared" ca="1" si="80"/>
        <v>0</v>
      </c>
      <c r="BQ45" s="69">
        <f t="shared" ref="BQ45:EB45" ca="1" si="81">MIN(BQ41+BQ42-BQ43-BQ44,BQ38*$F$3)</f>
        <v>0</v>
      </c>
      <c r="BR45" s="69">
        <f t="shared" ca="1" si="81"/>
        <v>0</v>
      </c>
      <c r="BS45" s="69">
        <f t="shared" ca="1" si="81"/>
        <v>0</v>
      </c>
      <c r="BT45" s="69">
        <f t="shared" ca="1" si="81"/>
        <v>0</v>
      </c>
      <c r="BU45" s="69">
        <f t="shared" ca="1" si="81"/>
        <v>0</v>
      </c>
      <c r="BV45" s="69">
        <f t="shared" ca="1" si="81"/>
        <v>0</v>
      </c>
      <c r="BW45" s="69">
        <f t="shared" ca="1" si="81"/>
        <v>0</v>
      </c>
      <c r="BX45" s="69">
        <f t="shared" ca="1" si="81"/>
        <v>0</v>
      </c>
      <c r="BY45" s="69">
        <f t="shared" ca="1" si="81"/>
        <v>0</v>
      </c>
      <c r="BZ45" s="69">
        <f t="shared" ca="1" si="81"/>
        <v>0</v>
      </c>
      <c r="CA45" s="69">
        <f t="shared" ca="1" si="81"/>
        <v>0</v>
      </c>
      <c r="CB45" s="69">
        <f t="shared" ca="1" si="81"/>
        <v>0</v>
      </c>
      <c r="CC45" s="69">
        <f t="shared" ca="1" si="81"/>
        <v>0</v>
      </c>
      <c r="CD45" s="69">
        <f t="shared" ca="1" si="81"/>
        <v>0</v>
      </c>
      <c r="CE45" s="69">
        <f t="shared" ca="1" si="81"/>
        <v>0</v>
      </c>
      <c r="CF45" s="69">
        <f t="shared" ca="1" si="81"/>
        <v>0</v>
      </c>
      <c r="CG45" s="69">
        <f t="shared" ca="1" si="81"/>
        <v>0</v>
      </c>
      <c r="CH45" s="69">
        <f t="shared" ca="1" si="81"/>
        <v>0</v>
      </c>
      <c r="CI45" s="69">
        <f t="shared" ca="1" si="81"/>
        <v>0</v>
      </c>
      <c r="CJ45" s="69">
        <f t="shared" ca="1" si="81"/>
        <v>0</v>
      </c>
      <c r="CK45" s="69">
        <f t="shared" ca="1" si="81"/>
        <v>0</v>
      </c>
      <c r="CL45" s="69">
        <f t="shared" ca="1" si="81"/>
        <v>0</v>
      </c>
      <c r="CM45" s="69">
        <f t="shared" ca="1" si="81"/>
        <v>0</v>
      </c>
      <c r="CN45" s="69">
        <f t="shared" ca="1" si="81"/>
        <v>0</v>
      </c>
      <c r="CO45" s="69">
        <f t="shared" ca="1" si="81"/>
        <v>0</v>
      </c>
      <c r="CP45" s="69">
        <f t="shared" ca="1" si="81"/>
        <v>0</v>
      </c>
      <c r="CQ45" s="69">
        <f t="shared" ca="1" si="81"/>
        <v>0</v>
      </c>
      <c r="CR45" s="69">
        <f t="shared" ca="1" si="81"/>
        <v>0</v>
      </c>
      <c r="CS45" s="69">
        <f t="shared" ca="1" si="81"/>
        <v>0</v>
      </c>
      <c r="CT45" s="69">
        <f t="shared" ca="1" si="81"/>
        <v>0</v>
      </c>
      <c r="CU45" s="69">
        <f t="shared" ca="1" si="81"/>
        <v>0</v>
      </c>
      <c r="CV45" s="69">
        <f t="shared" ca="1" si="81"/>
        <v>0</v>
      </c>
      <c r="CW45" s="69">
        <f t="shared" ca="1" si="81"/>
        <v>0</v>
      </c>
      <c r="CX45" s="69">
        <f t="shared" ca="1" si="81"/>
        <v>0</v>
      </c>
      <c r="CY45" s="69">
        <f t="shared" ca="1" si="81"/>
        <v>0</v>
      </c>
      <c r="CZ45" s="69">
        <f t="shared" ca="1" si="81"/>
        <v>0</v>
      </c>
      <c r="DA45" s="69">
        <f t="shared" ca="1" si="81"/>
        <v>0</v>
      </c>
      <c r="DB45" s="69">
        <f t="shared" ca="1" si="81"/>
        <v>0</v>
      </c>
      <c r="DC45" s="69">
        <f t="shared" ca="1" si="81"/>
        <v>0</v>
      </c>
      <c r="DD45" s="69">
        <f t="shared" ca="1" si="81"/>
        <v>0</v>
      </c>
      <c r="DE45" s="69">
        <f t="shared" ca="1" si="81"/>
        <v>0</v>
      </c>
      <c r="DF45" s="69">
        <f t="shared" ca="1" si="81"/>
        <v>0</v>
      </c>
      <c r="DG45" s="69">
        <f t="shared" ca="1" si="81"/>
        <v>0</v>
      </c>
      <c r="DH45" s="69">
        <f t="shared" ca="1" si="81"/>
        <v>0</v>
      </c>
      <c r="DI45" s="69">
        <f t="shared" ca="1" si="81"/>
        <v>0</v>
      </c>
      <c r="DJ45" s="69">
        <f t="shared" ca="1" si="81"/>
        <v>0</v>
      </c>
      <c r="DK45" s="69">
        <f t="shared" ca="1" si="81"/>
        <v>0</v>
      </c>
      <c r="DL45" s="69">
        <f t="shared" ca="1" si="81"/>
        <v>0</v>
      </c>
      <c r="DM45" s="69">
        <f t="shared" ca="1" si="81"/>
        <v>0</v>
      </c>
      <c r="DN45" s="69">
        <f t="shared" ca="1" si="81"/>
        <v>0</v>
      </c>
      <c r="DO45" s="69">
        <f t="shared" ca="1" si="81"/>
        <v>0</v>
      </c>
      <c r="DP45" s="69">
        <f t="shared" ca="1" si="81"/>
        <v>0</v>
      </c>
      <c r="DQ45" s="69">
        <f t="shared" ca="1" si="81"/>
        <v>0</v>
      </c>
      <c r="DR45" s="69">
        <f t="shared" ca="1" si="81"/>
        <v>0</v>
      </c>
      <c r="DS45" s="69">
        <f t="shared" ca="1" si="81"/>
        <v>0</v>
      </c>
      <c r="DT45" s="69">
        <f t="shared" ca="1" si="81"/>
        <v>0</v>
      </c>
      <c r="DU45" s="69">
        <f t="shared" ca="1" si="81"/>
        <v>0</v>
      </c>
      <c r="DV45" s="69">
        <f t="shared" ca="1" si="81"/>
        <v>0</v>
      </c>
      <c r="DW45" s="69">
        <f t="shared" ca="1" si="81"/>
        <v>0</v>
      </c>
      <c r="DX45" s="69">
        <f t="shared" ca="1" si="81"/>
        <v>0</v>
      </c>
      <c r="DY45" s="69">
        <f t="shared" ca="1" si="81"/>
        <v>0</v>
      </c>
      <c r="DZ45" s="69">
        <f t="shared" ca="1" si="81"/>
        <v>0</v>
      </c>
      <c r="EA45" s="69">
        <f t="shared" ca="1" si="81"/>
        <v>0</v>
      </c>
      <c r="EB45" s="69">
        <f t="shared" ca="1" si="81"/>
        <v>0</v>
      </c>
      <c r="EC45" s="69">
        <f t="shared" ref="EC45:EE45" ca="1" si="82">MIN(EC41+EC42-EC43-EC44,EC38*$F$3)</f>
        <v>0</v>
      </c>
      <c r="ED45" s="69">
        <f t="shared" ca="1" si="82"/>
        <v>0</v>
      </c>
      <c r="EE45" s="70">
        <f t="shared" ca="1" si="82"/>
        <v>0</v>
      </c>
    </row>
    <row r="46" spans="1:135" x14ac:dyDescent="0.15">
      <c r="A46" s="52" t="s">
        <v>51</v>
      </c>
      <c r="B46" s="7" t="s">
        <v>49</v>
      </c>
      <c r="C46" s="69">
        <f>C41+C42-C43-C44-C45</f>
        <v>7807500</v>
      </c>
      <c r="D46" s="69">
        <f ca="1">D41+D42-D43-D44-D45</f>
        <v>7823344.7674023407</v>
      </c>
      <c r="E46" s="69">
        <f t="shared" ref="E46:BP46" ca="1" si="83">E41+E42-E43-E44-E45</f>
        <v>7847494.6681026137</v>
      </c>
      <c r="F46" s="69">
        <f t="shared" ca="1" si="83"/>
        <v>7868695.8478066837</v>
      </c>
      <c r="G46" s="69">
        <f t="shared" ca="1" si="83"/>
        <v>7892610.6330565475</v>
      </c>
      <c r="H46" s="69">
        <f t="shared" ca="1" si="83"/>
        <v>7913555.8606303697</v>
      </c>
      <c r="I46" s="69">
        <f t="shared" ca="1" si="83"/>
        <v>7937226.3675782653</v>
      </c>
      <c r="J46" s="69">
        <f t="shared" ca="1" si="83"/>
        <v>7960787.2363174558</v>
      </c>
      <c r="K46" s="69">
        <f t="shared" ca="1" si="83"/>
        <v>7981347.0790430075</v>
      </c>
      <c r="L46" s="69">
        <f t="shared" ca="1" si="83"/>
        <v>8004649.8609995861</v>
      </c>
      <c r="M46" s="69">
        <f t="shared" ca="1" si="83"/>
        <v>8024930.9553829143</v>
      </c>
      <c r="N46" s="69">
        <f t="shared" ca="1" si="83"/>
        <v>8047965.9300908921</v>
      </c>
      <c r="O46" s="69">
        <f t="shared" ca="1" si="83"/>
        <v>8070879.5133826649</v>
      </c>
      <c r="P46" s="69">
        <f t="shared" ca="1" si="83"/>
        <v>8084884.9851351902</v>
      </c>
      <c r="Q46" s="69">
        <f t="shared" ca="1" si="83"/>
        <v>8107450.5741035752</v>
      </c>
      <c r="R46" s="69">
        <f t="shared" ca="1" si="83"/>
        <v>8126944.2403908018</v>
      </c>
      <c r="S46" s="69">
        <f t="shared" ca="1" si="83"/>
        <v>8149215.5978701981</v>
      </c>
      <c r="T46" s="69">
        <f t="shared" ca="1" si="83"/>
        <v>8168394.6956699984</v>
      </c>
      <c r="U46" s="69">
        <f t="shared" ca="1" si="83"/>
        <v>8190361.2312895339</v>
      </c>
      <c r="V46" s="69">
        <f t="shared" ca="1" si="83"/>
        <v>8212187.8245278727</v>
      </c>
      <c r="W46" s="69">
        <f t="shared" ca="1" si="83"/>
        <v>8230891.479026678</v>
      </c>
      <c r="X46" s="69">
        <f t="shared" ca="1" si="83"/>
        <v>8252397.2514214609</v>
      </c>
      <c r="Y46" s="69">
        <f t="shared" ca="1" si="83"/>
        <v>8270759.9917289158</v>
      </c>
      <c r="Z46" s="69">
        <f t="shared" ca="1" si="83"/>
        <v>8291933.7137227338</v>
      </c>
      <c r="AA46" s="69">
        <f t="shared" ca="1" si="83"/>
        <v>0</v>
      </c>
      <c r="AB46" s="69">
        <f t="shared" ca="1" si="83"/>
        <v>0</v>
      </c>
      <c r="AC46" s="69">
        <f t="shared" ca="1" si="83"/>
        <v>0</v>
      </c>
      <c r="AD46" s="69">
        <f t="shared" ca="1" si="83"/>
        <v>0</v>
      </c>
      <c r="AE46" s="69">
        <f t="shared" ca="1" si="83"/>
        <v>0</v>
      </c>
      <c r="AF46" s="69">
        <f t="shared" ca="1" si="83"/>
        <v>0</v>
      </c>
      <c r="AG46" s="69">
        <f t="shared" ca="1" si="83"/>
        <v>0</v>
      </c>
      <c r="AH46" s="69">
        <f t="shared" ca="1" si="83"/>
        <v>0</v>
      </c>
      <c r="AI46" s="69">
        <f t="shared" ca="1" si="83"/>
        <v>0</v>
      </c>
      <c r="AJ46" s="69">
        <f t="shared" ca="1" si="83"/>
        <v>0</v>
      </c>
      <c r="AK46" s="69">
        <f t="shared" ca="1" si="83"/>
        <v>0</v>
      </c>
      <c r="AL46" s="69">
        <f t="shared" ca="1" si="83"/>
        <v>0</v>
      </c>
      <c r="AM46" s="69">
        <f t="shared" ca="1" si="83"/>
        <v>0</v>
      </c>
      <c r="AN46" s="69">
        <f t="shared" ca="1" si="83"/>
        <v>0</v>
      </c>
      <c r="AO46" s="69">
        <f t="shared" ca="1" si="83"/>
        <v>0</v>
      </c>
      <c r="AP46" s="69">
        <f t="shared" ca="1" si="83"/>
        <v>0</v>
      </c>
      <c r="AQ46" s="69">
        <f t="shared" ca="1" si="83"/>
        <v>0</v>
      </c>
      <c r="AR46" s="69">
        <f t="shared" ca="1" si="83"/>
        <v>0</v>
      </c>
      <c r="AS46" s="69">
        <f t="shared" ca="1" si="83"/>
        <v>0</v>
      </c>
      <c r="AT46" s="69">
        <f t="shared" ca="1" si="83"/>
        <v>0</v>
      </c>
      <c r="AU46" s="69">
        <f t="shared" ca="1" si="83"/>
        <v>0</v>
      </c>
      <c r="AV46" s="69">
        <f t="shared" ca="1" si="83"/>
        <v>0</v>
      </c>
      <c r="AW46" s="69">
        <f t="shared" ca="1" si="83"/>
        <v>0</v>
      </c>
      <c r="AX46" s="69">
        <f t="shared" ca="1" si="83"/>
        <v>0</v>
      </c>
      <c r="AY46" s="69">
        <f t="shared" ca="1" si="83"/>
        <v>0</v>
      </c>
      <c r="AZ46" s="69">
        <f t="shared" ca="1" si="83"/>
        <v>0</v>
      </c>
      <c r="BA46" s="69">
        <f t="shared" ca="1" si="83"/>
        <v>0</v>
      </c>
      <c r="BB46" s="69">
        <f t="shared" ca="1" si="83"/>
        <v>0</v>
      </c>
      <c r="BC46" s="69">
        <f t="shared" ca="1" si="83"/>
        <v>0</v>
      </c>
      <c r="BD46" s="69">
        <f t="shared" ca="1" si="83"/>
        <v>0</v>
      </c>
      <c r="BE46" s="69">
        <f t="shared" ca="1" si="83"/>
        <v>0</v>
      </c>
      <c r="BF46" s="69">
        <f t="shared" ca="1" si="83"/>
        <v>0</v>
      </c>
      <c r="BG46" s="69">
        <f t="shared" ca="1" si="83"/>
        <v>0</v>
      </c>
      <c r="BH46" s="69">
        <f t="shared" ca="1" si="83"/>
        <v>0</v>
      </c>
      <c r="BI46" s="69">
        <f t="shared" ca="1" si="83"/>
        <v>0</v>
      </c>
      <c r="BJ46" s="69">
        <f t="shared" ca="1" si="83"/>
        <v>0</v>
      </c>
      <c r="BK46" s="69">
        <f t="shared" ca="1" si="83"/>
        <v>0</v>
      </c>
      <c r="BL46" s="69">
        <f t="shared" ca="1" si="83"/>
        <v>0</v>
      </c>
      <c r="BM46" s="69">
        <f t="shared" ca="1" si="83"/>
        <v>0</v>
      </c>
      <c r="BN46" s="69">
        <f t="shared" ca="1" si="83"/>
        <v>0</v>
      </c>
      <c r="BO46" s="69">
        <f t="shared" ca="1" si="83"/>
        <v>0</v>
      </c>
      <c r="BP46" s="69">
        <f t="shared" ca="1" si="83"/>
        <v>0</v>
      </c>
      <c r="BQ46" s="69">
        <f t="shared" ref="BQ46:EB46" ca="1" si="84">BQ41+BQ42-BQ43-BQ44-BQ45</f>
        <v>0</v>
      </c>
      <c r="BR46" s="69">
        <f t="shared" ca="1" si="84"/>
        <v>0</v>
      </c>
      <c r="BS46" s="69">
        <f t="shared" ca="1" si="84"/>
        <v>0</v>
      </c>
      <c r="BT46" s="69">
        <f t="shared" ca="1" si="84"/>
        <v>0</v>
      </c>
      <c r="BU46" s="69">
        <f t="shared" ca="1" si="84"/>
        <v>0</v>
      </c>
      <c r="BV46" s="69">
        <f t="shared" ca="1" si="84"/>
        <v>0</v>
      </c>
      <c r="BW46" s="69">
        <f t="shared" ca="1" si="84"/>
        <v>0</v>
      </c>
      <c r="BX46" s="69">
        <f t="shared" ca="1" si="84"/>
        <v>0</v>
      </c>
      <c r="BY46" s="69">
        <f t="shared" ca="1" si="84"/>
        <v>0</v>
      </c>
      <c r="BZ46" s="69">
        <f t="shared" ca="1" si="84"/>
        <v>0</v>
      </c>
      <c r="CA46" s="69">
        <f t="shared" ca="1" si="84"/>
        <v>0</v>
      </c>
      <c r="CB46" s="69">
        <f t="shared" ca="1" si="84"/>
        <v>0</v>
      </c>
      <c r="CC46" s="69">
        <f t="shared" ca="1" si="84"/>
        <v>0</v>
      </c>
      <c r="CD46" s="69">
        <f t="shared" ca="1" si="84"/>
        <v>0</v>
      </c>
      <c r="CE46" s="69">
        <f t="shared" ca="1" si="84"/>
        <v>0</v>
      </c>
      <c r="CF46" s="69">
        <f t="shared" ca="1" si="84"/>
        <v>0</v>
      </c>
      <c r="CG46" s="69">
        <f t="shared" ca="1" si="84"/>
        <v>0</v>
      </c>
      <c r="CH46" s="69">
        <f t="shared" ca="1" si="84"/>
        <v>0</v>
      </c>
      <c r="CI46" s="69">
        <f t="shared" ca="1" si="84"/>
        <v>0</v>
      </c>
      <c r="CJ46" s="69">
        <f t="shared" ca="1" si="84"/>
        <v>0</v>
      </c>
      <c r="CK46" s="69">
        <f t="shared" ca="1" si="84"/>
        <v>0</v>
      </c>
      <c r="CL46" s="69">
        <f t="shared" ca="1" si="84"/>
        <v>0</v>
      </c>
      <c r="CM46" s="69">
        <f t="shared" ca="1" si="84"/>
        <v>0</v>
      </c>
      <c r="CN46" s="69">
        <f t="shared" ca="1" si="84"/>
        <v>0</v>
      </c>
      <c r="CO46" s="69">
        <f t="shared" ca="1" si="84"/>
        <v>0</v>
      </c>
      <c r="CP46" s="69">
        <f t="shared" ca="1" si="84"/>
        <v>0</v>
      </c>
      <c r="CQ46" s="69">
        <f t="shared" ca="1" si="84"/>
        <v>0</v>
      </c>
      <c r="CR46" s="69">
        <f t="shared" ca="1" si="84"/>
        <v>0</v>
      </c>
      <c r="CS46" s="69">
        <f t="shared" ca="1" si="84"/>
        <v>0</v>
      </c>
      <c r="CT46" s="69">
        <f t="shared" ca="1" si="84"/>
        <v>0</v>
      </c>
      <c r="CU46" s="69">
        <f t="shared" ca="1" si="84"/>
        <v>0</v>
      </c>
      <c r="CV46" s="69">
        <f t="shared" ca="1" si="84"/>
        <v>0</v>
      </c>
      <c r="CW46" s="69">
        <f t="shared" ca="1" si="84"/>
        <v>0</v>
      </c>
      <c r="CX46" s="69">
        <f t="shared" ca="1" si="84"/>
        <v>0</v>
      </c>
      <c r="CY46" s="69">
        <f t="shared" ca="1" si="84"/>
        <v>0</v>
      </c>
      <c r="CZ46" s="69">
        <f t="shared" ca="1" si="84"/>
        <v>0</v>
      </c>
      <c r="DA46" s="69">
        <f t="shared" ca="1" si="84"/>
        <v>0</v>
      </c>
      <c r="DB46" s="69">
        <f t="shared" ca="1" si="84"/>
        <v>0</v>
      </c>
      <c r="DC46" s="69">
        <f t="shared" ca="1" si="84"/>
        <v>0</v>
      </c>
      <c r="DD46" s="69">
        <f t="shared" ca="1" si="84"/>
        <v>0</v>
      </c>
      <c r="DE46" s="69">
        <f t="shared" ca="1" si="84"/>
        <v>0</v>
      </c>
      <c r="DF46" s="69">
        <f t="shared" ca="1" si="84"/>
        <v>0</v>
      </c>
      <c r="DG46" s="69">
        <f t="shared" ca="1" si="84"/>
        <v>0</v>
      </c>
      <c r="DH46" s="69">
        <f t="shared" ca="1" si="84"/>
        <v>0</v>
      </c>
      <c r="DI46" s="69">
        <f t="shared" ca="1" si="84"/>
        <v>0</v>
      </c>
      <c r="DJ46" s="69">
        <f t="shared" ca="1" si="84"/>
        <v>0</v>
      </c>
      <c r="DK46" s="69">
        <f t="shared" ca="1" si="84"/>
        <v>0</v>
      </c>
      <c r="DL46" s="69">
        <f t="shared" ca="1" si="84"/>
        <v>0</v>
      </c>
      <c r="DM46" s="69">
        <f t="shared" ca="1" si="84"/>
        <v>0</v>
      </c>
      <c r="DN46" s="69">
        <f t="shared" ca="1" si="84"/>
        <v>0</v>
      </c>
      <c r="DO46" s="69">
        <f t="shared" ca="1" si="84"/>
        <v>0</v>
      </c>
      <c r="DP46" s="69">
        <f t="shared" ca="1" si="84"/>
        <v>0</v>
      </c>
      <c r="DQ46" s="69">
        <f t="shared" ca="1" si="84"/>
        <v>0</v>
      </c>
      <c r="DR46" s="69">
        <f t="shared" ca="1" si="84"/>
        <v>0</v>
      </c>
      <c r="DS46" s="69">
        <f t="shared" ca="1" si="84"/>
        <v>0</v>
      </c>
      <c r="DT46" s="69">
        <f t="shared" ca="1" si="84"/>
        <v>0</v>
      </c>
      <c r="DU46" s="69">
        <f t="shared" ca="1" si="84"/>
        <v>0</v>
      </c>
      <c r="DV46" s="69">
        <f t="shared" ca="1" si="84"/>
        <v>0</v>
      </c>
      <c r="DW46" s="69">
        <f t="shared" ca="1" si="84"/>
        <v>0</v>
      </c>
      <c r="DX46" s="69">
        <f t="shared" ca="1" si="84"/>
        <v>0</v>
      </c>
      <c r="DY46" s="69">
        <f t="shared" ca="1" si="84"/>
        <v>0</v>
      </c>
      <c r="DZ46" s="69">
        <f t="shared" ca="1" si="84"/>
        <v>0</v>
      </c>
      <c r="EA46" s="69">
        <f t="shared" ca="1" si="84"/>
        <v>0</v>
      </c>
      <c r="EB46" s="69">
        <f t="shared" ca="1" si="84"/>
        <v>0</v>
      </c>
      <c r="EC46" s="69">
        <f t="shared" ref="EC46:EE46" ca="1" si="85">EC41+EC42-EC43-EC44-EC45</f>
        <v>0</v>
      </c>
      <c r="ED46" s="69">
        <f t="shared" ca="1" si="85"/>
        <v>0</v>
      </c>
      <c r="EE46" s="70">
        <f t="shared" ca="1" si="85"/>
        <v>0</v>
      </c>
    </row>
    <row r="47" spans="1:135" x14ac:dyDescent="0.15">
      <c r="A47" s="71">
        <f ca="1">IFERROR(XIRR(C47:EE47,$C$12:$EE$12),0)</f>
        <v>0.14000000357627859</v>
      </c>
      <c r="B47" s="55" t="s">
        <v>50</v>
      </c>
      <c r="C47" s="72">
        <f>SUM(C43:C45)</f>
        <v>-7807500</v>
      </c>
      <c r="D47" s="72">
        <f ca="1">SUM(D43:D45)</f>
        <v>63027.916912651017</v>
      </c>
      <c r="E47" s="72">
        <f t="shared" ref="E47:BP47" ca="1" si="86">SUM(E43:E45)</f>
        <v>63397.857378496577</v>
      </c>
      <c r="F47" s="72">
        <f t="shared" ca="1" si="86"/>
        <v>63768.710217330539</v>
      </c>
      <c r="G47" s="72">
        <f t="shared" ca="1" si="86"/>
        <v>64140.477679310941</v>
      </c>
      <c r="H47" s="72">
        <f t="shared" ca="1" si="86"/>
        <v>64513.162020145166</v>
      </c>
      <c r="I47" s="72">
        <f t="shared" ca="1" si="86"/>
        <v>64886.76550110375</v>
      </c>
      <c r="J47" s="72">
        <f t="shared" ca="1" si="86"/>
        <v>65261.2903890343</v>
      </c>
      <c r="K47" s="72">
        <f t="shared" ca="1" si="86"/>
        <v>65636.738956374887</v>
      </c>
      <c r="L47" s="72">
        <f t="shared" ca="1" si="86"/>
        <v>66013.113481168213</v>
      </c>
      <c r="M47" s="72">
        <f t="shared" ca="1" si="86"/>
        <v>66390.416247075045</v>
      </c>
      <c r="N47" s="72">
        <f t="shared" ca="1" si="86"/>
        <v>66768.64954338847</v>
      </c>
      <c r="O47" s="72">
        <f t="shared" ca="1" si="86"/>
        <v>67147.815665047485</v>
      </c>
      <c r="P47" s="72">
        <f t="shared" ca="1" si="86"/>
        <v>67527.916912650995</v>
      </c>
      <c r="Q47" s="72">
        <f t="shared" ca="1" si="86"/>
        <v>67908.955592471917</v>
      </c>
      <c r="R47" s="72">
        <f t="shared" ca="1" si="86"/>
        <v>68290.934016470928</v>
      </c>
      <c r="S47" s="72">
        <f t="shared" ca="1" si="86"/>
        <v>68673.854502310787</v>
      </c>
      <c r="T47" s="72">
        <f t="shared" ca="1" si="86"/>
        <v>69057.719373369997</v>
      </c>
      <c r="U47" s="72">
        <f t="shared" ca="1" si="86"/>
        <v>69442.530958757343</v>
      </c>
      <c r="V47" s="72">
        <f t="shared" ca="1" si="86"/>
        <v>69828.291593325819</v>
      </c>
      <c r="W47" s="72">
        <f t="shared" ca="1" si="86"/>
        <v>70215.003617686627</v>
      </c>
      <c r="X47" s="72">
        <f t="shared" ca="1" si="86"/>
        <v>70602.669378223727</v>
      </c>
      <c r="Y47" s="72">
        <f t="shared" ca="1" si="86"/>
        <v>70991.291227107766</v>
      </c>
      <c r="Z47" s="72">
        <f t="shared" ca="1" si="86"/>
        <v>71380.871522310597</v>
      </c>
      <c r="AA47" s="72">
        <f t="shared" ca="1" si="86"/>
        <v>8384725.253448681</v>
      </c>
      <c r="AB47" s="72">
        <f t="shared" ca="1" si="86"/>
        <v>0</v>
      </c>
      <c r="AC47" s="72">
        <f t="shared" ca="1" si="86"/>
        <v>0</v>
      </c>
      <c r="AD47" s="72">
        <f t="shared" ca="1" si="86"/>
        <v>0</v>
      </c>
      <c r="AE47" s="72">
        <f t="shared" ca="1" si="86"/>
        <v>0</v>
      </c>
      <c r="AF47" s="72">
        <f t="shared" ca="1" si="86"/>
        <v>0</v>
      </c>
      <c r="AG47" s="72">
        <f t="shared" ca="1" si="86"/>
        <v>0</v>
      </c>
      <c r="AH47" s="72">
        <f t="shared" ca="1" si="86"/>
        <v>0</v>
      </c>
      <c r="AI47" s="72">
        <f t="shared" ca="1" si="86"/>
        <v>0</v>
      </c>
      <c r="AJ47" s="72">
        <f t="shared" ca="1" si="86"/>
        <v>0</v>
      </c>
      <c r="AK47" s="72">
        <f t="shared" ca="1" si="86"/>
        <v>0</v>
      </c>
      <c r="AL47" s="72">
        <f t="shared" ca="1" si="86"/>
        <v>0</v>
      </c>
      <c r="AM47" s="72">
        <f t="shared" ca="1" si="86"/>
        <v>0</v>
      </c>
      <c r="AN47" s="72">
        <f t="shared" ca="1" si="86"/>
        <v>0</v>
      </c>
      <c r="AO47" s="72">
        <f t="shared" ca="1" si="86"/>
        <v>0</v>
      </c>
      <c r="AP47" s="72">
        <f t="shared" ca="1" si="86"/>
        <v>0</v>
      </c>
      <c r="AQ47" s="72">
        <f t="shared" ca="1" si="86"/>
        <v>0</v>
      </c>
      <c r="AR47" s="72">
        <f t="shared" ca="1" si="86"/>
        <v>0</v>
      </c>
      <c r="AS47" s="72">
        <f t="shared" ca="1" si="86"/>
        <v>0</v>
      </c>
      <c r="AT47" s="72">
        <f t="shared" ca="1" si="86"/>
        <v>0</v>
      </c>
      <c r="AU47" s="72">
        <f t="shared" ca="1" si="86"/>
        <v>0</v>
      </c>
      <c r="AV47" s="72">
        <f t="shared" ca="1" si="86"/>
        <v>0</v>
      </c>
      <c r="AW47" s="72">
        <f t="shared" ca="1" si="86"/>
        <v>0</v>
      </c>
      <c r="AX47" s="72">
        <f t="shared" ca="1" si="86"/>
        <v>0</v>
      </c>
      <c r="AY47" s="72">
        <f t="shared" ca="1" si="86"/>
        <v>0</v>
      </c>
      <c r="AZ47" s="72">
        <f t="shared" ca="1" si="86"/>
        <v>0</v>
      </c>
      <c r="BA47" s="72">
        <f t="shared" ca="1" si="86"/>
        <v>0</v>
      </c>
      <c r="BB47" s="72">
        <f t="shared" ca="1" si="86"/>
        <v>0</v>
      </c>
      <c r="BC47" s="72">
        <f t="shared" ca="1" si="86"/>
        <v>0</v>
      </c>
      <c r="BD47" s="72">
        <f t="shared" ca="1" si="86"/>
        <v>0</v>
      </c>
      <c r="BE47" s="72">
        <f t="shared" ca="1" si="86"/>
        <v>0</v>
      </c>
      <c r="BF47" s="72">
        <f t="shared" ca="1" si="86"/>
        <v>0</v>
      </c>
      <c r="BG47" s="72">
        <f t="shared" ca="1" si="86"/>
        <v>0</v>
      </c>
      <c r="BH47" s="72">
        <f t="shared" ca="1" si="86"/>
        <v>0</v>
      </c>
      <c r="BI47" s="72">
        <f t="shared" ca="1" si="86"/>
        <v>0</v>
      </c>
      <c r="BJ47" s="72">
        <f t="shared" ca="1" si="86"/>
        <v>0</v>
      </c>
      <c r="BK47" s="72">
        <f t="shared" ca="1" si="86"/>
        <v>0</v>
      </c>
      <c r="BL47" s="72">
        <f t="shared" ca="1" si="86"/>
        <v>0</v>
      </c>
      <c r="BM47" s="72">
        <f t="shared" ca="1" si="86"/>
        <v>0</v>
      </c>
      <c r="BN47" s="72">
        <f t="shared" ca="1" si="86"/>
        <v>0</v>
      </c>
      <c r="BO47" s="72">
        <f t="shared" ca="1" si="86"/>
        <v>0</v>
      </c>
      <c r="BP47" s="72">
        <f t="shared" ca="1" si="86"/>
        <v>0</v>
      </c>
      <c r="BQ47" s="72">
        <f t="shared" ref="BQ47:EB47" ca="1" si="87">SUM(BQ43:BQ45)</f>
        <v>0</v>
      </c>
      <c r="BR47" s="72">
        <f t="shared" ca="1" si="87"/>
        <v>0</v>
      </c>
      <c r="BS47" s="72">
        <f t="shared" ca="1" si="87"/>
        <v>0</v>
      </c>
      <c r="BT47" s="72">
        <f t="shared" ca="1" si="87"/>
        <v>0</v>
      </c>
      <c r="BU47" s="72">
        <f t="shared" ca="1" si="87"/>
        <v>0</v>
      </c>
      <c r="BV47" s="72">
        <f t="shared" ca="1" si="87"/>
        <v>0</v>
      </c>
      <c r="BW47" s="72">
        <f t="shared" ca="1" si="87"/>
        <v>0</v>
      </c>
      <c r="BX47" s="72">
        <f t="shared" ca="1" si="87"/>
        <v>0</v>
      </c>
      <c r="BY47" s="72">
        <f t="shared" ca="1" si="87"/>
        <v>0</v>
      </c>
      <c r="BZ47" s="72">
        <f t="shared" ca="1" si="87"/>
        <v>0</v>
      </c>
      <c r="CA47" s="72">
        <f t="shared" ca="1" si="87"/>
        <v>0</v>
      </c>
      <c r="CB47" s="72">
        <f t="shared" ca="1" si="87"/>
        <v>0</v>
      </c>
      <c r="CC47" s="72">
        <f t="shared" ca="1" si="87"/>
        <v>0</v>
      </c>
      <c r="CD47" s="72">
        <f t="shared" ca="1" si="87"/>
        <v>0</v>
      </c>
      <c r="CE47" s="72">
        <f t="shared" ca="1" si="87"/>
        <v>0</v>
      </c>
      <c r="CF47" s="72">
        <f t="shared" ca="1" si="87"/>
        <v>0</v>
      </c>
      <c r="CG47" s="72">
        <f t="shared" ca="1" si="87"/>
        <v>0</v>
      </c>
      <c r="CH47" s="72">
        <f t="shared" ca="1" si="87"/>
        <v>0</v>
      </c>
      <c r="CI47" s="72">
        <f t="shared" ca="1" si="87"/>
        <v>0</v>
      </c>
      <c r="CJ47" s="72">
        <f t="shared" ca="1" si="87"/>
        <v>0</v>
      </c>
      <c r="CK47" s="72">
        <f t="shared" ca="1" si="87"/>
        <v>0</v>
      </c>
      <c r="CL47" s="72">
        <f t="shared" ca="1" si="87"/>
        <v>0</v>
      </c>
      <c r="CM47" s="72">
        <f t="shared" ca="1" si="87"/>
        <v>0</v>
      </c>
      <c r="CN47" s="72">
        <f t="shared" ca="1" si="87"/>
        <v>0</v>
      </c>
      <c r="CO47" s="72">
        <f t="shared" ca="1" si="87"/>
        <v>0</v>
      </c>
      <c r="CP47" s="72">
        <f t="shared" ca="1" si="87"/>
        <v>0</v>
      </c>
      <c r="CQ47" s="72">
        <f t="shared" ca="1" si="87"/>
        <v>0</v>
      </c>
      <c r="CR47" s="72">
        <f t="shared" ca="1" si="87"/>
        <v>0</v>
      </c>
      <c r="CS47" s="72">
        <f t="shared" ca="1" si="87"/>
        <v>0</v>
      </c>
      <c r="CT47" s="72">
        <f t="shared" ca="1" si="87"/>
        <v>0</v>
      </c>
      <c r="CU47" s="72">
        <f t="shared" ca="1" si="87"/>
        <v>0</v>
      </c>
      <c r="CV47" s="72">
        <f t="shared" ca="1" si="87"/>
        <v>0</v>
      </c>
      <c r="CW47" s="72">
        <f t="shared" ca="1" si="87"/>
        <v>0</v>
      </c>
      <c r="CX47" s="72">
        <f t="shared" ca="1" si="87"/>
        <v>0</v>
      </c>
      <c r="CY47" s="72">
        <f t="shared" ca="1" si="87"/>
        <v>0</v>
      </c>
      <c r="CZ47" s="72">
        <f t="shared" ca="1" si="87"/>
        <v>0</v>
      </c>
      <c r="DA47" s="72">
        <f t="shared" ca="1" si="87"/>
        <v>0</v>
      </c>
      <c r="DB47" s="72">
        <f t="shared" ca="1" si="87"/>
        <v>0</v>
      </c>
      <c r="DC47" s="72">
        <f t="shared" ca="1" si="87"/>
        <v>0</v>
      </c>
      <c r="DD47" s="72">
        <f t="shared" ca="1" si="87"/>
        <v>0</v>
      </c>
      <c r="DE47" s="72">
        <f t="shared" ca="1" si="87"/>
        <v>0</v>
      </c>
      <c r="DF47" s="72">
        <f t="shared" ca="1" si="87"/>
        <v>0</v>
      </c>
      <c r="DG47" s="72">
        <f t="shared" ca="1" si="87"/>
        <v>0</v>
      </c>
      <c r="DH47" s="72">
        <f t="shared" ca="1" si="87"/>
        <v>0</v>
      </c>
      <c r="DI47" s="72">
        <f t="shared" ca="1" si="87"/>
        <v>0</v>
      </c>
      <c r="DJ47" s="72">
        <f t="shared" ca="1" si="87"/>
        <v>0</v>
      </c>
      <c r="DK47" s="72">
        <f t="shared" ca="1" si="87"/>
        <v>0</v>
      </c>
      <c r="DL47" s="72">
        <f t="shared" ca="1" si="87"/>
        <v>0</v>
      </c>
      <c r="DM47" s="72">
        <f t="shared" ca="1" si="87"/>
        <v>0</v>
      </c>
      <c r="DN47" s="72">
        <f t="shared" ca="1" si="87"/>
        <v>0</v>
      </c>
      <c r="DO47" s="72">
        <f t="shared" ca="1" si="87"/>
        <v>0</v>
      </c>
      <c r="DP47" s="72">
        <f t="shared" ca="1" si="87"/>
        <v>0</v>
      </c>
      <c r="DQ47" s="72">
        <f t="shared" ca="1" si="87"/>
        <v>0</v>
      </c>
      <c r="DR47" s="72">
        <f t="shared" ca="1" si="87"/>
        <v>0</v>
      </c>
      <c r="DS47" s="72">
        <f t="shared" ca="1" si="87"/>
        <v>0</v>
      </c>
      <c r="DT47" s="72">
        <f t="shared" ca="1" si="87"/>
        <v>0</v>
      </c>
      <c r="DU47" s="72">
        <f t="shared" ca="1" si="87"/>
        <v>0</v>
      </c>
      <c r="DV47" s="72">
        <f t="shared" ca="1" si="87"/>
        <v>0</v>
      </c>
      <c r="DW47" s="72">
        <f t="shared" ca="1" si="87"/>
        <v>0</v>
      </c>
      <c r="DX47" s="72">
        <f t="shared" ca="1" si="87"/>
        <v>0</v>
      </c>
      <c r="DY47" s="72">
        <f t="shared" ca="1" si="87"/>
        <v>0</v>
      </c>
      <c r="DZ47" s="72">
        <f t="shared" ca="1" si="87"/>
        <v>0</v>
      </c>
      <c r="EA47" s="72">
        <f t="shared" ca="1" si="87"/>
        <v>0</v>
      </c>
      <c r="EB47" s="72">
        <f t="shared" ca="1" si="87"/>
        <v>0</v>
      </c>
      <c r="EC47" s="72">
        <f t="shared" ref="EC47:EE47" ca="1" si="88">SUM(EC43:EC45)</f>
        <v>0</v>
      </c>
      <c r="ED47" s="72">
        <f t="shared" ca="1" si="88"/>
        <v>0</v>
      </c>
      <c r="EE47" s="73">
        <f t="shared" ca="1" si="88"/>
        <v>0</v>
      </c>
    </row>
    <row r="48" spans="1:135" x14ac:dyDescent="0.15">
      <c r="A48" s="60"/>
      <c r="B48" s="7" t="s">
        <v>53</v>
      </c>
      <c r="C48" s="69">
        <f>C45/$F$3*$E$3</f>
        <v>0</v>
      </c>
      <c r="D48" s="69">
        <f t="shared" ref="D48:BO48" ca="1" si="89">D45/$F$3*$E$3</f>
        <v>0</v>
      </c>
      <c r="E48" s="69">
        <f t="shared" ca="1" si="89"/>
        <v>0</v>
      </c>
      <c r="F48" s="69">
        <f t="shared" ca="1" si="89"/>
        <v>0</v>
      </c>
      <c r="G48" s="69">
        <f t="shared" ca="1" si="89"/>
        <v>0</v>
      </c>
      <c r="H48" s="69">
        <f t="shared" ca="1" si="89"/>
        <v>0</v>
      </c>
      <c r="I48" s="69">
        <f t="shared" ca="1" si="89"/>
        <v>0</v>
      </c>
      <c r="J48" s="69">
        <f t="shared" ca="1" si="89"/>
        <v>0</v>
      </c>
      <c r="K48" s="69">
        <f t="shared" ca="1" si="89"/>
        <v>0</v>
      </c>
      <c r="L48" s="69">
        <f t="shared" ca="1" si="89"/>
        <v>0</v>
      </c>
      <c r="M48" s="69">
        <f t="shared" ca="1" si="89"/>
        <v>0</v>
      </c>
      <c r="N48" s="69">
        <f t="shared" ca="1" si="89"/>
        <v>0</v>
      </c>
      <c r="O48" s="69">
        <f t="shared" ca="1" si="89"/>
        <v>0</v>
      </c>
      <c r="P48" s="69">
        <f t="shared" ca="1" si="89"/>
        <v>0</v>
      </c>
      <c r="Q48" s="69">
        <f t="shared" ca="1" si="89"/>
        <v>0</v>
      </c>
      <c r="R48" s="69">
        <f t="shared" ca="1" si="89"/>
        <v>0</v>
      </c>
      <c r="S48" s="69">
        <f t="shared" ca="1" si="89"/>
        <v>0</v>
      </c>
      <c r="T48" s="69">
        <f t="shared" ca="1" si="89"/>
        <v>0</v>
      </c>
      <c r="U48" s="69">
        <f t="shared" ca="1" si="89"/>
        <v>0</v>
      </c>
      <c r="V48" s="69">
        <f t="shared" ca="1" si="89"/>
        <v>0</v>
      </c>
      <c r="W48" s="69">
        <f t="shared" ca="1" si="89"/>
        <v>0</v>
      </c>
      <c r="X48" s="69">
        <f t="shared" ca="1" si="89"/>
        <v>0</v>
      </c>
      <c r="Y48" s="69">
        <f t="shared" ca="1" si="89"/>
        <v>0</v>
      </c>
      <c r="Z48" s="69">
        <f t="shared" ca="1" si="89"/>
        <v>0</v>
      </c>
      <c r="AA48" s="69">
        <f t="shared" ca="1" si="89"/>
        <v>42993.472702272709</v>
      </c>
      <c r="AB48" s="69">
        <f t="shared" ca="1" si="89"/>
        <v>0</v>
      </c>
      <c r="AC48" s="69">
        <f t="shared" ca="1" si="89"/>
        <v>0</v>
      </c>
      <c r="AD48" s="69">
        <f t="shared" ca="1" si="89"/>
        <v>0</v>
      </c>
      <c r="AE48" s="69">
        <f t="shared" ca="1" si="89"/>
        <v>0</v>
      </c>
      <c r="AF48" s="69">
        <f t="shared" ca="1" si="89"/>
        <v>0</v>
      </c>
      <c r="AG48" s="69">
        <f t="shared" ca="1" si="89"/>
        <v>0</v>
      </c>
      <c r="AH48" s="69">
        <f t="shared" ca="1" si="89"/>
        <v>0</v>
      </c>
      <c r="AI48" s="69">
        <f t="shared" ca="1" si="89"/>
        <v>0</v>
      </c>
      <c r="AJ48" s="69">
        <f t="shared" ca="1" si="89"/>
        <v>0</v>
      </c>
      <c r="AK48" s="69">
        <f t="shared" ca="1" si="89"/>
        <v>0</v>
      </c>
      <c r="AL48" s="69">
        <f t="shared" ca="1" si="89"/>
        <v>0</v>
      </c>
      <c r="AM48" s="69">
        <f t="shared" ca="1" si="89"/>
        <v>0</v>
      </c>
      <c r="AN48" s="69">
        <f t="shared" ca="1" si="89"/>
        <v>0</v>
      </c>
      <c r="AO48" s="69">
        <f t="shared" ca="1" si="89"/>
        <v>0</v>
      </c>
      <c r="AP48" s="69">
        <f t="shared" ca="1" si="89"/>
        <v>0</v>
      </c>
      <c r="AQ48" s="69">
        <f t="shared" ca="1" si="89"/>
        <v>0</v>
      </c>
      <c r="AR48" s="69">
        <f t="shared" ca="1" si="89"/>
        <v>0</v>
      </c>
      <c r="AS48" s="69">
        <f t="shared" ca="1" si="89"/>
        <v>0</v>
      </c>
      <c r="AT48" s="69">
        <f t="shared" ca="1" si="89"/>
        <v>0</v>
      </c>
      <c r="AU48" s="69">
        <f t="shared" ca="1" si="89"/>
        <v>0</v>
      </c>
      <c r="AV48" s="69">
        <f t="shared" ca="1" si="89"/>
        <v>0</v>
      </c>
      <c r="AW48" s="69">
        <f t="shared" ca="1" si="89"/>
        <v>0</v>
      </c>
      <c r="AX48" s="69">
        <f t="shared" ca="1" si="89"/>
        <v>0</v>
      </c>
      <c r="AY48" s="69">
        <f t="shared" ca="1" si="89"/>
        <v>0</v>
      </c>
      <c r="AZ48" s="69">
        <f t="shared" ca="1" si="89"/>
        <v>0</v>
      </c>
      <c r="BA48" s="69">
        <f t="shared" ca="1" si="89"/>
        <v>0</v>
      </c>
      <c r="BB48" s="69">
        <f t="shared" ca="1" si="89"/>
        <v>0</v>
      </c>
      <c r="BC48" s="69">
        <f t="shared" ca="1" si="89"/>
        <v>0</v>
      </c>
      <c r="BD48" s="69">
        <f t="shared" ca="1" si="89"/>
        <v>0</v>
      </c>
      <c r="BE48" s="69">
        <f t="shared" ca="1" si="89"/>
        <v>0</v>
      </c>
      <c r="BF48" s="69">
        <f t="shared" ca="1" si="89"/>
        <v>0</v>
      </c>
      <c r="BG48" s="69">
        <f t="shared" ca="1" si="89"/>
        <v>0</v>
      </c>
      <c r="BH48" s="69">
        <f t="shared" ca="1" si="89"/>
        <v>0</v>
      </c>
      <c r="BI48" s="69">
        <f t="shared" ca="1" si="89"/>
        <v>0</v>
      </c>
      <c r="BJ48" s="69">
        <f t="shared" ca="1" si="89"/>
        <v>0</v>
      </c>
      <c r="BK48" s="69">
        <f t="shared" ca="1" si="89"/>
        <v>0</v>
      </c>
      <c r="BL48" s="69">
        <f t="shared" ca="1" si="89"/>
        <v>0</v>
      </c>
      <c r="BM48" s="69">
        <f t="shared" ca="1" si="89"/>
        <v>0</v>
      </c>
      <c r="BN48" s="69">
        <f t="shared" ca="1" si="89"/>
        <v>0</v>
      </c>
      <c r="BO48" s="69">
        <f t="shared" ca="1" si="89"/>
        <v>0</v>
      </c>
      <c r="BP48" s="69">
        <f t="shared" ref="BP48:EA48" ca="1" si="90">BP45/$F$3*$E$3</f>
        <v>0</v>
      </c>
      <c r="BQ48" s="69">
        <f t="shared" ca="1" si="90"/>
        <v>0</v>
      </c>
      <c r="BR48" s="69">
        <f t="shared" ca="1" si="90"/>
        <v>0</v>
      </c>
      <c r="BS48" s="69">
        <f t="shared" ca="1" si="90"/>
        <v>0</v>
      </c>
      <c r="BT48" s="69">
        <f t="shared" ca="1" si="90"/>
        <v>0</v>
      </c>
      <c r="BU48" s="69">
        <f t="shared" ca="1" si="90"/>
        <v>0</v>
      </c>
      <c r="BV48" s="69">
        <f t="shared" ca="1" si="90"/>
        <v>0</v>
      </c>
      <c r="BW48" s="69">
        <f t="shared" ca="1" si="90"/>
        <v>0</v>
      </c>
      <c r="BX48" s="69">
        <f t="shared" ca="1" si="90"/>
        <v>0</v>
      </c>
      <c r="BY48" s="69">
        <f t="shared" ca="1" si="90"/>
        <v>0</v>
      </c>
      <c r="BZ48" s="69">
        <f t="shared" ca="1" si="90"/>
        <v>0</v>
      </c>
      <c r="CA48" s="69">
        <f t="shared" ca="1" si="90"/>
        <v>0</v>
      </c>
      <c r="CB48" s="69">
        <f t="shared" ca="1" si="90"/>
        <v>0</v>
      </c>
      <c r="CC48" s="69">
        <f t="shared" ca="1" si="90"/>
        <v>0</v>
      </c>
      <c r="CD48" s="69">
        <f t="shared" ca="1" si="90"/>
        <v>0</v>
      </c>
      <c r="CE48" s="69">
        <f t="shared" ca="1" si="90"/>
        <v>0</v>
      </c>
      <c r="CF48" s="69">
        <f t="shared" ca="1" si="90"/>
        <v>0</v>
      </c>
      <c r="CG48" s="69">
        <f t="shared" ca="1" si="90"/>
        <v>0</v>
      </c>
      <c r="CH48" s="69">
        <f t="shared" ca="1" si="90"/>
        <v>0</v>
      </c>
      <c r="CI48" s="69">
        <f t="shared" ca="1" si="90"/>
        <v>0</v>
      </c>
      <c r="CJ48" s="69">
        <f t="shared" ca="1" si="90"/>
        <v>0</v>
      </c>
      <c r="CK48" s="69">
        <f t="shared" ca="1" si="90"/>
        <v>0</v>
      </c>
      <c r="CL48" s="69">
        <f t="shared" ca="1" si="90"/>
        <v>0</v>
      </c>
      <c r="CM48" s="69">
        <f t="shared" ca="1" si="90"/>
        <v>0</v>
      </c>
      <c r="CN48" s="69">
        <f t="shared" ca="1" si="90"/>
        <v>0</v>
      </c>
      <c r="CO48" s="69">
        <f t="shared" ca="1" si="90"/>
        <v>0</v>
      </c>
      <c r="CP48" s="69">
        <f t="shared" ca="1" si="90"/>
        <v>0</v>
      </c>
      <c r="CQ48" s="69">
        <f t="shared" ca="1" si="90"/>
        <v>0</v>
      </c>
      <c r="CR48" s="69">
        <f t="shared" ca="1" si="90"/>
        <v>0</v>
      </c>
      <c r="CS48" s="69">
        <f t="shared" ca="1" si="90"/>
        <v>0</v>
      </c>
      <c r="CT48" s="69">
        <f t="shared" ca="1" si="90"/>
        <v>0</v>
      </c>
      <c r="CU48" s="69">
        <f t="shared" ca="1" si="90"/>
        <v>0</v>
      </c>
      <c r="CV48" s="69">
        <f t="shared" ca="1" si="90"/>
        <v>0</v>
      </c>
      <c r="CW48" s="69">
        <f t="shared" ca="1" si="90"/>
        <v>0</v>
      </c>
      <c r="CX48" s="69">
        <f t="shared" ca="1" si="90"/>
        <v>0</v>
      </c>
      <c r="CY48" s="69">
        <f t="shared" ca="1" si="90"/>
        <v>0</v>
      </c>
      <c r="CZ48" s="69">
        <f t="shared" ca="1" si="90"/>
        <v>0</v>
      </c>
      <c r="DA48" s="69">
        <f t="shared" ca="1" si="90"/>
        <v>0</v>
      </c>
      <c r="DB48" s="69">
        <f t="shared" ca="1" si="90"/>
        <v>0</v>
      </c>
      <c r="DC48" s="69">
        <f t="shared" ca="1" si="90"/>
        <v>0</v>
      </c>
      <c r="DD48" s="69">
        <f t="shared" ca="1" si="90"/>
        <v>0</v>
      </c>
      <c r="DE48" s="69">
        <f t="shared" ca="1" si="90"/>
        <v>0</v>
      </c>
      <c r="DF48" s="69">
        <f t="shared" ca="1" si="90"/>
        <v>0</v>
      </c>
      <c r="DG48" s="69">
        <f t="shared" ca="1" si="90"/>
        <v>0</v>
      </c>
      <c r="DH48" s="69">
        <f t="shared" ca="1" si="90"/>
        <v>0</v>
      </c>
      <c r="DI48" s="69">
        <f t="shared" ca="1" si="90"/>
        <v>0</v>
      </c>
      <c r="DJ48" s="69">
        <f t="shared" ca="1" si="90"/>
        <v>0</v>
      </c>
      <c r="DK48" s="69">
        <f t="shared" ca="1" si="90"/>
        <v>0</v>
      </c>
      <c r="DL48" s="69">
        <f t="shared" ca="1" si="90"/>
        <v>0</v>
      </c>
      <c r="DM48" s="69">
        <f t="shared" ca="1" si="90"/>
        <v>0</v>
      </c>
      <c r="DN48" s="69">
        <f t="shared" ca="1" si="90"/>
        <v>0</v>
      </c>
      <c r="DO48" s="69">
        <f t="shared" ca="1" si="90"/>
        <v>0</v>
      </c>
      <c r="DP48" s="69">
        <f t="shared" ca="1" si="90"/>
        <v>0</v>
      </c>
      <c r="DQ48" s="69">
        <f t="shared" ca="1" si="90"/>
        <v>0</v>
      </c>
      <c r="DR48" s="69">
        <f t="shared" ca="1" si="90"/>
        <v>0</v>
      </c>
      <c r="DS48" s="69">
        <f t="shared" ca="1" si="90"/>
        <v>0</v>
      </c>
      <c r="DT48" s="69">
        <f t="shared" ca="1" si="90"/>
        <v>0</v>
      </c>
      <c r="DU48" s="69">
        <f t="shared" ca="1" si="90"/>
        <v>0</v>
      </c>
      <c r="DV48" s="69">
        <f t="shared" ca="1" si="90"/>
        <v>0</v>
      </c>
      <c r="DW48" s="69">
        <f t="shared" ca="1" si="90"/>
        <v>0</v>
      </c>
      <c r="DX48" s="69">
        <f t="shared" ca="1" si="90"/>
        <v>0</v>
      </c>
      <c r="DY48" s="69">
        <f t="shared" ca="1" si="90"/>
        <v>0</v>
      </c>
      <c r="DZ48" s="69">
        <f t="shared" ca="1" si="90"/>
        <v>0</v>
      </c>
      <c r="EA48" s="69">
        <f t="shared" ca="1" si="90"/>
        <v>0</v>
      </c>
      <c r="EB48" s="69">
        <f t="shared" ref="EB48:EE48" ca="1" si="91">EB45/$F$3*$E$3</f>
        <v>0</v>
      </c>
      <c r="EC48" s="69">
        <f t="shared" ca="1" si="91"/>
        <v>0</v>
      </c>
      <c r="ED48" s="69">
        <f t="shared" ca="1" si="91"/>
        <v>0</v>
      </c>
      <c r="EE48" s="70">
        <f t="shared" ca="1" si="91"/>
        <v>0</v>
      </c>
    </row>
    <row r="49" spans="1:135" x14ac:dyDescent="0.15">
      <c r="B49" s="7" t="s">
        <v>55</v>
      </c>
      <c r="C49" s="69">
        <f>SUM(C48,C45)</f>
        <v>0</v>
      </c>
      <c r="D49" s="69">
        <f t="shared" ref="D49:BO49" ca="1" si="92">SUM(D48,D45)</f>
        <v>0</v>
      </c>
      <c r="E49" s="69">
        <f t="shared" ca="1" si="92"/>
        <v>0</v>
      </c>
      <c r="F49" s="69">
        <f t="shared" ca="1" si="92"/>
        <v>0</v>
      </c>
      <c r="G49" s="69">
        <f t="shared" ca="1" si="92"/>
        <v>0</v>
      </c>
      <c r="H49" s="69">
        <f t="shared" ca="1" si="92"/>
        <v>0</v>
      </c>
      <c r="I49" s="69">
        <f t="shared" ca="1" si="92"/>
        <v>0</v>
      </c>
      <c r="J49" s="69">
        <f t="shared" ca="1" si="92"/>
        <v>0</v>
      </c>
      <c r="K49" s="69">
        <f t="shared" ca="1" si="92"/>
        <v>0</v>
      </c>
      <c r="L49" s="69">
        <f t="shared" ca="1" si="92"/>
        <v>0</v>
      </c>
      <c r="M49" s="69">
        <f t="shared" ca="1" si="92"/>
        <v>0</v>
      </c>
      <c r="N49" s="69">
        <f t="shared" ca="1" si="92"/>
        <v>0</v>
      </c>
      <c r="O49" s="69">
        <f t="shared" ca="1" si="92"/>
        <v>0</v>
      </c>
      <c r="P49" s="69">
        <f t="shared" ca="1" si="92"/>
        <v>0</v>
      </c>
      <c r="Q49" s="69">
        <f t="shared" ca="1" si="92"/>
        <v>0</v>
      </c>
      <c r="R49" s="69">
        <f t="shared" ca="1" si="92"/>
        <v>0</v>
      </c>
      <c r="S49" s="69">
        <f t="shared" ca="1" si="92"/>
        <v>0</v>
      </c>
      <c r="T49" s="69">
        <f t="shared" ca="1" si="92"/>
        <v>0</v>
      </c>
      <c r="U49" s="69">
        <f t="shared" ca="1" si="92"/>
        <v>0</v>
      </c>
      <c r="V49" s="69">
        <f t="shared" ca="1" si="92"/>
        <v>0</v>
      </c>
      <c r="W49" s="69">
        <f t="shared" ca="1" si="92"/>
        <v>0</v>
      </c>
      <c r="X49" s="69">
        <f t="shared" ca="1" si="92"/>
        <v>0</v>
      </c>
      <c r="Y49" s="69">
        <f t="shared" ca="1" si="92"/>
        <v>0</v>
      </c>
      <c r="Z49" s="69">
        <f t="shared" ca="1" si="92"/>
        <v>0</v>
      </c>
      <c r="AA49" s="69">
        <f t="shared" ca="1" si="92"/>
        <v>364351.46357858228</v>
      </c>
      <c r="AB49" s="69">
        <f t="shared" ca="1" si="92"/>
        <v>0</v>
      </c>
      <c r="AC49" s="69">
        <f t="shared" ca="1" si="92"/>
        <v>0</v>
      </c>
      <c r="AD49" s="69">
        <f t="shared" ca="1" si="92"/>
        <v>0</v>
      </c>
      <c r="AE49" s="69">
        <f t="shared" ca="1" si="92"/>
        <v>0</v>
      </c>
      <c r="AF49" s="69">
        <f t="shared" ca="1" si="92"/>
        <v>0</v>
      </c>
      <c r="AG49" s="69">
        <f t="shared" ca="1" si="92"/>
        <v>0</v>
      </c>
      <c r="AH49" s="69">
        <f t="shared" ca="1" si="92"/>
        <v>0</v>
      </c>
      <c r="AI49" s="69">
        <f t="shared" ca="1" si="92"/>
        <v>0</v>
      </c>
      <c r="AJ49" s="69">
        <f t="shared" ca="1" si="92"/>
        <v>0</v>
      </c>
      <c r="AK49" s="69">
        <f t="shared" ca="1" si="92"/>
        <v>0</v>
      </c>
      <c r="AL49" s="69">
        <f t="shared" ca="1" si="92"/>
        <v>0</v>
      </c>
      <c r="AM49" s="69">
        <f t="shared" ca="1" si="92"/>
        <v>0</v>
      </c>
      <c r="AN49" s="69">
        <f t="shared" ca="1" si="92"/>
        <v>0</v>
      </c>
      <c r="AO49" s="69">
        <f t="shared" ca="1" si="92"/>
        <v>0</v>
      </c>
      <c r="AP49" s="69">
        <f t="shared" ca="1" si="92"/>
        <v>0</v>
      </c>
      <c r="AQ49" s="69">
        <f t="shared" ca="1" si="92"/>
        <v>0</v>
      </c>
      <c r="AR49" s="69">
        <f t="shared" ca="1" si="92"/>
        <v>0</v>
      </c>
      <c r="AS49" s="69">
        <f t="shared" ca="1" si="92"/>
        <v>0</v>
      </c>
      <c r="AT49" s="69">
        <f t="shared" ca="1" si="92"/>
        <v>0</v>
      </c>
      <c r="AU49" s="69">
        <f t="shared" ca="1" si="92"/>
        <v>0</v>
      </c>
      <c r="AV49" s="69">
        <f t="shared" ca="1" si="92"/>
        <v>0</v>
      </c>
      <c r="AW49" s="69">
        <f t="shared" ca="1" si="92"/>
        <v>0</v>
      </c>
      <c r="AX49" s="69">
        <f t="shared" ca="1" si="92"/>
        <v>0</v>
      </c>
      <c r="AY49" s="69">
        <f t="shared" ca="1" si="92"/>
        <v>0</v>
      </c>
      <c r="AZ49" s="69">
        <f t="shared" ca="1" si="92"/>
        <v>0</v>
      </c>
      <c r="BA49" s="69">
        <f t="shared" ca="1" si="92"/>
        <v>0</v>
      </c>
      <c r="BB49" s="69">
        <f t="shared" ca="1" si="92"/>
        <v>0</v>
      </c>
      <c r="BC49" s="69">
        <f t="shared" ca="1" si="92"/>
        <v>0</v>
      </c>
      <c r="BD49" s="69">
        <f t="shared" ca="1" si="92"/>
        <v>0</v>
      </c>
      <c r="BE49" s="69">
        <f t="shared" ca="1" si="92"/>
        <v>0</v>
      </c>
      <c r="BF49" s="69">
        <f t="shared" ca="1" si="92"/>
        <v>0</v>
      </c>
      <c r="BG49" s="69">
        <f t="shared" ca="1" si="92"/>
        <v>0</v>
      </c>
      <c r="BH49" s="69">
        <f t="shared" ca="1" si="92"/>
        <v>0</v>
      </c>
      <c r="BI49" s="69">
        <f t="shared" ca="1" si="92"/>
        <v>0</v>
      </c>
      <c r="BJ49" s="69">
        <f t="shared" ca="1" si="92"/>
        <v>0</v>
      </c>
      <c r="BK49" s="69">
        <f t="shared" ca="1" si="92"/>
        <v>0</v>
      </c>
      <c r="BL49" s="69">
        <f t="shared" ca="1" si="92"/>
        <v>0</v>
      </c>
      <c r="BM49" s="69">
        <f t="shared" ca="1" si="92"/>
        <v>0</v>
      </c>
      <c r="BN49" s="69">
        <f t="shared" ca="1" si="92"/>
        <v>0</v>
      </c>
      <c r="BO49" s="69">
        <f t="shared" ca="1" si="92"/>
        <v>0</v>
      </c>
      <c r="BP49" s="69">
        <f t="shared" ref="BP49:EA49" ca="1" si="93">SUM(BP48,BP45)</f>
        <v>0</v>
      </c>
      <c r="BQ49" s="69">
        <f t="shared" ca="1" si="93"/>
        <v>0</v>
      </c>
      <c r="BR49" s="69">
        <f t="shared" ca="1" si="93"/>
        <v>0</v>
      </c>
      <c r="BS49" s="69">
        <f t="shared" ca="1" si="93"/>
        <v>0</v>
      </c>
      <c r="BT49" s="69">
        <f t="shared" ca="1" si="93"/>
        <v>0</v>
      </c>
      <c r="BU49" s="69">
        <f t="shared" ca="1" si="93"/>
        <v>0</v>
      </c>
      <c r="BV49" s="69">
        <f t="shared" ca="1" si="93"/>
        <v>0</v>
      </c>
      <c r="BW49" s="69">
        <f t="shared" ca="1" si="93"/>
        <v>0</v>
      </c>
      <c r="BX49" s="69">
        <f t="shared" ca="1" si="93"/>
        <v>0</v>
      </c>
      <c r="BY49" s="69">
        <f t="shared" ca="1" si="93"/>
        <v>0</v>
      </c>
      <c r="BZ49" s="69">
        <f t="shared" ca="1" si="93"/>
        <v>0</v>
      </c>
      <c r="CA49" s="69">
        <f t="shared" ca="1" si="93"/>
        <v>0</v>
      </c>
      <c r="CB49" s="69">
        <f t="shared" ca="1" si="93"/>
        <v>0</v>
      </c>
      <c r="CC49" s="69">
        <f t="shared" ca="1" si="93"/>
        <v>0</v>
      </c>
      <c r="CD49" s="69">
        <f t="shared" ca="1" si="93"/>
        <v>0</v>
      </c>
      <c r="CE49" s="69">
        <f t="shared" ca="1" si="93"/>
        <v>0</v>
      </c>
      <c r="CF49" s="69">
        <f t="shared" ca="1" si="93"/>
        <v>0</v>
      </c>
      <c r="CG49" s="69">
        <f t="shared" ca="1" si="93"/>
        <v>0</v>
      </c>
      <c r="CH49" s="69">
        <f t="shared" ca="1" si="93"/>
        <v>0</v>
      </c>
      <c r="CI49" s="69">
        <f t="shared" ca="1" si="93"/>
        <v>0</v>
      </c>
      <c r="CJ49" s="69">
        <f t="shared" ca="1" si="93"/>
        <v>0</v>
      </c>
      <c r="CK49" s="69">
        <f t="shared" ca="1" si="93"/>
        <v>0</v>
      </c>
      <c r="CL49" s="69">
        <f t="shared" ca="1" si="93"/>
        <v>0</v>
      </c>
      <c r="CM49" s="69">
        <f t="shared" ca="1" si="93"/>
        <v>0</v>
      </c>
      <c r="CN49" s="69">
        <f t="shared" ca="1" si="93"/>
        <v>0</v>
      </c>
      <c r="CO49" s="69">
        <f t="shared" ca="1" si="93"/>
        <v>0</v>
      </c>
      <c r="CP49" s="69">
        <f t="shared" ca="1" si="93"/>
        <v>0</v>
      </c>
      <c r="CQ49" s="69">
        <f t="shared" ca="1" si="93"/>
        <v>0</v>
      </c>
      <c r="CR49" s="69">
        <f t="shared" ca="1" si="93"/>
        <v>0</v>
      </c>
      <c r="CS49" s="69">
        <f t="shared" ca="1" si="93"/>
        <v>0</v>
      </c>
      <c r="CT49" s="69">
        <f t="shared" ca="1" si="93"/>
        <v>0</v>
      </c>
      <c r="CU49" s="69">
        <f t="shared" ca="1" si="93"/>
        <v>0</v>
      </c>
      <c r="CV49" s="69">
        <f t="shared" ca="1" si="93"/>
        <v>0</v>
      </c>
      <c r="CW49" s="69">
        <f t="shared" ca="1" si="93"/>
        <v>0</v>
      </c>
      <c r="CX49" s="69">
        <f t="shared" ca="1" si="93"/>
        <v>0</v>
      </c>
      <c r="CY49" s="69">
        <f t="shared" ca="1" si="93"/>
        <v>0</v>
      </c>
      <c r="CZ49" s="69">
        <f t="shared" ca="1" si="93"/>
        <v>0</v>
      </c>
      <c r="DA49" s="69">
        <f t="shared" ca="1" si="93"/>
        <v>0</v>
      </c>
      <c r="DB49" s="69">
        <f t="shared" ca="1" si="93"/>
        <v>0</v>
      </c>
      <c r="DC49" s="69">
        <f t="shared" ca="1" si="93"/>
        <v>0</v>
      </c>
      <c r="DD49" s="69">
        <f t="shared" ca="1" si="93"/>
        <v>0</v>
      </c>
      <c r="DE49" s="69">
        <f t="shared" ca="1" si="93"/>
        <v>0</v>
      </c>
      <c r="DF49" s="69">
        <f t="shared" ca="1" si="93"/>
        <v>0</v>
      </c>
      <c r="DG49" s="69">
        <f t="shared" ca="1" si="93"/>
        <v>0</v>
      </c>
      <c r="DH49" s="69">
        <f t="shared" ca="1" si="93"/>
        <v>0</v>
      </c>
      <c r="DI49" s="69">
        <f t="shared" ca="1" si="93"/>
        <v>0</v>
      </c>
      <c r="DJ49" s="69">
        <f t="shared" ca="1" si="93"/>
        <v>0</v>
      </c>
      <c r="DK49" s="69">
        <f t="shared" ca="1" si="93"/>
        <v>0</v>
      </c>
      <c r="DL49" s="69">
        <f t="shared" ca="1" si="93"/>
        <v>0</v>
      </c>
      <c r="DM49" s="69">
        <f t="shared" ca="1" si="93"/>
        <v>0</v>
      </c>
      <c r="DN49" s="69">
        <f t="shared" ca="1" si="93"/>
        <v>0</v>
      </c>
      <c r="DO49" s="69">
        <f t="shared" ca="1" si="93"/>
        <v>0</v>
      </c>
      <c r="DP49" s="69">
        <f t="shared" ca="1" si="93"/>
        <v>0</v>
      </c>
      <c r="DQ49" s="69">
        <f t="shared" ca="1" si="93"/>
        <v>0</v>
      </c>
      <c r="DR49" s="69">
        <f t="shared" ca="1" si="93"/>
        <v>0</v>
      </c>
      <c r="DS49" s="69">
        <f t="shared" ca="1" si="93"/>
        <v>0</v>
      </c>
      <c r="DT49" s="69">
        <f t="shared" ca="1" si="93"/>
        <v>0</v>
      </c>
      <c r="DU49" s="69">
        <f t="shared" ca="1" si="93"/>
        <v>0</v>
      </c>
      <c r="DV49" s="69">
        <f t="shared" ca="1" si="93"/>
        <v>0</v>
      </c>
      <c r="DW49" s="69">
        <f t="shared" ca="1" si="93"/>
        <v>0</v>
      </c>
      <c r="DX49" s="69">
        <f t="shared" ca="1" si="93"/>
        <v>0</v>
      </c>
      <c r="DY49" s="69">
        <f t="shared" ca="1" si="93"/>
        <v>0</v>
      </c>
      <c r="DZ49" s="69">
        <f t="shared" ca="1" si="93"/>
        <v>0</v>
      </c>
      <c r="EA49" s="69">
        <f t="shared" ca="1" si="93"/>
        <v>0</v>
      </c>
      <c r="EB49" s="69">
        <f t="shared" ref="EB49:EE49" ca="1" si="94">SUM(EB48,EB45)</f>
        <v>0</v>
      </c>
      <c r="EC49" s="69">
        <f t="shared" ca="1" si="94"/>
        <v>0</v>
      </c>
      <c r="ED49" s="69">
        <f t="shared" ca="1" si="94"/>
        <v>0</v>
      </c>
      <c r="EE49" s="70">
        <f t="shared" ca="1" si="94"/>
        <v>0</v>
      </c>
    </row>
    <row r="50" spans="1:135" x14ac:dyDescent="0.15">
      <c r="A50" s="62"/>
      <c r="B50" s="61" t="s">
        <v>56</v>
      </c>
      <c r="C50" s="72">
        <f>MAX(C25-C37-C49,0)</f>
        <v>0</v>
      </c>
      <c r="D50" s="72">
        <f t="shared" ref="D50:BO50" ca="1" si="95">MAX(D25-D37-D49,0)</f>
        <v>0</v>
      </c>
      <c r="E50" s="72">
        <f t="shared" ca="1" si="95"/>
        <v>0</v>
      </c>
      <c r="F50" s="72">
        <f t="shared" ca="1" si="95"/>
        <v>0</v>
      </c>
      <c r="G50" s="72">
        <f t="shared" ca="1" si="95"/>
        <v>0</v>
      </c>
      <c r="H50" s="72">
        <f t="shared" ca="1" si="95"/>
        <v>0</v>
      </c>
      <c r="I50" s="72">
        <f t="shared" ca="1" si="95"/>
        <v>0</v>
      </c>
      <c r="J50" s="72">
        <f t="shared" ca="1" si="95"/>
        <v>0</v>
      </c>
      <c r="K50" s="72">
        <f t="shared" ca="1" si="95"/>
        <v>0</v>
      </c>
      <c r="L50" s="72">
        <f t="shared" ca="1" si="95"/>
        <v>0</v>
      </c>
      <c r="M50" s="72">
        <f t="shared" ca="1" si="95"/>
        <v>0</v>
      </c>
      <c r="N50" s="72">
        <f t="shared" ca="1" si="95"/>
        <v>0</v>
      </c>
      <c r="O50" s="72">
        <f t="shared" ca="1" si="95"/>
        <v>0</v>
      </c>
      <c r="P50" s="72">
        <f t="shared" ca="1" si="95"/>
        <v>0</v>
      </c>
      <c r="Q50" s="72">
        <f t="shared" ca="1" si="95"/>
        <v>0</v>
      </c>
      <c r="R50" s="72">
        <f t="shared" ca="1" si="95"/>
        <v>0</v>
      </c>
      <c r="S50" s="72">
        <f t="shared" ca="1" si="95"/>
        <v>0</v>
      </c>
      <c r="T50" s="72">
        <f t="shared" ca="1" si="95"/>
        <v>0</v>
      </c>
      <c r="U50" s="72">
        <f t="shared" ca="1" si="95"/>
        <v>0</v>
      </c>
      <c r="V50" s="72">
        <f t="shared" ca="1" si="95"/>
        <v>0</v>
      </c>
      <c r="W50" s="72">
        <f t="shared" ca="1" si="95"/>
        <v>0</v>
      </c>
      <c r="X50" s="72">
        <f t="shared" ca="1" si="95"/>
        <v>0</v>
      </c>
      <c r="Y50" s="72">
        <f t="shared" ca="1" si="95"/>
        <v>0</v>
      </c>
      <c r="Z50" s="72">
        <f t="shared" ca="1" si="95"/>
        <v>0</v>
      </c>
      <c r="AA50" s="72">
        <f t="shared" ca="1" si="95"/>
        <v>8175992.0354032144</v>
      </c>
      <c r="AB50" s="72">
        <f t="shared" ca="1" si="95"/>
        <v>0</v>
      </c>
      <c r="AC50" s="72">
        <f t="shared" ca="1" si="95"/>
        <v>0</v>
      </c>
      <c r="AD50" s="72">
        <f t="shared" ca="1" si="95"/>
        <v>0</v>
      </c>
      <c r="AE50" s="72">
        <f t="shared" ca="1" si="95"/>
        <v>0</v>
      </c>
      <c r="AF50" s="72">
        <f t="shared" ca="1" si="95"/>
        <v>0</v>
      </c>
      <c r="AG50" s="72">
        <f t="shared" ca="1" si="95"/>
        <v>0</v>
      </c>
      <c r="AH50" s="72">
        <f t="shared" ca="1" si="95"/>
        <v>0</v>
      </c>
      <c r="AI50" s="72">
        <f t="shared" ca="1" si="95"/>
        <v>0</v>
      </c>
      <c r="AJ50" s="72">
        <f t="shared" ca="1" si="95"/>
        <v>0</v>
      </c>
      <c r="AK50" s="72">
        <f t="shared" ca="1" si="95"/>
        <v>0</v>
      </c>
      <c r="AL50" s="72">
        <f t="shared" ca="1" si="95"/>
        <v>0</v>
      </c>
      <c r="AM50" s="72">
        <f t="shared" ca="1" si="95"/>
        <v>0</v>
      </c>
      <c r="AN50" s="72">
        <f t="shared" ca="1" si="95"/>
        <v>0</v>
      </c>
      <c r="AO50" s="72">
        <f t="shared" ca="1" si="95"/>
        <v>0</v>
      </c>
      <c r="AP50" s="72">
        <f t="shared" ca="1" si="95"/>
        <v>0</v>
      </c>
      <c r="AQ50" s="72">
        <f t="shared" ca="1" si="95"/>
        <v>0</v>
      </c>
      <c r="AR50" s="72">
        <f t="shared" ca="1" si="95"/>
        <v>0</v>
      </c>
      <c r="AS50" s="72">
        <f t="shared" ca="1" si="95"/>
        <v>0</v>
      </c>
      <c r="AT50" s="72">
        <f t="shared" ca="1" si="95"/>
        <v>0</v>
      </c>
      <c r="AU50" s="72">
        <f t="shared" ca="1" si="95"/>
        <v>0</v>
      </c>
      <c r="AV50" s="72">
        <f t="shared" ca="1" si="95"/>
        <v>0</v>
      </c>
      <c r="AW50" s="72">
        <f t="shared" ca="1" si="95"/>
        <v>0</v>
      </c>
      <c r="AX50" s="72">
        <f t="shared" ca="1" si="95"/>
        <v>0</v>
      </c>
      <c r="AY50" s="72">
        <f t="shared" ca="1" si="95"/>
        <v>0</v>
      </c>
      <c r="AZ50" s="72">
        <f t="shared" ca="1" si="95"/>
        <v>0</v>
      </c>
      <c r="BA50" s="72">
        <f t="shared" ca="1" si="95"/>
        <v>0</v>
      </c>
      <c r="BB50" s="72">
        <f t="shared" ca="1" si="95"/>
        <v>0</v>
      </c>
      <c r="BC50" s="72">
        <f t="shared" ca="1" si="95"/>
        <v>0</v>
      </c>
      <c r="BD50" s="72">
        <f t="shared" ca="1" si="95"/>
        <v>0</v>
      </c>
      <c r="BE50" s="72">
        <f t="shared" ca="1" si="95"/>
        <v>0</v>
      </c>
      <c r="BF50" s="72">
        <f t="shared" ca="1" si="95"/>
        <v>0</v>
      </c>
      <c r="BG50" s="72">
        <f t="shared" ca="1" si="95"/>
        <v>0</v>
      </c>
      <c r="BH50" s="72">
        <f t="shared" ca="1" si="95"/>
        <v>0</v>
      </c>
      <c r="BI50" s="72">
        <f t="shared" ca="1" si="95"/>
        <v>0</v>
      </c>
      <c r="BJ50" s="72">
        <f t="shared" ca="1" si="95"/>
        <v>0</v>
      </c>
      <c r="BK50" s="72">
        <f t="shared" ca="1" si="95"/>
        <v>0</v>
      </c>
      <c r="BL50" s="72">
        <f t="shared" ca="1" si="95"/>
        <v>0</v>
      </c>
      <c r="BM50" s="72">
        <f t="shared" ca="1" si="95"/>
        <v>0</v>
      </c>
      <c r="BN50" s="72">
        <f t="shared" ca="1" si="95"/>
        <v>0</v>
      </c>
      <c r="BO50" s="72">
        <f t="shared" ca="1" si="95"/>
        <v>0</v>
      </c>
      <c r="BP50" s="72">
        <f t="shared" ref="BP50:EA50" ca="1" si="96">MAX(BP25-BP37-BP49,0)</f>
        <v>0</v>
      </c>
      <c r="BQ50" s="72">
        <f t="shared" ca="1" si="96"/>
        <v>0</v>
      </c>
      <c r="BR50" s="72">
        <f t="shared" ca="1" si="96"/>
        <v>0</v>
      </c>
      <c r="BS50" s="72">
        <f t="shared" ca="1" si="96"/>
        <v>0</v>
      </c>
      <c r="BT50" s="72">
        <f t="shared" ca="1" si="96"/>
        <v>0</v>
      </c>
      <c r="BU50" s="72">
        <f t="shared" ca="1" si="96"/>
        <v>0</v>
      </c>
      <c r="BV50" s="72">
        <f t="shared" ca="1" si="96"/>
        <v>0</v>
      </c>
      <c r="BW50" s="72">
        <f t="shared" ca="1" si="96"/>
        <v>0</v>
      </c>
      <c r="BX50" s="72">
        <f t="shared" ca="1" si="96"/>
        <v>0</v>
      </c>
      <c r="BY50" s="72">
        <f t="shared" ca="1" si="96"/>
        <v>0</v>
      </c>
      <c r="BZ50" s="72">
        <f t="shared" ca="1" si="96"/>
        <v>0</v>
      </c>
      <c r="CA50" s="72">
        <f t="shared" ca="1" si="96"/>
        <v>0</v>
      </c>
      <c r="CB50" s="72">
        <f t="shared" ca="1" si="96"/>
        <v>0</v>
      </c>
      <c r="CC50" s="72">
        <f t="shared" ca="1" si="96"/>
        <v>0</v>
      </c>
      <c r="CD50" s="72">
        <f t="shared" ca="1" si="96"/>
        <v>0</v>
      </c>
      <c r="CE50" s="72">
        <f t="shared" ca="1" si="96"/>
        <v>0</v>
      </c>
      <c r="CF50" s="72">
        <f t="shared" ca="1" si="96"/>
        <v>0</v>
      </c>
      <c r="CG50" s="72">
        <f t="shared" ca="1" si="96"/>
        <v>0</v>
      </c>
      <c r="CH50" s="72">
        <f t="shared" ca="1" si="96"/>
        <v>0</v>
      </c>
      <c r="CI50" s="72">
        <f t="shared" ca="1" si="96"/>
        <v>0</v>
      </c>
      <c r="CJ50" s="72">
        <f t="shared" ca="1" si="96"/>
        <v>0</v>
      </c>
      <c r="CK50" s="72">
        <f t="shared" ca="1" si="96"/>
        <v>0</v>
      </c>
      <c r="CL50" s="72">
        <f t="shared" ca="1" si="96"/>
        <v>0</v>
      </c>
      <c r="CM50" s="72">
        <f t="shared" ca="1" si="96"/>
        <v>0</v>
      </c>
      <c r="CN50" s="72">
        <f t="shared" ca="1" si="96"/>
        <v>0</v>
      </c>
      <c r="CO50" s="72">
        <f t="shared" ca="1" si="96"/>
        <v>0</v>
      </c>
      <c r="CP50" s="72">
        <f t="shared" ca="1" si="96"/>
        <v>0</v>
      </c>
      <c r="CQ50" s="72">
        <f t="shared" ca="1" si="96"/>
        <v>0</v>
      </c>
      <c r="CR50" s="72">
        <f t="shared" ca="1" si="96"/>
        <v>0</v>
      </c>
      <c r="CS50" s="72">
        <f t="shared" ca="1" si="96"/>
        <v>0</v>
      </c>
      <c r="CT50" s="72">
        <f t="shared" ca="1" si="96"/>
        <v>0</v>
      </c>
      <c r="CU50" s="72">
        <f t="shared" ca="1" si="96"/>
        <v>0</v>
      </c>
      <c r="CV50" s="72">
        <f t="shared" ca="1" si="96"/>
        <v>0</v>
      </c>
      <c r="CW50" s="72">
        <f t="shared" ca="1" si="96"/>
        <v>0</v>
      </c>
      <c r="CX50" s="72">
        <f t="shared" ca="1" si="96"/>
        <v>0</v>
      </c>
      <c r="CY50" s="72">
        <f t="shared" ca="1" si="96"/>
        <v>0</v>
      </c>
      <c r="CZ50" s="72">
        <f t="shared" ca="1" si="96"/>
        <v>0</v>
      </c>
      <c r="DA50" s="72">
        <f t="shared" ca="1" si="96"/>
        <v>0</v>
      </c>
      <c r="DB50" s="72">
        <f t="shared" ca="1" si="96"/>
        <v>0</v>
      </c>
      <c r="DC50" s="72">
        <f t="shared" ca="1" si="96"/>
        <v>0</v>
      </c>
      <c r="DD50" s="72">
        <f t="shared" ca="1" si="96"/>
        <v>0</v>
      </c>
      <c r="DE50" s="72">
        <f t="shared" ca="1" si="96"/>
        <v>0</v>
      </c>
      <c r="DF50" s="72">
        <f t="shared" ca="1" si="96"/>
        <v>0</v>
      </c>
      <c r="DG50" s="72">
        <f t="shared" ca="1" si="96"/>
        <v>0</v>
      </c>
      <c r="DH50" s="72">
        <f t="shared" ca="1" si="96"/>
        <v>0</v>
      </c>
      <c r="DI50" s="72">
        <f t="shared" ca="1" si="96"/>
        <v>0</v>
      </c>
      <c r="DJ50" s="72">
        <f t="shared" ca="1" si="96"/>
        <v>0</v>
      </c>
      <c r="DK50" s="72">
        <f t="shared" ca="1" si="96"/>
        <v>0</v>
      </c>
      <c r="DL50" s="72">
        <f t="shared" ca="1" si="96"/>
        <v>0</v>
      </c>
      <c r="DM50" s="72">
        <f t="shared" ca="1" si="96"/>
        <v>0</v>
      </c>
      <c r="DN50" s="72">
        <f t="shared" ca="1" si="96"/>
        <v>0</v>
      </c>
      <c r="DO50" s="72">
        <f t="shared" ca="1" si="96"/>
        <v>0</v>
      </c>
      <c r="DP50" s="72">
        <f t="shared" ca="1" si="96"/>
        <v>0</v>
      </c>
      <c r="DQ50" s="72">
        <f t="shared" ca="1" si="96"/>
        <v>0</v>
      </c>
      <c r="DR50" s="72">
        <f t="shared" ca="1" si="96"/>
        <v>0</v>
      </c>
      <c r="DS50" s="72">
        <f t="shared" ca="1" si="96"/>
        <v>0</v>
      </c>
      <c r="DT50" s="72">
        <f t="shared" ca="1" si="96"/>
        <v>0</v>
      </c>
      <c r="DU50" s="72">
        <f t="shared" ca="1" si="96"/>
        <v>0</v>
      </c>
      <c r="DV50" s="72">
        <f t="shared" ca="1" si="96"/>
        <v>0</v>
      </c>
      <c r="DW50" s="72">
        <f t="shared" ca="1" si="96"/>
        <v>0</v>
      </c>
      <c r="DX50" s="72">
        <f t="shared" ca="1" si="96"/>
        <v>0</v>
      </c>
      <c r="DY50" s="72">
        <f t="shared" ca="1" si="96"/>
        <v>0</v>
      </c>
      <c r="DZ50" s="72">
        <f t="shared" ca="1" si="96"/>
        <v>0</v>
      </c>
      <c r="EA50" s="72">
        <f t="shared" ca="1" si="96"/>
        <v>0</v>
      </c>
      <c r="EB50" s="72">
        <f t="shared" ref="EB50:EE50" ca="1" si="97">MAX(EB25-EB37-EB49,0)</f>
        <v>0</v>
      </c>
      <c r="EC50" s="72">
        <f t="shared" ca="1" si="97"/>
        <v>0</v>
      </c>
      <c r="ED50" s="72">
        <f t="shared" ca="1" si="97"/>
        <v>0</v>
      </c>
      <c r="EE50" s="73">
        <f t="shared" ca="1" si="97"/>
        <v>0</v>
      </c>
    </row>
    <row r="52" spans="1:135" x14ac:dyDescent="0.15">
      <c r="B52" s="58" t="s">
        <v>11</v>
      </c>
      <c r="C52" s="52">
        <f ca="1">C40</f>
        <v>46053</v>
      </c>
      <c r="D52" s="52">
        <f t="shared" ref="D52:BO52" ca="1" si="98">D40</f>
        <v>46081</v>
      </c>
      <c r="E52" s="52">
        <f t="shared" ca="1" si="98"/>
        <v>46112</v>
      </c>
      <c r="F52" s="52">
        <f t="shared" ca="1" si="98"/>
        <v>46142</v>
      </c>
      <c r="G52" s="52">
        <f t="shared" ca="1" si="98"/>
        <v>46173</v>
      </c>
      <c r="H52" s="52">
        <f t="shared" ca="1" si="98"/>
        <v>46203</v>
      </c>
      <c r="I52" s="52">
        <f t="shared" ca="1" si="98"/>
        <v>46234</v>
      </c>
      <c r="J52" s="52">
        <f t="shared" ca="1" si="98"/>
        <v>46265</v>
      </c>
      <c r="K52" s="52">
        <f t="shared" ca="1" si="98"/>
        <v>46295</v>
      </c>
      <c r="L52" s="52">
        <f t="shared" ca="1" si="98"/>
        <v>46326</v>
      </c>
      <c r="M52" s="52">
        <f t="shared" ca="1" si="98"/>
        <v>46356</v>
      </c>
      <c r="N52" s="52">
        <f t="shared" ca="1" si="98"/>
        <v>46387</v>
      </c>
      <c r="O52" s="52">
        <f t="shared" ca="1" si="98"/>
        <v>46418</v>
      </c>
      <c r="P52" s="52">
        <f t="shared" ca="1" si="98"/>
        <v>46446</v>
      </c>
      <c r="Q52" s="52">
        <f t="shared" ca="1" si="98"/>
        <v>46477</v>
      </c>
      <c r="R52" s="52">
        <f t="shared" ca="1" si="98"/>
        <v>46507</v>
      </c>
      <c r="S52" s="52">
        <f t="shared" ca="1" si="98"/>
        <v>46538</v>
      </c>
      <c r="T52" s="52">
        <f t="shared" ca="1" si="98"/>
        <v>46568</v>
      </c>
      <c r="U52" s="52">
        <f t="shared" ca="1" si="98"/>
        <v>46599</v>
      </c>
      <c r="V52" s="52">
        <f t="shared" ca="1" si="98"/>
        <v>46630</v>
      </c>
      <c r="W52" s="52">
        <f t="shared" ca="1" si="98"/>
        <v>46660</v>
      </c>
      <c r="X52" s="52">
        <f t="shared" ca="1" si="98"/>
        <v>46691</v>
      </c>
      <c r="Y52" s="52">
        <f t="shared" ca="1" si="98"/>
        <v>46721</v>
      </c>
      <c r="Z52" s="52">
        <f t="shared" ca="1" si="98"/>
        <v>46752</v>
      </c>
      <c r="AA52" s="52">
        <f t="shared" ca="1" si="98"/>
        <v>46783</v>
      </c>
      <c r="AB52" s="52">
        <f t="shared" ca="1" si="98"/>
        <v>46812</v>
      </c>
      <c r="AC52" s="52">
        <f t="shared" ca="1" si="98"/>
        <v>46843</v>
      </c>
      <c r="AD52" s="52">
        <f t="shared" ca="1" si="98"/>
        <v>46873</v>
      </c>
      <c r="AE52" s="52">
        <f t="shared" ca="1" si="98"/>
        <v>46904</v>
      </c>
      <c r="AF52" s="52">
        <f t="shared" ca="1" si="98"/>
        <v>46934</v>
      </c>
      <c r="AG52" s="52">
        <f t="shared" ca="1" si="98"/>
        <v>46965</v>
      </c>
      <c r="AH52" s="52">
        <f t="shared" ca="1" si="98"/>
        <v>46996</v>
      </c>
      <c r="AI52" s="52">
        <f t="shared" ca="1" si="98"/>
        <v>47026</v>
      </c>
      <c r="AJ52" s="52">
        <f t="shared" ca="1" si="98"/>
        <v>47057</v>
      </c>
      <c r="AK52" s="52">
        <f t="shared" ca="1" si="98"/>
        <v>47087</v>
      </c>
      <c r="AL52" s="52">
        <f t="shared" ca="1" si="98"/>
        <v>47118</v>
      </c>
      <c r="AM52" s="52">
        <f t="shared" ca="1" si="98"/>
        <v>47149</v>
      </c>
      <c r="AN52" s="52">
        <f t="shared" ca="1" si="98"/>
        <v>47177</v>
      </c>
      <c r="AO52" s="52">
        <f t="shared" ca="1" si="98"/>
        <v>47208</v>
      </c>
      <c r="AP52" s="52">
        <f t="shared" ca="1" si="98"/>
        <v>47238</v>
      </c>
      <c r="AQ52" s="52">
        <f t="shared" ca="1" si="98"/>
        <v>47269</v>
      </c>
      <c r="AR52" s="52">
        <f t="shared" ca="1" si="98"/>
        <v>47299</v>
      </c>
      <c r="AS52" s="52">
        <f t="shared" ca="1" si="98"/>
        <v>47330</v>
      </c>
      <c r="AT52" s="52">
        <f t="shared" ca="1" si="98"/>
        <v>47361</v>
      </c>
      <c r="AU52" s="52">
        <f t="shared" ca="1" si="98"/>
        <v>47391</v>
      </c>
      <c r="AV52" s="52">
        <f t="shared" ca="1" si="98"/>
        <v>47422</v>
      </c>
      <c r="AW52" s="52">
        <f t="shared" ca="1" si="98"/>
        <v>47452</v>
      </c>
      <c r="AX52" s="52">
        <f t="shared" ca="1" si="98"/>
        <v>47483</v>
      </c>
      <c r="AY52" s="52">
        <f t="shared" ca="1" si="98"/>
        <v>47514</v>
      </c>
      <c r="AZ52" s="52">
        <f t="shared" ca="1" si="98"/>
        <v>47542</v>
      </c>
      <c r="BA52" s="52">
        <f t="shared" ca="1" si="98"/>
        <v>47573</v>
      </c>
      <c r="BB52" s="52">
        <f t="shared" ca="1" si="98"/>
        <v>47603</v>
      </c>
      <c r="BC52" s="52">
        <f t="shared" ca="1" si="98"/>
        <v>47634</v>
      </c>
      <c r="BD52" s="52">
        <f t="shared" ca="1" si="98"/>
        <v>47664</v>
      </c>
      <c r="BE52" s="52">
        <f t="shared" ca="1" si="98"/>
        <v>47695</v>
      </c>
      <c r="BF52" s="52">
        <f t="shared" ca="1" si="98"/>
        <v>47726</v>
      </c>
      <c r="BG52" s="52">
        <f t="shared" ca="1" si="98"/>
        <v>47756</v>
      </c>
      <c r="BH52" s="52">
        <f t="shared" ca="1" si="98"/>
        <v>47787</v>
      </c>
      <c r="BI52" s="52">
        <f t="shared" ca="1" si="98"/>
        <v>47817</v>
      </c>
      <c r="BJ52" s="52">
        <f t="shared" ca="1" si="98"/>
        <v>47848</v>
      </c>
      <c r="BK52" s="52">
        <f t="shared" ca="1" si="98"/>
        <v>47879</v>
      </c>
      <c r="BL52" s="52">
        <f t="shared" ca="1" si="98"/>
        <v>47907</v>
      </c>
      <c r="BM52" s="52">
        <f t="shared" ca="1" si="98"/>
        <v>47938</v>
      </c>
      <c r="BN52" s="52">
        <f t="shared" ca="1" si="98"/>
        <v>47968</v>
      </c>
      <c r="BO52" s="52">
        <f t="shared" ca="1" si="98"/>
        <v>47999</v>
      </c>
      <c r="BP52" s="52">
        <f t="shared" ref="BP52:EA52" ca="1" si="99">BP40</f>
        <v>48029</v>
      </c>
      <c r="BQ52" s="52">
        <f t="shared" ca="1" si="99"/>
        <v>48060</v>
      </c>
      <c r="BR52" s="52">
        <f t="shared" ca="1" si="99"/>
        <v>48091</v>
      </c>
      <c r="BS52" s="52">
        <f t="shared" ca="1" si="99"/>
        <v>48121</v>
      </c>
      <c r="BT52" s="52">
        <f t="shared" ca="1" si="99"/>
        <v>48152</v>
      </c>
      <c r="BU52" s="52">
        <f t="shared" ca="1" si="99"/>
        <v>48182</v>
      </c>
      <c r="BV52" s="52">
        <f t="shared" ca="1" si="99"/>
        <v>48213</v>
      </c>
      <c r="BW52" s="52">
        <f t="shared" ca="1" si="99"/>
        <v>48244</v>
      </c>
      <c r="BX52" s="52">
        <f t="shared" ca="1" si="99"/>
        <v>48273</v>
      </c>
      <c r="BY52" s="52">
        <f t="shared" ca="1" si="99"/>
        <v>48304</v>
      </c>
      <c r="BZ52" s="52">
        <f t="shared" ca="1" si="99"/>
        <v>48334</v>
      </c>
      <c r="CA52" s="52">
        <f t="shared" ca="1" si="99"/>
        <v>48365</v>
      </c>
      <c r="CB52" s="52">
        <f t="shared" ca="1" si="99"/>
        <v>48395</v>
      </c>
      <c r="CC52" s="52">
        <f t="shared" ca="1" si="99"/>
        <v>48426</v>
      </c>
      <c r="CD52" s="52">
        <f t="shared" ca="1" si="99"/>
        <v>48457</v>
      </c>
      <c r="CE52" s="52">
        <f t="shared" ca="1" si="99"/>
        <v>48487</v>
      </c>
      <c r="CF52" s="52">
        <f t="shared" ca="1" si="99"/>
        <v>48518</v>
      </c>
      <c r="CG52" s="52">
        <f t="shared" ca="1" si="99"/>
        <v>48548</v>
      </c>
      <c r="CH52" s="52">
        <f t="shared" ca="1" si="99"/>
        <v>48579</v>
      </c>
      <c r="CI52" s="52">
        <f t="shared" ca="1" si="99"/>
        <v>48610</v>
      </c>
      <c r="CJ52" s="52">
        <f t="shared" ca="1" si="99"/>
        <v>48638</v>
      </c>
      <c r="CK52" s="52">
        <f t="shared" ca="1" si="99"/>
        <v>48669</v>
      </c>
      <c r="CL52" s="52">
        <f t="shared" ca="1" si="99"/>
        <v>48699</v>
      </c>
      <c r="CM52" s="52">
        <f t="shared" ca="1" si="99"/>
        <v>48730</v>
      </c>
      <c r="CN52" s="52">
        <f t="shared" ca="1" si="99"/>
        <v>48760</v>
      </c>
      <c r="CO52" s="52">
        <f t="shared" ca="1" si="99"/>
        <v>48791</v>
      </c>
      <c r="CP52" s="52">
        <f t="shared" ca="1" si="99"/>
        <v>48822</v>
      </c>
      <c r="CQ52" s="52">
        <f t="shared" ca="1" si="99"/>
        <v>48852</v>
      </c>
      <c r="CR52" s="52">
        <f t="shared" ca="1" si="99"/>
        <v>48883</v>
      </c>
      <c r="CS52" s="52">
        <f t="shared" ca="1" si="99"/>
        <v>48913</v>
      </c>
      <c r="CT52" s="52">
        <f t="shared" ca="1" si="99"/>
        <v>48944</v>
      </c>
      <c r="CU52" s="52">
        <f t="shared" ca="1" si="99"/>
        <v>48975</v>
      </c>
      <c r="CV52" s="52">
        <f t="shared" ca="1" si="99"/>
        <v>49003</v>
      </c>
      <c r="CW52" s="52">
        <f t="shared" ca="1" si="99"/>
        <v>49034</v>
      </c>
      <c r="CX52" s="52">
        <f t="shared" ca="1" si="99"/>
        <v>49064</v>
      </c>
      <c r="CY52" s="52">
        <f t="shared" ca="1" si="99"/>
        <v>49095</v>
      </c>
      <c r="CZ52" s="52">
        <f t="shared" ca="1" si="99"/>
        <v>49125</v>
      </c>
      <c r="DA52" s="52">
        <f t="shared" ca="1" si="99"/>
        <v>49156</v>
      </c>
      <c r="DB52" s="52">
        <f t="shared" ca="1" si="99"/>
        <v>49187</v>
      </c>
      <c r="DC52" s="52">
        <f t="shared" ca="1" si="99"/>
        <v>49217</v>
      </c>
      <c r="DD52" s="52">
        <f t="shared" ca="1" si="99"/>
        <v>49248</v>
      </c>
      <c r="DE52" s="52">
        <f t="shared" ca="1" si="99"/>
        <v>49278</v>
      </c>
      <c r="DF52" s="52">
        <f t="shared" ca="1" si="99"/>
        <v>49309</v>
      </c>
      <c r="DG52" s="52">
        <f t="shared" ca="1" si="99"/>
        <v>49340</v>
      </c>
      <c r="DH52" s="52">
        <f t="shared" ca="1" si="99"/>
        <v>49368</v>
      </c>
      <c r="DI52" s="52">
        <f t="shared" ca="1" si="99"/>
        <v>49399</v>
      </c>
      <c r="DJ52" s="52">
        <f t="shared" ca="1" si="99"/>
        <v>49429</v>
      </c>
      <c r="DK52" s="52">
        <f t="shared" ca="1" si="99"/>
        <v>49460</v>
      </c>
      <c r="DL52" s="52">
        <f t="shared" ca="1" si="99"/>
        <v>49490</v>
      </c>
      <c r="DM52" s="52">
        <f t="shared" ca="1" si="99"/>
        <v>49521</v>
      </c>
      <c r="DN52" s="52">
        <f t="shared" ca="1" si="99"/>
        <v>49552</v>
      </c>
      <c r="DO52" s="52">
        <f t="shared" ca="1" si="99"/>
        <v>49582</v>
      </c>
      <c r="DP52" s="52">
        <f t="shared" ca="1" si="99"/>
        <v>49613</v>
      </c>
      <c r="DQ52" s="52">
        <f t="shared" ca="1" si="99"/>
        <v>49643</v>
      </c>
      <c r="DR52" s="52">
        <f t="shared" ca="1" si="99"/>
        <v>49674</v>
      </c>
      <c r="DS52" s="52">
        <f t="shared" ca="1" si="99"/>
        <v>49705</v>
      </c>
      <c r="DT52" s="52">
        <f t="shared" ca="1" si="99"/>
        <v>49734</v>
      </c>
      <c r="DU52" s="52">
        <f t="shared" ca="1" si="99"/>
        <v>49765</v>
      </c>
      <c r="DV52" s="52">
        <f t="shared" ca="1" si="99"/>
        <v>49795</v>
      </c>
      <c r="DW52" s="52">
        <f t="shared" ca="1" si="99"/>
        <v>49826</v>
      </c>
      <c r="DX52" s="52">
        <f t="shared" ca="1" si="99"/>
        <v>49856</v>
      </c>
      <c r="DY52" s="52">
        <f t="shared" ca="1" si="99"/>
        <v>49887</v>
      </c>
      <c r="DZ52" s="52">
        <f t="shared" ca="1" si="99"/>
        <v>49918</v>
      </c>
      <c r="EA52" s="52">
        <f t="shared" ca="1" si="99"/>
        <v>49948</v>
      </c>
      <c r="EB52" s="52">
        <f t="shared" ref="EB52:EE52" ca="1" si="100">EB40</f>
        <v>49979</v>
      </c>
      <c r="EC52" s="52">
        <f t="shared" ca="1" si="100"/>
        <v>50009</v>
      </c>
      <c r="ED52" s="52">
        <f t="shared" ca="1" si="100"/>
        <v>50040</v>
      </c>
      <c r="EE52" s="53">
        <f t="shared" ca="1" si="100"/>
        <v>50071</v>
      </c>
    </row>
    <row r="53" spans="1:135" x14ac:dyDescent="0.15">
      <c r="B53" s="6" t="s">
        <v>45</v>
      </c>
      <c r="C53" s="69">
        <v>0</v>
      </c>
      <c r="D53" s="69">
        <f>IF(D11&gt;$L$7,0,C58)</f>
        <v>7807500</v>
      </c>
      <c r="E53" s="69">
        <f t="shared" ref="E53:BP53" ca="1" si="101">IF(E11&gt;$L$7,0,D58)</f>
        <v>7833873.4808757054</v>
      </c>
      <c r="F53" s="69">
        <f t="shared" ca="1" si="101"/>
        <v>7869850.8101444915</v>
      </c>
      <c r="G53" s="69">
        <f t="shared" ca="1" si="101"/>
        <v>7902673.61613122</v>
      </c>
      <c r="H53" s="69">
        <f t="shared" ca="1" si="101"/>
        <v>7938781.0767844301</v>
      </c>
      <c r="I53" s="69">
        <f t="shared" ca="1" si="101"/>
        <v>7971705.4544988684</v>
      </c>
      <c r="J53" s="69">
        <f t="shared" ca="1" si="101"/>
        <v>8007942.3182434896</v>
      </c>
      <c r="K53" s="69">
        <f t="shared" ca="1" si="101"/>
        <v>8044264.3332880745</v>
      </c>
      <c r="L53" s="69">
        <f t="shared" ca="1" si="101"/>
        <v>8077359.794908734</v>
      </c>
      <c r="M53" s="69">
        <f t="shared" ca="1" si="101"/>
        <v>8113810.5697193369</v>
      </c>
      <c r="N53" s="69">
        <f t="shared" ca="1" si="101"/>
        <v>8147005.9377556769</v>
      </c>
      <c r="O53" s="69">
        <f t="shared" ca="1" si="101"/>
        <v>8183584.660065745</v>
      </c>
      <c r="P53" s="69">
        <f t="shared" ca="1" si="101"/>
        <v>8220248.2290271148</v>
      </c>
      <c r="Q53" s="69">
        <f t="shared" ca="1" si="101"/>
        <v>8246847.9690907411</v>
      </c>
      <c r="R53" s="69">
        <f t="shared" ca="1" si="101"/>
        <v>8283552.9134011492</v>
      </c>
      <c r="S53" s="69">
        <f t="shared" ca="1" si="101"/>
        <v>8316931.1157843908</v>
      </c>
      <c r="T53" s="69">
        <f t="shared" ca="1" si="101"/>
        <v>8353760.1882799864</v>
      </c>
      <c r="U53" s="69">
        <f t="shared" ca="1" si="101"/>
        <v>8387233.3023438845</v>
      </c>
      <c r="V53" s="69">
        <f t="shared" ca="1" si="101"/>
        <v>8424185.5040687043</v>
      </c>
      <c r="W53" s="69">
        <f t="shared" ca="1" si="101"/>
        <v>8461220.6956375521</v>
      </c>
      <c r="X53" s="69">
        <f t="shared" ca="1" si="101"/>
        <v>8494855.4543146323</v>
      </c>
      <c r="Y53" s="69">
        <f t="shared" ca="1" si="101"/>
        <v>8532012.7389840521</v>
      </c>
      <c r="Z53" s="69">
        <f t="shared" ca="1" si="101"/>
        <v>8565740.0843121</v>
      </c>
      <c r="AA53" s="69">
        <f t="shared" ca="1" si="101"/>
        <v>8603018.3610040992</v>
      </c>
      <c r="AB53" s="69">
        <f t="shared" si="101"/>
        <v>0</v>
      </c>
      <c r="AC53" s="69">
        <f t="shared" si="101"/>
        <v>0</v>
      </c>
      <c r="AD53" s="69">
        <f t="shared" si="101"/>
        <v>0</v>
      </c>
      <c r="AE53" s="69">
        <f t="shared" si="101"/>
        <v>0</v>
      </c>
      <c r="AF53" s="69">
        <f t="shared" si="101"/>
        <v>0</v>
      </c>
      <c r="AG53" s="69">
        <f t="shared" si="101"/>
        <v>0</v>
      </c>
      <c r="AH53" s="69">
        <f t="shared" si="101"/>
        <v>0</v>
      </c>
      <c r="AI53" s="69">
        <f t="shared" si="101"/>
        <v>0</v>
      </c>
      <c r="AJ53" s="69">
        <f t="shared" si="101"/>
        <v>0</v>
      </c>
      <c r="AK53" s="69">
        <f t="shared" si="101"/>
        <v>0</v>
      </c>
      <c r="AL53" s="69">
        <f t="shared" si="101"/>
        <v>0</v>
      </c>
      <c r="AM53" s="69">
        <f t="shared" si="101"/>
        <v>0</v>
      </c>
      <c r="AN53" s="69">
        <f t="shared" si="101"/>
        <v>0</v>
      </c>
      <c r="AO53" s="69">
        <f t="shared" si="101"/>
        <v>0</v>
      </c>
      <c r="AP53" s="69">
        <f t="shared" si="101"/>
        <v>0</v>
      </c>
      <c r="AQ53" s="69">
        <f t="shared" si="101"/>
        <v>0</v>
      </c>
      <c r="AR53" s="69">
        <f t="shared" si="101"/>
        <v>0</v>
      </c>
      <c r="AS53" s="69">
        <f t="shared" si="101"/>
        <v>0</v>
      </c>
      <c r="AT53" s="69">
        <f t="shared" si="101"/>
        <v>0</v>
      </c>
      <c r="AU53" s="69">
        <f t="shared" si="101"/>
        <v>0</v>
      </c>
      <c r="AV53" s="69">
        <f t="shared" si="101"/>
        <v>0</v>
      </c>
      <c r="AW53" s="69">
        <f t="shared" si="101"/>
        <v>0</v>
      </c>
      <c r="AX53" s="69">
        <f t="shared" si="101"/>
        <v>0</v>
      </c>
      <c r="AY53" s="69">
        <f t="shared" si="101"/>
        <v>0</v>
      </c>
      <c r="AZ53" s="69">
        <f t="shared" si="101"/>
        <v>0</v>
      </c>
      <c r="BA53" s="69">
        <f t="shared" si="101"/>
        <v>0</v>
      </c>
      <c r="BB53" s="69">
        <f t="shared" si="101"/>
        <v>0</v>
      </c>
      <c r="BC53" s="69">
        <f t="shared" si="101"/>
        <v>0</v>
      </c>
      <c r="BD53" s="69">
        <f t="shared" si="101"/>
        <v>0</v>
      </c>
      <c r="BE53" s="69">
        <f t="shared" si="101"/>
        <v>0</v>
      </c>
      <c r="BF53" s="69">
        <f t="shared" si="101"/>
        <v>0</v>
      </c>
      <c r="BG53" s="69">
        <f t="shared" si="101"/>
        <v>0</v>
      </c>
      <c r="BH53" s="69">
        <f t="shared" si="101"/>
        <v>0</v>
      </c>
      <c r="BI53" s="69">
        <f t="shared" si="101"/>
        <v>0</v>
      </c>
      <c r="BJ53" s="69">
        <f t="shared" si="101"/>
        <v>0</v>
      </c>
      <c r="BK53" s="69">
        <f t="shared" si="101"/>
        <v>0</v>
      </c>
      <c r="BL53" s="69">
        <f t="shared" si="101"/>
        <v>0</v>
      </c>
      <c r="BM53" s="69">
        <f t="shared" si="101"/>
        <v>0</v>
      </c>
      <c r="BN53" s="69">
        <f t="shared" si="101"/>
        <v>0</v>
      </c>
      <c r="BO53" s="69">
        <f t="shared" si="101"/>
        <v>0</v>
      </c>
      <c r="BP53" s="69">
        <f t="shared" si="101"/>
        <v>0</v>
      </c>
      <c r="BQ53" s="69">
        <f t="shared" ref="BQ53:EB53" si="102">IF(BQ11&gt;$L$7,0,BP58)</f>
        <v>0</v>
      </c>
      <c r="BR53" s="69">
        <f t="shared" si="102"/>
        <v>0</v>
      </c>
      <c r="BS53" s="69">
        <f t="shared" si="102"/>
        <v>0</v>
      </c>
      <c r="BT53" s="69">
        <f t="shared" si="102"/>
        <v>0</v>
      </c>
      <c r="BU53" s="69">
        <f t="shared" si="102"/>
        <v>0</v>
      </c>
      <c r="BV53" s="69">
        <f t="shared" si="102"/>
        <v>0</v>
      </c>
      <c r="BW53" s="69">
        <f t="shared" si="102"/>
        <v>0</v>
      </c>
      <c r="BX53" s="69">
        <f t="shared" si="102"/>
        <v>0</v>
      </c>
      <c r="BY53" s="69">
        <f t="shared" si="102"/>
        <v>0</v>
      </c>
      <c r="BZ53" s="69">
        <f t="shared" si="102"/>
        <v>0</v>
      </c>
      <c r="CA53" s="69">
        <f t="shared" si="102"/>
        <v>0</v>
      </c>
      <c r="CB53" s="69">
        <f t="shared" si="102"/>
        <v>0</v>
      </c>
      <c r="CC53" s="69">
        <f t="shared" si="102"/>
        <v>0</v>
      </c>
      <c r="CD53" s="69">
        <f t="shared" si="102"/>
        <v>0</v>
      </c>
      <c r="CE53" s="69">
        <f t="shared" si="102"/>
        <v>0</v>
      </c>
      <c r="CF53" s="69">
        <f t="shared" si="102"/>
        <v>0</v>
      </c>
      <c r="CG53" s="69">
        <f t="shared" si="102"/>
        <v>0</v>
      </c>
      <c r="CH53" s="69">
        <f t="shared" si="102"/>
        <v>0</v>
      </c>
      <c r="CI53" s="69">
        <f t="shared" si="102"/>
        <v>0</v>
      </c>
      <c r="CJ53" s="69">
        <f t="shared" si="102"/>
        <v>0</v>
      </c>
      <c r="CK53" s="69">
        <f t="shared" si="102"/>
        <v>0</v>
      </c>
      <c r="CL53" s="69">
        <f t="shared" si="102"/>
        <v>0</v>
      </c>
      <c r="CM53" s="69">
        <f t="shared" si="102"/>
        <v>0</v>
      </c>
      <c r="CN53" s="69">
        <f t="shared" si="102"/>
        <v>0</v>
      </c>
      <c r="CO53" s="69">
        <f t="shared" si="102"/>
        <v>0</v>
      </c>
      <c r="CP53" s="69">
        <f t="shared" si="102"/>
        <v>0</v>
      </c>
      <c r="CQ53" s="69">
        <f t="shared" si="102"/>
        <v>0</v>
      </c>
      <c r="CR53" s="69">
        <f t="shared" si="102"/>
        <v>0</v>
      </c>
      <c r="CS53" s="69">
        <f t="shared" si="102"/>
        <v>0</v>
      </c>
      <c r="CT53" s="69">
        <f t="shared" si="102"/>
        <v>0</v>
      </c>
      <c r="CU53" s="69">
        <f t="shared" si="102"/>
        <v>0</v>
      </c>
      <c r="CV53" s="69">
        <f t="shared" si="102"/>
        <v>0</v>
      </c>
      <c r="CW53" s="69">
        <f t="shared" si="102"/>
        <v>0</v>
      </c>
      <c r="CX53" s="69">
        <f t="shared" si="102"/>
        <v>0</v>
      </c>
      <c r="CY53" s="69">
        <f t="shared" si="102"/>
        <v>0</v>
      </c>
      <c r="CZ53" s="69">
        <f t="shared" si="102"/>
        <v>0</v>
      </c>
      <c r="DA53" s="69">
        <f t="shared" si="102"/>
        <v>0</v>
      </c>
      <c r="DB53" s="69">
        <f t="shared" si="102"/>
        <v>0</v>
      </c>
      <c r="DC53" s="69">
        <f t="shared" si="102"/>
        <v>0</v>
      </c>
      <c r="DD53" s="69">
        <f t="shared" si="102"/>
        <v>0</v>
      </c>
      <c r="DE53" s="69">
        <f t="shared" si="102"/>
        <v>0</v>
      </c>
      <c r="DF53" s="69">
        <f t="shared" si="102"/>
        <v>0</v>
      </c>
      <c r="DG53" s="69">
        <f t="shared" si="102"/>
        <v>0</v>
      </c>
      <c r="DH53" s="69">
        <f t="shared" si="102"/>
        <v>0</v>
      </c>
      <c r="DI53" s="69">
        <f t="shared" si="102"/>
        <v>0</v>
      </c>
      <c r="DJ53" s="69">
        <f t="shared" si="102"/>
        <v>0</v>
      </c>
      <c r="DK53" s="69">
        <f t="shared" si="102"/>
        <v>0</v>
      </c>
      <c r="DL53" s="69">
        <f t="shared" si="102"/>
        <v>0</v>
      </c>
      <c r="DM53" s="69">
        <f t="shared" si="102"/>
        <v>0</v>
      </c>
      <c r="DN53" s="69">
        <f t="shared" si="102"/>
        <v>0</v>
      </c>
      <c r="DO53" s="69">
        <f t="shared" si="102"/>
        <v>0</v>
      </c>
      <c r="DP53" s="69">
        <f t="shared" si="102"/>
        <v>0</v>
      </c>
      <c r="DQ53" s="69">
        <f t="shared" si="102"/>
        <v>0</v>
      </c>
      <c r="DR53" s="69">
        <f t="shared" si="102"/>
        <v>0</v>
      </c>
      <c r="DS53" s="69">
        <f t="shared" si="102"/>
        <v>0</v>
      </c>
      <c r="DT53" s="69">
        <f t="shared" si="102"/>
        <v>0</v>
      </c>
      <c r="DU53" s="69">
        <f t="shared" si="102"/>
        <v>0</v>
      </c>
      <c r="DV53" s="69">
        <f t="shared" si="102"/>
        <v>0</v>
      </c>
      <c r="DW53" s="69">
        <f t="shared" si="102"/>
        <v>0</v>
      </c>
      <c r="DX53" s="69">
        <f t="shared" si="102"/>
        <v>0</v>
      </c>
      <c r="DY53" s="69">
        <f t="shared" si="102"/>
        <v>0</v>
      </c>
      <c r="DZ53" s="69">
        <f t="shared" si="102"/>
        <v>0</v>
      </c>
      <c r="EA53" s="69">
        <f t="shared" si="102"/>
        <v>0</v>
      </c>
      <c r="EB53" s="69">
        <f t="shared" si="102"/>
        <v>0</v>
      </c>
      <c r="EC53" s="69">
        <f t="shared" ref="EC53:EE53" si="103">IF(EC11&gt;$L$7,0,EB58)</f>
        <v>0</v>
      </c>
      <c r="ED53" s="69">
        <f t="shared" si="103"/>
        <v>0</v>
      </c>
      <c r="EE53" s="70">
        <f t="shared" si="103"/>
        <v>0</v>
      </c>
    </row>
    <row r="54" spans="1:135" x14ac:dyDescent="0.15">
      <c r="B54" s="7" t="s">
        <v>59</v>
      </c>
      <c r="C54" s="69">
        <v>0</v>
      </c>
      <c r="D54" s="69">
        <f ca="1">D53*(1+$C$4)^((D52-C52)/365)-D53</f>
        <v>89401.397788356058</v>
      </c>
      <c r="E54" s="69">
        <f t="shared" ref="E54:BP54" ca="1" si="104">E53*(1+$C$4)^((E52-D52)/365)-E53</f>
        <v>99375.186647282913</v>
      </c>
      <c r="F54" s="69">
        <f t="shared" ca="1" si="104"/>
        <v>96591.516204059124</v>
      </c>
      <c r="G54" s="69">
        <f t="shared" ca="1" si="104"/>
        <v>100247.93833252136</v>
      </c>
      <c r="H54" s="69">
        <f t="shared" ca="1" si="104"/>
        <v>97437.539734583348</v>
      </c>
      <c r="I54" s="69">
        <f t="shared" ca="1" si="104"/>
        <v>101123.62924572453</v>
      </c>
      <c r="J54" s="69">
        <f t="shared" ca="1" si="104"/>
        <v>101583.30543361884</v>
      </c>
      <c r="K54" s="69">
        <f t="shared" ca="1" si="104"/>
        <v>98732.200577034615</v>
      </c>
      <c r="L54" s="69">
        <f t="shared" ca="1" si="104"/>
        <v>102463.88829177152</v>
      </c>
      <c r="M54" s="69">
        <f t="shared" ca="1" si="104"/>
        <v>99585.784283415414</v>
      </c>
      <c r="N54" s="69">
        <f t="shared" ca="1" si="104"/>
        <v>103347.37185345683</v>
      </c>
      <c r="O54" s="69">
        <f t="shared" ca="1" si="104"/>
        <v>103811.38462641742</v>
      </c>
      <c r="P54" s="69">
        <f t="shared" ca="1" si="104"/>
        <v>94127.656976277009</v>
      </c>
      <c r="Q54" s="69">
        <f t="shared" ca="1" si="104"/>
        <v>104613.89990288019</v>
      </c>
      <c r="R54" s="69">
        <f t="shared" ca="1" si="104"/>
        <v>101669.13639971241</v>
      </c>
      <c r="S54" s="69">
        <f t="shared" ca="1" si="104"/>
        <v>105502.92699790653</v>
      </c>
      <c r="T54" s="69">
        <f t="shared" ca="1" si="104"/>
        <v>102530.83343726769</v>
      </c>
      <c r="U54" s="69">
        <f t="shared" ca="1" si="104"/>
        <v>106394.73268357664</v>
      </c>
      <c r="V54" s="69">
        <f t="shared" ca="1" si="104"/>
        <v>106863.483162174</v>
      </c>
      <c r="W54" s="69">
        <f t="shared" ca="1" si="104"/>
        <v>103849.76229476742</v>
      </c>
      <c r="X54" s="69">
        <f t="shared" ca="1" si="104"/>
        <v>107759.95404764265</v>
      </c>
      <c r="Y54" s="69">
        <f t="shared" ca="1" si="104"/>
        <v>104718.63655515574</v>
      </c>
      <c r="Z54" s="69">
        <f t="shared" ca="1" si="104"/>
        <v>108659.14821431041</v>
      </c>
      <c r="AA54" s="69">
        <f t="shared" ca="1" si="104"/>
        <v>109132.03505798988</v>
      </c>
      <c r="AB54" s="69">
        <f t="shared" ca="1" si="104"/>
        <v>0</v>
      </c>
      <c r="AC54" s="69">
        <f t="shared" ca="1" si="104"/>
        <v>0</v>
      </c>
      <c r="AD54" s="69">
        <f t="shared" ca="1" si="104"/>
        <v>0</v>
      </c>
      <c r="AE54" s="69">
        <f t="shared" ca="1" si="104"/>
        <v>0</v>
      </c>
      <c r="AF54" s="69">
        <f t="shared" ca="1" si="104"/>
        <v>0</v>
      </c>
      <c r="AG54" s="69">
        <f t="shared" ca="1" si="104"/>
        <v>0</v>
      </c>
      <c r="AH54" s="69">
        <f t="shared" ca="1" si="104"/>
        <v>0</v>
      </c>
      <c r="AI54" s="69">
        <f t="shared" ca="1" si="104"/>
        <v>0</v>
      </c>
      <c r="AJ54" s="69">
        <f t="shared" ca="1" si="104"/>
        <v>0</v>
      </c>
      <c r="AK54" s="69">
        <f t="shared" ca="1" si="104"/>
        <v>0</v>
      </c>
      <c r="AL54" s="69">
        <f t="shared" ca="1" si="104"/>
        <v>0</v>
      </c>
      <c r="AM54" s="69">
        <f t="shared" ca="1" si="104"/>
        <v>0</v>
      </c>
      <c r="AN54" s="69">
        <f t="shared" ca="1" si="104"/>
        <v>0</v>
      </c>
      <c r="AO54" s="69">
        <f t="shared" ca="1" si="104"/>
        <v>0</v>
      </c>
      <c r="AP54" s="69">
        <f t="shared" ca="1" si="104"/>
        <v>0</v>
      </c>
      <c r="AQ54" s="69">
        <f t="shared" ca="1" si="104"/>
        <v>0</v>
      </c>
      <c r="AR54" s="69">
        <f t="shared" ca="1" si="104"/>
        <v>0</v>
      </c>
      <c r="AS54" s="69">
        <f t="shared" ca="1" si="104"/>
        <v>0</v>
      </c>
      <c r="AT54" s="69">
        <f t="shared" ca="1" si="104"/>
        <v>0</v>
      </c>
      <c r="AU54" s="69">
        <f t="shared" ca="1" si="104"/>
        <v>0</v>
      </c>
      <c r="AV54" s="69">
        <f t="shared" ca="1" si="104"/>
        <v>0</v>
      </c>
      <c r="AW54" s="69">
        <f t="shared" ca="1" si="104"/>
        <v>0</v>
      </c>
      <c r="AX54" s="69">
        <f t="shared" ca="1" si="104"/>
        <v>0</v>
      </c>
      <c r="AY54" s="69">
        <f t="shared" ca="1" si="104"/>
        <v>0</v>
      </c>
      <c r="AZ54" s="69">
        <f t="shared" ca="1" si="104"/>
        <v>0</v>
      </c>
      <c r="BA54" s="69">
        <f t="shared" ca="1" si="104"/>
        <v>0</v>
      </c>
      <c r="BB54" s="69">
        <f t="shared" ca="1" si="104"/>
        <v>0</v>
      </c>
      <c r="BC54" s="69">
        <f t="shared" ca="1" si="104"/>
        <v>0</v>
      </c>
      <c r="BD54" s="69">
        <f t="shared" ca="1" si="104"/>
        <v>0</v>
      </c>
      <c r="BE54" s="69">
        <f t="shared" ca="1" si="104"/>
        <v>0</v>
      </c>
      <c r="BF54" s="69">
        <f t="shared" ca="1" si="104"/>
        <v>0</v>
      </c>
      <c r="BG54" s="69">
        <f t="shared" ca="1" si="104"/>
        <v>0</v>
      </c>
      <c r="BH54" s="69">
        <f t="shared" ca="1" si="104"/>
        <v>0</v>
      </c>
      <c r="BI54" s="69">
        <f t="shared" ca="1" si="104"/>
        <v>0</v>
      </c>
      <c r="BJ54" s="69">
        <f t="shared" ca="1" si="104"/>
        <v>0</v>
      </c>
      <c r="BK54" s="69">
        <f t="shared" ca="1" si="104"/>
        <v>0</v>
      </c>
      <c r="BL54" s="69">
        <f t="shared" ca="1" si="104"/>
        <v>0</v>
      </c>
      <c r="BM54" s="69">
        <f t="shared" ca="1" si="104"/>
        <v>0</v>
      </c>
      <c r="BN54" s="69">
        <f t="shared" ca="1" si="104"/>
        <v>0</v>
      </c>
      <c r="BO54" s="69">
        <f t="shared" ca="1" si="104"/>
        <v>0</v>
      </c>
      <c r="BP54" s="69">
        <f t="shared" ca="1" si="104"/>
        <v>0</v>
      </c>
      <c r="BQ54" s="69">
        <f t="shared" ref="BQ54:EB54" ca="1" si="105">BQ53*(1+$C$4)^((BQ52-BP52)/365)-BQ53</f>
        <v>0</v>
      </c>
      <c r="BR54" s="69">
        <f t="shared" ca="1" si="105"/>
        <v>0</v>
      </c>
      <c r="BS54" s="69">
        <f t="shared" ca="1" si="105"/>
        <v>0</v>
      </c>
      <c r="BT54" s="69">
        <f t="shared" ca="1" si="105"/>
        <v>0</v>
      </c>
      <c r="BU54" s="69">
        <f t="shared" ca="1" si="105"/>
        <v>0</v>
      </c>
      <c r="BV54" s="69">
        <f t="shared" ca="1" si="105"/>
        <v>0</v>
      </c>
      <c r="BW54" s="69">
        <f t="shared" ca="1" si="105"/>
        <v>0</v>
      </c>
      <c r="BX54" s="69">
        <f t="shared" ca="1" si="105"/>
        <v>0</v>
      </c>
      <c r="BY54" s="69">
        <f t="shared" ca="1" si="105"/>
        <v>0</v>
      </c>
      <c r="BZ54" s="69">
        <f t="shared" ca="1" si="105"/>
        <v>0</v>
      </c>
      <c r="CA54" s="69">
        <f t="shared" ca="1" si="105"/>
        <v>0</v>
      </c>
      <c r="CB54" s="69">
        <f t="shared" ca="1" si="105"/>
        <v>0</v>
      </c>
      <c r="CC54" s="69">
        <f t="shared" ca="1" si="105"/>
        <v>0</v>
      </c>
      <c r="CD54" s="69">
        <f t="shared" ca="1" si="105"/>
        <v>0</v>
      </c>
      <c r="CE54" s="69">
        <f t="shared" ca="1" si="105"/>
        <v>0</v>
      </c>
      <c r="CF54" s="69">
        <f t="shared" ca="1" si="105"/>
        <v>0</v>
      </c>
      <c r="CG54" s="69">
        <f t="shared" ca="1" si="105"/>
        <v>0</v>
      </c>
      <c r="CH54" s="69">
        <f t="shared" ca="1" si="105"/>
        <v>0</v>
      </c>
      <c r="CI54" s="69">
        <f t="shared" ca="1" si="105"/>
        <v>0</v>
      </c>
      <c r="CJ54" s="69">
        <f t="shared" ca="1" si="105"/>
        <v>0</v>
      </c>
      <c r="CK54" s="69">
        <f t="shared" ca="1" si="105"/>
        <v>0</v>
      </c>
      <c r="CL54" s="69">
        <f t="shared" ca="1" si="105"/>
        <v>0</v>
      </c>
      <c r="CM54" s="69">
        <f t="shared" ca="1" si="105"/>
        <v>0</v>
      </c>
      <c r="CN54" s="69">
        <f t="shared" ca="1" si="105"/>
        <v>0</v>
      </c>
      <c r="CO54" s="69">
        <f t="shared" ca="1" si="105"/>
        <v>0</v>
      </c>
      <c r="CP54" s="69">
        <f t="shared" ca="1" si="105"/>
        <v>0</v>
      </c>
      <c r="CQ54" s="69">
        <f t="shared" ca="1" si="105"/>
        <v>0</v>
      </c>
      <c r="CR54" s="69">
        <f t="shared" ca="1" si="105"/>
        <v>0</v>
      </c>
      <c r="CS54" s="69">
        <f t="shared" ca="1" si="105"/>
        <v>0</v>
      </c>
      <c r="CT54" s="69">
        <f t="shared" ca="1" si="105"/>
        <v>0</v>
      </c>
      <c r="CU54" s="69">
        <f t="shared" ca="1" si="105"/>
        <v>0</v>
      </c>
      <c r="CV54" s="69">
        <f t="shared" ca="1" si="105"/>
        <v>0</v>
      </c>
      <c r="CW54" s="69">
        <f t="shared" ca="1" si="105"/>
        <v>0</v>
      </c>
      <c r="CX54" s="69">
        <f t="shared" ca="1" si="105"/>
        <v>0</v>
      </c>
      <c r="CY54" s="69">
        <f t="shared" ca="1" si="105"/>
        <v>0</v>
      </c>
      <c r="CZ54" s="69">
        <f t="shared" ca="1" si="105"/>
        <v>0</v>
      </c>
      <c r="DA54" s="69">
        <f t="shared" ca="1" si="105"/>
        <v>0</v>
      </c>
      <c r="DB54" s="69">
        <f t="shared" ca="1" si="105"/>
        <v>0</v>
      </c>
      <c r="DC54" s="69">
        <f t="shared" ca="1" si="105"/>
        <v>0</v>
      </c>
      <c r="DD54" s="69">
        <f t="shared" ca="1" si="105"/>
        <v>0</v>
      </c>
      <c r="DE54" s="69">
        <f t="shared" ca="1" si="105"/>
        <v>0</v>
      </c>
      <c r="DF54" s="69">
        <f t="shared" ca="1" si="105"/>
        <v>0</v>
      </c>
      <c r="DG54" s="69">
        <f t="shared" ca="1" si="105"/>
        <v>0</v>
      </c>
      <c r="DH54" s="69">
        <f t="shared" ca="1" si="105"/>
        <v>0</v>
      </c>
      <c r="DI54" s="69">
        <f t="shared" ca="1" si="105"/>
        <v>0</v>
      </c>
      <c r="DJ54" s="69">
        <f t="shared" ca="1" si="105"/>
        <v>0</v>
      </c>
      <c r="DK54" s="69">
        <f t="shared" ca="1" si="105"/>
        <v>0</v>
      </c>
      <c r="DL54" s="69">
        <f t="shared" ca="1" si="105"/>
        <v>0</v>
      </c>
      <c r="DM54" s="69">
        <f t="shared" ca="1" si="105"/>
        <v>0</v>
      </c>
      <c r="DN54" s="69">
        <f t="shared" ca="1" si="105"/>
        <v>0</v>
      </c>
      <c r="DO54" s="69">
        <f t="shared" ca="1" si="105"/>
        <v>0</v>
      </c>
      <c r="DP54" s="69">
        <f t="shared" ca="1" si="105"/>
        <v>0</v>
      </c>
      <c r="DQ54" s="69">
        <f t="shared" ca="1" si="105"/>
        <v>0</v>
      </c>
      <c r="DR54" s="69">
        <f t="shared" ca="1" si="105"/>
        <v>0</v>
      </c>
      <c r="DS54" s="69">
        <f t="shared" ca="1" si="105"/>
        <v>0</v>
      </c>
      <c r="DT54" s="69">
        <f t="shared" ca="1" si="105"/>
        <v>0</v>
      </c>
      <c r="DU54" s="69">
        <f t="shared" ca="1" si="105"/>
        <v>0</v>
      </c>
      <c r="DV54" s="69">
        <f t="shared" ca="1" si="105"/>
        <v>0</v>
      </c>
      <c r="DW54" s="69">
        <f t="shared" ca="1" si="105"/>
        <v>0</v>
      </c>
      <c r="DX54" s="69">
        <f t="shared" ca="1" si="105"/>
        <v>0</v>
      </c>
      <c r="DY54" s="69">
        <f t="shared" ca="1" si="105"/>
        <v>0</v>
      </c>
      <c r="DZ54" s="69">
        <f t="shared" ca="1" si="105"/>
        <v>0</v>
      </c>
      <c r="EA54" s="69">
        <f t="shared" ca="1" si="105"/>
        <v>0</v>
      </c>
      <c r="EB54" s="69">
        <f t="shared" ca="1" si="105"/>
        <v>0</v>
      </c>
      <c r="EC54" s="69">
        <f t="shared" ref="EC54:EE54" ca="1" si="106">EC53*(1+$C$4)^((EC52-EB52)/365)-EC53</f>
        <v>0</v>
      </c>
      <c r="ED54" s="69">
        <f t="shared" ca="1" si="106"/>
        <v>0</v>
      </c>
      <c r="EE54" s="70">
        <f t="shared" ca="1" si="106"/>
        <v>0</v>
      </c>
    </row>
    <row r="55" spans="1:135" x14ac:dyDescent="0.15">
      <c r="B55" s="7" t="s">
        <v>47</v>
      </c>
      <c r="C55" s="69">
        <f>C43</f>
        <v>-7807500</v>
      </c>
      <c r="D55" s="69">
        <f>D43</f>
        <v>0</v>
      </c>
      <c r="E55" s="69">
        <f t="shared" ref="E55:BP55" si="107">E43</f>
        <v>0</v>
      </c>
      <c r="F55" s="69">
        <f t="shared" si="107"/>
        <v>0</v>
      </c>
      <c r="G55" s="69">
        <f t="shared" si="107"/>
        <v>0</v>
      </c>
      <c r="H55" s="69">
        <f t="shared" si="107"/>
        <v>0</v>
      </c>
      <c r="I55" s="69">
        <f t="shared" si="107"/>
        <v>0</v>
      </c>
      <c r="J55" s="69">
        <f t="shared" si="107"/>
        <v>0</v>
      </c>
      <c r="K55" s="69">
        <f t="shared" si="107"/>
        <v>0</v>
      </c>
      <c r="L55" s="69">
        <f t="shared" si="107"/>
        <v>0</v>
      </c>
      <c r="M55" s="69">
        <f t="shared" si="107"/>
        <v>0</v>
      </c>
      <c r="N55" s="69">
        <f t="shared" si="107"/>
        <v>0</v>
      </c>
      <c r="O55" s="69">
        <f t="shared" si="107"/>
        <v>0</v>
      </c>
      <c r="P55" s="69">
        <f t="shared" si="107"/>
        <v>0</v>
      </c>
      <c r="Q55" s="69">
        <f t="shared" si="107"/>
        <v>0</v>
      </c>
      <c r="R55" s="69">
        <f t="shared" si="107"/>
        <v>0</v>
      </c>
      <c r="S55" s="69">
        <f t="shared" si="107"/>
        <v>0</v>
      </c>
      <c r="T55" s="69">
        <f t="shared" si="107"/>
        <v>0</v>
      </c>
      <c r="U55" s="69">
        <f t="shared" si="107"/>
        <v>0</v>
      </c>
      <c r="V55" s="69">
        <f t="shared" si="107"/>
        <v>0</v>
      </c>
      <c r="W55" s="69">
        <f t="shared" si="107"/>
        <v>0</v>
      </c>
      <c r="X55" s="69">
        <f t="shared" si="107"/>
        <v>0</v>
      </c>
      <c r="Y55" s="69">
        <f t="shared" si="107"/>
        <v>0</v>
      </c>
      <c r="Z55" s="69">
        <f t="shared" si="107"/>
        <v>0</v>
      </c>
      <c r="AA55" s="69">
        <f t="shared" si="107"/>
        <v>0</v>
      </c>
      <c r="AB55" s="69">
        <f t="shared" si="107"/>
        <v>0</v>
      </c>
      <c r="AC55" s="69">
        <f t="shared" si="107"/>
        <v>0</v>
      </c>
      <c r="AD55" s="69">
        <f t="shared" si="107"/>
        <v>0</v>
      </c>
      <c r="AE55" s="69">
        <f t="shared" si="107"/>
        <v>0</v>
      </c>
      <c r="AF55" s="69">
        <f t="shared" si="107"/>
        <v>0</v>
      </c>
      <c r="AG55" s="69">
        <f t="shared" si="107"/>
        <v>0</v>
      </c>
      <c r="AH55" s="69">
        <f t="shared" si="107"/>
        <v>0</v>
      </c>
      <c r="AI55" s="69">
        <f t="shared" si="107"/>
        <v>0</v>
      </c>
      <c r="AJ55" s="69">
        <f t="shared" si="107"/>
        <v>0</v>
      </c>
      <c r="AK55" s="69">
        <f t="shared" si="107"/>
        <v>0</v>
      </c>
      <c r="AL55" s="69">
        <f t="shared" si="107"/>
        <v>0</v>
      </c>
      <c r="AM55" s="69">
        <f t="shared" si="107"/>
        <v>0</v>
      </c>
      <c r="AN55" s="69">
        <f t="shared" si="107"/>
        <v>0</v>
      </c>
      <c r="AO55" s="69">
        <f t="shared" si="107"/>
        <v>0</v>
      </c>
      <c r="AP55" s="69">
        <f t="shared" si="107"/>
        <v>0</v>
      </c>
      <c r="AQ55" s="69">
        <f t="shared" si="107"/>
        <v>0</v>
      </c>
      <c r="AR55" s="69">
        <f t="shared" si="107"/>
        <v>0</v>
      </c>
      <c r="AS55" s="69">
        <f t="shared" si="107"/>
        <v>0</v>
      </c>
      <c r="AT55" s="69">
        <f t="shared" si="107"/>
        <v>0</v>
      </c>
      <c r="AU55" s="69">
        <f t="shared" si="107"/>
        <v>0</v>
      </c>
      <c r="AV55" s="69">
        <f t="shared" si="107"/>
        <v>0</v>
      </c>
      <c r="AW55" s="69">
        <f t="shared" si="107"/>
        <v>0</v>
      </c>
      <c r="AX55" s="69">
        <f t="shared" si="107"/>
        <v>0</v>
      </c>
      <c r="AY55" s="69">
        <f t="shared" si="107"/>
        <v>0</v>
      </c>
      <c r="AZ55" s="69">
        <f t="shared" si="107"/>
        <v>0</v>
      </c>
      <c r="BA55" s="69">
        <f t="shared" si="107"/>
        <v>0</v>
      </c>
      <c r="BB55" s="69">
        <f t="shared" si="107"/>
        <v>0</v>
      </c>
      <c r="BC55" s="69">
        <f t="shared" si="107"/>
        <v>0</v>
      </c>
      <c r="BD55" s="69">
        <f t="shared" si="107"/>
        <v>0</v>
      </c>
      <c r="BE55" s="69">
        <f t="shared" si="107"/>
        <v>0</v>
      </c>
      <c r="BF55" s="69">
        <f t="shared" si="107"/>
        <v>0</v>
      </c>
      <c r="BG55" s="69">
        <f t="shared" si="107"/>
        <v>0</v>
      </c>
      <c r="BH55" s="69">
        <f t="shared" si="107"/>
        <v>0</v>
      </c>
      <c r="BI55" s="69">
        <f t="shared" si="107"/>
        <v>0</v>
      </c>
      <c r="BJ55" s="69">
        <f t="shared" si="107"/>
        <v>0</v>
      </c>
      <c r="BK55" s="69">
        <f t="shared" si="107"/>
        <v>0</v>
      </c>
      <c r="BL55" s="69">
        <f t="shared" si="107"/>
        <v>0</v>
      </c>
      <c r="BM55" s="69">
        <f t="shared" si="107"/>
        <v>0</v>
      </c>
      <c r="BN55" s="69">
        <f t="shared" si="107"/>
        <v>0</v>
      </c>
      <c r="BO55" s="69">
        <f t="shared" si="107"/>
        <v>0</v>
      </c>
      <c r="BP55" s="69">
        <f t="shared" si="107"/>
        <v>0</v>
      </c>
      <c r="BQ55" s="69">
        <f t="shared" ref="BQ55:EB55" si="108">BQ43</f>
        <v>0</v>
      </c>
      <c r="BR55" s="69">
        <f t="shared" si="108"/>
        <v>0</v>
      </c>
      <c r="BS55" s="69">
        <f t="shared" si="108"/>
        <v>0</v>
      </c>
      <c r="BT55" s="69">
        <f t="shared" si="108"/>
        <v>0</v>
      </c>
      <c r="BU55" s="69">
        <f t="shared" si="108"/>
        <v>0</v>
      </c>
      <c r="BV55" s="69">
        <f t="shared" si="108"/>
        <v>0</v>
      </c>
      <c r="BW55" s="69">
        <f t="shared" si="108"/>
        <v>0</v>
      </c>
      <c r="BX55" s="69">
        <f t="shared" si="108"/>
        <v>0</v>
      </c>
      <c r="BY55" s="69">
        <f t="shared" si="108"/>
        <v>0</v>
      </c>
      <c r="BZ55" s="69">
        <f t="shared" si="108"/>
        <v>0</v>
      </c>
      <c r="CA55" s="69">
        <f t="shared" si="108"/>
        <v>0</v>
      </c>
      <c r="CB55" s="69">
        <f t="shared" si="108"/>
        <v>0</v>
      </c>
      <c r="CC55" s="69">
        <f t="shared" si="108"/>
        <v>0</v>
      </c>
      <c r="CD55" s="69">
        <f t="shared" si="108"/>
        <v>0</v>
      </c>
      <c r="CE55" s="69">
        <f t="shared" si="108"/>
        <v>0</v>
      </c>
      <c r="CF55" s="69">
        <f t="shared" si="108"/>
        <v>0</v>
      </c>
      <c r="CG55" s="69">
        <f t="shared" si="108"/>
        <v>0</v>
      </c>
      <c r="CH55" s="69">
        <f t="shared" si="108"/>
        <v>0</v>
      </c>
      <c r="CI55" s="69">
        <f t="shared" si="108"/>
        <v>0</v>
      </c>
      <c r="CJ55" s="69">
        <f t="shared" si="108"/>
        <v>0</v>
      </c>
      <c r="CK55" s="69">
        <f t="shared" si="108"/>
        <v>0</v>
      </c>
      <c r="CL55" s="69">
        <f t="shared" si="108"/>
        <v>0</v>
      </c>
      <c r="CM55" s="69">
        <f t="shared" si="108"/>
        <v>0</v>
      </c>
      <c r="CN55" s="69">
        <f t="shared" si="108"/>
        <v>0</v>
      </c>
      <c r="CO55" s="69">
        <f t="shared" si="108"/>
        <v>0</v>
      </c>
      <c r="CP55" s="69">
        <f t="shared" si="108"/>
        <v>0</v>
      </c>
      <c r="CQ55" s="69">
        <f t="shared" si="108"/>
        <v>0</v>
      </c>
      <c r="CR55" s="69">
        <f t="shared" si="108"/>
        <v>0</v>
      </c>
      <c r="CS55" s="69">
        <f t="shared" si="108"/>
        <v>0</v>
      </c>
      <c r="CT55" s="69">
        <f t="shared" si="108"/>
        <v>0</v>
      </c>
      <c r="CU55" s="69">
        <f t="shared" si="108"/>
        <v>0</v>
      </c>
      <c r="CV55" s="69">
        <f t="shared" si="108"/>
        <v>0</v>
      </c>
      <c r="CW55" s="69">
        <f t="shared" si="108"/>
        <v>0</v>
      </c>
      <c r="CX55" s="69">
        <f t="shared" si="108"/>
        <v>0</v>
      </c>
      <c r="CY55" s="69">
        <f t="shared" si="108"/>
        <v>0</v>
      </c>
      <c r="CZ55" s="69">
        <f t="shared" si="108"/>
        <v>0</v>
      </c>
      <c r="DA55" s="69">
        <f t="shared" si="108"/>
        <v>0</v>
      </c>
      <c r="DB55" s="69">
        <f t="shared" si="108"/>
        <v>0</v>
      </c>
      <c r="DC55" s="69">
        <f t="shared" si="108"/>
        <v>0</v>
      </c>
      <c r="DD55" s="69">
        <f t="shared" si="108"/>
        <v>0</v>
      </c>
      <c r="DE55" s="69">
        <f t="shared" si="108"/>
        <v>0</v>
      </c>
      <c r="DF55" s="69">
        <f t="shared" si="108"/>
        <v>0</v>
      </c>
      <c r="DG55" s="69">
        <f t="shared" si="108"/>
        <v>0</v>
      </c>
      <c r="DH55" s="69">
        <f t="shared" si="108"/>
        <v>0</v>
      </c>
      <c r="DI55" s="69">
        <f t="shared" si="108"/>
        <v>0</v>
      </c>
      <c r="DJ55" s="69">
        <f t="shared" si="108"/>
        <v>0</v>
      </c>
      <c r="DK55" s="69">
        <f t="shared" si="108"/>
        <v>0</v>
      </c>
      <c r="DL55" s="69">
        <f t="shared" si="108"/>
        <v>0</v>
      </c>
      <c r="DM55" s="69">
        <f t="shared" si="108"/>
        <v>0</v>
      </c>
      <c r="DN55" s="69">
        <f t="shared" si="108"/>
        <v>0</v>
      </c>
      <c r="DO55" s="69">
        <f t="shared" si="108"/>
        <v>0</v>
      </c>
      <c r="DP55" s="69">
        <f t="shared" si="108"/>
        <v>0</v>
      </c>
      <c r="DQ55" s="69">
        <f t="shared" si="108"/>
        <v>0</v>
      </c>
      <c r="DR55" s="69">
        <f t="shared" si="108"/>
        <v>0</v>
      </c>
      <c r="DS55" s="69">
        <f t="shared" si="108"/>
        <v>0</v>
      </c>
      <c r="DT55" s="69">
        <f t="shared" si="108"/>
        <v>0</v>
      </c>
      <c r="DU55" s="69">
        <f t="shared" si="108"/>
        <v>0</v>
      </c>
      <c r="DV55" s="69">
        <f t="shared" si="108"/>
        <v>0</v>
      </c>
      <c r="DW55" s="69">
        <f t="shared" si="108"/>
        <v>0</v>
      </c>
      <c r="DX55" s="69">
        <f t="shared" si="108"/>
        <v>0</v>
      </c>
      <c r="DY55" s="69">
        <f t="shared" si="108"/>
        <v>0</v>
      </c>
      <c r="DZ55" s="69">
        <f t="shared" si="108"/>
        <v>0</v>
      </c>
      <c r="EA55" s="69">
        <f t="shared" si="108"/>
        <v>0</v>
      </c>
      <c r="EB55" s="69">
        <f t="shared" si="108"/>
        <v>0</v>
      </c>
      <c r="EC55" s="69">
        <f t="shared" ref="EC55:EE55" si="109">EC43</f>
        <v>0</v>
      </c>
      <c r="ED55" s="69">
        <f t="shared" si="109"/>
        <v>0</v>
      </c>
      <c r="EE55" s="70">
        <f t="shared" si="109"/>
        <v>0</v>
      </c>
    </row>
    <row r="56" spans="1:135" x14ac:dyDescent="0.15">
      <c r="B56" s="7" t="s">
        <v>58</v>
      </c>
      <c r="C56" s="69">
        <f>C31+C45</f>
        <v>0</v>
      </c>
      <c r="D56" s="69">
        <f ca="1">D31+D45</f>
        <v>63027.916912651017</v>
      </c>
      <c r="E56" s="69">
        <f t="shared" ref="E56:BP56" ca="1" si="110">E31+E45</f>
        <v>63397.857378496577</v>
      </c>
      <c r="F56" s="69">
        <f t="shared" ca="1" si="110"/>
        <v>63768.710217330539</v>
      </c>
      <c r="G56" s="69">
        <f t="shared" ca="1" si="110"/>
        <v>64140.477679310941</v>
      </c>
      <c r="H56" s="69">
        <f t="shared" ca="1" si="110"/>
        <v>64513.162020145166</v>
      </c>
      <c r="I56" s="69">
        <f t="shared" ca="1" si="110"/>
        <v>64886.76550110375</v>
      </c>
      <c r="J56" s="69">
        <f t="shared" ca="1" si="110"/>
        <v>65261.2903890343</v>
      </c>
      <c r="K56" s="69">
        <f t="shared" ca="1" si="110"/>
        <v>65636.738956374887</v>
      </c>
      <c r="L56" s="69">
        <f t="shared" ca="1" si="110"/>
        <v>66013.113481168213</v>
      </c>
      <c r="M56" s="69">
        <f t="shared" ca="1" si="110"/>
        <v>66390.416247075045</v>
      </c>
      <c r="N56" s="69">
        <f t="shared" ca="1" si="110"/>
        <v>66768.64954338847</v>
      </c>
      <c r="O56" s="69">
        <f t="shared" ca="1" si="110"/>
        <v>67147.815665047485</v>
      </c>
      <c r="P56" s="69">
        <f t="shared" ca="1" si="110"/>
        <v>67527.916912650995</v>
      </c>
      <c r="Q56" s="69">
        <f t="shared" ca="1" si="110"/>
        <v>67908.955592471917</v>
      </c>
      <c r="R56" s="69">
        <f t="shared" ca="1" si="110"/>
        <v>68290.934016470928</v>
      </c>
      <c r="S56" s="69">
        <f t="shared" ca="1" si="110"/>
        <v>68673.854502310787</v>
      </c>
      <c r="T56" s="69">
        <f t="shared" ca="1" si="110"/>
        <v>69057.719373369997</v>
      </c>
      <c r="U56" s="69">
        <f t="shared" ca="1" si="110"/>
        <v>69442.530958757343</v>
      </c>
      <c r="V56" s="69">
        <f t="shared" ca="1" si="110"/>
        <v>69828.291593325819</v>
      </c>
      <c r="W56" s="69">
        <f t="shared" ca="1" si="110"/>
        <v>70215.003617686627</v>
      </c>
      <c r="X56" s="69">
        <f t="shared" ca="1" si="110"/>
        <v>70602.669378223727</v>
      </c>
      <c r="Y56" s="69">
        <f t="shared" ca="1" si="110"/>
        <v>70991.291227107766</v>
      </c>
      <c r="Z56" s="69">
        <f t="shared" ca="1" si="110"/>
        <v>71380.871522310597</v>
      </c>
      <c r="AA56" s="69">
        <f t="shared" ca="1" si="110"/>
        <v>8384725.253448681</v>
      </c>
      <c r="AB56" s="69">
        <f t="shared" ca="1" si="110"/>
        <v>0</v>
      </c>
      <c r="AC56" s="69">
        <f t="shared" ca="1" si="110"/>
        <v>0</v>
      </c>
      <c r="AD56" s="69">
        <f t="shared" ca="1" si="110"/>
        <v>0</v>
      </c>
      <c r="AE56" s="69">
        <f t="shared" ca="1" si="110"/>
        <v>0</v>
      </c>
      <c r="AF56" s="69">
        <f t="shared" ca="1" si="110"/>
        <v>0</v>
      </c>
      <c r="AG56" s="69">
        <f t="shared" ca="1" si="110"/>
        <v>0</v>
      </c>
      <c r="AH56" s="69">
        <f t="shared" ca="1" si="110"/>
        <v>0</v>
      </c>
      <c r="AI56" s="69">
        <f t="shared" ca="1" si="110"/>
        <v>0</v>
      </c>
      <c r="AJ56" s="69">
        <f t="shared" ca="1" si="110"/>
        <v>0</v>
      </c>
      <c r="AK56" s="69">
        <f t="shared" ca="1" si="110"/>
        <v>0</v>
      </c>
      <c r="AL56" s="69">
        <f t="shared" ca="1" si="110"/>
        <v>0</v>
      </c>
      <c r="AM56" s="69">
        <f t="shared" ca="1" si="110"/>
        <v>0</v>
      </c>
      <c r="AN56" s="69">
        <f t="shared" ca="1" si="110"/>
        <v>0</v>
      </c>
      <c r="AO56" s="69">
        <f t="shared" ca="1" si="110"/>
        <v>0</v>
      </c>
      <c r="AP56" s="69">
        <f t="shared" ca="1" si="110"/>
        <v>0</v>
      </c>
      <c r="AQ56" s="69">
        <f t="shared" ca="1" si="110"/>
        <v>0</v>
      </c>
      <c r="AR56" s="69">
        <f t="shared" ca="1" si="110"/>
        <v>0</v>
      </c>
      <c r="AS56" s="69">
        <f t="shared" ca="1" si="110"/>
        <v>0</v>
      </c>
      <c r="AT56" s="69">
        <f t="shared" ca="1" si="110"/>
        <v>0</v>
      </c>
      <c r="AU56" s="69">
        <f t="shared" ca="1" si="110"/>
        <v>0</v>
      </c>
      <c r="AV56" s="69">
        <f t="shared" ca="1" si="110"/>
        <v>0</v>
      </c>
      <c r="AW56" s="69">
        <f t="shared" ca="1" si="110"/>
        <v>0</v>
      </c>
      <c r="AX56" s="69">
        <f t="shared" ca="1" si="110"/>
        <v>0</v>
      </c>
      <c r="AY56" s="69">
        <f t="shared" ca="1" si="110"/>
        <v>0</v>
      </c>
      <c r="AZ56" s="69">
        <f t="shared" ca="1" si="110"/>
        <v>0</v>
      </c>
      <c r="BA56" s="69">
        <f t="shared" ca="1" si="110"/>
        <v>0</v>
      </c>
      <c r="BB56" s="69">
        <f t="shared" ca="1" si="110"/>
        <v>0</v>
      </c>
      <c r="BC56" s="69">
        <f t="shared" ca="1" si="110"/>
        <v>0</v>
      </c>
      <c r="BD56" s="69">
        <f t="shared" ca="1" si="110"/>
        <v>0</v>
      </c>
      <c r="BE56" s="69">
        <f t="shared" ca="1" si="110"/>
        <v>0</v>
      </c>
      <c r="BF56" s="69">
        <f t="shared" ca="1" si="110"/>
        <v>0</v>
      </c>
      <c r="BG56" s="69">
        <f t="shared" ca="1" si="110"/>
        <v>0</v>
      </c>
      <c r="BH56" s="69">
        <f t="shared" ca="1" si="110"/>
        <v>0</v>
      </c>
      <c r="BI56" s="69">
        <f t="shared" ca="1" si="110"/>
        <v>0</v>
      </c>
      <c r="BJ56" s="69">
        <f t="shared" ca="1" si="110"/>
        <v>0</v>
      </c>
      <c r="BK56" s="69">
        <f t="shared" ca="1" si="110"/>
        <v>0</v>
      </c>
      <c r="BL56" s="69">
        <f t="shared" ca="1" si="110"/>
        <v>0</v>
      </c>
      <c r="BM56" s="69">
        <f t="shared" ca="1" si="110"/>
        <v>0</v>
      </c>
      <c r="BN56" s="69">
        <f t="shared" ca="1" si="110"/>
        <v>0</v>
      </c>
      <c r="BO56" s="69">
        <f t="shared" ca="1" si="110"/>
        <v>0</v>
      </c>
      <c r="BP56" s="69">
        <f t="shared" ca="1" si="110"/>
        <v>0</v>
      </c>
      <c r="BQ56" s="69">
        <f t="shared" ref="BQ56:EB56" ca="1" si="111">BQ31+BQ45</f>
        <v>0</v>
      </c>
      <c r="BR56" s="69">
        <f t="shared" ca="1" si="111"/>
        <v>0</v>
      </c>
      <c r="BS56" s="69">
        <f t="shared" ca="1" si="111"/>
        <v>0</v>
      </c>
      <c r="BT56" s="69">
        <f t="shared" ca="1" si="111"/>
        <v>0</v>
      </c>
      <c r="BU56" s="69">
        <f t="shared" ca="1" si="111"/>
        <v>0</v>
      </c>
      <c r="BV56" s="69">
        <f t="shared" ca="1" si="111"/>
        <v>0</v>
      </c>
      <c r="BW56" s="69">
        <f t="shared" ca="1" si="111"/>
        <v>0</v>
      </c>
      <c r="BX56" s="69">
        <f t="shared" ca="1" si="111"/>
        <v>0</v>
      </c>
      <c r="BY56" s="69">
        <f t="shared" ca="1" si="111"/>
        <v>0</v>
      </c>
      <c r="BZ56" s="69">
        <f t="shared" ca="1" si="111"/>
        <v>0</v>
      </c>
      <c r="CA56" s="69">
        <f t="shared" ca="1" si="111"/>
        <v>0</v>
      </c>
      <c r="CB56" s="69">
        <f t="shared" ca="1" si="111"/>
        <v>0</v>
      </c>
      <c r="CC56" s="69">
        <f t="shared" ca="1" si="111"/>
        <v>0</v>
      </c>
      <c r="CD56" s="69">
        <f t="shared" ca="1" si="111"/>
        <v>0</v>
      </c>
      <c r="CE56" s="69">
        <f t="shared" ca="1" si="111"/>
        <v>0</v>
      </c>
      <c r="CF56" s="69">
        <f t="shared" ca="1" si="111"/>
        <v>0</v>
      </c>
      <c r="CG56" s="69">
        <f t="shared" ca="1" si="111"/>
        <v>0</v>
      </c>
      <c r="CH56" s="69">
        <f t="shared" ca="1" si="111"/>
        <v>0</v>
      </c>
      <c r="CI56" s="69">
        <f t="shared" ca="1" si="111"/>
        <v>0</v>
      </c>
      <c r="CJ56" s="69">
        <f t="shared" ca="1" si="111"/>
        <v>0</v>
      </c>
      <c r="CK56" s="69">
        <f t="shared" ca="1" si="111"/>
        <v>0</v>
      </c>
      <c r="CL56" s="69">
        <f t="shared" ca="1" si="111"/>
        <v>0</v>
      </c>
      <c r="CM56" s="69">
        <f t="shared" ca="1" si="111"/>
        <v>0</v>
      </c>
      <c r="CN56" s="69">
        <f t="shared" ca="1" si="111"/>
        <v>0</v>
      </c>
      <c r="CO56" s="69">
        <f t="shared" ca="1" si="111"/>
        <v>0</v>
      </c>
      <c r="CP56" s="69">
        <f t="shared" ca="1" si="111"/>
        <v>0</v>
      </c>
      <c r="CQ56" s="69">
        <f t="shared" ca="1" si="111"/>
        <v>0</v>
      </c>
      <c r="CR56" s="69">
        <f t="shared" ca="1" si="111"/>
        <v>0</v>
      </c>
      <c r="CS56" s="69">
        <f t="shared" ca="1" si="111"/>
        <v>0</v>
      </c>
      <c r="CT56" s="69">
        <f t="shared" ca="1" si="111"/>
        <v>0</v>
      </c>
      <c r="CU56" s="69">
        <f t="shared" ca="1" si="111"/>
        <v>0</v>
      </c>
      <c r="CV56" s="69">
        <f t="shared" ca="1" si="111"/>
        <v>0</v>
      </c>
      <c r="CW56" s="69">
        <f t="shared" ca="1" si="111"/>
        <v>0</v>
      </c>
      <c r="CX56" s="69">
        <f t="shared" ca="1" si="111"/>
        <v>0</v>
      </c>
      <c r="CY56" s="69">
        <f t="shared" ca="1" si="111"/>
        <v>0</v>
      </c>
      <c r="CZ56" s="69">
        <f t="shared" ca="1" si="111"/>
        <v>0</v>
      </c>
      <c r="DA56" s="69">
        <f t="shared" ca="1" si="111"/>
        <v>0</v>
      </c>
      <c r="DB56" s="69">
        <f t="shared" ca="1" si="111"/>
        <v>0</v>
      </c>
      <c r="DC56" s="69">
        <f t="shared" ca="1" si="111"/>
        <v>0</v>
      </c>
      <c r="DD56" s="69">
        <f t="shared" ca="1" si="111"/>
        <v>0</v>
      </c>
      <c r="DE56" s="69">
        <f t="shared" ca="1" si="111"/>
        <v>0</v>
      </c>
      <c r="DF56" s="69">
        <f t="shared" ca="1" si="111"/>
        <v>0</v>
      </c>
      <c r="DG56" s="69">
        <f t="shared" ca="1" si="111"/>
        <v>0</v>
      </c>
      <c r="DH56" s="69">
        <f t="shared" ca="1" si="111"/>
        <v>0</v>
      </c>
      <c r="DI56" s="69">
        <f t="shared" ca="1" si="111"/>
        <v>0</v>
      </c>
      <c r="DJ56" s="69">
        <f t="shared" ca="1" si="111"/>
        <v>0</v>
      </c>
      <c r="DK56" s="69">
        <f t="shared" ca="1" si="111"/>
        <v>0</v>
      </c>
      <c r="DL56" s="69">
        <f t="shared" ca="1" si="111"/>
        <v>0</v>
      </c>
      <c r="DM56" s="69">
        <f t="shared" ca="1" si="111"/>
        <v>0</v>
      </c>
      <c r="DN56" s="69">
        <f t="shared" ca="1" si="111"/>
        <v>0</v>
      </c>
      <c r="DO56" s="69">
        <f t="shared" ca="1" si="111"/>
        <v>0</v>
      </c>
      <c r="DP56" s="69">
        <f t="shared" ca="1" si="111"/>
        <v>0</v>
      </c>
      <c r="DQ56" s="69">
        <f t="shared" ca="1" si="111"/>
        <v>0</v>
      </c>
      <c r="DR56" s="69">
        <f t="shared" ca="1" si="111"/>
        <v>0</v>
      </c>
      <c r="DS56" s="69">
        <f t="shared" ca="1" si="111"/>
        <v>0</v>
      </c>
      <c r="DT56" s="69">
        <f t="shared" ca="1" si="111"/>
        <v>0</v>
      </c>
      <c r="DU56" s="69">
        <f t="shared" ca="1" si="111"/>
        <v>0</v>
      </c>
      <c r="DV56" s="69">
        <f t="shared" ca="1" si="111"/>
        <v>0</v>
      </c>
      <c r="DW56" s="69">
        <f t="shared" ca="1" si="111"/>
        <v>0</v>
      </c>
      <c r="DX56" s="69">
        <f t="shared" ca="1" si="111"/>
        <v>0</v>
      </c>
      <c r="DY56" s="69">
        <f t="shared" ca="1" si="111"/>
        <v>0</v>
      </c>
      <c r="DZ56" s="69">
        <f t="shared" ca="1" si="111"/>
        <v>0</v>
      </c>
      <c r="EA56" s="69">
        <f t="shared" ca="1" si="111"/>
        <v>0</v>
      </c>
      <c r="EB56" s="69">
        <f t="shared" ca="1" si="111"/>
        <v>0</v>
      </c>
      <c r="EC56" s="69">
        <f t="shared" ref="EC56:EE56" ca="1" si="112">EC31+EC45</f>
        <v>0</v>
      </c>
      <c r="ED56" s="69">
        <f t="shared" ca="1" si="112"/>
        <v>0</v>
      </c>
      <c r="EE56" s="70">
        <f t="shared" ca="1" si="112"/>
        <v>0</v>
      </c>
    </row>
    <row r="57" spans="1:135" x14ac:dyDescent="0.15">
      <c r="B57" s="7" t="s">
        <v>48</v>
      </c>
      <c r="C57" s="69">
        <v>0</v>
      </c>
      <c r="D57" s="69">
        <f ca="1">MIN(D53+D54-D55-D56,D50*$F$4)</f>
        <v>0</v>
      </c>
      <c r="E57" s="69">
        <f t="shared" ref="E57:BP57" ca="1" si="113">MIN(E53+E54-E55-E56,E50*$F$4)</f>
        <v>0</v>
      </c>
      <c r="F57" s="69">
        <f t="shared" ca="1" si="113"/>
        <v>0</v>
      </c>
      <c r="G57" s="69">
        <f t="shared" ca="1" si="113"/>
        <v>0</v>
      </c>
      <c r="H57" s="69">
        <f t="shared" ca="1" si="113"/>
        <v>0</v>
      </c>
      <c r="I57" s="69">
        <f t="shared" ca="1" si="113"/>
        <v>0</v>
      </c>
      <c r="J57" s="69">
        <f t="shared" ca="1" si="113"/>
        <v>0</v>
      </c>
      <c r="K57" s="69">
        <f t="shared" ca="1" si="113"/>
        <v>0</v>
      </c>
      <c r="L57" s="69">
        <f t="shared" ca="1" si="113"/>
        <v>0</v>
      </c>
      <c r="M57" s="69">
        <f t="shared" ca="1" si="113"/>
        <v>0</v>
      </c>
      <c r="N57" s="69">
        <f t="shared" ca="1" si="113"/>
        <v>0</v>
      </c>
      <c r="O57" s="69">
        <f t="shared" ca="1" si="113"/>
        <v>0</v>
      </c>
      <c r="P57" s="69">
        <f t="shared" ca="1" si="113"/>
        <v>0</v>
      </c>
      <c r="Q57" s="69">
        <f t="shared" ca="1" si="113"/>
        <v>0</v>
      </c>
      <c r="R57" s="69">
        <f t="shared" ca="1" si="113"/>
        <v>0</v>
      </c>
      <c r="S57" s="69">
        <f t="shared" ca="1" si="113"/>
        <v>0</v>
      </c>
      <c r="T57" s="69">
        <f t="shared" ca="1" si="113"/>
        <v>0</v>
      </c>
      <c r="U57" s="69">
        <f t="shared" ca="1" si="113"/>
        <v>0</v>
      </c>
      <c r="V57" s="69">
        <f t="shared" ca="1" si="113"/>
        <v>0</v>
      </c>
      <c r="W57" s="69">
        <f t="shared" ca="1" si="113"/>
        <v>0</v>
      </c>
      <c r="X57" s="69">
        <f t="shared" ca="1" si="113"/>
        <v>0</v>
      </c>
      <c r="Y57" s="69">
        <f t="shared" ca="1" si="113"/>
        <v>0</v>
      </c>
      <c r="Z57" s="69">
        <f t="shared" ca="1" si="113"/>
        <v>0</v>
      </c>
      <c r="AA57" s="69">
        <f t="shared" ca="1" si="113"/>
        <v>327425.14261340816</v>
      </c>
      <c r="AB57" s="69">
        <f t="shared" ca="1" si="113"/>
        <v>0</v>
      </c>
      <c r="AC57" s="69">
        <f t="shared" ca="1" si="113"/>
        <v>0</v>
      </c>
      <c r="AD57" s="69">
        <f t="shared" ca="1" si="113"/>
        <v>0</v>
      </c>
      <c r="AE57" s="69">
        <f t="shared" ca="1" si="113"/>
        <v>0</v>
      </c>
      <c r="AF57" s="69">
        <f t="shared" ca="1" si="113"/>
        <v>0</v>
      </c>
      <c r="AG57" s="69">
        <f t="shared" ca="1" si="113"/>
        <v>0</v>
      </c>
      <c r="AH57" s="69">
        <f t="shared" ca="1" si="113"/>
        <v>0</v>
      </c>
      <c r="AI57" s="69">
        <f t="shared" ca="1" si="113"/>
        <v>0</v>
      </c>
      <c r="AJ57" s="69">
        <f t="shared" ca="1" si="113"/>
        <v>0</v>
      </c>
      <c r="AK57" s="69">
        <f t="shared" ca="1" si="113"/>
        <v>0</v>
      </c>
      <c r="AL57" s="69">
        <f t="shared" ca="1" si="113"/>
        <v>0</v>
      </c>
      <c r="AM57" s="69">
        <f t="shared" ca="1" si="113"/>
        <v>0</v>
      </c>
      <c r="AN57" s="69">
        <f t="shared" ca="1" si="113"/>
        <v>0</v>
      </c>
      <c r="AO57" s="69">
        <f t="shared" ca="1" si="113"/>
        <v>0</v>
      </c>
      <c r="AP57" s="69">
        <f t="shared" ca="1" si="113"/>
        <v>0</v>
      </c>
      <c r="AQ57" s="69">
        <f t="shared" ca="1" si="113"/>
        <v>0</v>
      </c>
      <c r="AR57" s="69">
        <f t="shared" ca="1" si="113"/>
        <v>0</v>
      </c>
      <c r="AS57" s="69">
        <f t="shared" ca="1" si="113"/>
        <v>0</v>
      </c>
      <c r="AT57" s="69">
        <f t="shared" ca="1" si="113"/>
        <v>0</v>
      </c>
      <c r="AU57" s="69">
        <f t="shared" ca="1" si="113"/>
        <v>0</v>
      </c>
      <c r="AV57" s="69">
        <f t="shared" ca="1" si="113"/>
        <v>0</v>
      </c>
      <c r="AW57" s="69">
        <f t="shared" ca="1" si="113"/>
        <v>0</v>
      </c>
      <c r="AX57" s="69">
        <f t="shared" ca="1" si="113"/>
        <v>0</v>
      </c>
      <c r="AY57" s="69">
        <f t="shared" ca="1" si="113"/>
        <v>0</v>
      </c>
      <c r="AZ57" s="69">
        <f t="shared" ca="1" si="113"/>
        <v>0</v>
      </c>
      <c r="BA57" s="69">
        <f t="shared" ca="1" si="113"/>
        <v>0</v>
      </c>
      <c r="BB57" s="69">
        <f t="shared" ca="1" si="113"/>
        <v>0</v>
      </c>
      <c r="BC57" s="69">
        <f t="shared" ca="1" si="113"/>
        <v>0</v>
      </c>
      <c r="BD57" s="69">
        <f t="shared" ca="1" si="113"/>
        <v>0</v>
      </c>
      <c r="BE57" s="69">
        <f t="shared" ca="1" si="113"/>
        <v>0</v>
      </c>
      <c r="BF57" s="69">
        <f t="shared" ca="1" si="113"/>
        <v>0</v>
      </c>
      <c r="BG57" s="69">
        <f t="shared" ca="1" si="113"/>
        <v>0</v>
      </c>
      <c r="BH57" s="69">
        <f t="shared" ca="1" si="113"/>
        <v>0</v>
      </c>
      <c r="BI57" s="69">
        <f t="shared" ca="1" si="113"/>
        <v>0</v>
      </c>
      <c r="BJ57" s="69">
        <f t="shared" ca="1" si="113"/>
        <v>0</v>
      </c>
      <c r="BK57" s="69">
        <f t="shared" ca="1" si="113"/>
        <v>0</v>
      </c>
      <c r="BL57" s="69">
        <f t="shared" ca="1" si="113"/>
        <v>0</v>
      </c>
      <c r="BM57" s="69">
        <f t="shared" ca="1" si="113"/>
        <v>0</v>
      </c>
      <c r="BN57" s="69">
        <f t="shared" ca="1" si="113"/>
        <v>0</v>
      </c>
      <c r="BO57" s="69">
        <f t="shared" ca="1" si="113"/>
        <v>0</v>
      </c>
      <c r="BP57" s="69">
        <f t="shared" ca="1" si="113"/>
        <v>0</v>
      </c>
      <c r="BQ57" s="69">
        <f t="shared" ref="BQ57:EB57" ca="1" si="114">MIN(BQ53+BQ54-BQ55-BQ56,BQ50*$F$4)</f>
        <v>0</v>
      </c>
      <c r="BR57" s="69">
        <f t="shared" ca="1" si="114"/>
        <v>0</v>
      </c>
      <c r="BS57" s="69">
        <f t="shared" ca="1" si="114"/>
        <v>0</v>
      </c>
      <c r="BT57" s="69">
        <f t="shared" ca="1" si="114"/>
        <v>0</v>
      </c>
      <c r="BU57" s="69">
        <f t="shared" ca="1" si="114"/>
        <v>0</v>
      </c>
      <c r="BV57" s="69">
        <f t="shared" ca="1" si="114"/>
        <v>0</v>
      </c>
      <c r="BW57" s="69">
        <f t="shared" ca="1" si="114"/>
        <v>0</v>
      </c>
      <c r="BX57" s="69">
        <f t="shared" ca="1" si="114"/>
        <v>0</v>
      </c>
      <c r="BY57" s="69">
        <f t="shared" ca="1" si="114"/>
        <v>0</v>
      </c>
      <c r="BZ57" s="69">
        <f t="shared" ca="1" si="114"/>
        <v>0</v>
      </c>
      <c r="CA57" s="69">
        <f t="shared" ca="1" si="114"/>
        <v>0</v>
      </c>
      <c r="CB57" s="69">
        <f t="shared" ca="1" si="114"/>
        <v>0</v>
      </c>
      <c r="CC57" s="69">
        <f t="shared" ca="1" si="114"/>
        <v>0</v>
      </c>
      <c r="CD57" s="69">
        <f t="shared" ca="1" si="114"/>
        <v>0</v>
      </c>
      <c r="CE57" s="69">
        <f t="shared" ca="1" si="114"/>
        <v>0</v>
      </c>
      <c r="CF57" s="69">
        <f t="shared" ca="1" si="114"/>
        <v>0</v>
      </c>
      <c r="CG57" s="69">
        <f t="shared" ca="1" si="114"/>
        <v>0</v>
      </c>
      <c r="CH57" s="69">
        <f t="shared" ca="1" si="114"/>
        <v>0</v>
      </c>
      <c r="CI57" s="69">
        <f t="shared" ca="1" si="114"/>
        <v>0</v>
      </c>
      <c r="CJ57" s="69">
        <f t="shared" ca="1" si="114"/>
        <v>0</v>
      </c>
      <c r="CK57" s="69">
        <f t="shared" ca="1" si="114"/>
        <v>0</v>
      </c>
      <c r="CL57" s="69">
        <f t="shared" ca="1" si="114"/>
        <v>0</v>
      </c>
      <c r="CM57" s="69">
        <f t="shared" ca="1" si="114"/>
        <v>0</v>
      </c>
      <c r="CN57" s="69">
        <f t="shared" ca="1" si="114"/>
        <v>0</v>
      </c>
      <c r="CO57" s="69">
        <f t="shared" ca="1" si="114"/>
        <v>0</v>
      </c>
      <c r="CP57" s="69">
        <f t="shared" ca="1" si="114"/>
        <v>0</v>
      </c>
      <c r="CQ57" s="69">
        <f t="shared" ca="1" si="114"/>
        <v>0</v>
      </c>
      <c r="CR57" s="69">
        <f t="shared" ca="1" si="114"/>
        <v>0</v>
      </c>
      <c r="CS57" s="69">
        <f t="shared" ca="1" si="114"/>
        <v>0</v>
      </c>
      <c r="CT57" s="69">
        <f t="shared" ca="1" si="114"/>
        <v>0</v>
      </c>
      <c r="CU57" s="69">
        <f t="shared" ca="1" si="114"/>
        <v>0</v>
      </c>
      <c r="CV57" s="69">
        <f t="shared" ca="1" si="114"/>
        <v>0</v>
      </c>
      <c r="CW57" s="69">
        <f t="shared" ca="1" si="114"/>
        <v>0</v>
      </c>
      <c r="CX57" s="69">
        <f t="shared" ca="1" si="114"/>
        <v>0</v>
      </c>
      <c r="CY57" s="69">
        <f t="shared" ca="1" si="114"/>
        <v>0</v>
      </c>
      <c r="CZ57" s="69">
        <f t="shared" ca="1" si="114"/>
        <v>0</v>
      </c>
      <c r="DA57" s="69">
        <f t="shared" ca="1" si="114"/>
        <v>0</v>
      </c>
      <c r="DB57" s="69">
        <f t="shared" ca="1" si="114"/>
        <v>0</v>
      </c>
      <c r="DC57" s="69">
        <f t="shared" ca="1" si="114"/>
        <v>0</v>
      </c>
      <c r="DD57" s="69">
        <f t="shared" ca="1" si="114"/>
        <v>0</v>
      </c>
      <c r="DE57" s="69">
        <f t="shared" ca="1" si="114"/>
        <v>0</v>
      </c>
      <c r="DF57" s="69">
        <f t="shared" ca="1" si="114"/>
        <v>0</v>
      </c>
      <c r="DG57" s="69">
        <f t="shared" ca="1" si="114"/>
        <v>0</v>
      </c>
      <c r="DH57" s="69">
        <f t="shared" ca="1" si="114"/>
        <v>0</v>
      </c>
      <c r="DI57" s="69">
        <f t="shared" ca="1" si="114"/>
        <v>0</v>
      </c>
      <c r="DJ57" s="69">
        <f t="shared" ca="1" si="114"/>
        <v>0</v>
      </c>
      <c r="DK57" s="69">
        <f t="shared" ca="1" si="114"/>
        <v>0</v>
      </c>
      <c r="DL57" s="69">
        <f t="shared" ca="1" si="114"/>
        <v>0</v>
      </c>
      <c r="DM57" s="69">
        <f t="shared" ca="1" si="114"/>
        <v>0</v>
      </c>
      <c r="DN57" s="69">
        <f t="shared" ca="1" si="114"/>
        <v>0</v>
      </c>
      <c r="DO57" s="69">
        <f t="shared" ca="1" si="114"/>
        <v>0</v>
      </c>
      <c r="DP57" s="69">
        <f t="shared" ca="1" si="114"/>
        <v>0</v>
      </c>
      <c r="DQ57" s="69">
        <f t="shared" ca="1" si="114"/>
        <v>0</v>
      </c>
      <c r="DR57" s="69">
        <f t="shared" ca="1" si="114"/>
        <v>0</v>
      </c>
      <c r="DS57" s="69">
        <f t="shared" ca="1" si="114"/>
        <v>0</v>
      </c>
      <c r="DT57" s="69">
        <f t="shared" ca="1" si="114"/>
        <v>0</v>
      </c>
      <c r="DU57" s="69">
        <f t="shared" ca="1" si="114"/>
        <v>0</v>
      </c>
      <c r="DV57" s="69">
        <f t="shared" ca="1" si="114"/>
        <v>0</v>
      </c>
      <c r="DW57" s="69">
        <f t="shared" ca="1" si="114"/>
        <v>0</v>
      </c>
      <c r="DX57" s="69">
        <f t="shared" ca="1" si="114"/>
        <v>0</v>
      </c>
      <c r="DY57" s="69">
        <f t="shared" ca="1" si="114"/>
        <v>0</v>
      </c>
      <c r="DZ57" s="69">
        <f t="shared" ca="1" si="114"/>
        <v>0</v>
      </c>
      <c r="EA57" s="69">
        <f t="shared" ca="1" si="114"/>
        <v>0</v>
      </c>
      <c r="EB57" s="69">
        <f t="shared" ca="1" si="114"/>
        <v>0</v>
      </c>
      <c r="EC57" s="69">
        <f t="shared" ref="EC57:EE57" ca="1" si="115">MIN(EC53+EC54-EC55-EC56,EC50*$F$4)</f>
        <v>0</v>
      </c>
      <c r="ED57" s="69">
        <f t="shared" ca="1" si="115"/>
        <v>0</v>
      </c>
      <c r="EE57" s="70">
        <f t="shared" ca="1" si="115"/>
        <v>0</v>
      </c>
    </row>
    <row r="58" spans="1:135" x14ac:dyDescent="0.15">
      <c r="A58" s="52" t="s">
        <v>51</v>
      </c>
      <c r="B58" s="7" t="s">
        <v>49</v>
      </c>
      <c r="C58" s="69">
        <f>C53+C54-C55-C56-C57</f>
        <v>7807500</v>
      </c>
      <c r="D58" s="69">
        <f ca="1">D53+D54-D55-D56-D57</f>
        <v>7833873.4808757054</v>
      </c>
      <c r="E58" s="69">
        <f t="shared" ref="E58:BP58" ca="1" si="116">E53+E54-E55-E56-E57</f>
        <v>7869850.8101444915</v>
      </c>
      <c r="F58" s="69">
        <f t="shared" ca="1" si="116"/>
        <v>7902673.61613122</v>
      </c>
      <c r="G58" s="69">
        <f t="shared" ca="1" si="116"/>
        <v>7938781.0767844301</v>
      </c>
      <c r="H58" s="69">
        <f t="shared" ca="1" si="116"/>
        <v>7971705.4544988684</v>
      </c>
      <c r="I58" s="69">
        <f t="shared" ca="1" si="116"/>
        <v>8007942.3182434896</v>
      </c>
      <c r="J58" s="69">
        <f t="shared" ca="1" si="116"/>
        <v>8044264.3332880745</v>
      </c>
      <c r="K58" s="69">
        <f t="shared" ca="1" si="116"/>
        <v>8077359.794908734</v>
      </c>
      <c r="L58" s="69">
        <f t="shared" ca="1" si="116"/>
        <v>8113810.5697193369</v>
      </c>
      <c r="M58" s="69">
        <f t="shared" ca="1" si="116"/>
        <v>8147005.9377556769</v>
      </c>
      <c r="N58" s="69">
        <f t="shared" ca="1" si="116"/>
        <v>8183584.660065745</v>
      </c>
      <c r="O58" s="69">
        <f t="shared" ca="1" si="116"/>
        <v>8220248.2290271148</v>
      </c>
      <c r="P58" s="69">
        <f t="shared" ca="1" si="116"/>
        <v>8246847.9690907411</v>
      </c>
      <c r="Q58" s="69">
        <f t="shared" ca="1" si="116"/>
        <v>8283552.9134011492</v>
      </c>
      <c r="R58" s="69">
        <f t="shared" ca="1" si="116"/>
        <v>8316931.1157843908</v>
      </c>
      <c r="S58" s="69">
        <f t="shared" ca="1" si="116"/>
        <v>8353760.1882799864</v>
      </c>
      <c r="T58" s="69">
        <f t="shared" ca="1" si="116"/>
        <v>8387233.3023438845</v>
      </c>
      <c r="U58" s="69">
        <f t="shared" ca="1" si="116"/>
        <v>8424185.5040687043</v>
      </c>
      <c r="V58" s="69">
        <f t="shared" ca="1" si="116"/>
        <v>8461220.6956375521</v>
      </c>
      <c r="W58" s="69">
        <f t="shared" ca="1" si="116"/>
        <v>8494855.4543146323</v>
      </c>
      <c r="X58" s="69">
        <f t="shared" ca="1" si="116"/>
        <v>8532012.7389840521</v>
      </c>
      <c r="Y58" s="69">
        <f t="shared" ca="1" si="116"/>
        <v>8565740.0843121</v>
      </c>
      <c r="Z58" s="69">
        <f t="shared" ca="1" si="116"/>
        <v>8603018.3610040992</v>
      </c>
      <c r="AA58" s="69">
        <f t="shared" ca="1" si="116"/>
        <v>0</v>
      </c>
      <c r="AB58" s="69">
        <f t="shared" ca="1" si="116"/>
        <v>0</v>
      </c>
      <c r="AC58" s="69">
        <f t="shared" ca="1" si="116"/>
        <v>0</v>
      </c>
      <c r="AD58" s="69">
        <f t="shared" ca="1" si="116"/>
        <v>0</v>
      </c>
      <c r="AE58" s="69">
        <f t="shared" ca="1" si="116"/>
        <v>0</v>
      </c>
      <c r="AF58" s="69">
        <f t="shared" ca="1" si="116"/>
        <v>0</v>
      </c>
      <c r="AG58" s="69">
        <f t="shared" ca="1" si="116"/>
        <v>0</v>
      </c>
      <c r="AH58" s="69">
        <f t="shared" ca="1" si="116"/>
        <v>0</v>
      </c>
      <c r="AI58" s="69">
        <f t="shared" ca="1" si="116"/>
        <v>0</v>
      </c>
      <c r="AJ58" s="69">
        <f t="shared" ca="1" si="116"/>
        <v>0</v>
      </c>
      <c r="AK58" s="69">
        <f t="shared" ca="1" si="116"/>
        <v>0</v>
      </c>
      <c r="AL58" s="69">
        <f t="shared" ca="1" si="116"/>
        <v>0</v>
      </c>
      <c r="AM58" s="69">
        <f t="shared" ca="1" si="116"/>
        <v>0</v>
      </c>
      <c r="AN58" s="69">
        <f t="shared" ca="1" si="116"/>
        <v>0</v>
      </c>
      <c r="AO58" s="69">
        <f t="shared" ca="1" si="116"/>
        <v>0</v>
      </c>
      <c r="AP58" s="69">
        <f t="shared" ca="1" si="116"/>
        <v>0</v>
      </c>
      <c r="AQ58" s="69">
        <f t="shared" ca="1" si="116"/>
        <v>0</v>
      </c>
      <c r="AR58" s="69">
        <f t="shared" ca="1" si="116"/>
        <v>0</v>
      </c>
      <c r="AS58" s="69">
        <f t="shared" ca="1" si="116"/>
        <v>0</v>
      </c>
      <c r="AT58" s="69">
        <f t="shared" ca="1" si="116"/>
        <v>0</v>
      </c>
      <c r="AU58" s="69">
        <f t="shared" ca="1" si="116"/>
        <v>0</v>
      </c>
      <c r="AV58" s="69">
        <f t="shared" ca="1" si="116"/>
        <v>0</v>
      </c>
      <c r="AW58" s="69">
        <f t="shared" ca="1" si="116"/>
        <v>0</v>
      </c>
      <c r="AX58" s="69">
        <f t="shared" ca="1" si="116"/>
        <v>0</v>
      </c>
      <c r="AY58" s="69">
        <f t="shared" ca="1" si="116"/>
        <v>0</v>
      </c>
      <c r="AZ58" s="69">
        <f t="shared" ca="1" si="116"/>
        <v>0</v>
      </c>
      <c r="BA58" s="69">
        <f t="shared" ca="1" si="116"/>
        <v>0</v>
      </c>
      <c r="BB58" s="69">
        <f t="shared" ca="1" si="116"/>
        <v>0</v>
      </c>
      <c r="BC58" s="69">
        <f t="shared" ca="1" si="116"/>
        <v>0</v>
      </c>
      <c r="BD58" s="69">
        <f t="shared" ca="1" si="116"/>
        <v>0</v>
      </c>
      <c r="BE58" s="69">
        <f t="shared" ca="1" si="116"/>
        <v>0</v>
      </c>
      <c r="BF58" s="69">
        <f t="shared" ca="1" si="116"/>
        <v>0</v>
      </c>
      <c r="BG58" s="69">
        <f t="shared" ca="1" si="116"/>
        <v>0</v>
      </c>
      <c r="BH58" s="69">
        <f t="shared" ca="1" si="116"/>
        <v>0</v>
      </c>
      <c r="BI58" s="69">
        <f t="shared" ca="1" si="116"/>
        <v>0</v>
      </c>
      <c r="BJ58" s="69">
        <f t="shared" ca="1" si="116"/>
        <v>0</v>
      </c>
      <c r="BK58" s="69">
        <f t="shared" ca="1" si="116"/>
        <v>0</v>
      </c>
      <c r="BL58" s="69">
        <f t="shared" ca="1" si="116"/>
        <v>0</v>
      </c>
      <c r="BM58" s="69">
        <f t="shared" ca="1" si="116"/>
        <v>0</v>
      </c>
      <c r="BN58" s="69">
        <f t="shared" ca="1" si="116"/>
        <v>0</v>
      </c>
      <c r="BO58" s="69">
        <f t="shared" ca="1" si="116"/>
        <v>0</v>
      </c>
      <c r="BP58" s="69">
        <f t="shared" ca="1" si="116"/>
        <v>0</v>
      </c>
      <c r="BQ58" s="69">
        <f t="shared" ref="BQ58:EB58" ca="1" si="117">BQ53+BQ54-BQ55-BQ56-BQ57</f>
        <v>0</v>
      </c>
      <c r="BR58" s="69">
        <f t="shared" ca="1" si="117"/>
        <v>0</v>
      </c>
      <c r="BS58" s="69">
        <f t="shared" ca="1" si="117"/>
        <v>0</v>
      </c>
      <c r="BT58" s="69">
        <f t="shared" ca="1" si="117"/>
        <v>0</v>
      </c>
      <c r="BU58" s="69">
        <f t="shared" ca="1" si="117"/>
        <v>0</v>
      </c>
      <c r="BV58" s="69">
        <f t="shared" ca="1" si="117"/>
        <v>0</v>
      </c>
      <c r="BW58" s="69">
        <f t="shared" ca="1" si="117"/>
        <v>0</v>
      </c>
      <c r="BX58" s="69">
        <f t="shared" ca="1" si="117"/>
        <v>0</v>
      </c>
      <c r="BY58" s="69">
        <f t="shared" ca="1" si="117"/>
        <v>0</v>
      </c>
      <c r="BZ58" s="69">
        <f t="shared" ca="1" si="117"/>
        <v>0</v>
      </c>
      <c r="CA58" s="69">
        <f t="shared" ca="1" si="117"/>
        <v>0</v>
      </c>
      <c r="CB58" s="69">
        <f t="shared" ca="1" si="117"/>
        <v>0</v>
      </c>
      <c r="CC58" s="69">
        <f t="shared" ca="1" si="117"/>
        <v>0</v>
      </c>
      <c r="CD58" s="69">
        <f t="shared" ca="1" si="117"/>
        <v>0</v>
      </c>
      <c r="CE58" s="69">
        <f t="shared" ca="1" si="117"/>
        <v>0</v>
      </c>
      <c r="CF58" s="69">
        <f t="shared" ca="1" si="117"/>
        <v>0</v>
      </c>
      <c r="CG58" s="69">
        <f t="shared" ca="1" si="117"/>
        <v>0</v>
      </c>
      <c r="CH58" s="69">
        <f t="shared" ca="1" si="117"/>
        <v>0</v>
      </c>
      <c r="CI58" s="69">
        <f t="shared" ca="1" si="117"/>
        <v>0</v>
      </c>
      <c r="CJ58" s="69">
        <f t="shared" ca="1" si="117"/>
        <v>0</v>
      </c>
      <c r="CK58" s="69">
        <f t="shared" ca="1" si="117"/>
        <v>0</v>
      </c>
      <c r="CL58" s="69">
        <f t="shared" ca="1" si="117"/>
        <v>0</v>
      </c>
      <c r="CM58" s="69">
        <f t="shared" ca="1" si="117"/>
        <v>0</v>
      </c>
      <c r="CN58" s="69">
        <f t="shared" ca="1" si="117"/>
        <v>0</v>
      </c>
      <c r="CO58" s="69">
        <f t="shared" ca="1" si="117"/>
        <v>0</v>
      </c>
      <c r="CP58" s="69">
        <f t="shared" ca="1" si="117"/>
        <v>0</v>
      </c>
      <c r="CQ58" s="69">
        <f t="shared" ca="1" si="117"/>
        <v>0</v>
      </c>
      <c r="CR58" s="69">
        <f t="shared" ca="1" si="117"/>
        <v>0</v>
      </c>
      <c r="CS58" s="69">
        <f t="shared" ca="1" si="117"/>
        <v>0</v>
      </c>
      <c r="CT58" s="69">
        <f t="shared" ca="1" si="117"/>
        <v>0</v>
      </c>
      <c r="CU58" s="69">
        <f t="shared" ca="1" si="117"/>
        <v>0</v>
      </c>
      <c r="CV58" s="69">
        <f t="shared" ca="1" si="117"/>
        <v>0</v>
      </c>
      <c r="CW58" s="69">
        <f t="shared" ca="1" si="117"/>
        <v>0</v>
      </c>
      <c r="CX58" s="69">
        <f t="shared" ca="1" si="117"/>
        <v>0</v>
      </c>
      <c r="CY58" s="69">
        <f t="shared" ca="1" si="117"/>
        <v>0</v>
      </c>
      <c r="CZ58" s="69">
        <f t="shared" ca="1" si="117"/>
        <v>0</v>
      </c>
      <c r="DA58" s="69">
        <f t="shared" ca="1" si="117"/>
        <v>0</v>
      </c>
      <c r="DB58" s="69">
        <f t="shared" ca="1" si="117"/>
        <v>0</v>
      </c>
      <c r="DC58" s="69">
        <f t="shared" ca="1" si="117"/>
        <v>0</v>
      </c>
      <c r="DD58" s="69">
        <f t="shared" ca="1" si="117"/>
        <v>0</v>
      </c>
      <c r="DE58" s="69">
        <f t="shared" ca="1" si="117"/>
        <v>0</v>
      </c>
      <c r="DF58" s="69">
        <f t="shared" ca="1" si="117"/>
        <v>0</v>
      </c>
      <c r="DG58" s="69">
        <f t="shared" ca="1" si="117"/>
        <v>0</v>
      </c>
      <c r="DH58" s="69">
        <f t="shared" ca="1" si="117"/>
        <v>0</v>
      </c>
      <c r="DI58" s="69">
        <f t="shared" ca="1" si="117"/>
        <v>0</v>
      </c>
      <c r="DJ58" s="69">
        <f t="shared" ca="1" si="117"/>
        <v>0</v>
      </c>
      <c r="DK58" s="69">
        <f t="shared" ca="1" si="117"/>
        <v>0</v>
      </c>
      <c r="DL58" s="69">
        <f t="shared" ca="1" si="117"/>
        <v>0</v>
      </c>
      <c r="DM58" s="69">
        <f t="shared" ca="1" si="117"/>
        <v>0</v>
      </c>
      <c r="DN58" s="69">
        <f t="shared" ca="1" si="117"/>
        <v>0</v>
      </c>
      <c r="DO58" s="69">
        <f t="shared" ca="1" si="117"/>
        <v>0</v>
      </c>
      <c r="DP58" s="69">
        <f t="shared" ca="1" si="117"/>
        <v>0</v>
      </c>
      <c r="DQ58" s="69">
        <f t="shared" ca="1" si="117"/>
        <v>0</v>
      </c>
      <c r="DR58" s="69">
        <f t="shared" ca="1" si="117"/>
        <v>0</v>
      </c>
      <c r="DS58" s="69">
        <f t="shared" ca="1" si="117"/>
        <v>0</v>
      </c>
      <c r="DT58" s="69">
        <f t="shared" ca="1" si="117"/>
        <v>0</v>
      </c>
      <c r="DU58" s="69">
        <f t="shared" ca="1" si="117"/>
        <v>0</v>
      </c>
      <c r="DV58" s="69">
        <f t="shared" ca="1" si="117"/>
        <v>0</v>
      </c>
      <c r="DW58" s="69">
        <f t="shared" ca="1" si="117"/>
        <v>0</v>
      </c>
      <c r="DX58" s="69">
        <f t="shared" ca="1" si="117"/>
        <v>0</v>
      </c>
      <c r="DY58" s="69">
        <f t="shared" ca="1" si="117"/>
        <v>0</v>
      </c>
      <c r="DZ58" s="69">
        <f t="shared" ca="1" si="117"/>
        <v>0</v>
      </c>
      <c r="EA58" s="69">
        <f t="shared" ca="1" si="117"/>
        <v>0</v>
      </c>
      <c r="EB58" s="69">
        <f t="shared" ca="1" si="117"/>
        <v>0</v>
      </c>
      <c r="EC58" s="69">
        <f t="shared" ref="EC58:EE58" ca="1" si="118">EC53+EC54-EC55-EC56-EC57</f>
        <v>0</v>
      </c>
      <c r="ED58" s="69">
        <f t="shared" ca="1" si="118"/>
        <v>0</v>
      </c>
      <c r="EE58" s="70">
        <f t="shared" ca="1" si="118"/>
        <v>0</v>
      </c>
    </row>
    <row r="59" spans="1:135" x14ac:dyDescent="0.15">
      <c r="A59" s="59">
        <f ca="1">IFERROR(XIRR(C59:EE59,$C$12:$EE$12),0)</f>
        <v>0.15999999642372145</v>
      </c>
      <c r="B59" s="55" t="s">
        <v>50</v>
      </c>
      <c r="C59" s="72">
        <f>SUM(C55:C57)</f>
        <v>-7807500</v>
      </c>
      <c r="D59" s="72">
        <f ca="1">SUM(D55:D57)</f>
        <v>63027.916912651017</v>
      </c>
      <c r="E59" s="72">
        <f t="shared" ref="E59:BP59" ca="1" si="119">SUM(E55:E57)</f>
        <v>63397.857378496577</v>
      </c>
      <c r="F59" s="72">
        <f t="shared" ca="1" si="119"/>
        <v>63768.710217330539</v>
      </c>
      <c r="G59" s="72">
        <f t="shared" ca="1" si="119"/>
        <v>64140.477679310941</v>
      </c>
      <c r="H59" s="72">
        <f t="shared" ca="1" si="119"/>
        <v>64513.162020145166</v>
      </c>
      <c r="I59" s="72">
        <f t="shared" ca="1" si="119"/>
        <v>64886.76550110375</v>
      </c>
      <c r="J59" s="72">
        <f t="shared" ca="1" si="119"/>
        <v>65261.2903890343</v>
      </c>
      <c r="K59" s="72">
        <f t="shared" ca="1" si="119"/>
        <v>65636.738956374887</v>
      </c>
      <c r="L59" s="72">
        <f t="shared" ca="1" si="119"/>
        <v>66013.113481168213</v>
      </c>
      <c r="M59" s="72">
        <f t="shared" ca="1" si="119"/>
        <v>66390.416247075045</v>
      </c>
      <c r="N59" s="72">
        <f t="shared" ca="1" si="119"/>
        <v>66768.64954338847</v>
      </c>
      <c r="O59" s="72">
        <f t="shared" ca="1" si="119"/>
        <v>67147.815665047485</v>
      </c>
      <c r="P59" s="72">
        <f t="shared" ca="1" si="119"/>
        <v>67527.916912650995</v>
      </c>
      <c r="Q59" s="72">
        <f t="shared" ca="1" si="119"/>
        <v>67908.955592471917</v>
      </c>
      <c r="R59" s="72">
        <f t="shared" ca="1" si="119"/>
        <v>68290.934016470928</v>
      </c>
      <c r="S59" s="72">
        <f t="shared" ca="1" si="119"/>
        <v>68673.854502310787</v>
      </c>
      <c r="T59" s="72">
        <f t="shared" ca="1" si="119"/>
        <v>69057.719373369997</v>
      </c>
      <c r="U59" s="72">
        <f t="shared" ca="1" si="119"/>
        <v>69442.530958757343</v>
      </c>
      <c r="V59" s="72">
        <f t="shared" ca="1" si="119"/>
        <v>69828.291593325819</v>
      </c>
      <c r="W59" s="72">
        <f t="shared" ca="1" si="119"/>
        <v>70215.003617686627</v>
      </c>
      <c r="X59" s="72">
        <f t="shared" ca="1" si="119"/>
        <v>70602.669378223727</v>
      </c>
      <c r="Y59" s="72">
        <f t="shared" ca="1" si="119"/>
        <v>70991.291227107766</v>
      </c>
      <c r="Z59" s="72">
        <f t="shared" ca="1" si="119"/>
        <v>71380.871522310597</v>
      </c>
      <c r="AA59" s="72">
        <f t="shared" ca="1" si="119"/>
        <v>8712150.3960620891</v>
      </c>
      <c r="AB59" s="72">
        <f t="shared" ca="1" si="119"/>
        <v>0</v>
      </c>
      <c r="AC59" s="72">
        <f t="shared" ca="1" si="119"/>
        <v>0</v>
      </c>
      <c r="AD59" s="72">
        <f t="shared" ca="1" si="119"/>
        <v>0</v>
      </c>
      <c r="AE59" s="72">
        <f t="shared" ca="1" si="119"/>
        <v>0</v>
      </c>
      <c r="AF59" s="72">
        <f t="shared" ca="1" si="119"/>
        <v>0</v>
      </c>
      <c r="AG59" s="72">
        <f t="shared" ca="1" si="119"/>
        <v>0</v>
      </c>
      <c r="AH59" s="72">
        <f t="shared" ca="1" si="119"/>
        <v>0</v>
      </c>
      <c r="AI59" s="72">
        <f t="shared" ca="1" si="119"/>
        <v>0</v>
      </c>
      <c r="AJ59" s="72">
        <f t="shared" ca="1" si="119"/>
        <v>0</v>
      </c>
      <c r="AK59" s="72">
        <f t="shared" ca="1" si="119"/>
        <v>0</v>
      </c>
      <c r="AL59" s="72">
        <f t="shared" ca="1" si="119"/>
        <v>0</v>
      </c>
      <c r="AM59" s="72">
        <f t="shared" ca="1" si="119"/>
        <v>0</v>
      </c>
      <c r="AN59" s="72">
        <f t="shared" ca="1" si="119"/>
        <v>0</v>
      </c>
      <c r="AO59" s="72">
        <f t="shared" ca="1" si="119"/>
        <v>0</v>
      </c>
      <c r="AP59" s="72">
        <f t="shared" ca="1" si="119"/>
        <v>0</v>
      </c>
      <c r="AQ59" s="72">
        <f t="shared" ca="1" si="119"/>
        <v>0</v>
      </c>
      <c r="AR59" s="72">
        <f t="shared" ca="1" si="119"/>
        <v>0</v>
      </c>
      <c r="AS59" s="72">
        <f t="shared" ca="1" si="119"/>
        <v>0</v>
      </c>
      <c r="AT59" s="72">
        <f t="shared" ca="1" si="119"/>
        <v>0</v>
      </c>
      <c r="AU59" s="72">
        <f t="shared" ca="1" si="119"/>
        <v>0</v>
      </c>
      <c r="AV59" s="72">
        <f t="shared" ca="1" si="119"/>
        <v>0</v>
      </c>
      <c r="AW59" s="72">
        <f t="shared" ca="1" si="119"/>
        <v>0</v>
      </c>
      <c r="AX59" s="72">
        <f t="shared" ca="1" si="119"/>
        <v>0</v>
      </c>
      <c r="AY59" s="72">
        <f t="shared" ca="1" si="119"/>
        <v>0</v>
      </c>
      <c r="AZ59" s="72">
        <f t="shared" ca="1" si="119"/>
        <v>0</v>
      </c>
      <c r="BA59" s="72">
        <f t="shared" ca="1" si="119"/>
        <v>0</v>
      </c>
      <c r="BB59" s="72">
        <f t="shared" ca="1" si="119"/>
        <v>0</v>
      </c>
      <c r="BC59" s="72">
        <f t="shared" ca="1" si="119"/>
        <v>0</v>
      </c>
      <c r="BD59" s="72">
        <f t="shared" ca="1" si="119"/>
        <v>0</v>
      </c>
      <c r="BE59" s="72">
        <f t="shared" ca="1" si="119"/>
        <v>0</v>
      </c>
      <c r="BF59" s="72">
        <f t="shared" ca="1" si="119"/>
        <v>0</v>
      </c>
      <c r="BG59" s="72">
        <f t="shared" ca="1" si="119"/>
        <v>0</v>
      </c>
      <c r="BH59" s="72">
        <f t="shared" ca="1" si="119"/>
        <v>0</v>
      </c>
      <c r="BI59" s="72">
        <f t="shared" ca="1" si="119"/>
        <v>0</v>
      </c>
      <c r="BJ59" s="72">
        <f t="shared" ca="1" si="119"/>
        <v>0</v>
      </c>
      <c r="BK59" s="72">
        <f t="shared" ca="1" si="119"/>
        <v>0</v>
      </c>
      <c r="BL59" s="72">
        <f t="shared" ca="1" si="119"/>
        <v>0</v>
      </c>
      <c r="BM59" s="72">
        <f t="shared" ca="1" si="119"/>
        <v>0</v>
      </c>
      <c r="BN59" s="72">
        <f t="shared" ca="1" si="119"/>
        <v>0</v>
      </c>
      <c r="BO59" s="72">
        <f t="shared" ca="1" si="119"/>
        <v>0</v>
      </c>
      <c r="BP59" s="72">
        <f t="shared" ca="1" si="119"/>
        <v>0</v>
      </c>
      <c r="BQ59" s="72">
        <f t="shared" ref="BQ59:EB59" ca="1" si="120">SUM(BQ55:BQ57)</f>
        <v>0</v>
      </c>
      <c r="BR59" s="72">
        <f t="shared" ca="1" si="120"/>
        <v>0</v>
      </c>
      <c r="BS59" s="72">
        <f t="shared" ca="1" si="120"/>
        <v>0</v>
      </c>
      <c r="BT59" s="72">
        <f t="shared" ca="1" si="120"/>
        <v>0</v>
      </c>
      <c r="BU59" s="72">
        <f t="shared" ca="1" si="120"/>
        <v>0</v>
      </c>
      <c r="BV59" s="72">
        <f t="shared" ca="1" si="120"/>
        <v>0</v>
      </c>
      <c r="BW59" s="72">
        <f t="shared" ca="1" si="120"/>
        <v>0</v>
      </c>
      <c r="BX59" s="72">
        <f t="shared" ca="1" si="120"/>
        <v>0</v>
      </c>
      <c r="BY59" s="72">
        <f t="shared" ca="1" si="120"/>
        <v>0</v>
      </c>
      <c r="BZ59" s="72">
        <f t="shared" ca="1" si="120"/>
        <v>0</v>
      </c>
      <c r="CA59" s="72">
        <f t="shared" ca="1" si="120"/>
        <v>0</v>
      </c>
      <c r="CB59" s="72">
        <f t="shared" ca="1" si="120"/>
        <v>0</v>
      </c>
      <c r="CC59" s="72">
        <f t="shared" ca="1" si="120"/>
        <v>0</v>
      </c>
      <c r="CD59" s="72">
        <f t="shared" ca="1" si="120"/>
        <v>0</v>
      </c>
      <c r="CE59" s="72">
        <f t="shared" ca="1" si="120"/>
        <v>0</v>
      </c>
      <c r="CF59" s="72">
        <f t="shared" ca="1" si="120"/>
        <v>0</v>
      </c>
      <c r="CG59" s="72">
        <f t="shared" ca="1" si="120"/>
        <v>0</v>
      </c>
      <c r="CH59" s="72">
        <f t="shared" ca="1" si="120"/>
        <v>0</v>
      </c>
      <c r="CI59" s="72">
        <f t="shared" ca="1" si="120"/>
        <v>0</v>
      </c>
      <c r="CJ59" s="72">
        <f t="shared" ca="1" si="120"/>
        <v>0</v>
      </c>
      <c r="CK59" s="72">
        <f t="shared" ca="1" si="120"/>
        <v>0</v>
      </c>
      <c r="CL59" s="72">
        <f t="shared" ca="1" si="120"/>
        <v>0</v>
      </c>
      <c r="CM59" s="72">
        <f t="shared" ca="1" si="120"/>
        <v>0</v>
      </c>
      <c r="CN59" s="72">
        <f t="shared" ca="1" si="120"/>
        <v>0</v>
      </c>
      <c r="CO59" s="72">
        <f t="shared" ca="1" si="120"/>
        <v>0</v>
      </c>
      <c r="CP59" s="72">
        <f t="shared" ca="1" si="120"/>
        <v>0</v>
      </c>
      <c r="CQ59" s="72">
        <f t="shared" ca="1" si="120"/>
        <v>0</v>
      </c>
      <c r="CR59" s="72">
        <f t="shared" ca="1" si="120"/>
        <v>0</v>
      </c>
      <c r="CS59" s="72">
        <f t="shared" ca="1" si="120"/>
        <v>0</v>
      </c>
      <c r="CT59" s="72">
        <f t="shared" ca="1" si="120"/>
        <v>0</v>
      </c>
      <c r="CU59" s="72">
        <f t="shared" ca="1" si="120"/>
        <v>0</v>
      </c>
      <c r="CV59" s="72">
        <f t="shared" ca="1" si="120"/>
        <v>0</v>
      </c>
      <c r="CW59" s="72">
        <f t="shared" ca="1" si="120"/>
        <v>0</v>
      </c>
      <c r="CX59" s="72">
        <f t="shared" ca="1" si="120"/>
        <v>0</v>
      </c>
      <c r="CY59" s="72">
        <f t="shared" ca="1" si="120"/>
        <v>0</v>
      </c>
      <c r="CZ59" s="72">
        <f t="shared" ca="1" si="120"/>
        <v>0</v>
      </c>
      <c r="DA59" s="72">
        <f t="shared" ca="1" si="120"/>
        <v>0</v>
      </c>
      <c r="DB59" s="72">
        <f t="shared" ca="1" si="120"/>
        <v>0</v>
      </c>
      <c r="DC59" s="72">
        <f t="shared" ca="1" si="120"/>
        <v>0</v>
      </c>
      <c r="DD59" s="72">
        <f t="shared" ca="1" si="120"/>
        <v>0</v>
      </c>
      <c r="DE59" s="72">
        <f t="shared" ca="1" si="120"/>
        <v>0</v>
      </c>
      <c r="DF59" s="72">
        <f t="shared" ca="1" si="120"/>
        <v>0</v>
      </c>
      <c r="DG59" s="72">
        <f t="shared" ca="1" si="120"/>
        <v>0</v>
      </c>
      <c r="DH59" s="72">
        <f t="shared" ca="1" si="120"/>
        <v>0</v>
      </c>
      <c r="DI59" s="72">
        <f t="shared" ca="1" si="120"/>
        <v>0</v>
      </c>
      <c r="DJ59" s="72">
        <f t="shared" ca="1" si="120"/>
        <v>0</v>
      </c>
      <c r="DK59" s="72">
        <f t="shared" ca="1" si="120"/>
        <v>0</v>
      </c>
      <c r="DL59" s="72">
        <f t="shared" ca="1" si="120"/>
        <v>0</v>
      </c>
      <c r="DM59" s="72">
        <f t="shared" ca="1" si="120"/>
        <v>0</v>
      </c>
      <c r="DN59" s="72">
        <f t="shared" ca="1" si="120"/>
        <v>0</v>
      </c>
      <c r="DO59" s="72">
        <f t="shared" ca="1" si="120"/>
        <v>0</v>
      </c>
      <c r="DP59" s="72">
        <f t="shared" ca="1" si="120"/>
        <v>0</v>
      </c>
      <c r="DQ59" s="72">
        <f t="shared" ca="1" si="120"/>
        <v>0</v>
      </c>
      <c r="DR59" s="72">
        <f t="shared" ca="1" si="120"/>
        <v>0</v>
      </c>
      <c r="DS59" s="72">
        <f t="shared" ca="1" si="120"/>
        <v>0</v>
      </c>
      <c r="DT59" s="72">
        <f t="shared" ca="1" si="120"/>
        <v>0</v>
      </c>
      <c r="DU59" s="72">
        <f t="shared" ca="1" si="120"/>
        <v>0</v>
      </c>
      <c r="DV59" s="72">
        <f t="shared" ca="1" si="120"/>
        <v>0</v>
      </c>
      <c r="DW59" s="72">
        <f t="shared" ca="1" si="120"/>
        <v>0</v>
      </c>
      <c r="DX59" s="72">
        <f t="shared" ca="1" si="120"/>
        <v>0</v>
      </c>
      <c r="DY59" s="72">
        <f t="shared" ca="1" si="120"/>
        <v>0</v>
      </c>
      <c r="DZ59" s="72">
        <f t="shared" ca="1" si="120"/>
        <v>0</v>
      </c>
      <c r="EA59" s="72">
        <f t="shared" ca="1" si="120"/>
        <v>0</v>
      </c>
      <c r="EB59" s="72">
        <f t="shared" ca="1" si="120"/>
        <v>0</v>
      </c>
      <c r="EC59" s="72">
        <f t="shared" ref="EC59:EE59" ca="1" si="121">SUM(EC55:EC57)</f>
        <v>0</v>
      </c>
      <c r="ED59" s="72">
        <f t="shared" ca="1" si="121"/>
        <v>0</v>
      </c>
      <c r="EE59" s="73">
        <f t="shared" ca="1" si="121"/>
        <v>0</v>
      </c>
    </row>
    <row r="60" spans="1:135" x14ac:dyDescent="0.15">
      <c r="A60" s="60"/>
      <c r="B60" s="7" t="s">
        <v>53</v>
      </c>
      <c r="C60" s="69">
        <f>C57/$F$4*$E$4</f>
        <v>0</v>
      </c>
      <c r="D60" s="69">
        <f t="shared" ref="D60:BO60" ca="1" si="122">D57/$F$4*$E$4</f>
        <v>0</v>
      </c>
      <c r="E60" s="69">
        <f t="shared" ca="1" si="122"/>
        <v>0</v>
      </c>
      <c r="F60" s="69">
        <f t="shared" ca="1" si="122"/>
        <v>0</v>
      </c>
      <c r="G60" s="69">
        <f t="shared" ca="1" si="122"/>
        <v>0</v>
      </c>
      <c r="H60" s="69">
        <f t="shared" ca="1" si="122"/>
        <v>0</v>
      </c>
      <c r="I60" s="69">
        <f t="shared" ca="1" si="122"/>
        <v>0</v>
      </c>
      <c r="J60" s="69">
        <f t="shared" ca="1" si="122"/>
        <v>0</v>
      </c>
      <c r="K60" s="69">
        <f t="shared" ca="1" si="122"/>
        <v>0</v>
      </c>
      <c r="L60" s="69">
        <f t="shared" ca="1" si="122"/>
        <v>0</v>
      </c>
      <c r="M60" s="69">
        <f t="shared" ca="1" si="122"/>
        <v>0</v>
      </c>
      <c r="N60" s="69">
        <f t="shared" ca="1" si="122"/>
        <v>0</v>
      </c>
      <c r="O60" s="69">
        <f t="shared" ca="1" si="122"/>
        <v>0</v>
      </c>
      <c r="P60" s="69">
        <f t="shared" ca="1" si="122"/>
        <v>0</v>
      </c>
      <c r="Q60" s="69">
        <f t="shared" ca="1" si="122"/>
        <v>0</v>
      </c>
      <c r="R60" s="69">
        <f t="shared" ca="1" si="122"/>
        <v>0</v>
      </c>
      <c r="S60" s="69">
        <f t="shared" ca="1" si="122"/>
        <v>0</v>
      </c>
      <c r="T60" s="69">
        <f t="shared" ca="1" si="122"/>
        <v>0</v>
      </c>
      <c r="U60" s="69">
        <f t="shared" ca="1" si="122"/>
        <v>0</v>
      </c>
      <c r="V60" s="69">
        <f t="shared" ca="1" si="122"/>
        <v>0</v>
      </c>
      <c r="W60" s="69">
        <f t="shared" ca="1" si="122"/>
        <v>0</v>
      </c>
      <c r="X60" s="69">
        <f t="shared" ca="1" si="122"/>
        <v>0</v>
      </c>
      <c r="Y60" s="69">
        <f t="shared" ca="1" si="122"/>
        <v>0</v>
      </c>
      <c r="Z60" s="69">
        <f t="shared" ca="1" si="122"/>
        <v>0</v>
      </c>
      <c r="AA60" s="69">
        <f t="shared" ca="1" si="122"/>
        <v>47632.294515352623</v>
      </c>
      <c r="AB60" s="69">
        <f t="shared" ca="1" si="122"/>
        <v>0</v>
      </c>
      <c r="AC60" s="69">
        <f t="shared" ca="1" si="122"/>
        <v>0</v>
      </c>
      <c r="AD60" s="69">
        <f t="shared" ca="1" si="122"/>
        <v>0</v>
      </c>
      <c r="AE60" s="69">
        <f t="shared" ca="1" si="122"/>
        <v>0</v>
      </c>
      <c r="AF60" s="69">
        <f t="shared" ca="1" si="122"/>
        <v>0</v>
      </c>
      <c r="AG60" s="69">
        <f t="shared" ca="1" si="122"/>
        <v>0</v>
      </c>
      <c r="AH60" s="69">
        <f t="shared" ca="1" si="122"/>
        <v>0</v>
      </c>
      <c r="AI60" s="69">
        <f t="shared" ca="1" si="122"/>
        <v>0</v>
      </c>
      <c r="AJ60" s="69">
        <f t="shared" ca="1" si="122"/>
        <v>0</v>
      </c>
      <c r="AK60" s="69">
        <f t="shared" ca="1" si="122"/>
        <v>0</v>
      </c>
      <c r="AL60" s="69">
        <f t="shared" ca="1" si="122"/>
        <v>0</v>
      </c>
      <c r="AM60" s="69">
        <f t="shared" ca="1" si="122"/>
        <v>0</v>
      </c>
      <c r="AN60" s="69">
        <f t="shared" ca="1" si="122"/>
        <v>0</v>
      </c>
      <c r="AO60" s="69">
        <f t="shared" ca="1" si="122"/>
        <v>0</v>
      </c>
      <c r="AP60" s="69">
        <f t="shared" ca="1" si="122"/>
        <v>0</v>
      </c>
      <c r="AQ60" s="69">
        <f t="shared" ca="1" si="122"/>
        <v>0</v>
      </c>
      <c r="AR60" s="69">
        <f t="shared" ca="1" si="122"/>
        <v>0</v>
      </c>
      <c r="AS60" s="69">
        <f t="shared" ca="1" si="122"/>
        <v>0</v>
      </c>
      <c r="AT60" s="69">
        <f t="shared" ca="1" si="122"/>
        <v>0</v>
      </c>
      <c r="AU60" s="69">
        <f t="shared" ca="1" si="122"/>
        <v>0</v>
      </c>
      <c r="AV60" s="69">
        <f t="shared" ca="1" si="122"/>
        <v>0</v>
      </c>
      <c r="AW60" s="69">
        <f t="shared" ca="1" si="122"/>
        <v>0</v>
      </c>
      <c r="AX60" s="69">
        <f t="shared" ca="1" si="122"/>
        <v>0</v>
      </c>
      <c r="AY60" s="69">
        <f t="shared" ca="1" si="122"/>
        <v>0</v>
      </c>
      <c r="AZ60" s="69">
        <f t="shared" ca="1" si="122"/>
        <v>0</v>
      </c>
      <c r="BA60" s="69">
        <f t="shared" ca="1" si="122"/>
        <v>0</v>
      </c>
      <c r="BB60" s="69">
        <f t="shared" ca="1" si="122"/>
        <v>0</v>
      </c>
      <c r="BC60" s="69">
        <f t="shared" ca="1" si="122"/>
        <v>0</v>
      </c>
      <c r="BD60" s="69">
        <f t="shared" ca="1" si="122"/>
        <v>0</v>
      </c>
      <c r="BE60" s="69">
        <f t="shared" ca="1" si="122"/>
        <v>0</v>
      </c>
      <c r="BF60" s="69">
        <f t="shared" ca="1" si="122"/>
        <v>0</v>
      </c>
      <c r="BG60" s="69">
        <f t="shared" ca="1" si="122"/>
        <v>0</v>
      </c>
      <c r="BH60" s="69">
        <f t="shared" ca="1" si="122"/>
        <v>0</v>
      </c>
      <c r="BI60" s="69">
        <f t="shared" ca="1" si="122"/>
        <v>0</v>
      </c>
      <c r="BJ60" s="69">
        <f t="shared" ca="1" si="122"/>
        <v>0</v>
      </c>
      <c r="BK60" s="69">
        <f t="shared" ca="1" si="122"/>
        <v>0</v>
      </c>
      <c r="BL60" s="69">
        <f t="shared" ca="1" si="122"/>
        <v>0</v>
      </c>
      <c r="BM60" s="69">
        <f t="shared" ca="1" si="122"/>
        <v>0</v>
      </c>
      <c r="BN60" s="69">
        <f t="shared" ca="1" si="122"/>
        <v>0</v>
      </c>
      <c r="BO60" s="69">
        <f t="shared" ca="1" si="122"/>
        <v>0</v>
      </c>
      <c r="BP60" s="69">
        <f t="shared" ref="BP60:EA60" ca="1" si="123">BP57/$F$4*$E$4</f>
        <v>0</v>
      </c>
      <c r="BQ60" s="69">
        <f t="shared" ca="1" si="123"/>
        <v>0</v>
      </c>
      <c r="BR60" s="69">
        <f t="shared" ca="1" si="123"/>
        <v>0</v>
      </c>
      <c r="BS60" s="69">
        <f t="shared" ca="1" si="123"/>
        <v>0</v>
      </c>
      <c r="BT60" s="69">
        <f t="shared" ca="1" si="123"/>
        <v>0</v>
      </c>
      <c r="BU60" s="69">
        <f t="shared" ca="1" si="123"/>
        <v>0</v>
      </c>
      <c r="BV60" s="69">
        <f t="shared" ca="1" si="123"/>
        <v>0</v>
      </c>
      <c r="BW60" s="69">
        <f t="shared" ca="1" si="123"/>
        <v>0</v>
      </c>
      <c r="BX60" s="69">
        <f t="shared" ca="1" si="123"/>
        <v>0</v>
      </c>
      <c r="BY60" s="69">
        <f t="shared" ca="1" si="123"/>
        <v>0</v>
      </c>
      <c r="BZ60" s="69">
        <f t="shared" ca="1" si="123"/>
        <v>0</v>
      </c>
      <c r="CA60" s="69">
        <f t="shared" ca="1" si="123"/>
        <v>0</v>
      </c>
      <c r="CB60" s="69">
        <f t="shared" ca="1" si="123"/>
        <v>0</v>
      </c>
      <c r="CC60" s="69">
        <f t="shared" ca="1" si="123"/>
        <v>0</v>
      </c>
      <c r="CD60" s="69">
        <f t="shared" ca="1" si="123"/>
        <v>0</v>
      </c>
      <c r="CE60" s="69">
        <f t="shared" ca="1" si="123"/>
        <v>0</v>
      </c>
      <c r="CF60" s="69">
        <f t="shared" ca="1" si="123"/>
        <v>0</v>
      </c>
      <c r="CG60" s="69">
        <f t="shared" ca="1" si="123"/>
        <v>0</v>
      </c>
      <c r="CH60" s="69">
        <f t="shared" ca="1" si="123"/>
        <v>0</v>
      </c>
      <c r="CI60" s="69">
        <f t="shared" ca="1" si="123"/>
        <v>0</v>
      </c>
      <c r="CJ60" s="69">
        <f t="shared" ca="1" si="123"/>
        <v>0</v>
      </c>
      <c r="CK60" s="69">
        <f t="shared" ca="1" si="123"/>
        <v>0</v>
      </c>
      <c r="CL60" s="69">
        <f t="shared" ca="1" si="123"/>
        <v>0</v>
      </c>
      <c r="CM60" s="69">
        <f t="shared" ca="1" si="123"/>
        <v>0</v>
      </c>
      <c r="CN60" s="69">
        <f t="shared" ca="1" si="123"/>
        <v>0</v>
      </c>
      <c r="CO60" s="69">
        <f t="shared" ca="1" si="123"/>
        <v>0</v>
      </c>
      <c r="CP60" s="69">
        <f t="shared" ca="1" si="123"/>
        <v>0</v>
      </c>
      <c r="CQ60" s="69">
        <f t="shared" ca="1" si="123"/>
        <v>0</v>
      </c>
      <c r="CR60" s="69">
        <f t="shared" ca="1" si="123"/>
        <v>0</v>
      </c>
      <c r="CS60" s="69">
        <f t="shared" ca="1" si="123"/>
        <v>0</v>
      </c>
      <c r="CT60" s="69">
        <f t="shared" ca="1" si="123"/>
        <v>0</v>
      </c>
      <c r="CU60" s="69">
        <f t="shared" ca="1" si="123"/>
        <v>0</v>
      </c>
      <c r="CV60" s="69">
        <f t="shared" ca="1" si="123"/>
        <v>0</v>
      </c>
      <c r="CW60" s="69">
        <f t="shared" ca="1" si="123"/>
        <v>0</v>
      </c>
      <c r="CX60" s="69">
        <f t="shared" ca="1" si="123"/>
        <v>0</v>
      </c>
      <c r="CY60" s="69">
        <f t="shared" ca="1" si="123"/>
        <v>0</v>
      </c>
      <c r="CZ60" s="69">
        <f t="shared" ca="1" si="123"/>
        <v>0</v>
      </c>
      <c r="DA60" s="69">
        <f t="shared" ca="1" si="123"/>
        <v>0</v>
      </c>
      <c r="DB60" s="69">
        <f t="shared" ca="1" si="123"/>
        <v>0</v>
      </c>
      <c r="DC60" s="69">
        <f t="shared" ca="1" si="123"/>
        <v>0</v>
      </c>
      <c r="DD60" s="69">
        <f t="shared" ca="1" si="123"/>
        <v>0</v>
      </c>
      <c r="DE60" s="69">
        <f t="shared" ca="1" si="123"/>
        <v>0</v>
      </c>
      <c r="DF60" s="69">
        <f t="shared" ca="1" si="123"/>
        <v>0</v>
      </c>
      <c r="DG60" s="69">
        <f t="shared" ca="1" si="123"/>
        <v>0</v>
      </c>
      <c r="DH60" s="69">
        <f t="shared" ca="1" si="123"/>
        <v>0</v>
      </c>
      <c r="DI60" s="69">
        <f t="shared" ca="1" si="123"/>
        <v>0</v>
      </c>
      <c r="DJ60" s="69">
        <f t="shared" ca="1" si="123"/>
        <v>0</v>
      </c>
      <c r="DK60" s="69">
        <f t="shared" ca="1" si="123"/>
        <v>0</v>
      </c>
      <c r="DL60" s="69">
        <f t="shared" ca="1" si="123"/>
        <v>0</v>
      </c>
      <c r="DM60" s="69">
        <f t="shared" ca="1" si="123"/>
        <v>0</v>
      </c>
      <c r="DN60" s="69">
        <f t="shared" ca="1" si="123"/>
        <v>0</v>
      </c>
      <c r="DO60" s="69">
        <f t="shared" ca="1" si="123"/>
        <v>0</v>
      </c>
      <c r="DP60" s="69">
        <f t="shared" ca="1" si="123"/>
        <v>0</v>
      </c>
      <c r="DQ60" s="69">
        <f t="shared" ca="1" si="123"/>
        <v>0</v>
      </c>
      <c r="DR60" s="69">
        <f t="shared" ca="1" si="123"/>
        <v>0</v>
      </c>
      <c r="DS60" s="69">
        <f t="shared" ca="1" si="123"/>
        <v>0</v>
      </c>
      <c r="DT60" s="69">
        <f t="shared" ca="1" si="123"/>
        <v>0</v>
      </c>
      <c r="DU60" s="69">
        <f t="shared" ca="1" si="123"/>
        <v>0</v>
      </c>
      <c r="DV60" s="69">
        <f t="shared" ca="1" si="123"/>
        <v>0</v>
      </c>
      <c r="DW60" s="69">
        <f t="shared" ca="1" si="123"/>
        <v>0</v>
      </c>
      <c r="DX60" s="69">
        <f t="shared" ca="1" si="123"/>
        <v>0</v>
      </c>
      <c r="DY60" s="69">
        <f t="shared" ca="1" si="123"/>
        <v>0</v>
      </c>
      <c r="DZ60" s="69">
        <f t="shared" ca="1" si="123"/>
        <v>0</v>
      </c>
      <c r="EA60" s="69">
        <f t="shared" ca="1" si="123"/>
        <v>0</v>
      </c>
      <c r="EB60" s="69">
        <f t="shared" ref="EB60:EE60" ca="1" si="124">EB57/$F$4*$E$4</f>
        <v>0</v>
      </c>
      <c r="EC60" s="69">
        <f t="shared" ca="1" si="124"/>
        <v>0</v>
      </c>
      <c r="ED60" s="69">
        <f t="shared" ca="1" si="124"/>
        <v>0</v>
      </c>
      <c r="EE60" s="70">
        <f t="shared" ca="1" si="124"/>
        <v>0</v>
      </c>
    </row>
    <row r="61" spans="1:135" x14ac:dyDescent="0.15">
      <c r="B61" s="7" t="s">
        <v>55</v>
      </c>
      <c r="C61" s="69">
        <f>SUM(C60,C57)</f>
        <v>0</v>
      </c>
      <c r="D61" s="69">
        <f t="shared" ref="D61:BO61" ca="1" si="125">SUM(D60,D57)</f>
        <v>0</v>
      </c>
      <c r="E61" s="69">
        <f t="shared" ca="1" si="125"/>
        <v>0</v>
      </c>
      <c r="F61" s="69">
        <f t="shared" ca="1" si="125"/>
        <v>0</v>
      </c>
      <c r="G61" s="69">
        <f t="shared" ca="1" si="125"/>
        <v>0</v>
      </c>
      <c r="H61" s="69">
        <f t="shared" ca="1" si="125"/>
        <v>0</v>
      </c>
      <c r="I61" s="69">
        <f t="shared" ca="1" si="125"/>
        <v>0</v>
      </c>
      <c r="J61" s="69">
        <f t="shared" ca="1" si="125"/>
        <v>0</v>
      </c>
      <c r="K61" s="69">
        <f t="shared" ca="1" si="125"/>
        <v>0</v>
      </c>
      <c r="L61" s="69">
        <f t="shared" ca="1" si="125"/>
        <v>0</v>
      </c>
      <c r="M61" s="69">
        <f t="shared" ca="1" si="125"/>
        <v>0</v>
      </c>
      <c r="N61" s="69">
        <f t="shared" ca="1" si="125"/>
        <v>0</v>
      </c>
      <c r="O61" s="69">
        <f t="shared" ca="1" si="125"/>
        <v>0</v>
      </c>
      <c r="P61" s="69">
        <f t="shared" ca="1" si="125"/>
        <v>0</v>
      </c>
      <c r="Q61" s="69">
        <f t="shared" ca="1" si="125"/>
        <v>0</v>
      </c>
      <c r="R61" s="69">
        <f t="shared" ca="1" si="125"/>
        <v>0</v>
      </c>
      <c r="S61" s="69">
        <f t="shared" ca="1" si="125"/>
        <v>0</v>
      </c>
      <c r="T61" s="69">
        <f t="shared" ca="1" si="125"/>
        <v>0</v>
      </c>
      <c r="U61" s="69">
        <f t="shared" ca="1" si="125"/>
        <v>0</v>
      </c>
      <c r="V61" s="69">
        <f t="shared" ca="1" si="125"/>
        <v>0</v>
      </c>
      <c r="W61" s="69">
        <f t="shared" ca="1" si="125"/>
        <v>0</v>
      </c>
      <c r="X61" s="69">
        <f t="shared" ca="1" si="125"/>
        <v>0</v>
      </c>
      <c r="Y61" s="69">
        <f t="shared" ca="1" si="125"/>
        <v>0</v>
      </c>
      <c r="Z61" s="69">
        <f t="shared" ca="1" si="125"/>
        <v>0</v>
      </c>
      <c r="AA61" s="69">
        <f t="shared" ca="1" si="125"/>
        <v>375057.43712876079</v>
      </c>
      <c r="AB61" s="69">
        <f t="shared" ca="1" si="125"/>
        <v>0</v>
      </c>
      <c r="AC61" s="69">
        <f t="shared" ca="1" si="125"/>
        <v>0</v>
      </c>
      <c r="AD61" s="69">
        <f t="shared" ca="1" si="125"/>
        <v>0</v>
      </c>
      <c r="AE61" s="69">
        <f t="shared" ca="1" si="125"/>
        <v>0</v>
      </c>
      <c r="AF61" s="69">
        <f t="shared" ca="1" si="125"/>
        <v>0</v>
      </c>
      <c r="AG61" s="69">
        <f t="shared" ca="1" si="125"/>
        <v>0</v>
      </c>
      <c r="AH61" s="69">
        <f t="shared" ca="1" si="125"/>
        <v>0</v>
      </c>
      <c r="AI61" s="69">
        <f t="shared" ca="1" si="125"/>
        <v>0</v>
      </c>
      <c r="AJ61" s="69">
        <f t="shared" ca="1" si="125"/>
        <v>0</v>
      </c>
      <c r="AK61" s="69">
        <f t="shared" ca="1" si="125"/>
        <v>0</v>
      </c>
      <c r="AL61" s="69">
        <f t="shared" ca="1" si="125"/>
        <v>0</v>
      </c>
      <c r="AM61" s="69">
        <f t="shared" ca="1" si="125"/>
        <v>0</v>
      </c>
      <c r="AN61" s="69">
        <f t="shared" ca="1" si="125"/>
        <v>0</v>
      </c>
      <c r="AO61" s="69">
        <f t="shared" ca="1" si="125"/>
        <v>0</v>
      </c>
      <c r="AP61" s="69">
        <f t="shared" ca="1" si="125"/>
        <v>0</v>
      </c>
      <c r="AQ61" s="69">
        <f t="shared" ca="1" si="125"/>
        <v>0</v>
      </c>
      <c r="AR61" s="69">
        <f t="shared" ca="1" si="125"/>
        <v>0</v>
      </c>
      <c r="AS61" s="69">
        <f t="shared" ca="1" si="125"/>
        <v>0</v>
      </c>
      <c r="AT61" s="69">
        <f t="shared" ca="1" si="125"/>
        <v>0</v>
      </c>
      <c r="AU61" s="69">
        <f t="shared" ca="1" si="125"/>
        <v>0</v>
      </c>
      <c r="AV61" s="69">
        <f t="shared" ca="1" si="125"/>
        <v>0</v>
      </c>
      <c r="AW61" s="69">
        <f t="shared" ca="1" si="125"/>
        <v>0</v>
      </c>
      <c r="AX61" s="69">
        <f t="shared" ca="1" si="125"/>
        <v>0</v>
      </c>
      <c r="AY61" s="69">
        <f t="shared" ca="1" si="125"/>
        <v>0</v>
      </c>
      <c r="AZ61" s="69">
        <f t="shared" ca="1" si="125"/>
        <v>0</v>
      </c>
      <c r="BA61" s="69">
        <f t="shared" ca="1" si="125"/>
        <v>0</v>
      </c>
      <c r="BB61" s="69">
        <f t="shared" ca="1" si="125"/>
        <v>0</v>
      </c>
      <c r="BC61" s="69">
        <f t="shared" ca="1" si="125"/>
        <v>0</v>
      </c>
      <c r="BD61" s="69">
        <f t="shared" ca="1" si="125"/>
        <v>0</v>
      </c>
      <c r="BE61" s="69">
        <f t="shared" ca="1" si="125"/>
        <v>0</v>
      </c>
      <c r="BF61" s="69">
        <f t="shared" ca="1" si="125"/>
        <v>0</v>
      </c>
      <c r="BG61" s="69">
        <f t="shared" ca="1" si="125"/>
        <v>0</v>
      </c>
      <c r="BH61" s="69">
        <f t="shared" ca="1" si="125"/>
        <v>0</v>
      </c>
      <c r="BI61" s="69">
        <f t="shared" ca="1" si="125"/>
        <v>0</v>
      </c>
      <c r="BJ61" s="69">
        <f t="shared" ca="1" si="125"/>
        <v>0</v>
      </c>
      <c r="BK61" s="69">
        <f t="shared" ca="1" si="125"/>
        <v>0</v>
      </c>
      <c r="BL61" s="69">
        <f t="shared" ca="1" si="125"/>
        <v>0</v>
      </c>
      <c r="BM61" s="69">
        <f t="shared" ca="1" si="125"/>
        <v>0</v>
      </c>
      <c r="BN61" s="69">
        <f t="shared" ca="1" si="125"/>
        <v>0</v>
      </c>
      <c r="BO61" s="69">
        <f t="shared" ca="1" si="125"/>
        <v>0</v>
      </c>
      <c r="BP61" s="69">
        <f t="shared" ref="BP61:EA61" ca="1" si="126">SUM(BP60,BP57)</f>
        <v>0</v>
      </c>
      <c r="BQ61" s="69">
        <f t="shared" ca="1" si="126"/>
        <v>0</v>
      </c>
      <c r="BR61" s="69">
        <f t="shared" ca="1" si="126"/>
        <v>0</v>
      </c>
      <c r="BS61" s="69">
        <f t="shared" ca="1" si="126"/>
        <v>0</v>
      </c>
      <c r="BT61" s="69">
        <f t="shared" ca="1" si="126"/>
        <v>0</v>
      </c>
      <c r="BU61" s="69">
        <f t="shared" ca="1" si="126"/>
        <v>0</v>
      </c>
      <c r="BV61" s="69">
        <f t="shared" ca="1" si="126"/>
        <v>0</v>
      </c>
      <c r="BW61" s="69">
        <f t="shared" ca="1" si="126"/>
        <v>0</v>
      </c>
      <c r="BX61" s="69">
        <f t="shared" ca="1" si="126"/>
        <v>0</v>
      </c>
      <c r="BY61" s="69">
        <f t="shared" ca="1" si="126"/>
        <v>0</v>
      </c>
      <c r="BZ61" s="69">
        <f t="shared" ca="1" si="126"/>
        <v>0</v>
      </c>
      <c r="CA61" s="69">
        <f t="shared" ca="1" si="126"/>
        <v>0</v>
      </c>
      <c r="CB61" s="69">
        <f t="shared" ca="1" si="126"/>
        <v>0</v>
      </c>
      <c r="CC61" s="69">
        <f t="shared" ca="1" si="126"/>
        <v>0</v>
      </c>
      <c r="CD61" s="69">
        <f t="shared" ca="1" si="126"/>
        <v>0</v>
      </c>
      <c r="CE61" s="69">
        <f t="shared" ca="1" si="126"/>
        <v>0</v>
      </c>
      <c r="CF61" s="69">
        <f t="shared" ca="1" si="126"/>
        <v>0</v>
      </c>
      <c r="CG61" s="69">
        <f t="shared" ca="1" si="126"/>
        <v>0</v>
      </c>
      <c r="CH61" s="69">
        <f t="shared" ca="1" si="126"/>
        <v>0</v>
      </c>
      <c r="CI61" s="69">
        <f t="shared" ca="1" si="126"/>
        <v>0</v>
      </c>
      <c r="CJ61" s="69">
        <f t="shared" ca="1" si="126"/>
        <v>0</v>
      </c>
      <c r="CK61" s="69">
        <f t="shared" ca="1" si="126"/>
        <v>0</v>
      </c>
      <c r="CL61" s="69">
        <f t="shared" ca="1" si="126"/>
        <v>0</v>
      </c>
      <c r="CM61" s="69">
        <f t="shared" ca="1" si="126"/>
        <v>0</v>
      </c>
      <c r="CN61" s="69">
        <f t="shared" ca="1" si="126"/>
        <v>0</v>
      </c>
      <c r="CO61" s="69">
        <f t="shared" ca="1" si="126"/>
        <v>0</v>
      </c>
      <c r="CP61" s="69">
        <f t="shared" ca="1" si="126"/>
        <v>0</v>
      </c>
      <c r="CQ61" s="69">
        <f t="shared" ca="1" si="126"/>
        <v>0</v>
      </c>
      <c r="CR61" s="69">
        <f t="shared" ca="1" si="126"/>
        <v>0</v>
      </c>
      <c r="CS61" s="69">
        <f t="shared" ca="1" si="126"/>
        <v>0</v>
      </c>
      <c r="CT61" s="69">
        <f t="shared" ca="1" si="126"/>
        <v>0</v>
      </c>
      <c r="CU61" s="69">
        <f t="shared" ca="1" si="126"/>
        <v>0</v>
      </c>
      <c r="CV61" s="69">
        <f t="shared" ca="1" si="126"/>
        <v>0</v>
      </c>
      <c r="CW61" s="69">
        <f t="shared" ca="1" si="126"/>
        <v>0</v>
      </c>
      <c r="CX61" s="69">
        <f t="shared" ca="1" si="126"/>
        <v>0</v>
      </c>
      <c r="CY61" s="69">
        <f t="shared" ca="1" si="126"/>
        <v>0</v>
      </c>
      <c r="CZ61" s="69">
        <f t="shared" ca="1" si="126"/>
        <v>0</v>
      </c>
      <c r="DA61" s="69">
        <f t="shared" ca="1" si="126"/>
        <v>0</v>
      </c>
      <c r="DB61" s="69">
        <f t="shared" ca="1" si="126"/>
        <v>0</v>
      </c>
      <c r="DC61" s="69">
        <f t="shared" ca="1" si="126"/>
        <v>0</v>
      </c>
      <c r="DD61" s="69">
        <f t="shared" ca="1" si="126"/>
        <v>0</v>
      </c>
      <c r="DE61" s="69">
        <f t="shared" ca="1" si="126"/>
        <v>0</v>
      </c>
      <c r="DF61" s="69">
        <f t="shared" ca="1" si="126"/>
        <v>0</v>
      </c>
      <c r="DG61" s="69">
        <f t="shared" ca="1" si="126"/>
        <v>0</v>
      </c>
      <c r="DH61" s="69">
        <f t="shared" ca="1" si="126"/>
        <v>0</v>
      </c>
      <c r="DI61" s="69">
        <f t="shared" ca="1" si="126"/>
        <v>0</v>
      </c>
      <c r="DJ61" s="69">
        <f t="shared" ca="1" si="126"/>
        <v>0</v>
      </c>
      <c r="DK61" s="69">
        <f t="shared" ca="1" si="126"/>
        <v>0</v>
      </c>
      <c r="DL61" s="69">
        <f t="shared" ca="1" si="126"/>
        <v>0</v>
      </c>
      <c r="DM61" s="69">
        <f t="shared" ca="1" si="126"/>
        <v>0</v>
      </c>
      <c r="DN61" s="69">
        <f t="shared" ca="1" si="126"/>
        <v>0</v>
      </c>
      <c r="DO61" s="69">
        <f t="shared" ca="1" si="126"/>
        <v>0</v>
      </c>
      <c r="DP61" s="69">
        <f t="shared" ca="1" si="126"/>
        <v>0</v>
      </c>
      <c r="DQ61" s="69">
        <f t="shared" ca="1" si="126"/>
        <v>0</v>
      </c>
      <c r="DR61" s="69">
        <f t="shared" ca="1" si="126"/>
        <v>0</v>
      </c>
      <c r="DS61" s="69">
        <f t="shared" ca="1" si="126"/>
        <v>0</v>
      </c>
      <c r="DT61" s="69">
        <f t="shared" ca="1" si="126"/>
        <v>0</v>
      </c>
      <c r="DU61" s="69">
        <f t="shared" ca="1" si="126"/>
        <v>0</v>
      </c>
      <c r="DV61" s="69">
        <f t="shared" ca="1" si="126"/>
        <v>0</v>
      </c>
      <c r="DW61" s="69">
        <f t="shared" ca="1" si="126"/>
        <v>0</v>
      </c>
      <c r="DX61" s="69">
        <f t="shared" ca="1" si="126"/>
        <v>0</v>
      </c>
      <c r="DY61" s="69">
        <f t="shared" ca="1" si="126"/>
        <v>0</v>
      </c>
      <c r="DZ61" s="69">
        <f t="shared" ca="1" si="126"/>
        <v>0</v>
      </c>
      <c r="EA61" s="69">
        <f t="shared" ca="1" si="126"/>
        <v>0</v>
      </c>
      <c r="EB61" s="69">
        <f t="shared" ref="EB61:EE61" ca="1" si="127">SUM(EB60,EB57)</f>
        <v>0</v>
      </c>
      <c r="EC61" s="69">
        <f t="shared" ca="1" si="127"/>
        <v>0</v>
      </c>
      <c r="ED61" s="69">
        <f t="shared" ca="1" si="127"/>
        <v>0</v>
      </c>
      <c r="EE61" s="70">
        <f t="shared" ca="1" si="127"/>
        <v>0</v>
      </c>
    </row>
    <row r="62" spans="1:135" x14ac:dyDescent="0.15">
      <c r="A62" s="62"/>
      <c r="B62" s="61" t="s">
        <v>56</v>
      </c>
      <c r="C62" s="72">
        <f>MAX(C25-C37-C49-C61,0)</f>
        <v>0</v>
      </c>
      <c r="D62" s="72">
        <f t="shared" ref="D62:BO62" ca="1" si="128">MAX(D25-D37-D49-D61,0)</f>
        <v>0</v>
      </c>
      <c r="E62" s="72">
        <f t="shared" ca="1" si="128"/>
        <v>0</v>
      </c>
      <c r="F62" s="72">
        <f t="shared" ca="1" si="128"/>
        <v>0</v>
      </c>
      <c r="G62" s="72">
        <f t="shared" ca="1" si="128"/>
        <v>0</v>
      </c>
      <c r="H62" s="72">
        <f t="shared" ca="1" si="128"/>
        <v>0</v>
      </c>
      <c r="I62" s="72">
        <f t="shared" ca="1" si="128"/>
        <v>0</v>
      </c>
      <c r="J62" s="72">
        <f t="shared" ca="1" si="128"/>
        <v>0</v>
      </c>
      <c r="K62" s="72">
        <f t="shared" ca="1" si="128"/>
        <v>0</v>
      </c>
      <c r="L62" s="72">
        <f t="shared" ca="1" si="128"/>
        <v>0</v>
      </c>
      <c r="M62" s="72">
        <f t="shared" ca="1" si="128"/>
        <v>0</v>
      </c>
      <c r="N62" s="72">
        <f t="shared" ca="1" si="128"/>
        <v>0</v>
      </c>
      <c r="O62" s="72">
        <f t="shared" ca="1" si="128"/>
        <v>0</v>
      </c>
      <c r="P62" s="72">
        <f t="shared" ca="1" si="128"/>
        <v>0</v>
      </c>
      <c r="Q62" s="72">
        <f t="shared" ca="1" si="128"/>
        <v>0</v>
      </c>
      <c r="R62" s="72">
        <f t="shared" ca="1" si="128"/>
        <v>0</v>
      </c>
      <c r="S62" s="72">
        <f t="shared" ca="1" si="128"/>
        <v>0</v>
      </c>
      <c r="T62" s="72">
        <f t="shared" ca="1" si="128"/>
        <v>0</v>
      </c>
      <c r="U62" s="72">
        <f t="shared" ca="1" si="128"/>
        <v>0</v>
      </c>
      <c r="V62" s="72">
        <f t="shared" ca="1" si="128"/>
        <v>0</v>
      </c>
      <c r="W62" s="72">
        <f t="shared" ca="1" si="128"/>
        <v>0</v>
      </c>
      <c r="X62" s="72">
        <f t="shared" ca="1" si="128"/>
        <v>0</v>
      </c>
      <c r="Y62" s="72">
        <f t="shared" ca="1" si="128"/>
        <v>0</v>
      </c>
      <c r="Z62" s="72">
        <f t="shared" ca="1" si="128"/>
        <v>0</v>
      </c>
      <c r="AA62" s="72">
        <f t="shared" ca="1" si="128"/>
        <v>7800934.5982744535</v>
      </c>
      <c r="AB62" s="72">
        <f t="shared" ca="1" si="128"/>
        <v>0</v>
      </c>
      <c r="AC62" s="72">
        <f t="shared" ca="1" si="128"/>
        <v>0</v>
      </c>
      <c r="AD62" s="72">
        <f t="shared" ca="1" si="128"/>
        <v>0</v>
      </c>
      <c r="AE62" s="72">
        <f t="shared" ca="1" si="128"/>
        <v>0</v>
      </c>
      <c r="AF62" s="72">
        <f t="shared" ca="1" si="128"/>
        <v>0</v>
      </c>
      <c r="AG62" s="72">
        <f t="shared" ca="1" si="128"/>
        <v>0</v>
      </c>
      <c r="AH62" s="72">
        <f t="shared" ca="1" si="128"/>
        <v>0</v>
      </c>
      <c r="AI62" s="72">
        <f t="shared" ca="1" si="128"/>
        <v>0</v>
      </c>
      <c r="AJ62" s="72">
        <f t="shared" ca="1" si="128"/>
        <v>0</v>
      </c>
      <c r="AK62" s="72">
        <f t="shared" ca="1" si="128"/>
        <v>0</v>
      </c>
      <c r="AL62" s="72">
        <f t="shared" ca="1" si="128"/>
        <v>0</v>
      </c>
      <c r="AM62" s="72">
        <f t="shared" ca="1" si="128"/>
        <v>0</v>
      </c>
      <c r="AN62" s="72">
        <f t="shared" ca="1" si="128"/>
        <v>0</v>
      </c>
      <c r="AO62" s="72">
        <f t="shared" ca="1" si="128"/>
        <v>0</v>
      </c>
      <c r="AP62" s="72">
        <f t="shared" ca="1" si="128"/>
        <v>0</v>
      </c>
      <c r="AQ62" s="72">
        <f t="shared" ca="1" si="128"/>
        <v>0</v>
      </c>
      <c r="AR62" s="72">
        <f t="shared" ca="1" si="128"/>
        <v>0</v>
      </c>
      <c r="AS62" s="72">
        <f t="shared" ca="1" si="128"/>
        <v>0</v>
      </c>
      <c r="AT62" s="72">
        <f t="shared" ca="1" si="128"/>
        <v>0</v>
      </c>
      <c r="AU62" s="72">
        <f t="shared" ca="1" si="128"/>
        <v>0</v>
      </c>
      <c r="AV62" s="72">
        <f t="shared" ca="1" si="128"/>
        <v>0</v>
      </c>
      <c r="AW62" s="72">
        <f t="shared" ca="1" si="128"/>
        <v>0</v>
      </c>
      <c r="AX62" s="72">
        <f t="shared" ca="1" si="128"/>
        <v>0</v>
      </c>
      <c r="AY62" s="72">
        <f t="shared" ca="1" si="128"/>
        <v>0</v>
      </c>
      <c r="AZ62" s="72">
        <f t="shared" ca="1" si="128"/>
        <v>0</v>
      </c>
      <c r="BA62" s="72">
        <f t="shared" ca="1" si="128"/>
        <v>0</v>
      </c>
      <c r="BB62" s="72">
        <f t="shared" ca="1" si="128"/>
        <v>0</v>
      </c>
      <c r="BC62" s="72">
        <f t="shared" ca="1" si="128"/>
        <v>0</v>
      </c>
      <c r="BD62" s="72">
        <f t="shared" ca="1" si="128"/>
        <v>0</v>
      </c>
      <c r="BE62" s="72">
        <f t="shared" ca="1" si="128"/>
        <v>0</v>
      </c>
      <c r="BF62" s="72">
        <f t="shared" ca="1" si="128"/>
        <v>0</v>
      </c>
      <c r="BG62" s="72">
        <f t="shared" ca="1" si="128"/>
        <v>0</v>
      </c>
      <c r="BH62" s="72">
        <f t="shared" ca="1" si="128"/>
        <v>0</v>
      </c>
      <c r="BI62" s="72">
        <f t="shared" ca="1" si="128"/>
        <v>0</v>
      </c>
      <c r="BJ62" s="72">
        <f t="shared" ca="1" si="128"/>
        <v>0</v>
      </c>
      <c r="BK62" s="72">
        <f t="shared" ca="1" si="128"/>
        <v>0</v>
      </c>
      <c r="BL62" s="72">
        <f t="shared" ca="1" si="128"/>
        <v>0</v>
      </c>
      <c r="BM62" s="72">
        <f t="shared" ca="1" si="128"/>
        <v>0</v>
      </c>
      <c r="BN62" s="72">
        <f t="shared" ca="1" si="128"/>
        <v>0</v>
      </c>
      <c r="BO62" s="72">
        <f t="shared" ca="1" si="128"/>
        <v>0</v>
      </c>
      <c r="BP62" s="72">
        <f t="shared" ref="BP62:EA62" ca="1" si="129">MAX(BP25-BP37-BP49-BP61,0)</f>
        <v>0</v>
      </c>
      <c r="BQ62" s="72">
        <f t="shared" ca="1" si="129"/>
        <v>0</v>
      </c>
      <c r="BR62" s="72">
        <f t="shared" ca="1" si="129"/>
        <v>0</v>
      </c>
      <c r="BS62" s="72">
        <f t="shared" ca="1" si="129"/>
        <v>0</v>
      </c>
      <c r="BT62" s="72">
        <f t="shared" ca="1" si="129"/>
        <v>0</v>
      </c>
      <c r="BU62" s="72">
        <f t="shared" ca="1" si="129"/>
        <v>0</v>
      </c>
      <c r="BV62" s="72">
        <f t="shared" ca="1" si="129"/>
        <v>0</v>
      </c>
      <c r="BW62" s="72">
        <f t="shared" ca="1" si="129"/>
        <v>0</v>
      </c>
      <c r="BX62" s="72">
        <f t="shared" ca="1" si="129"/>
        <v>0</v>
      </c>
      <c r="BY62" s="72">
        <f t="shared" ca="1" si="129"/>
        <v>0</v>
      </c>
      <c r="BZ62" s="72">
        <f t="shared" ca="1" si="129"/>
        <v>0</v>
      </c>
      <c r="CA62" s="72">
        <f t="shared" ca="1" si="129"/>
        <v>0</v>
      </c>
      <c r="CB62" s="72">
        <f t="shared" ca="1" si="129"/>
        <v>0</v>
      </c>
      <c r="CC62" s="72">
        <f t="shared" ca="1" si="129"/>
        <v>0</v>
      </c>
      <c r="CD62" s="72">
        <f t="shared" ca="1" si="129"/>
        <v>0</v>
      </c>
      <c r="CE62" s="72">
        <f t="shared" ca="1" si="129"/>
        <v>0</v>
      </c>
      <c r="CF62" s="72">
        <f t="shared" ca="1" si="129"/>
        <v>0</v>
      </c>
      <c r="CG62" s="72">
        <f t="shared" ca="1" si="129"/>
        <v>0</v>
      </c>
      <c r="CH62" s="72">
        <f t="shared" ca="1" si="129"/>
        <v>0</v>
      </c>
      <c r="CI62" s="72">
        <f t="shared" ca="1" si="129"/>
        <v>0</v>
      </c>
      <c r="CJ62" s="72">
        <f t="shared" ca="1" si="129"/>
        <v>0</v>
      </c>
      <c r="CK62" s="72">
        <f t="shared" ca="1" si="129"/>
        <v>0</v>
      </c>
      <c r="CL62" s="72">
        <f t="shared" ca="1" si="129"/>
        <v>0</v>
      </c>
      <c r="CM62" s="72">
        <f t="shared" ca="1" si="129"/>
        <v>0</v>
      </c>
      <c r="CN62" s="72">
        <f t="shared" ca="1" si="129"/>
        <v>0</v>
      </c>
      <c r="CO62" s="72">
        <f t="shared" ca="1" si="129"/>
        <v>0</v>
      </c>
      <c r="CP62" s="72">
        <f t="shared" ca="1" si="129"/>
        <v>0</v>
      </c>
      <c r="CQ62" s="72">
        <f t="shared" ca="1" si="129"/>
        <v>0</v>
      </c>
      <c r="CR62" s="72">
        <f t="shared" ca="1" si="129"/>
        <v>0</v>
      </c>
      <c r="CS62" s="72">
        <f t="shared" ca="1" si="129"/>
        <v>0</v>
      </c>
      <c r="CT62" s="72">
        <f t="shared" ca="1" si="129"/>
        <v>0</v>
      </c>
      <c r="CU62" s="72">
        <f t="shared" ca="1" si="129"/>
        <v>0</v>
      </c>
      <c r="CV62" s="72">
        <f t="shared" ca="1" si="129"/>
        <v>0</v>
      </c>
      <c r="CW62" s="72">
        <f t="shared" ca="1" si="129"/>
        <v>0</v>
      </c>
      <c r="CX62" s="72">
        <f t="shared" ca="1" si="129"/>
        <v>0</v>
      </c>
      <c r="CY62" s="72">
        <f t="shared" ca="1" si="129"/>
        <v>0</v>
      </c>
      <c r="CZ62" s="72">
        <f t="shared" ca="1" si="129"/>
        <v>0</v>
      </c>
      <c r="DA62" s="72">
        <f t="shared" ca="1" si="129"/>
        <v>0</v>
      </c>
      <c r="DB62" s="72">
        <f t="shared" ca="1" si="129"/>
        <v>0</v>
      </c>
      <c r="DC62" s="72">
        <f t="shared" ca="1" si="129"/>
        <v>0</v>
      </c>
      <c r="DD62" s="72">
        <f t="shared" ca="1" si="129"/>
        <v>0</v>
      </c>
      <c r="DE62" s="72">
        <f t="shared" ca="1" si="129"/>
        <v>0</v>
      </c>
      <c r="DF62" s="72">
        <f t="shared" ca="1" si="129"/>
        <v>0</v>
      </c>
      <c r="DG62" s="72">
        <f t="shared" ca="1" si="129"/>
        <v>0</v>
      </c>
      <c r="DH62" s="72">
        <f t="shared" ca="1" si="129"/>
        <v>0</v>
      </c>
      <c r="DI62" s="72">
        <f t="shared" ca="1" si="129"/>
        <v>0</v>
      </c>
      <c r="DJ62" s="72">
        <f t="shared" ca="1" si="129"/>
        <v>0</v>
      </c>
      <c r="DK62" s="72">
        <f t="shared" ca="1" si="129"/>
        <v>0</v>
      </c>
      <c r="DL62" s="72">
        <f t="shared" ca="1" si="129"/>
        <v>0</v>
      </c>
      <c r="DM62" s="72">
        <f t="shared" ca="1" si="129"/>
        <v>0</v>
      </c>
      <c r="DN62" s="72">
        <f t="shared" ca="1" si="129"/>
        <v>0</v>
      </c>
      <c r="DO62" s="72">
        <f t="shared" ca="1" si="129"/>
        <v>0</v>
      </c>
      <c r="DP62" s="72">
        <f t="shared" ca="1" si="129"/>
        <v>0</v>
      </c>
      <c r="DQ62" s="72">
        <f t="shared" ca="1" si="129"/>
        <v>0</v>
      </c>
      <c r="DR62" s="72">
        <f t="shared" ca="1" si="129"/>
        <v>0</v>
      </c>
      <c r="DS62" s="72">
        <f t="shared" ca="1" si="129"/>
        <v>0</v>
      </c>
      <c r="DT62" s="72">
        <f t="shared" ca="1" si="129"/>
        <v>0</v>
      </c>
      <c r="DU62" s="72">
        <f t="shared" ca="1" si="129"/>
        <v>0</v>
      </c>
      <c r="DV62" s="72">
        <f t="shared" ca="1" si="129"/>
        <v>0</v>
      </c>
      <c r="DW62" s="72">
        <f t="shared" ca="1" si="129"/>
        <v>0</v>
      </c>
      <c r="DX62" s="72">
        <f t="shared" ca="1" si="129"/>
        <v>0</v>
      </c>
      <c r="DY62" s="72">
        <f t="shared" ca="1" si="129"/>
        <v>0</v>
      </c>
      <c r="DZ62" s="72">
        <f t="shared" ca="1" si="129"/>
        <v>0</v>
      </c>
      <c r="EA62" s="72">
        <f t="shared" ca="1" si="129"/>
        <v>0</v>
      </c>
      <c r="EB62" s="72">
        <f t="shared" ref="EB62:EE62" ca="1" si="130">MAX(EB25-EB37-EB49-EB61,0)</f>
        <v>0</v>
      </c>
      <c r="EC62" s="72">
        <f t="shared" ca="1" si="130"/>
        <v>0</v>
      </c>
      <c r="ED62" s="72">
        <f t="shared" ca="1" si="130"/>
        <v>0</v>
      </c>
      <c r="EE62" s="73">
        <f t="shared" ca="1" si="130"/>
        <v>0</v>
      </c>
    </row>
    <row r="64" spans="1:135" x14ac:dyDescent="0.15">
      <c r="B64" s="63" t="s">
        <v>12</v>
      </c>
      <c r="C64" s="64">
        <f ca="1">C52</f>
        <v>46053</v>
      </c>
      <c r="D64" s="64">
        <f t="shared" ref="D64:BO64" ca="1" si="131">D52</f>
        <v>46081</v>
      </c>
      <c r="E64" s="64">
        <f t="shared" ca="1" si="131"/>
        <v>46112</v>
      </c>
      <c r="F64" s="64">
        <f t="shared" ca="1" si="131"/>
        <v>46142</v>
      </c>
      <c r="G64" s="64">
        <f t="shared" ca="1" si="131"/>
        <v>46173</v>
      </c>
      <c r="H64" s="64">
        <f t="shared" ca="1" si="131"/>
        <v>46203</v>
      </c>
      <c r="I64" s="64">
        <f t="shared" ca="1" si="131"/>
        <v>46234</v>
      </c>
      <c r="J64" s="64">
        <f t="shared" ca="1" si="131"/>
        <v>46265</v>
      </c>
      <c r="K64" s="64">
        <f t="shared" ca="1" si="131"/>
        <v>46295</v>
      </c>
      <c r="L64" s="64">
        <f t="shared" ca="1" si="131"/>
        <v>46326</v>
      </c>
      <c r="M64" s="64">
        <f t="shared" ca="1" si="131"/>
        <v>46356</v>
      </c>
      <c r="N64" s="64">
        <f t="shared" ca="1" si="131"/>
        <v>46387</v>
      </c>
      <c r="O64" s="64">
        <f t="shared" ca="1" si="131"/>
        <v>46418</v>
      </c>
      <c r="P64" s="64">
        <f t="shared" ca="1" si="131"/>
        <v>46446</v>
      </c>
      <c r="Q64" s="64">
        <f t="shared" ca="1" si="131"/>
        <v>46477</v>
      </c>
      <c r="R64" s="64">
        <f t="shared" ca="1" si="131"/>
        <v>46507</v>
      </c>
      <c r="S64" s="64">
        <f t="shared" ca="1" si="131"/>
        <v>46538</v>
      </c>
      <c r="T64" s="64">
        <f t="shared" ca="1" si="131"/>
        <v>46568</v>
      </c>
      <c r="U64" s="64">
        <f t="shared" ca="1" si="131"/>
        <v>46599</v>
      </c>
      <c r="V64" s="64">
        <f t="shared" ca="1" si="131"/>
        <v>46630</v>
      </c>
      <c r="W64" s="64">
        <f t="shared" ca="1" si="131"/>
        <v>46660</v>
      </c>
      <c r="X64" s="64">
        <f t="shared" ca="1" si="131"/>
        <v>46691</v>
      </c>
      <c r="Y64" s="64">
        <f t="shared" ca="1" si="131"/>
        <v>46721</v>
      </c>
      <c r="Z64" s="64">
        <f t="shared" ca="1" si="131"/>
        <v>46752</v>
      </c>
      <c r="AA64" s="64">
        <f t="shared" ca="1" si="131"/>
        <v>46783</v>
      </c>
      <c r="AB64" s="64">
        <f t="shared" ca="1" si="131"/>
        <v>46812</v>
      </c>
      <c r="AC64" s="64">
        <f t="shared" ca="1" si="131"/>
        <v>46843</v>
      </c>
      <c r="AD64" s="64">
        <f t="shared" ca="1" si="131"/>
        <v>46873</v>
      </c>
      <c r="AE64" s="64">
        <f t="shared" ca="1" si="131"/>
        <v>46904</v>
      </c>
      <c r="AF64" s="64">
        <f t="shared" ca="1" si="131"/>
        <v>46934</v>
      </c>
      <c r="AG64" s="64">
        <f t="shared" ca="1" si="131"/>
        <v>46965</v>
      </c>
      <c r="AH64" s="64">
        <f t="shared" ca="1" si="131"/>
        <v>46996</v>
      </c>
      <c r="AI64" s="64">
        <f t="shared" ca="1" si="131"/>
        <v>47026</v>
      </c>
      <c r="AJ64" s="64">
        <f t="shared" ca="1" si="131"/>
        <v>47057</v>
      </c>
      <c r="AK64" s="64">
        <f t="shared" ca="1" si="131"/>
        <v>47087</v>
      </c>
      <c r="AL64" s="64">
        <f t="shared" ca="1" si="131"/>
        <v>47118</v>
      </c>
      <c r="AM64" s="64">
        <f t="shared" ca="1" si="131"/>
        <v>47149</v>
      </c>
      <c r="AN64" s="64">
        <f t="shared" ca="1" si="131"/>
        <v>47177</v>
      </c>
      <c r="AO64" s="64">
        <f t="shared" ca="1" si="131"/>
        <v>47208</v>
      </c>
      <c r="AP64" s="64">
        <f t="shared" ca="1" si="131"/>
        <v>47238</v>
      </c>
      <c r="AQ64" s="64">
        <f t="shared" ca="1" si="131"/>
        <v>47269</v>
      </c>
      <c r="AR64" s="64">
        <f t="shared" ca="1" si="131"/>
        <v>47299</v>
      </c>
      <c r="AS64" s="64">
        <f t="shared" ca="1" si="131"/>
        <v>47330</v>
      </c>
      <c r="AT64" s="64">
        <f t="shared" ca="1" si="131"/>
        <v>47361</v>
      </c>
      <c r="AU64" s="64">
        <f t="shared" ca="1" si="131"/>
        <v>47391</v>
      </c>
      <c r="AV64" s="64">
        <f t="shared" ca="1" si="131"/>
        <v>47422</v>
      </c>
      <c r="AW64" s="64">
        <f t="shared" ca="1" si="131"/>
        <v>47452</v>
      </c>
      <c r="AX64" s="64">
        <f t="shared" ca="1" si="131"/>
        <v>47483</v>
      </c>
      <c r="AY64" s="64">
        <f t="shared" ca="1" si="131"/>
        <v>47514</v>
      </c>
      <c r="AZ64" s="64">
        <f t="shared" ca="1" si="131"/>
        <v>47542</v>
      </c>
      <c r="BA64" s="64">
        <f t="shared" ca="1" si="131"/>
        <v>47573</v>
      </c>
      <c r="BB64" s="64">
        <f t="shared" ca="1" si="131"/>
        <v>47603</v>
      </c>
      <c r="BC64" s="64">
        <f t="shared" ca="1" si="131"/>
        <v>47634</v>
      </c>
      <c r="BD64" s="64">
        <f t="shared" ca="1" si="131"/>
        <v>47664</v>
      </c>
      <c r="BE64" s="64">
        <f t="shared" ca="1" si="131"/>
        <v>47695</v>
      </c>
      <c r="BF64" s="64">
        <f t="shared" ca="1" si="131"/>
        <v>47726</v>
      </c>
      <c r="BG64" s="64">
        <f t="shared" ca="1" si="131"/>
        <v>47756</v>
      </c>
      <c r="BH64" s="64">
        <f t="shared" ca="1" si="131"/>
        <v>47787</v>
      </c>
      <c r="BI64" s="64">
        <f t="shared" ca="1" si="131"/>
        <v>47817</v>
      </c>
      <c r="BJ64" s="64">
        <f t="shared" ca="1" si="131"/>
        <v>47848</v>
      </c>
      <c r="BK64" s="64">
        <f t="shared" ca="1" si="131"/>
        <v>47879</v>
      </c>
      <c r="BL64" s="64">
        <f t="shared" ca="1" si="131"/>
        <v>47907</v>
      </c>
      <c r="BM64" s="64">
        <f t="shared" ca="1" si="131"/>
        <v>47938</v>
      </c>
      <c r="BN64" s="64">
        <f t="shared" ca="1" si="131"/>
        <v>47968</v>
      </c>
      <c r="BO64" s="64">
        <f t="shared" ca="1" si="131"/>
        <v>47999</v>
      </c>
      <c r="BP64" s="64">
        <f t="shared" ref="BP64:EA64" ca="1" si="132">BP52</f>
        <v>48029</v>
      </c>
      <c r="BQ64" s="64">
        <f t="shared" ca="1" si="132"/>
        <v>48060</v>
      </c>
      <c r="BR64" s="64">
        <f t="shared" ca="1" si="132"/>
        <v>48091</v>
      </c>
      <c r="BS64" s="64">
        <f t="shared" ca="1" si="132"/>
        <v>48121</v>
      </c>
      <c r="BT64" s="64">
        <f t="shared" ca="1" si="132"/>
        <v>48152</v>
      </c>
      <c r="BU64" s="64">
        <f t="shared" ca="1" si="132"/>
        <v>48182</v>
      </c>
      <c r="BV64" s="64">
        <f t="shared" ca="1" si="132"/>
        <v>48213</v>
      </c>
      <c r="BW64" s="64">
        <f t="shared" ca="1" si="132"/>
        <v>48244</v>
      </c>
      <c r="BX64" s="64">
        <f t="shared" ca="1" si="132"/>
        <v>48273</v>
      </c>
      <c r="BY64" s="64">
        <f t="shared" ca="1" si="132"/>
        <v>48304</v>
      </c>
      <c r="BZ64" s="64">
        <f t="shared" ca="1" si="132"/>
        <v>48334</v>
      </c>
      <c r="CA64" s="64">
        <f t="shared" ca="1" si="132"/>
        <v>48365</v>
      </c>
      <c r="CB64" s="64">
        <f t="shared" ca="1" si="132"/>
        <v>48395</v>
      </c>
      <c r="CC64" s="64">
        <f t="shared" ca="1" si="132"/>
        <v>48426</v>
      </c>
      <c r="CD64" s="64">
        <f t="shared" ca="1" si="132"/>
        <v>48457</v>
      </c>
      <c r="CE64" s="64">
        <f t="shared" ca="1" si="132"/>
        <v>48487</v>
      </c>
      <c r="CF64" s="64">
        <f t="shared" ca="1" si="132"/>
        <v>48518</v>
      </c>
      <c r="CG64" s="64">
        <f t="shared" ca="1" si="132"/>
        <v>48548</v>
      </c>
      <c r="CH64" s="64">
        <f t="shared" ca="1" si="132"/>
        <v>48579</v>
      </c>
      <c r="CI64" s="64">
        <f t="shared" ca="1" si="132"/>
        <v>48610</v>
      </c>
      <c r="CJ64" s="64">
        <f t="shared" ca="1" si="132"/>
        <v>48638</v>
      </c>
      <c r="CK64" s="64">
        <f t="shared" ca="1" si="132"/>
        <v>48669</v>
      </c>
      <c r="CL64" s="64">
        <f t="shared" ca="1" si="132"/>
        <v>48699</v>
      </c>
      <c r="CM64" s="64">
        <f t="shared" ca="1" si="132"/>
        <v>48730</v>
      </c>
      <c r="CN64" s="64">
        <f t="shared" ca="1" si="132"/>
        <v>48760</v>
      </c>
      <c r="CO64" s="64">
        <f t="shared" ca="1" si="132"/>
        <v>48791</v>
      </c>
      <c r="CP64" s="64">
        <f t="shared" ca="1" si="132"/>
        <v>48822</v>
      </c>
      <c r="CQ64" s="64">
        <f t="shared" ca="1" si="132"/>
        <v>48852</v>
      </c>
      <c r="CR64" s="64">
        <f t="shared" ca="1" si="132"/>
        <v>48883</v>
      </c>
      <c r="CS64" s="64">
        <f t="shared" ca="1" si="132"/>
        <v>48913</v>
      </c>
      <c r="CT64" s="64">
        <f t="shared" ca="1" si="132"/>
        <v>48944</v>
      </c>
      <c r="CU64" s="64">
        <f t="shared" ca="1" si="132"/>
        <v>48975</v>
      </c>
      <c r="CV64" s="64">
        <f t="shared" ca="1" si="132"/>
        <v>49003</v>
      </c>
      <c r="CW64" s="64">
        <f t="shared" ca="1" si="132"/>
        <v>49034</v>
      </c>
      <c r="CX64" s="64">
        <f t="shared" ca="1" si="132"/>
        <v>49064</v>
      </c>
      <c r="CY64" s="64">
        <f t="shared" ca="1" si="132"/>
        <v>49095</v>
      </c>
      <c r="CZ64" s="64">
        <f t="shared" ca="1" si="132"/>
        <v>49125</v>
      </c>
      <c r="DA64" s="64">
        <f t="shared" ca="1" si="132"/>
        <v>49156</v>
      </c>
      <c r="DB64" s="64">
        <f t="shared" ca="1" si="132"/>
        <v>49187</v>
      </c>
      <c r="DC64" s="64">
        <f t="shared" ca="1" si="132"/>
        <v>49217</v>
      </c>
      <c r="DD64" s="64">
        <f t="shared" ca="1" si="132"/>
        <v>49248</v>
      </c>
      <c r="DE64" s="64">
        <f t="shared" ca="1" si="132"/>
        <v>49278</v>
      </c>
      <c r="DF64" s="64">
        <f t="shared" ca="1" si="132"/>
        <v>49309</v>
      </c>
      <c r="DG64" s="64">
        <f t="shared" ca="1" si="132"/>
        <v>49340</v>
      </c>
      <c r="DH64" s="64">
        <f t="shared" ca="1" si="132"/>
        <v>49368</v>
      </c>
      <c r="DI64" s="64">
        <f t="shared" ca="1" si="132"/>
        <v>49399</v>
      </c>
      <c r="DJ64" s="64">
        <f t="shared" ca="1" si="132"/>
        <v>49429</v>
      </c>
      <c r="DK64" s="64">
        <f t="shared" ca="1" si="132"/>
        <v>49460</v>
      </c>
      <c r="DL64" s="64">
        <f t="shared" ca="1" si="132"/>
        <v>49490</v>
      </c>
      <c r="DM64" s="64">
        <f t="shared" ca="1" si="132"/>
        <v>49521</v>
      </c>
      <c r="DN64" s="64">
        <f t="shared" ca="1" si="132"/>
        <v>49552</v>
      </c>
      <c r="DO64" s="64">
        <f t="shared" ca="1" si="132"/>
        <v>49582</v>
      </c>
      <c r="DP64" s="64">
        <f t="shared" ca="1" si="132"/>
        <v>49613</v>
      </c>
      <c r="DQ64" s="64">
        <f t="shared" ca="1" si="132"/>
        <v>49643</v>
      </c>
      <c r="DR64" s="64">
        <f t="shared" ca="1" si="132"/>
        <v>49674</v>
      </c>
      <c r="DS64" s="64">
        <f t="shared" ca="1" si="132"/>
        <v>49705</v>
      </c>
      <c r="DT64" s="64">
        <f t="shared" ca="1" si="132"/>
        <v>49734</v>
      </c>
      <c r="DU64" s="64">
        <f t="shared" ca="1" si="132"/>
        <v>49765</v>
      </c>
      <c r="DV64" s="64">
        <f t="shared" ca="1" si="132"/>
        <v>49795</v>
      </c>
      <c r="DW64" s="64">
        <f t="shared" ca="1" si="132"/>
        <v>49826</v>
      </c>
      <c r="DX64" s="64">
        <f t="shared" ca="1" si="132"/>
        <v>49856</v>
      </c>
      <c r="DY64" s="64">
        <f t="shared" ca="1" si="132"/>
        <v>49887</v>
      </c>
      <c r="DZ64" s="64">
        <f t="shared" ca="1" si="132"/>
        <v>49918</v>
      </c>
      <c r="EA64" s="64">
        <f t="shared" ca="1" si="132"/>
        <v>49948</v>
      </c>
      <c r="EB64" s="64">
        <f t="shared" ref="EB64:EE64" ca="1" si="133">EB52</f>
        <v>49979</v>
      </c>
      <c r="EC64" s="64">
        <f t="shared" ca="1" si="133"/>
        <v>50009</v>
      </c>
      <c r="ED64" s="64">
        <f t="shared" ca="1" si="133"/>
        <v>50040</v>
      </c>
      <c r="EE64" s="65">
        <f t="shared" ca="1" si="133"/>
        <v>50071</v>
      </c>
    </row>
    <row r="65" spans="2:135" x14ac:dyDescent="0.15">
      <c r="B65" s="6" t="s">
        <v>48</v>
      </c>
      <c r="C65" s="69">
        <f>C62*$F$5</f>
        <v>0</v>
      </c>
      <c r="D65" s="69">
        <f t="shared" ref="D65:BO65" ca="1" si="134">D62*$F$5</f>
        <v>0</v>
      </c>
      <c r="E65" s="69">
        <f t="shared" ca="1" si="134"/>
        <v>0</v>
      </c>
      <c r="F65" s="69">
        <f t="shared" ca="1" si="134"/>
        <v>0</v>
      </c>
      <c r="G65" s="69">
        <f t="shared" ca="1" si="134"/>
        <v>0</v>
      </c>
      <c r="H65" s="69">
        <f t="shared" ca="1" si="134"/>
        <v>0</v>
      </c>
      <c r="I65" s="69">
        <f t="shared" ca="1" si="134"/>
        <v>0</v>
      </c>
      <c r="J65" s="69">
        <f t="shared" ca="1" si="134"/>
        <v>0</v>
      </c>
      <c r="K65" s="69">
        <f t="shared" ca="1" si="134"/>
        <v>0</v>
      </c>
      <c r="L65" s="69">
        <f t="shared" ca="1" si="134"/>
        <v>0</v>
      </c>
      <c r="M65" s="69">
        <f t="shared" ca="1" si="134"/>
        <v>0</v>
      </c>
      <c r="N65" s="69">
        <f t="shared" ca="1" si="134"/>
        <v>0</v>
      </c>
      <c r="O65" s="69">
        <f t="shared" ca="1" si="134"/>
        <v>0</v>
      </c>
      <c r="P65" s="69">
        <f t="shared" ca="1" si="134"/>
        <v>0</v>
      </c>
      <c r="Q65" s="69">
        <f t="shared" ca="1" si="134"/>
        <v>0</v>
      </c>
      <c r="R65" s="69">
        <f t="shared" ca="1" si="134"/>
        <v>0</v>
      </c>
      <c r="S65" s="69">
        <f t="shared" ca="1" si="134"/>
        <v>0</v>
      </c>
      <c r="T65" s="69">
        <f t="shared" ca="1" si="134"/>
        <v>0</v>
      </c>
      <c r="U65" s="69">
        <f t="shared" ca="1" si="134"/>
        <v>0</v>
      </c>
      <c r="V65" s="69">
        <f t="shared" ca="1" si="134"/>
        <v>0</v>
      </c>
      <c r="W65" s="69">
        <f t="shared" ca="1" si="134"/>
        <v>0</v>
      </c>
      <c r="X65" s="69">
        <f t="shared" ca="1" si="134"/>
        <v>0</v>
      </c>
      <c r="Y65" s="69">
        <f t="shared" ca="1" si="134"/>
        <v>0</v>
      </c>
      <c r="Z65" s="69">
        <f t="shared" ca="1" si="134"/>
        <v>0</v>
      </c>
      <c r="AA65" s="69">
        <f t="shared" ca="1" si="134"/>
        <v>6740007.4929091278</v>
      </c>
      <c r="AB65" s="69">
        <f t="shared" ca="1" si="134"/>
        <v>0</v>
      </c>
      <c r="AC65" s="69">
        <f t="shared" ca="1" si="134"/>
        <v>0</v>
      </c>
      <c r="AD65" s="69">
        <f t="shared" ca="1" si="134"/>
        <v>0</v>
      </c>
      <c r="AE65" s="69">
        <f t="shared" ca="1" si="134"/>
        <v>0</v>
      </c>
      <c r="AF65" s="69">
        <f t="shared" ca="1" si="134"/>
        <v>0</v>
      </c>
      <c r="AG65" s="69">
        <f t="shared" ca="1" si="134"/>
        <v>0</v>
      </c>
      <c r="AH65" s="69">
        <f t="shared" ca="1" si="134"/>
        <v>0</v>
      </c>
      <c r="AI65" s="69">
        <f t="shared" ca="1" si="134"/>
        <v>0</v>
      </c>
      <c r="AJ65" s="69">
        <f t="shared" ca="1" si="134"/>
        <v>0</v>
      </c>
      <c r="AK65" s="69">
        <f t="shared" ca="1" si="134"/>
        <v>0</v>
      </c>
      <c r="AL65" s="69">
        <f t="shared" ca="1" si="134"/>
        <v>0</v>
      </c>
      <c r="AM65" s="69">
        <f t="shared" ca="1" si="134"/>
        <v>0</v>
      </c>
      <c r="AN65" s="69">
        <f t="shared" ca="1" si="134"/>
        <v>0</v>
      </c>
      <c r="AO65" s="69">
        <f t="shared" ca="1" si="134"/>
        <v>0</v>
      </c>
      <c r="AP65" s="69">
        <f t="shared" ca="1" si="134"/>
        <v>0</v>
      </c>
      <c r="AQ65" s="69">
        <f t="shared" ca="1" si="134"/>
        <v>0</v>
      </c>
      <c r="AR65" s="69">
        <f t="shared" ca="1" si="134"/>
        <v>0</v>
      </c>
      <c r="AS65" s="69">
        <f t="shared" ca="1" si="134"/>
        <v>0</v>
      </c>
      <c r="AT65" s="69">
        <f t="shared" ca="1" si="134"/>
        <v>0</v>
      </c>
      <c r="AU65" s="69">
        <f t="shared" ca="1" si="134"/>
        <v>0</v>
      </c>
      <c r="AV65" s="69">
        <f t="shared" ca="1" si="134"/>
        <v>0</v>
      </c>
      <c r="AW65" s="69">
        <f t="shared" ca="1" si="134"/>
        <v>0</v>
      </c>
      <c r="AX65" s="69">
        <f t="shared" ca="1" si="134"/>
        <v>0</v>
      </c>
      <c r="AY65" s="69">
        <f t="shared" ca="1" si="134"/>
        <v>0</v>
      </c>
      <c r="AZ65" s="69">
        <f t="shared" ca="1" si="134"/>
        <v>0</v>
      </c>
      <c r="BA65" s="69">
        <f t="shared" ca="1" si="134"/>
        <v>0</v>
      </c>
      <c r="BB65" s="69">
        <f t="shared" ca="1" si="134"/>
        <v>0</v>
      </c>
      <c r="BC65" s="69">
        <f t="shared" ca="1" si="134"/>
        <v>0</v>
      </c>
      <c r="BD65" s="69">
        <f t="shared" ca="1" si="134"/>
        <v>0</v>
      </c>
      <c r="BE65" s="69">
        <f t="shared" ca="1" si="134"/>
        <v>0</v>
      </c>
      <c r="BF65" s="69">
        <f t="shared" ca="1" si="134"/>
        <v>0</v>
      </c>
      <c r="BG65" s="69">
        <f t="shared" ca="1" si="134"/>
        <v>0</v>
      </c>
      <c r="BH65" s="69">
        <f t="shared" ca="1" si="134"/>
        <v>0</v>
      </c>
      <c r="BI65" s="69">
        <f t="shared" ca="1" si="134"/>
        <v>0</v>
      </c>
      <c r="BJ65" s="69">
        <f t="shared" ca="1" si="134"/>
        <v>0</v>
      </c>
      <c r="BK65" s="69">
        <f t="shared" ca="1" si="134"/>
        <v>0</v>
      </c>
      <c r="BL65" s="69">
        <f t="shared" ca="1" si="134"/>
        <v>0</v>
      </c>
      <c r="BM65" s="69">
        <f t="shared" ca="1" si="134"/>
        <v>0</v>
      </c>
      <c r="BN65" s="69">
        <f t="shared" ca="1" si="134"/>
        <v>0</v>
      </c>
      <c r="BO65" s="69">
        <f t="shared" ca="1" si="134"/>
        <v>0</v>
      </c>
      <c r="BP65" s="69">
        <f t="shared" ref="BP65:EA65" ca="1" si="135">BP62*$F$5</f>
        <v>0</v>
      </c>
      <c r="BQ65" s="69">
        <f t="shared" ca="1" si="135"/>
        <v>0</v>
      </c>
      <c r="BR65" s="69">
        <f t="shared" ca="1" si="135"/>
        <v>0</v>
      </c>
      <c r="BS65" s="69">
        <f t="shared" ca="1" si="135"/>
        <v>0</v>
      </c>
      <c r="BT65" s="69">
        <f t="shared" ca="1" si="135"/>
        <v>0</v>
      </c>
      <c r="BU65" s="69">
        <f t="shared" ca="1" si="135"/>
        <v>0</v>
      </c>
      <c r="BV65" s="69">
        <f t="shared" ca="1" si="135"/>
        <v>0</v>
      </c>
      <c r="BW65" s="69">
        <f t="shared" ca="1" si="135"/>
        <v>0</v>
      </c>
      <c r="BX65" s="69">
        <f t="shared" ca="1" si="135"/>
        <v>0</v>
      </c>
      <c r="BY65" s="69">
        <f t="shared" ca="1" si="135"/>
        <v>0</v>
      </c>
      <c r="BZ65" s="69">
        <f t="shared" ca="1" si="135"/>
        <v>0</v>
      </c>
      <c r="CA65" s="69">
        <f t="shared" ca="1" si="135"/>
        <v>0</v>
      </c>
      <c r="CB65" s="69">
        <f t="shared" ca="1" si="135"/>
        <v>0</v>
      </c>
      <c r="CC65" s="69">
        <f t="shared" ca="1" si="135"/>
        <v>0</v>
      </c>
      <c r="CD65" s="69">
        <f t="shared" ca="1" si="135"/>
        <v>0</v>
      </c>
      <c r="CE65" s="69">
        <f t="shared" ca="1" si="135"/>
        <v>0</v>
      </c>
      <c r="CF65" s="69">
        <f t="shared" ca="1" si="135"/>
        <v>0</v>
      </c>
      <c r="CG65" s="69">
        <f t="shared" ca="1" si="135"/>
        <v>0</v>
      </c>
      <c r="CH65" s="69">
        <f t="shared" ca="1" si="135"/>
        <v>0</v>
      </c>
      <c r="CI65" s="69">
        <f t="shared" ca="1" si="135"/>
        <v>0</v>
      </c>
      <c r="CJ65" s="69">
        <f t="shared" ca="1" si="135"/>
        <v>0</v>
      </c>
      <c r="CK65" s="69">
        <f t="shared" ca="1" si="135"/>
        <v>0</v>
      </c>
      <c r="CL65" s="69">
        <f t="shared" ca="1" si="135"/>
        <v>0</v>
      </c>
      <c r="CM65" s="69">
        <f t="shared" ca="1" si="135"/>
        <v>0</v>
      </c>
      <c r="CN65" s="69">
        <f t="shared" ca="1" si="135"/>
        <v>0</v>
      </c>
      <c r="CO65" s="69">
        <f t="shared" ca="1" si="135"/>
        <v>0</v>
      </c>
      <c r="CP65" s="69">
        <f t="shared" ca="1" si="135"/>
        <v>0</v>
      </c>
      <c r="CQ65" s="69">
        <f t="shared" ca="1" si="135"/>
        <v>0</v>
      </c>
      <c r="CR65" s="69">
        <f t="shared" ca="1" si="135"/>
        <v>0</v>
      </c>
      <c r="CS65" s="69">
        <f t="shared" ca="1" si="135"/>
        <v>0</v>
      </c>
      <c r="CT65" s="69">
        <f t="shared" ca="1" si="135"/>
        <v>0</v>
      </c>
      <c r="CU65" s="69">
        <f t="shared" ca="1" si="135"/>
        <v>0</v>
      </c>
      <c r="CV65" s="69">
        <f t="shared" ca="1" si="135"/>
        <v>0</v>
      </c>
      <c r="CW65" s="69">
        <f t="shared" ca="1" si="135"/>
        <v>0</v>
      </c>
      <c r="CX65" s="69">
        <f t="shared" ca="1" si="135"/>
        <v>0</v>
      </c>
      <c r="CY65" s="69">
        <f t="shared" ca="1" si="135"/>
        <v>0</v>
      </c>
      <c r="CZ65" s="69">
        <f t="shared" ca="1" si="135"/>
        <v>0</v>
      </c>
      <c r="DA65" s="69">
        <f t="shared" ca="1" si="135"/>
        <v>0</v>
      </c>
      <c r="DB65" s="69">
        <f t="shared" ca="1" si="135"/>
        <v>0</v>
      </c>
      <c r="DC65" s="69">
        <f t="shared" ca="1" si="135"/>
        <v>0</v>
      </c>
      <c r="DD65" s="69">
        <f t="shared" ca="1" si="135"/>
        <v>0</v>
      </c>
      <c r="DE65" s="69">
        <f t="shared" ca="1" si="135"/>
        <v>0</v>
      </c>
      <c r="DF65" s="69">
        <f t="shared" ca="1" si="135"/>
        <v>0</v>
      </c>
      <c r="DG65" s="69">
        <f t="shared" ca="1" si="135"/>
        <v>0</v>
      </c>
      <c r="DH65" s="69">
        <f t="shared" ca="1" si="135"/>
        <v>0</v>
      </c>
      <c r="DI65" s="69">
        <f t="shared" ca="1" si="135"/>
        <v>0</v>
      </c>
      <c r="DJ65" s="69">
        <f t="shared" ca="1" si="135"/>
        <v>0</v>
      </c>
      <c r="DK65" s="69">
        <f t="shared" ca="1" si="135"/>
        <v>0</v>
      </c>
      <c r="DL65" s="69">
        <f t="shared" ca="1" si="135"/>
        <v>0</v>
      </c>
      <c r="DM65" s="69">
        <f t="shared" ca="1" si="135"/>
        <v>0</v>
      </c>
      <c r="DN65" s="69">
        <f t="shared" ca="1" si="135"/>
        <v>0</v>
      </c>
      <c r="DO65" s="69">
        <f t="shared" ca="1" si="135"/>
        <v>0</v>
      </c>
      <c r="DP65" s="69">
        <f t="shared" ca="1" si="135"/>
        <v>0</v>
      </c>
      <c r="DQ65" s="69">
        <f t="shared" ca="1" si="135"/>
        <v>0</v>
      </c>
      <c r="DR65" s="69">
        <f t="shared" ca="1" si="135"/>
        <v>0</v>
      </c>
      <c r="DS65" s="69">
        <f t="shared" ca="1" si="135"/>
        <v>0</v>
      </c>
      <c r="DT65" s="69">
        <f t="shared" ca="1" si="135"/>
        <v>0</v>
      </c>
      <c r="DU65" s="69">
        <f t="shared" ca="1" si="135"/>
        <v>0</v>
      </c>
      <c r="DV65" s="69">
        <f t="shared" ca="1" si="135"/>
        <v>0</v>
      </c>
      <c r="DW65" s="69">
        <f t="shared" ca="1" si="135"/>
        <v>0</v>
      </c>
      <c r="DX65" s="69">
        <f t="shared" ca="1" si="135"/>
        <v>0</v>
      </c>
      <c r="DY65" s="69">
        <f t="shared" ca="1" si="135"/>
        <v>0</v>
      </c>
      <c r="DZ65" s="69">
        <f t="shared" ca="1" si="135"/>
        <v>0</v>
      </c>
      <c r="EA65" s="69">
        <f t="shared" ca="1" si="135"/>
        <v>0</v>
      </c>
      <c r="EB65" s="69">
        <f t="shared" ref="EB65:EE65" ca="1" si="136">EB62*$F$5</f>
        <v>0</v>
      </c>
      <c r="EC65" s="69">
        <f t="shared" ca="1" si="136"/>
        <v>0</v>
      </c>
      <c r="ED65" s="69">
        <f t="shared" ca="1" si="136"/>
        <v>0</v>
      </c>
      <c r="EE65" s="70">
        <f t="shared" ca="1" si="136"/>
        <v>0</v>
      </c>
    </row>
    <row r="66" spans="2:135" x14ac:dyDescent="0.15">
      <c r="B66" s="7" t="s">
        <v>53</v>
      </c>
      <c r="C66" s="69">
        <f>C62*$E$5</f>
        <v>0</v>
      </c>
      <c r="D66" s="69">
        <f t="shared" ref="D66:BO66" ca="1" si="137">D62*$E$5</f>
        <v>0</v>
      </c>
      <c r="E66" s="69">
        <f t="shared" ca="1" si="137"/>
        <v>0</v>
      </c>
      <c r="F66" s="69">
        <f t="shared" ca="1" si="137"/>
        <v>0</v>
      </c>
      <c r="G66" s="69">
        <f t="shared" ca="1" si="137"/>
        <v>0</v>
      </c>
      <c r="H66" s="69">
        <f t="shared" ca="1" si="137"/>
        <v>0</v>
      </c>
      <c r="I66" s="69">
        <f t="shared" ca="1" si="137"/>
        <v>0</v>
      </c>
      <c r="J66" s="69">
        <f t="shared" ca="1" si="137"/>
        <v>0</v>
      </c>
      <c r="K66" s="69">
        <f t="shared" ca="1" si="137"/>
        <v>0</v>
      </c>
      <c r="L66" s="69">
        <f t="shared" ca="1" si="137"/>
        <v>0</v>
      </c>
      <c r="M66" s="69">
        <f t="shared" ca="1" si="137"/>
        <v>0</v>
      </c>
      <c r="N66" s="69">
        <f t="shared" ca="1" si="137"/>
        <v>0</v>
      </c>
      <c r="O66" s="69">
        <f t="shared" ca="1" si="137"/>
        <v>0</v>
      </c>
      <c r="P66" s="69">
        <f t="shared" ca="1" si="137"/>
        <v>0</v>
      </c>
      <c r="Q66" s="69">
        <f t="shared" ca="1" si="137"/>
        <v>0</v>
      </c>
      <c r="R66" s="69">
        <f t="shared" ca="1" si="137"/>
        <v>0</v>
      </c>
      <c r="S66" s="69">
        <f t="shared" ca="1" si="137"/>
        <v>0</v>
      </c>
      <c r="T66" s="69">
        <f t="shared" ca="1" si="137"/>
        <v>0</v>
      </c>
      <c r="U66" s="69">
        <f t="shared" ca="1" si="137"/>
        <v>0</v>
      </c>
      <c r="V66" s="69">
        <f t="shared" ca="1" si="137"/>
        <v>0</v>
      </c>
      <c r="W66" s="69">
        <f t="shared" ca="1" si="137"/>
        <v>0</v>
      </c>
      <c r="X66" s="69">
        <f t="shared" ca="1" si="137"/>
        <v>0</v>
      </c>
      <c r="Y66" s="69">
        <f t="shared" ca="1" si="137"/>
        <v>0</v>
      </c>
      <c r="Z66" s="69">
        <f t="shared" ca="1" si="137"/>
        <v>0</v>
      </c>
      <c r="AA66" s="69">
        <f t="shared" ca="1" si="137"/>
        <v>1060927.1053653257</v>
      </c>
      <c r="AB66" s="69">
        <f t="shared" ca="1" si="137"/>
        <v>0</v>
      </c>
      <c r="AC66" s="69">
        <f t="shared" ca="1" si="137"/>
        <v>0</v>
      </c>
      <c r="AD66" s="69">
        <f t="shared" ca="1" si="137"/>
        <v>0</v>
      </c>
      <c r="AE66" s="69">
        <f t="shared" ca="1" si="137"/>
        <v>0</v>
      </c>
      <c r="AF66" s="69">
        <f t="shared" ca="1" si="137"/>
        <v>0</v>
      </c>
      <c r="AG66" s="69">
        <f t="shared" ca="1" si="137"/>
        <v>0</v>
      </c>
      <c r="AH66" s="69">
        <f t="shared" ca="1" si="137"/>
        <v>0</v>
      </c>
      <c r="AI66" s="69">
        <f t="shared" ca="1" si="137"/>
        <v>0</v>
      </c>
      <c r="AJ66" s="69">
        <f t="shared" ca="1" si="137"/>
        <v>0</v>
      </c>
      <c r="AK66" s="69">
        <f t="shared" ca="1" si="137"/>
        <v>0</v>
      </c>
      <c r="AL66" s="69">
        <f t="shared" ca="1" si="137"/>
        <v>0</v>
      </c>
      <c r="AM66" s="69">
        <f t="shared" ca="1" si="137"/>
        <v>0</v>
      </c>
      <c r="AN66" s="69">
        <f t="shared" ca="1" si="137"/>
        <v>0</v>
      </c>
      <c r="AO66" s="69">
        <f t="shared" ca="1" si="137"/>
        <v>0</v>
      </c>
      <c r="AP66" s="69">
        <f t="shared" ca="1" si="137"/>
        <v>0</v>
      </c>
      <c r="AQ66" s="69">
        <f t="shared" ca="1" si="137"/>
        <v>0</v>
      </c>
      <c r="AR66" s="69">
        <f t="shared" ca="1" si="137"/>
        <v>0</v>
      </c>
      <c r="AS66" s="69">
        <f t="shared" ca="1" si="137"/>
        <v>0</v>
      </c>
      <c r="AT66" s="69">
        <f t="shared" ca="1" si="137"/>
        <v>0</v>
      </c>
      <c r="AU66" s="69">
        <f t="shared" ca="1" si="137"/>
        <v>0</v>
      </c>
      <c r="AV66" s="69">
        <f t="shared" ca="1" si="137"/>
        <v>0</v>
      </c>
      <c r="AW66" s="69">
        <f t="shared" ca="1" si="137"/>
        <v>0</v>
      </c>
      <c r="AX66" s="69">
        <f t="shared" ca="1" si="137"/>
        <v>0</v>
      </c>
      <c r="AY66" s="69">
        <f t="shared" ca="1" si="137"/>
        <v>0</v>
      </c>
      <c r="AZ66" s="69">
        <f t="shared" ca="1" si="137"/>
        <v>0</v>
      </c>
      <c r="BA66" s="69">
        <f t="shared" ca="1" si="137"/>
        <v>0</v>
      </c>
      <c r="BB66" s="69">
        <f t="shared" ca="1" si="137"/>
        <v>0</v>
      </c>
      <c r="BC66" s="69">
        <f t="shared" ca="1" si="137"/>
        <v>0</v>
      </c>
      <c r="BD66" s="69">
        <f t="shared" ca="1" si="137"/>
        <v>0</v>
      </c>
      <c r="BE66" s="69">
        <f t="shared" ca="1" si="137"/>
        <v>0</v>
      </c>
      <c r="BF66" s="69">
        <f t="shared" ca="1" si="137"/>
        <v>0</v>
      </c>
      <c r="BG66" s="69">
        <f t="shared" ca="1" si="137"/>
        <v>0</v>
      </c>
      <c r="BH66" s="69">
        <f t="shared" ca="1" si="137"/>
        <v>0</v>
      </c>
      <c r="BI66" s="69">
        <f t="shared" ca="1" si="137"/>
        <v>0</v>
      </c>
      <c r="BJ66" s="69">
        <f t="shared" ca="1" si="137"/>
        <v>0</v>
      </c>
      <c r="BK66" s="69">
        <f t="shared" ca="1" si="137"/>
        <v>0</v>
      </c>
      <c r="BL66" s="69">
        <f t="shared" ca="1" si="137"/>
        <v>0</v>
      </c>
      <c r="BM66" s="69">
        <f t="shared" ca="1" si="137"/>
        <v>0</v>
      </c>
      <c r="BN66" s="69">
        <f t="shared" ca="1" si="137"/>
        <v>0</v>
      </c>
      <c r="BO66" s="69">
        <f t="shared" ca="1" si="137"/>
        <v>0</v>
      </c>
      <c r="BP66" s="69">
        <f t="shared" ref="BP66:EA66" ca="1" si="138">BP62*$E$5</f>
        <v>0</v>
      </c>
      <c r="BQ66" s="69">
        <f t="shared" ca="1" si="138"/>
        <v>0</v>
      </c>
      <c r="BR66" s="69">
        <f t="shared" ca="1" si="138"/>
        <v>0</v>
      </c>
      <c r="BS66" s="69">
        <f t="shared" ca="1" si="138"/>
        <v>0</v>
      </c>
      <c r="BT66" s="69">
        <f t="shared" ca="1" si="138"/>
        <v>0</v>
      </c>
      <c r="BU66" s="69">
        <f t="shared" ca="1" si="138"/>
        <v>0</v>
      </c>
      <c r="BV66" s="69">
        <f t="shared" ca="1" si="138"/>
        <v>0</v>
      </c>
      <c r="BW66" s="69">
        <f t="shared" ca="1" si="138"/>
        <v>0</v>
      </c>
      <c r="BX66" s="69">
        <f t="shared" ca="1" si="138"/>
        <v>0</v>
      </c>
      <c r="BY66" s="69">
        <f t="shared" ca="1" si="138"/>
        <v>0</v>
      </c>
      <c r="BZ66" s="69">
        <f t="shared" ca="1" si="138"/>
        <v>0</v>
      </c>
      <c r="CA66" s="69">
        <f t="shared" ca="1" si="138"/>
        <v>0</v>
      </c>
      <c r="CB66" s="69">
        <f t="shared" ca="1" si="138"/>
        <v>0</v>
      </c>
      <c r="CC66" s="69">
        <f t="shared" ca="1" si="138"/>
        <v>0</v>
      </c>
      <c r="CD66" s="69">
        <f t="shared" ca="1" si="138"/>
        <v>0</v>
      </c>
      <c r="CE66" s="69">
        <f t="shared" ca="1" si="138"/>
        <v>0</v>
      </c>
      <c r="CF66" s="69">
        <f t="shared" ca="1" si="138"/>
        <v>0</v>
      </c>
      <c r="CG66" s="69">
        <f t="shared" ca="1" si="138"/>
        <v>0</v>
      </c>
      <c r="CH66" s="69">
        <f t="shared" ca="1" si="138"/>
        <v>0</v>
      </c>
      <c r="CI66" s="69">
        <f t="shared" ca="1" si="138"/>
        <v>0</v>
      </c>
      <c r="CJ66" s="69">
        <f t="shared" ca="1" si="138"/>
        <v>0</v>
      </c>
      <c r="CK66" s="69">
        <f t="shared" ca="1" si="138"/>
        <v>0</v>
      </c>
      <c r="CL66" s="69">
        <f t="shared" ca="1" si="138"/>
        <v>0</v>
      </c>
      <c r="CM66" s="69">
        <f t="shared" ca="1" si="138"/>
        <v>0</v>
      </c>
      <c r="CN66" s="69">
        <f t="shared" ca="1" si="138"/>
        <v>0</v>
      </c>
      <c r="CO66" s="69">
        <f t="shared" ca="1" si="138"/>
        <v>0</v>
      </c>
      <c r="CP66" s="69">
        <f t="shared" ca="1" si="138"/>
        <v>0</v>
      </c>
      <c r="CQ66" s="69">
        <f t="shared" ca="1" si="138"/>
        <v>0</v>
      </c>
      <c r="CR66" s="69">
        <f t="shared" ca="1" si="138"/>
        <v>0</v>
      </c>
      <c r="CS66" s="69">
        <f t="shared" ca="1" si="138"/>
        <v>0</v>
      </c>
      <c r="CT66" s="69">
        <f t="shared" ca="1" si="138"/>
        <v>0</v>
      </c>
      <c r="CU66" s="69">
        <f t="shared" ca="1" si="138"/>
        <v>0</v>
      </c>
      <c r="CV66" s="69">
        <f t="shared" ca="1" si="138"/>
        <v>0</v>
      </c>
      <c r="CW66" s="69">
        <f t="shared" ca="1" si="138"/>
        <v>0</v>
      </c>
      <c r="CX66" s="69">
        <f t="shared" ca="1" si="138"/>
        <v>0</v>
      </c>
      <c r="CY66" s="69">
        <f t="shared" ca="1" si="138"/>
        <v>0</v>
      </c>
      <c r="CZ66" s="69">
        <f t="shared" ca="1" si="138"/>
        <v>0</v>
      </c>
      <c r="DA66" s="69">
        <f t="shared" ca="1" si="138"/>
        <v>0</v>
      </c>
      <c r="DB66" s="69">
        <f t="shared" ca="1" si="138"/>
        <v>0</v>
      </c>
      <c r="DC66" s="69">
        <f t="shared" ca="1" si="138"/>
        <v>0</v>
      </c>
      <c r="DD66" s="69">
        <f t="shared" ca="1" si="138"/>
        <v>0</v>
      </c>
      <c r="DE66" s="69">
        <f t="shared" ca="1" si="138"/>
        <v>0</v>
      </c>
      <c r="DF66" s="69">
        <f t="shared" ca="1" si="138"/>
        <v>0</v>
      </c>
      <c r="DG66" s="69">
        <f t="shared" ca="1" si="138"/>
        <v>0</v>
      </c>
      <c r="DH66" s="69">
        <f t="shared" ca="1" si="138"/>
        <v>0</v>
      </c>
      <c r="DI66" s="69">
        <f t="shared" ca="1" si="138"/>
        <v>0</v>
      </c>
      <c r="DJ66" s="69">
        <f t="shared" ca="1" si="138"/>
        <v>0</v>
      </c>
      <c r="DK66" s="69">
        <f t="shared" ca="1" si="138"/>
        <v>0</v>
      </c>
      <c r="DL66" s="69">
        <f t="shared" ca="1" si="138"/>
        <v>0</v>
      </c>
      <c r="DM66" s="69">
        <f t="shared" ca="1" si="138"/>
        <v>0</v>
      </c>
      <c r="DN66" s="69">
        <f t="shared" ca="1" si="138"/>
        <v>0</v>
      </c>
      <c r="DO66" s="69">
        <f t="shared" ca="1" si="138"/>
        <v>0</v>
      </c>
      <c r="DP66" s="69">
        <f t="shared" ca="1" si="138"/>
        <v>0</v>
      </c>
      <c r="DQ66" s="69">
        <f t="shared" ca="1" si="138"/>
        <v>0</v>
      </c>
      <c r="DR66" s="69">
        <f t="shared" ca="1" si="138"/>
        <v>0</v>
      </c>
      <c r="DS66" s="69">
        <f t="shared" ca="1" si="138"/>
        <v>0</v>
      </c>
      <c r="DT66" s="69">
        <f t="shared" ca="1" si="138"/>
        <v>0</v>
      </c>
      <c r="DU66" s="69">
        <f t="shared" ca="1" si="138"/>
        <v>0</v>
      </c>
      <c r="DV66" s="69">
        <f t="shared" ca="1" si="138"/>
        <v>0</v>
      </c>
      <c r="DW66" s="69">
        <f t="shared" ca="1" si="138"/>
        <v>0</v>
      </c>
      <c r="DX66" s="69">
        <f t="shared" ca="1" si="138"/>
        <v>0</v>
      </c>
      <c r="DY66" s="69">
        <f t="shared" ca="1" si="138"/>
        <v>0</v>
      </c>
      <c r="DZ66" s="69">
        <f t="shared" ca="1" si="138"/>
        <v>0</v>
      </c>
      <c r="EA66" s="69">
        <f t="shared" ca="1" si="138"/>
        <v>0</v>
      </c>
      <c r="EB66" s="69">
        <f t="shared" ref="EB66:EE66" ca="1" si="139">EB62*$E$5</f>
        <v>0</v>
      </c>
      <c r="EC66" s="69">
        <f t="shared" ca="1" si="139"/>
        <v>0</v>
      </c>
      <c r="ED66" s="69">
        <f t="shared" ca="1" si="139"/>
        <v>0</v>
      </c>
      <c r="EE66" s="70">
        <f t="shared" ca="1" si="139"/>
        <v>0</v>
      </c>
    </row>
    <row r="67" spans="2:135" x14ac:dyDescent="0.15">
      <c r="B67" s="7" t="s">
        <v>55</v>
      </c>
      <c r="C67" s="69">
        <f>SUM(C65:C66)</f>
        <v>0</v>
      </c>
      <c r="D67" s="69">
        <f t="shared" ref="D67:BO67" ca="1" si="140">SUM(D65:D66)</f>
        <v>0</v>
      </c>
      <c r="E67" s="69">
        <f t="shared" ca="1" si="140"/>
        <v>0</v>
      </c>
      <c r="F67" s="69">
        <f t="shared" ca="1" si="140"/>
        <v>0</v>
      </c>
      <c r="G67" s="69">
        <f t="shared" ca="1" si="140"/>
        <v>0</v>
      </c>
      <c r="H67" s="69">
        <f t="shared" ca="1" si="140"/>
        <v>0</v>
      </c>
      <c r="I67" s="69">
        <f t="shared" ca="1" si="140"/>
        <v>0</v>
      </c>
      <c r="J67" s="69">
        <f t="shared" ca="1" si="140"/>
        <v>0</v>
      </c>
      <c r="K67" s="69">
        <f t="shared" ca="1" si="140"/>
        <v>0</v>
      </c>
      <c r="L67" s="69">
        <f t="shared" ca="1" si="140"/>
        <v>0</v>
      </c>
      <c r="M67" s="69">
        <f t="shared" ca="1" si="140"/>
        <v>0</v>
      </c>
      <c r="N67" s="69">
        <f t="shared" ca="1" si="140"/>
        <v>0</v>
      </c>
      <c r="O67" s="69">
        <f t="shared" ca="1" si="140"/>
        <v>0</v>
      </c>
      <c r="P67" s="69">
        <f t="shared" ca="1" si="140"/>
        <v>0</v>
      </c>
      <c r="Q67" s="69">
        <f t="shared" ca="1" si="140"/>
        <v>0</v>
      </c>
      <c r="R67" s="69">
        <f t="shared" ca="1" si="140"/>
        <v>0</v>
      </c>
      <c r="S67" s="69">
        <f t="shared" ca="1" si="140"/>
        <v>0</v>
      </c>
      <c r="T67" s="69">
        <f t="shared" ca="1" si="140"/>
        <v>0</v>
      </c>
      <c r="U67" s="69">
        <f t="shared" ca="1" si="140"/>
        <v>0</v>
      </c>
      <c r="V67" s="69">
        <f t="shared" ca="1" si="140"/>
        <v>0</v>
      </c>
      <c r="W67" s="69">
        <f t="shared" ca="1" si="140"/>
        <v>0</v>
      </c>
      <c r="X67" s="69">
        <f t="shared" ca="1" si="140"/>
        <v>0</v>
      </c>
      <c r="Y67" s="69">
        <f t="shared" ca="1" si="140"/>
        <v>0</v>
      </c>
      <c r="Z67" s="69">
        <f t="shared" ca="1" si="140"/>
        <v>0</v>
      </c>
      <c r="AA67" s="69">
        <f t="shared" ca="1" si="140"/>
        <v>7800934.5982744535</v>
      </c>
      <c r="AB67" s="69">
        <f t="shared" ca="1" si="140"/>
        <v>0</v>
      </c>
      <c r="AC67" s="69">
        <f t="shared" ca="1" si="140"/>
        <v>0</v>
      </c>
      <c r="AD67" s="69">
        <f t="shared" ca="1" si="140"/>
        <v>0</v>
      </c>
      <c r="AE67" s="69">
        <f t="shared" ca="1" si="140"/>
        <v>0</v>
      </c>
      <c r="AF67" s="69">
        <f t="shared" ca="1" si="140"/>
        <v>0</v>
      </c>
      <c r="AG67" s="69">
        <f t="shared" ca="1" si="140"/>
        <v>0</v>
      </c>
      <c r="AH67" s="69">
        <f t="shared" ca="1" si="140"/>
        <v>0</v>
      </c>
      <c r="AI67" s="69">
        <f t="shared" ca="1" si="140"/>
        <v>0</v>
      </c>
      <c r="AJ67" s="69">
        <f t="shared" ca="1" si="140"/>
        <v>0</v>
      </c>
      <c r="AK67" s="69">
        <f t="shared" ca="1" si="140"/>
        <v>0</v>
      </c>
      <c r="AL67" s="69">
        <f t="shared" ca="1" si="140"/>
        <v>0</v>
      </c>
      <c r="AM67" s="69">
        <f t="shared" ca="1" si="140"/>
        <v>0</v>
      </c>
      <c r="AN67" s="69">
        <f t="shared" ca="1" si="140"/>
        <v>0</v>
      </c>
      <c r="AO67" s="69">
        <f t="shared" ca="1" si="140"/>
        <v>0</v>
      </c>
      <c r="AP67" s="69">
        <f t="shared" ca="1" si="140"/>
        <v>0</v>
      </c>
      <c r="AQ67" s="69">
        <f t="shared" ca="1" si="140"/>
        <v>0</v>
      </c>
      <c r="AR67" s="69">
        <f t="shared" ca="1" si="140"/>
        <v>0</v>
      </c>
      <c r="AS67" s="69">
        <f t="shared" ca="1" si="140"/>
        <v>0</v>
      </c>
      <c r="AT67" s="69">
        <f t="shared" ca="1" si="140"/>
        <v>0</v>
      </c>
      <c r="AU67" s="69">
        <f t="shared" ca="1" si="140"/>
        <v>0</v>
      </c>
      <c r="AV67" s="69">
        <f t="shared" ca="1" si="140"/>
        <v>0</v>
      </c>
      <c r="AW67" s="69">
        <f t="shared" ca="1" si="140"/>
        <v>0</v>
      </c>
      <c r="AX67" s="69">
        <f t="shared" ca="1" si="140"/>
        <v>0</v>
      </c>
      <c r="AY67" s="69">
        <f t="shared" ca="1" si="140"/>
        <v>0</v>
      </c>
      <c r="AZ67" s="69">
        <f t="shared" ca="1" si="140"/>
        <v>0</v>
      </c>
      <c r="BA67" s="69">
        <f t="shared" ca="1" si="140"/>
        <v>0</v>
      </c>
      <c r="BB67" s="69">
        <f t="shared" ca="1" si="140"/>
        <v>0</v>
      </c>
      <c r="BC67" s="69">
        <f t="shared" ca="1" si="140"/>
        <v>0</v>
      </c>
      <c r="BD67" s="69">
        <f t="shared" ca="1" si="140"/>
        <v>0</v>
      </c>
      <c r="BE67" s="69">
        <f t="shared" ca="1" si="140"/>
        <v>0</v>
      </c>
      <c r="BF67" s="69">
        <f t="shared" ca="1" si="140"/>
        <v>0</v>
      </c>
      <c r="BG67" s="69">
        <f t="shared" ca="1" si="140"/>
        <v>0</v>
      </c>
      <c r="BH67" s="69">
        <f t="shared" ca="1" si="140"/>
        <v>0</v>
      </c>
      <c r="BI67" s="69">
        <f t="shared" ca="1" si="140"/>
        <v>0</v>
      </c>
      <c r="BJ67" s="69">
        <f t="shared" ca="1" si="140"/>
        <v>0</v>
      </c>
      <c r="BK67" s="69">
        <f t="shared" ca="1" si="140"/>
        <v>0</v>
      </c>
      <c r="BL67" s="69">
        <f t="shared" ca="1" si="140"/>
        <v>0</v>
      </c>
      <c r="BM67" s="69">
        <f t="shared" ca="1" si="140"/>
        <v>0</v>
      </c>
      <c r="BN67" s="69">
        <f t="shared" ca="1" si="140"/>
        <v>0</v>
      </c>
      <c r="BO67" s="69">
        <f t="shared" ca="1" si="140"/>
        <v>0</v>
      </c>
      <c r="BP67" s="69">
        <f t="shared" ref="BP67:EA67" ca="1" si="141">SUM(BP65:BP66)</f>
        <v>0</v>
      </c>
      <c r="BQ67" s="69">
        <f t="shared" ca="1" si="141"/>
        <v>0</v>
      </c>
      <c r="BR67" s="69">
        <f t="shared" ca="1" si="141"/>
        <v>0</v>
      </c>
      <c r="BS67" s="69">
        <f t="shared" ca="1" si="141"/>
        <v>0</v>
      </c>
      <c r="BT67" s="69">
        <f t="shared" ca="1" si="141"/>
        <v>0</v>
      </c>
      <c r="BU67" s="69">
        <f t="shared" ca="1" si="141"/>
        <v>0</v>
      </c>
      <c r="BV67" s="69">
        <f t="shared" ca="1" si="141"/>
        <v>0</v>
      </c>
      <c r="BW67" s="69">
        <f t="shared" ca="1" si="141"/>
        <v>0</v>
      </c>
      <c r="BX67" s="69">
        <f t="shared" ca="1" si="141"/>
        <v>0</v>
      </c>
      <c r="BY67" s="69">
        <f t="shared" ca="1" si="141"/>
        <v>0</v>
      </c>
      <c r="BZ67" s="69">
        <f t="shared" ca="1" si="141"/>
        <v>0</v>
      </c>
      <c r="CA67" s="69">
        <f t="shared" ca="1" si="141"/>
        <v>0</v>
      </c>
      <c r="CB67" s="69">
        <f t="shared" ca="1" si="141"/>
        <v>0</v>
      </c>
      <c r="CC67" s="69">
        <f t="shared" ca="1" si="141"/>
        <v>0</v>
      </c>
      <c r="CD67" s="69">
        <f t="shared" ca="1" si="141"/>
        <v>0</v>
      </c>
      <c r="CE67" s="69">
        <f t="shared" ca="1" si="141"/>
        <v>0</v>
      </c>
      <c r="CF67" s="69">
        <f t="shared" ca="1" si="141"/>
        <v>0</v>
      </c>
      <c r="CG67" s="69">
        <f t="shared" ca="1" si="141"/>
        <v>0</v>
      </c>
      <c r="CH67" s="69">
        <f t="shared" ca="1" si="141"/>
        <v>0</v>
      </c>
      <c r="CI67" s="69">
        <f t="shared" ca="1" si="141"/>
        <v>0</v>
      </c>
      <c r="CJ67" s="69">
        <f t="shared" ca="1" si="141"/>
        <v>0</v>
      </c>
      <c r="CK67" s="69">
        <f t="shared" ca="1" si="141"/>
        <v>0</v>
      </c>
      <c r="CL67" s="69">
        <f t="shared" ca="1" si="141"/>
        <v>0</v>
      </c>
      <c r="CM67" s="69">
        <f t="shared" ca="1" si="141"/>
        <v>0</v>
      </c>
      <c r="CN67" s="69">
        <f t="shared" ca="1" si="141"/>
        <v>0</v>
      </c>
      <c r="CO67" s="69">
        <f t="shared" ca="1" si="141"/>
        <v>0</v>
      </c>
      <c r="CP67" s="69">
        <f t="shared" ca="1" si="141"/>
        <v>0</v>
      </c>
      <c r="CQ67" s="69">
        <f t="shared" ca="1" si="141"/>
        <v>0</v>
      </c>
      <c r="CR67" s="69">
        <f t="shared" ca="1" si="141"/>
        <v>0</v>
      </c>
      <c r="CS67" s="69">
        <f t="shared" ca="1" si="141"/>
        <v>0</v>
      </c>
      <c r="CT67" s="69">
        <f t="shared" ca="1" si="141"/>
        <v>0</v>
      </c>
      <c r="CU67" s="69">
        <f t="shared" ca="1" si="141"/>
        <v>0</v>
      </c>
      <c r="CV67" s="69">
        <f t="shared" ca="1" si="141"/>
        <v>0</v>
      </c>
      <c r="CW67" s="69">
        <f t="shared" ca="1" si="141"/>
        <v>0</v>
      </c>
      <c r="CX67" s="69">
        <f t="shared" ca="1" si="141"/>
        <v>0</v>
      </c>
      <c r="CY67" s="69">
        <f t="shared" ca="1" si="141"/>
        <v>0</v>
      </c>
      <c r="CZ67" s="69">
        <f t="shared" ca="1" si="141"/>
        <v>0</v>
      </c>
      <c r="DA67" s="69">
        <f t="shared" ca="1" si="141"/>
        <v>0</v>
      </c>
      <c r="DB67" s="69">
        <f t="shared" ca="1" si="141"/>
        <v>0</v>
      </c>
      <c r="DC67" s="69">
        <f t="shared" ca="1" si="141"/>
        <v>0</v>
      </c>
      <c r="DD67" s="69">
        <f t="shared" ca="1" si="141"/>
        <v>0</v>
      </c>
      <c r="DE67" s="69">
        <f t="shared" ca="1" si="141"/>
        <v>0</v>
      </c>
      <c r="DF67" s="69">
        <f t="shared" ca="1" si="141"/>
        <v>0</v>
      </c>
      <c r="DG67" s="69">
        <f t="shared" ca="1" si="141"/>
        <v>0</v>
      </c>
      <c r="DH67" s="69">
        <f t="shared" ca="1" si="141"/>
        <v>0</v>
      </c>
      <c r="DI67" s="69">
        <f t="shared" ca="1" si="141"/>
        <v>0</v>
      </c>
      <c r="DJ67" s="69">
        <f t="shared" ca="1" si="141"/>
        <v>0</v>
      </c>
      <c r="DK67" s="69">
        <f t="shared" ca="1" si="141"/>
        <v>0</v>
      </c>
      <c r="DL67" s="69">
        <f t="shared" ca="1" si="141"/>
        <v>0</v>
      </c>
      <c r="DM67" s="69">
        <f t="shared" ca="1" si="141"/>
        <v>0</v>
      </c>
      <c r="DN67" s="69">
        <f t="shared" ca="1" si="141"/>
        <v>0</v>
      </c>
      <c r="DO67" s="69">
        <f t="shared" ca="1" si="141"/>
        <v>0</v>
      </c>
      <c r="DP67" s="69">
        <f t="shared" ca="1" si="141"/>
        <v>0</v>
      </c>
      <c r="DQ67" s="69">
        <f t="shared" ca="1" si="141"/>
        <v>0</v>
      </c>
      <c r="DR67" s="69">
        <f t="shared" ca="1" si="141"/>
        <v>0</v>
      </c>
      <c r="DS67" s="69">
        <f t="shared" ca="1" si="141"/>
        <v>0</v>
      </c>
      <c r="DT67" s="69">
        <f t="shared" ca="1" si="141"/>
        <v>0</v>
      </c>
      <c r="DU67" s="69">
        <f t="shared" ca="1" si="141"/>
        <v>0</v>
      </c>
      <c r="DV67" s="69">
        <f t="shared" ca="1" si="141"/>
        <v>0</v>
      </c>
      <c r="DW67" s="69">
        <f t="shared" ca="1" si="141"/>
        <v>0</v>
      </c>
      <c r="DX67" s="69">
        <f t="shared" ca="1" si="141"/>
        <v>0</v>
      </c>
      <c r="DY67" s="69">
        <f t="shared" ca="1" si="141"/>
        <v>0</v>
      </c>
      <c r="DZ67" s="69">
        <f t="shared" ca="1" si="141"/>
        <v>0</v>
      </c>
      <c r="EA67" s="69">
        <f t="shared" ca="1" si="141"/>
        <v>0</v>
      </c>
      <c r="EB67" s="69">
        <f t="shared" ref="EB67:EE67" ca="1" si="142">SUM(EB65:EB66)</f>
        <v>0</v>
      </c>
      <c r="EC67" s="69">
        <f t="shared" ca="1" si="142"/>
        <v>0</v>
      </c>
      <c r="ED67" s="69">
        <f t="shared" ca="1" si="142"/>
        <v>0</v>
      </c>
      <c r="EE67" s="70">
        <f t="shared" ca="1" si="142"/>
        <v>0</v>
      </c>
    </row>
    <row r="68" spans="2:135" x14ac:dyDescent="0.15">
      <c r="B68" s="55" t="s">
        <v>56</v>
      </c>
      <c r="C68" s="72">
        <f>C62-C67</f>
        <v>0</v>
      </c>
      <c r="D68" s="72">
        <f t="shared" ref="D68:BO68" ca="1" si="143">D62-D67</f>
        <v>0</v>
      </c>
      <c r="E68" s="72">
        <f t="shared" ca="1" si="143"/>
        <v>0</v>
      </c>
      <c r="F68" s="72">
        <f t="shared" ca="1" si="143"/>
        <v>0</v>
      </c>
      <c r="G68" s="72">
        <f t="shared" ca="1" si="143"/>
        <v>0</v>
      </c>
      <c r="H68" s="72">
        <f t="shared" ca="1" si="143"/>
        <v>0</v>
      </c>
      <c r="I68" s="72">
        <f t="shared" ca="1" si="143"/>
        <v>0</v>
      </c>
      <c r="J68" s="72">
        <f t="shared" ca="1" si="143"/>
        <v>0</v>
      </c>
      <c r="K68" s="72">
        <f t="shared" ca="1" si="143"/>
        <v>0</v>
      </c>
      <c r="L68" s="72">
        <f t="shared" ca="1" si="143"/>
        <v>0</v>
      </c>
      <c r="M68" s="72">
        <f t="shared" ca="1" si="143"/>
        <v>0</v>
      </c>
      <c r="N68" s="72">
        <f t="shared" ca="1" si="143"/>
        <v>0</v>
      </c>
      <c r="O68" s="72">
        <f t="shared" ca="1" si="143"/>
        <v>0</v>
      </c>
      <c r="P68" s="72">
        <f t="shared" ca="1" si="143"/>
        <v>0</v>
      </c>
      <c r="Q68" s="72">
        <f t="shared" ca="1" si="143"/>
        <v>0</v>
      </c>
      <c r="R68" s="72">
        <f t="shared" ca="1" si="143"/>
        <v>0</v>
      </c>
      <c r="S68" s="72">
        <f t="shared" ca="1" si="143"/>
        <v>0</v>
      </c>
      <c r="T68" s="72">
        <f t="shared" ca="1" si="143"/>
        <v>0</v>
      </c>
      <c r="U68" s="72">
        <f t="shared" ca="1" si="143"/>
        <v>0</v>
      </c>
      <c r="V68" s="72">
        <f t="shared" ca="1" si="143"/>
        <v>0</v>
      </c>
      <c r="W68" s="72">
        <f t="shared" ca="1" si="143"/>
        <v>0</v>
      </c>
      <c r="X68" s="72">
        <f t="shared" ca="1" si="143"/>
        <v>0</v>
      </c>
      <c r="Y68" s="72">
        <f t="shared" ca="1" si="143"/>
        <v>0</v>
      </c>
      <c r="Z68" s="72">
        <f t="shared" ca="1" si="143"/>
        <v>0</v>
      </c>
      <c r="AA68" s="72">
        <f t="shared" ca="1" si="143"/>
        <v>0</v>
      </c>
      <c r="AB68" s="72">
        <f t="shared" ca="1" si="143"/>
        <v>0</v>
      </c>
      <c r="AC68" s="72">
        <f t="shared" ca="1" si="143"/>
        <v>0</v>
      </c>
      <c r="AD68" s="72">
        <f t="shared" ca="1" si="143"/>
        <v>0</v>
      </c>
      <c r="AE68" s="72">
        <f t="shared" ca="1" si="143"/>
        <v>0</v>
      </c>
      <c r="AF68" s="72">
        <f t="shared" ca="1" si="143"/>
        <v>0</v>
      </c>
      <c r="AG68" s="72">
        <f t="shared" ca="1" si="143"/>
        <v>0</v>
      </c>
      <c r="AH68" s="72">
        <f t="shared" ca="1" si="143"/>
        <v>0</v>
      </c>
      <c r="AI68" s="72">
        <f t="shared" ca="1" si="143"/>
        <v>0</v>
      </c>
      <c r="AJ68" s="72">
        <f t="shared" ca="1" si="143"/>
        <v>0</v>
      </c>
      <c r="AK68" s="72">
        <f t="shared" ca="1" si="143"/>
        <v>0</v>
      </c>
      <c r="AL68" s="72">
        <f t="shared" ca="1" si="143"/>
        <v>0</v>
      </c>
      <c r="AM68" s="72">
        <f t="shared" ca="1" si="143"/>
        <v>0</v>
      </c>
      <c r="AN68" s="72">
        <f t="shared" ca="1" si="143"/>
        <v>0</v>
      </c>
      <c r="AO68" s="72">
        <f t="shared" ca="1" si="143"/>
        <v>0</v>
      </c>
      <c r="AP68" s="72">
        <f t="shared" ca="1" si="143"/>
        <v>0</v>
      </c>
      <c r="AQ68" s="72">
        <f t="shared" ca="1" si="143"/>
        <v>0</v>
      </c>
      <c r="AR68" s="72">
        <f t="shared" ca="1" si="143"/>
        <v>0</v>
      </c>
      <c r="AS68" s="72">
        <f t="shared" ca="1" si="143"/>
        <v>0</v>
      </c>
      <c r="AT68" s="72">
        <f t="shared" ca="1" si="143"/>
        <v>0</v>
      </c>
      <c r="AU68" s="72">
        <f t="shared" ca="1" si="143"/>
        <v>0</v>
      </c>
      <c r="AV68" s="72">
        <f t="shared" ca="1" si="143"/>
        <v>0</v>
      </c>
      <c r="AW68" s="72">
        <f t="shared" ca="1" si="143"/>
        <v>0</v>
      </c>
      <c r="AX68" s="72">
        <f t="shared" ca="1" si="143"/>
        <v>0</v>
      </c>
      <c r="AY68" s="72">
        <f t="shared" ca="1" si="143"/>
        <v>0</v>
      </c>
      <c r="AZ68" s="72">
        <f t="shared" ca="1" si="143"/>
        <v>0</v>
      </c>
      <c r="BA68" s="72">
        <f t="shared" ca="1" si="143"/>
        <v>0</v>
      </c>
      <c r="BB68" s="72">
        <f t="shared" ca="1" si="143"/>
        <v>0</v>
      </c>
      <c r="BC68" s="72">
        <f t="shared" ca="1" si="143"/>
        <v>0</v>
      </c>
      <c r="BD68" s="72">
        <f t="shared" ca="1" si="143"/>
        <v>0</v>
      </c>
      <c r="BE68" s="72">
        <f t="shared" ca="1" si="143"/>
        <v>0</v>
      </c>
      <c r="BF68" s="72">
        <f t="shared" ca="1" si="143"/>
        <v>0</v>
      </c>
      <c r="BG68" s="72">
        <f t="shared" ca="1" si="143"/>
        <v>0</v>
      </c>
      <c r="BH68" s="72">
        <f t="shared" ca="1" si="143"/>
        <v>0</v>
      </c>
      <c r="BI68" s="72">
        <f t="shared" ca="1" si="143"/>
        <v>0</v>
      </c>
      <c r="BJ68" s="72">
        <f t="shared" ca="1" si="143"/>
        <v>0</v>
      </c>
      <c r="BK68" s="72">
        <f t="shared" ca="1" si="143"/>
        <v>0</v>
      </c>
      <c r="BL68" s="72">
        <f t="shared" ca="1" si="143"/>
        <v>0</v>
      </c>
      <c r="BM68" s="72">
        <f t="shared" ca="1" si="143"/>
        <v>0</v>
      </c>
      <c r="BN68" s="72">
        <f t="shared" ca="1" si="143"/>
        <v>0</v>
      </c>
      <c r="BO68" s="72">
        <f t="shared" ca="1" si="143"/>
        <v>0</v>
      </c>
      <c r="BP68" s="72">
        <f t="shared" ref="BP68:EA68" ca="1" si="144">BP62-BP67</f>
        <v>0</v>
      </c>
      <c r="BQ68" s="72">
        <f t="shared" ca="1" si="144"/>
        <v>0</v>
      </c>
      <c r="BR68" s="72">
        <f t="shared" ca="1" si="144"/>
        <v>0</v>
      </c>
      <c r="BS68" s="72">
        <f t="shared" ca="1" si="144"/>
        <v>0</v>
      </c>
      <c r="BT68" s="72">
        <f t="shared" ca="1" si="144"/>
        <v>0</v>
      </c>
      <c r="BU68" s="72">
        <f t="shared" ca="1" si="144"/>
        <v>0</v>
      </c>
      <c r="BV68" s="72">
        <f t="shared" ca="1" si="144"/>
        <v>0</v>
      </c>
      <c r="BW68" s="72">
        <f t="shared" ca="1" si="144"/>
        <v>0</v>
      </c>
      <c r="BX68" s="72">
        <f t="shared" ca="1" si="144"/>
        <v>0</v>
      </c>
      <c r="BY68" s="72">
        <f t="shared" ca="1" si="144"/>
        <v>0</v>
      </c>
      <c r="BZ68" s="72">
        <f t="shared" ca="1" si="144"/>
        <v>0</v>
      </c>
      <c r="CA68" s="72">
        <f t="shared" ca="1" si="144"/>
        <v>0</v>
      </c>
      <c r="CB68" s="72">
        <f t="shared" ca="1" si="144"/>
        <v>0</v>
      </c>
      <c r="CC68" s="72">
        <f t="shared" ca="1" si="144"/>
        <v>0</v>
      </c>
      <c r="CD68" s="72">
        <f t="shared" ca="1" si="144"/>
        <v>0</v>
      </c>
      <c r="CE68" s="72">
        <f t="shared" ca="1" si="144"/>
        <v>0</v>
      </c>
      <c r="CF68" s="72">
        <f t="shared" ca="1" si="144"/>
        <v>0</v>
      </c>
      <c r="CG68" s="72">
        <f t="shared" ca="1" si="144"/>
        <v>0</v>
      </c>
      <c r="CH68" s="72">
        <f t="shared" ca="1" si="144"/>
        <v>0</v>
      </c>
      <c r="CI68" s="72">
        <f t="shared" ca="1" si="144"/>
        <v>0</v>
      </c>
      <c r="CJ68" s="72">
        <f t="shared" ca="1" si="144"/>
        <v>0</v>
      </c>
      <c r="CK68" s="72">
        <f t="shared" ca="1" si="144"/>
        <v>0</v>
      </c>
      <c r="CL68" s="72">
        <f t="shared" ca="1" si="144"/>
        <v>0</v>
      </c>
      <c r="CM68" s="72">
        <f t="shared" ca="1" si="144"/>
        <v>0</v>
      </c>
      <c r="CN68" s="72">
        <f t="shared" ca="1" si="144"/>
        <v>0</v>
      </c>
      <c r="CO68" s="72">
        <f t="shared" ca="1" si="144"/>
        <v>0</v>
      </c>
      <c r="CP68" s="72">
        <f t="shared" ca="1" si="144"/>
        <v>0</v>
      </c>
      <c r="CQ68" s="72">
        <f t="shared" ca="1" si="144"/>
        <v>0</v>
      </c>
      <c r="CR68" s="72">
        <f t="shared" ca="1" si="144"/>
        <v>0</v>
      </c>
      <c r="CS68" s="72">
        <f t="shared" ca="1" si="144"/>
        <v>0</v>
      </c>
      <c r="CT68" s="72">
        <f t="shared" ca="1" si="144"/>
        <v>0</v>
      </c>
      <c r="CU68" s="72">
        <f t="shared" ca="1" si="144"/>
        <v>0</v>
      </c>
      <c r="CV68" s="72">
        <f t="shared" ca="1" si="144"/>
        <v>0</v>
      </c>
      <c r="CW68" s="72">
        <f t="shared" ca="1" si="144"/>
        <v>0</v>
      </c>
      <c r="CX68" s="72">
        <f t="shared" ca="1" si="144"/>
        <v>0</v>
      </c>
      <c r="CY68" s="72">
        <f t="shared" ca="1" si="144"/>
        <v>0</v>
      </c>
      <c r="CZ68" s="72">
        <f t="shared" ca="1" si="144"/>
        <v>0</v>
      </c>
      <c r="DA68" s="72">
        <f t="shared" ca="1" si="144"/>
        <v>0</v>
      </c>
      <c r="DB68" s="72">
        <f t="shared" ca="1" si="144"/>
        <v>0</v>
      </c>
      <c r="DC68" s="72">
        <f t="shared" ca="1" si="144"/>
        <v>0</v>
      </c>
      <c r="DD68" s="72">
        <f t="shared" ca="1" si="144"/>
        <v>0</v>
      </c>
      <c r="DE68" s="72">
        <f t="shared" ca="1" si="144"/>
        <v>0</v>
      </c>
      <c r="DF68" s="72">
        <f t="shared" ca="1" si="144"/>
        <v>0</v>
      </c>
      <c r="DG68" s="72">
        <f t="shared" ca="1" si="144"/>
        <v>0</v>
      </c>
      <c r="DH68" s="72">
        <f t="shared" ca="1" si="144"/>
        <v>0</v>
      </c>
      <c r="DI68" s="72">
        <f t="shared" ca="1" si="144"/>
        <v>0</v>
      </c>
      <c r="DJ68" s="72">
        <f t="shared" ca="1" si="144"/>
        <v>0</v>
      </c>
      <c r="DK68" s="72">
        <f t="shared" ca="1" si="144"/>
        <v>0</v>
      </c>
      <c r="DL68" s="72">
        <f t="shared" ca="1" si="144"/>
        <v>0</v>
      </c>
      <c r="DM68" s="72">
        <f t="shared" ca="1" si="144"/>
        <v>0</v>
      </c>
      <c r="DN68" s="72">
        <f t="shared" ca="1" si="144"/>
        <v>0</v>
      </c>
      <c r="DO68" s="72">
        <f t="shared" ca="1" si="144"/>
        <v>0</v>
      </c>
      <c r="DP68" s="72">
        <f t="shared" ca="1" si="144"/>
        <v>0</v>
      </c>
      <c r="DQ68" s="72">
        <f t="shared" ca="1" si="144"/>
        <v>0</v>
      </c>
      <c r="DR68" s="72">
        <f t="shared" ca="1" si="144"/>
        <v>0</v>
      </c>
      <c r="DS68" s="72">
        <f t="shared" ca="1" si="144"/>
        <v>0</v>
      </c>
      <c r="DT68" s="72">
        <f t="shared" ca="1" si="144"/>
        <v>0</v>
      </c>
      <c r="DU68" s="72">
        <f t="shared" ca="1" si="144"/>
        <v>0</v>
      </c>
      <c r="DV68" s="72">
        <f t="shared" ca="1" si="144"/>
        <v>0</v>
      </c>
      <c r="DW68" s="72">
        <f t="shared" ca="1" si="144"/>
        <v>0</v>
      </c>
      <c r="DX68" s="72">
        <f t="shared" ca="1" si="144"/>
        <v>0</v>
      </c>
      <c r="DY68" s="72">
        <f t="shared" ca="1" si="144"/>
        <v>0</v>
      </c>
      <c r="DZ68" s="72">
        <f t="shared" ca="1" si="144"/>
        <v>0</v>
      </c>
      <c r="EA68" s="72">
        <f t="shared" ca="1" si="144"/>
        <v>0</v>
      </c>
      <c r="EB68" s="72">
        <f t="shared" ref="EB68:EE68" ca="1" si="145">EB62-EB67</f>
        <v>0</v>
      </c>
      <c r="EC68" s="72">
        <f t="shared" ca="1" si="145"/>
        <v>0</v>
      </c>
      <c r="ED68" s="72">
        <f t="shared" ca="1" si="145"/>
        <v>0</v>
      </c>
      <c r="EE68" s="73">
        <f t="shared" ca="1" si="145"/>
        <v>0</v>
      </c>
    </row>
    <row r="70" spans="2:135" x14ac:dyDescent="0.15">
      <c r="B70" s="63" t="s">
        <v>60</v>
      </c>
      <c r="C70" s="64">
        <f ca="1">C64</f>
        <v>46053</v>
      </c>
      <c r="D70" s="64">
        <f t="shared" ref="D70:BO70" ca="1" si="146">D64</f>
        <v>46081</v>
      </c>
      <c r="E70" s="64">
        <f t="shared" ca="1" si="146"/>
        <v>46112</v>
      </c>
      <c r="F70" s="64">
        <f t="shared" ca="1" si="146"/>
        <v>46142</v>
      </c>
      <c r="G70" s="64">
        <f t="shared" ca="1" si="146"/>
        <v>46173</v>
      </c>
      <c r="H70" s="64">
        <f t="shared" ca="1" si="146"/>
        <v>46203</v>
      </c>
      <c r="I70" s="64">
        <f t="shared" ca="1" si="146"/>
        <v>46234</v>
      </c>
      <c r="J70" s="64">
        <f t="shared" ca="1" si="146"/>
        <v>46265</v>
      </c>
      <c r="K70" s="64">
        <f t="shared" ca="1" si="146"/>
        <v>46295</v>
      </c>
      <c r="L70" s="64">
        <f t="shared" ca="1" si="146"/>
        <v>46326</v>
      </c>
      <c r="M70" s="64">
        <f t="shared" ca="1" si="146"/>
        <v>46356</v>
      </c>
      <c r="N70" s="64">
        <f t="shared" ca="1" si="146"/>
        <v>46387</v>
      </c>
      <c r="O70" s="64">
        <f t="shared" ca="1" si="146"/>
        <v>46418</v>
      </c>
      <c r="P70" s="64">
        <f t="shared" ca="1" si="146"/>
        <v>46446</v>
      </c>
      <c r="Q70" s="64">
        <f t="shared" ca="1" si="146"/>
        <v>46477</v>
      </c>
      <c r="R70" s="64">
        <f t="shared" ca="1" si="146"/>
        <v>46507</v>
      </c>
      <c r="S70" s="64">
        <f t="shared" ca="1" si="146"/>
        <v>46538</v>
      </c>
      <c r="T70" s="64">
        <f t="shared" ca="1" si="146"/>
        <v>46568</v>
      </c>
      <c r="U70" s="64">
        <f t="shared" ca="1" si="146"/>
        <v>46599</v>
      </c>
      <c r="V70" s="64">
        <f t="shared" ca="1" si="146"/>
        <v>46630</v>
      </c>
      <c r="W70" s="64">
        <f t="shared" ca="1" si="146"/>
        <v>46660</v>
      </c>
      <c r="X70" s="64">
        <f t="shared" ca="1" si="146"/>
        <v>46691</v>
      </c>
      <c r="Y70" s="64">
        <f t="shared" ca="1" si="146"/>
        <v>46721</v>
      </c>
      <c r="Z70" s="64">
        <f t="shared" ca="1" si="146"/>
        <v>46752</v>
      </c>
      <c r="AA70" s="64">
        <f t="shared" ca="1" si="146"/>
        <v>46783</v>
      </c>
      <c r="AB70" s="64">
        <f t="shared" ca="1" si="146"/>
        <v>46812</v>
      </c>
      <c r="AC70" s="64">
        <f t="shared" ca="1" si="146"/>
        <v>46843</v>
      </c>
      <c r="AD70" s="64">
        <f t="shared" ca="1" si="146"/>
        <v>46873</v>
      </c>
      <c r="AE70" s="64">
        <f t="shared" ca="1" si="146"/>
        <v>46904</v>
      </c>
      <c r="AF70" s="64">
        <f t="shared" ca="1" si="146"/>
        <v>46934</v>
      </c>
      <c r="AG70" s="64">
        <f t="shared" ca="1" si="146"/>
        <v>46965</v>
      </c>
      <c r="AH70" s="64">
        <f t="shared" ca="1" si="146"/>
        <v>46996</v>
      </c>
      <c r="AI70" s="64">
        <f t="shared" ca="1" si="146"/>
        <v>47026</v>
      </c>
      <c r="AJ70" s="64">
        <f t="shared" ca="1" si="146"/>
        <v>47057</v>
      </c>
      <c r="AK70" s="64">
        <f t="shared" ca="1" si="146"/>
        <v>47087</v>
      </c>
      <c r="AL70" s="64">
        <f t="shared" ca="1" si="146"/>
        <v>47118</v>
      </c>
      <c r="AM70" s="64">
        <f t="shared" ca="1" si="146"/>
        <v>47149</v>
      </c>
      <c r="AN70" s="64">
        <f t="shared" ca="1" si="146"/>
        <v>47177</v>
      </c>
      <c r="AO70" s="64">
        <f t="shared" ca="1" si="146"/>
        <v>47208</v>
      </c>
      <c r="AP70" s="64">
        <f t="shared" ca="1" si="146"/>
        <v>47238</v>
      </c>
      <c r="AQ70" s="64">
        <f t="shared" ca="1" si="146"/>
        <v>47269</v>
      </c>
      <c r="AR70" s="64">
        <f t="shared" ca="1" si="146"/>
        <v>47299</v>
      </c>
      <c r="AS70" s="64">
        <f t="shared" ca="1" si="146"/>
        <v>47330</v>
      </c>
      <c r="AT70" s="64">
        <f t="shared" ca="1" si="146"/>
        <v>47361</v>
      </c>
      <c r="AU70" s="64">
        <f t="shared" ca="1" si="146"/>
        <v>47391</v>
      </c>
      <c r="AV70" s="64">
        <f t="shared" ca="1" si="146"/>
        <v>47422</v>
      </c>
      <c r="AW70" s="64">
        <f t="shared" ca="1" si="146"/>
        <v>47452</v>
      </c>
      <c r="AX70" s="64">
        <f t="shared" ca="1" si="146"/>
        <v>47483</v>
      </c>
      <c r="AY70" s="64">
        <f t="shared" ca="1" si="146"/>
        <v>47514</v>
      </c>
      <c r="AZ70" s="64">
        <f t="shared" ca="1" si="146"/>
        <v>47542</v>
      </c>
      <c r="BA70" s="64">
        <f t="shared" ca="1" si="146"/>
        <v>47573</v>
      </c>
      <c r="BB70" s="64">
        <f t="shared" ca="1" si="146"/>
        <v>47603</v>
      </c>
      <c r="BC70" s="64">
        <f t="shared" ca="1" si="146"/>
        <v>47634</v>
      </c>
      <c r="BD70" s="64">
        <f t="shared" ca="1" si="146"/>
        <v>47664</v>
      </c>
      <c r="BE70" s="64">
        <f t="shared" ca="1" si="146"/>
        <v>47695</v>
      </c>
      <c r="BF70" s="64">
        <f t="shared" ca="1" si="146"/>
        <v>47726</v>
      </c>
      <c r="BG70" s="64">
        <f t="shared" ca="1" si="146"/>
        <v>47756</v>
      </c>
      <c r="BH70" s="64">
        <f t="shared" ca="1" si="146"/>
        <v>47787</v>
      </c>
      <c r="BI70" s="64">
        <f t="shared" ca="1" si="146"/>
        <v>47817</v>
      </c>
      <c r="BJ70" s="64">
        <f t="shared" ca="1" si="146"/>
        <v>47848</v>
      </c>
      <c r="BK70" s="64">
        <f t="shared" ca="1" si="146"/>
        <v>47879</v>
      </c>
      <c r="BL70" s="64">
        <f t="shared" ca="1" si="146"/>
        <v>47907</v>
      </c>
      <c r="BM70" s="64">
        <f t="shared" ca="1" si="146"/>
        <v>47938</v>
      </c>
      <c r="BN70" s="64">
        <f t="shared" ca="1" si="146"/>
        <v>47968</v>
      </c>
      <c r="BO70" s="64">
        <f t="shared" ca="1" si="146"/>
        <v>47999</v>
      </c>
      <c r="BP70" s="64">
        <f t="shared" ref="BP70:EA70" ca="1" si="147">BP64</f>
        <v>48029</v>
      </c>
      <c r="BQ70" s="64">
        <f t="shared" ca="1" si="147"/>
        <v>48060</v>
      </c>
      <c r="BR70" s="64">
        <f t="shared" ca="1" si="147"/>
        <v>48091</v>
      </c>
      <c r="BS70" s="64">
        <f t="shared" ca="1" si="147"/>
        <v>48121</v>
      </c>
      <c r="BT70" s="64">
        <f t="shared" ca="1" si="147"/>
        <v>48152</v>
      </c>
      <c r="BU70" s="64">
        <f t="shared" ca="1" si="147"/>
        <v>48182</v>
      </c>
      <c r="BV70" s="64">
        <f t="shared" ca="1" si="147"/>
        <v>48213</v>
      </c>
      <c r="BW70" s="64">
        <f t="shared" ca="1" si="147"/>
        <v>48244</v>
      </c>
      <c r="BX70" s="64">
        <f t="shared" ca="1" si="147"/>
        <v>48273</v>
      </c>
      <c r="BY70" s="64">
        <f t="shared" ca="1" si="147"/>
        <v>48304</v>
      </c>
      <c r="BZ70" s="64">
        <f t="shared" ca="1" si="147"/>
        <v>48334</v>
      </c>
      <c r="CA70" s="64">
        <f t="shared" ca="1" si="147"/>
        <v>48365</v>
      </c>
      <c r="CB70" s="64">
        <f t="shared" ca="1" si="147"/>
        <v>48395</v>
      </c>
      <c r="CC70" s="64">
        <f t="shared" ca="1" si="147"/>
        <v>48426</v>
      </c>
      <c r="CD70" s="64">
        <f t="shared" ca="1" si="147"/>
        <v>48457</v>
      </c>
      <c r="CE70" s="64">
        <f t="shared" ca="1" si="147"/>
        <v>48487</v>
      </c>
      <c r="CF70" s="64">
        <f t="shared" ca="1" si="147"/>
        <v>48518</v>
      </c>
      <c r="CG70" s="64">
        <f t="shared" ca="1" si="147"/>
        <v>48548</v>
      </c>
      <c r="CH70" s="64">
        <f t="shared" ca="1" si="147"/>
        <v>48579</v>
      </c>
      <c r="CI70" s="64">
        <f t="shared" ca="1" si="147"/>
        <v>48610</v>
      </c>
      <c r="CJ70" s="64">
        <f t="shared" ca="1" si="147"/>
        <v>48638</v>
      </c>
      <c r="CK70" s="64">
        <f t="shared" ca="1" si="147"/>
        <v>48669</v>
      </c>
      <c r="CL70" s="64">
        <f t="shared" ca="1" si="147"/>
        <v>48699</v>
      </c>
      <c r="CM70" s="64">
        <f t="shared" ca="1" si="147"/>
        <v>48730</v>
      </c>
      <c r="CN70" s="64">
        <f t="shared" ca="1" si="147"/>
        <v>48760</v>
      </c>
      <c r="CO70" s="64">
        <f t="shared" ca="1" si="147"/>
        <v>48791</v>
      </c>
      <c r="CP70" s="64">
        <f t="shared" ca="1" si="147"/>
        <v>48822</v>
      </c>
      <c r="CQ70" s="64">
        <f t="shared" ca="1" si="147"/>
        <v>48852</v>
      </c>
      <c r="CR70" s="64">
        <f t="shared" ca="1" si="147"/>
        <v>48883</v>
      </c>
      <c r="CS70" s="64">
        <f t="shared" ca="1" si="147"/>
        <v>48913</v>
      </c>
      <c r="CT70" s="64">
        <f t="shared" ca="1" si="147"/>
        <v>48944</v>
      </c>
      <c r="CU70" s="64">
        <f t="shared" ca="1" si="147"/>
        <v>48975</v>
      </c>
      <c r="CV70" s="64">
        <f t="shared" ca="1" si="147"/>
        <v>49003</v>
      </c>
      <c r="CW70" s="64">
        <f t="shared" ca="1" si="147"/>
        <v>49034</v>
      </c>
      <c r="CX70" s="64">
        <f t="shared" ca="1" si="147"/>
        <v>49064</v>
      </c>
      <c r="CY70" s="64">
        <f t="shared" ca="1" si="147"/>
        <v>49095</v>
      </c>
      <c r="CZ70" s="64">
        <f t="shared" ca="1" si="147"/>
        <v>49125</v>
      </c>
      <c r="DA70" s="64">
        <f t="shared" ca="1" si="147"/>
        <v>49156</v>
      </c>
      <c r="DB70" s="64">
        <f t="shared" ca="1" si="147"/>
        <v>49187</v>
      </c>
      <c r="DC70" s="64">
        <f t="shared" ca="1" si="147"/>
        <v>49217</v>
      </c>
      <c r="DD70" s="64">
        <f t="shared" ca="1" si="147"/>
        <v>49248</v>
      </c>
      <c r="DE70" s="64">
        <f t="shared" ca="1" si="147"/>
        <v>49278</v>
      </c>
      <c r="DF70" s="64">
        <f t="shared" ca="1" si="147"/>
        <v>49309</v>
      </c>
      <c r="DG70" s="64">
        <f t="shared" ca="1" si="147"/>
        <v>49340</v>
      </c>
      <c r="DH70" s="64">
        <f t="shared" ca="1" si="147"/>
        <v>49368</v>
      </c>
      <c r="DI70" s="64">
        <f t="shared" ca="1" si="147"/>
        <v>49399</v>
      </c>
      <c r="DJ70" s="64">
        <f t="shared" ca="1" si="147"/>
        <v>49429</v>
      </c>
      <c r="DK70" s="64">
        <f t="shared" ca="1" si="147"/>
        <v>49460</v>
      </c>
      <c r="DL70" s="64">
        <f t="shared" ca="1" si="147"/>
        <v>49490</v>
      </c>
      <c r="DM70" s="64">
        <f t="shared" ca="1" si="147"/>
        <v>49521</v>
      </c>
      <c r="DN70" s="64">
        <f t="shared" ca="1" si="147"/>
        <v>49552</v>
      </c>
      <c r="DO70" s="64">
        <f t="shared" ca="1" si="147"/>
        <v>49582</v>
      </c>
      <c r="DP70" s="64">
        <f t="shared" ca="1" si="147"/>
        <v>49613</v>
      </c>
      <c r="DQ70" s="64">
        <f t="shared" ca="1" si="147"/>
        <v>49643</v>
      </c>
      <c r="DR70" s="64">
        <f t="shared" ca="1" si="147"/>
        <v>49674</v>
      </c>
      <c r="DS70" s="64">
        <f t="shared" ca="1" si="147"/>
        <v>49705</v>
      </c>
      <c r="DT70" s="64">
        <f t="shared" ca="1" si="147"/>
        <v>49734</v>
      </c>
      <c r="DU70" s="64">
        <f t="shared" ca="1" si="147"/>
        <v>49765</v>
      </c>
      <c r="DV70" s="64">
        <f t="shared" ca="1" si="147"/>
        <v>49795</v>
      </c>
      <c r="DW70" s="64">
        <f t="shared" ca="1" si="147"/>
        <v>49826</v>
      </c>
      <c r="DX70" s="64">
        <f t="shared" ca="1" si="147"/>
        <v>49856</v>
      </c>
      <c r="DY70" s="64">
        <f t="shared" ca="1" si="147"/>
        <v>49887</v>
      </c>
      <c r="DZ70" s="64">
        <f t="shared" ca="1" si="147"/>
        <v>49918</v>
      </c>
      <c r="EA70" s="64">
        <f t="shared" ca="1" si="147"/>
        <v>49948</v>
      </c>
      <c r="EB70" s="64">
        <f t="shared" ref="EB70:EE70" ca="1" si="148">EB64</f>
        <v>49979</v>
      </c>
      <c r="EC70" s="64">
        <f t="shared" ca="1" si="148"/>
        <v>50009</v>
      </c>
      <c r="ED70" s="64">
        <f t="shared" ca="1" si="148"/>
        <v>50040</v>
      </c>
      <c r="EE70" s="65">
        <f t="shared" ca="1" si="148"/>
        <v>50071</v>
      </c>
    </row>
    <row r="71" spans="2:135" x14ac:dyDescent="0.15">
      <c r="B71" s="7" t="s">
        <v>61</v>
      </c>
      <c r="C71" s="69">
        <f>C30</f>
        <v>-7807500</v>
      </c>
      <c r="D71" s="69">
        <f t="shared" ref="D71:BO71" si="149">D30</f>
        <v>0</v>
      </c>
      <c r="E71" s="69">
        <f t="shared" si="149"/>
        <v>0</v>
      </c>
      <c r="F71" s="69">
        <f t="shared" si="149"/>
        <v>0</v>
      </c>
      <c r="G71" s="69">
        <f t="shared" si="149"/>
        <v>0</v>
      </c>
      <c r="H71" s="69">
        <f t="shared" si="149"/>
        <v>0</v>
      </c>
      <c r="I71" s="69">
        <f t="shared" si="149"/>
        <v>0</v>
      </c>
      <c r="J71" s="69">
        <f t="shared" si="149"/>
        <v>0</v>
      </c>
      <c r="K71" s="69">
        <f t="shared" si="149"/>
        <v>0</v>
      </c>
      <c r="L71" s="69">
        <f t="shared" si="149"/>
        <v>0</v>
      </c>
      <c r="M71" s="69">
        <f t="shared" si="149"/>
        <v>0</v>
      </c>
      <c r="N71" s="69">
        <f t="shared" si="149"/>
        <v>0</v>
      </c>
      <c r="O71" s="69">
        <f t="shared" si="149"/>
        <v>0</v>
      </c>
      <c r="P71" s="69">
        <f t="shared" si="149"/>
        <v>0</v>
      </c>
      <c r="Q71" s="69">
        <f t="shared" si="149"/>
        <v>0</v>
      </c>
      <c r="R71" s="69">
        <f t="shared" si="149"/>
        <v>0</v>
      </c>
      <c r="S71" s="69">
        <f t="shared" si="149"/>
        <v>0</v>
      </c>
      <c r="T71" s="69">
        <f t="shared" si="149"/>
        <v>0</v>
      </c>
      <c r="U71" s="69">
        <f t="shared" si="149"/>
        <v>0</v>
      </c>
      <c r="V71" s="69">
        <f t="shared" si="149"/>
        <v>0</v>
      </c>
      <c r="W71" s="69">
        <f t="shared" si="149"/>
        <v>0</v>
      </c>
      <c r="X71" s="69">
        <f t="shared" si="149"/>
        <v>0</v>
      </c>
      <c r="Y71" s="69">
        <f t="shared" si="149"/>
        <v>0</v>
      </c>
      <c r="Z71" s="69">
        <f t="shared" si="149"/>
        <v>0</v>
      </c>
      <c r="AA71" s="69">
        <f t="shared" si="149"/>
        <v>0</v>
      </c>
      <c r="AB71" s="69">
        <f t="shared" si="149"/>
        <v>0</v>
      </c>
      <c r="AC71" s="69">
        <f t="shared" si="149"/>
        <v>0</v>
      </c>
      <c r="AD71" s="69">
        <f t="shared" si="149"/>
        <v>0</v>
      </c>
      <c r="AE71" s="69">
        <f t="shared" si="149"/>
        <v>0</v>
      </c>
      <c r="AF71" s="69">
        <f t="shared" si="149"/>
        <v>0</v>
      </c>
      <c r="AG71" s="69">
        <f t="shared" si="149"/>
        <v>0</v>
      </c>
      <c r="AH71" s="69">
        <f t="shared" si="149"/>
        <v>0</v>
      </c>
      <c r="AI71" s="69">
        <f t="shared" si="149"/>
        <v>0</v>
      </c>
      <c r="AJ71" s="69">
        <f t="shared" si="149"/>
        <v>0</v>
      </c>
      <c r="AK71" s="69">
        <f t="shared" si="149"/>
        <v>0</v>
      </c>
      <c r="AL71" s="69">
        <f t="shared" si="149"/>
        <v>0</v>
      </c>
      <c r="AM71" s="69">
        <f t="shared" si="149"/>
        <v>0</v>
      </c>
      <c r="AN71" s="69">
        <f t="shared" si="149"/>
        <v>0</v>
      </c>
      <c r="AO71" s="69">
        <f t="shared" si="149"/>
        <v>0</v>
      </c>
      <c r="AP71" s="69">
        <f t="shared" si="149"/>
        <v>0</v>
      </c>
      <c r="AQ71" s="69">
        <f t="shared" si="149"/>
        <v>0</v>
      </c>
      <c r="AR71" s="69">
        <f t="shared" si="149"/>
        <v>0</v>
      </c>
      <c r="AS71" s="69">
        <f t="shared" si="149"/>
        <v>0</v>
      </c>
      <c r="AT71" s="69">
        <f t="shared" si="149"/>
        <v>0</v>
      </c>
      <c r="AU71" s="69">
        <f t="shared" si="149"/>
        <v>0</v>
      </c>
      <c r="AV71" s="69">
        <f t="shared" si="149"/>
        <v>0</v>
      </c>
      <c r="AW71" s="69">
        <f t="shared" si="149"/>
        <v>0</v>
      </c>
      <c r="AX71" s="69">
        <f t="shared" si="149"/>
        <v>0</v>
      </c>
      <c r="AY71" s="69">
        <f t="shared" si="149"/>
        <v>0</v>
      </c>
      <c r="AZ71" s="69">
        <f t="shared" si="149"/>
        <v>0</v>
      </c>
      <c r="BA71" s="69">
        <f t="shared" si="149"/>
        <v>0</v>
      </c>
      <c r="BB71" s="69">
        <f t="shared" si="149"/>
        <v>0</v>
      </c>
      <c r="BC71" s="69">
        <f t="shared" si="149"/>
        <v>0</v>
      </c>
      <c r="BD71" s="69">
        <f t="shared" si="149"/>
        <v>0</v>
      </c>
      <c r="BE71" s="69">
        <f t="shared" si="149"/>
        <v>0</v>
      </c>
      <c r="BF71" s="69">
        <f t="shared" si="149"/>
        <v>0</v>
      </c>
      <c r="BG71" s="69">
        <f t="shared" si="149"/>
        <v>0</v>
      </c>
      <c r="BH71" s="69">
        <f t="shared" si="149"/>
        <v>0</v>
      </c>
      <c r="BI71" s="69">
        <f t="shared" si="149"/>
        <v>0</v>
      </c>
      <c r="BJ71" s="69">
        <f t="shared" si="149"/>
        <v>0</v>
      </c>
      <c r="BK71" s="69">
        <f t="shared" si="149"/>
        <v>0</v>
      </c>
      <c r="BL71" s="69">
        <f t="shared" si="149"/>
        <v>0</v>
      </c>
      <c r="BM71" s="69">
        <f t="shared" si="149"/>
        <v>0</v>
      </c>
      <c r="BN71" s="69">
        <f t="shared" si="149"/>
        <v>0</v>
      </c>
      <c r="BO71" s="69">
        <f t="shared" si="149"/>
        <v>0</v>
      </c>
      <c r="BP71" s="69">
        <f t="shared" ref="BP71:EA71" si="150">BP30</f>
        <v>0</v>
      </c>
      <c r="BQ71" s="69">
        <f t="shared" si="150"/>
        <v>0</v>
      </c>
      <c r="BR71" s="69">
        <f t="shared" si="150"/>
        <v>0</v>
      </c>
      <c r="BS71" s="69">
        <f t="shared" si="150"/>
        <v>0</v>
      </c>
      <c r="BT71" s="69">
        <f t="shared" si="150"/>
        <v>0</v>
      </c>
      <c r="BU71" s="69">
        <f t="shared" si="150"/>
        <v>0</v>
      </c>
      <c r="BV71" s="69">
        <f t="shared" si="150"/>
        <v>0</v>
      </c>
      <c r="BW71" s="69">
        <f t="shared" si="150"/>
        <v>0</v>
      </c>
      <c r="BX71" s="69">
        <f t="shared" si="150"/>
        <v>0</v>
      </c>
      <c r="BY71" s="69">
        <f t="shared" si="150"/>
        <v>0</v>
      </c>
      <c r="BZ71" s="69">
        <f t="shared" si="150"/>
        <v>0</v>
      </c>
      <c r="CA71" s="69">
        <f t="shared" si="150"/>
        <v>0</v>
      </c>
      <c r="CB71" s="69">
        <f t="shared" si="150"/>
        <v>0</v>
      </c>
      <c r="CC71" s="69">
        <f t="shared" si="150"/>
        <v>0</v>
      </c>
      <c r="CD71" s="69">
        <f t="shared" si="150"/>
        <v>0</v>
      </c>
      <c r="CE71" s="69">
        <f t="shared" si="150"/>
        <v>0</v>
      </c>
      <c r="CF71" s="69">
        <f t="shared" si="150"/>
        <v>0</v>
      </c>
      <c r="CG71" s="69">
        <f t="shared" si="150"/>
        <v>0</v>
      </c>
      <c r="CH71" s="69">
        <f t="shared" si="150"/>
        <v>0</v>
      </c>
      <c r="CI71" s="69">
        <f t="shared" si="150"/>
        <v>0</v>
      </c>
      <c r="CJ71" s="69">
        <f t="shared" si="150"/>
        <v>0</v>
      </c>
      <c r="CK71" s="69">
        <f t="shared" si="150"/>
        <v>0</v>
      </c>
      <c r="CL71" s="69">
        <f t="shared" si="150"/>
        <v>0</v>
      </c>
      <c r="CM71" s="69">
        <f t="shared" si="150"/>
        <v>0</v>
      </c>
      <c r="CN71" s="69">
        <f t="shared" si="150"/>
        <v>0</v>
      </c>
      <c r="CO71" s="69">
        <f t="shared" si="150"/>
        <v>0</v>
      </c>
      <c r="CP71" s="69">
        <f t="shared" si="150"/>
        <v>0</v>
      </c>
      <c r="CQ71" s="69">
        <f t="shared" si="150"/>
        <v>0</v>
      </c>
      <c r="CR71" s="69">
        <f t="shared" si="150"/>
        <v>0</v>
      </c>
      <c r="CS71" s="69">
        <f t="shared" si="150"/>
        <v>0</v>
      </c>
      <c r="CT71" s="69">
        <f t="shared" si="150"/>
        <v>0</v>
      </c>
      <c r="CU71" s="69">
        <f t="shared" si="150"/>
        <v>0</v>
      </c>
      <c r="CV71" s="69">
        <f t="shared" si="150"/>
        <v>0</v>
      </c>
      <c r="CW71" s="69">
        <f t="shared" si="150"/>
        <v>0</v>
      </c>
      <c r="CX71" s="69">
        <f t="shared" si="150"/>
        <v>0</v>
      </c>
      <c r="CY71" s="69">
        <f t="shared" si="150"/>
        <v>0</v>
      </c>
      <c r="CZ71" s="69">
        <f t="shared" si="150"/>
        <v>0</v>
      </c>
      <c r="DA71" s="69">
        <f t="shared" si="150"/>
        <v>0</v>
      </c>
      <c r="DB71" s="69">
        <f t="shared" si="150"/>
        <v>0</v>
      </c>
      <c r="DC71" s="69">
        <f t="shared" si="150"/>
        <v>0</v>
      </c>
      <c r="DD71" s="69">
        <f t="shared" si="150"/>
        <v>0</v>
      </c>
      <c r="DE71" s="69">
        <f t="shared" si="150"/>
        <v>0</v>
      </c>
      <c r="DF71" s="69">
        <f t="shared" si="150"/>
        <v>0</v>
      </c>
      <c r="DG71" s="69">
        <f t="shared" si="150"/>
        <v>0</v>
      </c>
      <c r="DH71" s="69">
        <f t="shared" si="150"/>
        <v>0</v>
      </c>
      <c r="DI71" s="69">
        <f t="shared" si="150"/>
        <v>0</v>
      </c>
      <c r="DJ71" s="69">
        <f t="shared" si="150"/>
        <v>0</v>
      </c>
      <c r="DK71" s="69">
        <f t="shared" si="150"/>
        <v>0</v>
      </c>
      <c r="DL71" s="69">
        <f t="shared" si="150"/>
        <v>0</v>
      </c>
      <c r="DM71" s="69">
        <f t="shared" si="150"/>
        <v>0</v>
      </c>
      <c r="DN71" s="69">
        <f t="shared" si="150"/>
        <v>0</v>
      </c>
      <c r="DO71" s="69">
        <f t="shared" si="150"/>
        <v>0</v>
      </c>
      <c r="DP71" s="69">
        <f t="shared" si="150"/>
        <v>0</v>
      </c>
      <c r="DQ71" s="69">
        <f t="shared" si="150"/>
        <v>0</v>
      </c>
      <c r="DR71" s="69">
        <f t="shared" si="150"/>
        <v>0</v>
      </c>
      <c r="DS71" s="69">
        <f t="shared" si="150"/>
        <v>0</v>
      </c>
      <c r="DT71" s="69">
        <f t="shared" si="150"/>
        <v>0</v>
      </c>
      <c r="DU71" s="69">
        <f t="shared" si="150"/>
        <v>0</v>
      </c>
      <c r="DV71" s="69">
        <f t="shared" si="150"/>
        <v>0</v>
      </c>
      <c r="DW71" s="69">
        <f t="shared" si="150"/>
        <v>0</v>
      </c>
      <c r="DX71" s="69">
        <f t="shared" si="150"/>
        <v>0</v>
      </c>
      <c r="DY71" s="69">
        <f t="shared" si="150"/>
        <v>0</v>
      </c>
      <c r="DZ71" s="69">
        <f t="shared" si="150"/>
        <v>0</v>
      </c>
      <c r="EA71" s="69">
        <f t="shared" si="150"/>
        <v>0</v>
      </c>
      <c r="EB71" s="69">
        <f t="shared" ref="EB71:EE71" si="151">EB30</f>
        <v>0</v>
      </c>
      <c r="EC71" s="69">
        <f t="shared" si="151"/>
        <v>0</v>
      </c>
      <c r="ED71" s="69">
        <f t="shared" si="151"/>
        <v>0</v>
      </c>
      <c r="EE71" s="70">
        <f t="shared" si="151"/>
        <v>0</v>
      </c>
    </row>
    <row r="72" spans="2:135" x14ac:dyDescent="0.15">
      <c r="B72" s="7" t="s">
        <v>62</v>
      </c>
      <c r="C72" s="69">
        <f>C31+C45+C57+C65</f>
        <v>0</v>
      </c>
      <c r="D72" s="69">
        <f t="shared" ref="D72:BO72" ca="1" si="152">D31+D45+D57+D65</f>
        <v>63027.916912651017</v>
      </c>
      <c r="E72" s="69">
        <f t="shared" ca="1" si="152"/>
        <v>63397.857378496577</v>
      </c>
      <c r="F72" s="69">
        <f t="shared" ca="1" si="152"/>
        <v>63768.710217330539</v>
      </c>
      <c r="G72" s="69">
        <f t="shared" ca="1" si="152"/>
        <v>64140.477679310941</v>
      </c>
      <c r="H72" s="69">
        <f t="shared" ca="1" si="152"/>
        <v>64513.162020145166</v>
      </c>
      <c r="I72" s="69">
        <f t="shared" ca="1" si="152"/>
        <v>64886.76550110375</v>
      </c>
      <c r="J72" s="69">
        <f t="shared" ca="1" si="152"/>
        <v>65261.2903890343</v>
      </c>
      <c r="K72" s="69">
        <f t="shared" ca="1" si="152"/>
        <v>65636.738956374887</v>
      </c>
      <c r="L72" s="69">
        <f t="shared" ca="1" si="152"/>
        <v>66013.113481168213</v>
      </c>
      <c r="M72" s="69">
        <f t="shared" ca="1" si="152"/>
        <v>66390.416247075045</v>
      </c>
      <c r="N72" s="69">
        <f t="shared" ca="1" si="152"/>
        <v>66768.64954338847</v>
      </c>
      <c r="O72" s="69">
        <f t="shared" ca="1" si="152"/>
        <v>67147.815665047485</v>
      </c>
      <c r="P72" s="69">
        <f t="shared" ca="1" si="152"/>
        <v>67527.916912650995</v>
      </c>
      <c r="Q72" s="69">
        <f t="shared" ca="1" si="152"/>
        <v>67908.955592471917</v>
      </c>
      <c r="R72" s="69">
        <f t="shared" ca="1" si="152"/>
        <v>68290.934016470928</v>
      </c>
      <c r="S72" s="69">
        <f t="shared" ca="1" si="152"/>
        <v>68673.854502310787</v>
      </c>
      <c r="T72" s="69">
        <f t="shared" ca="1" si="152"/>
        <v>69057.719373369997</v>
      </c>
      <c r="U72" s="69">
        <f t="shared" ca="1" si="152"/>
        <v>69442.530958757343</v>
      </c>
      <c r="V72" s="69">
        <f t="shared" ca="1" si="152"/>
        <v>69828.291593325819</v>
      </c>
      <c r="W72" s="69">
        <f t="shared" ca="1" si="152"/>
        <v>70215.003617686627</v>
      </c>
      <c r="X72" s="69">
        <f t="shared" ca="1" si="152"/>
        <v>70602.669378223727</v>
      </c>
      <c r="Y72" s="69">
        <f t="shared" ca="1" si="152"/>
        <v>70991.291227107766</v>
      </c>
      <c r="Z72" s="69">
        <f t="shared" ca="1" si="152"/>
        <v>71380.871522310597</v>
      </c>
      <c r="AA72" s="69">
        <f t="shared" ca="1" si="152"/>
        <v>15452157.888971217</v>
      </c>
      <c r="AB72" s="69">
        <f t="shared" ca="1" si="152"/>
        <v>0</v>
      </c>
      <c r="AC72" s="69">
        <f t="shared" ca="1" si="152"/>
        <v>0</v>
      </c>
      <c r="AD72" s="69">
        <f t="shared" ca="1" si="152"/>
        <v>0</v>
      </c>
      <c r="AE72" s="69">
        <f t="shared" ca="1" si="152"/>
        <v>0</v>
      </c>
      <c r="AF72" s="69">
        <f t="shared" ca="1" si="152"/>
        <v>0</v>
      </c>
      <c r="AG72" s="69">
        <f t="shared" ca="1" si="152"/>
        <v>0</v>
      </c>
      <c r="AH72" s="69">
        <f t="shared" ca="1" si="152"/>
        <v>0</v>
      </c>
      <c r="AI72" s="69">
        <f t="shared" ca="1" si="152"/>
        <v>0</v>
      </c>
      <c r="AJ72" s="69">
        <f t="shared" ca="1" si="152"/>
        <v>0</v>
      </c>
      <c r="AK72" s="69">
        <f t="shared" ca="1" si="152"/>
        <v>0</v>
      </c>
      <c r="AL72" s="69">
        <f t="shared" ca="1" si="152"/>
        <v>0</v>
      </c>
      <c r="AM72" s="69">
        <f t="shared" ca="1" si="152"/>
        <v>0</v>
      </c>
      <c r="AN72" s="69">
        <f t="shared" ca="1" si="152"/>
        <v>0</v>
      </c>
      <c r="AO72" s="69">
        <f t="shared" ca="1" si="152"/>
        <v>0</v>
      </c>
      <c r="AP72" s="69">
        <f t="shared" ca="1" si="152"/>
        <v>0</v>
      </c>
      <c r="AQ72" s="69">
        <f t="shared" ca="1" si="152"/>
        <v>0</v>
      </c>
      <c r="AR72" s="69">
        <f t="shared" ca="1" si="152"/>
        <v>0</v>
      </c>
      <c r="AS72" s="69">
        <f t="shared" ca="1" si="152"/>
        <v>0</v>
      </c>
      <c r="AT72" s="69">
        <f t="shared" ca="1" si="152"/>
        <v>0</v>
      </c>
      <c r="AU72" s="69">
        <f t="shared" ca="1" si="152"/>
        <v>0</v>
      </c>
      <c r="AV72" s="69">
        <f t="shared" ca="1" si="152"/>
        <v>0</v>
      </c>
      <c r="AW72" s="69">
        <f t="shared" ca="1" si="152"/>
        <v>0</v>
      </c>
      <c r="AX72" s="69">
        <f t="shared" ca="1" si="152"/>
        <v>0</v>
      </c>
      <c r="AY72" s="69">
        <f t="shared" ca="1" si="152"/>
        <v>0</v>
      </c>
      <c r="AZ72" s="69">
        <f t="shared" ca="1" si="152"/>
        <v>0</v>
      </c>
      <c r="BA72" s="69">
        <f t="shared" ca="1" si="152"/>
        <v>0</v>
      </c>
      <c r="BB72" s="69">
        <f t="shared" ca="1" si="152"/>
        <v>0</v>
      </c>
      <c r="BC72" s="69">
        <f t="shared" ca="1" si="152"/>
        <v>0</v>
      </c>
      <c r="BD72" s="69">
        <f t="shared" ca="1" si="152"/>
        <v>0</v>
      </c>
      <c r="BE72" s="69">
        <f t="shared" ca="1" si="152"/>
        <v>0</v>
      </c>
      <c r="BF72" s="69">
        <f t="shared" ca="1" si="152"/>
        <v>0</v>
      </c>
      <c r="BG72" s="69">
        <f t="shared" ca="1" si="152"/>
        <v>0</v>
      </c>
      <c r="BH72" s="69">
        <f t="shared" ca="1" si="152"/>
        <v>0</v>
      </c>
      <c r="BI72" s="69">
        <f t="shared" ca="1" si="152"/>
        <v>0</v>
      </c>
      <c r="BJ72" s="69">
        <f t="shared" ca="1" si="152"/>
        <v>0</v>
      </c>
      <c r="BK72" s="69">
        <f t="shared" ca="1" si="152"/>
        <v>0</v>
      </c>
      <c r="BL72" s="69">
        <f t="shared" ca="1" si="152"/>
        <v>0</v>
      </c>
      <c r="BM72" s="69">
        <f t="shared" ca="1" si="152"/>
        <v>0</v>
      </c>
      <c r="BN72" s="69">
        <f t="shared" ca="1" si="152"/>
        <v>0</v>
      </c>
      <c r="BO72" s="69">
        <f t="shared" ca="1" si="152"/>
        <v>0</v>
      </c>
      <c r="BP72" s="69">
        <f t="shared" ref="BP72:EA72" ca="1" si="153">BP31+BP45+BP57+BP65</f>
        <v>0</v>
      </c>
      <c r="BQ72" s="69">
        <f t="shared" ca="1" si="153"/>
        <v>0</v>
      </c>
      <c r="BR72" s="69">
        <f t="shared" ca="1" si="153"/>
        <v>0</v>
      </c>
      <c r="BS72" s="69">
        <f t="shared" ca="1" si="153"/>
        <v>0</v>
      </c>
      <c r="BT72" s="69">
        <f t="shared" ca="1" si="153"/>
        <v>0</v>
      </c>
      <c r="BU72" s="69">
        <f t="shared" ca="1" si="153"/>
        <v>0</v>
      </c>
      <c r="BV72" s="69">
        <f t="shared" ca="1" si="153"/>
        <v>0</v>
      </c>
      <c r="BW72" s="69">
        <f t="shared" ca="1" si="153"/>
        <v>0</v>
      </c>
      <c r="BX72" s="69">
        <f t="shared" ca="1" si="153"/>
        <v>0</v>
      </c>
      <c r="BY72" s="69">
        <f t="shared" ca="1" si="153"/>
        <v>0</v>
      </c>
      <c r="BZ72" s="69">
        <f t="shared" ca="1" si="153"/>
        <v>0</v>
      </c>
      <c r="CA72" s="69">
        <f t="shared" ca="1" si="153"/>
        <v>0</v>
      </c>
      <c r="CB72" s="69">
        <f t="shared" ca="1" si="153"/>
        <v>0</v>
      </c>
      <c r="CC72" s="69">
        <f t="shared" ca="1" si="153"/>
        <v>0</v>
      </c>
      <c r="CD72" s="69">
        <f t="shared" ca="1" si="153"/>
        <v>0</v>
      </c>
      <c r="CE72" s="69">
        <f t="shared" ca="1" si="153"/>
        <v>0</v>
      </c>
      <c r="CF72" s="69">
        <f t="shared" ca="1" si="153"/>
        <v>0</v>
      </c>
      <c r="CG72" s="69">
        <f t="shared" ca="1" si="153"/>
        <v>0</v>
      </c>
      <c r="CH72" s="69">
        <f t="shared" ca="1" si="153"/>
        <v>0</v>
      </c>
      <c r="CI72" s="69">
        <f t="shared" ca="1" si="153"/>
        <v>0</v>
      </c>
      <c r="CJ72" s="69">
        <f t="shared" ca="1" si="153"/>
        <v>0</v>
      </c>
      <c r="CK72" s="69">
        <f t="shared" ca="1" si="153"/>
        <v>0</v>
      </c>
      <c r="CL72" s="69">
        <f t="shared" ca="1" si="153"/>
        <v>0</v>
      </c>
      <c r="CM72" s="69">
        <f t="shared" ca="1" si="153"/>
        <v>0</v>
      </c>
      <c r="CN72" s="69">
        <f t="shared" ca="1" si="153"/>
        <v>0</v>
      </c>
      <c r="CO72" s="69">
        <f t="shared" ca="1" si="153"/>
        <v>0</v>
      </c>
      <c r="CP72" s="69">
        <f t="shared" ca="1" si="153"/>
        <v>0</v>
      </c>
      <c r="CQ72" s="69">
        <f t="shared" ca="1" si="153"/>
        <v>0</v>
      </c>
      <c r="CR72" s="69">
        <f t="shared" ca="1" si="153"/>
        <v>0</v>
      </c>
      <c r="CS72" s="69">
        <f t="shared" ca="1" si="153"/>
        <v>0</v>
      </c>
      <c r="CT72" s="69">
        <f t="shared" ca="1" si="153"/>
        <v>0</v>
      </c>
      <c r="CU72" s="69">
        <f t="shared" ca="1" si="153"/>
        <v>0</v>
      </c>
      <c r="CV72" s="69">
        <f t="shared" ca="1" si="153"/>
        <v>0</v>
      </c>
      <c r="CW72" s="69">
        <f t="shared" ca="1" si="153"/>
        <v>0</v>
      </c>
      <c r="CX72" s="69">
        <f t="shared" ca="1" si="153"/>
        <v>0</v>
      </c>
      <c r="CY72" s="69">
        <f t="shared" ca="1" si="153"/>
        <v>0</v>
      </c>
      <c r="CZ72" s="69">
        <f t="shared" ca="1" si="153"/>
        <v>0</v>
      </c>
      <c r="DA72" s="69">
        <f t="shared" ca="1" si="153"/>
        <v>0</v>
      </c>
      <c r="DB72" s="69">
        <f t="shared" ca="1" si="153"/>
        <v>0</v>
      </c>
      <c r="DC72" s="69">
        <f t="shared" ca="1" si="153"/>
        <v>0</v>
      </c>
      <c r="DD72" s="69">
        <f t="shared" ca="1" si="153"/>
        <v>0</v>
      </c>
      <c r="DE72" s="69">
        <f t="shared" ca="1" si="153"/>
        <v>0</v>
      </c>
      <c r="DF72" s="69">
        <f t="shared" ca="1" si="153"/>
        <v>0</v>
      </c>
      <c r="DG72" s="69">
        <f t="shared" ca="1" si="153"/>
        <v>0</v>
      </c>
      <c r="DH72" s="69">
        <f t="shared" ca="1" si="153"/>
        <v>0</v>
      </c>
      <c r="DI72" s="69">
        <f t="shared" ca="1" si="153"/>
        <v>0</v>
      </c>
      <c r="DJ72" s="69">
        <f t="shared" ca="1" si="153"/>
        <v>0</v>
      </c>
      <c r="DK72" s="69">
        <f t="shared" ca="1" si="153"/>
        <v>0</v>
      </c>
      <c r="DL72" s="69">
        <f t="shared" ca="1" si="153"/>
        <v>0</v>
      </c>
      <c r="DM72" s="69">
        <f t="shared" ca="1" si="153"/>
        <v>0</v>
      </c>
      <c r="DN72" s="69">
        <f t="shared" ca="1" si="153"/>
        <v>0</v>
      </c>
      <c r="DO72" s="69">
        <f t="shared" ca="1" si="153"/>
        <v>0</v>
      </c>
      <c r="DP72" s="69">
        <f t="shared" ca="1" si="153"/>
        <v>0</v>
      </c>
      <c r="DQ72" s="69">
        <f t="shared" ca="1" si="153"/>
        <v>0</v>
      </c>
      <c r="DR72" s="69">
        <f t="shared" ca="1" si="153"/>
        <v>0</v>
      </c>
      <c r="DS72" s="69">
        <f t="shared" ca="1" si="153"/>
        <v>0</v>
      </c>
      <c r="DT72" s="69">
        <f t="shared" ca="1" si="153"/>
        <v>0</v>
      </c>
      <c r="DU72" s="69">
        <f t="shared" ca="1" si="153"/>
        <v>0</v>
      </c>
      <c r="DV72" s="69">
        <f t="shared" ca="1" si="153"/>
        <v>0</v>
      </c>
      <c r="DW72" s="69">
        <f t="shared" ca="1" si="153"/>
        <v>0</v>
      </c>
      <c r="DX72" s="69">
        <f t="shared" ca="1" si="153"/>
        <v>0</v>
      </c>
      <c r="DY72" s="69">
        <f t="shared" ca="1" si="153"/>
        <v>0</v>
      </c>
      <c r="DZ72" s="69">
        <f t="shared" ca="1" si="153"/>
        <v>0</v>
      </c>
      <c r="EA72" s="69">
        <f t="shared" ca="1" si="153"/>
        <v>0</v>
      </c>
      <c r="EB72" s="69">
        <f t="shared" ref="EB72:EE72" ca="1" si="154">EB31+EB45+EB57+EB65</f>
        <v>0</v>
      </c>
      <c r="EC72" s="69">
        <f t="shared" ca="1" si="154"/>
        <v>0</v>
      </c>
      <c r="ED72" s="69">
        <f t="shared" ca="1" si="154"/>
        <v>0</v>
      </c>
      <c r="EE72" s="70">
        <f t="shared" ca="1" si="154"/>
        <v>0</v>
      </c>
    </row>
    <row r="73" spans="2:135" x14ac:dyDescent="0.15">
      <c r="B73" s="55" t="s">
        <v>63</v>
      </c>
      <c r="C73" s="72">
        <f>SUM(C71:C72)</f>
        <v>-7807500</v>
      </c>
      <c r="D73" s="72">
        <f t="shared" ref="D73:BO73" ca="1" si="155">SUM(D71:D72)</f>
        <v>63027.916912651017</v>
      </c>
      <c r="E73" s="72">
        <f t="shared" ca="1" si="155"/>
        <v>63397.857378496577</v>
      </c>
      <c r="F73" s="72">
        <f t="shared" ca="1" si="155"/>
        <v>63768.710217330539</v>
      </c>
      <c r="G73" s="72">
        <f t="shared" ca="1" si="155"/>
        <v>64140.477679310941</v>
      </c>
      <c r="H73" s="72">
        <f t="shared" ca="1" si="155"/>
        <v>64513.162020145166</v>
      </c>
      <c r="I73" s="72">
        <f t="shared" ca="1" si="155"/>
        <v>64886.76550110375</v>
      </c>
      <c r="J73" s="72">
        <f t="shared" ca="1" si="155"/>
        <v>65261.2903890343</v>
      </c>
      <c r="K73" s="72">
        <f t="shared" ca="1" si="155"/>
        <v>65636.738956374887</v>
      </c>
      <c r="L73" s="72">
        <f t="shared" ca="1" si="155"/>
        <v>66013.113481168213</v>
      </c>
      <c r="M73" s="72">
        <f t="shared" ca="1" si="155"/>
        <v>66390.416247075045</v>
      </c>
      <c r="N73" s="72">
        <f t="shared" ca="1" si="155"/>
        <v>66768.64954338847</v>
      </c>
      <c r="O73" s="72">
        <f t="shared" ca="1" si="155"/>
        <v>67147.815665047485</v>
      </c>
      <c r="P73" s="72">
        <f t="shared" ca="1" si="155"/>
        <v>67527.916912650995</v>
      </c>
      <c r="Q73" s="72">
        <f t="shared" ca="1" si="155"/>
        <v>67908.955592471917</v>
      </c>
      <c r="R73" s="72">
        <f t="shared" ca="1" si="155"/>
        <v>68290.934016470928</v>
      </c>
      <c r="S73" s="72">
        <f t="shared" ca="1" si="155"/>
        <v>68673.854502310787</v>
      </c>
      <c r="T73" s="72">
        <f t="shared" ca="1" si="155"/>
        <v>69057.719373369997</v>
      </c>
      <c r="U73" s="72">
        <f t="shared" ca="1" si="155"/>
        <v>69442.530958757343</v>
      </c>
      <c r="V73" s="72">
        <f t="shared" ca="1" si="155"/>
        <v>69828.291593325819</v>
      </c>
      <c r="W73" s="72">
        <f t="shared" ca="1" si="155"/>
        <v>70215.003617686627</v>
      </c>
      <c r="X73" s="72">
        <f t="shared" ca="1" si="155"/>
        <v>70602.669378223727</v>
      </c>
      <c r="Y73" s="72">
        <f t="shared" ca="1" si="155"/>
        <v>70991.291227107766</v>
      </c>
      <c r="Z73" s="72">
        <f t="shared" ca="1" si="155"/>
        <v>71380.871522310597</v>
      </c>
      <c r="AA73" s="72">
        <f t="shared" ca="1" si="155"/>
        <v>15452157.888971217</v>
      </c>
      <c r="AB73" s="72">
        <f t="shared" ca="1" si="155"/>
        <v>0</v>
      </c>
      <c r="AC73" s="72">
        <f t="shared" ca="1" si="155"/>
        <v>0</v>
      </c>
      <c r="AD73" s="72">
        <f t="shared" ca="1" si="155"/>
        <v>0</v>
      </c>
      <c r="AE73" s="72">
        <f t="shared" ca="1" si="155"/>
        <v>0</v>
      </c>
      <c r="AF73" s="72">
        <f t="shared" ca="1" si="155"/>
        <v>0</v>
      </c>
      <c r="AG73" s="72">
        <f t="shared" ca="1" si="155"/>
        <v>0</v>
      </c>
      <c r="AH73" s="72">
        <f t="shared" ca="1" si="155"/>
        <v>0</v>
      </c>
      <c r="AI73" s="72">
        <f t="shared" ca="1" si="155"/>
        <v>0</v>
      </c>
      <c r="AJ73" s="72">
        <f t="shared" ca="1" si="155"/>
        <v>0</v>
      </c>
      <c r="AK73" s="72">
        <f t="shared" ca="1" si="155"/>
        <v>0</v>
      </c>
      <c r="AL73" s="72">
        <f t="shared" ca="1" si="155"/>
        <v>0</v>
      </c>
      <c r="AM73" s="72">
        <f t="shared" ca="1" si="155"/>
        <v>0</v>
      </c>
      <c r="AN73" s="72">
        <f t="shared" ca="1" si="155"/>
        <v>0</v>
      </c>
      <c r="AO73" s="72">
        <f t="shared" ca="1" si="155"/>
        <v>0</v>
      </c>
      <c r="AP73" s="72">
        <f t="shared" ca="1" si="155"/>
        <v>0</v>
      </c>
      <c r="AQ73" s="72">
        <f t="shared" ca="1" si="155"/>
        <v>0</v>
      </c>
      <c r="AR73" s="72">
        <f t="shared" ca="1" si="155"/>
        <v>0</v>
      </c>
      <c r="AS73" s="72">
        <f t="shared" ca="1" si="155"/>
        <v>0</v>
      </c>
      <c r="AT73" s="72">
        <f t="shared" ca="1" si="155"/>
        <v>0</v>
      </c>
      <c r="AU73" s="72">
        <f t="shared" ca="1" si="155"/>
        <v>0</v>
      </c>
      <c r="AV73" s="72">
        <f t="shared" ca="1" si="155"/>
        <v>0</v>
      </c>
      <c r="AW73" s="72">
        <f t="shared" ca="1" si="155"/>
        <v>0</v>
      </c>
      <c r="AX73" s="72">
        <f t="shared" ca="1" si="155"/>
        <v>0</v>
      </c>
      <c r="AY73" s="72">
        <f t="shared" ca="1" si="155"/>
        <v>0</v>
      </c>
      <c r="AZ73" s="72">
        <f t="shared" ca="1" si="155"/>
        <v>0</v>
      </c>
      <c r="BA73" s="72">
        <f t="shared" ca="1" si="155"/>
        <v>0</v>
      </c>
      <c r="BB73" s="72">
        <f t="shared" ca="1" si="155"/>
        <v>0</v>
      </c>
      <c r="BC73" s="72">
        <f t="shared" ca="1" si="155"/>
        <v>0</v>
      </c>
      <c r="BD73" s="72">
        <f t="shared" ca="1" si="155"/>
        <v>0</v>
      </c>
      <c r="BE73" s="72">
        <f t="shared" ca="1" si="155"/>
        <v>0</v>
      </c>
      <c r="BF73" s="72">
        <f t="shared" ca="1" si="155"/>
        <v>0</v>
      </c>
      <c r="BG73" s="72">
        <f t="shared" ca="1" si="155"/>
        <v>0</v>
      </c>
      <c r="BH73" s="72">
        <f t="shared" ca="1" si="155"/>
        <v>0</v>
      </c>
      <c r="BI73" s="72">
        <f t="shared" ca="1" si="155"/>
        <v>0</v>
      </c>
      <c r="BJ73" s="72">
        <f t="shared" ca="1" si="155"/>
        <v>0</v>
      </c>
      <c r="BK73" s="72">
        <f t="shared" ca="1" si="155"/>
        <v>0</v>
      </c>
      <c r="BL73" s="72">
        <f t="shared" ca="1" si="155"/>
        <v>0</v>
      </c>
      <c r="BM73" s="72">
        <f t="shared" ca="1" si="155"/>
        <v>0</v>
      </c>
      <c r="BN73" s="72">
        <f t="shared" ca="1" si="155"/>
        <v>0</v>
      </c>
      <c r="BO73" s="72">
        <f t="shared" ca="1" si="155"/>
        <v>0</v>
      </c>
      <c r="BP73" s="72">
        <f t="shared" ref="BP73:EA73" ca="1" si="156">SUM(BP71:BP72)</f>
        <v>0</v>
      </c>
      <c r="BQ73" s="72">
        <f t="shared" ca="1" si="156"/>
        <v>0</v>
      </c>
      <c r="BR73" s="72">
        <f t="shared" ca="1" si="156"/>
        <v>0</v>
      </c>
      <c r="BS73" s="72">
        <f t="shared" ca="1" si="156"/>
        <v>0</v>
      </c>
      <c r="BT73" s="72">
        <f t="shared" ca="1" si="156"/>
        <v>0</v>
      </c>
      <c r="BU73" s="72">
        <f t="shared" ca="1" si="156"/>
        <v>0</v>
      </c>
      <c r="BV73" s="72">
        <f t="shared" ca="1" si="156"/>
        <v>0</v>
      </c>
      <c r="BW73" s="72">
        <f t="shared" ca="1" si="156"/>
        <v>0</v>
      </c>
      <c r="BX73" s="72">
        <f t="shared" ca="1" si="156"/>
        <v>0</v>
      </c>
      <c r="BY73" s="72">
        <f t="shared" ca="1" si="156"/>
        <v>0</v>
      </c>
      <c r="BZ73" s="72">
        <f t="shared" ca="1" si="156"/>
        <v>0</v>
      </c>
      <c r="CA73" s="72">
        <f t="shared" ca="1" si="156"/>
        <v>0</v>
      </c>
      <c r="CB73" s="72">
        <f t="shared" ca="1" si="156"/>
        <v>0</v>
      </c>
      <c r="CC73" s="72">
        <f t="shared" ca="1" si="156"/>
        <v>0</v>
      </c>
      <c r="CD73" s="72">
        <f t="shared" ca="1" si="156"/>
        <v>0</v>
      </c>
      <c r="CE73" s="72">
        <f t="shared" ca="1" si="156"/>
        <v>0</v>
      </c>
      <c r="CF73" s="72">
        <f t="shared" ca="1" si="156"/>
        <v>0</v>
      </c>
      <c r="CG73" s="72">
        <f t="shared" ca="1" si="156"/>
        <v>0</v>
      </c>
      <c r="CH73" s="72">
        <f t="shared" ca="1" si="156"/>
        <v>0</v>
      </c>
      <c r="CI73" s="72">
        <f t="shared" ca="1" si="156"/>
        <v>0</v>
      </c>
      <c r="CJ73" s="72">
        <f t="shared" ca="1" si="156"/>
        <v>0</v>
      </c>
      <c r="CK73" s="72">
        <f t="shared" ca="1" si="156"/>
        <v>0</v>
      </c>
      <c r="CL73" s="72">
        <f t="shared" ca="1" si="156"/>
        <v>0</v>
      </c>
      <c r="CM73" s="72">
        <f t="shared" ca="1" si="156"/>
        <v>0</v>
      </c>
      <c r="CN73" s="72">
        <f t="shared" ca="1" si="156"/>
        <v>0</v>
      </c>
      <c r="CO73" s="72">
        <f t="shared" ca="1" si="156"/>
        <v>0</v>
      </c>
      <c r="CP73" s="72">
        <f t="shared" ca="1" si="156"/>
        <v>0</v>
      </c>
      <c r="CQ73" s="72">
        <f t="shared" ca="1" si="156"/>
        <v>0</v>
      </c>
      <c r="CR73" s="72">
        <f t="shared" ca="1" si="156"/>
        <v>0</v>
      </c>
      <c r="CS73" s="72">
        <f t="shared" ca="1" si="156"/>
        <v>0</v>
      </c>
      <c r="CT73" s="72">
        <f t="shared" ca="1" si="156"/>
        <v>0</v>
      </c>
      <c r="CU73" s="72">
        <f t="shared" ca="1" si="156"/>
        <v>0</v>
      </c>
      <c r="CV73" s="72">
        <f t="shared" ca="1" si="156"/>
        <v>0</v>
      </c>
      <c r="CW73" s="72">
        <f t="shared" ca="1" si="156"/>
        <v>0</v>
      </c>
      <c r="CX73" s="72">
        <f t="shared" ca="1" si="156"/>
        <v>0</v>
      </c>
      <c r="CY73" s="72">
        <f t="shared" ca="1" si="156"/>
        <v>0</v>
      </c>
      <c r="CZ73" s="72">
        <f t="shared" ca="1" si="156"/>
        <v>0</v>
      </c>
      <c r="DA73" s="72">
        <f t="shared" ca="1" si="156"/>
        <v>0</v>
      </c>
      <c r="DB73" s="72">
        <f t="shared" ca="1" si="156"/>
        <v>0</v>
      </c>
      <c r="DC73" s="72">
        <f t="shared" ca="1" si="156"/>
        <v>0</v>
      </c>
      <c r="DD73" s="72">
        <f t="shared" ca="1" si="156"/>
        <v>0</v>
      </c>
      <c r="DE73" s="72">
        <f t="shared" ca="1" si="156"/>
        <v>0</v>
      </c>
      <c r="DF73" s="72">
        <f t="shared" ca="1" si="156"/>
        <v>0</v>
      </c>
      <c r="DG73" s="72">
        <f t="shared" ca="1" si="156"/>
        <v>0</v>
      </c>
      <c r="DH73" s="72">
        <f t="shared" ca="1" si="156"/>
        <v>0</v>
      </c>
      <c r="DI73" s="72">
        <f t="shared" ca="1" si="156"/>
        <v>0</v>
      </c>
      <c r="DJ73" s="72">
        <f t="shared" ca="1" si="156"/>
        <v>0</v>
      </c>
      <c r="DK73" s="72">
        <f t="shared" ca="1" si="156"/>
        <v>0</v>
      </c>
      <c r="DL73" s="72">
        <f t="shared" ca="1" si="156"/>
        <v>0</v>
      </c>
      <c r="DM73" s="72">
        <f t="shared" ca="1" si="156"/>
        <v>0</v>
      </c>
      <c r="DN73" s="72">
        <f t="shared" ca="1" si="156"/>
        <v>0</v>
      </c>
      <c r="DO73" s="72">
        <f t="shared" ca="1" si="156"/>
        <v>0</v>
      </c>
      <c r="DP73" s="72">
        <f t="shared" ca="1" si="156"/>
        <v>0</v>
      </c>
      <c r="DQ73" s="72">
        <f t="shared" ca="1" si="156"/>
        <v>0</v>
      </c>
      <c r="DR73" s="72">
        <f t="shared" ca="1" si="156"/>
        <v>0</v>
      </c>
      <c r="DS73" s="72">
        <f t="shared" ca="1" si="156"/>
        <v>0</v>
      </c>
      <c r="DT73" s="72">
        <f t="shared" ca="1" si="156"/>
        <v>0</v>
      </c>
      <c r="DU73" s="72">
        <f t="shared" ca="1" si="156"/>
        <v>0</v>
      </c>
      <c r="DV73" s="72">
        <f t="shared" ca="1" si="156"/>
        <v>0</v>
      </c>
      <c r="DW73" s="72">
        <f t="shared" ca="1" si="156"/>
        <v>0</v>
      </c>
      <c r="DX73" s="72">
        <f t="shared" ca="1" si="156"/>
        <v>0</v>
      </c>
      <c r="DY73" s="72">
        <f t="shared" ca="1" si="156"/>
        <v>0</v>
      </c>
      <c r="DZ73" s="72">
        <f t="shared" ca="1" si="156"/>
        <v>0</v>
      </c>
      <c r="EA73" s="72">
        <f t="shared" ca="1" si="156"/>
        <v>0</v>
      </c>
      <c r="EB73" s="72">
        <f t="shared" ref="EB73:EE73" ca="1" si="157">SUM(EB71:EB72)</f>
        <v>0</v>
      </c>
      <c r="EC73" s="72">
        <f t="shared" ca="1" si="157"/>
        <v>0</v>
      </c>
      <c r="ED73" s="72">
        <f t="shared" ca="1" si="157"/>
        <v>0</v>
      </c>
      <c r="EE73" s="73">
        <f t="shared" ca="1" si="157"/>
        <v>0</v>
      </c>
    </row>
    <row r="75" spans="2:135" x14ac:dyDescent="0.15">
      <c r="B75" s="63" t="s">
        <v>64</v>
      </c>
      <c r="C75" s="64">
        <f ca="1">C70</f>
        <v>46053</v>
      </c>
      <c r="D75" s="64">
        <f t="shared" ref="D75:BO75" ca="1" si="158">D70</f>
        <v>46081</v>
      </c>
      <c r="E75" s="64">
        <f t="shared" ca="1" si="158"/>
        <v>46112</v>
      </c>
      <c r="F75" s="64">
        <f t="shared" ca="1" si="158"/>
        <v>46142</v>
      </c>
      <c r="G75" s="64">
        <f t="shared" ca="1" si="158"/>
        <v>46173</v>
      </c>
      <c r="H75" s="64">
        <f t="shared" ca="1" si="158"/>
        <v>46203</v>
      </c>
      <c r="I75" s="64">
        <f t="shared" ca="1" si="158"/>
        <v>46234</v>
      </c>
      <c r="J75" s="64">
        <f t="shared" ca="1" si="158"/>
        <v>46265</v>
      </c>
      <c r="K75" s="64">
        <f t="shared" ca="1" si="158"/>
        <v>46295</v>
      </c>
      <c r="L75" s="64">
        <f t="shared" ca="1" si="158"/>
        <v>46326</v>
      </c>
      <c r="M75" s="64">
        <f t="shared" ca="1" si="158"/>
        <v>46356</v>
      </c>
      <c r="N75" s="64">
        <f t="shared" ca="1" si="158"/>
        <v>46387</v>
      </c>
      <c r="O75" s="64">
        <f t="shared" ca="1" si="158"/>
        <v>46418</v>
      </c>
      <c r="P75" s="64">
        <f t="shared" ca="1" si="158"/>
        <v>46446</v>
      </c>
      <c r="Q75" s="64">
        <f t="shared" ca="1" si="158"/>
        <v>46477</v>
      </c>
      <c r="R75" s="64">
        <f t="shared" ca="1" si="158"/>
        <v>46507</v>
      </c>
      <c r="S75" s="64">
        <f t="shared" ca="1" si="158"/>
        <v>46538</v>
      </c>
      <c r="T75" s="64">
        <f t="shared" ca="1" si="158"/>
        <v>46568</v>
      </c>
      <c r="U75" s="64">
        <f t="shared" ca="1" si="158"/>
        <v>46599</v>
      </c>
      <c r="V75" s="64">
        <f t="shared" ca="1" si="158"/>
        <v>46630</v>
      </c>
      <c r="W75" s="64">
        <f t="shared" ca="1" si="158"/>
        <v>46660</v>
      </c>
      <c r="X75" s="64">
        <f t="shared" ca="1" si="158"/>
        <v>46691</v>
      </c>
      <c r="Y75" s="64">
        <f t="shared" ca="1" si="158"/>
        <v>46721</v>
      </c>
      <c r="Z75" s="64">
        <f t="shared" ca="1" si="158"/>
        <v>46752</v>
      </c>
      <c r="AA75" s="64">
        <f t="shared" ca="1" si="158"/>
        <v>46783</v>
      </c>
      <c r="AB75" s="64">
        <f t="shared" ca="1" si="158"/>
        <v>46812</v>
      </c>
      <c r="AC75" s="64">
        <f t="shared" ca="1" si="158"/>
        <v>46843</v>
      </c>
      <c r="AD75" s="64">
        <f t="shared" ca="1" si="158"/>
        <v>46873</v>
      </c>
      <c r="AE75" s="64">
        <f t="shared" ca="1" si="158"/>
        <v>46904</v>
      </c>
      <c r="AF75" s="64">
        <f t="shared" ca="1" si="158"/>
        <v>46934</v>
      </c>
      <c r="AG75" s="64">
        <f t="shared" ca="1" si="158"/>
        <v>46965</v>
      </c>
      <c r="AH75" s="64">
        <f t="shared" ca="1" si="158"/>
        <v>46996</v>
      </c>
      <c r="AI75" s="64">
        <f t="shared" ca="1" si="158"/>
        <v>47026</v>
      </c>
      <c r="AJ75" s="64">
        <f t="shared" ca="1" si="158"/>
        <v>47057</v>
      </c>
      <c r="AK75" s="64">
        <f t="shared" ca="1" si="158"/>
        <v>47087</v>
      </c>
      <c r="AL75" s="64">
        <f t="shared" ca="1" si="158"/>
        <v>47118</v>
      </c>
      <c r="AM75" s="64">
        <f t="shared" ca="1" si="158"/>
        <v>47149</v>
      </c>
      <c r="AN75" s="64">
        <f t="shared" ca="1" si="158"/>
        <v>47177</v>
      </c>
      <c r="AO75" s="64">
        <f t="shared" ca="1" si="158"/>
        <v>47208</v>
      </c>
      <c r="AP75" s="64">
        <f t="shared" ca="1" si="158"/>
        <v>47238</v>
      </c>
      <c r="AQ75" s="64">
        <f t="shared" ca="1" si="158"/>
        <v>47269</v>
      </c>
      <c r="AR75" s="64">
        <f t="shared" ca="1" si="158"/>
        <v>47299</v>
      </c>
      <c r="AS75" s="64">
        <f t="shared" ca="1" si="158"/>
        <v>47330</v>
      </c>
      <c r="AT75" s="64">
        <f t="shared" ca="1" si="158"/>
        <v>47361</v>
      </c>
      <c r="AU75" s="64">
        <f t="shared" ca="1" si="158"/>
        <v>47391</v>
      </c>
      <c r="AV75" s="64">
        <f t="shared" ca="1" si="158"/>
        <v>47422</v>
      </c>
      <c r="AW75" s="64">
        <f t="shared" ca="1" si="158"/>
        <v>47452</v>
      </c>
      <c r="AX75" s="64">
        <f t="shared" ca="1" si="158"/>
        <v>47483</v>
      </c>
      <c r="AY75" s="64">
        <f t="shared" ca="1" si="158"/>
        <v>47514</v>
      </c>
      <c r="AZ75" s="64">
        <f t="shared" ca="1" si="158"/>
        <v>47542</v>
      </c>
      <c r="BA75" s="64">
        <f t="shared" ca="1" si="158"/>
        <v>47573</v>
      </c>
      <c r="BB75" s="64">
        <f t="shared" ca="1" si="158"/>
        <v>47603</v>
      </c>
      <c r="BC75" s="64">
        <f t="shared" ca="1" si="158"/>
        <v>47634</v>
      </c>
      <c r="BD75" s="64">
        <f t="shared" ca="1" si="158"/>
        <v>47664</v>
      </c>
      <c r="BE75" s="64">
        <f t="shared" ca="1" si="158"/>
        <v>47695</v>
      </c>
      <c r="BF75" s="64">
        <f t="shared" ca="1" si="158"/>
        <v>47726</v>
      </c>
      <c r="BG75" s="64">
        <f t="shared" ca="1" si="158"/>
        <v>47756</v>
      </c>
      <c r="BH75" s="64">
        <f t="shared" ca="1" si="158"/>
        <v>47787</v>
      </c>
      <c r="BI75" s="64">
        <f t="shared" ca="1" si="158"/>
        <v>47817</v>
      </c>
      <c r="BJ75" s="64">
        <f t="shared" ca="1" si="158"/>
        <v>47848</v>
      </c>
      <c r="BK75" s="64">
        <f t="shared" ca="1" si="158"/>
        <v>47879</v>
      </c>
      <c r="BL75" s="64">
        <f t="shared" ca="1" si="158"/>
        <v>47907</v>
      </c>
      <c r="BM75" s="64">
        <f t="shared" ca="1" si="158"/>
        <v>47938</v>
      </c>
      <c r="BN75" s="64">
        <f t="shared" ca="1" si="158"/>
        <v>47968</v>
      </c>
      <c r="BO75" s="64">
        <f t="shared" ca="1" si="158"/>
        <v>47999</v>
      </c>
      <c r="BP75" s="64">
        <f t="shared" ref="BP75:EA75" ca="1" si="159">BP70</f>
        <v>48029</v>
      </c>
      <c r="BQ75" s="64">
        <f t="shared" ca="1" si="159"/>
        <v>48060</v>
      </c>
      <c r="BR75" s="64">
        <f t="shared" ca="1" si="159"/>
        <v>48091</v>
      </c>
      <c r="BS75" s="64">
        <f t="shared" ca="1" si="159"/>
        <v>48121</v>
      </c>
      <c r="BT75" s="64">
        <f t="shared" ca="1" si="159"/>
        <v>48152</v>
      </c>
      <c r="BU75" s="64">
        <f t="shared" ca="1" si="159"/>
        <v>48182</v>
      </c>
      <c r="BV75" s="64">
        <f t="shared" ca="1" si="159"/>
        <v>48213</v>
      </c>
      <c r="BW75" s="64">
        <f t="shared" ca="1" si="159"/>
        <v>48244</v>
      </c>
      <c r="BX75" s="64">
        <f t="shared" ca="1" si="159"/>
        <v>48273</v>
      </c>
      <c r="BY75" s="64">
        <f t="shared" ca="1" si="159"/>
        <v>48304</v>
      </c>
      <c r="BZ75" s="64">
        <f t="shared" ca="1" si="159"/>
        <v>48334</v>
      </c>
      <c r="CA75" s="64">
        <f t="shared" ca="1" si="159"/>
        <v>48365</v>
      </c>
      <c r="CB75" s="64">
        <f t="shared" ca="1" si="159"/>
        <v>48395</v>
      </c>
      <c r="CC75" s="64">
        <f t="shared" ca="1" si="159"/>
        <v>48426</v>
      </c>
      <c r="CD75" s="64">
        <f t="shared" ca="1" si="159"/>
        <v>48457</v>
      </c>
      <c r="CE75" s="64">
        <f t="shared" ca="1" si="159"/>
        <v>48487</v>
      </c>
      <c r="CF75" s="64">
        <f t="shared" ca="1" si="159"/>
        <v>48518</v>
      </c>
      <c r="CG75" s="64">
        <f t="shared" ca="1" si="159"/>
        <v>48548</v>
      </c>
      <c r="CH75" s="64">
        <f t="shared" ca="1" si="159"/>
        <v>48579</v>
      </c>
      <c r="CI75" s="64">
        <f t="shared" ca="1" si="159"/>
        <v>48610</v>
      </c>
      <c r="CJ75" s="64">
        <f t="shared" ca="1" si="159"/>
        <v>48638</v>
      </c>
      <c r="CK75" s="64">
        <f t="shared" ca="1" si="159"/>
        <v>48669</v>
      </c>
      <c r="CL75" s="64">
        <f t="shared" ca="1" si="159"/>
        <v>48699</v>
      </c>
      <c r="CM75" s="64">
        <f t="shared" ca="1" si="159"/>
        <v>48730</v>
      </c>
      <c r="CN75" s="64">
        <f t="shared" ca="1" si="159"/>
        <v>48760</v>
      </c>
      <c r="CO75" s="64">
        <f t="shared" ca="1" si="159"/>
        <v>48791</v>
      </c>
      <c r="CP75" s="64">
        <f t="shared" ca="1" si="159"/>
        <v>48822</v>
      </c>
      <c r="CQ75" s="64">
        <f t="shared" ca="1" si="159"/>
        <v>48852</v>
      </c>
      <c r="CR75" s="64">
        <f t="shared" ca="1" si="159"/>
        <v>48883</v>
      </c>
      <c r="CS75" s="64">
        <f t="shared" ca="1" si="159"/>
        <v>48913</v>
      </c>
      <c r="CT75" s="64">
        <f t="shared" ca="1" si="159"/>
        <v>48944</v>
      </c>
      <c r="CU75" s="64">
        <f t="shared" ca="1" si="159"/>
        <v>48975</v>
      </c>
      <c r="CV75" s="64">
        <f t="shared" ca="1" si="159"/>
        <v>49003</v>
      </c>
      <c r="CW75" s="64">
        <f t="shared" ca="1" si="159"/>
        <v>49034</v>
      </c>
      <c r="CX75" s="64">
        <f t="shared" ca="1" si="159"/>
        <v>49064</v>
      </c>
      <c r="CY75" s="64">
        <f t="shared" ca="1" si="159"/>
        <v>49095</v>
      </c>
      <c r="CZ75" s="64">
        <f t="shared" ca="1" si="159"/>
        <v>49125</v>
      </c>
      <c r="DA75" s="64">
        <f t="shared" ca="1" si="159"/>
        <v>49156</v>
      </c>
      <c r="DB75" s="64">
        <f t="shared" ca="1" si="159"/>
        <v>49187</v>
      </c>
      <c r="DC75" s="64">
        <f t="shared" ca="1" si="159"/>
        <v>49217</v>
      </c>
      <c r="DD75" s="64">
        <f t="shared" ca="1" si="159"/>
        <v>49248</v>
      </c>
      <c r="DE75" s="64">
        <f t="shared" ca="1" si="159"/>
        <v>49278</v>
      </c>
      <c r="DF75" s="64">
        <f t="shared" ca="1" si="159"/>
        <v>49309</v>
      </c>
      <c r="DG75" s="64">
        <f t="shared" ca="1" si="159"/>
        <v>49340</v>
      </c>
      <c r="DH75" s="64">
        <f t="shared" ca="1" si="159"/>
        <v>49368</v>
      </c>
      <c r="DI75" s="64">
        <f t="shared" ca="1" si="159"/>
        <v>49399</v>
      </c>
      <c r="DJ75" s="64">
        <f t="shared" ca="1" si="159"/>
        <v>49429</v>
      </c>
      <c r="DK75" s="64">
        <f t="shared" ca="1" si="159"/>
        <v>49460</v>
      </c>
      <c r="DL75" s="64">
        <f t="shared" ca="1" si="159"/>
        <v>49490</v>
      </c>
      <c r="DM75" s="64">
        <f t="shared" ca="1" si="159"/>
        <v>49521</v>
      </c>
      <c r="DN75" s="64">
        <f t="shared" ca="1" si="159"/>
        <v>49552</v>
      </c>
      <c r="DO75" s="64">
        <f t="shared" ca="1" si="159"/>
        <v>49582</v>
      </c>
      <c r="DP75" s="64">
        <f t="shared" ca="1" si="159"/>
        <v>49613</v>
      </c>
      <c r="DQ75" s="64">
        <f t="shared" ca="1" si="159"/>
        <v>49643</v>
      </c>
      <c r="DR75" s="64">
        <f t="shared" ca="1" si="159"/>
        <v>49674</v>
      </c>
      <c r="DS75" s="64">
        <f t="shared" ca="1" si="159"/>
        <v>49705</v>
      </c>
      <c r="DT75" s="64">
        <f t="shared" ca="1" si="159"/>
        <v>49734</v>
      </c>
      <c r="DU75" s="64">
        <f t="shared" ca="1" si="159"/>
        <v>49765</v>
      </c>
      <c r="DV75" s="64">
        <f t="shared" ca="1" si="159"/>
        <v>49795</v>
      </c>
      <c r="DW75" s="64">
        <f t="shared" ca="1" si="159"/>
        <v>49826</v>
      </c>
      <c r="DX75" s="64">
        <f t="shared" ca="1" si="159"/>
        <v>49856</v>
      </c>
      <c r="DY75" s="64">
        <f t="shared" ca="1" si="159"/>
        <v>49887</v>
      </c>
      <c r="DZ75" s="64">
        <f t="shared" ca="1" si="159"/>
        <v>49918</v>
      </c>
      <c r="EA75" s="64">
        <f t="shared" ca="1" si="159"/>
        <v>49948</v>
      </c>
      <c r="EB75" s="64">
        <f t="shared" ref="EB75:EE75" ca="1" si="160">EB70</f>
        <v>49979</v>
      </c>
      <c r="EC75" s="64">
        <f t="shared" ca="1" si="160"/>
        <v>50009</v>
      </c>
      <c r="ED75" s="64">
        <f t="shared" ca="1" si="160"/>
        <v>50040</v>
      </c>
      <c r="EE75" s="65">
        <f t="shared" ca="1" si="160"/>
        <v>50071</v>
      </c>
    </row>
    <row r="76" spans="2:135" x14ac:dyDescent="0.15">
      <c r="B76" s="7" t="s">
        <v>61</v>
      </c>
      <c r="C76" s="69">
        <f>C34</f>
        <v>-867500</v>
      </c>
      <c r="D76" s="69">
        <f t="shared" ref="D76:BO76" si="161">D34</f>
        <v>0</v>
      </c>
      <c r="E76" s="69">
        <f t="shared" si="161"/>
        <v>0</v>
      </c>
      <c r="F76" s="69">
        <f t="shared" si="161"/>
        <v>0</v>
      </c>
      <c r="G76" s="69">
        <f t="shared" si="161"/>
        <v>0</v>
      </c>
      <c r="H76" s="69">
        <f t="shared" si="161"/>
        <v>0</v>
      </c>
      <c r="I76" s="69">
        <f t="shared" si="161"/>
        <v>0</v>
      </c>
      <c r="J76" s="69">
        <f t="shared" si="161"/>
        <v>0</v>
      </c>
      <c r="K76" s="69">
        <f t="shared" si="161"/>
        <v>0</v>
      </c>
      <c r="L76" s="69">
        <f t="shared" si="161"/>
        <v>0</v>
      </c>
      <c r="M76" s="69">
        <f t="shared" si="161"/>
        <v>0</v>
      </c>
      <c r="N76" s="69">
        <f t="shared" si="161"/>
        <v>0</v>
      </c>
      <c r="O76" s="69">
        <f t="shared" si="161"/>
        <v>0</v>
      </c>
      <c r="P76" s="69">
        <f t="shared" si="161"/>
        <v>0</v>
      </c>
      <c r="Q76" s="69">
        <f t="shared" si="161"/>
        <v>0</v>
      </c>
      <c r="R76" s="69">
        <f t="shared" si="161"/>
        <v>0</v>
      </c>
      <c r="S76" s="69">
        <f t="shared" si="161"/>
        <v>0</v>
      </c>
      <c r="T76" s="69">
        <f t="shared" si="161"/>
        <v>0</v>
      </c>
      <c r="U76" s="69">
        <f t="shared" si="161"/>
        <v>0</v>
      </c>
      <c r="V76" s="69">
        <f t="shared" si="161"/>
        <v>0</v>
      </c>
      <c r="W76" s="69">
        <f t="shared" si="161"/>
        <v>0</v>
      </c>
      <c r="X76" s="69">
        <f t="shared" si="161"/>
        <v>0</v>
      </c>
      <c r="Y76" s="69">
        <f t="shared" si="161"/>
        <v>0</v>
      </c>
      <c r="Z76" s="69">
        <f t="shared" si="161"/>
        <v>0</v>
      </c>
      <c r="AA76" s="69">
        <f t="shared" si="161"/>
        <v>0</v>
      </c>
      <c r="AB76" s="69">
        <f t="shared" si="161"/>
        <v>0</v>
      </c>
      <c r="AC76" s="69">
        <f t="shared" si="161"/>
        <v>0</v>
      </c>
      <c r="AD76" s="69">
        <f t="shared" si="161"/>
        <v>0</v>
      </c>
      <c r="AE76" s="69">
        <f t="shared" si="161"/>
        <v>0</v>
      </c>
      <c r="AF76" s="69">
        <f t="shared" si="161"/>
        <v>0</v>
      </c>
      <c r="AG76" s="69">
        <f t="shared" si="161"/>
        <v>0</v>
      </c>
      <c r="AH76" s="69">
        <f t="shared" si="161"/>
        <v>0</v>
      </c>
      <c r="AI76" s="69">
        <f t="shared" si="161"/>
        <v>0</v>
      </c>
      <c r="AJ76" s="69">
        <f t="shared" si="161"/>
        <v>0</v>
      </c>
      <c r="AK76" s="69">
        <f t="shared" si="161"/>
        <v>0</v>
      </c>
      <c r="AL76" s="69">
        <f t="shared" si="161"/>
        <v>0</v>
      </c>
      <c r="AM76" s="69">
        <f t="shared" si="161"/>
        <v>0</v>
      </c>
      <c r="AN76" s="69">
        <f t="shared" si="161"/>
        <v>0</v>
      </c>
      <c r="AO76" s="69">
        <f t="shared" si="161"/>
        <v>0</v>
      </c>
      <c r="AP76" s="69">
        <f t="shared" si="161"/>
        <v>0</v>
      </c>
      <c r="AQ76" s="69">
        <f t="shared" si="161"/>
        <v>0</v>
      </c>
      <c r="AR76" s="69">
        <f t="shared" si="161"/>
        <v>0</v>
      </c>
      <c r="AS76" s="69">
        <f t="shared" si="161"/>
        <v>0</v>
      </c>
      <c r="AT76" s="69">
        <f t="shared" si="161"/>
        <v>0</v>
      </c>
      <c r="AU76" s="69">
        <f t="shared" si="161"/>
        <v>0</v>
      </c>
      <c r="AV76" s="69">
        <f t="shared" si="161"/>
        <v>0</v>
      </c>
      <c r="AW76" s="69">
        <f t="shared" si="161"/>
        <v>0</v>
      </c>
      <c r="AX76" s="69">
        <f t="shared" si="161"/>
        <v>0</v>
      </c>
      <c r="AY76" s="69">
        <f t="shared" si="161"/>
        <v>0</v>
      </c>
      <c r="AZ76" s="69">
        <f t="shared" si="161"/>
        <v>0</v>
      </c>
      <c r="BA76" s="69">
        <f t="shared" si="161"/>
        <v>0</v>
      </c>
      <c r="BB76" s="69">
        <f t="shared" si="161"/>
        <v>0</v>
      </c>
      <c r="BC76" s="69">
        <f t="shared" si="161"/>
        <v>0</v>
      </c>
      <c r="BD76" s="69">
        <f t="shared" si="161"/>
        <v>0</v>
      </c>
      <c r="BE76" s="69">
        <f t="shared" si="161"/>
        <v>0</v>
      </c>
      <c r="BF76" s="69">
        <f t="shared" si="161"/>
        <v>0</v>
      </c>
      <c r="BG76" s="69">
        <f t="shared" si="161"/>
        <v>0</v>
      </c>
      <c r="BH76" s="69">
        <f t="shared" si="161"/>
        <v>0</v>
      </c>
      <c r="BI76" s="69">
        <f t="shared" si="161"/>
        <v>0</v>
      </c>
      <c r="BJ76" s="69">
        <f t="shared" si="161"/>
        <v>0</v>
      </c>
      <c r="BK76" s="69">
        <f t="shared" si="161"/>
        <v>0</v>
      </c>
      <c r="BL76" s="69">
        <f t="shared" si="161"/>
        <v>0</v>
      </c>
      <c r="BM76" s="69">
        <f t="shared" si="161"/>
        <v>0</v>
      </c>
      <c r="BN76" s="69">
        <f t="shared" si="161"/>
        <v>0</v>
      </c>
      <c r="BO76" s="69">
        <f t="shared" si="161"/>
        <v>0</v>
      </c>
      <c r="BP76" s="69">
        <f t="shared" ref="BP76:EA76" si="162">BP34</f>
        <v>0</v>
      </c>
      <c r="BQ76" s="69">
        <f t="shared" si="162"/>
        <v>0</v>
      </c>
      <c r="BR76" s="69">
        <f t="shared" si="162"/>
        <v>0</v>
      </c>
      <c r="BS76" s="69">
        <f t="shared" si="162"/>
        <v>0</v>
      </c>
      <c r="BT76" s="69">
        <f t="shared" si="162"/>
        <v>0</v>
      </c>
      <c r="BU76" s="69">
        <f t="shared" si="162"/>
        <v>0</v>
      </c>
      <c r="BV76" s="69">
        <f t="shared" si="162"/>
        <v>0</v>
      </c>
      <c r="BW76" s="69">
        <f t="shared" si="162"/>
        <v>0</v>
      </c>
      <c r="BX76" s="69">
        <f t="shared" si="162"/>
        <v>0</v>
      </c>
      <c r="BY76" s="69">
        <f t="shared" si="162"/>
        <v>0</v>
      </c>
      <c r="BZ76" s="69">
        <f t="shared" si="162"/>
        <v>0</v>
      </c>
      <c r="CA76" s="69">
        <f t="shared" si="162"/>
        <v>0</v>
      </c>
      <c r="CB76" s="69">
        <f t="shared" si="162"/>
        <v>0</v>
      </c>
      <c r="CC76" s="69">
        <f t="shared" si="162"/>
        <v>0</v>
      </c>
      <c r="CD76" s="69">
        <f t="shared" si="162"/>
        <v>0</v>
      </c>
      <c r="CE76" s="69">
        <f t="shared" si="162"/>
        <v>0</v>
      </c>
      <c r="CF76" s="69">
        <f t="shared" si="162"/>
        <v>0</v>
      </c>
      <c r="CG76" s="69">
        <f t="shared" si="162"/>
        <v>0</v>
      </c>
      <c r="CH76" s="69">
        <f t="shared" si="162"/>
        <v>0</v>
      </c>
      <c r="CI76" s="69">
        <f t="shared" si="162"/>
        <v>0</v>
      </c>
      <c r="CJ76" s="69">
        <f t="shared" si="162"/>
        <v>0</v>
      </c>
      <c r="CK76" s="69">
        <f t="shared" si="162"/>
        <v>0</v>
      </c>
      <c r="CL76" s="69">
        <f t="shared" si="162"/>
        <v>0</v>
      </c>
      <c r="CM76" s="69">
        <f t="shared" si="162"/>
        <v>0</v>
      </c>
      <c r="CN76" s="69">
        <f t="shared" si="162"/>
        <v>0</v>
      </c>
      <c r="CO76" s="69">
        <f t="shared" si="162"/>
        <v>0</v>
      </c>
      <c r="CP76" s="69">
        <f t="shared" si="162"/>
        <v>0</v>
      </c>
      <c r="CQ76" s="69">
        <f t="shared" si="162"/>
        <v>0</v>
      </c>
      <c r="CR76" s="69">
        <f t="shared" si="162"/>
        <v>0</v>
      </c>
      <c r="CS76" s="69">
        <f t="shared" si="162"/>
        <v>0</v>
      </c>
      <c r="CT76" s="69">
        <f t="shared" si="162"/>
        <v>0</v>
      </c>
      <c r="CU76" s="69">
        <f t="shared" si="162"/>
        <v>0</v>
      </c>
      <c r="CV76" s="69">
        <f t="shared" si="162"/>
        <v>0</v>
      </c>
      <c r="CW76" s="69">
        <f t="shared" si="162"/>
        <v>0</v>
      </c>
      <c r="CX76" s="69">
        <f t="shared" si="162"/>
        <v>0</v>
      </c>
      <c r="CY76" s="69">
        <f t="shared" si="162"/>
        <v>0</v>
      </c>
      <c r="CZ76" s="69">
        <f t="shared" si="162"/>
        <v>0</v>
      </c>
      <c r="DA76" s="69">
        <f t="shared" si="162"/>
        <v>0</v>
      </c>
      <c r="DB76" s="69">
        <f t="shared" si="162"/>
        <v>0</v>
      </c>
      <c r="DC76" s="69">
        <f t="shared" si="162"/>
        <v>0</v>
      </c>
      <c r="DD76" s="69">
        <f t="shared" si="162"/>
        <v>0</v>
      </c>
      <c r="DE76" s="69">
        <f t="shared" si="162"/>
        <v>0</v>
      </c>
      <c r="DF76" s="69">
        <f t="shared" si="162"/>
        <v>0</v>
      </c>
      <c r="DG76" s="69">
        <f t="shared" si="162"/>
        <v>0</v>
      </c>
      <c r="DH76" s="69">
        <f t="shared" si="162"/>
        <v>0</v>
      </c>
      <c r="DI76" s="69">
        <f t="shared" si="162"/>
        <v>0</v>
      </c>
      <c r="DJ76" s="69">
        <f t="shared" si="162"/>
        <v>0</v>
      </c>
      <c r="DK76" s="69">
        <f t="shared" si="162"/>
        <v>0</v>
      </c>
      <c r="DL76" s="69">
        <f t="shared" si="162"/>
        <v>0</v>
      </c>
      <c r="DM76" s="69">
        <f t="shared" si="162"/>
        <v>0</v>
      </c>
      <c r="DN76" s="69">
        <f t="shared" si="162"/>
        <v>0</v>
      </c>
      <c r="DO76" s="69">
        <f t="shared" si="162"/>
        <v>0</v>
      </c>
      <c r="DP76" s="69">
        <f t="shared" si="162"/>
        <v>0</v>
      </c>
      <c r="DQ76" s="69">
        <f t="shared" si="162"/>
        <v>0</v>
      </c>
      <c r="DR76" s="69">
        <f t="shared" si="162"/>
        <v>0</v>
      </c>
      <c r="DS76" s="69">
        <f t="shared" si="162"/>
        <v>0</v>
      </c>
      <c r="DT76" s="69">
        <f t="shared" si="162"/>
        <v>0</v>
      </c>
      <c r="DU76" s="69">
        <f t="shared" si="162"/>
        <v>0</v>
      </c>
      <c r="DV76" s="69">
        <f t="shared" si="162"/>
        <v>0</v>
      </c>
      <c r="DW76" s="69">
        <f t="shared" si="162"/>
        <v>0</v>
      </c>
      <c r="DX76" s="69">
        <f t="shared" si="162"/>
        <v>0</v>
      </c>
      <c r="DY76" s="69">
        <f t="shared" si="162"/>
        <v>0</v>
      </c>
      <c r="DZ76" s="69">
        <f t="shared" si="162"/>
        <v>0</v>
      </c>
      <c r="EA76" s="69">
        <f t="shared" si="162"/>
        <v>0</v>
      </c>
      <c r="EB76" s="69">
        <f t="shared" ref="EB76:EE76" si="163">EB34</f>
        <v>0</v>
      </c>
      <c r="EC76" s="69">
        <f t="shared" si="163"/>
        <v>0</v>
      </c>
      <c r="ED76" s="69">
        <f t="shared" si="163"/>
        <v>0</v>
      </c>
      <c r="EE76" s="70">
        <f t="shared" si="163"/>
        <v>0</v>
      </c>
    </row>
    <row r="77" spans="2:135" x14ac:dyDescent="0.15">
      <c r="B77" s="7" t="s">
        <v>62</v>
      </c>
      <c r="C77" s="69">
        <f>C35+C48+C60+C66</f>
        <v>0</v>
      </c>
      <c r="D77" s="69">
        <f t="shared" ref="D77:BO77" ca="1" si="164">D35+D48+D60+D66</f>
        <v>7003.1018791834467</v>
      </c>
      <c r="E77" s="69">
        <f t="shared" ca="1" si="164"/>
        <v>7044.2063753885086</v>
      </c>
      <c r="F77" s="69">
        <f t="shared" ca="1" si="164"/>
        <v>7085.4122463700596</v>
      </c>
      <c r="G77" s="69">
        <f t="shared" ca="1" si="164"/>
        <v>7126.7197421456603</v>
      </c>
      <c r="H77" s="69">
        <f t="shared" ca="1" si="164"/>
        <v>7168.1291133494633</v>
      </c>
      <c r="I77" s="69">
        <f t="shared" ca="1" si="164"/>
        <v>7209.64061123375</v>
      </c>
      <c r="J77" s="69">
        <f t="shared" ca="1" si="164"/>
        <v>7251.2544876704778</v>
      </c>
      <c r="K77" s="69">
        <f t="shared" ca="1" si="164"/>
        <v>7292.9709951527657</v>
      </c>
      <c r="L77" s="69">
        <f t="shared" ca="1" si="164"/>
        <v>7334.7903867964678</v>
      </c>
      <c r="M77" s="69">
        <f t="shared" ca="1" si="164"/>
        <v>7376.7129163416721</v>
      </c>
      <c r="N77" s="69">
        <f t="shared" ca="1" si="164"/>
        <v>7418.7388381542742</v>
      </c>
      <c r="O77" s="69">
        <f t="shared" ca="1" si="164"/>
        <v>7460.8684072274982</v>
      </c>
      <c r="P77" s="69">
        <f t="shared" ca="1" si="164"/>
        <v>7503.1018791834431</v>
      </c>
      <c r="Q77" s="69">
        <f t="shared" ca="1" si="164"/>
        <v>7545.4395102746566</v>
      </c>
      <c r="R77" s="69">
        <f t="shared" ca="1" si="164"/>
        <v>7587.8815573856591</v>
      </c>
      <c r="S77" s="69">
        <f t="shared" ca="1" si="164"/>
        <v>7630.4282780345311</v>
      </c>
      <c r="T77" s="69">
        <f t="shared" ca="1" si="164"/>
        <v>7673.0799303744443</v>
      </c>
      <c r="U77" s="69">
        <f t="shared" ca="1" si="164"/>
        <v>7715.8367731952603</v>
      </c>
      <c r="V77" s="69">
        <f t="shared" ca="1" si="164"/>
        <v>7758.6990659250914</v>
      </c>
      <c r="W77" s="69">
        <f t="shared" ca="1" si="164"/>
        <v>7801.6670686318466</v>
      </c>
      <c r="X77" s="69">
        <f t="shared" ca="1" si="164"/>
        <v>7844.7410420248598</v>
      </c>
      <c r="Y77" s="69">
        <f t="shared" ca="1" si="164"/>
        <v>7887.9212474564183</v>
      </c>
      <c r="Z77" s="69">
        <f t="shared" ca="1" si="164"/>
        <v>7931.2079469234004</v>
      </c>
      <c r="AA77" s="69">
        <f t="shared" ca="1" si="164"/>
        <v>2047482.5684243257</v>
      </c>
      <c r="AB77" s="69">
        <f t="shared" ca="1" si="164"/>
        <v>0</v>
      </c>
      <c r="AC77" s="69">
        <f t="shared" ca="1" si="164"/>
        <v>0</v>
      </c>
      <c r="AD77" s="69">
        <f t="shared" ca="1" si="164"/>
        <v>0</v>
      </c>
      <c r="AE77" s="69">
        <f t="shared" ca="1" si="164"/>
        <v>0</v>
      </c>
      <c r="AF77" s="69">
        <f t="shared" ca="1" si="164"/>
        <v>0</v>
      </c>
      <c r="AG77" s="69">
        <f t="shared" ca="1" si="164"/>
        <v>0</v>
      </c>
      <c r="AH77" s="69">
        <f t="shared" ca="1" si="164"/>
        <v>0</v>
      </c>
      <c r="AI77" s="69">
        <f t="shared" ca="1" si="164"/>
        <v>0</v>
      </c>
      <c r="AJ77" s="69">
        <f t="shared" ca="1" si="164"/>
        <v>0</v>
      </c>
      <c r="AK77" s="69">
        <f t="shared" ca="1" si="164"/>
        <v>0</v>
      </c>
      <c r="AL77" s="69">
        <f t="shared" ca="1" si="164"/>
        <v>0</v>
      </c>
      <c r="AM77" s="69">
        <f t="shared" ca="1" si="164"/>
        <v>0</v>
      </c>
      <c r="AN77" s="69">
        <f t="shared" ca="1" si="164"/>
        <v>0</v>
      </c>
      <c r="AO77" s="69">
        <f t="shared" ca="1" si="164"/>
        <v>0</v>
      </c>
      <c r="AP77" s="69">
        <f t="shared" ca="1" si="164"/>
        <v>0</v>
      </c>
      <c r="AQ77" s="69">
        <f t="shared" ca="1" si="164"/>
        <v>0</v>
      </c>
      <c r="AR77" s="69">
        <f t="shared" ca="1" si="164"/>
        <v>0</v>
      </c>
      <c r="AS77" s="69">
        <f t="shared" ca="1" si="164"/>
        <v>0</v>
      </c>
      <c r="AT77" s="69">
        <f t="shared" ca="1" si="164"/>
        <v>0</v>
      </c>
      <c r="AU77" s="69">
        <f t="shared" ca="1" si="164"/>
        <v>0</v>
      </c>
      <c r="AV77" s="69">
        <f t="shared" ca="1" si="164"/>
        <v>0</v>
      </c>
      <c r="AW77" s="69">
        <f t="shared" ca="1" si="164"/>
        <v>0</v>
      </c>
      <c r="AX77" s="69">
        <f t="shared" ca="1" si="164"/>
        <v>0</v>
      </c>
      <c r="AY77" s="69">
        <f t="shared" ca="1" si="164"/>
        <v>0</v>
      </c>
      <c r="AZ77" s="69">
        <f t="shared" ca="1" si="164"/>
        <v>0</v>
      </c>
      <c r="BA77" s="69">
        <f t="shared" ca="1" si="164"/>
        <v>0</v>
      </c>
      <c r="BB77" s="69">
        <f t="shared" ca="1" si="164"/>
        <v>0</v>
      </c>
      <c r="BC77" s="69">
        <f t="shared" ca="1" si="164"/>
        <v>0</v>
      </c>
      <c r="BD77" s="69">
        <f t="shared" ca="1" si="164"/>
        <v>0</v>
      </c>
      <c r="BE77" s="69">
        <f t="shared" ca="1" si="164"/>
        <v>0</v>
      </c>
      <c r="BF77" s="69">
        <f t="shared" ca="1" si="164"/>
        <v>0</v>
      </c>
      <c r="BG77" s="69">
        <f t="shared" ca="1" si="164"/>
        <v>0</v>
      </c>
      <c r="BH77" s="69">
        <f t="shared" ca="1" si="164"/>
        <v>0</v>
      </c>
      <c r="BI77" s="69">
        <f t="shared" ca="1" si="164"/>
        <v>0</v>
      </c>
      <c r="BJ77" s="69">
        <f t="shared" ca="1" si="164"/>
        <v>0</v>
      </c>
      <c r="BK77" s="69">
        <f t="shared" ca="1" si="164"/>
        <v>0</v>
      </c>
      <c r="BL77" s="69">
        <f t="shared" ca="1" si="164"/>
        <v>0</v>
      </c>
      <c r="BM77" s="69">
        <f t="shared" ca="1" si="164"/>
        <v>0</v>
      </c>
      <c r="BN77" s="69">
        <f t="shared" ca="1" si="164"/>
        <v>0</v>
      </c>
      <c r="BO77" s="69">
        <f t="shared" ca="1" si="164"/>
        <v>0</v>
      </c>
      <c r="BP77" s="69">
        <f t="shared" ref="BP77:EA77" ca="1" si="165">BP35+BP48+BP60+BP66</f>
        <v>0</v>
      </c>
      <c r="BQ77" s="69">
        <f t="shared" ca="1" si="165"/>
        <v>0</v>
      </c>
      <c r="BR77" s="69">
        <f t="shared" ca="1" si="165"/>
        <v>0</v>
      </c>
      <c r="BS77" s="69">
        <f t="shared" ca="1" si="165"/>
        <v>0</v>
      </c>
      <c r="BT77" s="69">
        <f t="shared" ca="1" si="165"/>
        <v>0</v>
      </c>
      <c r="BU77" s="69">
        <f t="shared" ca="1" si="165"/>
        <v>0</v>
      </c>
      <c r="BV77" s="69">
        <f t="shared" ca="1" si="165"/>
        <v>0</v>
      </c>
      <c r="BW77" s="69">
        <f t="shared" ca="1" si="165"/>
        <v>0</v>
      </c>
      <c r="BX77" s="69">
        <f t="shared" ca="1" si="165"/>
        <v>0</v>
      </c>
      <c r="BY77" s="69">
        <f t="shared" ca="1" si="165"/>
        <v>0</v>
      </c>
      <c r="BZ77" s="69">
        <f t="shared" ca="1" si="165"/>
        <v>0</v>
      </c>
      <c r="CA77" s="69">
        <f t="shared" ca="1" si="165"/>
        <v>0</v>
      </c>
      <c r="CB77" s="69">
        <f t="shared" ca="1" si="165"/>
        <v>0</v>
      </c>
      <c r="CC77" s="69">
        <f t="shared" ca="1" si="165"/>
        <v>0</v>
      </c>
      <c r="CD77" s="69">
        <f t="shared" ca="1" si="165"/>
        <v>0</v>
      </c>
      <c r="CE77" s="69">
        <f t="shared" ca="1" si="165"/>
        <v>0</v>
      </c>
      <c r="CF77" s="69">
        <f t="shared" ca="1" si="165"/>
        <v>0</v>
      </c>
      <c r="CG77" s="69">
        <f t="shared" ca="1" si="165"/>
        <v>0</v>
      </c>
      <c r="CH77" s="69">
        <f t="shared" ca="1" si="165"/>
        <v>0</v>
      </c>
      <c r="CI77" s="69">
        <f t="shared" ca="1" si="165"/>
        <v>0</v>
      </c>
      <c r="CJ77" s="69">
        <f t="shared" ca="1" si="165"/>
        <v>0</v>
      </c>
      <c r="CK77" s="69">
        <f t="shared" ca="1" si="165"/>
        <v>0</v>
      </c>
      <c r="CL77" s="69">
        <f t="shared" ca="1" si="165"/>
        <v>0</v>
      </c>
      <c r="CM77" s="69">
        <f t="shared" ca="1" si="165"/>
        <v>0</v>
      </c>
      <c r="CN77" s="69">
        <f t="shared" ca="1" si="165"/>
        <v>0</v>
      </c>
      <c r="CO77" s="69">
        <f t="shared" ca="1" si="165"/>
        <v>0</v>
      </c>
      <c r="CP77" s="69">
        <f t="shared" ca="1" si="165"/>
        <v>0</v>
      </c>
      <c r="CQ77" s="69">
        <f t="shared" ca="1" si="165"/>
        <v>0</v>
      </c>
      <c r="CR77" s="69">
        <f t="shared" ca="1" si="165"/>
        <v>0</v>
      </c>
      <c r="CS77" s="69">
        <f t="shared" ca="1" si="165"/>
        <v>0</v>
      </c>
      <c r="CT77" s="69">
        <f t="shared" ca="1" si="165"/>
        <v>0</v>
      </c>
      <c r="CU77" s="69">
        <f t="shared" ca="1" si="165"/>
        <v>0</v>
      </c>
      <c r="CV77" s="69">
        <f t="shared" ca="1" si="165"/>
        <v>0</v>
      </c>
      <c r="CW77" s="69">
        <f t="shared" ca="1" si="165"/>
        <v>0</v>
      </c>
      <c r="CX77" s="69">
        <f t="shared" ca="1" si="165"/>
        <v>0</v>
      </c>
      <c r="CY77" s="69">
        <f t="shared" ca="1" si="165"/>
        <v>0</v>
      </c>
      <c r="CZ77" s="69">
        <f t="shared" ca="1" si="165"/>
        <v>0</v>
      </c>
      <c r="DA77" s="69">
        <f t="shared" ca="1" si="165"/>
        <v>0</v>
      </c>
      <c r="DB77" s="69">
        <f t="shared" ca="1" si="165"/>
        <v>0</v>
      </c>
      <c r="DC77" s="69">
        <f t="shared" ca="1" si="165"/>
        <v>0</v>
      </c>
      <c r="DD77" s="69">
        <f t="shared" ca="1" si="165"/>
        <v>0</v>
      </c>
      <c r="DE77" s="69">
        <f t="shared" ca="1" si="165"/>
        <v>0</v>
      </c>
      <c r="DF77" s="69">
        <f t="shared" ca="1" si="165"/>
        <v>0</v>
      </c>
      <c r="DG77" s="69">
        <f t="shared" ca="1" si="165"/>
        <v>0</v>
      </c>
      <c r="DH77" s="69">
        <f t="shared" ca="1" si="165"/>
        <v>0</v>
      </c>
      <c r="DI77" s="69">
        <f t="shared" ca="1" si="165"/>
        <v>0</v>
      </c>
      <c r="DJ77" s="69">
        <f t="shared" ca="1" si="165"/>
        <v>0</v>
      </c>
      <c r="DK77" s="69">
        <f t="shared" ca="1" si="165"/>
        <v>0</v>
      </c>
      <c r="DL77" s="69">
        <f t="shared" ca="1" si="165"/>
        <v>0</v>
      </c>
      <c r="DM77" s="69">
        <f t="shared" ca="1" si="165"/>
        <v>0</v>
      </c>
      <c r="DN77" s="69">
        <f t="shared" ca="1" si="165"/>
        <v>0</v>
      </c>
      <c r="DO77" s="69">
        <f t="shared" ca="1" si="165"/>
        <v>0</v>
      </c>
      <c r="DP77" s="69">
        <f t="shared" ca="1" si="165"/>
        <v>0</v>
      </c>
      <c r="DQ77" s="69">
        <f t="shared" ca="1" si="165"/>
        <v>0</v>
      </c>
      <c r="DR77" s="69">
        <f t="shared" ca="1" si="165"/>
        <v>0</v>
      </c>
      <c r="DS77" s="69">
        <f t="shared" ca="1" si="165"/>
        <v>0</v>
      </c>
      <c r="DT77" s="69">
        <f t="shared" ca="1" si="165"/>
        <v>0</v>
      </c>
      <c r="DU77" s="69">
        <f t="shared" ca="1" si="165"/>
        <v>0</v>
      </c>
      <c r="DV77" s="69">
        <f t="shared" ca="1" si="165"/>
        <v>0</v>
      </c>
      <c r="DW77" s="69">
        <f t="shared" ca="1" si="165"/>
        <v>0</v>
      </c>
      <c r="DX77" s="69">
        <f t="shared" ca="1" si="165"/>
        <v>0</v>
      </c>
      <c r="DY77" s="69">
        <f t="shared" ca="1" si="165"/>
        <v>0</v>
      </c>
      <c r="DZ77" s="69">
        <f t="shared" ca="1" si="165"/>
        <v>0</v>
      </c>
      <c r="EA77" s="69">
        <f t="shared" ca="1" si="165"/>
        <v>0</v>
      </c>
      <c r="EB77" s="69">
        <f t="shared" ref="EB77:EE77" ca="1" si="166">EB35+EB48+EB60+EB66</f>
        <v>0</v>
      </c>
      <c r="EC77" s="69">
        <f t="shared" ca="1" si="166"/>
        <v>0</v>
      </c>
      <c r="ED77" s="69">
        <f t="shared" ca="1" si="166"/>
        <v>0</v>
      </c>
      <c r="EE77" s="70">
        <f t="shared" ca="1" si="166"/>
        <v>0</v>
      </c>
    </row>
    <row r="78" spans="2:135" x14ac:dyDescent="0.15">
      <c r="B78" s="55" t="s">
        <v>65</v>
      </c>
      <c r="C78" s="72">
        <f>SUM(C76:C77)</f>
        <v>-867500</v>
      </c>
      <c r="D78" s="72">
        <f t="shared" ref="D78:BO78" ca="1" si="167">SUM(D76:D77)</f>
        <v>7003.1018791834467</v>
      </c>
      <c r="E78" s="72">
        <f t="shared" ca="1" si="167"/>
        <v>7044.2063753885086</v>
      </c>
      <c r="F78" s="72">
        <f t="shared" ca="1" si="167"/>
        <v>7085.4122463700596</v>
      </c>
      <c r="G78" s="72">
        <f t="shared" ca="1" si="167"/>
        <v>7126.7197421456603</v>
      </c>
      <c r="H78" s="72">
        <f t="shared" ca="1" si="167"/>
        <v>7168.1291133494633</v>
      </c>
      <c r="I78" s="72">
        <f t="shared" ca="1" si="167"/>
        <v>7209.64061123375</v>
      </c>
      <c r="J78" s="72">
        <f t="shared" ca="1" si="167"/>
        <v>7251.2544876704778</v>
      </c>
      <c r="K78" s="72">
        <f t="shared" ca="1" si="167"/>
        <v>7292.9709951527657</v>
      </c>
      <c r="L78" s="72">
        <f t="shared" ca="1" si="167"/>
        <v>7334.7903867964678</v>
      </c>
      <c r="M78" s="72">
        <f t="shared" ca="1" si="167"/>
        <v>7376.7129163416721</v>
      </c>
      <c r="N78" s="72">
        <f t="shared" ca="1" si="167"/>
        <v>7418.7388381542742</v>
      </c>
      <c r="O78" s="72">
        <f t="shared" ca="1" si="167"/>
        <v>7460.8684072274982</v>
      </c>
      <c r="P78" s="72">
        <f t="shared" ca="1" si="167"/>
        <v>7503.1018791834431</v>
      </c>
      <c r="Q78" s="72">
        <f t="shared" ca="1" si="167"/>
        <v>7545.4395102746566</v>
      </c>
      <c r="R78" s="72">
        <f t="shared" ca="1" si="167"/>
        <v>7587.8815573856591</v>
      </c>
      <c r="S78" s="72">
        <f t="shared" ca="1" si="167"/>
        <v>7630.4282780345311</v>
      </c>
      <c r="T78" s="72">
        <f t="shared" ca="1" si="167"/>
        <v>7673.0799303744443</v>
      </c>
      <c r="U78" s="72">
        <f t="shared" ca="1" si="167"/>
        <v>7715.8367731952603</v>
      </c>
      <c r="V78" s="72">
        <f t="shared" ca="1" si="167"/>
        <v>7758.6990659250914</v>
      </c>
      <c r="W78" s="72">
        <f t="shared" ca="1" si="167"/>
        <v>7801.6670686318466</v>
      </c>
      <c r="X78" s="72">
        <f t="shared" ca="1" si="167"/>
        <v>7844.7410420248598</v>
      </c>
      <c r="Y78" s="72">
        <f t="shared" ca="1" si="167"/>
        <v>7887.9212474564183</v>
      </c>
      <c r="Z78" s="72">
        <f t="shared" ca="1" si="167"/>
        <v>7931.2079469234004</v>
      </c>
      <c r="AA78" s="72">
        <f t="shared" ca="1" si="167"/>
        <v>2047482.5684243257</v>
      </c>
      <c r="AB78" s="72">
        <f t="shared" ca="1" si="167"/>
        <v>0</v>
      </c>
      <c r="AC78" s="72">
        <f t="shared" ca="1" si="167"/>
        <v>0</v>
      </c>
      <c r="AD78" s="72">
        <f t="shared" ca="1" si="167"/>
        <v>0</v>
      </c>
      <c r="AE78" s="72">
        <f t="shared" ca="1" si="167"/>
        <v>0</v>
      </c>
      <c r="AF78" s="72">
        <f t="shared" ca="1" si="167"/>
        <v>0</v>
      </c>
      <c r="AG78" s="72">
        <f t="shared" ca="1" si="167"/>
        <v>0</v>
      </c>
      <c r="AH78" s="72">
        <f t="shared" ca="1" si="167"/>
        <v>0</v>
      </c>
      <c r="AI78" s="72">
        <f t="shared" ca="1" si="167"/>
        <v>0</v>
      </c>
      <c r="AJ78" s="72">
        <f t="shared" ca="1" si="167"/>
        <v>0</v>
      </c>
      <c r="AK78" s="72">
        <f t="shared" ca="1" si="167"/>
        <v>0</v>
      </c>
      <c r="AL78" s="72">
        <f t="shared" ca="1" si="167"/>
        <v>0</v>
      </c>
      <c r="AM78" s="72">
        <f t="shared" ca="1" si="167"/>
        <v>0</v>
      </c>
      <c r="AN78" s="72">
        <f t="shared" ca="1" si="167"/>
        <v>0</v>
      </c>
      <c r="AO78" s="72">
        <f t="shared" ca="1" si="167"/>
        <v>0</v>
      </c>
      <c r="AP78" s="72">
        <f t="shared" ca="1" si="167"/>
        <v>0</v>
      </c>
      <c r="AQ78" s="72">
        <f t="shared" ca="1" si="167"/>
        <v>0</v>
      </c>
      <c r="AR78" s="72">
        <f t="shared" ca="1" si="167"/>
        <v>0</v>
      </c>
      <c r="AS78" s="72">
        <f t="shared" ca="1" si="167"/>
        <v>0</v>
      </c>
      <c r="AT78" s="72">
        <f t="shared" ca="1" si="167"/>
        <v>0</v>
      </c>
      <c r="AU78" s="72">
        <f t="shared" ca="1" si="167"/>
        <v>0</v>
      </c>
      <c r="AV78" s="72">
        <f t="shared" ca="1" si="167"/>
        <v>0</v>
      </c>
      <c r="AW78" s="72">
        <f t="shared" ca="1" si="167"/>
        <v>0</v>
      </c>
      <c r="AX78" s="72">
        <f t="shared" ca="1" si="167"/>
        <v>0</v>
      </c>
      <c r="AY78" s="72">
        <f t="shared" ca="1" si="167"/>
        <v>0</v>
      </c>
      <c r="AZ78" s="72">
        <f t="shared" ca="1" si="167"/>
        <v>0</v>
      </c>
      <c r="BA78" s="72">
        <f t="shared" ca="1" si="167"/>
        <v>0</v>
      </c>
      <c r="BB78" s="72">
        <f t="shared" ca="1" si="167"/>
        <v>0</v>
      </c>
      <c r="BC78" s="72">
        <f t="shared" ca="1" si="167"/>
        <v>0</v>
      </c>
      <c r="BD78" s="72">
        <f t="shared" ca="1" si="167"/>
        <v>0</v>
      </c>
      <c r="BE78" s="72">
        <f t="shared" ca="1" si="167"/>
        <v>0</v>
      </c>
      <c r="BF78" s="72">
        <f t="shared" ca="1" si="167"/>
        <v>0</v>
      </c>
      <c r="BG78" s="72">
        <f t="shared" ca="1" si="167"/>
        <v>0</v>
      </c>
      <c r="BH78" s="72">
        <f t="shared" ca="1" si="167"/>
        <v>0</v>
      </c>
      <c r="BI78" s="72">
        <f t="shared" ca="1" si="167"/>
        <v>0</v>
      </c>
      <c r="BJ78" s="72">
        <f t="shared" ca="1" si="167"/>
        <v>0</v>
      </c>
      <c r="BK78" s="72">
        <f t="shared" ca="1" si="167"/>
        <v>0</v>
      </c>
      <c r="BL78" s="72">
        <f t="shared" ca="1" si="167"/>
        <v>0</v>
      </c>
      <c r="BM78" s="72">
        <f t="shared" ca="1" si="167"/>
        <v>0</v>
      </c>
      <c r="BN78" s="72">
        <f t="shared" ca="1" si="167"/>
        <v>0</v>
      </c>
      <c r="BO78" s="72">
        <f t="shared" ca="1" si="167"/>
        <v>0</v>
      </c>
      <c r="BP78" s="72">
        <f t="shared" ref="BP78:EA78" ca="1" si="168">SUM(BP76:BP77)</f>
        <v>0</v>
      </c>
      <c r="BQ78" s="72">
        <f t="shared" ca="1" si="168"/>
        <v>0</v>
      </c>
      <c r="BR78" s="72">
        <f t="shared" ca="1" si="168"/>
        <v>0</v>
      </c>
      <c r="BS78" s="72">
        <f t="shared" ca="1" si="168"/>
        <v>0</v>
      </c>
      <c r="BT78" s="72">
        <f t="shared" ca="1" si="168"/>
        <v>0</v>
      </c>
      <c r="BU78" s="72">
        <f t="shared" ca="1" si="168"/>
        <v>0</v>
      </c>
      <c r="BV78" s="72">
        <f t="shared" ca="1" si="168"/>
        <v>0</v>
      </c>
      <c r="BW78" s="72">
        <f t="shared" ca="1" si="168"/>
        <v>0</v>
      </c>
      <c r="BX78" s="72">
        <f t="shared" ca="1" si="168"/>
        <v>0</v>
      </c>
      <c r="BY78" s="72">
        <f t="shared" ca="1" si="168"/>
        <v>0</v>
      </c>
      <c r="BZ78" s="72">
        <f t="shared" ca="1" si="168"/>
        <v>0</v>
      </c>
      <c r="CA78" s="72">
        <f t="shared" ca="1" si="168"/>
        <v>0</v>
      </c>
      <c r="CB78" s="72">
        <f t="shared" ca="1" si="168"/>
        <v>0</v>
      </c>
      <c r="CC78" s="72">
        <f t="shared" ca="1" si="168"/>
        <v>0</v>
      </c>
      <c r="CD78" s="72">
        <f t="shared" ca="1" si="168"/>
        <v>0</v>
      </c>
      <c r="CE78" s="72">
        <f t="shared" ca="1" si="168"/>
        <v>0</v>
      </c>
      <c r="CF78" s="72">
        <f t="shared" ca="1" si="168"/>
        <v>0</v>
      </c>
      <c r="CG78" s="72">
        <f t="shared" ca="1" si="168"/>
        <v>0</v>
      </c>
      <c r="CH78" s="72">
        <f t="shared" ca="1" si="168"/>
        <v>0</v>
      </c>
      <c r="CI78" s="72">
        <f t="shared" ca="1" si="168"/>
        <v>0</v>
      </c>
      <c r="CJ78" s="72">
        <f t="shared" ca="1" si="168"/>
        <v>0</v>
      </c>
      <c r="CK78" s="72">
        <f t="shared" ca="1" si="168"/>
        <v>0</v>
      </c>
      <c r="CL78" s="72">
        <f t="shared" ca="1" si="168"/>
        <v>0</v>
      </c>
      <c r="CM78" s="72">
        <f t="shared" ca="1" si="168"/>
        <v>0</v>
      </c>
      <c r="CN78" s="72">
        <f t="shared" ca="1" si="168"/>
        <v>0</v>
      </c>
      <c r="CO78" s="72">
        <f t="shared" ca="1" si="168"/>
        <v>0</v>
      </c>
      <c r="CP78" s="72">
        <f t="shared" ca="1" si="168"/>
        <v>0</v>
      </c>
      <c r="CQ78" s="72">
        <f t="shared" ca="1" si="168"/>
        <v>0</v>
      </c>
      <c r="CR78" s="72">
        <f t="shared" ca="1" si="168"/>
        <v>0</v>
      </c>
      <c r="CS78" s="72">
        <f t="shared" ca="1" si="168"/>
        <v>0</v>
      </c>
      <c r="CT78" s="72">
        <f t="shared" ca="1" si="168"/>
        <v>0</v>
      </c>
      <c r="CU78" s="72">
        <f t="shared" ca="1" si="168"/>
        <v>0</v>
      </c>
      <c r="CV78" s="72">
        <f t="shared" ca="1" si="168"/>
        <v>0</v>
      </c>
      <c r="CW78" s="72">
        <f t="shared" ca="1" si="168"/>
        <v>0</v>
      </c>
      <c r="CX78" s="72">
        <f t="shared" ca="1" si="168"/>
        <v>0</v>
      </c>
      <c r="CY78" s="72">
        <f t="shared" ca="1" si="168"/>
        <v>0</v>
      </c>
      <c r="CZ78" s="72">
        <f t="shared" ca="1" si="168"/>
        <v>0</v>
      </c>
      <c r="DA78" s="72">
        <f t="shared" ca="1" si="168"/>
        <v>0</v>
      </c>
      <c r="DB78" s="72">
        <f t="shared" ca="1" si="168"/>
        <v>0</v>
      </c>
      <c r="DC78" s="72">
        <f t="shared" ca="1" si="168"/>
        <v>0</v>
      </c>
      <c r="DD78" s="72">
        <f t="shared" ca="1" si="168"/>
        <v>0</v>
      </c>
      <c r="DE78" s="72">
        <f t="shared" ca="1" si="168"/>
        <v>0</v>
      </c>
      <c r="DF78" s="72">
        <f t="shared" ca="1" si="168"/>
        <v>0</v>
      </c>
      <c r="DG78" s="72">
        <f t="shared" ca="1" si="168"/>
        <v>0</v>
      </c>
      <c r="DH78" s="72">
        <f t="shared" ca="1" si="168"/>
        <v>0</v>
      </c>
      <c r="DI78" s="72">
        <f t="shared" ca="1" si="168"/>
        <v>0</v>
      </c>
      <c r="DJ78" s="72">
        <f t="shared" ca="1" si="168"/>
        <v>0</v>
      </c>
      <c r="DK78" s="72">
        <f t="shared" ca="1" si="168"/>
        <v>0</v>
      </c>
      <c r="DL78" s="72">
        <f t="shared" ca="1" si="168"/>
        <v>0</v>
      </c>
      <c r="DM78" s="72">
        <f t="shared" ca="1" si="168"/>
        <v>0</v>
      </c>
      <c r="DN78" s="72">
        <f t="shared" ca="1" si="168"/>
        <v>0</v>
      </c>
      <c r="DO78" s="72">
        <f t="shared" ca="1" si="168"/>
        <v>0</v>
      </c>
      <c r="DP78" s="72">
        <f t="shared" ca="1" si="168"/>
        <v>0</v>
      </c>
      <c r="DQ78" s="72">
        <f t="shared" ca="1" si="168"/>
        <v>0</v>
      </c>
      <c r="DR78" s="72">
        <f t="shared" ca="1" si="168"/>
        <v>0</v>
      </c>
      <c r="DS78" s="72">
        <f t="shared" ca="1" si="168"/>
        <v>0</v>
      </c>
      <c r="DT78" s="72">
        <f t="shared" ca="1" si="168"/>
        <v>0</v>
      </c>
      <c r="DU78" s="72">
        <f t="shared" ca="1" si="168"/>
        <v>0</v>
      </c>
      <c r="DV78" s="72">
        <f t="shared" ca="1" si="168"/>
        <v>0</v>
      </c>
      <c r="DW78" s="72">
        <f t="shared" ca="1" si="168"/>
        <v>0</v>
      </c>
      <c r="DX78" s="72">
        <f t="shared" ca="1" si="168"/>
        <v>0</v>
      </c>
      <c r="DY78" s="72">
        <f t="shared" ca="1" si="168"/>
        <v>0</v>
      </c>
      <c r="DZ78" s="72">
        <f t="shared" ca="1" si="168"/>
        <v>0</v>
      </c>
      <c r="EA78" s="72">
        <f t="shared" ca="1" si="168"/>
        <v>0</v>
      </c>
      <c r="EB78" s="72">
        <f t="shared" ref="EB78:EE78" ca="1" si="169">SUM(EB76:EB77)</f>
        <v>0</v>
      </c>
      <c r="EC78" s="72">
        <f t="shared" ca="1" si="169"/>
        <v>0</v>
      </c>
      <c r="ED78" s="72">
        <f t="shared" ca="1" si="169"/>
        <v>0</v>
      </c>
      <c r="EE78" s="73">
        <f t="shared" ca="1" si="169"/>
        <v>0</v>
      </c>
    </row>
    <row r="80" spans="2:135" x14ac:dyDescent="0.15">
      <c r="B80" s="67" t="s">
        <v>66</v>
      </c>
      <c r="C80" s="68"/>
    </row>
    <row r="81" spans="2:3" x14ac:dyDescent="0.15">
      <c r="B81" s="7" t="s">
        <v>10</v>
      </c>
      <c r="C81" s="70">
        <f ca="1">SUM(C49:EE49)*D3</f>
        <v>7287.0292715716459</v>
      </c>
    </row>
    <row r="82" spans="2:3" x14ac:dyDescent="0.15">
      <c r="B82" s="7" t="s">
        <v>11</v>
      </c>
      <c r="C82" s="70">
        <f ca="1">SUM(C61:EE61)*D4</f>
        <v>11251.723113862823</v>
      </c>
    </row>
    <row r="83" spans="2:3" x14ac:dyDescent="0.15">
      <c r="B83" s="7" t="s">
        <v>12</v>
      </c>
      <c r="C83" s="70">
        <f ca="1">SUM(C67:EE67)*D5</f>
        <v>312037.38393097813</v>
      </c>
    </row>
    <row r="84" spans="2:3" x14ac:dyDescent="0.15">
      <c r="B84" s="55" t="s">
        <v>67</v>
      </c>
      <c r="C84" s="73">
        <f ca="1">SUM(C81:C83)</f>
        <v>330576.13631641259</v>
      </c>
    </row>
  </sheetData>
  <conditionalFormatting sqref="S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Waterfall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