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16220" yWindow="500" windowWidth="28020" windowHeight="27200" activeTab="1" xr2:uid="{00000000-000D-0000-FFFF-FFFF00000000}"/>
  </bookViews>
  <sheets>
    <sheet name="IPO-Model" sheetId="26" r:id="rId1"/>
    <sheet name="Alt-IPO-Model" sheetId="36" r:id="rId2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'Alt-IPO-Model'!$E$10</definedName>
    <definedName name="_xlnm.Print_Area" localSheetId="1">'Alt-IPO-Model'!$A$1:$K$79</definedName>
    <definedName name="_xlnm.Print_Area" localSheetId="0">'IPO-Model'!$A$1:$K$87</definedName>
    <definedName name="Secondary_Shares">'Alt-IPO-Model'!$E$11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6" l="1"/>
  <c r="I26" i="26"/>
  <c r="H26" i="26"/>
  <c r="G26" i="26"/>
  <c r="J16" i="36" l="1"/>
  <c r="J15" i="36"/>
  <c r="J14" i="36"/>
  <c r="J29" i="36"/>
  <c r="I29" i="36"/>
  <c r="H29" i="36"/>
  <c r="G29" i="36"/>
  <c r="H31" i="26"/>
  <c r="I31" i="26"/>
  <c r="J31" i="26"/>
  <c r="G31" i="26"/>
  <c r="J11" i="36"/>
  <c r="J10" i="36"/>
  <c r="J9" i="36"/>
  <c r="J8" i="36"/>
  <c r="E8" i="36"/>
  <c r="E7" i="36"/>
  <c r="E14" i="36"/>
  <c r="E13" i="36"/>
  <c r="E16" i="36"/>
  <c r="J65" i="36"/>
  <c r="I65" i="36"/>
  <c r="H65" i="36"/>
  <c r="G65" i="36"/>
  <c r="J64" i="36"/>
  <c r="I64" i="36"/>
  <c r="H64" i="36"/>
  <c r="G64" i="36"/>
  <c r="J63" i="36"/>
  <c r="I63" i="36"/>
  <c r="H63" i="36"/>
  <c r="G63" i="36"/>
  <c r="J62" i="36"/>
  <c r="I62" i="36"/>
  <c r="H62" i="36"/>
  <c r="G62" i="36"/>
  <c r="J61" i="36"/>
  <c r="I61" i="36"/>
  <c r="H61" i="36"/>
  <c r="G61" i="36"/>
  <c r="J60" i="36"/>
  <c r="I60" i="36"/>
  <c r="H60" i="36"/>
  <c r="G60" i="36"/>
  <c r="B3" i="36"/>
  <c r="J37" i="36"/>
  <c r="I37" i="36"/>
  <c r="H37" i="36"/>
  <c r="G37" i="36"/>
  <c r="J22" i="36"/>
  <c r="I22" i="36"/>
  <c r="H22" i="36"/>
  <c r="G22" i="36"/>
  <c r="J21" i="36"/>
  <c r="I21" i="36"/>
  <c r="H21" i="36"/>
  <c r="G21" i="36"/>
  <c r="H19" i="36"/>
  <c r="I19" i="36" s="1"/>
  <c r="I23" i="36" l="1"/>
  <c r="I44" i="36" s="1"/>
  <c r="G23" i="36"/>
  <c r="G26" i="36" s="1"/>
  <c r="H23" i="36"/>
  <c r="H26" i="36" s="1"/>
  <c r="J12" i="36"/>
  <c r="J50" i="36" s="1"/>
  <c r="J19" i="36"/>
  <c r="J23" i="36"/>
  <c r="I26" i="36" l="1"/>
  <c r="I25" i="36"/>
  <c r="G44" i="36"/>
  <c r="G25" i="36"/>
  <c r="G27" i="36" s="1"/>
  <c r="G45" i="36" s="1"/>
  <c r="G46" i="36" s="1"/>
  <c r="H50" i="36"/>
  <c r="H25" i="36"/>
  <c r="H30" i="36" s="1"/>
  <c r="H44" i="36"/>
  <c r="I50" i="36"/>
  <c r="G50" i="36"/>
  <c r="J44" i="36"/>
  <c r="J25" i="36"/>
  <c r="J26" i="36"/>
  <c r="I27" i="36" l="1"/>
  <c r="I45" i="36" s="1"/>
  <c r="I46" i="36" s="1"/>
  <c r="I30" i="36"/>
  <c r="I49" i="36" s="1"/>
  <c r="G30" i="36"/>
  <c r="G31" i="36" s="1"/>
  <c r="G35" i="36" s="1"/>
  <c r="H27" i="36"/>
  <c r="H45" i="36" s="1"/>
  <c r="H46" i="36" s="1"/>
  <c r="H49" i="36"/>
  <c r="H48" i="36"/>
  <c r="H31" i="36"/>
  <c r="H35" i="36" s="1"/>
  <c r="J27" i="36"/>
  <c r="J45" i="36" s="1"/>
  <c r="J46" i="36" s="1"/>
  <c r="J30" i="36"/>
  <c r="I31" i="36" l="1"/>
  <c r="I35" i="36" s="1"/>
  <c r="I48" i="36"/>
  <c r="I51" i="36" s="1"/>
  <c r="I59" i="36" s="1"/>
  <c r="G49" i="36"/>
  <c r="G48" i="36"/>
  <c r="G54" i="36" s="1"/>
  <c r="G40" i="36"/>
  <c r="G68" i="36"/>
  <c r="G71" i="36" s="1"/>
  <c r="H68" i="36"/>
  <c r="H71" i="36" s="1"/>
  <c r="H53" i="36"/>
  <c r="H40" i="36"/>
  <c r="H54" i="36"/>
  <c r="H51" i="36"/>
  <c r="H59" i="36" s="1"/>
  <c r="J49" i="36"/>
  <c r="J48" i="36"/>
  <c r="J31" i="36"/>
  <c r="J35" i="36" s="1"/>
  <c r="I53" i="36" l="1"/>
  <c r="I40" i="36"/>
  <c r="I38" i="36" s="1"/>
  <c r="I68" i="36"/>
  <c r="I71" i="36" s="1"/>
  <c r="I54" i="36"/>
  <c r="G51" i="36"/>
  <c r="G59" i="36" s="1"/>
  <c r="G69" i="36" s="1"/>
  <c r="G53" i="36"/>
  <c r="H38" i="36"/>
  <c r="H58" i="36"/>
  <c r="H72" i="36" s="1"/>
  <c r="H69" i="36"/>
  <c r="J68" i="36"/>
  <c r="J71" i="36" s="1"/>
  <c r="J53" i="36"/>
  <c r="J40" i="36"/>
  <c r="J54" i="36"/>
  <c r="J51" i="36"/>
  <c r="J59" i="36" s="1"/>
  <c r="G58" i="36"/>
  <c r="G72" i="36" s="1"/>
  <c r="G38" i="36"/>
  <c r="I69" i="36" l="1"/>
  <c r="I74" i="36" s="1"/>
  <c r="I58" i="36"/>
  <c r="I72" i="36" s="1"/>
  <c r="H74" i="36"/>
  <c r="H77" i="36"/>
  <c r="G74" i="36"/>
  <c r="G77" i="36"/>
  <c r="G66" i="36"/>
  <c r="H66" i="36"/>
  <c r="J38" i="36"/>
  <c r="J58" i="36"/>
  <c r="J72" i="36" s="1"/>
  <c r="J69" i="36"/>
  <c r="I77" i="36" l="1"/>
  <c r="I66" i="36"/>
  <c r="I78" i="36" s="1"/>
  <c r="H78" i="36"/>
  <c r="H75" i="36"/>
  <c r="J77" i="36"/>
  <c r="J74" i="36"/>
  <c r="G78" i="36"/>
  <c r="G75" i="36"/>
  <c r="J66" i="36"/>
  <c r="I75" i="36" l="1"/>
  <c r="J78" i="36"/>
  <c r="J75" i="36"/>
  <c r="H23" i="26"/>
  <c r="I23" i="26"/>
  <c r="J23" i="26"/>
  <c r="G23" i="26"/>
  <c r="G24" i="26" s="1"/>
  <c r="B21" i="26"/>
  <c r="G66" i="26" l="1"/>
  <c r="G29" i="26"/>
  <c r="J13" i="26"/>
  <c r="E13" i="26"/>
  <c r="H21" i="26"/>
  <c r="I58" i="26" l="1"/>
  <c r="J58" i="26"/>
  <c r="G58" i="26"/>
  <c r="H58" i="26"/>
  <c r="G76" i="26"/>
  <c r="G32" i="26"/>
  <c r="G42" i="26" s="1"/>
  <c r="I21" i="26"/>
  <c r="H24" i="26"/>
  <c r="G27" i="26"/>
  <c r="G35" i="26" l="1"/>
  <c r="G56" i="26" s="1"/>
  <c r="H66" i="26"/>
  <c r="H29" i="26"/>
  <c r="J21" i="26"/>
  <c r="J24" i="26" s="1"/>
  <c r="I24" i="26"/>
  <c r="G80" i="26"/>
  <c r="H27" i="26" l="1"/>
  <c r="G36" i="26"/>
  <c r="G37" i="26" s="1"/>
  <c r="I66" i="26"/>
  <c r="I29" i="26"/>
  <c r="J29" i="26"/>
  <c r="J66" i="26"/>
  <c r="H76" i="26"/>
  <c r="H79" i="26" s="1"/>
  <c r="H32" i="26"/>
  <c r="H42" i="26" s="1"/>
  <c r="H80" i="26"/>
  <c r="G57" i="26"/>
  <c r="G59" i="26" s="1"/>
  <c r="G67" i="26" s="1"/>
  <c r="G62" i="26"/>
  <c r="G61" i="26"/>
  <c r="G79" i="26"/>
  <c r="G39" i="26" l="1"/>
  <c r="G52" i="26" s="1"/>
  <c r="H35" i="26"/>
  <c r="G74" i="26"/>
  <c r="G77" i="26"/>
  <c r="J76" i="26"/>
  <c r="J32" i="26"/>
  <c r="J42" i="26" s="1"/>
  <c r="J27" i="26"/>
  <c r="J80" i="26"/>
  <c r="I76" i="26"/>
  <c r="I32" i="26"/>
  <c r="I42" i="26" s="1"/>
  <c r="H56" i="26"/>
  <c r="H36" i="26"/>
  <c r="H37" i="26" s="1"/>
  <c r="H39" i="26" s="1"/>
  <c r="I27" i="26"/>
  <c r="I80" i="26"/>
  <c r="G40" i="26" l="1"/>
  <c r="G45" i="26" s="1"/>
  <c r="G44" i="26" s="1"/>
  <c r="J35" i="26"/>
  <c r="J56" i="26" s="1"/>
  <c r="I35" i="26"/>
  <c r="I56" i="26" s="1"/>
  <c r="H40" i="26"/>
  <c r="H52" i="26"/>
  <c r="J79" i="26"/>
  <c r="H57" i="26"/>
  <c r="H59" i="26" s="1"/>
  <c r="H67" i="26" s="1"/>
  <c r="H62" i="26"/>
  <c r="H61" i="26"/>
  <c r="I79" i="26"/>
  <c r="G82" i="26"/>
  <c r="G85" i="26"/>
  <c r="G83" i="26"/>
  <c r="G86" i="26"/>
  <c r="G53" i="26" l="1"/>
  <c r="G54" i="26" s="1"/>
  <c r="G48" i="26"/>
  <c r="G47" i="26" s="1"/>
  <c r="J36" i="26"/>
  <c r="J37" i="26" s="1"/>
  <c r="J39" i="26" s="1"/>
  <c r="J52" i="26" s="1"/>
  <c r="I36" i="26"/>
  <c r="I37" i="26" s="1"/>
  <c r="I39" i="26" s="1"/>
  <c r="I52" i="26" s="1"/>
  <c r="J62" i="26"/>
  <c r="J57" i="26"/>
  <c r="J59" i="26" s="1"/>
  <c r="J67" i="26" s="1"/>
  <c r="J61" i="26"/>
  <c r="I62" i="26"/>
  <c r="I57" i="26"/>
  <c r="I59" i="26" s="1"/>
  <c r="I67" i="26" s="1"/>
  <c r="I61" i="26"/>
  <c r="H74" i="26"/>
  <c r="H77" i="26"/>
  <c r="H53" i="26"/>
  <c r="H54" i="26" s="1"/>
  <c r="H48" i="26"/>
  <c r="H47" i="26" s="1"/>
  <c r="H45" i="26"/>
  <c r="H44" i="26" s="1"/>
  <c r="I40" i="26" l="1"/>
  <c r="I53" i="26" s="1"/>
  <c r="I54" i="26" s="1"/>
  <c r="J40" i="26"/>
  <c r="J48" i="26" s="1"/>
  <c r="J47" i="26" s="1"/>
  <c r="J74" i="26"/>
  <c r="J77" i="26"/>
  <c r="J45" i="26"/>
  <c r="J44" i="26" s="1"/>
  <c r="J53" i="26"/>
  <c r="J54" i="26" s="1"/>
  <c r="H86" i="26"/>
  <c r="H83" i="26"/>
  <c r="H82" i="26"/>
  <c r="H85" i="26"/>
  <c r="I74" i="26"/>
  <c r="I77" i="26"/>
  <c r="I48" i="26" l="1"/>
  <c r="I47" i="26" s="1"/>
  <c r="I45" i="26"/>
  <c r="I44" i="26" s="1"/>
  <c r="I85" i="26"/>
  <c r="I82" i="26"/>
  <c r="I86" i="26"/>
  <c r="I83" i="26"/>
  <c r="J82" i="26"/>
  <c r="J85" i="26"/>
  <c r="J83" i="26"/>
  <c r="J8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<sst xmlns="http://schemas.openxmlformats.org/spreadsheetml/2006/main" count="215" uniqueCount="83">
  <si>
    <t>%</t>
  </si>
  <si>
    <t>M Shares</t>
  </si>
  <si>
    <t>x</t>
  </si>
  <si>
    <t>IPO Transaction Assumptions:</t>
  </si>
  <si>
    <t>Underwriting Discount:</t>
  </si>
  <si>
    <t>$ in Millions</t>
  </si>
  <si>
    <t>Funds Raised in IPO: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</si>
  <si>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</si>
  <si>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</si>
  <si>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</si>
  <si>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</si>
  <si>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</si>
  <si>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</si>
  <si>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</si>
  <si>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</si>
  <si>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</si>
  <si>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</si>
  <si>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Issuer - Existing Shares Outstanding:</t>
  </si>
  <si>
    <t>Implied Offering Price per Share:</t>
  </si>
  <si>
    <t>$ as Stated</t>
  </si>
  <si>
    <t>Pro-Forma Shares Outstanding, Post-IPO:</t>
  </si>
  <si>
    <t>Primary Shares Issued - Basic Offering:</t>
  </si>
  <si>
    <t>Primary Shares Issued - Overallotment:</t>
  </si>
  <si>
    <t>Total Shares Issued or Sold in IPO:</t>
  </si>
  <si>
    <t>Total Shares Issued or Sold in Base Deal:</t>
  </si>
  <si>
    <t>Total Overallotment Shares:</t>
  </si>
  <si>
    <t>Secondary Shares Sold - Basic Offering:</t>
  </si>
  <si>
    <t>Secondary Shares Sold - Overallotment:</t>
  </si>
  <si>
    <t>Post-Transaction Shares Outstanding Calculations:</t>
  </si>
  <si>
    <t>Deal Size &amp; Gross and Net Proceeds to Issuer:</t>
  </si>
  <si>
    <t>Total Offering Size:</t>
  </si>
  <si>
    <t>IPO Pricing Discount:</t>
  </si>
  <si>
    <t>Net IPO Proceeds to Issuer:</t>
  </si>
  <si>
    <t>Implied Pre-Money Equity Value:</t>
  </si>
  <si>
    <t>Gross Primary Proceeds:</t>
  </si>
  <si>
    <t>% Company Sold in IPO:</t>
  </si>
  <si>
    <t>Valuation Multiples @ Pricing and Trading:</t>
  </si>
  <si>
    <t>Base Deal Size (Primary + Secondary):</t>
  </si>
  <si>
    <t>Implied Post-Money Enterprise Value @ Trading:</t>
  </si>
  <si>
    <t>Implied Post-Money Enterprise Value @ Pricing:</t>
  </si>
  <si>
    <t>IPO Valuation &amp; Financing Model</t>
  </si>
  <si>
    <t>Filing Range - 1-Year Forward P / E Multiples</t>
  </si>
  <si>
    <t>Forward Year 1 Net Income:</t>
  </si>
  <si>
    <t>Forward Year 1 Revenue:</t>
  </si>
  <si>
    <t>Forward Year 1 EBITDA:</t>
  </si>
  <si>
    <t>Issuer - Existing Shares:</t>
  </si>
  <si>
    <t>Implied Forward P / E Multiple at Trading:</t>
  </si>
  <si>
    <t>Implied Forward P / E Multiple at Pricing:</t>
  </si>
  <si>
    <t>Implied Forward EV / EBITDA Multiple at Pricing:</t>
  </si>
  <si>
    <t>Implied Forward EV / EBITDA Multiple at Trading:</t>
  </si>
  <si>
    <t>Implied Forward EV / Revenue Multiple at Pricing:</t>
  </si>
  <si>
    <t>Implied Forward EV / Revenue Multiple at Trading:</t>
  </si>
  <si>
    <t>Expense Assumptions:</t>
  </si>
  <si>
    <t>Primary Shares Issued:</t>
  </si>
  <si>
    <t>Secondary Shares Sold:</t>
  </si>
  <si>
    <t>Filing Range - Offering Prices:</t>
  </si>
  <si>
    <t>Offering Price per Share:</t>
  </si>
  <si>
    <t>Total Overallotment:</t>
  </si>
  <si>
    <t>Post-Money Equity Value @ Trading and @ Pricing:</t>
  </si>
  <si>
    <t>IPO Valuation &amp; Financing Model - Alternate Version Based on Shares Issued and Offering Price</t>
  </si>
  <si>
    <t>($ USD in Millions Except Per Share Values in $ as Stated)</t>
  </si>
  <si>
    <t>(+) Total Overallotment:</t>
  </si>
  <si>
    <t>(+) SEC Filing &amp; Registration Fees:</t>
  </si>
  <si>
    <t>(+) Printing Fees:</t>
  </si>
  <si>
    <t>(+) Accounting &amp; Legal Fees:</t>
  </si>
  <si>
    <t>(+) Miscellaneous / Other Fees:</t>
  </si>
  <si>
    <t>(+) Primary Shares Issued in IPO:</t>
  </si>
  <si>
    <t>(+) Secondary Shares Sold in IPO:</t>
  </si>
  <si>
    <t>(-) Underwriting Discount:</t>
  </si>
  <si>
    <t>(-) Deal-Related Fees:</t>
  </si>
  <si>
    <t>(-) Net IPO Proceeds: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</si>
  <si>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</si>
  <si>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</si>
  <si>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</si>
  <si>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</si>
  <si>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</si>
  <si>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</si>
  <si>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Primary Shares Issued:</t>
  </si>
  <si>
    <t>(+) Secondary Shares Sold:</t>
  </si>
  <si>
    <t>(+) Overallotment - Primary Shares Issued:</t>
  </si>
  <si>
    <t>(+) Overallotment - Secondary Shares Sold:</t>
  </si>
  <si>
    <t>(+) Total Primary Shares Issued:</t>
  </si>
  <si>
    <t>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</si>
</sst>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_(* #,##0_);_(* \(#,##0\);_(* &quot;-&quot;??_);_(@_)"/>
    <numFmt numFmtId="169" formatCode="_-* #,##0.0_-;\-* #,##0.0_-;_-* &quot;-&quot;??_-;_-@_-"/>
    <numFmt numFmtId="170" formatCode="0.0\ \x;[Red]\ 0.0\ \x"/>
    <numFmt numFmtId="171" formatCode="0.0\ \x_);\(0.0\ \x\);\-_)"/>
    <numFmt numFmtId="172" formatCode="#,##0.000"/>
    <numFmt numFmtId="173" formatCode="0.0%"/>
    <numFmt numFmtId="174" formatCode="0.000"/>
    <numFmt numFmtId="175" formatCode="#,##0.000_);\(#,##0.000\)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62">
    <xf numFmtId="0" fontId="0" fillId="0" borderId="0" xfId="0"/>
    <xf numFmtId="0" fontId="12" fillId="0" borderId="0" xfId="0" applyFont="1"/>
    <xf numFmtId="0" fontId="14" fillId="0" borderId="0" xfId="0" applyFont="1"/>
    <xf numFmtId="0" fontId="1" fillId="0" borderId="0" xfId="0" applyFont="1"/>
    <xf numFmtId="0" fontId="16" fillId="0" borderId="0" xfId="1" applyFont="1"/>
    <xf numFmtId="0" fontId="13" fillId="4" borderId="1" xfId="0" applyFont="1" applyFill="1" applyBorder="1"/>
    <xf numFmtId="0" fontId="17" fillId="4" borderId="1" xfId="0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left"/>
    </xf>
    <xf numFmtId="166" fontId="18" fillId="3" borderId="2" xfId="2" applyNumberFormat="1" applyFont="1" applyFill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165" fontId="18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7" fontId="18" fillId="3" borderId="2" xfId="2" applyNumberFormat="1" applyFont="1" applyFill="1" applyAlignment="1">
      <alignment horizontal="center" wrapText="1"/>
    </xf>
    <xf numFmtId="167" fontId="18" fillId="3" borderId="5" xfId="2" applyNumberFormat="1" applyFont="1" applyFill="1" applyBorder="1" applyAlignment="1">
      <alignment horizontal="center" wrapText="1"/>
    </xf>
    <xf numFmtId="168" fontId="1" fillId="0" borderId="0" xfId="0" applyNumberFormat="1" applyFont="1"/>
    <xf numFmtId="164" fontId="16" fillId="0" borderId="0" xfId="0" applyNumberFormat="1" applyFont="1" applyAlignment="1">
      <alignment horizontal="center"/>
    </xf>
    <xf numFmtId="0" fontId="14" fillId="0" borderId="3" xfId="0" applyFont="1" applyBorder="1"/>
    <xf numFmtId="0" fontId="1" fillId="0" borderId="3" xfId="0" applyFont="1" applyBorder="1"/>
    <xf numFmtId="166" fontId="14" fillId="0" borderId="0" xfId="0" applyNumberFormat="1" applyFont="1"/>
    <xf numFmtId="172" fontId="18" fillId="3" borderId="2" xfId="0" applyNumberFormat="1" applyFont="1" applyFill="1" applyBorder="1" applyAlignment="1">
      <alignment horizontal="center"/>
    </xf>
    <xf numFmtId="0" fontId="21" fillId="4" borderId="0" xfId="0" applyFont="1" applyFill="1"/>
    <xf numFmtId="0" fontId="13" fillId="4" borderId="4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21" fillId="4" borderId="1" xfId="0" applyFont="1" applyFill="1" applyBorder="1" applyAlignment="1">
      <alignment horizontal="center"/>
    </xf>
    <xf numFmtId="170" fontId="13" fillId="4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6" fillId="0" borderId="0" xfId="0" applyNumberFormat="1" applyFont="1"/>
    <xf numFmtId="167" fontId="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172" fontId="22" fillId="0" borderId="0" xfId="0" applyNumberFormat="1" applyFont="1"/>
    <xf numFmtId="44" fontId="1" fillId="0" borderId="0" xfId="0" applyNumberFormat="1" applyFont="1"/>
    <xf numFmtId="169" fontId="16" fillId="0" borderId="0" xfId="0" applyNumberFormat="1" applyFont="1"/>
    <xf numFmtId="0" fontId="19" fillId="0" borderId="1" xfId="0" applyFont="1" applyBorder="1" applyAlignment="1">
      <alignment horizontal="center"/>
    </xf>
    <xf numFmtId="169" fontId="23" fillId="0" borderId="3" xfId="0" applyNumberFormat="1" applyFont="1" applyBorder="1"/>
    <xf numFmtId="173" fontId="16" fillId="0" borderId="0" xfId="0" applyNumberFormat="1" applyFont="1"/>
    <xf numFmtId="166" fontId="1" fillId="0" borderId="0" xfId="0" applyNumberFormat="1" applyFont="1"/>
    <xf numFmtId="167" fontId="14" fillId="0" borderId="3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1" xfId="0" applyFont="1" applyBorder="1"/>
    <xf numFmtId="167" fontId="1" fillId="0" borderId="1" xfId="0" applyNumberFormat="1" applyFont="1" applyBorder="1"/>
    <xf numFmtId="167" fontId="14" fillId="0" borderId="0" xfId="0" applyNumberFormat="1" applyFont="1"/>
    <xf numFmtId="167" fontId="18" fillId="0" borderId="0" xfId="0" applyNumberFormat="1" applyFont="1"/>
    <xf numFmtId="10" fontId="1" fillId="0" borderId="0" xfId="0" applyNumberFormat="1" applyFont="1"/>
    <xf numFmtId="171" fontId="1" fillId="0" borderId="0" xfId="0" applyNumberFormat="1" applyFont="1"/>
    <xf numFmtId="0" fontId="1" fillId="0" borderId="6" xfId="0" applyFont="1" applyBorder="1"/>
    <xf numFmtId="165" fontId="22" fillId="0" borderId="0" xfId="0" applyNumberFormat="1" applyFont="1" applyAlignment="1">
      <alignment horizontal="center"/>
    </xf>
    <xf numFmtId="166" fontId="22" fillId="0" borderId="0" xfId="2" applyNumberFormat="1" applyFont="1" applyFill="1" applyBorder="1" applyAlignment="1">
      <alignment horizontal="center" wrapText="1"/>
    </xf>
    <xf numFmtId="167" fontId="22" fillId="0" borderId="0" xfId="2" applyNumberFormat="1" applyFont="1" applyFill="1" applyBorder="1" applyAlignment="1">
      <alignment horizontal="center" wrapText="1"/>
    </xf>
    <xf numFmtId="175" fontId="18" fillId="3" borderId="2" xfId="0" applyNumberFormat="1" applyFont="1" applyFill="1" applyBorder="1" applyAlignment="1">
      <alignment horizontal="center"/>
    </xf>
    <xf numFmtId="167" fontId="22" fillId="0" borderId="1" xfId="2" applyNumberFormat="1" applyFont="1" applyFill="1" applyBorder="1" applyAlignment="1">
      <alignment horizontal="center" wrapText="1"/>
    </xf>
    <xf numFmtId="166" fontId="22" fillId="0" borderId="0" xfId="0" applyNumberFormat="1" applyFont="1"/>
    <xf numFmtId="167" fontId="22" fillId="0" borderId="0" xfId="0" applyNumberFormat="1" applyFont="1"/>
    <xf numFmtId="174" fontId="22" fillId="0" borderId="0" xfId="0" applyNumberFormat="1" applyFont="1" applyAlignment="1">
      <alignment horizontal="center"/>
    </xf>
    <xf numFmtId="44" fontId="13" fillId="4" borderId="1" xfId="0" applyNumberFormat="1" applyFont="1" applyFill="1" applyBorder="1" applyAlignment="1">
      <alignment horizontal="center"/>
    </xf>
    <xf numFmtId="174" fontId="16" fillId="0" borderId="0" xfId="0" applyNumberFormat="1" applyFont="1"/>
    <xf numFmtId="174" fontId="14" fillId="0" borderId="3" xfId="0" applyNumberFormat="1" applyFont="1" applyBorder="1"/>
    <xf numFmtId="174" fontId="22" fillId="0" borderId="0" xfId="0" applyNumberFormat="1" applyFont="1"/>
    <xf numFmtId="174" fontId="1" fillId="0" borderId="0" xfId="0" applyNumberFormat="1" applyFont="1"/>
    <xf numFmtId="166" fontId="20" fillId="0" borderId="0" xfId="0" applyNumberFormat="1" applyFont="1"/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J86"/>
  <sheetViews>
    <sheetView showGridLines="0" zoomScaleNormal="100" workbookViewId="0">
      <selection activeCell="Q32" sqref="Q32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40</v>
      </c>
    </row>
    <row r="3" spans="2:10" x14ac:dyDescent="0.2">
      <c r="B3" s="4" t="s">
        <v>60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9" t="s">
        <v>6</v>
      </c>
      <c r="E7" s="10">
        <v>1000</v>
      </c>
      <c r="G7" s="7" t="s">
        <v>52</v>
      </c>
      <c r="H7" s="8"/>
      <c r="I7" s="8"/>
      <c r="J7" s="11" t="s">
        <v>5</v>
      </c>
    </row>
    <row r="9" spans="2:10" x14ac:dyDescent="0.2">
      <c r="C9" s="3" t="s">
        <v>4</v>
      </c>
      <c r="E9" s="12">
        <v>0.05</v>
      </c>
      <c r="G9" s="13" t="s">
        <v>62</v>
      </c>
      <c r="J9" s="10">
        <v>1.5</v>
      </c>
    </row>
    <row r="10" spans="2:10" x14ac:dyDescent="0.2">
      <c r="C10" s="3" t="s">
        <v>31</v>
      </c>
      <c r="E10" s="12">
        <v>0.15</v>
      </c>
      <c r="G10" s="13" t="s">
        <v>63</v>
      </c>
      <c r="J10" s="14">
        <v>1</v>
      </c>
    </row>
    <row r="11" spans="2:10" x14ac:dyDescent="0.2">
      <c r="G11" s="13" t="s">
        <v>64</v>
      </c>
      <c r="J11" s="14">
        <v>6</v>
      </c>
    </row>
    <row r="12" spans="2:10" x14ac:dyDescent="0.2">
      <c r="C12" s="3" t="s">
        <v>7</v>
      </c>
      <c r="E12" s="12">
        <v>0.75</v>
      </c>
      <c r="G12" s="13" t="s">
        <v>65</v>
      </c>
      <c r="I12" s="47"/>
      <c r="J12" s="15">
        <v>1.5</v>
      </c>
    </row>
    <row r="13" spans="2:10" x14ac:dyDescent="0.2">
      <c r="C13" s="3" t="s">
        <v>8</v>
      </c>
      <c r="E13" s="17">
        <f>1-E12</f>
        <v>0.25</v>
      </c>
      <c r="G13" s="18" t="s">
        <v>11</v>
      </c>
      <c r="H13" s="19"/>
      <c r="J13" s="20">
        <f>SUM(J9:J12)</f>
        <v>10</v>
      </c>
    </row>
    <row r="15" spans="2:10" x14ac:dyDescent="0.2">
      <c r="C15" s="3" t="s">
        <v>9</v>
      </c>
      <c r="E15" s="12">
        <v>0.15</v>
      </c>
      <c r="G15" s="9" t="s">
        <v>43</v>
      </c>
      <c r="J15" s="10">
        <v>483.95526455862995</v>
      </c>
    </row>
    <row r="16" spans="2:10" x14ac:dyDescent="0.2">
      <c r="C16" s="3" t="s">
        <v>10</v>
      </c>
      <c r="E16" s="12">
        <v>0.75</v>
      </c>
      <c r="G16" s="9" t="s">
        <v>44</v>
      </c>
      <c r="J16" s="14">
        <v>249.74513505701393</v>
      </c>
    </row>
    <row r="17" spans="2:10" x14ac:dyDescent="0.2">
      <c r="G17" s="9" t="s">
        <v>42</v>
      </c>
      <c r="J17" s="14">
        <v>175.94641926452886</v>
      </c>
    </row>
    <row r="18" spans="2:10" x14ac:dyDescent="0.2">
      <c r="C18" s="3" t="s">
        <v>45</v>
      </c>
      <c r="E18" s="21">
        <v>66.914438478351997</v>
      </c>
      <c r="J18" s="16"/>
    </row>
    <row r="20" spans="2:10" x14ac:dyDescent="0.2">
      <c r="B20" s="22"/>
      <c r="C20" s="22"/>
      <c r="D20" s="22"/>
      <c r="E20" s="22"/>
      <c r="F20" s="22"/>
      <c r="G20" s="23" t="s">
        <v>41</v>
      </c>
      <c r="H20" s="24"/>
      <c r="I20" s="24"/>
      <c r="J20" s="24"/>
    </row>
    <row r="21" spans="2:10" x14ac:dyDescent="0.2">
      <c r="B21" s="5" t="str">
        <f>"Forward Year 1 P / E Multiple at Trading:"</f>
        <v>Forward Year 1 P / E Multiple at Trading:</v>
      </c>
      <c r="C21" s="5"/>
      <c r="D21" s="25"/>
      <c r="E21" s="25"/>
      <c r="F21" s="25" t="s">
        <v>82</v>
      </c>
      <c r="G21" s="26">
        <v>17.5</v>
      </c>
      <c r="H21" s="26">
        <f>+G21+2.5</f>
        <v>20</v>
      </c>
      <c r="I21" s="26">
        <f t="shared" ref="I21:J21" si="0">+H21+2.5</f>
        <v>22.5</v>
      </c>
      <c r="J21" s="26">
        <f t="shared" si="0"/>
        <v>25</v>
      </c>
    </row>
    <row r="23" spans="2:10" x14ac:dyDescent="0.2">
      <c r="C23" s="3" t="s">
        <v>42</v>
      </c>
      <c r="F23" s="27" t="s">
        <v>16</v>
      </c>
      <c r="G23" s="28">
        <f>+Forward_Year_1_Net_Income</f>
        <v>175.94641926452886</v>
      </c>
      <c r="H23" s="28">
        <f>+Forward_Year_1_Net_Income</f>
        <v>175.94641926452886</v>
      </c>
      <c r="I23" s="28">
        <f>+Forward_Year_1_Net_Income</f>
        <v>175.94641926452886</v>
      </c>
      <c r="J23" s="28">
        <f>+Forward_Year_1_Net_Income</f>
        <v>175.94641926452886</v>
      </c>
    </row>
    <row r="24" spans="2:10" x14ac:dyDescent="0.2">
      <c r="C24" s="3" t="s">
        <v>12</v>
      </c>
      <c r="F24" s="27" t="s">
        <v>16</v>
      </c>
      <c r="G24" s="29">
        <f>+G21*G23</f>
        <v>3079.062337129255</v>
      </c>
      <c r="H24" s="29">
        <f t="shared" ref="H24:J24" si="1">+H21*H23</f>
        <v>3518.9283852905774</v>
      </c>
      <c r="I24" s="29">
        <f t="shared" si="1"/>
        <v>3958.7944334518993</v>
      </c>
      <c r="J24" s="29">
        <f t="shared" si="1"/>
        <v>4398.6604816132212</v>
      </c>
    </row>
    <row r="25" spans="2:10" x14ac:dyDescent="0.2">
      <c r="G25" s="17"/>
      <c r="H25" s="17"/>
      <c r="I25" s="17"/>
      <c r="J25" s="17"/>
    </row>
    <row r="26" spans="2:10" x14ac:dyDescent="0.2">
      <c r="C26" s="3" t="s">
        <v>14</v>
      </c>
      <c r="F26" s="27" t="s">
        <v>0</v>
      </c>
      <c r="G26" s="30">
        <f>+IPO_Discount</f>
        <v>0.15</v>
      </c>
      <c r="H26" s="30">
        <f>+IPO_Discount</f>
        <v>0.15</v>
      </c>
      <c r="I26" s="30">
        <f>+IPO_Discount</f>
        <v>0.15</v>
      </c>
      <c r="J26" s="30">
        <f>+IPO_Discount</f>
        <v>0.15</v>
      </c>
    </row>
    <row r="27" spans="2:10" x14ac:dyDescent="0.2">
      <c r="C27" s="3" t="s">
        <v>15</v>
      </c>
      <c r="F27" s="27" t="s">
        <v>16</v>
      </c>
      <c r="G27" s="29">
        <f>+G24-G29</f>
        <v>401.61682658207656</v>
      </c>
      <c r="H27" s="29">
        <f t="shared" ref="H27:J27" si="2">+H24-H29</f>
        <v>458.99065895094463</v>
      </c>
      <c r="I27" s="29">
        <f t="shared" si="2"/>
        <v>516.36449131981271</v>
      </c>
      <c r="J27" s="29">
        <f t="shared" si="2"/>
        <v>573.73832368868079</v>
      </c>
    </row>
    <row r="28" spans="2:10" x14ac:dyDescent="0.2">
      <c r="G28" s="31"/>
      <c r="H28" s="31"/>
      <c r="I28" s="31"/>
      <c r="J28" s="31"/>
    </row>
    <row r="29" spans="2:10" x14ac:dyDescent="0.2">
      <c r="C29" s="3" t="s">
        <v>13</v>
      </c>
      <c r="F29" s="27" t="s">
        <v>16</v>
      </c>
      <c r="G29" s="29">
        <f>+G24/(1+G26)</f>
        <v>2677.4455105471784</v>
      </c>
      <c r="H29" s="29">
        <f t="shared" ref="H29:J29" si="3">+H24/(1+H26)</f>
        <v>3059.9377263396327</v>
      </c>
      <c r="I29" s="29">
        <f t="shared" si="3"/>
        <v>3442.4299421320866</v>
      </c>
      <c r="J29" s="29">
        <f t="shared" si="3"/>
        <v>3824.9221579245404</v>
      </c>
    </row>
    <row r="31" spans="2:10" x14ac:dyDescent="0.2">
      <c r="C31" s="3" t="s">
        <v>17</v>
      </c>
      <c r="F31" s="27" t="s">
        <v>1</v>
      </c>
      <c r="G31" s="32">
        <f>+Issuer_Existing_Shares</f>
        <v>66.914438478351997</v>
      </c>
      <c r="H31" s="32">
        <f>+Issuer_Existing_Shares</f>
        <v>66.914438478351997</v>
      </c>
      <c r="I31" s="32">
        <f>+Issuer_Existing_Shares</f>
        <v>66.914438478351997</v>
      </c>
      <c r="J31" s="32">
        <f>+Issuer_Existing_Shares</f>
        <v>66.914438478351997</v>
      </c>
    </row>
    <row r="32" spans="2:10" x14ac:dyDescent="0.2">
      <c r="C32" s="3" t="s">
        <v>18</v>
      </c>
      <c r="F32" s="27" t="s">
        <v>19</v>
      </c>
      <c r="G32" s="33">
        <f>(+G29-IPO_Offering_Size)/G31</f>
        <v>25.068513592770589</v>
      </c>
      <c r="H32" s="33">
        <f>(+H29-IPO_Offering_Size)/H31</f>
        <v>30.78465235878889</v>
      </c>
      <c r="I32" s="33">
        <f>(+I29-IPO_Offering_Size)/I31</f>
        <v>36.500791124807179</v>
      </c>
      <c r="J32" s="33">
        <f>(+J29-IPO_Offering_Size)/J31</f>
        <v>42.216929890825469</v>
      </c>
    </row>
    <row r="33" spans="3:10" x14ac:dyDescent="0.2">
      <c r="G33" s="31"/>
    </row>
    <row r="34" spans="3:10" x14ac:dyDescent="0.2">
      <c r="C34" s="7" t="s">
        <v>28</v>
      </c>
      <c r="D34" s="8"/>
      <c r="E34" s="8"/>
      <c r="F34" s="8"/>
      <c r="G34" s="8"/>
      <c r="H34" s="8"/>
      <c r="I34" s="8"/>
      <c r="J34" s="8"/>
    </row>
    <row r="35" spans="3:10" x14ac:dyDescent="0.2">
      <c r="C35" s="13" t="s">
        <v>66</v>
      </c>
      <c r="F35" s="27" t="s">
        <v>1</v>
      </c>
      <c r="G35" s="34">
        <f>+G29/G32-G31</f>
        <v>39.890677853687592</v>
      </c>
      <c r="H35" s="34">
        <f t="shared" ref="H35:J35" si="4">+H29/H32-H31</f>
        <v>32.483719106040326</v>
      </c>
      <c r="I35" s="34">
        <f t="shared" si="4"/>
        <v>27.396666460754219</v>
      </c>
      <c r="J35" s="34">
        <f t="shared" si="4"/>
        <v>23.687179588521403</v>
      </c>
    </row>
    <row r="36" spans="3:10" x14ac:dyDescent="0.2">
      <c r="C36" s="13" t="s">
        <v>67</v>
      </c>
      <c r="F36" s="35" t="s">
        <v>1</v>
      </c>
      <c r="G36" s="34">
        <f>+G35/Primary_Share_Pct-G35</f>
        <v>13.296892617895864</v>
      </c>
      <c r="H36" s="34">
        <f>+H35/Primary_Share_Pct-H35</f>
        <v>10.827906368680111</v>
      </c>
      <c r="I36" s="34">
        <f>+I35/Primary_Share_Pct-I35</f>
        <v>9.1322221535847419</v>
      </c>
      <c r="J36" s="34">
        <f>+J35/Primary_Share_Pct-J35</f>
        <v>7.8957265295071331</v>
      </c>
    </row>
    <row r="37" spans="3:10" x14ac:dyDescent="0.2">
      <c r="C37" s="18" t="s">
        <v>23</v>
      </c>
      <c r="D37" s="19"/>
      <c r="E37" s="19"/>
      <c r="F37" s="27" t="s">
        <v>1</v>
      </c>
      <c r="G37" s="36">
        <f>SUM(G35:G36)</f>
        <v>53.187570471583456</v>
      </c>
      <c r="H37" s="36">
        <f t="shared" ref="H37:J37" si="5">SUM(H35:H36)</f>
        <v>43.311625474720437</v>
      </c>
      <c r="I37" s="36">
        <f t="shared" si="5"/>
        <v>36.52888861433896</v>
      </c>
      <c r="J37" s="36">
        <f t="shared" si="5"/>
        <v>31.582906118028536</v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3" t="s">
        <v>24</v>
      </c>
      <c r="F39" s="27" t="s">
        <v>1</v>
      </c>
      <c r="G39" s="34">
        <f>+G37/(1+Greenshoe_Pct)</f>
        <v>46.250061279637791</v>
      </c>
      <c r="H39" s="34">
        <f>+H37/(1+Greenshoe_Pct)</f>
        <v>37.662283021496037</v>
      </c>
      <c r="I39" s="34">
        <f>+I37/(1+Greenshoe_Pct)</f>
        <v>31.764250968990403</v>
      </c>
      <c r="J39" s="34">
        <f>+J37/(1+Greenshoe_Pct)</f>
        <v>27.463396624372642</v>
      </c>
    </row>
    <row r="40" spans="3:10" x14ac:dyDescent="0.2">
      <c r="C40" s="3" t="s">
        <v>25</v>
      </c>
      <c r="F40" s="27" t="s">
        <v>1</v>
      </c>
      <c r="G40" s="34">
        <f>+G37-G39</f>
        <v>6.9375091919456651</v>
      </c>
      <c r="H40" s="34">
        <f t="shared" ref="H40:J40" si="6">+H37-H39</f>
        <v>5.6493424532243992</v>
      </c>
      <c r="I40" s="34">
        <f t="shared" si="6"/>
        <v>4.7646376453485573</v>
      </c>
      <c r="J40" s="34">
        <f t="shared" si="6"/>
        <v>4.1195094936558938</v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3" t="s">
        <v>20</v>
      </c>
      <c r="F42" s="27" t="s">
        <v>1</v>
      </c>
      <c r="G42" s="34">
        <f>+G29/G32</f>
        <v>106.80511633203959</v>
      </c>
      <c r="H42" s="34">
        <f>+H29/H32</f>
        <v>99.398157584392322</v>
      </c>
      <c r="I42" s="34">
        <f t="shared" ref="I42:J42" si="7">+I29/I32</f>
        <v>94.311104939106215</v>
      </c>
      <c r="J42" s="34">
        <f t="shared" si="7"/>
        <v>90.601618066873399</v>
      </c>
    </row>
    <row r="44" spans="3:10" x14ac:dyDescent="0.2">
      <c r="C44" s="3" t="s">
        <v>21</v>
      </c>
      <c r="F44" s="27" t="s">
        <v>1</v>
      </c>
      <c r="G44" s="34">
        <f>+G35-G45</f>
        <v>34.68754595972834</v>
      </c>
      <c r="H44" s="34">
        <f t="shared" ref="H44:J44" si="8">+H35-H45</f>
        <v>28.246712266122024</v>
      </c>
      <c r="I44" s="34">
        <f t="shared" si="8"/>
        <v>23.823188226742801</v>
      </c>
      <c r="J44" s="34">
        <f t="shared" si="8"/>
        <v>20.597547468279483</v>
      </c>
    </row>
    <row r="45" spans="3:10" x14ac:dyDescent="0.2">
      <c r="C45" s="3" t="s">
        <v>22</v>
      </c>
      <c r="F45" s="27" t="s">
        <v>1</v>
      </c>
      <c r="G45" s="34">
        <f>+G40*Greenshoe_Primary_Pct</f>
        <v>5.2031318939592488</v>
      </c>
      <c r="H45" s="34">
        <f>+H40*Greenshoe_Primary_Pct</f>
        <v>4.2370068399182994</v>
      </c>
      <c r="I45" s="34">
        <f>+I40*Greenshoe_Primary_Pct</f>
        <v>3.573478234011418</v>
      </c>
      <c r="J45" s="34">
        <f>+J40*Greenshoe_Primary_Pct</f>
        <v>3.0896321202419204</v>
      </c>
    </row>
    <row r="46" spans="3:10" x14ac:dyDescent="0.2">
      <c r="G46" s="31"/>
      <c r="H46" s="31"/>
      <c r="I46" s="31"/>
      <c r="J46" s="31"/>
    </row>
    <row r="47" spans="3:10" x14ac:dyDescent="0.2">
      <c r="C47" s="3" t="s">
        <v>26</v>
      </c>
      <c r="F47" s="27" t="s">
        <v>1</v>
      </c>
      <c r="G47" s="34">
        <f>+G36-G48</f>
        <v>11.562515319909448</v>
      </c>
      <c r="H47" s="34">
        <f t="shared" ref="H47:J47" si="9">+H36-H48</f>
        <v>9.4155707553740111</v>
      </c>
      <c r="I47" s="34">
        <f t="shared" si="9"/>
        <v>7.9410627422476026</v>
      </c>
      <c r="J47" s="34">
        <f t="shared" si="9"/>
        <v>6.8658491560931596</v>
      </c>
    </row>
    <row r="48" spans="3:10" x14ac:dyDescent="0.2">
      <c r="C48" s="3" t="s">
        <v>27</v>
      </c>
      <c r="F48" s="27" t="s">
        <v>1</v>
      </c>
      <c r="G48" s="34">
        <f>+G40*(1-Greenshoe_Primary_Pct)</f>
        <v>1.7343772979864163</v>
      </c>
      <c r="H48" s="34">
        <f>+H40*(1-Greenshoe_Primary_Pct)</f>
        <v>1.4123356133060998</v>
      </c>
      <c r="I48" s="34">
        <f>+I40*(1-Greenshoe_Primary_Pct)</f>
        <v>1.1911594113371393</v>
      </c>
      <c r="J48" s="34">
        <f>+J40*(1-Greenshoe_Primary_Pct)</f>
        <v>1.0298773734139735</v>
      </c>
    </row>
    <row r="50" spans="3:10" x14ac:dyDescent="0.2">
      <c r="C50" s="7" t="s">
        <v>29</v>
      </c>
      <c r="D50" s="8"/>
      <c r="E50" s="8"/>
      <c r="F50" s="8"/>
      <c r="G50" s="8"/>
      <c r="H50" s="8"/>
      <c r="I50" s="8"/>
      <c r="J50" s="8"/>
    </row>
    <row r="51" spans="3:10" ht="14.5" customHeight="1" x14ac:dyDescent="0.2"/>
    <row r="52" spans="3:10" ht="14.5" customHeight="1" x14ac:dyDescent="0.2">
      <c r="C52" s="3" t="s">
        <v>37</v>
      </c>
      <c r="F52" s="27" t="s">
        <v>16</v>
      </c>
      <c r="G52" s="38">
        <f>+G39*G32</f>
        <v>1159.4202898550727</v>
      </c>
      <c r="H52" s="38">
        <f t="shared" ref="H52:J52" si="10">+H39*H32</f>
        <v>1159.4202898550727</v>
      </c>
      <c r="I52" s="38">
        <f t="shared" si="10"/>
        <v>1159.4202898550727</v>
      </c>
      <c r="J52" s="38">
        <f t="shared" si="10"/>
        <v>1159.4202898550727</v>
      </c>
    </row>
    <row r="53" spans="3:10" ht="14.5" customHeight="1" x14ac:dyDescent="0.2">
      <c r="C53" s="13" t="s">
        <v>61</v>
      </c>
      <c r="F53" s="35" t="s">
        <v>16</v>
      </c>
      <c r="G53" s="29">
        <f>+G40*G32</f>
        <v>173.91304347826082</v>
      </c>
      <c r="H53" s="29">
        <f t="shared" ref="H53:J53" si="11">+H40*H32</f>
        <v>173.9130434782607</v>
      </c>
      <c r="I53" s="29">
        <f t="shared" si="11"/>
        <v>173.91304347826079</v>
      </c>
      <c r="J53" s="29">
        <f t="shared" si="11"/>
        <v>173.91304347826079</v>
      </c>
    </row>
    <row r="54" spans="3:10" ht="14.5" customHeight="1" x14ac:dyDescent="0.2">
      <c r="C54" s="18" t="s">
        <v>30</v>
      </c>
      <c r="D54" s="19"/>
      <c r="E54" s="19"/>
      <c r="F54" s="27" t="s">
        <v>16</v>
      </c>
      <c r="G54" s="39">
        <f>SUM(G52:G53)</f>
        <v>1333.3333333333335</v>
      </c>
      <c r="H54" s="39">
        <f t="shared" ref="H54:J54" si="12">SUM(H52:H53)</f>
        <v>1333.3333333333335</v>
      </c>
      <c r="I54" s="39">
        <f t="shared" si="12"/>
        <v>1333.3333333333335</v>
      </c>
      <c r="J54" s="39">
        <f t="shared" si="12"/>
        <v>1333.3333333333335</v>
      </c>
    </row>
    <row r="55" spans="3:10" ht="14.5" customHeight="1" x14ac:dyDescent="0.2"/>
    <row r="56" spans="3:10" ht="14.5" customHeight="1" x14ac:dyDescent="0.2">
      <c r="C56" s="3" t="s">
        <v>34</v>
      </c>
      <c r="F56" s="27" t="s">
        <v>16</v>
      </c>
      <c r="G56" s="29">
        <f>+G35*G32</f>
        <v>1000.0000000000001</v>
      </c>
      <c r="H56" s="29">
        <f t="shared" ref="H56:J56" si="13">+H35*H32</f>
        <v>1000</v>
      </c>
      <c r="I56" s="29">
        <f t="shared" si="13"/>
        <v>1000.0000000000001</v>
      </c>
      <c r="J56" s="29">
        <f t="shared" si="13"/>
        <v>1000.0000000000001</v>
      </c>
    </row>
    <row r="57" spans="3:10" ht="14.5" customHeight="1" x14ac:dyDescent="0.2">
      <c r="C57" s="13" t="s">
        <v>68</v>
      </c>
      <c r="F57" s="27" t="s">
        <v>16</v>
      </c>
      <c r="G57" s="29">
        <f>-G56*IPO_Spread</f>
        <v>-50.000000000000007</v>
      </c>
      <c r="H57" s="29">
        <f>-H56*IPO_Spread</f>
        <v>-50</v>
      </c>
      <c r="I57" s="29">
        <f>-I56*IPO_Spread</f>
        <v>-50.000000000000007</v>
      </c>
      <c r="J57" s="29">
        <f>-J56*IPO_Spread</f>
        <v>-50.000000000000007</v>
      </c>
    </row>
    <row r="58" spans="3:10" x14ac:dyDescent="0.2">
      <c r="C58" s="40" t="s">
        <v>69</v>
      </c>
      <c r="D58" s="41"/>
      <c r="E58" s="41"/>
      <c r="F58" s="35" t="s">
        <v>16</v>
      </c>
      <c r="G58" s="42">
        <f>-$J$13</f>
        <v>-10</v>
      </c>
      <c r="H58" s="42">
        <f>-$J$13</f>
        <v>-10</v>
      </c>
      <c r="I58" s="42">
        <f>-$J$13</f>
        <v>-10</v>
      </c>
      <c r="J58" s="42">
        <f>-$J$13</f>
        <v>-10</v>
      </c>
    </row>
    <row r="59" spans="3:10" x14ac:dyDescent="0.2">
      <c r="C59" s="2" t="s">
        <v>32</v>
      </c>
      <c r="F59" s="27" t="s">
        <v>16</v>
      </c>
      <c r="G59" s="43">
        <f>SUM(G56:G58)</f>
        <v>940.00000000000011</v>
      </c>
      <c r="H59" s="43">
        <f t="shared" ref="H59:J59" si="14">SUM(H56:H58)</f>
        <v>940</v>
      </c>
      <c r="I59" s="43">
        <f t="shared" si="14"/>
        <v>940.00000000000011</v>
      </c>
      <c r="J59" s="43">
        <f t="shared" si="14"/>
        <v>940.00000000000011</v>
      </c>
    </row>
    <row r="61" spans="3:10" x14ac:dyDescent="0.2">
      <c r="C61" s="9" t="s">
        <v>33</v>
      </c>
      <c r="F61" s="27" t="s">
        <v>16</v>
      </c>
      <c r="G61" s="29">
        <f>+G29-G56</f>
        <v>1677.4455105471784</v>
      </c>
      <c r="H61" s="29">
        <f t="shared" ref="H61:J61" si="15">+H29-H56</f>
        <v>2059.9377263396327</v>
      </c>
      <c r="I61" s="29">
        <f t="shared" si="15"/>
        <v>2442.4299421320866</v>
      </c>
      <c r="J61" s="29">
        <f t="shared" si="15"/>
        <v>2824.9221579245404</v>
      </c>
    </row>
    <row r="62" spans="3:10" x14ac:dyDescent="0.2">
      <c r="C62" s="3" t="s">
        <v>35</v>
      </c>
      <c r="F62" s="27" t="s">
        <v>0</v>
      </c>
      <c r="G62" s="30">
        <f>+G56/G29</f>
        <v>0.37349032727677595</v>
      </c>
      <c r="H62" s="30">
        <f t="shared" ref="H62:J62" si="16">+H56/H29</f>
        <v>0.32680403636717886</v>
      </c>
      <c r="I62" s="30">
        <f t="shared" si="16"/>
        <v>0.29049247677082574</v>
      </c>
      <c r="J62" s="30">
        <f t="shared" si="16"/>
        <v>0.26144322909374318</v>
      </c>
    </row>
    <row r="64" spans="3:10" x14ac:dyDescent="0.2">
      <c r="C64" s="7" t="s">
        <v>36</v>
      </c>
      <c r="D64" s="8"/>
      <c r="E64" s="8"/>
      <c r="F64" s="8"/>
      <c r="G64" s="8"/>
      <c r="H64" s="8"/>
      <c r="I64" s="8"/>
      <c r="J64" s="8"/>
    </row>
    <row r="66" spans="3:10" x14ac:dyDescent="0.2">
      <c r="C66" s="3" t="s">
        <v>12</v>
      </c>
      <c r="F66" s="27" t="s">
        <v>16</v>
      </c>
      <c r="G66" s="38">
        <f>+G24</f>
        <v>3079.062337129255</v>
      </c>
      <c r="H66" s="38">
        <f t="shared" ref="H66:J66" si="17">+H24</f>
        <v>3518.9283852905774</v>
      </c>
      <c r="I66" s="38">
        <f t="shared" si="17"/>
        <v>3958.7944334518993</v>
      </c>
      <c r="J66" s="38">
        <f t="shared" si="17"/>
        <v>4398.6604816132212</v>
      </c>
    </row>
    <row r="67" spans="3:10" x14ac:dyDescent="0.2">
      <c r="C67" s="13" t="s">
        <v>70</v>
      </c>
      <c r="F67" s="27" t="s">
        <v>16</v>
      </c>
      <c r="G67" s="29">
        <f>-G59</f>
        <v>-940.00000000000011</v>
      </c>
      <c r="H67" s="29">
        <f t="shared" ref="H67:J67" si="18">-H59</f>
        <v>-940</v>
      </c>
      <c r="I67" s="29">
        <f t="shared" si="18"/>
        <v>-940.00000000000011</v>
      </c>
      <c r="J67" s="29">
        <f t="shared" si="18"/>
        <v>-940.00000000000011</v>
      </c>
    </row>
    <row r="68" spans="3:10" x14ac:dyDescent="0.2">
      <c r="C68" s="13" t="s">
        <v>71</v>
      </c>
      <c r="F68" s="27" t="s">
        <v>16</v>
      </c>
      <c r="G68" s="44">
        <v>-158.10070568053334</v>
      </c>
      <c r="H68" s="44">
        <v>-158.10070568053334</v>
      </c>
      <c r="I68" s="44">
        <v>-158.10070568053334</v>
      </c>
      <c r="J68" s="44">
        <v>-158.10070568053334</v>
      </c>
    </row>
    <row r="69" spans="3:10" x14ac:dyDescent="0.2">
      <c r="C69" s="13" t="s">
        <v>72</v>
      </c>
      <c r="F69" s="27" t="s">
        <v>16</v>
      </c>
      <c r="G69" s="44">
        <v>0</v>
      </c>
      <c r="H69" s="44">
        <v>0</v>
      </c>
      <c r="I69" s="44">
        <v>0</v>
      </c>
      <c r="J69" s="44">
        <v>0</v>
      </c>
    </row>
    <row r="70" spans="3:10" x14ac:dyDescent="0.2">
      <c r="C70" s="13" t="s">
        <v>73</v>
      </c>
      <c r="F70" s="27" t="s">
        <v>16</v>
      </c>
      <c r="G70" s="44">
        <v>0</v>
      </c>
      <c r="H70" s="44">
        <v>0</v>
      </c>
      <c r="I70" s="44">
        <v>0</v>
      </c>
      <c r="J70" s="44">
        <v>0</v>
      </c>
    </row>
    <row r="71" spans="3:10" x14ac:dyDescent="0.2">
      <c r="C71" s="13" t="s">
        <v>74</v>
      </c>
      <c r="F71" s="27" t="s">
        <v>16</v>
      </c>
      <c r="G71" s="44">
        <v>0</v>
      </c>
      <c r="H71" s="44">
        <v>0</v>
      </c>
      <c r="I71" s="44">
        <v>0</v>
      </c>
      <c r="J71" s="44">
        <v>0</v>
      </c>
    </row>
    <row r="72" spans="3:10" x14ac:dyDescent="0.2">
      <c r="C72" s="13" t="s">
        <v>75</v>
      </c>
      <c r="F72" s="27" t="s">
        <v>16</v>
      </c>
      <c r="G72" s="44">
        <v>29.434870755195135</v>
      </c>
      <c r="H72" s="44">
        <v>29.434870755195135</v>
      </c>
      <c r="I72" s="44">
        <v>29.434870755195135</v>
      </c>
      <c r="J72" s="44">
        <v>29.434870755195135</v>
      </c>
    </row>
    <row r="73" spans="3:10" x14ac:dyDescent="0.2">
      <c r="C73" s="13" t="s">
        <v>76</v>
      </c>
      <c r="F73" s="35" t="s">
        <v>16</v>
      </c>
      <c r="G73" s="44">
        <v>0</v>
      </c>
      <c r="H73" s="44">
        <v>0</v>
      </c>
      <c r="I73" s="44">
        <v>0</v>
      </c>
      <c r="J73" s="44">
        <v>0</v>
      </c>
    </row>
    <row r="74" spans="3:10" x14ac:dyDescent="0.2">
      <c r="C74" s="18" t="s">
        <v>38</v>
      </c>
      <c r="D74" s="19"/>
      <c r="E74" s="19"/>
      <c r="F74" s="27" t="s">
        <v>16</v>
      </c>
      <c r="G74" s="39">
        <f>SUM(G66:G73)</f>
        <v>2010.3965022039167</v>
      </c>
      <c r="H74" s="39">
        <f t="shared" ref="H74:J74" si="19">SUM(H66:H73)</f>
        <v>2450.2625503652393</v>
      </c>
      <c r="I74" s="39">
        <f t="shared" si="19"/>
        <v>2890.1285985265613</v>
      </c>
      <c r="J74" s="39">
        <f t="shared" si="19"/>
        <v>3329.9946466878832</v>
      </c>
    </row>
    <row r="75" spans="3:10" x14ac:dyDescent="0.2">
      <c r="G75" s="45"/>
    </row>
    <row r="76" spans="3:10" x14ac:dyDescent="0.2">
      <c r="C76" s="3" t="s">
        <v>13</v>
      </c>
      <c r="F76" s="27" t="s">
        <v>16</v>
      </c>
      <c r="G76" s="29">
        <f>+G29</f>
        <v>2677.4455105471784</v>
      </c>
      <c r="H76" s="29">
        <f t="shared" ref="H76:J76" si="20">+H29</f>
        <v>3059.9377263396327</v>
      </c>
      <c r="I76" s="29">
        <f t="shared" si="20"/>
        <v>3442.4299421320866</v>
      </c>
      <c r="J76" s="29">
        <f t="shared" si="20"/>
        <v>3824.9221579245404</v>
      </c>
    </row>
    <row r="77" spans="3:10" x14ac:dyDescent="0.2">
      <c r="C77" s="2" t="s">
        <v>39</v>
      </c>
      <c r="F77" s="27" t="s">
        <v>16</v>
      </c>
      <c r="G77" s="43">
        <f>+G76+SUM(G67:G73)</f>
        <v>1608.7796756218402</v>
      </c>
      <c r="H77" s="43">
        <f t="shared" ref="H77:J77" si="21">+H76+SUM(H67:H73)</f>
        <v>1991.2718914142945</v>
      </c>
      <c r="I77" s="43">
        <f t="shared" si="21"/>
        <v>2373.7641072067481</v>
      </c>
      <c r="J77" s="43">
        <f t="shared" si="21"/>
        <v>2756.256322999202</v>
      </c>
    </row>
    <row r="79" spans="3:10" x14ac:dyDescent="0.2">
      <c r="C79" s="3" t="s">
        <v>47</v>
      </c>
      <c r="F79" s="27" t="s">
        <v>2</v>
      </c>
      <c r="G79" s="46">
        <f>+G76/Forward_Year_1_Net_Income</f>
        <v>15.217391304347826</v>
      </c>
      <c r="H79" s="46">
        <f>+H76/Forward_Year_1_Net_Income</f>
        <v>17.39130434782609</v>
      </c>
      <c r="I79" s="46">
        <f>+I76/Forward_Year_1_Net_Income</f>
        <v>19.565217391304348</v>
      </c>
      <c r="J79" s="46">
        <f>+J76/Forward_Year_1_Net_Income</f>
        <v>21.739130434782609</v>
      </c>
    </row>
    <row r="80" spans="3:10" x14ac:dyDescent="0.2">
      <c r="C80" s="3" t="s">
        <v>46</v>
      </c>
      <c r="F80" s="27" t="s">
        <v>2</v>
      </c>
      <c r="G80" s="46">
        <f>+G66/Forward_Year_1_Net_Income</f>
        <v>17.5</v>
      </c>
      <c r="H80" s="46">
        <f>+H66/Forward_Year_1_Net_Income</f>
        <v>20</v>
      </c>
      <c r="I80" s="46">
        <f>+I66/Forward_Year_1_Net_Income</f>
        <v>22.5</v>
      </c>
      <c r="J80" s="46">
        <f>+J66/Forward_Year_1_Net_Income</f>
        <v>25</v>
      </c>
    </row>
    <row r="82" spans="3:10" x14ac:dyDescent="0.2">
      <c r="C82" s="3" t="s">
        <v>48</v>
      </c>
      <c r="F82" s="27" t="s">
        <v>2</v>
      </c>
      <c r="G82" s="46">
        <f>+G77/Forward_Year_1_EBITDA</f>
        <v>6.4416857419648013</v>
      </c>
      <c r="H82" s="46">
        <f>+H77/Forward_Year_1_EBITDA</f>
        <v>7.9732159385595649</v>
      </c>
      <c r="I82" s="46">
        <f>+I77/Forward_Year_1_EBITDA</f>
        <v>9.5047461351543259</v>
      </c>
      <c r="J82" s="46">
        <f>+J77/Forward_Year_1_EBITDA</f>
        <v>11.036276331749088</v>
      </c>
    </row>
    <row r="83" spans="3:10" x14ac:dyDescent="0.2">
      <c r="C83" s="3" t="s">
        <v>49</v>
      </c>
      <c r="F83" s="27" t="s">
        <v>2</v>
      </c>
      <c r="G83" s="46">
        <f>+G74/Forward_Year_1_EBITDA</f>
        <v>8.0497924483893009</v>
      </c>
      <c r="H83" s="46">
        <f>+H74/Forward_Year_1_EBITDA</f>
        <v>9.8110521744732804</v>
      </c>
      <c r="I83" s="46">
        <f>+I74/Forward_Year_1_EBITDA</f>
        <v>11.572311900557256</v>
      </c>
      <c r="J83" s="46">
        <f>+J74/Forward_Year_1_EBITDA</f>
        <v>13.333571626641232</v>
      </c>
    </row>
    <row r="85" spans="3:10" x14ac:dyDescent="0.2">
      <c r="C85" s="3" t="s">
        <v>50</v>
      </c>
      <c r="F85" s="27" t="s">
        <v>2</v>
      </c>
      <c r="G85" s="46">
        <f>+G77/Forward_Year_1_Revenue</f>
        <v>3.3242322037534953</v>
      </c>
      <c r="H85" s="46">
        <f>+H77/Forward_Year_1_Revenue</f>
        <v>4.1145784274716926</v>
      </c>
      <c r="I85" s="46">
        <f>+I77/Forward_Year_1_Revenue</f>
        <v>4.9049246511898881</v>
      </c>
      <c r="J85" s="46">
        <f>+J77/Forward_Year_1_Revenue</f>
        <v>5.6952708749080845</v>
      </c>
    </row>
    <row r="86" spans="3:10" x14ac:dyDescent="0.2">
      <c r="C86" s="3" t="s">
        <v>51</v>
      </c>
      <c r="F86" s="27" t="s">
        <v>2</v>
      </c>
      <c r="G86" s="46">
        <f>+G74/Forward_Year_1_Revenue</f>
        <v>4.1540957386576016</v>
      </c>
      <c r="H86" s="46">
        <f>+H74/Forward_Year_1_Revenue</f>
        <v>5.0629938959335288</v>
      </c>
      <c r="I86" s="46">
        <f>+I74/Forward_Year_1_Revenue</f>
        <v>5.9718920532094542</v>
      </c>
      <c r="J86" s="46">
        <f>+J74/Forward_Year_1_Revenue</f>
        <v>6.8807902104853804</v>
      </c>
    </row>
  </sheetData>
  <dataValidations count="1">
    <dataValidation type="decimal" allowBlank="1" showInputMessage="1" showErrorMessage="1" sqref="E15:E16 E12:E13" xr:uid="{00000000-0002-0000-00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9" max="1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J78"/>
  <sheetViews>
    <sheetView showGridLines="0" tabSelected="1" topLeftCell="A22" zoomScaleNormal="100" workbookViewId="0"/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59</v>
      </c>
    </row>
    <row r="3" spans="2:10" x14ac:dyDescent="0.2">
      <c r="B3" s="4" t="str">
        <f>+'IPO-Model'!$B$3</f>
        <v>($ USD in Millions Except Per Share Values in $ as Stated)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3" t="s">
        <v>4</v>
      </c>
      <c r="E7" s="48">
        <f>+IPO_Spread</f>
        <v>0.05</v>
      </c>
      <c r="G7" s="7" t="s">
        <v>52</v>
      </c>
      <c r="H7" s="8"/>
      <c r="I7" s="8"/>
      <c r="J7" s="11" t="s">
        <v>5</v>
      </c>
    </row>
    <row r="8" spans="2:10" x14ac:dyDescent="0.2">
      <c r="C8" s="3" t="s">
        <v>31</v>
      </c>
      <c r="E8" s="48">
        <f>+IPO_Discount</f>
        <v>0.15</v>
      </c>
      <c r="G8" s="13" t="s">
        <v>62</v>
      </c>
      <c r="J8" s="49">
        <f>+'IPO-Model'!J9</f>
        <v>1.5</v>
      </c>
    </row>
    <row r="9" spans="2:10" x14ac:dyDescent="0.2">
      <c r="G9" s="13" t="s">
        <v>63</v>
      </c>
      <c r="J9" s="50">
        <f>+'IPO-Model'!J10</f>
        <v>1</v>
      </c>
    </row>
    <row r="10" spans="2:10" x14ac:dyDescent="0.2">
      <c r="C10" s="3" t="s">
        <v>53</v>
      </c>
      <c r="E10" s="51">
        <v>30</v>
      </c>
      <c r="G10" s="13" t="s">
        <v>64</v>
      </c>
      <c r="J10" s="50">
        <f>+'IPO-Model'!J11</f>
        <v>6</v>
      </c>
    </row>
    <row r="11" spans="2:10" x14ac:dyDescent="0.2">
      <c r="C11" s="3" t="s">
        <v>54</v>
      </c>
      <c r="E11" s="51">
        <v>10</v>
      </c>
      <c r="G11" s="40" t="s">
        <v>65</v>
      </c>
      <c r="H11" s="41"/>
      <c r="I11" s="41"/>
      <c r="J11" s="52">
        <f>+'IPO-Model'!J12</f>
        <v>1.5</v>
      </c>
    </row>
    <row r="12" spans="2:10" x14ac:dyDescent="0.2">
      <c r="G12" s="2" t="s">
        <v>11</v>
      </c>
      <c r="J12" s="20">
        <f>SUM(J8:J11)</f>
        <v>10</v>
      </c>
    </row>
    <row r="13" spans="2:10" x14ac:dyDescent="0.2">
      <c r="C13" s="3" t="s">
        <v>9</v>
      </c>
      <c r="E13" s="48">
        <f>+Greenshoe_Pct</f>
        <v>0.15</v>
      </c>
    </row>
    <row r="14" spans="2:10" x14ac:dyDescent="0.2">
      <c r="C14" s="3" t="s">
        <v>10</v>
      </c>
      <c r="E14" s="48">
        <f>+Greenshoe_Primary_Pct</f>
        <v>0.75</v>
      </c>
      <c r="G14" s="9" t="s">
        <v>43</v>
      </c>
      <c r="J14" s="53">
        <f>+Forward_Year_1_Revenue</f>
        <v>483.95526455862995</v>
      </c>
    </row>
    <row r="15" spans="2:10" x14ac:dyDescent="0.2">
      <c r="G15" s="9" t="s">
        <v>44</v>
      </c>
      <c r="J15" s="54">
        <f>+Forward_Year_1_EBITDA</f>
        <v>249.74513505701393</v>
      </c>
    </row>
    <row r="16" spans="2:10" x14ac:dyDescent="0.2">
      <c r="C16" s="3" t="s">
        <v>45</v>
      </c>
      <c r="E16" s="55">
        <f>+'IPO-Model'!E18</f>
        <v>66.914438478351997</v>
      </c>
      <c r="G16" s="9" t="s">
        <v>42</v>
      </c>
      <c r="J16" s="54">
        <f>+Forward_Year_1_Net_Income</f>
        <v>175.94641926452886</v>
      </c>
    </row>
    <row r="18" spans="2:10" x14ac:dyDescent="0.2">
      <c r="B18" s="22"/>
      <c r="C18" s="22"/>
      <c r="D18" s="22"/>
      <c r="E18" s="22"/>
      <c r="F18" s="22"/>
      <c r="G18" s="23" t="s">
        <v>55</v>
      </c>
      <c r="H18" s="24"/>
      <c r="I18" s="24"/>
      <c r="J18" s="24"/>
    </row>
    <row r="19" spans="2:10" x14ac:dyDescent="0.2">
      <c r="B19" s="5" t="s">
        <v>56</v>
      </c>
      <c r="C19" s="5"/>
      <c r="D19" s="25"/>
      <c r="E19" s="25"/>
      <c r="F19" s="25" t="s">
        <v>82</v>
      </c>
      <c r="G19" s="56">
        <v>25</v>
      </c>
      <c r="H19" s="56">
        <f>+G19+5</f>
        <v>30</v>
      </c>
      <c r="I19" s="56">
        <f t="shared" ref="I19:J19" si="0">+H19+5</f>
        <v>35</v>
      </c>
      <c r="J19" s="56">
        <f t="shared" si="0"/>
        <v>40</v>
      </c>
    </row>
    <row r="21" spans="2:10" x14ac:dyDescent="0.2">
      <c r="C21" s="13" t="s">
        <v>77</v>
      </c>
      <c r="F21" s="27" t="s">
        <v>1</v>
      </c>
      <c r="G21" s="57">
        <f>+Primary_Shares</f>
        <v>30</v>
      </c>
      <c r="H21" s="57">
        <f>+Primary_Shares</f>
        <v>30</v>
      </c>
      <c r="I21" s="57">
        <f>+Primary_Shares</f>
        <v>30</v>
      </c>
      <c r="J21" s="57">
        <f>+Primary_Shares</f>
        <v>30</v>
      </c>
    </row>
    <row r="22" spans="2:10" x14ac:dyDescent="0.2">
      <c r="C22" s="13" t="s">
        <v>78</v>
      </c>
      <c r="F22" s="35" t="s">
        <v>1</v>
      </c>
      <c r="G22" s="57">
        <f>+Secondary_Shares</f>
        <v>10</v>
      </c>
      <c r="H22" s="57">
        <f>+Secondary_Shares</f>
        <v>10</v>
      </c>
      <c r="I22" s="57">
        <f>+Secondary_Shares</f>
        <v>10</v>
      </c>
      <c r="J22" s="57">
        <f>+Secondary_Shares</f>
        <v>10</v>
      </c>
    </row>
    <row r="23" spans="2:10" x14ac:dyDescent="0.2">
      <c r="C23" s="18" t="s">
        <v>24</v>
      </c>
      <c r="D23" s="19"/>
      <c r="E23" s="19"/>
      <c r="F23" s="27" t="s">
        <v>1</v>
      </c>
      <c r="G23" s="58">
        <f>SUM(G21:G22)</f>
        <v>40</v>
      </c>
      <c r="H23" s="58">
        <f t="shared" ref="H23:J23" si="1">SUM(H21:H22)</f>
        <v>40</v>
      </c>
      <c r="I23" s="58">
        <f t="shared" si="1"/>
        <v>40</v>
      </c>
      <c r="J23" s="58">
        <f t="shared" si="1"/>
        <v>40</v>
      </c>
    </row>
    <row r="25" spans="2:10" x14ac:dyDescent="0.2">
      <c r="C25" s="13" t="s">
        <v>79</v>
      </c>
      <c r="F25" s="27" t="s">
        <v>1</v>
      </c>
      <c r="G25" s="57">
        <f>+G23*Greenshoe_Pct*Greenshoe_Primary_Pct</f>
        <v>4.5</v>
      </c>
      <c r="H25" s="57">
        <f>+H23*Greenshoe_Pct*Greenshoe_Primary_Pct</f>
        <v>4.5</v>
      </c>
      <c r="I25" s="57">
        <f>+I23*Greenshoe_Pct*Greenshoe_Primary_Pct</f>
        <v>4.5</v>
      </c>
      <c r="J25" s="57">
        <f>+J23*Greenshoe_Pct*Greenshoe_Primary_Pct</f>
        <v>4.5</v>
      </c>
    </row>
    <row r="26" spans="2:10" x14ac:dyDescent="0.2">
      <c r="C26" s="13" t="s">
        <v>80</v>
      </c>
      <c r="F26" s="35" t="s">
        <v>1</v>
      </c>
      <c r="G26" s="57">
        <f>+G23*Greenshoe_Pct*(1-Greenshoe_Primary_Pct)</f>
        <v>1.5</v>
      </c>
      <c r="H26" s="57">
        <f>+H23*Greenshoe_Pct*(1-Greenshoe_Primary_Pct)</f>
        <v>1.5</v>
      </c>
      <c r="I26" s="57">
        <f>+I23*Greenshoe_Pct*(1-Greenshoe_Primary_Pct)</f>
        <v>1.5</v>
      </c>
      <c r="J26" s="57">
        <f>+J23*Greenshoe_Pct*(1-Greenshoe_Primary_Pct)</f>
        <v>1.5</v>
      </c>
    </row>
    <row r="27" spans="2:10" x14ac:dyDescent="0.2">
      <c r="C27" s="18" t="s">
        <v>57</v>
      </c>
      <c r="D27" s="19"/>
      <c r="E27" s="19"/>
      <c r="F27" s="27" t="s">
        <v>1</v>
      </c>
      <c r="G27" s="58">
        <f>SUM(G25:G26)</f>
        <v>6</v>
      </c>
      <c r="H27" s="58">
        <f t="shared" ref="H27:J27" si="2">SUM(H25:H26)</f>
        <v>6</v>
      </c>
      <c r="I27" s="58">
        <f t="shared" si="2"/>
        <v>6</v>
      </c>
      <c r="J27" s="58">
        <f t="shared" si="2"/>
        <v>6</v>
      </c>
    </row>
    <row r="29" spans="2:10" x14ac:dyDescent="0.2">
      <c r="C29" s="3" t="s">
        <v>17</v>
      </c>
      <c r="F29" s="27" t="s">
        <v>1</v>
      </c>
      <c r="G29" s="59">
        <f>+Issuer_Existing_Shares</f>
        <v>66.914438478351997</v>
      </c>
      <c r="H29" s="59">
        <f>+Issuer_Existing_Shares</f>
        <v>66.914438478351997</v>
      </c>
      <c r="I29" s="59">
        <f>+Issuer_Existing_Shares</f>
        <v>66.914438478351997</v>
      </c>
      <c r="J29" s="59">
        <f>+Issuer_Existing_Shares</f>
        <v>66.914438478351997</v>
      </c>
    </row>
    <row r="30" spans="2:10" x14ac:dyDescent="0.2">
      <c r="C30" s="13" t="s">
        <v>81</v>
      </c>
      <c r="F30" s="35" t="s">
        <v>1</v>
      </c>
      <c r="G30" s="60">
        <f>+G21+G25</f>
        <v>34.5</v>
      </c>
      <c r="H30" s="60">
        <f t="shared" ref="H30:J30" si="3">+H21+H25</f>
        <v>34.5</v>
      </c>
      <c r="I30" s="60">
        <f t="shared" si="3"/>
        <v>34.5</v>
      </c>
      <c r="J30" s="60">
        <f t="shared" si="3"/>
        <v>34.5</v>
      </c>
    </row>
    <row r="31" spans="2:10" x14ac:dyDescent="0.2">
      <c r="C31" s="18" t="s">
        <v>20</v>
      </c>
      <c r="D31" s="19"/>
      <c r="E31" s="19"/>
      <c r="F31" s="27" t="s">
        <v>1</v>
      </c>
      <c r="G31" s="58">
        <f>SUM(G29:G30)</f>
        <v>101.414438478352</v>
      </c>
      <c r="H31" s="58">
        <f t="shared" ref="H31:J31" si="4">SUM(H29:H30)</f>
        <v>101.414438478352</v>
      </c>
      <c r="I31" s="58">
        <f t="shared" si="4"/>
        <v>101.414438478352</v>
      </c>
      <c r="J31" s="58">
        <f t="shared" si="4"/>
        <v>101.414438478352</v>
      </c>
    </row>
    <row r="33" spans="3:10" x14ac:dyDescent="0.2">
      <c r="C33" s="7" t="s">
        <v>58</v>
      </c>
      <c r="D33" s="8"/>
      <c r="E33" s="8"/>
      <c r="F33" s="8"/>
      <c r="G33" s="8"/>
      <c r="H33" s="8"/>
      <c r="I33" s="8"/>
      <c r="J33" s="8"/>
    </row>
    <row r="35" spans="3:10" x14ac:dyDescent="0.2">
      <c r="C35" s="3" t="s">
        <v>13</v>
      </c>
      <c r="F35" s="27" t="s">
        <v>16</v>
      </c>
      <c r="G35" s="61">
        <f>+G19*G31</f>
        <v>2535.3609619588001</v>
      </c>
      <c r="H35" s="61">
        <f t="shared" ref="H35:J35" si="5">+H19*H31</f>
        <v>3042.43315435056</v>
      </c>
      <c r="I35" s="61">
        <f t="shared" si="5"/>
        <v>3549.5053467423199</v>
      </c>
      <c r="J35" s="61">
        <f t="shared" si="5"/>
        <v>4056.5775391340799</v>
      </c>
    </row>
    <row r="37" spans="3:10" x14ac:dyDescent="0.2">
      <c r="C37" s="3" t="s">
        <v>14</v>
      </c>
      <c r="F37" s="27" t="s">
        <v>0</v>
      </c>
      <c r="G37" s="30">
        <f>+IPO_Discount</f>
        <v>0.15</v>
      </c>
      <c r="H37" s="30">
        <f>+IPO_Discount</f>
        <v>0.15</v>
      </c>
      <c r="I37" s="30">
        <f>+IPO_Discount</f>
        <v>0.15</v>
      </c>
      <c r="J37" s="30">
        <f>+IPO_Discount</f>
        <v>0.15</v>
      </c>
    </row>
    <row r="38" spans="3:10" x14ac:dyDescent="0.2">
      <c r="C38" s="3" t="s">
        <v>15</v>
      </c>
      <c r="F38" s="27" t="s">
        <v>16</v>
      </c>
      <c r="G38" s="29">
        <f>+G40-G35</f>
        <v>380.30414429381972</v>
      </c>
      <c r="H38" s="29">
        <f t="shared" ref="H38:J38" si="6">+H40-H35</f>
        <v>456.36497315258384</v>
      </c>
      <c r="I38" s="29">
        <f t="shared" si="6"/>
        <v>532.42580201134751</v>
      </c>
      <c r="J38" s="29">
        <f t="shared" si="6"/>
        <v>608.48663087011164</v>
      </c>
    </row>
    <row r="39" spans="3:10" x14ac:dyDescent="0.2">
      <c r="G39" s="45"/>
      <c r="H39" s="45"/>
      <c r="I39" s="45"/>
      <c r="J39" s="45"/>
    </row>
    <row r="40" spans="3:10" x14ac:dyDescent="0.2">
      <c r="C40" s="3" t="s">
        <v>12</v>
      </c>
      <c r="F40" s="27" t="s">
        <v>16</v>
      </c>
      <c r="G40" s="29">
        <f>+G35*(1+G37)</f>
        <v>2915.6651062526198</v>
      </c>
      <c r="H40" s="29">
        <f t="shared" ref="H40:J40" si="7">+H35*(1+H37)</f>
        <v>3498.7981275031439</v>
      </c>
      <c r="I40" s="29">
        <f t="shared" si="7"/>
        <v>4081.9311487536675</v>
      </c>
      <c r="J40" s="29">
        <f t="shared" si="7"/>
        <v>4665.0641700041915</v>
      </c>
    </row>
    <row r="42" spans="3:10" x14ac:dyDescent="0.2">
      <c r="C42" s="7" t="s">
        <v>29</v>
      </c>
      <c r="D42" s="8"/>
      <c r="E42" s="8"/>
      <c r="F42" s="8"/>
      <c r="G42" s="8"/>
      <c r="H42" s="8"/>
      <c r="I42" s="8"/>
      <c r="J42" s="8"/>
    </row>
    <row r="43" spans="3:10" ht="14.5" customHeight="1" x14ac:dyDescent="0.2"/>
    <row r="44" spans="3:10" ht="14.5" customHeight="1" x14ac:dyDescent="0.2">
      <c r="C44" s="3" t="s">
        <v>37</v>
      </c>
      <c r="F44" s="27" t="s">
        <v>16</v>
      </c>
      <c r="G44" s="38">
        <f>+G23*G19</f>
        <v>1000</v>
      </c>
      <c r="H44" s="38">
        <f t="shared" ref="H44:J44" si="8">+H23*H19</f>
        <v>1200</v>
      </c>
      <c r="I44" s="38">
        <f t="shared" si="8"/>
        <v>1400</v>
      </c>
      <c r="J44" s="38">
        <f t="shared" si="8"/>
        <v>1600</v>
      </c>
    </row>
    <row r="45" spans="3:10" ht="14.5" customHeight="1" x14ac:dyDescent="0.2">
      <c r="C45" s="13" t="s">
        <v>61</v>
      </c>
      <c r="F45" s="35" t="s">
        <v>16</v>
      </c>
      <c r="G45" s="29">
        <f>+G27*G19</f>
        <v>150</v>
      </c>
      <c r="H45" s="29">
        <f t="shared" ref="H45:J45" si="9">+H27*H19</f>
        <v>180</v>
      </c>
      <c r="I45" s="29">
        <f t="shared" si="9"/>
        <v>210</v>
      </c>
      <c r="J45" s="29">
        <f t="shared" si="9"/>
        <v>240</v>
      </c>
    </row>
    <row r="46" spans="3:10" ht="14.5" customHeight="1" x14ac:dyDescent="0.2">
      <c r="C46" s="18" t="s">
        <v>30</v>
      </c>
      <c r="D46" s="19"/>
      <c r="E46" s="19"/>
      <c r="F46" s="27" t="s">
        <v>16</v>
      </c>
      <c r="G46" s="39">
        <f>SUM(G44:G45)</f>
        <v>1150</v>
      </c>
      <c r="H46" s="39">
        <f t="shared" ref="H46:J46" si="10">SUM(H44:H45)</f>
        <v>1380</v>
      </c>
      <c r="I46" s="39">
        <f t="shared" si="10"/>
        <v>1610</v>
      </c>
      <c r="J46" s="39">
        <f t="shared" si="10"/>
        <v>1840</v>
      </c>
    </row>
    <row r="47" spans="3:10" ht="14.5" customHeight="1" x14ac:dyDescent="0.2"/>
    <row r="48" spans="3:10" ht="14.5" customHeight="1" x14ac:dyDescent="0.2">
      <c r="C48" s="3" t="s">
        <v>34</v>
      </c>
      <c r="F48" s="27" t="s">
        <v>16</v>
      </c>
      <c r="G48" s="29">
        <f>+G30*G19</f>
        <v>862.5</v>
      </c>
      <c r="H48" s="29">
        <f t="shared" ref="H48:J48" si="11">+H30*H19</f>
        <v>1035</v>
      </c>
      <c r="I48" s="29">
        <f t="shared" si="11"/>
        <v>1207.5</v>
      </c>
      <c r="J48" s="29">
        <f t="shared" si="11"/>
        <v>1380</v>
      </c>
    </row>
    <row r="49" spans="3:10" ht="14.5" customHeight="1" x14ac:dyDescent="0.2">
      <c r="C49" s="13" t="s">
        <v>68</v>
      </c>
      <c r="F49" s="27" t="s">
        <v>16</v>
      </c>
      <c r="G49" s="29">
        <f>-G30*G19*IPO_Spread</f>
        <v>-43.125</v>
      </c>
      <c r="H49" s="29">
        <f>-H30*H19*IPO_Spread</f>
        <v>-51.75</v>
      </c>
      <c r="I49" s="29">
        <f>-I30*I19*IPO_Spread</f>
        <v>-60.375</v>
      </c>
      <c r="J49" s="29">
        <f>-J30*J19*IPO_Spread</f>
        <v>-69</v>
      </c>
    </row>
    <row r="50" spans="3:10" x14ac:dyDescent="0.2">
      <c r="C50" s="40" t="s">
        <v>69</v>
      </c>
      <c r="D50" s="41"/>
      <c r="E50" s="41"/>
      <c r="F50" s="35" t="s">
        <v>16</v>
      </c>
      <c r="G50" s="42">
        <f>-$J$12</f>
        <v>-10</v>
      </c>
      <c r="H50" s="42">
        <f>-$J$12</f>
        <v>-10</v>
      </c>
      <c r="I50" s="42">
        <f>-$J$12</f>
        <v>-10</v>
      </c>
      <c r="J50" s="42">
        <f>-$J$12</f>
        <v>-10</v>
      </c>
    </row>
    <row r="51" spans="3:10" x14ac:dyDescent="0.2">
      <c r="C51" s="2" t="s">
        <v>32</v>
      </c>
      <c r="F51" s="27" t="s">
        <v>16</v>
      </c>
      <c r="G51" s="43">
        <f>SUM(G48:G50)</f>
        <v>809.375</v>
      </c>
      <c r="H51" s="43">
        <f t="shared" ref="H51:J51" si="12">SUM(H48:H50)</f>
        <v>973.25</v>
      </c>
      <c r="I51" s="43">
        <f t="shared" si="12"/>
        <v>1137.125</v>
      </c>
      <c r="J51" s="43">
        <f t="shared" si="12"/>
        <v>1301</v>
      </c>
    </row>
    <row r="53" spans="3:10" x14ac:dyDescent="0.2">
      <c r="C53" s="9" t="s">
        <v>33</v>
      </c>
      <c r="F53" s="27" t="s">
        <v>16</v>
      </c>
      <c r="G53" s="29">
        <f>+G35-G48</f>
        <v>1672.8609619588001</v>
      </c>
      <c r="H53" s="29">
        <f t="shared" ref="H53:J53" si="13">+H35-H48</f>
        <v>2007.43315435056</v>
      </c>
      <c r="I53" s="29">
        <f t="shared" si="13"/>
        <v>2342.0053467423199</v>
      </c>
      <c r="J53" s="29">
        <f t="shared" si="13"/>
        <v>2676.5775391340799</v>
      </c>
    </row>
    <row r="54" spans="3:10" x14ac:dyDescent="0.2">
      <c r="C54" s="3" t="s">
        <v>35</v>
      </c>
      <c r="F54" s="27" t="s">
        <v>0</v>
      </c>
      <c r="G54" s="30">
        <f>+G48/G35</f>
        <v>0.34018824654207785</v>
      </c>
      <c r="H54" s="30">
        <f t="shared" ref="H54:J54" si="14">+H48/H35</f>
        <v>0.34018824654207785</v>
      </c>
      <c r="I54" s="30">
        <f t="shared" si="14"/>
        <v>0.34018824654207791</v>
      </c>
      <c r="J54" s="30">
        <f t="shared" si="14"/>
        <v>0.34018824654207791</v>
      </c>
    </row>
    <row r="56" spans="3:10" x14ac:dyDescent="0.2">
      <c r="C56" s="7" t="s">
        <v>36</v>
      </c>
      <c r="D56" s="8"/>
      <c r="E56" s="8"/>
      <c r="F56" s="8"/>
      <c r="G56" s="8"/>
      <c r="H56" s="8"/>
      <c r="I56" s="8"/>
      <c r="J56" s="8"/>
    </row>
    <row r="58" spans="3:10" x14ac:dyDescent="0.2">
      <c r="C58" s="3" t="s">
        <v>12</v>
      </c>
      <c r="F58" s="27" t="s">
        <v>16</v>
      </c>
      <c r="G58" s="38">
        <f>+G40</f>
        <v>2915.6651062526198</v>
      </c>
      <c r="H58" s="38">
        <f t="shared" ref="H58:J58" si="15">+H40</f>
        <v>3498.7981275031439</v>
      </c>
      <c r="I58" s="38">
        <f t="shared" si="15"/>
        <v>4081.9311487536675</v>
      </c>
      <c r="J58" s="38">
        <f t="shared" si="15"/>
        <v>4665.0641700041915</v>
      </c>
    </row>
    <row r="59" spans="3:10" x14ac:dyDescent="0.2">
      <c r="C59" s="13" t="s">
        <v>70</v>
      </c>
      <c r="F59" s="27" t="s">
        <v>16</v>
      </c>
      <c r="G59" s="29">
        <f>-G51</f>
        <v>-809.375</v>
      </c>
      <c r="H59" s="29">
        <f t="shared" ref="H59:J59" si="16">-H51</f>
        <v>-973.25</v>
      </c>
      <c r="I59" s="29">
        <f t="shared" si="16"/>
        <v>-1137.125</v>
      </c>
      <c r="J59" s="29">
        <f t="shared" si="16"/>
        <v>-1301</v>
      </c>
    </row>
    <row r="60" spans="3:10" x14ac:dyDescent="0.2">
      <c r="C60" s="13" t="s">
        <v>71</v>
      </c>
      <c r="F60" s="27" t="s">
        <v>16</v>
      </c>
      <c r="G60" s="54">
        <f>+'IPO-Model'!G68</f>
        <v>-158.10070568053334</v>
      </c>
      <c r="H60" s="54">
        <f>+'IPO-Model'!H68</f>
        <v>-158.10070568053334</v>
      </c>
      <c r="I60" s="54">
        <f>+'IPO-Model'!I68</f>
        <v>-158.10070568053334</v>
      </c>
      <c r="J60" s="54">
        <f>+'IPO-Model'!J68</f>
        <v>-158.10070568053334</v>
      </c>
    </row>
    <row r="61" spans="3:10" x14ac:dyDescent="0.2">
      <c r="C61" s="13" t="s">
        <v>72</v>
      </c>
      <c r="F61" s="27" t="s">
        <v>16</v>
      </c>
      <c r="G61" s="54">
        <f>+'IPO-Model'!G69</f>
        <v>0</v>
      </c>
      <c r="H61" s="54">
        <f>+'IPO-Model'!H69</f>
        <v>0</v>
      </c>
      <c r="I61" s="54">
        <f>+'IPO-Model'!I69</f>
        <v>0</v>
      </c>
      <c r="J61" s="54">
        <f>+'IPO-Model'!J69</f>
        <v>0</v>
      </c>
    </row>
    <row r="62" spans="3:10" x14ac:dyDescent="0.2">
      <c r="C62" s="13" t="s">
        <v>73</v>
      </c>
      <c r="F62" s="27" t="s">
        <v>16</v>
      </c>
      <c r="G62" s="54">
        <f>+'IPO-Model'!G70</f>
        <v>0</v>
      </c>
      <c r="H62" s="54">
        <f>+'IPO-Model'!H70</f>
        <v>0</v>
      </c>
      <c r="I62" s="54">
        <f>+'IPO-Model'!I70</f>
        <v>0</v>
      </c>
      <c r="J62" s="54">
        <f>+'IPO-Model'!J70</f>
        <v>0</v>
      </c>
    </row>
    <row r="63" spans="3:10" x14ac:dyDescent="0.2">
      <c r="C63" s="13" t="s">
        <v>74</v>
      </c>
      <c r="F63" s="27" t="s">
        <v>16</v>
      </c>
      <c r="G63" s="54">
        <f>+'IPO-Model'!G71</f>
        <v>0</v>
      </c>
      <c r="H63" s="54">
        <f>+'IPO-Model'!H71</f>
        <v>0</v>
      </c>
      <c r="I63" s="54">
        <f>+'IPO-Model'!I71</f>
        <v>0</v>
      </c>
      <c r="J63" s="54">
        <f>+'IPO-Model'!J71</f>
        <v>0</v>
      </c>
    </row>
    <row r="64" spans="3:10" x14ac:dyDescent="0.2">
      <c r="C64" s="13" t="s">
        <v>75</v>
      </c>
      <c r="F64" s="27" t="s">
        <v>16</v>
      </c>
      <c r="G64" s="54">
        <f>+'IPO-Model'!G72</f>
        <v>29.434870755195135</v>
      </c>
      <c r="H64" s="54">
        <f>+'IPO-Model'!H72</f>
        <v>29.434870755195135</v>
      </c>
      <c r="I64" s="54">
        <f>+'IPO-Model'!I72</f>
        <v>29.434870755195135</v>
      </c>
      <c r="J64" s="54">
        <f>+'IPO-Model'!J72</f>
        <v>29.434870755195135</v>
      </c>
    </row>
    <row r="65" spans="3:10" x14ac:dyDescent="0.2">
      <c r="C65" s="13" t="s">
        <v>76</v>
      </c>
      <c r="F65" s="35" t="s">
        <v>16</v>
      </c>
      <c r="G65" s="54">
        <f>+'IPO-Model'!G73</f>
        <v>0</v>
      </c>
      <c r="H65" s="54">
        <f>+'IPO-Model'!H73</f>
        <v>0</v>
      </c>
      <c r="I65" s="54">
        <f>+'IPO-Model'!I73</f>
        <v>0</v>
      </c>
      <c r="J65" s="54">
        <f>+'IPO-Model'!J73</f>
        <v>0</v>
      </c>
    </row>
    <row r="66" spans="3:10" x14ac:dyDescent="0.2">
      <c r="C66" s="18" t="s">
        <v>38</v>
      </c>
      <c r="D66" s="19"/>
      <c r="E66" s="19"/>
      <c r="F66" s="27" t="s">
        <v>16</v>
      </c>
      <c r="G66" s="39">
        <f>SUM(G58:G65)</f>
        <v>1977.6242713272816</v>
      </c>
      <c r="H66" s="39">
        <f t="shared" ref="H66:J66" si="17">SUM(H58:H65)</f>
        <v>2396.8822925778059</v>
      </c>
      <c r="I66" s="39">
        <f t="shared" si="17"/>
        <v>2816.1403138283295</v>
      </c>
      <c r="J66" s="39">
        <f t="shared" si="17"/>
        <v>3235.3983350788535</v>
      </c>
    </row>
    <row r="67" spans="3:10" x14ac:dyDescent="0.2">
      <c r="G67" s="45"/>
    </row>
    <row r="68" spans="3:10" x14ac:dyDescent="0.2">
      <c r="C68" s="3" t="s">
        <v>13</v>
      </c>
      <c r="F68" s="27" t="s">
        <v>16</v>
      </c>
      <c r="G68" s="29">
        <f>+G35</f>
        <v>2535.3609619588001</v>
      </c>
      <c r="H68" s="29">
        <f>+H35</f>
        <v>3042.43315435056</v>
      </c>
      <c r="I68" s="29">
        <f>+I35</f>
        <v>3549.5053467423199</v>
      </c>
      <c r="J68" s="29">
        <f>+J35</f>
        <v>4056.5775391340799</v>
      </c>
    </row>
    <row r="69" spans="3:10" x14ac:dyDescent="0.2">
      <c r="C69" s="2" t="s">
        <v>39</v>
      </c>
      <c r="F69" s="27" t="s">
        <v>16</v>
      </c>
      <c r="G69" s="43">
        <f>+G68+SUM(G59:G65)</f>
        <v>1597.3201270334619</v>
      </c>
      <c r="H69" s="43">
        <f t="shared" ref="H69:J69" si="18">+H68+SUM(H59:H65)</f>
        <v>1940.5173194252218</v>
      </c>
      <c r="I69" s="43">
        <f t="shared" si="18"/>
        <v>2283.7145118169819</v>
      </c>
      <c r="J69" s="43">
        <f t="shared" si="18"/>
        <v>2626.9117042087419</v>
      </c>
    </row>
    <row r="71" spans="3:10" x14ac:dyDescent="0.2">
      <c r="C71" s="3" t="s">
        <v>47</v>
      </c>
      <c r="F71" s="27" t="s">
        <v>2</v>
      </c>
      <c r="G71" s="46">
        <f>+G68/Forward_Year_1_Net_Income</f>
        <v>14.409846887233208</v>
      </c>
      <c r="H71" s="46">
        <f>+H68/Forward_Year_1_Net_Income</f>
        <v>17.291816264679849</v>
      </c>
      <c r="I71" s="46">
        <f>+I68/Forward_Year_1_Net_Income</f>
        <v>20.173785642126489</v>
      </c>
      <c r="J71" s="46">
        <f>+J68/Forward_Year_1_Net_Income</f>
        <v>23.05575501957313</v>
      </c>
    </row>
    <row r="72" spans="3:10" x14ac:dyDescent="0.2">
      <c r="C72" s="3" t="s">
        <v>46</v>
      </c>
      <c r="F72" s="27" t="s">
        <v>2</v>
      </c>
      <c r="G72" s="46">
        <f>+G58/Forward_Year_1_Net_Income</f>
        <v>16.571323920318189</v>
      </c>
      <c r="H72" s="46">
        <f>+H58/Forward_Year_1_Net_Income</f>
        <v>19.885588704381824</v>
      </c>
      <c r="I72" s="46">
        <f>+I58/Forward_Year_1_Net_Income</f>
        <v>23.199853488445463</v>
      </c>
      <c r="J72" s="46">
        <f>+J58/Forward_Year_1_Net_Income</f>
        <v>26.514118272509098</v>
      </c>
    </row>
    <row r="74" spans="3:10" x14ac:dyDescent="0.2">
      <c r="C74" s="3" t="s">
        <v>48</v>
      </c>
      <c r="F74" s="27" t="s">
        <v>2</v>
      </c>
      <c r="G74" s="46">
        <f>+G69/Forward_Year_1_EBITDA</f>
        <v>6.3958007697279555</v>
      </c>
      <c r="H74" s="46">
        <f>+H69/Forward_Year_1_EBITDA</f>
        <v>7.7699904704138643</v>
      </c>
      <c r="I74" s="46">
        <f>+I69/Forward_Year_1_EBITDA</f>
        <v>9.1441801710997748</v>
      </c>
      <c r="J74" s="46">
        <f>+J69/Forward_Year_1_EBITDA</f>
        <v>10.518369871785684</v>
      </c>
    </row>
    <row r="75" spans="3:10" x14ac:dyDescent="0.2">
      <c r="C75" s="3" t="s">
        <v>49</v>
      </c>
      <c r="F75" s="27" t="s">
        <v>2</v>
      </c>
      <c r="G75" s="46">
        <f>+G66/Forward_Year_1_EBITDA</f>
        <v>7.9185697486191788</v>
      </c>
      <c r="H75" s="46">
        <f>+H66/Forward_Year_1_EBITDA</f>
        <v>9.5973132450833347</v>
      </c>
      <c r="I75" s="46">
        <f>+I66/Forward_Year_1_EBITDA</f>
        <v>11.276056741547487</v>
      </c>
      <c r="J75" s="46">
        <f>+J66/Forward_Year_1_EBITDA</f>
        <v>12.954800238011641</v>
      </c>
    </row>
    <row r="77" spans="3:10" x14ac:dyDescent="0.2">
      <c r="C77" s="3" t="s">
        <v>50</v>
      </c>
      <c r="F77" s="27" t="s">
        <v>2</v>
      </c>
      <c r="G77" s="46">
        <f>+G69/Forward_Year_1_Revenue</f>
        <v>3.3005532618603235</v>
      </c>
      <c r="H77" s="46">
        <f>+H69/Forward_Year_1_Revenue</f>
        <v>4.0097039159083954</v>
      </c>
      <c r="I77" s="46">
        <f>+I69/Forward_Year_1_Revenue</f>
        <v>4.7188545699564672</v>
      </c>
      <c r="J77" s="46">
        <f>+J69/Forward_Year_1_Revenue</f>
        <v>5.4280052240045382</v>
      </c>
    </row>
    <row r="78" spans="3:10" x14ac:dyDescent="0.2">
      <c r="C78" s="3" t="s">
        <v>51</v>
      </c>
      <c r="F78" s="27" t="s">
        <v>2</v>
      </c>
      <c r="G78" s="46">
        <f>+G66/Forward_Year_1_Revenue</f>
        <v>4.086378258806393</v>
      </c>
      <c r="H78" s="46">
        <f>+H66/Forward_Year_1_Revenue</f>
        <v>4.9526939122436797</v>
      </c>
      <c r="I78" s="46">
        <f>+I66/Forward_Year_1_Revenue</f>
        <v>5.8190095656809646</v>
      </c>
      <c r="J78" s="46">
        <f>+J66/Forward_Year_1_Revenue</f>
        <v>6.6853252191182504</v>
      </c>
    </row>
  </sheetData>
  <dataValidations disablePrompts="1" count="1">
    <dataValidation type="decimal" allowBlank="1" showInputMessage="1" showErrorMessage="1" sqref="E13:E14" xr:uid="{00000000-0002-0000-01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IPO-Model</vt:lpstr>
      <vt:lpstr>Alt-IPO-Model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Primary_Shares</vt:lpstr>
      <vt:lpstr>'Alt-IPO-Model'!Print_Area</vt:lpstr>
      <vt:lpstr>'IPO-Model'!Print_Area</vt:lpstr>
      <vt:lpstr>Secondary_Shares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