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16220" yWindow="500" windowWidth="28020" windowHeight="27200" activeTab="1" xr2:uid="{00000000-000D-0000-FFFF-FFFF00000000}"/>
  </bookViews>
  <sheets>
    <sheet name="IPO-Model" sheetId="26" r:id="rId1"/>
    <sheet name="Alt-IPO-Model" sheetId="36" r:id="rId2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'Alt-IPO-Model'!$E$10</definedName>
    <definedName name="_xlnm.Print_Area" localSheetId="1">'Alt-IPO-Model'!$A$1:$K$79</definedName>
    <definedName name="_xlnm.Print_Area" localSheetId="0">'IPO-Model'!$A$1:$K$87</definedName>
    <definedName name="Secondary_Shares">'Alt-IPO-Model'!$E$11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J16" i="36" l="1"/>
  <c r="J15" i="36"/>
  <c r="J14" i="36"/>
  <c r="J29" i="36"/>
  <c r="I29" i="36"/>
  <c r="H29" i="36"/>
  <c r="G29" i="36"/>
  <c r="H31" i="26"/>
  <c r="I31" i="26"/>
  <c r="J31" i="26"/>
  <c r="G31" i="26"/>
  <c r="J11" i="36"/>
  <c r="J10" i="36"/>
  <c r="J9" i="36"/>
  <c r="J8" i="36"/>
  <c r="E8" i="36"/>
  <c r="E7" i="36"/>
  <c r="E14" i="36"/>
  <c r="E13" i="36"/>
  <c r="E16" i="36"/>
  <c r="J65" i="36"/>
  <c r="I65" i="36"/>
  <c r="H65" i="36"/>
  <c r="G65" i="36"/>
  <c r="J64" i="36"/>
  <c r="I64" i="36"/>
  <c r="H64" i="36"/>
  <c r="G64" i="36"/>
  <c r="J63" i="36"/>
  <c r="I63" i="36"/>
  <c r="H63" i="36"/>
  <c r="G63" i="36"/>
  <c r="J62" i="36"/>
  <c r="I62" i="36"/>
  <c r="H62" i="36"/>
  <c r="G62" i="36"/>
  <c r="J61" i="36"/>
  <c r="I61" i="36"/>
  <c r="H61" i="36"/>
  <c r="G61" i="36"/>
  <c r="J60" i="36"/>
  <c r="I60" i="36"/>
  <c r="H60" i="36"/>
  <c r="G60" i="36"/>
  <c r="B3" i="36"/>
  <c r="J37" i="36"/>
  <c r="I37" i="36"/>
  <c r="H37" i="36"/>
  <c r="G37" i="36"/>
  <c r="J22" i="36"/>
  <c r="I22" i="36"/>
  <c r="H22" i="36"/>
  <c r="G22" i="36"/>
  <c r="J21" i="36"/>
  <c r="I21" i="36"/>
  <c r="H21" i="36"/>
  <c r="G21" i="36"/>
  <c r="H19" i="36"/>
  <c r="I19" i="36" s="1"/>
  <c r="I23" i="36" l="1"/>
  <c r="I44" i="36" s="1"/>
  <c r="G23" i="36"/>
  <c r="G26" i="36" s="1"/>
  <c r="H23" i="36"/>
  <c r="H26" i="36" s="1"/>
  <c r="J12" i="36"/>
  <c r="J50" i="36" s="1"/>
  <c r="J19" i="36"/>
  <c r="J23" i="36"/>
  <c r="I26" i="36" l="1"/>
  <c r="I25" i="36"/>
  <c r="G44" i="36"/>
  <c r="G25" i="36"/>
  <c r="G27" i="36" s="1"/>
  <c r="G45" i="36" s="1"/>
  <c r="G46" i="36" s="1"/>
  <c r="H50" i="36"/>
  <c r="H25" i="36"/>
  <c r="H30" i="36" s="1"/>
  <c r="H44" i="36"/>
  <c r="I50" i="36"/>
  <c r="G50" i="36"/>
  <c r="J44" i="36"/>
  <c r="J25" i="36"/>
  <c r="J26" i="36"/>
  <c r="I27" i="36" l="1"/>
  <c r="I45" i="36" s="1"/>
  <c r="I46" i="36" s="1"/>
  <c r="I30" i="36"/>
  <c r="I49" i="36" s="1"/>
  <c r="G30" i="36"/>
  <c r="G31" i="36" s="1"/>
  <c r="G35" i="36" s="1"/>
  <c r="H27" i="36"/>
  <c r="H45" i="36" s="1"/>
  <c r="H46" i="36" s="1"/>
  <c r="H49" i="36"/>
  <c r="H48" i="36"/>
  <c r="H31" i="36"/>
  <c r="H35" i="36" s="1"/>
  <c r="J27" i="36"/>
  <c r="J45" i="36" s="1"/>
  <c r="J46" i="36" s="1"/>
  <c r="J30" i="36"/>
  <c r="I31" i="36" l="1"/>
  <c r="I35" i="36" s="1"/>
  <c r="I48" i="36"/>
  <c r="I51" i="36" s="1"/>
  <c r="I59" i="36" s="1"/>
  <c r="G49" i="36"/>
  <c r="G48" i="36"/>
  <c r="G54" i="36" s="1"/>
  <c r="G40" i="36"/>
  <c r="G68" i="36"/>
  <c r="G71" i="36" s="1"/>
  <c r="H68" i="36"/>
  <c r="H71" i="36" s="1"/>
  <c r="H53" i="36"/>
  <c r="H40" i="36"/>
  <c r="H54" i="36"/>
  <c r="H51" i="36"/>
  <c r="H59" i="36" s="1"/>
  <c r="J49" i="36"/>
  <c r="J48" i="36"/>
  <c r="J31" i="36"/>
  <c r="J35" i="36" s="1"/>
  <c r="I53" i="36" l="1"/>
  <c r="I40" i="36"/>
  <c r="I38" i="36" s="1"/>
  <c r="I68" i="36"/>
  <c r="I71" i="36" s="1"/>
  <c r="I54" i="36"/>
  <c r="G51" i="36"/>
  <c r="G59" i="36" s="1"/>
  <c r="G69" i="36" s="1"/>
  <c r="G53" i="36"/>
  <c r="H38" i="36"/>
  <c r="H58" i="36"/>
  <c r="H72" i="36" s="1"/>
  <c r="H69" i="36"/>
  <c r="J68" i="36"/>
  <c r="J71" i="36" s="1"/>
  <c r="J53" i="36"/>
  <c r="J40" i="36"/>
  <c r="J54" i="36"/>
  <c r="J51" i="36"/>
  <c r="J59" i="36" s="1"/>
  <c r="G58" i="36"/>
  <c r="G72" i="36" s="1"/>
  <c r="G38" i="36"/>
  <c r="I69" i="36" l="1"/>
  <c r="I74" i="36" s="1"/>
  <c r="I58" i="36"/>
  <c r="I72" i="36" s="1"/>
  <c r="H74" i="36"/>
  <c r="H77" i="36"/>
  <c r="G74" i="36"/>
  <c r="G77" i="36"/>
  <c r="G66" i="36"/>
  <c r="H66" i="36"/>
  <c r="J38" i="36"/>
  <c r="J58" i="36"/>
  <c r="J72" i="36" s="1"/>
  <c r="J69" i="36"/>
  <c r="I77" i="36" l="1"/>
  <c r="I66" i="36"/>
  <c r="I78" i="36" s="1"/>
  <c r="H78" i="36"/>
  <c r="H75" i="36"/>
  <c r="J77" i="36"/>
  <c r="J74" i="36"/>
  <c r="G78" i="36"/>
  <c r="G75" i="36"/>
  <c r="J66" i="36"/>
  <c r="I75" i="36" l="1"/>
  <c r="J78" i="36"/>
  <c r="J75" i="36"/>
  <c r="H23" i="26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<sst xmlns="http://schemas.openxmlformats.org/spreadsheetml/2006/main" count="215" uniqueCount="83">
  <si>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</si>
  <si>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</si>
  <si>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</si>
  <si>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</si>
  <si>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</si>
  <si>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</si>
  <si>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</si>
  <si>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</si>
  <si>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</si>
  <si>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</si>
  <si>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</si>
  <si>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</si>
  <si>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</si>
  <si>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</si>
  <si>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</si>
  <si>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</si>
  <si>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</si>
  <si>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</si>
  <si>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</si>
  <si>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</si>
  <si>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</si>
  <si>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</si>
  <si>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</si>
  <si>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</si>
  <si>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</si>
  <si>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</si>
  <si>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</si>
  <si>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</si>
  <si>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</si>
  <si>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</si>
  <si>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</si>
  <si>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</si>
  <si>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</si>
  <si>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</si>
  <si>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</si>
  <si>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</si>
  <si>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</si>
  <si>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</si>
  <si>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</si>
  <si>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</si>
  <si>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</si>
  <si>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</si>
  <si>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</si>
  <si>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</si>
  <si>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</si>
  <si>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</si>
  <si>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</si>
  <si>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</si>
  <si>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</si>
  <si>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</si>
  <si>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</si>
  <si>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</si>
  <si>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</si>
  <si>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Primary Shares Issued:</t>
  </si>
  <si>
    <t>Secondary Shares Sold:</t>
  </si>
  <si>
    <t>Filing Range - Offering Prices:</t>
  </si>
  <si>
    <t>Offering Price per Share:</t>
  </si>
  <si>
    <t>Total Overallotment:</t>
  </si>
  <si>
    <t>Post-Money Equity Value @ Trading and @ Pricing:</t>
  </si>
  <si>
    <t>IPO Valuation &amp; Financing Model - Alternate Version Based on Shares Issued and Offering Price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</si>
  <si>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</si>
  <si>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</si>
  <si>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</si>
  <si>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</si>
  <si>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</si>
  <si>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</si>
  <si>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</si>
  <si>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</si>
  <si>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</si>
  <si>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</si>
  <si>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</si>
  <si>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</si>
  <si>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</si>
  <si>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</si>
  <si>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</si>
  <si>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</si>
  <si>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</si>
  <si>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Primary Shares Issued:</t>
  </si>
  <si>
    <t>(+) Secondary Shares Sold:</t>
  </si>
  <si>
    <t>(+) Overallotment - Primary Shares Issued:</t>
  </si>
  <si>
    <t>(+) Overallotment - Secondary Shares Sold:</t>
  </si>
  <si>
    <t>(+) Total Primary Shares Issued: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</si>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</sst>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  <numFmt numFmtId="174" formatCode="0.000"/>
    <numFmt numFmtId="175" formatCode="#,##0.000_);\(#,##0.000\)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62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1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1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2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3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  <xf numFmtId="165" fontId="22" fillId="0" borderId="0" xfId="0" applyNumberFormat="1" applyFont="1" applyAlignment="1">
      <alignment horizontal="center"/>
    </xf>
    <xf numFmtId="166" fontId="22" fillId="0" borderId="0" xfId="2" applyNumberFormat="1" applyFont="1" applyFill="1" applyBorder="1" applyAlignment="1">
      <alignment horizontal="center" wrapText="1"/>
    </xf>
    <xf numFmtId="167" fontId="22" fillId="0" borderId="0" xfId="2" applyNumberFormat="1" applyFont="1" applyFill="1" applyBorder="1" applyAlignment="1">
      <alignment horizontal="center" wrapText="1"/>
    </xf>
    <xf numFmtId="175" fontId="18" fillId="3" borderId="2" xfId="0" applyNumberFormat="1" applyFont="1" applyFill="1" applyBorder="1" applyAlignment="1">
      <alignment horizontal="center"/>
    </xf>
    <xf numFmtId="167" fontId="22" fillId="0" borderId="1" xfId="2" applyNumberFormat="1" applyFont="1" applyFill="1" applyBorder="1" applyAlignment="1">
      <alignment horizontal="center" wrapText="1"/>
    </xf>
    <xf numFmtId="166" fontId="22" fillId="0" borderId="0" xfId="0" applyNumberFormat="1" applyFont="1"/>
    <xf numFmtId="167" fontId="22" fillId="0" borderId="0" xfId="0" applyNumberFormat="1" applyFont="1"/>
    <xf numFmtId="174" fontId="22" fillId="0" borderId="0" xfId="0" applyNumberFormat="1" applyFont="1" applyAlignment="1">
      <alignment horizontal="center"/>
    </xf>
    <xf numFmtId="44" fontId="13" fillId="4" borderId="1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14" fillId="0" borderId="3" xfId="0" applyNumberFormat="1" applyFont="1" applyBorder="1"/>
    <xf numFmtId="174" fontId="22" fillId="0" borderId="0" xfId="0" applyNumberFormat="1" applyFont="1"/>
    <xf numFmtId="174" fontId="1" fillId="0" borderId="0" xfId="0" applyNumberFormat="1" applyFont="1"/>
    <xf numFmtId="166" fontId="20" fillId="0" borderId="0" xfId="0" applyNumberFormat="1" applyFont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zoomScaleNormal="100" workbookViewId="0">
      <selection activeCell="Q32" sqref="Q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60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62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63</v>
      </c>
      <c r="J10" s="14">
        <v>1</v>
      </c>
    </row>
    <row r="11" spans="2:10" x14ac:dyDescent="0.2">
      <c r="G11" s="13" t="s">
        <v>64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65</v>
      </c>
      <c r="I12" s="47"/>
      <c r="J12" s="15">
        <v>1.5</v>
      </c>
    </row>
    <row r="13" spans="2:10" x14ac:dyDescent="0.2">
      <c r="C13" s="3" t="s">
        <v>8</v>
      </c>
      <c r="E13" s="17">
        <f>1-E12</f>
      </c>
      <c r="G13" s="18" t="s">
        <v>11</v>
      </c>
      <c r="H13" s="19"/>
      <c r="J13" s="20">
        <f>SUM(J9:J12)</f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</c>
      <c r="C21" s="5"/>
      <c r="D21" s="25"/>
      <c r="E21" s="25"/>
      <c r="F21" s="25" t="s">
        <v>82</v>
      </c>
      <c r="G21" s="26">
        <v>17.5</v>
      </c>
      <c r="H21" s="26">
        <f>+G21+2.5</f>
      </c>
      <c r="I21" s="26">
        <f t="shared" ref="I21:J21" si="0">+H21+2.5</f>
      </c>
      <c r="J21" s="26">
        <f t="shared" si="0"/>
      </c>
    </row>
    <row r="23" spans="2:10" x14ac:dyDescent="0.2">
      <c r="C23" s="3" t="s">
        <v>42</v>
      </c>
      <c r="F23" s="27" t="s">
        <v>16</v>
      </c>
      <c r="G23" s="28">
        <f>+Forward_Year_1_Net_Income</f>
      </c>
      <c r="H23" s="28">
        <f>+Forward_Year_1_Net_Income</f>
      </c>
      <c r="I23" s="28">
        <f>+Forward_Year_1_Net_Income</f>
      </c>
      <c r="J23" s="28">
        <f>+Forward_Year_1_Net_Income</f>
      </c>
    </row>
    <row r="24" spans="2:10" x14ac:dyDescent="0.2">
      <c r="C24" s="3" t="s">
        <v>12</v>
      </c>
      <c r="F24" s="27" t="s">
        <v>16</v>
      </c>
      <c r="G24" s="29">
        <f>+G21*G23</f>
      </c>
      <c r="H24" s="29">
        <f t="shared" ref="H24:J24" si="1">+H21*H23</f>
      </c>
      <c r="I24" s="29">
        <f t="shared" si="1"/>
      </c>
      <c r="J24" s="29">
        <f t="shared" si="1"/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</c>
      <c r="H26" s="30">
        <f>+IPO_Discount</f>
      </c>
      <c r="I26" s="30">
        <f>+IPO_Discount</f>
      </c>
      <c r="J26" s="30">
        <f>+IPO_Discount</f>
      </c>
    </row>
    <row r="27" spans="2:10" x14ac:dyDescent="0.2">
      <c r="C27" s="3" t="s">
        <v>15</v>
      </c>
      <c r="F27" s="27" t="s">
        <v>16</v>
      </c>
      <c r="G27" s="29">
        <f>+G24-G29</f>
      </c>
      <c r="H27" s="29">
        <f t="shared" ref="H27:J27" si="2">+H24-H29</f>
      </c>
      <c r="I27" s="29">
        <f t="shared" si="2"/>
      </c>
      <c r="J27" s="29">
        <f t="shared" si="2"/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</c>
      <c r="H29" s="29">
        <f t="shared" ref="H29:J29" si="3">+H24/(1+H26)</f>
      </c>
      <c r="I29" s="29">
        <f t="shared" si="3"/>
      </c>
      <c r="J29" s="29">
        <f t="shared" si="3"/>
      </c>
    </row>
    <row r="31" spans="2:10" x14ac:dyDescent="0.2">
      <c r="C31" s="3" t="s">
        <v>17</v>
      </c>
      <c r="F31" s="27" t="s">
        <v>1</v>
      </c>
      <c r="G31" s="32">
        <f>+Issuer_Existing_Shares</f>
      </c>
      <c r="H31" s="32">
        <f>+Issuer_Existing_Shares</f>
      </c>
      <c r="I31" s="32">
        <f>+Issuer_Existing_Shares</f>
      </c>
      <c r="J31" s="32">
        <f>+Issuer_Existing_Shares</f>
      </c>
    </row>
    <row r="32" spans="2:10" x14ac:dyDescent="0.2">
      <c r="C32" s="3" t="s">
        <v>18</v>
      </c>
      <c r="F32" s="27" t="s">
        <v>19</v>
      </c>
      <c r="G32" s="33">
        <f>(+G29-IPO_Offering_Size)/G31</f>
      </c>
      <c r="H32" s="33">
        <f>(+H29-IPO_Offering_Size)/H31</f>
      </c>
      <c r="I32" s="33">
        <f>(+I29-IPO_Offering_Size)/I31</f>
      </c>
      <c r="J32" s="33">
        <f>(+J29-IPO_Offering_Size)/J31</f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66</v>
      </c>
      <c r="F35" s="27" t="s">
        <v>1</v>
      </c>
      <c r="G35" s="34">
        <f>+G29/G32-G31</f>
      </c>
      <c r="H35" s="34">
        <f t="shared" ref="H35:J35" si="4">+H29/H32-H31</f>
      </c>
      <c r="I35" s="34">
        <f t="shared" si="4"/>
      </c>
      <c r="J35" s="34">
        <f t="shared" si="4"/>
      </c>
    </row>
    <row r="36" spans="3:10" x14ac:dyDescent="0.2">
      <c r="C36" s="13" t="s">
        <v>67</v>
      </c>
      <c r="F36" s="35" t="s">
        <v>1</v>
      </c>
      <c r="G36" s="34">
        <f>+G35/Primary_Share_Pct-G35</f>
      </c>
      <c r="H36" s="34">
        <f>+H35/Primary_Share_Pct-H35</f>
      </c>
      <c r="I36" s="34">
        <f>+I35/Primary_Share_Pct-I35</f>
      </c>
      <c r="J36" s="34">
        <f>+J35/Primary_Share_Pct-J35</f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</c>
      <c r="H37" s="36">
        <f t="shared" ref="H37:J37" si="5">SUM(H35:H36)</f>
      </c>
      <c r="I37" s="36">
        <f t="shared" si="5"/>
      </c>
      <c r="J37" s="36">
        <f t="shared" si="5"/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</c>
      <c r="H39" s="34">
        <f>+H37/(1+Greenshoe_Pct)</f>
      </c>
      <c r="I39" s="34">
        <f>+I37/(1+Greenshoe_Pct)</f>
      </c>
      <c r="J39" s="34">
        <f>+J37/(1+Greenshoe_Pct)</f>
      </c>
    </row>
    <row r="40" spans="3:10" x14ac:dyDescent="0.2">
      <c r="C40" s="3" t="s">
        <v>25</v>
      </c>
      <c r="F40" s="27" t="s">
        <v>1</v>
      </c>
      <c r="G40" s="34">
        <f>+G37-G39</f>
      </c>
      <c r="H40" s="34">
        <f t="shared" ref="H40:J40" si="6">+H37-H39</f>
      </c>
      <c r="I40" s="34">
        <f t="shared" si="6"/>
      </c>
      <c r="J40" s="34">
        <f t="shared" si="6"/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</c>
      <c r="H42" s="34">
        <f>+H29/H32</f>
      </c>
      <c r="I42" s="34">
        <f t="shared" ref="I42:J42" si="7">+I29/I32</f>
      </c>
      <c r="J42" s="34">
        <f t="shared" si="7"/>
      </c>
    </row>
    <row r="44" spans="3:10" x14ac:dyDescent="0.2">
      <c r="C44" s="3" t="s">
        <v>21</v>
      </c>
      <c r="F44" s="27" t="s">
        <v>1</v>
      </c>
      <c r="G44" s="34">
        <f>+G35-G45</f>
      </c>
      <c r="H44" s="34">
        <f t="shared" ref="H44:J44" si="8">+H35-H45</f>
      </c>
      <c r="I44" s="34">
        <f t="shared" si="8"/>
      </c>
      <c r="J44" s="34">
        <f t="shared" si="8"/>
      </c>
    </row>
    <row r="45" spans="3:10" x14ac:dyDescent="0.2">
      <c r="C45" s="3" t="s">
        <v>22</v>
      </c>
      <c r="F45" s="27" t="s">
        <v>1</v>
      </c>
      <c r="G45" s="34">
        <f>+G40*Greenshoe_Primary_Pct</f>
      </c>
      <c r="H45" s="34">
        <f>+H40*Greenshoe_Primary_Pct</f>
      </c>
      <c r="I45" s="34">
        <f>+I40*Greenshoe_Primary_Pct</f>
      </c>
      <c r="J45" s="34">
        <f>+J40*Greenshoe_Primary_Pct</f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</c>
      <c r="H47" s="34">
        <f t="shared" ref="H47:J47" si="9">+H36-H48</f>
      </c>
      <c r="I47" s="34">
        <f t="shared" si="9"/>
      </c>
      <c r="J47" s="34">
        <f t="shared" si="9"/>
      </c>
    </row>
    <row r="48" spans="3:10" x14ac:dyDescent="0.2">
      <c r="C48" s="3" t="s">
        <v>27</v>
      </c>
      <c r="F48" s="27" t="s">
        <v>1</v>
      </c>
      <c r="G48" s="34">
        <f>+G40*(1-Greenshoe_Primary_Pct)</f>
      </c>
      <c r="H48" s="34">
        <f>+H40*(1-Greenshoe_Primary_Pct)</f>
      </c>
      <c r="I48" s="34">
        <f>+I40*(1-Greenshoe_Primary_Pct)</f>
      </c>
      <c r="J48" s="34">
        <f>+J40*(1-Greenshoe_Primary_Pct)</f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</c>
      <c r="H52" s="38">
        <f t="shared" ref="H52:J52" si="10">+H39*H32</f>
      </c>
      <c r="I52" s="38">
        <f t="shared" si="10"/>
      </c>
      <c r="J52" s="38">
        <f t="shared" si="10"/>
      </c>
    </row>
    <row r="53" spans="3:10" ht="14.5" customHeight="1" x14ac:dyDescent="0.2">
      <c r="C53" s="13" t="s">
        <v>61</v>
      </c>
      <c r="F53" s="35" t="s">
        <v>16</v>
      </c>
      <c r="G53" s="29">
        <f>+G40*G32</f>
      </c>
      <c r="H53" s="29">
        <f t="shared" ref="H53:J53" si="11">+H40*H32</f>
      </c>
      <c r="I53" s="29">
        <f t="shared" si="11"/>
      </c>
      <c r="J53" s="29">
        <f t="shared" si="11"/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</c>
      <c r="H54" s="39">
        <f t="shared" ref="H54:J54" si="12">SUM(H52:H53)</f>
      </c>
      <c r="I54" s="39">
        <f t="shared" si="12"/>
      </c>
      <c r="J54" s="39">
        <f t="shared" si="12"/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</c>
      <c r="H56" s="29">
        <f t="shared" ref="H56:J56" si="13">+H35*H32</f>
      </c>
      <c r="I56" s="29">
        <f t="shared" si="13"/>
      </c>
      <c r="J56" s="29">
        <f t="shared" si="13"/>
      </c>
    </row>
    <row r="57" spans="3:10" ht="14.5" customHeight="1" x14ac:dyDescent="0.2">
      <c r="C57" s="13" t="s">
        <v>68</v>
      </c>
      <c r="F57" s="27" t="s">
        <v>16</v>
      </c>
      <c r="G57" s="29">
        <f>-G56*IPO_Spread</f>
      </c>
      <c r="H57" s="29">
        <f>-H56*IPO_Spread</f>
      </c>
      <c r="I57" s="29">
        <f>-I56*IPO_Spread</f>
      </c>
      <c r="J57" s="29">
        <f>-J56*IPO_Spread</f>
      </c>
    </row>
    <row r="58" spans="3:10" x14ac:dyDescent="0.2">
      <c r="C58" s="40" t="s">
        <v>69</v>
      </c>
      <c r="D58" s="41"/>
      <c r="E58" s="41"/>
      <c r="F58" s="35" t="s">
        <v>16</v>
      </c>
      <c r="G58" s="42">
        <f>-$J$13</f>
      </c>
      <c r="H58" s="42">
        <f>-$J$13</f>
      </c>
      <c r="I58" s="42">
        <f>-$J$13</f>
      </c>
      <c r="J58" s="42">
        <f>-$J$13</f>
      </c>
    </row>
    <row r="59" spans="3:10" x14ac:dyDescent="0.2">
      <c r="C59" s="2" t="s">
        <v>32</v>
      </c>
      <c r="F59" s="27" t="s">
        <v>16</v>
      </c>
      <c r="G59" s="43">
        <f>SUM(G56:G58)</f>
      </c>
      <c r="H59" s="43">
        <f t="shared" ref="H59:J59" si="14">SUM(H56:H58)</f>
      </c>
      <c r="I59" s="43">
        <f t="shared" si="14"/>
      </c>
      <c r="J59" s="43">
        <f t="shared" si="14"/>
      </c>
    </row>
    <row r="61" spans="3:10" x14ac:dyDescent="0.2">
      <c r="C61" s="9" t="s">
        <v>33</v>
      </c>
      <c r="F61" s="27" t="s">
        <v>16</v>
      </c>
      <c r="G61" s="29">
        <f>+G29-G56</f>
      </c>
      <c r="H61" s="29">
        <f t="shared" ref="H61:J61" si="15">+H29-H56</f>
      </c>
      <c r="I61" s="29">
        <f t="shared" si="15"/>
      </c>
      <c r="J61" s="29">
        <f t="shared" si="15"/>
      </c>
    </row>
    <row r="62" spans="3:10" x14ac:dyDescent="0.2">
      <c r="C62" s="3" t="s">
        <v>35</v>
      </c>
      <c r="F62" s="27" t="s">
        <v>0</v>
      </c>
      <c r="G62" s="30">
        <f>+G56/G29</f>
      </c>
      <c r="H62" s="30">
        <f t="shared" ref="H62:J62" si="16">+H56/H29</f>
      </c>
      <c r="I62" s="30">
        <f t="shared" si="16"/>
      </c>
      <c r="J62" s="30">
        <f t="shared" si="16"/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</c>
      <c r="H66" s="38">
        <f t="shared" ref="H66:J66" si="17">+H24</f>
      </c>
      <c r="I66" s="38">
        <f t="shared" si="17"/>
      </c>
      <c r="J66" s="38">
        <f t="shared" si="17"/>
      </c>
    </row>
    <row r="67" spans="3:10" x14ac:dyDescent="0.2">
      <c r="C67" s="13" t="s">
        <v>70</v>
      </c>
      <c r="F67" s="27" t="s">
        <v>16</v>
      </c>
      <c r="G67" s="29">
        <f>-G59</f>
      </c>
      <c r="H67" s="29">
        <f t="shared" ref="H67:J67" si="18">-H59</f>
      </c>
      <c r="I67" s="29">
        <f t="shared" si="18"/>
      </c>
      <c r="J67" s="29">
        <f t="shared" si="18"/>
      </c>
    </row>
    <row r="68" spans="3:10" x14ac:dyDescent="0.2">
      <c r="C68" s="13" t="s">
        <v>71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72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73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74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75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76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</c>
      <c r="H74" s="39">
        <f t="shared" ref="H74:J74" si="19">SUM(H66:H73)</f>
      </c>
      <c r="I74" s="39">
        <f t="shared" si="19"/>
      </c>
      <c r="J74" s="39">
        <f t="shared" si="19"/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</c>
      <c r="H76" s="29">
        <f t="shared" ref="H76:J76" si="20">+H29</f>
      </c>
      <c r="I76" s="29">
        <f t="shared" si="20"/>
      </c>
      <c r="J76" s="29">
        <f t="shared" si="20"/>
      </c>
    </row>
    <row r="77" spans="3:10" x14ac:dyDescent="0.2">
      <c r="C77" s="2" t="s">
        <v>39</v>
      </c>
      <c r="F77" s="27" t="s">
        <v>16</v>
      </c>
      <c r="G77" s="43">
        <f>+G76+SUM(G67:G73)</f>
      </c>
      <c r="H77" s="43">
        <f t="shared" ref="H77:J77" si="21">+H76+SUM(H67:H73)</f>
      </c>
      <c r="I77" s="43">
        <f t="shared" si="21"/>
      </c>
      <c r="J77" s="43">
        <f t="shared" si="21"/>
      </c>
    </row>
    <row r="79" spans="3:10" x14ac:dyDescent="0.2">
      <c r="C79" s="3" t="s">
        <v>47</v>
      </c>
      <c r="F79" s="27" t="s">
        <v>2</v>
      </c>
      <c r="G79" s="46">
        <f>+G76/Forward_Year_1_Net_Income</f>
      </c>
      <c r="H79" s="46">
        <f>+H76/Forward_Year_1_Net_Income</f>
      </c>
      <c r="I79" s="46">
        <f>+I76/Forward_Year_1_Net_Income</f>
      </c>
      <c r="J79" s="46">
        <f>+J76/Forward_Year_1_Net_Income</f>
      </c>
    </row>
    <row r="80" spans="3:10" x14ac:dyDescent="0.2">
      <c r="C80" s="3" t="s">
        <v>46</v>
      </c>
      <c r="F80" s="27" t="s">
        <v>2</v>
      </c>
      <c r="G80" s="46">
        <f>+G66/Forward_Year_1_Net_Income</f>
      </c>
      <c r="H80" s="46">
        <f>+H66/Forward_Year_1_Net_Income</f>
      </c>
      <c r="I80" s="46">
        <f>+I66/Forward_Year_1_Net_Income</f>
      </c>
      <c r="J80" s="46">
        <f>+J66/Forward_Year_1_Net_Income</f>
      </c>
    </row>
    <row r="82" spans="3:10" x14ac:dyDescent="0.2">
      <c r="C82" s="3" t="s">
        <v>48</v>
      </c>
      <c r="F82" s="27" t="s">
        <v>2</v>
      </c>
      <c r="G82" s="46">
        <f>+G77/Forward_Year_1_EBITDA</f>
      </c>
      <c r="H82" s="46">
        <f>+H77/Forward_Year_1_EBITDA</f>
      </c>
      <c r="I82" s="46">
        <f>+I77/Forward_Year_1_EBITDA</f>
      </c>
      <c r="J82" s="46">
        <f>+J77/Forward_Year_1_EBITDA</f>
      </c>
    </row>
    <row r="83" spans="3:10" x14ac:dyDescent="0.2">
      <c r="C83" s="3" t="s">
        <v>49</v>
      </c>
      <c r="F83" s="27" t="s">
        <v>2</v>
      </c>
      <c r="G83" s="46">
        <f>+G74/Forward_Year_1_EBITDA</f>
      </c>
      <c r="H83" s="46">
        <f>+H74/Forward_Year_1_EBITDA</f>
      </c>
      <c r="I83" s="46">
        <f>+I74/Forward_Year_1_EBITDA</f>
      </c>
      <c r="J83" s="46">
        <f>+J74/Forward_Year_1_EBITDA</f>
      </c>
    </row>
    <row r="85" spans="3:10" x14ac:dyDescent="0.2">
      <c r="C85" s="3" t="s">
        <v>50</v>
      </c>
      <c r="F85" s="27" t="s">
        <v>2</v>
      </c>
      <c r="G85" s="46">
        <f>+G77/Forward_Year_1_Revenue</f>
      </c>
      <c r="H85" s="46">
        <f>+H77/Forward_Year_1_Revenue</f>
      </c>
      <c r="I85" s="46">
        <f>+I77/Forward_Year_1_Revenue</f>
      </c>
      <c r="J85" s="46">
        <f>+J77/Forward_Year_1_Revenue</f>
      </c>
    </row>
    <row r="86" spans="3:10" x14ac:dyDescent="0.2">
      <c r="C86" s="3" t="s">
        <v>51</v>
      </c>
      <c r="F86" s="27" t="s">
        <v>2</v>
      </c>
      <c r="G86" s="46">
        <f>+G74/Forward_Year_1_Revenue</f>
      </c>
      <c r="H86" s="46">
        <f>+H74/Forward_Year_1_Revenue</f>
      </c>
      <c r="I86" s="46">
        <f>+I74/Forward_Year_1_Revenue</f>
      </c>
      <c r="J86" s="46">
        <f>+J74/Forward_Year_1_Revenue</f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J78"/>
  <sheetViews>
    <sheetView showGridLines="0" tabSelected="1" topLeftCell="A22" zoomScaleNormal="100" workbookViewId="0"/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59</v>
      </c>
    </row>
    <row r="3" spans="2:10" x14ac:dyDescent="0.2">
      <c r="B3" s="4" t="str">
        <f>+'IPO-Model'!$B$3</f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3" t="s">
        <v>4</v>
      </c>
      <c r="E7" s="48">
        <f>+IPO_Spread</f>
      </c>
      <c r="G7" s="7" t="s">
        <v>52</v>
      </c>
      <c r="H7" s="8"/>
      <c r="I7" s="8"/>
      <c r="J7" s="11" t="s">
        <v>5</v>
      </c>
    </row>
    <row r="8" spans="2:10" x14ac:dyDescent="0.2">
      <c r="C8" s="3" t="s">
        <v>31</v>
      </c>
      <c r="E8" s="48">
        <f>+IPO_Discount</f>
      </c>
      <c r="G8" s="13" t="s">
        <v>62</v>
      </c>
      <c r="J8" s="49">
        <f>+'IPO-Model'!J9</f>
      </c>
    </row>
    <row r="9" spans="2:10" x14ac:dyDescent="0.2">
      <c r="G9" s="13" t="s">
        <v>63</v>
      </c>
      <c r="J9" s="50">
        <f>+'IPO-Model'!J10</f>
      </c>
    </row>
    <row r="10" spans="2:10" x14ac:dyDescent="0.2">
      <c r="C10" s="3" t="s">
        <v>53</v>
      </c>
      <c r="E10" s="51">
        <v>30</v>
      </c>
      <c r="G10" s="13" t="s">
        <v>64</v>
      </c>
      <c r="J10" s="50">
        <f>+'IPO-Model'!J11</f>
      </c>
    </row>
    <row r="11" spans="2:10" x14ac:dyDescent="0.2">
      <c r="C11" s="3" t="s">
        <v>54</v>
      </c>
      <c r="E11" s="51">
        <v>10</v>
      </c>
      <c r="G11" s="40" t="s">
        <v>65</v>
      </c>
      <c r="H11" s="41"/>
      <c r="I11" s="41"/>
      <c r="J11" s="52">
        <f>+'IPO-Model'!J12</f>
      </c>
    </row>
    <row r="12" spans="2:10" x14ac:dyDescent="0.2">
      <c r="G12" s="2" t="s">
        <v>11</v>
      </c>
      <c r="J12" s="20">
        <f>SUM(J8:J11)</f>
      </c>
    </row>
    <row r="13" spans="2:10" x14ac:dyDescent="0.2">
      <c r="C13" s="3" t="s">
        <v>9</v>
      </c>
      <c r="E13" s="48">
        <f>+Greenshoe_Pct</f>
      </c>
    </row>
    <row r="14" spans="2:10" x14ac:dyDescent="0.2">
      <c r="C14" s="3" t="s">
        <v>10</v>
      </c>
      <c r="E14" s="48">
        <f>+Greenshoe_Primary_Pct</f>
      </c>
      <c r="G14" s="9" t="s">
        <v>43</v>
      </c>
      <c r="J14" s="53">
        <f>+Forward_Year_1_Revenue</f>
      </c>
    </row>
    <row r="15" spans="2:10" x14ac:dyDescent="0.2">
      <c r="G15" s="9" t="s">
        <v>44</v>
      </c>
      <c r="J15" s="54">
        <f>+Forward_Year_1_EBITDA</f>
      </c>
    </row>
    <row r="16" spans="2:10" x14ac:dyDescent="0.2">
      <c r="C16" s="3" t="s">
        <v>45</v>
      </c>
      <c r="E16" s="55">
        <f>+'IPO-Model'!E18</f>
      </c>
      <c r="G16" s="9" t="s">
        <v>42</v>
      </c>
      <c r="J16" s="54">
        <f>+Forward_Year_1_Net_Income</f>
      </c>
    </row>
    <row r="18" spans="2:10" x14ac:dyDescent="0.2">
      <c r="B18" s="22"/>
      <c r="C18" s="22"/>
      <c r="D18" s="22"/>
      <c r="E18" s="22"/>
      <c r="F18" s="22"/>
      <c r="G18" s="23" t="s">
        <v>55</v>
      </c>
      <c r="H18" s="24"/>
      <c r="I18" s="24"/>
      <c r="J18" s="24"/>
    </row>
    <row r="19" spans="2:10" x14ac:dyDescent="0.2">
      <c r="B19" s="5" t="s">
        <v>56</v>
      </c>
      <c r="C19" s="5"/>
      <c r="D19" s="25"/>
      <c r="E19" s="25"/>
      <c r="F19" s="25" t="s">
        <v>82</v>
      </c>
      <c r="G19" s="56">
        <v>25</v>
      </c>
      <c r="H19" s="56">
        <f>+G19+5</f>
      </c>
      <c r="I19" s="56">
        <f t="shared" ref="I19:J19" si="0">+H19+5</f>
      </c>
      <c r="J19" s="56">
        <f t="shared" si="0"/>
      </c>
    </row>
    <row r="21" spans="2:10" x14ac:dyDescent="0.2">
      <c r="C21" s="13" t="s">
        <v>77</v>
      </c>
      <c r="F21" s="27" t="s">
        <v>1</v>
      </c>
      <c r="G21" s="57">
        <f>+Primary_Shares</f>
      </c>
      <c r="H21" s="57">
        <f>+Primary_Shares</f>
      </c>
      <c r="I21" s="57">
        <f>+Primary_Shares</f>
      </c>
      <c r="J21" s="57">
        <f>+Primary_Shares</f>
      </c>
    </row>
    <row r="22" spans="2:10" x14ac:dyDescent="0.2">
      <c r="C22" s="13" t="s">
        <v>78</v>
      </c>
      <c r="F22" s="35" t="s">
        <v>1</v>
      </c>
      <c r="G22" s="57">
        <f>+Secondary_Shares</f>
      </c>
      <c r="H22" s="57">
        <f>+Secondary_Shares</f>
      </c>
      <c r="I22" s="57">
        <f>+Secondary_Shares</f>
      </c>
      <c r="J22" s="57">
        <f>+Secondary_Shares</f>
      </c>
    </row>
    <row r="23" spans="2:10" x14ac:dyDescent="0.2">
      <c r="C23" s="18" t="s">
        <v>24</v>
      </c>
      <c r="D23" s="19"/>
      <c r="E23" s="19"/>
      <c r="F23" s="27" t="s">
        <v>1</v>
      </c>
      <c r="G23" s="58">
        <f>SUM(G21:G22)</f>
      </c>
      <c r="H23" s="58">
        <f t="shared" ref="H23:J23" si="1">SUM(H21:H22)</f>
      </c>
      <c r="I23" s="58">
        <f t="shared" si="1"/>
      </c>
      <c r="J23" s="58">
        <f t="shared" si="1"/>
      </c>
    </row>
    <row r="25" spans="2:10" x14ac:dyDescent="0.2">
      <c r="C25" s="13" t="s">
        <v>79</v>
      </c>
      <c r="F25" s="27" t="s">
        <v>1</v>
      </c>
      <c r="G25" s="57">
        <f>+G23*Greenshoe_Pct*Greenshoe_Primary_Pct</f>
      </c>
      <c r="H25" s="57">
        <f>+H23*Greenshoe_Pct*Greenshoe_Primary_Pct</f>
      </c>
      <c r="I25" s="57">
        <f>+I23*Greenshoe_Pct*Greenshoe_Primary_Pct</f>
      </c>
      <c r="J25" s="57">
        <f>+J23*Greenshoe_Pct*Greenshoe_Primary_Pct</f>
      </c>
    </row>
    <row r="26" spans="2:10" x14ac:dyDescent="0.2">
      <c r="C26" s="13" t="s">
        <v>80</v>
      </c>
      <c r="F26" s="35" t="s">
        <v>1</v>
      </c>
      <c r="G26" s="57">
        <f>+G23*Greenshoe_Pct*(1-Greenshoe_Primary_Pct)</f>
      </c>
      <c r="H26" s="57">
        <f>+H23*Greenshoe_Pct*(1-Greenshoe_Primary_Pct)</f>
      </c>
      <c r="I26" s="57">
        <f>+I23*Greenshoe_Pct*(1-Greenshoe_Primary_Pct)</f>
      </c>
      <c r="J26" s="57">
        <f>+J23*Greenshoe_Pct*(1-Greenshoe_Primary_Pct)</f>
      </c>
    </row>
    <row r="27" spans="2:10" x14ac:dyDescent="0.2">
      <c r="C27" s="18" t="s">
        <v>57</v>
      </c>
      <c r="D27" s="19"/>
      <c r="E27" s="19"/>
      <c r="F27" s="27" t="s">
        <v>1</v>
      </c>
      <c r="G27" s="58">
        <f>SUM(G25:G26)</f>
      </c>
      <c r="H27" s="58">
        <f t="shared" ref="H27:J27" si="2">SUM(H25:H26)</f>
      </c>
      <c r="I27" s="58">
        <f t="shared" si="2"/>
      </c>
      <c r="J27" s="58">
        <f t="shared" si="2"/>
      </c>
    </row>
    <row r="29" spans="2:10" x14ac:dyDescent="0.2">
      <c r="C29" s="3" t="s">
        <v>17</v>
      </c>
      <c r="F29" s="27" t="s">
        <v>1</v>
      </c>
      <c r="G29" s="59">
        <f>+Issuer_Existing_Shares</f>
      </c>
      <c r="H29" s="59">
        <f>+Issuer_Existing_Shares</f>
      </c>
      <c r="I29" s="59">
        <f>+Issuer_Existing_Shares</f>
      </c>
      <c r="J29" s="59">
        <f>+Issuer_Existing_Shares</f>
      </c>
    </row>
    <row r="30" spans="2:10" x14ac:dyDescent="0.2">
      <c r="C30" s="13" t="s">
        <v>81</v>
      </c>
      <c r="F30" s="35" t="s">
        <v>1</v>
      </c>
      <c r="G30" s="60">
        <f>+G21+G25</f>
      </c>
      <c r="H30" s="60">
        <f t="shared" ref="H30:J30" si="3">+H21+H25</f>
      </c>
      <c r="I30" s="60">
        <f t="shared" si="3"/>
      </c>
      <c r="J30" s="60">
        <f t="shared" si="3"/>
      </c>
    </row>
    <row r="31" spans="2:10" x14ac:dyDescent="0.2">
      <c r="C31" s="18" t="s">
        <v>20</v>
      </c>
      <c r="D31" s="19"/>
      <c r="E31" s="19"/>
      <c r="F31" s="27" t="s">
        <v>1</v>
      </c>
      <c r="G31" s="58">
        <f>SUM(G29:G30)</f>
      </c>
      <c r="H31" s="58">
        <f t="shared" ref="H31:J31" si="4">SUM(H29:H30)</f>
      </c>
      <c r="I31" s="58">
        <f t="shared" si="4"/>
      </c>
      <c r="J31" s="58">
        <f t="shared" si="4"/>
      </c>
    </row>
    <row r="33" spans="3:10" x14ac:dyDescent="0.2">
      <c r="C33" s="7" t="s">
        <v>58</v>
      </c>
      <c r="D33" s="8"/>
      <c r="E33" s="8"/>
      <c r="F33" s="8"/>
      <c r="G33" s="8"/>
      <c r="H33" s="8"/>
      <c r="I33" s="8"/>
      <c r="J33" s="8"/>
    </row>
    <row r="35" spans="3:10" x14ac:dyDescent="0.2">
      <c r="C35" s="3" t="s">
        <v>13</v>
      </c>
      <c r="F35" s="27" t="s">
        <v>16</v>
      </c>
      <c r="G35" s="61">
        <f>+G19*G31</f>
      </c>
      <c r="H35" s="61">
        <f t="shared" ref="H35:J35" si="5">+H19*H31</f>
      </c>
      <c r="I35" s="61">
        <f t="shared" si="5"/>
      </c>
      <c r="J35" s="61">
        <f t="shared" si="5"/>
      </c>
    </row>
    <row r="37" spans="3:10" x14ac:dyDescent="0.2">
      <c r="C37" s="3" t="s">
        <v>14</v>
      </c>
      <c r="F37" s="27" t="s">
        <v>0</v>
      </c>
      <c r="G37" s="30">
        <f>+IPO_Discount</f>
      </c>
      <c r="H37" s="30">
        <f>+IPO_Discount</f>
      </c>
      <c r="I37" s="30">
        <f>+IPO_Discount</f>
      </c>
      <c r="J37" s="30">
        <f>+IPO_Discount</f>
      </c>
    </row>
    <row r="38" spans="3:10" x14ac:dyDescent="0.2">
      <c r="C38" s="3" t="s">
        <v>15</v>
      </c>
      <c r="F38" s="27" t="s">
        <v>16</v>
      </c>
      <c r="G38" s="29">
        <f>+G40-G35</f>
      </c>
      <c r="H38" s="29">
        <f t="shared" ref="H38:J38" si="6">+H40-H35</f>
      </c>
      <c r="I38" s="29">
        <f t="shared" si="6"/>
      </c>
      <c r="J38" s="29">
        <f t="shared" si="6"/>
      </c>
    </row>
    <row r="39" spans="3:10" x14ac:dyDescent="0.2">
      <c r="G39" s="45"/>
      <c r="H39" s="45"/>
      <c r="I39" s="45"/>
      <c r="J39" s="45"/>
    </row>
    <row r="40" spans="3:10" x14ac:dyDescent="0.2">
      <c r="C40" s="3" t="s">
        <v>12</v>
      </c>
      <c r="F40" s="27" t="s">
        <v>16</v>
      </c>
      <c r="G40" s="29">
        <f>+G35*(1+G37)</f>
      </c>
      <c r="H40" s="29">
        <f t="shared" ref="H40:J40" si="7">+H35*(1+H37)</f>
      </c>
      <c r="I40" s="29">
        <f t="shared" si="7"/>
      </c>
      <c r="J40" s="29">
        <f t="shared" si="7"/>
      </c>
    </row>
    <row r="42" spans="3:10" x14ac:dyDescent="0.2">
      <c r="C42" s="7" t="s">
        <v>29</v>
      </c>
      <c r="D42" s="8"/>
      <c r="E42" s="8"/>
      <c r="F42" s="8"/>
      <c r="G42" s="8"/>
      <c r="H42" s="8"/>
      <c r="I42" s="8"/>
      <c r="J42" s="8"/>
    </row>
    <row r="43" spans="3:10" ht="14.5" customHeight="1" x14ac:dyDescent="0.2"/>
    <row r="44" spans="3:10" ht="14.5" customHeight="1" x14ac:dyDescent="0.2">
      <c r="C44" s="3" t="s">
        <v>37</v>
      </c>
      <c r="F44" s="27" t="s">
        <v>16</v>
      </c>
      <c r="G44" s="38">
        <f>+G23*G19</f>
      </c>
      <c r="H44" s="38">
        <f t="shared" ref="H44:J44" si="8">+H23*H19</f>
      </c>
      <c r="I44" s="38">
        <f t="shared" si="8"/>
      </c>
      <c r="J44" s="38">
        <f t="shared" si="8"/>
      </c>
    </row>
    <row r="45" spans="3:10" ht="14.5" customHeight="1" x14ac:dyDescent="0.2">
      <c r="C45" s="13" t="s">
        <v>61</v>
      </c>
      <c r="F45" s="35" t="s">
        <v>16</v>
      </c>
      <c r="G45" s="29">
        <f>+G27*G19</f>
      </c>
      <c r="H45" s="29">
        <f t="shared" ref="H45:J45" si="9">+H27*H19</f>
      </c>
      <c r="I45" s="29">
        <f t="shared" si="9"/>
      </c>
      <c r="J45" s="29">
        <f t="shared" si="9"/>
      </c>
    </row>
    <row r="46" spans="3:10" ht="14.5" customHeight="1" x14ac:dyDescent="0.2">
      <c r="C46" s="18" t="s">
        <v>30</v>
      </c>
      <c r="D46" s="19"/>
      <c r="E46" s="19"/>
      <c r="F46" s="27" t="s">
        <v>16</v>
      </c>
      <c r="G46" s="39">
        <f>SUM(G44:G45)</f>
      </c>
      <c r="H46" s="39">
        <f t="shared" ref="H46:J46" si="10">SUM(H44:H45)</f>
      </c>
      <c r="I46" s="39">
        <f t="shared" si="10"/>
      </c>
      <c r="J46" s="39">
        <f t="shared" si="10"/>
      </c>
    </row>
    <row r="47" spans="3:10" ht="14.5" customHeight="1" x14ac:dyDescent="0.2"/>
    <row r="48" spans="3:10" ht="14.5" customHeight="1" x14ac:dyDescent="0.2">
      <c r="C48" s="3" t="s">
        <v>34</v>
      </c>
      <c r="F48" s="27" t="s">
        <v>16</v>
      </c>
      <c r="G48" s="29">
        <f>+G30*G19</f>
      </c>
      <c r="H48" s="29">
        <f t="shared" ref="H48:J48" si="11">+H30*H19</f>
      </c>
      <c r="I48" s="29">
        <f t="shared" si="11"/>
      </c>
      <c r="J48" s="29">
        <f t="shared" si="11"/>
      </c>
    </row>
    <row r="49" spans="3:10" ht="14.5" customHeight="1" x14ac:dyDescent="0.2">
      <c r="C49" s="13" t="s">
        <v>68</v>
      </c>
      <c r="F49" s="27" t="s">
        <v>16</v>
      </c>
      <c r="G49" s="29">
        <f>-G30*G19*IPO_Spread</f>
      </c>
      <c r="H49" s="29">
        <f>-H30*H19*IPO_Spread</f>
      </c>
      <c r="I49" s="29">
        <f>-I30*I19*IPO_Spread</f>
      </c>
      <c r="J49" s="29">
        <f>-J30*J19*IPO_Spread</f>
      </c>
    </row>
    <row r="50" spans="3:10" x14ac:dyDescent="0.2">
      <c r="C50" s="40" t="s">
        <v>69</v>
      </c>
      <c r="D50" s="41"/>
      <c r="E50" s="41"/>
      <c r="F50" s="35" t="s">
        <v>16</v>
      </c>
      <c r="G50" s="42">
        <f>-$J$12</f>
      </c>
      <c r="H50" s="42">
        <f>-$J$12</f>
      </c>
      <c r="I50" s="42">
        <f>-$J$12</f>
      </c>
      <c r="J50" s="42">
        <f>-$J$12</f>
      </c>
    </row>
    <row r="51" spans="3:10" x14ac:dyDescent="0.2">
      <c r="C51" s="2" t="s">
        <v>32</v>
      </c>
      <c r="F51" s="27" t="s">
        <v>16</v>
      </c>
      <c r="G51" s="43">
        <f>SUM(G48:G50)</f>
      </c>
      <c r="H51" s="43">
        <f t="shared" ref="H51:J51" si="12">SUM(H48:H50)</f>
      </c>
      <c r="I51" s="43">
        <f t="shared" si="12"/>
      </c>
      <c r="J51" s="43">
        <f t="shared" si="12"/>
      </c>
    </row>
    <row r="53" spans="3:10" x14ac:dyDescent="0.2">
      <c r="C53" s="9" t="s">
        <v>33</v>
      </c>
      <c r="F53" s="27" t="s">
        <v>16</v>
      </c>
      <c r="G53" s="29">
        <f>+G35-G48</f>
      </c>
      <c r="H53" s="29">
        <f t="shared" ref="H53:J53" si="13">+H35-H48</f>
      </c>
      <c r="I53" s="29">
        <f t="shared" si="13"/>
      </c>
      <c r="J53" s="29">
        <f t="shared" si="13"/>
      </c>
    </row>
    <row r="54" spans="3:10" x14ac:dyDescent="0.2">
      <c r="C54" s="3" t="s">
        <v>35</v>
      </c>
      <c r="F54" s="27" t="s">
        <v>0</v>
      </c>
      <c r="G54" s="30">
        <f>+G48/G35</f>
      </c>
      <c r="H54" s="30">
        <f t="shared" ref="H54:J54" si="14">+H48/H35</f>
      </c>
      <c r="I54" s="30">
        <f t="shared" si="14"/>
      </c>
      <c r="J54" s="30">
        <f t="shared" si="14"/>
      </c>
    </row>
    <row r="56" spans="3:10" x14ac:dyDescent="0.2">
      <c r="C56" s="7" t="s">
        <v>36</v>
      </c>
      <c r="D56" s="8"/>
      <c r="E56" s="8"/>
      <c r="F56" s="8"/>
      <c r="G56" s="8"/>
      <c r="H56" s="8"/>
      <c r="I56" s="8"/>
      <c r="J56" s="8"/>
    </row>
    <row r="58" spans="3:10" x14ac:dyDescent="0.2">
      <c r="C58" s="3" t="s">
        <v>12</v>
      </c>
      <c r="F58" s="27" t="s">
        <v>16</v>
      </c>
      <c r="G58" s="38">
        <f>+G40</f>
      </c>
      <c r="H58" s="38">
        <f t="shared" ref="H58:J58" si="15">+H40</f>
      </c>
      <c r="I58" s="38">
        <f t="shared" si="15"/>
      </c>
      <c r="J58" s="38">
        <f t="shared" si="15"/>
      </c>
    </row>
    <row r="59" spans="3:10" x14ac:dyDescent="0.2">
      <c r="C59" s="13" t="s">
        <v>70</v>
      </c>
      <c r="F59" s="27" t="s">
        <v>16</v>
      </c>
      <c r="G59" s="29">
        <f>-G51</f>
      </c>
      <c r="H59" s="29">
        <f t="shared" ref="H59:J59" si="16">-H51</f>
      </c>
      <c r="I59" s="29">
        <f t="shared" si="16"/>
      </c>
      <c r="J59" s="29">
        <f t="shared" si="16"/>
      </c>
    </row>
    <row r="60" spans="3:10" x14ac:dyDescent="0.2">
      <c r="C60" s="13" t="s">
        <v>71</v>
      </c>
      <c r="F60" s="27" t="s">
        <v>16</v>
      </c>
      <c r="G60" s="54">
        <f>+'IPO-Model'!G68</f>
      </c>
      <c r="H60" s="54">
        <f>+'IPO-Model'!H68</f>
      </c>
      <c r="I60" s="54">
        <f>+'IPO-Model'!I68</f>
      </c>
      <c r="J60" s="54">
        <f>+'IPO-Model'!J68</f>
      </c>
    </row>
    <row r="61" spans="3:10" x14ac:dyDescent="0.2">
      <c r="C61" s="13" t="s">
        <v>72</v>
      </c>
      <c r="F61" s="27" t="s">
        <v>16</v>
      </c>
      <c r="G61" s="54">
        <f>+'IPO-Model'!G69</f>
      </c>
      <c r="H61" s="54">
        <f>+'IPO-Model'!H69</f>
      </c>
      <c r="I61" s="54">
        <f>+'IPO-Model'!I69</f>
      </c>
      <c r="J61" s="54">
        <f>+'IPO-Model'!J69</f>
      </c>
    </row>
    <row r="62" spans="3:10" x14ac:dyDescent="0.2">
      <c r="C62" s="13" t="s">
        <v>73</v>
      </c>
      <c r="F62" s="27" t="s">
        <v>16</v>
      </c>
      <c r="G62" s="54">
        <f>+'IPO-Model'!G70</f>
      </c>
      <c r="H62" s="54">
        <f>+'IPO-Model'!H70</f>
      </c>
      <c r="I62" s="54">
        <f>+'IPO-Model'!I70</f>
      </c>
      <c r="J62" s="54">
        <f>+'IPO-Model'!J70</f>
      </c>
    </row>
    <row r="63" spans="3:10" x14ac:dyDescent="0.2">
      <c r="C63" s="13" t="s">
        <v>74</v>
      </c>
      <c r="F63" s="27" t="s">
        <v>16</v>
      </c>
      <c r="G63" s="54">
        <f>+'IPO-Model'!G71</f>
      </c>
      <c r="H63" s="54">
        <f>+'IPO-Model'!H71</f>
      </c>
      <c r="I63" s="54">
        <f>+'IPO-Model'!I71</f>
      </c>
      <c r="J63" s="54">
        <f>+'IPO-Model'!J71</f>
      </c>
    </row>
    <row r="64" spans="3:10" x14ac:dyDescent="0.2">
      <c r="C64" s="13" t="s">
        <v>75</v>
      </c>
      <c r="F64" s="27" t="s">
        <v>16</v>
      </c>
      <c r="G64" s="54">
        <f>+'IPO-Model'!G72</f>
      </c>
      <c r="H64" s="54">
        <f>+'IPO-Model'!H72</f>
      </c>
      <c r="I64" s="54">
        <f>+'IPO-Model'!I72</f>
      </c>
      <c r="J64" s="54">
        <f>+'IPO-Model'!J72</f>
      </c>
    </row>
    <row r="65" spans="3:10" x14ac:dyDescent="0.2">
      <c r="C65" s="13" t="s">
        <v>76</v>
      </c>
      <c r="F65" s="35" t="s">
        <v>16</v>
      </c>
      <c r="G65" s="54">
        <f>+'IPO-Model'!G73</f>
      </c>
      <c r="H65" s="54">
        <f>+'IPO-Model'!H73</f>
      </c>
      <c r="I65" s="54">
        <f>+'IPO-Model'!I73</f>
      </c>
      <c r="J65" s="54">
        <f>+'IPO-Model'!J73</f>
      </c>
    </row>
    <row r="66" spans="3:10" x14ac:dyDescent="0.2">
      <c r="C66" s="18" t="s">
        <v>38</v>
      </c>
      <c r="D66" s="19"/>
      <c r="E66" s="19"/>
      <c r="F66" s="27" t="s">
        <v>16</v>
      </c>
      <c r="G66" s="39">
        <f>SUM(G58:G65)</f>
      </c>
      <c r="H66" s="39">
        <f t="shared" ref="H66:J66" si="17">SUM(H58:H65)</f>
      </c>
      <c r="I66" s="39">
        <f t="shared" si="17"/>
      </c>
      <c r="J66" s="39">
        <f t="shared" si="17"/>
      </c>
    </row>
    <row r="67" spans="3:10" x14ac:dyDescent="0.2">
      <c r="G67" s="45"/>
    </row>
    <row r="68" spans="3:10" x14ac:dyDescent="0.2">
      <c r="C68" s="3" t="s">
        <v>13</v>
      </c>
      <c r="F68" s="27" t="s">
        <v>16</v>
      </c>
      <c r="G68" s="29">
        <f>+G35</f>
      </c>
      <c r="H68" s="29">
        <f>+H35</f>
      </c>
      <c r="I68" s="29">
        <f>+I35</f>
      </c>
      <c r="J68" s="29">
        <f>+J35</f>
      </c>
    </row>
    <row r="69" spans="3:10" x14ac:dyDescent="0.2">
      <c r="C69" s="2" t="s">
        <v>39</v>
      </c>
      <c r="F69" s="27" t="s">
        <v>16</v>
      </c>
      <c r="G69" s="43">
        <f>+G68+SUM(G59:G65)</f>
      </c>
      <c r="H69" s="43">
        <f t="shared" ref="H69:J69" si="18">+H68+SUM(H59:H65)</f>
      </c>
      <c r="I69" s="43">
        <f t="shared" si="18"/>
      </c>
      <c r="J69" s="43">
        <f t="shared" si="18"/>
      </c>
    </row>
    <row r="71" spans="3:10" x14ac:dyDescent="0.2">
      <c r="C71" s="3" t="s">
        <v>47</v>
      </c>
      <c r="F71" s="27" t="s">
        <v>2</v>
      </c>
      <c r="G71" s="46">
        <f>+G68/Forward_Year_1_Net_Income</f>
      </c>
      <c r="H71" s="46">
        <f>+H68/Forward_Year_1_Net_Income</f>
      </c>
      <c r="I71" s="46">
        <f>+I68/Forward_Year_1_Net_Income</f>
      </c>
      <c r="J71" s="46">
        <f>+J68/Forward_Year_1_Net_Income</f>
      </c>
    </row>
    <row r="72" spans="3:10" x14ac:dyDescent="0.2">
      <c r="C72" s="3" t="s">
        <v>46</v>
      </c>
      <c r="F72" s="27" t="s">
        <v>2</v>
      </c>
      <c r="G72" s="46">
        <f>+G58/Forward_Year_1_Net_Income</f>
      </c>
      <c r="H72" s="46">
        <f>+H58/Forward_Year_1_Net_Income</f>
      </c>
      <c r="I72" s="46">
        <f>+I58/Forward_Year_1_Net_Income</f>
      </c>
      <c r="J72" s="46">
        <f>+J58/Forward_Year_1_Net_Income</f>
      </c>
    </row>
    <row r="74" spans="3:10" x14ac:dyDescent="0.2">
      <c r="C74" s="3" t="s">
        <v>48</v>
      </c>
      <c r="F74" s="27" t="s">
        <v>2</v>
      </c>
      <c r="G74" s="46">
        <f>+G69/Forward_Year_1_EBITDA</f>
      </c>
      <c r="H74" s="46">
        <f>+H69/Forward_Year_1_EBITDA</f>
      </c>
      <c r="I74" s="46">
        <f>+I69/Forward_Year_1_EBITDA</f>
      </c>
      <c r="J74" s="46">
        <f>+J69/Forward_Year_1_EBITDA</f>
      </c>
    </row>
    <row r="75" spans="3:10" x14ac:dyDescent="0.2">
      <c r="C75" s="3" t="s">
        <v>49</v>
      </c>
      <c r="F75" s="27" t="s">
        <v>2</v>
      </c>
      <c r="G75" s="46">
        <f>+G66/Forward_Year_1_EBITDA</f>
      </c>
      <c r="H75" s="46">
        <f>+H66/Forward_Year_1_EBITDA</f>
      </c>
      <c r="I75" s="46">
        <f>+I66/Forward_Year_1_EBITDA</f>
      </c>
      <c r="J75" s="46">
        <f>+J66/Forward_Year_1_EBITDA</f>
      </c>
    </row>
    <row r="77" spans="3:10" x14ac:dyDescent="0.2">
      <c r="C77" s="3" t="s">
        <v>50</v>
      </c>
      <c r="F77" s="27" t="s">
        <v>2</v>
      </c>
      <c r="G77" s="46">
        <f>+G69/Forward_Year_1_Revenue</f>
      </c>
      <c r="H77" s="46">
        <f>+H69/Forward_Year_1_Revenue</f>
      </c>
      <c r="I77" s="46">
        <f>+I69/Forward_Year_1_Revenue</f>
      </c>
      <c r="J77" s="46">
        <f>+J69/Forward_Year_1_Revenue</f>
      </c>
    </row>
    <row r="78" spans="3:10" x14ac:dyDescent="0.2">
      <c r="C78" s="3" t="s">
        <v>51</v>
      </c>
      <c r="F78" s="27" t="s">
        <v>2</v>
      </c>
      <c r="G78" s="46">
        <f>+G66/Forward_Year_1_Revenue</f>
      </c>
      <c r="H78" s="46">
        <f>+H66/Forward_Year_1_Revenue</f>
      </c>
      <c r="I78" s="46">
        <f>+I66/Forward_Year_1_Revenue</f>
      </c>
      <c r="J78" s="46">
        <f>+J66/Forward_Year_1_Revenue</f>
      </c>
    </row>
  </sheetData>
  <dataValidations disablePrompts="1" count="1">
    <dataValidation type="decimal" allowBlank="1" showInputMessage="1" showErrorMessage="1" sqref="E13:E14" xr:uid="{00000000-0002-0000-01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IPO-Model</vt:lpstr>
      <vt:lpstr>Alt-IPO-Model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Primary_Shares</vt:lpstr>
      <vt:lpstr>'Alt-IPO-Model'!Print_Area</vt:lpstr>
      <vt:lpstr>'IPO-Model'!Print_Area</vt:lpstr>
      <vt:lpstr>Secondary_Shares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