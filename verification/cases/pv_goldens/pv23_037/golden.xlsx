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bookViews>
    <workbookView xWindow="3510" yWindow="1320" windowWidth="24435" windowHeight="14880" xr2:uid="{D04FEA4F-A47D-4508-B230-A288FB0E870F}"/>
  </bookViews>
  <sheets>
    <sheet name="PRECEDENT_TRANSACTIONS" sheetId="1" r:id="rId1"/>
    <sheet name="IMPLIED_VALU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4" i="2"/>
  <c r="C33" i="1"/>
  <c r="C10" i="2" l="1"/>
</calcChain>
</file>

<file path=xl/sharedStrings.xml><?xml version="1.0" encoding="utf-8"?>
<sst xmlns="http://schemas.openxmlformats.org/spreadsheetml/2006/main" count="39" uniqueCount="38">
  <si>
    <t>Company1611, Inc. / Francisco Partners; Company0934 Coast Capital Corp.</t>
  </si>
  <si>
    <t>Company1770, Inc. / Company2908 Equity Partners Management, LLC</t>
  </si>
  <si>
    <t>Company1784, Inc. / Company2762 Company0408, LP.</t>
  </si>
  <si>
    <t>Company1821 Limited / Company2158 Private Equity</t>
  </si>
  <si>
    <t>Company1711, Inc. / Company2908 Equity Partners Management, LLC</t>
  </si>
  <si>
    <t>Company2166 Identity Holding Company0697 / Company2762 Company0408, L.P.</t>
  </si>
  <si>
    <t>Company2168, Inc. / Company2908 Equity Partners Management, LLC</t>
  </si>
  <si>
    <t>Company2178, Inc. / Company2762 Company0408 L.P.</t>
  </si>
  <si>
    <t>Company2183 Inc. / Company2762 Company0408 L.P.</t>
  </si>
  <si>
    <t>Company2283, Inc. / Company2762 Company0408 L.P.</t>
  </si>
  <si>
    <t>Company2524 Company2746 Holdings, Inc. / Company2762 Company0408, L.P.</t>
  </si>
  <si>
    <t>Company2576 Company0697 / Silver Lake L.L.C.; Company2762 Company0408 LLC</t>
  </si>
  <si>
    <t>Company2580 Group PLC / Company2762 Company0408 LLC</t>
  </si>
  <si>
    <t>Company2728 S.A. / Company2762 Company0408 L.P.</t>
  </si>
  <si>
    <t>The Ultimate Software Group, Inc. / Person0459 &amp; Person0383 LLC</t>
  </si>
  <si>
    <t>Company3060, Inc. / Person0459 &amp; Person0383 LLC, Company2158 Company0199 LLC</t>
  </si>
  <si>
    <t>Company1377 Inc. / Company2762 Company0408, LLC</t>
  </si>
  <si>
    <t>Company0236, Inc. / Company2762 Company0408, L.P.</t>
  </si>
  <si>
    <t>Company0247 Inc. / Company2908 Equity Partners Management, LLC</t>
  </si>
  <si>
    <t>Company0265, Inc. / Company2908 Equity Partners Management, LLC</t>
  </si>
  <si>
    <t>Company0367 Networks, Inc. / Company2762 Company0408, LLC</t>
  </si>
  <si>
    <t>Company0649 Learning Group, Inc. / Company2900 Capital Fund Management, L.L.C.</t>
  </si>
  <si>
    <t>Company0683, Inc. / Company0682 Company0820 &amp; Company2292, LLC; Company1519 Company1525 Company2296 &amp; Co. L.P.</t>
  </si>
  <si>
    <t>Company0709 Holding Corp. / Company2908 Equity Partners Management, LLC</t>
  </si>
  <si>
    <t>Company0913 Company1763 Inc. / Company2762 Company0408, LLC</t>
  </si>
  <si>
    <t>Company1028 Company2746, Inc. / Advent International Company0697; Company0704 Capital Partners</t>
  </si>
  <si>
    <t>Company1143 Inc. / Company0914 Management</t>
  </si>
  <si>
    <t>Company1374 Inc. / Company2158 Private Equity</t>
  </si>
  <si>
    <t>Company1367 Inc. / Company2762 Company0408, LLC</t>
  </si>
  <si>
    <t>Company1372 Inc. / Company2908 Equity Partners Management, LLC</t>
  </si>
  <si>
    <r>
      <t xml:space="preserve">Selected Software Transactions (Target/Acquiror)
</t>
    </r>
    <r>
      <rPr>
        <b/>
        <i/>
        <u val="singleAccounting"/>
        <sz val="10"/>
        <rFont val="Arial"/>
        <family val="2"/>
      </rPr>
      <t>Financial Sponsor Acquirors</t>
    </r>
  </si>
  <si>
    <t>Median AV / NTM Revenue Multiple</t>
  </si>
  <si>
    <t>Company1518 NTM Revenue Estimate</t>
  </si>
  <si>
    <t>Implied Company1518 AV</t>
  </si>
  <si>
    <t>Aggregate Value (AV) / NTM Revenue Multiple</t>
  </si>
  <si>
    <t>($ millions)</t>
  </si>
  <si>
    <t>Company1518 FY2022E Net Revenue</t>
  </si>
  <si>
    <t>Company1518 FY2023E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</si>
</sst>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\x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u val="singleAccounting"/>
      <sz val="10"/>
      <name val="Arial"/>
      <family val="2"/>
    </font>
    <font>
      <b/>
      <i/>
      <u val="singleAccounting"/>
      <sz val="10"/>
      <name val="Arial"/>
      <family val="2"/>
    </font>
    <font>
      <b/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2" borderId="0" xfId="0" applyNumberFormat="1" applyFont="1" applyFill="1" applyAlignment="1">
      <alignment horizontal="right"/>
    </xf>
    <xf numFmtId="0" fontId="1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3" fillId="3" borderId="1" xfId="0" applyFont="1" applyFill="1" applyBorder="1"/>
    <xf numFmtId="164" fontId="3" fillId="3" borderId="1" xfId="0" applyNumberFormat="1" applyFont="1" applyFill="1" applyBorder="1"/>
    <xf numFmtId="164" fontId="6" fillId="3" borderId="1" xfId="0" applyNumberFormat="1" applyFont="1" applyFill="1" applyBorder="1"/>
    <xf numFmtId="6" fontId="2" fillId="2" borderId="0" xfId="0" applyNumberFormat="1" applyFont="1" applyFill="1"/>
    <xf numFmtId="6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6397-B328-45CE-B7F4-9BB2752C1119}">
  <dimension ref="B2:C33"/>
  <sheetViews>
    <sheetView showGridLines="0" tabSelected="1" workbookViewId="0"/>
  </sheetViews>
  <sheetFormatPr defaultRowHeight="12.75" x14ac:dyDescent="0.2"/>
  <cols>
    <col min="1" max="1" width="3.7109375" style="2" customWidth="1"/>
    <col min="2" max="2" width="78.85546875" style="2" bestFit="1" customWidth="1"/>
    <col min="3" max="3" width="17.7109375" style="2" customWidth="1"/>
    <col min="4" max="16384" width="9.140625" style="2"/>
  </cols>
  <sheetData>
    <row r="2" spans="2:3" ht="45" x14ac:dyDescent="0.35">
      <c r="B2" s="3" t="s">
        <v>30</v>
      </c>
      <c r="C2" s="4" t="s">
        <v>34</v>
      </c>
    </row>
    <row r="3" spans="2:3" x14ac:dyDescent="0.2">
      <c r="B3" s="5" t="s">
        <v>17</v>
      </c>
      <c r="C3" s="1">
        <v>13.6</v>
      </c>
    </row>
    <row r="4" spans="2:3" x14ac:dyDescent="0.2">
      <c r="B4" s="5" t="s">
        <v>18</v>
      </c>
      <c r="C4" s="1">
        <v>7</v>
      </c>
    </row>
    <row r="5" spans="2:3" x14ac:dyDescent="0.2">
      <c r="B5" s="5" t="s">
        <v>19</v>
      </c>
      <c r="C5" s="1">
        <v>9</v>
      </c>
    </row>
    <row r="6" spans="2:3" x14ac:dyDescent="0.2">
      <c r="B6" s="5" t="s">
        <v>20</v>
      </c>
      <c r="C6" s="1">
        <v>3.8</v>
      </c>
    </row>
    <row r="7" spans="2:3" x14ac:dyDescent="0.2">
      <c r="B7" s="5" t="s">
        <v>21</v>
      </c>
      <c r="C7" s="1">
        <v>4.2</v>
      </c>
    </row>
    <row r="8" spans="2:3" x14ac:dyDescent="0.2">
      <c r="B8" s="5" t="s">
        <v>22</v>
      </c>
      <c r="C8" s="1">
        <v>5.3</v>
      </c>
    </row>
    <row r="9" spans="2:3" x14ac:dyDescent="0.2">
      <c r="B9" s="5" t="s">
        <v>23</v>
      </c>
      <c r="C9" s="1">
        <v>6.4</v>
      </c>
    </row>
    <row r="10" spans="2:3" x14ac:dyDescent="0.2">
      <c r="B10" s="5" t="s">
        <v>24</v>
      </c>
      <c r="C10" s="1">
        <v>6.8</v>
      </c>
    </row>
    <row r="11" spans="2:3" x14ac:dyDescent="0.2">
      <c r="B11" s="5" t="s">
        <v>25</v>
      </c>
      <c r="C11" s="1">
        <v>4.9000000000000004</v>
      </c>
    </row>
    <row r="12" spans="2:3" x14ac:dyDescent="0.2">
      <c r="B12" s="5" t="s">
        <v>26</v>
      </c>
      <c r="C12" s="1">
        <v>3.7</v>
      </c>
    </row>
    <row r="13" spans="2:3" x14ac:dyDescent="0.2">
      <c r="B13" s="5" t="s">
        <v>27</v>
      </c>
      <c r="C13" s="1">
        <v>4.0999999999999996</v>
      </c>
    </row>
    <row r="14" spans="2:3" x14ac:dyDescent="0.2">
      <c r="B14" s="5" t="s">
        <v>28</v>
      </c>
      <c r="C14" s="1">
        <v>4.7</v>
      </c>
    </row>
    <row r="15" spans="2:3" x14ac:dyDescent="0.2">
      <c r="B15" s="5" t="s">
        <v>29</v>
      </c>
      <c r="C15" s="1">
        <v>3.6</v>
      </c>
    </row>
    <row r="16" spans="2:3" x14ac:dyDescent="0.2">
      <c r="B16" s="5" t="s">
        <v>16</v>
      </c>
      <c r="C16" s="1">
        <v>6.6</v>
      </c>
    </row>
    <row r="17" spans="2:3" x14ac:dyDescent="0.2">
      <c r="B17" s="5" t="s">
        <v>0</v>
      </c>
      <c r="C17" s="1">
        <v>3.4</v>
      </c>
    </row>
    <row r="18" spans="2:3" x14ac:dyDescent="0.2">
      <c r="B18" s="5" t="s">
        <v>1</v>
      </c>
      <c r="C18" s="1">
        <v>5.9</v>
      </c>
    </row>
    <row r="19" spans="2:3" x14ac:dyDescent="0.2">
      <c r="B19" s="5" t="s">
        <v>2</v>
      </c>
      <c r="C19" s="1">
        <v>10.8</v>
      </c>
    </row>
    <row r="20" spans="2:3" x14ac:dyDescent="0.2">
      <c r="B20" s="5" t="s">
        <v>3</v>
      </c>
      <c r="C20" s="1">
        <v>9.1999999999999993</v>
      </c>
    </row>
    <row r="21" spans="2:3" x14ac:dyDescent="0.2">
      <c r="B21" s="5" t="s">
        <v>4</v>
      </c>
      <c r="C21" s="1">
        <v>6.8</v>
      </c>
    </row>
    <row r="22" spans="2:3" x14ac:dyDescent="0.2">
      <c r="B22" s="5" t="s">
        <v>5</v>
      </c>
      <c r="C22" s="1">
        <v>7.6</v>
      </c>
    </row>
    <row r="23" spans="2:3" x14ac:dyDescent="0.2">
      <c r="B23" s="5" t="s">
        <v>6</v>
      </c>
      <c r="C23" s="1">
        <v>7.8</v>
      </c>
    </row>
    <row r="24" spans="2:3" x14ac:dyDescent="0.2">
      <c r="B24" s="5" t="s">
        <v>7</v>
      </c>
      <c r="C24" s="1">
        <v>9.3000000000000007</v>
      </c>
    </row>
    <row r="25" spans="2:3" x14ac:dyDescent="0.2">
      <c r="B25" s="5" t="s">
        <v>8</v>
      </c>
      <c r="C25" s="1">
        <v>5.3</v>
      </c>
    </row>
    <row r="26" spans="2:3" x14ac:dyDescent="0.2">
      <c r="B26" s="5" t="s">
        <v>9</v>
      </c>
      <c r="C26" s="1">
        <v>8.1999999999999993</v>
      </c>
    </row>
    <row r="27" spans="2:3" x14ac:dyDescent="0.2">
      <c r="B27" s="5" t="s">
        <v>10</v>
      </c>
      <c r="C27" s="1">
        <v>13.2</v>
      </c>
    </row>
    <row r="28" spans="2:3" x14ac:dyDescent="0.2">
      <c r="B28" s="5" t="s">
        <v>11</v>
      </c>
      <c r="C28" s="1">
        <v>7.8</v>
      </c>
    </row>
    <row r="29" spans="2:3" x14ac:dyDescent="0.2">
      <c r="B29" s="5" t="s">
        <v>12</v>
      </c>
      <c r="C29" s="1">
        <v>5.0999999999999996</v>
      </c>
    </row>
    <row r="30" spans="2:3" x14ac:dyDescent="0.2">
      <c r="B30" s="5" t="s">
        <v>13</v>
      </c>
      <c r="C30" s="1">
        <v>7.3</v>
      </c>
    </row>
    <row r="31" spans="2:3" x14ac:dyDescent="0.2">
      <c r="B31" s="5" t="s">
        <v>14</v>
      </c>
      <c r="C31" s="1">
        <v>8.1999999999999993</v>
      </c>
    </row>
    <row r="32" spans="2:3" x14ac:dyDescent="0.2">
      <c r="B32" s="5" t="s">
        <v>15</v>
      </c>
      <c r="C32" s="1">
        <v>4.5999999999999996</v>
      </c>
    </row>
    <row r="33" spans="2:3" x14ac:dyDescent="0.2">
      <c r="B33" s="6" t="s">
        <v>31</v>
      </c>
      <c r="C33" s="7">
        <f>MEDIAN(C3:C32)</f>
        <v>6.6999999999999993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8CA5-6417-4468-B6E4-5F8819B8A1D3}">
  <dimension ref="B2:C10"/>
  <sheetViews>
    <sheetView showGridLines="0" workbookViewId="0"/>
  </sheetViews>
  <sheetFormatPr defaultRowHeight="12.75" x14ac:dyDescent="0.2"/>
  <cols>
    <col min="1" max="1" width="3.7109375" style="2" customWidth="1"/>
    <col min="2" max="2" width="36.140625" style="2" bestFit="1" customWidth="1"/>
    <col min="3" max="16384" width="9.140625" style="2"/>
  </cols>
  <sheetData>
    <row r="2" spans="2:3" x14ac:dyDescent="0.2">
      <c r="B2" s="2" t="s">
        <v>35</v>
      </c>
    </row>
    <row r="4" spans="2:3" x14ac:dyDescent="0.2">
      <c r="B4" s="6" t="s">
        <v>31</v>
      </c>
      <c r="C4" s="8">
        <f>PRECEDENT_TRANSACTIONS!C33</f>
        <v>6.6999999999999993</v>
      </c>
    </row>
    <row r="6" spans="2:3" x14ac:dyDescent="0.2">
      <c r="B6" s="2" t="s">
        <v>36</v>
      </c>
      <c r="C6" s="9">
        <v>336</v>
      </c>
    </row>
    <row r="7" spans="2:3" x14ac:dyDescent="0.2">
      <c r="B7" s="2" t="s">
        <v>37</v>
      </c>
      <c r="C7" s="9">
        <v>440</v>
      </c>
    </row>
    <row r="8" spans="2:3" x14ac:dyDescent="0.2">
      <c r="B8" s="6" t="s">
        <v>32</v>
      </c>
      <c r="C8" s="10">
        <f>AVERAGE(C6:C7)</f>
        <v>388</v>
      </c>
    </row>
    <row r="10" spans="2:3" x14ac:dyDescent="0.2">
      <c r="B10" s="6" t="s">
        <v>33</v>
      </c>
      <c r="C10" s="10">
        <f>C4*C8</f>
        <v>2599.6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PRECEDENT_TRANSACTIONS</vt:lpstr>
      <vt:lpstr>IMPLIED_VALUATION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