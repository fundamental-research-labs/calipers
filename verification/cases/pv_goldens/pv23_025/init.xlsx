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bookViews>
    <workbookView xWindow="5660" yWindow="2560" windowWidth="29040" windowHeight="15720" firstSheet="1" activeTab="2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E21" i="6" s="1"/>
  <c r="E26" i="6" s="1"/>
  <c r="E38" i="6" s="1"/>
  <c r="D20" i="6"/>
  <c r="H19" i="6"/>
  <c r="G19" i="6"/>
  <c r="F19" i="6"/>
  <c r="E19" i="6"/>
  <c r="D19" i="6"/>
  <c r="H18" i="6"/>
  <c r="H21" i="6" s="1"/>
  <c r="H26" i="6" s="1"/>
  <c r="H38" i="6" s="1"/>
  <c r="G18" i="6"/>
  <c r="G21" i="6" s="1"/>
  <c r="G26" i="6" s="1"/>
  <c r="G38" i="6" s="1"/>
  <c r="F18" i="6"/>
  <c r="F21" i="6" s="1"/>
  <c r="F26" i="6" s="1"/>
  <c r="F38" i="6" s="1"/>
  <c r="E18" i="6"/>
  <c r="D18" i="6"/>
  <c r="D11" i="6"/>
  <c r="D10" i="6"/>
  <c r="D9" i="6"/>
  <c r="D8" i="6"/>
  <c r="D7" i="6"/>
  <c r="D21" i="6"/>
  <c r="D26" i="6" s="1"/>
  <c r="F39" i="3"/>
  <c r="D38" i="6" l="1"/>
  <c r="G14" i="4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27" i="4" l="1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<sst xmlns="http://schemas.openxmlformats.org/spreadsheetml/2006/main" count="555" uniqueCount="302">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</sst>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18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3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68" t="s">
        <v>0</v>
      </c>
    </row>
    <row r="3" spans="2:13" ht="15" customHeight="1" x14ac:dyDescent="0.2">
      <c r="B3" s="16" t="s">
        <v>1</v>
      </c>
    </row>
    <row r="5" spans="2:13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">
      <c r="B6" s="89" t="s">
        <v>3</v>
      </c>
      <c r="D6" s="3" t="s">
        <v>4</v>
      </c>
    </row>
    <row r="8" spans="2:13" ht="1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25"/>
    <row r="11" spans="2:13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">
      <c r="B13" s="12" t="s">
        <v>8</v>
      </c>
    </row>
    <row r="14" spans="2:13" ht="15" customHeight="1" x14ac:dyDescent="0.2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25"/>
    <row r="31" spans="2:13" ht="15" customHeight="1" x14ac:dyDescent="0.2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">
      <c r="B33" s="12" t="s">
        <v>17</v>
      </c>
    </row>
    <row r="35" spans="2:11" ht="15" customHeight="1" x14ac:dyDescent="0.2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"/>
    <row r="39" spans="2:11" ht="15.75" customHeight="1" x14ac:dyDescent="0.2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"/>
    <row r="43" spans="2:11" ht="15.75" customHeight="1" x14ac:dyDescent="0.2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"/>
    <row r="47" spans="2:11" ht="15.75" customHeight="1" x14ac:dyDescent="0.2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25"/>
    <row r="51" spans="2:13" ht="15.75" customHeight="1" x14ac:dyDescent="0.2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">
      <c r="B53" s="12" t="s">
        <v>23</v>
      </c>
    </row>
    <row r="55" spans="2:13" ht="15" customHeight="1" x14ac:dyDescent="0.2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">
      <c r="B63" s="13" t="str">
        <f>'Company1153 3-Statement'!$B$66</f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">
      <c r="B64" s="13" t="str">
        <f>'Company1153 3-Statement'!$B$74</f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">
      <c r="B65" s="13" t="str">
        <f>'Company1153 3-Statement'!$B$83</f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">
      <c r="B67" s="12" t="s">
        <v>26</v>
      </c>
    </row>
    <row r="69" spans="2:13" ht="15" customHeight="1" x14ac:dyDescent="0.2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25"/>
    <row r="77" spans="2:13" ht="15.75" customHeight="1" x14ac:dyDescent="0.2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"/>
    <row r="79" spans="2:13" ht="15.75" customHeight="1" x14ac:dyDescent="0.2">
      <c r="B79" s="12" t="s">
        <v>30</v>
      </c>
    </row>
    <row r="81" spans="2:11" ht="15" customHeight="1" x14ac:dyDescent="0.2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">
      <c r="B86" s="12" t="s">
        <v>32</v>
      </c>
    </row>
    <row r="87" spans="2:11" ht="15.75" customHeight="1" x14ac:dyDescent="0.2"/>
    <row r="88" spans="2:11" ht="15.75" customHeight="1" x14ac:dyDescent="0.2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"/>
    <row r="96" spans="2:11" ht="15.75" customHeight="1" x14ac:dyDescent="0.2">
      <c r="B96" s="12" t="s">
        <v>33</v>
      </c>
    </row>
    <row r="98" spans="2:11" ht="15" customHeight="1" x14ac:dyDescent="0.2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25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"/>
    <row r="102" spans="2:11" ht="15.75" customHeight="1" x14ac:dyDescent="0.2"/>
    <row r="103" spans="2:11" ht="15.75" customHeight="1" x14ac:dyDescent="0.2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28" workbookViewId="0">
      <selection activeCell="E23" sqref="E23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68" t="s">
        <v>35</v>
      </c>
    </row>
    <row r="3" spans="2:17" ht="13.5" customHeight="1" x14ac:dyDescent="0.2">
      <c r="B3" s="16" t="s">
        <v>1</v>
      </c>
    </row>
    <row r="5" spans="2:17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">
      <c r="B6" s="89" t="s">
        <v>3</v>
      </c>
      <c r="D6" s="109" t="str">
        <f>'Company1153 Assumptions'!$D$6</f>
      </c>
    </row>
    <row r="8" spans="2:17" ht="13.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25"/>
    <row r="11" spans="2:17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">
      <c r="B19" s="54" t="s">
        <v>37</v>
      </c>
      <c r="C19" t="s">
        <v>4</v>
      </c>
      <c r="G19" s="56">
        <v>1.4E-2</v>
      </c>
      <c r="H19" s="103">
        <f>G$19+(($K$19-$G$19)/COUNT($H$14:$K$14))</f>
      </c>
      <c r="I19" s="103">
        <f t="shared" ref="I19:J19" si="0">H$19+(($K$19-$G$19)/COUNT($H$14:$K$14))</f>
      </c>
      <c r="J19" s="103">
        <f t="shared" si="0"/>
      </c>
      <c r="K19" s="56">
        <v>0.05</v>
      </c>
    </row>
    <row r="20" spans="2:13" ht="15.75" customHeight="1" x14ac:dyDescent="0.2">
      <c r="B20" s="110" t="s">
        <v>287</v>
      </c>
      <c r="C20" t="s">
        <v>11</v>
      </c>
      <c r="G20" s="103">
        <f>G19+$M$20</f>
      </c>
      <c r="H20" s="103">
        <f t="shared" ref="H20:K20" si="1">H19+$M$20</f>
      </c>
      <c r="I20" s="103">
        <f t="shared" si="1"/>
      </c>
      <c r="J20" s="103">
        <f t="shared" si="1"/>
      </c>
      <c r="K20" s="103">
        <f t="shared" si="1"/>
      </c>
      <c r="M20" s="111">
        <v>5.0000000000000001E-3</v>
      </c>
    </row>
    <row r="21" spans="2:13" ht="15.75" customHeight="1" x14ac:dyDescent="0.2">
      <c r="C21" t="s">
        <v>12</v>
      </c>
      <c r="G21" s="103">
        <f>G19-$M$21</f>
      </c>
      <c r="H21" s="103">
        <f t="shared" ref="H21:K21" si="2">H19-$M$21</f>
      </c>
      <c r="I21" s="103">
        <f t="shared" si="2"/>
      </c>
      <c r="J21" s="103">
        <f t="shared" si="2"/>
      </c>
      <c r="K21" s="103">
        <f t="shared" si="2"/>
      </c>
      <c r="M21" s="111">
        <v>5.0000000000000001E-3</v>
      </c>
    </row>
    <row r="22" spans="2:13" ht="15" customHeight="1" x14ac:dyDescent="0.2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25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25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">
      <c r="B72" s="13" t="str">
        <f>'Company1808 3-Statement'!$B$51</f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">
      <c r="B73" s="13" t="str">
        <f>'Company1808 3-Statement'!$B$59</f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">
      <c r="B74" s="13" t="str">
        <f>'Company1808 3-Statement'!$B$68</f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25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25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"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</row>
    <row r="118" spans="2:12" ht="15" customHeight="1" x14ac:dyDescent="0.2"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</row>
    <row r="119" spans="2:12" ht="15" customHeight="1" x14ac:dyDescent="0.2"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</row>
    <row r="120" spans="2:12" ht="15" customHeight="1" x14ac:dyDescent="0.2"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tabSelected="1" topLeftCell="A99" workbookViewId="0">
      <selection activeCell="M128" sqref="M128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">
      <c r="A5" s="67"/>
      <c r="B5" t="s">
        <v>3</v>
      </c>
      <c r="C5" s="67"/>
      <c r="D5" s="109" t="str">
        <f>'Company1153 Assumptions'!$D$6</f>
      </c>
      <c r="E5" s="67"/>
      <c r="F5" s="67"/>
      <c r="G5" s="67"/>
      <c r="H5" s="67"/>
      <c r="I5" s="67"/>
      <c r="J5" s="67"/>
      <c r="K5" s="67"/>
    </row>
    <row r="6" spans="1:11" ht="15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</c>
      <c r="G12" s="72">
        <f>F12*(1+INDEX('Company1153 Assumptions'!H$15:H$17,MATCH($D$5,'Company1153 Assumptions'!$C$15:$C$17,0)))</f>
      </c>
      <c r="H12" s="72">
        <f>G12*(1+INDEX('Company1153 Assumptions'!I$15:I$17,MATCH($D$5,'Company1153 Assumptions'!$C$15:$C$17,0)))</f>
      </c>
      <c r="I12" s="72">
        <f>H12*(1+INDEX('Company1153 Assumptions'!J$15:J$17,MATCH($D$5,'Company1153 Assumptions'!$C$15:$C$17,0)))</f>
      </c>
      <c r="J12" s="72">
        <f>I12*(1+INDEX('Company1153 Assumptions'!K$15:K$17,MATCH($D$5,'Company1153 Assumptions'!$C$15:$C$17,0)))</f>
      </c>
      <c r="K12" s="67"/>
    </row>
    <row r="13" spans="1:11" ht="15.75" customHeight="1" x14ac:dyDescent="0.2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</c>
      <c r="G13" s="72">
        <f>F13*(1+INDEX('Company1153 Assumptions'!H$19:H$21,MATCH($D$5,'Company1153 Assumptions'!$C$19:$C$21,0)))</f>
      </c>
      <c r="H13" s="72">
        <f>G13*(1+INDEX('Company1153 Assumptions'!I$19:I$21,MATCH($D$5,'Company1153 Assumptions'!$C$19:$C$21,0)))</f>
      </c>
      <c r="I13" s="72">
        <f>H13*(1+INDEX('Company1153 Assumptions'!J$19:J$21,MATCH($D$5,'Company1153 Assumptions'!$C$19:$C$21,0)))</f>
      </c>
      <c r="J13" s="72">
        <f>I13*(1+INDEX('Company1153 Assumptions'!K$19:K$21,MATCH($D$5,'Company1153 Assumptions'!$C$19:$C$21,0)))</f>
      </c>
      <c r="K13" s="67"/>
    </row>
    <row r="14" spans="1:11" ht="15.75" customHeight="1" x14ac:dyDescent="0.2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</c>
      <c r="G14" s="72">
        <f>F14*(1+INDEX('Company1153 Assumptions'!H$23:H$25,MATCH($D$5,'Company1153 Assumptions'!$C$23:$C$25,0)))</f>
      </c>
      <c r="H14" s="72">
        <f>G14*(1+INDEX('Company1153 Assumptions'!I$23:I$25,MATCH($D$5,'Company1153 Assumptions'!$C$23:$C$25,0)))</f>
      </c>
      <c r="I14" s="72">
        <f>H14*(1+INDEX('Company1153 Assumptions'!J$23:J$25,MATCH($D$5,'Company1153 Assumptions'!$C$23:$C$25,0)))</f>
      </c>
      <c r="J14" s="72">
        <f>I14*(1+INDEX('Company1153 Assumptions'!K$23:K$25,MATCH($D$5,'Company1153 Assumptions'!$C$23:$C$25,0)))</f>
      </c>
      <c r="K14" s="67"/>
    </row>
    <row r="15" spans="1:11" ht="15.75" customHeight="1" x14ac:dyDescent="0.2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</c>
      <c r="G15" s="72">
        <f>F15*(1+INDEX('Company1153 Assumptions'!H$27:H$29,MATCH($D$5,'Company1153 Assumptions'!$C$27:$C$29,0)))</f>
      </c>
      <c r="H15" s="72">
        <f>G15*(1+INDEX('Company1153 Assumptions'!I$27:I$29,MATCH($D$5,'Company1153 Assumptions'!$C$27:$C$29,0)))</f>
      </c>
      <c r="I15" s="72">
        <f>H15*(1+INDEX('Company1153 Assumptions'!J$27:J$29,MATCH($D$5,'Company1153 Assumptions'!$C$27:$C$29,0)))</f>
      </c>
      <c r="J15" s="72">
        <f>I15*(1+INDEX('Company1153 Assumptions'!K$27:K$29,MATCH($D$5,'Company1153 Assumptions'!$C$27:$C$29,0)))</f>
      </c>
      <c r="K15" s="67"/>
    </row>
    <row r="16" spans="1:11" ht="15.75" customHeight="1" x14ac:dyDescent="0.2">
      <c r="A16" s="67"/>
      <c r="B16" s="19" t="s">
        <v>45</v>
      </c>
      <c r="C16" s="73">
        <f t="shared" ref="C16:J40" si="0">SUM(C12:C15)</f>
      </c>
      <c r="D16" s="73">
        <f t="shared" si="0"/>
      </c>
      <c r="E16" s="73">
        <f t="shared" si="0"/>
      </c>
      <c r="F16" s="73">
        <f t="shared" si="0"/>
      </c>
      <c r="G16" s="73">
        <f t="shared" si="0"/>
      </c>
      <c r="H16" s="73">
        <f t="shared" si="0"/>
      </c>
      <c r="I16" s="73">
        <f t="shared" si="0"/>
      </c>
      <c r="J16" s="73">
        <f t="shared" si="0"/>
      </c>
      <c r="K16" s="67"/>
    </row>
    <row r="17" spans="1:11" ht="15.75" customHeight="1" x14ac:dyDescent="0.2">
      <c r="A17" s="67"/>
      <c r="B17" s="74" t="s">
        <v>46</v>
      </c>
      <c r="C17" s="67"/>
      <c r="D17" s="75">
        <f t="shared" ref="D17:J17" si="1">D16/C16-1</f>
      </c>
      <c r="E17" s="75">
        <f t="shared" si="1"/>
      </c>
      <c r="F17" s="75">
        <f t="shared" si="1"/>
      </c>
      <c r="G17" s="75">
        <f t="shared" si="1"/>
      </c>
      <c r="H17" s="75">
        <f t="shared" si="1"/>
      </c>
      <c r="I17" s="75">
        <f t="shared" si="1"/>
      </c>
      <c r="J17" s="75">
        <f t="shared" si="1"/>
      </c>
      <c r="K17" s="67"/>
    </row>
    <row r="18" spans="1:11" ht="15.75" customHeight="1" x14ac:dyDescent="0.2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">
      <c r="B20" s="101" t="s">
        <v>276</v>
      </c>
    </row>
    <row r="21" spans="1:11" ht="15" customHeight="1" x14ac:dyDescent="0.2">
      <c r="B21" s="102" t="s">
        <v>277</v>
      </c>
      <c r="F21" s="56">
        <v>0.22</v>
      </c>
    </row>
    <row r="22" spans="1:11" ht="15" customHeight="1" x14ac:dyDescent="0.2">
      <c r="B22" s="102" t="s">
        <v>278</v>
      </c>
      <c r="F22" s="103">
        <f>F21+(($F$24-$F$21)/3)</f>
      </c>
      <c r="G22" s="104"/>
    </row>
    <row r="23" spans="1:11" ht="15" customHeight="1" x14ac:dyDescent="0.2">
      <c r="B23" s="102" t="s">
        <v>279</v>
      </c>
      <c r="F23" s="103">
        <f>F22+(($F$24-$F$21)/3)</f>
      </c>
      <c r="G23" s="104"/>
    </row>
    <row r="24" spans="1:11" ht="15" customHeight="1" x14ac:dyDescent="0.2">
      <c r="B24" s="102" t="s">
        <v>280</v>
      </c>
      <c r="F24" s="56">
        <v>0.28000000000000003</v>
      </c>
      <c r="G24" s="104"/>
    </row>
    <row r="25" spans="1:11" ht="15" customHeight="1" x14ac:dyDescent="0.2">
      <c r="B25" s="105" t="s">
        <v>281</v>
      </c>
    </row>
    <row r="26" spans="1:11" ht="15" customHeight="1" x14ac:dyDescent="0.2">
      <c r="B26" s="102" t="s">
        <v>282</v>
      </c>
      <c r="F26" s="106">
        <f>$F$16*F21</f>
      </c>
    </row>
    <row r="27" spans="1:11" ht="15" customHeight="1" x14ac:dyDescent="0.2">
      <c r="B27" s="102" t="s">
        <v>283</v>
      </c>
      <c r="F27" s="106">
        <f t="shared" ref="F27:F29" si="2">$F$16*F22</f>
      </c>
    </row>
    <row r="28" spans="1:11" ht="15" customHeight="1" x14ac:dyDescent="0.2">
      <c r="B28" s="102" t="s">
        <v>284</v>
      </c>
      <c r="F28" s="106">
        <f t="shared" si="2"/>
      </c>
    </row>
    <row r="29" spans="1:11" ht="15" customHeight="1" x14ac:dyDescent="0.2">
      <c r="B29" s="102" t="s">
        <v>285</v>
      </c>
      <c r="F29" s="106">
        <f t="shared" si="2"/>
      </c>
    </row>
    <row r="30" spans="1:11" ht="15" customHeight="1" x14ac:dyDescent="0.2">
      <c r="B30" s="107" t="s">
        <v>286</v>
      </c>
      <c r="C30" s="61"/>
      <c r="D30" s="61"/>
      <c r="E30" s="61"/>
      <c r="F30" s="108">
        <f t="shared" ref="F30" si="3">SUM(F26:F29)</f>
      </c>
    </row>
    <row r="31" spans="1:11" ht="15" customHeight="1" x14ac:dyDescent="0.2">
      <c r="B31" s="102"/>
    </row>
    <row r="32" spans="1:11" ht="15" customHeight="1" x14ac:dyDescent="0.2">
      <c r="A32" s="67"/>
      <c r="B32" s="13" t="s">
        <v>48</v>
      </c>
      <c r="C32" s="76">
        <f t="shared" ref="C32:J32" si="4">C16*(1-C34)</f>
      </c>
      <c r="D32" s="76">
        <f t="shared" si="4"/>
      </c>
      <c r="E32" s="76">
        <f t="shared" si="4"/>
      </c>
      <c r="F32" s="76">
        <f t="shared" si="4"/>
      </c>
      <c r="G32" s="76">
        <f t="shared" si="4"/>
      </c>
      <c r="H32" s="76">
        <f t="shared" si="4"/>
      </c>
      <c r="I32" s="76">
        <f t="shared" si="4"/>
      </c>
      <c r="J32" s="76">
        <f t="shared" si="4"/>
      </c>
      <c r="K32" s="67"/>
    </row>
    <row r="33" spans="1:11" ht="15" customHeight="1" x14ac:dyDescent="0.2">
      <c r="A33" s="67"/>
      <c r="B33" s="20" t="s">
        <v>49</v>
      </c>
      <c r="C33" s="76">
        <f t="shared" ref="C33:J33" si="5">C16-C32</f>
      </c>
      <c r="D33" s="76">
        <f t="shared" si="5"/>
      </c>
      <c r="E33" s="76">
        <f t="shared" si="5"/>
      </c>
      <c r="F33" s="76">
        <f t="shared" si="5"/>
      </c>
      <c r="G33" s="76">
        <f t="shared" si="5"/>
      </c>
      <c r="H33" s="76">
        <f t="shared" si="5"/>
      </c>
      <c r="I33" s="76">
        <f t="shared" si="5"/>
      </c>
      <c r="J33" s="76">
        <f t="shared" si="5"/>
      </c>
      <c r="K33" s="67"/>
    </row>
    <row r="34" spans="1:11" ht="15.75" customHeight="1" x14ac:dyDescent="0.2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">
      <c r="A36" s="67"/>
      <c r="B36" s="13" t="s">
        <v>18</v>
      </c>
      <c r="C36" s="72">
        <f>C16*INDEX('Company1153 Assumptions'!D$35:D$37,MATCH($D$5,'Company1153 Assumptions'!$C$35:$C$37,0))</f>
      </c>
      <c r="D36" s="72">
        <f>D16*INDEX('Company1153 Assumptions'!E$35:E$37,MATCH($D$5,'Company1153 Assumptions'!$C$35:$C$37,0))</f>
      </c>
      <c r="E36" s="72">
        <f>E16*INDEX('Company1153 Assumptions'!F$35:F$37,MATCH($D$5,'Company1153 Assumptions'!$C$35:$C$37,0))</f>
      </c>
      <c r="F36" s="72">
        <f>F16*INDEX('Company1153 Assumptions'!G$35:G$37,MATCH($D$5,'Company1153 Assumptions'!$C$35:$C$37,0))</f>
      </c>
      <c r="G36" s="72">
        <f>G16*INDEX('Company1153 Assumptions'!H$35:H$37,MATCH($D$5,'Company1153 Assumptions'!$C$35:$C$37,0))</f>
      </c>
      <c r="H36" s="72">
        <f>H16*INDEX('Company1153 Assumptions'!I$35:I$37,MATCH($D$5,'Company1153 Assumptions'!$C$35:$C$37,0))</f>
      </c>
      <c r="I36" s="72">
        <f>I16*INDEX('Company1153 Assumptions'!J$35:J$37,MATCH($D$5,'Company1153 Assumptions'!$C$35:$C$37,0))</f>
      </c>
      <c r="J36" s="72">
        <f>J16*INDEX('Company1153 Assumptions'!K$35:K$37,MATCH($D$5,'Company1153 Assumptions'!$C$35:$C$37,0))</f>
      </c>
      <c r="K36" s="67"/>
    </row>
    <row r="37" spans="1:11" ht="15" customHeight="1" x14ac:dyDescent="0.2">
      <c r="A37" s="67"/>
      <c r="B37" s="13" t="s">
        <v>19</v>
      </c>
      <c r="C37" s="72">
        <f>C16*INDEX('Company1153 Assumptions'!D$39:D$41,MATCH($D$5,'Company1153 Assumptions'!$C$39:$C$41,0))</f>
      </c>
      <c r="D37" s="72">
        <f>D16*INDEX('Company1153 Assumptions'!E$39:E$41,MATCH($D$5,'Company1153 Assumptions'!$C$39:$C$41,0))</f>
      </c>
      <c r="E37" s="72">
        <f>E16*INDEX('Company1153 Assumptions'!F$39:F$41,MATCH($D$5,'Company1153 Assumptions'!$C$39:$C$41,0))</f>
      </c>
      <c r="F37" s="72">
        <f>F16*INDEX('Company1153 Assumptions'!G$39:G$41,MATCH($D$5,'Company1153 Assumptions'!$C$39:$C$41,0))</f>
      </c>
      <c r="G37" s="72">
        <f>G16*INDEX('Company1153 Assumptions'!H$39:H$41,MATCH($D$5,'Company1153 Assumptions'!$C$39:$C$41,0))</f>
      </c>
      <c r="H37" s="72">
        <f>H16*INDEX('Company1153 Assumptions'!I$39:I$41,MATCH($D$5,'Company1153 Assumptions'!$C$39:$C$41,0))</f>
      </c>
      <c r="I37" s="72">
        <f>I16*INDEX('Company1153 Assumptions'!J$39:J$41,MATCH($D$5,'Company1153 Assumptions'!$C$39:$C$41,0))</f>
      </c>
      <c r="J37" s="72">
        <f>J16*INDEX('Company1153 Assumptions'!K$39:K$41,MATCH($D$5,'Company1153 Assumptions'!$C$39:$C$41,0))</f>
      </c>
      <c r="K37" s="67"/>
    </row>
    <row r="38" spans="1:11" ht="15.75" customHeight="1" x14ac:dyDescent="0.2">
      <c r="A38" s="67"/>
      <c r="B38" s="13" t="s">
        <v>20</v>
      </c>
      <c r="C38" s="72">
        <f>C16*INDEX('Company1153 Assumptions'!D$43:D$45,MATCH($D$5,'Company1153 Assumptions'!$C$43:$C$45,0))</f>
      </c>
      <c r="D38" s="72">
        <f>D16*INDEX('Company1153 Assumptions'!E$43:E$45,MATCH($D$5,'Company1153 Assumptions'!$C$43:$C$45,0))</f>
      </c>
      <c r="E38" s="72">
        <f>E16*INDEX('Company1153 Assumptions'!F$43:F$45,MATCH($D$5,'Company1153 Assumptions'!$C$43:$C$45,0))</f>
      </c>
      <c r="F38" s="72">
        <f>F16*INDEX('Company1153 Assumptions'!G$43:G$45,MATCH($D$5,'Company1153 Assumptions'!$C$43:$C$45,0))</f>
      </c>
      <c r="G38" s="72">
        <f>G16*INDEX('Company1153 Assumptions'!H$43:H$45,MATCH($D$5,'Company1153 Assumptions'!$C$43:$C$45,0))</f>
      </c>
      <c r="H38" s="72">
        <f>H16*INDEX('Company1153 Assumptions'!I$43:I$45,MATCH($D$5,'Company1153 Assumptions'!$C$43:$C$45,0))</f>
      </c>
      <c r="I38" s="72">
        <f>I16*INDEX('Company1153 Assumptions'!J$43:J$45,MATCH($D$5,'Company1153 Assumptions'!$C$43:$C$45,0))</f>
      </c>
      <c r="J38" s="72">
        <f>J16*INDEX('Company1153 Assumptions'!K$43:K$45,MATCH($D$5,'Company1153 Assumptions'!$C$43:$C$45,0))</f>
      </c>
      <c r="K38" s="67"/>
    </row>
    <row r="39" spans="1:11" ht="15.75" customHeight="1" x14ac:dyDescent="0.2">
      <c r="A39" s="67"/>
      <c r="B39" s="13" t="s">
        <v>21</v>
      </c>
      <c r="C39" s="72">
        <f>C16*INDEX('Company1153 Assumptions'!D$47:D$49,MATCH($D$5,'Company1153 Assumptions'!$C$47:$C$49,0))</f>
      </c>
      <c r="D39" s="72">
        <f>D16*INDEX('Company1153 Assumptions'!E$47:E$49,MATCH($D$5,'Company1153 Assumptions'!$C$47:$C$49,0))</f>
      </c>
      <c r="E39" s="72">
        <f>E16*INDEX('Company1153 Assumptions'!F$47:F$49,MATCH($D$5,'Company1153 Assumptions'!$C$47:$C$49,0))</f>
      </c>
      <c r="F39" s="72">
        <f>F16*INDEX('Company1153 Assumptions'!G$47:G$49,MATCH($D$5,'Company1153 Assumptions'!$C$47:$C$49,0))</f>
      </c>
      <c r="G39" s="72">
        <f>G16*INDEX('Company1153 Assumptions'!H$47:H$49,MATCH($D$5,'Company1153 Assumptions'!$C$47:$C$49,0))</f>
      </c>
      <c r="H39" s="72">
        <f>H16*INDEX('Company1153 Assumptions'!I$47:I$49,MATCH($D$5,'Company1153 Assumptions'!$C$47:$C$49,0))</f>
      </c>
      <c r="I39" s="72">
        <f>I16*INDEX('Company1153 Assumptions'!J$47:J$49,MATCH($D$5,'Company1153 Assumptions'!$C$47:$C$49,0))</f>
      </c>
      <c r="J39" s="72">
        <f>J16*INDEX('Company1153 Assumptions'!K$47:K$49,MATCH($D$5,'Company1153 Assumptions'!$C$47:$C$49,0))</f>
      </c>
      <c r="K39" s="67"/>
    </row>
    <row r="40" spans="1:11" ht="15.75" customHeight="1" x14ac:dyDescent="0.2">
      <c r="A40" s="67"/>
      <c r="B40" s="19" t="s">
        <v>51</v>
      </c>
      <c r="C40" s="73">
        <f t="shared" si="0"/>
      </c>
      <c r="D40" s="73">
        <f t="shared" si="0"/>
      </c>
      <c r="E40" s="73">
        <f t="shared" si="0"/>
      </c>
      <c r="F40" s="73">
        <f t="shared" si="0"/>
      </c>
      <c r="G40" s="73">
        <f t="shared" si="0"/>
      </c>
      <c r="H40" s="73">
        <f t="shared" si="0"/>
      </c>
      <c r="I40" s="73">
        <f t="shared" si="0"/>
      </c>
      <c r="J40" s="73">
        <f t="shared" si="0"/>
      </c>
      <c r="K40" s="67"/>
    </row>
    <row r="41" spans="1:11" ht="15.75" customHeight="1" x14ac:dyDescent="0.2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">
      <c r="A42" s="67"/>
      <c r="B42" s="20" t="s">
        <v>52</v>
      </c>
      <c r="C42" s="76">
        <f t="shared" ref="C42:J42" si="6">C33-C40</f>
      </c>
      <c r="D42" s="76">
        <f t="shared" si="6"/>
      </c>
      <c r="E42" s="76">
        <f t="shared" si="6"/>
      </c>
      <c r="F42" s="76">
        <f t="shared" si="6"/>
      </c>
      <c r="G42" s="76">
        <f t="shared" si="6"/>
      </c>
      <c r="H42" s="76">
        <f t="shared" si="6"/>
      </c>
      <c r="I42" s="76">
        <f t="shared" si="6"/>
      </c>
      <c r="J42" s="76">
        <f t="shared" si="6"/>
      </c>
      <c r="K42" s="67"/>
    </row>
    <row r="43" spans="1:11" ht="15" customHeight="1" x14ac:dyDescent="0.2">
      <c r="A43" s="67"/>
      <c r="B43" s="74" t="s">
        <v>53</v>
      </c>
      <c r="C43" s="75">
        <f t="shared" ref="C43:J43" si="7">C42/C16</f>
      </c>
      <c r="D43" s="75">
        <f t="shared" si="7"/>
      </c>
      <c r="E43" s="75">
        <f t="shared" si="7"/>
      </c>
      <c r="F43" s="75">
        <f t="shared" si="7"/>
      </c>
      <c r="G43" s="75">
        <f t="shared" si="7"/>
      </c>
      <c r="H43" s="75">
        <f t="shared" si="7"/>
      </c>
      <c r="I43" s="75">
        <f t="shared" si="7"/>
      </c>
      <c r="J43" s="75">
        <f t="shared" si="7"/>
      </c>
      <c r="K43" s="67"/>
    </row>
    <row r="44" spans="1:11" ht="15.75" customHeight="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</c>
      <c r="D45" s="72">
        <f ca="1">(D$64*INDEX('Company1153 Assumptions'!$D$88:$D$90,MATCH($D$5,'Company1153 Assumptions'!$C$88:$C$90,0)))-(D86*INDEX('Company1153 Assumptions'!$D$92:$D$94,MATCH($D$5,'Company1153 Assumptions'!$C$92:$C$94,0)))</f>
      </c>
      <c r="E45" s="72">
        <f ca="1">(E$64*INDEX('Company1153 Assumptions'!$D$88:$D$90,MATCH($D$5,'Company1153 Assumptions'!$C$88:$C$90,0)))-(E86*INDEX('Company1153 Assumptions'!$D$92:$D$94,MATCH($D$5,'Company1153 Assumptions'!$C$92:$C$94,0)))</f>
      </c>
      <c r="F45" s="72">
        <f ca="1">(F$64*INDEX('Company1153 Assumptions'!$D$88:$D$90,MATCH($D$5,'Company1153 Assumptions'!$C$88:$C$90,0)))-(F86*INDEX('Company1153 Assumptions'!$D$92:$D$94,MATCH($D$5,'Company1153 Assumptions'!$C$92:$C$94,0)))</f>
      </c>
      <c r="G45" s="72">
        <f ca="1">(G$64*INDEX('Company1153 Assumptions'!$D$88:$D$90,MATCH($D$5,'Company1153 Assumptions'!$C$88:$C$90,0)))-(G86*INDEX('Company1153 Assumptions'!$D$92:$D$94,MATCH($D$5,'Company1153 Assumptions'!$C$92:$C$94,0)))</f>
      </c>
      <c r="H45" s="72">
        <f ca="1">(H$64*INDEX('Company1153 Assumptions'!$D$88:$D$90,MATCH($D$5,'Company1153 Assumptions'!$C$88:$C$90,0)))-(H86*INDEX('Company1153 Assumptions'!$D$92:$D$94,MATCH($D$5,'Company1153 Assumptions'!$C$92:$C$94,0)))</f>
      </c>
      <c r="I45" s="72">
        <f ca="1">(I$64*INDEX('Company1153 Assumptions'!$D$88:$D$90,MATCH($D$5,'Company1153 Assumptions'!$C$88:$C$90,0)))-(I86*INDEX('Company1153 Assumptions'!$D$92:$D$94,MATCH($D$5,'Company1153 Assumptions'!$C$92:$C$94,0)))</f>
      </c>
      <c r="J45" s="72">
        <f ca="1">(J$64*INDEX('Company1153 Assumptions'!$D$88:$D$90,MATCH($D$5,'Company1153 Assumptions'!$C$88:$C$90,0)))-(J86*INDEX('Company1153 Assumptions'!$D$92:$D$94,MATCH($D$5,'Company1153 Assumptions'!$C$92:$C$94,0)))</f>
      </c>
      <c r="K45" s="67"/>
    </row>
    <row r="46" spans="1:11" ht="15" customHeight="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">
      <c r="A47" s="67"/>
      <c r="B47" s="20" t="s">
        <v>54</v>
      </c>
      <c r="C47" s="76">
        <f t="shared" ref="C47:J47" si="8">C42+C45</f>
      </c>
      <c r="D47" s="76">
        <f t="shared" ca="1" si="8"/>
      </c>
      <c r="E47" s="76">
        <f t="shared" ca="1" si="8"/>
      </c>
      <c r="F47" s="76">
        <f t="shared" ca="1" si="8"/>
      </c>
      <c r="G47" s="76">
        <f t="shared" ca="1" si="8"/>
      </c>
      <c r="H47" s="76">
        <f t="shared" ca="1" si="8"/>
      </c>
      <c r="I47" s="76">
        <f t="shared" ca="1" si="8"/>
      </c>
      <c r="J47" s="76">
        <f t="shared" ca="1" si="8"/>
      </c>
      <c r="K47" s="67"/>
    </row>
    <row r="48" spans="1:11" ht="15" customHeight="1" x14ac:dyDescent="0.2">
      <c r="A48" s="67"/>
      <c r="B48" s="21" t="s">
        <v>55</v>
      </c>
      <c r="C48" s="72">
        <f>C47*INDEX('Company1153 Assumptions'!D$81:D$83,MATCH($D$5,'Company1153 Assumptions'!$C$81:$C$83,0))</f>
      </c>
      <c r="D48" s="72">
        <f ca="1">D47*INDEX('Company1153 Assumptions'!E$81:E$83,MATCH($D$5,'Company1153 Assumptions'!$C$81:$C$83,0))</f>
      </c>
      <c r="E48" s="72">
        <f ca="1">E47*INDEX('Company1153 Assumptions'!F$81:F$83,MATCH($D$5,'Company1153 Assumptions'!$C$81:$C$83,0))</f>
      </c>
      <c r="F48" s="72">
        <f ca="1">F47*INDEX('Company1153 Assumptions'!G$81:G$83,MATCH($D$5,'Company1153 Assumptions'!$C$81:$C$83,0))</f>
      </c>
      <c r="G48" s="72">
        <f ca="1">G47*INDEX('Company1153 Assumptions'!H$81:H$83,MATCH($D$5,'Company1153 Assumptions'!$C$81:$C$83,0))</f>
      </c>
      <c r="H48" s="72">
        <f ca="1">H47*INDEX('Company1153 Assumptions'!I$81:I$83,MATCH($D$5,'Company1153 Assumptions'!$C$81:$C$83,0))</f>
      </c>
      <c r="I48" s="72">
        <f ca="1">I47*INDEX('Company1153 Assumptions'!J$81:J$83,MATCH($D$5,'Company1153 Assumptions'!$C$81:$C$83,0))</f>
      </c>
      <c r="J48" s="72">
        <f ca="1">J47*INDEX('Company1153 Assumptions'!K$81:K$83,MATCH($D$5,'Company1153 Assumptions'!$C$81:$C$83,0))</f>
      </c>
      <c r="K48" s="67"/>
    </row>
    <row r="49" spans="1:11" ht="15.75" customHeight="1" thickBo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25">
      <c r="A50" s="67"/>
      <c r="B50" s="20" t="s">
        <v>56</v>
      </c>
      <c r="C50" s="78">
        <f t="shared" ref="C50:J50" si="9">C47-C48</f>
      </c>
      <c r="D50" s="78">
        <f t="shared" ca="1" si="9"/>
      </c>
      <c r="E50" s="78">
        <f t="shared" ca="1" si="9"/>
      </c>
      <c r="F50" s="78">
        <f t="shared" ca="1" si="9"/>
      </c>
      <c r="G50" s="78">
        <f t="shared" ca="1" si="9"/>
      </c>
      <c r="H50" s="78">
        <f t="shared" ca="1" si="9"/>
      </c>
      <c r="I50" s="78">
        <f t="shared" ca="1" si="9"/>
      </c>
      <c r="J50" s="78">
        <f t="shared" ca="1" si="9"/>
      </c>
      <c r="K50" s="67"/>
    </row>
    <row r="51" spans="1:11" ht="15" customHeight="1" thickTop="1" x14ac:dyDescent="0.2">
      <c r="A51" s="67"/>
      <c r="B51" s="74" t="s">
        <v>57</v>
      </c>
      <c r="C51" s="75">
        <f t="shared" ref="C51:J51" si="10">C50/C16</f>
      </c>
      <c r="D51" s="75">
        <f t="shared" ca="1" si="10"/>
      </c>
      <c r="E51" s="75">
        <f t="shared" ca="1" si="10"/>
      </c>
      <c r="F51" s="75">
        <f t="shared" ca="1" si="10"/>
      </c>
      <c r="G51" s="75">
        <f t="shared" ca="1" si="10"/>
      </c>
      <c r="H51" s="75">
        <f t="shared" ca="1" si="10"/>
      </c>
      <c r="I51" s="75">
        <f t="shared" ca="1" si="10"/>
      </c>
      <c r="J51" s="75">
        <f t="shared" ca="1" si="10"/>
      </c>
      <c r="K51" s="67"/>
    </row>
    <row r="52" spans="1:11" ht="15.75" customHeight="1" thickBot="1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">
      <c r="A56" s="67"/>
      <c r="B56" s="20" t="s">
        <v>60</v>
      </c>
      <c r="C56" s="80">
        <f t="shared" ref="C56:J56" si="11">C50/C55</f>
      </c>
      <c r="D56" s="80">
        <f t="shared" ca="1" si="11"/>
      </c>
      <c r="E56" s="80">
        <f t="shared" ca="1" si="11"/>
      </c>
      <c r="F56" s="80">
        <f t="shared" ca="1" si="11"/>
      </c>
      <c r="G56" s="80">
        <f t="shared" ca="1" si="11"/>
      </c>
      <c r="H56" s="80">
        <f t="shared" ca="1" si="11"/>
      </c>
      <c r="I56" s="80">
        <f t="shared" ca="1" si="11"/>
      </c>
      <c r="J56" s="80">
        <f t="shared" ca="1" si="11"/>
      </c>
      <c r="K56" s="67"/>
    </row>
    <row r="57" spans="1:11" ht="15.75" customHeight="1" x14ac:dyDescent="0.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25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">
      <c r="A64" s="67"/>
      <c r="B64" s="13" t="s">
        <v>66</v>
      </c>
      <c r="C64" s="82">
        <v>90000</v>
      </c>
      <c r="D64" s="83">
        <f t="shared" ref="D64:J64" ca="1" si="12">D$121</f>
      </c>
      <c r="E64" s="83">
        <f t="shared" ca="1" si="12"/>
      </c>
      <c r="F64" s="83">
        <f t="shared" ca="1" si="12"/>
      </c>
      <c r="G64" s="83">
        <f t="shared" ca="1" si="12"/>
      </c>
      <c r="H64" s="83">
        <f t="shared" ca="1" si="12"/>
      </c>
      <c r="I64" s="83">
        <f t="shared" ca="1" si="12"/>
      </c>
      <c r="J64" s="83">
        <f t="shared" ca="1" si="12"/>
      </c>
      <c r="K64" s="67"/>
    </row>
    <row r="65" spans="1:11" ht="15" customHeight="1" x14ac:dyDescent="0.2">
      <c r="A65" s="67"/>
      <c r="B65" s="13" t="s">
        <v>67</v>
      </c>
      <c r="C65" s="72">
        <f>C$16*INDEX('Company1153 Assumptions'!D$55:D$57,MATCH($D$5,'Company1153 Assumptions'!$C$55:$C$57,0))/365</f>
      </c>
      <c r="D65" s="72">
        <f>D$16*INDEX('Company1153 Assumptions'!E$55:E$57,MATCH($D$5,'Company1153 Assumptions'!$C$55:$C$57,0))/365</f>
      </c>
      <c r="E65" s="72">
        <f>E$16*INDEX('Company1153 Assumptions'!F$55:F$57,MATCH($D$5,'Company1153 Assumptions'!$C$55:$C$57,0))/365</f>
      </c>
      <c r="F65" s="72">
        <f>F$16*INDEX('Company1153 Assumptions'!G$55:G$57,MATCH($D$5,'Company1153 Assumptions'!$C$55:$C$57,0))/365</f>
      </c>
      <c r="G65" s="72">
        <f>G$16*INDEX('Company1153 Assumptions'!H$55:H$57,MATCH($D$5,'Company1153 Assumptions'!$C$55:$C$57,0))/365</f>
      </c>
      <c r="H65" s="72">
        <f>H$16*INDEX('Company1153 Assumptions'!I$55:I$57,MATCH($D$5,'Company1153 Assumptions'!$C$55:$C$57,0))/365</f>
      </c>
      <c r="I65" s="72">
        <f>I$16*INDEX('Company1153 Assumptions'!J$55:J$57,MATCH($D$5,'Company1153 Assumptions'!$C$55:$C$57,0))/365</f>
      </c>
      <c r="J65" s="72">
        <f>J$16*INDEX('Company1153 Assumptions'!K$55:K$57,MATCH($D$5,'Company1153 Assumptions'!$C$55:$C$57,0))/365</f>
      </c>
      <c r="K65" s="67"/>
    </row>
    <row r="66" spans="1:11" ht="15.75" customHeight="1" x14ac:dyDescent="0.2">
      <c r="A66" s="67"/>
      <c r="B66" s="13" t="s">
        <v>68</v>
      </c>
      <c r="C66" s="82">
        <v>8500</v>
      </c>
      <c r="D66" s="72">
        <f>C66*(1+'Company1153 Assumptions'!E$63)</f>
      </c>
      <c r="E66" s="72">
        <f>D66*(1+'Company1153 Assumptions'!F$63)</f>
      </c>
      <c r="F66" s="72">
        <f>E66*(1+'Company1153 Assumptions'!G$63)</f>
      </c>
      <c r="G66" s="72">
        <f>F66*(1+'Company1153 Assumptions'!H$63)</f>
      </c>
      <c r="H66" s="72">
        <f>G66*(1+'Company1153 Assumptions'!I$63)</f>
      </c>
      <c r="I66" s="72">
        <f>H66*(1+'Company1153 Assumptions'!J$63)</f>
      </c>
      <c r="J66" s="72">
        <f>I66*(1+'Company1153 Assumptions'!K$63)</f>
      </c>
      <c r="K66" s="67"/>
    </row>
    <row r="67" spans="1:11" ht="15.75" customHeight="1" x14ac:dyDescent="0.2">
      <c r="A67" s="67"/>
      <c r="B67" s="14" t="s">
        <v>69</v>
      </c>
      <c r="C67" s="84">
        <f t="shared" ref="C67:J67" si="13">SUM(C64:C66)</f>
      </c>
      <c r="D67" s="84">
        <f t="shared" ca="1" si="13"/>
      </c>
      <c r="E67" s="84">
        <f t="shared" ca="1" si="13"/>
      </c>
      <c r="F67" s="84">
        <f t="shared" ca="1" si="13"/>
      </c>
      <c r="G67" s="84">
        <f t="shared" ca="1" si="13"/>
      </c>
      <c r="H67" s="84">
        <f t="shared" ca="1" si="13"/>
      </c>
      <c r="I67" s="84">
        <f t="shared" ca="1" si="13"/>
      </c>
      <c r="J67" s="84">
        <f t="shared" ca="1" si="13"/>
      </c>
      <c r="K67" s="67"/>
    </row>
    <row r="68" spans="1:11" ht="15.75" customHeight="1" x14ac:dyDescent="0.2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">
      <c r="A70" s="67"/>
      <c r="B70" s="13" t="s">
        <v>71</v>
      </c>
      <c r="C70" s="82">
        <v>80000</v>
      </c>
      <c r="D70" s="83">
        <f>C70+D110</f>
      </c>
      <c r="E70" s="83">
        <f t="shared" ref="E70:J70" si="14">D70+E110</f>
      </c>
      <c r="F70" s="83">
        <f t="shared" si="14"/>
      </c>
      <c r="G70" s="83">
        <f t="shared" si="14"/>
      </c>
      <c r="H70" s="83">
        <f t="shared" si="14"/>
      </c>
      <c r="I70" s="83">
        <f t="shared" si="14"/>
      </c>
      <c r="J70" s="83">
        <f t="shared" si="14"/>
      </c>
      <c r="K70" s="67"/>
    </row>
    <row r="71" spans="1:11" ht="15" customHeight="1" x14ac:dyDescent="0.2">
      <c r="A71" s="67"/>
      <c r="B71" s="13" t="s">
        <v>72</v>
      </c>
      <c r="C71" s="82">
        <v>25000</v>
      </c>
      <c r="D71" s="83">
        <f>C71+D102</f>
      </c>
      <c r="E71" s="83">
        <f t="shared" ref="E71:J71" si="15">D71+E102</f>
      </c>
      <c r="F71" s="83">
        <f t="shared" si="15"/>
      </c>
      <c r="G71" s="83">
        <f t="shared" si="15"/>
      </c>
      <c r="H71" s="83">
        <f t="shared" si="15"/>
      </c>
      <c r="I71" s="83">
        <f t="shared" si="15"/>
      </c>
      <c r="J71" s="83">
        <f t="shared" si="15"/>
      </c>
      <c r="K71" s="67"/>
    </row>
    <row r="72" spans="1:11" ht="15.75" customHeight="1" x14ac:dyDescent="0.2">
      <c r="A72" s="67"/>
      <c r="B72" s="85" t="s">
        <v>267</v>
      </c>
      <c r="C72" s="86">
        <f>C70-C71</f>
      </c>
      <c r="D72" s="86">
        <f>D70-D71</f>
      </c>
      <c r="E72" s="86">
        <f t="shared" ref="E72:J72" si="16">E70-E71</f>
      </c>
      <c r="F72" s="86">
        <f t="shared" si="16"/>
      </c>
      <c r="G72" s="86">
        <f t="shared" si="16"/>
      </c>
      <c r="H72" s="86">
        <f t="shared" si="16"/>
      </c>
      <c r="I72" s="86">
        <f t="shared" si="16"/>
      </c>
      <c r="J72" s="86">
        <f t="shared" si="16"/>
      </c>
      <c r="K72" s="67"/>
    </row>
    <row r="73" spans="1:11" ht="15.75" customHeight="1" x14ac:dyDescent="0.2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">
      <c r="A74" s="67"/>
      <c r="B74" s="13" t="s">
        <v>73</v>
      </c>
      <c r="C74" s="82">
        <v>35000</v>
      </c>
      <c r="D74" s="72">
        <f>C74*(1+'Company1153 Assumptions'!E$64)</f>
      </c>
      <c r="E74" s="72">
        <f>D74*(1+'Company1153 Assumptions'!F$64)</f>
      </c>
      <c r="F74" s="72">
        <f>E74*(1+'Company1153 Assumptions'!G$64)</f>
      </c>
      <c r="G74" s="72">
        <f>F74*(1+'Company1153 Assumptions'!H$64)</f>
      </c>
      <c r="H74" s="72">
        <f>G74*(1+'Company1153 Assumptions'!I$64)</f>
      </c>
      <c r="I74" s="72">
        <f>H74*(1+'Company1153 Assumptions'!J$64)</f>
      </c>
      <c r="J74" s="72">
        <f>I74*(1+'Company1153 Assumptions'!K$64)</f>
      </c>
      <c r="K74" s="67"/>
    </row>
    <row r="75" spans="1:11" ht="15.75" customHeight="1" x14ac:dyDescent="0.2">
      <c r="A75" s="67"/>
      <c r="B75" s="14" t="s">
        <v>74</v>
      </c>
      <c r="C75" s="84">
        <f t="shared" ref="C75:J75" si="17">C72+C74</f>
      </c>
      <c r="D75" s="84">
        <f t="shared" si="17"/>
      </c>
      <c r="E75" s="84">
        <f t="shared" si="17"/>
      </c>
      <c r="F75" s="84">
        <f t="shared" si="17"/>
      </c>
      <c r="G75" s="84">
        <f t="shared" si="17"/>
      </c>
      <c r="H75" s="84">
        <f t="shared" si="17"/>
      </c>
      <c r="I75" s="84">
        <f t="shared" si="17"/>
      </c>
      <c r="J75" s="84">
        <f t="shared" si="17"/>
      </c>
      <c r="K75" s="67"/>
    </row>
    <row r="76" spans="1:11" ht="15.75" customHeight="1" thickBot="1" x14ac:dyDescent="0.2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25">
      <c r="A77" s="67"/>
      <c r="B77" s="10" t="s">
        <v>75</v>
      </c>
      <c r="C77" s="87">
        <f t="shared" ref="C77:J77" si="18">C67+C75</f>
      </c>
      <c r="D77" s="87">
        <f t="shared" ca="1" si="18"/>
      </c>
      <c r="E77" s="87">
        <f t="shared" ca="1" si="18"/>
      </c>
      <c r="F77" s="87">
        <f t="shared" ca="1" si="18"/>
      </c>
      <c r="G77" s="87">
        <f t="shared" ca="1" si="18"/>
      </c>
      <c r="H77" s="87">
        <f t="shared" ca="1" si="18"/>
      </c>
      <c r="I77" s="87">
        <f t="shared" ca="1" si="18"/>
      </c>
      <c r="J77" s="87">
        <f t="shared" ca="1" si="18"/>
      </c>
      <c r="K77" s="67"/>
    </row>
    <row r="78" spans="1:11" ht="15.75" customHeight="1" thickTop="1" x14ac:dyDescent="0.2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">
      <c r="A82" s="67"/>
      <c r="B82" s="13" t="s">
        <v>78</v>
      </c>
      <c r="C82" s="72">
        <f>(C32+C36+C37+C38)*INDEX('Company1153 Assumptions'!D$59:D$61,MATCH($D$5,'Company1153 Assumptions'!$C$59:$C$61,0))/365</f>
      </c>
      <c r="D82" s="72">
        <f>(D32+D36+D37+D38)*INDEX('Company1153 Assumptions'!E$59:E$61,MATCH($D$5,'Company1153 Assumptions'!$C$59:$C$61,0))/365</f>
      </c>
      <c r="E82" s="72">
        <f>(E32+E36+E37+E38)*INDEX('Company1153 Assumptions'!F$59:F$61,MATCH($D$5,'Company1153 Assumptions'!$C$59:$C$61,0))/365</f>
      </c>
      <c r="F82" s="72">
        <f>(F32+F36+F37+F38)*INDEX('Company1153 Assumptions'!G$59:G$61,MATCH($D$5,'Company1153 Assumptions'!$C$59:$C$61,0))/365</f>
      </c>
      <c r="G82" s="72">
        <f>(G32+G36+G37+G38)*INDEX('Company1153 Assumptions'!H$59:H$61,MATCH($D$5,'Company1153 Assumptions'!$C$59:$C$61,0))/365</f>
      </c>
      <c r="H82" s="72">
        <f>(H32+H36+H37+H38)*INDEX('Company1153 Assumptions'!I$59:I$61,MATCH($D$5,'Company1153 Assumptions'!$C$59:$C$61,0))/365</f>
      </c>
      <c r="I82" s="72">
        <f>(I32+I36+I37+I38)*INDEX('Company1153 Assumptions'!J$59:J$61,MATCH($D$5,'Company1153 Assumptions'!$C$59:$C$61,0))/365</f>
      </c>
      <c r="J82" s="72">
        <f>(J32+J36+J37+J38)*INDEX('Company1153 Assumptions'!K$59:K$61,MATCH($D$5,'Company1153 Assumptions'!$C$59:$C$61,0))/365</f>
      </c>
      <c r="K82" s="67"/>
    </row>
    <row r="83" spans="1:11" ht="15.75" customHeight="1" x14ac:dyDescent="0.2">
      <c r="A83" s="67"/>
      <c r="B83" s="13" t="s">
        <v>79</v>
      </c>
      <c r="C83" s="82">
        <v>12000</v>
      </c>
      <c r="D83" s="72">
        <f>C83*(1+'Company1153 Assumptions'!E$65)</f>
      </c>
      <c r="E83" s="72">
        <f>D83*(1+'Company1153 Assumptions'!F$65)</f>
      </c>
      <c r="F83" s="72">
        <f>E83*(1+'Company1153 Assumptions'!G$65)</f>
      </c>
      <c r="G83" s="72">
        <f>F83*(1+'Company1153 Assumptions'!H$65)</f>
      </c>
      <c r="H83" s="72">
        <f>G83*(1+'Company1153 Assumptions'!I$65)</f>
      </c>
      <c r="I83" s="72">
        <f>H83*(1+'Company1153 Assumptions'!J$65)</f>
      </c>
      <c r="J83" s="72">
        <f>I83*(1+'Company1153 Assumptions'!K$65)</f>
      </c>
      <c r="K83" s="67"/>
    </row>
    <row r="84" spans="1:11" ht="15.75" customHeight="1" x14ac:dyDescent="0.2">
      <c r="A84" s="67"/>
      <c r="B84" s="14" t="s">
        <v>80</v>
      </c>
      <c r="C84" s="84">
        <f t="shared" ref="C84:J84" si="19">SUM(C82:C83)</f>
      </c>
      <c r="D84" s="84">
        <f t="shared" si="19"/>
      </c>
      <c r="E84" s="84">
        <f t="shared" si="19"/>
      </c>
      <c r="F84" s="84">
        <f t="shared" si="19"/>
      </c>
      <c r="G84" s="84">
        <f t="shared" si="19"/>
      </c>
      <c r="H84" s="84">
        <f t="shared" si="19"/>
      </c>
      <c r="I84" s="84">
        <f t="shared" si="19"/>
      </c>
      <c r="J84" s="84">
        <f t="shared" si="19"/>
      </c>
      <c r="K84" s="67"/>
    </row>
    <row r="85" spans="1:11" ht="15.75" customHeight="1" x14ac:dyDescent="0.2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">
      <c r="A87" s="67"/>
      <c r="B87" s="14" t="s">
        <v>82</v>
      </c>
      <c r="C87" s="84">
        <f t="shared" ref="C87:J87" si="20">C84+C86</f>
      </c>
      <c r="D87" s="84">
        <f t="shared" si="20"/>
      </c>
      <c r="E87" s="84">
        <f t="shared" si="20"/>
      </c>
      <c r="F87" s="84">
        <f t="shared" si="20"/>
      </c>
      <c r="G87" s="84">
        <f t="shared" si="20"/>
      </c>
      <c r="H87" s="84">
        <f t="shared" si="20"/>
      </c>
      <c r="I87" s="84">
        <f t="shared" si="20"/>
      </c>
      <c r="J87" s="84">
        <f t="shared" si="20"/>
      </c>
      <c r="K87" s="67"/>
    </row>
    <row r="88" spans="1:11" ht="15.75" customHeight="1" x14ac:dyDescent="0.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">
      <c r="A90" s="67"/>
      <c r="B90" s="13" t="s">
        <v>268</v>
      </c>
      <c r="C90" s="82">
        <v>50000</v>
      </c>
      <c r="D90" s="83">
        <f>C90+D103</f>
      </c>
      <c r="E90" s="83">
        <f t="shared" ref="E90:J90" si="21">D90+E103</f>
      </c>
      <c r="F90" s="83">
        <f t="shared" si="21"/>
      </c>
      <c r="G90" s="83">
        <f t="shared" si="21"/>
      </c>
      <c r="H90" s="83">
        <f t="shared" si="21"/>
      </c>
      <c r="I90" s="83">
        <f t="shared" si="21"/>
      </c>
      <c r="J90" s="83">
        <f t="shared" si="21"/>
      </c>
      <c r="K90" s="67"/>
    </row>
    <row r="91" spans="1:11" ht="15.75" customHeight="1" x14ac:dyDescent="0.2">
      <c r="A91" s="67"/>
      <c r="B91" s="13" t="s">
        <v>269</v>
      </c>
      <c r="C91" s="82">
        <v>24855.843769863</v>
      </c>
      <c r="D91" s="83">
        <f ca="1">C91+D115</f>
      </c>
      <c r="E91" s="83">
        <f t="shared" ref="E91:J91" ca="1" si="22">D91+E115</f>
      </c>
      <c r="F91" s="83">
        <f t="shared" ca="1" si="22"/>
      </c>
      <c r="G91" s="83">
        <f t="shared" ca="1" si="22"/>
      </c>
      <c r="H91" s="83">
        <f t="shared" ca="1" si="22"/>
      </c>
      <c r="I91" s="83">
        <f t="shared" ca="1" si="22"/>
      </c>
      <c r="J91" s="83">
        <f t="shared" ca="1" si="22"/>
      </c>
      <c r="K91" s="67"/>
    </row>
    <row r="92" spans="1:11" ht="15.75" customHeight="1" x14ac:dyDescent="0.2">
      <c r="A92" s="67"/>
      <c r="B92" s="13" t="s">
        <v>84</v>
      </c>
      <c r="C92" s="82">
        <v>150000</v>
      </c>
      <c r="D92" s="83">
        <f ca="1">C92+D101</f>
      </c>
      <c r="E92" s="83">
        <f t="shared" ref="E92:J92" ca="1" si="23">D92+E101</f>
      </c>
      <c r="F92" s="83">
        <f t="shared" ca="1" si="23"/>
      </c>
      <c r="G92" s="83">
        <f t="shared" ca="1" si="23"/>
      </c>
      <c r="H92" s="83">
        <f t="shared" ca="1" si="23"/>
      </c>
      <c r="I92" s="83">
        <f t="shared" ca="1" si="23"/>
      </c>
      <c r="J92" s="83">
        <f t="shared" ca="1" si="23"/>
      </c>
      <c r="K92" s="67"/>
    </row>
    <row r="93" spans="1:11" ht="15.75" customHeight="1" x14ac:dyDescent="0.2">
      <c r="A93" s="67"/>
      <c r="B93" s="14" t="s">
        <v>85</v>
      </c>
      <c r="C93" s="84">
        <f>C90-C91+C92</f>
      </c>
      <c r="D93" s="84">
        <f t="shared" ref="D93:J93" ca="1" si="24">D90-D91+D92</f>
      </c>
      <c r="E93" s="84">
        <f t="shared" ca="1" si="24"/>
      </c>
      <c r="F93" s="84">
        <f t="shared" ca="1" si="24"/>
      </c>
      <c r="G93" s="84">
        <f t="shared" ca="1" si="24"/>
      </c>
      <c r="H93" s="84">
        <f t="shared" ca="1" si="24"/>
      </c>
      <c r="I93" s="84">
        <f t="shared" ca="1" si="24"/>
      </c>
      <c r="J93" s="84">
        <f t="shared" ca="1" si="24"/>
      </c>
      <c r="K93" s="67"/>
    </row>
    <row r="94" spans="1:11" ht="15" customHeight="1" thickBot="1" x14ac:dyDescent="0.2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25">
      <c r="A95" s="67"/>
      <c r="B95" s="10" t="s">
        <v>86</v>
      </c>
      <c r="C95" s="87">
        <f t="shared" ref="C95:J95" si="25">C87+C93</f>
      </c>
      <c r="D95" s="87">
        <f t="shared" ca="1" si="25"/>
      </c>
      <c r="E95" s="87">
        <f t="shared" ca="1" si="25"/>
      </c>
      <c r="F95" s="87">
        <f t="shared" ca="1" si="25"/>
      </c>
      <c r="G95" s="87">
        <f t="shared" ca="1" si="25"/>
      </c>
      <c r="H95" s="87">
        <f t="shared" ca="1" si="25"/>
      </c>
      <c r="I95" s="87">
        <f t="shared" ca="1" si="25"/>
      </c>
      <c r="J95" s="87">
        <f t="shared" ca="1" si="25"/>
      </c>
      <c r="K95" s="67"/>
    </row>
    <row r="96" spans="1:11" ht="15" customHeight="1" thickTop="1" x14ac:dyDescent="0.2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">
      <c r="A97" s="67"/>
      <c r="B97" s="16" t="s">
        <v>87</v>
      </c>
      <c r="C97" s="83">
        <f t="shared" ref="C97:J97" si="26">C77-C95</f>
      </c>
      <c r="D97" s="83">
        <f t="shared" ca="1" si="26"/>
      </c>
      <c r="E97" s="83">
        <f t="shared" ca="1" si="26"/>
      </c>
      <c r="F97" s="83">
        <f t="shared" ca="1" si="26"/>
      </c>
      <c r="G97" s="83">
        <f t="shared" ca="1" si="26"/>
      </c>
      <c r="H97" s="83">
        <f t="shared" ca="1" si="26"/>
      </c>
      <c r="I97" s="83">
        <f t="shared" ca="1" si="26"/>
      </c>
      <c r="J97" s="83">
        <f t="shared" ca="1" si="26"/>
      </c>
      <c r="K97" s="67"/>
    </row>
    <row r="98" spans="1:11" ht="15" customHeight="1" thickBot="1" x14ac:dyDescent="0.2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25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">
      <c r="A101" s="67"/>
      <c r="B101" s="13" t="s">
        <v>90</v>
      </c>
      <c r="C101" s="83"/>
      <c r="D101" s="83" cm="1">
        <f t="array" aca="1" ref="D101" ca="1">D50</f>
      </c>
      <c r="E101" s="83" cm="1">
        <f t="array" aca="1" ref="E101" ca="1">E50</f>
      </c>
      <c r="F101" s="83" cm="1">
        <f t="array" aca="1" ref="F101" ca="1">F50</f>
      </c>
      <c r="G101" s="83" cm="1">
        <f t="array" aca="1" ref="G101" ca="1">G50</f>
      </c>
      <c r="H101" s="83" cm="1">
        <f t="array" aca="1" ref="H101" ca="1">H50</f>
      </c>
      <c r="I101" s="83" cm="1">
        <f t="array" aca="1" ref="I101" ca="1">I50</f>
      </c>
      <c r="J101" s="83" cm="1">
        <f t="array" aca="1" ref="J101" ca="1">J50</f>
      </c>
      <c r="K101" s="67"/>
    </row>
    <row r="102" spans="1:11" ht="15.75" customHeight="1" x14ac:dyDescent="0.2">
      <c r="A102" s="67"/>
      <c r="B102" s="13" t="s">
        <v>91</v>
      </c>
      <c r="C102" s="82"/>
      <c r="D102" s="72">
        <f>C$110*INDEX('Company1153 Assumptions'!E$73:E$75,MATCH($D$5,'Company1153 Assumptions'!$C$73:$C$75,0))</f>
      </c>
      <c r="E102" s="72">
        <f>D$110*INDEX('Company1153 Assumptions'!F$73:F$75,MATCH($D$5,'Company1153 Assumptions'!$C$73:$C$75,0))</f>
      </c>
      <c r="F102" s="72">
        <f>E$110*INDEX('Company1153 Assumptions'!G$73:G$75,MATCH($D$5,'Company1153 Assumptions'!$C$73:$C$75,0))</f>
      </c>
      <c r="G102" s="72">
        <f>F$110*INDEX('Company1153 Assumptions'!H$73:H$75,MATCH($D$5,'Company1153 Assumptions'!$C$73:$C$75,0))</f>
      </c>
      <c r="H102" s="72">
        <f>G$110*INDEX('Company1153 Assumptions'!I$73:I$75,MATCH($D$5,'Company1153 Assumptions'!$C$73:$C$75,0))</f>
      </c>
      <c r="I102" s="72">
        <f>H$110*INDEX('Company1153 Assumptions'!J$73:J$75,MATCH($D$5,'Company1153 Assumptions'!$C$73:$C$75,0))</f>
      </c>
      <c r="J102" s="72">
        <f>I$110*INDEX('Company1153 Assumptions'!K$73:K$75,MATCH($D$5,'Company1153 Assumptions'!$C$73:$C$75,0))</f>
      </c>
      <c r="K102" s="67"/>
    </row>
    <row r="103" spans="1:11" ht="15.75" customHeight="1" x14ac:dyDescent="0.2">
      <c r="A103" s="67"/>
      <c r="B103" s="13" t="s">
        <v>92</v>
      </c>
      <c r="C103" s="83"/>
      <c r="D103" s="83" cm="1">
        <f t="array" ref="D103">D39</f>
      </c>
      <c r="E103" s="83" cm="1">
        <f t="array" ref="E103">E39</f>
      </c>
      <c r="F103" s="83" cm="1">
        <f t="array" ref="F103">F39</f>
      </c>
      <c r="G103" s="83" cm="1">
        <f t="array" ref="G103">G39</f>
      </c>
      <c r="H103" s="83" cm="1">
        <f t="array" ref="H103">H39</f>
      </c>
      <c r="I103" s="83" cm="1">
        <f t="array" ref="I103">I39</f>
      </c>
      <c r="J103" s="83" cm="1">
        <f t="array" ref="J103">J39</f>
      </c>
      <c r="K103" s="67"/>
    </row>
    <row r="104" spans="1:11" ht="15" customHeight="1" x14ac:dyDescent="0.2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">
      <c r="A105" s="67"/>
      <c r="B105" s="18" t="s">
        <v>106</v>
      </c>
      <c r="C105" s="67"/>
      <c r="D105" s="83">
        <f>-(SUM(D65:D66)-SUM(C65:C66))</f>
      </c>
      <c r="E105" s="83">
        <f t="shared" ref="E105:J105" si="27">-(SUM(E65:E66)-SUM(D65:D66))</f>
      </c>
      <c r="F105" s="83">
        <f t="shared" si="27"/>
      </c>
      <c r="G105" s="83">
        <f t="shared" si="27"/>
      </c>
      <c r="H105" s="83">
        <f t="shared" si="27"/>
      </c>
      <c r="I105" s="83">
        <f t="shared" si="27"/>
      </c>
      <c r="J105" s="83">
        <f t="shared" si="27"/>
      </c>
      <c r="K105" s="67"/>
    </row>
    <row r="106" spans="1:11" ht="15.75" customHeight="1" x14ac:dyDescent="0.2">
      <c r="A106" s="67"/>
      <c r="B106" s="18" t="s">
        <v>107</v>
      </c>
      <c r="C106" s="67"/>
      <c r="D106" s="83">
        <f t="shared" ref="D106:J106" si="28">SUM(D82:D83)-SUM(C82:C83)</f>
      </c>
      <c r="E106" s="83">
        <f t="shared" si="28"/>
      </c>
      <c r="F106" s="83">
        <f t="shared" si="28"/>
      </c>
      <c r="G106" s="83">
        <f t="shared" si="28"/>
      </c>
      <c r="H106" s="83">
        <f t="shared" si="28"/>
      </c>
      <c r="I106" s="83">
        <f t="shared" si="28"/>
      </c>
      <c r="J106" s="83">
        <f t="shared" si="28"/>
      </c>
      <c r="K106" s="67"/>
    </row>
    <row r="107" spans="1:11" ht="15.75" customHeight="1" x14ac:dyDescent="0.2">
      <c r="A107" s="67"/>
      <c r="B107" s="19" t="s">
        <v>94</v>
      </c>
      <c r="C107" s="84"/>
      <c r="D107" s="84">
        <f t="shared" ref="D107:J107" ca="1" si="29">SUM(D101:D106)</f>
      </c>
      <c r="E107" s="84">
        <f t="shared" ca="1" si="29"/>
      </c>
      <c r="F107" s="84">
        <f t="shared" ca="1" si="29"/>
      </c>
      <c r="G107" s="84">
        <f t="shared" ca="1" si="29"/>
      </c>
      <c r="H107" s="84">
        <f t="shared" ca="1" si="29"/>
      </c>
      <c r="I107" s="84">
        <f t="shared" ca="1" si="29"/>
      </c>
      <c r="J107" s="84">
        <f t="shared" ca="1" si="29"/>
      </c>
      <c r="K107" s="67"/>
    </row>
    <row r="108" spans="1:11" ht="15" customHeight="1" x14ac:dyDescent="0.2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">
      <c r="A110" s="67"/>
      <c r="B110" s="13" t="s">
        <v>96</v>
      </c>
      <c r="C110" s="72">
        <f>C$16*INDEX('Company1153 Assumptions'!D$69:D$71,MATCH($D$5,'Company1153 Assumptions'!$C$69:$C$71,0))</f>
      </c>
      <c r="D110" s="72">
        <f>D$16*INDEX('Company1153 Assumptions'!E$69:E$71,MATCH($D$5,'Company1153 Assumptions'!$C$69:$C$71,0))</f>
      </c>
      <c r="E110" s="72">
        <f>E$16*INDEX('Company1153 Assumptions'!F$69:F$71,MATCH($D$5,'Company1153 Assumptions'!$C$69:$C$71,0))</f>
      </c>
      <c r="F110" s="72">
        <f>F$16*INDEX('Company1153 Assumptions'!G$69:G$71,MATCH($D$5,'Company1153 Assumptions'!$C$69:$C$71,0))</f>
      </c>
      <c r="G110" s="72">
        <f>G$16*INDEX('Company1153 Assumptions'!H$69:H$71,MATCH($D$5,'Company1153 Assumptions'!$C$69:$C$71,0))</f>
      </c>
      <c r="H110" s="72">
        <f>H$16*INDEX('Company1153 Assumptions'!I$69:I$71,MATCH($D$5,'Company1153 Assumptions'!$C$69:$C$71,0))</f>
      </c>
      <c r="I110" s="72">
        <f>I$16*INDEX('Company1153 Assumptions'!J$69:J$71,MATCH($D$5,'Company1153 Assumptions'!$C$69:$C$71,0))</f>
      </c>
      <c r="J110" s="72">
        <f>J$16*INDEX('Company1153 Assumptions'!K$69:K$71,MATCH($D$5,'Company1153 Assumptions'!$C$69:$C$71,0))</f>
      </c>
      <c r="K110" s="67"/>
    </row>
    <row r="111" spans="1:11" ht="15.75" customHeight="1" x14ac:dyDescent="0.2">
      <c r="A111" s="67"/>
      <c r="B111" s="13" t="s">
        <v>270</v>
      </c>
      <c r="C111" s="72"/>
      <c r="D111" s="83">
        <f>D74-C74</f>
      </c>
      <c r="E111" s="83">
        <f t="shared" ref="E111:J111" si="30">E74-D74</f>
      </c>
      <c r="F111" s="83">
        <f t="shared" si="30"/>
      </c>
      <c r="G111" s="83">
        <f t="shared" si="30"/>
      </c>
      <c r="H111" s="83">
        <f t="shared" si="30"/>
      </c>
      <c r="I111" s="83">
        <f t="shared" si="30"/>
      </c>
      <c r="J111" s="83">
        <f t="shared" si="30"/>
      </c>
      <c r="K111" s="67"/>
    </row>
    <row r="112" spans="1:11" ht="15" customHeight="1" x14ac:dyDescent="0.2">
      <c r="A112" s="67"/>
      <c r="B112" s="19" t="s">
        <v>97</v>
      </c>
      <c r="C112" s="84"/>
      <c r="D112" s="84">
        <f>-D110-D111</f>
      </c>
      <c r="E112" s="84">
        <f t="shared" ref="E112:J112" si="31">-E110-E111</f>
      </c>
      <c r="F112" s="84">
        <f t="shared" si="31"/>
      </c>
      <c r="G112" s="84">
        <f t="shared" si="31"/>
      </c>
      <c r="H112" s="84">
        <f t="shared" si="31"/>
      </c>
      <c r="I112" s="84">
        <f t="shared" si="31"/>
      </c>
      <c r="J112" s="84">
        <f t="shared" si="31"/>
      </c>
      <c r="K112" s="67"/>
    </row>
    <row r="113" spans="1:11" ht="13.5" customHeight="1" x14ac:dyDescent="0.2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</c>
      <c r="E115" s="72">
        <f ca="1">MAX(E107+E112,0)*INDEX('Company1153 Assumptions'!F$98:F$100,MATCH($D$5,'Company1153 Assumptions'!$C$98:$C$100,0))</f>
      </c>
      <c r="F115" s="72">
        <f ca="1">MAX(F107+F112,0)*INDEX('Company1153 Assumptions'!G$98:G$100,MATCH($D$5,'Company1153 Assumptions'!$C$98:$C$100,0))</f>
      </c>
      <c r="G115" s="72">
        <f ca="1">MAX(G107+G112,0)*INDEX('Company1153 Assumptions'!H$98:H$100,MATCH($D$5,'Company1153 Assumptions'!$C$98:$C$100,0))</f>
      </c>
      <c r="H115" s="72">
        <f ca="1">MAX(H107+H112,0)*INDEX('Company1153 Assumptions'!I$98:I$100,MATCH($D$5,'Company1153 Assumptions'!$C$98:$C$100,0))</f>
      </c>
      <c r="I115" s="72">
        <f ca="1">MAX(I107+I112,0)*INDEX('Company1153 Assumptions'!J$98:J$100,MATCH($D$5,'Company1153 Assumptions'!$C$98:$C$100,0))</f>
      </c>
      <c r="J115" s="72">
        <f ca="1">MAX(J107+J112,0)*INDEX('Company1153 Assumptions'!K$98:K$100,MATCH($D$5,'Company1153 Assumptions'!$C$98:$C$100,0))</f>
      </c>
      <c r="K115" s="67"/>
    </row>
    <row r="116" spans="1:11" ht="15.75" customHeight="1" x14ac:dyDescent="0.2">
      <c r="A116" s="67"/>
      <c r="B116" s="13" t="s">
        <v>100</v>
      </c>
      <c r="C116" s="82"/>
      <c r="D116" s="83">
        <f>-D$86+C$86</f>
      </c>
      <c r="E116" s="83">
        <f t="shared" ref="E116:J116" si="32">-E$86+D$86</f>
      </c>
      <c r="F116" s="83">
        <f t="shared" si="32"/>
      </c>
      <c r="G116" s="83">
        <f t="shared" si="32"/>
      </c>
      <c r="H116" s="83">
        <f t="shared" si="32"/>
      </c>
      <c r="I116" s="83">
        <f t="shared" si="32"/>
      </c>
      <c r="J116" s="83">
        <f t="shared" si="32"/>
      </c>
      <c r="K116" s="67"/>
    </row>
    <row r="117" spans="1:11" ht="15" customHeight="1" x14ac:dyDescent="0.2">
      <c r="A117" s="67"/>
      <c r="B117" s="19" t="s">
        <v>101</v>
      </c>
      <c r="C117" s="84"/>
      <c r="D117" s="84">
        <f ca="1">-D115-D116</f>
      </c>
      <c r="E117" s="84">
        <f t="shared" ref="E117:J117" ca="1" si="33">-E115-E116</f>
      </c>
      <c r="F117" s="84">
        <f t="shared" ca="1" si="33"/>
      </c>
      <c r="G117" s="84">
        <f t="shared" ca="1" si="33"/>
      </c>
      <c r="H117" s="84">
        <f t="shared" ca="1" si="33"/>
      </c>
      <c r="I117" s="84">
        <f t="shared" ca="1" si="33"/>
      </c>
      <c r="J117" s="84">
        <f t="shared" ca="1" si="33"/>
      </c>
      <c r="K117" s="67"/>
    </row>
    <row r="118" spans="1:11" ht="15.75" customHeight="1" x14ac:dyDescent="0.2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">
      <c r="A119" s="67"/>
      <c r="B119" s="20" t="s">
        <v>102</v>
      </c>
      <c r="C119" s="83"/>
      <c r="D119" s="83">
        <f t="shared" ref="D119:J119" ca="1" si="34">D107+D112+D117</f>
      </c>
      <c r="E119" s="83">
        <f t="shared" ca="1" si="34"/>
      </c>
      <c r="F119" s="83">
        <f t="shared" ca="1" si="34"/>
      </c>
      <c r="G119" s="83">
        <f t="shared" ca="1" si="34"/>
      </c>
      <c r="H119" s="83">
        <f t="shared" ca="1" si="34"/>
      </c>
      <c r="I119" s="83">
        <f t="shared" ca="1" si="34"/>
      </c>
      <c r="J119" s="83">
        <f t="shared" ca="1" si="34"/>
      </c>
      <c r="K119" s="67"/>
    </row>
    <row r="120" spans="1:11" ht="15.75" customHeight="1" thickBot="1" x14ac:dyDescent="0.25">
      <c r="A120" s="67"/>
      <c r="B120" s="21" t="s">
        <v>103</v>
      </c>
      <c r="C120" s="83"/>
      <c r="D120" s="83">
        <f t="shared" ref="D120:J120" si="35">C$121</f>
      </c>
      <c r="E120" s="83">
        <f t="shared" ca="1" si="35"/>
      </c>
      <c r="F120" s="83">
        <f t="shared" ca="1" si="35"/>
      </c>
      <c r="G120" s="83">
        <f t="shared" ca="1" si="35"/>
      </c>
      <c r="H120" s="83">
        <f t="shared" ca="1" si="35"/>
      </c>
      <c r="I120" s="83">
        <f t="shared" ca="1" si="35"/>
      </c>
      <c r="J120" s="83">
        <f t="shared" ca="1" si="35"/>
      </c>
      <c r="K120" s="67"/>
    </row>
    <row r="121" spans="1:11" ht="15" customHeight="1" thickBot="1" x14ac:dyDescent="0.25">
      <c r="A121" s="67"/>
      <c r="B121" s="10" t="s">
        <v>104</v>
      </c>
      <c r="C121" s="87">
        <f>C64</f>
      </c>
      <c r="D121" s="87">
        <f t="shared" ref="D121:J121" ca="1" si="36">D119+D120</f>
      </c>
      <c r="E121" s="87">
        <f t="shared" ca="1" si="36"/>
      </c>
      <c r="F121" s="87">
        <f t="shared" ca="1" si="36"/>
      </c>
      <c r="G121" s="87">
        <f t="shared" ca="1" si="36"/>
      </c>
      <c r="H121" s="87">
        <f t="shared" ca="1" si="36"/>
      </c>
      <c r="I121" s="87">
        <f t="shared" ca="1" si="36"/>
      </c>
      <c r="J121" s="87">
        <f t="shared" ca="1" si="36"/>
      </c>
      <c r="K121" s="67"/>
    </row>
    <row r="122" spans="1:11" ht="15.75" customHeight="1" thickTop="1" x14ac:dyDescent="0.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">
      <c r="A123" s="67"/>
      <c r="B123" s="16" t="s">
        <v>105</v>
      </c>
      <c r="C123" s="83">
        <f t="shared" ref="C123:J123" si="37">C121-C64</f>
      </c>
      <c r="D123" s="83">
        <f t="shared" ca="1" si="37"/>
      </c>
      <c r="E123" s="83">
        <f t="shared" ca="1" si="37"/>
      </c>
      <c r="F123" s="83">
        <f t="shared" ca="1" si="37"/>
      </c>
      <c r="G123" s="83">
        <f t="shared" ca="1" si="37"/>
      </c>
      <c r="H123" s="83">
        <f t="shared" ca="1" si="37"/>
      </c>
      <c r="I123" s="83">
        <f t="shared" ca="1" si="37"/>
      </c>
      <c r="J123" s="83">
        <f t="shared" ca="1" si="37"/>
      </c>
      <c r="K123" s="67"/>
    </row>
    <row r="124" spans="1:11" ht="15" customHeight="1" thickBot="1" x14ac:dyDescent="0.25"/>
    <row r="125" spans="1:11" ht="15" customHeight="1" x14ac:dyDescent="0.2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">
      <c r="B127" s="89" t="s">
        <v>296</v>
      </c>
      <c r="F127" s="116">
        <v>2980</v>
      </c>
    </row>
    <row r="128" spans="1:11" ht="15" customHeight="1" x14ac:dyDescent="0.2">
      <c r="B128" s="89" t="s">
        <v>297</v>
      </c>
      <c r="F128" s="106">
        <f ca="1">($F$86-$F$64)/1000</f>
      </c>
    </row>
    <row r="129" spans="2:10" ht="15" customHeight="1" x14ac:dyDescent="0.2">
      <c r="B129" s="89" t="s">
        <v>298</v>
      </c>
      <c r="F129" s="106">
        <f ca="1">F127+F128</f>
      </c>
      <c r="G129" s="106"/>
      <c r="H129" s="106"/>
      <c r="I129" s="106"/>
      <c r="J129" s="106"/>
    </row>
    <row r="130" spans="2:10" ht="15" customHeight="1" x14ac:dyDescent="0.2">
      <c r="B130" s="89"/>
    </row>
    <row r="131" spans="2:10" ht="15" customHeight="1" x14ac:dyDescent="0.2">
      <c r="B131" s="89" t="s">
        <v>299</v>
      </c>
      <c r="F131" s="117">
        <f ca="1">$F$129*1000/F$16</f>
      </c>
      <c r="G131" s="117">
        <f ca="1">$F$129*1000/G$16</f>
      </c>
      <c r="H131" s="117">
        <f t="shared" ref="G131:J131" ca="1" si="38">$F$129*1000/H$16</f>
      </c>
      <c r="I131" s="117">
        <f t="shared" ca="1" si="38"/>
      </c>
      <c r="J131" s="117">
        <f t="shared" ca="1" si="38"/>
      </c>
    </row>
    <row r="132" spans="2:10" ht="15" customHeight="1" x14ac:dyDescent="0.2">
      <c r="B132" s="89" t="s">
        <v>300</v>
      </c>
      <c r="F132" s="117">
        <f ca="1">$F$129*1000/(F$42+F$102)</f>
      </c>
      <c r="G132" s="117">
        <f t="shared" ref="G132:J132" ca="1" si="39">$F$129*1000/(G$42+G$102)</f>
      </c>
      <c r="H132" s="117">
        <f t="shared" ca="1" si="39"/>
      </c>
      <c r="I132" s="117">
        <f t="shared" ca="1" si="39"/>
      </c>
      <c r="J132" s="117">
        <f t="shared" ca="1" si="39"/>
      </c>
    </row>
    <row r="133" spans="2:10" ht="15" customHeight="1" x14ac:dyDescent="0.2">
      <c r="B133" s="89" t="s">
        <v>301</v>
      </c>
      <c r="F133" s="117">
        <f ca="1">$F$127*1000/F$50</f>
      </c>
      <c r="G133" s="117">
        <f t="shared" ref="G133:J133" ca="1" si="40">$F$127*1000/G$50</f>
      </c>
      <c r="H133" s="117">
        <f t="shared" ca="1" si="40"/>
      </c>
      <c r="I133" s="117">
        <f t="shared" ca="1" si="40"/>
      </c>
      <c r="J133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topLeftCell="A97" workbookViewId="0">
      <selection activeCell="F116" sqref="F116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68" t="s">
        <v>61</v>
      </c>
    </row>
    <row r="3" spans="2:10" ht="13.5" customHeight="1" x14ac:dyDescent="0.2">
      <c r="B3" s="69" t="s">
        <v>44</v>
      </c>
    </row>
    <row r="5" spans="2:10" ht="15.75" customHeight="1" x14ac:dyDescent="0.2">
      <c r="B5" t="s">
        <v>3</v>
      </c>
      <c r="D5" s="109" t="str">
        <f>'Company1153 Assumptions'!$D$6</f>
      </c>
    </row>
    <row r="7" spans="2:10" ht="13.5" customHeight="1" x14ac:dyDescent="0.2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25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</c>
      <c r="G12" s="72">
        <f>F12*(1+INDEX('Company1808 Assumptions'!H$15:H$17,MATCH($D$5,'Company1808 Assumptions'!$C$15:$C$17,0)))</f>
      </c>
      <c r="H12" s="72">
        <f>G12*(1+INDEX('Company1808 Assumptions'!I$15:I$17,MATCH($D$5,'Company1808 Assumptions'!$C$15:$C$17,0)))</f>
      </c>
      <c r="I12" s="72">
        <f>H12*(1+INDEX('Company1808 Assumptions'!J$15:J$17,MATCH($D$5,'Company1808 Assumptions'!$C$15:$C$17,0)))</f>
      </c>
      <c r="J12" s="72">
        <f>I12*(1+INDEX('Company1808 Assumptions'!K$15:K$17,MATCH($D$5,'Company1808 Assumptions'!$C$15:$C$17,0)))</f>
      </c>
    </row>
    <row r="13" spans="2:10" ht="15.75" customHeight="1" x14ac:dyDescent="0.2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</c>
      <c r="G13" s="83">
        <f t="shared" ref="G13:J13" si="0">G14-G12</f>
      </c>
      <c r="H13" s="83">
        <f t="shared" si="0"/>
      </c>
      <c r="I13" s="83">
        <f t="shared" si="0"/>
      </c>
      <c r="J13" s="83">
        <f t="shared" si="0"/>
      </c>
    </row>
    <row r="14" spans="2:10" ht="15.75" customHeight="1" x14ac:dyDescent="0.2">
      <c r="B14" s="19" t="s">
        <v>45</v>
      </c>
      <c r="C14" s="73">
        <f t="shared" ref="C14:E14" si="1">SUM(C12:C13)</f>
      </c>
      <c r="D14" s="73">
        <f t="shared" si="1"/>
      </c>
      <c r="E14" s="73">
        <f t="shared" si="1"/>
      </c>
      <c r="F14" s="73">
        <f>F12/(1-(INDEX('Company1808 Assumptions'!G$19:G$21,MATCH('Company1808 3-Statement'!$D$5,'Company1808 Assumptions'!$D$6,0))))</f>
      </c>
      <c r="G14" s="73">
        <f>G12/(1-(INDEX('Company1808 Assumptions'!H$19:H$21,MATCH('Company1808 3-Statement'!$D$5,'Company1808 Assumptions'!$D$6,0))))</f>
      </c>
      <c r="H14" s="73">
        <f>H12/(1-(INDEX('Company1808 Assumptions'!I$19:I$21,MATCH('Company1808 3-Statement'!$D$5,'Company1808 Assumptions'!$D$6,0))))</f>
      </c>
      <c r="I14" s="73">
        <f>I12/(1-(INDEX('Company1808 Assumptions'!J$19:J$21,MATCH('Company1808 3-Statement'!$D$5,'Company1808 Assumptions'!$D$6,0))))</f>
      </c>
      <c r="J14" s="73">
        <f>J12/(1-(INDEX('Company1808 Assumptions'!K$19:K$21,MATCH('Company1808 3-Statement'!$D$5,'Company1808 Assumptions'!$D$6,0))))</f>
      </c>
    </row>
    <row r="15" spans="2:10" ht="15.75" customHeight="1" x14ac:dyDescent="0.2">
      <c r="B15" s="74" t="s">
        <v>46</v>
      </c>
      <c r="C15" s="67"/>
      <c r="D15" s="75">
        <f t="shared" ref="D15:J15" si="2">D14/C14-1</f>
      </c>
      <c r="E15" s="75">
        <f t="shared" si="2"/>
      </c>
      <c r="F15" s="75">
        <f t="shared" si="2"/>
      </c>
      <c r="G15" s="75">
        <f t="shared" si="2"/>
      </c>
      <c r="H15" s="75">
        <f t="shared" si="2"/>
      </c>
      <c r="I15" s="75">
        <f t="shared" si="2"/>
      </c>
      <c r="J15" s="75">
        <f t="shared" si="2"/>
      </c>
    </row>
    <row r="16" spans="2:10" ht="15" customHeight="1" x14ac:dyDescent="0.2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">
      <c r="B17" s="13" t="s">
        <v>48</v>
      </c>
      <c r="C17" s="76">
        <f t="shared" ref="C17:J17" si="3">C14*(1-C19)</f>
      </c>
      <c r="D17" s="76">
        <f t="shared" si="3"/>
      </c>
      <c r="E17" s="76">
        <f t="shared" si="3"/>
      </c>
      <c r="F17" s="76">
        <f t="shared" si="3"/>
      </c>
      <c r="G17" s="76">
        <f t="shared" si="3"/>
      </c>
      <c r="H17" s="76">
        <f t="shared" si="3"/>
      </c>
      <c r="I17" s="76">
        <f t="shared" si="3"/>
      </c>
      <c r="J17" s="76">
        <f t="shared" si="3"/>
      </c>
    </row>
    <row r="18" spans="2:10" ht="15" customHeight="1" x14ac:dyDescent="0.2">
      <c r="B18" s="20" t="s">
        <v>49</v>
      </c>
      <c r="C18" s="76">
        <f t="shared" ref="C18:J18" si="4">C14-C17</f>
      </c>
      <c r="D18" s="76">
        <f t="shared" si="4"/>
      </c>
      <c r="E18" s="76">
        <f t="shared" si="4"/>
      </c>
      <c r="F18" s="76">
        <f t="shared" si="4"/>
      </c>
      <c r="G18" s="76">
        <f t="shared" si="4"/>
      </c>
      <c r="H18" s="76">
        <f t="shared" si="4"/>
      </c>
      <c r="I18" s="76">
        <f t="shared" si="4"/>
      </c>
      <c r="J18" s="76">
        <f t="shared" si="4"/>
      </c>
    </row>
    <row r="19" spans="2:10" ht="15.75" customHeight="1" x14ac:dyDescent="0.2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">
      <c r="B21" s="13" t="s">
        <v>18</v>
      </c>
      <c r="C21" s="72">
        <f>C14*INDEX('Company1808 Assumptions'!D$38:D$40,MATCH($D$5,'Company1808 Assumptions'!$C$38:$C$40,0))</f>
      </c>
      <c r="D21" s="72">
        <f>D14*INDEX('Company1808 Assumptions'!E$38:E$40,MATCH($D$5,'Company1808 Assumptions'!$C$38:$C$40,0))</f>
      </c>
      <c r="E21" s="72">
        <f>E14*INDEX('Company1808 Assumptions'!F$38:F$40,MATCH($D$5,'Company1808 Assumptions'!$C$38:$C$40,0))</f>
      </c>
      <c r="F21" s="72">
        <f>F14*INDEX('Company1808 Assumptions'!G$38:G$40,MATCH($D$5,'Company1808 Assumptions'!$C$38:$C$40,0))</f>
      </c>
      <c r="G21" s="72">
        <f>G14*INDEX('Company1808 Assumptions'!H$38:H$40,MATCH($D$5,'Company1808 Assumptions'!$C$38:$C$40,0))</f>
      </c>
      <c r="H21" s="72">
        <f>H14*INDEX('Company1808 Assumptions'!I$38:I$40,MATCH($D$5,'Company1808 Assumptions'!$C$38:$C$40,0))</f>
      </c>
      <c r="I21" s="72">
        <f>I14*INDEX('Company1808 Assumptions'!J$38:J$40,MATCH($D$5,'Company1808 Assumptions'!$C$38:$C$40,0))</f>
      </c>
      <c r="J21" s="72">
        <f>J14*INDEX('Company1808 Assumptions'!K$38:K$40,MATCH($D$5,'Company1808 Assumptions'!$C$38:$C$40,0))</f>
      </c>
    </row>
    <row r="22" spans="2:10" ht="15" customHeight="1" x14ac:dyDescent="0.2">
      <c r="B22" s="13" t="s">
        <v>19</v>
      </c>
      <c r="C22" s="72">
        <f>C14*INDEX('Company1808 Assumptions'!D$42:D$44,MATCH($D$5,'Company1808 Assumptions'!$C$42:$C$44,0))</f>
      </c>
      <c r="D22" s="72">
        <f>D14*INDEX('Company1808 Assumptions'!E$42:E$44,MATCH($D$5,'Company1808 Assumptions'!$C$42:$C$44,0))</f>
      </c>
      <c r="E22" s="72">
        <f>E14*INDEX('Company1808 Assumptions'!F$42:F$44,MATCH($D$5,'Company1808 Assumptions'!$C$42:$C$44,0))</f>
      </c>
      <c r="F22" s="72">
        <f>F14*INDEX('Company1808 Assumptions'!G$42:G$44,MATCH($D$5,'Company1808 Assumptions'!$C$42:$C$44,0))</f>
      </c>
      <c r="G22" s="72">
        <f>G14*INDEX('Company1808 Assumptions'!H$42:H$44,MATCH($D$5,'Company1808 Assumptions'!$C$42:$C$44,0))</f>
      </c>
      <c r="H22" s="72">
        <f>H14*INDEX('Company1808 Assumptions'!I$42:I$44,MATCH($D$5,'Company1808 Assumptions'!$C$42:$C$44,0))</f>
      </c>
      <c r="I22" s="72">
        <f>I14*INDEX('Company1808 Assumptions'!J$42:J$44,MATCH($D$5,'Company1808 Assumptions'!$C$42:$C$44,0))</f>
      </c>
      <c r="J22" s="72">
        <f>J14*INDEX('Company1808 Assumptions'!K$42:K$44,MATCH($D$5,'Company1808 Assumptions'!$C$42:$C$44,0))</f>
      </c>
    </row>
    <row r="23" spans="2:10" ht="15.75" customHeight="1" x14ac:dyDescent="0.2">
      <c r="B23" s="13" t="s">
        <v>20</v>
      </c>
      <c r="C23" s="72">
        <f>C14*INDEX('Company1808 Assumptions'!D$46:D$48,MATCH($D$5,'Company1808 Assumptions'!$C$46:$C$48,0))</f>
      </c>
      <c r="D23" s="72">
        <f>D14*INDEX('Company1808 Assumptions'!E$46:E$48,MATCH($D$5,'Company1808 Assumptions'!$C$46:$C$48,0))</f>
      </c>
      <c r="E23" s="72">
        <f>E14*INDEX('Company1808 Assumptions'!F$46:F$48,MATCH($D$5,'Company1808 Assumptions'!$C$46:$C$48,0))</f>
      </c>
      <c r="F23" s="72">
        <f>F14*INDEX('Company1808 Assumptions'!G$46:G$48,MATCH($D$5,'Company1808 Assumptions'!$C$46:$C$48,0))</f>
      </c>
      <c r="G23" s="72">
        <f>G14*INDEX('Company1808 Assumptions'!H$46:H$48,MATCH($D$5,'Company1808 Assumptions'!$C$46:$C$48,0))</f>
      </c>
      <c r="H23" s="72">
        <f>H14*INDEX('Company1808 Assumptions'!I$46:I$48,MATCH($D$5,'Company1808 Assumptions'!$C$46:$C$48,0))</f>
      </c>
      <c r="I23" s="72">
        <f>I14*INDEX('Company1808 Assumptions'!J$46:J$48,MATCH($D$5,'Company1808 Assumptions'!$C$46:$C$48,0))</f>
      </c>
      <c r="J23" s="72">
        <f>J14*INDEX('Company1808 Assumptions'!K$46:K$48,MATCH($D$5,'Company1808 Assumptions'!$C$46:$C$48,0))</f>
      </c>
    </row>
    <row r="24" spans="2:10" ht="15.75" customHeight="1" x14ac:dyDescent="0.2">
      <c r="B24" s="13" t="s">
        <v>21</v>
      </c>
      <c r="C24" s="72">
        <f>C14*INDEX('Company1808 Assumptions'!D$50:D$52,MATCH($D$5,'Company1808 Assumptions'!$C$50:$C$52,0))</f>
      </c>
      <c r="D24" s="72">
        <f>D14*INDEX('Company1808 Assumptions'!E$50:E$52,MATCH($D$5,'Company1808 Assumptions'!$C$50:$C$52,0))</f>
      </c>
      <c r="E24" s="72">
        <f>E14*INDEX('Company1808 Assumptions'!F$50:F$52,MATCH($D$5,'Company1808 Assumptions'!$C$50:$C$52,0))</f>
      </c>
      <c r="F24" s="72">
        <f>F14*INDEX('Company1808 Assumptions'!G$50:G$52,MATCH($D$5,'Company1808 Assumptions'!$C$50:$C$52,0))</f>
      </c>
      <c r="G24" s="72">
        <f>G14*INDEX('Company1808 Assumptions'!H$50:H$52,MATCH($D$5,'Company1808 Assumptions'!$C$50:$C$52,0))</f>
      </c>
      <c r="H24" s="72">
        <f>H14*INDEX('Company1808 Assumptions'!I$50:I$52,MATCH($D$5,'Company1808 Assumptions'!$C$50:$C$52,0))</f>
      </c>
      <c r="I24" s="72">
        <f>I14*INDEX('Company1808 Assumptions'!J$50:J$52,MATCH($D$5,'Company1808 Assumptions'!$C$50:$C$52,0))</f>
      </c>
      <c r="J24" s="72">
        <f>J14*INDEX('Company1808 Assumptions'!K$50:K$52,MATCH($D$5,'Company1808 Assumptions'!$C$50:$C$52,0))</f>
      </c>
    </row>
    <row r="25" spans="2:10" ht="15.75" customHeight="1" x14ac:dyDescent="0.2">
      <c r="B25" s="19" t="s">
        <v>51</v>
      </c>
      <c r="C25" s="73">
        <f t="shared" ref="C25:J25" si="5">SUM(C21:C24)</f>
      </c>
      <c r="D25" s="73">
        <f t="shared" si="5"/>
      </c>
      <c r="E25" s="73">
        <f t="shared" si="5"/>
      </c>
      <c r="F25" s="73">
        <f t="shared" si="5"/>
      </c>
      <c r="G25" s="73">
        <f t="shared" si="5"/>
      </c>
      <c r="H25" s="73">
        <f t="shared" si="5"/>
      </c>
      <c r="I25" s="73">
        <f t="shared" si="5"/>
      </c>
      <c r="J25" s="73">
        <f t="shared" si="5"/>
      </c>
    </row>
    <row r="26" spans="2:10" ht="15.75" customHeight="1" x14ac:dyDescent="0.2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">
      <c r="B27" s="20" t="s">
        <v>52</v>
      </c>
      <c r="C27" s="76">
        <f t="shared" ref="C27:J27" si="6">C18-C25</f>
      </c>
      <c r="D27" s="76">
        <f t="shared" si="6"/>
      </c>
      <c r="E27" s="76">
        <f t="shared" si="6"/>
      </c>
      <c r="F27" s="76">
        <f t="shared" si="6"/>
      </c>
      <c r="G27" s="76">
        <f t="shared" si="6"/>
      </c>
      <c r="H27" s="76">
        <f t="shared" si="6"/>
      </c>
      <c r="I27" s="76">
        <f t="shared" si="6"/>
      </c>
      <c r="J27" s="76">
        <f t="shared" si="6"/>
      </c>
    </row>
    <row r="28" spans="2:10" ht="15" customHeight="1" x14ac:dyDescent="0.2">
      <c r="B28" s="74" t="s">
        <v>53</v>
      </c>
      <c r="C28" s="75">
        <f t="shared" ref="C28:J28" si="7">C27/C14</f>
      </c>
      <c r="D28" s="75">
        <f t="shared" si="7"/>
      </c>
      <c r="E28" s="75">
        <f t="shared" si="7"/>
      </c>
      <c r="F28" s="75">
        <f t="shared" si="7"/>
      </c>
      <c r="G28" s="75">
        <f t="shared" si="7"/>
      </c>
      <c r="H28" s="75">
        <f t="shared" si="7"/>
      </c>
      <c r="I28" s="75">
        <f t="shared" si="7"/>
      </c>
      <c r="J28" s="75">
        <f t="shared" si="7"/>
      </c>
    </row>
    <row r="29" spans="2:10" ht="15.7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</c>
      <c r="D30" s="72">
        <f ca="1">(D$49*INDEX('Company1808 Assumptions'!$D$99:$D$101,MATCH($D$5,'Company1808 Assumptions'!$C$99:$C$101,0)))-(D71*INDEX('Company1808 Assumptions'!$D$103:$D$105,MATCH($D$5,'Company1808 Assumptions'!$C$103:$C$105,0)))</f>
      </c>
      <c r="E30" s="72">
        <f ca="1">(E$49*INDEX('Company1808 Assumptions'!$D$99:$D$101,MATCH($D$5,'Company1808 Assumptions'!$C$99:$C$101,0)))-(E71*INDEX('Company1808 Assumptions'!$D$103:$D$105,MATCH($D$5,'Company1808 Assumptions'!$C$103:$C$105,0)))</f>
      </c>
      <c r="F30" s="72">
        <f ca="1">(F$49*INDEX('Company1808 Assumptions'!$D$99:$D$101,MATCH($D$5,'Company1808 Assumptions'!$C$99:$C$101,0)))-(F71*INDEX('Company1808 Assumptions'!$D$103:$D$105,MATCH($D$5,'Company1808 Assumptions'!$C$103:$C$105,0)))</f>
      </c>
      <c r="G30" s="72">
        <f ca="1">(G$49*INDEX('Company1808 Assumptions'!$D$99:$D$101,MATCH($D$5,'Company1808 Assumptions'!$C$99:$C$101,0)))-(G71*INDEX('Company1808 Assumptions'!$D$103:$D$105,MATCH($D$5,'Company1808 Assumptions'!$C$103:$C$105,0)))</f>
      </c>
      <c r="H30" s="72">
        <f ca="1">(H$49*INDEX('Company1808 Assumptions'!$D$99:$D$101,MATCH($D$5,'Company1808 Assumptions'!$C$99:$C$101,0)))-(H71*INDEX('Company1808 Assumptions'!$D$103:$D$105,MATCH($D$5,'Company1808 Assumptions'!$C$103:$C$105,0)))</f>
      </c>
      <c r="I30" s="72">
        <f ca="1">(I$49*INDEX('Company1808 Assumptions'!$D$99:$D$101,MATCH($D$5,'Company1808 Assumptions'!$C$99:$C$101,0)))-(I71*INDEX('Company1808 Assumptions'!$D$103:$D$105,MATCH($D$5,'Company1808 Assumptions'!$C$103:$C$105,0)))</f>
      </c>
      <c r="J30" s="72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">
      <c r="B32" s="20" t="s">
        <v>54</v>
      </c>
      <c r="C32" s="76">
        <f t="shared" ref="C32:J32" si="8">C27+C30</f>
      </c>
      <c r="D32" s="76">
        <f t="shared" ca="1" si="8"/>
      </c>
      <c r="E32" s="76">
        <f t="shared" ca="1" si="8"/>
      </c>
      <c r="F32" s="76">
        <f t="shared" ca="1" si="8"/>
      </c>
      <c r="G32" s="76">
        <f t="shared" ca="1" si="8"/>
      </c>
      <c r="H32" s="76">
        <f t="shared" ca="1" si="8"/>
      </c>
      <c r="I32" s="76">
        <f t="shared" ca="1" si="8"/>
      </c>
      <c r="J32" s="76">
        <f t="shared" ca="1" si="8"/>
      </c>
    </row>
    <row r="33" spans="2:10" ht="15" customHeight="1" x14ac:dyDescent="0.2">
      <c r="B33" s="21" t="s">
        <v>55</v>
      </c>
      <c r="C33" s="72">
        <f>C32*INDEX('Company1808 Assumptions'!D$92:D$94,MATCH($D$5,'Company1808 Assumptions'!$C$92:$C$94,0))</f>
      </c>
      <c r="D33" s="72">
        <f ca="1">D32*INDEX('Company1808 Assumptions'!E$92:E$94,MATCH($D$5,'Company1808 Assumptions'!$C$92:$C$94,0))</f>
      </c>
      <c r="E33" s="72">
        <f ca="1">E32*INDEX('Company1808 Assumptions'!F$92:F$94,MATCH($D$5,'Company1808 Assumptions'!$C$92:$C$94,0))</f>
      </c>
      <c r="F33" s="72">
        <f ca="1">F32*INDEX('Company1808 Assumptions'!G$92:G$94,MATCH($D$5,'Company1808 Assumptions'!$C$92:$C$94,0))</f>
      </c>
      <c r="G33" s="72">
        <f ca="1">G32*INDEX('Company1808 Assumptions'!H$92:H$94,MATCH($D$5,'Company1808 Assumptions'!$C$92:$C$94,0))</f>
      </c>
      <c r="H33" s="72">
        <f ca="1">H32*INDEX('Company1808 Assumptions'!I$92:I$94,MATCH($D$5,'Company1808 Assumptions'!$C$92:$C$94,0))</f>
      </c>
      <c r="I33" s="72">
        <f ca="1">I32*INDEX('Company1808 Assumptions'!J$92:J$94,MATCH($D$5,'Company1808 Assumptions'!$C$92:$C$94,0))</f>
      </c>
      <c r="J33" s="72">
        <f ca="1">J32*INDEX('Company1808 Assumptions'!K$92:K$94,MATCH($D$5,'Company1808 Assumptions'!$C$92:$C$94,0))</f>
      </c>
    </row>
    <row r="34" spans="2:10" ht="15.75" customHeight="1" thickBot="1" x14ac:dyDescent="0.25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25">
      <c r="B35" s="10" t="s">
        <v>56</v>
      </c>
      <c r="C35" s="78">
        <f t="shared" ref="C35:J35" si="9">C32-C33</f>
      </c>
      <c r="D35" s="78">
        <f t="shared" ca="1" si="9"/>
      </c>
      <c r="E35" s="78">
        <f t="shared" ca="1" si="9"/>
      </c>
      <c r="F35" s="78">
        <f t="shared" ca="1" si="9"/>
      </c>
      <c r="G35" s="78">
        <f t="shared" ca="1" si="9"/>
      </c>
      <c r="H35" s="78">
        <f t="shared" ca="1" si="9"/>
      </c>
      <c r="I35" s="78">
        <f t="shared" ca="1" si="9"/>
      </c>
      <c r="J35" s="78">
        <f t="shared" ca="1" si="9"/>
      </c>
    </row>
    <row r="36" spans="2:10" ht="15" customHeight="1" thickTop="1" x14ac:dyDescent="0.2">
      <c r="B36" s="74" t="s">
        <v>57</v>
      </c>
      <c r="C36" s="75">
        <f t="shared" ref="C36:J36" si="10">C35/C14</f>
      </c>
      <c r="D36" s="75">
        <f t="shared" ca="1" si="10"/>
      </c>
      <c r="E36" s="75">
        <f t="shared" ca="1" si="10"/>
      </c>
      <c r="F36" s="75">
        <f t="shared" ca="1" si="10"/>
      </c>
      <c r="G36" s="75">
        <f t="shared" ca="1" si="10"/>
      </c>
      <c r="H36" s="75">
        <f t="shared" ca="1" si="10"/>
      </c>
      <c r="I36" s="75">
        <f t="shared" ca="1" si="10"/>
      </c>
      <c r="J36" s="75">
        <f t="shared" ca="1" si="10"/>
      </c>
    </row>
    <row r="37" spans="2:10" ht="15.75" customHeight="1" thickBot="1" x14ac:dyDescent="0.25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">
      <c r="B41" s="20" t="s">
        <v>60</v>
      </c>
      <c r="C41" s="80">
        <f t="shared" ref="C41:J41" si="11">C35/C40</f>
      </c>
      <c r="D41" s="80">
        <f t="shared" ca="1" si="11"/>
      </c>
      <c r="E41" s="80">
        <f t="shared" ca="1" si="11"/>
      </c>
      <c r="F41" s="80">
        <f t="shared" ca="1" si="11"/>
      </c>
      <c r="G41" s="80">
        <f t="shared" ca="1" si="11"/>
      </c>
      <c r="H41" s="80">
        <f t="shared" ca="1" si="11"/>
      </c>
      <c r="I41" s="80">
        <f t="shared" ca="1" si="11"/>
      </c>
      <c r="J41" s="80">
        <f t="shared" ca="1" si="11"/>
      </c>
    </row>
    <row r="42" spans="2:10" ht="15.75" customHeight="1" x14ac:dyDescent="0.2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25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25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">
      <c r="B49" s="13" t="s">
        <v>66</v>
      </c>
      <c r="C49" s="82">
        <v>35000</v>
      </c>
      <c r="D49" s="83">
        <f t="shared" ref="D49:J49" ca="1" si="12">D$106</f>
      </c>
      <c r="E49" s="83">
        <f t="shared" ca="1" si="12"/>
      </c>
      <c r="F49" s="83">
        <f t="shared" ca="1" si="12"/>
      </c>
      <c r="G49" s="83">
        <f t="shared" ca="1" si="12"/>
      </c>
      <c r="H49" s="83">
        <f t="shared" ca="1" si="12"/>
      </c>
      <c r="I49" s="83">
        <f t="shared" ca="1" si="12"/>
      </c>
      <c r="J49" s="83">
        <f t="shared" ca="1" si="12"/>
      </c>
    </row>
    <row r="50" spans="2:10" ht="15" customHeight="1" x14ac:dyDescent="0.2">
      <c r="B50" s="13" t="s">
        <v>67</v>
      </c>
      <c r="C50" s="72">
        <f>C$14*INDEX('Company1808 Assumptions'!D$64:D$66,MATCH($D$5,'Company1808 Assumptions'!$C$64:$C$66,0))/365</f>
      </c>
      <c r="D50" s="72">
        <f>D$14*INDEX('Company1808 Assumptions'!E$64:E$66,MATCH($D$5,'Company1808 Assumptions'!$C$64:$C$66,0))/365</f>
      </c>
      <c r="E50" s="72">
        <f>E$14*INDEX('Company1808 Assumptions'!F$64:F$66,MATCH($D$5,'Company1808 Assumptions'!$C$64:$C$66,0))/365</f>
      </c>
      <c r="F50" s="72">
        <f>F$14*INDEX('Company1808 Assumptions'!G$64:G$66,MATCH($D$5,'Company1808 Assumptions'!$C$64:$C$66,0))/365</f>
      </c>
      <c r="G50" s="72">
        <f>G$14*INDEX('Company1808 Assumptions'!H$64:H$66,MATCH($D$5,'Company1808 Assumptions'!$C$64:$C$66,0))/365</f>
      </c>
      <c r="H50" s="72">
        <f>H$14*INDEX('Company1808 Assumptions'!I$64:I$66,MATCH($D$5,'Company1808 Assumptions'!$C$64:$C$66,0))/365</f>
      </c>
      <c r="I50" s="72">
        <f>I$14*INDEX('Company1808 Assumptions'!J$64:J$66,MATCH($D$5,'Company1808 Assumptions'!$C$64:$C$66,0))/365</f>
      </c>
      <c r="J50" s="72">
        <f>J$14*INDEX('Company1808 Assumptions'!K$64:K$66,MATCH($D$5,'Company1808 Assumptions'!$C$64:$C$66,0))/365</f>
      </c>
    </row>
    <row r="51" spans="2:10" ht="15" customHeight="1" x14ac:dyDescent="0.2">
      <c r="B51" s="13" t="s">
        <v>68</v>
      </c>
      <c r="C51" s="82">
        <v>5000</v>
      </c>
      <c r="D51" s="72">
        <f>C51*(1+'Company1808 Assumptions'!E$72)</f>
      </c>
      <c r="E51" s="72">
        <f>D51*(1+'Company1808 Assumptions'!F$72)</f>
      </c>
      <c r="F51" s="72">
        <f>E51*(1+'Company1808 Assumptions'!G$72)</f>
      </c>
      <c r="G51" s="72">
        <f>F51*(1+'Company1808 Assumptions'!H$72)</f>
      </c>
      <c r="H51" s="72">
        <f>G51*(1+'Company1808 Assumptions'!I$72)</f>
      </c>
      <c r="I51" s="72">
        <f>H51*(1+'Company1808 Assumptions'!J$72)</f>
      </c>
      <c r="J51" s="72">
        <f>I51*(1+'Company1808 Assumptions'!K$72)</f>
      </c>
    </row>
    <row r="52" spans="2:10" ht="15" customHeight="1" x14ac:dyDescent="0.2">
      <c r="B52" s="14" t="s">
        <v>69</v>
      </c>
      <c r="C52" s="84">
        <f t="shared" ref="C52:J52" si="13">SUM(C49:C51)</f>
      </c>
      <c r="D52" s="84">
        <f t="shared" ca="1" si="13"/>
      </c>
      <c r="E52" s="84">
        <f t="shared" ca="1" si="13"/>
      </c>
      <c r="F52" s="84">
        <f t="shared" ca="1" si="13"/>
      </c>
      <c r="G52" s="84">
        <f t="shared" ca="1" si="13"/>
      </c>
      <c r="H52" s="84">
        <f t="shared" ca="1" si="13"/>
      </c>
      <c r="I52" s="84">
        <f t="shared" ca="1" si="13"/>
      </c>
      <c r="J52" s="84">
        <f t="shared" ca="1" si="13"/>
      </c>
    </row>
    <row r="53" spans="2:10" ht="1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">
      <c r="B55" s="13" t="s">
        <v>71</v>
      </c>
      <c r="C55" s="82">
        <v>60000</v>
      </c>
      <c r="D55" s="83">
        <f>C55+D95</f>
      </c>
      <c r="E55" s="83">
        <f t="shared" ref="E55:J55" si="14">D55+E95</f>
      </c>
      <c r="F55" s="83">
        <f t="shared" si="14"/>
      </c>
      <c r="G55" s="83">
        <f t="shared" si="14"/>
      </c>
      <c r="H55" s="83">
        <f t="shared" si="14"/>
      </c>
      <c r="I55" s="83">
        <f t="shared" si="14"/>
      </c>
      <c r="J55" s="83">
        <f t="shared" si="14"/>
      </c>
    </row>
    <row r="56" spans="2:10" ht="15" customHeight="1" x14ac:dyDescent="0.2">
      <c r="B56" s="13" t="s">
        <v>72</v>
      </c>
      <c r="C56" s="82">
        <v>15000</v>
      </c>
      <c r="D56" s="83">
        <f>C56+D87</f>
      </c>
      <c r="E56" s="83">
        <f t="shared" ref="E56:J56" si="15">D56+E87</f>
      </c>
      <c r="F56" s="83">
        <f t="shared" si="15"/>
      </c>
      <c r="G56" s="83">
        <f t="shared" si="15"/>
      </c>
      <c r="H56" s="83">
        <f t="shared" si="15"/>
      </c>
      <c r="I56" s="83">
        <f t="shared" si="15"/>
      </c>
      <c r="J56" s="83">
        <f t="shared" si="15"/>
      </c>
    </row>
    <row r="57" spans="2:10" ht="15" customHeight="1" x14ac:dyDescent="0.2">
      <c r="B57" s="85" t="s">
        <v>267</v>
      </c>
      <c r="C57" s="86">
        <f>C55-C56</f>
      </c>
      <c r="D57" s="86">
        <f>D55-D56</f>
      </c>
      <c r="E57" s="86">
        <f t="shared" ref="E57:J57" si="16">E55-E56</f>
      </c>
      <c r="F57" s="86">
        <f t="shared" si="16"/>
      </c>
      <c r="G57" s="86">
        <f t="shared" si="16"/>
      </c>
      <c r="H57" s="86">
        <f t="shared" si="16"/>
      </c>
      <c r="I57" s="86">
        <f t="shared" si="16"/>
      </c>
      <c r="J57" s="86">
        <f t="shared" si="16"/>
      </c>
    </row>
    <row r="58" spans="2:10" ht="15" customHeight="1" x14ac:dyDescent="0.2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">
      <c r="B59" s="13" t="s">
        <v>73</v>
      </c>
      <c r="C59" s="82">
        <v>25000</v>
      </c>
      <c r="D59" s="72">
        <f>C59*(1+'Company1808 Assumptions'!E$73)</f>
      </c>
      <c r="E59" s="72">
        <f>D59*(1+'Company1808 Assumptions'!F$73)</f>
      </c>
      <c r="F59" s="72">
        <f>E59*(1+'Company1808 Assumptions'!G$73)</f>
      </c>
      <c r="G59" s="72">
        <f>F59*(1+'Company1808 Assumptions'!H$73)</f>
      </c>
      <c r="H59" s="72">
        <f>G59*(1+'Company1808 Assumptions'!I$73)</f>
      </c>
      <c r="I59" s="72">
        <f>H59*(1+'Company1808 Assumptions'!J$73)</f>
      </c>
      <c r="J59" s="72">
        <f>I59*(1+'Company1808 Assumptions'!K$73)</f>
      </c>
    </row>
    <row r="60" spans="2:10" ht="15" customHeight="1" x14ac:dyDescent="0.2">
      <c r="B60" s="14" t="s">
        <v>74</v>
      </c>
      <c r="C60" s="84">
        <f t="shared" ref="C60:J60" si="17">C57+C59</f>
      </c>
      <c r="D60" s="84">
        <f t="shared" si="17"/>
      </c>
      <c r="E60" s="84">
        <f t="shared" si="17"/>
      </c>
      <c r="F60" s="84">
        <f t="shared" si="17"/>
      </c>
      <c r="G60" s="84">
        <f t="shared" si="17"/>
      </c>
      <c r="H60" s="84">
        <f t="shared" si="17"/>
      </c>
      <c r="I60" s="84">
        <f t="shared" si="17"/>
      </c>
      <c r="J60" s="84">
        <f t="shared" si="17"/>
      </c>
    </row>
    <row r="61" spans="2:10" ht="15" customHeight="1" thickBot="1" x14ac:dyDescent="0.25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25">
      <c r="B62" s="10" t="s">
        <v>75</v>
      </c>
      <c r="C62" s="87">
        <f t="shared" ref="C62:J62" si="18">C52+C60</f>
      </c>
      <c r="D62" s="87">
        <f t="shared" ca="1" si="18"/>
      </c>
      <c r="E62" s="87">
        <f t="shared" ca="1" si="18"/>
      </c>
      <c r="F62" s="87">
        <f t="shared" ca="1" si="18"/>
      </c>
      <c r="G62" s="87">
        <f t="shared" ca="1" si="18"/>
      </c>
      <c r="H62" s="87">
        <f t="shared" ca="1" si="18"/>
      </c>
      <c r="I62" s="87">
        <f t="shared" ca="1" si="18"/>
      </c>
      <c r="J62" s="87">
        <f t="shared" ca="1" si="18"/>
      </c>
    </row>
    <row r="63" spans="2:10" ht="15" customHeight="1" thickTop="1" x14ac:dyDescent="0.2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">
      <c r="B67" s="13" t="s">
        <v>78</v>
      </c>
      <c r="C67" s="72">
        <f>(C17+C21+C22+C23)*INDEX('Company1808 Assumptions'!D$68:D$70,MATCH($D$5,'Company1808 Assumptions'!$C$68:$C$70,0))/365</f>
      </c>
      <c r="D67" s="72">
        <f>(D17+D21+D22+D23)*INDEX('Company1808 Assumptions'!E$68:E$70,MATCH($D$5,'Company1808 Assumptions'!$C$68:$C$70,0))/365</f>
      </c>
      <c r="E67" s="72">
        <f>(E17+E21+E22+E23)*INDEX('Company1808 Assumptions'!F$68:F$70,MATCH($D$5,'Company1808 Assumptions'!$C$68:$C$70,0))/365</f>
      </c>
      <c r="F67" s="72">
        <f>(F17+F21+F22+F23)*INDEX('Company1808 Assumptions'!G$68:G$70,MATCH($D$5,'Company1808 Assumptions'!$C$68:$C$70,0))/365</f>
      </c>
      <c r="G67" s="72">
        <f>(G17+G21+G22+G23)*INDEX('Company1808 Assumptions'!H$68:H$70,MATCH($D$5,'Company1808 Assumptions'!$C$68:$C$70,0))/365</f>
      </c>
      <c r="H67" s="72">
        <f>(H17+H21+H22+H23)*INDEX('Company1808 Assumptions'!I$68:I$70,MATCH($D$5,'Company1808 Assumptions'!$C$68:$C$70,0))/365</f>
      </c>
      <c r="I67" s="72">
        <f>(I17+I21+I22+I23)*INDEX('Company1808 Assumptions'!J$68:J$70,MATCH($D$5,'Company1808 Assumptions'!$C$68:$C$70,0))/365</f>
      </c>
      <c r="J67" s="72">
        <f>(J17+J21+J22+J23)*INDEX('Company1808 Assumptions'!K$68:K$70,MATCH($D$5,'Company1808 Assumptions'!$C$68:$C$70,0))/365</f>
      </c>
    </row>
    <row r="68" spans="2:10" ht="15" customHeight="1" x14ac:dyDescent="0.2">
      <c r="B68" s="13" t="s">
        <v>79</v>
      </c>
      <c r="C68" s="82">
        <v>8000</v>
      </c>
      <c r="D68" s="72">
        <f>C68*(1+'Company1808 Assumptions'!E$74)</f>
      </c>
      <c r="E68" s="72">
        <f>D68*(1+'Company1808 Assumptions'!F$74)</f>
      </c>
      <c r="F68" s="72">
        <f>E68*(1+'Company1808 Assumptions'!G$74)</f>
      </c>
      <c r="G68" s="72">
        <f>F68*(1+'Company1808 Assumptions'!H$74)</f>
      </c>
      <c r="H68" s="72">
        <f>G68*(1+'Company1808 Assumptions'!I$74)</f>
      </c>
      <c r="I68" s="72">
        <f>H68*(1+'Company1808 Assumptions'!J$74)</f>
      </c>
      <c r="J68" s="72">
        <f>I68*(1+'Company1808 Assumptions'!K$74)</f>
      </c>
    </row>
    <row r="69" spans="2:10" ht="15" customHeight="1" x14ac:dyDescent="0.2">
      <c r="B69" s="14" t="s">
        <v>80</v>
      </c>
      <c r="C69" s="84">
        <f t="shared" ref="C69:J69" si="19">SUM(C67:C68)</f>
      </c>
      <c r="D69" s="84">
        <f t="shared" si="19"/>
      </c>
      <c r="E69" s="84">
        <f t="shared" si="19"/>
      </c>
      <c r="F69" s="84">
        <f t="shared" si="19"/>
      </c>
      <c r="G69" s="84">
        <f t="shared" si="19"/>
      </c>
      <c r="H69" s="84">
        <f t="shared" si="19"/>
      </c>
      <c r="I69" s="84">
        <f t="shared" si="19"/>
      </c>
      <c r="J69" s="84">
        <f t="shared" si="19"/>
      </c>
    </row>
    <row r="70" spans="2:10" ht="15" customHeight="1" x14ac:dyDescent="0.2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">
      <c r="B72" s="19" t="s">
        <v>82</v>
      </c>
      <c r="C72" s="84">
        <f t="shared" ref="C72:J72" si="20">C69+C71</f>
      </c>
      <c r="D72" s="84">
        <f t="shared" si="20"/>
      </c>
      <c r="E72" s="84">
        <f t="shared" si="20"/>
      </c>
      <c r="F72" s="84">
        <f t="shared" si="20"/>
      </c>
      <c r="G72" s="84">
        <f t="shared" si="20"/>
      </c>
      <c r="H72" s="84">
        <f t="shared" si="20"/>
      </c>
      <c r="I72" s="84">
        <f t="shared" si="20"/>
      </c>
      <c r="J72" s="84">
        <f t="shared" si="20"/>
      </c>
    </row>
    <row r="73" spans="2:10" ht="15" customHeight="1" x14ac:dyDescent="0.2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">
      <c r="B75" s="13" t="s">
        <v>268</v>
      </c>
      <c r="C75" s="82">
        <v>40000</v>
      </c>
      <c r="D75" s="83">
        <f>C75+D88</f>
      </c>
      <c r="E75" s="83">
        <f t="shared" ref="E75:J75" si="21">D75+E88</f>
      </c>
      <c r="F75" s="83">
        <f t="shared" si="21"/>
      </c>
      <c r="G75" s="83">
        <f t="shared" si="21"/>
      </c>
      <c r="H75" s="83">
        <f t="shared" si="21"/>
      </c>
      <c r="I75" s="83">
        <f t="shared" si="21"/>
      </c>
      <c r="J75" s="83">
        <f t="shared" si="21"/>
      </c>
    </row>
    <row r="76" spans="2:10" ht="15" customHeight="1" x14ac:dyDescent="0.2">
      <c r="B76" s="13" t="s">
        <v>269</v>
      </c>
      <c r="C76" s="82">
        <v>36318.244043835599</v>
      </c>
      <c r="D76" s="83">
        <f ca="1">C76-D100</f>
      </c>
      <c r="E76" s="83">
        <f t="shared" ref="E76:J76" ca="1" si="22">D76-E100</f>
      </c>
      <c r="F76" s="83">
        <f t="shared" ca="1" si="22"/>
      </c>
      <c r="G76" s="83">
        <f t="shared" ca="1" si="22"/>
      </c>
      <c r="H76" s="83">
        <f t="shared" ca="1" si="22"/>
      </c>
      <c r="I76" s="83">
        <f t="shared" ca="1" si="22"/>
      </c>
      <c r="J76" s="83">
        <f t="shared" ca="1" si="22"/>
      </c>
    </row>
    <row r="77" spans="2:10" ht="15" customHeight="1" x14ac:dyDescent="0.2">
      <c r="B77" s="13" t="s">
        <v>84</v>
      </c>
      <c r="C77" s="82">
        <v>100000</v>
      </c>
      <c r="D77" s="83">
        <f ca="1">C77+D86</f>
      </c>
      <c r="E77" s="83">
        <f t="shared" ref="E77:J77" ca="1" si="23">D77+E86</f>
      </c>
      <c r="F77" s="83">
        <f t="shared" ca="1" si="23"/>
      </c>
      <c r="G77" s="83">
        <f t="shared" ca="1" si="23"/>
      </c>
      <c r="H77" s="83">
        <f t="shared" ca="1" si="23"/>
      </c>
      <c r="I77" s="83">
        <f t="shared" ca="1" si="23"/>
      </c>
      <c r="J77" s="83">
        <f t="shared" ca="1" si="23"/>
      </c>
    </row>
    <row r="78" spans="2:10" ht="15" customHeight="1" x14ac:dyDescent="0.2">
      <c r="B78" s="19" t="s">
        <v>85</v>
      </c>
      <c r="C78" s="84">
        <f>C75-C76+C77</f>
      </c>
      <c r="D78" s="84">
        <f t="shared" ref="D78:J78" ca="1" si="24">D75-D76+D77</f>
      </c>
      <c r="E78" s="84">
        <f t="shared" ca="1" si="24"/>
      </c>
      <c r="F78" s="84">
        <f t="shared" ca="1" si="24"/>
      </c>
      <c r="G78" s="84">
        <f t="shared" ca="1" si="24"/>
      </c>
      <c r="H78" s="84">
        <f t="shared" ca="1" si="24"/>
      </c>
      <c r="I78" s="84">
        <f t="shared" ca="1" si="24"/>
      </c>
      <c r="J78" s="84">
        <f t="shared" ca="1" si="24"/>
      </c>
    </row>
    <row r="79" spans="2:10" ht="15" customHeight="1" thickBot="1" x14ac:dyDescent="0.25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25">
      <c r="B80" s="10" t="s">
        <v>86</v>
      </c>
      <c r="C80" s="87">
        <f t="shared" ref="C80:J80" si="25">C72+C78</f>
      </c>
      <c r="D80" s="87">
        <f t="shared" ca="1" si="25"/>
      </c>
      <c r="E80" s="87">
        <f t="shared" ca="1" si="25"/>
      </c>
      <c r="F80" s="87">
        <f t="shared" ca="1" si="25"/>
      </c>
      <c r="G80" s="87">
        <f t="shared" ca="1" si="25"/>
      </c>
      <c r="H80" s="87">
        <f t="shared" ca="1" si="25"/>
      </c>
      <c r="I80" s="87">
        <f t="shared" ca="1" si="25"/>
      </c>
      <c r="J80" s="87">
        <f t="shared" ca="1" si="25"/>
      </c>
    </row>
    <row r="81" spans="2:10" ht="15" customHeight="1" thickTop="1" x14ac:dyDescent="0.2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">
      <c r="B82" s="16" t="s">
        <v>87</v>
      </c>
      <c r="C82" s="83">
        <f t="shared" ref="C82:J82" si="26">C62-C80</f>
      </c>
      <c r="D82" s="83">
        <f t="shared" ca="1" si="26"/>
      </c>
      <c r="E82" s="83">
        <f t="shared" ca="1" si="26"/>
      </c>
      <c r="F82" s="83">
        <f t="shared" ca="1" si="26"/>
      </c>
      <c r="G82" s="83">
        <f t="shared" ca="1" si="26"/>
      </c>
      <c r="H82" s="83">
        <f t="shared" ca="1" si="26"/>
      </c>
      <c r="I82" s="83">
        <f t="shared" ca="1" si="26"/>
      </c>
      <c r="J82" s="83">
        <f t="shared" ca="1" si="26"/>
      </c>
    </row>
    <row r="83" spans="2:10" ht="15" customHeight="1" thickBot="1" x14ac:dyDescent="0.25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25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">
      <c r="B86" s="13" t="s">
        <v>90</v>
      </c>
      <c r="C86" s="83"/>
      <c r="D86" s="83" cm="1">
        <f t="array" aca="1" ref="D86" ca="1">D35</f>
      </c>
      <c r="E86" s="83" cm="1">
        <f t="array" aca="1" ref="E86" ca="1">E35</f>
      </c>
      <c r="F86" s="83" cm="1">
        <f t="array" aca="1" ref="F86" ca="1">F35</f>
      </c>
      <c r="G86" s="83" cm="1">
        <f t="array" aca="1" ref="G86" ca="1">G35</f>
      </c>
      <c r="H86" s="83" cm="1">
        <f t="array" aca="1" ref="H86" ca="1">H35</f>
      </c>
      <c r="I86" s="83" cm="1">
        <f t="array" aca="1" ref="I86" ca="1">I35</f>
      </c>
      <c r="J86" s="83" cm="1">
        <f t="array" aca="1" ref="J86" ca="1">J35</f>
      </c>
    </row>
    <row r="87" spans="2:10" ht="15.75" customHeight="1" x14ac:dyDescent="0.2">
      <c r="B87" s="13" t="s">
        <v>91</v>
      </c>
      <c r="C87" s="82"/>
      <c r="D87" s="72">
        <f>C$95*INDEX('Company1808 Assumptions'!E$82:E$84,MATCH($D$5,'Company1808 Assumptions'!$C$82:$C$84,0))</f>
      </c>
      <c r="E87" s="72">
        <f>D$95*INDEX('Company1808 Assumptions'!F$82:F$84,MATCH($D$5,'Company1808 Assumptions'!$C$82:$C$84,0))</f>
      </c>
      <c r="F87" s="72">
        <f>E$95*INDEX('Company1808 Assumptions'!G$82:G$84,MATCH($D$5,'Company1808 Assumptions'!$C$82:$C$84,0))</f>
      </c>
      <c r="G87" s="72">
        <f>F$95*INDEX('Company1808 Assumptions'!H$82:H$84,MATCH($D$5,'Company1808 Assumptions'!$C$82:$C$84,0))</f>
      </c>
      <c r="H87" s="72">
        <f>G$95*INDEX('Company1808 Assumptions'!I$82:I$84,MATCH($D$5,'Company1808 Assumptions'!$C$82:$C$84,0))</f>
      </c>
      <c r="I87" s="72">
        <f>H$95*INDEX('Company1808 Assumptions'!J$82:J$84,MATCH($D$5,'Company1808 Assumptions'!$C$82:$C$84,0))</f>
      </c>
      <c r="J87" s="72">
        <f>I$95*INDEX('Company1808 Assumptions'!K$82:K$84,MATCH($D$5,'Company1808 Assumptions'!$C$82:$C$84,0))</f>
      </c>
    </row>
    <row r="88" spans="2:10" ht="15" customHeight="1" x14ac:dyDescent="0.2">
      <c r="B88" s="13" t="s">
        <v>92</v>
      </c>
      <c r="C88" s="83"/>
      <c r="D88" s="83" cm="1">
        <f t="array" ref="D88">D24</f>
      </c>
      <c r="E88" s="83" cm="1">
        <f t="array" ref="E88">E24</f>
      </c>
      <c r="F88" s="83" cm="1">
        <f t="array" ref="F88">F24</f>
      </c>
      <c r="G88" s="83" cm="1">
        <f t="array" ref="G88">G24</f>
      </c>
      <c r="H88" s="83" cm="1">
        <f t="array" ref="H88">H24</f>
      </c>
      <c r="I88" s="83" cm="1">
        <f t="array" ref="I88">I24</f>
      </c>
      <c r="J88" s="83" cm="1">
        <f t="array" ref="J88">J24</f>
      </c>
    </row>
    <row r="89" spans="2:10" ht="15" customHeight="1" x14ac:dyDescent="0.2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">
      <c r="B90" s="18" t="s">
        <v>106</v>
      </c>
      <c r="C90" s="67"/>
      <c r="D90" s="83">
        <f>-(SUM(D50:D51)-SUM(C50:C51))</f>
      </c>
      <c r="E90" s="83">
        <f t="shared" ref="E90:J90" si="27">-(SUM(E50:E51)-SUM(D50:D51))</f>
      </c>
      <c r="F90" s="83">
        <f t="shared" si="27"/>
      </c>
      <c r="G90" s="83">
        <f t="shared" si="27"/>
      </c>
      <c r="H90" s="83">
        <f t="shared" si="27"/>
      </c>
      <c r="I90" s="83">
        <f t="shared" si="27"/>
      </c>
      <c r="J90" s="83">
        <f t="shared" si="27"/>
      </c>
    </row>
    <row r="91" spans="2:10" ht="15" customHeight="1" x14ac:dyDescent="0.2">
      <c r="B91" s="18" t="s">
        <v>107</v>
      </c>
      <c r="C91" s="67"/>
      <c r="D91" s="83">
        <f t="shared" ref="D91:J91" si="28">SUM(D67:D68)-SUM(C67:C68)</f>
      </c>
      <c r="E91" s="83">
        <f t="shared" si="28"/>
      </c>
      <c r="F91" s="83">
        <f t="shared" si="28"/>
      </c>
      <c r="G91" s="83">
        <f t="shared" si="28"/>
      </c>
      <c r="H91" s="83">
        <f t="shared" si="28"/>
      </c>
      <c r="I91" s="83">
        <f t="shared" si="28"/>
      </c>
      <c r="J91" s="83">
        <f t="shared" si="28"/>
      </c>
    </row>
    <row r="92" spans="2:10" ht="15.75" customHeight="1" x14ac:dyDescent="0.2">
      <c r="B92" s="19" t="s">
        <v>94</v>
      </c>
      <c r="C92" s="84"/>
      <c r="D92" s="84">
        <f ca="1">SUM(D86:D91)</f>
      </c>
      <c r="E92" s="84">
        <f t="shared" ref="E92:J92" ca="1" si="29">SUM(E86:E91)</f>
      </c>
      <c r="F92" s="84">
        <f t="shared" ca="1" si="29"/>
      </c>
      <c r="G92" s="84">
        <f t="shared" ca="1" si="29"/>
      </c>
      <c r="H92" s="84">
        <f t="shared" ca="1" si="29"/>
      </c>
      <c r="I92" s="84">
        <f t="shared" ca="1" si="29"/>
      </c>
      <c r="J92" s="84">
        <f t="shared" ca="1" si="29"/>
      </c>
    </row>
    <row r="93" spans="2:10" ht="15" customHeight="1" x14ac:dyDescent="0.2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">
      <c r="B95" s="13" t="s">
        <v>96</v>
      </c>
      <c r="C95" s="72">
        <f>C$14*INDEX('Company1808 Assumptions'!D$78:D$80,MATCH($D$5,'Company1808 Assumptions'!$C$78:$C$80,0))</f>
      </c>
      <c r="D95" s="72">
        <f>D$14*INDEX('Company1808 Assumptions'!E$78:E$80,MATCH($D$5,'Company1808 Assumptions'!$C$78:$C$80,0))</f>
      </c>
      <c r="E95" s="72">
        <f>E$14*INDEX('Company1808 Assumptions'!F$78:F$80,MATCH($D$5,'Company1808 Assumptions'!$C$78:$C$80,0))</f>
      </c>
      <c r="F95" s="72">
        <f>F$14*INDEX('Company1808 Assumptions'!G$78:G$80,MATCH($D$5,'Company1808 Assumptions'!$C$78:$C$80,0))</f>
      </c>
      <c r="G95" s="72">
        <f>G$14*INDEX('Company1808 Assumptions'!H$78:H$80,MATCH($D$5,'Company1808 Assumptions'!$C$78:$C$80,0))</f>
      </c>
      <c r="H95" s="72">
        <f>H$14*INDEX('Company1808 Assumptions'!I$78:I$80,MATCH($D$5,'Company1808 Assumptions'!$C$78:$C$80,0))</f>
      </c>
      <c r="I95" s="72">
        <f>I$14*INDEX('Company1808 Assumptions'!J$78:J$80,MATCH($D$5,'Company1808 Assumptions'!$C$78:$C$80,0))</f>
      </c>
      <c r="J95" s="72">
        <f>J$14*INDEX('Company1808 Assumptions'!K$78:K$80,MATCH($D$5,'Company1808 Assumptions'!$C$78:$C$80,0))</f>
      </c>
    </row>
    <row r="96" spans="2:10" ht="15.75" customHeight="1" x14ac:dyDescent="0.2">
      <c r="B96" s="13" t="s">
        <v>270</v>
      </c>
      <c r="C96" s="72"/>
      <c r="D96" s="83">
        <f>D59-C59</f>
      </c>
      <c r="E96" s="83">
        <f t="shared" ref="E96:J96" si="30">E59-D59</f>
      </c>
      <c r="F96" s="83">
        <f t="shared" si="30"/>
      </c>
      <c r="G96" s="83">
        <f t="shared" si="30"/>
      </c>
      <c r="H96" s="83">
        <f t="shared" si="30"/>
      </c>
      <c r="I96" s="83">
        <f t="shared" si="30"/>
      </c>
      <c r="J96" s="83">
        <f t="shared" si="30"/>
      </c>
    </row>
    <row r="97" spans="2:10" ht="15" customHeight="1" x14ac:dyDescent="0.2">
      <c r="B97" s="19" t="s">
        <v>97</v>
      </c>
      <c r="C97" s="84"/>
      <c r="D97" s="84">
        <f>-SUM(D95:D96)</f>
      </c>
      <c r="E97" s="84">
        <f t="shared" ref="E97:J97" si="31">-SUM(E95:E96)</f>
      </c>
      <c r="F97" s="84">
        <f t="shared" si="31"/>
      </c>
      <c r="G97" s="84">
        <f t="shared" si="31"/>
      </c>
      <c r="H97" s="84">
        <f t="shared" si="31"/>
      </c>
      <c r="I97" s="84">
        <f t="shared" si="31"/>
      </c>
      <c r="J97" s="84">
        <f t="shared" si="31"/>
      </c>
    </row>
    <row r="98" spans="2:10" ht="13.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">
      <c r="B100" s="13" t="s">
        <v>99</v>
      </c>
      <c r="C100" s="88"/>
      <c r="D100" s="72">
        <f ca="1">-MAX(D92+D97,0)*INDEX('Company1808 Assumptions'!$G$109:$G$111,MATCH($D$5,'Company1808 Assumptions'!$C$109:$C$111,0))</f>
      </c>
      <c r="E100" s="72">
        <f ca="1">-MAX(E92+E97,0)*INDEX('Company1808 Assumptions'!$G$109:$G$111,MATCH($D$5,'Company1808 Assumptions'!$C$109:$C$111,0))</f>
      </c>
      <c r="F100" s="72">
        <f ca="1">-MAX(F92+F97,0)*INDEX('Company1808 Assumptions'!$G$109:$G$111,MATCH($D$5,'Company1808 Assumptions'!$C$109:$C$111,0))</f>
      </c>
      <c r="G100" s="72">
        <f ca="1">-MAX(G92+G97,0)*INDEX('Company1808 Assumptions'!$G$109:$G$111,MATCH($D$5,'Company1808 Assumptions'!$C$109:$C$111,0))</f>
      </c>
      <c r="H100" s="72">
        <f ca="1">-MAX(H92+H97,0)*INDEX('Company1808 Assumptions'!$G$109:$G$111,MATCH($D$5,'Company1808 Assumptions'!$C$109:$C$111,0))</f>
      </c>
      <c r="I100" s="72">
        <f ca="1">-MAX(I92+I97,0)*INDEX('Company1808 Assumptions'!$G$109:$G$111,MATCH($D$5,'Company1808 Assumptions'!$C$109:$C$111,0))</f>
      </c>
      <c r="J100" s="72">
        <f ca="1">-MAX(J92+J97,0)*INDEX('Company1808 Assumptions'!$G$109:$G$111,MATCH($D$5,'Company1808 Assumptions'!$C$109:$C$111,0))</f>
      </c>
    </row>
    <row r="101" spans="2:10" ht="15" customHeight="1" x14ac:dyDescent="0.2">
      <c r="B101" s="13" t="s">
        <v>100</v>
      </c>
      <c r="C101" s="82"/>
      <c r="D101" s="83">
        <f t="shared" ref="D101:J101" si="32">D$71-C$71</f>
      </c>
      <c r="E101" s="83">
        <f t="shared" si="32"/>
      </c>
      <c r="F101" s="83">
        <f t="shared" si="32"/>
      </c>
      <c r="G101" s="83">
        <f t="shared" si="32"/>
      </c>
      <c r="H101" s="83">
        <f t="shared" si="32"/>
      </c>
      <c r="I101" s="83">
        <f t="shared" si="32"/>
      </c>
      <c r="J101" s="83">
        <f t="shared" si="32"/>
      </c>
    </row>
    <row r="102" spans="2:10" ht="15" customHeight="1" x14ac:dyDescent="0.2">
      <c r="B102" s="19" t="s">
        <v>101</v>
      </c>
      <c r="C102" s="84"/>
      <c r="D102" s="84">
        <f t="shared" ref="D102:J102" ca="1" si="33">SUM(D99:D101)</f>
      </c>
      <c r="E102" s="84">
        <f t="shared" ca="1" si="33"/>
      </c>
      <c r="F102" s="84">
        <f t="shared" ca="1" si="33"/>
      </c>
      <c r="G102" s="84">
        <f t="shared" ca="1" si="33"/>
      </c>
      <c r="H102" s="84">
        <f t="shared" ca="1" si="33"/>
      </c>
      <c r="I102" s="84">
        <f t="shared" ca="1" si="33"/>
      </c>
      <c r="J102" s="84">
        <f t="shared" ca="1" si="33"/>
      </c>
    </row>
    <row r="103" spans="2:10" ht="15" customHeight="1" x14ac:dyDescent="0.2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">
      <c r="B104" s="20" t="s">
        <v>102</v>
      </c>
      <c r="C104" s="83"/>
      <c r="D104" s="83">
        <f t="shared" ref="D104:J104" ca="1" si="34">D92+D97+D102</f>
      </c>
      <c r="E104" s="83">
        <f t="shared" ca="1" si="34"/>
      </c>
      <c r="F104" s="83">
        <f t="shared" ca="1" si="34"/>
      </c>
      <c r="G104" s="83">
        <f t="shared" ca="1" si="34"/>
      </c>
      <c r="H104" s="83">
        <f t="shared" ca="1" si="34"/>
      </c>
      <c r="I104" s="83">
        <f t="shared" ca="1" si="34"/>
      </c>
      <c r="J104" s="83">
        <f t="shared" ca="1" si="34"/>
      </c>
    </row>
    <row r="105" spans="2:10" ht="15" customHeight="1" thickBot="1" x14ac:dyDescent="0.25">
      <c r="B105" s="21" t="s">
        <v>103</v>
      </c>
      <c r="C105" s="83"/>
      <c r="D105" s="83">
        <f>C$106</f>
      </c>
      <c r="E105" s="83">
        <f t="shared" ref="E105:J105" ca="1" si="35">D$106</f>
      </c>
      <c r="F105" s="83">
        <f t="shared" ca="1" si="35"/>
      </c>
      <c r="G105" s="83">
        <f t="shared" ca="1" si="35"/>
      </c>
      <c r="H105" s="83">
        <f t="shared" ca="1" si="35"/>
      </c>
      <c r="I105" s="83">
        <f t="shared" ca="1" si="35"/>
      </c>
      <c r="J105" s="83">
        <f t="shared" ca="1" si="35"/>
      </c>
    </row>
    <row r="106" spans="2:10" ht="15" customHeight="1" thickBot="1" x14ac:dyDescent="0.25">
      <c r="B106" s="10" t="s">
        <v>104</v>
      </c>
      <c r="C106" s="87">
        <f>C$49</f>
      </c>
      <c r="D106" s="87">
        <f t="shared" ref="D106:J106" ca="1" si="36">D104+D105</f>
      </c>
      <c r="E106" s="87">
        <f t="shared" ca="1" si="36"/>
      </c>
      <c r="F106" s="87">
        <f t="shared" ca="1" si="36"/>
      </c>
      <c r="G106" s="87">
        <f t="shared" ca="1" si="36"/>
      </c>
      <c r="H106" s="87">
        <f t="shared" ca="1" si="36"/>
      </c>
      <c r="I106" s="87">
        <f t="shared" ca="1" si="36"/>
      </c>
      <c r="J106" s="87">
        <f t="shared" ca="1" si="36"/>
      </c>
    </row>
    <row r="107" spans="2:10" ht="15.75" customHeight="1" thickTop="1" x14ac:dyDescent="0.2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">
      <c r="B108" s="16" t="s">
        <v>105</v>
      </c>
      <c r="C108" s="83">
        <f t="shared" ref="C108:J108" si="37">C106-C49</f>
      </c>
      <c r="D108" s="83">
        <f t="shared" ca="1" si="37"/>
      </c>
      <c r="E108" s="83">
        <f t="shared" ca="1" si="37"/>
      </c>
      <c r="F108" s="83">
        <f t="shared" ca="1" si="37"/>
      </c>
      <c r="G108" s="83">
        <f t="shared" ca="1" si="37"/>
      </c>
      <c r="H108" s="83">
        <f t="shared" ca="1" si="37"/>
      </c>
      <c r="I108" s="83">
        <f t="shared" ca="1" si="37"/>
      </c>
      <c r="J108" s="83">
        <f t="shared" ca="1" si="37"/>
      </c>
    </row>
    <row r="109" spans="2:10" ht="15" customHeight="1" thickBot="1" x14ac:dyDescent="0.25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">
      <c r="B112" s="89" t="s">
        <v>296</v>
      </c>
      <c r="F112" s="116">
        <v>1830</v>
      </c>
    </row>
    <row r="113" spans="2:10" ht="15" customHeight="1" x14ac:dyDescent="0.2">
      <c r="B113" s="89" t="s">
        <v>297</v>
      </c>
      <c r="F113" s="106">
        <f ca="1">($F$71-$F$49)/1000</f>
      </c>
    </row>
    <row r="114" spans="2:10" ht="15" customHeight="1" x14ac:dyDescent="0.2">
      <c r="B114" s="89" t="s">
        <v>298</v>
      </c>
      <c r="F114" s="106">
        <f ca="1">F112+F113</f>
      </c>
      <c r="G114" s="106"/>
      <c r="H114" s="106"/>
      <c r="I114" s="106"/>
      <c r="J114" s="106"/>
    </row>
    <row r="115" spans="2:10" ht="15" customHeight="1" x14ac:dyDescent="0.2">
      <c r="B115" s="89"/>
    </row>
    <row r="116" spans="2:10" ht="15" customHeight="1" x14ac:dyDescent="0.2">
      <c r="B116" s="89" t="s">
        <v>299</v>
      </c>
      <c r="F116" s="117">
        <f ca="1">$F$114*1000/F$14</f>
      </c>
      <c r="G116" s="117">
        <f t="shared" ref="G116:J116" ca="1" si="38">$F$114*1000/G$14</f>
      </c>
      <c r="H116" s="117">
        <f t="shared" ca="1" si="38"/>
      </c>
      <c r="I116" s="117">
        <f t="shared" ca="1" si="38"/>
      </c>
      <c r="J116" s="117">
        <f t="shared" ca="1" si="38"/>
      </c>
    </row>
    <row r="117" spans="2:10" ht="15" customHeight="1" x14ac:dyDescent="0.2">
      <c r="B117" s="89" t="s">
        <v>300</v>
      </c>
      <c r="F117" s="117">
        <f ca="1">$F$114*1000/(F$27+F$87)</f>
      </c>
      <c r="G117" s="117">
        <f t="shared" ref="G117:J117" ca="1" si="39">$F$114*1000/(G$27+G$87)</f>
      </c>
      <c r="H117" s="117">
        <f t="shared" ca="1" si="39"/>
      </c>
      <c r="I117" s="117">
        <f t="shared" ca="1" si="39"/>
      </c>
      <c r="J117" s="117">
        <f t="shared" ca="1" si="39"/>
      </c>
    </row>
    <row r="118" spans="2:10" ht="15" customHeight="1" x14ac:dyDescent="0.2">
      <c r="B118" s="89" t="s">
        <v>301</v>
      </c>
      <c r="F118" s="117">
        <f ca="1">$F$112*1000/F$35</f>
      </c>
      <c r="G118" s="117">
        <f t="shared" ref="G118:J118" ca="1" si="40">$F$112*1000/G$35</f>
      </c>
      <c r="H118" s="117">
        <f t="shared" ca="1" si="40"/>
      </c>
      <c r="I118" s="117">
        <f t="shared" ca="1" si="40"/>
      </c>
      <c r="J118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baseColWidth="10" defaultColWidth="7.6640625" defaultRowHeight="15" customHeight="1" x14ac:dyDescent="0.2"/>
  <cols>
    <col min="1" max="1" width="7.6640625" style="23"/>
    <col min="2" max="2" width="31.1640625" style="23" customWidth="1"/>
    <col min="3" max="3" width="2.5" style="23" customWidth="1"/>
    <col min="4" max="8" width="12.6640625" style="23" customWidth="1"/>
    <col min="9" max="16384" width="7.6640625" style="23"/>
  </cols>
  <sheetData>
    <row r="2" spans="2:13" ht="15" customHeight="1" x14ac:dyDescent="0.2">
      <c r="B2" s="22" t="s">
        <v>109</v>
      </c>
    </row>
    <row r="3" spans="2:13" ht="15" customHeight="1" x14ac:dyDescent="0.2">
      <c r="B3" s="24" t="s">
        <v>110</v>
      </c>
    </row>
    <row r="5" spans="2:13" ht="15" customHeight="1" x14ac:dyDescent="0.2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112</v>
      </c>
    </row>
    <row r="8" spans="2:13" ht="15" customHeight="1" x14ac:dyDescent="0.2">
      <c r="B8" s="27" t="s">
        <v>113</v>
      </c>
      <c r="D8" s="28" t="s">
        <v>114</v>
      </c>
    </row>
    <row r="9" spans="2:13" ht="15" customHeight="1" x14ac:dyDescent="0.2">
      <c r="B9" s="27" t="s">
        <v>115</v>
      </c>
      <c r="D9" s="28" t="s">
        <v>116</v>
      </c>
    </row>
    <row r="10" spans="2:13" ht="15" customHeight="1" x14ac:dyDescent="0.2">
      <c r="B10" s="27" t="s">
        <v>117</v>
      </c>
      <c r="D10" s="28" t="s">
        <v>118</v>
      </c>
    </row>
    <row r="11" spans="2:13" ht="15" customHeight="1" x14ac:dyDescent="0.2">
      <c r="B11" s="27" t="s">
        <v>119</v>
      </c>
      <c r="D11" s="28" t="s">
        <v>226</v>
      </c>
    </row>
    <row r="12" spans="2:13" ht="15" customHeight="1" x14ac:dyDescent="0.2">
      <c r="B12" s="27" t="s">
        <v>121</v>
      </c>
      <c r="D12" s="28" t="s">
        <v>120</v>
      </c>
    </row>
    <row r="14" spans="2:13" ht="15" customHeight="1" x14ac:dyDescent="0.2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">
      <c r="B16" s="26" t="s">
        <v>123</v>
      </c>
    </row>
    <row r="17" spans="2:13" ht="15" customHeight="1" x14ac:dyDescent="0.2">
      <c r="B17" s="27" t="s">
        <v>124</v>
      </c>
      <c r="D17" s="29">
        <v>520</v>
      </c>
    </row>
    <row r="18" spans="2:13" ht="15" customHeight="1" x14ac:dyDescent="0.2">
      <c r="B18" s="27" t="s">
        <v>125</v>
      </c>
      <c r="D18" s="30">
        <v>0.3</v>
      </c>
    </row>
    <row r="19" spans="2:13" ht="15" customHeight="1" x14ac:dyDescent="0.2">
      <c r="B19" s="27" t="s">
        <v>126</v>
      </c>
      <c r="D19" s="31">
        <f>D17*(1+D18)</f>
      </c>
    </row>
    <row r="20" spans="2:13" ht="15" customHeight="1" x14ac:dyDescent="0.2">
      <c r="B20" s="27" t="s">
        <v>127</v>
      </c>
      <c r="D20" s="32">
        <v>2700</v>
      </c>
    </row>
    <row r="21" spans="2:13" ht="15" customHeight="1" x14ac:dyDescent="0.2">
      <c r="B21" s="33" t="s">
        <v>128</v>
      </c>
      <c r="D21" s="48">
        <f>D19*D20</f>
      </c>
    </row>
    <row r="23" spans="2:13" ht="15" customHeight="1" x14ac:dyDescent="0.2">
      <c r="B23" s="26" t="s">
        <v>129</v>
      </c>
    </row>
    <row r="24" spans="2:13" ht="15" customHeight="1" x14ac:dyDescent="0.2">
      <c r="B24" s="27" t="s">
        <v>130</v>
      </c>
      <c r="D24" s="30">
        <v>0.5</v>
      </c>
    </row>
    <row r="25" spans="2:13" ht="15" customHeight="1" x14ac:dyDescent="0.2">
      <c r="B25" s="27" t="s">
        <v>131</v>
      </c>
      <c r="D25" s="30">
        <v>0.5</v>
      </c>
    </row>
    <row r="26" spans="2:13" ht="15" customHeight="1" x14ac:dyDescent="0.2">
      <c r="B26" s="27" t="s">
        <v>132</v>
      </c>
      <c r="D26" s="48">
        <f t="shared" ref="D26:D27" si="0">$D$21*D24</f>
      </c>
    </row>
    <row r="27" spans="2:13" ht="15" customHeight="1" x14ac:dyDescent="0.2">
      <c r="B27" s="27" t="s">
        <v>133</v>
      </c>
      <c r="D27" s="48">
        <f t="shared" si="0"/>
      </c>
    </row>
    <row r="28" spans="2:13" ht="15" customHeight="1" x14ac:dyDescent="0.2">
      <c r="B28" s="27" t="s">
        <v>134</v>
      </c>
      <c r="D28" s="29">
        <v>175</v>
      </c>
    </row>
    <row r="29" spans="2:13" ht="15" customHeight="1" x14ac:dyDescent="0.2">
      <c r="B29" s="27" t="s">
        <v>135</v>
      </c>
      <c r="D29" s="35">
        <f t="shared" ref="D29" si="1">D27/D28</f>
      </c>
    </row>
    <row r="31" spans="2:13" ht="15" customHeight="1" x14ac:dyDescent="0.2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">
      <c r="B33" s="26" t="s">
        <v>137</v>
      </c>
      <c r="F33" s="26" t="s">
        <v>138</v>
      </c>
    </row>
    <row r="34" spans="2:13" ht="15" customHeight="1" x14ac:dyDescent="0.2">
      <c r="B34" s="27" t="s">
        <v>139</v>
      </c>
      <c r="D34" s="48">
        <f>$D$27</f>
      </c>
      <c r="F34" s="27" t="s">
        <v>140</v>
      </c>
      <c r="H34" s="48" cm="1">
        <f t="array" ref="H34">D21</f>
      </c>
    </row>
    <row r="35" spans="2:13" ht="15" customHeight="1" x14ac:dyDescent="0.2">
      <c r="B35" s="27" t="s">
        <v>141</v>
      </c>
      <c r="D35" s="49">
        <v>400000</v>
      </c>
      <c r="F35" s="27" t="s">
        <v>142</v>
      </c>
      <c r="H35" s="48">
        <f>$D$21*$I$35</f>
      </c>
      <c r="I35" s="53">
        <v>0.02</v>
      </c>
    </row>
    <row r="36" spans="2:13" ht="15" customHeight="1" x14ac:dyDescent="0.2">
      <c r="B36" s="27" t="s">
        <v>143</v>
      </c>
      <c r="D36" s="49">
        <v>100000</v>
      </c>
      <c r="F36" s="27" t="s">
        <v>144</v>
      </c>
      <c r="H36" s="48">
        <f>(D35+D36)*$I$36</f>
      </c>
      <c r="I36" s="53">
        <v>2.5000000000000001E-2</v>
      </c>
    </row>
    <row r="37" spans="2:13" ht="15" customHeight="1" x14ac:dyDescent="0.2">
      <c r="B37" s="27" t="s">
        <v>145</v>
      </c>
      <c r="D37" s="48">
        <f>H38-D26-D35-D36</f>
      </c>
      <c r="F37" s="27" t="s">
        <v>146</v>
      </c>
      <c r="H37" s="49">
        <v>5000</v>
      </c>
    </row>
    <row r="38" spans="2:13" ht="15" customHeight="1" x14ac:dyDescent="0.2">
      <c r="B38" s="36" t="s">
        <v>147</v>
      </c>
      <c r="C38" s="37"/>
      <c r="D38" s="50">
        <f t="shared" ref="D38:H54" si="2">SUM(D34:D37)</f>
      </c>
      <c r="F38" s="36" t="s">
        <v>148</v>
      </c>
      <c r="G38" s="37"/>
      <c r="H38" s="50">
        <f t="shared" si="2"/>
      </c>
    </row>
    <row r="40" spans="2:13" ht="15" customHeight="1" x14ac:dyDescent="0.2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">
      <c r="B42" s="26" t="s">
        <v>150</v>
      </c>
    </row>
    <row r="43" spans="2:13" ht="15" customHeight="1" x14ac:dyDescent="0.2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">
      <c r="B47" s="36" t="s">
        <v>159</v>
      </c>
      <c r="C47" s="37"/>
      <c r="D47" s="50">
        <f t="shared" ref="D47:H60" si="3">SUM(D44:D46)</f>
      </c>
      <c r="E47" s="50">
        <f t="shared" si="3"/>
      </c>
      <c r="F47" s="50">
        <f t="shared" si="3"/>
      </c>
      <c r="G47" s="50">
        <f t="shared" si="3"/>
      </c>
      <c r="H47" s="50">
        <f t="shared" si="3"/>
      </c>
    </row>
    <row r="49" spans="2:13" ht="15" customHeight="1" x14ac:dyDescent="0.2">
      <c r="B49" s="26" t="s">
        <v>160</v>
      </c>
    </row>
    <row r="50" spans="2:13" ht="15" customHeight="1" x14ac:dyDescent="0.2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">
      <c r="B54" s="36" t="s">
        <v>164</v>
      </c>
      <c r="C54" s="37"/>
      <c r="D54" s="50">
        <f t="shared" si="2"/>
      </c>
      <c r="E54" s="50">
        <f t="shared" si="2"/>
      </c>
      <c r="F54" s="50">
        <f t="shared" si="2"/>
      </c>
      <c r="G54" s="50">
        <f t="shared" si="2"/>
      </c>
      <c r="H54" s="50">
        <f t="shared" si="2"/>
      </c>
    </row>
    <row r="56" spans="2:13" ht="15" customHeight="1" x14ac:dyDescent="0.2">
      <c r="B56" s="26" t="s">
        <v>165</v>
      </c>
    </row>
    <row r="57" spans="2:13" ht="15" customHeight="1" x14ac:dyDescent="0.2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">
      <c r="B60" s="36" t="s">
        <v>168</v>
      </c>
      <c r="C60" s="37"/>
      <c r="D60" s="50">
        <f t="shared" si="3"/>
      </c>
      <c r="E60" s="50">
        <f t="shared" si="3"/>
      </c>
      <c r="F60" s="50">
        <f t="shared" si="3"/>
      </c>
      <c r="G60" s="50">
        <f t="shared" si="3"/>
      </c>
      <c r="H60" s="50">
        <f t="shared" si="3"/>
      </c>
    </row>
    <row r="62" spans="2:13" ht="15" customHeight="1" thickBot="1" x14ac:dyDescent="0.25">
      <c r="B62" s="39" t="s">
        <v>169</v>
      </c>
      <c r="C62" s="40"/>
      <c r="D62" s="51">
        <f t="shared" ref="D62:H62" si="4">D47+D54+D60</f>
      </c>
      <c r="E62" s="51">
        <f t="shared" si="4"/>
      </c>
      <c r="F62" s="51">
        <f t="shared" si="4"/>
      </c>
      <c r="G62" s="51">
        <f t="shared" si="4"/>
      </c>
      <c r="H62" s="51">
        <f t="shared" si="4"/>
      </c>
    </row>
    <row r="64" spans="2:13" ht="15" customHeight="1" x14ac:dyDescent="0.2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">
      <c r="B66" s="26" t="s">
        <v>171</v>
      </c>
    </row>
    <row r="67" spans="2:13" ht="15" customHeight="1" x14ac:dyDescent="0.2">
      <c r="B67" s="27" t="s">
        <v>140</v>
      </c>
      <c r="D67" s="48" cm="1">
        <f t="array" ref="D67">D21</f>
      </c>
    </row>
    <row r="68" spans="2:13" ht="15" customHeight="1" x14ac:dyDescent="0.2">
      <c r="B68" s="27" t="s">
        <v>172</v>
      </c>
      <c r="D68" s="49">
        <v>-141740</v>
      </c>
    </row>
    <row r="69" spans="2:13" ht="15" customHeight="1" x14ac:dyDescent="0.2">
      <c r="B69" s="27" t="s">
        <v>173</v>
      </c>
      <c r="D69" s="48">
        <f>D67+D68</f>
      </c>
    </row>
    <row r="71" spans="2:13" ht="15" customHeight="1" x14ac:dyDescent="0.2">
      <c r="B71" s="26" t="s">
        <v>174</v>
      </c>
    </row>
    <row r="72" spans="2:13" ht="15" customHeight="1" x14ac:dyDescent="0.2">
      <c r="B72" s="27" t="s">
        <v>288</v>
      </c>
      <c r="D72" s="49">
        <v>25000</v>
      </c>
    </row>
    <row r="73" spans="2:13" ht="15" customHeight="1" x14ac:dyDescent="0.2">
      <c r="B73" s="27" t="s">
        <v>175</v>
      </c>
      <c r="D73" s="49">
        <v>0</v>
      </c>
    </row>
    <row r="74" spans="2:13" ht="15" customHeight="1" x14ac:dyDescent="0.2">
      <c r="B74" s="27" t="s">
        <v>176</v>
      </c>
      <c r="D74" s="48">
        <f>-(D72+D73)*0.21</f>
      </c>
    </row>
    <row r="75" spans="2:13" ht="15" customHeight="1" x14ac:dyDescent="0.2">
      <c r="B75" s="33" t="s">
        <v>177</v>
      </c>
      <c r="D75" s="48">
        <f>D69-D72-D73-D74</f>
      </c>
    </row>
    <row r="77" spans="2:13" ht="15" customHeight="1" x14ac:dyDescent="0.2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">
      <c r="B79" s="26" t="s">
        <v>179</v>
      </c>
    </row>
    <row r="80" spans="2:13" ht="15" customHeight="1" x14ac:dyDescent="0.2">
      <c r="B80" s="27" t="s">
        <v>180</v>
      </c>
      <c r="D80" s="48" cm="1">
        <f t="array" ref="D80">D35</f>
      </c>
    </row>
    <row r="81" spans="2:13" ht="15" customHeight="1" x14ac:dyDescent="0.2">
      <c r="B81" s="27" t="s">
        <v>181</v>
      </c>
      <c r="D81" s="30">
        <v>5.5E-2</v>
      </c>
    </row>
    <row r="82" spans="2:13" ht="15" customHeight="1" x14ac:dyDescent="0.2">
      <c r="B82" s="27" t="s">
        <v>182</v>
      </c>
      <c r="D82" s="48" cm="1">
        <f t="array" ref="D82">D36</f>
      </c>
    </row>
    <row r="83" spans="2:13" ht="15" customHeight="1" x14ac:dyDescent="0.2">
      <c r="B83" s="27" t="s">
        <v>183</v>
      </c>
      <c r="D83" s="30">
        <v>6.5000000000000002E-2</v>
      </c>
    </row>
    <row r="84" spans="2:13" ht="15" customHeight="1" x14ac:dyDescent="0.2">
      <c r="B84" s="27" t="s">
        <v>184</v>
      </c>
      <c r="D84" s="30">
        <v>0.05</v>
      </c>
    </row>
    <row r="86" spans="2:13" ht="15" customHeight="1" x14ac:dyDescent="0.2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">
      <c r="B88" s="26" t="s">
        <v>186</v>
      </c>
    </row>
    <row r="89" spans="2:13" ht="15" customHeight="1" x14ac:dyDescent="0.2">
      <c r="B89" s="27" t="s">
        <v>187</v>
      </c>
      <c r="D89" s="48">
        <f>D72</f>
      </c>
    </row>
    <row r="90" spans="2:13" ht="15" customHeight="1" x14ac:dyDescent="0.2">
      <c r="B90" s="54" t="s">
        <v>188</v>
      </c>
      <c r="D90" s="32">
        <v>10</v>
      </c>
    </row>
    <row r="91" spans="2:13" ht="15" customHeight="1" x14ac:dyDescent="0.2">
      <c r="B91" s="54" t="s">
        <v>189</v>
      </c>
      <c r="D91" s="48">
        <f>D89/D90</f>
      </c>
    </row>
    <row r="93" spans="2:13" ht="15" customHeight="1" x14ac:dyDescent="0.2">
      <c r="B93" s="26" t="s">
        <v>190</v>
      </c>
    </row>
    <row r="94" spans="2:13" ht="15" customHeight="1" x14ac:dyDescent="0.2">
      <c r="B94" s="27" t="s">
        <v>191</v>
      </c>
      <c r="D94" s="112">
        <v>0</v>
      </c>
    </row>
    <row r="95" spans="2:13" ht="15" customHeight="1" x14ac:dyDescent="0.2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opLeftCell="A25" zoomScale="85" zoomScaleNormal="85" workbookViewId="0">
      <selection activeCell="I53" sqref="I53"/>
    </sheetView>
  </sheetViews>
  <sheetFormatPr baseColWidth="10" defaultColWidth="7.6640625" defaultRowHeight="15" customHeight="1" x14ac:dyDescent="0.2"/>
  <cols>
    <col min="1" max="1" width="7.6640625" style="23"/>
    <col min="2" max="2" width="34" style="23" bestFit="1" customWidth="1"/>
    <col min="3" max="3" width="2.5" style="23" customWidth="1"/>
    <col min="4" max="8" width="11.1640625" style="23" customWidth="1"/>
    <col min="9" max="16384" width="7.6640625" style="23"/>
  </cols>
  <sheetData>
    <row r="2" spans="2:10" ht="15" customHeight="1" x14ac:dyDescent="0.2">
      <c r="B2" s="22" t="s">
        <v>193</v>
      </c>
    </row>
    <row r="3" spans="2:10" ht="15" customHeight="1" x14ac:dyDescent="0.2">
      <c r="B3" s="24" t="s">
        <v>44</v>
      </c>
    </row>
    <row r="4" spans="2:10" ht="15" customHeight="1" thickBot="1" x14ac:dyDescent="0.25"/>
    <row r="5" spans="2:10" ht="15" customHeight="1" x14ac:dyDescent="0.2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">
      <c r="B7" s="23" t="s">
        <v>195</v>
      </c>
      <c r="D7" s="57">
        <f>'Combination Assumptions'!$D$21</f>
      </c>
    </row>
    <row r="8" spans="2:10" ht="15" customHeight="1" x14ac:dyDescent="0.2">
      <c r="B8" s="23" t="s">
        <v>196</v>
      </c>
      <c r="D8" s="57">
        <f>'Combination Assumptions'!$D$26</f>
      </c>
    </row>
    <row r="9" spans="2:10" ht="15" customHeight="1" x14ac:dyDescent="0.2">
      <c r="B9" s="23" t="s">
        <v>197</v>
      </c>
      <c r="D9" s="57">
        <f>'Combination Assumptions'!$D$27</f>
      </c>
    </row>
    <row r="10" spans="2:10" ht="15" customHeight="1" x14ac:dyDescent="0.2">
      <c r="B10" s="23" t="s">
        <v>198</v>
      </c>
      <c r="D10" s="57">
        <f>'Combination Assumptions'!$D$35+'Combination Assumptions'!$D$36</f>
      </c>
    </row>
    <row r="11" spans="2:10" ht="15" customHeight="1" x14ac:dyDescent="0.2">
      <c r="B11" s="23" t="s">
        <v>199</v>
      </c>
      <c r="D11" s="57">
        <f>'Combination Assumptions'!$D$75</f>
      </c>
    </row>
    <row r="12" spans="2:10" ht="15" customHeight="1" thickBot="1" x14ac:dyDescent="0.25"/>
    <row r="13" spans="2:10" ht="15" customHeight="1" thickBot="1" x14ac:dyDescent="0.25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">
      <c r="B17" s="43" t="s">
        <v>202</v>
      </c>
    </row>
    <row r="18" spans="2:8" ht="15" customHeight="1" x14ac:dyDescent="0.2">
      <c r="B18" s="27" t="s">
        <v>203</v>
      </c>
      <c r="D18" s="57">
        <f>'Company1153 3-Statement'!F$16</f>
      </c>
      <c r="E18" s="57">
        <f>'Company1153 3-Statement'!G$16</f>
      </c>
      <c r="F18" s="57">
        <f>'Company1153 3-Statement'!H$16</f>
      </c>
      <c r="G18" s="57">
        <f>'Company1153 3-Statement'!I$16</f>
      </c>
      <c r="H18" s="57">
        <f>'Company1153 3-Statement'!J$16</f>
      </c>
    </row>
    <row r="19" spans="2:8" ht="15" customHeight="1" x14ac:dyDescent="0.2">
      <c r="B19" s="27" t="s">
        <v>204</v>
      </c>
      <c r="D19" s="57">
        <f>'Company1808 3-Statement'!F$14</f>
      </c>
      <c r="E19" s="57">
        <f>'Company1808 3-Statement'!G$14</f>
      </c>
      <c r="F19" s="57">
        <f>'Company1808 3-Statement'!H$14</f>
      </c>
      <c r="G19" s="57">
        <f>'Company1808 3-Statement'!I$14</f>
      </c>
      <c r="H19" s="57">
        <f>'Company1808 3-Statement'!J$14</f>
      </c>
    </row>
    <row r="20" spans="2:8" ht="15" customHeight="1" x14ac:dyDescent="0.2">
      <c r="B20" s="27" t="s">
        <v>205</v>
      </c>
      <c r="D20" s="57">
        <f>'Combination Assumptions'!D$47</f>
      </c>
      <c r="E20" s="58">
        <f>'Combination Assumptions'!E$47</f>
      </c>
      <c r="F20" s="57">
        <f>'Combination Assumptions'!F$47</f>
      </c>
      <c r="G20" s="57">
        <f>'Combination Assumptions'!G$47</f>
      </c>
      <c r="H20" s="57">
        <f>'Combination Assumptions'!H$47</f>
      </c>
    </row>
    <row r="21" spans="2:8" ht="15" customHeight="1" x14ac:dyDescent="0.2">
      <c r="B21" s="44" t="s">
        <v>206</v>
      </c>
      <c r="C21" s="37"/>
      <c r="D21" s="50">
        <f>SUM(D18:D20)</f>
      </c>
      <c r="E21" s="50">
        <f t="shared" ref="E21:H21" si="0">SUM(E18:E20)</f>
      </c>
      <c r="F21" s="50">
        <f t="shared" si="0"/>
      </c>
      <c r="G21" s="50">
        <f t="shared" si="0"/>
      </c>
      <c r="H21" s="50">
        <f t="shared" si="0"/>
      </c>
    </row>
    <row r="23" spans="2:8" ht="15" customHeight="1" x14ac:dyDescent="0.2">
      <c r="B23" s="43" t="s">
        <v>47</v>
      </c>
    </row>
    <row r="24" spans="2:8" ht="15" customHeight="1" x14ac:dyDescent="0.2">
      <c r="B24" s="27" t="s">
        <v>207</v>
      </c>
      <c r="D24" s="57">
        <f>'Company1153 3-Statement'!F$32+'Company1808 3-Statement'!F$17</f>
      </c>
      <c r="E24" s="57">
        <f>'Company1153 3-Statement'!G$32+'Company1808 3-Statement'!G$17</f>
      </c>
      <c r="F24" s="57">
        <f>'Company1153 3-Statement'!H$32+'Company1808 3-Statement'!H$17</f>
      </c>
      <c r="G24" s="57">
        <f>'Company1153 3-Statement'!I$32+'Company1808 3-Statement'!I$17</f>
      </c>
      <c r="H24" s="57">
        <f>'Company1153 3-Statement'!J$32+'Company1808 3-Statement'!J$17</f>
      </c>
    </row>
    <row r="25" spans="2:8" ht="15" customHeight="1" x14ac:dyDescent="0.2">
      <c r="B25" s="27" t="s">
        <v>208</v>
      </c>
      <c r="D25" s="57">
        <f>-'Combination Assumptions'!D$50</f>
      </c>
      <c r="E25" s="57">
        <f>-'Combination Assumptions'!E$50</f>
      </c>
      <c r="F25" s="57">
        <f>-'Combination Assumptions'!F$50</f>
      </c>
      <c r="G25" s="57">
        <f>-'Combination Assumptions'!G$50</f>
      </c>
      <c r="H25" s="57">
        <f>-'Combination Assumptions'!H$50</f>
      </c>
    </row>
    <row r="26" spans="2:8" ht="15" customHeight="1" x14ac:dyDescent="0.2">
      <c r="B26" s="43" t="s">
        <v>49</v>
      </c>
      <c r="D26" s="48">
        <f t="shared" ref="D26:H26" si="1">D21-D24-D25</f>
      </c>
      <c r="E26" s="48">
        <f t="shared" si="1"/>
      </c>
      <c r="F26" s="48">
        <f t="shared" si="1"/>
      </c>
      <c r="G26" s="48">
        <f t="shared" si="1"/>
      </c>
      <c r="H26" s="48">
        <f t="shared" si="1"/>
      </c>
    </row>
    <row r="27" spans="2:8" ht="15" customHeight="1" x14ac:dyDescent="0.2">
      <c r="D27" s="34"/>
      <c r="E27" s="34"/>
      <c r="F27" s="34"/>
      <c r="G27" s="34"/>
      <c r="H27" s="34"/>
    </row>
    <row r="28" spans="2:8" ht="15" customHeight="1" x14ac:dyDescent="0.2">
      <c r="B28" s="27" t="s">
        <v>209</v>
      </c>
      <c r="D28" s="57">
        <f>'Company1153 3-Statement'!F$36+'Company1808 3-Statement'!F$21</f>
      </c>
      <c r="E28" s="57">
        <f>'Company1153 3-Statement'!G$36+'Company1808 3-Statement'!G$21</f>
      </c>
      <c r="F28" s="57">
        <f>'Company1153 3-Statement'!H$36+'Company1808 3-Statement'!H$21</f>
      </c>
      <c r="G28" s="57">
        <f>'Company1153 3-Statement'!I$36+'Company1808 3-Statement'!I$21</f>
      </c>
      <c r="H28" s="57">
        <f>'Company1153 3-Statement'!J$36+'Company1808 3-Statement'!J$21</f>
      </c>
    </row>
    <row r="29" spans="2:8" ht="15" customHeight="1" x14ac:dyDescent="0.2">
      <c r="B29" s="27" t="s">
        <v>210</v>
      </c>
      <c r="D29" s="57">
        <f>-'Combination Assumptions'!D$51</f>
      </c>
      <c r="E29" s="57">
        <f>-'Combination Assumptions'!E$51</f>
      </c>
      <c r="F29" s="57">
        <f>-'Combination Assumptions'!F$51</f>
      </c>
      <c r="G29" s="57">
        <f>-'Combination Assumptions'!G$51</f>
      </c>
      <c r="H29" s="57">
        <f>-'Combination Assumptions'!H$51</f>
      </c>
    </row>
    <row r="30" spans="2:8" ht="15" customHeight="1" x14ac:dyDescent="0.2">
      <c r="B30" s="27" t="s">
        <v>211</v>
      </c>
      <c r="D30" s="57">
        <f>'Company1153 3-Statement'!F$37+'Company1808 3-Statement'!F$22</f>
      </c>
      <c r="E30" s="57">
        <f>'Company1153 3-Statement'!G$37+'Company1808 3-Statement'!G$22</f>
      </c>
      <c r="F30" s="57">
        <f>'Company1153 3-Statement'!H$37+'Company1808 3-Statement'!H$22</f>
      </c>
      <c r="G30" s="57">
        <f>'Company1153 3-Statement'!I$37+'Company1808 3-Statement'!I$22</f>
      </c>
      <c r="H30" s="57">
        <f>'Company1153 3-Statement'!J$37+'Company1808 3-Statement'!J$22</f>
      </c>
    </row>
    <row r="31" spans="2:8" ht="15" customHeight="1" x14ac:dyDescent="0.2">
      <c r="B31" s="27" t="s">
        <v>212</v>
      </c>
      <c r="D31" s="57">
        <f>-'Combination Assumptions'!D$53</f>
      </c>
      <c r="E31" s="57">
        <f>-'Combination Assumptions'!E$53</f>
      </c>
      <c r="F31" s="57">
        <f>-'Combination Assumptions'!F$53</f>
      </c>
      <c r="G31" s="57">
        <f>-'Combination Assumptions'!G$53</f>
      </c>
      <c r="H31" s="57">
        <f>-'Combination Assumptions'!H$53</f>
      </c>
    </row>
    <row r="32" spans="2:8" ht="15" customHeight="1" x14ac:dyDescent="0.2">
      <c r="B32" s="27" t="s">
        <v>213</v>
      </c>
      <c r="D32" s="57">
        <f>'Company1153 3-Statement'!F$38+'Company1808 3-Statement'!F$23</f>
      </c>
      <c r="E32" s="57">
        <f>'Company1153 3-Statement'!G$38+'Company1808 3-Statement'!G$23</f>
      </c>
      <c r="F32" s="57">
        <f>'Company1153 3-Statement'!H$38+'Company1808 3-Statement'!H$23</f>
      </c>
      <c r="G32" s="57">
        <f>'Company1153 3-Statement'!I$38+'Company1808 3-Statement'!I$23</f>
      </c>
      <c r="H32" s="57">
        <f>'Company1153 3-Statement'!J$38+'Company1808 3-Statement'!J$23</f>
      </c>
    </row>
    <row r="33" spans="2:8" ht="15" customHeight="1" x14ac:dyDescent="0.2">
      <c r="B33" s="27" t="s">
        <v>214</v>
      </c>
      <c r="D33" s="57">
        <f>-'Combination Assumptions'!D$52</f>
      </c>
      <c r="E33" s="57">
        <f>-'Combination Assumptions'!E$52</f>
      </c>
      <c r="F33" s="57">
        <f>-'Combination Assumptions'!F$52</f>
      </c>
      <c r="G33" s="57">
        <f>-'Combination Assumptions'!G$52</f>
      </c>
      <c r="H33" s="57">
        <f>-'Combination Assumptions'!H$52</f>
      </c>
    </row>
    <row r="34" spans="2:8" ht="15" customHeight="1" x14ac:dyDescent="0.2">
      <c r="B34" s="27" t="s">
        <v>223</v>
      </c>
      <c r="D34" s="57">
        <f>'Company1153 3-Statement'!F$39+'Company1808 3-Statement'!F$24</f>
      </c>
      <c r="E34" s="57">
        <f>'Company1153 3-Statement'!G$39+'Company1808 3-Statement'!G$24</f>
      </c>
      <c r="F34" s="57">
        <f>'Company1153 3-Statement'!H$39+'Company1808 3-Statement'!H$24</f>
      </c>
      <c r="G34" s="57">
        <f>'Company1153 3-Statement'!I$39+'Company1808 3-Statement'!I$24</f>
      </c>
      <c r="H34" s="57">
        <f>'Company1153 3-Statement'!J$39+'Company1808 3-Statement'!J$24</f>
      </c>
    </row>
    <row r="35" spans="2:8" ht="15" customHeight="1" x14ac:dyDescent="0.2">
      <c r="B35" s="27" t="s">
        <v>215</v>
      </c>
      <c r="D35" s="57">
        <f>-'Combination Assumptions'!D$60</f>
      </c>
      <c r="E35" s="57">
        <f>-'Combination Assumptions'!E$60</f>
      </c>
      <c r="F35" s="57">
        <f>-'Combination Assumptions'!F$60</f>
      </c>
      <c r="G35" s="57">
        <f>-'Combination Assumptions'!G$60</f>
      </c>
      <c r="H35" s="57">
        <f>-'Combination Assumptions'!H$60</f>
      </c>
    </row>
    <row r="36" spans="2:8" ht="15" customHeight="1" x14ac:dyDescent="0.2">
      <c r="B36" s="27" t="s">
        <v>289</v>
      </c>
      <c r="D36" s="57">
        <f>'Combination Assumptions'!$D$91</f>
      </c>
      <c r="E36" s="57">
        <f>'Combination Assumptions'!$D$91</f>
      </c>
      <c r="F36" s="57">
        <f>'Combination Assumptions'!$D$91</f>
      </c>
      <c r="G36" s="57">
        <f>'Combination Assumptions'!$D$91</f>
      </c>
      <c r="H36" s="57">
        <f>'Combination Assumptions'!$D$91</f>
      </c>
    </row>
    <row r="37" spans="2:8" ht="15" customHeight="1" x14ac:dyDescent="0.2">
      <c r="B37" s="27"/>
      <c r="D37" s="57"/>
      <c r="E37" s="57"/>
      <c r="F37" s="57"/>
      <c r="G37" s="57"/>
      <c r="H37" s="57"/>
    </row>
    <row r="38" spans="2:8" ht="15" customHeight="1" x14ac:dyDescent="0.2">
      <c r="B38" s="43" t="s">
        <v>216</v>
      </c>
      <c r="D38" s="48">
        <f>D26-SUM(D28:D36)</f>
      </c>
      <c r="E38" s="48">
        <f t="shared" ref="E38:H38" si="2">E26-SUM(E28:E36)</f>
      </c>
      <c r="F38" s="48">
        <f t="shared" si="2"/>
      </c>
      <c r="G38" s="48">
        <f t="shared" si="2"/>
      </c>
      <c r="H38" s="48">
        <f t="shared" si="2"/>
      </c>
    </row>
    <row r="39" spans="2:8" ht="15" customHeight="1" x14ac:dyDescent="0.2">
      <c r="D39" s="48"/>
      <c r="E39" s="48"/>
      <c r="F39" s="48"/>
      <c r="G39" s="48"/>
      <c r="H39" s="48"/>
    </row>
    <row r="40" spans="2:8" ht="15" customHeight="1" x14ac:dyDescent="0.2">
      <c r="B40" s="27" t="s">
        <v>274</v>
      </c>
      <c r="D40" s="57">
        <f ca="1">-('Company1153 3-Statement'!F$45+'Company1808 3-Statement'!F$30)</f>
      </c>
      <c r="E40" s="57">
        <f ca="1">-('Company1153 3-Statement'!G$45+'Company1808 3-Statement'!G$30)</f>
      </c>
      <c r="F40" s="57">
        <f ca="1">-('Company1153 3-Statement'!H$45+'Company1808 3-Statement'!H$30)</f>
      </c>
      <c r="G40" s="57">
        <f ca="1">-('Company1153 3-Statement'!I$45+'Company1808 3-Statement'!I$30)</f>
      </c>
      <c r="H40" s="57">
        <f ca="1">-('Company1153 3-Statement'!J$45+'Company1808 3-Statement'!J$30)</f>
      </c>
    </row>
    <row r="41" spans="2:8" ht="15" customHeight="1" x14ac:dyDescent="0.2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2" spans="2:8" ht="15" customHeight="1" x14ac:dyDescent="0.2">
      <c r="B42" s="43" t="s">
        <v>217</v>
      </c>
      <c r="D42" s="48">
        <f ca="1">D38-D40-D41</f>
      </c>
      <c r="E42" s="48">
        <f t="shared" ref="E42:H42" ca="1" si="3">E38-E40-E41</f>
      </c>
      <c r="F42" s="48">
        <f t="shared" ca="1" si="3"/>
      </c>
      <c r="G42" s="48">
        <f t="shared" ca="1" si="3"/>
      </c>
      <c r="H42" s="48">
        <f t="shared" ca="1" si="3"/>
      </c>
    </row>
    <row r="43" spans="2:8" ht="15" customHeight="1" x14ac:dyDescent="0.2">
      <c r="B43" s="27" t="s">
        <v>218</v>
      </c>
      <c r="D43" s="48">
        <f ca="1">D42*'Combination Assumptions'!$D$95</f>
      </c>
      <c r="E43" s="48">
        <f ca="1">E42*'Combination Assumptions'!$D$95</f>
      </c>
      <c r="F43" s="48">
        <f ca="1">F42*'Combination Assumptions'!$D$95</f>
      </c>
      <c r="G43" s="48">
        <f ca="1">G42*'Combination Assumptions'!$D$95</f>
      </c>
      <c r="H43" s="48">
        <f ca="1">H42*'Combination Assumptions'!$D$95</f>
      </c>
    </row>
    <row r="44" spans="2:8" ht="15" customHeight="1" thickBot="1" x14ac:dyDescent="0.25">
      <c r="D44" s="34"/>
      <c r="E44" s="34"/>
      <c r="F44" s="34"/>
      <c r="G44" s="34"/>
      <c r="H44" s="34"/>
    </row>
    <row r="45" spans="2:8" ht="15" customHeight="1" thickBot="1" x14ac:dyDescent="0.25">
      <c r="B45" s="45" t="s">
        <v>56</v>
      </c>
      <c r="C45" s="40"/>
      <c r="D45" s="51">
        <f t="shared" ref="D45:H45" ca="1" si="4">D42-D43</f>
      </c>
      <c r="E45" s="51">
        <f t="shared" ca="1" si="4"/>
      </c>
      <c r="F45" s="51">
        <f t="shared" ca="1" si="4"/>
      </c>
      <c r="G45" s="51">
        <f t="shared" ca="1" si="4"/>
      </c>
      <c r="H45" s="51">
        <f t="shared" ca="1" si="4"/>
      </c>
    </row>
    <row r="46" spans="2:8" ht="15" customHeight="1" thickTop="1" x14ac:dyDescent="0.2"/>
    <row r="47" spans="2:8" ht="15" customHeight="1" x14ac:dyDescent="0.2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">
      <c r="B49" s="47" t="s">
        <v>220</v>
      </c>
      <c r="D49" s="59">
        <f>'Company1153 3-Statement'!F$55+'Combination Assumptions'!$D$29</f>
      </c>
      <c r="E49" s="59">
        <f>'Company1153 3-Statement'!G$55+'Combination Assumptions'!$D$29</f>
      </c>
      <c r="F49" s="59">
        <f>'Company1153 3-Statement'!H$55+'Combination Assumptions'!$D$29</f>
      </c>
      <c r="G49" s="59">
        <f>'Company1153 3-Statement'!I$55+'Combination Assumptions'!$D$29</f>
      </c>
      <c r="H49" s="59">
        <f>'Company1153 3-Statement'!J$55+'Combination Assumptions'!$D$29</f>
      </c>
    </row>
    <row r="50" spans="2:8" ht="15" customHeight="1" x14ac:dyDescent="0.2">
      <c r="B50" s="26" t="s">
        <v>221</v>
      </c>
      <c r="D50" s="34">
        <f t="shared" ref="D50:H50" ca="1" si="5">D45/D49</f>
      </c>
      <c r="E50" s="34">
        <f t="shared" ca="1" si="5"/>
      </c>
      <c r="F50" s="34">
        <f t="shared" ca="1" si="5"/>
      </c>
      <c r="G50" s="34">
        <f t="shared" ca="1" si="5"/>
      </c>
      <c r="H50" s="34">
        <f t="shared" ca="1" si="5"/>
      </c>
    </row>
    <row r="51" spans="2:8" ht="15" customHeight="1" x14ac:dyDescent="0.2">
      <c r="B51" s="47" t="s">
        <v>222</v>
      </c>
      <c r="D51" s="60">
        <f ca="1">D50/'Company1153 3-Statement'!F$56-1</f>
      </c>
      <c r="E51" s="60">
        <f ca="1">E50/'Company1153 3-Statement'!G$56-1</f>
      </c>
      <c r="F51" s="60">
        <f ca="1">F50/'Company1153 3-Statement'!H$56-1</f>
      </c>
      <c r="G51" s="60">
        <f ca="1">G50/'Company1153 3-Statement'!I$56-1</f>
      </c>
      <c r="H51" s="60">
        <f ca="1">H50/'Company1153 3-Statement'!J$56-1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topLeftCell="A40" zoomScale="85" zoomScaleNormal="85" workbookViewId="0">
      <selection activeCell="B66" sqref="B66"/>
    </sheetView>
  </sheetViews>
  <sheetFormatPr baseColWidth="10" defaultColWidth="7.6640625" defaultRowHeight="15" customHeight="1" x14ac:dyDescent="0.2"/>
  <cols>
    <col min="1" max="1" width="7.6640625" style="23"/>
    <col min="2" max="2" width="25" style="23" customWidth="1"/>
    <col min="3" max="3" width="2.5" style="23" customWidth="1"/>
    <col min="4" max="9" width="11.1640625" style="23" customWidth="1"/>
    <col min="10" max="16384" width="7.6640625" style="23"/>
  </cols>
  <sheetData>
    <row r="2" spans="2:13" ht="15" customHeight="1" x14ac:dyDescent="0.2">
      <c r="B2" s="22" t="s">
        <v>227</v>
      </c>
    </row>
    <row r="3" spans="2:13" ht="15" customHeight="1" x14ac:dyDescent="0.2">
      <c r="B3" s="24" t="s">
        <v>228</v>
      </c>
    </row>
    <row r="4" spans="2:13" ht="15" customHeight="1" thickBot="1" x14ac:dyDescent="0.25"/>
    <row r="5" spans="2:13" ht="15" customHeight="1" x14ac:dyDescent="0.2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230</v>
      </c>
    </row>
    <row r="8" spans="2:13" ht="15" customHeight="1" x14ac:dyDescent="0.2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">
      <c r="D9" s="30">
        <v>0.15</v>
      </c>
      <c r="E9" s="30">
        <v>0.2</v>
      </c>
      <c r="F9" s="30">
        <v>0.25</v>
      </c>
    </row>
    <row r="10" spans="2:13" ht="15" customHeight="1" x14ac:dyDescent="0.2">
      <c r="B10" s="27" t="s">
        <v>234</v>
      </c>
      <c r="D10" s="109" t="str">
        <f>'Company1153 Assumptions'!$D$6</f>
      </c>
    </row>
    <row r="12" spans="2:13" ht="15" customHeight="1" x14ac:dyDescent="0.2">
      <c r="B12" s="26" t="s">
        <v>235</v>
      </c>
    </row>
    <row r="13" spans="2:13" ht="15" customHeight="1" x14ac:dyDescent="0.2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">
      <c r="D14" s="30">
        <v>0.1</v>
      </c>
      <c r="E14" s="30">
        <v>0.15</v>
      </c>
      <c r="F14" s="30">
        <v>0.2</v>
      </c>
    </row>
    <row r="15" spans="2:13" ht="15" customHeight="1" x14ac:dyDescent="0.2">
      <c r="B15" s="27" t="s">
        <v>234</v>
      </c>
      <c r="D15" s="109" t="str">
        <f>'Company1153 Assumptions'!$D$6</f>
      </c>
    </row>
    <row r="17" spans="2:13" ht="15" customHeight="1" x14ac:dyDescent="0.2">
      <c r="B17" s="26" t="s">
        <v>237</v>
      </c>
    </row>
    <row r="18" spans="2:13" ht="15" customHeight="1" x14ac:dyDescent="0.2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">
      <c r="D19" s="30">
        <v>0.02</v>
      </c>
      <c r="E19" s="30">
        <v>3.5000000000000003E-2</v>
      </c>
      <c r="F19" s="30">
        <v>0.05</v>
      </c>
    </row>
    <row r="20" spans="2:13" ht="15" customHeight="1" x14ac:dyDescent="0.2">
      <c r="B20" s="27" t="s">
        <v>234</v>
      </c>
      <c r="D20" s="109" t="str">
        <f>'Company1153 Assumptions'!$D$6</f>
      </c>
    </row>
    <row r="21" spans="2:13" ht="15" customHeight="1" thickBot="1" x14ac:dyDescent="0.25"/>
    <row r="22" spans="2:13" ht="15" customHeight="1" x14ac:dyDescent="0.2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">
      <c r="B26" s="26" t="s">
        <v>240</v>
      </c>
    </row>
    <row r="27" spans="2:13" ht="15" customHeight="1" x14ac:dyDescent="0.2">
      <c r="B27" s="27" t="s">
        <v>241</v>
      </c>
      <c r="D27" s="57">
        <f>'Company1153 3-Statement'!F$110</f>
      </c>
      <c r="E27" s="57">
        <f>'Company1153 3-Statement'!G$110</f>
      </c>
      <c r="F27" s="57">
        <f>'Company1153 3-Statement'!H$110</f>
      </c>
      <c r="G27" s="57">
        <f>'Company1153 3-Statement'!I$110</f>
      </c>
      <c r="H27" s="57">
        <f>'Company1153 3-Statement'!J$110</f>
      </c>
      <c r="I27" s="48"/>
    </row>
    <row r="28" spans="2:13" ht="15" customHeight="1" x14ac:dyDescent="0.2">
      <c r="B28" s="27" t="s">
        <v>242</v>
      </c>
      <c r="D28" s="57">
        <f>'Company1808 3-Statement'!F$95</f>
      </c>
      <c r="E28" s="57">
        <f>'Company1808 3-Statement'!G$95</f>
      </c>
      <c r="F28" s="57">
        <f>'Company1808 3-Statement'!H$95</f>
      </c>
      <c r="G28" s="57">
        <f>'Company1808 3-Statement'!I$95</f>
      </c>
      <c r="H28" s="57">
        <f>'Company1808 3-Statement'!J$95</f>
      </c>
      <c r="I28" s="48"/>
    </row>
    <row r="29" spans="2:13" ht="15" customHeight="1" x14ac:dyDescent="0.2">
      <c r="B29" s="27" t="s">
        <v>243</v>
      </c>
      <c r="D29" s="48">
        <f t="shared" ref="D29:H29" si="0">D27+D28</f>
      </c>
      <c r="E29" s="48">
        <f t="shared" si="0"/>
      </c>
      <c r="F29" s="48">
        <f t="shared" si="0"/>
      </c>
      <c r="G29" s="48">
        <f t="shared" si="0"/>
      </c>
      <c r="H29" s="48">
        <f t="shared" si="0"/>
      </c>
      <c r="I29" s="48"/>
    </row>
    <row r="30" spans="2:13" ht="15" customHeight="1" x14ac:dyDescent="0.2">
      <c r="B30" s="27" t="s">
        <v>244</v>
      </c>
      <c r="D30" s="52" cm="1">
        <f t="array" ref="D30">INDEX($D$9:$F$9,MATCH($D$10,$D$8:$F$8,0))</f>
      </c>
      <c r="E30" s="52" cm="1">
        <f t="array" ref="E30">INDEX($D$9:$F$9,MATCH($D$10,$D$8:$F$8,0))</f>
      </c>
      <c r="F30" s="52" cm="1">
        <f t="array" ref="F30">INDEX($D$9:$F$9,MATCH($D$10,$D$8:$F$8,0))</f>
      </c>
      <c r="G30" s="52" cm="1">
        <f t="array" ref="G30">INDEX($D$9:$F$9,MATCH($D$10,$D$8:$F$8,0))</f>
      </c>
      <c r="H30" s="52" cm="1">
        <f t="array" ref="H30">INDEX($D$9:$F$9,MATCH($D$10,$D$8:$F$8,0))</f>
      </c>
      <c r="I30" s="52"/>
    </row>
    <row r="31" spans="2:13" ht="15" customHeight="1" x14ac:dyDescent="0.2">
      <c r="B31" s="64" t="s">
        <v>208</v>
      </c>
      <c r="C31" s="37"/>
      <c r="D31" s="50">
        <f t="shared" ref="D31:H31" si="1">D29*D30</f>
      </c>
      <c r="E31" s="50">
        <f t="shared" si="1"/>
      </c>
      <c r="F31" s="50">
        <f t="shared" si="1"/>
      </c>
      <c r="G31" s="50">
        <f t="shared" si="1"/>
      </c>
      <c r="H31" s="50">
        <f t="shared" si="1"/>
      </c>
      <c r="I31" s="50"/>
    </row>
    <row r="33" spans="2:9" ht="15" customHeight="1" x14ac:dyDescent="0.2">
      <c r="B33" s="26" t="s">
        <v>245</v>
      </c>
    </row>
    <row r="34" spans="2:9" ht="15" customHeight="1" x14ac:dyDescent="0.2">
      <c r="B34" s="27" t="s">
        <v>246</v>
      </c>
      <c r="D34" s="57">
        <f>'Company1153 3-Statement'!F$38</f>
      </c>
      <c r="E34" s="57">
        <f>'Company1153 3-Statement'!G$38</f>
      </c>
      <c r="F34" s="57">
        <f>'Company1153 3-Statement'!H$38</f>
      </c>
      <c r="G34" s="57">
        <f>'Company1153 3-Statement'!I$38</f>
      </c>
      <c r="H34" s="57">
        <f>'Company1153 3-Statement'!J$38</f>
      </c>
      <c r="I34" s="48"/>
    </row>
    <row r="35" spans="2:9" ht="15" customHeight="1" x14ac:dyDescent="0.2">
      <c r="B35" s="27" t="s">
        <v>247</v>
      </c>
      <c r="D35" s="57">
        <f>'Company1808 3-Statement'!F$23</f>
      </c>
      <c r="E35" s="57">
        <f>'Company1808 3-Statement'!G$23</f>
      </c>
      <c r="F35" s="57">
        <f>'Company1808 3-Statement'!H$23</f>
      </c>
      <c r="G35" s="57">
        <f>'Company1808 3-Statement'!I$23</f>
      </c>
      <c r="H35" s="57">
        <f>'Company1808 3-Statement'!J$23</f>
      </c>
      <c r="I35" s="48"/>
    </row>
    <row r="36" spans="2:9" ht="15" customHeight="1" x14ac:dyDescent="0.2">
      <c r="B36" s="27" t="s">
        <v>248</v>
      </c>
      <c r="D36" s="48">
        <f t="shared" ref="D36:H36" si="2">D34+D35</f>
      </c>
      <c r="E36" s="48">
        <f t="shared" si="2"/>
      </c>
      <c r="F36" s="48">
        <f t="shared" si="2"/>
      </c>
      <c r="G36" s="48">
        <f t="shared" si="2"/>
      </c>
      <c r="H36" s="48">
        <f t="shared" si="2"/>
      </c>
      <c r="I36" s="48"/>
    </row>
    <row r="37" spans="2:9" ht="15" customHeight="1" x14ac:dyDescent="0.2">
      <c r="B37" s="27" t="s">
        <v>249</v>
      </c>
      <c r="D37" s="52" cm="1">
        <f t="array" ref="D37">INDEX($D$14:$F$14,MATCH($D$15,$D$13:$F$13,0))</f>
      </c>
      <c r="E37" s="52" cm="1">
        <f t="array" ref="E37">INDEX($D$14:$F$14,MATCH($D$15,$D$13:$F$13,0))</f>
      </c>
      <c r="F37" s="52" cm="1">
        <f t="array" ref="F37">INDEX($D$14:$F$14,MATCH($D$15,$D$13:$F$13,0))</f>
      </c>
      <c r="G37" s="52" cm="1">
        <f t="array" ref="G37">INDEX($D$14:$F$14,MATCH($D$15,$D$13:$F$13,0))</f>
      </c>
      <c r="H37" s="52" cm="1">
        <f t="array" ref="H37">INDEX($D$14:$F$14,MATCH($D$15,$D$13:$F$13,0))</f>
      </c>
      <c r="I37" s="52"/>
    </row>
    <row r="38" spans="2:9" ht="15" customHeight="1" x14ac:dyDescent="0.2">
      <c r="B38" s="64" t="s">
        <v>210</v>
      </c>
      <c r="C38" s="37"/>
      <c r="D38" s="50">
        <f t="shared" ref="D38:H38" si="3">D36*D37</f>
      </c>
      <c r="E38" s="50">
        <f t="shared" si="3"/>
      </c>
      <c r="F38" s="50">
        <f t="shared" si="3"/>
      </c>
      <c r="G38" s="50">
        <f t="shared" si="3"/>
      </c>
      <c r="H38" s="50">
        <f t="shared" si="3"/>
      </c>
      <c r="I38" s="50"/>
    </row>
    <row r="40" spans="2:9" ht="15" customHeight="1" x14ac:dyDescent="0.2">
      <c r="B40" s="26" t="s">
        <v>250</v>
      </c>
    </row>
    <row r="41" spans="2:9" ht="15" customHeight="1" x14ac:dyDescent="0.2">
      <c r="B41" s="27" t="s">
        <v>203</v>
      </c>
      <c r="D41" s="57">
        <f>'Company1153 3-Statement'!F$16</f>
      </c>
      <c r="E41" s="57">
        <f>'Company1153 3-Statement'!G$16</f>
      </c>
      <c r="F41" s="57">
        <f>'Company1153 3-Statement'!H$16</f>
      </c>
      <c r="G41" s="57">
        <f>'Company1153 3-Statement'!I$16</f>
      </c>
      <c r="H41" s="57">
        <f>'Company1153 3-Statement'!J$16</f>
      </c>
      <c r="I41" s="48"/>
    </row>
    <row r="42" spans="2:9" ht="15" customHeight="1" x14ac:dyDescent="0.2">
      <c r="B42" s="27" t="s">
        <v>204</v>
      </c>
      <c r="D42" s="57">
        <f>'Company1808 3-Statement'!F$14</f>
      </c>
      <c r="E42" s="57">
        <f>'Company1808 3-Statement'!G$14</f>
      </c>
      <c r="F42" s="57">
        <f>'Company1808 3-Statement'!H$14</f>
      </c>
      <c r="G42" s="57">
        <f>'Company1808 3-Statement'!I$14</f>
      </c>
      <c r="H42" s="57">
        <f>'Company1808 3-Statement'!J$14</f>
      </c>
      <c r="I42" s="48"/>
    </row>
    <row r="43" spans="2:9" ht="15" customHeight="1" x14ac:dyDescent="0.2">
      <c r="B43" s="27" t="s">
        <v>251</v>
      </c>
      <c r="D43" s="48">
        <f t="shared" ref="D43:H43" si="4">D41+D42</f>
      </c>
      <c r="E43" s="48">
        <f t="shared" si="4"/>
      </c>
      <c r="F43" s="48">
        <f t="shared" si="4"/>
      </c>
      <c r="G43" s="48">
        <f t="shared" si="4"/>
      </c>
      <c r="H43" s="48">
        <f t="shared" si="4"/>
      </c>
      <c r="I43" s="48"/>
    </row>
    <row r="44" spans="2:9" ht="15" customHeight="1" x14ac:dyDescent="0.2">
      <c r="B44" s="27" t="s">
        <v>252</v>
      </c>
      <c r="D44" s="52" cm="1">
        <f t="array" ref="D44">INDEX($D$19:$F$19,MATCH($D$20,$D$18:$F$18,0))</f>
      </c>
      <c r="E44" s="52" cm="1">
        <f t="array" ref="E44">INDEX($D$19:$F$19,MATCH($D$20,$D$18:$F$18,0))</f>
      </c>
      <c r="F44" s="52" cm="1">
        <f t="array" ref="F44">INDEX($D$19:$F$19,MATCH($D$20,$D$18:$F$18,0))</f>
      </c>
      <c r="G44" s="52" cm="1">
        <f t="array" ref="G44">INDEX($D$19:$F$19,MATCH($D$20,$D$18:$F$18,0))</f>
      </c>
      <c r="H44" s="52" cm="1">
        <f t="array" ref="H44">INDEX($D$19:$F$19,MATCH($D$20,$D$18:$F$18,0))</f>
      </c>
      <c r="I44" s="52"/>
    </row>
    <row r="45" spans="2:9" ht="15" customHeight="1" x14ac:dyDescent="0.2">
      <c r="B45" s="64" t="s">
        <v>253</v>
      </c>
      <c r="C45" s="37"/>
      <c r="D45" s="50">
        <f t="shared" ref="D45:H45" si="5">D43*D44</f>
      </c>
      <c r="E45" s="50">
        <f t="shared" si="5"/>
      </c>
      <c r="F45" s="50">
        <f t="shared" si="5"/>
      </c>
      <c r="G45" s="50">
        <f t="shared" si="5"/>
      </c>
      <c r="H45" s="50">
        <f t="shared" si="5"/>
      </c>
      <c r="I45" s="50"/>
    </row>
    <row r="47" spans="2:9" ht="15" customHeight="1" x14ac:dyDescent="0.2">
      <c r="B47" s="26" t="s">
        <v>254</v>
      </c>
    </row>
    <row r="48" spans="2:9" ht="15" customHeight="1" x14ac:dyDescent="0.2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25"/>
    <row r="50" spans="2:9" ht="15" customHeight="1" x14ac:dyDescent="0.2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">
      <c r="B52" s="26" t="s">
        <v>257</v>
      </c>
    </row>
    <row r="53" spans="2:9" ht="15" customHeight="1" x14ac:dyDescent="0.2">
      <c r="B53" s="27" t="s">
        <v>258</v>
      </c>
      <c r="D53" s="48" cm="1">
        <f t="array" ref="D53">D31</f>
      </c>
      <c r="E53" s="48" cm="1">
        <f t="array" ref="E53">E31</f>
      </c>
      <c r="F53" s="48" cm="1">
        <f t="array" ref="F53">F31</f>
      </c>
      <c r="G53" s="48" cm="1">
        <f t="array" ref="G53">G31</f>
      </c>
      <c r="H53" s="48" cm="1">
        <f t="array" ref="H53">H31</f>
      </c>
      <c r="I53" s="48"/>
    </row>
    <row r="54" spans="2:9" ht="15" customHeight="1" x14ac:dyDescent="0.2">
      <c r="B54" s="27" t="s">
        <v>162</v>
      </c>
      <c r="D54" s="48" cm="1">
        <f t="array" ref="D54">D38</f>
      </c>
      <c r="E54" s="48" cm="1">
        <f t="array" ref="E54">E38</f>
      </c>
      <c r="F54" s="48" cm="1">
        <f t="array" ref="F54">F38</f>
      </c>
      <c r="G54" s="48" cm="1">
        <f t="array" ref="G54">G38</f>
      </c>
      <c r="H54" s="48" cm="1">
        <f t="array" ref="H54">H38</f>
      </c>
      <c r="I54" s="48"/>
    </row>
    <row r="55" spans="2:9" ht="15" customHeight="1" x14ac:dyDescent="0.2">
      <c r="B55" s="27" t="s">
        <v>259</v>
      </c>
      <c r="D55" s="48" cm="1">
        <f t="array" ref="D55">D45</f>
      </c>
      <c r="E55" s="48" cm="1">
        <f t="array" ref="E55">E45</f>
      </c>
      <c r="F55" s="48" cm="1">
        <f t="array" ref="F55">F45</f>
      </c>
      <c r="G55" s="48" cm="1">
        <f t="array" ref="G55">G45</f>
      </c>
      <c r="H55" s="48" cm="1">
        <f t="array" ref="H55">H45</f>
      </c>
      <c r="I55" s="48"/>
    </row>
    <row r="56" spans="2:9" ht="15" customHeight="1" x14ac:dyDescent="0.2">
      <c r="B56" s="36" t="s">
        <v>260</v>
      </c>
      <c r="C56" s="37"/>
      <c r="D56" s="50">
        <f t="shared" ref="D56:H56" si="6">SUM(D53:D55)</f>
      </c>
      <c r="E56" s="50">
        <f t="shared" si="6"/>
      </c>
      <c r="F56" s="50">
        <f t="shared" si="6"/>
      </c>
      <c r="G56" s="50">
        <f t="shared" si="6"/>
      </c>
      <c r="H56" s="50">
        <f t="shared" si="6"/>
      </c>
      <c r="I56" s="50"/>
    </row>
    <row r="57" spans="2:9" ht="15" customHeight="1" x14ac:dyDescent="0.2">
      <c r="D57" s="34"/>
      <c r="E57" s="34"/>
      <c r="F57" s="34"/>
      <c r="G57" s="34"/>
      <c r="H57" s="34"/>
      <c r="I57" s="34"/>
    </row>
    <row r="58" spans="2:9" ht="15" customHeight="1" x14ac:dyDescent="0.2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">
      <c r="B59" s="27" t="s">
        <v>262</v>
      </c>
      <c r="D59" s="48">
        <f t="shared" ref="D59:H59" si="7">D56*D48</f>
      </c>
      <c r="E59" s="48">
        <f t="shared" si="7"/>
      </c>
      <c r="F59" s="48">
        <f t="shared" si="7"/>
      </c>
      <c r="G59" s="48">
        <f t="shared" si="7"/>
      </c>
      <c r="H59" s="48">
        <f t="shared" si="7"/>
      </c>
      <c r="I59" s="48"/>
    </row>
    <row r="61" spans="2:9" ht="15" customHeight="1" x14ac:dyDescent="0.2">
      <c r="B61" s="26" t="s">
        <v>263</v>
      </c>
    </row>
    <row r="62" spans="2:9" ht="15" customHeight="1" x14ac:dyDescent="0.2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25">
      <c r="D63" s="34"/>
      <c r="E63" s="34"/>
      <c r="F63" s="34"/>
      <c r="G63" s="34"/>
      <c r="H63" s="34"/>
      <c r="I63" s="34"/>
    </row>
    <row r="64" spans="2:9" ht="15" customHeight="1" thickBot="1" x14ac:dyDescent="0.25">
      <c r="B64" s="45" t="s">
        <v>169</v>
      </c>
      <c r="C64" s="40"/>
      <c r="D64" s="51">
        <f>D59-D62</f>
      </c>
      <c r="E64" s="51">
        <f t="shared" ref="E64:H64" si="8">E59-E62</f>
      </c>
      <c r="F64" s="51">
        <f t="shared" si="8"/>
      </c>
      <c r="G64" s="51">
        <f t="shared" si="8"/>
      </c>
      <c r="H64" s="51">
        <f t="shared" si="8"/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