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bookViews>
    <workbookView xWindow="5660" yWindow="2560" windowWidth="29040" windowHeight="15720" firstSheet="1" activeTab="2" xr2:uid="{00000000-000D-0000-FFFF-FFFF00000000}"/>
  </bookViews>
  <sheets>
    <sheet name="Company1153 Assumptions" sheetId="1" r:id="rId1"/>
    <sheet name="Company1808 Assumptions" sheetId="2" r:id="rId2"/>
    <sheet name="Company1153 3-Statement" sheetId="3" r:id="rId3"/>
    <sheet name="Company1808 3-Statement" sheetId="4" r:id="rId4"/>
    <sheet name="Combination Assumptions" sheetId="5" r:id="rId5"/>
    <sheet name="PF Combination" sheetId="6" r:id="rId6"/>
    <sheet name="Synergy Analysis" sheetId="7" r:id="rId7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6" l="1"/>
  <c r="G49" i="6"/>
  <c r="F49" i="6"/>
  <c r="E49" i="6"/>
  <c r="D49" i="6"/>
  <c r="H41" i="6"/>
  <c r="G41" i="6"/>
  <c r="F41" i="6"/>
  <c r="E41" i="6"/>
  <c r="D41" i="6"/>
  <c r="H36" i="6"/>
  <c r="G36" i="6"/>
  <c r="F36" i="6"/>
  <c r="E36" i="6"/>
  <c r="D36" i="6"/>
  <c r="H35" i="6"/>
  <c r="G35" i="6"/>
  <c r="F35" i="6"/>
  <c r="E35" i="6"/>
  <c r="D35" i="6"/>
  <c r="H34" i="6"/>
  <c r="G34" i="6"/>
  <c r="F34" i="6"/>
  <c r="E34" i="6"/>
  <c r="D34" i="6"/>
  <c r="H33" i="6"/>
  <c r="G33" i="6"/>
  <c r="F33" i="6"/>
  <c r="E33" i="6"/>
  <c r="D33" i="6"/>
  <c r="H32" i="6"/>
  <c r="G32" i="6"/>
  <c r="F32" i="6"/>
  <c r="E32" i="6"/>
  <c r="D32" i="6"/>
  <c r="H31" i="6"/>
  <c r="G31" i="6"/>
  <c r="F31" i="6"/>
  <c r="E31" i="6"/>
  <c r="D31" i="6"/>
  <c r="H30" i="6"/>
  <c r="G30" i="6"/>
  <c r="F30" i="6"/>
  <c r="E30" i="6"/>
  <c r="D30" i="6"/>
  <c r="H29" i="6"/>
  <c r="G29" i="6"/>
  <c r="F29" i="6"/>
  <c r="E29" i="6"/>
  <c r="D29" i="6"/>
  <c r="H28" i="6"/>
  <c r="G28" i="6"/>
  <c r="F28" i="6"/>
  <c r="E28" i="6"/>
  <c r="D28" i="6"/>
  <c r="H25" i="6"/>
  <c r="G25" i="6"/>
  <c r="F25" i="6"/>
  <c r="E25" i="6"/>
  <c r="D25" i="6"/>
  <c r="H24" i="6"/>
  <c r="G24" i="6"/>
  <c r="F24" i="6"/>
  <c r="E24" i="6"/>
  <c r="D24" i="6"/>
  <c r="H20" i="6"/>
  <c r="G20" i="6"/>
  <c r="F20" i="6"/>
  <c r="E20" i="6"/>
  <c r="E21" i="6" s="1"/>
  <c r="E26" i="6" s="1"/>
  <c r="E38" i="6" s="1"/>
  <c r="D20" i="6"/>
  <c r="H19" i="6"/>
  <c r="G19" i="6"/>
  <c r="F19" i="6"/>
  <c r="E19" i="6"/>
  <c r="D19" i="6"/>
  <c r="H18" i="6"/>
  <c r="H21" i="6" s="1"/>
  <c r="H26" i="6" s="1"/>
  <c r="H38" i="6" s="1"/>
  <c r="G18" i="6"/>
  <c r="G21" i="6" s="1"/>
  <c r="G26" i="6" s="1"/>
  <c r="G38" i="6" s="1"/>
  <c r="F18" i="6"/>
  <c r="F21" i="6" s="1"/>
  <c r="F26" i="6" s="1"/>
  <c r="F38" i="6" s="1"/>
  <c r="E18" i="6"/>
  <c r="D18" i="6"/>
  <c r="D11" i="6"/>
  <c r="D10" i="6"/>
  <c r="D9" i="6"/>
  <c r="D8" i="6"/>
  <c r="D7" i="6"/>
  <c r="D21" i="6"/>
  <c r="D26" i="6" s="1"/>
  <c r="F39" i="3"/>
  <c r="D38" i="6" l="1"/>
  <c r="G14" i="4"/>
  <c r="H14" i="4"/>
  <c r="I14" i="4"/>
  <c r="J14" i="4"/>
  <c r="J13" i="4" s="1"/>
  <c r="F14" i="4"/>
  <c r="D37" i="5"/>
  <c r="D89" i="5"/>
  <c r="D91" i="5" s="1"/>
  <c r="D82" i="5" a="1"/>
  <c r="D82" i="5" s="1"/>
  <c r="D80" i="5"/>
  <c r="D80" i="5" a="1"/>
  <c r="D74" i="5"/>
  <c r="H60" i="5"/>
  <c r="G60" i="5"/>
  <c r="F60" i="5"/>
  <c r="E60" i="5"/>
  <c r="D60" i="5"/>
  <c r="H54" i="5"/>
  <c r="G54" i="5"/>
  <c r="F54" i="5"/>
  <c r="E54" i="5"/>
  <c r="D54" i="5"/>
  <c r="H47" i="5"/>
  <c r="H62" i="5" s="1"/>
  <c r="G47" i="5"/>
  <c r="G62" i="5" s="1"/>
  <c r="F47" i="5"/>
  <c r="F62" i="5" s="1"/>
  <c r="E47" i="5"/>
  <c r="E62" i="5" s="1"/>
  <c r="D47" i="5"/>
  <c r="H36" i="5"/>
  <c r="D19" i="5"/>
  <c r="D21" i="5" s="1"/>
  <c r="I13" i="4"/>
  <c r="H13" i="4"/>
  <c r="F13" i="4"/>
  <c r="K21" i="2"/>
  <c r="H21" i="2"/>
  <c r="G21" i="2"/>
  <c r="K20" i="2"/>
  <c r="H20" i="2"/>
  <c r="G20" i="2"/>
  <c r="I19" i="2"/>
  <c r="I21" i="2" s="1"/>
  <c r="H19" i="2"/>
  <c r="G13" i="4" l="1"/>
  <c r="D67" i="5" a="1"/>
  <c r="D67" i="5" s="1"/>
  <c r="D69" i="5" s="1"/>
  <c r="D75" i="5" s="1"/>
  <c r="D27" i="5"/>
  <c r="D26" i="5"/>
  <c r="H34" i="5" a="1"/>
  <c r="H34" i="5" s="1"/>
  <c r="H35" i="5"/>
  <c r="D62" i="5"/>
  <c r="J19" i="2"/>
  <c r="I20" i="2"/>
  <c r="H38" i="5" l="1"/>
  <c r="D34" i="5"/>
  <c r="D38" i="5" s="1"/>
  <c r="D29" i="5"/>
  <c r="J21" i="2"/>
  <c r="J20" i="2"/>
  <c r="D20" i="7" l="1"/>
  <c r="D15" i="7"/>
  <c r="D10" i="7"/>
  <c r="D5" i="4"/>
  <c r="D5" i="3"/>
  <c r="D6" i="2"/>
  <c r="F23" i="3"/>
  <c r="F22" i="3"/>
  <c r="B74" i="2" l="1"/>
  <c r="B73" i="2"/>
  <c r="B72" i="2"/>
  <c r="B65" i="1"/>
  <c r="B64" i="1"/>
  <c r="B63" i="1"/>
  <c r="D83" i="3"/>
  <c r="E83" i="3" s="1"/>
  <c r="F83" i="3" s="1"/>
  <c r="G83" i="3" s="1"/>
  <c r="H83" i="3" s="1"/>
  <c r="I83" i="3" s="1"/>
  <c r="J83" i="3" s="1"/>
  <c r="D74" i="3"/>
  <c r="D111" i="3" s="1"/>
  <c r="D66" i="3"/>
  <c r="E66" i="3" s="1"/>
  <c r="F66" i="3" s="1"/>
  <c r="G66" i="3" s="1"/>
  <c r="H66" i="3" s="1"/>
  <c r="I66" i="3" s="1"/>
  <c r="J66" i="3" s="1"/>
  <c r="D68" i="4"/>
  <c r="E68" i="4" s="1"/>
  <c r="F68" i="4" s="1"/>
  <c r="G68" i="4" s="1"/>
  <c r="H68" i="4" s="1"/>
  <c r="I68" i="4" s="1"/>
  <c r="J68" i="4" s="1"/>
  <c r="D59" i="4"/>
  <c r="E59" i="4" s="1"/>
  <c r="F59" i="4" s="1"/>
  <c r="G59" i="4" s="1"/>
  <c r="H59" i="4" s="1"/>
  <c r="I59" i="4" s="1"/>
  <c r="J59" i="4" s="1"/>
  <c r="D51" i="4"/>
  <c r="E51" i="4" s="1"/>
  <c r="F51" i="4" s="1"/>
  <c r="G51" i="4" s="1"/>
  <c r="H51" i="4" s="1"/>
  <c r="I51" i="4" s="1"/>
  <c r="J51" i="4" s="1"/>
  <c r="C50" i="4"/>
  <c r="C106" i="4"/>
  <c r="C108" i="4" s="1"/>
  <c r="D105" i="4"/>
  <c r="J101" i="4"/>
  <c r="I101" i="4"/>
  <c r="H101" i="4"/>
  <c r="G101" i="4"/>
  <c r="F101" i="4"/>
  <c r="E101" i="4"/>
  <c r="D101" i="4"/>
  <c r="C78" i="4"/>
  <c r="C57" i="4"/>
  <c r="C60" i="4" s="1"/>
  <c r="E14" i="4"/>
  <c r="D14" i="4"/>
  <c r="D15" i="4" s="1"/>
  <c r="C14" i="4"/>
  <c r="C121" i="3"/>
  <c r="C123" i="3" s="1"/>
  <c r="J116" i="3"/>
  <c r="I116" i="3"/>
  <c r="H116" i="3"/>
  <c r="G116" i="3"/>
  <c r="F116" i="3"/>
  <c r="E116" i="3"/>
  <c r="D116" i="3"/>
  <c r="C93" i="3"/>
  <c r="C72" i="3"/>
  <c r="C75" i="3" s="1"/>
  <c r="E16" i="3"/>
  <c r="D16" i="3"/>
  <c r="C16" i="3"/>
  <c r="D32" i="3" l="1"/>
  <c r="D33" i="3" s="1"/>
  <c r="C32" i="3"/>
  <c r="C33" i="3" s="1"/>
  <c r="E32" i="3"/>
  <c r="E33" i="3" s="1"/>
  <c r="E39" i="3"/>
  <c r="E103" i="3" s="1" a="1"/>
  <c r="E103" i="3" s="1"/>
  <c r="D120" i="3"/>
  <c r="D95" i="4"/>
  <c r="E87" i="4" s="1"/>
  <c r="C95" i="4"/>
  <c r="D87" i="4" s="1"/>
  <c r="D56" i="4" s="1"/>
  <c r="E50" i="4"/>
  <c r="D22" i="4"/>
  <c r="C45" i="3"/>
  <c r="F12" i="3"/>
  <c r="G12" i="3" s="1"/>
  <c r="H12" i="3" s="1"/>
  <c r="I12" i="3" s="1"/>
  <c r="J12" i="3" s="1"/>
  <c r="E65" i="3"/>
  <c r="F13" i="3"/>
  <c r="G13" i="3" s="1"/>
  <c r="H13" i="3" s="1"/>
  <c r="I13" i="3" s="1"/>
  <c r="J13" i="3" s="1"/>
  <c r="E74" i="3"/>
  <c r="F74" i="3" s="1"/>
  <c r="G74" i="3" s="1"/>
  <c r="H74" i="3" s="1"/>
  <c r="I74" i="3" s="1"/>
  <c r="J74" i="3" s="1"/>
  <c r="C37" i="3"/>
  <c r="D37" i="3"/>
  <c r="C110" i="3"/>
  <c r="D102" i="3" s="1"/>
  <c r="D71" i="3" s="1"/>
  <c r="E37" i="3"/>
  <c r="D110" i="3"/>
  <c r="E102" i="3" s="1"/>
  <c r="C38" i="3"/>
  <c r="E110" i="3"/>
  <c r="F102" i="3" s="1"/>
  <c r="C39" i="3"/>
  <c r="F14" i="3"/>
  <c r="G14" i="3" s="1"/>
  <c r="H14" i="3" s="1"/>
  <c r="I14" i="3" s="1"/>
  <c r="J14" i="3" s="1"/>
  <c r="F15" i="3"/>
  <c r="G15" i="3" s="1"/>
  <c r="H15" i="3" s="1"/>
  <c r="I15" i="3" s="1"/>
  <c r="J15" i="3" s="1"/>
  <c r="C36" i="3"/>
  <c r="E36" i="3"/>
  <c r="C65" i="3"/>
  <c r="C67" i="3" s="1"/>
  <c r="C77" i="3" s="1"/>
  <c r="D39" i="3"/>
  <c r="D103" i="3" s="1" a="1"/>
  <c r="D103" i="3" s="1"/>
  <c r="D90" i="3" s="1"/>
  <c r="D65" i="3"/>
  <c r="D36" i="3"/>
  <c r="D38" i="3"/>
  <c r="E17" i="3"/>
  <c r="E38" i="3"/>
  <c r="C24" i="4"/>
  <c r="E24" i="4"/>
  <c r="E22" i="4"/>
  <c r="E95" i="4"/>
  <c r="F87" i="4" s="1"/>
  <c r="C21" i="4"/>
  <c r="D21" i="4"/>
  <c r="D24" i="4"/>
  <c r="D88" i="4" s="1" a="1"/>
  <c r="D88" i="4" s="1"/>
  <c r="D75" i="4" s="1"/>
  <c r="E21" i="4"/>
  <c r="C23" i="4"/>
  <c r="D23" i="4"/>
  <c r="E23" i="4"/>
  <c r="C30" i="4"/>
  <c r="D17" i="4"/>
  <c r="F12" i="4"/>
  <c r="G12" i="4" s="1"/>
  <c r="H12" i="4" s="1"/>
  <c r="I12" i="4" s="1"/>
  <c r="J12" i="4" s="1"/>
  <c r="D50" i="4"/>
  <c r="C22" i="4"/>
  <c r="E90" i="4"/>
  <c r="E17" i="4"/>
  <c r="E18" i="4" s="1"/>
  <c r="E88" i="4" a="1"/>
  <c r="E88" i="4" s="1"/>
  <c r="E15" i="4"/>
  <c r="E96" i="4"/>
  <c r="C52" i="4"/>
  <c r="C62" i="4" s="1"/>
  <c r="D96" i="4"/>
  <c r="C17" i="4"/>
  <c r="D17" i="3"/>
  <c r="D105" i="3" l="1"/>
  <c r="E90" i="3"/>
  <c r="C40" i="3"/>
  <c r="C42" i="3" s="1"/>
  <c r="E82" i="3"/>
  <c r="G111" i="3"/>
  <c r="F111" i="3"/>
  <c r="E111" i="3"/>
  <c r="E112" i="3" s="1"/>
  <c r="C82" i="3"/>
  <c r="C84" i="3" s="1"/>
  <c r="C87" i="3" s="1"/>
  <c r="C95" i="3" s="1"/>
  <c r="C97" i="3" s="1"/>
  <c r="D82" i="3"/>
  <c r="D18" i="4"/>
  <c r="D67" i="4"/>
  <c r="C67" i="4"/>
  <c r="C69" i="4" s="1"/>
  <c r="C72" i="4" s="1"/>
  <c r="C80" i="4" s="1"/>
  <c r="C82" i="4" s="1"/>
  <c r="E67" i="4"/>
  <c r="D97" i="4"/>
  <c r="D55" i="4"/>
  <c r="D25" i="4"/>
  <c r="C25" i="4"/>
  <c r="F96" i="4"/>
  <c r="C18" i="4"/>
  <c r="E56" i="4"/>
  <c r="F56" i="4" s="1"/>
  <c r="E75" i="4"/>
  <c r="E25" i="4"/>
  <c r="E27" i="4" s="1"/>
  <c r="D90" i="4"/>
  <c r="E97" i="4"/>
  <c r="D112" i="3"/>
  <c r="D70" i="3"/>
  <c r="H111" i="3"/>
  <c r="F16" i="3"/>
  <c r="E71" i="3"/>
  <c r="F71" i="3" s="1"/>
  <c r="E40" i="3"/>
  <c r="E42" i="3" s="1"/>
  <c r="D40" i="3"/>
  <c r="E105" i="3"/>
  <c r="C27" i="4" l="1"/>
  <c r="C28" i="4" s="1"/>
  <c r="F28" i="3"/>
  <c r="F29" i="3"/>
  <c r="F27" i="3"/>
  <c r="F26" i="3"/>
  <c r="F32" i="3"/>
  <c r="F33" i="3"/>
  <c r="D42" i="3"/>
  <c r="D43" i="3" s="1"/>
  <c r="F38" i="3"/>
  <c r="F36" i="3"/>
  <c r="F110" i="3"/>
  <c r="F37" i="3"/>
  <c r="F65" i="3"/>
  <c r="F105" i="3" s="1"/>
  <c r="D27" i="4"/>
  <c r="D28" i="4" s="1"/>
  <c r="F23" i="4"/>
  <c r="F50" i="4"/>
  <c r="F90" i="4" s="1"/>
  <c r="F21" i="4"/>
  <c r="F95" i="4"/>
  <c r="F22" i="4"/>
  <c r="F24" i="4"/>
  <c r="E28" i="4"/>
  <c r="D91" i="4"/>
  <c r="D69" i="4"/>
  <c r="D72" i="4" s="1"/>
  <c r="E91" i="4"/>
  <c r="E69" i="4"/>
  <c r="E72" i="4" s="1"/>
  <c r="F17" i="4"/>
  <c r="F15" i="4"/>
  <c r="G96" i="4"/>
  <c r="E55" i="4"/>
  <c r="D57" i="4"/>
  <c r="D60" i="4" s="1"/>
  <c r="E43" i="3"/>
  <c r="D106" i="3"/>
  <c r="D84" i="3"/>
  <c r="D87" i="3" s="1"/>
  <c r="F17" i="3"/>
  <c r="I111" i="3"/>
  <c r="J111" i="3"/>
  <c r="E70" i="3"/>
  <c r="D72" i="3"/>
  <c r="D75" i="3" s="1"/>
  <c r="E84" i="3"/>
  <c r="E87" i="3" s="1"/>
  <c r="E106" i="3"/>
  <c r="C47" i="3"/>
  <c r="C48" i="3" s="1"/>
  <c r="C43" i="3"/>
  <c r="G16" i="3"/>
  <c r="F88" i="4" l="1" a="1"/>
  <c r="F88" i="4" s="1"/>
  <c r="F75" i="4" s="1"/>
  <c r="F18" i="4"/>
  <c r="C32" i="4"/>
  <c r="C33" i="4" s="1"/>
  <c r="G87" i="4"/>
  <c r="G56" i="4" s="1"/>
  <c r="D28" i="7"/>
  <c r="G32" i="3"/>
  <c r="G33" i="3" s="1"/>
  <c r="G102" i="3"/>
  <c r="G71" i="3" s="1"/>
  <c r="D27" i="7"/>
  <c r="F103" i="3" a="1"/>
  <c r="F103" i="3" s="1"/>
  <c r="F90" i="3" s="1"/>
  <c r="G38" i="3"/>
  <c r="G36" i="3"/>
  <c r="G110" i="3"/>
  <c r="G65" i="3"/>
  <c r="G105" i="3" s="1"/>
  <c r="G39" i="3"/>
  <c r="G37" i="3"/>
  <c r="G23" i="4"/>
  <c r="G21" i="4"/>
  <c r="G24" i="4"/>
  <c r="G50" i="4"/>
  <c r="G90" i="4" s="1"/>
  <c r="G22" i="4"/>
  <c r="G95" i="4"/>
  <c r="F67" i="4"/>
  <c r="F55" i="4"/>
  <c r="E57" i="4"/>
  <c r="E60" i="4" s="1"/>
  <c r="H96" i="4"/>
  <c r="G17" i="4"/>
  <c r="G15" i="4"/>
  <c r="F97" i="4"/>
  <c r="F25" i="4"/>
  <c r="C50" i="3"/>
  <c r="F70" i="3"/>
  <c r="E72" i="3"/>
  <c r="E75" i="3" s="1"/>
  <c r="H16" i="3"/>
  <c r="F112" i="3"/>
  <c r="F40" i="3"/>
  <c r="F42" i="3" s="1"/>
  <c r="G17" i="3"/>
  <c r="F27" i="4" l="1"/>
  <c r="G88" i="4" a="1"/>
  <c r="G88" i="4" s="1"/>
  <c r="G75" i="4" s="1"/>
  <c r="G18" i="4"/>
  <c r="C35" i="4"/>
  <c r="H87" i="4"/>
  <c r="H56" i="4" s="1"/>
  <c r="E28" i="7"/>
  <c r="H32" i="3"/>
  <c r="H33" i="3" s="1"/>
  <c r="H102" i="3"/>
  <c r="H71" i="3" s="1"/>
  <c r="E27" i="7"/>
  <c r="G103" i="3" a="1"/>
  <c r="G103" i="3" s="1"/>
  <c r="G90" i="3" s="1"/>
  <c r="G82" i="3"/>
  <c r="H38" i="3"/>
  <c r="H36" i="3"/>
  <c r="H110" i="3"/>
  <c r="H37" i="3"/>
  <c r="H65" i="3"/>
  <c r="H105" i="3" s="1"/>
  <c r="H39" i="3"/>
  <c r="G67" i="4"/>
  <c r="H23" i="4"/>
  <c r="H21" i="4"/>
  <c r="H24" i="4"/>
  <c r="H50" i="4"/>
  <c r="H90" i="4" s="1"/>
  <c r="H95" i="4"/>
  <c r="H22" i="4"/>
  <c r="F28" i="4"/>
  <c r="C36" i="4"/>
  <c r="C41" i="4"/>
  <c r="G25" i="4"/>
  <c r="F91" i="4"/>
  <c r="F69" i="4"/>
  <c r="F72" i="4" s="1"/>
  <c r="I96" i="4"/>
  <c r="J96" i="4"/>
  <c r="H17" i="4"/>
  <c r="H15" i="4"/>
  <c r="F57" i="4"/>
  <c r="F60" i="4" s="1"/>
  <c r="G55" i="4"/>
  <c r="G97" i="4"/>
  <c r="F43" i="3"/>
  <c r="G112" i="3"/>
  <c r="G40" i="3"/>
  <c r="H17" i="3"/>
  <c r="F72" i="3"/>
  <c r="F75" i="3" s="1"/>
  <c r="G70" i="3"/>
  <c r="C51" i="3"/>
  <c r="C56" i="3"/>
  <c r="I16" i="3"/>
  <c r="J16" i="3"/>
  <c r="H18" i="4" l="1"/>
  <c r="H88" i="4" a="1"/>
  <c r="H88" i="4" s="1"/>
  <c r="H75" i="4" s="1"/>
  <c r="G27" i="4"/>
  <c r="I87" i="4"/>
  <c r="F28" i="7"/>
  <c r="J32" i="3"/>
  <c r="J33" i="3" s="1"/>
  <c r="I32" i="3"/>
  <c r="I33" i="3" s="1"/>
  <c r="G42" i="3"/>
  <c r="G43" i="3" s="1"/>
  <c r="H103" i="3" a="1"/>
  <c r="H103" i="3" s="1"/>
  <c r="H90" i="3" s="1"/>
  <c r="I102" i="3"/>
  <c r="I71" i="3" s="1"/>
  <c r="F27" i="7"/>
  <c r="H82" i="3"/>
  <c r="H84" i="3" s="1"/>
  <c r="H87" i="3" s="1"/>
  <c r="H40" i="3"/>
  <c r="J36" i="3"/>
  <c r="J39" i="3"/>
  <c r="J65" i="3"/>
  <c r="J38" i="3"/>
  <c r="J110" i="3"/>
  <c r="J37" i="3"/>
  <c r="I38" i="3"/>
  <c r="I36" i="3"/>
  <c r="I39" i="3"/>
  <c r="I65" i="3"/>
  <c r="I105" i="3" s="1"/>
  <c r="I110" i="3"/>
  <c r="I37" i="3"/>
  <c r="J21" i="4"/>
  <c r="J24" i="4"/>
  <c r="J95" i="4"/>
  <c r="J22" i="4"/>
  <c r="J23" i="4"/>
  <c r="J50" i="4"/>
  <c r="I23" i="4"/>
  <c r="I21" i="4"/>
  <c r="I24" i="4"/>
  <c r="I22" i="4"/>
  <c r="I95" i="4"/>
  <c r="I50" i="4"/>
  <c r="I90" i="4" s="1"/>
  <c r="H67" i="4"/>
  <c r="G28" i="4"/>
  <c r="J17" i="4"/>
  <c r="J15" i="4"/>
  <c r="I17" i="4"/>
  <c r="I15" i="4"/>
  <c r="G69" i="4"/>
  <c r="G72" i="4" s="1"/>
  <c r="G91" i="4"/>
  <c r="G57" i="4"/>
  <c r="G60" i="4" s="1"/>
  <c r="H55" i="4"/>
  <c r="H97" i="4"/>
  <c r="I56" i="4"/>
  <c r="H25" i="4"/>
  <c r="H27" i="4" s="1"/>
  <c r="J17" i="3"/>
  <c r="G84" i="3"/>
  <c r="G87" i="3" s="1"/>
  <c r="G72" i="3"/>
  <c r="G75" i="3" s="1"/>
  <c r="H70" i="3"/>
  <c r="H112" i="3"/>
  <c r="I17" i="3"/>
  <c r="I88" i="4" l="1" a="1"/>
  <c r="I88" i="4" s="1"/>
  <c r="I75" i="4" s="1"/>
  <c r="I18" i="4"/>
  <c r="J88" i="4" a="1"/>
  <c r="J88" i="4" s="1"/>
  <c r="J87" i="4"/>
  <c r="J56" i="4" s="1"/>
  <c r="G28" i="7"/>
  <c r="J97" i="4"/>
  <c r="H28" i="7"/>
  <c r="J103" i="3" a="1"/>
  <c r="J103" i="3" s="1"/>
  <c r="J82" i="3"/>
  <c r="H42" i="3"/>
  <c r="H43" i="3" s="1"/>
  <c r="J112" i="3"/>
  <c r="H27" i="7"/>
  <c r="J102" i="3"/>
  <c r="J71" i="3" s="1"/>
  <c r="G27" i="7"/>
  <c r="I103" i="3" a="1"/>
  <c r="I103" i="3" s="1"/>
  <c r="I90" i="3" s="1"/>
  <c r="H106" i="3"/>
  <c r="J40" i="3"/>
  <c r="I25" i="4"/>
  <c r="I27" i="4" s="1"/>
  <c r="I82" i="3"/>
  <c r="I67" i="4"/>
  <c r="J67" i="4"/>
  <c r="J18" i="4"/>
  <c r="H28" i="4"/>
  <c r="J75" i="4"/>
  <c r="H57" i="4"/>
  <c r="H60" i="4" s="1"/>
  <c r="I55" i="4"/>
  <c r="J90" i="4"/>
  <c r="J25" i="4"/>
  <c r="I97" i="4"/>
  <c r="H69" i="4"/>
  <c r="H72" i="4" s="1"/>
  <c r="H91" i="4"/>
  <c r="I70" i="3"/>
  <c r="H72" i="3"/>
  <c r="H75" i="3" s="1"/>
  <c r="I112" i="3"/>
  <c r="J105" i="3"/>
  <c r="I40" i="3"/>
  <c r="I42" i="3" l="1"/>
  <c r="I43" i="3" s="1"/>
  <c r="J90" i="3"/>
  <c r="J42" i="3"/>
  <c r="J43" i="3" s="1"/>
  <c r="J27" i="4"/>
  <c r="J28" i="4" s="1"/>
  <c r="I28" i="4"/>
  <c r="J69" i="4"/>
  <c r="J72" i="4" s="1"/>
  <c r="J91" i="4"/>
  <c r="I57" i="4"/>
  <c r="I60" i="4" s="1"/>
  <c r="J55" i="4"/>
  <c r="J57" i="4" s="1"/>
  <c r="J60" i="4" s="1"/>
  <c r="I69" i="4"/>
  <c r="I72" i="4" s="1"/>
  <c r="I91" i="4"/>
  <c r="I84" i="3"/>
  <c r="I87" i="3" s="1"/>
  <c r="I106" i="3"/>
  <c r="I72" i="3"/>
  <c r="I75" i="3" s="1"/>
  <c r="J70" i="3"/>
  <c r="J72" i="3" s="1"/>
  <c r="J75" i="3" s="1"/>
  <c r="J84" i="3"/>
  <c r="J87" i="3" s="1"/>
  <c r="J106" i="3"/>
  <c r="H44" i="7" l="1" a="1"/>
  <c r="H44" i="7" s="1"/>
  <c r="G44" i="7" a="1"/>
  <c r="G44" i="7" s="1"/>
  <c r="F44" i="7" a="1"/>
  <c r="F44" i="7" s="1"/>
  <c r="E44" i="7" a="1"/>
  <c r="E44" i="7" s="1"/>
  <c r="D44" i="7" a="1"/>
  <c r="D44" i="7" s="1"/>
  <c r="H37" i="7" a="1"/>
  <c r="H37" i="7" s="1"/>
  <c r="G37" i="7" a="1"/>
  <c r="G37" i="7" s="1"/>
  <c r="F37" i="7" a="1"/>
  <c r="F37" i="7" s="1"/>
  <c r="E37" i="7" a="1"/>
  <c r="E37" i="7" s="1"/>
  <c r="D37" i="7" a="1"/>
  <c r="D37" i="7" s="1"/>
  <c r="H30" i="7" a="1"/>
  <c r="H30" i="7" s="1"/>
  <c r="G30" i="7" a="1"/>
  <c r="G30" i="7" s="1"/>
  <c r="F30" i="7" a="1"/>
  <c r="F30" i="7" s="1"/>
  <c r="E30" i="7" a="1"/>
  <c r="E30" i="7" s="1"/>
  <c r="D30" i="7" a="1"/>
  <c r="D30" i="7" s="1"/>
  <c r="D42" i="7" l="1"/>
  <c r="D41" i="7" l="1"/>
  <c r="D43" i="7" s="1"/>
  <c r="D45" i="7" s="1"/>
  <c r="D55" i="7" s="1" a="1"/>
  <c r="D55" i="7" s="1"/>
  <c r="E42" i="7"/>
  <c r="D34" i="7"/>
  <c r="D29" i="7" l="1"/>
  <c r="D31" i="7" s="1"/>
  <c r="D53" i="7" s="1" a="1"/>
  <c r="D53" i="7" s="1"/>
  <c r="F42" i="7"/>
  <c r="E41" i="7"/>
  <c r="E43" i="7" s="1"/>
  <c r="E45" i="7" s="1"/>
  <c r="E55" i="7" s="1" a="1"/>
  <c r="E55" i="7" s="1"/>
  <c r="D35" i="7"/>
  <c r="D36" i="7" s="1"/>
  <c r="D38" i="7" s="1"/>
  <c r="D54" i="7" s="1" a="1"/>
  <c r="D54" i="7" s="1"/>
  <c r="E34" i="7"/>
  <c r="F41" i="7" l="1"/>
  <c r="F43" i="7" s="1"/>
  <c r="F45" i="7" s="1"/>
  <c r="F55" i="7" s="1" a="1"/>
  <c r="F55" i="7" s="1"/>
  <c r="D56" i="7"/>
  <c r="D59" i="7" s="1"/>
  <c r="D64" i="7" s="1"/>
  <c r="F34" i="7"/>
  <c r="H41" i="7" l="1"/>
  <c r="G41" i="7"/>
  <c r="G42" i="7"/>
  <c r="H42" i="7"/>
  <c r="H34" i="7"/>
  <c r="G34" i="7"/>
  <c r="G43" i="7" l="1"/>
  <c r="G45" i="7" s="1"/>
  <c r="G55" i="7" s="1" a="1"/>
  <c r="G55" i="7" s="1"/>
  <c r="H43" i="7"/>
  <c r="H45" i="7" s="1"/>
  <c r="H55" i="7" s="1" a="1"/>
  <c r="H55" i="7" s="1"/>
  <c r="E35" i="7" l="1"/>
  <c r="E36" i="7" s="1"/>
  <c r="E38" i="7" s="1"/>
  <c r="E54" i="7" s="1" a="1"/>
  <c r="E54" i="7" s="1"/>
  <c r="E29" i="7"/>
  <c r="E31" i="7" s="1"/>
  <c r="E53" i="7" s="1" a="1"/>
  <c r="E53" i="7" s="1"/>
  <c r="F35" i="7"/>
  <c r="F36" i="7" s="1"/>
  <c r="F38" i="7" s="1"/>
  <c r="F54" i="7" s="1" a="1"/>
  <c r="F54" i="7" s="1"/>
  <c r="F29" i="7"/>
  <c r="F31" i="7" s="1"/>
  <c r="F53" i="7" s="1" a="1"/>
  <c r="F53" i="7" s="1"/>
  <c r="E56" i="7" l="1"/>
  <c r="E59" i="7" s="1"/>
  <c r="E64" i="7" s="1"/>
  <c r="F56" i="7"/>
  <c r="F59" i="7" s="1"/>
  <c r="F64" i="7" s="1"/>
  <c r="G35" i="7"/>
  <c r="G36" i="7" s="1"/>
  <c r="G38" i="7" s="1"/>
  <c r="G54" i="7" s="1" a="1"/>
  <c r="G54" i="7" s="1"/>
  <c r="G29" i="7"/>
  <c r="G31" i="7" s="1"/>
  <c r="G53" i="7" s="1" a="1"/>
  <c r="G53" i="7" s="1"/>
  <c r="H35" i="7"/>
  <c r="H36" i="7" s="1"/>
  <c r="H38" i="7" s="1"/>
  <c r="H54" i="7" s="1" a="1"/>
  <c r="H54" i="7" s="1"/>
  <c r="G56" i="7" l="1"/>
  <c r="G59" i="7" s="1"/>
  <c r="G64" i="7" s="1"/>
  <c r="H29" i="7"/>
  <c r="H31" i="7" s="1"/>
  <c r="H53" i="7" s="1" a="1"/>
  <c r="H53" i="7" s="1"/>
  <c r="H56" i="7" s="1"/>
  <c r="H59" i="7" s="1"/>
  <c r="H64" i="7" s="1"/>
  <c r="F82" i="3" l="1"/>
  <c r="F106" i="3" s="1"/>
  <c r="F84" i="3" l="1"/>
  <c r="F87" i="3" s="1"/>
  <c r="G106" i="3"/>
  <c r="F30" i="3"/>
  <c r="D45" i="3"/>
  <c r="E45" i="3"/>
  <c r="F45" i="3"/>
  <c r="G45" i="3"/>
  <c r="H45" i="3"/>
  <c r="I45" i="3"/>
  <c r="J45" i="3"/>
  <c r="D47" i="3"/>
  <c r="E47" i="3"/>
  <c r="F47" i="3"/>
  <c r="G47" i="3"/>
  <c r="H47" i="3"/>
  <c r="I47" i="3"/>
  <c r="J47" i="3"/>
  <c r="D48" i="3"/>
  <c r="E48" i="3"/>
  <c r="F48" i="3"/>
  <c r="G48" i="3"/>
  <c r="H48" i="3"/>
  <c r="I48" i="3"/>
  <c r="J48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D56" i="3"/>
  <c r="E56" i="3"/>
  <c r="F56" i="3"/>
  <c r="G56" i="3"/>
  <c r="H56" i="3"/>
  <c r="I56" i="3"/>
  <c r="J56" i="3"/>
  <c r="D64" i="3"/>
  <c r="E64" i="3"/>
  <c r="F64" i="3"/>
  <c r="G64" i="3"/>
  <c r="H64" i="3"/>
  <c r="I64" i="3"/>
  <c r="J64" i="3"/>
  <c r="D67" i="3"/>
  <c r="E67" i="3"/>
  <c r="F67" i="3"/>
  <c r="G67" i="3"/>
  <c r="H67" i="3"/>
  <c r="I67" i="3"/>
  <c r="J67" i="3"/>
  <c r="D77" i="3"/>
  <c r="E77" i="3"/>
  <c r="F77" i="3"/>
  <c r="G77" i="3"/>
  <c r="H77" i="3"/>
  <c r="I77" i="3"/>
  <c r="J77" i="3"/>
  <c r="D91" i="3"/>
  <c r="E91" i="3"/>
  <c r="F91" i="3"/>
  <c r="G91" i="3"/>
  <c r="H91" i="3"/>
  <c r="I91" i="3"/>
  <c r="J91" i="3"/>
  <c r="D92" i="3"/>
  <c r="E92" i="3"/>
  <c r="F92" i="3"/>
  <c r="G92" i="3"/>
  <c r="H92" i="3"/>
  <c r="I92" i="3"/>
  <c r="J92" i="3"/>
  <c r="D93" i="3"/>
  <c r="E93" i="3"/>
  <c r="F93" i="3"/>
  <c r="G93" i="3"/>
  <c r="H93" i="3"/>
  <c r="I93" i="3"/>
  <c r="J93" i="3"/>
  <c r="D95" i="3"/>
  <c r="E95" i="3"/>
  <c r="F95" i="3"/>
  <c r="G95" i="3"/>
  <c r="H95" i="3"/>
  <c r="I95" i="3"/>
  <c r="J95" i="3"/>
  <c r="D97" i="3"/>
  <c r="E97" i="3"/>
  <c r="F97" i="3"/>
  <c r="G97" i="3"/>
  <c r="H97" i="3"/>
  <c r="I97" i="3"/>
  <c r="J97" i="3"/>
  <c r="D101" i="3" a="1"/>
  <c r="D101" i="3"/>
  <c r="E101" i="3" a="1"/>
  <c r="E101" i="3"/>
  <c r="F101" i="3" a="1"/>
  <c r="F101" i="3"/>
  <c r="G101" i="3" a="1"/>
  <c r="G101" i="3"/>
  <c r="H101" i="3" a="1"/>
  <c r="H101" i="3"/>
  <c r="I101" i="3" a="1"/>
  <c r="I101" i="3"/>
  <c r="J101" i="3" a="1"/>
  <c r="J101" i="3"/>
  <c r="D107" i="3"/>
  <c r="E107" i="3"/>
  <c r="F107" i="3"/>
  <c r="G107" i="3"/>
  <c r="H107" i="3"/>
  <c r="I107" i="3"/>
  <c r="J107" i="3"/>
  <c r="D115" i="3"/>
  <c r="E115" i="3"/>
  <c r="F115" i="3"/>
  <c r="G115" i="3"/>
  <c r="H115" i="3"/>
  <c r="I115" i="3"/>
  <c r="J115" i="3"/>
  <c r="D117" i="3"/>
  <c r="E117" i="3"/>
  <c r="F117" i="3"/>
  <c r="G117" i="3"/>
  <c r="H117" i="3"/>
  <c r="I117" i="3"/>
  <c r="J117" i="3"/>
  <c r="D119" i="3"/>
  <c r="E119" i="3"/>
  <c r="F119" i="3"/>
  <c r="G119" i="3"/>
  <c r="H119" i="3"/>
  <c r="I119" i="3"/>
  <c r="J119" i="3"/>
  <c r="E120" i="3"/>
  <c r="F120" i="3"/>
  <c r="G120" i="3"/>
  <c r="H120" i="3"/>
  <c r="I120" i="3"/>
  <c r="J120" i="3"/>
  <c r="D121" i="3"/>
  <c r="E121" i="3"/>
  <c r="F121" i="3"/>
  <c r="G121" i="3"/>
  <c r="H121" i="3"/>
  <c r="I121" i="3"/>
  <c r="J121" i="3"/>
  <c r="D123" i="3"/>
  <c r="E123" i="3"/>
  <c r="F123" i="3"/>
  <c r="G123" i="3"/>
  <c r="H123" i="3"/>
  <c r="I123" i="3"/>
  <c r="J123" i="3"/>
  <c r="F128" i="3"/>
  <c r="F129" i="3"/>
  <c r="F131" i="3"/>
  <c r="G131" i="3"/>
  <c r="H131" i="3"/>
  <c r="I131" i="3"/>
  <c r="J131" i="3"/>
  <c r="F132" i="3"/>
  <c r="G132" i="3"/>
  <c r="H132" i="3"/>
  <c r="I132" i="3"/>
  <c r="J132" i="3"/>
  <c r="F133" i="3"/>
  <c r="G133" i="3"/>
  <c r="H133" i="3"/>
  <c r="I133" i="3"/>
  <c r="J133" i="3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  <c r="F113" i="4"/>
  <c r="F114" i="4"/>
  <c r="F116" i="4"/>
  <c r="G116" i="4"/>
  <c r="H116" i="4"/>
  <c r="I116" i="4"/>
  <c r="J116" i="4"/>
  <c r="F117" i="4"/>
  <c r="G117" i="4"/>
  <c r="H117" i="4"/>
  <c r="I117" i="4"/>
  <c r="J117" i="4"/>
  <c r="F118" i="4"/>
  <c r="G118" i="4"/>
  <c r="H118" i="4"/>
  <c r="I118" i="4"/>
  <c r="J118" i="4"/>
  <c r="D40" i="6"/>
  <c r="E40" i="6"/>
  <c r="F40" i="6"/>
  <c r="G40" i="6"/>
  <c r="H40" i="6"/>
  <c r="D42" i="6"/>
  <c r="E42" i="6"/>
  <c r="F42" i="6"/>
  <c r="G42" i="6"/>
  <c r="H42" i="6"/>
  <c r="D43" i="6"/>
  <c r="E43" i="6"/>
  <c r="F43" i="6"/>
  <c r="G43" i="6"/>
  <c r="H43" i="6"/>
  <c r="D45" i="6"/>
  <c r="E45" i="6"/>
  <c r="F45" i="6"/>
  <c r="G45" i="6"/>
  <c r="H45" i="6"/>
  <c r="D50" i="6"/>
  <c r="E50" i="6"/>
  <c r="F50" i="6"/>
  <c r="G50" i="6"/>
  <c r="H50" i="6"/>
  <c r="D51" i="6"/>
  <c r="E51" i="6"/>
  <c r="F51" i="6"/>
  <c r="G51" i="6"/>
  <c r="H5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<sst xmlns="http://schemas.openxmlformats.org/spreadsheetml/2006/main" count="555" uniqueCount="302">
  <si>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</si>
  <si>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</si>
  <si>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</si>
  <si>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</si>
  <si>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</si>
  <si>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</si>
  <si>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</si>
  <si>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</si>
  <si>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</si>
  <si>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</si>
  <si>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</si>
  <si>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</si>
  <si>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</si>
  <si>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</si>
  <si>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</si>
  <si>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</si>
  <si>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</si>
  <si>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</si>
  <si>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</si>
  <si>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</si>
  <si>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</si>
  <si>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</si>
  <si>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</si>
  <si>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</si>
  <si>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</si>
  <si>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</si>
  <si>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</si>
  <si>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</si>
  <si>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</si>
  <si>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</si>
  <si>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</si>
  <si>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</si>
  <si>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</si>
  <si>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</si>
  <si>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</si>
  <si>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</si>
  <si>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</si>
  <si>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</si>
  <si>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</si>
  <si>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</si>
  <si>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</si>
  <si>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</si>
  <si>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</si>
  <si>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</si>
  <si>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</si>
  <si>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Total Revenue</t>
  </si>
  <si>
    <t xml:space="preserve">  YoY Growth %</t>
  </si>
  <si>
    <t>OPERATING EXPENSES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</si>
  <si>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</si>
  <si>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</si>
  <si>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</si>
  <si>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</si>
  <si>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</si>
  <si>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</si>
  <si>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</si>
  <si>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</si>
  <si>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</si>
  <si>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</si>
  <si>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</si>
  <si>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</si>
  <si>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</si>
  <si>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</si>
  <si>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</si>
  <si>
    <t>BALANCE SHEET</t>
  </si>
  <si>
    <t>ASSETS</t>
  </si>
  <si>
    <t>Current Assets</t>
  </si>
  <si>
    <t xml:space="preserve">  Cash &amp; Cash Equivalents</t>
  </si>
  <si>
    <t xml:space="preserve">  Accounts Receivable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</si>
  <si>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</si>
  <si>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</si>
  <si>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</si>
  <si>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</si>
  <si>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</si>
  <si>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</si>
  <si>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</si>
  <si>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</si>
  <si>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</si>
  <si>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</si>
  <si>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</si>
  <si>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</si>
  <si>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</si>
  <si>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Debt</t>
  </si>
  <si>
    <t>Total Liabilities</t>
  </si>
  <si>
    <t>Shareholders' Equity</t>
  </si>
  <si>
    <t xml:space="preserve">  Retained Earnings</t>
  </si>
  <si>
    <t>Total Shareholders' Equity</t>
  </si>
  <si>
    <t>TOTAL LIABILITIES &amp; EQUITY</t>
  </si>
  <si>
    <t>Balance Check (Assets - L&amp;E)</t>
  </si>
  <si>
    <t>CASH FLOW STATEMENT</t>
  </si>
  <si>
    <t>Cash Flow from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</si>
  <si>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</si>
  <si>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</si>
  <si>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</si>
  <si>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Changes in Working Capital: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</si>
  <si>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</si>
  <si>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</si>
  <si>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</si>
  <si>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</si>
  <si>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</si>
  <si>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</si>
  <si>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</si>
  <si>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</si>
  <si>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</si>
  <si>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</si>
  <si>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Ending Cash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</si>
  <si>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</si>
  <si>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</si>
  <si>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</si>
  <si>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</si>
  <si>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M&amp;A TRANSACTION ASSUMPTIONS - COMPANY1153 / COMPANY1808 COMBINATION</t>
  </si>
  <si>
    <t>Pro Forma Merger Model Assumptions</t>
  </si>
  <si>
    <t>1. TRANSACTION OVERVIEW</t>
  </si>
  <si>
    <t>Transaction Structure</t>
  </si>
  <si>
    <t xml:space="preserve">  Acquirer</t>
  </si>
  <si>
    <t>Company1153 (Company0215)</t>
  </si>
  <si>
    <t xml:space="preserve">  Target</t>
  </si>
  <si>
    <t>Company1809</t>
  </si>
  <si>
    <t xml:space="preserve">  Transaction Type</t>
  </si>
  <si>
    <t>Stock &amp; Cash Combination</t>
  </si>
  <si>
    <t xml:space="preserve">  Announcement Date</t>
  </si>
  <si>
    <t>Q1 2024</t>
  </si>
  <si>
    <t xml:space="preserve">  Expected Close</t>
  </si>
  <si>
    <t>2. PURCHASE PRICE CALCULATION</t>
  </si>
  <si>
    <t>Stock Prices &amp; Premium</t>
  </si>
  <si>
    <t xml:space="preserve">  Company1808 Current Stock Price</t>
  </si>
  <si>
    <t xml:space="preserve">  Premium Offered</t>
  </si>
  <si>
    <t xml:space="preserve">  Offer Price per Share</t>
  </si>
  <si>
    <t xml:space="preserve">  Company1808 Shares Outstanding (mm)</t>
  </si>
  <si>
    <t xml:space="preserve">  Total Purchase Price ($mm)</t>
  </si>
  <si>
    <t>Consideration Mix</t>
  </si>
  <si>
    <t xml:space="preserve">  % Cash Consideration</t>
  </si>
  <si>
    <t xml:space="preserve">  % Stock Consideration</t>
  </si>
  <si>
    <t xml:space="preserve">  Cash Required ($mm)</t>
  </si>
  <si>
    <t xml:space="preserve">  Stock Value Required ($mm)</t>
  </si>
  <si>
    <t xml:space="preserve">  Company1153 Stock Price</t>
  </si>
  <si>
    <t xml:space="preserve">  New Company1153 Shares Issued (mm)</t>
  </si>
  <si>
    <t>3. SOURCES &amp; USES OF FUNDS</t>
  </si>
  <si>
    <t>Sources of Funds ($mm)</t>
  </si>
  <si>
    <t>Uses of Funds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</si>
  <si>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</si>
  <si>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</si>
  <si>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</si>
  <si>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</si>
  <si>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</si>
  <si>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</si>
  <si>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</si>
  <si>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</si>
  <si>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Total Sources</t>
  </si>
  <si>
    <t>Total Uses</t>
  </si>
  <si>
    <t>4. SYNERGY ASSUMPTIONS</t>
  </si>
  <si>
    <t>Revenue Synergies ($mm)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</si>
  <si>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</si>
  <si>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</si>
  <si>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</si>
  <si>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</si>
  <si>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</si>
  <si>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</si>
  <si>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</si>
  <si>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</si>
  <si>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</si>
  <si>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($mm)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</si>
  <si>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</si>
  <si>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</si>
  <si>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</si>
  <si>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</si>
  <si>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</si>
  <si>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</si>
  <si>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</si>
  <si>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</si>
  <si>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</si>
  <si>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5. PURCHASE ACCOUNTING</t>
  </si>
  <si>
    <t>Purchase Price Allocation ($mm)</t>
  </si>
  <si>
    <t xml:space="preserve">  Less: Book Value of Equity</t>
  </si>
  <si>
    <t xml:space="preserve">  Premium Over Book</t>
  </si>
  <si>
    <t>Allocation:</t>
  </si>
  <si>
    <t xml:space="preserve">  PP&amp;E Fair Value Adjustment</t>
  </si>
  <si>
    <t xml:space="preserve">  Deferred Tax Liability</t>
  </si>
  <si>
    <t xml:space="preserve">  Goodwill</t>
  </si>
  <si>
    <t>6. FINANCING ASSUMPTIONS</t>
  </si>
  <si>
    <t>Debt Financing</t>
  </si>
  <si>
    <t xml:space="preserve">  Term Loan Amount ($mm)</t>
  </si>
  <si>
    <t xml:space="preserve">  Term Loan Interest Rate</t>
  </si>
  <si>
    <t xml:space="preserve">  Bridge Loan Amount ($mm)</t>
  </si>
  <si>
    <t xml:space="preserve">  Bridge Loan Interest Rate</t>
  </si>
  <si>
    <t xml:space="preserve">  Mandatory Amortization % p.a.</t>
  </si>
  <si>
    <t>7. PRO FORMA ADJUSTMENTS</t>
  </si>
  <si>
    <t>Amortization of Intangibles</t>
  </si>
  <si>
    <t xml:space="preserve">  Intangible Asset Value ($mm)</t>
  </si>
  <si>
    <t xml:space="preserve">  Amortization Period (years)</t>
  </si>
  <si>
    <t xml:space="preserve">  Annual Amortization ($mm)</t>
  </si>
  <si>
    <t>Other Adjustments</t>
  </si>
  <si>
    <t xml:space="preserve">  Stock-Based Comp Adjustment %</t>
  </si>
  <si>
    <t xml:space="preserve">  Combined Tax Rate</t>
  </si>
  <si>
    <t>PRO FORMA COMBINED ENTITY - COMPANY1153 / COMPANY1808</t>
  </si>
  <si>
    <t>TRANSACTION SUMMARY</t>
  </si>
  <si>
    <t>Purchase Price ($mm):</t>
  </si>
  <si>
    <t>Cash Consideration:</t>
  </si>
  <si>
    <t>Stock Consideration:</t>
  </si>
  <si>
    <t>Total Debt Raised:</t>
  </si>
  <si>
    <t>Goodwill Created:</t>
  </si>
  <si>
    <t>PRO FORMA INCOME STATEMENT</t>
  </si>
  <si>
    <t>For the Year Ending</t>
  </si>
  <si>
    <t>COMBINED REVENUE</t>
  </si>
  <si>
    <t xml:space="preserve">  Company1153 Revenue</t>
  </si>
  <si>
    <t xml:space="preserve">  Company1808 Revenue</t>
  </si>
  <si>
    <t xml:space="preserve">  Revenue Synergies</t>
  </si>
  <si>
    <t>Total Combined Revenue</t>
  </si>
  <si>
    <t xml:space="preserve">  Cost of Revenue (Combined)</t>
  </si>
  <si>
    <t xml:space="preserve">  Infrastructure Synergy</t>
  </si>
  <si>
    <t xml:space="preserve">  R&amp;D (Combined)</t>
  </si>
  <si>
    <t xml:space="preserve">  R&amp;D Synergy</t>
  </si>
  <si>
    <t xml:space="preserve">  S&amp;M (Combined)</t>
  </si>
  <si>
    <t xml:space="preserve">  S&amp;M Synergy</t>
  </si>
  <si>
    <t xml:space="preserve">  G&amp;A (Combined)</t>
  </si>
  <si>
    <t xml:space="preserve">  G&amp;A Synergy</t>
  </si>
  <si>
    <t xml:space="preserve">  Dis-synergies &amp; Integration</t>
  </si>
  <si>
    <t>EBIT</t>
  </si>
  <si>
    <t>EBT</t>
  </si>
  <si>
    <t xml:space="preserve">  Taxes</t>
  </si>
  <si>
    <t>ACCRETION / DILUTION ANALYSIS</t>
  </si>
  <si>
    <t>Pro Forma Shares (mm)</t>
  </si>
  <si>
    <t>Pro Forma EPS</t>
  </si>
  <si>
    <t>% Accretion (Dilution)</t>
  </si>
  <si>
    <t xml:space="preserve">  Stock-Based Compensation (Combined)</t>
  </si>
  <si>
    <t>Product0338 Operating Margin</t>
  </si>
  <si>
    <t xml:space="preserve">  Operating Margin (%)</t>
  </si>
  <si>
    <t>Q4 2023</t>
  </si>
  <si>
    <t>SYNERGY ANALYSIS - COMPANY1153 / COMPANY1808 COMBINATION</t>
  </si>
  <si>
    <t>Detailed Cost and Revenue Synergy Modeling</t>
  </si>
  <si>
    <t>SYNERGY ASSUMPTIONS</t>
  </si>
  <si>
    <t>1. Infrastructure Cost Savings</t>
  </si>
  <si>
    <t xml:space="preserve">  % of Combined CapEx Savings</t>
  </si>
  <si>
    <t>Conservative</t>
  </si>
  <si>
    <t>Aggressive</t>
  </si>
  <si>
    <t xml:space="preserve">  Selected Scenario:</t>
  </si>
  <si>
    <t>2. R&amp;D Efficiency Gains</t>
  </si>
  <si>
    <t xml:space="preserve">  % Reduction in Combined R&amp;D</t>
  </si>
  <si>
    <t>3. Revenue Synergies - Cross-Platform Advertising</t>
  </si>
  <si>
    <t xml:space="preserve">  % Revenue Uplift</t>
  </si>
  <si>
    <t>SYNERGY CALCULATIONS</t>
  </si>
  <si>
    <t>Infrastructure Cost Savings</t>
  </si>
  <si>
    <t xml:space="preserve">  Company1153 CapEx</t>
  </si>
  <si>
    <t xml:space="preserve">  Company1808 CapEx</t>
  </si>
  <si>
    <t xml:space="preserve">  Combined CapEx</t>
  </si>
  <si>
    <t xml:space="preserve">  Savings %</t>
  </si>
  <si>
    <t>R&amp;D Efficiency Gains</t>
  </si>
  <si>
    <t xml:space="preserve">  Company1153 R&amp;D Expense</t>
  </si>
  <si>
    <t xml:space="preserve">  Company1808 R&amp;D Expense</t>
  </si>
  <si>
    <t xml:space="preserve">  Combined R&amp;D</t>
  </si>
  <si>
    <t xml:space="preserve">  Efficiency %</t>
  </si>
  <si>
    <t>Revenue Synergies</t>
  </si>
  <si>
    <t xml:space="preserve">  Combined Revenue</t>
  </si>
  <si>
    <t xml:space="preserve">  Revenue Uplift %</t>
  </si>
  <si>
    <t xml:space="preserve">  Revenue Synergy</t>
  </si>
  <si>
    <t>Phase-in Schedule</t>
  </si>
  <si>
    <t xml:space="preserve">  Year 1 Realization %</t>
  </si>
  <si>
    <t>TOTAL SYNERGIES SUMMARY</t>
  </si>
  <si>
    <t>Gross Synergies</t>
  </si>
  <si>
    <t xml:space="preserve">  Infrastructure Savings</t>
  </si>
  <si>
    <t xml:space="preserve">  Revenue Uplift</t>
  </si>
  <si>
    <t>Total Gross Synergies</t>
  </si>
  <si>
    <t>After Phase-in</t>
  </si>
  <si>
    <t xml:space="preserve">  Realized Synergies</t>
  </si>
  <si>
    <t>Implementation Costs</t>
  </si>
  <si>
    <t xml:space="preserve">  One-time Costs</t>
  </si>
  <si>
    <t>INCOME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</si>
  <si>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</si>
  <si>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</si>
  <si>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</si>
  <si>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</si>
  <si>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</si>
  <si>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(on cash)</t>
  </si>
  <si>
    <t xml:space="preserve">  Interest Expense Rate (on LT debt)</t>
  </si>
  <si>
    <t>New interest expense</t>
  </si>
  <si>
    <t>Existing interest expense / (income)</t>
  </si>
  <si>
    <t>Quarterly Seasonality</t>
  </si>
  <si>
    <t xml:space="preserve">  Seasonality Factors (% of Annual)</t>
  </si>
  <si>
    <t xml:space="preserve">    Q1 Factor</t>
  </si>
  <si>
    <t xml:space="preserve">    Q2 Factor</t>
  </si>
  <si>
    <t xml:space="preserve">    Q3 Factor</t>
  </si>
  <si>
    <t xml:space="preserve">    Q4 Factor</t>
  </si>
  <si>
    <t xml:space="preserve">  2024 Quarterly Revenue ($mm)</t>
  </si>
  <si>
    <t xml:space="preserve">    Q1 2024</t>
  </si>
  <si>
    <t xml:space="preserve">    Q2 2024</t>
  </si>
  <si>
    <t xml:space="preserve">    Q3 2024</t>
  </si>
  <si>
    <t xml:space="preserve">    Q4 2024</t>
  </si>
  <si>
    <t xml:space="preserve">    Total Check</t>
  </si>
  <si>
    <t>% of total revenue</t>
  </si>
  <si>
    <t xml:space="preserve">  Identifiable Intangible Assets</t>
  </si>
  <si>
    <t xml:space="preserve">  Amortization of new intangibles</t>
  </si>
  <si>
    <t>VALUATION MULTIPLES</t>
  </si>
  <si>
    <t>2024E</t>
  </si>
  <si>
    <t>2025E</t>
  </si>
  <si>
    <t>2026E</t>
  </si>
  <si>
    <t>2027E</t>
  </si>
  <si>
    <t>2028E</t>
  </si>
  <si>
    <t>Market Cap ($B)</t>
  </si>
  <si>
    <t>Net Debt ($B)</t>
  </si>
  <si>
    <t>Enterprise Value ($B)</t>
  </si>
  <si>
    <t>EV / Revenue</t>
  </si>
  <si>
    <t>EV / EBITDA</t>
  </si>
  <si>
    <t>P /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</si>
</sst>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164" formatCode="_([$$-409]* #,##0_);_([$$-409]* \(#,##0\);_([$$-409]* &quot;-&quot;_);_(@_)"/>
    <numFmt numFmtId="165" formatCode="\$#,##0.00"/>
    <numFmt numFmtId="166" formatCode="_([$$-409]* #,##0.00_);_([$$-409]* \(#,##0.00\);_([$$-409]* &quot;-&quot;??_);_(@_)"/>
    <numFmt numFmtId="167" formatCode="#,##0.0"/>
    <numFmt numFmtId="168" formatCode="0.00%;\(0.00%\)"/>
    <numFmt numFmtId="169" formatCode="0.0%"/>
    <numFmt numFmtId="170" formatCode="#,##0.0\x"/>
  </numFmts>
  <fonts count="2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i/>
      <sz val="9"/>
      <color rgb="FF666666"/>
      <name val="Aptos Narrow"/>
      <family val="2"/>
    </font>
    <font>
      <sz val="12"/>
      <color indexed="12"/>
      <name val="Calibri"/>
      <family val="2"/>
      <scheme val="minor"/>
    </font>
    <font>
      <b/>
      <sz val="12"/>
      <name val="Aptos Narrow"/>
      <family val="2"/>
    </font>
    <font>
      <i/>
      <sz val="11"/>
      <name val="Aptos Narrow"/>
      <family val="2"/>
    </font>
    <font>
      <sz val="12"/>
      <color theme="1"/>
      <name val="Calibri"/>
      <family val="2"/>
      <scheme val="minor"/>
    </font>
    <font>
      <b/>
      <sz val="9"/>
      <name val="Aptos Narrow"/>
      <family val="2"/>
    </font>
    <font>
      <sz val="12"/>
      <color rgb="FF009B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  <font>
      <i/>
      <sz val="12"/>
      <color rgb="FF666666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color rgb="FF008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CCCCC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1"/>
    <xf numFmtId="0" fontId="15" fillId="0" borderId="1"/>
  </cellStyleXfs>
  <cellXfs count="118">
    <xf numFmtId="0" fontId="0" fillId="0" borderId="1" xfId="0"/>
    <xf numFmtId="0" fontId="3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2" fillId="0" borderId="6" xfId="0" applyFont="1" applyBorder="1" applyAlignment="1">
      <alignment horizontal="left" vertical="top" indent="1"/>
    </xf>
    <xf numFmtId="10" fontId="8" fillId="0" borderId="6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4" borderId="10" xfId="0" applyFont="1" applyFill="1" applyBorder="1" applyAlignment="1">
      <alignment vertical="top"/>
    </xf>
    <xf numFmtId="0" fontId="3" fillId="0" borderId="1" xfId="0" applyFont="1" applyAlignment="1">
      <alignment horizontal="left" vertical="top" indent="1"/>
    </xf>
    <xf numFmtId="0" fontId="5" fillId="0" borderId="1" xfId="0" applyFont="1" applyAlignment="1">
      <alignment horizontal="left" vertical="top" indent="2"/>
    </xf>
    <xf numFmtId="0" fontId="3" fillId="0" borderId="7" xfId="0" applyFont="1" applyBorder="1" applyAlignment="1">
      <alignment horizontal="left" vertical="top" indent="1"/>
    </xf>
    <xf numFmtId="0" fontId="3" fillId="0" borderId="1" xfId="0" applyFont="1" applyAlignment="1">
      <alignment horizontal="left" vertical="top" indent="2"/>
    </xf>
    <xf numFmtId="0" fontId="2" fillId="0" borderId="1" xfId="0" applyFont="1" applyAlignment="1">
      <alignment vertical="top"/>
    </xf>
    <xf numFmtId="0" fontId="14" fillId="0" borderId="1" xfId="0" applyFont="1" applyAlignment="1">
      <alignment horizontal="left" vertical="top" indent="2"/>
    </xf>
    <xf numFmtId="0" fontId="5" fillId="0" borderId="1" xfId="0" applyFont="1" applyAlignment="1">
      <alignment horizontal="left" vertical="top" indent="3"/>
    </xf>
    <xf numFmtId="0" fontId="3" fillId="0" borderId="7" xfId="0" applyFont="1" applyBorder="1" applyAlignment="1">
      <alignment vertical="top"/>
    </xf>
    <xf numFmtId="0" fontId="3" fillId="0" borderId="1" xfId="0" applyFont="1" applyAlignment="1">
      <alignment vertical="top"/>
    </xf>
    <xf numFmtId="0" fontId="5" fillId="0" borderId="1" xfId="0" applyFont="1" applyAlignment="1">
      <alignment horizontal="left" vertical="top" indent="1"/>
    </xf>
    <xf numFmtId="0" fontId="9" fillId="0" borderId="1" xfId="1" applyFont="1" applyAlignment="1">
      <alignment vertical="top"/>
    </xf>
    <xf numFmtId="0" fontId="15" fillId="0" borderId="1" xfId="1"/>
    <xf numFmtId="0" fontId="10" fillId="0" borderId="1" xfId="1" applyFont="1" applyAlignment="1">
      <alignment vertical="top"/>
    </xf>
    <xf numFmtId="0" fontId="3" fillId="4" borderId="5" xfId="1" applyFont="1" applyFill="1" applyBorder="1" applyAlignment="1">
      <alignment vertical="top"/>
    </xf>
    <xf numFmtId="0" fontId="7" fillId="0" borderId="1" xfId="1" applyFont="1" applyAlignment="1">
      <alignment horizontal="left" vertical="top" indent="1"/>
    </xf>
    <xf numFmtId="0" fontId="4" fillId="0" borderId="1" xfId="1" applyFont="1" applyAlignment="1">
      <alignment horizontal="left" vertical="top" indent="2"/>
    </xf>
    <xf numFmtId="49" fontId="8" fillId="0" borderId="1" xfId="1" applyNumberFormat="1" applyFont="1" applyAlignment="1">
      <alignment vertical="top"/>
    </xf>
    <xf numFmtId="165" fontId="8" fillId="0" borderId="1" xfId="1" applyNumberFormat="1" applyFont="1" applyAlignment="1">
      <alignment vertical="top"/>
    </xf>
    <xf numFmtId="10" fontId="8" fillId="0" borderId="1" xfId="1" applyNumberFormat="1" applyFont="1" applyAlignment="1">
      <alignment vertical="top"/>
    </xf>
    <xf numFmtId="165" fontId="4" fillId="0" borderId="1" xfId="1" applyNumberFormat="1" applyFont="1" applyAlignment="1">
      <alignment vertical="top"/>
    </xf>
    <xf numFmtId="3" fontId="8" fillId="0" borderId="1" xfId="1" applyNumberFormat="1" applyFont="1" applyAlignment="1">
      <alignment vertical="top"/>
    </xf>
    <xf numFmtId="0" fontId="7" fillId="0" borderId="1" xfId="1" applyFont="1" applyAlignment="1">
      <alignment horizontal="left" vertical="top" indent="2"/>
    </xf>
    <xf numFmtId="166" fontId="4" fillId="0" borderId="1" xfId="1" applyNumberFormat="1" applyFont="1" applyAlignment="1">
      <alignment vertical="top"/>
    </xf>
    <xf numFmtId="167" fontId="4" fillId="0" borderId="1" xfId="1" applyNumberFormat="1" applyFont="1" applyAlignment="1">
      <alignment vertical="top"/>
    </xf>
    <xf numFmtId="0" fontId="7" fillId="0" borderId="7" xfId="1" applyFont="1" applyBorder="1" applyAlignment="1">
      <alignment horizontal="left" vertical="top" indent="1"/>
    </xf>
    <xf numFmtId="0" fontId="4" fillId="0" borderId="7" xfId="1" applyFont="1" applyBorder="1" applyAlignment="1">
      <alignment vertical="top"/>
    </xf>
    <xf numFmtId="49" fontId="16" fillId="0" borderId="4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13" fillId="5" borderId="9" xfId="1" applyFont="1" applyFill="1" applyBorder="1" applyAlignment="1">
      <alignment vertical="top"/>
    </xf>
    <xf numFmtId="49" fontId="7" fillId="0" borderId="4" xfId="1" applyNumberFormat="1" applyFont="1" applyBorder="1" applyAlignment="1">
      <alignment horizontal="center" vertical="top"/>
    </xf>
    <xf numFmtId="0" fontId="7" fillId="0" borderId="1" xfId="1" applyFont="1" applyAlignment="1">
      <alignment vertical="top"/>
    </xf>
    <xf numFmtId="0" fontId="7" fillId="0" borderId="7" xfId="1" applyFont="1" applyBorder="1" applyAlignment="1">
      <alignment vertical="top"/>
    </xf>
    <xf numFmtId="0" fontId="3" fillId="0" borderId="8" xfId="1" applyFont="1" applyBorder="1" applyAlignment="1">
      <alignment vertical="top"/>
    </xf>
    <xf numFmtId="0" fontId="3" fillId="4" borderId="10" xfId="1" applyFont="1" applyFill="1" applyBorder="1" applyAlignment="1">
      <alignment vertical="top"/>
    </xf>
    <xf numFmtId="0" fontId="4" fillId="0" borderId="1" xfId="1" applyFont="1" applyAlignment="1">
      <alignment horizontal="left" vertical="top" indent="1"/>
    </xf>
    <xf numFmtId="164" fontId="4" fillId="0" borderId="1" xfId="1" applyNumberFormat="1" applyFont="1" applyAlignment="1">
      <alignment vertical="top"/>
    </xf>
    <xf numFmtId="164" fontId="8" fillId="0" borderId="1" xfId="1" applyNumberFormat="1" applyFont="1" applyAlignment="1">
      <alignment vertical="top"/>
    </xf>
    <xf numFmtId="164" fontId="4" fillId="0" borderId="7" xfId="1" applyNumberFormat="1" applyFont="1" applyBorder="1" applyAlignment="1">
      <alignment vertical="top"/>
    </xf>
    <xf numFmtId="164" fontId="4" fillId="0" borderId="8" xfId="1" applyNumberFormat="1" applyFont="1" applyBorder="1" applyAlignment="1">
      <alignment vertical="top"/>
    </xf>
    <xf numFmtId="10" fontId="4" fillId="0" borderId="1" xfId="1" applyNumberFormat="1" applyFont="1" applyAlignment="1">
      <alignment vertical="top"/>
    </xf>
    <xf numFmtId="10" fontId="12" fillId="0" borderId="1" xfId="1" applyNumberFormat="1" applyFont="1"/>
    <xf numFmtId="0" fontId="4" fillId="0" borderId="1" xfId="0" applyFont="1" applyAlignment="1">
      <alignment horizontal="left" vertical="top" indent="2"/>
    </xf>
    <xf numFmtId="0" fontId="2" fillId="0" borderId="1" xfId="0" applyFont="1" applyAlignment="1">
      <alignment horizontal="left" vertical="top" indent="1"/>
    </xf>
    <xf numFmtId="10" fontId="8" fillId="0" borderId="1" xfId="0" applyNumberFormat="1" applyFont="1" applyAlignment="1">
      <alignment vertical="top"/>
    </xf>
    <xf numFmtId="164" fontId="17" fillId="0" borderId="1" xfId="1" applyNumberFormat="1" applyFont="1" applyAlignment="1">
      <alignment vertical="top"/>
    </xf>
    <xf numFmtId="164" fontId="17" fillId="0" borderId="1" xfId="1" applyNumberFormat="1" applyFont="1"/>
    <xf numFmtId="41" fontId="17" fillId="0" borderId="1" xfId="1" applyNumberFormat="1" applyFont="1" applyAlignment="1">
      <alignment vertical="top"/>
    </xf>
    <xf numFmtId="168" fontId="15" fillId="0" borderId="1" xfId="1" applyNumberFormat="1"/>
    <xf numFmtId="0" fontId="15" fillId="0" borderId="1" xfId="0" applyFont="1"/>
    <xf numFmtId="49" fontId="11" fillId="0" borderId="1" xfId="1" applyNumberFormat="1" applyFont="1" applyAlignment="1">
      <alignment horizontal="center" vertical="top"/>
    </xf>
    <xf numFmtId="0" fontId="11" fillId="0" borderId="1" xfId="1" applyFont="1" applyAlignment="1">
      <alignment vertical="top"/>
    </xf>
    <xf numFmtId="0" fontId="7" fillId="0" borderId="7" xfId="1" applyFont="1" applyBorder="1" applyAlignment="1">
      <alignment horizontal="left" vertical="top" indent="2"/>
    </xf>
    <xf numFmtId="166" fontId="8" fillId="0" borderId="1" xfId="1" applyNumberFormat="1" applyFont="1" applyAlignment="1">
      <alignment vertical="top"/>
    </xf>
    <xf numFmtId="166" fontId="4" fillId="0" borderId="8" xfId="1" applyNumberFormat="1" applyFont="1" applyBorder="1" applyAlignment="1">
      <alignment vertical="top"/>
    </xf>
    <xf numFmtId="0" fontId="1" fillId="0" borderId="1" xfId="0" applyFont="1"/>
    <xf numFmtId="0" fontId="9" fillId="0" borderId="1" xfId="0" applyFont="1" applyAlignment="1">
      <alignment vertical="top"/>
    </xf>
    <xf numFmtId="0" fontId="10" fillId="0" borderId="1" xfId="0" applyFont="1" applyAlignment="1">
      <alignment vertical="top"/>
    </xf>
    <xf numFmtId="49" fontId="3" fillId="0" borderId="1" xfId="0" applyNumberFormat="1" applyFont="1" applyAlignment="1">
      <alignment horizontal="center" vertical="top"/>
    </xf>
    <xf numFmtId="164" fontId="18" fillId="0" borderId="1" xfId="0" applyNumberFormat="1" applyFont="1" applyAlignment="1">
      <alignment vertical="top"/>
    </xf>
    <xf numFmtId="164" fontId="19" fillId="0" borderId="1" xfId="0" applyNumberFormat="1" applyFont="1" applyAlignment="1">
      <alignment vertical="top"/>
    </xf>
    <xf numFmtId="164" fontId="20" fillId="0" borderId="7" xfId="0" applyNumberFormat="1" applyFont="1" applyBorder="1" applyAlignment="1">
      <alignment vertical="top"/>
    </xf>
    <xf numFmtId="0" fontId="2" fillId="0" borderId="1" xfId="0" applyFont="1" applyAlignment="1">
      <alignment horizontal="left" vertical="top" indent="2"/>
    </xf>
    <xf numFmtId="10" fontId="20" fillId="0" borderId="1" xfId="0" applyNumberFormat="1" applyFont="1" applyAlignment="1">
      <alignment vertical="top"/>
    </xf>
    <xf numFmtId="164" fontId="20" fillId="0" borderId="1" xfId="0" applyNumberFormat="1" applyFont="1" applyAlignment="1">
      <alignment vertical="top"/>
    </xf>
    <xf numFmtId="10" fontId="21" fillId="0" borderId="1" xfId="0" applyNumberFormat="1" applyFont="1" applyAlignment="1">
      <alignment vertical="top"/>
    </xf>
    <xf numFmtId="164" fontId="20" fillId="0" borderId="8" xfId="0" applyNumberFormat="1" applyFont="1" applyBorder="1" applyAlignment="1">
      <alignment vertical="top"/>
    </xf>
    <xf numFmtId="41" fontId="18" fillId="0" borderId="1" xfId="0" applyNumberFormat="1" applyFont="1" applyAlignment="1">
      <alignment vertical="top"/>
    </xf>
    <xf numFmtId="165" fontId="20" fillId="0" borderId="1" xfId="0" applyNumberFormat="1" applyFont="1" applyAlignment="1">
      <alignment vertical="top"/>
    </xf>
    <xf numFmtId="0" fontId="3" fillId="5" borderId="9" xfId="0" applyFont="1" applyFill="1" applyBorder="1" applyAlignment="1">
      <alignment vertical="top"/>
    </xf>
    <xf numFmtId="164" fontId="21" fillId="0" borderId="1" xfId="0" applyNumberFormat="1" applyFont="1" applyAlignment="1">
      <alignment vertical="top"/>
    </xf>
    <xf numFmtId="164" fontId="22" fillId="0" borderId="1" xfId="0" applyNumberFormat="1" applyFont="1" applyAlignment="1">
      <alignment vertical="top"/>
    </xf>
    <xf numFmtId="164" fontId="22" fillId="0" borderId="7" xfId="0" applyNumberFormat="1" applyFont="1" applyBorder="1" applyAlignment="1">
      <alignment vertical="top"/>
    </xf>
    <xf numFmtId="0" fontId="3" fillId="0" borderId="11" xfId="0" applyFont="1" applyBorder="1" applyAlignment="1">
      <alignment horizontal="left" vertical="top" indent="2"/>
    </xf>
    <xf numFmtId="164" fontId="22" fillId="0" borderId="11" xfId="0" applyNumberFormat="1" applyFont="1" applyBorder="1" applyAlignment="1">
      <alignment vertical="top"/>
    </xf>
    <xf numFmtId="164" fontId="22" fillId="0" borderId="8" xfId="0" applyNumberFormat="1" applyFont="1" applyBorder="1" applyAlignment="1">
      <alignment vertical="top"/>
    </xf>
    <xf numFmtId="164" fontId="23" fillId="0" borderId="1" xfId="0" applyNumberFormat="1" applyFont="1" applyAlignment="1">
      <alignment vertical="top"/>
    </xf>
    <xf numFmtId="0" fontId="5" fillId="0" borderId="1" xfId="0" applyFont="1" applyAlignment="1">
      <alignment vertical="top"/>
    </xf>
    <xf numFmtId="0" fontId="3" fillId="0" borderId="1" xfId="0" applyFont="1" applyAlignment="1">
      <alignment horizontal="center" vertical="top"/>
    </xf>
    <xf numFmtId="0" fontId="2" fillId="0" borderId="1" xfId="0" applyFont="1" applyAlignment="1">
      <alignment horizontal="center" vertical="top"/>
    </xf>
    <xf numFmtId="3" fontId="8" fillId="0" borderId="1" xfId="0" applyNumberFormat="1" applyFont="1" applyAlignment="1">
      <alignment vertical="top"/>
    </xf>
    <xf numFmtId="49" fontId="2" fillId="0" borderId="1" xfId="0" applyNumberFormat="1" applyFont="1" applyAlignment="1">
      <alignment horizontal="center" vertical="top"/>
    </xf>
    <xf numFmtId="0" fontId="22" fillId="0" borderId="1" xfId="0" applyFont="1" applyAlignment="1">
      <alignment horizontal="left" vertical="top" indent="2"/>
    </xf>
    <xf numFmtId="10" fontId="18" fillId="0" borderId="1" xfId="0" applyNumberFormat="1" applyFont="1" applyAlignment="1">
      <alignment vertical="top"/>
    </xf>
    <xf numFmtId="3" fontId="18" fillId="0" borderId="1" xfId="0" applyNumberFormat="1" applyFont="1" applyAlignment="1">
      <alignment vertical="top"/>
    </xf>
    <xf numFmtId="0" fontId="22" fillId="0" borderId="6" xfId="0" applyFont="1" applyBorder="1" applyAlignment="1">
      <alignment vertical="top"/>
    </xf>
    <xf numFmtId="10" fontId="18" fillId="0" borderId="6" xfId="0" applyNumberFormat="1" applyFont="1" applyBorder="1" applyAlignment="1">
      <alignment vertical="top"/>
    </xf>
    <xf numFmtId="0" fontId="7" fillId="3" borderId="12" xfId="0" applyFont="1" applyFill="1" applyBorder="1" applyAlignment="1">
      <alignment horizontal="left" vertical="top" indent="1"/>
    </xf>
    <xf numFmtId="0" fontId="4" fillId="3" borderId="12" xfId="0" applyFont="1" applyFill="1" applyBorder="1" applyAlignment="1">
      <alignment vertical="top"/>
    </xf>
    <xf numFmtId="0" fontId="11" fillId="0" borderId="1" xfId="0" applyFont="1" applyAlignment="1">
      <alignment horizontal="left" vertical="top" indent="2"/>
    </xf>
    <xf numFmtId="0" fontId="4" fillId="0" borderId="1" xfId="0" applyFont="1" applyAlignment="1">
      <alignment horizontal="left" vertical="top" indent="3"/>
    </xf>
    <xf numFmtId="10" fontId="4" fillId="0" borderId="1" xfId="0" applyNumberFormat="1" applyFont="1" applyAlignment="1">
      <alignment vertical="top"/>
    </xf>
    <xf numFmtId="10" fontId="0" fillId="0" borderId="1" xfId="0" applyNumberFormat="1"/>
    <xf numFmtId="0" fontId="7" fillId="0" borderId="1" xfId="0" applyFont="1" applyAlignment="1">
      <alignment horizontal="left" vertical="top" indent="2"/>
    </xf>
    <xf numFmtId="164" fontId="4" fillId="0" borderId="1" xfId="0" applyNumberFormat="1" applyFont="1" applyAlignment="1">
      <alignment vertical="top"/>
    </xf>
    <xf numFmtId="0" fontId="24" fillId="0" borderId="1" xfId="0" applyFont="1" applyAlignment="1">
      <alignment horizontal="left" vertical="top" indent="3"/>
    </xf>
    <xf numFmtId="164" fontId="25" fillId="0" borderId="7" xfId="0" applyNumberFormat="1" applyFont="1" applyBorder="1" applyAlignment="1">
      <alignment vertical="top"/>
    </xf>
    <xf numFmtId="0" fontId="26" fillId="0" borderId="3" xfId="0" applyFont="1" applyBorder="1" applyAlignment="1">
      <alignment vertical="top"/>
    </xf>
    <xf numFmtId="0" fontId="25" fillId="0" borderId="1" xfId="0" applyFont="1" applyAlignment="1">
      <alignment horizontal="left" vertical="top" indent="3"/>
    </xf>
    <xf numFmtId="169" fontId="8" fillId="0" borderId="13" xfId="0" applyNumberFormat="1" applyFont="1" applyBorder="1"/>
    <xf numFmtId="168" fontId="8" fillId="0" borderId="1" xfId="1" applyNumberFormat="1" applyFont="1" applyAlignment="1">
      <alignment vertical="top"/>
    </xf>
    <xf numFmtId="0" fontId="3" fillId="0" borderId="1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164" fontId="12" fillId="0" borderId="1" xfId="0" applyNumberFormat="1" applyFont="1" applyAlignment="1">
      <alignment vertical="top"/>
    </xf>
    <xf numFmtId="170" fontId="4" fillId="0" borderId="1" xfId="0" applyNumberFormat="1" applyFont="1" applyAlignment="1">
      <alignment vertical="top"/>
    </xf>
  </cellXfs>
  <cellStyles count="2">
    <cellStyle name="Normal" xfId="0" builtinId="0"/>
    <cellStyle name="Normal 2" xfId="1" xr:uid="{618FEBE6-9A9E-49A3-830B-C50D0B2C9999}"/>
  </cellStyles>
  <dxfs count="0"/>
  <tableStyles count="0" defaultTableStyle="TableStyleMedium2" defaultPivotStyle="PivotStyleLight16"/>
  <colors>
    <mruColors>
      <color rgb="FF008000"/>
      <color rgb="FF009B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103"/>
  <sheetViews>
    <sheetView showGridLines="0" workbookViewId="0"/>
  </sheetViews>
  <sheetFormatPr baseColWidth="10" defaultColWidth="7.6640625" defaultRowHeight="15" customHeight="1" x14ac:dyDescent="0.2"/>
  <cols>
    <col min="2" max="2" width="25" customWidth="1"/>
    <col min="3" max="3" width="10" customWidth="1"/>
    <col min="4" max="11" width="8.6640625" customWidth="1"/>
  </cols>
  <sheetData>
    <row r="2" spans="2:13" ht="15" customHeight="1" x14ac:dyDescent="0.2">
      <c r="B2" s="68" t="s">
        <v>0</v>
      </c>
    </row>
    <row r="3" spans="2:13" ht="15" customHeight="1" x14ac:dyDescent="0.2">
      <c r="B3" s="16" t="s">
        <v>1</v>
      </c>
    </row>
    <row r="5" spans="2:13" ht="15" customHeight="1" x14ac:dyDescent="0.2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" customHeight="1" x14ac:dyDescent="0.2">
      <c r="B6" s="89" t="s">
        <v>3</v>
      </c>
      <c r="D6" s="3" t="s">
        <v>4</v>
      </c>
    </row>
    <row r="8" spans="2:13" ht="15" customHeight="1" x14ac:dyDescent="0.2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3" ht="15" customHeight="1" x14ac:dyDescent="0.2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3" ht="15" customHeight="1" thickBot="1" x14ac:dyDescent="0.25"/>
    <row r="11" spans="2:13" ht="15" customHeight="1" x14ac:dyDescent="0.2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3" spans="2:13" ht="15" customHeight="1" x14ac:dyDescent="0.2">
      <c r="B13" s="12" t="s">
        <v>8</v>
      </c>
    </row>
    <row r="14" spans="2:13" ht="15" customHeight="1" x14ac:dyDescent="0.2">
      <c r="C14" s="91" t="s">
        <v>9</v>
      </c>
      <c r="D14" s="91">
        <v>2021</v>
      </c>
      <c r="E14" s="91">
        <v>2022</v>
      </c>
      <c r="F14" s="91">
        <v>2023</v>
      </c>
      <c r="G14" s="91">
        <v>2024</v>
      </c>
      <c r="H14" s="91">
        <v>2025</v>
      </c>
      <c r="I14" s="91">
        <v>2026</v>
      </c>
      <c r="J14" s="91">
        <v>2027</v>
      </c>
      <c r="K14" s="91">
        <v>2028</v>
      </c>
    </row>
    <row r="15" spans="2:13" ht="15.75" customHeight="1" x14ac:dyDescent="0.2">
      <c r="B15" s="13" t="s">
        <v>10</v>
      </c>
      <c r="C15" s="55" t="s">
        <v>4</v>
      </c>
      <c r="G15" s="56">
        <v>8.5000000000000006E-2</v>
      </c>
      <c r="H15" s="56">
        <v>7.4999999999999997E-2</v>
      </c>
      <c r="I15" s="56">
        <v>6.5000000000000002E-2</v>
      </c>
      <c r="J15" s="56">
        <v>5.5E-2</v>
      </c>
      <c r="K15" s="56">
        <v>0.05</v>
      </c>
    </row>
    <row r="16" spans="2:13" ht="15.75" customHeight="1" x14ac:dyDescent="0.2">
      <c r="C16" s="55" t="s">
        <v>11</v>
      </c>
      <c r="G16" s="56">
        <v>0.105</v>
      </c>
      <c r="H16" s="56">
        <v>9.5000000000000001E-2</v>
      </c>
      <c r="I16" s="56">
        <v>8.5000000000000006E-2</v>
      </c>
      <c r="J16" s="56">
        <v>7.4999999999999997E-2</v>
      </c>
      <c r="K16" s="56">
        <v>7.0000000000000007E-2</v>
      </c>
    </row>
    <row r="17" spans="2:13" ht="15.75" customHeight="1" x14ac:dyDescent="0.2">
      <c r="C17" s="55" t="s">
        <v>12</v>
      </c>
      <c r="G17" s="56">
        <v>0.06</v>
      </c>
      <c r="H17" s="56">
        <v>0.05</v>
      </c>
      <c r="I17" s="56">
        <v>0.04</v>
      </c>
      <c r="J17" s="56">
        <v>3.5000000000000003E-2</v>
      </c>
      <c r="K17" s="56">
        <v>0.03</v>
      </c>
    </row>
    <row r="19" spans="2:13" ht="15.75" customHeight="1" x14ac:dyDescent="0.2">
      <c r="B19" s="13" t="s">
        <v>13</v>
      </c>
      <c r="C19" s="55" t="s">
        <v>4</v>
      </c>
      <c r="G19" s="56">
        <v>0.15</v>
      </c>
      <c r="H19" s="56">
        <v>0.13</v>
      </c>
      <c r="I19" s="56">
        <v>0.11</v>
      </c>
      <c r="J19" s="56">
        <v>0.1</v>
      </c>
      <c r="K19" s="56">
        <v>0.09</v>
      </c>
    </row>
    <row r="20" spans="2:13" ht="15.75" customHeight="1" x14ac:dyDescent="0.2">
      <c r="C20" s="55" t="s">
        <v>11</v>
      </c>
      <c r="G20" s="56">
        <v>0.18</v>
      </c>
      <c r="H20" s="56">
        <v>0.16</v>
      </c>
      <c r="I20" s="56">
        <v>0.14000000000000001</v>
      </c>
      <c r="J20" s="56">
        <v>0.12</v>
      </c>
      <c r="K20" s="56">
        <v>0.11</v>
      </c>
    </row>
    <row r="21" spans="2:13" ht="15.75" customHeight="1" x14ac:dyDescent="0.2">
      <c r="C21" s="55" t="s">
        <v>12</v>
      </c>
      <c r="G21" s="56">
        <v>0.12</v>
      </c>
      <c r="H21" s="56">
        <v>0.1</v>
      </c>
      <c r="I21" s="56">
        <v>0.08</v>
      </c>
      <c r="J21" s="56">
        <v>7.0000000000000007E-2</v>
      </c>
      <c r="K21" s="56">
        <v>0.06</v>
      </c>
    </row>
    <row r="23" spans="2:13" ht="15.75" customHeight="1" x14ac:dyDescent="0.2">
      <c r="B23" s="13" t="s">
        <v>14</v>
      </c>
      <c r="C23" s="55" t="s">
        <v>4</v>
      </c>
      <c r="G23" s="56">
        <v>0.28000000000000003</v>
      </c>
      <c r="H23" s="56">
        <v>0.25</v>
      </c>
      <c r="I23" s="56">
        <v>0.22</v>
      </c>
      <c r="J23" s="56">
        <v>0.2</v>
      </c>
      <c r="K23" s="56">
        <v>0.18</v>
      </c>
    </row>
    <row r="24" spans="2:13" ht="15.75" customHeight="1" x14ac:dyDescent="0.2">
      <c r="C24" s="55" t="s">
        <v>11</v>
      </c>
      <c r="G24" s="56">
        <v>0.32</v>
      </c>
      <c r="H24" s="56">
        <v>0.3</v>
      </c>
      <c r="I24" s="56">
        <v>0.27</v>
      </c>
      <c r="J24" s="56">
        <v>0.24</v>
      </c>
      <c r="K24" s="56">
        <v>0.22</v>
      </c>
    </row>
    <row r="25" spans="2:13" ht="15.75" customHeight="1" x14ac:dyDescent="0.2">
      <c r="C25" s="55" t="s">
        <v>12</v>
      </c>
      <c r="G25" s="56">
        <v>0.24</v>
      </c>
      <c r="H25" s="56">
        <v>0.2</v>
      </c>
      <c r="I25" s="56">
        <v>0.17</v>
      </c>
      <c r="J25" s="56">
        <v>0.15</v>
      </c>
      <c r="K25" s="56">
        <v>0.14000000000000001</v>
      </c>
    </row>
    <row r="27" spans="2:13" ht="15.75" customHeight="1" x14ac:dyDescent="0.2">
      <c r="B27" s="13" t="s">
        <v>15</v>
      </c>
      <c r="C27" s="55" t="s">
        <v>4</v>
      </c>
      <c r="G27" s="56">
        <v>0.05</v>
      </c>
      <c r="H27" s="56">
        <v>4.4999999999999998E-2</v>
      </c>
      <c r="I27" s="56">
        <v>0.04</v>
      </c>
      <c r="J27" s="56">
        <v>3.5000000000000003E-2</v>
      </c>
      <c r="K27" s="56">
        <v>0.03</v>
      </c>
    </row>
    <row r="28" spans="2:13" ht="15.75" customHeight="1" x14ac:dyDescent="0.2">
      <c r="C28" s="55" t="s">
        <v>11</v>
      </c>
      <c r="G28" s="56">
        <v>7.0000000000000007E-2</v>
      </c>
      <c r="H28" s="56">
        <v>0.06</v>
      </c>
      <c r="I28" s="56">
        <v>5.5E-2</v>
      </c>
      <c r="J28" s="56">
        <v>0.05</v>
      </c>
      <c r="K28" s="56">
        <v>4.4999999999999998E-2</v>
      </c>
    </row>
    <row r="29" spans="2:13" ht="15.75" customHeight="1" x14ac:dyDescent="0.2">
      <c r="C29" s="55" t="s">
        <v>12</v>
      </c>
      <c r="G29" s="56">
        <v>0.03</v>
      </c>
      <c r="H29" s="56">
        <v>2.5000000000000001E-2</v>
      </c>
      <c r="I29" s="56">
        <v>0.02</v>
      </c>
      <c r="J29" s="56">
        <v>1.4999999999999999E-2</v>
      </c>
      <c r="K29" s="56">
        <v>0.01</v>
      </c>
    </row>
    <row r="30" spans="2:13" ht="15" customHeight="1" thickBot="1" x14ac:dyDescent="0.25"/>
    <row r="31" spans="2:13" ht="15" customHeight="1" x14ac:dyDescent="0.2">
      <c r="B31" s="6" t="s">
        <v>16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3" spans="2:11" ht="15" customHeight="1" x14ac:dyDescent="0.2">
      <c r="B33" s="12" t="s">
        <v>17</v>
      </c>
    </row>
    <row r="35" spans="2:11" ht="15" customHeight="1" x14ac:dyDescent="0.2">
      <c r="B35" s="13" t="s">
        <v>18</v>
      </c>
      <c r="C35" s="55" t="s">
        <v>4</v>
      </c>
      <c r="D35" s="56">
        <v>0.151</v>
      </c>
      <c r="E35" s="56">
        <v>0.14800000000000002</v>
      </c>
      <c r="F35" s="56">
        <v>0.14499999999999999</v>
      </c>
      <c r="G35" s="56">
        <v>0.14300000000000002</v>
      </c>
      <c r="H35" s="56">
        <v>0.14000000000000001</v>
      </c>
      <c r="I35" s="56">
        <v>0.13800000000000001</v>
      </c>
      <c r="J35" s="56">
        <v>0.13500000000000001</v>
      </c>
      <c r="K35" s="56">
        <v>0.13300000000000001</v>
      </c>
    </row>
    <row r="36" spans="2:11" ht="15" customHeight="1" x14ac:dyDescent="0.2">
      <c r="C36" s="55" t="s">
        <v>11</v>
      </c>
      <c r="D36" s="56">
        <v>0.151</v>
      </c>
      <c r="E36" s="56">
        <v>0.14800000000000002</v>
      </c>
      <c r="F36" s="56">
        <v>0.14499999999999999</v>
      </c>
      <c r="G36" s="56">
        <v>0.13800000000000001</v>
      </c>
      <c r="H36" s="56">
        <v>0.13500000000000001</v>
      </c>
      <c r="I36" s="56">
        <v>0.13200000000000001</v>
      </c>
      <c r="J36" s="56">
        <v>0.13</v>
      </c>
      <c r="K36" s="56">
        <v>0.128</v>
      </c>
    </row>
    <row r="37" spans="2:11" ht="15.75" customHeight="1" x14ac:dyDescent="0.2">
      <c r="C37" s="55" t="s">
        <v>12</v>
      </c>
      <c r="D37" s="56">
        <v>0.151</v>
      </c>
      <c r="E37" s="56">
        <v>0.14800000000000002</v>
      </c>
      <c r="F37" s="56">
        <v>0.14499999999999999</v>
      </c>
      <c r="G37" s="56">
        <v>0.14800000000000002</v>
      </c>
      <c r="H37" s="56">
        <v>0.14499999999999999</v>
      </c>
      <c r="I37" s="56">
        <v>0.14300000000000002</v>
      </c>
      <c r="J37" s="56">
        <v>0.14000000000000001</v>
      </c>
      <c r="K37" s="56">
        <v>0.13800000000000001</v>
      </c>
    </row>
    <row r="38" spans="2:11" ht="15.75" customHeight="1" x14ac:dyDescent="0.2"/>
    <row r="39" spans="2:11" ht="15.75" customHeight="1" x14ac:dyDescent="0.2">
      <c r="B39" s="13" t="s">
        <v>19</v>
      </c>
      <c r="C39" s="55" t="s">
        <v>4</v>
      </c>
      <c r="D39" s="56">
        <v>0.115</v>
      </c>
      <c r="E39" s="56">
        <v>0.11199999999999999</v>
      </c>
      <c r="F39" s="56">
        <v>0.10800000000000001</v>
      </c>
      <c r="G39" s="56">
        <v>0.105</v>
      </c>
      <c r="H39" s="56">
        <v>0.10300000000000001</v>
      </c>
      <c r="I39" s="56">
        <v>0.1</v>
      </c>
      <c r="J39" s="56">
        <v>9.8000000000000004E-2</v>
      </c>
      <c r="K39" s="56">
        <v>9.5000000000000001E-2</v>
      </c>
    </row>
    <row r="40" spans="2:11" ht="15" customHeight="1" x14ac:dyDescent="0.2">
      <c r="C40" s="55" t="s">
        <v>11</v>
      </c>
      <c r="D40" s="56">
        <v>0.115</v>
      </c>
      <c r="E40" s="56">
        <v>0.11199999999999999</v>
      </c>
      <c r="F40" s="56">
        <v>0.10800000000000001</v>
      </c>
      <c r="G40" s="56">
        <v>0.10199999999999999</v>
      </c>
      <c r="H40" s="56">
        <v>0.1</v>
      </c>
      <c r="I40" s="56">
        <v>9.6999999999999989E-2</v>
      </c>
      <c r="J40" s="56">
        <v>9.5000000000000001E-2</v>
      </c>
      <c r="K40" s="56">
        <v>9.1999999999999998E-2</v>
      </c>
    </row>
    <row r="41" spans="2:11" ht="15.75" customHeight="1" x14ac:dyDescent="0.2">
      <c r="C41" s="55" t="s">
        <v>12</v>
      </c>
      <c r="D41" s="56">
        <v>0.115</v>
      </c>
      <c r="E41" s="56">
        <v>0.11199999999999999</v>
      </c>
      <c r="F41" s="56">
        <v>0.10800000000000001</v>
      </c>
      <c r="G41" s="56">
        <v>0.10800000000000001</v>
      </c>
      <c r="H41" s="56">
        <v>0.106</v>
      </c>
      <c r="I41" s="56">
        <v>0.10300000000000001</v>
      </c>
      <c r="J41" s="56">
        <v>0.10099999999999999</v>
      </c>
      <c r="K41" s="56">
        <v>9.8000000000000004E-2</v>
      </c>
    </row>
    <row r="42" spans="2:11" ht="15.75" customHeight="1" x14ac:dyDescent="0.2"/>
    <row r="43" spans="2:11" ht="15.75" customHeight="1" x14ac:dyDescent="0.2">
      <c r="B43" s="13" t="s">
        <v>20</v>
      </c>
      <c r="C43" s="55" t="s">
        <v>4</v>
      </c>
      <c r="D43" s="56">
        <v>6.8000000000000005E-2</v>
      </c>
      <c r="E43" s="56">
        <v>6.5000000000000002E-2</v>
      </c>
      <c r="F43" s="56">
        <v>6.3E-2</v>
      </c>
      <c r="G43" s="56">
        <v>6.2E-2</v>
      </c>
      <c r="H43" s="56">
        <v>0.06</v>
      </c>
      <c r="I43" s="56">
        <v>5.7999999999999996E-2</v>
      </c>
      <c r="J43" s="56">
        <v>5.7000000000000002E-2</v>
      </c>
      <c r="K43" s="56">
        <v>5.5E-2</v>
      </c>
    </row>
    <row r="44" spans="2:11" ht="15" customHeight="1" x14ac:dyDescent="0.2">
      <c r="C44" s="55" t="s">
        <v>11</v>
      </c>
      <c r="D44" s="56">
        <v>6.8000000000000005E-2</v>
      </c>
      <c r="E44" s="56">
        <v>6.5000000000000002E-2</v>
      </c>
      <c r="F44" s="56">
        <v>6.3E-2</v>
      </c>
      <c r="G44" s="56">
        <v>0.06</v>
      </c>
      <c r="H44" s="56">
        <v>5.7999999999999996E-2</v>
      </c>
      <c r="I44" s="56">
        <v>5.5999999999999994E-2</v>
      </c>
      <c r="J44" s="56">
        <v>5.5E-2</v>
      </c>
      <c r="K44" s="56">
        <v>5.2999999999999999E-2</v>
      </c>
    </row>
    <row r="45" spans="2:11" ht="15.75" customHeight="1" x14ac:dyDescent="0.2">
      <c r="C45" s="55" t="s">
        <v>12</v>
      </c>
      <c r="D45" s="56">
        <v>6.8000000000000005E-2</v>
      </c>
      <c r="E45" s="56">
        <v>6.5000000000000002E-2</v>
      </c>
      <c r="F45" s="56">
        <v>6.3E-2</v>
      </c>
      <c r="G45" s="56">
        <v>6.4000000000000001E-2</v>
      </c>
      <c r="H45" s="56">
        <v>6.2E-2</v>
      </c>
      <c r="I45" s="56">
        <v>0.06</v>
      </c>
      <c r="J45" s="56">
        <v>5.9000000000000004E-2</v>
      </c>
      <c r="K45" s="56">
        <v>5.7000000000000002E-2</v>
      </c>
    </row>
    <row r="46" spans="2:11" ht="15.75" customHeight="1" x14ac:dyDescent="0.2"/>
    <row r="47" spans="2:11" ht="15.75" customHeight="1" x14ac:dyDescent="0.2">
      <c r="B47" s="13" t="s">
        <v>21</v>
      </c>
      <c r="C47" s="55" t="s">
        <v>4</v>
      </c>
      <c r="D47" s="56">
        <v>9.1999999999999998E-2</v>
      </c>
      <c r="E47" s="56">
        <v>9.5000000000000001E-2</v>
      </c>
      <c r="F47" s="56">
        <v>9.8000000000000004E-2</v>
      </c>
      <c r="G47" s="56">
        <v>9.5000000000000001E-2</v>
      </c>
      <c r="H47" s="56">
        <v>9.3000000000000013E-2</v>
      </c>
      <c r="I47" s="56">
        <v>0.09</v>
      </c>
      <c r="J47" s="56">
        <v>8.8000000000000009E-2</v>
      </c>
      <c r="K47" s="56">
        <v>8.5000000000000006E-2</v>
      </c>
    </row>
    <row r="48" spans="2:11" ht="15" customHeight="1" x14ac:dyDescent="0.2">
      <c r="C48" s="55" t="s">
        <v>11</v>
      </c>
      <c r="D48" s="56">
        <v>9.1999999999999998E-2</v>
      </c>
      <c r="E48" s="56">
        <v>9.5000000000000001E-2</v>
      </c>
      <c r="F48" s="56">
        <v>9.8000000000000004E-2</v>
      </c>
      <c r="G48" s="56">
        <v>9.1999999999999998E-2</v>
      </c>
      <c r="H48" s="56">
        <v>0.09</v>
      </c>
      <c r="I48" s="56">
        <v>8.6999999999999994E-2</v>
      </c>
      <c r="J48" s="56">
        <v>8.5000000000000006E-2</v>
      </c>
      <c r="K48" s="56">
        <v>8.199999999999999E-2</v>
      </c>
    </row>
    <row r="49" spans="2:13" ht="15.75" customHeight="1" x14ac:dyDescent="0.2">
      <c r="C49" s="55" t="s">
        <v>12</v>
      </c>
      <c r="D49" s="56">
        <v>9.1999999999999998E-2</v>
      </c>
      <c r="E49" s="56">
        <v>9.5000000000000001E-2</v>
      </c>
      <c r="F49" s="56">
        <v>9.8000000000000004E-2</v>
      </c>
      <c r="G49" s="56">
        <v>9.8000000000000004E-2</v>
      </c>
      <c r="H49" s="56">
        <v>9.6000000000000002E-2</v>
      </c>
      <c r="I49" s="56">
        <v>9.3000000000000013E-2</v>
      </c>
      <c r="J49" s="56">
        <v>9.0999999999999998E-2</v>
      </c>
      <c r="K49" s="56">
        <v>8.8000000000000009E-2</v>
      </c>
    </row>
    <row r="50" spans="2:13" ht="15.75" customHeight="1" thickBot="1" x14ac:dyDescent="0.25"/>
    <row r="51" spans="2:13" ht="15.75" customHeight="1" x14ac:dyDescent="0.2"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3" spans="2:13" ht="15" customHeight="1" x14ac:dyDescent="0.2">
      <c r="B53" s="12" t="s">
        <v>23</v>
      </c>
    </row>
    <row r="55" spans="2:13" ht="15" customHeight="1" x14ac:dyDescent="0.2">
      <c r="B55" s="13" t="s">
        <v>24</v>
      </c>
      <c r="C55" s="55" t="s">
        <v>4</v>
      </c>
      <c r="D55" s="92">
        <v>48</v>
      </c>
      <c r="E55" s="92">
        <v>47</v>
      </c>
      <c r="F55" s="92">
        <v>46</v>
      </c>
      <c r="G55" s="92">
        <v>46</v>
      </c>
      <c r="H55" s="92">
        <v>45</v>
      </c>
      <c r="I55" s="92">
        <v>45</v>
      </c>
      <c r="J55" s="92">
        <v>44</v>
      </c>
      <c r="K55" s="92">
        <v>44</v>
      </c>
    </row>
    <row r="56" spans="2:13" ht="15" customHeight="1" x14ac:dyDescent="0.2">
      <c r="C56" s="55" t="s">
        <v>11</v>
      </c>
      <c r="D56" s="92">
        <v>48</v>
      </c>
      <c r="E56" s="92">
        <v>47</v>
      </c>
      <c r="F56" s="92">
        <v>46</v>
      </c>
      <c r="G56" s="92">
        <v>45</v>
      </c>
      <c r="H56" s="92">
        <v>44</v>
      </c>
      <c r="I56" s="92">
        <v>43</v>
      </c>
      <c r="J56" s="92">
        <v>42</v>
      </c>
      <c r="K56" s="92">
        <v>42</v>
      </c>
    </row>
    <row r="57" spans="2:13" ht="15" customHeight="1" x14ac:dyDescent="0.2">
      <c r="C57" s="55" t="s">
        <v>12</v>
      </c>
      <c r="D57" s="92">
        <v>48</v>
      </c>
      <c r="E57" s="92">
        <v>47</v>
      </c>
      <c r="F57" s="92">
        <v>46</v>
      </c>
      <c r="G57" s="92">
        <v>47</v>
      </c>
      <c r="H57" s="92">
        <v>47</v>
      </c>
      <c r="I57" s="92">
        <v>46</v>
      </c>
      <c r="J57" s="92">
        <v>46</v>
      </c>
      <c r="K57" s="92">
        <v>45</v>
      </c>
    </row>
    <row r="59" spans="2:13" ht="15.75" customHeight="1" x14ac:dyDescent="0.2">
      <c r="B59" s="13" t="s">
        <v>25</v>
      </c>
      <c r="C59" s="55" t="s">
        <v>4</v>
      </c>
      <c r="D59" s="92">
        <v>32</v>
      </c>
      <c r="E59" s="92">
        <v>33</v>
      </c>
      <c r="F59" s="92">
        <v>34</v>
      </c>
      <c r="G59" s="92">
        <v>34</v>
      </c>
      <c r="H59" s="92">
        <v>35</v>
      </c>
      <c r="I59" s="92">
        <v>35</v>
      </c>
      <c r="J59" s="92">
        <v>36</v>
      </c>
      <c r="K59" s="92">
        <v>36</v>
      </c>
    </row>
    <row r="60" spans="2:13" ht="15.75" customHeight="1" x14ac:dyDescent="0.2">
      <c r="C60" s="55" t="s">
        <v>11</v>
      </c>
      <c r="D60" s="92">
        <v>32</v>
      </c>
      <c r="E60" s="92">
        <v>33</v>
      </c>
      <c r="F60" s="92">
        <v>34</v>
      </c>
      <c r="G60" s="92">
        <v>35</v>
      </c>
      <c r="H60" s="92">
        <v>36</v>
      </c>
      <c r="I60" s="92">
        <v>37</v>
      </c>
      <c r="J60" s="92">
        <v>38</v>
      </c>
      <c r="K60" s="92">
        <v>38</v>
      </c>
    </row>
    <row r="61" spans="2:13" ht="15.75" customHeight="1" x14ac:dyDescent="0.2">
      <c r="C61" s="55" t="s">
        <v>12</v>
      </c>
      <c r="D61" s="92">
        <v>32</v>
      </c>
      <c r="E61" s="92">
        <v>33</v>
      </c>
      <c r="F61" s="92">
        <v>34</v>
      </c>
      <c r="G61" s="92">
        <v>33</v>
      </c>
      <c r="H61" s="92">
        <v>33</v>
      </c>
      <c r="I61" s="92">
        <v>34</v>
      </c>
      <c r="J61" s="92">
        <v>34</v>
      </c>
      <c r="K61" s="92">
        <v>34</v>
      </c>
    </row>
    <row r="63" spans="2:13" ht="15.75" customHeight="1" x14ac:dyDescent="0.2">
      <c r="B63" s="13" t="str">
        <f>'Company1153 3-Statement'!$B$66</f>
        <v xml:space="preserve">  Other Current Assets</v>
      </c>
      <c r="C63" s="55" t="s">
        <v>108</v>
      </c>
      <c r="E63" s="56">
        <v>5.8823529411764719E-2</v>
      </c>
      <c r="F63" s="56">
        <v>5.555555555555558E-2</v>
      </c>
      <c r="G63" s="56">
        <v>5.0000000000000044E-2</v>
      </c>
      <c r="H63" s="56">
        <v>5.0000000000000044E-2</v>
      </c>
      <c r="I63" s="56">
        <v>5.0000000000000044E-2</v>
      </c>
      <c r="J63" s="56">
        <v>5.0000000000000044E-2</v>
      </c>
      <c r="K63" s="56">
        <v>5.0000000000000044E-2</v>
      </c>
    </row>
    <row r="64" spans="2:13" ht="15.75" customHeight="1" x14ac:dyDescent="0.2">
      <c r="B64" s="13" t="str">
        <f>'Company1153 3-Statement'!$B$74</f>
        <v xml:space="preserve">  Other Long-term Assets</v>
      </c>
      <c r="C64" s="55" t="s">
        <v>108</v>
      </c>
      <c r="E64" s="56">
        <v>8.5714285714285632E-2</v>
      </c>
      <c r="F64" s="56">
        <v>0.10526315789473695</v>
      </c>
      <c r="G64" s="56">
        <v>0.08</v>
      </c>
      <c r="H64" s="56">
        <v>0.08</v>
      </c>
      <c r="I64" s="56">
        <v>0.08</v>
      </c>
      <c r="J64" s="56">
        <v>0.08</v>
      </c>
      <c r="K64" s="56">
        <v>0.08</v>
      </c>
    </row>
    <row r="65" spans="2:13" ht="15.75" customHeight="1" x14ac:dyDescent="0.2">
      <c r="B65" s="13" t="str">
        <f>'Company1153 3-Statement'!$B$83</f>
        <v xml:space="preserve">  Accrued Expenses</v>
      </c>
      <c r="C65" s="55" t="s">
        <v>108</v>
      </c>
      <c r="E65" s="56">
        <v>8.3333333333333259E-2</v>
      </c>
      <c r="F65" s="56">
        <v>7.6923076923076872E-2</v>
      </c>
      <c r="G65" s="56">
        <v>0.06</v>
      </c>
      <c r="H65" s="56">
        <v>0.06</v>
      </c>
      <c r="I65" s="56">
        <v>0.06</v>
      </c>
      <c r="J65" s="56">
        <v>0.06</v>
      </c>
      <c r="K65" s="56">
        <v>0.06</v>
      </c>
    </row>
    <row r="67" spans="2:13" ht="15" customHeight="1" x14ac:dyDescent="0.2">
      <c r="B67" s="12" t="s">
        <v>26</v>
      </c>
    </row>
    <row r="69" spans="2:13" ht="15" customHeight="1" x14ac:dyDescent="0.2">
      <c r="B69" s="13" t="s">
        <v>27</v>
      </c>
      <c r="C69" s="55" t="s">
        <v>4</v>
      </c>
      <c r="D69" s="56">
        <v>0.125</v>
      </c>
      <c r="E69" s="56">
        <v>0.13200000000000001</v>
      </c>
      <c r="F69" s="56">
        <v>0.14000000000000001</v>
      </c>
      <c r="G69" s="56">
        <v>0.13500000000000001</v>
      </c>
      <c r="H69" s="56">
        <v>0.13</v>
      </c>
      <c r="I69" s="56">
        <v>0.125</v>
      </c>
      <c r="J69" s="56">
        <v>0.12</v>
      </c>
      <c r="K69" s="56">
        <v>0.115</v>
      </c>
    </row>
    <row r="70" spans="2:13" ht="15" customHeight="1" x14ac:dyDescent="0.2">
      <c r="C70" s="55" t="s">
        <v>11</v>
      </c>
      <c r="D70" s="56">
        <v>0.125</v>
      </c>
      <c r="E70" s="56">
        <v>0.13200000000000001</v>
      </c>
      <c r="F70" s="56">
        <v>0.14000000000000001</v>
      </c>
      <c r="G70" s="56">
        <v>0.13</v>
      </c>
      <c r="H70" s="56">
        <v>0.125</v>
      </c>
      <c r="I70" s="56">
        <v>0.12</v>
      </c>
      <c r="J70" s="56">
        <v>0.115</v>
      </c>
      <c r="K70" s="56">
        <v>0.11</v>
      </c>
    </row>
    <row r="71" spans="2:13" ht="15" customHeight="1" x14ac:dyDescent="0.2">
      <c r="C71" s="55" t="s">
        <v>12</v>
      </c>
      <c r="D71" s="56">
        <v>0.125</v>
      </c>
      <c r="E71" s="56">
        <v>0.13200000000000001</v>
      </c>
      <c r="F71" s="56">
        <v>0.14000000000000001</v>
      </c>
      <c r="G71" s="56">
        <v>0.14000000000000001</v>
      </c>
      <c r="H71" s="56">
        <v>0.13500000000000001</v>
      </c>
      <c r="I71" s="56">
        <v>0.13</v>
      </c>
      <c r="J71" s="56">
        <v>0.125</v>
      </c>
      <c r="K71" s="56">
        <v>0.12</v>
      </c>
    </row>
    <row r="73" spans="2:13" ht="15.75" customHeight="1" x14ac:dyDescent="0.2">
      <c r="B73" s="13" t="s">
        <v>28</v>
      </c>
      <c r="C73" s="55" t="s">
        <v>4</v>
      </c>
      <c r="D73" s="56">
        <v>0.7</v>
      </c>
      <c r="E73" s="56">
        <v>0.7</v>
      </c>
      <c r="F73" s="56">
        <v>0.7</v>
      </c>
      <c r="G73" s="56">
        <v>0.7</v>
      </c>
      <c r="H73" s="56">
        <v>0.7</v>
      </c>
      <c r="I73" s="56">
        <v>0.7</v>
      </c>
      <c r="J73" s="56">
        <v>0.7</v>
      </c>
      <c r="K73" s="56">
        <v>0.7</v>
      </c>
    </row>
    <row r="74" spans="2:13" ht="15.75" customHeight="1" x14ac:dyDescent="0.2">
      <c r="C74" s="55" t="s">
        <v>11</v>
      </c>
      <c r="D74" s="56">
        <v>0.7</v>
      </c>
      <c r="E74" s="56">
        <v>0.7</v>
      </c>
      <c r="F74" s="56">
        <v>0.7</v>
      </c>
      <c r="G74" s="56">
        <v>0.68</v>
      </c>
      <c r="H74" s="56">
        <v>0.68</v>
      </c>
      <c r="I74" s="56">
        <v>0.68</v>
      </c>
      <c r="J74" s="56">
        <v>0.68</v>
      </c>
      <c r="K74" s="56">
        <v>0.68</v>
      </c>
    </row>
    <row r="75" spans="2:13" ht="15.75" customHeight="1" x14ac:dyDescent="0.2">
      <c r="C75" s="55" t="s">
        <v>12</v>
      </c>
      <c r="D75" s="56">
        <v>0.7</v>
      </c>
      <c r="E75" s="56">
        <v>0.7</v>
      </c>
      <c r="F75" s="56">
        <v>0.7</v>
      </c>
      <c r="G75" s="56">
        <v>0.72</v>
      </c>
      <c r="H75" s="56">
        <v>0.72</v>
      </c>
      <c r="I75" s="56">
        <v>0.72</v>
      </c>
      <c r="J75" s="56">
        <v>0.72</v>
      </c>
      <c r="K75" s="56">
        <v>0.72</v>
      </c>
    </row>
    <row r="76" spans="2:13" ht="15" customHeight="1" thickBot="1" x14ac:dyDescent="0.25"/>
    <row r="77" spans="2:13" ht="15.75" customHeight="1" x14ac:dyDescent="0.2">
      <c r="B77" s="6" t="s">
        <v>29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5.75" customHeight="1" x14ac:dyDescent="0.2"/>
    <row r="79" spans="2:13" ht="15.75" customHeight="1" x14ac:dyDescent="0.2">
      <c r="B79" s="12" t="s">
        <v>30</v>
      </c>
    </row>
    <row r="81" spans="2:11" ht="15" customHeight="1" x14ac:dyDescent="0.2">
      <c r="B81" s="13" t="s">
        <v>31</v>
      </c>
      <c r="C81" s="55" t="s">
        <v>4</v>
      </c>
      <c r="D81" s="56">
        <v>0.16200000000000001</v>
      </c>
      <c r="E81" s="56">
        <v>0.16</v>
      </c>
      <c r="F81" s="56">
        <v>0.158</v>
      </c>
      <c r="G81" s="56">
        <v>0.16500000000000001</v>
      </c>
      <c r="H81" s="56">
        <v>0.17</v>
      </c>
      <c r="I81" s="56">
        <v>0.17499999999999999</v>
      </c>
      <c r="J81" s="56">
        <v>0.18</v>
      </c>
      <c r="K81" s="56">
        <v>0.185</v>
      </c>
    </row>
    <row r="82" spans="2:11" ht="15" customHeight="1" x14ac:dyDescent="0.2">
      <c r="C82" s="55" t="s">
        <v>11</v>
      </c>
      <c r="D82" s="56">
        <v>0.16200000000000001</v>
      </c>
      <c r="E82" s="56">
        <v>0.16</v>
      </c>
      <c r="F82" s="56">
        <v>0.158</v>
      </c>
      <c r="G82" s="56">
        <v>0.16</v>
      </c>
      <c r="H82" s="56">
        <v>0.16500000000000001</v>
      </c>
      <c r="I82" s="56">
        <v>0.17</v>
      </c>
      <c r="J82" s="56">
        <v>0.17499999999999999</v>
      </c>
      <c r="K82" s="56">
        <v>0.18</v>
      </c>
    </row>
    <row r="83" spans="2:11" ht="15" customHeight="1" x14ac:dyDescent="0.2">
      <c r="C83" s="55" t="s">
        <v>12</v>
      </c>
      <c r="D83" s="56">
        <v>0.16200000000000001</v>
      </c>
      <c r="E83" s="56">
        <v>0.16</v>
      </c>
      <c r="F83" s="56">
        <v>0.158</v>
      </c>
      <c r="G83" s="56">
        <v>0.17</v>
      </c>
      <c r="H83" s="56">
        <v>0.17499999999999999</v>
      </c>
      <c r="I83" s="56">
        <v>0.18</v>
      </c>
      <c r="J83" s="56">
        <v>0.185</v>
      </c>
      <c r="K83" s="56">
        <v>0.19</v>
      </c>
    </row>
    <row r="86" spans="2:11" ht="15" customHeight="1" x14ac:dyDescent="0.2">
      <c r="B86" s="12" t="s">
        <v>32</v>
      </c>
    </row>
    <row r="87" spans="2:11" ht="15.75" customHeight="1" x14ac:dyDescent="0.2"/>
    <row r="88" spans="2:11" ht="15.75" customHeight="1" x14ac:dyDescent="0.2">
      <c r="B88" s="13" t="s">
        <v>271</v>
      </c>
      <c r="C88" s="55" t="s">
        <v>4</v>
      </c>
      <c r="D88" s="56">
        <v>5.0000000000000001E-3</v>
      </c>
      <c r="E88" s="56">
        <v>1.4999999999999999E-2</v>
      </c>
      <c r="F88" s="56">
        <v>2.5000000000000001E-2</v>
      </c>
      <c r="G88" s="56">
        <v>3.5000000000000003E-2</v>
      </c>
      <c r="H88" s="56">
        <v>0.03</v>
      </c>
      <c r="I88" s="56">
        <v>2.5000000000000001E-2</v>
      </c>
      <c r="J88" s="56">
        <v>2.5000000000000001E-2</v>
      </c>
      <c r="K88" s="56">
        <v>0.02</v>
      </c>
    </row>
    <row r="89" spans="2:11" ht="15.75" customHeight="1" x14ac:dyDescent="0.2">
      <c r="C89" s="55" t="s">
        <v>11</v>
      </c>
      <c r="D89" s="56">
        <v>0.01</v>
      </c>
      <c r="E89" s="56">
        <v>0.02</v>
      </c>
      <c r="F89" s="56">
        <v>3.0000000000000002E-2</v>
      </c>
      <c r="G89" s="56">
        <v>0.04</v>
      </c>
      <c r="H89" s="56">
        <v>4.4999999999999998E-2</v>
      </c>
      <c r="I89" s="56">
        <v>0.04</v>
      </c>
      <c r="J89" s="56">
        <v>3.4999999999999996E-2</v>
      </c>
      <c r="K89" s="56">
        <v>3.4999999999999996E-2</v>
      </c>
    </row>
    <row r="90" spans="2:11" ht="15" customHeight="1" x14ac:dyDescent="0.2">
      <c r="C90" s="55" t="s">
        <v>12</v>
      </c>
      <c r="D90" s="56">
        <v>2.5000000000000001E-3</v>
      </c>
      <c r="E90" s="56">
        <v>1.2499999999999999E-2</v>
      </c>
      <c r="F90" s="56">
        <v>2.2500000000000003E-2</v>
      </c>
      <c r="G90" s="56">
        <v>3.2500000000000001E-2</v>
      </c>
      <c r="H90" s="56">
        <v>3.7499999999999999E-2</v>
      </c>
      <c r="I90" s="56">
        <v>3.2500000000000001E-2</v>
      </c>
      <c r="J90" s="56">
        <v>2.75E-2</v>
      </c>
      <c r="K90" s="56">
        <v>2.75E-2</v>
      </c>
    </row>
    <row r="91" spans="2:11" ht="15" customHeight="1" x14ac:dyDescent="0.2">
      <c r="C91" s="55"/>
      <c r="D91" s="56"/>
      <c r="E91" s="56"/>
      <c r="F91" s="56"/>
      <c r="G91" s="56"/>
      <c r="H91" s="56"/>
      <c r="I91" s="56"/>
      <c r="J91" s="56"/>
      <c r="K91" s="56"/>
    </row>
    <row r="92" spans="2:11" ht="15" customHeight="1" x14ac:dyDescent="0.2">
      <c r="B92" s="13" t="s">
        <v>272</v>
      </c>
      <c r="C92" s="55" t="s">
        <v>4</v>
      </c>
      <c r="D92" s="56">
        <v>0.03</v>
      </c>
      <c r="E92" s="56">
        <v>3.5000000000000003E-2</v>
      </c>
      <c r="F92" s="56">
        <v>0.04</v>
      </c>
      <c r="G92" s="56">
        <v>4.4999999999999998E-2</v>
      </c>
      <c r="H92" s="56">
        <v>0.04</v>
      </c>
      <c r="I92" s="56">
        <v>3.5000000000000003E-2</v>
      </c>
      <c r="J92" s="56">
        <v>0.03</v>
      </c>
      <c r="K92" s="56">
        <v>0.03</v>
      </c>
    </row>
    <row r="93" spans="2:11" ht="15" customHeight="1" x14ac:dyDescent="0.2">
      <c r="C93" s="55" t="s">
        <v>11</v>
      </c>
      <c r="D93" s="56">
        <v>2.4999999999999998E-2</v>
      </c>
      <c r="E93" s="56">
        <v>3.0000000000000002E-2</v>
      </c>
      <c r="F93" s="56">
        <v>3.5000000000000003E-2</v>
      </c>
      <c r="G93" s="56">
        <v>0.04</v>
      </c>
      <c r="H93" s="56">
        <v>3.5000000000000003E-2</v>
      </c>
      <c r="I93" s="56">
        <v>3.0000000000000002E-2</v>
      </c>
      <c r="J93" s="56">
        <v>2.4999999999999998E-2</v>
      </c>
      <c r="K93" s="56">
        <v>2.4999999999999998E-2</v>
      </c>
    </row>
    <row r="94" spans="2:11" ht="15.75" customHeight="1" x14ac:dyDescent="0.2">
      <c r="C94" s="55" t="s">
        <v>12</v>
      </c>
      <c r="D94" s="56">
        <v>0.04</v>
      </c>
      <c r="E94" s="56">
        <v>4.5000000000000005E-2</v>
      </c>
      <c r="F94" s="56">
        <v>0.05</v>
      </c>
      <c r="G94" s="56">
        <v>5.5E-2</v>
      </c>
      <c r="H94" s="56">
        <v>0.05</v>
      </c>
      <c r="I94" s="56">
        <v>4.5000000000000005E-2</v>
      </c>
      <c r="J94" s="56">
        <v>0.04</v>
      </c>
      <c r="K94" s="56">
        <v>0.04</v>
      </c>
    </row>
    <row r="95" spans="2:11" ht="15.75" customHeight="1" x14ac:dyDescent="0.2"/>
    <row r="96" spans="2:11" ht="15.75" customHeight="1" x14ac:dyDescent="0.2">
      <c r="B96" s="12" t="s">
        <v>33</v>
      </c>
    </row>
    <row r="98" spans="2:11" ht="15" customHeight="1" x14ac:dyDescent="0.2">
      <c r="B98" s="13" t="s">
        <v>34</v>
      </c>
      <c r="C98" s="55" t="s">
        <v>4</v>
      </c>
      <c r="D98" s="56">
        <v>0.75</v>
      </c>
      <c r="E98" s="56">
        <v>0.75</v>
      </c>
      <c r="F98" s="56">
        <v>0.75</v>
      </c>
      <c r="G98" s="56">
        <v>0.7</v>
      </c>
      <c r="H98" s="56">
        <v>0.7</v>
      </c>
      <c r="I98" s="56">
        <v>0.65</v>
      </c>
      <c r="J98" s="56">
        <v>0.65</v>
      </c>
      <c r="K98" s="56">
        <v>0.6</v>
      </c>
    </row>
    <row r="99" spans="2:11" ht="15" customHeight="1" x14ac:dyDescent="0.2">
      <c r="C99" s="55" t="s">
        <v>11</v>
      </c>
      <c r="D99" s="56">
        <v>0.75</v>
      </c>
      <c r="E99" s="56">
        <v>0.75</v>
      </c>
      <c r="F99" s="56">
        <v>0.75</v>
      </c>
      <c r="G99" s="56">
        <v>0.75</v>
      </c>
      <c r="H99" s="56">
        <v>0.75</v>
      </c>
      <c r="I99" s="56">
        <v>0.7</v>
      </c>
      <c r="J99" s="56">
        <v>0.7</v>
      </c>
      <c r="K99" s="56">
        <v>0.65</v>
      </c>
    </row>
    <row r="100" spans="2:11" ht="15" customHeight="1" thickBot="1" x14ac:dyDescent="0.25">
      <c r="B100" s="7"/>
      <c r="C100" s="8" t="s">
        <v>12</v>
      </c>
      <c r="D100" s="9">
        <v>0.75</v>
      </c>
      <c r="E100" s="9">
        <v>0.75</v>
      </c>
      <c r="F100" s="9">
        <v>0.75</v>
      </c>
      <c r="G100" s="9">
        <v>0.65</v>
      </c>
      <c r="H100" s="9">
        <v>0.65</v>
      </c>
      <c r="I100" s="9">
        <v>0.6</v>
      </c>
      <c r="J100" s="9">
        <v>0.6</v>
      </c>
      <c r="K100" s="9">
        <v>0.55000000000000004</v>
      </c>
    </row>
    <row r="101" spans="2:11" ht="15.75" customHeight="1" x14ac:dyDescent="0.2"/>
    <row r="102" spans="2:11" ht="15.75" customHeight="1" x14ac:dyDescent="0.2"/>
    <row r="103" spans="2:11" ht="15.75" customHeight="1" x14ac:dyDescent="0.2"/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Q120"/>
  <sheetViews>
    <sheetView showGridLines="0" topLeftCell="A28" workbookViewId="0">
      <selection activeCell="E23" sqref="E23"/>
    </sheetView>
  </sheetViews>
  <sheetFormatPr baseColWidth="10" defaultColWidth="7.6640625" defaultRowHeight="15" customHeight="1" x14ac:dyDescent="0.2"/>
  <cols>
    <col min="2" max="2" width="25" customWidth="1"/>
    <col min="3" max="3" width="10" customWidth="1"/>
    <col min="4" max="11" width="8.6640625" customWidth="1"/>
  </cols>
  <sheetData>
    <row r="2" spans="2:17" ht="18" customHeight="1" x14ac:dyDescent="0.2">
      <c r="B2" s="68" t="s">
        <v>35</v>
      </c>
    </row>
    <row r="3" spans="2:17" ht="13.5" customHeight="1" x14ac:dyDescent="0.2">
      <c r="B3" s="16" t="s">
        <v>1</v>
      </c>
    </row>
    <row r="5" spans="2:17" ht="15" customHeight="1" x14ac:dyDescent="0.2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7" ht="15.75" customHeight="1" x14ac:dyDescent="0.2">
      <c r="B6" s="89" t="s">
        <v>3</v>
      </c>
      <c r="D6" s="109" t="str">
        <f>'Company1153 Assumptions'!$D$6</f>
        <v>Base</v>
      </c>
    </row>
    <row r="8" spans="2:17" ht="13.5" customHeight="1" x14ac:dyDescent="0.2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7" ht="13.5" customHeight="1" x14ac:dyDescent="0.2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7" ht="15" customHeight="1" thickBot="1" x14ac:dyDescent="0.25"/>
    <row r="11" spans="2:17" ht="15" customHeight="1" x14ac:dyDescent="0.2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Q11" s="61"/>
    </row>
    <row r="13" spans="2:17" ht="13.5" customHeight="1" x14ac:dyDescent="0.2">
      <c r="B13" s="12" t="s">
        <v>8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</row>
    <row r="14" spans="2:17" ht="12.75" customHeight="1" x14ac:dyDescent="0.2">
      <c r="B14" s="67"/>
      <c r="C14" s="91" t="s">
        <v>9</v>
      </c>
      <c r="D14" s="93">
        <v>2021</v>
      </c>
      <c r="E14" s="93">
        <v>2022</v>
      </c>
      <c r="F14" s="93">
        <v>2023</v>
      </c>
      <c r="G14" s="93">
        <v>2024</v>
      </c>
      <c r="H14" s="93">
        <v>2025</v>
      </c>
      <c r="I14" s="93">
        <v>2026</v>
      </c>
      <c r="J14" s="93">
        <v>2027</v>
      </c>
      <c r="K14" s="93">
        <v>2028</v>
      </c>
      <c r="L14" s="67"/>
    </row>
    <row r="15" spans="2:17" ht="15.75" customHeight="1" x14ac:dyDescent="0.2">
      <c r="B15" s="94" t="s">
        <v>36</v>
      </c>
      <c r="C15" s="55" t="s">
        <v>4</v>
      </c>
      <c r="D15" s="67"/>
      <c r="E15" s="67"/>
      <c r="F15" s="67"/>
      <c r="G15" s="95">
        <v>0.12</v>
      </c>
      <c r="H15" s="95">
        <v>0.1</v>
      </c>
      <c r="I15" s="95">
        <v>8.5000000000000006E-2</v>
      </c>
      <c r="J15" s="95">
        <v>7.4999999999999997E-2</v>
      </c>
      <c r="K15" s="95">
        <v>7.0000000000000007E-2</v>
      </c>
      <c r="L15" s="67"/>
    </row>
    <row r="16" spans="2:17" ht="15.75" customHeight="1" x14ac:dyDescent="0.2">
      <c r="B16" s="67"/>
      <c r="C16" s="55" t="s">
        <v>11</v>
      </c>
      <c r="D16" s="67"/>
      <c r="E16" s="67"/>
      <c r="F16" s="67"/>
      <c r="G16" s="95">
        <v>0.14000000000000001</v>
      </c>
      <c r="H16" s="95">
        <v>0.12</v>
      </c>
      <c r="I16" s="95">
        <v>0.105</v>
      </c>
      <c r="J16" s="95">
        <v>9.5000000000000001E-2</v>
      </c>
      <c r="K16" s="95">
        <v>0.09</v>
      </c>
      <c r="L16" s="67"/>
    </row>
    <row r="17" spans="2:13" ht="15.75" customHeight="1" x14ac:dyDescent="0.2">
      <c r="B17" s="67"/>
      <c r="C17" s="55" t="s">
        <v>12</v>
      </c>
      <c r="D17" s="67"/>
      <c r="E17" s="67"/>
      <c r="F17" s="67"/>
      <c r="G17" s="95">
        <v>0.1</v>
      </c>
      <c r="H17" s="95">
        <v>0.08</v>
      </c>
      <c r="I17" s="95">
        <v>6.5000000000000002E-2</v>
      </c>
      <c r="J17" s="95">
        <v>5.5E-2</v>
      </c>
      <c r="K17" s="95">
        <v>0.05</v>
      </c>
      <c r="L17" s="67"/>
    </row>
    <row r="18" spans="2:13" ht="15" customHeight="1" x14ac:dyDescent="0.2"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</row>
    <row r="19" spans="2:13" ht="15.75" customHeight="1" x14ac:dyDescent="0.2">
      <c r="B19" s="54" t="s">
        <v>37</v>
      </c>
      <c r="C19" t="s">
        <v>4</v>
      </c>
      <c r="G19" s="56">
        <v>1.4E-2</v>
      </c>
      <c r="H19" s="103">
        <f>G$19+(($K$19-$G$19)/COUNT($H$14:$K$14))</f>
        <v>2.3E-2</v>
      </c>
      <c r="I19" s="103">
        <f t="shared" ref="I19:J19" si="0">H$19+(($K$19-$G$19)/COUNT($H$14:$K$14))</f>
        <v>3.2000000000000001E-2</v>
      </c>
      <c r="J19" s="103">
        <f t="shared" si="0"/>
        <v>4.1000000000000002E-2</v>
      </c>
      <c r="K19" s="56">
        <v>0.05</v>
      </c>
    </row>
    <row r="20" spans="2:13" ht="15.75" customHeight="1" x14ac:dyDescent="0.2">
      <c r="B20" s="110" t="s">
        <v>287</v>
      </c>
      <c r="C20" t="s">
        <v>11</v>
      </c>
      <c r="G20" s="103">
        <f>G19+$M$20</f>
        <v>1.9E-2</v>
      </c>
      <c r="H20" s="103">
        <f t="shared" ref="H20:K20" si="1">H19+$M$20</f>
        <v>2.8000000000000001E-2</v>
      </c>
      <c r="I20" s="103">
        <f t="shared" si="1"/>
        <v>3.6999999999999998E-2</v>
      </c>
      <c r="J20" s="103">
        <f t="shared" si="1"/>
        <v>4.5999999999999999E-2</v>
      </c>
      <c r="K20" s="103">
        <f t="shared" si="1"/>
        <v>5.5E-2</v>
      </c>
      <c r="M20" s="111">
        <v>5.0000000000000001E-3</v>
      </c>
    </row>
    <row r="21" spans="2:13" ht="15.75" customHeight="1" x14ac:dyDescent="0.2">
      <c r="C21" t="s">
        <v>12</v>
      </c>
      <c r="G21" s="103">
        <f>G19-$M$21</f>
        <v>9.0000000000000011E-3</v>
      </c>
      <c r="H21" s="103">
        <f t="shared" ref="H21:K21" si="2">H19-$M$21</f>
        <v>1.7999999999999999E-2</v>
      </c>
      <c r="I21" s="103">
        <f t="shared" si="2"/>
        <v>2.7E-2</v>
      </c>
      <c r="J21" s="103">
        <f t="shared" si="2"/>
        <v>3.6000000000000004E-2</v>
      </c>
      <c r="K21" s="103">
        <f t="shared" si="2"/>
        <v>4.5000000000000005E-2</v>
      </c>
      <c r="M21" s="111">
        <v>5.0000000000000001E-3</v>
      </c>
    </row>
    <row r="22" spans="2:13" ht="15" customHeight="1" x14ac:dyDescent="0.2"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2:13" ht="15" customHeight="1" x14ac:dyDescent="0.2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</row>
    <row r="24" spans="2:13" ht="13.5" customHeight="1" x14ac:dyDescent="0.2">
      <c r="B24" s="12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</row>
    <row r="25" spans="2:13" ht="15" customHeight="1" x14ac:dyDescent="0.2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</row>
    <row r="26" spans="2:13" ht="15.75" customHeight="1" x14ac:dyDescent="0.2">
      <c r="B26" s="94" t="s">
        <v>39</v>
      </c>
      <c r="C26" s="55" t="s">
        <v>4</v>
      </c>
      <c r="D26" s="67"/>
      <c r="E26" s="67"/>
      <c r="F26" s="67"/>
      <c r="G26" s="95">
        <v>0.03</v>
      </c>
      <c r="H26" s="95">
        <v>2.5000000000000001E-2</v>
      </c>
      <c r="I26" s="95">
        <v>0.02</v>
      </c>
      <c r="J26" s="95">
        <v>1.4999999999999999E-2</v>
      </c>
      <c r="K26" s="95">
        <v>0.01</v>
      </c>
      <c r="L26" s="67"/>
    </row>
    <row r="27" spans="2:13" ht="15.75" customHeight="1" x14ac:dyDescent="0.2">
      <c r="B27" s="67"/>
      <c r="C27" s="55" t="s">
        <v>11</v>
      </c>
      <c r="D27" s="67"/>
      <c r="E27" s="67"/>
      <c r="F27" s="67"/>
      <c r="G27" s="95">
        <v>0.04</v>
      </c>
      <c r="H27" s="95">
        <v>3.5000000000000003E-2</v>
      </c>
      <c r="I27" s="95">
        <v>0.03</v>
      </c>
      <c r="J27" s="95">
        <v>2.5000000000000001E-2</v>
      </c>
      <c r="K27" s="95">
        <v>0.02</v>
      </c>
      <c r="L27" s="67"/>
    </row>
    <row r="28" spans="2:13" ht="15.75" customHeight="1" x14ac:dyDescent="0.2">
      <c r="B28" s="67"/>
      <c r="C28" s="55" t="s">
        <v>12</v>
      </c>
      <c r="D28" s="67"/>
      <c r="E28" s="67"/>
      <c r="F28" s="67"/>
      <c r="G28" s="95">
        <v>0.02</v>
      </c>
      <c r="H28" s="95">
        <v>1.4999999999999999E-2</v>
      </c>
      <c r="I28" s="95">
        <v>0.01</v>
      </c>
      <c r="J28" s="95">
        <v>5.0000000000000001E-3</v>
      </c>
      <c r="K28" s="95">
        <v>0</v>
      </c>
      <c r="L28" s="67"/>
    </row>
    <row r="29" spans="2:13" ht="15" customHeight="1" x14ac:dyDescent="0.2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</row>
    <row r="30" spans="2:13" ht="15.75" customHeight="1" x14ac:dyDescent="0.2">
      <c r="B30" s="94" t="s">
        <v>40</v>
      </c>
      <c r="C30" s="55" t="s">
        <v>4</v>
      </c>
      <c r="D30" s="67"/>
      <c r="E30" s="67"/>
      <c r="F30" s="67"/>
      <c r="G30" s="95">
        <v>8.5000000000000006E-2</v>
      </c>
      <c r="H30" s="95">
        <v>7.0000000000000007E-2</v>
      </c>
      <c r="I30" s="95">
        <v>0.06</v>
      </c>
      <c r="J30" s="95">
        <v>5.5E-2</v>
      </c>
      <c r="K30" s="95">
        <v>0.05</v>
      </c>
      <c r="L30" s="67"/>
    </row>
    <row r="31" spans="2:13" ht="15.75" customHeight="1" x14ac:dyDescent="0.2">
      <c r="B31" s="67"/>
      <c r="C31" s="55" t="s">
        <v>11</v>
      </c>
      <c r="D31" s="67"/>
      <c r="E31" s="67"/>
      <c r="F31" s="67"/>
      <c r="G31" s="95">
        <v>0.1</v>
      </c>
      <c r="H31" s="95">
        <v>8.5000000000000006E-2</v>
      </c>
      <c r="I31" s="95">
        <v>7.4999999999999997E-2</v>
      </c>
      <c r="J31" s="95">
        <v>7.0000000000000007E-2</v>
      </c>
      <c r="K31" s="95">
        <v>6.5000000000000002E-2</v>
      </c>
      <c r="L31" s="67"/>
    </row>
    <row r="32" spans="2:13" ht="15.75" customHeight="1" x14ac:dyDescent="0.2">
      <c r="B32" s="67"/>
      <c r="C32" s="55" t="s">
        <v>12</v>
      </c>
      <c r="D32" s="67"/>
      <c r="E32" s="67"/>
      <c r="F32" s="67"/>
      <c r="G32" s="95">
        <v>7.0000000000000007E-2</v>
      </c>
      <c r="H32" s="95">
        <v>5.5E-2</v>
      </c>
      <c r="I32" s="95">
        <v>4.4999999999999998E-2</v>
      </c>
      <c r="J32" s="95">
        <v>0.04</v>
      </c>
      <c r="K32" s="95">
        <v>3.5000000000000003E-2</v>
      </c>
      <c r="L32" s="67"/>
    </row>
    <row r="33" spans="2:13" ht="15" customHeight="1" thickBot="1" x14ac:dyDescent="0.25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</row>
    <row r="34" spans="2:13" ht="15" customHeight="1" x14ac:dyDescent="0.2">
      <c r="B34" s="6" t="s">
        <v>16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2:13" ht="15" customHeight="1" x14ac:dyDescent="0.2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2:13" ht="15" customHeight="1" x14ac:dyDescent="0.2">
      <c r="B36" s="12" t="s">
        <v>17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spans="2:13" ht="13.5" customHeight="1" x14ac:dyDescent="0.2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</row>
    <row r="38" spans="2:13" ht="15" customHeight="1" x14ac:dyDescent="0.2">
      <c r="B38" s="94" t="s">
        <v>18</v>
      </c>
      <c r="C38" s="55" t="s">
        <v>4</v>
      </c>
      <c r="D38" s="95">
        <v>0.255</v>
      </c>
      <c r="E38" s="95">
        <v>0.27</v>
      </c>
      <c r="F38" s="95">
        <v>0.28999999999999998</v>
      </c>
      <c r="G38" s="95">
        <v>0.28499999999999998</v>
      </c>
      <c r="H38" s="95">
        <v>0.28000000000000003</v>
      </c>
      <c r="I38" s="95">
        <v>0.27500000000000002</v>
      </c>
      <c r="J38" s="95">
        <v>0.27</v>
      </c>
      <c r="K38" s="95">
        <v>0.26500000000000001</v>
      </c>
      <c r="L38" s="67"/>
    </row>
    <row r="39" spans="2:13" ht="15.75" customHeight="1" x14ac:dyDescent="0.2">
      <c r="B39" s="67"/>
      <c r="C39" s="55" t="s">
        <v>11</v>
      </c>
      <c r="D39" s="95">
        <v>0.255</v>
      </c>
      <c r="E39" s="95">
        <v>0.27</v>
      </c>
      <c r="F39" s="95">
        <v>0.28999999999999998</v>
      </c>
      <c r="G39" s="95">
        <v>0.28000000000000003</v>
      </c>
      <c r="H39" s="95">
        <v>0.27500000000000002</v>
      </c>
      <c r="I39" s="95">
        <v>0.27</v>
      </c>
      <c r="J39" s="95">
        <v>0.26500000000000001</v>
      </c>
      <c r="K39" s="95">
        <v>0.26</v>
      </c>
      <c r="L39" s="67"/>
    </row>
    <row r="40" spans="2:13" ht="15.75" customHeight="1" x14ac:dyDescent="0.2">
      <c r="B40" s="67"/>
      <c r="C40" s="55" t="s">
        <v>12</v>
      </c>
      <c r="D40" s="95">
        <v>0.255</v>
      </c>
      <c r="E40" s="95">
        <v>0.27</v>
      </c>
      <c r="F40" s="95">
        <v>0.28999999999999998</v>
      </c>
      <c r="G40" s="95">
        <v>0.28999999999999998</v>
      </c>
      <c r="H40" s="95">
        <v>0.28499999999999998</v>
      </c>
      <c r="I40" s="95">
        <v>0.28000000000000003</v>
      </c>
      <c r="J40" s="95">
        <v>0.27500000000000002</v>
      </c>
      <c r="K40" s="95">
        <v>0.27</v>
      </c>
      <c r="L40" s="67"/>
    </row>
    <row r="41" spans="2:13" ht="15.75" customHeight="1" x14ac:dyDescent="0.2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</row>
    <row r="42" spans="2:13" ht="15" customHeight="1" x14ac:dyDescent="0.2">
      <c r="B42" s="94" t="s">
        <v>19</v>
      </c>
      <c r="C42" s="55" t="s">
        <v>4</v>
      </c>
      <c r="D42" s="95">
        <v>0.11800000000000001</v>
      </c>
      <c r="E42" s="95">
        <v>0.125</v>
      </c>
      <c r="F42" s="95">
        <v>0.13</v>
      </c>
      <c r="G42" s="95">
        <v>0.125</v>
      </c>
      <c r="H42" s="95">
        <v>0.12</v>
      </c>
      <c r="I42" s="95">
        <v>0.115</v>
      </c>
      <c r="J42" s="95">
        <v>0.11</v>
      </c>
      <c r="K42" s="95">
        <v>0.105</v>
      </c>
      <c r="L42" s="67"/>
    </row>
    <row r="43" spans="2:13" ht="15.75" customHeight="1" x14ac:dyDescent="0.2">
      <c r="B43" s="67"/>
      <c r="C43" s="55" t="s">
        <v>11</v>
      </c>
      <c r="D43" s="95">
        <v>0.11800000000000001</v>
      </c>
      <c r="E43" s="95">
        <v>0.125</v>
      </c>
      <c r="F43" s="95">
        <v>0.13</v>
      </c>
      <c r="G43" s="95">
        <v>0.12</v>
      </c>
      <c r="H43" s="95">
        <v>0.115</v>
      </c>
      <c r="I43" s="95">
        <v>0.11</v>
      </c>
      <c r="J43" s="95">
        <v>0.105</v>
      </c>
      <c r="K43" s="95">
        <v>0.1</v>
      </c>
      <c r="L43" s="67"/>
    </row>
    <row r="44" spans="2:13" ht="15.75" customHeight="1" x14ac:dyDescent="0.2">
      <c r="B44" s="67"/>
      <c r="C44" s="55" t="s">
        <v>12</v>
      </c>
      <c r="D44" s="95">
        <v>0.11800000000000001</v>
      </c>
      <c r="E44" s="95">
        <v>0.125</v>
      </c>
      <c r="F44" s="95">
        <v>0.13</v>
      </c>
      <c r="G44" s="95">
        <v>0.13</v>
      </c>
      <c r="H44" s="95">
        <v>0.125</v>
      </c>
      <c r="I44" s="95">
        <v>0.12</v>
      </c>
      <c r="J44" s="95">
        <v>0.115</v>
      </c>
      <c r="K44" s="95">
        <v>0.11</v>
      </c>
      <c r="L44" s="67"/>
    </row>
    <row r="45" spans="2:13" ht="15.75" customHeight="1" x14ac:dyDescent="0.2"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</row>
    <row r="46" spans="2:13" ht="15" customHeight="1" x14ac:dyDescent="0.2">
      <c r="B46" s="94" t="s">
        <v>20</v>
      </c>
      <c r="C46" s="55" t="s">
        <v>4</v>
      </c>
      <c r="D46" s="95">
        <v>0.10199999999999999</v>
      </c>
      <c r="E46" s="95">
        <v>0.10800000000000001</v>
      </c>
      <c r="F46" s="95">
        <v>0.115</v>
      </c>
      <c r="G46" s="95">
        <v>0.11</v>
      </c>
      <c r="H46" s="95">
        <v>0.105</v>
      </c>
      <c r="I46" s="95">
        <v>0.1</v>
      </c>
      <c r="J46" s="95">
        <v>9.5000000000000001E-2</v>
      </c>
      <c r="K46" s="95">
        <v>0.09</v>
      </c>
      <c r="L46" s="67"/>
    </row>
    <row r="47" spans="2:13" ht="15.75" customHeight="1" x14ac:dyDescent="0.2">
      <c r="B47" s="67"/>
      <c r="C47" s="55" t="s">
        <v>11</v>
      </c>
      <c r="D47" s="95">
        <v>0.10199999999999999</v>
      </c>
      <c r="E47" s="95">
        <v>0.10800000000000001</v>
      </c>
      <c r="F47" s="95">
        <v>0.115</v>
      </c>
      <c r="G47" s="95">
        <v>0.105</v>
      </c>
      <c r="H47" s="95">
        <v>0.1</v>
      </c>
      <c r="I47" s="95">
        <v>9.5000000000000001E-2</v>
      </c>
      <c r="J47" s="95">
        <v>0.09</v>
      </c>
      <c r="K47" s="95">
        <v>8.5000000000000006E-2</v>
      </c>
      <c r="L47" s="67"/>
    </row>
    <row r="48" spans="2:13" ht="15.75" customHeight="1" x14ac:dyDescent="0.2">
      <c r="B48" s="67"/>
      <c r="C48" s="55" t="s">
        <v>12</v>
      </c>
      <c r="D48" s="95">
        <v>0.10199999999999999</v>
      </c>
      <c r="E48" s="95">
        <v>0.10800000000000001</v>
      </c>
      <c r="F48" s="95">
        <v>0.115</v>
      </c>
      <c r="G48" s="95">
        <v>0.115</v>
      </c>
      <c r="H48" s="95">
        <v>0.11</v>
      </c>
      <c r="I48" s="95">
        <v>0.105</v>
      </c>
      <c r="J48" s="95">
        <v>0.1</v>
      </c>
      <c r="K48" s="95">
        <v>9.5000000000000001E-2</v>
      </c>
      <c r="L48" s="67"/>
    </row>
    <row r="49" spans="2:13" ht="15.75" customHeight="1" x14ac:dyDescent="0.2"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</row>
    <row r="50" spans="2:13" ht="15" customHeight="1" x14ac:dyDescent="0.2">
      <c r="B50" s="94" t="s">
        <v>21</v>
      </c>
      <c r="C50" s="55" t="s">
        <v>4</v>
      </c>
      <c r="D50" s="95">
        <v>8.5000000000000006E-2</v>
      </c>
      <c r="E50" s="95">
        <v>0.10199999999999999</v>
      </c>
      <c r="F50" s="95">
        <v>0.11800000000000001</v>
      </c>
      <c r="G50" s="95">
        <v>0.11</v>
      </c>
      <c r="H50" s="95">
        <v>0.105</v>
      </c>
      <c r="I50" s="95">
        <v>0.1</v>
      </c>
      <c r="J50" s="95">
        <v>9.5000000000000001E-2</v>
      </c>
      <c r="K50" s="95">
        <v>0.09</v>
      </c>
      <c r="L50" s="67"/>
    </row>
    <row r="51" spans="2:13" ht="15.75" customHeight="1" x14ac:dyDescent="0.2">
      <c r="B51" s="67"/>
      <c r="C51" s="55" t="s">
        <v>11</v>
      </c>
      <c r="D51" s="95">
        <v>8.5000000000000006E-2</v>
      </c>
      <c r="E51" s="95">
        <v>0.10199999999999999</v>
      </c>
      <c r="F51" s="95">
        <v>0.11800000000000001</v>
      </c>
      <c r="G51" s="95">
        <v>0.105</v>
      </c>
      <c r="H51" s="95">
        <v>0.1</v>
      </c>
      <c r="I51" s="95">
        <v>9.5000000000000001E-2</v>
      </c>
      <c r="J51" s="95">
        <v>0.09</v>
      </c>
      <c r="K51" s="95">
        <v>8.5000000000000006E-2</v>
      </c>
      <c r="L51" s="67"/>
    </row>
    <row r="52" spans="2:13" ht="15.75" customHeight="1" x14ac:dyDescent="0.2">
      <c r="B52" s="67"/>
      <c r="C52" s="55" t="s">
        <v>12</v>
      </c>
      <c r="D52" s="95">
        <v>8.5000000000000006E-2</v>
      </c>
      <c r="E52" s="95">
        <v>0.10199999999999999</v>
      </c>
      <c r="F52" s="95">
        <v>0.11800000000000001</v>
      </c>
      <c r="G52" s="95">
        <v>0.115</v>
      </c>
      <c r="H52" s="95">
        <v>0.11</v>
      </c>
      <c r="I52" s="95">
        <v>0.105</v>
      </c>
      <c r="J52" s="95">
        <v>0.1</v>
      </c>
      <c r="K52" s="95">
        <v>9.5000000000000001E-2</v>
      </c>
      <c r="L52" s="67"/>
    </row>
    <row r="53" spans="2:13" ht="15.75" customHeight="1" x14ac:dyDescent="0.2"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</row>
    <row r="54" spans="2:13" ht="15" customHeight="1" x14ac:dyDescent="0.2">
      <c r="B54" s="12" t="s">
        <v>224</v>
      </c>
      <c r="C54" s="67"/>
      <c r="D54" s="67"/>
      <c r="E54" s="67"/>
      <c r="F54" s="67"/>
      <c r="G54" s="67"/>
      <c r="H54" s="67"/>
      <c r="I54" s="67"/>
      <c r="J54" s="67"/>
      <c r="K54" s="67"/>
      <c r="L54" s="67"/>
    </row>
    <row r="55" spans="2:13" ht="13.5" customHeight="1" x14ac:dyDescent="0.2"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</row>
    <row r="56" spans="2:13" ht="15" customHeight="1" x14ac:dyDescent="0.2">
      <c r="B56" s="94" t="s">
        <v>225</v>
      </c>
      <c r="C56" s="55" t="s">
        <v>4</v>
      </c>
      <c r="D56" s="95">
        <v>-3.5</v>
      </c>
      <c r="E56" s="95">
        <v>-3</v>
      </c>
      <c r="F56" s="95">
        <v>-2.5</v>
      </c>
      <c r="G56" s="95">
        <v>-2</v>
      </c>
      <c r="H56" s="95">
        <v>-1.5</v>
      </c>
      <c r="I56" s="95">
        <v>-1</v>
      </c>
      <c r="J56" s="95">
        <v>-0.75</v>
      </c>
      <c r="K56" s="95">
        <v>-0.5</v>
      </c>
      <c r="L56" s="67"/>
    </row>
    <row r="57" spans="2:13" ht="15.75" customHeight="1" x14ac:dyDescent="0.2">
      <c r="B57" s="67"/>
      <c r="C57" s="55" t="s">
        <v>11</v>
      </c>
      <c r="D57" s="95">
        <v>-3.5</v>
      </c>
      <c r="E57" s="95">
        <v>-3</v>
      </c>
      <c r="F57" s="95">
        <v>-2.5</v>
      </c>
      <c r="G57" s="95">
        <v>-1.75</v>
      </c>
      <c r="H57" s="95">
        <v>-1.25</v>
      </c>
      <c r="I57" s="95">
        <v>-0.75</v>
      </c>
      <c r="J57" s="95">
        <v>-0.5</v>
      </c>
      <c r="K57" s="95">
        <v>-0.25</v>
      </c>
      <c r="L57" s="67"/>
    </row>
    <row r="58" spans="2:13" ht="15.75" customHeight="1" x14ac:dyDescent="0.2">
      <c r="B58" s="67"/>
      <c r="C58" s="55" t="s">
        <v>12</v>
      </c>
      <c r="D58" s="95">
        <v>-3.5</v>
      </c>
      <c r="E58" s="95">
        <v>-3</v>
      </c>
      <c r="F58" s="95">
        <v>-2.5</v>
      </c>
      <c r="G58" s="95">
        <v>-2.25</v>
      </c>
      <c r="H58" s="95">
        <v>-1.75</v>
      </c>
      <c r="I58" s="95">
        <v>-1.25</v>
      </c>
      <c r="J58" s="95">
        <v>-1</v>
      </c>
      <c r="K58" s="95">
        <v>-0.75</v>
      </c>
      <c r="L58" s="67"/>
    </row>
    <row r="59" spans="2:13" ht="15.75" customHeight="1" thickBot="1" x14ac:dyDescent="0.25"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</row>
    <row r="60" spans="2:13" ht="15" customHeight="1" x14ac:dyDescent="0.2">
      <c r="B60" s="6" t="s">
        <v>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5" customHeight="1" x14ac:dyDescent="0.2"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</row>
    <row r="62" spans="2:13" ht="15" customHeight="1" x14ac:dyDescent="0.2">
      <c r="B62" s="12" t="s">
        <v>23</v>
      </c>
      <c r="C62" s="67"/>
      <c r="D62" s="67"/>
      <c r="E62" s="67"/>
      <c r="F62" s="67"/>
      <c r="G62" s="67"/>
      <c r="H62" s="67"/>
      <c r="I62" s="67"/>
      <c r="J62" s="67"/>
      <c r="K62" s="67"/>
      <c r="L62" s="67"/>
    </row>
    <row r="63" spans="2:13" ht="15" customHeight="1" x14ac:dyDescent="0.2"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</row>
    <row r="64" spans="2:13" ht="15" customHeight="1" x14ac:dyDescent="0.2">
      <c r="B64" s="94" t="s">
        <v>24</v>
      </c>
      <c r="C64" s="55" t="s">
        <v>4</v>
      </c>
      <c r="D64" s="96">
        <v>55</v>
      </c>
      <c r="E64" s="96">
        <v>53</v>
      </c>
      <c r="F64" s="96">
        <v>51</v>
      </c>
      <c r="G64" s="96">
        <v>50</v>
      </c>
      <c r="H64" s="96">
        <v>49</v>
      </c>
      <c r="I64" s="96">
        <v>48</v>
      </c>
      <c r="J64" s="96">
        <v>47</v>
      </c>
      <c r="K64" s="96">
        <v>46</v>
      </c>
      <c r="L64" s="67"/>
    </row>
    <row r="65" spans="2:12" ht="13.5" customHeight="1" x14ac:dyDescent="0.2">
      <c r="B65" s="67"/>
      <c r="C65" s="55" t="s">
        <v>11</v>
      </c>
      <c r="D65" s="96">
        <v>55</v>
      </c>
      <c r="E65" s="96">
        <v>53</v>
      </c>
      <c r="F65" s="96">
        <v>51</v>
      </c>
      <c r="G65" s="96">
        <v>49</v>
      </c>
      <c r="H65" s="96">
        <v>47</v>
      </c>
      <c r="I65" s="96">
        <v>46</v>
      </c>
      <c r="J65" s="96">
        <v>45</v>
      </c>
      <c r="K65" s="96">
        <v>44</v>
      </c>
      <c r="L65" s="67"/>
    </row>
    <row r="66" spans="2:12" ht="15" customHeight="1" x14ac:dyDescent="0.2">
      <c r="B66" s="67"/>
      <c r="C66" s="55" t="s">
        <v>12</v>
      </c>
      <c r="D66" s="96">
        <v>55</v>
      </c>
      <c r="E66" s="96">
        <v>53</v>
      </c>
      <c r="F66" s="96">
        <v>51</v>
      </c>
      <c r="G66" s="96">
        <v>52</v>
      </c>
      <c r="H66" s="96">
        <v>51</v>
      </c>
      <c r="I66" s="96">
        <v>50</v>
      </c>
      <c r="J66" s="96">
        <v>49</v>
      </c>
      <c r="K66" s="96">
        <v>48</v>
      </c>
      <c r="L66" s="67"/>
    </row>
    <row r="67" spans="2:12" ht="15.75" customHeight="1" x14ac:dyDescent="0.2"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</row>
    <row r="68" spans="2:12" ht="15.75" customHeight="1" x14ac:dyDescent="0.2">
      <c r="B68" s="94" t="s">
        <v>25</v>
      </c>
      <c r="C68" s="55" t="s">
        <v>4</v>
      </c>
      <c r="D68" s="96">
        <v>28</v>
      </c>
      <c r="E68" s="96">
        <v>30</v>
      </c>
      <c r="F68" s="96">
        <v>32</v>
      </c>
      <c r="G68" s="96">
        <v>33</v>
      </c>
      <c r="H68" s="96">
        <v>34</v>
      </c>
      <c r="I68" s="96">
        <v>35</v>
      </c>
      <c r="J68" s="96">
        <v>36</v>
      </c>
      <c r="K68" s="96">
        <v>37</v>
      </c>
      <c r="L68" s="67"/>
    </row>
    <row r="69" spans="2:12" ht="15.75" customHeight="1" x14ac:dyDescent="0.2">
      <c r="B69" s="67"/>
      <c r="C69" s="55" t="s">
        <v>11</v>
      </c>
      <c r="D69" s="96">
        <v>28</v>
      </c>
      <c r="E69" s="96">
        <v>30</v>
      </c>
      <c r="F69" s="96">
        <v>32</v>
      </c>
      <c r="G69" s="96">
        <v>34</v>
      </c>
      <c r="H69" s="96">
        <v>36</v>
      </c>
      <c r="I69" s="96">
        <v>37</v>
      </c>
      <c r="J69" s="96">
        <v>38</v>
      </c>
      <c r="K69" s="96">
        <v>39</v>
      </c>
      <c r="L69" s="67"/>
    </row>
    <row r="70" spans="2:12" ht="15" customHeight="1" x14ac:dyDescent="0.2">
      <c r="B70" s="67"/>
      <c r="C70" s="55" t="s">
        <v>12</v>
      </c>
      <c r="D70" s="96">
        <v>28</v>
      </c>
      <c r="E70" s="96">
        <v>30</v>
      </c>
      <c r="F70" s="96">
        <v>32</v>
      </c>
      <c r="G70" s="96">
        <v>32</v>
      </c>
      <c r="H70" s="96">
        <v>32</v>
      </c>
      <c r="I70" s="96">
        <v>33</v>
      </c>
      <c r="J70" s="96">
        <v>34</v>
      </c>
      <c r="K70" s="96">
        <v>35</v>
      </c>
      <c r="L70" s="67"/>
    </row>
    <row r="71" spans="2:12" ht="15.75" customHeight="1" x14ac:dyDescent="0.2"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</row>
    <row r="72" spans="2:12" ht="15.75" customHeight="1" x14ac:dyDescent="0.2">
      <c r="B72" s="13" t="str">
        <f>'Company1808 3-Statement'!$B$51</f>
        <v xml:space="preserve">  Other Current Assets</v>
      </c>
      <c r="C72" s="55" t="s">
        <v>108</v>
      </c>
      <c r="D72" s="67"/>
      <c r="E72" s="95">
        <v>4.0000000000000036E-2</v>
      </c>
      <c r="F72" s="95">
        <v>3.8461538461538547E-2</v>
      </c>
      <c r="G72" s="95">
        <v>4.0000000000000036E-2</v>
      </c>
      <c r="H72" s="95">
        <v>4.0000000000000036E-2</v>
      </c>
      <c r="I72" s="95">
        <v>4.0000000000000036E-2</v>
      </c>
      <c r="J72" s="95">
        <v>4.0000000000000036E-2</v>
      </c>
      <c r="K72" s="95">
        <v>4.0000000000000036E-2</v>
      </c>
      <c r="L72" s="67"/>
    </row>
    <row r="73" spans="2:12" ht="15.75" customHeight="1" x14ac:dyDescent="0.2">
      <c r="B73" s="13" t="str">
        <f>'Company1808 3-Statement'!$B$59</f>
        <v xml:space="preserve">  Other Long-term Assets</v>
      </c>
      <c r="C73" s="55" t="s">
        <v>108</v>
      </c>
      <c r="D73" s="67"/>
      <c r="E73" s="95">
        <v>0.12000000000000011</v>
      </c>
      <c r="F73" s="95">
        <v>0.14285714285714279</v>
      </c>
      <c r="G73" s="95">
        <v>0.10000000000000009</v>
      </c>
      <c r="H73" s="95">
        <v>0.10000000000000009</v>
      </c>
      <c r="I73" s="95">
        <v>0.10000000000000009</v>
      </c>
      <c r="J73" s="95">
        <v>0.10000000000000009</v>
      </c>
      <c r="K73" s="95">
        <v>0.10000000000000009</v>
      </c>
      <c r="L73" s="67"/>
    </row>
    <row r="74" spans="2:12" ht="15" customHeight="1" x14ac:dyDescent="0.2">
      <c r="B74" s="13" t="str">
        <f>'Company1808 3-Statement'!$B$68</f>
        <v xml:space="preserve">  Accrued Expenses</v>
      </c>
      <c r="C74" s="55" t="s">
        <v>108</v>
      </c>
      <c r="D74" s="67"/>
      <c r="E74" s="95">
        <v>6.25E-2</v>
      </c>
      <c r="F74" s="95">
        <v>5.8823529411764719E-2</v>
      </c>
      <c r="G74" s="95">
        <v>5.0000000000000044E-2</v>
      </c>
      <c r="H74" s="95">
        <v>5.0000000000000044E-2</v>
      </c>
      <c r="I74" s="95">
        <v>5.0000000000000044E-2</v>
      </c>
      <c r="J74" s="95">
        <v>5.0000000000000044E-2</v>
      </c>
      <c r="K74" s="95">
        <v>5.0000000000000044E-2</v>
      </c>
      <c r="L74" s="67"/>
    </row>
    <row r="75" spans="2:12" ht="15" customHeight="1" x14ac:dyDescent="0.2"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</row>
    <row r="76" spans="2:12" ht="15" customHeight="1" x14ac:dyDescent="0.2">
      <c r="B76" s="12" t="s">
        <v>26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</row>
    <row r="77" spans="2:12" ht="15" customHeight="1" x14ac:dyDescent="0.2"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</row>
    <row r="78" spans="2:12" ht="15" customHeight="1" x14ac:dyDescent="0.2">
      <c r="B78" s="94" t="s">
        <v>27</v>
      </c>
      <c r="C78" s="55" t="s">
        <v>4</v>
      </c>
      <c r="D78" s="95">
        <v>0.185</v>
      </c>
      <c r="E78" s="95">
        <v>0.22</v>
      </c>
      <c r="F78" s="95">
        <v>0.245</v>
      </c>
      <c r="G78" s="95">
        <v>0.23</v>
      </c>
      <c r="H78" s="95">
        <v>0.215</v>
      </c>
      <c r="I78" s="95">
        <v>0.2</v>
      </c>
      <c r="J78" s="95">
        <v>0.19</v>
      </c>
      <c r="K78" s="95">
        <v>0.18</v>
      </c>
      <c r="L78" s="67"/>
    </row>
    <row r="79" spans="2:12" ht="13.5" customHeight="1" x14ac:dyDescent="0.2">
      <c r="B79" s="67"/>
      <c r="C79" s="55" t="s">
        <v>11</v>
      </c>
      <c r="D79" s="95">
        <v>0.185</v>
      </c>
      <c r="E79" s="95">
        <v>0.22</v>
      </c>
      <c r="F79" s="95">
        <v>0.245</v>
      </c>
      <c r="G79" s="95">
        <v>0.22</v>
      </c>
      <c r="H79" s="95">
        <v>0.20499999999999999</v>
      </c>
      <c r="I79" s="95">
        <v>0.19</v>
      </c>
      <c r="J79" s="95">
        <v>0.18</v>
      </c>
      <c r="K79" s="95">
        <v>0.17</v>
      </c>
      <c r="L79" s="67"/>
    </row>
    <row r="80" spans="2:12" ht="15" customHeight="1" x14ac:dyDescent="0.2">
      <c r="B80" s="67"/>
      <c r="C80" s="55" t="s">
        <v>12</v>
      </c>
      <c r="D80" s="95">
        <v>0.185</v>
      </c>
      <c r="E80" s="95">
        <v>0.22</v>
      </c>
      <c r="F80" s="95">
        <v>0.245</v>
      </c>
      <c r="G80" s="95">
        <v>0.24</v>
      </c>
      <c r="H80" s="95">
        <v>0.22500000000000001</v>
      </c>
      <c r="I80" s="95">
        <v>0.21</v>
      </c>
      <c r="J80" s="95">
        <v>0.2</v>
      </c>
      <c r="K80" s="95">
        <v>0.19</v>
      </c>
      <c r="L80" s="67"/>
    </row>
    <row r="81" spans="2:13" ht="15.75" customHeight="1" x14ac:dyDescent="0.2"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</row>
    <row r="82" spans="2:13" ht="15.75" customHeight="1" x14ac:dyDescent="0.2">
      <c r="B82" s="94" t="s">
        <v>28</v>
      </c>
      <c r="C82" s="55" t="s">
        <v>4</v>
      </c>
      <c r="D82" s="95">
        <v>0.65</v>
      </c>
      <c r="E82" s="95">
        <v>0.65</v>
      </c>
      <c r="F82" s="95">
        <v>0.65</v>
      </c>
      <c r="G82" s="95">
        <v>0.65</v>
      </c>
      <c r="H82" s="95">
        <v>0.65</v>
      </c>
      <c r="I82" s="95">
        <v>0.65</v>
      </c>
      <c r="J82" s="95">
        <v>0.65</v>
      </c>
      <c r="K82" s="95">
        <v>0.65</v>
      </c>
      <c r="L82" s="67"/>
    </row>
    <row r="83" spans="2:13" ht="15.75" customHeight="1" x14ac:dyDescent="0.2">
      <c r="B83" s="67"/>
      <c r="C83" s="55" t="s">
        <v>11</v>
      </c>
      <c r="D83" s="95">
        <v>0.65</v>
      </c>
      <c r="E83" s="95">
        <v>0.65</v>
      </c>
      <c r="F83" s="95">
        <v>0.65</v>
      </c>
      <c r="G83" s="95">
        <v>0.63</v>
      </c>
      <c r="H83" s="95">
        <v>0.63</v>
      </c>
      <c r="I83" s="95">
        <v>0.63</v>
      </c>
      <c r="J83" s="95">
        <v>0.63</v>
      </c>
      <c r="K83" s="95">
        <v>0.63</v>
      </c>
      <c r="L83" s="67"/>
    </row>
    <row r="84" spans="2:13" ht="15" customHeight="1" x14ac:dyDescent="0.2">
      <c r="B84" s="67"/>
      <c r="C84" s="55" t="s">
        <v>12</v>
      </c>
      <c r="D84" s="95">
        <v>0.65</v>
      </c>
      <c r="E84" s="95">
        <v>0.65</v>
      </c>
      <c r="F84" s="95">
        <v>0.65</v>
      </c>
      <c r="G84" s="95">
        <v>0.67</v>
      </c>
      <c r="H84" s="95">
        <v>0.67</v>
      </c>
      <c r="I84" s="95">
        <v>0.67</v>
      </c>
      <c r="J84" s="95">
        <v>0.67</v>
      </c>
      <c r="K84" s="95">
        <v>0.67</v>
      </c>
      <c r="L84" s="67"/>
    </row>
    <row r="85" spans="2:13" ht="15.75" customHeight="1" x14ac:dyDescent="0.2"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2:13" ht="15.75" customHeight="1" x14ac:dyDescent="0.2"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</row>
    <row r="87" spans="2:13" ht="15.75" customHeight="1" thickBot="1" x14ac:dyDescent="0.25"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</row>
    <row r="88" spans="2:13" ht="15" customHeight="1" x14ac:dyDescent="0.2">
      <c r="B88" s="6" t="s">
        <v>29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2:13" ht="15" customHeight="1" x14ac:dyDescent="0.2"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3" ht="15" customHeight="1" x14ac:dyDescent="0.2">
      <c r="B90" s="12" t="s">
        <v>30</v>
      </c>
      <c r="C90" s="67"/>
      <c r="D90" s="67"/>
      <c r="E90" s="67"/>
      <c r="F90" s="67"/>
      <c r="G90" s="67"/>
      <c r="H90" s="67"/>
      <c r="I90" s="67"/>
      <c r="J90" s="67"/>
      <c r="K90" s="67"/>
      <c r="L90" s="67"/>
    </row>
    <row r="91" spans="2:13" ht="15" customHeight="1" x14ac:dyDescent="0.2"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</row>
    <row r="92" spans="2:13" ht="15" customHeight="1" x14ac:dyDescent="0.2">
      <c r="B92" s="94" t="s">
        <v>31</v>
      </c>
      <c r="C92" s="55" t="s">
        <v>4</v>
      </c>
      <c r="D92" s="95">
        <v>0.17499999999999999</v>
      </c>
      <c r="E92" s="95">
        <v>0.19</v>
      </c>
      <c r="F92" s="95">
        <v>0.185</v>
      </c>
      <c r="G92" s="95">
        <v>0.19</v>
      </c>
      <c r="H92" s="95">
        <v>0.19500000000000001</v>
      </c>
      <c r="I92" s="95">
        <v>0.2</v>
      </c>
      <c r="J92" s="95">
        <v>0.20499999999999999</v>
      </c>
      <c r="K92" s="95">
        <v>0.21</v>
      </c>
      <c r="L92" s="67"/>
    </row>
    <row r="93" spans="2:13" ht="13.5" customHeight="1" x14ac:dyDescent="0.2">
      <c r="B93" s="67"/>
      <c r="C93" s="55" t="s">
        <v>11</v>
      </c>
      <c r="D93" s="95">
        <v>0.17499999999999999</v>
      </c>
      <c r="E93" s="95">
        <v>0.19</v>
      </c>
      <c r="F93" s="95">
        <v>0.185</v>
      </c>
      <c r="G93" s="95">
        <v>0.185</v>
      </c>
      <c r="H93" s="95">
        <v>0.19</v>
      </c>
      <c r="I93" s="95">
        <v>0.19500000000000001</v>
      </c>
      <c r="J93" s="95">
        <v>0.2</v>
      </c>
      <c r="K93" s="95">
        <v>0.20499999999999999</v>
      </c>
      <c r="L93" s="67"/>
    </row>
    <row r="94" spans="2:13" ht="15" customHeight="1" x14ac:dyDescent="0.2">
      <c r="B94" s="67"/>
      <c r="C94" s="55" t="s">
        <v>12</v>
      </c>
      <c r="D94" s="95">
        <v>0.17499999999999999</v>
      </c>
      <c r="E94" s="95">
        <v>0.19</v>
      </c>
      <c r="F94" s="95">
        <v>0.185</v>
      </c>
      <c r="G94" s="95">
        <v>0.19500000000000001</v>
      </c>
      <c r="H94" s="95">
        <v>0.2</v>
      </c>
      <c r="I94" s="95">
        <v>0.20499999999999999</v>
      </c>
      <c r="J94" s="95">
        <v>0.21</v>
      </c>
      <c r="K94" s="95">
        <v>0.215</v>
      </c>
      <c r="L94" s="67"/>
    </row>
    <row r="95" spans="2:13" ht="15.75" customHeight="1" x14ac:dyDescent="0.2"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</row>
    <row r="96" spans="2:13" ht="15.75" customHeight="1" x14ac:dyDescent="0.2"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</row>
    <row r="97" spans="2:12" ht="15.75" customHeight="1" x14ac:dyDescent="0.2">
      <c r="B97" s="12" t="s">
        <v>32</v>
      </c>
      <c r="C97" s="67"/>
      <c r="D97" s="67"/>
      <c r="E97" s="67"/>
      <c r="F97" s="67"/>
      <c r="G97" s="67"/>
      <c r="H97" s="67"/>
      <c r="I97" s="67"/>
      <c r="J97" s="67"/>
      <c r="K97" s="67"/>
      <c r="L97" s="67"/>
    </row>
    <row r="98" spans="2:12" ht="15" customHeight="1" x14ac:dyDescent="0.2"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</row>
    <row r="99" spans="2:12" ht="15" customHeight="1" x14ac:dyDescent="0.2">
      <c r="B99" s="13" t="s">
        <v>271</v>
      </c>
      <c r="C99" s="55" t="s">
        <v>4</v>
      </c>
      <c r="D99" s="56">
        <v>5.0000000000000001E-3</v>
      </c>
      <c r="E99" s="56">
        <v>1.4999999999999999E-2</v>
      </c>
      <c r="F99" s="56">
        <v>2.5000000000000001E-2</v>
      </c>
      <c r="G99" s="56">
        <v>3.5000000000000003E-2</v>
      </c>
      <c r="H99" s="56">
        <v>0.03</v>
      </c>
      <c r="I99" s="56">
        <v>2.5000000000000001E-2</v>
      </c>
      <c r="J99" s="56">
        <v>2.5000000000000001E-2</v>
      </c>
      <c r="K99" s="56">
        <v>0.02</v>
      </c>
      <c r="L99" s="67"/>
    </row>
    <row r="100" spans="2:12" ht="13.5" customHeight="1" x14ac:dyDescent="0.2">
      <c r="C100" s="55" t="s">
        <v>11</v>
      </c>
      <c r="D100" s="56">
        <v>0.01</v>
      </c>
      <c r="E100" s="56">
        <v>0.02</v>
      </c>
      <c r="F100" s="56">
        <v>3.0000000000000002E-2</v>
      </c>
      <c r="G100" s="56">
        <v>0.04</v>
      </c>
      <c r="H100" s="56">
        <v>4.4999999999999998E-2</v>
      </c>
      <c r="I100" s="56">
        <v>0.04</v>
      </c>
      <c r="J100" s="56">
        <v>3.4999999999999996E-2</v>
      </c>
      <c r="K100" s="56">
        <v>3.4999999999999996E-2</v>
      </c>
      <c r="L100" s="67"/>
    </row>
    <row r="101" spans="2:12" ht="15" customHeight="1" x14ac:dyDescent="0.2">
      <c r="C101" s="55" t="s">
        <v>12</v>
      </c>
      <c r="D101" s="56">
        <v>2.5000000000000001E-3</v>
      </c>
      <c r="E101" s="56">
        <v>1.2499999999999999E-2</v>
      </c>
      <c r="F101" s="56">
        <v>2.2500000000000003E-2</v>
      </c>
      <c r="G101" s="56">
        <v>3.2500000000000001E-2</v>
      </c>
      <c r="H101" s="56">
        <v>3.7499999999999999E-2</v>
      </c>
      <c r="I101" s="56">
        <v>3.2500000000000001E-2</v>
      </c>
      <c r="J101" s="56">
        <v>2.75E-2</v>
      </c>
      <c r="K101" s="56">
        <v>2.75E-2</v>
      </c>
      <c r="L101" s="67"/>
    </row>
    <row r="102" spans="2:12" ht="15.75" customHeight="1" x14ac:dyDescent="0.2">
      <c r="C102" s="55"/>
      <c r="D102" s="56"/>
      <c r="E102" s="56"/>
      <c r="F102" s="56"/>
      <c r="G102" s="56"/>
      <c r="H102" s="56"/>
      <c r="I102" s="56"/>
      <c r="J102" s="56"/>
      <c r="K102" s="56"/>
      <c r="L102" s="67"/>
    </row>
    <row r="103" spans="2:12" ht="15.75" customHeight="1" x14ac:dyDescent="0.2">
      <c r="B103" s="13" t="s">
        <v>272</v>
      </c>
      <c r="C103" s="55" t="s">
        <v>4</v>
      </c>
      <c r="D103" s="56">
        <v>0.03</v>
      </c>
      <c r="E103" s="56">
        <v>3.5000000000000003E-2</v>
      </c>
      <c r="F103" s="56">
        <v>0.04</v>
      </c>
      <c r="G103" s="56">
        <v>4.4999999999999998E-2</v>
      </c>
      <c r="H103" s="56">
        <v>0.04</v>
      </c>
      <c r="I103" s="56">
        <v>3.5000000000000003E-2</v>
      </c>
      <c r="J103" s="56">
        <v>0.03</v>
      </c>
      <c r="K103" s="56">
        <v>0.03</v>
      </c>
      <c r="L103" s="67"/>
    </row>
    <row r="104" spans="2:12" ht="15.75" customHeight="1" x14ac:dyDescent="0.2">
      <c r="C104" s="55" t="s">
        <v>11</v>
      </c>
      <c r="D104" s="56">
        <v>2.4999999999999998E-2</v>
      </c>
      <c r="E104" s="56">
        <v>3.0000000000000002E-2</v>
      </c>
      <c r="F104" s="56">
        <v>3.5000000000000003E-2</v>
      </c>
      <c r="G104" s="56">
        <v>0.04</v>
      </c>
      <c r="H104" s="56">
        <v>3.5000000000000003E-2</v>
      </c>
      <c r="I104" s="56">
        <v>3.0000000000000002E-2</v>
      </c>
      <c r="J104" s="56">
        <v>2.4999999999999998E-2</v>
      </c>
      <c r="K104" s="56">
        <v>2.4999999999999998E-2</v>
      </c>
      <c r="L104" s="67"/>
    </row>
    <row r="105" spans="2:12" ht="15" customHeight="1" x14ac:dyDescent="0.2">
      <c r="C105" s="55" t="s">
        <v>12</v>
      </c>
      <c r="D105" s="56">
        <v>0.04</v>
      </c>
      <c r="E105" s="56">
        <v>4.5000000000000005E-2</v>
      </c>
      <c r="F105" s="56">
        <v>0.05</v>
      </c>
      <c r="G105" s="56">
        <v>5.5E-2</v>
      </c>
      <c r="H105" s="56">
        <v>0.05</v>
      </c>
      <c r="I105" s="56">
        <v>4.5000000000000005E-2</v>
      </c>
      <c r="J105" s="56">
        <v>0.04</v>
      </c>
      <c r="K105" s="56">
        <v>0.04</v>
      </c>
      <c r="L105" s="67"/>
    </row>
    <row r="106" spans="2:12" ht="15" customHeight="1" x14ac:dyDescent="0.2"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</row>
    <row r="107" spans="2:12" ht="13.5" customHeight="1" x14ac:dyDescent="0.2">
      <c r="B107" s="12" t="s">
        <v>41</v>
      </c>
      <c r="C107" s="67"/>
      <c r="D107" s="67"/>
      <c r="E107" s="67"/>
      <c r="F107" s="67"/>
      <c r="G107" s="67"/>
      <c r="H107" s="67"/>
      <c r="I107" s="67"/>
      <c r="J107" s="67"/>
      <c r="K107" s="67"/>
      <c r="L107" s="67"/>
    </row>
    <row r="108" spans="2:12" ht="15" customHeight="1" x14ac:dyDescent="0.2"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</row>
    <row r="109" spans="2:12" ht="15.75" customHeight="1" x14ac:dyDescent="0.2">
      <c r="B109" s="94" t="s">
        <v>34</v>
      </c>
      <c r="C109" s="55" t="s">
        <v>4</v>
      </c>
      <c r="D109" s="95">
        <v>0.6</v>
      </c>
      <c r="E109" s="95">
        <v>0.65</v>
      </c>
      <c r="F109" s="95">
        <v>0.7</v>
      </c>
      <c r="G109" s="95">
        <v>0.65</v>
      </c>
      <c r="H109" s="95">
        <v>0.65</v>
      </c>
      <c r="I109" s="95">
        <v>0.6</v>
      </c>
      <c r="J109" s="95">
        <v>0.6</v>
      </c>
      <c r="K109" s="95">
        <v>0.55000000000000004</v>
      </c>
      <c r="L109" s="67"/>
    </row>
    <row r="110" spans="2:12" ht="15.75" customHeight="1" x14ac:dyDescent="0.2">
      <c r="B110" s="67"/>
      <c r="C110" s="55" t="s">
        <v>11</v>
      </c>
      <c r="D110" s="95">
        <v>0.6</v>
      </c>
      <c r="E110" s="95">
        <v>0.65</v>
      </c>
      <c r="F110" s="95">
        <v>0.7</v>
      </c>
      <c r="G110" s="95">
        <v>0.7</v>
      </c>
      <c r="H110" s="95">
        <v>0.7</v>
      </c>
      <c r="I110" s="95">
        <v>0.65</v>
      </c>
      <c r="J110" s="95">
        <v>0.65</v>
      </c>
      <c r="K110" s="95">
        <v>0.6</v>
      </c>
      <c r="L110" s="67"/>
    </row>
    <row r="111" spans="2:12" ht="15.75" customHeight="1" x14ac:dyDescent="0.2">
      <c r="B111" s="67"/>
      <c r="C111" s="55" t="s">
        <v>12</v>
      </c>
      <c r="D111" s="95">
        <v>0.6</v>
      </c>
      <c r="E111" s="95">
        <v>0.65</v>
      </c>
      <c r="F111" s="95">
        <v>0.7</v>
      </c>
      <c r="G111" s="95">
        <v>0.6</v>
      </c>
      <c r="H111" s="95">
        <v>0.6</v>
      </c>
      <c r="I111" s="95">
        <v>0.55000000000000004</v>
      </c>
      <c r="J111" s="95">
        <v>0.55000000000000004</v>
      </c>
      <c r="K111" s="95">
        <v>0.5</v>
      </c>
      <c r="L111" s="67"/>
    </row>
    <row r="112" spans="2:12" ht="15" customHeight="1" x14ac:dyDescent="0.2"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</row>
    <row r="113" spans="2:12" ht="15.75" customHeight="1" x14ac:dyDescent="0.2">
      <c r="B113" s="94" t="s">
        <v>42</v>
      </c>
      <c r="C113" s="55" t="s">
        <v>4</v>
      </c>
      <c r="D113" s="95">
        <v>0</v>
      </c>
      <c r="E113" s="95">
        <v>0</v>
      </c>
      <c r="F113" s="95">
        <v>0.02</v>
      </c>
      <c r="G113" s="95">
        <v>0.03</v>
      </c>
      <c r="H113" s="95">
        <v>0.04</v>
      </c>
      <c r="I113" s="95">
        <v>0.05</v>
      </c>
      <c r="J113" s="95">
        <v>0.06</v>
      </c>
      <c r="K113" s="95">
        <v>7.0000000000000007E-2</v>
      </c>
      <c r="L113" s="67"/>
    </row>
    <row r="114" spans="2:12" ht="15.75" customHeight="1" x14ac:dyDescent="0.2">
      <c r="B114" s="67"/>
      <c r="C114" s="55" t="s">
        <v>11</v>
      </c>
      <c r="D114" s="95">
        <v>0</v>
      </c>
      <c r="E114" s="95">
        <v>0</v>
      </c>
      <c r="F114" s="95">
        <v>0.02</v>
      </c>
      <c r="G114" s="95">
        <v>0.04</v>
      </c>
      <c r="H114" s="95">
        <v>0.05</v>
      </c>
      <c r="I114" s="95">
        <v>0.06</v>
      </c>
      <c r="J114" s="95">
        <v>7.0000000000000007E-2</v>
      </c>
      <c r="K114" s="95">
        <v>0.08</v>
      </c>
      <c r="L114" s="67"/>
    </row>
    <row r="115" spans="2:12" ht="15.75" customHeight="1" thickBot="1" x14ac:dyDescent="0.25">
      <c r="B115" s="97"/>
      <c r="C115" s="8" t="s">
        <v>12</v>
      </c>
      <c r="D115" s="98">
        <v>0</v>
      </c>
      <c r="E115" s="98">
        <v>0</v>
      </c>
      <c r="F115" s="98">
        <v>0.02</v>
      </c>
      <c r="G115" s="98">
        <v>0.02</v>
      </c>
      <c r="H115" s="98">
        <v>0.03</v>
      </c>
      <c r="I115" s="98">
        <v>0.04</v>
      </c>
      <c r="J115" s="98">
        <v>0.05</v>
      </c>
      <c r="K115" s="98">
        <v>0.06</v>
      </c>
      <c r="L115" s="67"/>
    </row>
    <row r="116" spans="2:12" ht="15" customHeight="1" x14ac:dyDescent="0.2"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</row>
    <row r="117" spans="2:12" ht="15" customHeight="1" x14ac:dyDescent="0.2"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</row>
    <row r="118" spans="2:12" ht="15" customHeight="1" x14ac:dyDescent="0.2"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</row>
    <row r="119" spans="2:12" ht="15" customHeight="1" x14ac:dyDescent="0.2"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</row>
    <row r="120" spans="2:12" ht="15" customHeight="1" x14ac:dyDescent="0.2"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A1:K133"/>
  <sheetViews>
    <sheetView showGridLines="0" tabSelected="1" topLeftCell="A99" workbookViewId="0">
      <selection activeCell="M128" sqref="M128"/>
    </sheetView>
  </sheetViews>
  <sheetFormatPr baseColWidth="10" defaultColWidth="7.6640625" defaultRowHeight="15" customHeight="1" x14ac:dyDescent="0.2"/>
  <cols>
    <col min="2" max="2" width="22.5" customWidth="1"/>
    <col min="3" max="10" width="10" customWidth="1"/>
  </cols>
  <sheetData>
    <row r="1" spans="1:11" ht="15" customHeight="1" x14ac:dyDescent="0.2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8" customHeight="1" x14ac:dyDescent="0.2">
      <c r="A2" s="67"/>
      <c r="B2" s="68" t="s">
        <v>43</v>
      </c>
      <c r="C2" s="67"/>
      <c r="D2" s="67"/>
      <c r="E2" s="67"/>
      <c r="F2" s="67"/>
      <c r="G2" s="67"/>
      <c r="H2" s="67"/>
      <c r="I2" s="67"/>
      <c r="J2" s="67"/>
      <c r="K2" s="67"/>
    </row>
    <row r="3" spans="1:11" ht="13.5" customHeight="1" x14ac:dyDescent="0.2">
      <c r="A3" s="67"/>
      <c r="B3" s="69" t="s">
        <v>44</v>
      </c>
      <c r="C3" s="67"/>
      <c r="D3" s="67"/>
      <c r="E3" s="67"/>
      <c r="F3" s="67"/>
      <c r="G3" s="67"/>
      <c r="H3" s="67"/>
      <c r="I3" s="67"/>
      <c r="J3" s="67"/>
      <c r="K3" s="67"/>
    </row>
    <row r="4" spans="1:11" ht="15" customHeight="1" x14ac:dyDescent="0.2">
      <c r="A4" s="67"/>
      <c r="C4" s="67"/>
      <c r="D4" s="67"/>
      <c r="E4" s="67"/>
      <c r="F4" s="67"/>
      <c r="G4" s="67"/>
      <c r="H4" s="67"/>
      <c r="I4" s="67"/>
      <c r="J4" s="67"/>
      <c r="K4" s="67"/>
    </row>
    <row r="5" spans="1:11" ht="15.75" customHeight="1" x14ac:dyDescent="0.2">
      <c r="A5" s="67"/>
      <c r="B5" t="s">
        <v>3</v>
      </c>
      <c r="C5" s="67"/>
      <c r="D5" s="109" t="str">
        <f>'Company1153 Assumptions'!$D$6</f>
        <v>Base</v>
      </c>
      <c r="E5" s="67"/>
      <c r="F5" s="67"/>
      <c r="G5" s="67"/>
      <c r="H5" s="67"/>
      <c r="I5" s="67"/>
      <c r="J5" s="67"/>
      <c r="K5" s="67"/>
    </row>
    <row r="6" spans="1:11" ht="15" customHeight="1" x14ac:dyDescent="0.2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1" ht="13.5" customHeight="1" x14ac:dyDescent="0.2">
      <c r="A7" s="67"/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  <c r="K7" s="67"/>
    </row>
    <row r="8" spans="1:11" ht="13.5" customHeight="1" x14ac:dyDescent="0.2">
      <c r="A8" s="67"/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  <c r="K8" s="67"/>
    </row>
    <row r="9" spans="1:11" ht="15" customHeight="1" thickBot="1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</row>
    <row r="10" spans="1:11" ht="15" customHeight="1" x14ac:dyDescent="0.2">
      <c r="A10" s="67"/>
      <c r="B10" s="6" t="s">
        <v>265</v>
      </c>
      <c r="C10" s="6"/>
      <c r="D10" s="6"/>
      <c r="E10" s="6"/>
      <c r="F10" s="6"/>
      <c r="G10" s="6"/>
      <c r="H10" s="6"/>
      <c r="I10" s="6"/>
      <c r="J10" s="6"/>
      <c r="K10" s="67"/>
    </row>
    <row r="11" spans="1:11" ht="15" customHeight="1" x14ac:dyDescent="0.2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</row>
    <row r="12" spans="1:11" ht="15.75" customHeight="1" x14ac:dyDescent="0.2">
      <c r="A12" s="67"/>
      <c r="B12" s="13" t="s">
        <v>10</v>
      </c>
      <c r="C12" s="71">
        <v>148951</v>
      </c>
      <c r="D12" s="71">
        <v>162450</v>
      </c>
      <c r="E12" s="71">
        <v>175033</v>
      </c>
      <c r="F12" s="72">
        <f>E12*(1+INDEX('Company1153 Assumptions'!G$15:G$17,MATCH($D$5,'Company1153 Assumptions'!$C$15:$C$17,0)))</f>
        <v>189910.80499999999</v>
      </c>
      <c r="G12" s="72">
        <f>F12*(1+INDEX('Company1153 Assumptions'!H$15:H$17,MATCH($D$5,'Company1153 Assumptions'!$C$15:$C$17,0)))</f>
        <v>204154.11537499999</v>
      </c>
      <c r="H12" s="72">
        <f>G12*(1+INDEX('Company1153 Assumptions'!I$15:I$17,MATCH($D$5,'Company1153 Assumptions'!$C$15:$C$17,0)))</f>
        <v>217424.13287437498</v>
      </c>
      <c r="I12" s="72">
        <f>H12*(1+INDEX('Company1153 Assumptions'!J$15:J$17,MATCH($D$5,'Company1153 Assumptions'!$C$15:$C$17,0)))</f>
        <v>229382.46018246558</v>
      </c>
      <c r="J12" s="72">
        <f>I12*(1+INDEX('Company1153 Assumptions'!K$15:K$17,MATCH($D$5,'Company1153 Assumptions'!$C$15:$C$17,0)))</f>
        <v>240851.58319158887</v>
      </c>
      <c r="K12" s="67"/>
    </row>
    <row r="13" spans="1:11" ht="15.75" customHeight="1" x14ac:dyDescent="0.2">
      <c r="A13" s="67"/>
      <c r="B13" s="13" t="s">
        <v>13</v>
      </c>
      <c r="C13" s="71">
        <v>28845</v>
      </c>
      <c r="D13" s="71">
        <v>29243</v>
      </c>
      <c r="E13" s="71">
        <v>31865</v>
      </c>
      <c r="F13" s="72">
        <f>E13*(1+INDEX('Company1153 Assumptions'!G$19:G$21,MATCH($D$5,'Company1153 Assumptions'!$C$19:$C$21,0)))</f>
        <v>36644.75</v>
      </c>
      <c r="G13" s="72">
        <f>F13*(1+INDEX('Company1153 Assumptions'!H$19:H$21,MATCH($D$5,'Company1153 Assumptions'!$C$19:$C$21,0)))</f>
        <v>41408.567499999997</v>
      </c>
      <c r="H13" s="72">
        <f>G13*(1+INDEX('Company1153 Assumptions'!I$19:I$21,MATCH($D$5,'Company1153 Assumptions'!$C$19:$C$21,0)))</f>
        <v>45963.509924999998</v>
      </c>
      <c r="I13" s="72">
        <f>H13*(1+INDEX('Company1153 Assumptions'!J$19:J$21,MATCH($D$5,'Company1153 Assumptions'!$C$19:$C$21,0)))</f>
        <v>50559.860917500002</v>
      </c>
      <c r="J13" s="72">
        <f>I13*(1+INDEX('Company1153 Assumptions'!K$19:K$21,MATCH($D$5,'Company1153 Assumptions'!$C$19:$C$21,0)))</f>
        <v>55110.248400075005</v>
      </c>
      <c r="K13" s="67"/>
    </row>
    <row r="14" spans="1:11" ht="15.75" customHeight="1" x14ac:dyDescent="0.2">
      <c r="A14" s="67"/>
      <c r="B14" s="13" t="s">
        <v>14</v>
      </c>
      <c r="C14" s="71">
        <v>13059</v>
      </c>
      <c r="D14" s="71">
        <v>19206</v>
      </c>
      <c r="E14" s="71">
        <v>26280</v>
      </c>
      <c r="F14" s="72">
        <f>E14*(1+INDEX('Company1153 Assumptions'!G$23:G$25,MATCH($D$5,'Company1153 Assumptions'!$C$23:$C$25,0)))</f>
        <v>33638.400000000001</v>
      </c>
      <c r="G14" s="72">
        <f>F14*(1+INDEX('Company1153 Assumptions'!H$23:H$25,MATCH($D$5,'Company1153 Assumptions'!$C$23:$C$25,0)))</f>
        <v>42048</v>
      </c>
      <c r="H14" s="72">
        <f>G14*(1+INDEX('Company1153 Assumptions'!I$23:I$25,MATCH($D$5,'Company1153 Assumptions'!$C$23:$C$25,0)))</f>
        <v>51298.559999999998</v>
      </c>
      <c r="I14" s="72">
        <f>H14*(1+INDEX('Company1153 Assumptions'!J$23:J$25,MATCH($D$5,'Company1153 Assumptions'!$C$23:$C$25,0)))</f>
        <v>61558.271999999997</v>
      </c>
      <c r="J14" s="72">
        <f>I14*(1+INDEX('Company1153 Assumptions'!K$23:K$25,MATCH($D$5,'Company1153 Assumptions'!$C$23:$C$25,0)))</f>
        <v>72638.76096</v>
      </c>
      <c r="K14" s="67"/>
    </row>
    <row r="15" spans="1:11" ht="15.75" customHeight="1" x14ac:dyDescent="0.2">
      <c r="A15" s="67"/>
      <c r="B15" s="13" t="s">
        <v>15</v>
      </c>
      <c r="C15" s="71">
        <v>28032</v>
      </c>
      <c r="D15" s="71">
        <v>29071</v>
      </c>
      <c r="E15" s="71">
        <v>30300</v>
      </c>
      <c r="F15" s="72">
        <f>E15*(1+INDEX('Company1153 Assumptions'!G$27:G$29,MATCH($D$5,'Company1153 Assumptions'!$C$27:$C$29,0)))</f>
        <v>31815</v>
      </c>
      <c r="G15" s="72">
        <f>F15*(1+INDEX('Company1153 Assumptions'!H$27:H$29,MATCH($D$5,'Company1153 Assumptions'!$C$27:$C$29,0)))</f>
        <v>33246.674999999996</v>
      </c>
      <c r="H15" s="72">
        <f>G15*(1+INDEX('Company1153 Assumptions'!I$27:I$29,MATCH($D$5,'Company1153 Assumptions'!$C$27:$C$29,0)))</f>
        <v>34576.541999999994</v>
      </c>
      <c r="I15" s="72">
        <f>H15*(1+INDEX('Company1153 Assumptions'!J$27:J$29,MATCH($D$5,'Company1153 Assumptions'!$C$27:$C$29,0)))</f>
        <v>35786.720969999988</v>
      </c>
      <c r="J15" s="72">
        <f>I15*(1+INDEX('Company1153 Assumptions'!K$27:K$29,MATCH($D$5,'Company1153 Assumptions'!$C$27:$C$29,0)))</f>
        <v>36860.322599099985</v>
      </c>
      <c r="K15" s="67"/>
    </row>
    <row r="16" spans="1:11" ht="15.75" customHeight="1" x14ac:dyDescent="0.2">
      <c r="A16" s="67"/>
      <c r="B16" s="19" t="s">
        <v>45</v>
      </c>
      <c r="C16" s="73">
        <f t="shared" ref="C16:J40" si="0">SUM(C12:C15)</f>
        <v>218887</v>
      </c>
      <c r="D16" s="73">
        <f t="shared" si="0"/>
        <v>239970</v>
      </c>
      <c r="E16" s="73">
        <f t="shared" si="0"/>
        <v>263478</v>
      </c>
      <c r="F16" s="73">
        <f t="shared" si="0"/>
        <v>292008.95499999996</v>
      </c>
      <c r="G16" s="73">
        <f t="shared" si="0"/>
        <v>320857.35787499999</v>
      </c>
      <c r="H16" s="73">
        <f t="shared" si="0"/>
        <v>349262.74479937501</v>
      </c>
      <c r="I16" s="73">
        <f t="shared" si="0"/>
        <v>377287.31406996556</v>
      </c>
      <c r="J16" s="73">
        <f t="shared" si="0"/>
        <v>405460.91515076387</v>
      </c>
      <c r="K16" s="67"/>
    </row>
    <row r="17" spans="1:11" ht="15.75" customHeight="1" x14ac:dyDescent="0.2">
      <c r="A17" s="67"/>
      <c r="B17" s="74" t="s">
        <v>46</v>
      </c>
      <c r="C17" s="67"/>
      <c r="D17" s="75">
        <f t="shared" ref="D17:J17" si="1">D16/C16-1</f>
        <v>9.6319105291771567E-2</v>
      </c>
      <c r="E17" s="75">
        <f t="shared" si="1"/>
        <v>9.796224528066011E-2</v>
      </c>
      <c r="F17" s="75">
        <f t="shared" si="1"/>
        <v>0.10828591001905274</v>
      </c>
      <c r="G17" s="75">
        <f t="shared" si="1"/>
        <v>9.8792870496043683E-2</v>
      </c>
      <c r="H17" s="75">
        <f t="shared" si="1"/>
        <v>8.852964168408195E-2</v>
      </c>
      <c r="I17" s="75">
        <f t="shared" si="1"/>
        <v>8.0239217288086584E-2</v>
      </c>
      <c r="J17" s="75">
        <f t="shared" si="1"/>
        <v>7.4674127727426542E-2</v>
      </c>
      <c r="K17" s="67"/>
    </row>
    <row r="18" spans="1:11" ht="15.75" customHeight="1" x14ac:dyDescent="0.2">
      <c r="A18" s="67"/>
      <c r="B18" s="74"/>
      <c r="C18" s="67"/>
      <c r="D18" s="75"/>
      <c r="E18" s="75"/>
      <c r="F18" s="75"/>
      <c r="G18" s="75"/>
      <c r="H18" s="75"/>
      <c r="I18" s="75"/>
      <c r="J18" s="75"/>
      <c r="K18" s="67"/>
    </row>
    <row r="19" spans="1:11" ht="15" customHeight="1" x14ac:dyDescent="0.2">
      <c r="B19" s="99" t="s">
        <v>275</v>
      </c>
      <c r="C19" s="100"/>
      <c r="D19" s="100"/>
      <c r="E19" s="100"/>
      <c r="F19" s="100"/>
      <c r="G19" s="100"/>
      <c r="H19" s="100"/>
      <c r="I19" s="100"/>
      <c r="J19" s="100"/>
    </row>
    <row r="20" spans="1:11" ht="15" customHeight="1" x14ac:dyDescent="0.2">
      <c r="B20" s="101" t="s">
        <v>276</v>
      </c>
    </row>
    <row r="21" spans="1:11" ht="15" customHeight="1" x14ac:dyDescent="0.2">
      <c r="B21" s="102" t="s">
        <v>277</v>
      </c>
      <c r="F21" s="56">
        <v>0.22</v>
      </c>
    </row>
    <row r="22" spans="1:11" ht="15" customHeight="1" x14ac:dyDescent="0.2">
      <c r="B22" s="102" t="s">
        <v>278</v>
      </c>
      <c r="F22" s="103">
        <f>F21+(($F$24-$F$21)/3)</f>
        <v>0.24000000000000002</v>
      </c>
      <c r="G22" s="104"/>
    </row>
    <row r="23" spans="1:11" ht="15" customHeight="1" x14ac:dyDescent="0.2">
      <c r="B23" s="102" t="s">
        <v>279</v>
      </c>
      <c r="F23" s="103">
        <f>F22+(($F$24-$F$21)/3)</f>
        <v>0.26</v>
      </c>
      <c r="G23" s="104"/>
    </row>
    <row r="24" spans="1:11" ht="15" customHeight="1" x14ac:dyDescent="0.2">
      <c r="B24" s="102" t="s">
        <v>280</v>
      </c>
      <c r="F24" s="56">
        <v>0.28000000000000003</v>
      </c>
      <c r="G24" s="104"/>
    </row>
    <row r="25" spans="1:11" ht="15" customHeight="1" x14ac:dyDescent="0.2">
      <c r="B25" s="105" t="s">
        <v>281</v>
      </c>
    </row>
    <row r="26" spans="1:11" ht="15" customHeight="1" x14ac:dyDescent="0.2">
      <c r="B26" s="102" t="s">
        <v>282</v>
      </c>
      <c r="F26" s="106">
        <f>$F$16*F21</f>
        <v>64241.970099999991</v>
      </c>
    </row>
    <row r="27" spans="1:11" ht="15" customHeight="1" x14ac:dyDescent="0.2">
      <c r="B27" s="102" t="s">
        <v>283</v>
      </c>
      <c r="F27" s="106">
        <f t="shared" ref="F27:F29" si="2">$F$16*F22</f>
        <v>70082.1492</v>
      </c>
    </row>
    <row r="28" spans="1:11" ht="15" customHeight="1" x14ac:dyDescent="0.2">
      <c r="B28" s="102" t="s">
        <v>284</v>
      </c>
      <c r="F28" s="106">
        <f t="shared" si="2"/>
        <v>75922.328299999994</v>
      </c>
    </row>
    <row r="29" spans="1:11" ht="15" customHeight="1" x14ac:dyDescent="0.2">
      <c r="B29" s="102" t="s">
        <v>285</v>
      </c>
      <c r="F29" s="106">
        <f t="shared" si="2"/>
        <v>81762.507400000002</v>
      </c>
    </row>
    <row r="30" spans="1:11" ht="15" customHeight="1" x14ac:dyDescent="0.2">
      <c r="B30" s="107" t="s">
        <v>286</v>
      </c>
      <c r="C30" s="61"/>
      <c r="D30" s="61"/>
      <c r="E30" s="61"/>
      <c r="F30" s="108">
        <f t="shared" ref="F30" si="3">SUM(F26:F29)</f>
        <v>292008.95499999996</v>
      </c>
    </row>
    <row r="31" spans="1:11" ht="15" customHeight="1" x14ac:dyDescent="0.2">
      <c r="B31" s="102"/>
    </row>
    <row r="32" spans="1:11" ht="15" customHeight="1" x14ac:dyDescent="0.2">
      <c r="A32" s="67"/>
      <c r="B32" s="13" t="s">
        <v>48</v>
      </c>
      <c r="C32" s="76">
        <f t="shared" ref="C32:J32" si="4">C16*(1-C34)</f>
        <v>99593.585000000021</v>
      </c>
      <c r="D32" s="76">
        <f t="shared" si="4"/>
        <v>108466.43999999999</v>
      </c>
      <c r="E32" s="76">
        <f t="shared" si="4"/>
        <v>118565.10000000002</v>
      </c>
      <c r="F32" s="76">
        <f t="shared" si="4"/>
        <v>130820.01184000001</v>
      </c>
      <c r="G32" s="76">
        <f t="shared" si="4"/>
        <v>143102.38161225003</v>
      </c>
      <c r="H32" s="76">
        <f t="shared" si="4"/>
        <v>155072.65869092252</v>
      </c>
      <c r="I32" s="76">
        <f t="shared" si="4"/>
        <v>166760.99281892477</v>
      </c>
      <c r="J32" s="76">
        <f t="shared" si="4"/>
        <v>178402.80266633609</v>
      </c>
      <c r="K32" s="67"/>
    </row>
    <row r="33" spans="1:11" ht="15" customHeight="1" x14ac:dyDescent="0.2">
      <c r="A33" s="67"/>
      <c r="B33" s="20" t="s">
        <v>49</v>
      </c>
      <c r="C33" s="76">
        <f t="shared" ref="C33:J33" si="5">C16-C32</f>
        <v>119293.41499999998</v>
      </c>
      <c r="D33" s="76">
        <f t="shared" si="5"/>
        <v>131503.56</v>
      </c>
      <c r="E33" s="76">
        <f t="shared" si="5"/>
        <v>144912.89999999997</v>
      </c>
      <c r="F33" s="76">
        <f t="shared" si="5"/>
        <v>161188.94315999997</v>
      </c>
      <c r="G33" s="76">
        <f t="shared" si="5"/>
        <v>177754.97626274996</v>
      </c>
      <c r="H33" s="76">
        <f t="shared" si="5"/>
        <v>194190.08610845249</v>
      </c>
      <c r="I33" s="76">
        <f t="shared" si="5"/>
        <v>210526.32125104079</v>
      </c>
      <c r="J33" s="76">
        <f t="shared" si="5"/>
        <v>227058.11248442778</v>
      </c>
      <c r="K33" s="67"/>
    </row>
    <row r="34" spans="1:11" ht="15.75" customHeight="1" x14ac:dyDescent="0.2">
      <c r="A34" s="67"/>
      <c r="B34" s="74" t="s">
        <v>50</v>
      </c>
      <c r="C34" s="77">
        <v>0.54499999999999993</v>
      </c>
      <c r="D34" s="77">
        <v>0.54800000000000004</v>
      </c>
      <c r="E34" s="77">
        <v>0.54999999999999993</v>
      </c>
      <c r="F34" s="77">
        <v>0.55199999999999994</v>
      </c>
      <c r="G34" s="77">
        <v>0.55399999999999994</v>
      </c>
      <c r="H34" s="77">
        <v>0.55599999999999994</v>
      </c>
      <c r="I34" s="77">
        <v>0.55800000000000005</v>
      </c>
      <c r="J34" s="77">
        <v>0.56000000000000005</v>
      </c>
      <c r="K34" s="67"/>
    </row>
    <row r="35" spans="1:11" ht="15.75" customHeight="1" x14ac:dyDescent="0.2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</row>
    <row r="36" spans="1:11" ht="15.75" customHeight="1" x14ac:dyDescent="0.2">
      <c r="A36" s="67"/>
      <c r="B36" s="13" t="s">
        <v>18</v>
      </c>
      <c r="C36" s="72">
        <f>C16*INDEX('Company1153 Assumptions'!D$35:D$37,MATCH($D$5,'Company1153 Assumptions'!$C$35:$C$37,0))</f>
        <v>33051.936999999998</v>
      </c>
      <c r="D36" s="72">
        <f>D16*INDEX('Company1153 Assumptions'!E$35:E$37,MATCH($D$5,'Company1153 Assumptions'!$C$35:$C$37,0))</f>
        <v>35515.560000000005</v>
      </c>
      <c r="E36" s="72">
        <f>E16*INDEX('Company1153 Assumptions'!F$35:F$37,MATCH($D$5,'Company1153 Assumptions'!$C$35:$C$37,0))</f>
        <v>38204.31</v>
      </c>
      <c r="F36" s="72">
        <f>F16*INDEX('Company1153 Assumptions'!G$35:G$37,MATCH($D$5,'Company1153 Assumptions'!$C$35:$C$37,0))</f>
        <v>41757.280565000001</v>
      </c>
      <c r="G36" s="72">
        <f>G16*INDEX('Company1153 Assumptions'!H$35:H$37,MATCH($D$5,'Company1153 Assumptions'!$C$35:$C$37,0))</f>
        <v>44920.030102500001</v>
      </c>
      <c r="H36" s="72">
        <f>H16*INDEX('Company1153 Assumptions'!I$35:I$37,MATCH($D$5,'Company1153 Assumptions'!$C$35:$C$37,0))</f>
        <v>48198.258782313758</v>
      </c>
      <c r="I36" s="72">
        <f>I16*INDEX('Company1153 Assumptions'!J$35:J$37,MATCH($D$5,'Company1153 Assumptions'!$C$35:$C$37,0))</f>
        <v>50933.787399445355</v>
      </c>
      <c r="J36" s="72">
        <f>J16*INDEX('Company1153 Assumptions'!K$35:K$37,MATCH($D$5,'Company1153 Assumptions'!$C$35:$C$37,0))</f>
        <v>53926.301715051595</v>
      </c>
      <c r="K36" s="67"/>
    </row>
    <row r="37" spans="1:11" ht="15" customHeight="1" x14ac:dyDescent="0.2">
      <c r="A37" s="67"/>
      <c r="B37" s="13" t="s">
        <v>19</v>
      </c>
      <c r="C37" s="72">
        <f>C16*INDEX('Company1153 Assumptions'!D$39:D$41,MATCH($D$5,'Company1153 Assumptions'!$C$39:$C$41,0))</f>
        <v>25172.005000000001</v>
      </c>
      <c r="D37" s="72">
        <f>D16*INDEX('Company1153 Assumptions'!E$39:E$41,MATCH($D$5,'Company1153 Assumptions'!$C$39:$C$41,0))</f>
        <v>26876.639999999996</v>
      </c>
      <c r="E37" s="72">
        <f>E16*INDEX('Company1153 Assumptions'!F$39:F$41,MATCH($D$5,'Company1153 Assumptions'!$C$39:$C$41,0))</f>
        <v>28455.624000000003</v>
      </c>
      <c r="F37" s="72">
        <f>F16*INDEX('Company1153 Assumptions'!G$39:G$41,MATCH($D$5,'Company1153 Assumptions'!$C$39:$C$41,0))</f>
        <v>30660.940274999994</v>
      </c>
      <c r="G37" s="72">
        <f>G16*INDEX('Company1153 Assumptions'!H$39:H$41,MATCH($D$5,'Company1153 Assumptions'!$C$39:$C$41,0))</f>
        <v>33048.307861125002</v>
      </c>
      <c r="H37" s="72">
        <f>H16*INDEX('Company1153 Assumptions'!I$39:I$41,MATCH($D$5,'Company1153 Assumptions'!$C$39:$C$41,0))</f>
        <v>34926.2744799375</v>
      </c>
      <c r="I37" s="72">
        <f>I16*INDEX('Company1153 Assumptions'!J$39:J$41,MATCH($D$5,'Company1153 Assumptions'!$C$39:$C$41,0))</f>
        <v>36974.156778856624</v>
      </c>
      <c r="J37" s="72">
        <f>J16*INDEX('Company1153 Assumptions'!K$39:K$41,MATCH($D$5,'Company1153 Assumptions'!$C$39:$C$41,0))</f>
        <v>38518.78693932257</v>
      </c>
      <c r="K37" s="67"/>
    </row>
    <row r="38" spans="1:11" ht="15.75" customHeight="1" x14ac:dyDescent="0.2">
      <c r="A38" s="67"/>
      <c r="B38" s="13" t="s">
        <v>20</v>
      </c>
      <c r="C38" s="72">
        <f>C16*INDEX('Company1153 Assumptions'!D$43:D$45,MATCH($D$5,'Company1153 Assumptions'!$C$43:$C$45,0))</f>
        <v>14884.316000000001</v>
      </c>
      <c r="D38" s="72">
        <f>D16*INDEX('Company1153 Assumptions'!E$43:E$45,MATCH($D$5,'Company1153 Assumptions'!$C$43:$C$45,0))</f>
        <v>15598.050000000001</v>
      </c>
      <c r="E38" s="72">
        <f>E16*INDEX('Company1153 Assumptions'!F$43:F$45,MATCH($D$5,'Company1153 Assumptions'!$C$43:$C$45,0))</f>
        <v>16599.114000000001</v>
      </c>
      <c r="F38" s="72">
        <f>F16*INDEX('Company1153 Assumptions'!G$43:G$45,MATCH($D$5,'Company1153 Assumptions'!$C$43:$C$45,0))</f>
        <v>18104.555209999999</v>
      </c>
      <c r="G38" s="72">
        <f>G16*INDEX('Company1153 Assumptions'!H$43:H$45,MATCH($D$5,'Company1153 Assumptions'!$C$43:$C$45,0))</f>
        <v>19251.441472499999</v>
      </c>
      <c r="H38" s="72">
        <f>H16*INDEX('Company1153 Assumptions'!I$43:I$45,MATCH($D$5,'Company1153 Assumptions'!$C$43:$C$45,0))</f>
        <v>20257.23919836375</v>
      </c>
      <c r="I38" s="72">
        <f>I16*INDEX('Company1153 Assumptions'!J$43:J$45,MATCH($D$5,'Company1153 Assumptions'!$C$43:$C$45,0))</f>
        <v>21505.376901988038</v>
      </c>
      <c r="J38" s="72">
        <f>J16*INDEX('Company1153 Assumptions'!K$43:K$45,MATCH($D$5,'Company1153 Assumptions'!$C$43:$C$45,0))</f>
        <v>22300.350333292012</v>
      </c>
      <c r="K38" s="67"/>
    </row>
    <row r="39" spans="1:11" ht="15.75" customHeight="1" x14ac:dyDescent="0.2">
      <c r="A39" s="67"/>
      <c r="B39" s="13" t="s">
        <v>21</v>
      </c>
      <c r="C39" s="72">
        <f>C16*INDEX('Company1153 Assumptions'!D$47:D$49,MATCH($D$5,'Company1153 Assumptions'!$C$47:$C$49,0))</f>
        <v>20137.603999999999</v>
      </c>
      <c r="D39" s="72">
        <f>D16*INDEX('Company1153 Assumptions'!E$47:E$49,MATCH($D$5,'Company1153 Assumptions'!$C$47:$C$49,0))</f>
        <v>22797.15</v>
      </c>
      <c r="E39" s="72">
        <f>E16*INDEX('Company1153 Assumptions'!F$47:F$49,MATCH($D$5,'Company1153 Assumptions'!$C$47:$C$49,0))</f>
        <v>25820.844000000001</v>
      </c>
      <c r="F39" s="72">
        <f>F16*INDEX('Company1153 Assumptions'!G$47:G$49,MATCH($D$5,'Company1153 Assumptions'!$C$47:$C$49,0))</f>
        <v>27740.850724999997</v>
      </c>
      <c r="G39" s="72">
        <f>G16*INDEX('Company1153 Assumptions'!H$47:H$49,MATCH($D$5,'Company1153 Assumptions'!$C$47:$C$49,0))</f>
        <v>29839.734282375004</v>
      </c>
      <c r="H39" s="72">
        <f>H16*INDEX('Company1153 Assumptions'!I$47:I$49,MATCH($D$5,'Company1153 Assumptions'!$C$47:$C$49,0))</f>
        <v>31433.64703194375</v>
      </c>
      <c r="I39" s="72">
        <f>I16*INDEX('Company1153 Assumptions'!J$47:J$49,MATCH($D$5,'Company1153 Assumptions'!$C$47:$C$49,0))</f>
        <v>33201.283638156972</v>
      </c>
      <c r="J39" s="72">
        <f>J16*INDEX('Company1153 Assumptions'!K$47:K$49,MATCH($D$5,'Company1153 Assumptions'!$C$47:$C$49,0))</f>
        <v>34464.17778781493</v>
      </c>
      <c r="K39" s="67"/>
    </row>
    <row r="40" spans="1:11" ht="15.75" customHeight="1" x14ac:dyDescent="0.2">
      <c r="A40" s="67"/>
      <c r="B40" s="19" t="s">
        <v>51</v>
      </c>
      <c r="C40" s="73">
        <f t="shared" si="0"/>
        <v>93245.861999999994</v>
      </c>
      <c r="D40" s="73">
        <f t="shared" si="0"/>
        <v>100787.4</v>
      </c>
      <c r="E40" s="73">
        <f t="shared" si="0"/>
        <v>109079.89200000001</v>
      </c>
      <c r="F40" s="73">
        <f t="shared" si="0"/>
        <v>118263.62677499998</v>
      </c>
      <c r="G40" s="73">
        <f t="shared" si="0"/>
        <v>127059.51371850001</v>
      </c>
      <c r="H40" s="73">
        <f t="shared" si="0"/>
        <v>134815.41949255875</v>
      </c>
      <c r="I40" s="73">
        <f t="shared" si="0"/>
        <v>142614.60471844699</v>
      </c>
      <c r="J40" s="73">
        <f t="shared" si="0"/>
        <v>149209.61677548109</v>
      </c>
      <c r="K40" s="67"/>
    </row>
    <row r="41" spans="1:11" ht="15.75" customHeight="1" x14ac:dyDescent="0.2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1" ht="15.75" customHeight="1" x14ac:dyDescent="0.2">
      <c r="A42" s="67"/>
      <c r="B42" s="20" t="s">
        <v>52</v>
      </c>
      <c r="C42" s="76">
        <f t="shared" ref="C42:J42" si="6">C33-C40</f>
        <v>26047.552999999985</v>
      </c>
      <c r="D42" s="76">
        <f t="shared" si="6"/>
        <v>30716.160000000003</v>
      </c>
      <c r="E42" s="76">
        <f t="shared" si="6"/>
        <v>35833.007999999958</v>
      </c>
      <c r="F42" s="76">
        <f t="shared" si="6"/>
        <v>42925.316384999984</v>
      </c>
      <c r="G42" s="76">
        <f t="shared" si="6"/>
        <v>50695.462544249953</v>
      </c>
      <c r="H42" s="76">
        <f t="shared" si="6"/>
        <v>59374.666615893744</v>
      </c>
      <c r="I42" s="76">
        <f t="shared" si="6"/>
        <v>67911.716532593797</v>
      </c>
      <c r="J42" s="76">
        <f t="shared" si="6"/>
        <v>77848.495708946692</v>
      </c>
      <c r="K42" s="67"/>
    </row>
    <row r="43" spans="1:11" ht="15" customHeight="1" x14ac:dyDescent="0.2">
      <c r="A43" s="67"/>
      <c r="B43" s="74" t="s">
        <v>53</v>
      </c>
      <c r="C43" s="75">
        <f t="shared" ref="C43:J43" si="7">C42/C16</f>
        <v>0.11899999999999994</v>
      </c>
      <c r="D43" s="75">
        <f t="shared" si="7"/>
        <v>0.128</v>
      </c>
      <c r="E43" s="75">
        <f t="shared" si="7"/>
        <v>0.13599999999999984</v>
      </c>
      <c r="F43" s="75">
        <f t="shared" si="7"/>
        <v>0.14699999999999996</v>
      </c>
      <c r="G43" s="75">
        <f t="shared" si="7"/>
        <v>0.15799999999999986</v>
      </c>
      <c r="H43" s="75">
        <f t="shared" si="7"/>
        <v>0.16999999999999998</v>
      </c>
      <c r="I43" s="75">
        <f t="shared" si="7"/>
        <v>0.18</v>
      </c>
      <c r="J43" s="75">
        <f t="shared" si="7"/>
        <v>0.19200000000000006</v>
      </c>
      <c r="K43" s="67"/>
    </row>
    <row r="44" spans="1:11" ht="15.75" customHeight="1" x14ac:dyDescent="0.2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15.75" customHeight="1" x14ac:dyDescent="0.2">
      <c r="A45" s="67"/>
      <c r="B45" s="21" t="s">
        <v>266</v>
      </c>
      <c r="C45" s="72">
        <f>(C$64*INDEX('Company1153 Assumptions'!$D$88:$D$90,MATCH($D$5,'Company1153 Assumptions'!$C$88:$C$90,0)))-(C86*INDEX('Company1153 Assumptions'!$D$92:$D$94,MATCH($D$5,'Company1153 Assumptions'!$C$92:$C$94,0)))</f>
        <v>0</v>
      </c>
      <c r="D45" s="72">
        <f ca="1">(D$64*INDEX('Company1153 Assumptions'!$D$88:$D$90,MATCH($D$5,'Company1153 Assumptions'!$C$88:$C$90,0)))-(D86*INDEX('Company1153 Assumptions'!$D$92:$D$94,MATCH($D$5,'Company1153 Assumptions'!$C$92:$C$94,0)))</f>
        <v>66.541036453001709</v>
      </c>
      <c r="E45" s="72">
        <f ca="1">(E$64*INDEX('Company1153 Assumptions'!$D$88:$D$90,MATCH($D$5,'Company1153 Assumptions'!$C$88:$C$90,0)))-(E86*INDEX('Company1153 Assumptions'!$D$92:$D$94,MATCH($D$5,'Company1153 Assumptions'!$C$92:$C$94,0)))</f>
        <v>138.45635454232183</v>
      </c>
      <c r="F45" s="72">
        <f ca="1">(F$64*INDEX('Company1153 Assumptions'!$D$88:$D$90,MATCH($D$5,'Company1153 Assumptions'!$C$88:$C$90,0)))-(F86*INDEX('Company1153 Assumptions'!$D$92:$D$94,MATCH($D$5,'Company1153 Assumptions'!$C$92:$C$94,0)))</f>
        <v>219.04663693932821</v>
      </c>
      <c r="G45" s="72">
        <f ca="1">(G$64*INDEX('Company1153 Assumptions'!$D$88:$D$90,MATCH($D$5,'Company1153 Assumptions'!$C$88:$C$90,0)))-(G86*INDEX('Company1153 Assumptions'!$D$92:$D$94,MATCH($D$5,'Company1153 Assumptions'!$C$92:$C$94,0)))</f>
        <v>313.28608591385648</v>
      </c>
      <c r="H45" s="72">
        <f ca="1">(H$64*INDEX('Company1153 Assumptions'!$D$88:$D$90,MATCH($D$5,'Company1153 Assumptions'!$C$88:$C$90,0)))-(H86*INDEX('Company1153 Assumptions'!$D$92:$D$94,MATCH($D$5,'Company1153 Assumptions'!$C$92:$C$94,0)))</f>
        <v>432.62805003343237</v>
      </c>
      <c r="I45" s="72">
        <f ca="1">(I$64*INDEX('Company1153 Assumptions'!$D$88:$D$90,MATCH($D$5,'Company1153 Assumptions'!$C$88:$C$90,0)))-(I86*INDEX('Company1153 Assumptions'!$D$92:$D$94,MATCH($D$5,'Company1153 Assumptions'!$C$92:$C$94,0)))</f>
        <v>569.19251427977406</v>
      </c>
      <c r="J45" s="72">
        <f ca="1">(J$64*INDEX('Company1153 Assumptions'!$D$88:$D$90,MATCH($D$5,'Company1153 Assumptions'!$C$88:$C$90,0)))-(J86*INDEX('Company1153 Assumptions'!$D$92:$D$94,MATCH($D$5,'Company1153 Assumptions'!$C$92:$C$94,0)))</f>
        <v>737.22333692399388</v>
      </c>
      <c r="K45" s="67"/>
    </row>
    <row r="46" spans="1:11" ht="15" customHeight="1" x14ac:dyDescent="0.2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5.75" customHeight="1" x14ac:dyDescent="0.2">
      <c r="A47" s="67"/>
      <c r="B47" s="20" t="s">
        <v>54</v>
      </c>
      <c r="C47" s="76">
        <f t="shared" ref="C47:J47" si="8">C42+C45</f>
        <v>26047.552999999985</v>
      </c>
      <c r="D47" s="76">
        <f t="shared" ca="1" si="8"/>
        <v>30782.701036453007</v>
      </c>
      <c r="E47" s="76">
        <f t="shared" ca="1" si="8"/>
        <v>35971.46435454228</v>
      </c>
      <c r="F47" s="76">
        <f t="shared" ca="1" si="8"/>
        <v>43144.363021939309</v>
      </c>
      <c r="G47" s="76">
        <f t="shared" ca="1" si="8"/>
        <v>51008.748630163813</v>
      </c>
      <c r="H47" s="76">
        <f t="shared" ca="1" si="8"/>
        <v>59807.294665927177</v>
      </c>
      <c r="I47" s="76">
        <f t="shared" ca="1" si="8"/>
        <v>68480.909046873567</v>
      </c>
      <c r="J47" s="76">
        <f t="shared" ca="1" si="8"/>
        <v>78585.71904587069</v>
      </c>
      <c r="K47" s="67"/>
    </row>
    <row r="48" spans="1:11" ht="15" customHeight="1" x14ac:dyDescent="0.2">
      <c r="A48" s="67"/>
      <c r="B48" s="21" t="s">
        <v>55</v>
      </c>
      <c r="C48" s="72">
        <f>C47*INDEX('Company1153 Assumptions'!D$81:D$83,MATCH($D$5,'Company1153 Assumptions'!$C$81:$C$83,0))</f>
        <v>4219.7035859999978</v>
      </c>
      <c r="D48" s="72">
        <f ca="1">D47*INDEX('Company1153 Assumptions'!E$81:E$83,MATCH($D$5,'Company1153 Assumptions'!$C$81:$C$83,0))</f>
        <v>4925.2321658324809</v>
      </c>
      <c r="E48" s="72">
        <f ca="1">E47*INDEX('Company1153 Assumptions'!F$81:F$83,MATCH($D$5,'Company1153 Assumptions'!$C$81:$C$83,0))</f>
        <v>5683.4913680176805</v>
      </c>
      <c r="F48" s="72">
        <f ca="1">F47*INDEX('Company1153 Assumptions'!G$81:G$83,MATCH($D$5,'Company1153 Assumptions'!$C$81:$C$83,0))</f>
        <v>7118.8198986199859</v>
      </c>
      <c r="G48" s="72">
        <f ca="1">G47*INDEX('Company1153 Assumptions'!H$81:H$83,MATCH($D$5,'Company1153 Assumptions'!$C$81:$C$83,0))</f>
        <v>8671.4872671278481</v>
      </c>
      <c r="H48" s="72">
        <f ca="1">H47*INDEX('Company1153 Assumptions'!I$81:I$83,MATCH($D$5,'Company1153 Assumptions'!$C$81:$C$83,0))</f>
        <v>10466.276566537255</v>
      </c>
      <c r="I48" s="72">
        <f ca="1">I47*INDEX('Company1153 Assumptions'!J$81:J$83,MATCH($D$5,'Company1153 Assumptions'!$C$81:$C$83,0))</f>
        <v>12326.563628437241</v>
      </c>
      <c r="J48" s="72">
        <f ca="1">J47*INDEX('Company1153 Assumptions'!K$81:K$83,MATCH($D$5,'Company1153 Assumptions'!$C$81:$C$83,0))</f>
        <v>14538.358023486078</v>
      </c>
      <c r="K48" s="67"/>
    </row>
    <row r="49" spans="1:11" ht="15.75" customHeight="1" thickBot="1" x14ac:dyDescent="0.25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5.75" customHeight="1" thickBot="1" x14ac:dyDescent="0.25">
      <c r="A50" s="67"/>
      <c r="B50" s="20" t="s">
        <v>56</v>
      </c>
      <c r="C50" s="78">
        <f t="shared" ref="C50:J50" si="9">C47-C48</f>
        <v>21827.849413999989</v>
      </c>
      <c r="D50" s="78">
        <f t="shared" ca="1" si="9"/>
        <v>25857.468870620527</v>
      </c>
      <c r="E50" s="78">
        <f t="shared" ca="1" si="9"/>
        <v>30287.972986524601</v>
      </c>
      <c r="F50" s="78">
        <f t="shared" ca="1" si="9"/>
        <v>36025.543123319323</v>
      </c>
      <c r="G50" s="78">
        <f t="shared" ca="1" si="9"/>
        <v>42337.261363035963</v>
      </c>
      <c r="H50" s="78">
        <f t="shared" ca="1" si="9"/>
        <v>49341.018099389919</v>
      </c>
      <c r="I50" s="78">
        <f t="shared" ca="1" si="9"/>
        <v>56154.345418436322</v>
      </c>
      <c r="J50" s="78">
        <f t="shared" ca="1" si="9"/>
        <v>64047.361022384612</v>
      </c>
      <c r="K50" s="67"/>
    </row>
    <row r="51" spans="1:11" ht="15" customHeight="1" thickTop="1" x14ac:dyDescent="0.2">
      <c r="A51" s="67"/>
      <c r="B51" s="74" t="s">
        <v>57</v>
      </c>
      <c r="C51" s="75">
        <f t="shared" ref="C51:J51" si="10">C50/C16</f>
        <v>9.972199999999995E-2</v>
      </c>
      <c r="D51" s="75">
        <f t="shared" ca="1" si="10"/>
        <v>0.1077529227429284</v>
      </c>
      <c r="E51" s="75">
        <f t="shared" ca="1" si="10"/>
        <v>0.11495446673545648</v>
      </c>
      <c r="F51" s="75">
        <f t="shared" ca="1" si="10"/>
        <v>0.12337136415326484</v>
      </c>
      <c r="G51" s="75">
        <f t="shared" ca="1" si="10"/>
        <v>0.13195041448770442</v>
      </c>
      <c r="H51" s="75">
        <f t="shared" ca="1" si="10"/>
        <v>0.14127191873193518</v>
      </c>
      <c r="I51" s="75">
        <f t="shared" ca="1" si="10"/>
        <v>0.14883708867036768</v>
      </c>
      <c r="J51" s="75">
        <f t="shared" ca="1" si="10"/>
        <v>0.15796186174583479</v>
      </c>
      <c r="K51" s="67"/>
    </row>
    <row r="52" spans="1:11" ht="15.75" customHeight="1" thickBot="1" x14ac:dyDescent="0.25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5.75" customHeight="1" x14ac:dyDescent="0.2">
      <c r="A53" s="67"/>
      <c r="B53" s="6" t="s">
        <v>58</v>
      </c>
      <c r="C53" s="6"/>
      <c r="D53" s="6"/>
      <c r="E53" s="6"/>
      <c r="F53" s="6"/>
      <c r="G53" s="6"/>
      <c r="H53" s="6"/>
      <c r="I53" s="6"/>
      <c r="J53" s="6"/>
      <c r="K53" s="67"/>
    </row>
    <row r="54" spans="1:11" ht="15" customHeight="1" x14ac:dyDescent="0.2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5" customHeight="1" x14ac:dyDescent="0.2">
      <c r="A55" s="67"/>
      <c r="B55" s="21" t="s">
        <v>59</v>
      </c>
      <c r="C55" s="79">
        <v>13000</v>
      </c>
      <c r="D55" s="79">
        <v>12800</v>
      </c>
      <c r="E55" s="79">
        <v>12600</v>
      </c>
      <c r="F55" s="79">
        <v>12400</v>
      </c>
      <c r="G55" s="79">
        <v>12200</v>
      </c>
      <c r="H55" s="79">
        <v>12000</v>
      </c>
      <c r="I55" s="79">
        <v>11800</v>
      </c>
      <c r="J55" s="79">
        <v>11600</v>
      </c>
      <c r="K55" s="67"/>
    </row>
    <row r="56" spans="1:11" ht="15" customHeight="1" x14ac:dyDescent="0.2">
      <c r="A56" s="67"/>
      <c r="B56" s="20" t="s">
        <v>60</v>
      </c>
      <c r="C56" s="80">
        <f t="shared" ref="C56:J56" si="11">C50/C55</f>
        <v>1.6790653395384607</v>
      </c>
      <c r="D56" s="80">
        <f t="shared" ca="1" si="11"/>
        <v>2.0201147555172287</v>
      </c>
      <c r="E56" s="80">
        <f t="shared" ca="1" si="11"/>
        <v>2.4038073798829047</v>
      </c>
      <c r="F56" s="80">
        <f t="shared" ca="1" si="11"/>
        <v>2.9052857357515585</v>
      </c>
      <c r="G56" s="80">
        <f t="shared" ca="1" si="11"/>
        <v>3.4702673248390132</v>
      </c>
      <c r="H56" s="80">
        <f t="shared" ca="1" si="11"/>
        <v>4.1117515082824934</v>
      </c>
      <c r="I56" s="80">
        <f t="shared" ca="1" si="11"/>
        <v>4.7588428320708749</v>
      </c>
      <c r="J56" s="80">
        <f t="shared" ca="1" si="11"/>
        <v>5.5213242260676392</v>
      </c>
      <c r="K56" s="67"/>
    </row>
    <row r="57" spans="1:11" ht="15.75" customHeight="1" x14ac:dyDescent="0.2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 ht="15.75" customHeight="1" thickBot="1" x14ac:dyDescent="0.25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5" customHeight="1" thickBot="1" x14ac:dyDescent="0.25">
      <c r="A59" s="67"/>
      <c r="B59" s="81" t="s">
        <v>63</v>
      </c>
      <c r="C59" s="81"/>
      <c r="D59" s="81"/>
      <c r="E59" s="81"/>
      <c r="F59" s="81"/>
      <c r="G59" s="81"/>
      <c r="H59" s="81"/>
      <c r="I59" s="81"/>
      <c r="J59" s="81"/>
      <c r="K59" s="67"/>
    </row>
    <row r="60" spans="1:11" ht="15" customHeight="1" x14ac:dyDescent="0.2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</row>
    <row r="61" spans="1:11" ht="15.75" customHeight="1" x14ac:dyDescent="0.2">
      <c r="A61" s="67"/>
      <c r="B61" s="11" t="s">
        <v>64</v>
      </c>
      <c r="C61" s="11"/>
      <c r="D61" s="11"/>
      <c r="E61" s="11"/>
      <c r="F61" s="11"/>
      <c r="G61" s="11"/>
      <c r="H61" s="11"/>
      <c r="I61" s="11"/>
      <c r="J61" s="11"/>
      <c r="K61" s="67"/>
    </row>
    <row r="62" spans="1:11" ht="15" customHeight="1" x14ac:dyDescent="0.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</row>
    <row r="63" spans="1:11" ht="15" customHeight="1" x14ac:dyDescent="0.2">
      <c r="A63" s="67"/>
      <c r="B63" s="12" t="s">
        <v>65</v>
      </c>
      <c r="C63" s="67"/>
      <c r="D63" s="67"/>
      <c r="E63" s="67"/>
      <c r="F63" s="67"/>
      <c r="G63" s="67"/>
      <c r="H63" s="67"/>
      <c r="I63" s="67"/>
      <c r="J63" s="67"/>
      <c r="K63" s="67"/>
    </row>
    <row r="64" spans="1:11" ht="15" customHeight="1" x14ac:dyDescent="0.2">
      <c r="A64" s="67"/>
      <c r="B64" s="13" t="s">
        <v>66</v>
      </c>
      <c r="C64" s="82">
        <v>90000</v>
      </c>
      <c r="D64" s="83">
        <f t="shared" ref="D64:J64" ca="1" si="12">D$121</f>
        <v>97308.207290600345</v>
      </c>
      <c r="E64" s="83">
        <f t="shared" ca="1" si="12"/>
        <v>105691.27090846437</v>
      </c>
      <c r="F64" s="83">
        <f t="shared" ca="1" si="12"/>
        <v>118809.32738786565</v>
      </c>
      <c r="G64" s="83">
        <f t="shared" ca="1" si="12"/>
        <v>134657.2171827713</v>
      </c>
      <c r="H64" s="83">
        <f t="shared" ca="1" si="12"/>
        <v>155525.61000668647</v>
      </c>
      <c r="I64" s="83">
        <f t="shared" ca="1" si="12"/>
        <v>179838.50285595481</v>
      </c>
      <c r="J64" s="83">
        <f t="shared" ca="1" si="12"/>
        <v>210444.66738479878</v>
      </c>
      <c r="K64" s="67"/>
    </row>
    <row r="65" spans="1:11" ht="15" customHeight="1" x14ac:dyDescent="0.2">
      <c r="A65" s="67"/>
      <c r="B65" s="13" t="s">
        <v>67</v>
      </c>
      <c r="C65" s="72">
        <f>C$16*INDEX('Company1153 Assumptions'!D$55:D$57,MATCH($D$5,'Company1153 Assumptions'!$C$55:$C$57,0))/365</f>
        <v>28785.139726027399</v>
      </c>
      <c r="D65" s="72">
        <f>D$16*INDEX('Company1153 Assumptions'!E$55:E$57,MATCH($D$5,'Company1153 Assumptions'!$C$55:$C$57,0))/365</f>
        <v>30900.246575342466</v>
      </c>
      <c r="E65" s="72">
        <f>E$16*INDEX('Company1153 Assumptions'!F$55:F$57,MATCH($D$5,'Company1153 Assumptions'!$C$55:$C$57,0))/365</f>
        <v>33205.446575342467</v>
      </c>
      <c r="F65" s="72">
        <f>F$16*INDEX('Company1153 Assumptions'!G$55:G$57,MATCH($D$5,'Company1153 Assumptions'!$C$55:$C$57,0))/365</f>
        <v>36801.12857534246</v>
      </c>
      <c r="G65" s="72">
        <f>G$16*INDEX('Company1153 Assumptions'!H$55:H$57,MATCH($D$5,'Company1153 Assumptions'!$C$55:$C$57,0))/365</f>
        <v>39557.756450342466</v>
      </c>
      <c r="H65" s="72">
        <f>H$16*INDEX('Company1153 Assumptions'!I$55:I$57,MATCH($D$5,'Company1153 Assumptions'!$C$55:$C$57,0))/365</f>
        <v>43059.790454717462</v>
      </c>
      <c r="I65" s="72">
        <f>I$16*INDEX('Company1153 Assumptions'!J$55:J$57,MATCH($D$5,'Company1153 Assumptions'!$C$55:$C$57,0))/365</f>
        <v>45481.210463228723</v>
      </c>
      <c r="J65" s="72">
        <f>J$16*INDEX('Company1153 Assumptions'!K$55:K$57,MATCH($D$5,'Company1153 Assumptions'!$C$55:$C$57,0))/365</f>
        <v>48877.48018255784</v>
      </c>
      <c r="K65" s="67"/>
    </row>
    <row r="66" spans="1:11" ht="15.75" customHeight="1" x14ac:dyDescent="0.2">
      <c r="A66" s="67"/>
      <c r="B66" s="13" t="s">
        <v>68</v>
      </c>
      <c r="C66" s="82">
        <v>8500</v>
      </c>
      <c r="D66" s="72">
        <f>C66*(1+'Company1153 Assumptions'!E$63)</f>
        <v>9000</v>
      </c>
      <c r="E66" s="72">
        <f>D66*(1+'Company1153 Assumptions'!F$63)</f>
        <v>9500</v>
      </c>
      <c r="F66" s="72">
        <f>E66*(1+'Company1153 Assumptions'!G$63)</f>
        <v>9975</v>
      </c>
      <c r="G66" s="72">
        <f>F66*(1+'Company1153 Assumptions'!H$63)</f>
        <v>10473.75</v>
      </c>
      <c r="H66" s="72">
        <f>G66*(1+'Company1153 Assumptions'!I$63)</f>
        <v>10997.4375</v>
      </c>
      <c r="I66" s="72">
        <f>H66*(1+'Company1153 Assumptions'!J$63)</f>
        <v>11547.309375000001</v>
      </c>
      <c r="J66" s="72">
        <f>I66*(1+'Company1153 Assumptions'!K$63)</f>
        <v>12124.674843750001</v>
      </c>
      <c r="K66" s="67"/>
    </row>
    <row r="67" spans="1:11" ht="15.75" customHeight="1" x14ac:dyDescent="0.2">
      <c r="A67" s="67"/>
      <c r="B67" s="14" t="s">
        <v>69</v>
      </c>
      <c r="C67" s="84">
        <f t="shared" ref="C67:J67" si="13">SUM(C64:C66)</f>
        <v>127285.1397260274</v>
      </c>
      <c r="D67" s="84">
        <f t="shared" ca="1" si="13"/>
        <v>137208.45386594281</v>
      </c>
      <c r="E67" s="84">
        <f t="shared" ca="1" si="13"/>
        <v>148396.71748380683</v>
      </c>
      <c r="F67" s="84">
        <f t="shared" ca="1" si="13"/>
        <v>165585.45596320811</v>
      </c>
      <c r="G67" s="84">
        <f t="shared" ca="1" si="13"/>
        <v>184688.72363311378</v>
      </c>
      <c r="H67" s="84">
        <f t="shared" ca="1" si="13"/>
        <v>209582.83796140394</v>
      </c>
      <c r="I67" s="84">
        <f t="shared" ca="1" si="13"/>
        <v>236867.02269418354</v>
      </c>
      <c r="J67" s="84">
        <f t="shared" ca="1" si="13"/>
        <v>271446.82241110661</v>
      </c>
      <c r="K67" s="67"/>
    </row>
    <row r="68" spans="1:11" ht="15.75" customHeight="1" x14ac:dyDescent="0.2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5.75" customHeight="1" x14ac:dyDescent="0.2">
      <c r="A69" s="67"/>
      <c r="B69" s="12" t="s">
        <v>70</v>
      </c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5" customHeight="1" x14ac:dyDescent="0.2">
      <c r="A70" s="67"/>
      <c r="B70" s="13" t="s">
        <v>71</v>
      </c>
      <c r="C70" s="82">
        <v>80000</v>
      </c>
      <c r="D70" s="83">
        <f>C70+D110</f>
        <v>111676.04000000001</v>
      </c>
      <c r="E70" s="83">
        <f t="shared" ref="E70:J70" si="14">D70+E110</f>
        <v>148562.96000000002</v>
      </c>
      <c r="F70" s="83">
        <f t="shared" si="14"/>
        <v>187984.16892500001</v>
      </c>
      <c r="G70" s="83">
        <f t="shared" si="14"/>
        <v>229695.62544875001</v>
      </c>
      <c r="H70" s="83">
        <f t="shared" si="14"/>
        <v>273353.46854867187</v>
      </c>
      <c r="I70" s="83">
        <f t="shared" si="14"/>
        <v>318627.94623706775</v>
      </c>
      <c r="J70" s="83">
        <f t="shared" si="14"/>
        <v>365255.95147940563</v>
      </c>
      <c r="K70" s="67"/>
    </row>
    <row r="71" spans="1:11" ht="15" customHeight="1" x14ac:dyDescent="0.2">
      <c r="A71" s="67"/>
      <c r="B71" s="13" t="s">
        <v>72</v>
      </c>
      <c r="C71" s="82">
        <v>25000</v>
      </c>
      <c r="D71" s="83">
        <f>C71+D102</f>
        <v>44152.612500000003</v>
      </c>
      <c r="E71" s="83">
        <f t="shared" ref="E71:J71" si="15">D71+E102</f>
        <v>66325.840500000006</v>
      </c>
      <c r="F71" s="83">
        <f t="shared" si="15"/>
        <v>92146.684500000003</v>
      </c>
      <c r="G71" s="83">
        <f t="shared" si="15"/>
        <v>119741.5307475</v>
      </c>
      <c r="H71" s="83">
        <f t="shared" si="15"/>
        <v>148939.55031412499</v>
      </c>
      <c r="I71" s="83">
        <f t="shared" si="15"/>
        <v>179500.04048407031</v>
      </c>
      <c r="J71" s="83">
        <f t="shared" si="15"/>
        <v>211192.17486594743</v>
      </c>
      <c r="K71" s="67"/>
    </row>
    <row r="72" spans="1:11" ht="15.75" customHeight="1" x14ac:dyDescent="0.2">
      <c r="A72" s="67"/>
      <c r="B72" s="85" t="s">
        <v>267</v>
      </c>
      <c r="C72" s="86">
        <f>C70-C71</f>
        <v>55000</v>
      </c>
      <c r="D72" s="86">
        <f>D70-D71</f>
        <v>67523.427500000005</v>
      </c>
      <c r="E72" s="86">
        <f t="shared" ref="E72:J72" si="16">E70-E71</f>
        <v>82237.119500000015</v>
      </c>
      <c r="F72" s="86">
        <f t="shared" si="16"/>
        <v>95837.484425000002</v>
      </c>
      <c r="G72" s="86">
        <f t="shared" si="16"/>
        <v>109954.09470125001</v>
      </c>
      <c r="H72" s="86">
        <f t="shared" si="16"/>
        <v>124413.91823454687</v>
      </c>
      <c r="I72" s="86">
        <f t="shared" si="16"/>
        <v>139127.90575299744</v>
      </c>
      <c r="J72" s="86">
        <f t="shared" si="16"/>
        <v>154063.77661345821</v>
      </c>
      <c r="K72" s="67"/>
    </row>
    <row r="73" spans="1:11" ht="15.75" customHeight="1" x14ac:dyDescent="0.2">
      <c r="A73" s="67"/>
      <c r="B73" s="15"/>
      <c r="C73" s="83"/>
      <c r="D73" s="83"/>
      <c r="E73" s="83"/>
      <c r="F73" s="83"/>
      <c r="G73" s="83"/>
      <c r="H73" s="83"/>
      <c r="I73" s="83"/>
      <c r="J73" s="83"/>
      <c r="K73" s="67"/>
    </row>
    <row r="74" spans="1:11" ht="15.75" customHeight="1" x14ac:dyDescent="0.2">
      <c r="A74" s="67"/>
      <c r="B74" s="13" t="s">
        <v>73</v>
      </c>
      <c r="C74" s="82">
        <v>35000</v>
      </c>
      <c r="D74" s="72">
        <f>C74*(1+'Company1153 Assumptions'!E$64)</f>
        <v>38000</v>
      </c>
      <c r="E74" s="72">
        <f>D74*(1+'Company1153 Assumptions'!F$64)</f>
        <v>42000.000000000007</v>
      </c>
      <c r="F74" s="72">
        <f>E74*(1+'Company1153 Assumptions'!G$64)</f>
        <v>45360.000000000007</v>
      </c>
      <c r="G74" s="72">
        <f>F74*(1+'Company1153 Assumptions'!H$64)</f>
        <v>48988.80000000001</v>
      </c>
      <c r="H74" s="72">
        <f>G74*(1+'Company1153 Assumptions'!I$64)</f>
        <v>52907.904000000017</v>
      </c>
      <c r="I74" s="72">
        <f>H74*(1+'Company1153 Assumptions'!J$64)</f>
        <v>57140.536320000021</v>
      </c>
      <c r="J74" s="72">
        <f>I74*(1+'Company1153 Assumptions'!K$64)</f>
        <v>61711.779225600025</v>
      </c>
      <c r="K74" s="67"/>
    </row>
    <row r="75" spans="1:11" ht="15.75" customHeight="1" x14ac:dyDescent="0.2">
      <c r="A75" s="67"/>
      <c r="B75" s="14" t="s">
        <v>74</v>
      </c>
      <c r="C75" s="84">
        <f t="shared" ref="C75:J75" si="17">C72+C74</f>
        <v>90000</v>
      </c>
      <c r="D75" s="84">
        <f t="shared" si="17"/>
        <v>105523.42750000001</v>
      </c>
      <c r="E75" s="84">
        <f t="shared" si="17"/>
        <v>124237.11950000003</v>
      </c>
      <c r="F75" s="84">
        <f t="shared" si="17"/>
        <v>141197.484425</v>
      </c>
      <c r="G75" s="84">
        <f t="shared" si="17"/>
        <v>158942.89470125001</v>
      </c>
      <c r="H75" s="84">
        <f t="shared" si="17"/>
        <v>177321.82223454688</v>
      </c>
      <c r="I75" s="84">
        <f t="shared" si="17"/>
        <v>196268.44207299745</v>
      </c>
      <c r="J75" s="84">
        <f t="shared" si="17"/>
        <v>215775.55583905824</v>
      </c>
      <c r="K75" s="67"/>
    </row>
    <row r="76" spans="1:11" ht="15.75" customHeight="1" thickBot="1" x14ac:dyDescent="0.25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5" customHeight="1" thickBot="1" x14ac:dyDescent="0.25">
      <c r="A77" s="67"/>
      <c r="B77" s="10" t="s">
        <v>75</v>
      </c>
      <c r="C77" s="87">
        <f t="shared" ref="C77:J77" si="18">C67+C75</f>
        <v>217285.13972602738</v>
      </c>
      <c r="D77" s="87">
        <f t="shared" ca="1" si="18"/>
        <v>242731.88136594283</v>
      </c>
      <c r="E77" s="87">
        <f t="shared" ca="1" si="18"/>
        <v>272633.83698380686</v>
      </c>
      <c r="F77" s="87">
        <f t="shared" ca="1" si="18"/>
        <v>306782.94038820814</v>
      </c>
      <c r="G77" s="87">
        <f t="shared" ca="1" si="18"/>
        <v>343631.6183343638</v>
      </c>
      <c r="H77" s="87">
        <f t="shared" ca="1" si="18"/>
        <v>386904.66019595083</v>
      </c>
      <c r="I77" s="87">
        <f t="shared" ca="1" si="18"/>
        <v>433135.46476718097</v>
      </c>
      <c r="J77" s="87">
        <f t="shared" ca="1" si="18"/>
        <v>487222.37825016485</v>
      </c>
      <c r="K77" s="67"/>
    </row>
    <row r="78" spans="1:11" ht="15.75" customHeight="1" thickTop="1" x14ac:dyDescent="0.2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5" customHeight="1" x14ac:dyDescent="0.2">
      <c r="A79" s="67"/>
      <c r="B79" s="11" t="s">
        <v>76</v>
      </c>
      <c r="C79" s="11"/>
      <c r="D79" s="11"/>
      <c r="E79" s="11"/>
      <c r="F79" s="11"/>
      <c r="G79" s="11"/>
      <c r="H79" s="11"/>
      <c r="I79" s="11"/>
      <c r="J79" s="11"/>
      <c r="K79" s="67"/>
    </row>
    <row r="80" spans="1:11" ht="15" customHeight="1" x14ac:dyDescent="0.2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</row>
    <row r="81" spans="1:11" ht="15" customHeight="1" x14ac:dyDescent="0.2">
      <c r="A81" s="67"/>
      <c r="B81" s="12" t="s">
        <v>77</v>
      </c>
      <c r="C81" s="67"/>
      <c r="D81" s="67"/>
      <c r="E81" s="67"/>
      <c r="F81" s="67"/>
      <c r="G81" s="67"/>
      <c r="H81" s="67"/>
      <c r="I81" s="67"/>
      <c r="J81" s="67"/>
      <c r="K81" s="67"/>
    </row>
    <row r="82" spans="1:11" ht="15" customHeight="1" x14ac:dyDescent="0.2">
      <c r="A82" s="67"/>
      <c r="B82" s="13" t="s">
        <v>78</v>
      </c>
      <c r="C82" s="72">
        <f>(C32+C36+C37+C38)*INDEX('Company1153 Assumptions'!D$59:D$61,MATCH($D$5,'Company1153 Assumptions'!$C$59:$C$61,0))/365</f>
        <v>15140.983495890412</v>
      </c>
      <c r="D82" s="72">
        <f>(D32+D36+D37+D38)*INDEX('Company1153 Assumptions'!E$59:E$61,MATCH($D$5,'Company1153 Assumptions'!$C$59:$C$61,0))/365</f>
        <v>16857.728136986301</v>
      </c>
      <c r="E82" s="72">
        <f>(E32+E36+E37+E38)*INDEX('Company1153 Assumptions'!F$59:F$61,MATCH($D$5,'Company1153 Assumptions'!$C$59:$C$61,0))/365</f>
        <v>18800.057621917811</v>
      </c>
      <c r="F82" s="72">
        <f>(F32+F36+F37+F38)*INDEX('Company1153 Assumptions'!G$59:G$61,MATCH($D$5,'Company1153 Assumptions'!$C$59:$C$61,0))/365</f>
        <v>20618.232296602739</v>
      </c>
      <c r="G82" s="72">
        <f>(G32+G36+G37+G38)*INDEX('Company1153 Assumptions'!H$59:H$61,MATCH($D$5,'Company1153 Assumptions'!$C$59:$C$61,0))/365</f>
        <v>23044.590785460619</v>
      </c>
      <c r="H82" s="72">
        <f>(H32+H36+H37+H38)*INDEX('Company1153 Assumptions'!I$59:I$61,MATCH($D$5,'Company1153 Assumptions'!$C$59:$C$61,0))/365</f>
        <v>24783.301617270718</v>
      </c>
      <c r="I82" s="72">
        <f>(I32+I36+I37+I38)*INDEX('Company1153 Assumptions'!J$59:J$61,MATCH($D$5,'Company1153 Assumptions'!$C$59:$C$61,0))/365</f>
        <v>27239.110411977348</v>
      </c>
      <c r="J82" s="72">
        <f>(J32+J36+J37+J38)*INDEX('Company1153 Assumptions'!K$59:K$61,MATCH($D$5,'Company1153 Assumptions'!$C$59:$C$61,0))/365</f>
        <v>28913.251231627626</v>
      </c>
      <c r="K82" s="67"/>
    </row>
    <row r="83" spans="1:11" ht="15.75" customHeight="1" x14ac:dyDescent="0.2">
      <c r="A83" s="67"/>
      <c r="B83" s="13" t="s">
        <v>79</v>
      </c>
      <c r="C83" s="82">
        <v>12000</v>
      </c>
      <c r="D83" s="72">
        <f>C83*(1+'Company1153 Assumptions'!E$65)</f>
        <v>13000</v>
      </c>
      <c r="E83" s="72">
        <f>D83*(1+'Company1153 Assumptions'!F$65)</f>
        <v>14000</v>
      </c>
      <c r="F83" s="72">
        <f>E83*(1+'Company1153 Assumptions'!G$65)</f>
        <v>14840</v>
      </c>
      <c r="G83" s="72">
        <f>F83*(1+'Company1153 Assumptions'!H$65)</f>
        <v>15730.400000000001</v>
      </c>
      <c r="H83" s="72">
        <f>G83*(1+'Company1153 Assumptions'!I$65)</f>
        <v>16674.224000000002</v>
      </c>
      <c r="I83" s="72">
        <f>H83*(1+'Company1153 Assumptions'!J$65)</f>
        <v>17674.677440000003</v>
      </c>
      <c r="J83" s="72">
        <f>I83*(1+'Company1153 Assumptions'!K$65)</f>
        <v>18735.158086400003</v>
      </c>
      <c r="K83" s="67"/>
    </row>
    <row r="84" spans="1:11" ht="15.75" customHeight="1" x14ac:dyDescent="0.2">
      <c r="A84" s="67"/>
      <c r="B84" s="14" t="s">
        <v>80</v>
      </c>
      <c r="C84" s="84">
        <f t="shared" ref="C84:J84" si="19">SUM(C82:C83)</f>
        <v>27140.98349589041</v>
      </c>
      <c r="D84" s="84">
        <f t="shared" si="19"/>
        <v>29857.728136986301</v>
      </c>
      <c r="E84" s="84">
        <f t="shared" si="19"/>
        <v>32800.057621917811</v>
      </c>
      <c r="F84" s="84">
        <f t="shared" si="19"/>
        <v>35458.232296602742</v>
      </c>
      <c r="G84" s="84">
        <f t="shared" si="19"/>
        <v>38774.990785460621</v>
      </c>
      <c r="H84" s="84">
        <f t="shared" si="19"/>
        <v>41457.525617270716</v>
      </c>
      <c r="I84" s="84">
        <f t="shared" si="19"/>
        <v>44913.787851977351</v>
      </c>
      <c r="J84" s="84">
        <f t="shared" si="19"/>
        <v>47648.409318027625</v>
      </c>
      <c r="K84" s="67"/>
    </row>
    <row r="85" spans="1:11" ht="15.75" customHeight="1" x14ac:dyDescent="0.2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</row>
    <row r="86" spans="1:11" ht="15" customHeight="1" x14ac:dyDescent="0.2">
      <c r="A86" s="67"/>
      <c r="B86" s="12" t="s">
        <v>81</v>
      </c>
      <c r="C86" s="82">
        <v>15000</v>
      </c>
      <c r="D86" s="82">
        <v>14000</v>
      </c>
      <c r="E86" s="82">
        <v>13000</v>
      </c>
      <c r="F86" s="82">
        <v>12500</v>
      </c>
      <c r="G86" s="82">
        <v>12000</v>
      </c>
      <c r="H86" s="82">
        <v>11500</v>
      </c>
      <c r="I86" s="82">
        <v>11000</v>
      </c>
      <c r="J86" s="82">
        <v>10500</v>
      </c>
      <c r="K86" s="67"/>
    </row>
    <row r="87" spans="1:11" ht="15.75" customHeight="1" x14ac:dyDescent="0.2">
      <c r="A87" s="67"/>
      <c r="B87" s="14" t="s">
        <v>82</v>
      </c>
      <c r="C87" s="84">
        <f t="shared" ref="C87:J87" si="20">C84+C86</f>
        <v>42140.98349589041</v>
      </c>
      <c r="D87" s="84">
        <f t="shared" si="20"/>
        <v>43857.728136986305</v>
      </c>
      <c r="E87" s="84">
        <f t="shared" si="20"/>
        <v>45800.057621917811</v>
      </c>
      <c r="F87" s="84">
        <f t="shared" si="20"/>
        <v>47958.232296602742</v>
      </c>
      <c r="G87" s="84">
        <f t="shared" si="20"/>
        <v>50774.990785460621</v>
      </c>
      <c r="H87" s="84">
        <f t="shared" si="20"/>
        <v>52957.525617270716</v>
      </c>
      <c r="I87" s="84">
        <f t="shared" si="20"/>
        <v>55913.787851977351</v>
      </c>
      <c r="J87" s="84">
        <f t="shared" si="20"/>
        <v>58148.409318027625</v>
      </c>
      <c r="K87" s="67"/>
    </row>
    <row r="88" spans="1:11" ht="15.75" customHeight="1" x14ac:dyDescent="0.2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</row>
    <row r="89" spans="1:11" ht="15" customHeight="1" x14ac:dyDescent="0.2">
      <c r="A89" s="67"/>
      <c r="B89" s="12" t="s">
        <v>83</v>
      </c>
      <c r="C89" s="67"/>
      <c r="D89" s="67"/>
      <c r="E89" s="67"/>
      <c r="F89" s="67"/>
      <c r="G89" s="67"/>
      <c r="H89" s="67"/>
      <c r="I89" s="67"/>
      <c r="J89" s="67"/>
      <c r="K89" s="67"/>
    </row>
    <row r="90" spans="1:11" ht="15" customHeight="1" x14ac:dyDescent="0.2">
      <c r="A90" s="67"/>
      <c r="B90" s="13" t="s">
        <v>268</v>
      </c>
      <c r="C90" s="82">
        <v>50000</v>
      </c>
      <c r="D90" s="83">
        <f>C90+D103</f>
        <v>72797.149999999994</v>
      </c>
      <c r="E90" s="83">
        <f t="shared" ref="E90:J90" si="21">D90+E103</f>
        <v>98617.993999999992</v>
      </c>
      <c r="F90" s="83">
        <f t="shared" si="21"/>
        <v>126358.84472499999</v>
      </c>
      <c r="G90" s="83">
        <f t="shared" si="21"/>
        <v>156198.579007375</v>
      </c>
      <c r="H90" s="83">
        <f t="shared" si="21"/>
        <v>187632.22603931875</v>
      </c>
      <c r="I90" s="83">
        <f t="shared" si="21"/>
        <v>220833.50967747573</v>
      </c>
      <c r="J90" s="83">
        <f t="shared" si="21"/>
        <v>255297.68746529066</v>
      </c>
      <c r="K90" s="67"/>
    </row>
    <row r="91" spans="1:11" ht="15.75" customHeight="1" x14ac:dyDescent="0.2">
      <c r="A91" s="67"/>
      <c r="B91" s="13" t="s">
        <v>269</v>
      </c>
      <c r="C91" s="82">
        <v>24855.843769863</v>
      </c>
      <c r="D91" s="83">
        <f ca="1">C91+D115</f>
        <v>49780.465641664006</v>
      </c>
      <c r="E91" s="83">
        <f t="shared" ref="E91:J91" ca="1" si="22">D91+E115</f>
        <v>77929.656495256088</v>
      </c>
      <c r="F91" s="83">
        <f t="shared" ca="1" si="22"/>
        <v>109705.12161385907</v>
      </c>
      <c r="G91" s="83">
        <f t="shared" ca="1" si="22"/>
        <v>147850.19780197224</v>
      </c>
      <c r="H91" s="83">
        <f t="shared" ca="1" si="22"/>
        <v>187534.35590352898</v>
      </c>
      <c r="I91" s="83">
        <f t="shared" ca="1" si="22"/>
        <v>233615.44262359873</v>
      </c>
      <c r="J91" s="83">
        <f t="shared" ca="1" si="22"/>
        <v>280274.68941686471</v>
      </c>
      <c r="K91" s="67"/>
    </row>
    <row r="92" spans="1:11" ht="15.75" customHeight="1" x14ac:dyDescent="0.2">
      <c r="A92" s="67"/>
      <c r="B92" s="13" t="s">
        <v>84</v>
      </c>
      <c r="C92" s="82">
        <v>150000</v>
      </c>
      <c r="D92" s="83">
        <f ca="1">C92+D101</f>
        <v>175857.46887062053</v>
      </c>
      <c r="E92" s="83">
        <f t="shared" ref="E92:J92" ca="1" si="23">D92+E101</f>
        <v>206145.44185714514</v>
      </c>
      <c r="F92" s="83">
        <f t="shared" ca="1" si="23"/>
        <v>242170.98498046445</v>
      </c>
      <c r="G92" s="83">
        <f t="shared" ca="1" si="23"/>
        <v>284508.24634350039</v>
      </c>
      <c r="H92" s="83">
        <f t="shared" ca="1" si="23"/>
        <v>333849.2644428903</v>
      </c>
      <c r="I92" s="83">
        <f t="shared" ca="1" si="23"/>
        <v>390003.60986132664</v>
      </c>
      <c r="J92" s="83">
        <f t="shared" ca="1" si="23"/>
        <v>454050.97088371124</v>
      </c>
      <c r="K92" s="67"/>
    </row>
    <row r="93" spans="1:11" ht="15.75" customHeight="1" x14ac:dyDescent="0.2">
      <c r="A93" s="67"/>
      <c r="B93" s="14" t="s">
        <v>85</v>
      </c>
      <c r="C93" s="84">
        <f>C90-C91+C92</f>
        <v>175144.15623013698</v>
      </c>
      <c r="D93" s="84">
        <f t="shared" ref="D93:J93" ca="1" si="24">D90-D91+D92</f>
        <v>198874.15322895651</v>
      </c>
      <c r="E93" s="84">
        <f t="shared" ca="1" si="24"/>
        <v>226833.77936188906</v>
      </c>
      <c r="F93" s="84">
        <f t="shared" ca="1" si="24"/>
        <v>258824.70809160537</v>
      </c>
      <c r="G93" s="84">
        <f t="shared" ca="1" si="24"/>
        <v>292856.62754890311</v>
      </c>
      <c r="H93" s="84">
        <f t="shared" ca="1" si="24"/>
        <v>333947.13457868004</v>
      </c>
      <c r="I93" s="84">
        <f t="shared" ca="1" si="24"/>
        <v>377221.67691520363</v>
      </c>
      <c r="J93" s="84">
        <f t="shared" ca="1" si="24"/>
        <v>429073.96893213718</v>
      </c>
      <c r="K93" s="67"/>
    </row>
    <row r="94" spans="1:11" ht="15" customHeight="1" thickBot="1" x14ac:dyDescent="0.25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</row>
    <row r="95" spans="1:11" ht="15.75" customHeight="1" thickBot="1" x14ac:dyDescent="0.25">
      <c r="A95" s="67"/>
      <c r="B95" s="10" t="s">
        <v>86</v>
      </c>
      <c r="C95" s="87">
        <f t="shared" ref="C95:J95" si="25">C87+C93</f>
        <v>217285.13972602738</v>
      </c>
      <c r="D95" s="87">
        <f t="shared" ca="1" si="25"/>
        <v>242731.88136594283</v>
      </c>
      <c r="E95" s="87">
        <f t="shared" ca="1" si="25"/>
        <v>272633.83698380686</v>
      </c>
      <c r="F95" s="87">
        <f t="shared" ca="1" si="25"/>
        <v>306782.94038820814</v>
      </c>
      <c r="G95" s="87">
        <f t="shared" ca="1" si="25"/>
        <v>343631.61833436374</v>
      </c>
      <c r="H95" s="87">
        <f t="shared" ca="1" si="25"/>
        <v>386904.66019595077</v>
      </c>
      <c r="I95" s="87">
        <f t="shared" ca="1" si="25"/>
        <v>433135.46476718097</v>
      </c>
      <c r="J95" s="87">
        <f t="shared" ca="1" si="25"/>
        <v>487222.37825016479</v>
      </c>
      <c r="K95" s="67"/>
    </row>
    <row r="96" spans="1:11" ht="15" customHeight="1" thickTop="1" x14ac:dyDescent="0.2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</row>
    <row r="97" spans="1:11" ht="15.75" customHeight="1" x14ac:dyDescent="0.2">
      <c r="A97" s="67"/>
      <c r="B97" s="16" t="s">
        <v>87</v>
      </c>
      <c r="C97" s="83">
        <f t="shared" ref="C97:J97" si="26">C77-C95</f>
        <v>0</v>
      </c>
      <c r="D97" s="83">
        <f t="shared" ca="1" si="26"/>
        <v>0</v>
      </c>
      <c r="E97" s="83">
        <f t="shared" ca="1" si="26"/>
        <v>0</v>
      </c>
      <c r="F97" s="83">
        <f t="shared" ca="1" si="26"/>
        <v>0</v>
      </c>
      <c r="G97" s="83">
        <f t="shared" ca="1" si="26"/>
        <v>0</v>
      </c>
      <c r="H97" s="83">
        <f t="shared" ca="1" si="26"/>
        <v>0</v>
      </c>
      <c r="I97" s="83">
        <f t="shared" ca="1" si="26"/>
        <v>0</v>
      </c>
      <c r="J97" s="83">
        <f t="shared" ca="1" si="26"/>
        <v>0</v>
      </c>
      <c r="K97" s="67"/>
    </row>
    <row r="98" spans="1:11" ht="15" customHeight="1" thickBot="1" x14ac:dyDescent="0.25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</row>
    <row r="99" spans="1:11" ht="15.75" customHeight="1" thickBot="1" x14ac:dyDescent="0.25">
      <c r="A99" s="67"/>
      <c r="B99" s="81" t="s">
        <v>88</v>
      </c>
      <c r="C99" s="81"/>
      <c r="D99" s="81"/>
      <c r="E99" s="81"/>
      <c r="F99" s="81"/>
      <c r="G99" s="81"/>
      <c r="H99" s="81"/>
      <c r="I99" s="81"/>
      <c r="J99" s="81"/>
      <c r="K99" s="67"/>
    </row>
    <row r="100" spans="1:11" ht="13.5" customHeight="1" x14ac:dyDescent="0.2">
      <c r="A100" s="67"/>
      <c r="B100" s="12" t="s">
        <v>89</v>
      </c>
      <c r="C100" s="67"/>
      <c r="D100" s="67"/>
      <c r="E100" s="67"/>
      <c r="F100" s="67"/>
      <c r="G100" s="67"/>
      <c r="H100" s="67"/>
      <c r="I100" s="67"/>
      <c r="J100" s="67"/>
      <c r="K100" s="67"/>
    </row>
    <row r="101" spans="1:11" ht="15.75" customHeight="1" x14ac:dyDescent="0.2">
      <c r="A101" s="67"/>
      <c r="B101" s="13" t="s">
        <v>90</v>
      </c>
      <c r="C101" s="83"/>
      <c r="D101" s="83" cm="1">
        <f t="array" aca="1" ref="D101" ca="1">D50</f>
        <v>25857.468870620527</v>
      </c>
      <c r="E101" s="83" cm="1">
        <f t="array" aca="1" ref="E101" ca="1">E50</f>
        <v>30287.972986524601</v>
      </c>
      <c r="F101" s="83" cm="1">
        <f t="array" aca="1" ref="F101" ca="1">F50</f>
        <v>36025.543123319323</v>
      </c>
      <c r="G101" s="83" cm="1">
        <f t="array" aca="1" ref="G101" ca="1">G50</f>
        <v>42337.261363035963</v>
      </c>
      <c r="H101" s="83" cm="1">
        <f t="array" aca="1" ref="H101" ca="1">H50</f>
        <v>49341.018099389919</v>
      </c>
      <c r="I101" s="83" cm="1">
        <f t="array" aca="1" ref="I101" ca="1">I50</f>
        <v>56154.345418436322</v>
      </c>
      <c r="J101" s="83" cm="1">
        <f t="array" aca="1" ref="J101" ca="1">J50</f>
        <v>64047.361022384612</v>
      </c>
      <c r="K101" s="67"/>
    </row>
    <row r="102" spans="1:11" ht="15.75" customHeight="1" x14ac:dyDescent="0.2">
      <c r="A102" s="67"/>
      <c r="B102" s="13" t="s">
        <v>91</v>
      </c>
      <c r="C102" s="82"/>
      <c r="D102" s="72">
        <f>C$110*INDEX('Company1153 Assumptions'!E$73:E$75,MATCH($D$5,'Company1153 Assumptions'!$C$73:$C$75,0))</f>
        <v>19152.612499999999</v>
      </c>
      <c r="E102" s="72">
        <f>D$110*INDEX('Company1153 Assumptions'!F$73:F$75,MATCH($D$5,'Company1153 Assumptions'!$C$73:$C$75,0))</f>
        <v>22173.227999999999</v>
      </c>
      <c r="F102" s="72">
        <f>E$110*INDEX('Company1153 Assumptions'!G$73:G$75,MATCH($D$5,'Company1153 Assumptions'!$C$73:$C$75,0))</f>
        <v>25820.844000000001</v>
      </c>
      <c r="G102" s="72">
        <f>F$110*INDEX('Company1153 Assumptions'!H$73:H$75,MATCH($D$5,'Company1153 Assumptions'!$C$73:$C$75,0))</f>
        <v>27594.846247499998</v>
      </c>
      <c r="H102" s="72">
        <f>G$110*INDEX('Company1153 Assumptions'!I$73:I$75,MATCH($D$5,'Company1153 Assumptions'!$C$73:$C$75,0))</f>
        <v>29198.019566624997</v>
      </c>
      <c r="I102" s="72">
        <f>H$110*INDEX('Company1153 Assumptions'!J$73:J$75,MATCH($D$5,'Company1153 Assumptions'!$C$73:$C$75,0))</f>
        <v>30560.490169945311</v>
      </c>
      <c r="J102" s="72">
        <f>I$110*INDEX('Company1153 Assumptions'!K$73:K$75,MATCH($D$5,'Company1153 Assumptions'!$C$73:$C$75,0))</f>
        <v>31692.134381877106</v>
      </c>
      <c r="K102" s="67"/>
    </row>
    <row r="103" spans="1:11" ht="15.75" customHeight="1" x14ac:dyDescent="0.2">
      <c r="A103" s="67"/>
      <c r="B103" s="13" t="s">
        <v>92</v>
      </c>
      <c r="C103" s="83"/>
      <c r="D103" s="83" cm="1">
        <f t="array" ref="D103">D39</f>
        <v>22797.15</v>
      </c>
      <c r="E103" s="83" cm="1">
        <f t="array" ref="E103">E39</f>
        <v>25820.844000000001</v>
      </c>
      <c r="F103" s="83" cm="1">
        <f t="array" ref="F103">F39</f>
        <v>27740.850724999997</v>
      </c>
      <c r="G103" s="83" cm="1">
        <f t="array" ref="G103">G39</f>
        <v>29839.734282375004</v>
      </c>
      <c r="H103" s="83" cm="1">
        <f t="array" ref="H103">H39</f>
        <v>31433.64703194375</v>
      </c>
      <c r="I103" s="83" cm="1">
        <f t="array" ref="I103">I39</f>
        <v>33201.283638156972</v>
      </c>
      <c r="J103" s="83" cm="1">
        <f t="array" ref="J103">J39</f>
        <v>34464.17778781493</v>
      </c>
      <c r="K103" s="67"/>
    </row>
    <row r="104" spans="1:11" ht="15" customHeight="1" x14ac:dyDescent="0.2">
      <c r="A104" s="67"/>
      <c r="B104" s="17" t="s">
        <v>93</v>
      </c>
      <c r="C104" s="67"/>
      <c r="D104" s="67"/>
      <c r="E104" s="67"/>
      <c r="F104" s="67"/>
      <c r="G104" s="67"/>
      <c r="H104" s="67"/>
      <c r="I104" s="67"/>
      <c r="J104" s="67"/>
      <c r="K104" s="67"/>
    </row>
    <row r="105" spans="1:11" ht="15.75" customHeight="1" x14ac:dyDescent="0.2">
      <c r="A105" s="67"/>
      <c r="B105" s="18" t="s">
        <v>106</v>
      </c>
      <c r="C105" s="67"/>
      <c r="D105" s="83">
        <f>-(SUM(D65:D66)-SUM(C65:C66))</f>
        <v>-2615.1068493150669</v>
      </c>
      <c r="E105" s="83">
        <f t="shared" ref="E105:J105" si="27">-(SUM(E65:E66)-SUM(D65:D66))</f>
        <v>-2805.2000000000044</v>
      </c>
      <c r="F105" s="83">
        <f t="shared" si="27"/>
        <v>-4070.6819999999934</v>
      </c>
      <c r="G105" s="83">
        <f t="shared" si="27"/>
        <v>-3255.3778750000056</v>
      </c>
      <c r="H105" s="83">
        <f t="shared" si="27"/>
        <v>-4025.7215043749966</v>
      </c>
      <c r="I105" s="83">
        <f t="shared" si="27"/>
        <v>-2971.2918835112578</v>
      </c>
      <c r="J105" s="83">
        <f t="shared" si="27"/>
        <v>-3973.635188079119</v>
      </c>
      <c r="K105" s="67"/>
    </row>
    <row r="106" spans="1:11" ht="15.75" customHeight="1" x14ac:dyDescent="0.2">
      <c r="A106" s="67"/>
      <c r="B106" s="18" t="s">
        <v>107</v>
      </c>
      <c r="C106" s="67"/>
      <c r="D106" s="83">
        <f t="shared" ref="D106:J106" si="28">SUM(D82:D83)-SUM(C82:C83)</f>
        <v>2716.744641095891</v>
      </c>
      <c r="E106" s="83">
        <f t="shared" si="28"/>
        <v>2942.3294849315098</v>
      </c>
      <c r="F106" s="83">
        <f t="shared" si="28"/>
        <v>2658.1746746849312</v>
      </c>
      <c r="G106" s="83">
        <f t="shared" si="28"/>
        <v>3316.7584888578785</v>
      </c>
      <c r="H106" s="83">
        <f t="shared" si="28"/>
        <v>2682.5348318100951</v>
      </c>
      <c r="I106" s="83">
        <f t="shared" si="28"/>
        <v>3456.2622347066354</v>
      </c>
      <c r="J106" s="83">
        <f t="shared" si="28"/>
        <v>2734.6214660502737</v>
      </c>
      <c r="K106" s="67"/>
    </row>
    <row r="107" spans="1:11" ht="15.75" customHeight="1" x14ac:dyDescent="0.2">
      <c r="A107" s="67"/>
      <c r="B107" s="19" t="s">
        <v>94</v>
      </c>
      <c r="C107" s="84"/>
      <c r="D107" s="84">
        <f t="shared" ref="D107:J107" ca="1" si="29">SUM(D101:D106)</f>
        <v>67908.869162401345</v>
      </c>
      <c r="E107" s="84">
        <f t="shared" ca="1" si="29"/>
        <v>78419.174471456121</v>
      </c>
      <c r="F107" s="84">
        <f t="shared" ca="1" si="29"/>
        <v>88174.730523004255</v>
      </c>
      <c r="G107" s="84">
        <f t="shared" ca="1" si="29"/>
        <v>99833.222506768827</v>
      </c>
      <c r="H107" s="84">
        <f t="shared" ca="1" si="29"/>
        <v>108629.49802539378</v>
      </c>
      <c r="I107" s="84">
        <f t="shared" ca="1" si="29"/>
        <v>120401.08957773398</v>
      </c>
      <c r="J107" s="84">
        <f t="shared" ca="1" si="29"/>
        <v>128964.6594700478</v>
      </c>
      <c r="K107" s="67"/>
    </row>
    <row r="108" spans="1:11" ht="15" customHeight="1" x14ac:dyDescent="0.2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</row>
    <row r="109" spans="1:11" ht="15" customHeight="1" x14ac:dyDescent="0.2">
      <c r="A109" s="67"/>
      <c r="B109" s="12" t="s">
        <v>95</v>
      </c>
      <c r="C109" s="67"/>
      <c r="D109" s="67"/>
      <c r="E109" s="67"/>
      <c r="F109" s="67"/>
      <c r="G109" s="67"/>
      <c r="H109" s="67"/>
      <c r="I109" s="67"/>
      <c r="J109" s="67"/>
      <c r="K109" s="67"/>
    </row>
    <row r="110" spans="1:11" ht="15.75" customHeight="1" x14ac:dyDescent="0.2">
      <c r="A110" s="67"/>
      <c r="B110" s="13" t="s">
        <v>96</v>
      </c>
      <c r="C110" s="72">
        <f>C$16*INDEX('Company1153 Assumptions'!D$69:D$71,MATCH($D$5,'Company1153 Assumptions'!$C$69:$C$71,0))</f>
        <v>27360.875</v>
      </c>
      <c r="D110" s="72">
        <f>D$16*INDEX('Company1153 Assumptions'!E$69:E$71,MATCH($D$5,'Company1153 Assumptions'!$C$69:$C$71,0))</f>
        <v>31676.04</v>
      </c>
      <c r="E110" s="72">
        <f>E$16*INDEX('Company1153 Assumptions'!F$69:F$71,MATCH($D$5,'Company1153 Assumptions'!$C$69:$C$71,0))</f>
        <v>36886.920000000006</v>
      </c>
      <c r="F110" s="72">
        <f>F$16*INDEX('Company1153 Assumptions'!G$69:G$71,MATCH($D$5,'Company1153 Assumptions'!$C$69:$C$71,0))</f>
        <v>39421.208924999999</v>
      </c>
      <c r="G110" s="72">
        <f>G$16*INDEX('Company1153 Assumptions'!H$69:H$71,MATCH($D$5,'Company1153 Assumptions'!$C$69:$C$71,0))</f>
        <v>41711.456523749999</v>
      </c>
      <c r="H110" s="72">
        <f>H$16*INDEX('Company1153 Assumptions'!I$69:I$71,MATCH($D$5,'Company1153 Assumptions'!$C$69:$C$71,0))</f>
        <v>43657.843099921876</v>
      </c>
      <c r="I110" s="72">
        <f>I$16*INDEX('Company1153 Assumptions'!J$69:J$71,MATCH($D$5,'Company1153 Assumptions'!$C$69:$C$71,0))</f>
        <v>45274.477688395869</v>
      </c>
      <c r="J110" s="72">
        <f>J$16*INDEX('Company1153 Assumptions'!K$69:K$71,MATCH($D$5,'Company1153 Assumptions'!$C$69:$C$71,0))</f>
        <v>46628.005242337851</v>
      </c>
      <c r="K110" s="67"/>
    </row>
    <row r="111" spans="1:11" ht="15.75" customHeight="1" x14ac:dyDescent="0.2">
      <c r="A111" s="67"/>
      <c r="B111" s="13" t="s">
        <v>270</v>
      </c>
      <c r="C111" s="72"/>
      <c r="D111" s="83">
        <f>D74-C74</f>
        <v>3000</v>
      </c>
      <c r="E111" s="83">
        <f t="shared" ref="E111:J111" si="30">E74-D74</f>
        <v>4000.0000000000073</v>
      </c>
      <c r="F111" s="83">
        <f t="shared" si="30"/>
        <v>3360</v>
      </c>
      <c r="G111" s="83">
        <f t="shared" si="30"/>
        <v>3628.8000000000029</v>
      </c>
      <c r="H111" s="83">
        <f t="shared" si="30"/>
        <v>3919.1040000000066</v>
      </c>
      <c r="I111" s="83">
        <f t="shared" si="30"/>
        <v>4232.6323200000043</v>
      </c>
      <c r="J111" s="83">
        <f t="shared" si="30"/>
        <v>4571.2429056000037</v>
      </c>
      <c r="K111" s="67"/>
    </row>
    <row r="112" spans="1:11" ht="15" customHeight="1" x14ac:dyDescent="0.2">
      <c r="A112" s="67"/>
      <c r="B112" s="19" t="s">
        <v>97</v>
      </c>
      <c r="C112" s="84"/>
      <c r="D112" s="84">
        <f>-D110-D111</f>
        <v>-34676.04</v>
      </c>
      <c r="E112" s="84">
        <f t="shared" ref="E112:J112" si="31">-E110-E111</f>
        <v>-40886.920000000013</v>
      </c>
      <c r="F112" s="84">
        <f t="shared" si="31"/>
        <v>-42781.208924999999</v>
      </c>
      <c r="G112" s="84">
        <f t="shared" si="31"/>
        <v>-45340.256523750002</v>
      </c>
      <c r="H112" s="84">
        <f t="shared" si="31"/>
        <v>-47576.947099921883</v>
      </c>
      <c r="I112" s="84">
        <f t="shared" si="31"/>
        <v>-49507.110008395874</v>
      </c>
      <c r="J112" s="84">
        <f t="shared" si="31"/>
        <v>-51199.248147937855</v>
      </c>
      <c r="K112" s="67"/>
    </row>
    <row r="113" spans="1:11" ht="13.5" customHeight="1" x14ac:dyDescent="0.2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</row>
    <row r="114" spans="1:11" ht="15.75" customHeight="1" x14ac:dyDescent="0.2">
      <c r="A114" s="67"/>
      <c r="B114" s="12" t="s">
        <v>98</v>
      </c>
      <c r="C114" s="67"/>
      <c r="D114" s="67"/>
      <c r="E114" s="67"/>
      <c r="F114" s="67"/>
      <c r="G114" s="67"/>
      <c r="H114" s="67"/>
      <c r="I114" s="67"/>
      <c r="J114" s="67"/>
      <c r="K114" s="67"/>
    </row>
    <row r="115" spans="1:11" ht="15.75" customHeight="1" x14ac:dyDescent="0.2">
      <c r="A115" s="67"/>
      <c r="B115" s="13" t="s">
        <v>99</v>
      </c>
      <c r="C115" s="88"/>
      <c r="D115" s="72">
        <f ca="1">MAX(D107+D112,0)*INDEX('Company1153 Assumptions'!E$98:E$100,MATCH($D$5,'Company1153 Assumptions'!$C$98:$C$100,0))</f>
        <v>24924.621871801006</v>
      </c>
      <c r="E115" s="72">
        <f ca="1">MAX(E107+E112,0)*INDEX('Company1153 Assumptions'!F$98:F$100,MATCH($D$5,'Company1153 Assumptions'!$C$98:$C$100,0))</f>
        <v>28149.190853592081</v>
      </c>
      <c r="F115" s="72">
        <f ca="1">MAX(F107+F112,0)*INDEX('Company1153 Assumptions'!G$98:G$100,MATCH($D$5,'Company1153 Assumptions'!$C$98:$C$100,0))</f>
        <v>31775.465118602977</v>
      </c>
      <c r="G115" s="72">
        <f ca="1">MAX(G107+G112,0)*INDEX('Company1153 Assumptions'!H$98:H$100,MATCH($D$5,'Company1153 Assumptions'!$C$98:$C$100,0))</f>
        <v>38145.076188113177</v>
      </c>
      <c r="H115" s="72">
        <f ca="1">MAX(H107+H112,0)*INDEX('Company1153 Assumptions'!I$98:I$100,MATCH($D$5,'Company1153 Assumptions'!$C$98:$C$100,0))</f>
        <v>39684.158101556735</v>
      </c>
      <c r="I115" s="72">
        <f ca="1">MAX(I107+I112,0)*INDEX('Company1153 Assumptions'!J$98:J$100,MATCH($D$5,'Company1153 Assumptions'!$C$98:$C$100,0))</f>
        <v>46081.086720069768</v>
      </c>
      <c r="J115" s="72">
        <f ca="1">MAX(J107+J112,0)*INDEX('Company1153 Assumptions'!K$98:K$100,MATCH($D$5,'Company1153 Assumptions'!$C$98:$C$100,0))</f>
        <v>46659.246793265971</v>
      </c>
      <c r="K115" s="67"/>
    </row>
    <row r="116" spans="1:11" ht="15.75" customHeight="1" x14ac:dyDescent="0.2">
      <c r="A116" s="67"/>
      <c r="B116" s="13" t="s">
        <v>100</v>
      </c>
      <c r="C116" s="82"/>
      <c r="D116" s="83">
        <f>-D$86+C$86</f>
        <v>1000</v>
      </c>
      <c r="E116" s="83">
        <f t="shared" ref="E116:J116" si="32">-E$86+D$86</f>
        <v>1000</v>
      </c>
      <c r="F116" s="83">
        <f t="shared" si="32"/>
        <v>500</v>
      </c>
      <c r="G116" s="83">
        <f t="shared" si="32"/>
        <v>500</v>
      </c>
      <c r="H116" s="83">
        <f t="shared" si="32"/>
        <v>500</v>
      </c>
      <c r="I116" s="83">
        <f t="shared" si="32"/>
        <v>500</v>
      </c>
      <c r="J116" s="83">
        <f t="shared" si="32"/>
        <v>500</v>
      </c>
      <c r="K116" s="67"/>
    </row>
    <row r="117" spans="1:11" ht="15" customHeight="1" x14ac:dyDescent="0.2">
      <c r="A117" s="67"/>
      <c r="B117" s="19" t="s">
        <v>101</v>
      </c>
      <c r="C117" s="84"/>
      <c r="D117" s="84">
        <f ca="1">-D115-D116</f>
        <v>-25924.621871801006</v>
      </c>
      <c r="E117" s="84">
        <f t="shared" ref="E117:J117" ca="1" si="33">-E115-E116</f>
        <v>-29149.190853592081</v>
      </c>
      <c r="F117" s="84">
        <f t="shared" ca="1" si="33"/>
        <v>-32275.465118602977</v>
      </c>
      <c r="G117" s="84">
        <f t="shared" ca="1" si="33"/>
        <v>-38645.076188113177</v>
      </c>
      <c r="H117" s="84">
        <f t="shared" ca="1" si="33"/>
        <v>-40184.158101556735</v>
      </c>
      <c r="I117" s="84">
        <f t="shared" ca="1" si="33"/>
        <v>-46581.086720069768</v>
      </c>
      <c r="J117" s="84">
        <f t="shared" ca="1" si="33"/>
        <v>-47159.246793265971</v>
      </c>
      <c r="K117" s="67"/>
    </row>
    <row r="118" spans="1:11" ht="15.75" customHeight="1" x14ac:dyDescent="0.2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</row>
    <row r="119" spans="1:11" ht="15.75" customHeight="1" x14ac:dyDescent="0.2">
      <c r="A119" s="67"/>
      <c r="B119" s="20" t="s">
        <v>102</v>
      </c>
      <c r="C119" s="83"/>
      <c r="D119" s="83">
        <f t="shared" ref="D119:J119" ca="1" si="34">D107+D112+D117</f>
        <v>7308.2072906003377</v>
      </c>
      <c r="E119" s="83">
        <f t="shared" ca="1" si="34"/>
        <v>8383.063617864027</v>
      </c>
      <c r="F119" s="83">
        <f t="shared" ca="1" si="34"/>
        <v>13118.056479401279</v>
      </c>
      <c r="G119" s="83">
        <f t="shared" ca="1" si="34"/>
        <v>15847.889794905648</v>
      </c>
      <c r="H119" s="83">
        <f t="shared" ca="1" si="34"/>
        <v>20868.392823915165</v>
      </c>
      <c r="I119" s="83">
        <f t="shared" ca="1" si="34"/>
        <v>24312.892849268334</v>
      </c>
      <c r="J119" s="83">
        <f t="shared" ca="1" si="34"/>
        <v>30606.164528843983</v>
      </c>
      <c r="K119" s="67"/>
    </row>
    <row r="120" spans="1:11" ht="15.75" customHeight="1" thickBot="1" x14ac:dyDescent="0.25">
      <c r="A120" s="67"/>
      <c r="B120" s="21" t="s">
        <v>103</v>
      </c>
      <c r="C120" s="83"/>
      <c r="D120" s="83">
        <f t="shared" ref="D120:J120" si="35">C$121</f>
        <v>90000</v>
      </c>
      <c r="E120" s="83">
        <f t="shared" ca="1" si="35"/>
        <v>97308.207290600345</v>
      </c>
      <c r="F120" s="83">
        <f t="shared" ca="1" si="35"/>
        <v>105691.27090846437</v>
      </c>
      <c r="G120" s="83">
        <f t="shared" ca="1" si="35"/>
        <v>118809.32738786565</v>
      </c>
      <c r="H120" s="83">
        <f t="shared" ca="1" si="35"/>
        <v>134657.2171827713</v>
      </c>
      <c r="I120" s="83">
        <f t="shared" ca="1" si="35"/>
        <v>155525.61000668647</v>
      </c>
      <c r="J120" s="83">
        <f t="shared" ca="1" si="35"/>
        <v>179838.50285595481</v>
      </c>
      <c r="K120" s="67"/>
    </row>
    <row r="121" spans="1:11" ht="15" customHeight="1" thickBot="1" x14ac:dyDescent="0.25">
      <c r="A121" s="67"/>
      <c r="B121" s="10" t="s">
        <v>104</v>
      </c>
      <c r="C121" s="87">
        <f>C64</f>
        <v>90000</v>
      </c>
      <c r="D121" s="87">
        <f t="shared" ref="D121:J121" ca="1" si="36">D119+D120</f>
        <v>97308.207290600345</v>
      </c>
      <c r="E121" s="87">
        <f t="shared" ca="1" si="36"/>
        <v>105691.27090846437</v>
      </c>
      <c r="F121" s="87">
        <f t="shared" ca="1" si="36"/>
        <v>118809.32738786565</v>
      </c>
      <c r="G121" s="87">
        <f t="shared" ca="1" si="36"/>
        <v>134657.2171827713</v>
      </c>
      <c r="H121" s="87">
        <f t="shared" ca="1" si="36"/>
        <v>155525.61000668647</v>
      </c>
      <c r="I121" s="87">
        <f t="shared" ca="1" si="36"/>
        <v>179838.50285595481</v>
      </c>
      <c r="J121" s="87">
        <f t="shared" ca="1" si="36"/>
        <v>210444.66738479878</v>
      </c>
      <c r="K121" s="67"/>
    </row>
    <row r="122" spans="1:11" ht="15.75" customHeight="1" thickTop="1" x14ac:dyDescent="0.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</row>
    <row r="123" spans="1:11" ht="15" customHeight="1" x14ac:dyDescent="0.2">
      <c r="A123" s="67"/>
      <c r="B123" s="16" t="s">
        <v>105</v>
      </c>
      <c r="C123" s="83">
        <f t="shared" ref="C123:J123" si="37">C121-C64</f>
        <v>0</v>
      </c>
      <c r="D123" s="83">
        <f t="shared" ca="1" si="37"/>
        <v>0</v>
      </c>
      <c r="E123" s="83">
        <f t="shared" ca="1" si="37"/>
        <v>0</v>
      </c>
      <c r="F123" s="83">
        <f t="shared" ca="1" si="37"/>
        <v>0</v>
      </c>
      <c r="G123" s="83">
        <f t="shared" ca="1" si="37"/>
        <v>0</v>
      </c>
      <c r="H123" s="83">
        <f t="shared" ca="1" si="37"/>
        <v>0</v>
      </c>
      <c r="I123" s="83">
        <f t="shared" ca="1" si="37"/>
        <v>0</v>
      </c>
      <c r="J123" s="83">
        <f t="shared" ca="1" si="37"/>
        <v>0</v>
      </c>
      <c r="K123" s="67"/>
    </row>
    <row r="124" spans="1:11" ht="15" customHeight="1" thickBot="1" x14ac:dyDescent="0.25"/>
    <row r="125" spans="1:11" ht="15" customHeight="1" x14ac:dyDescent="0.2">
      <c r="B125" s="113" t="s">
        <v>290</v>
      </c>
      <c r="C125" s="114"/>
      <c r="D125" s="114"/>
      <c r="E125" s="114"/>
      <c r="F125" s="114"/>
      <c r="G125" s="114"/>
      <c r="H125" s="114"/>
      <c r="I125" s="114"/>
      <c r="J125" s="114"/>
    </row>
    <row r="126" spans="1:11" ht="15" customHeight="1" x14ac:dyDescent="0.2">
      <c r="F126" s="115" t="s">
        <v>291</v>
      </c>
      <c r="G126" s="115" t="s">
        <v>292</v>
      </c>
      <c r="H126" s="115" t="s">
        <v>293</v>
      </c>
      <c r="I126" s="115" t="s">
        <v>294</v>
      </c>
      <c r="J126" s="115" t="s">
        <v>295</v>
      </c>
    </row>
    <row r="127" spans="1:11" ht="15" customHeight="1" x14ac:dyDescent="0.2">
      <c r="B127" s="89" t="s">
        <v>296</v>
      </c>
      <c r="F127" s="116">
        <v>2980</v>
      </c>
    </row>
    <row r="128" spans="1:11" ht="15" customHeight="1" x14ac:dyDescent="0.2">
      <c r="B128" s="89" t="s">
        <v>297</v>
      </c>
      <c r="F128" s="106">
        <f ca="1">($F$86-$F$64)/1000</f>
        <v>-106.30932738786565</v>
      </c>
    </row>
    <row r="129" spans="2:10" ht="15" customHeight="1" x14ac:dyDescent="0.2">
      <c r="B129" s="89" t="s">
        <v>298</v>
      </c>
      <c r="F129" s="106">
        <f ca="1">F127+F128</f>
        <v>2873.6906726121342</v>
      </c>
      <c r="G129" s="106"/>
      <c r="H129" s="106"/>
      <c r="I129" s="106"/>
      <c r="J129" s="106"/>
    </row>
    <row r="130" spans="2:10" ht="15" customHeight="1" x14ac:dyDescent="0.2">
      <c r="B130" s="89"/>
    </row>
    <row r="131" spans="2:10" ht="15" customHeight="1" x14ac:dyDescent="0.2">
      <c r="B131" s="89" t="s">
        <v>299</v>
      </c>
      <c r="F131" s="117">
        <f ca="1">$F$129*1000/F$16</f>
        <v>9.841104607946475</v>
      </c>
      <c r="G131" s="117">
        <f ca="1">$F$129*1000/G$16</f>
        <v>8.9562872786968164</v>
      </c>
      <c r="H131" s="117">
        <f t="shared" ref="G131:J131" ca="1" si="38">$F$129*1000/H$16</f>
        <v>8.2278763349433444</v>
      </c>
      <c r="I131" s="117">
        <f t="shared" ca="1" si="38"/>
        <v>7.6167169301622115</v>
      </c>
      <c r="J131" s="117">
        <f t="shared" ca="1" si="38"/>
        <v>7.0874665479004317</v>
      </c>
    </row>
    <row r="132" spans="2:10" ht="15" customHeight="1" x14ac:dyDescent="0.2">
      <c r="B132" s="89" t="s">
        <v>300</v>
      </c>
      <c r="F132" s="117">
        <f ca="1">$F$129*1000/(F$42+F$102)</f>
        <v>41.801471624285178</v>
      </c>
      <c r="G132" s="117">
        <f t="shared" ref="G132:J132" ca="1" si="39">$F$129*1000/(G$42+G$102)</f>
        <v>36.705573358460903</v>
      </c>
      <c r="H132" s="117">
        <f t="shared" ca="1" si="39"/>
        <v>32.44443401762048</v>
      </c>
      <c r="I132" s="117">
        <f t="shared" ca="1" si="39"/>
        <v>29.182758961550071</v>
      </c>
      <c r="J132" s="117">
        <f t="shared" ca="1" si="39"/>
        <v>26.234016275325978</v>
      </c>
    </row>
    <row r="133" spans="2:10" ht="15" customHeight="1" x14ac:dyDescent="0.2">
      <c r="B133" s="89" t="s">
        <v>301</v>
      </c>
      <c r="F133" s="117">
        <f ca="1">$F$127*1000/F$50</f>
        <v>82.719086005147474</v>
      </c>
      <c r="G133" s="117">
        <f t="shared" ref="G133:J133" ca="1" si="40">$F$127*1000/G$50</f>
        <v>70.387169695435091</v>
      </c>
      <c r="H133" s="117">
        <f t="shared" ca="1" si="40"/>
        <v>60.395997382892396</v>
      </c>
      <c r="I133" s="117">
        <f t="shared" ca="1" si="40"/>
        <v>53.068021322204224</v>
      </c>
      <c r="J133" s="117">
        <f t="shared" ca="1" si="40"/>
        <v>46.528068486045619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118"/>
  <sheetViews>
    <sheetView showGridLines="0" topLeftCell="A97" workbookViewId="0">
      <selection activeCell="F116" sqref="F116"/>
    </sheetView>
  </sheetViews>
  <sheetFormatPr baseColWidth="10" defaultColWidth="7.6640625" defaultRowHeight="15" customHeight="1" x14ac:dyDescent="0.2"/>
  <cols>
    <col min="2" max="2" width="22.5" customWidth="1"/>
    <col min="3" max="10" width="10" customWidth="1"/>
  </cols>
  <sheetData>
    <row r="2" spans="2:10" ht="18" customHeight="1" x14ac:dyDescent="0.2">
      <c r="B2" s="68" t="s">
        <v>61</v>
      </c>
    </row>
    <row r="3" spans="2:10" ht="13.5" customHeight="1" x14ac:dyDescent="0.2">
      <c r="B3" s="69" t="s">
        <v>44</v>
      </c>
    </row>
    <row r="5" spans="2:10" ht="15.75" customHeight="1" x14ac:dyDescent="0.2">
      <c r="B5" t="s">
        <v>3</v>
      </c>
      <c r="D5" s="109" t="str">
        <f>'Company1153 Assumptions'!$D$6</f>
        <v>Base</v>
      </c>
    </row>
    <row r="7" spans="2:10" ht="13.5" customHeight="1" x14ac:dyDescent="0.2"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</row>
    <row r="8" spans="2:10" ht="13.5" customHeight="1" x14ac:dyDescent="0.2"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</row>
    <row r="9" spans="2:10" ht="15" customHeight="1" thickBot="1" x14ac:dyDescent="0.25">
      <c r="B9" s="67"/>
      <c r="C9" s="67"/>
      <c r="D9" s="67"/>
      <c r="E9" s="67"/>
      <c r="F9" s="67"/>
      <c r="G9" s="67"/>
      <c r="H9" s="67"/>
      <c r="I9" s="67"/>
      <c r="J9" s="67"/>
    </row>
    <row r="10" spans="2:10" ht="15" customHeight="1" x14ac:dyDescent="0.2">
      <c r="B10" s="6" t="s">
        <v>265</v>
      </c>
      <c r="C10" s="6"/>
      <c r="D10" s="6"/>
      <c r="E10" s="6"/>
      <c r="F10" s="6"/>
      <c r="G10" s="6"/>
      <c r="H10" s="6"/>
      <c r="I10" s="6"/>
      <c r="J10" s="6"/>
    </row>
    <row r="11" spans="2:10" ht="15" customHeight="1" x14ac:dyDescent="0.2">
      <c r="B11" s="67"/>
      <c r="C11" s="67"/>
      <c r="D11" s="67"/>
      <c r="E11" s="67"/>
      <c r="F11" s="67"/>
      <c r="G11" s="67"/>
      <c r="H11" s="67"/>
      <c r="I11" s="67"/>
      <c r="J11" s="67"/>
    </row>
    <row r="12" spans="2:10" ht="15.75" customHeight="1" x14ac:dyDescent="0.2">
      <c r="B12" s="13" t="s">
        <v>62</v>
      </c>
      <c r="C12" s="71">
        <v>115655</v>
      </c>
      <c r="D12" s="71">
        <v>114450</v>
      </c>
      <c r="E12" s="71">
        <v>133008</v>
      </c>
      <c r="F12" s="72">
        <f>E12*(1+INDEX('Company1808 Assumptions'!G$15:G$17,MATCH($D$5,'Company1808 Assumptions'!$C$15:$C$17,0)))</f>
        <v>148968.96000000002</v>
      </c>
      <c r="G12" s="72">
        <f>F12*(1+INDEX('Company1808 Assumptions'!H$15:H$17,MATCH($D$5,'Company1808 Assumptions'!$C$15:$C$17,0)))</f>
        <v>163865.85600000003</v>
      </c>
      <c r="H12" s="72">
        <f>G12*(1+INDEX('Company1808 Assumptions'!I$15:I$17,MATCH($D$5,'Company1808 Assumptions'!$C$15:$C$17,0)))</f>
        <v>177794.45376000003</v>
      </c>
      <c r="I12" s="72">
        <f>H12*(1+INDEX('Company1808 Assumptions'!J$15:J$17,MATCH($D$5,'Company1808 Assumptions'!$C$15:$C$17,0)))</f>
        <v>191129.03779200002</v>
      </c>
      <c r="J12" s="72">
        <f>I12*(1+INDEX('Company1808 Assumptions'!K$15:K$17,MATCH($D$5,'Company1808 Assumptions'!$C$15:$C$17,0)))</f>
        <v>204508.07043744004</v>
      </c>
    </row>
    <row r="13" spans="2:10" ht="15.75" customHeight="1" x14ac:dyDescent="0.2">
      <c r="B13" s="13" t="s">
        <v>37</v>
      </c>
      <c r="C13" s="71">
        <v>2274</v>
      </c>
      <c r="D13" s="71">
        <v>2159</v>
      </c>
      <c r="E13" s="71">
        <v>1896</v>
      </c>
      <c r="F13" s="83">
        <f>F14-F12</f>
        <v>2115.1779310344718</v>
      </c>
      <c r="G13" s="83">
        <f t="shared" ref="G13:J13" si="0">G14-G12</f>
        <v>3857.6404176049109</v>
      </c>
      <c r="H13" s="83">
        <f t="shared" si="0"/>
        <v>5877.5026036363561</v>
      </c>
      <c r="I13" s="83">
        <f t="shared" si="0"/>
        <v>8171.3144415766583</v>
      </c>
      <c r="J13" s="83">
        <f t="shared" si="0"/>
        <v>10763.582654602127</v>
      </c>
    </row>
    <row r="14" spans="2:10" ht="15.75" customHeight="1" x14ac:dyDescent="0.2">
      <c r="B14" s="19" t="s">
        <v>45</v>
      </c>
      <c r="C14" s="73">
        <f t="shared" ref="C14:E14" si="1">SUM(C12:C13)</f>
        <v>117929</v>
      </c>
      <c r="D14" s="73">
        <f t="shared" si="1"/>
        <v>116609</v>
      </c>
      <c r="E14" s="73">
        <f t="shared" si="1"/>
        <v>134904</v>
      </c>
      <c r="F14" s="73">
        <f>F12/(1-(INDEX('Company1808 Assumptions'!G$19:G$21,MATCH('Company1808 3-Statement'!$D$5,'Company1808 Assumptions'!$D$6,0))))</f>
        <v>151084.13793103449</v>
      </c>
      <c r="G14" s="73">
        <f>G12/(1-(INDEX('Company1808 Assumptions'!H$19:H$21,MATCH('Company1808 3-Statement'!$D$5,'Company1808 Assumptions'!$D$6,0))))</f>
        <v>167723.49641760494</v>
      </c>
      <c r="H14" s="73">
        <f>H12/(1-(INDEX('Company1808 Assumptions'!I$19:I$21,MATCH('Company1808 3-Statement'!$D$5,'Company1808 Assumptions'!$D$6,0))))</f>
        <v>183671.95636363639</v>
      </c>
      <c r="I14" s="73">
        <f>I12/(1-(INDEX('Company1808 Assumptions'!J$19:J$21,MATCH('Company1808 3-Statement'!$D$5,'Company1808 Assumptions'!$D$6,0))))</f>
        <v>199300.35223357668</v>
      </c>
      <c r="J14" s="73">
        <f>J12/(1-(INDEX('Company1808 Assumptions'!K$19:K$21,MATCH('Company1808 3-Statement'!$D$5,'Company1808 Assumptions'!$D$6,0))))</f>
        <v>215271.65309204216</v>
      </c>
    </row>
    <row r="15" spans="2:10" ht="15.75" customHeight="1" x14ac:dyDescent="0.2">
      <c r="B15" s="74" t="s">
        <v>46</v>
      </c>
      <c r="C15" s="67"/>
      <c r="D15" s="75">
        <f t="shared" ref="D15:J15" si="2">D14/C14-1</f>
        <v>-1.1193175554782941E-2</v>
      </c>
      <c r="E15" s="75">
        <f t="shared" si="2"/>
        <v>0.15689183510706717</v>
      </c>
      <c r="F15" s="75">
        <f t="shared" si="2"/>
        <v>0.11993816292351966</v>
      </c>
      <c r="G15" s="75">
        <f t="shared" si="2"/>
        <v>0.11013306038894588</v>
      </c>
      <c r="H15" s="75">
        <f t="shared" si="2"/>
        <v>9.5087809917355326E-2</v>
      </c>
      <c r="I15" s="75">
        <f t="shared" si="2"/>
        <v>8.5088633993743557E-2</v>
      </c>
      <c r="J15" s="75">
        <f t="shared" si="2"/>
        <v>8.0136842105263284E-2</v>
      </c>
    </row>
    <row r="16" spans="2:10" ht="15" customHeight="1" x14ac:dyDescent="0.2">
      <c r="B16" s="67"/>
      <c r="C16" s="67"/>
      <c r="D16" s="67"/>
      <c r="E16" s="67"/>
      <c r="F16" s="67"/>
      <c r="G16" s="67"/>
      <c r="H16" s="67"/>
      <c r="I16" s="67"/>
      <c r="J16" s="67"/>
    </row>
    <row r="17" spans="2:10" ht="15" customHeight="1" x14ac:dyDescent="0.2">
      <c r="B17" s="13" t="s">
        <v>48</v>
      </c>
      <c r="C17" s="76">
        <f t="shared" ref="C17:J17" si="3">C14*(1-C19)</f>
        <v>23349.942000000006</v>
      </c>
      <c r="D17" s="76">
        <f t="shared" si="3"/>
        <v>23555.017999999996</v>
      </c>
      <c r="E17" s="76">
        <f t="shared" si="3"/>
        <v>27655.320000000011</v>
      </c>
      <c r="F17" s="76">
        <f t="shared" si="3"/>
        <v>30670.080000000013</v>
      </c>
      <c r="G17" s="76">
        <f t="shared" si="3"/>
        <v>33712.422779938606</v>
      </c>
      <c r="H17" s="76">
        <f t="shared" si="3"/>
        <v>36550.719316363655</v>
      </c>
      <c r="I17" s="76">
        <f t="shared" si="3"/>
        <v>39262.169390014598</v>
      </c>
      <c r="J17" s="76">
        <f t="shared" si="3"/>
        <v>41977.972352948236</v>
      </c>
    </row>
    <row r="18" spans="2:10" ht="15" customHeight="1" x14ac:dyDescent="0.2">
      <c r="B18" s="20" t="s">
        <v>49</v>
      </c>
      <c r="C18" s="76">
        <f t="shared" ref="C18:J18" si="4">C14-C17</f>
        <v>94579.05799999999</v>
      </c>
      <c r="D18" s="76">
        <f t="shared" si="4"/>
        <v>93053.982000000004</v>
      </c>
      <c r="E18" s="76">
        <f t="shared" si="4"/>
        <v>107248.68</v>
      </c>
      <c r="F18" s="76">
        <f t="shared" si="4"/>
        <v>120414.05793103448</v>
      </c>
      <c r="G18" s="76">
        <f t="shared" si="4"/>
        <v>134011.07363766633</v>
      </c>
      <c r="H18" s="76">
        <f t="shared" si="4"/>
        <v>147121.23704727273</v>
      </c>
      <c r="I18" s="76">
        <f t="shared" si="4"/>
        <v>160038.18284356207</v>
      </c>
      <c r="J18" s="76">
        <f t="shared" si="4"/>
        <v>173293.68073909392</v>
      </c>
    </row>
    <row r="19" spans="2:10" ht="15.75" customHeight="1" x14ac:dyDescent="0.2">
      <c r="B19" s="74" t="s">
        <v>50</v>
      </c>
      <c r="C19" s="77">
        <v>0.80199999999999994</v>
      </c>
      <c r="D19" s="77">
        <v>0.79800000000000004</v>
      </c>
      <c r="E19" s="77">
        <v>0.79499999999999993</v>
      </c>
      <c r="F19" s="77">
        <v>0.79699999999999993</v>
      </c>
      <c r="G19" s="77">
        <v>0.79899999999999993</v>
      </c>
      <c r="H19" s="77">
        <v>0.80099999999999993</v>
      </c>
      <c r="I19" s="77">
        <v>0.80300000000000005</v>
      </c>
      <c r="J19" s="77">
        <v>0.80499999999999994</v>
      </c>
    </row>
    <row r="20" spans="2:10" ht="15.75" customHeight="1" x14ac:dyDescent="0.2">
      <c r="B20" s="67"/>
      <c r="C20" s="67"/>
      <c r="D20" s="67"/>
      <c r="E20" s="67"/>
      <c r="F20" s="67"/>
      <c r="G20" s="67"/>
      <c r="H20" s="67"/>
      <c r="I20" s="67"/>
      <c r="J20" s="67"/>
    </row>
    <row r="21" spans="2:10" ht="15.75" customHeight="1" x14ac:dyDescent="0.2">
      <c r="B21" s="13" t="s">
        <v>18</v>
      </c>
      <c r="C21" s="72">
        <f>C14*INDEX('Company1808 Assumptions'!D$38:D$40,MATCH($D$5,'Company1808 Assumptions'!$C$38:$C$40,0))</f>
        <v>30071.895</v>
      </c>
      <c r="D21" s="72">
        <f>D14*INDEX('Company1808 Assumptions'!E$38:E$40,MATCH($D$5,'Company1808 Assumptions'!$C$38:$C$40,0))</f>
        <v>31484.43</v>
      </c>
      <c r="E21" s="72">
        <f>E14*INDEX('Company1808 Assumptions'!F$38:F$40,MATCH($D$5,'Company1808 Assumptions'!$C$38:$C$40,0))</f>
        <v>39122.159999999996</v>
      </c>
      <c r="F21" s="72">
        <f>F14*INDEX('Company1808 Assumptions'!G$38:G$40,MATCH($D$5,'Company1808 Assumptions'!$C$38:$C$40,0))</f>
        <v>43058.979310344825</v>
      </c>
      <c r="G21" s="72">
        <f>G14*INDEX('Company1808 Assumptions'!H$38:H$40,MATCH($D$5,'Company1808 Assumptions'!$C$38:$C$40,0))</f>
        <v>46962.578996929391</v>
      </c>
      <c r="H21" s="72">
        <f>H14*INDEX('Company1808 Assumptions'!I$38:I$40,MATCH($D$5,'Company1808 Assumptions'!$C$38:$C$40,0))</f>
        <v>50509.788000000008</v>
      </c>
      <c r="I21" s="72">
        <f>I14*INDEX('Company1808 Assumptions'!J$38:J$40,MATCH($D$5,'Company1808 Assumptions'!$C$38:$C$40,0))</f>
        <v>53811.095103065709</v>
      </c>
      <c r="J21" s="72">
        <f>J14*INDEX('Company1808 Assumptions'!K$38:K$40,MATCH($D$5,'Company1808 Assumptions'!$C$38:$C$40,0))</f>
        <v>57046.988069391176</v>
      </c>
    </row>
    <row r="22" spans="2:10" ht="15" customHeight="1" x14ac:dyDescent="0.2">
      <c r="B22" s="13" t="s">
        <v>19</v>
      </c>
      <c r="C22" s="72">
        <f>C14*INDEX('Company1808 Assumptions'!D$42:D$44,MATCH($D$5,'Company1808 Assumptions'!$C$42:$C$44,0))</f>
        <v>13915.622000000001</v>
      </c>
      <c r="D22" s="72">
        <f>D14*INDEX('Company1808 Assumptions'!E$42:E$44,MATCH($D$5,'Company1808 Assumptions'!$C$42:$C$44,0))</f>
        <v>14576.125</v>
      </c>
      <c r="E22" s="72">
        <f>E14*INDEX('Company1808 Assumptions'!F$42:F$44,MATCH($D$5,'Company1808 Assumptions'!$C$42:$C$44,0))</f>
        <v>17537.52</v>
      </c>
      <c r="F22" s="72">
        <f>F14*INDEX('Company1808 Assumptions'!G$42:G$44,MATCH($D$5,'Company1808 Assumptions'!$C$42:$C$44,0))</f>
        <v>18885.517241379312</v>
      </c>
      <c r="G22" s="72">
        <f>G14*INDEX('Company1808 Assumptions'!H$42:H$44,MATCH($D$5,'Company1808 Assumptions'!$C$42:$C$44,0))</f>
        <v>20126.819570112591</v>
      </c>
      <c r="H22" s="72">
        <f>H14*INDEX('Company1808 Assumptions'!I$42:I$44,MATCH($D$5,'Company1808 Assumptions'!$C$42:$C$44,0))</f>
        <v>21122.274981818187</v>
      </c>
      <c r="I22" s="72">
        <f>I14*INDEX('Company1808 Assumptions'!J$42:J$44,MATCH($D$5,'Company1808 Assumptions'!$C$42:$C$44,0))</f>
        <v>21923.038745693433</v>
      </c>
      <c r="J22" s="72">
        <f>J14*INDEX('Company1808 Assumptions'!K$42:K$44,MATCH($D$5,'Company1808 Assumptions'!$C$42:$C$44,0))</f>
        <v>22603.523574664425</v>
      </c>
    </row>
    <row r="23" spans="2:10" ht="15.75" customHeight="1" x14ac:dyDescent="0.2">
      <c r="B23" s="13" t="s">
        <v>20</v>
      </c>
      <c r="C23" s="72">
        <f>C14*INDEX('Company1808 Assumptions'!D$46:D$48,MATCH($D$5,'Company1808 Assumptions'!$C$46:$C$48,0))</f>
        <v>12028.758</v>
      </c>
      <c r="D23" s="72">
        <f>D14*INDEX('Company1808 Assumptions'!E$46:E$48,MATCH($D$5,'Company1808 Assumptions'!$C$46:$C$48,0))</f>
        <v>12593.772000000001</v>
      </c>
      <c r="E23" s="72">
        <f>E14*INDEX('Company1808 Assumptions'!F$46:F$48,MATCH($D$5,'Company1808 Assumptions'!$C$46:$C$48,0))</f>
        <v>15513.960000000001</v>
      </c>
      <c r="F23" s="72">
        <f>F14*INDEX('Company1808 Assumptions'!G$46:G$48,MATCH($D$5,'Company1808 Assumptions'!$C$46:$C$48,0))</f>
        <v>16619.255172413796</v>
      </c>
      <c r="G23" s="72">
        <f>G14*INDEX('Company1808 Assumptions'!H$46:H$48,MATCH($D$5,'Company1808 Assumptions'!$C$46:$C$48,0))</f>
        <v>17610.967123848517</v>
      </c>
      <c r="H23" s="72">
        <f>H14*INDEX('Company1808 Assumptions'!I$46:I$48,MATCH($D$5,'Company1808 Assumptions'!$C$46:$C$48,0))</f>
        <v>18367.195636363638</v>
      </c>
      <c r="I23" s="72">
        <f>I14*INDEX('Company1808 Assumptions'!J$46:J$48,MATCH($D$5,'Company1808 Assumptions'!$C$46:$C$48,0))</f>
        <v>18933.533462189785</v>
      </c>
      <c r="J23" s="72">
        <f>J14*INDEX('Company1808 Assumptions'!K$46:K$48,MATCH($D$5,'Company1808 Assumptions'!$C$46:$C$48,0))</f>
        <v>19374.448778283793</v>
      </c>
    </row>
    <row r="24" spans="2:10" ht="15.75" customHeight="1" x14ac:dyDescent="0.2">
      <c r="B24" s="13" t="s">
        <v>21</v>
      </c>
      <c r="C24" s="72">
        <f>C14*INDEX('Company1808 Assumptions'!D$50:D$52,MATCH($D$5,'Company1808 Assumptions'!$C$50:$C$52,0))</f>
        <v>10023.965</v>
      </c>
      <c r="D24" s="72">
        <f>D14*INDEX('Company1808 Assumptions'!E$50:E$52,MATCH($D$5,'Company1808 Assumptions'!$C$50:$C$52,0))</f>
        <v>11894.117999999999</v>
      </c>
      <c r="E24" s="72">
        <f>E14*INDEX('Company1808 Assumptions'!F$50:F$52,MATCH($D$5,'Company1808 Assumptions'!$C$50:$C$52,0))</f>
        <v>15918.672</v>
      </c>
      <c r="F24" s="72">
        <f>F14*INDEX('Company1808 Assumptions'!G$50:G$52,MATCH($D$5,'Company1808 Assumptions'!$C$50:$C$52,0))</f>
        <v>16619.255172413796</v>
      </c>
      <c r="G24" s="72">
        <f>G14*INDEX('Company1808 Assumptions'!H$50:H$52,MATCH($D$5,'Company1808 Assumptions'!$C$50:$C$52,0))</f>
        <v>17610.967123848517</v>
      </c>
      <c r="H24" s="72">
        <f>H14*INDEX('Company1808 Assumptions'!I$50:I$52,MATCH($D$5,'Company1808 Assumptions'!$C$50:$C$52,0))</f>
        <v>18367.195636363638</v>
      </c>
      <c r="I24" s="72">
        <f>I14*INDEX('Company1808 Assumptions'!J$50:J$52,MATCH($D$5,'Company1808 Assumptions'!$C$50:$C$52,0))</f>
        <v>18933.533462189785</v>
      </c>
      <c r="J24" s="72">
        <f>J14*INDEX('Company1808 Assumptions'!K$50:K$52,MATCH($D$5,'Company1808 Assumptions'!$C$50:$C$52,0))</f>
        <v>19374.448778283793</v>
      </c>
    </row>
    <row r="25" spans="2:10" ht="15.75" customHeight="1" x14ac:dyDescent="0.2">
      <c r="B25" s="19" t="s">
        <v>51</v>
      </c>
      <c r="C25" s="73">
        <f t="shared" ref="C25:J25" si="5">SUM(C21:C24)</f>
        <v>66040.240000000005</v>
      </c>
      <c r="D25" s="73">
        <f t="shared" si="5"/>
        <v>70548.445000000007</v>
      </c>
      <c r="E25" s="73">
        <f t="shared" si="5"/>
        <v>88092.312000000005</v>
      </c>
      <c r="F25" s="73">
        <f t="shared" si="5"/>
        <v>95183.006896551728</v>
      </c>
      <c r="G25" s="73">
        <f t="shared" si="5"/>
        <v>102311.33281473901</v>
      </c>
      <c r="H25" s="73">
        <f t="shared" si="5"/>
        <v>108366.45425454548</v>
      </c>
      <c r="I25" s="73">
        <f t="shared" si="5"/>
        <v>113601.2007731387</v>
      </c>
      <c r="J25" s="73">
        <f t="shared" si="5"/>
        <v>118399.40920062319</v>
      </c>
    </row>
    <row r="26" spans="2:10" ht="15.75" customHeight="1" x14ac:dyDescent="0.2">
      <c r="B26" s="67"/>
      <c r="C26" s="67"/>
      <c r="D26" s="67"/>
      <c r="E26" s="67"/>
      <c r="F26" s="67"/>
      <c r="G26" s="67"/>
      <c r="H26" s="67"/>
      <c r="I26" s="67"/>
      <c r="J26" s="67"/>
    </row>
    <row r="27" spans="2:10" ht="15.75" customHeight="1" x14ac:dyDescent="0.2">
      <c r="B27" s="20" t="s">
        <v>52</v>
      </c>
      <c r="C27" s="76">
        <f t="shared" ref="C27:J27" si="6">C18-C25</f>
        <v>28538.817999999985</v>
      </c>
      <c r="D27" s="76">
        <f t="shared" si="6"/>
        <v>22505.536999999997</v>
      </c>
      <c r="E27" s="76">
        <f t="shared" si="6"/>
        <v>19156.367999999988</v>
      </c>
      <c r="F27" s="76">
        <f t="shared" si="6"/>
        <v>25231.051034482749</v>
      </c>
      <c r="G27" s="76">
        <f t="shared" si="6"/>
        <v>31699.740822927313</v>
      </c>
      <c r="H27" s="76">
        <f t="shared" si="6"/>
        <v>38754.782792727259</v>
      </c>
      <c r="I27" s="76">
        <f t="shared" si="6"/>
        <v>46436.982070423372</v>
      </c>
      <c r="J27" s="76">
        <f t="shared" si="6"/>
        <v>54894.271538470726</v>
      </c>
    </row>
    <row r="28" spans="2:10" ht="15" customHeight="1" x14ac:dyDescent="0.2">
      <c r="B28" s="74" t="s">
        <v>53</v>
      </c>
      <c r="C28" s="75">
        <f t="shared" ref="C28:J28" si="7">C27/C14</f>
        <v>0.24199999999999988</v>
      </c>
      <c r="D28" s="75">
        <f t="shared" si="7"/>
        <v>0.19299999999999998</v>
      </c>
      <c r="E28" s="75">
        <f t="shared" si="7"/>
        <v>0.1419999999999999</v>
      </c>
      <c r="F28" s="75">
        <f t="shared" si="7"/>
        <v>0.16699999999999993</v>
      </c>
      <c r="G28" s="75">
        <f t="shared" si="7"/>
        <v>0.18899999999999989</v>
      </c>
      <c r="H28" s="75">
        <f t="shared" si="7"/>
        <v>0.21099999999999991</v>
      </c>
      <c r="I28" s="75">
        <f t="shared" si="7"/>
        <v>0.23300000000000004</v>
      </c>
      <c r="J28" s="75">
        <f t="shared" si="7"/>
        <v>0.25499999999999989</v>
      </c>
    </row>
    <row r="29" spans="2:10" ht="15.75" customHeight="1" x14ac:dyDescent="0.2">
      <c r="B29" s="67"/>
      <c r="C29" s="67"/>
      <c r="D29" s="67"/>
      <c r="E29" s="67"/>
      <c r="F29" s="67"/>
      <c r="G29" s="67"/>
      <c r="H29" s="67"/>
      <c r="I29" s="67"/>
      <c r="J29" s="67"/>
    </row>
    <row r="30" spans="2:10" ht="15.75" customHeight="1" x14ac:dyDescent="0.2">
      <c r="B30" s="21" t="s">
        <v>266</v>
      </c>
      <c r="C30" s="72">
        <f>(C$49*INDEX('Company1808 Assumptions'!$D$99:$D$101,MATCH($D$5,'Company1808 Assumptions'!$C$99:$C$101,0)))-(C71*INDEX('Company1808 Assumptions'!$D$103:$D$105,MATCH($D$5,'Company1808 Assumptions'!$C$103:$C$105,0)))</f>
        <v>-125</v>
      </c>
      <c r="D30" s="72">
        <f ca="1">(D$49*INDEX('Company1808 Assumptions'!$D$99:$D$101,MATCH($D$5,'Company1808 Assumptions'!$C$99:$C$101,0)))-(D71*INDEX('Company1808 Assumptions'!$D$103:$D$105,MATCH($D$5,'Company1808 Assumptions'!$C$103:$C$105,0)))</f>
        <v>-82.06656555180669</v>
      </c>
      <c r="E30" s="72">
        <f ca="1">(E$49*INDEX('Company1808 Assumptions'!$D$99:$D$101,MATCH($D$5,'Company1808 Assumptions'!$C$99:$C$101,0)))-(E71*INDEX('Company1808 Assumptions'!$D$103:$D$105,MATCH($D$5,'Company1808 Assumptions'!$C$103:$C$105,0)))</f>
        <v>-49.455085504082234</v>
      </c>
      <c r="F30" s="72">
        <f ca="1">(F$49*INDEX('Company1808 Assumptions'!$D$99:$D$101,MATCH($D$5,'Company1808 Assumptions'!$C$99:$C$101,0)))-(F71*INDEX('Company1808 Assumptions'!$D$103:$D$105,MATCH($D$5,'Company1808 Assumptions'!$C$103:$C$105,0)))</f>
        <v>-1.780041451763168</v>
      </c>
      <c r="G30" s="72">
        <f ca="1">(G$49*INDEX('Company1808 Assumptions'!$D$99:$D$101,MATCH($D$5,'Company1808 Assumptions'!$C$99:$C$101,0)))-(G71*INDEX('Company1808 Assumptions'!$D$103:$D$105,MATCH($D$5,'Company1808 Assumptions'!$C$103:$C$105,0)))</f>
        <v>55.805239570698177</v>
      </c>
      <c r="H30" s="72">
        <f ca="1">(H$49*INDEX('Company1808 Assumptions'!$D$99:$D$101,MATCH($D$5,'Company1808 Assumptions'!$C$99:$C$101,0)))-(H71*INDEX('Company1808 Assumptions'!$D$103:$D$105,MATCH($D$5,'Company1808 Assumptions'!$C$103:$C$105,0)))</f>
        <v>124.36274556560574</v>
      </c>
      <c r="I30" s="72">
        <f ca="1">(I$49*INDEX('Company1808 Assumptions'!$D$99:$D$101,MATCH($D$5,'Company1808 Assumptions'!$C$99:$C$101,0)))-(I71*INDEX('Company1808 Assumptions'!$D$103:$D$105,MATCH($D$5,'Company1808 Assumptions'!$C$103:$C$105,0)))</f>
        <v>202.67409283131684</v>
      </c>
      <c r="J30" s="72">
        <f ca="1">(J$49*INDEX('Company1808 Assumptions'!$D$99:$D$101,MATCH($D$5,'Company1808 Assumptions'!$C$99:$C$101,0)))-(J71*INDEX('Company1808 Assumptions'!$D$103:$D$105,MATCH($D$5,'Company1808 Assumptions'!$C$103:$C$105,0)))</f>
        <v>292.28404309019379</v>
      </c>
    </row>
    <row r="31" spans="2:10" ht="15" customHeight="1" x14ac:dyDescent="0.2">
      <c r="B31" s="67"/>
      <c r="C31" s="67"/>
      <c r="D31" s="67"/>
      <c r="E31" s="67"/>
      <c r="F31" s="67"/>
      <c r="G31" s="67"/>
      <c r="H31" s="67"/>
      <c r="I31" s="67"/>
      <c r="J31" s="67"/>
    </row>
    <row r="32" spans="2:10" ht="15.75" customHeight="1" x14ac:dyDescent="0.2">
      <c r="B32" s="20" t="s">
        <v>54</v>
      </c>
      <c r="C32" s="76">
        <f t="shared" ref="C32:J32" si="8">C27+C30</f>
        <v>28413.817999999985</v>
      </c>
      <c r="D32" s="76">
        <f t="shared" ca="1" si="8"/>
        <v>22423.470434448191</v>
      </c>
      <c r="E32" s="76">
        <f t="shared" ca="1" si="8"/>
        <v>19106.912914495904</v>
      </c>
      <c r="F32" s="76">
        <f t="shared" ca="1" si="8"/>
        <v>25229.270993030987</v>
      </c>
      <c r="G32" s="76">
        <f t="shared" ca="1" si="8"/>
        <v>31755.546062498011</v>
      </c>
      <c r="H32" s="76">
        <f t="shared" ca="1" si="8"/>
        <v>38879.145538292862</v>
      </c>
      <c r="I32" s="76">
        <f t="shared" ca="1" si="8"/>
        <v>46639.656163254687</v>
      </c>
      <c r="J32" s="76">
        <f t="shared" ca="1" si="8"/>
        <v>55186.555581560919</v>
      </c>
    </row>
    <row r="33" spans="2:10" ht="15" customHeight="1" x14ac:dyDescent="0.2">
      <c r="B33" s="21" t="s">
        <v>55</v>
      </c>
      <c r="C33" s="72">
        <f>C32*INDEX('Company1808 Assumptions'!D$92:D$94,MATCH($D$5,'Company1808 Assumptions'!$C$92:$C$94,0))</f>
        <v>4972.4181499999968</v>
      </c>
      <c r="D33" s="72">
        <f ca="1">D32*INDEX('Company1808 Assumptions'!E$92:E$94,MATCH($D$5,'Company1808 Assumptions'!$C$92:$C$94,0))</f>
        <v>4260.4593825451566</v>
      </c>
      <c r="E33" s="72">
        <f ca="1">E32*INDEX('Company1808 Assumptions'!F$92:F$94,MATCH($D$5,'Company1808 Assumptions'!$C$92:$C$94,0))</f>
        <v>3534.7788891817422</v>
      </c>
      <c r="F33" s="72">
        <f ca="1">F32*INDEX('Company1808 Assumptions'!G$92:G$94,MATCH($D$5,'Company1808 Assumptions'!$C$92:$C$94,0))</f>
        <v>4793.5614886758876</v>
      </c>
      <c r="G33" s="72">
        <f ca="1">G32*INDEX('Company1808 Assumptions'!H$92:H$94,MATCH($D$5,'Company1808 Assumptions'!$C$92:$C$94,0))</f>
        <v>6192.3314821871127</v>
      </c>
      <c r="H33" s="72">
        <f ca="1">H32*INDEX('Company1808 Assumptions'!I$92:I$94,MATCH($D$5,'Company1808 Assumptions'!$C$92:$C$94,0))</f>
        <v>7775.8291076585729</v>
      </c>
      <c r="I33" s="72">
        <f ca="1">I32*INDEX('Company1808 Assumptions'!J$92:J$94,MATCH($D$5,'Company1808 Assumptions'!$C$92:$C$94,0))</f>
        <v>9561.1295134672109</v>
      </c>
      <c r="J33" s="72">
        <f ca="1">J32*INDEX('Company1808 Assumptions'!K$92:K$94,MATCH($D$5,'Company1808 Assumptions'!$C$92:$C$94,0))</f>
        <v>11589.176672127793</v>
      </c>
    </row>
    <row r="34" spans="2:10" ht="15.75" customHeight="1" thickBot="1" x14ac:dyDescent="0.25">
      <c r="B34" s="67"/>
      <c r="C34" s="67"/>
      <c r="D34" s="67"/>
      <c r="E34" s="67"/>
      <c r="F34" s="67"/>
      <c r="G34" s="67"/>
      <c r="H34" s="67"/>
      <c r="I34" s="67"/>
      <c r="J34" s="67"/>
    </row>
    <row r="35" spans="2:10" ht="15.75" customHeight="1" thickBot="1" x14ac:dyDescent="0.25">
      <c r="B35" s="10" t="s">
        <v>56</v>
      </c>
      <c r="C35" s="78">
        <f t="shared" ref="C35:J35" si="9">C32-C33</f>
        <v>23441.399849999987</v>
      </c>
      <c r="D35" s="78">
        <f t="shared" ca="1" si="9"/>
        <v>18163.011051903035</v>
      </c>
      <c r="E35" s="78">
        <f t="shared" ca="1" si="9"/>
        <v>15572.134025314162</v>
      </c>
      <c r="F35" s="78">
        <f t="shared" ca="1" si="9"/>
        <v>20435.709504355098</v>
      </c>
      <c r="G35" s="78">
        <f t="shared" ca="1" si="9"/>
        <v>25563.214580310898</v>
      </c>
      <c r="H35" s="78">
        <f t="shared" ca="1" si="9"/>
        <v>31103.316430634288</v>
      </c>
      <c r="I35" s="78">
        <f t="shared" ca="1" si="9"/>
        <v>37078.526649787476</v>
      </c>
      <c r="J35" s="78">
        <f t="shared" ca="1" si="9"/>
        <v>43597.37890943313</v>
      </c>
    </row>
    <row r="36" spans="2:10" ht="15" customHeight="1" thickTop="1" x14ac:dyDescent="0.2">
      <c r="B36" s="74" t="s">
        <v>57</v>
      </c>
      <c r="C36" s="75">
        <f t="shared" ref="C36:J36" si="10">C35/C14</f>
        <v>0.19877553315978247</v>
      </c>
      <c r="D36" s="75">
        <f t="shared" ca="1" si="10"/>
        <v>0.15575994178753813</v>
      </c>
      <c r="E36" s="75">
        <f t="shared" ca="1" si="10"/>
        <v>0.11543122535517229</v>
      </c>
      <c r="F36" s="75">
        <f t="shared" ca="1" si="10"/>
        <v>0.13526045675081658</v>
      </c>
      <c r="G36" s="75">
        <f t="shared" ca="1" si="10"/>
        <v>0.15241284093352397</v>
      </c>
      <c r="H36" s="75">
        <f t="shared" ca="1" si="10"/>
        <v>0.16934167330942723</v>
      </c>
      <c r="I36" s="75">
        <f t="shared" ca="1" si="10"/>
        <v>0.18604345769711467</v>
      </c>
      <c r="J36" s="75">
        <f t="shared" ca="1" si="10"/>
        <v>0.2025226186691311</v>
      </c>
    </row>
    <row r="37" spans="2:10" ht="15.75" customHeight="1" thickBot="1" x14ac:dyDescent="0.25">
      <c r="B37" s="67"/>
      <c r="C37" s="67"/>
      <c r="D37" s="67"/>
      <c r="E37" s="67"/>
      <c r="F37" s="67"/>
      <c r="G37" s="67"/>
      <c r="H37" s="67"/>
      <c r="I37" s="67"/>
      <c r="J37" s="67"/>
    </row>
    <row r="38" spans="2:10" ht="15.75" customHeight="1" x14ac:dyDescent="0.2">
      <c r="B38" s="6" t="s">
        <v>58</v>
      </c>
      <c r="C38" s="6"/>
      <c r="D38" s="6"/>
      <c r="E38" s="6"/>
      <c r="F38" s="6"/>
      <c r="G38" s="6"/>
      <c r="H38" s="6"/>
      <c r="I38" s="6"/>
      <c r="J38" s="6"/>
    </row>
    <row r="39" spans="2:10" ht="15" customHeight="1" x14ac:dyDescent="0.2">
      <c r="B39" s="67"/>
      <c r="C39" s="67"/>
      <c r="D39" s="67"/>
      <c r="E39" s="67"/>
      <c r="F39" s="67"/>
      <c r="G39" s="67"/>
      <c r="H39" s="67"/>
      <c r="I39" s="67"/>
      <c r="J39" s="67"/>
    </row>
    <row r="40" spans="2:10" ht="15" customHeight="1" x14ac:dyDescent="0.2">
      <c r="B40" s="21" t="s">
        <v>59</v>
      </c>
      <c r="C40" s="79">
        <v>2800</v>
      </c>
      <c r="D40" s="79">
        <v>2750</v>
      </c>
      <c r="E40" s="79">
        <v>2700</v>
      </c>
      <c r="F40" s="79">
        <v>2650</v>
      </c>
      <c r="G40" s="79">
        <v>2600</v>
      </c>
      <c r="H40" s="79">
        <v>2550</v>
      </c>
      <c r="I40" s="79">
        <v>2500</v>
      </c>
      <c r="J40" s="79">
        <v>2450</v>
      </c>
    </row>
    <row r="41" spans="2:10" ht="15" customHeight="1" x14ac:dyDescent="0.2">
      <c r="B41" s="20" t="s">
        <v>60</v>
      </c>
      <c r="C41" s="80">
        <f t="shared" ref="C41:J41" si="11">C35/C40</f>
        <v>8.371928517857139</v>
      </c>
      <c r="D41" s="80">
        <f t="shared" ca="1" si="11"/>
        <v>6.6047312916011034</v>
      </c>
      <c r="E41" s="80">
        <f t="shared" ca="1" si="11"/>
        <v>5.7674570464126527</v>
      </c>
      <c r="F41" s="80">
        <f t="shared" ca="1" si="11"/>
        <v>7.7115884922094713</v>
      </c>
      <c r="G41" s="80">
        <f t="shared" ca="1" si="11"/>
        <v>9.8320056078118832</v>
      </c>
      <c r="H41" s="80">
        <f t="shared" ca="1" si="11"/>
        <v>12.197378992405604</v>
      </c>
      <c r="I41" s="80">
        <f t="shared" ca="1" si="11"/>
        <v>14.83141065991499</v>
      </c>
      <c r="J41" s="80">
        <f t="shared" ca="1" si="11"/>
        <v>17.794848534462503</v>
      </c>
    </row>
    <row r="42" spans="2:10" ht="15.75" customHeight="1" x14ac:dyDescent="0.2">
      <c r="B42" s="67"/>
      <c r="C42" s="67"/>
      <c r="D42" s="67"/>
      <c r="E42" s="67"/>
      <c r="F42" s="67"/>
      <c r="G42" s="67"/>
      <c r="H42" s="67"/>
      <c r="I42" s="67"/>
      <c r="J42" s="67"/>
    </row>
    <row r="43" spans="2:10" ht="15.75" customHeight="1" thickBot="1" x14ac:dyDescent="0.25">
      <c r="B43" s="67"/>
      <c r="C43" s="67"/>
      <c r="D43" s="67"/>
      <c r="E43" s="67"/>
      <c r="F43" s="67"/>
      <c r="G43" s="67"/>
      <c r="H43" s="67"/>
      <c r="I43" s="67"/>
      <c r="J43" s="67"/>
    </row>
    <row r="44" spans="2:10" ht="15" customHeight="1" thickBot="1" x14ac:dyDescent="0.25">
      <c r="B44" s="81" t="s">
        <v>63</v>
      </c>
      <c r="C44" s="81"/>
      <c r="D44" s="81"/>
      <c r="E44" s="81"/>
      <c r="F44" s="81"/>
      <c r="G44" s="81"/>
      <c r="H44" s="81"/>
      <c r="I44" s="81"/>
      <c r="J44" s="81"/>
    </row>
    <row r="45" spans="2:10" ht="15" customHeight="1" x14ac:dyDescent="0.2">
      <c r="B45" s="67"/>
      <c r="C45" s="67"/>
      <c r="D45" s="67"/>
      <c r="E45" s="67"/>
      <c r="F45" s="67"/>
      <c r="G45" s="67"/>
      <c r="H45" s="67"/>
      <c r="I45" s="67"/>
      <c r="J45" s="67"/>
    </row>
    <row r="46" spans="2:10" ht="15" customHeight="1" x14ac:dyDescent="0.2">
      <c r="B46" s="11" t="s">
        <v>64</v>
      </c>
      <c r="C46" s="11"/>
      <c r="D46" s="11"/>
      <c r="E46" s="11"/>
      <c r="F46" s="11"/>
      <c r="G46" s="11"/>
      <c r="H46" s="11"/>
      <c r="I46" s="11"/>
      <c r="J46" s="11"/>
    </row>
    <row r="47" spans="2:10" ht="15" customHeight="1" x14ac:dyDescent="0.2">
      <c r="B47" s="67"/>
      <c r="C47" s="67"/>
      <c r="D47" s="67"/>
      <c r="E47" s="67"/>
      <c r="F47" s="67"/>
      <c r="G47" s="67"/>
      <c r="H47" s="67"/>
      <c r="I47" s="67"/>
      <c r="J47" s="67"/>
    </row>
    <row r="48" spans="2:10" ht="15" customHeight="1" x14ac:dyDescent="0.2">
      <c r="B48" s="12" t="s">
        <v>65</v>
      </c>
      <c r="C48" s="67"/>
      <c r="D48" s="67"/>
      <c r="E48" s="67"/>
      <c r="F48" s="67"/>
      <c r="G48" s="67"/>
      <c r="H48" s="67"/>
      <c r="I48" s="67"/>
      <c r="J48" s="67"/>
    </row>
    <row r="49" spans="2:10" ht="15" customHeight="1" x14ac:dyDescent="0.2">
      <c r="B49" s="13" t="s">
        <v>66</v>
      </c>
      <c r="C49" s="82">
        <v>35000</v>
      </c>
      <c r="D49" s="83">
        <f t="shared" ref="D49:J49" ca="1" si="12">D$106</f>
        <v>40586.686889638659</v>
      </c>
      <c r="E49" s="83">
        <f t="shared" ca="1" si="12"/>
        <v>44108.982899183553</v>
      </c>
      <c r="F49" s="83">
        <f t="shared" ca="1" si="12"/>
        <v>50643.991709647365</v>
      </c>
      <c r="G49" s="83">
        <f t="shared" ca="1" si="12"/>
        <v>59161.047914139635</v>
      </c>
      <c r="H49" s="83">
        <f t="shared" ca="1" si="12"/>
        <v>69872.549113121146</v>
      </c>
      <c r="I49" s="83">
        <f t="shared" ca="1" si="12"/>
        <v>82534.818566263362</v>
      </c>
      <c r="J49" s="83">
        <f t="shared" ca="1" si="12"/>
        <v>97456.808618038762</v>
      </c>
    </row>
    <row r="50" spans="2:10" ht="15" customHeight="1" x14ac:dyDescent="0.2">
      <c r="B50" s="13" t="s">
        <v>67</v>
      </c>
      <c r="C50" s="72">
        <f>C$14*INDEX('Company1808 Assumptions'!D$64:D$66,MATCH($D$5,'Company1808 Assumptions'!$C$64:$C$66,0))/365</f>
        <v>17770.123287671231</v>
      </c>
      <c r="D50" s="72">
        <f>D$14*INDEX('Company1808 Assumptions'!E$64:E$66,MATCH($D$5,'Company1808 Assumptions'!$C$64:$C$66,0))/365</f>
        <v>16932.265753424657</v>
      </c>
      <c r="E50" s="72">
        <f>E$14*INDEX('Company1808 Assumptions'!F$64:F$66,MATCH($D$5,'Company1808 Assumptions'!$C$64:$C$66,0))/365</f>
        <v>18849.599999999999</v>
      </c>
      <c r="F50" s="72">
        <f>F$14*INDEX('Company1808 Assumptions'!G$64:G$66,MATCH($D$5,'Company1808 Assumptions'!$C$64:$C$66,0))/365</f>
        <v>20696.457250826643</v>
      </c>
      <c r="G50" s="72">
        <f>G$14*INDEX('Company1808 Assumptions'!H$64:H$66,MATCH($D$5,'Company1808 Assumptions'!$C$64:$C$66,0))/365</f>
        <v>22516.304998527787</v>
      </c>
      <c r="H50" s="72">
        <f>H$14*INDEX('Company1808 Assumptions'!I$64:I$66,MATCH($D$5,'Company1808 Assumptions'!$C$64:$C$66,0))/365</f>
        <v>24154.120288916565</v>
      </c>
      <c r="I50" s="72">
        <f>I$14*INDEX('Company1808 Assumptions'!J$64:J$66,MATCH($D$5,'Company1808 Assumptions'!$C$64:$C$66,0))/365</f>
        <v>25663.33302733727</v>
      </c>
      <c r="J50" s="72">
        <f>J$14*INDEX('Company1808 Assumptions'!K$64:K$66,MATCH($D$5,'Company1808 Assumptions'!$C$64:$C$66,0))/365</f>
        <v>27130.126143106685</v>
      </c>
    </row>
    <row r="51" spans="2:10" ht="15" customHeight="1" x14ac:dyDescent="0.2">
      <c r="B51" s="13" t="s">
        <v>68</v>
      </c>
      <c r="C51" s="82">
        <v>5000</v>
      </c>
      <c r="D51" s="72">
        <f>C51*(1+'Company1808 Assumptions'!E$72)</f>
        <v>5200</v>
      </c>
      <c r="E51" s="72">
        <f>D51*(1+'Company1808 Assumptions'!F$72)</f>
        <v>5400</v>
      </c>
      <c r="F51" s="72">
        <f>E51*(1+'Company1808 Assumptions'!G$72)</f>
        <v>5616</v>
      </c>
      <c r="G51" s="72">
        <f>F51*(1+'Company1808 Assumptions'!H$72)</f>
        <v>5840.64</v>
      </c>
      <c r="H51" s="72">
        <f>G51*(1+'Company1808 Assumptions'!I$72)</f>
        <v>6074.2656000000006</v>
      </c>
      <c r="I51" s="72">
        <f>H51*(1+'Company1808 Assumptions'!J$72)</f>
        <v>6317.2362240000011</v>
      </c>
      <c r="J51" s="72">
        <f>I51*(1+'Company1808 Assumptions'!K$72)</f>
        <v>6569.9256729600011</v>
      </c>
    </row>
    <row r="52" spans="2:10" ht="15" customHeight="1" x14ac:dyDescent="0.2">
      <c r="B52" s="14" t="s">
        <v>69</v>
      </c>
      <c r="C52" s="84">
        <f t="shared" ref="C52:J52" si="13">SUM(C49:C51)</f>
        <v>57770.123287671231</v>
      </c>
      <c r="D52" s="84">
        <f t="shared" ca="1" si="13"/>
        <v>62718.952643063312</v>
      </c>
      <c r="E52" s="84">
        <f t="shared" ca="1" si="13"/>
        <v>68358.582899183559</v>
      </c>
      <c r="F52" s="84">
        <f t="shared" ca="1" si="13"/>
        <v>76956.448960474008</v>
      </c>
      <c r="G52" s="84">
        <f t="shared" ca="1" si="13"/>
        <v>87517.992912667425</v>
      </c>
      <c r="H52" s="84">
        <f t="shared" ca="1" si="13"/>
        <v>100100.93500203772</v>
      </c>
      <c r="I52" s="84">
        <f t="shared" ca="1" si="13"/>
        <v>114515.38781760064</v>
      </c>
      <c r="J52" s="84">
        <f t="shared" ca="1" si="13"/>
        <v>131156.86043410545</v>
      </c>
    </row>
    <row r="53" spans="2:10" ht="15" customHeight="1" x14ac:dyDescent="0.2">
      <c r="B53" s="67"/>
      <c r="C53" s="67"/>
      <c r="D53" s="67"/>
      <c r="E53" s="67"/>
      <c r="F53" s="67"/>
      <c r="G53" s="67"/>
      <c r="H53" s="67"/>
      <c r="I53" s="67"/>
      <c r="J53" s="67"/>
    </row>
    <row r="54" spans="2:10" ht="15" customHeight="1" x14ac:dyDescent="0.2">
      <c r="B54" s="12" t="s">
        <v>70</v>
      </c>
      <c r="C54" s="67"/>
      <c r="D54" s="67"/>
      <c r="E54" s="67"/>
      <c r="F54" s="67"/>
      <c r="G54" s="67"/>
      <c r="H54" s="67"/>
      <c r="I54" s="67"/>
      <c r="J54" s="67"/>
    </row>
    <row r="55" spans="2:10" ht="15" customHeight="1" x14ac:dyDescent="0.2">
      <c r="B55" s="13" t="s">
        <v>71</v>
      </c>
      <c r="C55" s="82">
        <v>60000</v>
      </c>
      <c r="D55" s="83">
        <f>C55+D95</f>
        <v>85653.98</v>
      </c>
      <c r="E55" s="83">
        <f t="shared" ref="E55:J55" si="14">D55+E95</f>
        <v>118705.45999999999</v>
      </c>
      <c r="F55" s="83">
        <f t="shared" si="14"/>
        <v>153454.81172413792</v>
      </c>
      <c r="G55" s="83">
        <f t="shared" si="14"/>
        <v>189515.36345392297</v>
      </c>
      <c r="H55" s="83">
        <f t="shared" si="14"/>
        <v>226249.75472665025</v>
      </c>
      <c r="I55" s="83">
        <f t="shared" si="14"/>
        <v>264116.82165102981</v>
      </c>
      <c r="J55" s="83">
        <f t="shared" si="14"/>
        <v>302865.71920759737</v>
      </c>
    </row>
    <row r="56" spans="2:10" ht="15" customHeight="1" x14ac:dyDescent="0.2">
      <c r="B56" s="13" t="s">
        <v>72</v>
      </c>
      <c r="C56" s="82">
        <v>15000</v>
      </c>
      <c r="D56" s="83">
        <f>C56+D87</f>
        <v>29180.962249999997</v>
      </c>
      <c r="E56" s="83">
        <f t="shared" ref="E56:J56" si="15">D56+E87</f>
        <v>45856.049249999996</v>
      </c>
      <c r="F56" s="83">
        <f t="shared" si="15"/>
        <v>67339.511249999996</v>
      </c>
      <c r="G56" s="83">
        <f t="shared" si="15"/>
        <v>89926.589870689655</v>
      </c>
      <c r="H56" s="83">
        <f t="shared" si="15"/>
        <v>113365.94849504995</v>
      </c>
      <c r="I56" s="83">
        <f t="shared" si="15"/>
        <v>137243.30282232267</v>
      </c>
      <c r="J56" s="83">
        <f t="shared" si="15"/>
        <v>161856.89632316941</v>
      </c>
    </row>
    <row r="57" spans="2:10" ht="15" customHeight="1" x14ac:dyDescent="0.2">
      <c r="B57" s="85" t="s">
        <v>267</v>
      </c>
      <c r="C57" s="86">
        <f>C55-C56</f>
        <v>45000</v>
      </c>
      <c r="D57" s="86">
        <f>D55-D56</f>
        <v>56473.017749999999</v>
      </c>
      <c r="E57" s="86">
        <f t="shared" ref="E57:J57" si="16">E55-E56</f>
        <v>72849.410749999995</v>
      </c>
      <c r="F57" s="86">
        <f t="shared" si="16"/>
        <v>86115.300474137926</v>
      </c>
      <c r="G57" s="86">
        <f t="shared" si="16"/>
        <v>99588.773583233313</v>
      </c>
      <c r="H57" s="86">
        <f t="shared" si="16"/>
        <v>112883.80623160031</v>
      </c>
      <c r="I57" s="86">
        <f t="shared" si="16"/>
        <v>126873.51882870714</v>
      </c>
      <c r="J57" s="86">
        <f t="shared" si="16"/>
        <v>141008.82288442797</v>
      </c>
    </row>
    <row r="58" spans="2:10" ht="15" customHeight="1" x14ac:dyDescent="0.2">
      <c r="B58" s="15"/>
      <c r="C58" s="83"/>
      <c r="D58" s="83"/>
      <c r="E58" s="83"/>
      <c r="F58" s="83"/>
      <c r="G58" s="83"/>
      <c r="H58" s="83"/>
      <c r="I58" s="83"/>
      <c r="J58" s="83"/>
    </row>
    <row r="59" spans="2:10" ht="15" customHeight="1" x14ac:dyDescent="0.2">
      <c r="B59" s="13" t="s">
        <v>73</v>
      </c>
      <c r="C59" s="82">
        <v>25000</v>
      </c>
      <c r="D59" s="72">
        <f>C59*(1+'Company1808 Assumptions'!E$73)</f>
        <v>28000.000000000004</v>
      </c>
      <c r="E59" s="72">
        <f>D59*(1+'Company1808 Assumptions'!F$73)</f>
        <v>32000.000000000004</v>
      </c>
      <c r="F59" s="72">
        <f>E59*(1+'Company1808 Assumptions'!G$73)</f>
        <v>35200.000000000007</v>
      </c>
      <c r="G59" s="72">
        <f>F59*(1+'Company1808 Assumptions'!H$73)</f>
        <v>38720.000000000015</v>
      </c>
      <c r="H59" s="72">
        <f>G59*(1+'Company1808 Assumptions'!I$73)</f>
        <v>42592.000000000022</v>
      </c>
      <c r="I59" s="72">
        <f>H59*(1+'Company1808 Assumptions'!J$73)</f>
        <v>46851.200000000026</v>
      </c>
      <c r="J59" s="72">
        <f>I59*(1+'Company1808 Assumptions'!K$73)</f>
        <v>51536.320000000036</v>
      </c>
    </row>
    <row r="60" spans="2:10" ht="15" customHeight="1" x14ac:dyDescent="0.2">
      <c r="B60" s="14" t="s">
        <v>74</v>
      </c>
      <c r="C60" s="84">
        <f t="shared" ref="C60:J60" si="17">C57+C59</f>
        <v>70000</v>
      </c>
      <c r="D60" s="84">
        <f t="shared" si="17"/>
        <v>84473.017749999999</v>
      </c>
      <c r="E60" s="84">
        <f t="shared" si="17"/>
        <v>104849.41075</v>
      </c>
      <c r="F60" s="84">
        <f t="shared" si="17"/>
        <v>121315.30047413794</v>
      </c>
      <c r="G60" s="84">
        <f t="shared" si="17"/>
        <v>138308.77358323333</v>
      </c>
      <c r="H60" s="84">
        <f t="shared" si="17"/>
        <v>155475.80623160032</v>
      </c>
      <c r="I60" s="84">
        <f t="shared" si="17"/>
        <v>173724.71882870718</v>
      </c>
      <c r="J60" s="84">
        <f t="shared" si="17"/>
        <v>192545.142884428</v>
      </c>
    </row>
    <row r="61" spans="2:10" ht="15" customHeight="1" thickBot="1" x14ac:dyDescent="0.25">
      <c r="B61" s="67"/>
      <c r="C61" s="67"/>
      <c r="D61" s="67"/>
      <c r="E61" s="67"/>
      <c r="F61" s="67"/>
      <c r="G61" s="67"/>
      <c r="H61" s="67"/>
      <c r="I61" s="67"/>
      <c r="J61" s="67"/>
    </row>
    <row r="62" spans="2:10" ht="15" customHeight="1" thickBot="1" x14ac:dyDescent="0.25">
      <c r="B62" s="10" t="s">
        <v>75</v>
      </c>
      <c r="C62" s="87">
        <f t="shared" ref="C62:J62" si="18">C52+C60</f>
        <v>127770.12328767123</v>
      </c>
      <c r="D62" s="87">
        <f t="shared" ca="1" si="18"/>
        <v>147191.97039306333</v>
      </c>
      <c r="E62" s="87">
        <f t="shared" ca="1" si="18"/>
        <v>173207.99364918354</v>
      </c>
      <c r="F62" s="87">
        <f t="shared" ca="1" si="18"/>
        <v>198271.74943461193</v>
      </c>
      <c r="G62" s="87">
        <f t="shared" ca="1" si="18"/>
        <v>225826.76649590075</v>
      </c>
      <c r="H62" s="87">
        <f t="shared" ca="1" si="18"/>
        <v>255576.74123363802</v>
      </c>
      <c r="I62" s="87">
        <f t="shared" ca="1" si="18"/>
        <v>288240.1066463078</v>
      </c>
      <c r="J62" s="87">
        <f t="shared" ca="1" si="18"/>
        <v>323702.00331853342</v>
      </c>
    </row>
    <row r="63" spans="2:10" ht="15" customHeight="1" thickTop="1" x14ac:dyDescent="0.2">
      <c r="B63" s="67"/>
      <c r="C63" s="67"/>
      <c r="D63" s="67"/>
      <c r="E63" s="67"/>
      <c r="F63" s="67"/>
      <c r="G63" s="67"/>
      <c r="H63" s="67"/>
      <c r="I63" s="67"/>
      <c r="J63" s="67"/>
    </row>
    <row r="64" spans="2:10" ht="15" customHeight="1" x14ac:dyDescent="0.2">
      <c r="B64" s="11" t="s">
        <v>76</v>
      </c>
      <c r="C64" s="11"/>
      <c r="D64" s="11"/>
      <c r="E64" s="11"/>
      <c r="F64" s="11"/>
      <c r="G64" s="11"/>
      <c r="H64" s="11"/>
      <c r="I64" s="11"/>
      <c r="J64" s="11"/>
    </row>
    <row r="65" spans="2:10" ht="15" customHeight="1" x14ac:dyDescent="0.2">
      <c r="B65" s="67"/>
      <c r="C65" s="67"/>
      <c r="D65" s="67"/>
      <c r="E65" s="67"/>
      <c r="F65" s="67"/>
      <c r="G65" s="67"/>
      <c r="H65" s="67"/>
      <c r="I65" s="67"/>
      <c r="J65" s="67"/>
    </row>
    <row r="66" spans="2:10" ht="15" customHeight="1" x14ac:dyDescent="0.2">
      <c r="B66" s="12" t="s">
        <v>77</v>
      </c>
      <c r="C66" s="67"/>
      <c r="D66" s="67"/>
      <c r="E66" s="67"/>
      <c r="F66" s="67"/>
      <c r="G66" s="67"/>
      <c r="H66" s="67"/>
      <c r="I66" s="67"/>
      <c r="J66" s="67"/>
    </row>
    <row r="67" spans="2:10" ht="15" customHeight="1" x14ac:dyDescent="0.2">
      <c r="B67" s="13" t="s">
        <v>78</v>
      </c>
      <c r="C67" s="72">
        <f>(C17+C21+C22+C23)*INDEX('Company1808 Assumptions'!D$68:D$70,MATCH($D$5,'Company1808 Assumptions'!$C$68:$C$70,0))/365</f>
        <v>6088.36733150685</v>
      </c>
      <c r="D67" s="72">
        <f>(D17+D21+D22+D23)*INDEX('Company1808 Assumptions'!E$68:E$70,MATCH($D$5,'Company1808 Assumptions'!$C$68:$C$70,0))/365</f>
        <v>6756.9324657534253</v>
      </c>
      <c r="E67" s="72">
        <f>(E17+E21+E22+E23)*INDEX('Company1808 Assumptions'!F$68:F$70,MATCH($D$5,'Company1808 Assumptions'!$C$68:$C$70,0))/365</f>
        <v>8752.1280000000024</v>
      </c>
      <c r="F67" s="72">
        <f>(F17+F21+F22+F23)*INDEX('Company1808 Assumptions'!G$68:G$70,MATCH($D$5,'Company1808 Assumptions'!$C$68:$C$70,0))/365</f>
        <v>9875.9354709494582</v>
      </c>
      <c r="G67" s="72">
        <f>(G17+G21+G22+G23)*INDEX('Company1808 Assumptions'!H$68:H$70,MATCH($D$5,'Company1808 Assumptions'!$C$68:$C$70,0))/365</f>
        <v>11030.232350707369</v>
      </c>
      <c r="H67" s="72">
        <f>(H17+H21+H22+H23)*INDEX('Company1808 Assumptions'!I$68:I$70,MATCH($D$5,'Company1808 Assumptions'!$C$68:$C$70,0))/365</f>
        <v>12134.929390983814</v>
      </c>
      <c r="I67" s="72">
        <f>(I17+I21+I22+I23)*INDEX('Company1808 Assumptions'!J$68:J$70,MATCH($D$5,'Company1808 Assumptions'!$C$68:$C$70,0))/365</f>
        <v>13209.518140369006</v>
      </c>
      <c r="J67" s="72">
        <f>(J17+J21+J22+J23)*INDEX('Company1808 Assumptions'!K$68:K$70,MATCH($D$5,'Company1808 Assumptions'!$C$68:$C$70,0))/365</f>
        <v>14293.447979960665</v>
      </c>
    </row>
    <row r="68" spans="2:10" ht="15" customHeight="1" x14ac:dyDescent="0.2">
      <c r="B68" s="13" t="s">
        <v>79</v>
      </c>
      <c r="C68" s="82">
        <v>8000</v>
      </c>
      <c r="D68" s="72">
        <f>C68*(1+'Company1808 Assumptions'!E$74)</f>
        <v>8500</v>
      </c>
      <c r="E68" s="72">
        <f>D68*(1+'Company1808 Assumptions'!F$74)</f>
        <v>9000</v>
      </c>
      <c r="F68" s="72">
        <f>E68*(1+'Company1808 Assumptions'!G$74)</f>
        <v>9450</v>
      </c>
      <c r="G68" s="72">
        <f>F68*(1+'Company1808 Assumptions'!H$74)</f>
        <v>9922.5</v>
      </c>
      <c r="H68" s="72">
        <f>G68*(1+'Company1808 Assumptions'!I$74)</f>
        <v>10418.625</v>
      </c>
      <c r="I68" s="72">
        <f>H68*(1+'Company1808 Assumptions'!J$74)</f>
        <v>10939.55625</v>
      </c>
      <c r="J68" s="72">
        <f>I68*(1+'Company1808 Assumptions'!K$74)</f>
        <v>11486.534062500001</v>
      </c>
    </row>
    <row r="69" spans="2:10" ht="15" customHeight="1" x14ac:dyDescent="0.2">
      <c r="B69" s="14" t="s">
        <v>80</v>
      </c>
      <c r="C69" s="84">
        <f t="shared" ref="C69:J69" si="19">SUM(C67:C68)</f>
        <v>14088.36733150685</v>
      </c>
      <c r="D69" s="84">
        <f t="shared" si="19"/>
        <v>15256.932465753425</v>
      </c>
      <c r="E69" s="84">
        <f t="shared" si="19"/>
        <v>17752.128000000004</v>
      </c>
      <c r="F69" s="84">
        <f t="shared" si="19"/>
        <v>19325.935470949458</v>
      </c>
      <c r="G69" s="84">
        <f t="shared" si="19"/>
        <v>20952.732350707367</v>
      </c>
      <c r="H69" s="84">
        <f t="shared" si="19"/>
        <v>22553.554390983816</v>
      </c>
      <c r="I69" s="84">
        <f t="shared" si="19"/>
        <v>24149.074390369005</v>
      </c>
      <c r="J69" s="84">
        <f t="shared" si="19"/>
        <v>25779.982042460666</v>
      </c>
    </row>
    <row r="70" spans="2:10" ht="15" customHeight="1" x14ac:dyDescent="0.2">
      <c r="B70" s="67"/>
      <c r="C70" s="67"/>
      <c r="D70" s="67"/>
      <c r="E70" s="67"/>
      <c r="F70" s="67"/>
      <c r="G70" s="67"/>
      <c r="H70" s="67"/>
      <c r="I70" s="67"/>
      <c r="J70" s="67"/>
    </row>
    <row r="71" spans="2:10" ht="15" customHeight="1" x14ac:dyDescent="0.2">
      <c r="B71" s="12" t="s">
        <v>81</v>
      </c>
      <c r="C71" s="82">
        <v>10000</v>
      </c>
      <c r="D71" s="82">
        <v>9500</v>
      </c>
      <c r="E71" s="82">
        <v>9000</v>
      </c>
      <c r="F71" s="82">
        <v>8500</v>
      </c>
      <c r="G71" s="82">
        <v>8000</v>
      </c>
      <c r="H71" s="82">
        <v>7500</v>
      </c>
      <c r="I71" s="82">
        <v>7000</v>
      </c>
      <c r="J71" s="82">
        <v>6500</v>
      </c>
    </row>
    <row r="72" spans="2:10" ht="15" customHeight="1" x14ac:dyDescent="0.2">
      <c r="B72" s="19" t="s">
        <v>82</v>
      </c>
      <c r="C72" s="84">
        <f t="shared" ref="C72:J72" si="20">C69+C71</f>
        <v>24088.367331506852</v>
      </c>
      <c r="D72" s="84">
        <f t="shared" si="20"/>
        <v>24756.932465753423</v>
      </c>
      <c r="E72" s="84">
        <f t="shared" si="20"/>
        <v>26752.128000000004</v>
      </c>
      <c r="F72" s="84">
        <f t="shared" si="20"/>
        <v>27825.935470949458</v>
      </c>
      <c r="G72" s="84">
        <f t="shared" si="20"/>
        <v>28952.732350707367</v>
      </c>
      <c r="H72" s="84">
        <f t="shared" si="20"/>
        <v>30053.554390983816</v>
      </c>
      <c r="I72" s="84">
        <f t="shared" si="20"/>
        <v>31149.074390369005</v>
      </c>
      <c r="J72" s="84">
        <f t="shared" si="20"/>
        <v>32279.982042460666</v>
      </c>
    </row>
    <row r="73" spans="2:10" ht="15" customHeight="1" x14ac:dyDescent="0.2">
      <c r="B73" s="67"/>
      <c r="C73" s="67"/>
      <c r="D73" s="67"/>
      <c r="E73" s="67"/>
      <c r="F73" s="67"/>
      <c r="G73" s="67"/>
      <c r="H73" s="67"/>
      <c r="I73" s="67"/>
      <c r="J73" s="67"/>
    </row>
    <row r="74" spans="2:10" ht="15" customHeight="1" x14ac:dyDescent="0.2">
      <c r="B74" s="12" t="s">
        <v>83</v>
      </c>
      <c r="C74" s="67"/>
      <c r="D74" s="67"/>
      <c r="E74" s="67"/>
      <c r="F74" s="67"/>
      <c r="G74" s="67"/>
      <c r="H74" s="67"/>
      <c r="I74" s="67"/>
      <c r="J74" s="67"/>
    </row>
    <row r="75" spans="2:10" ht="15" customHeight="1" x14ac:dyDescent="0.2">
      <c r="B75" s="13" t="s">
        <v>268</v>
      </c>
      <c r="C75" s="82">
        <v>40000</v>
      </c>
      <c r="D75" s="83">
        <f>C75+D88</f>
        <v>51894.118000000002</v>
      </c>
      <c r="E75" s="83">
        <f t="shared" ref="E75:J75" si="21">D75+E88</f>
        <v>67812.790000000008</v>
      </c>
      <c r="F75" s="83">
        <f t="shared" si="21"/>
        <v>84432.045172413811</v>
      </c>
      <c r="G75" s="83">
        <f t="shared" si="21"/>
        <v>102043.01229626233</v>
      </c>
      <c r="H75" s="83">
        <f t="shared" si="21"/>
        <v>120410.20793262597</v>
      </c>
      <c r="I75" s="83">
        <f t="shared" si="21"/>
        <v>139343.74139481576</v>
      </c>
      <c r="J75" s="83">
        <f t="shared" si="21"/>
        <v>158718.19017309955</v>
      </c>
    </row>
    <row r="76" spans="2:10" ht="15" customHeight="1" x14ac:dyDescent="0.2">
      <c r="B76" s="13" t="s">
        <v>269</v>
      </c>
      <c r="C76" s="82">
        <v>36318.244043835599</v>
      </c>
      <c r="D76" s="83">
        <f ca="1">C76-D100</f>
        <v>47622.091124593113</v>
      </c>
      <c r="E76" s="83">
        <f t="shared" ref="E76:J76" ca="1" si="22">D76-E100</f>
        <v>55092.069428033625</v>
      </c>
      <c r="F76" s="83">
        <f t="shared" ca="1" si="22"/>
        <v>68157.085790323559</v>
      </c>
      <c r="G76" s="83">
        <f t="shared" ca="1" si="22"/>
        <v>84903.047312952054</v>
      </c>
      <c r="H76" s="83">
        <f t="shared" ca="1" si="22"/>
        <v>105724.40668248915</v>
      </c>
      <c r="I76" s="83">
        <f t="shared" ca="1" si="22"/>
        <v>130168.62138118183</v>
      </c>
      <c r="J76" s="83">
        <f t="shared" ca="1" si="22"/>
        <v>158809.46004876471</v>
      </c>
    </row>
    <row r="77" spans="2:10" ht="15" customHeight="1" x14ac:dyDescent="0.2">
      <c r="B77" s="13" t="s">
        <v>84</v>
      </c>
      <c r="C77" s="82">
        <v>100000</v>
      </c>
      <c r="D77" s="83">
        <f ca="1">C77+D86</f>
        <v>118163.01105190304</v>
      </c>
      <c r="E77" s="83">
        <f t="shared" ref="E77:J77" ca="1" si="23">D77+E86</f>
        <v>133735.1450772172</v>
      </c>
      <c r="F77" s="83">
        <f t="shared" ca="1" si="23"/>
        <v>154170.85458157229</v>
      </c>
      <c r="G77" s="83">
        <f t="shared" ca="1" si="23"/>
        <v>179734.06916188318</v>
      </c>
      <c r="H77" s="83">
        <f t="shared" ca="1" si="23"/>
        <v>210837.38559251747</v>
      </c>
      <c r="I77" s="83">
        <f t="shared" ca="1" si="23"/>
        <v>247915.91224230494</v>
      </c>
      <c r="J77" s="83">
        <f t="shared" ca="1" si="23"/>
        <v>291513.29115173809</v>
      </c>
    </row>
    <row r="78" spans="2:10" ht="15" customHeight="1" x14ac:dyDescent="0.2">
      <c r="B78" s="19" t="s">
        <v>85</v>
      </c>
      <c r="C78" s="84">
        <f>C75-C76+C77</f>
        <v>103681.7559561644</v>
      </c>
      <c r="D78" s="84">
        <f t="shared" ref="D78:J78" ca="1" si="24">D75-D76+D77</f>
        <v>122435.03792730992</v>
      </c>
      <c r="E78" s="84">
        <f t="shared" ca="1" si="24"/>
        <v>146455.86564918357</v>
      </c>
      <c r="F78" s="84">
        <f t="shared" ca="1" si="24"/>
        <v>170445.81396366254</v>
      </c>
      <c r="G78" s="84">
        <f t="shared" ca="1" si="24"/>
        <v>196874.03414519347</v>
      </c>
      <c r="H78" s="84">
        <f t="shared" ca="1" si="24"/>
        <v>225523.18684265431</v>
      </c>
      <c r="I78" s="84">
        <f t="shared" ca="1" si="24"/>
        <v>257091.03225593886</v>
      </c>
      <c r="J78" s="84">
        <f t="shared" ca="1" si="24"/>
        <v>291422.02127607295</v>
      </c>
    </row>
    <row r="79" spans="2:10" ht="15" customHeight="1" thickBot="1" x14ac:dyDescent="0.25">
      <c r="B79" s="67"/>
      <c r="C79" s="67"/>
      <c r="D79" s="67"/>
      <c r="E79" s="67"/>
      <c r="F79" s="67"/>
      <c r="G79" s="67"/>
      <c r="H79" s="67"/>
      <c r="I79" s="67"/>
      <c r="J79" s="67"/>
    </row>
    <row r="80" spans="2:10" ht="15" customHeight="1" thickBot="1" x14ac:dyDescent="0.25">
      <c r="B80" s="10" t="s">
        <v>86</v>
      </c>
      <c r="C80" s="87">
        <f t="shared" ref="C80:J80" si="25">C72+C78</f>
        <v>127770.12328767125</v>
      </c>
      <c r="D80" s="87">
        <f t="shared" ca="1" si="25"/>
        <v>147191.97039306336</v>
      </c>
      <c r="E80" s="87">
        <f t="shared" ca="1" si="25"/>
        <v>173207.99364918357</v>
      </c>
      <c r="F80" s="87">
        <f t="shared" ca="1" si="25"/>
        <v>198271.74943461199</v>
      </c>
      <c r="G80" s="87">
        <f t="shared" ca="1" si="25"/>
        <v>225826.76649590084</v>
      </c>
      <c r="H80" s="87">
        <f t="shared" ca="1" si="25"/>
        <v>255576.74123363814</v>
      </c>
      <c r="I80" s="87">
        <f t="shared" ca="1" si="25"/>
        <v>288240.10664630786</v>
      </c>
      <c r="J80" s="87">
        <f t="shared" ca="1" si="25"/>
        <v>323702.00331853359</v>
      </c>
    </row>
    <row r="81" spans="2:10" ht="15" customHeight="1" thickTop="1" x14ac:dyDescent="0.2">
      <c r="B81" s="67"/>
      <c r="C81" s="67"/>
      <c r="D81" s="67"/>
      <c r="E81" s="67"/>
      <c r="F81" s="67"/>
      <c r="G81" s="67"/>
      <c r="H81" s="67"/>
      <c r="I81" s="67"/>
      <c r="J81" s="67"/>
    </row>
    <row r="82" spans="2:10" ht="15" customHeight="1" x14ac:dyDescent="0.2">
      <c r="B82" s="16" t="s">
        <v>87</v>
      </c>
      <c r="C82" s="83">
        <f t="shared" ref="C82:J82" si="26">C62-C80</f>
        <v>0</v>
      </c>
      <c r="D82" s="83">
        <f t="shared" ca="1" si="26"/>
        <v>0</v>
      </c>
      <c r="E82" s="83">
        <f t="shared" ca="1" si="26"/>
        <v>0</v>
      </c>
      <c r="F82" s="83">
        <f t="shared" ca="1" si="26"/>
        <v>0</v>
      </c>
      <c r="G82" s="83">
        <f t="shared" ca="1" si="26"/>
        <v>0</v>
      </c>
      <c r="H82" s="83">
        <f t="shared" ca="1" si="26"/>
        <v>0</v>
      </c>
      <c r="I82" s="83">
        <f t="shared" ca="1" si="26"/>
        <v>0</v>
      </c>
      <c r="J82" s="83">
        <f t="shared" ca="1" si="26"/>
        <v>0</v>
      </c>
    </row>
    <row r="83" spans="2:10" ht="15" customHeight="1" thickBot="1" x14ac:dyDescent="0.25">
      <c r="B83" s="67"/>
      <c r="C83" s="67"/>
      <c r="D83" s="67"/>
      <c r="E83" s="67"/>
      <c r="F83" s="67"/>
      <c r="G83" s="67"/>
      <c r="H83" s="67"/>
      <c r="I83" s="67"/>
      <c r="J83" s="67"/>
    </row>
    <row r="84" spans="2:10" ht="15" customHeight="1" thickBot="1" x14ac:dyDescent="0.25">
      <c r="B84" s="81" t="s">
        <v>88</v>
      </c>
      <c r="C84" s="81"/>
      <c r="D84" s="81"/>
      <c r="E84" s="81"/>
      <c r="F84" s="81"/>
      <c r="G84" s="81"/>
      <c r="H84" s="81"/>
      <c r="I84" s="81"/>
      <c r="J84" s="81"/>
    </row>
    <row r="85" spans="2:10" ht="15" customHeight="1" x14ac:dyDescent="0.2">
      <c r="B85" s="12" t="s">
        <v>89</v>
      </c>
      <c r="C85" s="67"/>
      <c r="D85" s="67"/>
      <c r="E85" s="67"/>
      <c r="F85" s="67"/>
      <c r="G85" s="67"/>
      <c r="H85" s="67"/>
      <c r="I85" s="67"/>
      <c r="J85" s="67"/>
    </row>
    <row r="86" spans="2:10" ht="15" customHeight="1" x14ac:dyDescent="0.2">
      <c r="B86" s="13" t="s">
        <v>90</v>
      </c>
      <c r="C86" s="83"/>
      <c r="D86" s="83" cm="1">
        <f t="array" aca="1" ref="D86" ca="1">D35</f>
        <v>18163.011051903035</v>
      </c>
      <c r="E86" s="83" cm="1">
        <f t="array" aca="1" ref="E86" ca="1">E35</f>
        <v>15572.134025314162</v>
      </c>
      <c r="F86" s="83" cm="1">
        <f t="array" aca="1" ref="F86" ca="1">F35</f>
        <v>20435.709504355098</v>
      </c>
      <c r="G86" s="83" cm="1">
        <f t="array" aca="1" ref="G86" ca="1">G35</f>
        <v>25563.214580310898</v>
      </c>
      <c r="H86" s="83" cm="1">
        <f t="array" aca="1" ref="H86" ca="1">H35</f>
        <v>31103.316430634288</v>
      </c>
      <c r="I86" s="83" cm="1">
        <f t="array" aca="1" ref="I86" ca="1">I35</f>
        <v>37078.526649787476</v>
      </c>
      <c r="J86" s="83" cm="1">
        <f t="array" aca="1" ref="J86" ca="1">J35</f>
        <v>43597.37890943313</v>
      </c>
    </row>
    <row r="87" spans="2:10" ht="15.75" customHeight="1" x14ac:dyDescent="0.2">
      <c r="B87" s="13" t="s">
        <v>91</v>
      </c>
      <c r="C87" s="82"/>
      <c r="D87" s="72">
        <f>C$95*INDEX('Company1808 Assumptions'!E$82:E$84,MATCH($D$5,'Company1808 Assumptions'!$C$82:$C$84,0))</f>
        <v>14180.962249999999</v>
      </c>
      <c r="E87" s="72">
        <f>D$95*INDEX('Company1808 Assumptions'!F$82:F$84,MATCH($D$5,'Company1808 Assumptions'!$C$82:$C$84,0))</f>
        <v>16675.087</v>
      </c>
      <c r="F87" s="72">
        <f>E$95*INDEX('Company1808 Assumptions'!G$82:G$84,MATCH($D$5,'Company1808 Assumptions'!$C$82:$C$84,0))</f>
        <v>21483.462</v>
      </c>
      <c r="G87" s="72">
        <f>F$95*INDEX('Company1808 Assumptions'!H$82:H$84,MATCH($D$5,'Company1808 Assumptions'!$C$82:$C$84,0))</f>
        <v>22587.078620689659</v>
      </c>
      <c r="H87" s="72">
        <f>G$95*INDEX('Company1808 Assumptions'!I$82:I$84,MATCH($D$5,'Company1808 Assumptions'!$C$82:$C$84,0))</f>
        <v>23439.358624360291</v>
      </c>
      <c r="I87" s="72">
        <f>H$95*INDEX('Company1808 Assumptions'!J$82:J$84,MATCH($D$5,'Company1808 Assumptions'!$C$82:$C$84,0))</f>
        <v>23877.354327272729</v>
      </c>
      <c r="J87" s="72">
        <f>I$95*INDEX('Company1808 Assumptions'!K$82:K$84,MATCH($D$5,'Company1808 Assumptions'!$C$82:$C$84,0))</f>
        <v>24613.59350084672</v>
      </c>
    </row>
    <row r="88" spans="2:10" ht="15" customHeight="1" x14ac:dyDescent="0.2">
      <c r="B88" s="13" t="s">
        <v>92</v>
      </c>
      <c r="C88" s="83"/>
      <c r="D88" s="83" cm="1">
        <f t="array" ref="D88">D24</f>
        <v>11894.117999999999</v>
      </c>
      <c r="E88" s="83" cm="1">
        <f t="array" ref="E88">E24</f>
        <v>15918.672</v>
      </c>
      <c r="F88" s="83" cm="1">
        <f t="array" ref="F88">F24</f>
        <v>16619.255172413796</v>
      </c>
      <c r="G88" s="83" cm="1">
        <f t="array" ref="G88">G24</f>
        <v>17610.967123848517</v>
      </c>
      <c r="H88" s="83" cm="1">
        <f t="array" ref="H88">H24</f>
        <v>18367.195636363638</v>
      </c>
      <c r="I88" s="83" cm="1">
        <f t="array" ref="I88">I24</f>
        <v>18933.533462189785</v>
      </c>
      <c r="J88" s="83" cm="1">
        <f t="array" ref="J88">J24</f>
        <v>19374.448778283793</v>
      </c>
    </row>
    <row r="89" spans="2:10" ht="15" customHeight="1" x14ac:dyDescent="0.2">
      <c r="B89" s="17" t="s">
        <v>93</v>
      </c>
      <c r="C89" s="67"/>
      <c r="D89" s="67"/>
      <c r="E89" s="67"/>
      <c r="F89" s="67"/>
      <c r="G89" s="67"/>
      <c r="H89" s="67"/>
      <c r="I89" s="67"/>
      <c r="J89" s="67"/>
    </row>
    <row r="90" spans="2:10" ht="15" customHeight="1" x14ac:dyDescent="0.2">
      <c r="B90" s="18" t="s">
        <v>106</v>
      </c>
      <c r="C90" s="67"/>
      <c r="D90" s="83">
        <f>-(SUM(D50:D51)-SUM(C50:C51))</f>
        <v>637.85753424657378</v>
      </c>
      <c r="E90" s="83">
        <f t="shared" ref="E90:J90" si="27">-(SUM(E50:E51)-SUM(D50:D51))</f>
        <v>-2117.3342465753412</v>
      </c>
      <c r="F90" s="83">
        <f t="shared" si="27"/>
        <v>-2062.8572508266443</v>
      </c>
      <c r="G90" s="83">
        <f t="shared" si="27"/>
        <v>-2044.4877477011432</v>
      </c>
      <c r="H90" s="83">
        <f t="shared" si="27"/>
        <v>-1871.4408903887779</v>
      </c>
      <c r="I90" s="83">
        <f t="shared" si="27"/>
        <v>-1752.1833624207065</v>
      </c>
      <c r="J90" s="83">
        <f t="shared" si="27"/>
        <v>-1719.4825647294128</v>
      </c>
    </row>
    <row r="91" spans="2:10" ht="15" customHeight="1" x14ac:dyDescent="0.2">
      <c r="B91" s="18" t="s">
        <v>107</v>
      </c>
      <c r="C91" s="67"/>
      <c r="D91" s="83">
        <f t="shared" ref="D91:J91" si="28">SUM(D67:D68)-SUM(C67:C68)</f>
        <v>1168.5651342465753</v>
      </c>
      <c r="E91" s="83">
        <f t="shared" si="28"/>
        <v>2495.195534246579</v>
      </c>
      <c r="F91" s="83">
        <f t="shared" si="28"/>
        <v>1573.807470949454</v>
      </c>
      <c r="G91" s="83">
        <f t="shared" si="28"/>
        <v>1626.7968797579088</v>
      </c>
      <c r="H91" s="83">
        <f t="shared" si="28"/>
        <v>1600.8220402764491</v>
      </c>
      <c r="I91" s="83">
        <f t="shared" si="28"/>
        <v>1595.5199993851893</v>
      </c>
      <c r="J91" s="83">
        <f t="shared" si="28"/>
        <v>1630.9076520916606</v>
      </c>
    </row>
    <row r="92" spans="2:10" ht="15.75" customHeight="1" x14ac:dyDescent="0.2">
      <c r="B92" s="19" t="s">
        <v>94</v>
      </c>
      <c r="C92" s="84"/>
      <c r="D92" s="84">
        <f ca="1">SUM(D86:D91)</f>
        <v>46044.513970396176</v>
      </c>
      <c r="E92" s="84">
        <f t="shared" ref="E92:J92" ca="1" si="29">SUM(E86:E91)</f>
        <v>48543.754312985402</v>
      </c>
      <c r="F92" s="84">
        <f t="shared" ca="1" si="29"/>
        <v>58049.376896891699</v>
      </c>
      <c r="G92" s="84">
        <f t="shared" ca="1" si="29"/>
        <v>65343.56945690584</v>
      </c>
      <c r="H92" s="84">
        <f t="shared" ca="1" si="29"/>
        <v>72639.251841245888</v>
      </c>
      <c r="I92" s="84">
        <f t="shared" ca="1" si="29"/>
        <v>79732.751076214467</v>
      </c>
      <c r="J92" s="84">
        <f t="shared" ca="1" si="29"/>
        <v>87496.846275925884</v>
      </c>
    </row>
    <row r="93" spans="2:10" ht="15" customHeight="1" x14ac:dyDescent="0.2">
      <c r="B93" s="67"/>
      <c r="C93" s="67"/>
      <c r="D93" s="67"/>
      <c r="E93" s="67"/>
      <c r="F93" s="67"/>
      <c r="G93" s="67"/>
      <c r="H93" s="67"/>
      <c r="I93" s="67"/>
      <c r="J93" s="67"/>
    </row>
    <row r="94" spans="2:10" ht="15" customHeight="1" x14ac:dyDescent="0.2">
      <c r="B94" s="12" t="s">
        <v>95</v>
      </c>
      <c r="C94" s="67"/>
      <c r="D94" s="67"/>
      <c r="E94" s="67"/>
      <c r="F94" s="67"/>
      <c r="G94" s="67"/>
      <c r="H94" s="67"/>
      <c r="I94" s="67"/>
      <c r="J94" s="67"/>
    </row>
    <row r="95" spans="2:10" ht="15.75" customHeight="1" x14ac:dyDescent="0.2">
      <c r="B95" s="13" t="s">
        <v>96</v>
      </c>
      <c r="C95" s="72">
        <f>C$14*INDEX('Company1808 Assumptions'!D$78:D$80,MATCH($D$5,'Company1808 Assumptions'!$C$78:$C$80,0))</f>
        <v>21816.864999999998</v>
      </c>
      <c r="D95" s="72">
        <f>D$14*INDEX('Company1808 Assumptions'!E$78:E$80,MATCH($D$5,'Company1808 Assumptions'!$C$78:$C$80,0))</f>
        <v>25653.98</v>
      </c>
      <c r="E95" s="72">
        <f>E$14*INDEX('Company1808 Assumptions'!F$78:F$80,MATCH($D$5,'Company1808 Assumptions'!$C$78:$C$80,0))</f>
        <v>33051.479999999996</v>
      </c>
      <c r="F95" s="72">
        <f>F$14*INDEX('Company1808 Assumptions'!G$78:G$80,MATCH($D$5,'Company1808 Assumptions'!$C$78:$C$80,0))</f>
        <v>34749.351724137938</v>
      </c>
      <c r="G95" s="72">
        <f>G$14*INDEX('Company1808 Assumptions'!H$78:H$80,MATCH($D$5,'Company1808 Assumptions'!$C$78:$C$80,0))</f>
        <v>36060.55172978506</v>
      </c>
      <c r="H95" s="72">
        <f>H$14*INDEX('Company1808 Assumptions'!I$78:I$80,MATCH($D$5,'Company1808 Assumptions'!$C$78:$C$80,0))</f>
        <v>36734.391272727276</v>
      </c>
      <c r="I95" s="72">
        <f>I$14*INDEX('Company1808 Assumptions'!J$78:J$80,MATCH($D$5,'Company1808 Assumptions'!$C$78:$C$80,0))</f>
        <v>37867.066924379571</v>
      </c>
      <c r="J95" s="72">
        <f>J$14*INDEX('Company1808 Assumptions'!K$78:K$80,MATCH($D$5,'Company1808 Assumptions'!$C$78:$C$80,0))</f>
        <v>38748.897556567586</v>
      </c>
    </row>
    <row r="96" spans="2:10" ht="15.75" customHeight="1" x14ac:dyDescent="0.2">
      <c r="B96" s="13" t="s">
        <v>270</v>
      </c>
      <c r="C96" s="72"/>
      <c r="D96" s="83">
        <f>D59-C59</f>
        <v>3000.0000000000036</v>
      </c>
      <c r="E96" s="83">
        <f t="shared" ref="E96:J96" si="30">E59-D59</f>
        <v>4000</v>
      </c>
      <c r="F96" s="83">
        <f t="shared" si="30"/>
        <v>3200.0000000000036</v>
      </c>
      <c r="G96" s="83">
        <f t="shared" si="30"/>
        <v>3520.0000000000073</v>
      </c>
      <c r="H96" s="83">
        <f t="shared" si="30"/>
        <v>3872.0000000000073</v>
      </c>
      <c r="I96" s="83">
        <f t="shared" si="30"/>
        <v>4259.2000000000044</v>
      </c>
      <c r="J96" s="83">
        <f t="shared" si="30"/>
        <v>4685.1200000000099</v>
      </c>
    </row>
    <row r="97" spans="2:10" ht="15" customHeight="1" x14ac:dyDescent="0.2">
      <c r="B97" s="19" t="s">
        <v>97</v>
      </c>
      <c r="C97" s="84"/>
      <c r="D97" s="84">
        <f>-SUM(D95:D96)</f>
        <v>-28653.980000000003</v>
      </c>
      <c r="E97" s="84">
        <f t="shared" ref="E97:J97" si="31">-SUM(E95:E96)</f>
        <v>-37051.479999999996</v>
      </c>
      <c r="F97" s="84">
        <f t="shared" si="31"/>
        <v>-37949.351724137945</v>
      </c>
      <c r="G97" s="84">
        <f t="shared" si="31"/>
        <v>-39580.551729785067</v>
      </c>
      <c r="H97" s="84">
        <f t="shared" si="31"/>
        <v>-40606.391272727284</v>
      </c>
      <c r="I97" s="84">
        <f t="shared" si="31"/>
        <v>-42126.266924379575</v>
      </c>
      <c r="J97" s="84">
        <f t="shared" si="31"/>
        <v>-43434.017556567596</v>
      </c>
    </row>
    <row r="98" spans="2:10" ht="13.5" customHeight="1" x14ac:dyDescent="0.2">
      <c r="B98" s="67"/>
      <c r="C98" s="67"/>
      <c r="D98" s="67"/>
      <c r="E98" s="67"/>
      <c r="F98" s="67"/>
      <c r="G98" s="67"/>
      <c r="H98" s="67"/>
      <c r="I98" s="67"/>
      <c r="J98" s="67"/>
    </row>
    <row r="99" spans="2:10" ht="15.75" customHeight="1" x14ac:dyDescent="0.2">
      <c r="B99" s="12" t="s">
        <v>98</v>
      </c>
      <c r="C99" s="67"/>
      <c r="D99" s="67"/>
      <c r="E99" s="67"/>
      <c r="F99" s="67"/>
      <c r="G99" s="67"/>
      <c r="H99" s="67"/>
      <c r="I99" s="67"/>
      <c r="J99" s="67"/>
    </row>
    <row r="100" spans="2:10" ht="15.75" customHeight="1" x14ac:dyDescent="0.2">
      <c r="B100" s="13" t="s">
        <v>99</v>
      </c>
      <c r="C100" s="88"/>
      <c r="D100" s="72">
        <f ca="1">-MAX(D92+D97,0)*INDEX('Company1808 Assumptions'!$G$109:$G$111,MATCH($D$5,'Company1808 Assumptions'!$C$109:$C$111,0))</f>
        <v>-11303.847080757512</v>
      </c>
      <c r="E100" s="72">
        <f ca="1">-MAX(E92+E97,0)*INDEX('Company1808 Assumptions'!$G$109:$G$111,MATCH($D$5,'Company1808 Assumptions'!$C$109:$C$111,0))</f>
        <v>-7469.9783034405145</v>
      </c>
      <c r="F100" s="72">
        <f ca="1">-MAX(F92+F97,0)*INDEX('Company1808 Assumptions'!$G$109:$G$111,MATCH($D$5,'Company1808 Assumptions'!$C$109:$C$111,0))</f>
        <v>-13065.01636228994</v>
      </c>
      <c r="G100" s="72">
        <f ca="1">-MAX(G92+G97,0)*INDEX('Company1808 Assumptions'!$G$109:$G$111,MATCH($D$5,'Company1808 Assumptions'!$C$109:$C$111,0))</f>
        <v>-16745.961522628502</v>
      </c>
      <c r="H100" s="72">
        <f ca="1">-MAX(H92+H97,0)*INDEX('Company1808 Assumptions'!$G$109:$G$111,MATCH($D$5,'Company1808 Assumptions'!$C$109:$C$111,0))</f>
        <v>-20821.359369537095</v>
      </c>
      <c r="I100" s="72">
        <f ca="1">-MAX(I92+I97,0)*INDEX('Company1808 Assumptions'!$G$109:$G$111,MATCH($D$5,'Company1808 Assumptions'!$C$109:$C$111,0))</f>
        <v>-24444.214698692682</v>
      </c>
      <c r="J100" s="72">
        <f ca="1">-MAX(J92+J97,0)*INDEX('Company1808 Assumptions'!$G$109:$G$111,MATCH($D$5,'Company1808 Assumptions'!$C$109:$C$111,0))</f>
        <v>-28640.838667582888</v>
      </c>
    </row>
    <row r="101" spans="2:10" ht="15" customHeight="1" x14ac:dyDescent="0.2">
      <c r="B101" s="13" t="s">
        <v>100</v>
      </c>
      <c r="C101" s="82"/>
      <c r="D101" s="83">
        <f t="shared" ref="D101:J101" si="32">D$71-C$71</f>
        <v>-500</v>
      </c>
      <c r="E101" s="83">
        <f t="shared" si="32"/>
        <v>-500</v>
      </c>
      <c r="F101" s="83">
        <f t="shared" si="32"/>
        <v>-500</v>
      </c>
      <c r="G101" s="83">
        <f t="shared" si="32"/>
        <v>-500</v>
      </c>
      <c r="H101" s="83">
        <f t="shared" si="32"/>
        <v>-500</v>
      </c>
      <c r="I101" s="83">
        <f t="shared" si="32"/>
        <v>-500</v>
      </c>
      <c r="J101" s="83">
        <f t="shared" si="32"/>
        <v>-500</v>
      </c>
    </row>
    <row r="102" spans="2:10" ht="15" customHeight="1" x14ac:dyDescent="0.2">
      <c r="B102" s="19" t="s">
        <v>101</v>
      </c>
      <c r="C102" s="84"/>
      <c r="D102" s="84">
        <f t="shared" ref="D102:J102" ca="1" si="33">SUM(D99:D101)</f>
        <v>-11803.847080757512</v>
      </c>
      <c r="E102" s="84">
        <f t="shared" ca="1" si="33"/>
        <v>-7969.9783034405145</v>
      </c>
      <c r="F102" s="84">
        <f t="shared" ca="1" si="33"/>
        <v>-13565.01636228994</v>
      </c>
      <c r="G102" s="84">
        <f t="shared" ca="1" si="33"/>
        <v>-17245.961522628502</v>
      </c>
      <c r="H102" s="84">
        <f t="shared" ca="1" si="33"/>
        <v>-21321.359369537095</v>
      </c>
      <c r="I102" s="84">
        <f t="shared" ca="1" si="33"/>
        <v>-24944.214698692682</v>
      </c>
      <c r="J102" s="84">
        <f t="shared" ca="1" si="33"/>
        <v>-29140.838667582888</v>
      </c>
    </row>
    <row r="103" spans="2:10" ht="15" customHeight="1" x14ac:dyDescent="0.2">
      <c r="B103" s="67"/>
      <c r="C103" s="67"/>
      <c r="D103" s="67"/>
      <c r="E103" s="67"/>
      <c r="F103" s="67"/>
      <c r="G103" s="67"/>
      <c r="H103" s="67"/>
      <c r="I103" s="67"/>
      <c r="J103" s="67"/>
    </row>
    <row r="104" spans="2:10" ht="15" customHeight="1" x14ac:dyDescent="0.2">
      <c r="B104" s="20" t="s">
        <v>102</v>
      </c>
      <c r="C104" s="83"/>
      <c r="D104" s="83">
        <f t="shared" ref="D104:J104" ca="1" si="34">D92+D97+D102</f>
        <v>5586.6868896386604</v>
      </c>
      <c r="E104" s="83">
        <f t="shared" ca="1" si="34"/>
        <v>3522.2960095448916</v>
      </c>
      <c r="F104" s="83">
        <f t="shared" ca="1" si="34"/>
        <v>6535.0088104638144</v>
      </c>
      <c r="G104" s="83">
        <f t="shared" ca="1" si="34"/>
        <v>8517.0562044922699</v>
      </c>
      <c r="H104" s="83">
        <f t="shared" ca="1" si="34"/>
        <v>10711.50119898151</v>
      </c>
      <c r="I104" s="83">
        <f t="shared" ca="1" si="34"/>
        <v>12662.269453142209</v>
      </c>
      <c r="J104" s="83">
        <f t="shared" ca="1" si="34"/>
        <v>14921.990051775399</v>
      </c>
    </row>
    <row r="105" spans="2:10" ht="15" customHeight="1" thickBot="1" x14ac:dyDescent="0.25">
      <c r="B105" s="21" t="s">
        <v>103</v>
      </c>
      <c r="C105" s="83"/>
      <c r="D105" s="83">
        <f>C$106</f>
        <v>35000</v>
      </c>
      <c r="E105" s="83">
        <f t="shared" ref="E105:J105" ca="1" si="35">D$106</f>
        <v>40586.686889638659</v>
      </c>
      <c r="F105" s="83">
        <f t="shared" ca="1" si="35"/>
        <v>44108.982899183553</v>
      </c>
      <c r="G105" s="83">
        <f t="shared" ca="1" si="35"/>
        <v>50643.991709647365</v>
      </c>
      <c r="H105" s="83">
        <f t="shared" ca="1" si="35"/>
        <v>59161.047914139635</v>
      </c>
      <c r="I105" s="83">
        <f t="shared" ca="1" si="35"/>
        <v>69872.549113121146</v>
      </c>
      <c r="J105" s="83">
        <f t="shared" ca="1" si="35"/>
        <v>82534.818566263362</v>
      </c>
    </row>
    <row r="106" spans="2:10" ht="15" customHeight="1" thickBot="1" x14ac:dyDescent="0.25">
      <c r="B106" s="10" t="s">
        <v>104</v>
      </c>
      <c r="C106" s="87">
        <f>C$49</f>
        <v>35000</v>
      </c>
      <c r="D106" s="87">
        <f t="shared" ref="D106:J106" ca="1" si="36">D104+D105</f>
        <v>40586.686889638659</v>
      </c>
      <c r="E106" s="87">
        <f t="shared" ca="1" si="36"/>
        <v>44108.982899183553</v>
      </c>
      <c r="F106" s="87">
        <f t="shared" ca="1" si="36"/>
        <v>50643.991709647365</v>
      </c>
      <c r="G106" s="87">
        <f t="shared" ca="1" si="36"/>
        <v>59161.047914139635</v>
      </c>
      <c r="H106" s="87">
        <f t="shared" ca="1" si="36"/>
        <v>69872.549113121146</v>
      </c>
      <c r="I106" s="87">
        <f t="shared" ca="1" si="36"/>
        <v>82534.818566263362</v>
      </c>
      <c r="J106" s="87">
        <f t="shared" ca="1" si="36"/>
        <v>97456.808618038762</v>
      </c>
    </row>
    <row r="107" spans="2:10" ht="15.75" customHeight="1" thickTop="1" x14ac:dyDescent="0.2">
      <c r="B107" s="67"/>
      <c r="C107" s="67"/>
      <c r="D107" s="67"/>
      <c r="E107" s="67"/>
      <c r="F107" s="67"/>
      <c r="G107" s="67"/>
      <c r="H107" s="67"/>
      <c r="I107" s="67"/>
      <c r="J107" s="67"/>
    </row>
    <row r="108" spans="2:10" ht="15" customHeight="1" x14ac:dyDescent="0.2">
      <c r="B108" s="16" t="s">
        <v>105</v>
      </c>
      <c r="C108" s="83">
        <f t="shared" ref="C108:J108" si="37">C106-C49</f>
        <v>0</v>
      </c>
      <c r="D108" s="83">
        <f t="shared" ca="1" si="37"/>
        <v>0</v>
      </c>
      <c r="E108" s="83">
        <f t="shared" ca="1" si="37"/>
        <v>0</v>
      </c>
      <c r="F108" s="83">
        <f t="shared" ca="1" si="37"/>
        <v>0</v>
      </c>
      <c r="G108" s="83">
        <f t="shared" ca="1" si="37"/>
        <v>0</v>
      </c>
      <c r="H108" s="83">
        <f t="shared" ca="1" si="37"/>
        <v>0</v>
      </c>
      <c r="I108" s="83">
        <f t="shared" ca="1" si="37"/>
        <v>0</v>
      </c>
      <c r="J108" s="83">
        <f t="shared" ca="1" si="37"/>
        <v>0</v>
      </c>
    </row>
    <row r="109" spans="2:10" ht="15" customHeight="1" thickBot="1" x14ac:dyDescent="0.25">
      <c r="B109" s="67"/>
      <c r="C109" s="67"/>
      <c r="D109" s="67"/>
      <c r="E109" s="67"/>
      <c r="F109" s="67"/>
      <c r="G109" s="67"/>
      <c r="H109" s="67"/>
      <c r="I109" s="67"/>
      <c r="J109" s="67"/>
    </row>
    <row r="110" spans="2:10" ht="15" customHeight="1" x14ac:dyDescent="0.2">
      <c r="B110" s="113" t="s">
        <v>290</v>
      </c>
      <c r="C110" s="114"/>
      <c r="D110" s="114"/>
      <c r="E110" s="114"/>
      <c r="F110" s="114"/>
      <c r="G110" s="114"/>
      <c r="H110" s="114"/>
      <c r="I110" s="114"/>
      <c r="J110" s="114"/>
    </row>
    <row r="111" spans="2:10" ht="15" customHeight="1" x14ac:dyDescent="0.2">
      <c r="F111" s="115" t="s">
        <v>291</v>
      </c>
      <c r="G111" s="115" t="s">
        <v>292</v>
      </c>
      <c r="H111" s="115" t="s">
        <v>293</v>
      </c>
      <c r="I111" s="115" t="s">
        <v>294</v>
      </c>
      <c r="J111" s="115" t="s">
        <v>295</v>
      </c>
    </row>
    <row r="112" spans="2:10" ht="15" customHeight="1" x14ac:dyDescent="0.2">
      <c r="B112" s="89" t="s">
        <v>296</v>
      </c>
      <c r="F112" s="116">
        <v>1830</v>
      </c>
    </row>
    <row r="113" spans="2:10" ht="15" customHeight="1" x14ac:dyDescent="0.2">
      <c r="B113" s="89" t="s">
        <v>297</v>
      </c>
      <c r="F113" s="106">
        <f ca="1">($F$71-$F$49)/1000</f>
        <v>-42.143991709647366</v>
      </c>
    </row>
    <row r="114" spans="2:10" ht="15" customHeight="1" x14ac:dyDescent="0.2">
      <c r="B114" s="89" t="s">
        <v>298</v>
      </c>
      <c r="F114" s="106">
        <f ca="1">F112+F113</f>
        <v>1787.8560082903527</v>
      </c>
      <c r="G114" s="106"/>
      <c r="H114" s="106"/>
      <c r="I114" s="106"/>
      <c r="J114" s="106"/>
    </row>
    <row r="115" spans="2:10" ht="15" customHeight="1" x14ac:dyDescent="0.2">
      <c r="B115" s="89"/>
    </row>
    <row r="116" spans="2:10" ht="15" customHeight="1" x14ac:dyDescent="0.2">
      <c r="B116" s="89" t="s">
        <v>299</v>
      </c>
      <c r="F116" s="117">
        <f ca="1">$F$114*1000/F$14</f>
        <v>11.833512324811073</v>
      </c>
      <c r="G116" s="117">
        <f t="shared" ref="G116:J116" ca="1" si="38">$F$114*1000/G$14</f>
        <v>10.659544109662933</v>
      </c>
      <c r="H116" s="117">
        <f t="shared" ca="1" si="38"/>
        <v>9.7339628960598077</v>
      </c>
      <c r="I116" s="117">
        <f t="shared" ca="1" si="38"/>
        <v>8.9706615580639593</v>
      </c>
      <c r="J116" s="117">
        <f t="shared" ca="1" si="38"/>
        <v>8.3051158041970901</v>
      </c>
    </row>
    <row r="117" spans="2:10" ht="15" customHeight="1" x14ac:dyDescent="0.2">
      <c r="B117" s="89" t="s">
        <v>300</v>
      </c>
      <c r="F117" s="117">
        <f ca="1">$F$114*1000/(F$27+F$87)</f>
        <v>38.271960728149523</v>
      </c>
      <c r="G117" s="117">
        <f t="shared" ref="G117:J117" ca="1" si="39">$F$114*1000/(G$27+G$87)</f>
        <v>32.933519160157175</v>
      </c>
      <c r="H117" s="117">
        <f t="shared" ca="1" si="39"/>
        <v>28.746373332828863</v>
      </c>
      <c r="I117" s="117">
        <f t="shared" ca="1" si="39"/>
        <v>25.426621367487346</v>
      </c>
      <c r="J117" s="117">
        <f t="shared" ca="1" si="39"/>
        <v>22.48653019932355</v>
      </c>
    </row>
    <row r="118" spans="2:10" ht="15" customHeight="1" x14ac:dyDescent="0.2">
      <c r="B118" s="89" t="s">
        <v>301</v>
      </c>
      <c r="F118" s="117">
        <f ca="1">$F$112*1000/F$35</f>
        <v>89.54912965512672</v>
      </c>
      <c r="G118" s="117">
        <f t="shared" ref="G118:J118" ca="1" si="40">$F$112*1000/G$35</f>
        <v>71.587240886734506</v>
      </c>
      <c r="H118" s="117">
        <f t="shared" ca="1" si="40"/>
        <v>58.836169579575632</v>
      </c>
      <c r="I118" s="117">
        <f t="shared" ca="1" si="40"/>
        <v>49.354711887142606</v>
      </c>
      <c r="J118" s="117">
        <f t="shared" ca="1" si="40"/>
        <v>41.975000465086318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pageSetUpPr fitToPage="1"/>
  </sheetPr>
  <dimension ref="B2:M95"/>
  <sheetViews>
    <sheetView showGridLines="0" zoomScale="85" zoomScaleNormal="85" workbookViewId="0"/>
  </sheetViews>
  <sheetFormatPr baseColWidth="10" defaultColWidth="7.6640625" defaultRowHeight="15" customHeight="1" x14ac:dyDescent="0.2"/>
  <cols>
    <col min="1" max="1" width="7.6640625" style="23"/>
    <col min="2" max="2" width="31.1640625" style="23" customWidth="1"/>
    <col min="3" max="3" width="2.5" style="23" customWidth="1"/>
    <col min="4" max="8" width="12.6640625" style="23" customWidth="1"/>
    <col min="9" max="16384" width="7.6640625" style="23"/>
  </cols>
  <sheetData>
    <row r="2" spans="2:13" ht="15" customHeight="1" x14ac:dyDescent="0.2">
      <c r="B2" s="22" t="s">
        <v>109</v>
      </c>
    </row>
    <row r="3" spans="2:13" ht="15" customHeight="1" x14ac:dyDescent="0.2">
      <c r="B3" s="24" t="s">
        <v>110</v>
      </c>
    </row>
    <row r="5" spans="2:13" ht="15" customHeight="1" x14ac:dyDescent="0.2">
      <c r="B5" s="25" t="s">
        <v>111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">
      <c r="B7" s="26" t="s">
        <v>112</v>
      </c>
    </row>
    <row r="8" spans="2:13" ht="15" customHeight="1" x14ac:dyDescent="0.2">
      <c r="B8" s="27" t="s">
        <v>113</v>
      </c>
      <c r="D8" s="28" t="s">
        <v>114</v>
      </c>
    </row>
    <row r="9" spans="2:13" ht="15" customHeight="1" x14ac:dyDescent="0.2">
      <c r="B9" s="27" t="s">
        <v>115</v>
      </c>
      <c r="D9" s="28" t="s">
        <v>116</v>
      </c>
    </row>
    <row r="10" spans="2:13" ht="15" customHeight="1" x14ac:dyDescent="0.2">
      <c r="B10" s="27" t="s">
        <v>117</v>
      </c>
      <c r="D10" s="28" t="s">
        <v>118</v>
      </c>
    </row>
    <row r="11" spans="2:13" ht="15" customHeight="1" x14ac:dyDescent="0.2">
      <c r="B11" s="27" t="s">
        <v>119</v>
      </c>
      <c r="D11" s="28" t="s">
        <v>226</v>
      </c>
    </row>
    <row r="12" spans="2:13" ht="15" customHeight="1" x14ac:dyDescent="0.2">
      <c r="B12" s="27" t="s">
        <v>121</v>
      </c>
      <c r="D12" s="28" t="s">
        <v>120</v>
      </c>
    </row>
    <row r="14" spans="2:13" ht="15" customHeight="1" x14ac:dyDescent="0.2">
      <c r="B14" s="25" t="s">
        <v>122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6" spans="2:13" ht="15" customHeight="1" x14ac:dyDescent="0.2">
      <c r="B16" s="26" t="s">
        <v>123</v>
      </c>
    </row>
    <row r="17" spans="2:13" ht="15" customHeight="1" x14ac:dyDescent="0.2">
      <c r="B17" s="27" t="s">
        <v>124</v>
      </c>
      <c r="D17" s="29">
        <v>520</v>
      </c>
    </row>
    <row r="18" spans="2:13" ht="15" customHeight="1" x14ac:dyDescent="0.2">
      <c r="B18" s="27" t="s">
        <v>125</v>
      </c>
      <c r="D18" s="30">
        <v>0.3</v>
      </c>
    </row>
    <row r="19" spans="2:13" ht="15" customHeight="1" x14ac:dyDescent="0.2">
      <c r="B19" s="27" t="s">
        <v>126</v>
      </c>
      <c r="D19" s="31">
        <f>D17*(1+D18)</f>
        <v>676</v>
      </c>
    </row>
    <row r="20" spans="2:13" ht="15" customHeight="1" x14ac:dyDescent="0.2">
      <c r="B20" s="27" t="s">
        <v>127</v>
      </c>
      <c r="D20" s="32">
        <v>2700</v>
      </c>
    </row>
    <row r="21" spans="2:13" ht="15" customHeight="1" x14ac:dyDescent="0.2">
      <c r="B21" s="33" t="s">
        <v>128</v>
      </c>
      <c r="D21" s="48">
        <f>D19*D20</f>
        <v>1825200</v>
      </c>
    </row>
    <row r="23" spans="2:13" ht="15" customHeight="1" x14ac:dyDescent="0.2">
      <c r="B23" s="26" t="s">
        <v>129</v>
      </c>
    </row>
    <row r="24" spans="2:13" ht="15" customHeight="1" x14ac:dyDescent="0.2">
      <c r="B24" s="27" t="s">
        <v>130</v>
      </c>
      <c r="D24" s="30">
        <v>0.5</v>
      </c>
    </row>
    <row r="25" spans="2:13" ht="15" customHeight="1" x14ac:dyDescent="0.2">
      <c r="B25" s="27" t="s">
        <v>131</v>
      </c>
      <c r="D25" s="30">
        <v>0.5</v>
      </c>
    </row>
    <row r="26" spans="2:13" ht="15" customHeight="1" x14ac:dyDescent="0.2">
      <c r="B26" s="27" t="s">
        <v>132</v>
      </c>
      <c r="D26" s="48">
        <f t="shared" ref="D26:D27" si="0">$D$21*D24</f>
        <v>912600</v>
      </c>
    </row>
    <row r="27" spans="2:13" ht="15" customHeight="1" x14ac:dyDescent="0.2">
      <c r="B27" s="27" t="s">
        <v>133</v>
      </c>
      <c r="D27" s="48">
        <f t="shared" si="0"/>
        <v>912600</v>
      </c>
    </row>
    <row r="28" spans="2:13" ht="15" customHeight="1" x14ac:dyDescent="0.2">
      <c r="B28" s="27" t="s">
        <v>134</v>
      </c>
      <c r="D28" s="29">
        <v>175</v>
      </c>
    </row>
    <row r="29" spans="2:13" ht="15" customHeight="1" x14ac:dyDescent="0.2">
      <c r="B29" s="27" t="s">
        <v>135</v>
      </c>
      <c r="D29" s="35">
        <f t="shared" ref="D29" si="1">D27/D28</f>
        <v>5214.8571428571431</v>
      </c>
    </row>
    <row r="31" spans="2:13" ht="15" customHeight="1" x14ac:dyDescent="0.2">
      <c r="B31" s="25" t="s">
        <v>136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3" spans="2:13" ht="15" customHeight="1" x14ac:dyDescent="0.2">
      <c r="B33" s="26" t="s">
        <v>137</v>
      </c>
      <c r="F33" s="26" t="s">
        <v>138</v>
      </c>
    </row>
    <row r="34" spans="2:13" ht="15" customHeight="1" x14ac:dyDescent="0.2">
      <c r="B34" s="27" t="s">
        <v>139</v>
      </c>
      <c r="D34" s="48">
        <f>$D$27</f>
        <v>912600</v>
      </c>
      <c r="F34" s="27" t="s">
        <v>140</v>
      </c>
      <c r="H34" s="48" cm="1">
        <f t="array" ref="H34">D21</f>
        <v>1825200</v>
      </c>
    </row>
    <row r="35" spans="2:13" ht="15" customHeight="1" x14ac:dyDescent="0.2">
      <c r="B35" s="27" t="s">
        <v>141</v>
      </c>
      <c r="D35" s="49">
        <v>400000</v>
      </c>
      <c r="F35" s="27" t="s">
        <v>142</v>
      </c>
      <c r="H35" s="48">
        <f>$D$21*$I$35</f>
        <v>36504</v>
      </c>
      <c r="I35" s="53">
        <v>0.02</v>
      </c>
    </row>
    <row r="36" spans="2:13" ht="15" customHeight="1" x14ac:dyDescent="0.2">
      <c r="B36" s="27" t="s">
        <v>143</v>
      </c>
      <c r="D36" s="49">
        <v>100000</v>
      </c>
      <c r="F36" s="27" t="s">
        <v>144</v>
      </c>
      <c r="H36" s="48">
        <f>(D35+D36)*$I$36</f>
        <v>12500</v>
      </c>
      <c r="I36" s="53">
        <v>2.5000000000000001E-2</v>
      </c>
    </row>
    <row r="37" spans="2:13" ht="15" customHeight="1" x14ac:dyDescent="0.2">
      <c r="B37" s="27" t="s">
        <v>145</v>
      </c>
      <c r="D37" s="48">
        <f>H38-D26-D35-D36</f>
        <v>466604</v>
      </c>
      <c r="F37" s="27" t="s">
        <v>146</v>
      </c>
      <c r="H37" s="49">
        <v>5000</v>
      </c>
    </row>
    <row r="38" spans="2:13" ht="15" customHeight="1" x14ac:dyDescent="0.2">
      <c r="B38" s="36" t="s">
        <v>147</v>
      </c>
      <c r="C38" s="37"/>
      <c r="D38" s="50">
        <f t="shared" ref="D38:H54" si="2">SUM(D34:D37)</f>
        <v>1879204</v>
      </c>
      <c r="F38" s="36" t="s">
        <v>148</v>
      </c>
      <c r="G38" s="37"/>
      <c r="H38" s="50">
        <f t="shared" si="2"/>
        <v>1879204</v>
      </c>
    </row>
    <row r="40" spans="2:13" ht="15" customHeight="1" x14ac:dyDescent="0.2">
      <c r="B40" s="25" t="s">
        <v>149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2" spans="2:13" ht="15" customHeight="1" x14ac:dyDescent="0.2">
      <c r="B42" s="26" t="s">
        <v>150</v>
      </c>
    </row>
    <row r="43" spans="2:13" ht="15" customHeight="1" x14ac:dyDescent="0.2">
      <c r="D43" s="38" t="s">
        <v>151</v>
      </c>
      <c r="E43" s="38" t="s">
        <v>152</v>
      </c>
      <c r="F43" s="38" t="s">
        <v>153</v>
      </c>
      <c r="G43" s="38" t="s">
        <v>154</v>
      </c>
      <c r="H43" s="38" t="s">
        <v>155</v>
      </c>
    </row>
    <row r="44" spans="2:13" ht="15" customHeight="1" x14ac:dyDescent="0.2">
      <c r="B44" s="27" t="s">
        <v>156</v>
      </c>
      <c r="D44" s="49">
        <v>2000</v>
      </c>
      <c r="E44" s="49">
        <v>4000</v>
      </c>
      <c r="F44" s="49">
        <v>6000</v>
      </c>
      <c r="G44" s="49">
        <v>7000</v>
      </c>
      <c r="H44" s="49">
        <v>8000</v>
      </c>
    </row>
    <row r="45" spans="2:13" ht="15" customHeight="1" x14ac:dyDescent="0.2">
      <c r="B45" s="27" t="s">
        <v>157</v>
      </c>
      <c r="D45" s="49">
        <v>1000</v>
      </c>
      <c r="E45" s="49">
        <v>2500</v>
      </c>
      <c r="F45" s="49">
        <v>4000</v>
      </c>
      <c r="G45" s="49">
        <v>5000</v>
      </c>
      <c r="H45" s="49">
        <v>6000</v>
      </c>
    </row>
    <row r="46" spans="2:13" ht="15" customHeight="1" x14ac:dyDescent="0.2">
      <c r="B46" s="27" t="s">
        <v>158</v>
      </c>
      <c r="D46" s="49">
        <v>500</v>
      </c>
      <c r="E46" s="49">
        <v>1500</v>
      </c>
      <c r="F46" s="49">
        <v>2500</v>
      </c>
      <c r="G46" s="49">
        <v>3000</v>
      </c>
      <c r="H46" s="49">
        <v>3500</v>
      </c>
    </row>
    <row r="47" spans="2:13" ht="15" customHeight="1" x14ac:dyDescent="0.2">
      <c r="B47" s="36" t="s">
        <v>159</v>
      </c>
      <c r="C47" s="37"/>
      <c r="D47" s="50">
        <f t="shared" ref="D47:H60" si="3">SUM(D44:D46)</f>
        <v>3500</v>
      </c>
      <c r="E47" s="50">
        <f t="shared" si="3"/>
        <v>8000</v>
      </c>
      <c r="F47" s="50">
        <f t="shared" si="3"/>
        <v>12500</v>
      </c>
      <c r="G47" s="50">
        <f t="shared" si="3"/>
        <v>15000</v>
      </c>
      <c r="H47" s="50">
        <f t="shared" si="3"/>
        <v>17500</v>
      </c>
    </row>
    <row r="49" spans="2:13" ht="15" customHeight="1" x14ac:dyDescent="0.2">
      <c r="B49" s="26" t="s">
        <v>160</v>
      </c>
    </row>
    <row r="50" spans="2:13" ht="15" customHeight="1" x14ac:dyDescent="0.2">
      <c r="B50" s="27" t="s">
        <v>161</v>
      </c>
      <c r="D50" s="49">
        <v>3000</v>
      </c>
      <c r="E50" s="49">
        <v>5000</v>
      </c>
      <c r="F50" s="49">
        <v>7000</v>
      </c>
      <c r="G50" s="49">
        <v>8000</v>
      </c>
      <c r="H50" s="49">
        <v>8500</v>
      </c>
    </row>
    <row r="51" spans="2:13" ht="15" customHeight="1" x14ac:dyDescent="0.2">
      <c r="B51" s="27" t="s">
        <v>162</v>
      </c>
      <c r="D51" s="49">
        <v>2000</v>
      </c>
      <c r="E51" s="49">
        <v>3500</v>
      </c>
      <c r="F51" s="49">
        <v>4500</v>
      </c>
      <c r="G51" s="49">
        <v>5000</v>
      </c>
      <c r="H51" s="49">
        <v>5500</v>
      </c>
    </row>
    <row r="52" spans="2:13" ht="15" customHeight="1" x14ac:dyDescent="0.2">
      <c r="B52" s="27" t="s">
        <v>163</v>
      </c>
      <c r="D52" s="49">
        <v>1500</v>
      </c>
      <c r="E52" s="49">
        <v>2500</v>
      </c>
      <c r="F52" s="49">
        <v>3000</v>
      </c>
      <c r="G52" s="49">
        <v>3200</v>
      </c>
      <c r="H52" s="49">
        <v>3400</v>
      </c>
    </row>
    <row r="53" spans="2:13" ht="15" customHeight="1" x14ac:dyDescent="0.2">
      <c r="B53" s="27" t="s">
        <v>19</v>
      </c>
      <c r="D53" s="49">
        <v>1000</v>
      </c>
      <c r="E53" s="49">
        <v>2000</v>
      </c>
      <c r="F53" s="49">
        <v>2500</v>
      </c>
      <c r="G53" s="49">
        <v>2800</v>
      </c>
      <c r="H53" s="49">
        <v>3000</v>
      </c>
    </row>
    <row r="54" spans="2:13" ht="15" customHeight="1" x14ac:dyDescent="0.2">
      <c r="B54" s="36" t="s">
        <v>164</v>
      </c>
      <c r="C54" s="37"/>
      <c r="D54" s="50">
        <f t="shared" si="2"/>
        <v>7500</v>
      </c>
      <c r="E54" s="50">
        <f t="shared" si="2"/>
        <v>13000</v>
      </c>
      <c r="F54" s="50">
        <f t="shared" si="2"/>
        <v>17000</v>
      </c>
      <c r="G54" s="50">
        <f t="shared" si="2"/>
        <v>19000</v>
      </c>
      <c r="H54" s="50">
        <f t="shared" si="2"/>
        <v>20400</v>
      </c>
    </row>
    <row r="56" spans="2:13" ht="15" customHeight="1" x14ac:dyDescent="0.2">
      <c r="B56" s="26" t="s">
        <v>165</v>
      </c>
    </row>
    <row r="57" spans="2:13" ht="15" customHeight="1" x14ac:dyDescent="0.2">
      <c r="B57" s="27" t="s">
        <v>166</v>
      </c>
      <c r="D57" s="49">
        <v>-1000</v>
      </c>
      <c r="E57" s="49">
        <v>-800</v>
      </c>
      <c r="F57" s="49">
        <v>-500</v>
      </c>
      <c r="G57" s="49">
        <v>-300</v>
      </c>
      <c r="H57" s="49">
        <v>-200</v>
      </c>
    </row>
    <row r="58" spans="2:13" ht="15" customHeight="1" x14ac:dyDescent="0.2">
      <c r="B58" s="27" t="s">
        <v>146</v>
      </c>
      <c r="D58" s="49">
        <v>-3000</v>
      </c>
      <c r="E58" s="49">
        <v>-2000</v>
      </c>
      <c r="F58" s="49">
        <v>-1000</v>
      </c>
      <c r="G58" s="49">
        <v>-500</v>
      </c>
      <c r="H58" s="49">
        <v>0</v>
      </c>
    </row>
    <row r="59" spans="2:13" ht="15" customHeight="1" x14ac:dyDescent="0.2">
      <c r="B59" s="27" t="s">
        <v>167</v>
      </c>
      <c r="D59" s="49">
        <v>-2000</v>
      </c>
      <c r="E59" s="49">
        <v>-1500</v>
      </c>
      <c r="F59" s="49">
        <v>-1000</v>
      </c>
      <c r="G59" s="49">
        <v>-500</v>
      </c>
      <c r="H59" s="49">
        <v>0</v>
      </c>
    </row>
    <row r="60" spans="2:13" ht="15" customHeight="1" x14ac:dyDescent="0.2">
      <c r="B60" s="36" t="s">
        <v>168</v>
      </c>
      <c r="C60" s="37"/>
      <c r="D60" s="50">
        <f t="shared" si="3"/>
        <v>-6000</v>
      </c>
      <c r="E60" s="50">
        <f t="shared" si="3"/>
        <v>-4300</v>
      </c>
      <c r="F60" s="50">
        <f t="shared" si="3"/>
        <v>-2500</v>
      </c>
      <c r="G60" s="50">
        <f t="shared" si="3"/>
        <v>-1300</v>
      </c>
      <c r="H60" s="50">
        <f t="shared" si="3"/>
        <v>-200</v>
      </c>
    </row>
    <row r="62" spans="2:13" ht="15" customHeight="1" thickBot="1" x14ac:dyDescent="0.25">
      <c r="B62" s="39" t="s">
        <v>169</v>
      </c>
      <c r="C62" s="40"/>
      <c r="D62" s="51">
        <f t="shared" ref="D62:H62" si="4">D47+D54+D60</f>
        <v>5000</v>
      </c>
      <c r="E62" s="51">
        <f t="shared" si="4"/>
        <v>16700</v>
      </c>
      <c r="F62" s="51">
        <f t="shared" si="4"/>
        <v>27000</v>
      </c>
      <c r="G62" s="51">
        <f t="shared" si="4"/>
        <v>32700</v>
      </c>
      <c r="H62" s="51">
        <f t="shared" si="4"/>
        <v>37700</v>
      </c>
    </row>
    <row r="64" spans="2:13" ht="15" customHeight="1" x14ac:dyDescent="0.2">
      <c r="B64" s="25" t="s">
        <v>170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6" spans="2:13" ht="15" customHeight="1" x14ac:dyDescent="0.2">
      <c r="B66" s="26" t="s">
        <v>171</v>
      </c>
    </row>
    <row r="67" spans="2:13" ht="15" customHeight="1" x14ac:dyDescent="0.2">
      <c r="B67" s="27" t="s">
        <v>140</v>
      </c>
      <c r="D67" s="48" cm="1">
        <f t="array" ref="D67">D21</f>
        <v>1825200</v>
      </c>
    </row>
    <row r="68" spans="2:13" ht="15" customHeight="1" x14ac:dyDescent="0.2">
      <c r="B68" s="27" t="s">
        <v>172</v>
      </c>
      <c r="D68" s="49">
        <v>-141740</v>
      </c>
    </row>
    <row r="69" spans="2:13" ht="15" customHeight="1" x14ac:dyDescent="0.2">
      <c r="B69" s="27" t="s">
        <v>173</v>
      </c>
      <c r="D69" s="48">
        <f>D67+D68</f>
        <v>1683460</v>
      </c>
    </row>
    <row r="71" spans="2:13" ht="15" customHeight="1" x14ac:dyDescent="0.2">
      <c r="B71" s="26" t="s">
        <v>174</v>
      </c>
    </row>
    <row r="72" spans="2:13" ht="15" customHeight="1" x14ac:dyDescent="0.2">
      <c r="B72" s="27" t="s">
        <v>288</v>
      </c>
      <c r="D72" s="49">
        <v>25000</v>
      </c>
    </row>
    <row r="73" spans="2:13" ht="15" customHeight="1" x14ac:dyDescent="0.2">
      <c r="B73" s="27" t="s">
        <v>175</v>
      </c>
      <c r="D73" s="49">
        <v>0</v>
      </c>
    </row>
    <row r="74" spans="2:13" ht="15" customHeight="1" x14ac:dyDescent="0.2">
      <c r="B74" s="27" t="s">
        <v>176</v>
      </c>
      <c r="D74" s="48">
        <f>-(D72+D73)*0.21</f>
        <v>-5250</v>
      </c>
    </row>
    <row r="75" spans="2:13" ht="15" customHeight="1" x14ac:dyDescent="0.2">
      <c r="B75" s="33" t="s">
        <v>177</v>
      </c>
      <c r="D75" s="48">
        <f>D69-D72-D73-D74</f>
        <v>1663710</v>
      </c>
    </row>
    <row r="77" spans="2:13" ht="15" customHeight="1" x14ac:dyDescent="0.2">
      <c r="B77" s="25" t="s">
        <v>178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9" spans="2:13" ht="15" customHeight="1" x14ac:dyDescent="0.2">
      <c r="B79" s="26" t="s">
        <v>179</v>
      </c>
    </row>
    <row r="80" spans="2:13" ht="15" customHeight="1" x14ac:dyDescent="0.2">
      <c r="B80" s="27" t="s">
        <v>180</v>
      </c>
      <c r="D80" s="48" cm="1">
        <f t="array" ref="D80">D35</f>
        <v>400000</v>
      </c>
    </row>
    <row r="81" spans="2:13" ht="15" customHeight="1" x14ac:dyDescent="0.2">
      <c r="B81" s="27" t="s">
        <v>181</v>
      </c>
      <c r="D81" s="30">
        <v>5.5E-2</v>
      </c>
    </row>
    <row r="82" spans="2:13" ht="15" customHeight="1" x14ac:dyDescent="0.2">
      <c r="B82" s="27" t="s">
        <v>182</v>
      </c>
      <c r="D82" s="48" cm="1">
        <f t="array" ref="D82">D36</f>
        <v>100000</v>
      </c>
    </row>
    <row r="83" spans="2:13" ht="15" customHeight="1" x14ac:dyDescent="0.2">
      <c r="B83" s="27" t="s">
        <v>183</v>
      </c>
      <c r="D83" s="30">
        <v>6.5000000000000002E-2</v>
      </c>
    </row>
    <row r="84" spans="2:13" ht="15" customHeight="1" x14ac:dyDescent="0.2">
      <c r="B84" s="27" t="s">
        <v>184</v>
      </c>
      <c r="D84" s="30">
        <v>0.05</v>
      </c>
    </row>
    <row r="86" spans="2:13" ht="15" customHeight="1" x14ac:dyDescent="0.2">
      <c r="B86" s="25" t="s">
        <v>185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8" spans="2:13" ht="15" customHeight="1" x14ac:dyDescent="0.2">
      <c r="B88" s="26" t="s">
        <v>186</v>
      </c>
    </row>
    <row r="89" spans="2:13" ht="15" customHeight="1" x14ac:dyDescent="0.2">
      <c r="B89" s="27" t="s">
        <v>187</v>
      </c>
      <c r="D89" s="48">
        <f>D72</f>
        <v>25000</v>
      </c>
    </row>
    <row r="90" spans="2:13" ht="15" customHeight="1" x14ac:dyDescent="0.2">
      <c r="B90" s="54" t="s">
        <v>188</v>
      </c>
      <c r="D90" s="32">
        <v>10</v>
      </c>
    </row>
    <row r="91" spans="2:13" ht="15" customHeight="1" x14ac:dyDescent="0.2">
      <c r="B91" s="54" t="s">
        <v>189</v>
      </c>
      <c r="D91" s="48">
        <f>D89/D90</f>
        <v>2500</v>
      </c>
    </row>
    <row r="93" spans="2:13" ht="15" customHeight="1" x14ac:dyDescent="0.2">
      <c r="B93" s="26" t="s">
        <v>190</v>
      </c>
    </row>
    <row r="94" spans="2:13" ht="15" customHeight="1" x14ac:dyDescent="0.2">
      <c r="B94" s="27" t="s">
        <v>191</v>
      </c>
      <c r="D94" s="112">
        <v>0</v>
      </c>
    </row>
    <row r="95" spans="2:13" ht="15" customHeight="1" x14ac:dyDescent="0.2">
      <c r="B95" s="27" t="s">
        <v>192</v>
      </c>
      <c r="D95" s="30">
        <v>0.21</v>
      </c>
    </row>
  </sheetData>
  <pageMargins left="0.7" right="0.7" top="0.75" bottom="0.75" header="0.3" footer="0.3"/>
  <pageSetup scale="58" fitToHeight="0" orientation="portrait" r:id="rId1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dimension ref="B2:J51"/>
  <sheetViews>
    <sheetView showGridLines="0" topLeftCell="A25" zoomScale="85" zoomScaleNormal="85" workbookViewId="0">
      <selection activeCell="I53" sqref="I53"/>
    </sheetView>
  </sheetViews>
  <sheetFormatPr baseColWidth="10" defaultColWidth="7.6640625" defaultRowHeight="15" customHeight="1" x14ac:dyDescent="0.2"/>
  <cols>
    <col min="1" max="1" width="7.6640625" style="23"/>
    <col min="2" max="2" width="34" style="23" bestFit="1" customWidth="1"/>
    <col min="3" max="3" width="2.5" style="23" customWidth="1"/>
    <col min="4" max="8" width="11.1640625" style="23" customWidth="1"/>
    <col min="9" max="16384" width="7.6640625" style="23"/>
  </cols>
  <sheetData>
    <row r="2" spans="2:10" ht="15" customHeight="1" x14ac:dyDescent="0.2">
      <c r="B2" s="22" t="s">
        <v>193</v>
      </c>
    </row>
    <row r="3" spans="2:10" ht="15" customHeight="1" x14ac:dyDescent="0.2">
      <c r="B3" s="24" t="s">
        <v>44</v>
      </c>
    </row>
    <row r="4" spans="2:10" ht="15" customHeight="1" thickBot="1" x14ac:dyDescent="0.25"/>
    <row r="5" spans="2:10" ht="15" customHeight="1" x14ac:dyDescent="0.2">
      <c r="B5" s="25" t="s">
        <v>194</v>
      </c>
      <c r="C5" s="25"/>
      <c r="D5" s="25"/>
      <c r="E5" s="25"/>
      <c r="F5" s="25"/>
      <c r="G5" s="25"/>
      <c r="H5" s="25"/>
      <c r="I5" s="25"/>
      <c r="J5" s="25"/>
    </row>
    <row r="7" spans="2:10" ht="15" customHeight="1" x14ac:dyDescent="0.2">
      <c r="B7" s="23" t="s">
        <v>195</v>
      </c>
      <c r="D7" s="57">
        <f>'Combination Assumptions'!$D$21</f>
        <v>1825200</v>
      </c>
    </row>
    <row r="8" spans="2:10" ht="15" customHeight="1" x14ac:dyDescent="0.2">
      <c r="B8" s="23" t="s">
        <v>196</v>
      </c>
      <c r="D8" s="57">
        <f>'Combination Assumptions'!$D$26</f>
        <v>912600</v>
      </c>
    </row>
    <row r="9" spans="2:10" ht="15" customHeight="1" x14ac:dyDescent="0.2">
      <c r="B9" s="23" t="s">
        <v>197</v>
      </c>
      <c r="D9" s="57">
        <f>'Combination Assumptions'!$D$27</f>
        <v>912600</v>
      </c>
    </row>
    <row r="10" spans="2:10" ht="15" customHeight="1" x14ac:dyDescent="0.2">
      <c r="B10" s="23" t="s">
        <v>198</v>
      </c>
      <c r="D10" s="57">
        <f>'Combination Assumptions'!$D$35+'Combination Assumptions'!$D$36</f>
        <v>500000</v>
      </c>
    </row>
    <row r="11" spans="2:10" ht="15" customHeight="1" x14ac:dyDescent="0.2">
      <c r="B11" s="23" t="s">
        <v>199</v>
      </c>
      <c r="D11" s="57">
        <f>'Combination Assumptions'!$D$75</f>
        <v>1663710</v>
      </c>
    </row>
    <row r="12" spans="2:10" ht="15" customHeight="1" thickBot="1" x14ac:dyDescent="0.25"/>
    <row r="13" spans="2:10" ht="15" customHeight="1" thickBot="1" x14ac:dyDescent="0.25">
      <c r="B13" s="41" t="s">
        <v>200</v>
      </c>
      <c r="C13" s="41"/>
      <c r="D13" s="41"/>
      <c r="E13" s="41"/>
      <c r="F13" s="41"/>
      <c r="G13" s="41"/>
      <c r="H13" s="41"/>
      <c r="I13" s="41"/>
      <c r="J13" s="41"/>
    </row>
    <row r="15" spans="2:10" ht="15" customHeight="1" x14ac:dyDescent="0.2">
      <c r="B15" s="23" t="s">
        <v>201</v>
      </c>
      <c r="D15" s="42">
        <v>2024</v>
      </c>
      <c r="E15" s="42">
        <v>2025</v>
      </c>
      <c r="F15" s="42">
        <v>2026</v>
      </c>
      <c r="G15" s="42">
        <v>2027</v>
      </c>
      <c r="H15" s="42">
        <v>2028</v>
      </c>
    </row>
    <row r="17" spans="2:8" ht="15" customHeight="1" x14ac:dyDescent="0.2">
      <c r="B17" s="43" t="s">
        <v>202</v>
      </c>
    </row>
    <row r="18" spans="2:8" ht="15" customHeight="1" x14ac:dyDescent="0.2">
      <c r="B18" s="27" t="s">
        <v>203</v>
      </c>
      <c r="D18" s="57">
        <f>'Company1153 3-Statement'!F$16</f>
        <v>292008.95499999996</v>
      </c>
      <c r="E18" s="57">
        <f>'Company1153 3-Statement'!G$16</f>
        <v>320857.35787499999</v>
      </c>
      <c r="F18" s="57">
        <f>'Company1153 3-Statement'!H$16</f>
        <v>349262.74479937501</v>
      </c>
      <c r="G18" s="57">
        <f>'Company1153 3-Statement'!I$16</f>
        <v>377287.31406996556</v>
      </c>
      <c r="H18" s="57">
        <f>'Company1153 3-Statement'!J$16</f>
        <v>405460.91515076387</v>
      </c>
    </row>
    <row r="19" spans="2:8" ht="15" customHeight="1" x14ac:dyDescent="0.2">
      <c r="B19" s="27" t="s">
        <v>204</v>
      </c>
      <c r="D19" s="57">
        <f>'Company1808 3-Statement'!F$14</f>
        <v>151084.13793103449</v>
      </c>
      <c r="E19" s="57">
        <f>'Company1808 3-Statement'!G$14</f>
        <v>167723.49641760494</v>
      </c>
      <c r="F19" s="57">
        <f>'Company1808 3-Statement'!H$14</f>
        <v>183671.95636363639</v>
      </c>
      <c r="G19" s="57">
        <f>'Company1808 3-Statement'!I$14</f>
        <v>199300.35223357668</v>
      </c>
      <c r="H19" s="57">
        <f>'Company1808 3-Statement'!J$14</f>
        <v>215271.65309204216</v>
      </c>
    </row>
    <row r="20" spans="2:8" ht="15" customHeight="1" x14ac:dyDescent="0.2">
      <c r="B20" s="27" t="s">
        <v>205</v>
      </c>
      <c r="D20" s="57">
        <f>'Combination Assumptions'!D$47</f>
        <v>3500</v>
      </c>
      <c r="E20" s="58">
        <f>'Combination Assumptions'!E$47</f>
        <v>8000</v>
      </c>
      <c r="F20" s="57">
        <f>'Combination Assumptions'!F$47</f>
        <v>12500</v>
      </c>
      <c r="G20" s="57">
        <f>'Combination Assumptions'!G$47</f>
        <v>15000</v>
      </c>
      <c r="H20" s="57">
        <f>'Combination Assumptions'!H$47</f>
        <v>17500</v>
      </c>
    </row>
    <row r="21" spans="2:8" ht="15" customHeight="1" x14ac:dyDescent="0.2">
      <c r="B21" s="44" t="s">
        <v>206</v>
      </c>
      <c r="C21" s="37"/>
      <c r="D21" s="50">
        <f>SUM(D18:D20)</f>
        <v>446593.09293103445</v>
      </c>
      <c r="E21" s="50">
        <f t="shared" ref="E21:H21" si="0">SUM(E18:E20)</f>
        <v>496580.85429260496</v>
      </c>
      <c r="F21" s="50">
        <f t="shared" si="0"/>
        <v>545434.70116301137</v>
      </c>
      <c r="G21" s="50">
        <f t="shared" si="0"/>
        <v>591587.66630354221</v>
      </c>
      <c r="H21" s="50">
        <f t="shared" si="0"/>
        <v>638232.56824280601</v>
      </c>
    </row>
    <row r="23" spans="2:8" ht="15" customHeight="1" x14ac:dyDescent="0.2">
      <c r="B23" s="43" t="s">
        <v>47</v>
      </c>
    </row>
    <row r="24" spans="2:8" ht="15" customHeight="1" x14ac:dyDescent="0.2">
      <c r="B24" s="27" t="s">
        <v>207</v>
      </c>
      <c r="D24" s="57">
        <f>'Company1153 3-Statement'!F$32+'Company1808 3-Statement'!F$17</f>
        <v>161490.09184000001</v>
      </c>
      <c r="E24" s="57">
        <f>'Company1153 3-Statement'!G$32+'Company1808 3-Statement'!G$17</f>
        <v>176814.80439218864</v>
      </c>
      <c r="F24" s="57">
        <f>'Company1153 3-Statement'!H$32+'Company1808 3-Statement'!H$17</f>
        <v>191623.37800728617</v>
      </c>
      <c r="G24" s="57">
        <f>'Company1153 3-Statement'!I$32+'Company1808 3-Statement'!I$17</f>
        <v>206023.16220893938</v>
      </c>
      <c r="H24" s="57">
        <f>'Company1153 3-Statement'!J$32+'Company1808 3-Statement'!J$17</f>
        <v>220380.77501928434</v>
      </c>
    </row>
    <row r="25" spans="2:8" ht="15" customHeight="1" x14ac:dyDescent="0.2">
      <c r="B25" s="27" t="s">
        <v>208</v>
      </c>
      <c r="D25" s="57">
        <f>-'Combination Assumptions'!D$50</f>
        <v>-3000</v>
      </c>
      <c r="E25" s="57">
        <f>-'Combination Assumptions'!E$50</f>
        <v>-5000</v>
      </c>
      <c r="F25" s="57">
        <f>-'Combination Assumptions'!F$50</f>
        <v>-7000</v>
      </c>
      <c r="G25" s="57">
        <f>-'Combination Assumptions'!G$50</f>
        <v>-8000</v>
      </c>
      <c r="H25" s="57">
        <f>-'Combination Assumptions'!H$50</f>
        <v>-8500</v>
      </c>
    </row>
    <row r="26" spans="2:8" ht="15" customHeight="1" x14ac:dyDescent="0.2">
      <c r="B26" s="43" t="s">
        <v>49</v>
      </c>
      <c r="D26" s="48">
        <f t="shared" ref="D26:H26" si="1">D21-D24-D25</f>
        <v>288103.00109103444</v>
      </c>
      <c r="E26" s="48">
        <f t="shared" si="1"/>
        <v>324766.04990041628</v>
      </c>
      <c r="F26" s="48">
        <f t="shared" si="1"/>
        <v>360811.3231557252</v>
      </c>
      <c r="G26" s="48">
        <f t="shared" si="1"/>
        <v>393564.50409460283</v>
      </c>
      <c r="H26" s="48">
        <f t="shared" si="1"/>
        <v>426351.79322352167</v>
      </c>
    </row>
    <row r="27" spans="2:8" ht="15" customHeight="1" x14ac:dyDescent="0.2">
      <c r="D27" s="34"/>
      <c r="E27" s="34"/>
      <c r="F27" s="34"/>
      <c r="G27" s="34"/>
      <c r="H27" s="34"/>
    </row>
    <row r="28" spans="2:8" ht="15" customHeight="1" x14ac:dyDescent="0.2">
      <c r="B28" s="27" t="s">
        <v>209</v>
      </c>
      <c r="D28" s="57">
        <f>'Company1153 3-Statement'!F$36+'Company1808 3-Statement'!F$21</f>
        <v>84816.259875344826</v>
      </c>
      <c r="E28" s="57">
        <f>'Company1153 3-Statement'!G$36+'Company1808 3-Statement'!G$21</f>
        <v>91882.609099429392</v>
      </c>
      <c r="F28" s="57">
        <f>'Company1153 3-Statement'!H$36+'Company1808 3-Statement'!H$21</f>
        <v>98708.046782313759</v>
      </c>
      <c r="G28" s="57">
        <f>'Company1153 3-Statement'!I$36+'Company1808 3-Statement'!I$21</f>
        <v>104744.88250251106</v>
      </c>
      <c r="H28" s="57">
        <f>'Company1153 3-Statement'!J$36+'Company1808 3-Statement'!J$21</f>
        <v>110973.28978444278</v>
      </c>
    </row>
    <row r="29" spans="2:8" ht="15" customHeight="1" x14ac:dyDescent="0.2">
      <c r="B29" s="27" t="s">
        <v>210</v>
      </c>
      <c r="D29" s="57">
        <f>-'Combination Assumptions'!D$51</f>
        <v>-2000</v>
      </c>
      <c r="E29" s="57">
        <f>-'Combination Assumptions'!E$51</f>
        <v>-3500</v>
      </c>
      <c r="F29" s="57">
        <f>-'Combination Assumptions'!F$51</f>
        <v>-4500</v>
      </c>
      <c r="G29" s="57">
        <f>-'Combination Assumptions'!G$51</f>
        <v>-5000</v>
      </c>
      <c r="H29" s="57">
        <f>-'Combination Assumptions'!H$51</f>
        <v>-5500</v>
      </c>
    </row>
    <row r="30" spans="2:8" ht="15" customHeight="1" x14ac:dyDescent="0.2">
      <c r="B30" s="27" t="s">
        <v>211</v>
      </c>
      <c r="D30" s="57">
        <f>'Company1153 3-Statement'!F$37+'Company1808 3-Statement'!F$22</f>
        <v>49546.457516379305</v>
      </c>
      <c r="E30" s="57">
        <f>'Company1153 3-Statement'!G$37+'Company1808 3-Statement'!G$22</f>
        <v>53175.12743123759</v>
      </c>
      <c r="F30" s="57">
        <f>'Company1153 3-Statement'!H$37+'Company1808 3-Statement'!H$22</f>
        <v>56048.549461755683</v>
      </c>
      <c r="G30" s="57">
        <f>'Company1153 3-Statement'!I$37+'Company1808 3-Statement'!I$22</f>
        <v>58897.195524550058</v>
      </c>
      <c r="H30" s="57">
        <f>'Company1153 3-Statement'!J$37+'Company1808 3-Statement'!J$22</f>
        <v>61122.310513986995</v>
      </c>
    </row>
    <row r="31" spans="2:8" ht="15" customHeight="1" x14ac:dyDescent="0.2">
      <c r="B31" s="27" t="s">
        <v>212</v>
      </c>
      <c r="D31" s="57">
        <f>-'Combination Assumptions'!D$53</f>
        <v>-1000</v>
      </c>
      <c r="E31" s="57">
        <f>-'Combination Assumptions'!E$53</f>
        <v>-2000</v>
      </c>
      <c r="F31" s="57">
        <f>-'Combination Assumptions'!F$53</f>
        <v>-2500</v>
      </c>
      <c r="G31" s="57">
        <f>-'Combination Assumptions'!G$53</f>
        <v>-2800</v>
      </c>
      <c r="H31" s="57">
        <f>-'Combination Assumptions'!H$53</f>
        <v>-3000</v>
      </c>
    </row>
    <row r="32" spans="2:8" ht="15" customHeight="1" x14ac:dyDescent="0.2">
      <c r="B32" s="27" t="s">
        <v>213</v>
      </c>
      <c r="D32" s="57">
        <f>'Company1153 3-Statement'!F$38+'Company1808 3-Statement'!F$23</f>
        <v>34723.810382413794</v>
      </c>
      <c r="E32" s="57">
        <f>'Company1153 3-Statement'!G$38+'Company1808 3-Statement'!G$23</f>
        <v>36862.408596348512</v>
      </c>
      <c r="F32" s="57">
        <f>'Company1153 3-Statement'!H$38+'Company1808 3-Statement'!H$23</f>
        <v>38624.434834727392</v>
      </c>
      <c r="G32" s="57">
        <f>'Company1153 3-Statement'!I$38+'Company1808 3-Statement'!I$23</f>
        <v>40438.91036417782</v>
      </c>
      <c r="H32" s="57">
        <f>'Company1153 3-Statement'!J$38+'Company1808 3-Statement'!J$23</f>
        <v>41674.799111575805</v>
      </c>
    </row>
    <row r="33" spans="2:8" ht="15" customHeight="1" x14ac:dyDescent="0.2">
      <c r="B33" s="27" t="s">
        <v>214</v>
      </c>
      <c r="D33" s="57">
        <f>-'Combination Assumptions'!D$52</f>
        <v>-1500</v>
      </c>
      <c r="E33" s="57">
        <f>-'Combination Assumptions'!E$52</f>
        <v>-2500</v>
      </c>
      <c r="F33" s="57">
        <f>-'Combination Assumptions'!F$52</f>
        <v>-3000</v>
      </c>
      <c r="G33" s="57">
        <f>-'Combination Assumptions'!G$52</f>
        <v>-3200</v>
      </c>
      <c r="H33" s="57">
        <f>-'Combination Assumptions'!H$52</f>
        <v>-3400</v>
      </c>
    </row>
    <row r="34" spans="2:8" ht="15" customHeight="1" x14ac:dyDescent="0.2">
      <c r="B34" s="27" t="s">
        <v>223</v>
      </c>
      <c r="D34" s="57">
        <f>'Company1153 3-Statement'!F$39+'Company1808 3-Statement'!F$24</f>
        <v>44360.105897413792</v>
      </c>
      <c r="E34" s="57">
        <f>'Company1153 3-Statement'!G$39+'Company1808 3-Statement'!G$24</f>
        <v>47450.701406223525</v>
      </c>
      <c r="F34" s="57">
        <f>'Company1153 3-Statement'!H$39+'Company1808 3-Statement'!H$24</f>
        <v>49800.842668307392</v>
      </c>
      <c r="G34" s="57">
        <f>'Company1153 3-Statement'!I$39+'Company1808 3-Statement'!I$24</f>
        <v>52134.817100346758</v>
      </c>
      <c r="H34" s="57">
        <f>'Company1153 3-Statement'!J$39+'Company1808 3-Statement'!J$24</f>
        <v>53838.626566098726</v>
      </c>
    </row>
    <row r="35" spans="2:8" ht="15" customHeight="1" x14ac:dyDescent="0.2">
      <c r="B35" s="27" t="s">
        <v>215</v>
      </c>
      <c r="D35" s="57">
        <f>-'Combination Assumptions'!D$60</f>
        <v>6000</v>
      </c>
      <c r="E35" s="57">
        <f>-'Combination Assumptions'!E$60</f>
        <v>4300</v>
      </c>
      <c r="F35" s="57">
        <f>-'Combination Assumptions'!F$60</f>
        <v>2500</v>
      </c>
      <c r="G35" s="57">
        <f>-'Combination Assumptions'!G$60</f>
        <v>1300</v>
      </c>
      <c r="H35" s="57">
        <f>-'Combination Assumptions'!H$60</f>
        <v>200</v>
      </c>
    </row>
    <row r="36" spans="2:8" ht="15" customHeight="1" x14ac:dyDescent="0.2">
      <c r="B36" s="27" t="s">
        <v>289</v>
      </c>
      <c r="D36" s="57">
        <f>'Combination Assumptions'!$D$91</f>
        <v>2500</v>
      </c>
      <c r="E36" s="57">
        <f>'Combination Assumptions'!$D$91</f>
        <v>2500</v>
      </c>
      <c r="F36" s="57">
        <f>'Combination Assumptions'!$D$91</f>
        <v>2500</v>
      </c>
      <c r="G36" s="57">
        <f>'Combination Assumptions'!$D$91</f>
        <v>2500</v>
      </c>
      <c r="H36" s="57">
        <f>'Combination Assumptions'!$D$91</f>
        <v>2500</v>
      </c>
    </row>
    <row r="37" spans="2:8" ht="15" customHeight="1" x14ac:dyDescent="0.2">
      <c r="B37" s="27"/>
      <c r="D37" s="57"/>
      <c r="E37" s="57"/>
      <c r="F37" s="57"/>
      <c r="G37" s="57"/>
      <c r="H37" s="57"/>
    </row>
    <row r="38" spans="2:8" ht="15" customHeight="1" x14ac:dyDescent="0.2">
      <c r="B38" s="43" t="s">
        <v>216</v>
      </c>
      <c r="D38" s="48">
        <f>D26-SUM(D28:D36)</f>
        <v>70656.367419482733</v>
      </c>
      <c r="E38" s="48">
        <f t="shared" ref="E38:H38" si="2">E26-SUM(E28:E36)</f>
        <v>96595.203367177251</v>
      </c>
      <c r="F38" s="48">
        <f t="shared" si="2"/>
        <v>122629.44940862097</v>
      </c>
      <c r="G38" s="48">
        <f t="shared" si="2"/>
        <v>144548.69860301711</v>
      </c>
      <c r="H38" s="48">
        <f t="shared" si="2"/>
        <v>167942.76724741736</v>
      </c>
    </row>
    <row r="39" spans="2:8" ht="15" customHeight="1" x14ac:dyDescent="0.2">
      <c r="D39" s="48"/>
      <c r="E39" s="48"/>
      <c r="F39" s="48"/>
      <c r="G39" s="48"/>
      <c r="H39" s="48"/>
    </row>
    <row r="40" spans="2:8" ht="15" customHeight="1" x14ac:dyDescent="0.2">
      <c r="B40" s="27" t="s">
        <v>274</v>
      </c>
      <c r="D40" s="57">
        <f ca="1">-('Company1153 3-Statement'!F$45+'Company1808 3-Statement'!F$30)</f>
        <v>-217.26659548756504</v>
      </c>
      <c r="E40" s="57">
        <f ca="1">-('Company1153 3-Statement'!G$45+'Company1808 3-Statement'!G$30)</f>
        <v>-369.09132548455466</v>
      </c>
      <c r="F40" s="57">
        <f ca="1">-('Company1153 3-Statement'!H$45+'Company1808 3-Statement'!H$30)</f>
        <v>-556.99079559903817</v>
      </c>
      <c r="G40" s="57">
        <f ca="1">-('Company1153 3-Statement'!I$45+'Company1808 3-Statement'!I$30)</f>
        <v>-771.86660711109084</v>
      </c>
      <c r="H40" s="57">
        <f ca="1">-('Company1153 3-Statement'!J$45+'Company1808 3-Statement'!J$30)</f>
        <v>-1029.5073800141877</v>
      </c>
    </row>
    <row r="41" spans="2:8" ht="15" customHeight="1" x14ac:dyDescent="0.2">
      <c r="B41" s="27" t="s">
        <v>273</v>
      </c>
      <c r="D41" s="57">
        <f>(('Combination Assumptions'!$D$80*((1-'Combination Assumptions'!$D$84)^(D$15-$D$15)))*'Combination Assumptions'!$D$81)+(('Combination Assumptions'!$D$82*((1-'Combination Assumptions'!$D$84)^(D$15-$D$15)))*'Combination Assumptions'!$D$83)</f>
        <v>28500</v>
      </c>
      <c r="E41" s="57">
        <f>(('Combination Assumptions'!$D$80*((1-'Combination Assumptions'!$D$84)^(E$15-$D$15)))*'Combination Assumptions'!$D$81)+(('Combination Assumptions'!$D$82*((1-'Combination Assumptions'!$D$84)^(E$15-$D$15)))*'Combination Assumptions'!$D$83)</f>
        <v>27075</v>
      </c>
      <c r="F41" s="57">
        <f>(('Combination Assumptions'!$D$80*((1-'Combination Assumptions'!$D$84)^(F$15-$D$15)))*'Combination Assumptions'!$D$81)+(('Combination Assumptions'!$D$82*((1-'Combination Assumptions'!$D$84)^(F$15-$D$15)))*'Combination Assumptions'!$D$83)</f>
        <v>25721.25</v>
      </c>
      <c r="G41" s="57">
        <f>(('Combination Assumptions'!$D$80*((1-'Combination Assumptions'!$D$84)^(G$15-$D$15)))*'Combination Assumptions'!$D$81)+(('Combination Assumptions'!$D$82*((1-'Combination Assumptions'!$D$84)^(G$15-$D$15)))*'Combination Assumptions'!$D$83)</f>
        <v>24435.187499999996</v>
      </c>
      <c r="H41" s="57">
        <f>(('Combination Assumptions'!$D$80*((1-'Combination Assumptions'!$D$84)^(H$15-$D$15)))*'Combination Assumptions'!$D$81)+(('Combination Assumptions'!$D$82*((1-'Combination Assumptions'!$D$84)^(H$15-$D$15)))*'Combination Assumptions'!$D$83)</f>
        <v>23213.428125000002</v>
      </c>
    </row>
    <row r="42" spans="2:8" ht="15" customHeight="1" x14ac:dyDescent="0.2">
      <c r="B42" s="43" t="s">
        <v>217</v>
      </c>
      <c r="D42" s="48">
        <f ca="1">D38-D40-D41</f>
        <v>42373.634014970303</v>
      </c>
      <c r="E42" s="48">
        <f t="shared" ref="E42:H42" ca="1" si="3">E38-E40-E41</f>
        <v>69889.294692661802</v>
      </c>
      <c r="F42" s="48">
        <f t="shared" ca="1" si="3"/>
        <v>97465.190204220009</v>
      </c>
      <c r="G42" s="48">
        <f t="shared" ca="1" si="3"/>
        <v>120885.3777101282</v>
      </c>
      <c r="H42" s="48">
        <f t="shared" ca="1" si="3"/>
        <v>145758.84650243155</v>
      </c>
    </row>
    <row r="43" spans="2:8" ht="15" customHeight="1" x14ac:dyDescent="0.2">
      <c r="B43" s="27" t="s">
        <v>218</v>
      </c>
      <c r="D43" s="48">
        <f ca="1">D42*'Combination Assumptions'!$D$95</f>
        <v>8898.4631431437629</v>
      </c>
      <c r="E43" s="48">
        <f ca="1">E42*'Combination Assumptions'!$D$95</f>
        <v>14676.751885458978</v>
      </c>
      <c r="F43" s="48">
        <f ca="1">F42*'Combination Assumptions'!$D$95</f>
        <v>20467.689942886202</v>
      </c>
      <c r="G43" s="48">
        <f ca="1">G42*'Combination Assumptions'!$D$95</f>
        <v>25385.929319126921</v>
      </c>
      <c r="H43" s="48">
        <f ca="1">H42*'Combination Assumptions'!$D$95</f>
        <v>30609.357765510624</v>
      </c>
    </row>
    <row r="44" spans="2:8" ht="15" customHeight="1" thickBot="1" x14ac:dyDescent="0.25">
      <c r="D44" s="34"/>
      <c r="E44" s="34"/>
      <c r="F44" s="34"/>
      <c r="G44" s="34"/>
      <c r="H44" s="34"/>
    </row>
    <row r="45" spans="2:8" ht="15" customHeight="1" thickBot="1" x14ac:dyDescent="0.25">
      <c r="B45" s="45" t="s">
        <v>56</v>
      </c>
      <c r="C45" s="40"/>
      <c r="D45" s="51">
        <f t="shared" ref="D45:H45" ca="1" si="4">D42-D43</f>
        <v>33475.170871826544</v>
      </c>
      <c r="E45" s="51">
        <f t="shared" ca="1" si="4"/>
        <v>55212.542807202823</v>
      </c>
      <c r="F45" s="51">
        <f t="shared" ca="1" si="4"/>
        <v>76997.5002613338</v>
      </c>
      <c r="G45" s="51">
        <f t="shared" ca="1" si="4"/>
        <v>95499.448391001279</v>
      </c>
      <c r="H45" s="51">
        <f t="shared" ca="1" si="4"/>
        <v>115149.48873692093</v>
      </c>
    </row>
    <row r="46" spans="2:8" ht="15" customHeight="1" thickTop="1" x14ac:dyDescent="0.2"/>
    <row r="47" spans="2:8" ht="15" customHeight="1" x14ac:dyDescent="0.2">
      <c r="B47" s="46" t="s">
        <v>219</v>
      </c>
      <c r="C47" s="46"/>
      <c r="D47" s="46"/>
      <c r="E47" s="46"/>
      <c r="F47" s="46"/>
      <c r="G47" s="46"/>
      <c r="H47" s="46"/>
    </row>
    <row r="49" spans="2:8" ht="15" customHeight="1" x14ac:dyDescent="0.2">
      <c r="B49" s="47" t="s">
        <v>220</v>
      </c>
      <c r="D49" s="59">
        <f>'Company1153 3-Statement'!F$55+'Combination Assumptions'!$D$29</f>
        <v>17614.857142857145</v>
      </c>
      <c r="E49" s="59">
        <f>'Company1153 3-Statement'!G$55+'Combination Assumptions'!$D$29</f>
        <v>17414.857142857145</v>
      </c>
      <c r="F49" s="59">
        <f>'Company1153 3-Statement'!H$55+'Combination Assumptions'!$D$29</f>
        <v>17214.857142857145</v>
      </c>
      <c r="G49" s="59">
        <f>'Company1153 3-Statement'!I$55+'Combination Assumptions'!$D$29</f>
        <v>17014.857142857145</v>
      </c>
      <c r="H49" s="59">
        <f>'Company1153 3-Statement'!J$55+'Combination Assumptions'!$D$29</f>
        <v>16814.857142857145</v>
      </c>
    </row>
    <row r="50" spans="2:8" ht="15" customHeight="1" x14ac:dyDescent="0.2">
      <c r="B50" s="26" t="s">
        <v>221</v>
      </c>
      <c r="D50" s="34">
        <f t="shared" ref="D50:H50" ca="1" si="5">D45/D49</f>
        <v>1.9003941161907625</v>
      </c>
      <c r="E50" s="34">
        <f t="shared" ca="1" si="5"/>
        <v>3.170427546679516</v>
      </c>
      <c r="F50" s="34">
        <f t="shared" ca="1" si="5"/>
        <v>4.4727353600655295</v>
      </c>
      <c r="G50" s="34">
        <f t="shared" ca="1" si="5"/>
        <v>5.6127093862255579</v>
      </c>
      <c r="H50" s="34">
        <f t="shared" ca="1" si="5"/>
        <v>6.8480801090740027</v>
      </c>
    </row>
    <row r="51" spans="2:8" ht="15" customHeight="1" x14ac:dyDescent="0.2">
      <c r="B51" s="47" t="s">
        <v>222</v>
      </c>
      <c r="D51" s="60">
        <f ca="1">D50/'Company1153 3-Statement'!F$56-1</f>
        <v>-0.34588392019239511</v>
      </c>
      <c r="E51" s="60">
        <f ca="1">E50/'Company1153 3-Statement'!G$56-1</f>
        <v>-8.6402501620939764E-2</v>
      </c>
      <c r="F51" s="60">
        <f ca="1">F50/'Company1153 3-Statement'!H$56-1</f>
        <v>8.7793207117669914E-2</v>
      </c>
      <c r="G51" s="60">
        <f ca="1">G50/'Company1153 3-Statement'!I$56-1</f>
        <v>0.17942734910266234</v>
      </c>
      <c r="H51" s="60">
        <f ca="1">H50/'Company1153 3-Statement'!J$56-1</f>
        <v>0.24029668041271623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4BAA-C4DD-4DFB-8C99-4882E9D8CAC3}">
  <dimension ref="B2:M64"/>
  <sheetViews>
    <sheetView topLeftCell="A40" zoomScale="85" zoomScaleNormal="85" workbookViewId="0">
      <selection activeCell="B66" sqref="B66"/>
    </sheetView>
  </sheetViews>
  <sheetFormatPr baseColWidth="10" defaultColWidth="7.6640625" defaultRowHeight="15" customHeight="1" x14ac:dyDescent="0.2"/>
  <cols>
    <col min="1" max="1" width="7.6640625" style="23"/>
    <col min="2" max="2" width="25" style="23" customWidth="1"/>
    <col min="3" max="3" width="2.5" style="23" customWidth="1"/>
    <col min="4" max="9" width="11.1640625" style="23" customWidth="1"/>
    <col min="10" max="16384" width="7.6640625" style="23"/>
  </cols>
  <sheetData>
    <row r="2" spans="2:13" ht="15" customHeight="1" x14ac:dyDescent="0.2">
      <c r="B2" s="22" t="s">
        <v>227</v>
      </c>
    </row>
    <row r="3" spans="2:13" ht="15" customHeight="1" x14ac:dyDescent="0.2">
      <c r="B3" s="24" t="s">
        <v>228</v>
      </c>
    </row>
    <row r="4" spans="2:13" ht="15" customHeight="1" thickBot="1" x14ac:dyDescent="0.25"/>
    <row r="5" spans="2:13" ht="15" customHeight="1" x14ac:dyDescent="0.2">
      <c r="B5" s="25" t="s">
        <v>229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">
      <c r="B7" s="26" t="s">
        <v>230</v>
      </c>
    </row>
    <row r="8" spans="2:13" ht="15" customHeight="1" x14ac:dyDescent="0.2">
      <c r="B8" s="27" t="s">
        <v>231</v>
      </c>
      <c r="D8" s="62" t="s">
        <v>232</v>
      </c>
      <c r="E8" s="62" t="s">
        <v>4</v>
      </c>
      <c r="F8" s="62" t="s">
        <v>233</v>
      </c>
    </row>
    <row r="9" spans="2:13" ht="15" customHeight="1" x14ac:dyDescent="0.2">
      <c r="D9" s="30">
        <v>0.15</v>
      </c>
      <c r="E9" s="30">
        <v>0.2</v>
      </c>
      <c r="F9" s="30">
        <v>0.25</v>
      </c>
    </row>
    <row r="10" spans="2:13" ht="15" customHeight="1" x14ac:dyDescent="0.2">
      <c r="B10" s="27" t="s">
        <v>234</v>
      </c>
      <c r="D10" s="109" t="str">
        <f>'Company1153 Assumptions'!$D$6</f>
        <v>Base</v>
      </c>
    </row>
    <row r="12" spans="2:13" ht="15" customHeight="1" x14ac:dyDescent="0.2">
      <c r="B12" s="26" t="s">
        <v>235</v>
      </c>
    </row>
    <row r="13" spans="2:13" ht="15" customHeight="1" x14ac:dyDescent="0.2">
      <c r="B13" s="27" t="s">
        <v>236</v>
      </c>
      <c r="D13" s="62" t="s">
        <v>232</v>
      </c>
      <c r="E13" s="62" t="s">
        <v>4</v>
      </c>
      <c r="F13" s="62" t="s">
        <v>233</v>
      </c>
    </row>
    <row r="14" spans="2:13" ht="15" customHeight="1" x14ac:dyDescent="0.2">
      <c r="D14" s="30">
        <v>0.1</v>
      </c>
      <c r="E14" s="30">
        <v>0.15</v>
      </c>
      <c r="F14" s="30">
        <v>0.2</v>
      </c>
    </row>
    <row r="15" spans="2:13" ht="15" customHeight="1" x14ac:dyDescent="0.2">
      <c r="B15" s="27" t="s">
        <v>234</v>
      </c>
      <c r="D15" s="109" t="str">
        <f>'Company1153 Assumptions'!$D$6</f>
        <v>Base</v>
      </c>
    </row>
    <row r="17" spans="2:13" ht="15" customHeight="1" x14ac:dyDescent="0.2">
      <c r="B17" s="26" t="s">
        <v>237</v>
      </c>
    </row>
    <row r="18" spans="2:13" ht="15" customHeight="1" x14ac:dyDescent="0.2">
      <c r="B18" s="27" t="s">
        <v>238</v>
      </c>
      <c r="D18" s="62" t="s">
        <v>232</v>
      </c>
      <c r="E18" s="62" t="s">
        <v>4</v>
      </c>
      <c r="F18" s="62" t="s">
        <v>233</v>
      </c>
    </row>
    <row r="19" spans="2:13" ht="15" customHeight="1" x14ac:dyDescent="0.2">
      <c r="D19" s="30">
        <v>0.02</v>
      </c>
      <c r="E19" s="30">
        <v>3.5000000000000003E-2</v>
      </c>
      <c r="F19" s="30">
        <v>0.05</v>
      </c>
    </row>
    <row r="20" spans="2:13" ht="15" customHeight="1" x14ac:dyDescent="0.2">
      <c r="B20" s="27" t="s">
        <v>234</v>
      </c>
      <c r="D20" s="109" t="str">
        <f>'Company1153 Assumptions'!$D$6</f>
        <v>Base</v>
      </c>
    </row>
    <row r="21" spans="2:13" ht="15" customHeight="1" thickBot="1" x14ac:dyDescent="0.25"/>
    <row r="22" spans="2:13" ht="15" customHeight="1" x14ac:dyDescent="0.2">
      <c r="B22" s="25" t="s">
        <v>239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4" spans="2:13" ht="15" customHeight="1" x14ac:dyDescent="0.2">
      <c r="B24" s="63" t="s">
        <v>44</v>
      </c>
      <c r="D24" s="42">
        <v>2024</v>
      </c>
      <c r="E24" s="42">
        <v>2025</v>
      </c>
      <c r="F24" s="42">
        <v>2026</v>
      </c>
      <c r="G24" s="42">
        <v>2027</v>
      </c>
      <c r="H24" s="42">
        <v>2028</v>
      </c>
      <c r="I24" s="42"/>
    </row>
    <row r="26" spans="2:13" ht="15" customHeight="1" x14ac:dyDescent="0.2">
      <c r="B26" s="26" t="s">
        <v>240</v>
      </c>
    </row>
    <row r="27" spans="2:13" ht="15" customHeight="1" x14ac:dyDescent="0.2">
      <c r="B27" s="27" t="s">
        <v>241</v>
      </c>
      <c r="D27" s="57">
        <f>'Company1153 3-Statement'!F$110</f>
        <v>39421.208924999999</v>
      </c>
      <c r="E27" s="57">
        <f>'Company1153 3-Statement'!G$110</f>
        <v>41711.456523749999</v>
      </c>
      <c r="F27" s="57">
        <f>'Company1153 3-Statement'!H$110</f>
        <v>43657.843099921876</v>
      </c>
      <c r="G27" s="57">
        <f>'Company1153 3-Statement'!I$110</f>
        <v>45274.477688395869</v>
      </c>
      <c r="H27" s="57">
        <f>'Company1153 3-Statement'!J$110</f>
        <v>46628.005242337851</v>
      </c>
      <c r="I27" s="48"/>
    </row>
    <row r="28" spans="2:13" ht="15" customHeight="1" x14ac:dyDescent="0.2">
      <c r="B28" s="27" t="s">
        <v>242</v>
      </c>
      <c r="D28" s="57">
        <f>'Company1808 3-Statement'!F$95</f>
        <v>34749.351724137938</v>
      </c>
      <c r="E28" s="57">
        <f>'Company1808 3-Statement'!G$95</f>
        <v>36060.55172978506</v>
      </c>
      <c r="F28" s="57">
        <f>'Company1808 3-Statement'!H$95</f>
        <v>36734.391272727276</v>
      </c>
      <c r="G28" s="57">
        <f>'Company1808 3-Statement'!I$95</f>
        <v>37867.066924379571</v>
      </c>
      <c r="H28" s="57">
        <f>'Company1808 3-Statement'!J$95</f>
        <v>38748.897556567586</v>
      </c>
      <c r="I28" s="48"/>
    </row>
    <row r="29" spans="2:13" ht="15" customHeight="1" x14ac:dyDescent="0.2">
      <c r="B29" s="27" t="s">
        <v>243</v>
      </c>
      <c r="D29" s="48">
        <f t="shared" ref="D29:H29" si="0">D27+D28</f>
        <v>74170.560649137944</v>
      </c>
      <c r="E29" s="48">
        <f t="shared" si="0"/>
        <v>77772.008253535052</v>
      </c>
      <c r="F29" s="48">
        <f t="shared" si="0"/>
        <v>80392.234372649153</v>
      </c>
      <c r="G29" s="48">
        <f t="shared" si="0"/>
        <v>83141.54461277544</v>
      </c>
      <c r="H29" s="48">
        <f t="shared" si="0"/>
        <v>85376.902798905445</v>
      </c>
      <c r="I29" s="48"/>
    </row>
    <row r="30" spans="2:13" ht="15" customHeight="1" x14ac:dyDescent="0.2">
      <c r="B30" s="27" t="s">
        <v>244</v>
      </c>
      <c r="D30" s="52" cm="1">
        <f t="array" ref="D30">INDEX($D$9:$F$9,MATCH($D$10,$D$8:$F$8,0))</f>
        <v>0.2</v>
      </c>
      <c r="E30" s="52" cm="1">
        <f t="array" ref="E30">INDEX($D$9:$F$9,MATCH($D$10,$D$8:$F$8,0))</f>
        <v>0.2</v>
      </c>
      <c r="F30" s="52" cm="1">
        <f t="array" ref="F30">INDEX($D$9:$F$9,MATCH($D$10,$D$8:$F$8,0))</f>
        <v>0.2</v>
      </c>
      <c r="G30" s="52" cm="1">
        <f t="array" ref="G30">INDEX($D$9:$F$9,MATCH($D$10,$D$8:$F$8,0))</f>
        <v>0.2</v>
      </c>
      <c r="H30" s="52" cm="1">
        <f t="array" ref="H30">INDEX($D$9:$F$9,MATCH($D$10,$D$8:$F$8,0))</f>
        <v>0.2</v>
      </c>
      <c r="I30" s="52"/>
    </row>
    <row r="31" spans="2:13" ht="15" customHeight="1" x14ac:dyDescent="0.2">
      <c r="B31" s="64" t="s">
        <v>208</v>
      </c>
      <c r="C31" s="37"/>
      <c r="D31" s="50">
        <f t="shared" ref="D31:H31" si="1">D29*D30</f>
        <v>14834.11212982759</v>
      </c>
      <c r="E31" s="50">
        <f t="shared" si="1"/>
        <v>15554.401650707012</v>
      </c>
      <c r="F31" s="50">
        <f t="shared" si="1"/>
        <v>16078.446874529831</v>
      </c>
      <c r="G31" s="50">
        <f t="shared" si="1"/>
        <v>16628.30892255509</v>
      </c>
      <c r="H31" s="50">
        <f t="shared" si="1"/>
        <v>17075.38055978109</v>
      </c>
      <c r="I31" s="50"/>
    </row>
    <row r="33" spans="2:9" ht="15" customHeight="1" x14ac:dyDescent="0.2">
      <c r="B33" s="26" t="s">
        <v>245</v>
      </c>
    </row>
    <row r="34" spans="2:9" ht="15" customHeight="1" x14ac:dyDescent="0.2">
      <c r="B34" s="27" t="s">
        <v>246</v>
      </c>
      <c r="D34" s="57">
        <f>'Company1153 3-Statement'!F$38</f>
        <v>18104.555209999999</v>
      </c>
      <c r="E34" s="57">
        <f>'Company1153 3-Statement'!G$38</f>
        <v>19251.441472499999</v>
      </c>
      <c r="F34" s="57">
        <f>'Company1153 3-Statement'!H$38</f>
        <v>20257.23919836375</v>
      </c>
      <c r="G34" s="57">
        <f>'Company1153 3-Statement'!I$38</f>
        <v>21505.376901988038</v>
      </c>
      <c r="H34" s="57">
        <f>'Company1153 3-Statement'!J$38</f>
        <v>22300.350333292012</v>
      </c>
      <c r="I34" s="48"/>
    </row>
    <row r="35" spans="2:9" ht="15" customHeight="1" x14ac:dyDescent="0.2">
      <c r="B35" s="27" t="s">
        <v>247</v>
      </c>
      <c r="D35" s="57">
        <f>'Company1808 3-Statement'!F$23</f>
        <v>16619.255172413796</v>
      </c>
      <c r="E35" s="57">
        <f>'Company1808 3-Statement'!G$23</f>
        <v>17610.967123848517</v>
      </c>
      <c r="F35" s="57">
        <f>'Company1808 3-Statement'!H$23</f>
        <v>18367.195636363638</v>
      </c>
      <c r="G35" s="57">
        <f>'Company1808 3-Statement'!I$23</f>
        <v>18933.533462189785</v>
      </c>
      <c r="H35" s="57">
        <f>'Company1808 3-Statement'!J$23</f>
        <v>19374.448778283793</v>
      </c>
      <c r="I35" s="48"/>
    </row>
    <row r="36" spans="2:9" ht="15" customHeight="1" x14ac:dyDescent="0.2">
      <c r="B36" s="27" t="s">
        <v>248</v>
      </c>
      <c r="D36" s="48">
        <f t="shared" ref="D36:H36" si="2">D34+D35</f>
        <v>34723.810382413794</v>
      </c>
      <c r="E36" s="48">
        <f t="shared" si="2"/>
        <v>36862.408596348512</v>
      </c>
      <c r="F36" s="48">
        <f t="shared" si="2"/>
        <v>38624.434834727392</v>
      </c>
      <c r="G36" s="48">
        <f t="shared" si="2"/>
        <v>40438.91036417782</v>
      </c>
      <c r="H36" s="48">
        <f t="shared" si="2"/>
        <v>41674.799111575805</v>
      </c>
      <c r="I36" s="48"/>
    </row>
    <row r="37" spans="2:9" ht="15" customHeight="1" x14ac:dyDescent="0.2">
      <c r="B37" s="27" t="s">
        <v>249</v>
      </c>
      <c r="D37" s="52" cm="1">
        <f t="array" ref="D37">INDEX($D$14:$F$14,MATCH($D$15,$D$13:$F$13,0))</f>
        <v>0.15</v>
      </c>
      <c r="E37" s="52" cm="1">
        <f t="array" ref="E37">INDEX($D$14:$F$14,MATCH($D$15,$D$13:$F$13,0))</f>
        <v>0.15</v>
      </c>
      <c r="F37" s="52" cm="1">
        <f t="array" ref="F37">INDEX($D$14:$F$14,MATCH($D$15,$D$13:$F$13,0))</f>
        <v>0.15</v>
      </c>
      <c r="G37" s="52" cm="1">
        <f t="array" ref="G37">INDEX($D$14:$F$14,MATCH($D$15,$D$13:$F$13,0))</f>
        <v>0.15</v>
      </c>
      <c r="H37" s="52" cm="1">
        <f t="array" ref="H37">INDEX($D$14:$F$14,MATCH($D$15,$D$13:$F$13,0))</f>
        <v>0.15</v>
      </c>
      <c r="I37" s="52"/>
    </row>
    <row r="38" spans="2:9" ht="15" customHeight="1" x14ac:dyDescent="0.2">
      <c r="B38" s="64" t="s">
        <v>210</v>
      </c>
      <c r="C38" s="37"/>
      <c r="D38" s="50">
        <f t="shared" ref="D38:H38" si="3">D36*D37</f>
        <v>5208.5715573620691</v>
      </c>
      <c r="E38" s="50">
        <f t="shared" si="3"/>
        <v>5529.3612894522767</v>
      </c>
      <c r="F38" s="50">
        <f t="shared" si="3"/>
        <v>5793.6652252091089</v>
      </c>
      <c r="G38" s="50">
        <f t="shared" si="3"/>
        <v>6065.8365546266732</v>
      </c>
      <c r="H38" s="50">
        <f t="shared" si="3"/>
        <v>6251.2198667363709</v>
      </c>
      <c r="I38" s="50"/>
    </row>
    <row r="40" spans="2:9" ht="15" customHeight="1" x14ac:dyDescent="0.2">
      <c r="B40" s="26" t="s">
        <v>250</v>
      </c>
    </row>
    <row r="41" spans="2:9" ht="15" customHeight="1" x14ac:dyDescent="0.2">
      <c r="B41" s="27" t="s">
        <v>203</v>
      </c>
      <c r="D41" s="57">
        <f>'Company1153 3-Statement'!F$16</f>
        <v>292008.95499999996</v>
      </c>
      <c r="E41" s="57">
        <f>'Company1153 3-Statement'!G$16</f>
        <v>320857.35787499999</v>
      </c>
      <c r="F41" s="57">
        <f>'Company1153 3-Statement'!H$16</f>
        <v>349262.74479937501</v>
      </c>
      <c r="G41" s="57">
        <f>'Company1153 3-Statement'!I$16</f>
        <v>377287.31406996556</v>
      </c>
      <c r="H41" s="57">
        <f>'Company1153 3-Statement'!J$16</f>
        <v>405460.91515076387</v>
      </c>
      <c r="I41" s="48"/>
    </row>
    <row r="42" spans="2:9" ht="15" customHeight="1" x14ac:dyDescent="0.2">
      <c r="B42" s="27" t="s">
        <v>204</v>
      </c>
      <c r="D42" s="57">
        <f>'Company1808 3-Statement'!F$14</f>
        <v>151084.13793103449</v>
      </c>
      <c r="E42" s="57">
        <f>'Company1808 3-Statement'!G$14</f>
        <v>167723.49641760494</v>
      </c>
      <c r="F42" s="57">
        <f>'Company1808 3-Statement'!H$14</f>
        <v>183671.95636363639</v>
      </c>
      <c r="G42" s="57">
        <f>'Company1808 3-Statement'!I$14</f>
        <v>199300.35223357668</v>
      </c>
      <c r="H42" s="57">
        <f>'Company1808 3-Statement'!J$14</f>
        <v>215271.65309204216</v>
      </c>
      <c r="I42" s="48"/>
    </row>
    <row r="43" spans="2:9" ht="15" customHeight="1" x14ac:dyDescent="0.2">
      <c r="B43" s="27" t="s">
        <v>251</v>
      </c>
      <c r="D43" s="48">
        <f t="shared" ref="D43:H43" si="4">D41+D42</f>
        <v>443093.09293103445</v>
      </c>
      <c r="E43" s="48">
        <f t="shared" si="4"/>
        <v>488580.85429260496</v>
      </c>
      <c r="F43" s="48">
        <f t="shared" si="4"/>
        <v>532934.70116301137</v>
      </c>
      <c r="G43" s="48">
        <f t="shared" si="4"/>
        <v>576587.66630354221</v>
      </c>
      <c r="H43" s="48">
        <f t="shared" si="4"/>
        <v>620732.56824280601</v>
      </c>
      <c r="I43" s="48"/>
    </row>
    <row r="44" spans="2:9" ht="15" customHeight="1" x14ac:dyDescent="0.2">
      <c r="B44" s="27" t="s">
        <v>252</v>
      </c>
      <c r="D44" s="52" cm="1">
        <f t="array" ref="D44">INDEX($D$19:$F$19,MATCH($D$20,$D$18:$F$18,0))</f>
        <v>3.5000000000000003E-2</v>
      </c>
      <c r="E44" s="52" cm="1">
        <f t="array" ref="E44">INDEX($D$19:$F$19,MATCH($D$20,$D$18:$F$18,0))</f>
        <v>3.5000000000000003E-2</v>
      </c>
      <c r="F44" s="52" cm="1">
        <f t="array" ref="F44">INDEX($D$19:$F$19,MATCH($D$20,$D$18:$F$18,0))</f>
        <v>3.5000000000000003E-2</v>
      </c>
      <c r="G44" s="52" cm="1">
        <f t="array" ref="G44">INDEX($D$19:$F$19,MATCH($D$20,$D$18:$F$18,0))</f>
        <v>3.5000000000000003E-2</v>
      </c>
      <c r="H44" s="52" cm="1">
        <f t="array" ref="H44">INDEX($D$19:$F$19,MATCH($D$20,$D$18:$F$18,0))</f>
        <v>3.5000000000000003E-2</v>
      </c>
      <c r="I44" s="52"/>
    </row>
    <row r="45" spans="2:9" ht="15" customHeight="1" x14ac:dyDescent="0.2">
      <c r="B45" s="64" t="s">
        <v>253</v>
      </c>
      <c r="C45" s="37"/>
      <c r="D45" s="50">
        <f t="shared" ref="D45:H45" si="5">D43*D44</f>
        <v>15508.258252586207</v>
      </c>
      <c r="E45" s="50">
        <f t="shared" si="5"/>
        <v>17100.329900241177</v>
      </c>
      <c r="F45" s="50">
        <f t="shared" si="5"/>
        <v>18652.714540705401</v>
      </c>
      <c r="G45" s="50">
        <f t="shared" si="5"/>
        <v>20180.568320623981</v>
      </c>
      <c r="H45" s="50">
        <f t="shared" si="5"/>
        <v>21725.639888498212</v>
      </c>
      <c r="I45" s="50"/>
    </row>
    <row r="47" spans="2:9" ht="15" customHeight="1" x14ac:dyDescent="0.2">
      <c r="B47" s="26" t="s">
        <v>254</v>
      </c>
    </row>
    <row r="48" spans="2:9" ht="15" customHeight="1" x14ac:dyDescent="0.2">
      <c r="B48" s="27" t="s">
        <v>255</v>
      </c>
      <c r="D48" s="30">
        <v>0</v>
      </c>
      <c r="E48" s="30">
        <v>0.3</v>
      </c>
      <c r="F48" s="30">
        <v>0.6</v>
      </c>
      <c r="G48" s="30">
        <v>0.85</v>
      </c>
      <c r="H48" s="30">
        <v>0.95</v>
      </c>
      <c r="I48" s="30"/>
    </row>
    <row r="49" spans="2:9" ht="15" customHeight="1" thickBot="1" x14ac:dyDescent="0.25"/>
    <row r="50" spans="2:9" ht="15" customHeight="1" x14ac:dyDescent="0.2">
      <c r="B50" s="25" t="s">
        <v>256</v>
      </c>
      <c r="C50" s="25"/>
      <c r="D50" s="25"/>
      <c r="E50" s="25"/>
      <c r="F50" s="25"/>
      <c r="G50" s="25"/>
      <c r="H50" s="25"/>
      <c r="I50" s="25"/>
    </row>
    <row r="52" spans="2:9" ht="15" customHeight="1" x14ac:dyDescent="0.2">
      <c r="B52" s="26" t="s">
        <v>257</v>
      </c>
    </row>
    <row r="53" spans="2:9" ht="15" customHeight="1" x14ac:dyDescent="0.2">
      <c r="B53" s="27" t="s">
        <v>258</v>
      </c>
      <c r="D53" s="48" cm="1">
        <f t="array" ref="D53">D31</f>
        <v>14834.11212982759</v>
      </c>
      <c r="E53" s="48" cm="1">
        <f t="array" ref="E53">E31</f>
        <v>15554.401650707012</v>
      </c>
      <c r="F53" s="48" cm="1">
        <f t="array" ref="F53">F31</f>
        <v>16078.446874529831</v>
      </c>
      <c r="G53" s="48" cm="1">
        <f t="array" ref="G53">G31</f>
        <v>16628.30892255509</v>
      </c>
      <c r="H53" s="48" cm="1">
        <f t="array" ref="H53">H31</f>
        <v>17075.38055978109</v>
      </c>
      <c r="I53" s="48"/>
    </row>
    <row r="54" spans="2:9" ht="15" customHeight="1" x14ac:dyDescent="0.2">
      <c r="B54" s="27" t="s">
        <v>162</v>
      </c>
      <c r="D54" s="48" cm="1">
        <f t="array" ref="D54">D38</f>
        <v>5208.5715573620691</v>
      </c>
      <c r="E54" s="48" cm="1">
        <f t="array" ref="E54">E38</f>
        <v>5529.3612894522767</v>
      </c>
      <c r="F54" s="48" cm="1">
        <f t="array" ref="F54">F38</f>
        <v>5793.6652252091089</v>
      </c>
      <c r="G54" s="48" cm="1">
        <f t="array" ref="G54">G38</f>
        <v>6065.8365546266732</v>
      </c>
      <c r="H54" s="48" cm="1">
        <f t="array" ref="H54">H38</f>
        <v>6251.2198667363709</v>
      </c>
      <c r="I54" s="48"/>
    </row>
    <row r="55" spans="2:9" ht="15" customHeight="1" x14ac:dyDescent="0.2">
      <c r="B55" s="27" t="s">
        <v>259</v>
      </c>
      <c r="D55" s="48" cm="1">
        <f t="array" ref="D55">D45</f>
        <v>15508.258252586207</v>
      </c>
      <c r="E55" s="48" cm="1">
        <f t="array" ref="E55">E45</f>
        <v>17100.329900241177</v>
      </c>
      <c r="F55" s="48" cm="1">
        <f t="array" ref="F55">F45</f>
        <v>18652.714540705401</v>
      </c>
      <c r="G55" s="48" cm="1">
        <f t="array" ref="G55">G45</f>
        <v>20180.568320623981</v>
      </c>
      <c r="H55" s="48" cm="1">
        <f t="array" ref="H55">H45</f>
        <v>21725.639888498212</v>
      </c>
      <c r="I55" s="48"/>
    </row>
    <row r="56" spans="2:9" ht="15" customHeight="1" x14ac:dyDescent="0.2">
      <c r="B56" s="36" t="s">
        <v>260</v>
      </c>
      <c r="C56" s="37"/>
      <c r="D56" s="50">
        <f t="shared" ref="D56:H56" si="6">SUM(D53:D55)</f>
        <v>35550.941939775868</v>
      </c>
      <c r="E56" s="50">
        <f t="shared" si="6"/>
        <v>38184.092840400466</v>
      </c>
      <c r="F56" s="50">
        <f t="shared" si="6"/>
        <v>40524.826640444342</v>
      </c>
      <c r="G56" s="50">
        <f t="shared" si="6"/>
        <v>42874.713797805744</v>
      </c>
      <c r="H56" s="50">
        <f t="shared" si="6"/>
        <v>45052.240315015675</v>
      </c>
      <c r="I56" s="50"/>
    </row>
    <row r="57" spans="2:9" ht="15" customHeight="1" x14ac:dyDescent="0.2">
      <c r="D57" s="34"/>
      <c r="E57" s="34"/>
      <c r="F57" s="34"/>
      <c r="G57" s="34"/>
      <c r="H57" s="34"/>
      <c r="I57" s="34"/>
    </row>
    <row r="58" spans="2:9" ht="15" customHeight="1" x14ac:dyDescent="0.2">
      <c r="B58" s="26" t="s">
        <v>261</v>
      </c>
      <c r="D58" s="34"/>
      <c r="E58" s="34"/>
      <c r="F58" s="34"/>
      <c r="G58" s="34"/>
      <c r="H58" s="34"/>
      <c r="I58" s="34"/>
    </row>
    <row r="59" spans="2:9" ht="15" customHeight="1" x14ac:dyDescent="0.2">
      <c r="B59" s="27" t="s">
        <v>262</v>
      </c>
      <c r="D59" s="48">
        <f t="shared" ref="D59:H59" si="7">D56*D48</f>
        <v>0</v>
      </c>
      <c r="E59" s="48">
        <f t="shared" si="7"/>
        <v>11455.227852120139</v>
      </c>
      <c r="F59" s="48">
        <f t="shared" si="7"/>
        <v>24314.895984266605</v>
      </c>
      <c r="G59" s="48">
        <f t="shared" si="7"/>
        <v>36443.506728134882</v>
      </c>
      <c r="H59" s="48">
        <f t="shared" si="7"/>
        <v>42799.628299264892</v>
      </c>
      <c r="I59" s="48"/>
    </row>
    <row r="61" spans="2:9" ht="15" customHeight="1" x14ac:dyDescent="0.2">
      <c r="B61" s="26" t="s">
        <v>263</v>
      </c>
    </row>
    <row r="62" spans="2:9" ht="15" customHeight="1" x14ac:dyDescent="0.2">
      <c r="B62" s="27" t="s">
        <v>264</v>
      </c>
      <c r="D62" s="49">
        <v>3000</v>
      </c>
      <c r="E62" s="49">
        <v>3000</v>
      </c>
      <c r="F62" s="49">
        <v>2000</v>
      </c>
      <c r="G62" s="49">
        <v>1000</v>
      </c>
      <c r="H62" s="49">
        <v>500</v>
      </c>
      <c r="I62" s="65"/>
    </row>
    <row r="63" spans="2:9" ht="15" customHeight="1" thickBot="1" x14ac:dyDescent="0.25">
      <c r="D63" s="34"/>
      <c r="E63" s="34"/>
      <c r="F63" s="34"/>
      <c r="G63" s="34"/>
      <c r="H63" s="34"/>
      <c r="I63" s="34"/>
    </row>
    <row r="64" spans="2:9" ht="15" customHeight="1" thickBot="1" x14ac:dyDescent="0.25">
      <c r="B64" s="45" t="s">
        <v>169</v>
      </c>
      <c r="C64" s="40"/>
      <c r="D64" s="51">
        <f>D59-D62</f>
        <v>-3000</v>
      </c>
      <c r="E64" s="51">
        <f t="shared" ref="E64:H64" si="8">E59-E62</f>
        <v>8455.2278521201388</v>
      </c>
      <c r="F64" s="51">
        <f t="shared" si="8"/>
        <v>22314.895984266605</v>
      </c>
      <c r="G64" s="51">
        <f t="shared" si="8"/>
        <v>35443.506728134882</v>
      </c>
      <c r="H64" s="51">
        <f t="shared" si="8"/>
        <v>42299.628299264892</v>
      </c>
      <c r="I64" s="66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Company1153 Assumptions</vt:lpstr>
      <vt:lpstr>Company1808 Assumptions</vt:lpstr>
      <vt:lpstr>Company1153 3-Statement</vt:lpstr>
      <vt:lpstr>Company1808 3-Statement</vt:lpstr>
      <vt:lpstr>Combination Assumptions</vt:lpstr>
      <vt:lpstr>PF Combination</vt:lpstr>
      <vt:lpstr>Synergy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