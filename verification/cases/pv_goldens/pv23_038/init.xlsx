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0" yWindow="760" windowWidth="30240" windowHeight="1816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J53" i="1" l="1"/>
  <c r="K53" i="1" s="1"/>
  <c r="L53" i="1" s="1"/>
  <c r="M53" i="1" s="1"/>
  <c r="F214" i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I84" i="1"/>
  <c r="J84" i="1" s="1"/>
  <c r="K84" i="1" s="1"/>
  <c r="L84" i="1" s="1"/>
  <c r="M84" i="1" s="1"/>
  <c r="I79" i="1"/>
  <c r="J79" i="1" s="1"/>
  <c r="K79" i="1" s="1"/>
  <c r="L79" i="1" s="1"/>
  <c r="M79" i="1" s="1"/>
  <c r="J46" i="1"/>
  <c r="K46" i="1"/>
  <c r="L46" i="1"/>
  <c r="M46" i="1"/>
  <c r="I46" i="1"/>
  <c r="H134" i="1" l="1"/>
  <c r="I149" i="1" s="1"/>
  <c r="K23" i="1"/>
  <c r="K13" i="1"/>
  <c r="I131" i="1" l="1"/>
  <c r="I182" i="1"/>
  <c r="I90" i="1" s="1"/>
  <c r="K27" i="1"/>
  <c r="I128" i="1" l="1"/>
  <c r="H115" i="1" l="1"/>
  <c r="H112" i="1"/>
  <c r="H109" i="1"/>
  <c r="H106" i="1"/>
  <c r="H103" i="1"/>
  <c r="H100" i="1"/>
  <c r="H69" i="1"/>
  <c r="H66" i="1"/>
  <c r="I66" i="1" s="1"/>
  <c r="H63" i="1"/>
  <c r="I63" i="1" s="1"/>
  <c r="H60" i="1"/>
  <c r="I60" i="1" s="1"/>
  <c r="H56" i="1"/>
  <c r="I56" i="1" s="1"/>
  <c r="H54" i="1"/>
  <c r="H51" i="1"/>
  <c r="H76" i="1"/>
  <c r="J66" i="1" l="1"/>
  <c r="I82" i="1"/>
  <c r="I125" i="1"/>
  <c r="J56" i="1"/>
  <c r="J60" i="1"/>
  <c r="I75" i="1"/>
  <c r="J63" i="1"/>
  <c r="I81" i="1"/>
  <c r="I114" i="1" s="1"/>
  <c r="H127" i="1"/>
  <c r="H128" i="1"/>
  <c r="K56" i="1" l="1"/>
  <c r="J125" i="1"/>
  <c r="K60" i="1"/>
  <c r="J75" i="1"/>
  <c r="K63" i="1"/>
  <c r="J81" i="1"/>
  <c r="J114" i="1" s="1"/>
  <c r="K66" i="1"/>
  <c r="J82" i="1"/>
  <c r="H91" i="1"/>
  <c r="L66" i="1" l="1"/>
  <c r="K82" i="1"/>
  <c r="L63" i="1"/>
  <c r="K81" i="1"/>
  <c r="K114" i="1" s="1"/>
  <c r="L60" i="1"/>
  <c r="K75" i="1"/>
  <c r="L56" i="1"/>
  <c r="K125" i="1"/>
  <c r="C145" i="1"/>
  <c r="C144" i="1"/>
  <c r="C143" i="1"/>
  <c r="C142" i="1"/>
  <c r="M56" i="1" l="1"/>
  <c r="M125" i="1" s="1"/>
  <c r="L125" i="1"/>
  <c r="M60" i="1"/>
  <c r="M75" i="1" s="1"/>
  <c r="L75" i="1"/>
  <c r="M63" i="1"/>
  <c r="M81" i="1" s="1"/>
  <c r="M114" i="1" s="1"/>
  <c r="L81" i="1"/>
  <c r="L114" i="1" s="1"/>
  <c r="M66" i="1"/>
  <c r="M82" i="1" s="1"/>
  <c r="L82" i="1"/>
  <c r="C38" i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I109" i="1" s="1"/>
  <c r="D96" i="1"/>
  <c r="I95" i="1"/>
  <c r="E95" i="1"/>
  <c r="E121" i="1"/>
  <c r="G91" i="1"/>
  <c r="F91" i="1"/>
  <c r="E91" i="1"/>
  <c r="I106" i="1" l="1"/>
  <c r="I103" i="1"/>
  <c r="J109" i="1"/>
  <c r="I108" i="1"/>
  <c r="J106" i="1"/>
  <c r="I105" i="1"/>
  <c r="H64" i="1"/>
  <c r="H67" i="1"/>
  <c r="F67" i="1"/>
  <c r="G67" i="1"/>
  <c r="G64" i="1"/>
  <c r="F61" i="1"/>
  <c r="F64" i="1"/>
  <c r="G61" i="1"/>
  <c r="F57" i="1"/>
  <c r="G117" i="1"/>
  <c r="G57" i="1"/>
  <c r="E117" i="1"/>
  <c r="F117" i="1"/>
  <c r="K106" i="1" l="1"/>
  <c r="J105" i="1"/>
  <c r="K109" i="1"/>
  <c r="J108" i="1"/>
  <c r="J103" i="1"/>
  <c r="I102" i="1"/>
  <c r="G118" i="1"/>
  <c r="G119" i="1" s="1"/>
  <c r="F118" i="1"/>
  <c r="G84" i="1"/>
  <c r="F85" i="1"/>
  <c r="E85" i="1"/>
  <c r="F76" i="1"/>
  <c r="G76" i="1"/>
  <c r="E76" i="1"/>
  <c r="K103" i="1" l="1"/>
  <c r="J102" i="1"/>
  <c r="L109" i="1"/>
  <c r="K108" i="1"/>
  <c r="L106" i="1"/>
  <c r="K105" i="1"/>
  <c r="E87" i="1"/>
  <c r="F77" i="1"/>
  <c r="G77" i="1"/>
  <c r="G126" i="1"/>
  <c r="G85" i="1"/>
  <c r="G87" i="1" s="1"/>
  <c r="E119" i="1"/>
  <c r="E126" i="1"/>
  <c r="F119" i="1"/>
  <c r="F126" i="1"/>
  <c r="F87" i="1"/>
  <c r="M106" i="1" l="1"/>
  <c r="M105" i="1" s="1"/>
  <c r="L105" i="1"/>
  <c r="M109" i="1"/>
  <c r="M108" i="1" s="1"/>
  <c r="L108" i="1"/>
  <c r="L103" i="1"/>
  <c r="K102" i="1"/>
  <c r="F93" i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M103" i="1" l="1"/>
  <c r="M102" i="1" s="1"/>
  <c r="L102" i="1"/>
  <c r="D122" i="1"/>
  <c r="D72" i="1"/>
  <c r="H42" i="1" l="1"/>
  <c r="I42" i="1" l="1"/>
  <c r="I44" i="1" s="1"/>
  <c r="I49" i="1" s="1"/>
  <c r="I50" i="1" s="1"/>
  <c r="G42" i="1"/>
  <c r="I76" i="1" l="1"/>
  <c r="I241" i="1"/>
  <c r="I242" i="1"/>
  <c r="F42" i="1"/>
  <c r="G44" i="1" s="1"/>
  <c r="G99" i="1" s="1"/>
  <c r="H44" i="1"/>
  <c r="J42" i="1"/>
  <c r="J44" i="1" s="1"/>
  <c r="J49" i="1" s="1"/>
  <c r="J50" i="1" s="1"/>
  <c r="J187" i="1"/>
  <c r="K187" i="1" s="1"/>
  <c r="L187" i="1" s="1"/>
  <c r="M187" i="1" s="1"/>
  <c r="I243" i="1" l="1"/>
  <c r="I246" i="1" s="1"/>
  <c r="J241" i="1"/>
  <c r="J242" i="1"/>
  <c r="J76" i="1"/>
  <c r="I77" i="1"/>
  <c r="I74" i="1"/>
  <c r="H77" i="1"/>
  <c r="H99" i="1"/>
  <c r="K42" i="1"/>
  <c r="K44" i="1" s="1"/>
  <c r="K49" i="1" s="1"/>
  <c r="K50" i="1" s="1"/>
  <c r="E42" i="1"/>
  <c r="E44" i="1" s="1"/>
  <c r="E99" i="1" s="1"/>
  <c r="I247" i="1" l="1"/>
  <c r="I248" i="1" s="1"/>
  <c r="I111" i="1"/>
  <c r="I98" i="1"/>
  <c r="I58" i="1"/>
  <c r="I83" i="1"/>
  <c r="I85" i="1" s="1"/>
  <c r="I87" i="1" s="1"/>
  <c r="J74" i="1"/>
  <c r="J77" i="1"/>
  <c r="K241" i="1"/>
  <c r="K242" i="1"/>
  <c r="K76" i="1"/>
  <c r="J243" i="1"/>
  <c r="J246" i="1" s="1"/>
  <c r="H85" i="1"/>
  <c r="H87" i="1" s="1"/>
  <c r="F44" i="1"/>
  <c r="F99" i="1" s="1"/>
  <c r="L42" i="1"/>
  <c r="L44" i="1" s="1"/>
  <c r="L49" i="1" s="1"/>
  <c r="L50" i="1" s="1"/>
  <c r="I121" i="1"/>
  <c r="J247" i="1" l="1"/>
  <c r="J248" i="1"/>
  <c r="L241" i="1"/>
  <c r="L242" i="1"/>
  <c r="L76" i="1"/>
  <c r="J83" i="1"/>
  <c r="J85" i="1" s="1"/>
  <c r="J87" i="1" s="1"/>
  <c r="J124" i="1" s="1"/>
  <c r="J58" i="1"/>
  <c r="J111" i="1"/>
  <c r="J98" i="1"/>
  <c r="K74" i="1"/>
  <c r="K77" i="1"/>
  <c r="I117" i="1"/>
  <c r="I100" i="1"/>
  <c r="I124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00" i="1"/>
  <c r="J117" i="1"/>
  <c r="L74" i="1"/>
  <c r="L77" i="1"/>
  <c r="I118" i="1"/>
  <c r="J189" i="1"/>
  <c r="J191" i="1" s="1"/>
  <c r="L243" i="1"/>
  <c r="L246" i="1" s="1"/>
  <c r="E213" i="1"/>
  <c r="M44" i="1"/>
  <c r="M49" i="1" s="1"/>
  <c r="M50" i="1" s="1"/>
  <c r="K98" i="1"/>
  <c r="K83" i="1"/>
  <c r="K85" i="1" s="1"/>
  <c r="K87" i="1" s="1"/>
  <c r="K124" i="1" s="1"/>
  <c r="K111" i="1"/>
  <c r="K58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76" i="1"/>
  <c r="M242" i="1"/>
  <c r="L98" i="1"/>
  <c r="L100" i="1" s="1"/>
  <c r="L83" i="1"/>
  <c r="L85" i="1" s="1"/>
  <c r="L87" i="1" s="1"/>
  <c r="L124" i="1" s="1"/>
  <c r="L111" i="1"/>
  <c r="L58" i="1"/>
  <c r="I119" i="1"/>
  <c r="I126" i="1"/>
  <c r="K189" i="1"/>
  <c r="K191" i="1" s="1"/>
  <c r="K229" i="1"/>
  <c r="K230" i="1"/>
  <c r="K100" i="1"/>
  <c r="K117" i="1"/>
  <c r="J118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7" i="1"/>
  <c r="F24" i="1"/>
  <c r="F25" i="1"/>
  <c r="I167" i="1"/>
  <c r="I168" i="1"/>
  <c r="I170" i="1"/>
  <c r="F26" i="1"/>
  <c r="J119" i="1"/>
  <c r="J126" i="1"/>
  <c r="L117" i="1"/>
  <c r="L118" i="1" s="1"/>
  <c r="L230" i="1"/>
  <c r="L189" i="1"/>
  <c r="L191" i="1" s="1"/>
  <c r="L229" i="1"/>
  <c r="K118" i="1"/>
  <c r="M74" i="1"/>
  <c r="M77" i="1"/>
  <c r="M243" i="1"/>
  <c r="M246" i="1" s="1"/>
  <c r="H72" i="1"/>
  <c r="B2" i="1"/>
  <c r="F29" i="1" l="1"/>
  <c r="I163" i="1"/>
  <c r="J164" i="1"/>
  <c r="J161" i="1"/>
  <c r="J163" i="1" s="1"/>
  <c r="I169" i="1"/>
  <c r="I180" i="1"/>
  <c r="I175" i="1"/>
  <c r="L119" i="1"/>
  <c r="L126" i="1"/>
  <c r="M83" i="1"/>
  <c r="M85" i="1" s="1"/>
  <c r="M87" i="1" s="1"/>
  <c r="M124" i="1" s="1"/>
  <c r="M98" i="1"/>
  <c r="M58" i="1"/>
  <c r="M111" i="1"/>
  <c r="K119" i="1"/>
  <c r="K126" i="1"/>
  <c r="M247" i="1"/>
  <c r="M248" i="1" s="1"/>
  <c r="H96" i="1"/>
  <c r="H185" i="1"/>
  <c r="H137" i="1"/>
  <c r="H226" i="1"/>
  <c r="H122" i="1"/>
  <c r="I72" i="1"/>
  <c r="G72" i="1"/>
  <c r="I181" i="1" l="1"/>
  <c r="I89" i="1" s="1"/>
  <c r="I91" i="1" s="1"/>
  <c r="I93" i="1" s="1"/>
  <c r="I127" i="1"/>
  <c r="I129" i="1" s="1"/>
  <c r="J167" i="1"/>
  <c r="J168" i="1"/>
  <c r="J170" i="1"/>
  <c r="J173" i="1"/>
  <c r="J176" i="1"/>
  <c r="J174" i="1"/>
  <c r="K161" i="1"/>
  <c r="K163" i="1" s="1"/>
  <c r="K164" i="1"/>
  <c r="M100" i="1"/>
  <c r="M117" i="1"/>
  <c r="M118" i="1" s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32" i="1"/>
  <c r="I150" i="1"/>
  <c r="I153" i="1" s="1"/>
  <c r="I156" i="1" s="1"/>
  <c r="M126" i="1"/>
  <c r="M119" i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33" i="1" s="1"/>
  <c r="I134" i="1" s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31" i="1"/>
  <c r="J182" i="1"/>
  <c r="L96" i="1"/>
  <c r="L226" i="1"/>
  <c r="L137" i="1"/>
  <c r="L185" i="1"/>
  <c r="L122" i="1"/>
  <c r="M72" i="1"/>
  <c r="J181" i="1" l="1"/>
  <c r="J89" i="1" s="1"/>
  <c r="J127" i="1"/>
  <c r="M168" i="1"/>
  <c r="M170" i="1"/>
  <c r="M167" i="1"/>
  <c r="I232" i="1"/>
  <c r="I200" i="1"/>
  <c r="I201" i="1" s="1"/>
  <c r="I196" i="1"/>
  <c r="I197" i="1"/>
  <c r="J128" i="1"/>
  <c r="J90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J129" i="1"/>
  <c r="J91" i="1"/>
  <c r="J93" i="1" s="1"/>
  <c r="H58" i="1"/>
  <c r="M174" i="1" l="1"/>
  <c r="M173" i="1"/>
  <c r="M176" i="1"/>
  <c r="J150" i="1"/>
  <c r="J153" i="1" s="1"/>
  <c r="J156" i="1" s="1"/>
  <c r="J132" i="1"/>
  <c r="I208" i="1"/>
  <c r="I209" i="1"/>
  <c r="I238" i="1"/>
  <c r="H129" i="1"/>
  <c r="J157" i="1" l="1"/>
  <c r="J179" i="1"/>
  <c r="J133" i="1" s="1"/>
  <c r="J134" i="1" s="1"/>
  <c r="M175" i="1"/>
  <c r="K131" i="1" l="1"/>
  <c r="K149" i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27" i="1"/>
  <c r="K181" i="1"/>
  <c r="K89" i="1" s="1"/>
  <c r="K128" i="1"/>
  <c r="K90" i="1"/>
  <c r="K91" i="1" l="1"/>
  <c r="K93" i="1" s="1"/>
  <c r="J202" i="1"/>
  <c r="J203" i="1" s="1"/>
  <c r="J205" i="1" s="1"/>
  <c r="K129" i="1"/>
  <c r="J231" i="1"/>
  <c r="J237" i="1" s="1"/>
  <c r="J235" i="1"/>
  <c r="J236" i="1"/>
  <c r="J238" i="1" l="1"/>
  <c r="K132" i="1"/>
  <c r="K150" i="1"/>
  <c r="K153" i="1" s="1"/>
  <c r="K156" i="1" s="1"/>
  <c r="J209" i="1"/>
  <c r="J208" i="1"/>
  <c r="K179" i="1" l="1"/>
  <c r="K133" i="1" s="1"/>
  <c r="K134" i="1" s="1"/>
  <c r="K157" i="1"/>
  <c r="K192" i="1" l="1"/>
  <c r="K193" i="1" s="1"/>
  <c r="L155" i="1"/>
  <c r="L158" i="1"/>
  <c r="L180" i="1" s="1"/>
  <c r="L131" i="1"/>
  <c r="L182" i="1"/>
  <c r="L149" i="1"/>
  <c r="L127" i="1" l="1"/>
  <c r="L181" i="1"/>
  <c r="L89" i="1" s="1"/>
  <c r="L128" i="1"/>
  <c r="L90" i="1"/>
  <c r="K197" i="1"/>
  <c r="K200" i="1"/>
  <c r="K196" i="1"/>
  <c r="K232" i="1"/>
  <c r="K231" i="1" l="1"/>
  <c r="K237" i="1" s="1"/>
  <c r="K236" i="1"/>
  <c r="K235" i="1"/>
  <c r="L91" i="1"/>
  <c r="L93" i="1" s="1"/>
  <c r="K201" i="1"/>
  <c r="K202" i="1"/>
  <c r="L129" i="1"/>
  <c r="K238" i="1" l="1"/>
  <c r="K203" i="1"/>
  <c r="K205" i="1" s="1"/>
  <c r="K209" i="1" s="1"/>
  <c r="K208" i="1"/>
  <c r="L132" i="1"/>
  <c r="L150" i="1"/>
  <c r="L153" i="1" s="1"/>
  <c r="L156" i="1" s="1"/>
  <c r="L179" i="1" l="1"/>
  <c r="L133" i="1" s="1"/>
  <c r="L134" i="1" s="1"/>
  <c r="L157" i="1"/>
  <c r="L192" i="1" l="1"/>
  <c r="L193" i="1" s="1"/>
  <c r="M158" i="1"/>
  <c r="M180" i="1" s="1"/>
  <c r="M155" i="1"/>
  <c r="M131" i="1"/>
  <c r="M149" i="1"/>
  <c r="M182" i="1"/>
  <c r="M181" i="1" l="1"/>
  <c r="M89" i="1" s="1"/>
  <c r="M127" i="1"/>
  <c r="M90" i="1"/>
  <c r="M128" i="1"/>
  <c r="L232" i="1"/>
  <c r="L200" i="1"/>
  <c r="L201" i="1" s="1"/>
  <c r="L196" i="1"/>
  <c r="L197" i="1"/>
  <c r="L236" i="1" l="1"/>
  <c r="L235" i="1"/>
  <c r="L231" i="1"/>
  <c r="L237" i="1" s="1"/>
  <c r="M129" i="1"/>
  <c r="L202" i="1"/>
  <c r="L203" i="1" s="1"/>
  <c r="L205" i="1" s="1"/>
  <c r="M91" i="1"/>
  <c r="M93" i="1" s="1"/>
  <c r="L209" i="1" l="1"/>
  <c r="L208" i="1"/>
  <c r="M150" i="1"/>
  <c r="M153" i="1" s="1"/>
  <c r="M156" i="1" s="1"/>
  <c r="M132" i="1"/>
  <c r="L238" i="1"/>
  <c r="M179" i="1" l="1"/>
  <c r="M133" i="1" s="1"/>
  <c r="M134" i="1" s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38" i="1"/>
  <c r="M209" i="1"/>
  <c r="D214" i="1" s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<sst xmlns="http://schemas.openxmlformats.org/spreadsheetml/2006/main" count="309" uniqueCount="164">
  <si>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</si>
  <si>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</si>
  <si>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</si>
  <si>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</si>
  <si>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</si>
  <si>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</si>
  <si>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</si>
  <si>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</si>
  <si>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</si>
  <si>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</si>
  <si>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</si>
  <si>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</si>
  <si>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</si>
  <si>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</si>
  <si>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</si>
  <si>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</si>
  <si>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</si>
  <si>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</si>
  <si>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</si>
  <si>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</si>
  <si>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</si>
  <si>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</si>
  <si>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</si>
  <si>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</si>
  <si>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</si>
  <si>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</si>
  <si>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</si>
  <si>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</si>
  <si>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</si>
  <si>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</si>
  <si>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</si>
  <si>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</si>
  <si>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</si>
  <si>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</si>
  <si>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</si>
  <si>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</si>
  <si>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</si>
  <si>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</si>
  <si>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</si>
  <si>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</si>
  <si>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</si>
  <si>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</si>
  <si>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</si>
  <si>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</si>
  <si>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</si>
  <si>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</si>
  <si>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</si>
  <si>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</si>
  <si>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</si>
  <si>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</si>
  <si>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</si>
  <si>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</si>
  <si>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</si>
  <si>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</si>
  <si>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</si>
  <si>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</si>
  <si>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</si>
  <si>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</si>
  <si>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</si>
  <si>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</si>
  <si>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</si>
  <si>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</si>
  <si>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</si>
  <si>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</si>
  <si>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</si>
  <si>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</si>
  <si>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</si>
  <si>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</si>
  <si>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</si>
  <si>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Company0800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</si>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</sst>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/>
    <xf numFmtId="0" fontId="19" fillId="0" borderId="0"/>
  </cellStyleXfs>
  <cellXfs count="159">
    <xf numFmtId="0" fontId="0" fillId="0" borderId="0" xfId="0"/>
    <xf numFmtId="170" fontId="8" fillId="6" borderId="2" xfId="0" applyNumberFormat="1" applyFont="1" applyFill="1" applyBorder="1" applyAlignment="1">
      <alignment horizontal="center"/>
    </xf>
    <xf numFmtId="170" fontId="8" fillId="6" borderId="5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164" fontId="13" fillId="5" borderId="1" xfId="1" applyNumberFormat="1" applyFont="1" applyFill="1" applyAlignment="1">
      <alignment horizontal="center"/>
    </xf>
    <xf numFmtId="0" fontId="9" fillId="4" borderId="2" xfId="0" applyFont="1" applyFill="1" applyBorder="1"/>
    <xf numFmtId="0" fontId="6" fillId="4" borderId="2" xfId="0" applyFont="1" applyFill="1" applyBorder="1"/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8" fontId="13" fillId="5" borderId="1" xfId="1" applyNumberFormat="1" applyFont="1" applyFill="1"/>
    <xf numFmtId="0" fontId="13" fillId="0" borderId="0" xfId="0" applyFont="1" applyAlignment="1">
      <alignment horizontal="center"/>
    </xf>
    <xf numFmtId="0" fontId="9" fillId="4" borderId="0" xfId="0" applyFont="1" applyFill="1"/>
    <xf numFmtId="165" fontId="13" fillId="5" borderId="1" xfId="1" applyNumberFormat="1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6" borderId="3" xfId="0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0" fontId="10" fillId="6" borderId="6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2" xfId="0" applyFont="1" applyFill="1" applyBorder="1"/>
    <xf numFmtId="0" fontId="6" fillId="0" borderId="7" xfId="0" applyFont="1" applyBorder="1"/>
    <xf numFmtId="0" fontId="15" fillId="0" borderId="0" xfId="0" applyFont="1" applyAlignment="1">
      <alignment horizontal="left" indent="1"/>
    </xf>
    <xf numFmtId="166" fontId="13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167" fontId="9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169" fontId="13" fillId="0" borderId="0" xfId="0" applyNumberFormat="1" applyFont="1"/>
    <xf numFmtId="0" fontId="9" fillId="0" borderId="0" xfId="0" applyFont="1" applyAlignment="1">
      <alignment horizontal="left" indent="1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7" fontId="9" fillId="0" borderId="7" xfId="0" applyNumberFormat="1" applyFont="1" applyBorder="1"/>
    <xf numFmtId="171" fontId="13" fillId="5" borderId="1" xfId="0" applyNumberFormat="1" applyFont="1" applyFill="1" applyBorder="1"/>
    <xf numFmtId="0" fontId="10" fillId="6" borderId="2" xfId="0" applyFont="1" applyFill="1" applyBorder="1"/>
    <xf numFmtId="166" fontId="6" fillId="0" borderId="7" xfId="0" applyNumberFormat="1" applyFont="1" applyBorder="1"/>
    <xf numFmtId="0" fontId="9" fillId="0" borderId="7" xfId="0" applyFont="1" applyBorder="1"/>
    <xf numFmtId="171" fontId="16" fillId="0" borderId="7" xfId="0" applyNumberFormat="1" applyFont="1" applyBorder="1"/>
    <xf numFmtId="171" fontId="17" fillId="0" borderId="7" xfId="0" applyNumberFormat="1" applyFont="1" applyBorder="1"/>
    <xf numFmtId="166" fontId="9" fillId="0" borderId="7" xfId="0" applyNumberFormat="1" applyFont="1" applyBorder="1"/>
    <xf numFmtId="166" fontId="16" fillId="0" borderId="0" xfId="0" applyNumberFormat="1" applyFont="1"/>
    <xf numFmtId="0" fontId="13" fillId="5" borderId="1" xfId="1" applyFont="1" applyFill="1" applyAlignment="1">
      <alignment horizontal="centerContinuous"/>
    </xf>
    <xf numFmtId="166" fontId="6" fillId="5" borderId="4" xfId="1" applyNumberFormat="1" applyFont="1" applyFill="1" applyBorder="1"/>
    <xf numFmtId="0" fontId="18" fillId="6" borderId="2" xfId="0" applyFont="1" applyFill="1" applyBorder="1" applyAlignment="1">
      <alignment horizontal="center"/>
    </xf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0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9" fillId="0" borderId="7" xfId="0" applyFont="1" applyBorder="1" applyAlignment="1">
      <alignment horizontal="left" indent="1"/>
    </xf>
    <xf numFmtId="169" fontId="16" fillId="5" borderId="9" xfId="1" applyNumberFormat="1" applyFont="1" applyFill="1" applyBorder="1"/>
    <xf numFmtId="10" fontId="13" fillId="0" borderId="0" xfId="1" applyNumberFormat="1" applyFont="1" applyFill="1" applyBorder="1"/>
    <xf numFmtId="10" fontId="16" fillId="0" borderId="0" xfId="1" applyNumberFormat="1" applyFont="1" applyFill="1" applyBorder="1"/>
    <xf numFmtId="0" fontId="5" fillId="0" borderId="2" xfId="0" applyFont="1" applyBorder="1" applyAlignment="1">
      <alignment horizontal="left" indent="2"/>
    </xf>
    <xf numFmtId="166" fontId="5" fillId="0" borderId="0" xfId="0" applyNumberFormat="1" applyFont="1"/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0" borderId="0" xfId="2" applyFont="1" applyAlignment="1">
      <alignment horizontal="center"/>
    </xf>
    <xf numFmtId="0" fontId="6" fillId="0" borderId="2" xfId="0" applyFont="1" applyBorder="1" applyAlignment="1">
      <alignment horizontal="left" indent="1"/>
    </xf>
    <xf numFmtId="171" fontId="6" fillId="0" borderId="0" xfId="0" applyNumberFormat="1" applyFont="1"/>
    <xf numFmtId="0" fontId="15" fillId="0" borderId="7" xfId="0" applyFont="1" applyBorder="1" applyAlignment="1">
      <alignment horizontal="center"/>
    </xf>
    <xf numFmtId="43" fontId="6" fillId="0" borderId="0" xfId="0" applyNumberFormat="1" applyFont="1"/>
    <xf numFmtId="168" fontId="14" fillId="0" borderId="0" xfId="1" applyNumberFormat="1" applyFont="1" applyFill="1" applyBorder="1"/>
    <xf numFmtId="0" fontId="16" fillId="6" borderId="11" xfId="2" applyFont="1" applyFill="1" applyBorder="1"/>
    <xf numFmtId="0" fontId="16" fillId="6" borderId="12" xfId="2" applyFont="1" applyFill="1" applyBorder="1"/>
    <xf numFmtId="0" fontId="8" fillId="6" borderId="12" xfId="2" applyFont="1" applyFill="1" applyBorder="1" applyAlignment="1">
      <alignment horizontal="centerContinuous"/>
    </xf>
    <xf numFmtId="0" fontId="17" fillId="6" borderId="12" xfId="2" applyFont="1" applyFill="1" applyBorder="1" applyAlignment="1">
      <alignment horizontal="centerContinuous"/>
    </xf>
    <xf numFmtId="0" fontId="17" fillId="6" borderId="13" xfId="2" applyFont="1" applyFill="1" applyBorder="1" applyAlignment="1">
      <alignment horizontal="centerContinuous"/>
    </xf>
    <xf numFmtId="0" fontId="16" fillId="6" borderId="14" xfId="2" applyFont="1" applyFill="1" applyBorder="1"/>
    <xf numFmtId="172" fontId="21" fillId="4" borderId="0" xfId="2" applyNumberFormat="1" applyFont="1" applyFill="1"/>
    <xf numFmtId="43" fontId="16" fillId="0" borderId="0" xfId="0" applyNumberFormat="1" applyFont="1"/>
    <xf numFmtId="43" fontId="17" fillId="0" borderId="0" xfId="0" applyNumberFormat="1" applyFont="1"/>
    <xf numFmtId="168" fontId="22" fillId="0" borderId="0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72" fontId="14" fillId="0" borderId="0" xfId="1" applyNumberFormat="1" applyFont="1" applyFill="1" applyBorder="1"/>
    <xf numFmtId="172" fontId="14" fillId="0" borderId="2" xfId="1" applyNumberFormat="1" applyFont="1" applyFill="1" applyBorder="1"/>
    <xf numFmtId="172" fontId="22" fillId="0" borderId="0" xfId="1" applyNumberFormat="1" applyFont="1" applyFill="1" applyBorder="1"/>
    <xf numFmtId="170" fontId="8" fillId="6" borderId="17" xfId="0" applyNumberFormat="1" applyFont="1" applyFill="1" applyBorder="1" applyAlignment="1">
      <alignment horizontal="center"/>
    </xf>
    <xf numFmtId="0" fontId="3" fillId="0" borderId="0" xfId="0" applyFont="1"/>
    <xf numFmtId="173" fontId="6" fillId="0" borderId="0" xfId="0" applyNumberFormat="1" applyFont="1"/>
    <xf numFmtId="173" fontId="9" fillId="0" borderId="7" xfId="0" applyNumberFormat="1" applyFont="1" applyBorder="1"/>
    <xf numFmtId="0" fontId="3" fillId="0" borderId="0" xfId="0" applyFont="1" applyAlignment="1">
      <alignment horizontal="left" indent="1"/>
    </xf>
    <xf numFmtId="173" fontId="13" fillId="0" borderId="0" xfId="0" applyNumberFormat="1" applyFont="1"/>
    <xf numFmtId="0" fontId="3" fillId="0" borderId="0" xfId="0" applyFont="1" applyAlignment="1">
      <alignment horizontal="left" indent="2"/>
    </xf>
    <xf numFmtId="3" fontId="13" fillId="0" borderId="0" xfId="0" applyNumberFormat="1" applyFont="1"/>
    <xf numFmtId="42" fontId="13" fillId="0" borderId="0" xfId="0" applyNumberFormat="1" applyFont="1"/>
    <xf numFmtId="38" fontId="13" fillId="5" borderId="1" xfId="1" applyNumberFormat="1" applyFont="1" applyFill="1"/>
    <xf numFmtId="44" fontId="23" fillId="5" borderId="1" xfId="1" applyNumberFormat="1" applyFont="1" applyFill="1" applyAlignment="1"/>
    <xf numFmtId="172" fontId="23" fillId="5" borderId="1" xfId="1" applyNumberFormat="1" applyFont="1" applyFill="1" applyAlignment="1"/>
    <xf numFmtId="44" fontId="24" fillId="5" borderId="1" xfId="1" applyNumberFormat="1" applyFont="1" applyFill="1" applyAlignment="1"/>
    <xf numFmtId="0" fontId="2" fillId="0" borderId="0" xfId="0" applyFont="1"/>
    <xf numFmtId="0" fontId="2" fillId="0" borderId="0" xfId="0" applyFont="1" applyAlignment="1">
      <alignment horizontal="left" indent="1"/>
    </xf>
    <xf numFmtId="3" fontId="6" fillId="0" borderId="0" xfId="0" applyNumberFormat="1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166" fontId="16" fillId="0" borderId="2" xfId="0" applyNumberFormat="1" applyFont="1" applyBorder="1"/>
    <xf numFmtId="166" fontId="2" fillId="0" borderId="0" xfId="0" applyNumberFormat="1" applyFont="1"/>
    <xf numFmtId="42" fontId="6" fillId="0" borderId="0" xfId="0" applyNumberFormat="1" applyFont="1"/>
    <xf numFmtId="174" fontId="2" fillId="0" borderId="0" xfId="0" applyNumberFormat="1" applyFont="1"/>
    <xf numFmtId="173" fontId="16" fillId="0" borderId="0" xfId="0" applyNumberFormat="1" applyFont="1"/>
    <xf numFmtId="168" fontId="16" fillId="5" borderId="1" xfId="1" applyNumberFormat="1" applyFont="1" applyFill="1"/>
    <xf numFmtId="171" fontId="16" fillId="0" borderId="0" xfId="0" applyNumberFormat="1" applyFont="1"/>
    <xf numFmtId="173" fontId="9" fillId="4" borderId="2" xfId="0" applyNumberFormat="1" applyFont="1" applyFill="1" applyBorder="1"/>
    <xf numFmtId="174" fontId="13" fillId="5" borderId="1" xfId="0" applyNumberFormat="1" applyFont="1" applyFill="1" applyBorder="1"/>
    <xf numFmtId="0" fontId="9" fillId="4" borderId="7" xfId="0" applyFont="1" applyFill="1" applyBorder="1"/>
    <xf numFmtId="0" fontId="6" fillId="4" borderId="7" xfId="0" applyFont="1" applyFill="1" applyBorder="1"/>
    <xf numFmtId="173" fontId="9" fillId="4" borderId="7" xfId="0" applyNumberFormat="1" applyFont="1" applyFill="1" applyBorder="1"/>
    <xf numFmtId="171" fontId="16" fillId="0" borderId="19" xfId="0" applyNumberFormat="1" applyFont="1" applyBorder="1"/>
    <xf numFmtId="171" fontId="16" fillId="0" borderId="18" xfId="0" applyNumberFormat="1" applyFont="1" applyBorder="1"/>
    <xf numFmtId="171" fontId="17" fillId="0" borderId="0" xfId="0" applyNumberFormat="1" applyFont="1"/>
    <xf numFmtId="172" fontId="14" fillId="0" borderId="10" xfId="1" applyNumberFormat="1" applyFont="1" applyFill="1" applyBorder="1"/>
    <xf numFmtId="172" fontId="14" fillId="0" borderId="8" xfId="1" applyNumberFormat="1" applyFont="1" applyFill="1" applyBorder="1"/>
    <xf numFmtId="172" fontId="6" fillId="0" borderId="2" xfId="1" applyNumberFormat="1" applyFont="1" applyFill="1" applyBorder="1" applyAlignment="1"/>
    <xf numFmtId="0" fontId="2" fillId="0" borderId="2" xfId="0" applyFont="1" applyBorder="1" applyAlignment="1">
      <alignment horizontal="left" indent="1"/>
    </xf>
    <xf numFmtId="172" fontId="13" fillId="5" borderId="1" xfId="1" applyNumberFormat="1" applyFont="1" applyFill="1"/>
    <xf numFmtId="168" fontId="25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9" fontId="17" fillId="5" borderId="9" xfId="1" applyNumberFormat="1" applyFont="1" applyFill="1" applyBorder="1"/>
    <xf numFmtId="9" fontId="6" fillId="0" borderId="0" xfId="0" applyNumberFormat="1" applyFont="1"/>
    <xf numFmtId="0" fontId="9" fillId="0" borderId="0" xfId="0" applyFont="1" applyAlignment="1">
      <alignment horizontal="center"/>
    </xf>
    <xf numFmtId="166" fontId="6" fillId="0" borderId="8" xfId="1" applyNumberFormat="1" applyFont="1" applyFill="1" applyBorder="1"/>
    <xf numFmtId="168" fontId="13" fillId="0" borderId="0" xfId="1" applyNumberFormat="1" applyFont="1" applyFill="1" applyBorder="1"/>
    <xf numFmtId="168" fontId="13" fillId="0" borderId="20" xfId="1" applyNumberFormat="1" applyFont="1" applyFill="1" applyBorder="1"/>
    <xf numFmtId="168" fontId="13" fillId="0" borderId="7" xfId="1" applyNumberFormat="1" applyFont="1" applyFill="1" applyBorder="1"/>
    <xf numFmtId="168" fontId="13" fillId="0" borderId="21" xfId="1" applyNumberFormat="1" applyFont="1" applyFill="1" applyBorder="1"/>
    <xf numFmtId="175" fontId="13" fillId="4" borderId="15" xfId="2" applyNumberFormat="1" applyFont="1" applyFill="1" applyBorder="1" applyAlignment="1">
      <alignment horizontal="center"/>
    </xf>
    <xf numFmtId="175" fontId="16" fillId="4" borderId="15" xfId="2" applyNumberFormat="1" applyFont="1" applyFill="1" applyBorder="1" applyAlignment="1">
      <alignment horizontal="center"/>
    </xf>
    <xf numFmtId="175" fontId="16" fillId="4" borderId="16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0" fontId="20" fillId="0" borderId="2" xfId="2" applyFont="1" applyBorder="1" applyAlignment="1">
      <alignment horizontal="center"/>
    </xf>
    <xf numFmtId="168" fontId="26" fillId="0" borderId="0" xfId="1" applyNumberFormat="1" applyFont="1" applyFill="1" applyBorder="1"/>
    <xf numFmtId="166" fontId="13" fillId="5" borderId="1" xfId="0" applyNumberFormat="1" applyFont="1" applyFill="1" applyBorder="1"/>
    <xf numFmtId="166" fontId="13" fillId="5" borderId="22" xfId="0" applyNumberFormat="1" applyFont="1" applyFill="1" applyBorder="1"/>
    <xf numFmtId="0" fontId="1" fillId="0" borderId="0" xfId="0" applyFont="1" applyAlignment="1">
      <alignment horizontal="left" indent="1"/>
    </xf>
    <xf numFmtId="171" fontId="13" fillId="4" borderId="12" xfId="2" applyNumberFormat="1" applyFont="1" applyFill="1" applyBorder="1" applyAlignment="1">
      <alignment horizontal="center"/>
    </xf>
    <xf numFmtId="171" fontId="16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44" fontId="6" fillId="0" borderId="0" xfId="0" applyNumberFormat="1" applyFont="1"/>
    <xf numFmtId="176" fontId="16" fillId="0" borderId="0" xfId="1" applyNumberFormat="1" applyFont="1" applyFill="1" applyBorder="1"/>
    <xf numFmtId="171" fontId="16" fillId="4" borderId="13" xfId="2" applyNumberFormat="1" applyFont="1" applyFill="1" applyBorder="1" applyAlignment="1">
      <alignment horizontal="center"/>
    </xf>
    <xf numFmtId="175" fontId="6" fillId="0" borderId="0" xfId="0" applyNumberFormat="1" applyFont="1"/>
    <xf numFmtId="0" fontId="27" fillId="0" borderId="0" xfId="0" applyFont="1"/>
    <xf numFmtId="0" fontId="8" fillId="6" borderId="14" xfId="2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zoomScale="115" zoomScaleNormal="115" workbookViewId="0">
      <selection activeCell="H157" sqref="H157"/>
    </sheetView>
  </sheetViews>
  <sheetFormatPr baseColWidth="10" defaultColWidth="9.1640625" defaultRowHeight="16" outlineLevelRow="1" outlineLevelCol="1" x14ac:dyDescent="0.2"/>
  <cols>
    <col min="1" max="2" width="2.6640625" style="3" customWidth="1"/>
    <col min="3" max="3" width="40.8320312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640625" style="3"/>
  </cols>
  <sheetData>
    <row r="2" spans="2:13" ht="19" x14ac:dyDescent="0.25">
      <c r="B2" s="155" t="str">
        <f>Company_Name&amp;" - LBO Case Study Model Test"</f>
      </c>
    </row>
    <row r="3" spans="2:13" x14ac:dyDescent="0.2">
      <c r="B3" s="90" t="s">
        <v>74</v>
      </c>
    </row>
    <row r="5" spans="2:13" x14ac:dyDescent="0.2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2"/>
    <row r="7" spans="2:13" outlineLevel="1" x14ac:dyDescent="0.2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2">
      <c r="C8" s="90" t="s">
        <v>71</v>
      </c>
      <c r="D8" s="48" t="s">
        <v>72</v>
      </c>
      <c r="H8" s="102" t="s">
        <v>124</v>
      </c>
      <c r="K8" s="91">
        <f>+H124</f>
      </c>
      <c r="L8" s="12"/>
    </row>
    <row r="9" spans="2:13" outlineLevel="1" x14ac:dyDescent="0.2">
      <c r="C9" s="90"/>
      <c r="D9" s="90"/>
      <c r="H9" s="83"/>
      <c r="L9" s="12"/>
    </row>
    <row r="10" spans="2:13" outlineLevel="1" x14ac:dyDescent="0.2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</c>
      <c r="L10" s="12"/>
    </row>
    <row r="11" spans="2:13" outlineLevel="1" x14ac:dyDescent="0.2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2">
      <c r="C12" s="90" t="s">
        <v>93</v>
      </c>
      <c r="D12" s="101">
        <f>+D10*(1+D11)</f>
      </c>
      <c r="H12" s="103" t="s">
        <v>128</v>
      </c>
      <c r="K12" s="27">
        <v>608.97500000000002</v>
      </c>
      <c r="L12" s="12"/>
    </row>
    <row r="13" spans="2:13" outlineLevel="1" x14ac:dyDescent="0.2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</c>
      <c r="L13" s="12"/>
    </row>
    <row r="14" spans="2:13" outlineLevel="1" x14ac:dyDescent="0.2">
      <c r="L14" s="12"/>
    </row>
    <row r="15" spans="2:13" outlineLevel="1" x14ac:dyDescent="0.2">
      <c r="C15" s="3" t="s">
        <v>2</v>
      </c>
      <c r="D15" s="8">
        <v>42735</v>
      </c>
      <c r="H15" s="3" t="s">
        <v>24</v>
      </c>
      <c r="K15" s="114">
        <f>+K13/LTM_EBITDA</f>
      </c>
      <c r="L15" s="12"/>
    </row>
    <row r="16" spans="2:13" outlineLevel="1" x14ac:dyDescent="0.2">
      <c r="C16" s="90" t="s">
        <v>38</v>
      </c>
      <c r="D16" s="98">
        <v>1000000</v>
      </c>
    </row>
    <row r="17" spans="2:13" outlineLevel="1" x14ac:dyDescent="0.2">
      <c r="H17" s="102" t="s">
        <v>143</v>
      </c>
      <c r="K17" s="127">
        <v>0.1</v>
      </c>
    </row>
    <row r="18" spans="2:13" outlineLevel="1" x14ac:dyDescent="0.2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2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2"/>
    <row r="22" spans="2:13" outlineLevel="1" x14ac:dyDescent="0.2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2">
      <c r="C23" s="103" t="s">
        <v>13</v>
      </c>
      <c r="D23" s="91">
        <f>+E23*LTM_EBITDA</f>
      </c>
      <c r="E23" s="40">
        <v>0</v>
      </c>
      <c r="F23" s="123">
        <f>+D23/D$29</f>
      </c>
      <c r="H23" s="103" t="s">
        <v>126</v>
      </c>
      <c r="K23" s="112">
        <f>+K10</f>
      </c>
      <c r="L23" s="44">
        <f>+K23/LTM_EBITDA</f>
      </c>
    </row>
    <row r="24" spans="2:13" ht="14.5" customHeight="1" outlineLevel="1" x14ac:dyDescent="0.2">
      <c r="C24" s="103" t="s">
        <v>122</v>
      </c>
      <c r="D24" s="12">
        <f>+E24*LTM_EBITDA</f>
      </c>
      <c r="E24" s="40">
        <v>1</v>
      </c>
      <c r="F24" s="124">
        <f t="shared" ref="F24:F28" si="0">+D24/D$29</f>
      </c>
      <c r="H24" s="103" t="s">
        <v>129</v>
      </c>
      <c r="K24" s="47">
        <f>+K12</f>
      </c>
      <c r="L24" s="114">
        <f>+K24/LTM_EBITDA</f>
      </c>
    </row>
    <row r="25" spans="2:13" ht="14.5" customHeight="1" outlineLevel="1" x14ac:dyDescent="0.2">
      <c r="C25" s="103" t="s">
        <v>123</v>
      </c>
      <c r="D25" s="12">
        <f>+E25*LTM_EBITDA</f>
      </c>
      <c r="E25" s="40">
        <v>3</v>
      </c>
      <c r="F25" s="124">
        <f t="shared" si="0"/>
      </c>
      <c r="H25" s="103" t="s">
        <v>130</v>
      </c>
      <c r="K25" s="12">
        <f>+K12*D18</f>
      </c>
      <c r="L25" s="114">
        <f>+K25/LTM_EBITDA</f>
      </c>
    </row>
    <row r="26" spans="2:13" ht="14.5" customHeight="1" outlineLevel="1" x14ac:dyDescent="0.2">
      <c r="C26" s="11" t="s">
        <v>20</v>
      </c>
      <c r="D26" s="12">
        <f>+E26*LTM_EBITDA</f>
      </c>
      <c r="E26" s="40">
        <v>2</v>
      </c>
      <c r="F26" s="124">
        <f t="shared" si="0"/>
      </c>
      <c r="H26" s="103" t="s">
        <v>21</v>
      </c>
      <c r="K26" s="146">
        <v>10</v>
      </c>
      <c r="L26" s="114">
        <f>+K26/LTM_EBITDA</f>
      </c>
    </row>
    <row r="27" spans="2:13" ht="14.5" customHeight="1" outlineLevel="1" x14ac:dyDescent="0.2">
      <c r="C27" s="103" t="s">
        <v>132</v>
      </c>
      <c r="D27" s="12">
        <f>-K11-Min_Cash</f>
      </c>
      <c r="E27" s="121">
        <f>+D27/LTM_EBITDA</f>
      </c>
      <c r="F27" s="86">
        <f t="shared" si="0"/>
      </c>
      <c r="H27" s="38" t="s">
        <v>11</v>
      </c>
      <c r="I27" s="25"/>
      <c r="J27" s="25"/>
      <c r="K27" s="92">
        <f>SUM(K23:K26)</f>
      </c>
      <c r="L27" s="45">
        <f>SUM(L23:L26)</f>
      </c>
    </row>
    <row r="28" spans="2:13" ht="15" customHeight="1" outlineLevel="1" x14ac:dyDescent="0.2">
      <c r="C28" s="11" t="s">
        <v>36</v>
      </c>
      <c r="D28" s="49">
        <f>+K27-SUM(D23:D27)</f>
      </c>
      <c r="E28" s="120">
        <f>+D28/LTM_EBITDA</f>
      </c>
      <c r="F28" s="125">
        <f t="shared" si="0"/>
      </c>
    </row>
    <row r="29" spans="2:13" ht="15" customHeight="1" outlineLevel="1" x14ac:dyDescent="0.2">
      <c r="C29" s="38" t="s">
        <v>10</v>
      </c>
      <c r="D29" s="92">
        <f>SUM(D23:D28)</f>
      </c>
      <c r="E29" s="122">
        <f>SUM(E23:E28)</f>
      </c>
      <c r="F29" s="88">
        <f>SUM(F23:F28)</f>
      </c>
    </row>
    <row r="31" spans="2:13" x14ac:dyDescent="0.2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2"/>
    <row r="33" spans="2:13" outlineLevel="1" x14ac:dyDescent="0.2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2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2">
      <c r="C35" s="11" t="str">
        <f>+$C$23</f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2">
      <c r="C36" s="11" t="str">
        <f>+$C$24</f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2">
      <c r="C37" s="11" t="str">
        <f>+$C$25</f>
      </c>
      <c r="F37" s="127">
        <v>0.08</v>
      </c>
      <c r="G37" s="127">
        <v>0.03</v>
      </c>
      <c r="I37" s="138"/>
      <c r="J37" s="135"/>
    </row>
    <row r="38" spans="2:13" outlineLevel="1" x14ac:dyDescent="0.2">
      <c r="C38" s="11" t="str">
        <f>+$C$26</f>
      </c>
      <c r="F38" s="127">
        <v>0.04</v>
      </c>
      <c r="G38" s="127">
        <v>0.08</v>
      </c>
      <c r="I38" s="127">
        <v>0.02</v>
      </c>
      <c r="J38" s="134"/>
    </row>
    <row r="39" spans="2:13" x14ac:dyDescent="0.2">
      <c r="C39" s="103" t="s">
        <v>121</v>
      </c>
      <c r="E39" s="16">
        <v>0.02</v>
      </c>
    </row>
    <row r="41" spans="2:13" x14ac:dyDescent="0.2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2">
      <c r="B42" s="41" t="s">
        <v>41</v>
      </c>
      <c r="C42" s="24"/>
      <c r="D42" s="50" t="s">
        <v>38</v>
      </c>
      <c r="E42" s="1">
        <f>EOMONTH(F42,-12)</f>
      </c>
      <c r="F42" s="1">
        <f>EOMONTH(G42,-12)</f>
      </c>
      <c r="G42" s="1">
        <f>EOMONTH(H42,-12)</f>
      </c>
      <c r="H42" s="2">
        <f>Hist_Year</f>
      </c>
      <c r="I42" s="89">
        <f>EOMONTH(H42,12)</f>
      </c>
      <c r="J42" s="1">
        <f>EOMONTH(I42,12)</f>
      </c>
      <c r="K42" s="1">
        <f>EOMONTH(J42,12)</f>
      </c>
      <c r="L42" s="1">
        <f>EOMONTH(K42,12)</f>
      </c>
      <c r="M42" s="1">
        <f>EOMONTH(L42,12)</f>
      </c>
    </row>
    <row r="43" spans="2:13" outlineLevel="1" x14ac:dyDescent="0.2"/>
    <row r="44" spans="2:13" outlineLevel="1" x14ac:dyDescent="0.2">
      <c r="C44" s="102" t="s">
        <v>98</v>
      </c>
      <c r="D44" s="65" t="s">
        <v>88</v>
      </c>
      <c r="E44" s="104">
        <f>+E42-EOMONTH(E42,-12)</f>
      </c>
      <c r="F44" s="104">
        <f t="shared" ref="F44:H44" si="1">+F42-E42</f>
      </c>
      <c r="G44" s="104">
        <f t="shared" si="1"/>
      </c>
      <c r="H44" s="104">
        <f t="shared" si="1"/>
      </c>
      <c r="I44" s="104">
        <f>+I42-H42</f>
      </c>
      <c r="J44" s="104">
        <f t="shared" ref="J44:M44" si="2">+J42-I42</f>
      </c>
      <c r="K44" s="104">
        <f t="shared" si="2"/>
      </c>
      <c r="L44" s="104">
        <f t="shared" si="2"/>
      </c>
      <c r="M44" s="104">
        <f t="shared" si="2"/>
      </c>
    </row>
    <row r="45" spans="2:13" outlineLevel="1" x14ac:dyDescent="0.2"/>
    <row r="46" spans="2:13" outlineLevel="1" x14ac:dyDescent="0.2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>
        <f>AVERAGE(H47,I47)</f>
      </c>
      <c r="J46" s="47">
        <f t="shared" ref="J46:M46" si="3">AVERAGE(I47,J47)</f>
      </c>
      <c r="K46" s="47">
        <f t="shared" si="3"/>
      </c>
      <c r="L46" s="47">
        <f t="shared" si="3"/>
      </c>
      <c r="M46" s="47">
        <f t="shared" si="3"/>
      </c>
    </row>
    <row r="47" spans="2:13" outlineLevel="1" x14ac:dyDescent="0.2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>
        <v>52</v>
      </c>
      <c r="J47" s="145">
        <v>56</v>
      </c>
      <c r="K47" s="145">
        <v>60</v>
      </c>
      <c r="L47" s="145">
        <v>63</v>
      </c>
      <c r="M47" s="145">
        <v>66</v>
      </c>
    </row>
    <row r="48" spans="2:13" outlineLevel="1" x14ac:dyDescent="0.2">
      <c r="E48" s="71"/>
      <c r="F48" s="71"/>
      <c r="G48" s="71"/>
      <c r="I48" s="71"/>
    </row>
    <row r="49" spans="3:13" outlineLevel="1" x14ac:dyDescent="0.2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>
        <f>+I44*I46</f>
      </c>
      <c r="J49" s="104">
        <f t="shared" ref="J49:M49" si="4">+J44*J46</f>
      </c>
      <c r="K49" s="104">
        <f t="shared" si="4"/>
      </c>
      <c r="L49" s="104">
        <f t="shared" si="4"/>
      </c>
      <c r="M49" s="104">
        <f t="shared" si="4"/>
      </c>
    </row>
    <row r="50" spans="3:13" outlineLevel="1" x14ac:dyDescent="0.2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>
        <f>+I49*I51</f>
      </c>
      <c r="J50" s="104">
        <f t="shared" ref="J50:M50" si="5">+J49*J51</f>
      </c>
      <c r="K50" s="104">
        <f t="shared" si="5"/>
      </c>
      <c r="L50" s="104">
        <f t="shared" si="5"/>
      </c>
      <c r="M50" s="104">
        <f t="shared" si="5"/>
      </c>
    </row>
    <row r="51" spans="3:13" outlineLevel="1" x14ac:dyDescent="0.2">
      <c r="C51" s="103" t="s">
        <v>116</v>
      </c>
      <c r="D51" s="67" t="s">
        <v>37</v>
      </c>
      <c r="E51" s="72">
        <f>+E50/E49</f>
      </c>
      <c r="F51" s="72">
        <f t="shared" ref="F51:H51" si="6">+F50/F49</f>
      </c>
      <c r="G51" s="72">
        <f t="shared" si="6"/>
      </c>
      <c r="H51" s="72">
        <f t="shared" si="6"/>
      </c>
      <c r="I51" s="13">
        <v>0.97</v>
      </c>
      <c r="J51" s="13">
        <v>0.96499999999999997</v>
      </c>
      <c r="K51" s="13">
        <v>0.96</v>
      </c>
      <c r="L51" s="13">
        <v>0.95499999999999996</v>
      </c>
      <c r="M51" s="13">
        <v>0.95</v>
      </c>
    </row>
    <row r="52" spans="3:13" outlineLevel="1" x14ac:dyDescent="0.2">
      <c r="C52" s="90"/>
    </row>
    <row r="53" spans="3:13" outlineLevel="1" x14ac:dyDescent="0.2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>
        <f t="shared" ref="I53:M53" si="7">+H53*(1+I54)</f>
      </c>
      <c r="J53" s="110">
        <f t="shared" si="7"/>
      </c>
      <c r="K53" s="110">
        <f t="shared" si="7"/>
      </c>
      <c r="L53" s="110">
        <f t="shared" si="7"/>
      </c>
      <c r="M53" s="110">
        <f t="shared" si="7"/>
      </c>
    </row>
    <row r="54" spans="3:13" outlineLevel="1" x14ac:dyDescent="0.2">
      <c r="C54" s="103" t="s">
        <v>115</v>
      </c>
      <c r="D54" s="67" t="s">
        <v>37</v>
      </c>
      <c r="E54" s="72">
        <f>+E53/21255-1</f>
      </c>
      <c r="F54" s="72">
        <f>+F53/E53-1</f>
      </c>
      <c r="G54" s="72">
        <f>+G53/F53-1</f>
      </c>
      <c r="H54" s="72">
        <f>+H53/G53-1</f>
      </c>
      <c r="I54" s="13">
        <v>0.03</v>
      </c>
      <c r="J54" s="13">
        <v>7.0000000000000007E-2</v>
      </c>
      <c r="K54" s="13">
        <v>0.1</v>
      </c>
      <c r="L54" s="13">
        <v>0.09</v>
      </c>
      <c r="M54" s="13">
        <v>0.08</v>
      </c>
    </row>
    <row r="55" spans="3:13" outlineLevel="1" x14ac:dyDescent="0.2">
      <c r="F55" s="12"/>
      <c r="G55" s="12"/>
    </row>
    <row r="56" spans="3:13" outlineLevel="1" x14ac:dyDescent="0.2">
      <c r="C56" s="102" t="s">
        <v>99</v>
      </c>
      <c r="D56" s="65" t="s">
        <v>73</v>
      </c>
      <c r="E56" s="109">
        <f>-E125/(E47-30)</f>
      </c>
      <c r="F56" s="109">
        <f>-F125/(F47-E47)</f>
      </c>
      <c r="G56" s="109">
        <f>-G125/(G47-F47)</f>
      </c>
      <c r="H56" s="109">
        <f>-H125/(H47-G47)</f>
      </c>
      <c r="I56" s="109">
        <f>+H56*(1+I57)</f>
      </c>
      <c r="J56" s="109">
        <f t="shared" ref="J56:M56" si="8">+I56*(1+J57)</f>
      </c>
      <c r="K56" s="109">
        <f t="shared" si="8"/>
      </c>
      <c r="L56" s="109">
        <f t="shared" si="8"/>
      </c>
      <c r="M56" s="109">
        <f t="shared" si="8"/>
      </c>
    </row>
    <row r="57" spans="3:13" outlineLevel="1" x14ac:dyDescent="0.2">
      <c r="C57" s="103" t="s">
        <v>115</v>
      </c>
      <c r="D57" s="67" t="s">
        <v>37</v>
      </c>
      <c r="F57" s="72">
        <f>+F56/E56-1</f>
      </c>
      <c r="G57" s="72">
        <f>+G56/F56-1</f>
      </c>
      <c r="H57" s="72">
        <f>+H56/G56-1</f>
      </c>
      <c r="I57" s="13">
        <v>0.05</v>
      </c>
      <c r="J57" s="13">
        <v>0.04</v>
      </c>
      <c r="K57" s="13">
        <v>0.04</v>
      </c>
      <c r="L57" s="13">
        <v>0.04</v>
      </c>
      <c r="M57" s="13">
        <v>0.03</v>
      </c>
    </row>
    <row r="58" spans="3:13" outlineLevel="1" x14ac:dyDescent="0.2">
      <c r="C58" s="11" t="s">
        <v>42</v>
      </c>
      <c r="D58" s="67" t="s">
        <v>37</v>
      </c>
      <c r="E58" s="72">
        <f t="shared" ref="E58:H58" si="9">-E125/E74</f>
      </c>
      <c r="F58" s="72">
        <f t="shared" si="9"/>
      </c>
      <c r="G58" s="72">
        <f t="shared" si="9"/>
      </c>
      <c r="H58" s="72">
        <f t="shared" si="9"/>
      </c>
      <c r="I58" s="72">
        <f>-I125/I74</f>
      </c>
      <c r="J58" s="72">
        <f t="shared" ref="J58:M58" si="10">-J125/J74</f>
      </c>
      <c r="K58" s="72">
        <f t="shared" si="10"/>
      </c>
      <c r="L58" s="72">
        <f t="shared" si="10"/>
      </c>
      <c r="M58" s="72">
        <f t="shared" si="10"/>
      </c>
    </row>
    <row r="59" spans="3:13" outlineLevel="1" x14ac:dyDescent="0.2"/>
    <row r="60" spans="3:13" outlineLevel="1" x14ac:dyDescent="0.2">
      <c r="C60" s="102" t="s">
        <v>117</v>
      </c>
      <c r="D60" s="65" t="s">
        <v>73</v>
      </c>
      <c r="E60" s="111">
        <f>-E75/E46</f>
      </c>
      <c r="F60" s="111">
        <f>-F75/F46</f>
      </c>
      <c r="G60" s="111">
        <f>-G75/G46</f>
      </c>
      <c r="H60" s="111">
        <f>-H75/H46</f>
      </c>
      <c r="I60" s="111">
        <f>+H60*(1+I61)</f>
      </c>
      <c r="J60" s="111">
        <f t="shared" ref="J60" si="11">+I60*(1+J61)</f>
      </c>
      <c r="K60" s="111">
        <f t="shared" ref="K60" si="12">+J60*(1+K61)</f>
      </c>
      <c r="L60" s="111">
        <f t="shared" ref="L60" si="13">+K60*(1+L61)</f>
      </c>
      <c r="M60" s="111">
        <f t="shared" ref="M60" si="14">+L60*(1+M61)</f>
      </c>
    </row>
    <row r="61" spans="3:13" outlineLevel="1" x14ac:dyDescent="0.2">
      <c r="C61" s="103" t="s">
        <v>115</v>
      </c>
      <c r="D61" s="67" t="s">
        <v>37</v>
      </c>
      <c r="F61" s="72">
        <f>+F60/E60-1</f>
      </c>
      <c r="G61" s="72">
        <f>+G60/F60-1</f>
      </c>
      <c r="H61" s="72">
        <f>+H60/G60-1</f>
      </c>
      <c r="I61" s="13">
        <v>0.2</v>
      </c>
      <c r="J61" s="13">
        <v>0.15</v>
      </c>
      <c r="K61" s="13">
        <v>0.15</v>
      </c>
      <c r="L61" s="13">
        <v>0.125</v>
      </c>
      <c r="M61" s="13">
        <v>0.125</v>
      </c>
    </row>
    <row r="62" spans="3:13" outlineLevel="1" x14ac:dyDescent="0.2"/>
    <row r="63" spans="3:13" outlineLevel="1" x14ac:dyDescent="0.2">
      <c r="C63" s="102" t="s">
        <v>118</v>
      </c>
      <c r="D63" s="65" t="s">
        <v>73</v>
      </c>
      <c r="E63" s="71">
        <f>+E81/E46</f>
      </c>
      <c r="F63" s="71">
        <f>+F81/F46</f>
      </c>
      <c r="G63" s="71">
        <f>+G81/G46</f>
      </c>
      <c r="H63" s="71">
        <f>+H81/H46</f>
      </c>
      <c r="I63" s="71">
        <f>+H63*(1+I64)</f>
      </c>
      <c r="J63" s="71">
        <f t="shared" ref="J63" si="15">+I63*(1+J64)</f>
      </c>
      <c r="K63" s="71">
        <f t="shared" ref="K63" si="16">+J63*(1+K64)</f>
      </c>
      <c r="L63" s="71">
        <f t="shared" ref="L63" si="17">+K63*(1+L64)</f>
      </c>
      <c r="M63" s="71">
        <f t="shared" ref="M63" si="18">+L63*(1+M64)</f>
      </c>
    </row>
    <row r="64" spans="3:13" outlineLevel="1" x14ac:dyDescent="0.2">
      <c r="C64" s="103" t="s">
        <v>115</v>
      </c>
      <c r="D64" s="67" t="s">
        <v>37</v>
      </c>
      <c r="F64" s="72">
        <f>+F63/E63-1</f>
      </c>
      <c r="G64" s="72">
        <f>+G63/F63-1</f>
      </c>
      <c r="H64" s="72">
        <f>+H63/G63-1</f>
      </c>
      <c r="I64" s="13">
        <v>-0.05</v>
      </c>
      <c r="J64" s="13">
        <v>-0.02</v>
      </c>
      <c r="K64" s="13">
        <v>0.01</v>
      </c>
      <c r="L64" s="13">
        <v>0.02</v>
      </c>
      <c r="M64" s="13">
        <v>0.03</v>
      </c>
    </row>
    <row r="65" spans="2:13" outlineLevel="1" x14ac:dyDescent="0.2"/>
    <row r="66" spans="2:13" outlineLevel="1" x14ac:dyDescent="0.2">
      <c r="C66" s="102" t="s">
        <v>119</v>
      </c>
      <c r="D66" s="65" t="s">
        <v>73</v>
      </c>
      <c r="E66" s="71">
        <f>+E82/E46</f>
      </c>
      <c r="F66" s="71">
        <f>+F82/F46</f>
      </c>
      <c r="G66" s="71">
        <f>+G82/G46</f>
      </c>
      <c r="H66" s="71">
        <f>+H82/H46</f>
      </c>
      <c r="I66" s="71">
        <f>+H66*(1+I67)</f>
      </c>
      <c r="J66" s="71">
        <f t="shared" ref="J66" si="19">+I66*(1+J67)</f>
      </c>
      <c r="K66" s="71">
        <f t="shared" ref="K66" si="20">+J66*(1+K67)</f>
      </c>
      <c r="L66" s="71">
        <f t="shared" ref="L66" si="21">+K66*(1+L67)</f>
      </c>
      <c r="M66" s="71">
        <f t="shared" ref="M66" si="22">+L66*(1+M67)</f>
      </c>
    </row>
    <row r="67" spans="2:13" outlineLevel="1" x14ac:dyDescent="0.2">
      <c r="C67" s="103" t="s">
        <v>115</v>
      </c>
      <c r="D67" s="67" t="s">
        <v>37</v>
      </c>
      <c r="F67" s="72">
        <f>+F66/E66-1</f>
      </c>
      <c r="G67" s="72">
        <f>+G66/F66-1</f>
      </c>
      <c r="H67" s="72">
        <f>+H66/G66-1</f>
      </c>
      <c r="I67" s="13">
        <v>5.0000000000000001E-3</v>
      </c>
      <c r="J67" s="13">
        <v>5.0000000000000001E-3</v>
      </c>
      <c r="K67" s="13">
        <v>5.0000000000000001E-3</v>
      </c>
      <c r="L67" s="13">
        <v>5.0000000000000001E-3</v>
      </c>
      <c r="M67" s="13">
        <v>5.0000000000000001E-3</v>
      </c>
    </row>
    <row r="68" spans="2:13" outlineLevel="1" x14ac:dyDescent="0.2">
      <c r="C68" s="102"/>
    </row>
    <row r="69" spans="2:13" outlineLevel="1" x14ac:dyDescent="0.2">
      <c r="C69" s="102" t="s">
        <v>120</v>
      </c>
      <c r="D69" s="67" t="s">
        <v>37</v>
      </c>
      <c r="E69" s="72">
        <f>+E83/E74</f>
      </c>
      <c r="F69" s="72">
        <f t="shared" ref="F69:H69" si="23">+F83/F74</f>
      </c>
      <c r="G69" s="72">
        <f t="shared" si="23"/>
      </c>
      <c r="H69" s="72">
        <f t="shared" si="23"/>
      </c>
      <c r="I69" s="13">
        <v>0.16</v>
      </c>
      <c r="J69" s="13">
        <v>0.155</v>
      </c>
      <c r="K69" s="13">
        <v>0.155</v>
      </c>
      <c r="L69" s="13">
        <v>0.15</v>
      </c>
      <c r="M69" s="13">
        <v>0.15</v>
      </c>
    </row>
    <row r="71" spans="2:13" x14ac:dyDescent="0.2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2">
      <c r="B72" s="41" t="s">
        <v>70</v>
      </c>
      <c r="C72" s="24"/>
      <c r="D72" s="50" t="str">
        <f>+$D$42</f>
      </c>
      <c r="E72" s="1">
        <f>EOMONTH(F72,-12)</f>
      </c>
      <c r="F72" s="1">
        <f>EOMONTH(G72,-12)</f>
      </c>
      <c r="G72" s="1">
        <f>EOMONTH(H72,-12)</f>
      </c>
      <c r="H72" s="2">
        <f>Hist_Year</f>
      </c>
      <c r="I72" s="89">
        <f>EOMONTH(H72,12)</f>
      </c>
      <c r="J72" s="1">
        <f t="shared" ref="J72:M72" si="24">EOMONTH(I72,12)</f>
      </c>
      <c r="K72" s="1">
        <f t="shared" si="24"/>
      </c>
      <c r="L72" s="1">
        <f t="shared" si="24"/>
      </c>
      <c r="M72" s="1">
        <f t="shared" si="24"/>
      </c>
    </row>
    <row r="73" spans="2:13" outlineLevel="1" x14ac:dyDescent="0.2">
      <c r="H73" s="151"/>
    </row>
    <row r="74" spans="2:13" outlineLevel="1" x14ac:dyDescent="0.2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>
        <f>+I76-I75</f>
      </c>
      <c r="J74" s="112">
        <f t="shared" ref="J74:M74" si="25">+J76-J75</f>
      </c>
      <c r="K74" s="112">
        <f t="shared" si="25"/>
      </c>
      <c r="L74" s="112">
        <f t="shared" si="25"/>
      </c>
      <c r="M74" s="112">
        <f t="shared" si="25"/>
      </c>
    </row>
    <row r="75" spans="2:13" outlineLevel="1" x14ac:dyDescent="0.2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>
        <f>-I60*I46</f>
      </c>
      <c r="J75" s="47">
        <f t="shared" ref="J75:M75" si="26">-J60*J46</f>
      </c>
      <c r="K75" s="47">
        <f t="shared" si="26"/>
      </c>
      <c r="L75" s="47">
        <f t="shared" si="26"/>
      </c>
      <c r="M75" s="47">
        <f t="shared" si="26"/>
      </c>
    </row>
    <row r="76" spans="2:13" outlineLevel="1" x14ac:dyDescent="0.2">
      <c r="C76" s="43" t="s">
        <v>77</v>
      </c>
      <c r="D76" s="70" t="s">
        <v>73</v>
      </c>
      <c r="E76" s="46">
        <f>SUM(E74:E75)</f>
      </c>
      <c r="F76" s="46">
        <f t="shared" ref="F76:H76" si="27">SUM(F74:F75)</f>
      </c>
      <c r="G76" s="46">
        <f t="shared" si="27"/>
      </c>
      <c r="H76" s="46">
        <f t="shared" si="27"/>
      </c>
      <c r="I76" s="46">
        <f>+I53*I50/Units</f>
      </c>
      <c r="J76" s="46">
        <f>+J53*J50/Units</f>
      </c>
      <c r="K76" s="46">
        <f>+K53*K50/Units</f>
      </c>
      <c r="L76" s="46">
        <f>+L53*L50/Units</f>
      </c>
      <c r="M76" s="46">
        <f>+M53*M50/Units</f>
      </c>
    </row>
    <row r="77" spans="2:13" outlineLevel="1" x14ac:dyDescent="0.2">
      <c r="C77" s="26" t="s">
        <v>149</v>
      </c>
      <c r="D77" s="67" t="s">
        <v>37</v>
      </c>
      <c r="E77" s="144">
        <v>-0.26645679517766141</v>
      </c>
      <c r="F77" s="128">
        <f>+F76/E76-1</f>
      </c>
      <c r="G77" s="128">
        <f t="shared" ref="G77:I77" si="28">+G76/F76-1</f>
      </c>
      <c r="H77" s="128">
        <f t="shared" si="28"/>
      </c>
      <c r="I77" s="128">
        <f t="shared" si="28"/>
      </c>
      <c r="J77" s="128">
        <f t="shared" ref="J77" si="29">+J76/I76-1</f>
      </c>
      <c r="K77" s="128">
        <f t="shared" ref="K77" si="30">+K76/J76-1</f>
      </c>
      <c r="L77" s="128">
        <f t="shared" ref="L77" si="31">+L76/K76-1</f>
      </c>
      <c r="M77" s="128">
        <f t="shared" ref="M77" si="32">+M76/L76-1</f>
      </c>
    </row>
    <row r="78" spans="2:13" outlineLevel="1" x14ac:dyDescent="0.2"/>
    <row r="79" spans="2:13" outlineLevel="1" x14ac:dyDescent="0.2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>
        <f>+H79</f>
      </c>
      <c r="J79" s="47">
        <f t="shared" ref="J79:M79" si="33">+I79</f>
      </c>
      <c r="K79" s="47">
        <f t="shared" si="33"/>
      </c>
      <c r="L79" s="47">
        <f t="shared" si="33"/>
      </c>
      <c r="M79" s="47">
        <f t="shared" si="33"/>
      </c>
    </row>
    <row r="80" spans="2:13" outlineLevel="1" x14ac:dyDescent="0.2"/>
    <row r="81" spans="2:13" outlineLevel="1" x14ac:dyDescent="0.2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>
        <f>+I63*I46</f>
      </c>
      <c r="J81" s="47">
        <f t="shared" ref="J81:M81" si="34">+J63*J46</f>
      </c>
      <c r="K81" s="47">
        <f t="shared" si="34"/>
      </c>
      <c r="L81" s="47">
        <f t="shared" si="34"/>
      </c>
      <c r="M81" s="47">
        <f t="shared" si="34"/>
      </c>
    </row>
    <row r="82" spans="2:13" outlineLevel="1" x14ac:dyDescent="0.2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>
        <f>+I66*I46</f>
      </c>
      <c r="J82" s="47">
        <f t="shared" ref="J82:M82" si="35">+J66*J46</f>
      </c>
      <c r="K82" s="47">
        <f t="shared" si="35"/>
      </c>
      <c r="L82" s="47">
        <f t="shared" si="35"/>
      </c>
      <c r="M82" s="47">
        <f t="shared" si="35"/>
      </c>
    </row>
    <row r="83" spans="2:13" outlineLevel="1" x14ac:dyDescent="0.2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>
        <f>+I69*I74</f>
      </c>
      <c r="J83" s="12">
        <f t="shared" ref="J83:M83" si="36">+J69*J74</f>
      </c>
      <c r="K83" s="12">
        <f t="shared" si="36"/>
      </c>
      <c r="L83" s="12">
        <f t="shared" si="36"/>
      </c>
      <c r="M83" s="12">
        <f t="shared" si="36"/>
      </c>
    </row>
    <row r="84" spans="2:13" outlineLevel="1" x14ac:dyDescent="0.2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</c>
      <c r="H84" s="27">
        <v>-0.59899999999999998</v>
      </c>
      <c r="I84" s="12">
        <f>+H84</f>
      </c>
      <c r="J84" s="12">
        <f t="shared" ref="J84:M84" si="37">+I84</f>
      </c>
      <c r="K84" s="12">
        <f t="shared" si="37"/>
      </c>
      <c r="L84" s="12">
        <f t="shared" si="37"/>
      </c>
      <c r="M84" s="12">
        <f t="shared" si="37"/>
      </c>
    </row>
    <row r="85" spans="2:13" outlineLevel="1" x14ac:dyDescent="0.2">
      <c r="C85" s="43" t="s">
        <v>81</v>
      </c>
      <c r="D85" s="70" t="s">
        <v>73</v>
      </c>
      <c r="E85" s="46">
        <f>SUM(E81:E84)</f>
      </c>
      <c r="F85" s="46">
        <f t="shared" ref="F85:G85" si="38">SUM(F81:F84)</f>
      </c>
      <c r="G85" s="46">
        <f t="shared" si="38"/>
      </c>
      <c r="H85" s="46">
        <f>SUM(H81:H84)</f>
      </c>
      <c r="I85" s="46">
        <f>SUM(I81:I84)</f>
      </c>
      <c r="J85" s="46">
        <f t="shared" ref="J85:M85" si="39">SUM(J81:J84)</f>
      </c>
      <c r="K85" s="46">
        <f t="shared" si="39"/>
      </c>
      <c r="L85" s="46">
        <f t="shared" si="39"/>
      </c>
      <c r="M85" s="46">
        <f t="shared" si="39"/>
      </c>
    </row>
    <row r="86" spans="2:13" outlineLevel="1" x14ac:dyDescent="0.2"/>
    <row r="87" spans="2:13" outlineLevel="1" x14ac:dyDescent="0.2">
      <c r="C87" s="4" t="s">
        <v>97</v>
      </c>
      <c r="D87" s="65" t="s">
        <v>73</v>
      </c>
      <c r="E87" s="51">
        <f>+E76+E79-E85</f>
      </c>
      <c r="F87" s="51">
        <f t="shared" ref="F87:H87" si="40">+F76+F79-F85</f>
      </c>
      <c r="G87" s="51">
        <f t="shared" si="40"/>
      </c>
      <c r="H87" s="51">
        <f t="shared" si="40"/>
      </c>
      <c r="I87" s="51">
        <f>+I76+I79-I85</f>
      </c>
      <c r="J87" s="51">
        <f t="shared" ref="J87:M87" si="41">+J76+J79-J85</f>
      </c>
      <c r="K87" s="51">
        <f t="shared" si="41"/>
      </c>
      <c r="L87" s="51">
        <f t="shared" si="41"/>
      </c>
      <c r="M87" s="51">
        <f t="shared" si="41"/>
      </c>
    </row>
    <row r="88" spans="2:13" outlineLevel="1" x14ac:dyDescent="0.2">
      <c r="C88" s="90"/>
      <c r="F88" s="132"/>
      <c r="G88" s="132"/>
    </row>
    <row r="89" spans="2:13" outlineLevel="1" x14ac:dyDescent="0.2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>
        <f>+I181</f>
      </c>
      <c r="J89" s="12">
        <f t="shared" ref="J89:M89" si="42">+J181</f>
      </c>
      <c r="K89" s="12">
        <f t="shared" si="42"/>
      </c>
      <c r="L89" s="12">
        <f t="shared" si="42"/>
      </c>
      <c r="M89" s="12">
        <f t="shared" si="42"/>
      </c>
    </row>
    <row r="90" spans="2:13" outlineLevel="1" x14ac:dyDescent="0.2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>
        <f t="shared" ref="I90:M90" si="43">+I182</f>
      </c>
      <c r="J90" s="12">
        <f t="shared" si="43"/>
      </c>
      <c r="K90" s="12">
        <f t="shared" si="43"/>
      </c>
      <c r="L90" s="12">
        <f t="shared" si="43"/>
      </c>
      <c r="M90" s="12">
        <f t="shared" si="43"/>
      </c>
    </row>
    <row r="91" spans="2:13" outlineLevel="1" x14ac:dyDescent="0.2">
      <c r="C91" s="43" t="s">
        <v>145</v>
      </c>
      <c r="D91" s="70" t="s">
        <v>73</v>
      </c>
      <c r="E91" s="46">
        <f t="shared" ref="E91:H91" si="44">SUM(E89:E90)</f>
      </c>
      <c r="F91" s="46">
        <f t="shared" si="44"/>
      </c>
      <c r="G91" s="46">
        <f t="shared" si="44"/>
      </c>
      <c r="H91" s="46">
        <f t="shared" si="44"/>
      </c>
      <c r="I91" s="46">
        <f>SUM(I89:I90)</f>
      </c>
      <c r="J91" s="46">
        <f t="shared" ref="J91:M91" si="45">SUM(J89:J90)</f>
      </c>
      <c r="K91" s="46">
        <f t="shared" si="45"/>
      </c>
      <c r="L91" s="46">
        <f t="shared" si="45"/>
      </c>
      <c r="M91" s="46">
        <f t="shared" si="45"/>
      </c>
    </row>
    <row r="92" spans="2:13" outlineLevel="1" x14ac:dyDescent="0.2"/>
    <row r="93" spans="2:13" outlineLevel="1" x14ac:dyDescent="0.2">
      <c r="C93" s="4" t="s">
        <v>96</v>
      </c>
      <c r="D93" s="65" t="s">
        <v>73</v>
      </c>
      <c r="E93" s="51">
        <f>+E87+E91</f>
      </c>
      <c r="F93" s="51">
        <f>+F87+F91</f>
      </c>
      <c r="G93" s="51">
        <f>+G87+G91</f>
      </c>
      <c r="H93" s="51">
        <f>+H87+H91</f>
      </c>
      <c r="I93" s="51">
        <f>+I87+I91</f>
      </c>
      <c r="J93" s="51">
        <f t="shared" ref="J93:M93" si="46">+J87+J91</f>
      </c>
      <c r="K93" s="51">
        <f t="shared" si="46"/>
      </c>
      <c r="L93" s="51">
        <f t="shared" si="46"/>
      </c>
      <c r="M93" s="51">
        <f t="shared" si="46"/>
      </c>
    </row>
    <row r="94" spans="2:13" x14ac:dyDescent="0.2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2">
      <c r="B95" s="31"/>
      <c r="C95" s="32"/>
      <c r="D95" s="33"/>
      <c r="E95" s="20" t="str">
        <f>$E$71</f>
      </c>
      <c r="F95" s="20"/>
      <c r="G95" s="21"/>
      <c r="H95" s="21"/>
      <c r="I95" s="22" t="str">
        <f>$I$71</f>
      </c>
      <c r="J95" s="23"/>
      <c r="K95" s="21"/>
      <c r="L95" s="21"/>
      <c r="M95" s="21"/>
    </row>
    <row r="96" spans="2:13" x14ac:dyDescent="0.2">
      <c r="B96" s="5" t="s">
        <v>100</v>
      </c>
      <c r="C96" s="6"/>
      <c r="D96" s="50" t="str">
        <f>+$D$42</f>
      </c>
      <c r="E96" s="1">
        <f>$E$72</f>
      </c>
      <c r="F96" s="1">
        <f>$F$72</f>
      </c>
      <c r="G96" s="1">
        <f>$G$72</f>
      </c>
      <c r="H96" s="2">
        <f>$H$72</f>
      </c>
      <c r="I96" s="89">
        <f>$I$72</f>
      </c>
      <c r="J96" s="1">
        <f>$J$72</f>
      </c>
      <c r="K96" s="1">
        <f>$K$72</f>
      </c>
      <c r="L96" s="1">
        <f>$L$72</f>
      </c>
      <c r="M96" s="1">
        <f>$M$72</f>
      </c>
    </row>
    <row r="97" spans="3:13" outlineLevel="1" x14ac:dyDescent="0.2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2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>
        <f>+I74*(I99/I44)</f>
      </c>
      <c r="J98" s="12">
        <f t="shared" ref="J98:M98" si="47">+J74*(J99/J44)</f>
      </c>
      <c r="K98" s="12">
        <f t="shared" si="47"/>
      </c>
      <c r="L98" s="12">
        <f t="shared" si="47"/>
      </c>
      <c r="M98" s="12">
        <f t="shared" si="47"/>
      </c>
    </row>
    <row r="99" spans="3:13" outlineLevel="1" x14ac:dyDescent="0.2">
      <c r="C99" s="105" t="s">
        <v>102</v>
      </c>
      <c r="D99" s="65" t="s">
        <v>88</v>
      </c>
      <c r="E99" s="12">
        <f>+E98/(E74/E44)</f>
      </c>
      <c r="F99" s="12">
        <f>+F98/(F74/F44)</f>
      </c>
      <c r="G99" s="12">
        <f>+G98/(G74/G44)</f>
      </c>
      <c r="H99" s="12">
        <f>+H98/(H74/H44)</f>
      </c>
      <c r="I99" s="145">
        <v>26</v>
      </c>
      <c r="J99" s="145">
        <v>27</v>
      </c>
      <c r="K99" s="145">
        <v>28</v>
      </c>
      <c r="L99" s="145">
        <v>29</v>
      </c>
      <c r="M99" s="145">
        <v>30</v>
      </c>
    </row>
    <row r="100" spans="3:13" outlineLevel="1" x14ac:dyDescent="0.2">
      <c r="C100" s="103" t="s">
        <v>111</v>
      </c>
      <c r="D100" s="67" t="s">
        <v>37</v>
      </c>
      <c r="E100" s="72">
        <f>+E98/E$74</f>
      </c>
      <c r="F100" s="72">
        <f t="shared" ref="F100:G100" si="48">+F98/F$74</f>
      </c>
      <c r="G100" s="72">
        <f t="shared" si="48"/>
      </c>
      <c r="H100" s="72">
        <f t="shared" ref="H100:M100" si="49">+H98/H$74</f>
      </c>
      <c r="I100" s="72">
        <f t="shared" si="49"/>
      </c>
      <c r="J100" s="72">
        <f t="shared" si="49"/>
      </c>
      <c r="K100" s="72">
        <f t="shared" si="49"/>
      </c>
      <c r="L100" s="72">
        <f t="shared" si="49"/>
      </c>
      <c r="M100" s="72">
        <f t="shared" si="49"/>
      </c>
    </row>
    <row r="101" spans="3:13" outlineLevel="1" x14ac:dyDescent="0.2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2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>
        <f>+I103*I$81</f>
      </c>
      <c r="J102" s="12">
        <f t="shared" ref="J102:M102" si="50">+J103*J$81</f>
      </c>
      <c r="K102" s="12">
        <f t="shared" si="50"/>
      </c>
      <c r="L102" s="12">
        <f t="shared" si="50"/>
      </c>
      <c r="M102" s="12">
        <f t="shared" si="50"/>
      </c>
    </row>
    <row r="103" spans="3:13" outlineLevel="1" x14ac:dyDescent="0.2">
      <c r="C103" s="103" t="s">
        <v>104</v>
      </c>
      <c r="D103" s="67" t="s">
        <v>37</v>
      </c>
      <c r="E103" s="72">
        <f>+E102/E$81</f>
      </c>
      <c r="F103" s="72">
        <f>+F102/F$81</f>
      </c>
      <c r="G103" s="72">
        <f>+G102/G$81</f>
      </c>
      <c r="H103" s="72">
        <f>+H102/H$81</f>
      </c>
      <c r="I103" s="113">
        <f>AVERAGE(E103:H103)</f>
      </c>
      <c r="J103" s="113">
        <f>+I103</f>
      </c>
      <c r="K103" s="113">
        <f t="shared" ref="K103:M103" si="51">+J103</f>
      </c>
      <c r="L103" s="113">
        <f t="shared" si="51"/>
      </c>
      <c r="M103" s="113">
        <f t="shared" si="51"/>
      </c>
    </row>
    <row r="104" spans="3:13" outlineLevel="1" x14ac:dyDescent="0.2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2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>
        <f>+I106*I$81</f>
      </c>
      <c r="J105" s="12">
        <f t="shared" ref="J105" si="52">+J106*J$81</f>
      </c>
      <c r="K105" s="12">
        <f t="shared" ref="K105" si="53">+K106*K$81</f>
      </c>
      <c r="L105" s="12">
        <f t="shared" ref="L105" si="54">+L106*L$81</f>
      </c>
      <c r="M105" s="12">
        <f t="shared" ref="M105" si="55">+M106*M$81</f>
      </c>
    </row>
    <row r="106" spans="3:13" outlineLevel="1" x14ac:dyDescent="0.2">
      <c r="C106" s="103" t="s">
        <v>104</v>
      </c>
      <c r="D106" s="67" t="s">
        <v>37</v>
      </c>
      <c r="E106" s="72">
        <f>+E105/E$81</f>
      </c>
      <c r="F106" s="72">
        <f>+F105/F$81</f>
      </c>
      <c r="G106" s="72">
        <f>+G105/G$81</f>
      </c>
      <c r="H106" s="72">
        <f>+H105/H$81</f>
      </c>
      <c r="I106" s="113">
        <f>AVERAGE(E106:H106)</f>
      </c>
      <c r="J106" s="113">
        <f>+I106</f>
      </c>
      <c r="K106" s="113">
        <f t="shared" ref="K106:M106" si="56">+J106</f>
      </c>
      <c r="L106" s="113">
        <f t="shared" si="56"/>
      </c>
      <c r="M106" s="113">
        <f t="shared" si="56"/>
      </c>
    </row>
    <row r="107" spans="3:13" outlineLevel="1" x14ac:dyDescent="0.2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2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>
        <f>+I109*I$81</f>
      </c>
      <c r="J108" s="12">
        <f t="shared" ref="J108" si="57">+J109*J$81</f>
      </c>
      <c r="K108" s="12">
        <f t="shared" ref="K108" si="58">+K109*K$81</f>
      </c>
      <c r="L108" s="12">
        <f t="shared" ref="L108" si="59">+L109*L$81</f>
      </c>
      <c r="M108" s="12">
        <f t="shared" ref="M108" si="60">+M109*M$81</f>
      </c>
    </row>
    <row r="109" spans="3:13" outlineLevel="1" x14ac:dyDescent="0.2">
      <c r="C109" s="103" t="s">
        <v>104</v>
      </c>
      <c r="D109" s="67" t="s">
        <v>37</v>
      </c>
      <c r="E109" s="72">
        <f>+E108/E$81</f>
      </c>
      <c r="F109" s="72">
        <f>+F108/F$81</f>
      </c>
      <c r="G109" s="72">
        <f>+G108/G$81</f>
      </c>
      <c r="H109" s="72">
        <f>+H108/H$81</f>
      </c>
      <c r="I109" s="113">
        <f>AVERAGE(E109:H109)</f>
      </c>
      <c r="J109" s="113">
        <f>+I109</f>
      </c>
      <c r="K109" s="113">
        <f t="shared" ref="K109:M109" si="61">+J109</f>
      </c>
      <c r="L109" s="113">
        <f t="shared" si="61"/>
      </c>
      <c r="M109" s="113">
        <f t="shared" si="61"/>
      </c>
    </row>
    <row r="110" spans="3:13" outlineLevel="1" x14ac:dyDescent="0.2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2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>
        <f>+I112*I74</f>
      </c>
      <c r="J111" s="12">
        <f t="shared" ref="J111:M111" si="62">+J112*J74</f>
      </c>
      <c r="K111" s="12">
        <f t="shared" si="62"/>
      </c>
      <c r="L111" s="12">
        <f t="shared" si="62"/>
      </c>
      <c r="M111" s="12">
        <f t="shared" si="62"/>
      </c>
    </row>
    <row r="112" spans="3:13" outlineLevel="1" x14ac:dyDescent="0.2">
      <c r="C112" s="103" t="s">
        <v>111</v>
      </c>
      <c r="D112" s="67" t="s">
        <v>37</v>
      </c>
      <c r="E112" s="72">
        <f>+E111/E$74</f>
      </c>
      <c r="F112" s="72">
        <f t="shared" ref="F112:H112" si="63">+F111/F$74</f>
      </c>
      <c r="G112" s="72">
        <f t="shared" si="63"/>
      </c>
      <c r="H112" s="72">
        <f t="shared" si="63"/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2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2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>
        <f>+I115*I$81</f>
      </c>
      <c r="J114" s="12">
        <f t="shared" ref="J114" si="64">+J115*J$81</f>
      </c>
      <c r="K114" s="12">
        <f t="shared" ref="K114" si="65">+K115*K$81</f>
      </c>
      <c r="L114" s="12">
        <f t="shared" ref="L114" si="66">+L115*L$81</f>
      </c>
      <c r="M114" s="12">
        <f t="shared" ref="M114" si="67">+M115*M$81</f>
      </c>
    </row>
    <row r="115" spans="2:13" outlineLevel="1" x14ac:dyDescent="0.2">
      <c r="C115" s="103" t="s">
        <v>104</v>
      </c>
      <c r="D115" s="67" t="s">
        <v>37</v>
      </c>
      <c r="E115" s="72">
        <f>+E114/E$81</f>
      </c>
      <c r="F115" s="72">
        <f>+F114/F$81</f>
      </c>
      <c r="G115" s="72">
        <f>+G114/G$81</f>
      </c>
      <c r="H115" s="72">
        <f>+H114/H$81</f>
      </c>
      <c r="I115" s="13">
        <v>7.0000000000000001E-3</v>
      </c>
      <c r="J115" s="13">
        <v>7.0000000000000001E-3</v>
      </c>
      <c r="K115" s="13">
        <v>7.0000000000000001E-3</v>
      </c>
      <c r="L115" s="13">
        <v>7.0000000000000001E-3</v>
      </c>
      <c r="M115" s="13">
        <v>7.0000000000000001E-3</v>
      </c>
    </row>
    <row r="116" spans="2:13" outlineLevel="1" x14ac:dyDescent="0.2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2">
      <c r="C117" s="105" t="s">
        <v>109</v>
      </c>
      <c r="D117" s="65" t="s">
        <v>73</v>
      </c>
      <c r="E117" s="12">
        <f>+E98+E102+E105-E108-E111-E114</f>
      </c>
      <c r="F117" s="12">
        <f t="shared" ref="F117:G117" si="68">+F98+F102+F105-F108-F111-F114</f>
      </c>
      <c r="G117" s="12">
        <f t="shared" si="68"/>
      </c>
      <c r="H117" s="12">
        <f t="shared" ref="H117" si="69">+H98+H102+H105-H108-H111-H114</f>
      </c>
      <c r="I117" s="12">
        <f>+I98+I102+I105-I108-I111-I114</f>
      </c>
      <c r="J117" s="12">
        <f t="shared" ref="J117:M117" si="70">+J98+J102+J105-J108-J111-J114</f>
      </c>
      <c r="K117" s="12">
        <f t="shared" si="70"/>
      </c>
      <c r="L117" s="12">
        <f t="shared" si="70"/>
      </c>
      <c r="M117" s="12">
        <f t="shared" si="70"/>
      </c>
    </row>
    <row r="118" spans="2:13" outlineLevel="1" x14ac:dyDescent="0.2">
      <c r="C118" s="105" t="s">
        <v>110</v>
      </c>
      <c r="D118" s="65" t="s">
        <v>73</v>
      </c>
      <c r="E118" s="27">
        <v>6.3000000000000007</v>
      </c>
      <c r="F118" s="12">
        <f>+E117-F117</f>
      </c>
      <c r="G118" s="12">
        <f>+F117-G117</f>
      </c>
      <c r="H118" s="12">
        <f t="shared" ref="H118" si="71">+G117-H117</f>
      </c>
      <c r="I118" s="12">
        <f>+H117-I117</f>
      </c>
      <c r="J118" s="12">
        <f t="shared" ref="J118:M118" si="72">+I117-J117</f>
      </c>
      <c r="K118" s="12">
        <f t="shared" si="72"/>
      </c>
      <c r="L118" s="12">
        <f t="shared" si="72"/>
      </c>
      <c r="M118" s="12">
        <f t="shared" si="72"/>
      </c>
    </row>
    <row r="119" spans="2:13" outlineLevel="1" x14ac:dyDescent="0.2">
      <c r="C119" s="105" t="s">
        <v>112</v>
      </c>
      <c r="D119" s="67" t="s">
        <v>37</v>
      </c>
      <c r="E119" s="72">
        <f>+E118/(E74-220.8)</f>
      </c>
      <c r="F119" s="72">
        <f t="shared" ref="F119:I119" si="73">+F118/(F74-E74)</f>
      </c>
      <c r="G119" s="72">
        <f t="shared" si="73"/>
      </c>
      <c r="H119" s="72">
        <f t="shared" si="73"/>
      </c>
      <c r="I119" s="72">
        <f t="shared" si="73"/>
      </c>
      <c r="J119" s="72">
        <f t="shared" ref="J119" si="74">+J118/(J74-I74)</f>
      </c>
      <c r="K119" s="72">
        <f t="shared" ref="K119" si="75">+K118/(K74-J74)</f>
      </c>
      <c r="L119" s="72">
        <f t="shared" ref="L119" si="76">+L118/(L74-K74)</f>
      </c>
      <c r="M119" s="72">
        <f t="shared" ref="M119" si="77">+M118/(M74-L74)</f>
      </c>
    </row>
    <row r="120" spans="2:13" x14ac:dyDescent="0.2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2">
      <c r="B121" s="31"/>
      <c r="C121" s="32"/>
      <c r="D121" s="33"/>
      <c r="E121" s="20" t="str">
        <f>$E$71</f>
      </c>
      <c r="F121" s="20"/>
      <c r="G121" s="21"/>
      <c r="H121" s="21"/>
      <c r="I121" s="22" t="str">
        <f>$I$71</f>
      </c>
      <c r="J121" s="23"/>
      <c r="K121" s="21"/>
      <c r="L121" s="21"/>
      <c r="M121" s="21"/>
    </row>
    <row r="122" spans="2:13" x14ac:dyDescent="0.2">
      <c r="B122" s="5" t="s">
        <v>32</v>
      </c>
      <c r="C122" s="6"/>
      <c r="D122" s="50" t="str">
        <f>+$D$42</f>
      </c>
      <c r="E122" s="1">
        <f>$E$72</f>
      </c>
      <c r="F122" s="1">
        <f>$F$72</f>
      </c>
      <c r="G122" s="1">
        <f>$G$72</f>
      </c>
      <c r="H122" s="2">
        <f>$H$72</f>
      </c>
      <c r="I122" s="89">
        <f>$I$72</f>
      </c>
      <c r="J122" s="1">
        <f>$J$72</f>
      </c>
      <c r="K122" s="1">
        <f>$K$72</f>
      </c>
      <c r="L122" s="1">
        <f>$L$72</f>
      </c>
      <c r="M122" s="1">
        <f>$M$72</f>
      </c>
    </row>
    <row r="123" spans="2:13" outlineLevel="1" x14ac:dyDescent="0.2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2">
      <c r="C124" s="4" t="s">
        <v>25</v>
      </c>
      <c r="D124" s="65" t="s">
        <v>73</v>
      </c>
      <c r="E124" s="107">
        <f t="shared" ref="E124:H124" si="78">+E87+E82</f>
      </c>
      <c r="F124" s="107">
        <f t="shared" si="78"/>
      </c>
      <c r="G124" s="107">
        <f t="shared" si="78"/>
      </c>
      <c r="H124" s="107">
        <f t="shared" si="78"/>
      </c>
      <c r="I124" s="107">
        <f>+I87+I82</f>
      </c>
      <c r="J124" s="107">
        <f t="shared" ref="J124:M124" si="79">+J87+J82</f>
      </c>
      <c r="K124" s="107">
        <f t="shared" si="79"/>
      </c>
      <c r="L124" s="107">
        <f t="shared" si="79"/>
      </c>
      <c r="M124" s="107">
        <f t="shared" si="79"/>
      </c>
    </row>
    <row r="125" spans="2:13" outlineLevel="1" x14ac:dyDescent="0.2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>
        <f>-I56*(I47-H47)</f>
      </c>
      <c r="J125" s="12">
        <f t="shared" ref="J125:M125" si="80">-J56*(J47-I47)</f>
      </c>
      <c r="K125" s="12">
        <f t="shared" si="80"/>
      </c>
      <c r="L125" s="12">
        <f t="shared" si="80"/>
      </c>
      <c r="M125" s="12">
        <f t="shared" si="80"/>
      </c>
    </row>
    <row r="126" spans="2:13" outlineLevel="1" x14ac:dyDescent="0.2">
      <c r="C126" s="11" t="s">
        <v>30</v>
      </c>
      <c r="D126" s="65" t="s">
        <v>73</v>
      </c>
      <c r="E126" s="47">
        <f>+E118</f>
      </c>
      <c r="F126" s="47">
        <f t="shared" ref="F126:G126" si="81">+F118</f>
      </c>
      <c r="G126" s="47">
        <f t="shared" si="81"/>
      </c>
      <c r="H126" s="47">
        <f>+H118</f>
      </c>
      <c r="I126" s="47">
        <f>+I118</f>
      </c>
      <c r="J126" s="47">
        <f t="shared" ref="J126:M126" si="82">+J118</f>
      </c>
      <c r="K126" s="47">
        <f t="shared" si="82"/>
      </c>
      <c r="L126" s="47">
        <f t="shared" si="82"/>
      </c>
      <c r="M126" s="47">
        <f t="shared" si="82"/>
      </c>
    </row>
    <row r="127" spans="2:13" outlineLevel="1" x14ac:dyDescent="0.2">
      <c r="C127" s="103" t="s">
        <v>113</v>
      </c>
      <c r="D127" s="65" t="s">
        <v>73</v>
      </c>
      <c r="E127" s="47">
        <f t="shared" ref="E127:H128" si="83">+E89</f>
      </c>
      <c r="F127" s="47">
        <f t="shared" si="83"/>
      </c>
      <c r="G127" s="47">
        <f t="shared" si="83"/>
      </c>
      <c r="H127" s="47">
        <f t="shared" si="83"/>
      </c>
      <c r="I127" s="12">
        <f>+I180</f>
      </c>
      <c r="J127" s="12">
        <f t="shared" ref="J127:M127" si="84">+J180</f>
      </c>
      <c r="K127" s="12">
        <f t="shared" si="84"/>
      </c>
      <c r="L127" s="12">
        <f t="shared" si="84"/>
      </c>
      <c r="M127" s="12">
        <f t="shared" si="84"/>
      </c>
    </row>
    <row r="128" spans="2:13" outlineLevel="1" x14ac:dyDescent="0.2">
      <c r="C128" s="103" t="s">
        <v>114</v>
      </c>
      <c r="D128" s="66" t="s">
        <v>73</v>
      </c>
      <c r="E128" s="108">
        <f t="shared" si="83"/>
      </c>
      <c r="F128" s="108">
        <f t="shared" si="83"/>
      </c>
      <c r="G128" s="108">
        <f t="shared" si="83"/>
      </c>
      <c r="H128" s="108">
        <f t="shared" si="83"/>
      </c>
      <c r="I128" s="29">
        <f>+I182</f>
      </c>
      <c r="J128" s="29">
        <f t="shared" ref="J128:M128" si="85">+J182</f>
      </c>
      <c r="K128" s="29">
        <f t="shared" si="85"/>
      </c>
      <c r="L128" s="29">
        <f t="shared" si="85"/>
      </c>
      <c r="M128" s="29">
        <f t="shared" si="85"/>
      </c>
    </row>
    <row r="129" spans="2:13" outlineLevel="1" x14ac:dyDescent="0.2">
      <c r="C129" s="43" t="s">
        <v>31</v>
      </c>
      <c r="D129" s="65" t="s">
        <v>73</v>
      </c>
      <c r="E129" s="106">
        <f>SUM(E124:E128)</f>
      </c>
      <c r="F129" s="106">
        <f t="shared" ref="F129:G129" si="86">SUM(F124:F128)</f>
      </c>
      <c r="G129" s="106">
        <f t="shared" si="86"/>
      </c>
      <c r="H129" s="106">
        <f t="shared" ref="H129" si="87">SUM(H124:H128)</f>
      </c>
      <c r="I129" s="106">
        <f>SUM(I124:I128)</f>
      </c>
      <c r="J129" s="106">
        <f t="shared" ref="J129:M129" si="88">SUM(J124:J128)</f>
      </c>
      <c r="K129" s="106">
        <f t="shared" si="88"/>
      </c>
      <c r="L129" s="106">
        <f t="shared" si="88"/>
      </c>
      <c r="M129" s="106">
        <f t="shared" si="88"/>
      </c>
    </row>
    <row r="130" spans="2:13" outlineLevel="1" x14ac:dyDescent="0.2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2">
      <c r="C131" s="3" t="s">
        <v>33</v>
      </c>
      <c r="D131" s="65" t="s">
        <v>73</v>
      </c>
      <c r="E131" s="65"/>
      <c r="F131" s="30"/>
      <c r="G131" s="30"/>
      <c r="H131" s="30"/>
      <c r="I131" s="64">
        <f>+H134</f>
      </c>
      <c r="J131" s="64">
        <f t="shared" ref="J131:M131" si="89">+I134</f>
      </c>
      <c r="K131" s="64">
        <f t="shared" si="89"/>
      </c>
      <c r="L131" s="64">
        <f t="shared" si="89"/>
      </c>
      <c r="M131" s="64">
        <f t="shared" si="89"/>
      </c>
    </row>
    <row r="132" spans="2:13" outlineLevel="1" x14ac:dyDescent="0.2">
      <c r="C132" s="57" t="s">
        <v>48</v>
      </c>
      <c r="D132" s="65" t="s">
        <v>73</v>
      </c>
      <c r="E132" s="65"/>
      <c r="F132" s="30"/>
      <c r="G132" s="30"/>
      <c r="H132" s="30"/>
      <c r="I132" s="64">
        <f>+I129</f>
      </c>
      <c r="J132" s="64">
        <f t="shared" ref="J132:M132" si="90">+J129</f>
      </c>
      <c r="K132" s="64">
        <f t="shared" si="90"/>
      </c>
      <c r="L132" s="64">
        <f t="shared" si="90"/>
      </c>
      <c r="M132" s="64">
        <f t="shared" si="90"/>
      </c>
    </row>
    <row r="133" spans="2:13" outlineLevel="1" x14ac:dyDescent="0.2">
      <c r="C133" s="57" t="s">
        <v>54</v>
      </c>
      <c r="D133" s="66" t="s">
        <v>73</v>
      </c>
      <c r="E133" s="66"/>
      <c r="F133" s="30"/>
      <c r="G133" s="30"/>
      <c r="H133" s="30"/>
      <c r="I133" s="12">
        <f>+I179</f>
      </c>
      <c r="J133" s="12">
        <f t="shared" ref="J133:M133" si="91">+J179</f>
      </c>
      <c r="K133" s="12">
        <f t="shared" si="91"/>
      </c>
      <c r="L133" s="12">
        <f t="shared" si="91"/>
      </c>
      <c r="M133" s="12">
        <f t="shared" si="91"/>
      </c>
    </row>
    <row r="134" spans="2:13" outlineLevel="1" x14ac:dyDescent="0.2">
      <c r="C134" s="43" t="s">
        <v>35</v>
      </c>
      <c r="D134" s="65" t="s">
        <v>73</v>
      </c>
      <c r="E134" s="65"/>
      <c r="F134" s="39"/>
      <c r="G134" s="39"/>
      <c r="H134" s="131">
        <f>-K11-D27</f>
      </c>
      <c r="I134" s="46">
        <f>SUM(I131:I133)</f>
      </c>
      <c r="J134" s="46">
        <f t="shared" ref="J134:M134" si="92">SUM(J131:J133)</f>
      </c>
      <c r="K134" s="46">
        <f t="shared" si="92"/>
      </c>
      <c r="L134" s="46">
        <f t="shared" si="92"/>
      </c>
      <c r="M134" s="46">
        <f t="shared" si="92"/>
      </c>
    </row>
    <row r="135" spans="2:13" x14ac:dyDescent="0.2">
      <c r="C135" s="4"/>
      <c r="I135" s="12"/>
      <c r="J135" s="12"/>
      <c r="K135" s="12"/>
      <c r="L135" s="12"/>
      <c r="M135" s="12"/>
    </row>
    <row r="136" spans="2:13" x14ac:dyDescent="0.2">
      <c r="B136" s="31"/>
      <c r="C136" s="32"/>
      <c r="D136" s="33"/>
      <c r="E136" s="20" t="str">
        <f>$E$71</f>
      </c>
      <c r="F136" s="20"/>
      <c r="G136" s="21"/>
      <c r="H136" s="21"/>
      <c r="I136" s="22" t="str">
        <f>$I$71</f>
      </c>
      <c r="J136" s="23"/>
      <c r="K136" s="21"/>
      <c r="L136" s="21"/>
      <c r="M136" s="21"/>
    </row>
    <row r="137" spans="2:13" x14ac:dyDescent="0.2">
      <c r="B137" s="5" t="s">
        <v>7</v>
      </c>
      <c r="C137" s="6"/>
      <c r="D137" s="50" t="str">
        <f>+$D$42</f>
      </c>
      <c r="E137" s="1">
        <f>$E$72</f>
      </c>
      <c r="F137" s="1">
        <f>$F$72</f>
      </c>
      <c r="G137" s="1">
        <f>$G$72</f>
      </c>
      <c r="H137" s="2">
        <f>$H$72</f>
      </c>
      <c r="I137" s="89">
        <f>$I$72</f>
      </c>
      <c r="J137" s="1">
        <f>$J$72</f>
      </c>
      <c r="K137" s="1">
        <f>$K$72</f>
      </c>
      <c r="L137" s="1">
        <f>$L$72</f>
      </c>
      <c r="M137" s="1">
        <f>$M$72</f>
      </c>
    </row>
    <row r="138" spans="2:13" outlineLevel="1" x14ac:dyDescent="0.2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2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2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2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2">
      <c r="B142" s="52"/>
      <c r="C142" s="11" t="str">
        <f>+$C$23</f>
      </c>
      <c r="D142" s="67" t="s">
        <v>37</v>
      </c>
      <c r="E142" s="54"/>
      <c r="F142" s="55"/>
      <c r="G142" s="55"/>
      <c r="H142" s="55"/>
      <c r="I142" s="62">
        <f>MAX($D35,I$140)+$E35</f>
      </c>
      <c r="J142" s="62">
        <f t="shared" ref="J142:M142" si="93">MAX($D35,J$140)+$E35</f>
      </c>
      <c r="K142" s="62">
        <f t="shared" si="93"/>
      </c>
      <c r="L142" s="62">
        <f t="shared" si="93"/>
      </c>
      <c r="M142" s="62">
        <f t="shared" si="93"/>
      </c>
    </row>
    <row r="143" spans="2:13" outlineLevel="1" x14ac:dyDescent="0.2">
      <c r="B143" s="52"/>
      <c r="C143" s="11" t="str">
        <f>+$C$24</f>
      </c>
      <c r="D143" s="67" t="s">
        <v>37</v>
      </c>
      <c r="E143" s="54"/>
      <c r="F143" s="55"/>
      <c r="G143" s="55"/>
      <c r="H143" s="55"/>
      <c r="I143" s="62">
        <f t="shared" ref="I143:M143" si="94">MAX($D36,I$140)+$E36</f>
      </c>
      <c r="J143" s="62">
        <f t="shared" si="94"/>
      </c>
      <c r="K143" s="62">
        <f t="shared" si="94"/>
      </c>
      <c r="L143" s="62">
        <f t="shared" si="94"/>
      </c>
      <c r="M143" s="62">
        <f t="shared" si="94"/>
      </c>
    </row>
    <row r="144" spans="2:13" outlineLevel="1" x14ac:dyDescent="0.2">
      <c r="B144" s="52"/>
      <c r="C144" s="11" t="str">
        <f>+$C$25</f>
      </c>
      <c r="D144" s="67" t="s">
        <v>37</v>
      </c>
      <c r="E144" s="54"/>
      <c r="F144" s="55"/>
      <c r="G144" s="55"/>
      <c r="H144" s="55"/>
      <c r="I144" s="62">
        <f>+$F37+$G37</f>
      </c>
      <c r="J144" s="62">
        <f t="shared" ref="J144:M144" si="95">+$F37+$G37</f>
      </c>
      <c r="K144" s="62">
        <f t="shared" si="95"/>
      </c>
      <c r="L144" s="62">
        <f t="shared" si="95"/>
      </c>
      <c r="M144" s="62">
        <f t="shared" si="95"/>
      </c>
    </row>
    <row r="145" spans="2:13" outlineLevel="1" x14ac:dyDescent="0.2">
      <c r="B145" s="52"/>
      <c r="C145" s="11" t="str">
        <f>+$C$26</f>
      </c>
      <c r="D145" s="67" t="s">
        <v>37</v>
      </c>
      <c r="E145" s="54"/>
      <c r="F145" s="55"/>
      <c r="G145" s="55"/>
      <c r="H145" s="55"/>
      <c r="I145" s="62">
        <f t="shared" ref="I145:M145" si="96">+$F38+$G38</f>
      </c>
      <c r="J145" s="62">
        <f t="shared" si="96"/>
      </c>
      <c r="K145" s="62">
        <f t="shared" si="96"/>
      </c>
      <c r="L145" s="62">
        <f t="shared" si="96"/>
      </c>
      <c r="M145" s="62">
        <f t="shared" si="96"/>
      </c>
    </row>
    <row r="146" spans="2:13" outlineLevel="1" x14ac:dyDescent="0.2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</c>
      <c r="J146" s="152">
        <f t="shared" ref="J146:M146" si="97">+$E39+J$140</f>
      </c>
      <c r="K146" s="152">
        <f t="shared" si="97"/>
      </c>
      <c r="L146" s="152">
        <f t="shared" si="97"/>
      </c>
      <c r="M146" s="152">
        <f t="shared" si="97"/>
      </c>
    </row>
    <row r="147" spans="2:13" outlineLevel="1" x14ac:dyDescent="0.2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2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2">
      <c r="C149" s="11" t="s">
        <v>33</v>
      </c>
      <c r="D149" s="65" t="s">
        <v>73</v>
      </c>
      <c r="E149" s="65"/>
      <c r="I149" s="12">
        <f>+H134</f>
      </c>
      <c r="J149" s="12">
        <f t="shared" ref="J149:M149" si="98">+I134</f>
      </c>
      <c r="K149" s="12">
        <f t="shared" si="98"/>
      </c>
      <c r="L149" s="12">
        <f t="shared" si="98"/>
      </c>
      <c r="M149" s="12">
        <f t="shared" si="98"/>
      </c>
    </row>
    <row r="150" spans="2:13" ht="14.5" customHeight="1" outlineLevel="1" x14ac:dyDescent="0.2">
      <c r="C150" s="58" t="s">
        <v>48</v>
      </c>
      <c r="D150" s="65" t="s">
        <v>73</v>
      </c>
      <c r="E150" s="65"/>
      <c r="I150" s="12">
        <f>+I129</f>
      </c>
      <c r="J150" s="12">
        <f t="shared" ref="J150:M150" si="99">+J129</f>
      </c>
      <c r="K150" s="12">
        <f t="shared" si="99"/>
      </c>
      <c r="L150" s="12">
        <f t="shared" si="99"/>
      </c>
      <c r="M150" s="12">
        <f t="shared" si="99"/>
      </c>
    </row>
    <row r="151" spans="2:13" ht="14.5" customHeight="1" outlineLevel="1" x14ac:dyDescent="0.2">
      <c r="C151" s="130" t="s">
        <v>139</v>
      </c>
      <c r="D151" s="65" t="s">
        <v>73</v>
      </c>
      <c r="E151" s="65"/>
      <c r="I151" s="12">
        <f>+I162</f>
      </c>
      <c r="J151" s="12">
        <f t="shared" ref="J151:M151" si="100">+J162</f>
      </c>
      <c r="K151" s="12">
        <f t="shared" si="100"/>
      </c>
      <c r="L151" s="12">
        <f t="shared" si="100"/>
      </c>
      <c r="M151" s="12">
        <f t="shared" si="100"/>
      </c>
    </row>
    <row r="152" spans="2:13" ht="14.5" customHeight="1" outlineLevel="1" x14ac:dyDescent="0.2">
      <c r="C152" s="58" t="s">
        <v>53</v>
      </c>
      <c r="D152" s="66" t="s">
        <v>73</v>
      </c>
      <c r="E152" s="66"/>
      <c r="I152" s="29">
        <f>-Min_Cash</f>
      </c>
      <c r="J152" s="29">
        <f>-Min_Cash</f>
      </c>
      <c r="K152" s="29">
        <f>-Min_Cash</f>
      </c>
      <c r="L152" s="29">
        <f>-Min_Cash</f>
      </c>
      <c r="M152" s="29">
        <f>-Min_Cash</f>
      </c>
    </row>
    <row r="153" spans="2:13" ht="14.5" customHeight="1" outlineLevel="1" x14ac:dyDescent="0.2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</c>
      <c r="J153" s="51">
        <f t="shared" ref="J153:M153" si="101">SUM(J149:J152)</f>
      </c>
      <c r="K153" s="51">
        <f t="shared" si="101"/>
      </c>
      <c r="L153" s="51">
        <f t="shared" si="101"/>
      </c>
      <c r="M153" s="51">
        <f t="shared" si="101"/>
      </c>
    </row>
    <row r="154" spans="2:13" ht="14.5" customHeight="1" outlineLevel="1" x14ac:dyDescent="0.2">
      <c r="C154" s="11"/>
    </row>
    <row r="155" spans="2:13" ht="14.5" customHeight="1" outlineLevel="1" x14ac:dyDescent="0.2">
      <c r="C155" s="57" t="s">
        <v>50</v>
      </c>
      <c r="D155" s="65" t="s">
        <v>73</v>
      </c>
      <c r="E155" s="65"/>
      <c r="I155" s="12">
        <f>+H157</f>
      </c>
      <c r="J155" s="12">
        <f t="shared" ref="J155:M155" si="102">+I157</f>
      </c>
      <c r="K155" s="12">
        <f t="shared" si="102"/>
      </c>
      <c r="L155" s="12">
        <f t="shared" si="102"/>
      </c>
      <c r="M155" s="12">
        <f t="shared" si="102"/>
      </c>
    </row>
    <row r="156" spans="2:13" ht="14.5" customHeight="1" outlineLevel="1" x14ac:dyDescent="0.2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</c>
      <c r="J156" s="29">
        <f t="shared" ref="J156:M156" si="103">IF(J153&gt;0,-MIN(J153,J155),-J153)</f>
      </c>
      <c r="K156" s="29">
        <f t="shared" si="103"/>
      </c>
      <c r="L156" s="29">
        <f t="shared" si="103"/>
      </c>
      <c r="M156" s="29">
        <f t="shared" si="103"/>
      </c>
    </row>
    <row r="157" spans="2:13" ht="14.5" customHeight="1" outlineLevel="1" x14ac:dyDescent="0.2">
      <c r="C157" s="35" t="s">
        <v>52</v>
      </c>
      <c r="D157" s="65" t="s">
        <v>73</v>
      </c>
      <c r="E157" s="65"/>
      <c r="H157" s="60">
        <f>+D23</f>
      </c>
      <c r="I157" s="51">
        <f>SUM(I155:I156)</f>
      </c>
      <c r="J157" s="51">
        <f t="shared" ref="J157:M157" si="104">SUM(J155:J156)</f>
      </c>
      <c r="K157" s="51">
        <f t="shared" si="104"/>
      </c>
      <c r="L157" s="51">
        <f t="shared" si="104"/>
      </c>
      <c r="M157" s="51">
        <f t="shared" si="104"/>
      </c>
    </row>
    <row r="158" spans="2:13" ht="14.5" customHeight="1" outlineLevel="1" x14ac:dyDescent="0.2">
      <c r="C158" s="147" t="s">
        <v>140</v>
      </c>
      <c r="D158" s="65" t="s">
        <v>73</v>
      </c>
      <c r="E158" s="65"/>
      <c r="I158" s="12">
        <f>+H157*I142</f>
      </c>
      <c r="J158" s="12">
        <f t="shared" ref="J158:M158" si="105">+I157*J142</f>
      </c>
      <c r="K158" s="12">
        <f t="shared" si="105"/>
      </c>
      <c r="L158" s="12">
        <f t="shared" si="105"/>
      </c>
      <c r="M158" s="12">
        <f t="shared" si="105"/>
      </c>
    </row>
    <row r="159" spans="2:13" ht="14.5" customHeight="1" outlineLevel="1" x14ac:dyDescent="0.2">
      <c r="C159" s="11"/>
    </row>
    <row r="160" spans="2:13" outlineLevel="1" x14ac:dyDescent="0.2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2">
      <c r="C161" s="103" t="s">
        <v>136</v>
      </c>
      <c r="D161" s="65" t="s">
        <v>73</v>
      </c>
      <c r="E161" s="65"/>
      <c r="I161" s="12">
        <f>+H163</f>
      </c>
      <c r="J161" s="12">
        <f t="shared" ref="J161:M161" si="106">+I163</f>
      </c>
      <c r="K161" s="12">
        <f t="shared" si="106"/>
      </c>
      <c r="L161" s="12">
        <f t="shared" si="106"/>
      </c>
      <c r="M161" s="12">
        <f t="shared" si="106"/>
      </c>
    </row>
    <row r="162" spans="3:13" outlineLevel="1" x14ac:dyDescent="0.2">
      <c r="C162" s="130" t="s">
        <v>139</v>
      </c>
      <c r="D162" s="66" t="s">
        <v>73</v>
      </c>
      <c r="E162" s="66"/>
      <c r="I162" s="29">
        <f>-$H163*$H36</f>
      </c>
      <c r="J162" s="29">
        <f t="shared" ref="J162:M162" si="107">-$H163*$H36</f>
      </c>
      <c r="K162" s="29">
        <f t="shared" si="107"/>
      </c>
      <c r="L162" s="29">
        <f t="shared" si="107"/>
      </c>
      <c r="M162" s="29">
        <f t="shared" si="107"/>
      </c>
    </row>
    <row r="163" spans="3:13" outlineLevel="1" x14ac:dyDescent="0.2">
      <c r="C163" s="59" t="s">
        <v>135</v>
      </c>
      <c r="D163" s="65" t="s">
        <v>73</v>
      </c>
      <c r="E163" s="65"/>
      <c r="F163" s="25"/>
      <c r="G163" s="25"/>
      <c r="H163" s="131">
        <f>+D24</f>
      </c>
      <c r="I163" s="51">
        <f>SUM(I161:I162)</f>
      </c>
      <c r="J163" s="51">
        <f t="shared" ref="J163:M163" si="108">SUM(J161:J162)</f>
      </c>
      <c r="K163" s="51">
        <f t="shared" si="108"/>
      </c>
      <c r="L163" s="51">
        <f t="shared" si="108"/>
      </c>
      <c r="M163" s="51">
        <f t="shared" si="108"/>
      </c>
    </row>
    <row r="164" spans="3:13" outlineLevel="1" x14ac:dyDescent="0.2">
      <c r="C164" s="147" t="s">
        <v>140</v>
      </c>
      <c r="D164" s="65" t="s">
        <v>73</v>
      </c>
      <c r="E164" s="65"/>
      <c r="I164" s="12">
        <f>+H163*I143</f>
      </c>
      <c r="J164" s="12">
        <f t="shared" ref="J164:M164" si="109">+I163*J143</f>
      </c>
      <c r="K164" s="12">
        <f t="shared" si="109"/>
      </c>
      <c r="L164" s="12">
        <f t="shared" si="109"/>
      </c>
      <c r="M164" s="12">
        <f t="shared" si="109"/>
      </c>
    </row>
    <row r="165" spans="3:13" outlineLevel="1" x14ac:dyDescent="0.2">
      <c r="C165" s="11"/>
      <c r="I165" s="62"/>
      <c r="J165" s="62"/>
      <c r="K165" s="62"/>
      <c r="L165" s="62"/>
      <c r="M165" s="62"/>
    </row>
    <row r="166" spans="3:13" outlineLevel="1" x14ac:dyDescent="0.2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2">
      <c r="C167" s="103" t="s">
        <v>137</v>
      </c>
      <c r="D167" s="65" t="s">
        <v>73</v>
      </c>
      <c r="E167" s="65"/>
      <c r="I167" s="12">
        <f>+H169</f>
      </c>
      <c r="J167" s="12">
        <f t="shared" ref="J167:M167" si="110">+I169</f>
      </c>
      <c r="K167" s="12">
        <f t="shared" si="110"/>
      </c>
      <c r="L167" s="12">
        <f t="shared" si="110"/>
      </c>
      <c r="M167" s="12">
        <f t="shared" si="110"/>
      </c>
    </row>
    <row r="168" spans="3:13" outlineLevel="1" x14ac:dyDescent="0.2">
      <c r="C168" s="58" t="s">
        <v>46</v>
      </c>
      <c r="D168" s="66" t="s">
        <v>73</v>
      </c>
      <c r="E168" s="66"/>
      <c r="I168" s="29">
        <f>+H169*$G37</f>
      </c>
      <c r="J168" s="29">
        <f t="shared" ref="J168:M168" si="111">+I169*$G37</f>
      </c>
      <c r="K168" s="29">
        <f t="shared" si="111"/>
      </c>
      <c r="L168" s="29">
        <f t="shared" si="111"/>
      </c>
      <c r="M168" s="29">
        <f t="shared" si="111"/>
      </c>
    </row>
    <row r="169" spans="3:13" outlineLevel="1" x14ac:dyDescent="0.2">
      <c r="C169" s="59" t="s">
        <v>138</v>
      </c>
      <c r="D169" s="65" t="s">
        <v>73</v>
      </c>
      <c r="E169" s="65"/>
      <c r="F169" s="25"/>
      <c r="G169" s="25"/>
      <c r="H169" s="131">
        <f>+D25</f>
      </c>
      <c r="I169" s="51">
        <f>SUM(I167:I168)</f>
      </c>
      <c r="J169" s="51">
        <f t="shared" ref="J169:M169" si="112">SUM(J167:J168)</f>
      </c>
      <c r="K169" s="51">
        <f t="shared" si="112"/>
      </c>
      <c r="L169" s="51">
        <f t="shared" si="112"/>
      </c>
      <c r="M169" s="51">
        <f t="shared" si="112"/>
      </c>
    </row>
    <row r="170" spans="3:13" outlineLevel="1" x14ac:dyDescent="0.2">
      <c r="C170" s="147" t="s">
        <v>140</v>
      </c>
      <c r="D170" s="65" t="s">
        <v>73</v>
      </c>
      <c r="E170" s="65"/>
      <c r="I170" s="12">
        <f>+H169*$F37</f>
      </c>
      <c r="J170" s="12">
        <f t="shared" ref="J170:M170" si="113">+I169*$F37</f>
      </c>
      <c r="K170" s="12">
        <f t="shared" si="113"/>
      </c>
      <c r="L170" s="12">
        <f t="shared" si="113"/>
      </c>
      <c r="M170" s="12">
        <f t="shared" si="113"/>
      </c>
    </row>
    <row r="171" spans="3:13" outlineLevel="1" x14ac:dyDescent="0.2">
      <c r="C171" s="11"/>
      <c r="I171" s="12"/>
      <c r="J171" s="12"/>
      <c r="K171" s="12"/>
      <c r="L171" s="12"/>
      <c r="M171" s="12"/>
    </row>
    <row r="172" spans="3:13" outlineLevel="1" x14ac:dyDescent="0.2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2">
      <c r="C173" s="57" t="s">
        <v>45</v>
      </c>
      <c r="D173" s="65" t="s">
        <v>73</v>
      </c>
      <c r="E173" s="65"/>
      <c r="I173" s="12">
        <f>+H175</f>
      </c>
      <c r="J173" s="12">
        <f t="shared" ref="J173:M173" si="114">+I175</f>
      </c>
      <c r="K173" s="12">
        <f t="shared" si="114"/>
      </c>
      <c r="L173" s="12">
        <f t="shared" si="114"/>
      </c>
      <c r="M173" s="12">
        <f t="shared" si="114"/>
      </c>
    </row>
    <row r="174" spans="3:13" outlineLevel="1" x14ac:dyDescent="0.2">
      <c r="C174" s="58" t="s">
        <v>46</v>
      </c>
      <c r="D174" s="66" t="s">
        <v>73</v>
      </c>
      <c r="E174" s="66"/>
      <c r="I174" s="29">
        <f>+H175*$G38</f>
      </c>
      <c r="J174" s="29">
        <f t="shared" ref="J174:M174" si="115">+I175*$G38</f>
      </c>
      <c r="K174" s="29">
        <f t="shared" si="115"/>
      </c>
      <c r="L174" s="29">
        <f t="shared" si="115"/>
      </c>
      <c r="M174" s="29">
        <f t="shared" si="115"/>
      </c>
    </row>
    <row r="175" spans="3:13" outlineLevel="1" x14ac:dyDescent="0.2">
      <c r="C175" s="59" t="s">
        <v>44</v>
      </c>
      <c r="D175" s="65" t="s">
        <v>73</v>
      </c>
      <c r="E175" s="65"/>
      <c r="F175" s="25"/>
      <c r="G175" s="25"/>
      <c r="H175" s="131">
        <f>+D26</f>
      </c>
      <c r="I175" s="51">
        <f>SUM(I173:I174)</f>
      </c>
      <c r="J175" s="51">
        <f t="shared" ref="J175:M175" si="116">SUM(J173:J174)</f>
      </c>
      <c r="K175" s="51">
        <f t="shared" si="116"/>
      </c>
      <c r="L175" s="51">
        <f t="shared" si="116"/>
      </c>
      <c r="M175" s="51">
        <f t="shared" si="116"/>
      </c>
    </row>
    <row r="176" spans="3:13" outlineLevel="1" x14ac:dyDescent="0.2">
      <c r="C176" s="147" t="s">
        <v>140</v>
      </c>
      <c r="D176" s="65" t="s">
        <v>73</v>
      </c>
      <c r="E176" s="65"/>
      <c r="I176" s="12">
        <f>+H175*$F38</f>
      </c>
      <c r="J176" s="12">
        <f t="shared" ref="J176:M176" si="117">+I175*$F38</f>
      </c>
      <c r="K176" s="12">
        <f t="shared" si="117"/>
      </c>
      <c r="L176" s="12">
        <f t="shared" si="117"/>
      </c>
      <c r="M176" s="12">
        <f t="shared" si="117"/>
      </c>
    </row>
    <row r="177" spans="2:13" outlineLevel="1" x14ac:dyDescent="0.2">
      <c r="C177" s="11"/>
      <c r="I177" s="12"/>
      <c r="J177" s="12"/>
      <c r="K177" s="12"/>
      <c r="L177" s="12"/>
      <c r="M177" s="12"/>
    </row>
    <row r="178" spans="2:13" outlineLevel="1" x14ac:dyDescent="0.2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2">
      <c r="C179" s="57" t="s">
        <v>34</v>
      </c>
      <c r="D179" s="65" t="s">
        <v>73</v>
      </c>
      <c r="E179" s="65"/>
      <c r="I179" s="12">
        <f>+I156+I162</f>
      </c>
      <c r="J179" s="12">
        <f t="shared" ref="J179:M179" si="118">+J156+J162</f>
      </c>
      <c r="K179" s="12">
        <f t="shared" si="118"/>
      </c>
      <c r="L179" s="12">
        <f t="shared" si="118"/>
      </c>
      <c r="M179" s="12">
        <f t="shared" si="118"/>
      </c>
    </row>
    <row r="180" spans="2:13" outlineLevel="1" x14ac:dyDescent="0.2">
      <c r="C180" s="103" t="s">
        <v>140</v>
      </c>
      <c r="D180" s="65" t="s">
        <v>73</v>
      </c>
      <c r="E180" s="65"/>
      <c r="I180" s="12">
        <f>-I158-I164-I170-I176</f>
      </c>
      <c r="J180" s="12">
        <f t="shared" ref="J180:M180" si="119">-J158-J164-J170-J176</f>
      </c>
      <c r="K180" s="12">
        <f t="shared" si="119"/>
      </c>
      <c r="L180" s="12">
        <f t="shared" si="119"/>
      </c>
      <c r="M180" s="12">
        <f t="shared" si="119"/>
      </c>
    </row>
    <row r="181" spans="2:13" outlineLevel="1" x14ac:dyDescent="0.2">
      <c r="C181" s="103" t="s">
        <v>141</v>
      </c>
      <c r="D181" s="65" t="s">
        <v>73</v>
      </c>
      <c r="E181" s="65"/>
      <c r="I181" s="12">
        <f>+I180-I168-I174</f>
      </c>
      <c r="J181" s="12">
        <f t="shared" ref="J181:M181" si="120">+J180-J168-J174</f>
      </c>
      <c r="K181" s="12">
        <f t="shared" si="120"/>
      </c>
      <c r="L181" s="12">
        <f t="shared" si="120"/>
      </c>
      <c r="M181" s="12">
        <f t="shared" si="120"/>
      </c>
    </row>
    <row r="182" spans="2:13" outlineLevel="1" x14ac:dyDescent="0.2">
      <c r="C182" s="103" t="s">
        <v>157</v>
      </c>
      <c r="D182" s="65" t="s">
        <v>73</v>
      </c>
      <c r="E182" s="65"/>
      <c r="I182" s="12">
        <f>+H134*I146</f>
      </c>
      <c r="J182" s="12">
        <f t="shared" ref="J182:M182" si="121">+I134*J146</f>
      </c>
      <c r="K182" s="12">
        <f t="shared" si="121"/>
      </c>
      <c r="L182" s="12">
        <f t="shared" si="121"/>
      </c>
      <c r="M182" s="12">
        <f t="shared" si="121"/>
      </c>
    </row>
    <row r="184" spans="2:13" x14ac:dyDescent="0.2">
      <c r="B184" s="31"/>
      <c r="C184" s="32"/>
      <c r="D184" s="33"/>
      <c r="E184" s="20" t="str">
        <f>$E$71</f>
      </c>
      <c r="F184" s="20"/>
      <c r="G184" s="21"/>
      <c r="H184" s="21"/>
      <c r="I184" s="22" t="str">
        <f>$I$71</f>
      </c>
      <c r="J184" s="23"/>
      <c r="K184" s="21"/>
      <c r="L184" s="21"/>
      <c r="M184" s="21"/>
    </row>
    <row r="185" spans="2:13" x14ac:dyDescent="0.2">
      <c r="B185" s="5" t="s">
        <v>161</v>
      </c>
      <c r="C185" s="6"/>
      <c r="D185" s="50" t="str">
        <f>+$D$42</f>
      </c>
      <c r="E185" s="1">
        <f>$E$72</f>
      </c>
      <c r="F185" s="1">
        <f>$F$72</f>
      </c>
      <c r="G185" s="1">
        <f>$G$72</f>
      </c>
      <c r="H185" s="2">
        <f>$H$72</f>
      </c>
      <c r="I185" s="89">
        <f>$I$72</f>
      </c>
      <c r="J185" s="1">
        <f>$J$72</f>
      </c>
      <c r="K185" s="1">
        <f>$K$72</f>
      </c>
      <c r="L185" s="1">
        <f>$L$72</f>
      </c>
      <c r="M185" s="1">
        <f>$M$72</f>
      </c>
    </row>
    <row r="186" spans="2:13" outlineLevel="1" x14ac:dyDescent="0.2">
      <c r="H186" s="25"/>
    </row>
    <row r="187" spans="2:13" outlineLevel="1" x14ac:dyDescent="0.2">
      <c r="C187" s="56" t="s">
        <v>8</v>
      </c>
      <c r="D187" s="65" t="s">
        <v>61</v>
      </c>
      <c r="E187" s="65"/>
      <c r="I187" s="34">
        <v>1</v>
      </c>
      <c r="J187" s="47">
        <f>I187+1</f>
      </c>
      <c r="K187" s="47">
        <f t="shared" ref="K187:M187" si="122">J187+1</f>
      </c>
      <c r="L187" s="47">
        <f t="shared" si="122"/>
      </c>
      <c r="M187" s="47">
        <f t="shared" si="122"/>
      </c>
    </row>
    <row r="188" spans="2:13" outlineLevel="1" x14ac:dyDescent="0.2"/>
    <row r="189" spans="2:13" outlineLevel="1" x14ac:dyDescent="0.2">
      <c r="C189" s="4" t="s">
        <v>25</v>
      </c>
      <c r="D189" s="65" t="s">
        <v>73</v>
      </c>
      <c r="E189" s="65"/>
      <c r="I189" s="51">
        <f>+I124</f>
      </c>
      <c r="J189" s="51">
        <f t="shared" ref="J189:M189" si="123">+J124</f>
      </c>
      <c r="K189" s="51">
        <f t="shared" si="123"/>
      </c>
      <c r="L189" s="51">
        <f t="shared" si="123"/>
      </c>
      <c r="M189" s="51">
        <f t="shared" si="123"/>
      </c>
    </row>
    <row r="190" spans="2:13" outlineLevel="1" x14ac:dyDescent="0.2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2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</c>
      <c r="J191" s="46">
        <f t="shared" ref="J191:M191" si="124">+J189*J190</f>
      </c>
      <c r="K191" s="46">
        <f t="shared" si="124"/>
      </c>
      <c r="L191" s="46">
        <f t="shared" si="124"/>
      </c>
      <c r="M191" s="46">
        <f t="shared" si="124"/>
      </c>
    </row>
    <row r="192" spans="2:13" outlineLevel="1" x14ac:dyDescent="0.2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</c>
      <c r="J192" s="29">
        <f t="shared" ref="J192:M192" si="125">-J157-J163-J169-J175+J134</f>
      </c>
      <c r="K192" s="29">
        <f t="shared" si="125"/>
      </c>
      <c r="L192" s="29">
        <f t="shared" si="125"/>
      </c>
      <c r="M192" s="29">
        <f t="shared" si="125"/>
      </c>
    </row>
    <row r="193" spans="3:13" outlineLevel="1" x14ac:dyDescent="0.2">
      <c r="C193" s="4" t="s">
        <v>56</v>
      </c>
      <c r="D193" s="65" t="s">
        <v>73</v>
      </c>
      <c r="E193" s="65"/>
      <c r="I193" s="46">
        <f>+I191+I192</f>
      </c>
      <c r="J193" s="46">
        <f t="shared" ref="J193:M193" si="126">+J191+J192</f>
      </c>
      <c r="K193" s="46">
        <f t="shared" si="126"/>
      </c>
      <c r="L193" s="46">
        <f t="shared" si="126"/>
      </c>
      <c r="M193" s="46">
        <f t="shared" si="126"/>
      </c>
    </row>
    <row r="194" spans="3:13" outlineLevel="1" x14ac:dyDescent="0.2"/>
    <row r="195" spans="3:13" outlineLevel="1" x14ac:dyDescent="0.2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2">
      <c r="C196" s="57" t="s">
        <v>60</v>
      </c>
      <c r="D196" s="65" t="s">
        <v>62</v>
      </c>
      <c r="E196" s="65"/>
      <c r="I196" s="69">
        <f>+I193/Sponsor_Equity</f>
      </c>
      <c r="J196" s="69">
        <f>+J193/Sponsor_Equity</f>
      </c>
      <c r="K196" s="69">
        <f>+K193/Sponsor_Equity</f>
      </c>
      <c r="L196" s="69">
        <f>+L193/Sponsor_Equity</f>
      </c>
      <c r="M196" s="69">
        <f>+M193/Sponsor_Equity</f>
      </c>
    </row>
    <row r="197" spans="3:13" outlineLevel="1" x14ac:dyDescent="0.2">
      <c r="C197" s="57" t="s">
        <v>59</v>
      </c>
      <c r="D197" s="65" t="s">
        <v>37</v>
      </c>
      <c r="E197" s="65"/>
      <c r="I197" s="72">
        <f>(I193/Sponsor_Equity)^(1/I187)-1</f>
      </c>
      <c r="J197" s="72">
        <f>(J193/Sponsor_Equity)^(1/J187)-1</f>
      </c>
      <c r="K197" s="72">
        <f>(K193/Sponsor_Equity)^(1/K187)-1</f>
      </c>
      <c r="L197" s="72">
        <f>(L193/Sponsor_Equity)^(1/L187)-1</f>
      </c>
      <c r="M197" s="72">
        <f>(M193/Sponsor_Equity)^(1/M187)-1</f>
      </c>
    </row>
    <row r="198" spans="3:13" outlineLevel="1" x14ac:dyDescent="0.2"/>
    <row r="199" spans="3:13" outlineLevel="1" x14ac:dyDescent="0.2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2">
      <c r="C200" s="103" t="s">
        <v>155</v>
      </c>
      <c r="D200" s="65" t="s">
        <v>73</v>
      </c>
      <c r="I200" s="42">
        <f>IF(I193&gt;Sponsor_Equity,Mgmt_Option_Pool*Sponsor_Equity,0)</f>
      </c>
      <c r="J200" s="42">
        <f>IF(J193&gt;Sponsor_Equity,Mgmt_Option_Pool*Sponsor_Equity,0)</f>
      </c>
      <c r="K200" s="42">
        <f>IF(K193&gt;Sponsor_Equity,Mgmt_Option_Pool*Sponsor_Equity,0)</f>
      </c>
      <c r="L200" s="42">
        <f>IF(L193&gt;Sponsor_Equity,Mgmt_Option_Pool*Sponsor_Equity,0)</f>
      </c>
      <c r="M200" s="42">
        <f>IF(M193&gt;Sponsor_Equity,Mgmt_Option_Pool*Sponsor_Equity,0)</f>
      </c>
    </row>
    <row r="201" spans="3:13" outlineLevel="1" x14ac:dyDescent="0.2">
      <c r="C201" s="103" t="s">
        <v>156</v>
      </c>
      <c r="D201" s="65" t="s">
        <v>73</v>
      </c>
      <c r="I201" s="12">
        <f>IF(I200&gt;0,-Mgmt_Option_Pool/(1+Mgmt_Option_Pool)*(I193+I200),0)</f>
      </c>
      <c r="J201" s="12">
        <f>IF(J200&gt;0,-Mgmt_Option_Pool/(1+Mgmt_Option_Pool)*(J193+J200),0)</f>
      </c>
      <c r="K201" s="12">
        <f>IF(K200&gt;0,-Mgmt_Option_Pool/(1+Mgmt_Option_Pool)*(K193+K200),0)</f>
      </c>
      <c r="L201" s="12">
        <f>IF(L200&gt;0,-Mgmt_Option_Pool/(1+Mgmt_Option_Pool)*(L193+L200),0)</f>
      </c>
      <c r="M201" s="12">
        <f>IF(M200&gt;0,-Mgmt_Option_Pool/(1+Mgmt_Option_Pool)*(M193+M200),0)</f>
      </c>
    </row>
    <row r="202" spans="3:13" outlineLevel="1" x14ac:dyDescent="0.2">
      <c r="C202" s="147" t="s">
        <v>159</v>
      </c>
      <c r="D202" s="66" t="s">
        <v>73</v>
      </c>
      <c r="I202" s="12">
        <f>-MAX((I193+I200)*Mezz_Equity_Pct,0)</f>
      </c>
      <c r="J202" s="12">
        <f>-MAX((J193+J200)*Mezz_Equity_Pct,0)</f>
      </c>
      <c r="K202" s="12">
        <f>-MAX((K193+K200)*Mezz_Equity_Pct,0)</f>
      </c>
      <c r="L202" s="12">
        <f>-MAX((L193+L200)*Mezz_Equity_Pct,0)</f>
      </c>
      <c r="M202" s="12">
        <f>-MAX((M193+M200)*Mezz_Equity_Pct,0)</f>
      </c>
    </row>
    <row r="203" spans="3:13" outlineLevel="1" x14ac:dyDescent="0.2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</c>
      <c r="J203" s="46">
        <f t="shared" ref="J203:M203" si="127">SUM(J200:J202)</f>
      </c>
      <c r="K203" s="46">
        <f t="shared" si="127"/>
      </c>
      <c r="L203" s="46">
        <f t="shared" si="127"/>
      </c>
      <c r="M203" s="46">
        <f t="shared" si="127"/>
      </c>
    </row>
    <row r="204" spans="3:13" outlineLevel="1" x14ac:dyDescent="0.2">
      <c r="I204" s="71"/>
      <c r="J204" s="154"/>
      <c r="K204" s="154"/>
      <c r="L204" s="154"/>
      <c r="M204" s="154"/>
    </row>
    <row r="205" spans="3:13" outlineLevel="1" x14ac:dyDescent="0.2">
      <c r="C205" s="4" t="s">
        <v>144</v>
      </c>
      <c r="D205" s="65" t="s">
        <v>73</v>
      </c>
      <c r="I205" s="51">
        <f>+I193+I203</f>
      </c>
      <c r="J205" s="51">
        <f t="shared" ref="J205:M205" si="128">+J193+J203</f>
      </c>
      <c r="K205" s="51">
        <f t="shared" si="128"/>
      </c>
      <c r="L205" s="51">
        <f t="shared" si="128"/>
      </c>
      <c r="M205" s="51">
        <f t="shared" si="128"/>
      </c>
    </row>
    <row r="206" spans="3:13" outlineLevel="1" x14ac:dyDescent="0.2"/>
    <row r="207" spans="3:13" outlineLevel="1" x14ac:dyDescent="0.2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2">
      <c r="C208" s="57" t="s">
        <v>60</v>
      </c>
      <c r="D208" s="65" t="s">
        <v>62</v>
      </c>
      <c r="E208" s="65"/>
      <c r="I208" s="69">
        <f>I205/Sponsor_Equity</f>
      </c>
      <c r="J208" s="69">
        <f>J205/Sponsor_Equity</f>
      </c>
      <c r="K208" s="69">
        <f>K205/Sponsor_Equity</f>
      </c>
      <c r="L208" s="69">
        <f>L205/Sponsor_Equity</f>
      </c>
      <c r="M208" s="69">
        <f>M205/Sponsor_Equity</f>
      </c>
    </row>
    <row r="209" spans="2:14" outlineLevel="1" x14ac:dyDescent="0.2">
      <c r="C209" s="57" t="s">
        <v>59</v>
      </c>
      <c r="D209" s="65" t="s">
        <v>37</v>
      </c>
      <c r="E209" s="65"/>
      <c r="I209" s="72">
        <f>(I205/Sponsor_Equity)^(1/I$187)-1</f>
      </c>
      <c r="J209" s="72">
        <f>(J205/Sponsor_Equity)^(1/J$187)-1</f>
      </c>
      <c r="K209" s="72">
        <f>(K205/Sponsor_Equity)^(1/K$187)-1</f>
      </c>
      <c r="L209" s="72">
        <f>(L205/Sponsor_Equity)^(1/L$187)-1</f>
      </c>
      <c r="M209" s="72">
        <f>(M205/Sponsor_Equity)^(1/M$187)-1</f>
      </c>
    </row>
    <row r="211" spans="2:14" x14ac:dyDescent="0.2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2"/>
    <row r="213" spans="2:14" outlineLevel="1" x14ac:dyDescent="0.2">
      <c r="C213" s="73"/>
      <c r="D213" s="74"/>
      <c r="E213" s="75" t="str">
        <f>TEXT($M$42,"YYYY")&amp;" Exit EV / EBITDA Multiple:"</f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2">
      <c r="C214" s="78"/>
      <c r="D214" s="79">
        <f>+$M$209</f>
      </c>
      <c r="E214" s="148">
        <v>21</v>
      </c>
      <c r="F214" s="149">
        <f>+E214+1</f>
      </c>
      <c r="G214" s="149">
        <f t="shared" ref="G214:M214" si="129">+F214+1</f>
      </c>
      <c r="H214" s="149">
        <f t="shared" si="129"/>
      </c>
      <c r="I214" s="150">
        <f t="shared" si="129"/>
      </c>
      <c r="J214" s="149">
        <f t="shared" si="129"/>
      </c>
      <c r="K214" s="149">
        <f t="shared" si="129"/>
      </c>
      <c r="L214" s="149">
        <f t="shared" si="129"/>
      </c>
      <c r="M214" s="153">
        <f t="shared" si="129"/>
      </c>
    </row>
    <row r="215" spans="2:14" outlineLevel="1" x14ac:dyDescent="0.2">
      <c r="C215" s="156" t="s">
        <v>154</v>
      </c>
      <c r="D215" s="139">
        <v>0.5</v>
      </c>
      <c r="E215" s="72">
        <f t="dataTable" ref="E215:M223" dt2D="1" dtr="1" r1="M190" r2="D11"/>
      </c>
      <c r="F215" s="72"/>
      <c r="G215" s="72"/>
      <c r="H215" s="72"/>
      <c r="I215" s="82"/>
      <c r="J215" s="72"/>
      <c r="K215" s="72"/>
      <c r="L215" s="72"/>
      <c r="M215" s="72"/>
      <c r="N215" s="80"/>
    </row>
    <row r="216" spans="2:14" outlineLevel="1" x14ac:dyDescent="0.2">
      <c r="C216" s="157"/>
      <c r="D216" s="140">
        <f>+D215-5%</f>
      </c>
      <c r="E216" s="72"/>
      <c r="F216" s="72"/>
      <c r="G216" s="72"/>
      <c r="H216" s="72"/>
      <c r="I216" s="82"/>
      <c r="J216" s="72"/>
      <c r="K216" s="72"/>
      <c r="L216" s="72"/>
      <c r="M216" s="72"/>
      <c r="N216" s="80"/>
    </row>
    <row r="217" spans="2:14" outlineLevel="1" x14ac:dyDescent="0.2">
      <c r="C217" s="157"/>
      <c r="D217" s="140">
        <f t="shared" ref="D217:D223" si="130">+D216-5%</f>
      </c>
      <c r="E217" s="72"/>
      <c r="F217" s="72"/>
      <c r="G217" s="72"/>
      <c r="H217" s="72"/>
      <c r="I217" s="82"/>
      <c r="J217" s="72"/>
      <c r="K217" s="72"/>
      <c r="L217" s="72"/>
      <c r="M217" s="72"/>
      <c r="N217" s="80"/>
    </row>
    <row r="218" spans="2:14" outlineLevel="1" x14ac:dyDescent="0.2">
      <c r="C218" s="157"/>
      <c r="D218" s="140">
        <f t="shared" si="130"/>
      </c>
      <c r="E218" s="72"/>
      <c r="F218" s="72"/>
      <c r="G218" s="72"/>
      <c r="H218" s="72"/>
      <c r="I218" s="82"/>
      <c r="J218" s="72"/>
      <c r="K218" s="72"/>
      <c r="L218" s="72"/>
      <c r="M218" s="72"/>
      <c r="N218" s="80"/>
    </row>
    <row r="219" spans="2:14" outlineLevel="1" x14ac:dyDescent="0.2">
      <c r="C219" s="157"/>
      <c r="D219" s="142">
        <f t="shared" si="130"/>
      </c>
      <c r="E219" s="82"/>
      <c r="F219" s="82"/>
      <c r="G219" s="82"/>
      <c r="H219" s="82"/>
      <c r="I219" s="82"/>
      <c r="J219" s="82"/>
      <c r="K219" s="82"/>
      <c r="L219" s="82"/>
      <c r="M219" s="82"/>
      <c r="N219" s="81"/>
    </row>
    <row r="220" spans="2:14" outlineLevel="1" x14ac:dyDescent="0.2">
      <c r="C220" s="157"/>
      <c r="D220" s="140">
        <f t="shared" si="130"/>
      </c>
      <c r="E220" s="72"/>
      <c r="F220" s="72"/>
      <c r="G220" s="72"/>
      <c r="H220" s="72"/>
      <c r="I220" s="82"/>
      <c r="J220" s="72"/>
      <c r="K220" s="72"/>
      <c r="L220" s="72"/>
      <c r="M220" s="72"/>
      <c r="N220" s="80"/>
    </row>
    <row r="221" spans="2:14" outlineLevel="1" x14ac:dyDescent="0.2">
      <c r="C221" s="157"/>
      <c r="D221" s="140">
        <f t="shared" si="130"/>
      </c>
      <c r="E221" s="72"/>
      <c r="F221" s="72"/>
      <c r="G221" s="72"/>
      <c r="H221" s="72"/>
      <c r="I221" s="82"/>
      <c r="J221" s="72"/>
      <c r="K221" s="72"/>
      <c r="L221" s="72"/>
      <c r="M221" s="72"/>
      <c r="N221" s="80"/>
    </row>
    <row r="222" spans="2:14" outlineLevel="1" x14ac:dyDescent="0.2">
      <c r="C222" s="157"/>
      <c r="D222" s="140">
        <f t="shared" si="130"/>
      </c>
      <c r="E222" s="72"/>
      <c r="F222" s="72"/>
      <c r="G222" s="72"/>
      <c r="H222" s="72"/>
      <c r="I222" s="82"/>
      <c r="J222" s="72"/>
      <c r="K222" s="72"/>
      <c r="L222" s="72"/>
      <c r="M222" s="72"/>
      <c r="N222" s="80"/>
    </row>
    <row r="223" spans="2:14" outlineLevel="1" x14ac:dyDescent="0.2">
      <c r="C223" s="158"/>
      <c r="D223" s="141">
        <f t="shared" si="130"/>
      </c>
      <c r="E223" s="72"/>
      <c r="F223" s="72"/>
      <c r="G223" s="72"/>
      <c r="H223" s="72"/>
      <c r="I223" s="82"/>
      <c r="J223" s="72"/>
      <c r="K223" s="72"/>
      <c r="L223" s="72"/>
      <c r="M223" s="72"/>
      <c r="N223" s="80"/>
    </row>
    <row r="225" spans="2:14" x14ac:dyDescent="0.2">
      <c r="B225" s="31"/>
      <c r="C225" s="32"/>
      <c r="D225" s="33"/>
      <c r="E225" s="20" t="str">
        <f>$E$71</f>
      </c>
      <c r="F225" s="20"/>
      <c r="G225" s="21"/>
      <c r="H225" s="21"/>
      <c r="I225" s="22" t="str">
        <f>$I$71</f>
      </c>
      <c r="J225" s="23"/>
      <c r="K225" s="21"/>
      <c r="L225" s="21"/>
      <c r="M225" s="21"/>
    </row>
    <row r="226" spans="2:14" x14ac:dyDescent="0.2">
      <c r="B226" s="5" t="s">
        <v>63</v>
      </c>
      <c r="C226" s="6"/>
      <c r="D226" s="50" t="str">
        <f>+$D$42</f>
      </c>
      <c r="E226" s="1">
        <f>$E$72</f>
      </c>
      <c r="F226" s="1">
        <f>$F$72</f>
      </c>
      <c r="G226" s="1">
        <f>$G$72</f>
      </c>
      <c r="H226" s="2">
        <f>$H$72</f>
      </c>
      <c r="I226" s="89">
        <f>$I$72</f>
      </c>
      <c r="J226" s="1">
        <f>$J$72</f>
      </c>
      <c r="K226" s="1">
        <f>$K$72</f>
      </c>
      <c r="L226" s="1">
        <f>$L$72</f>
      </c>
      <c r="M226" s="1">
        <f>$M$72</f>
      </c>
    </row>
    <row r="227" spans="2:14" outlineLevel="1" x14ac:dyDescent="0.2"/>
    <row r="228" spans="2:14" outlineLevel="1" x14ac:dyDescent="0.2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2">
      <c r="C229" s="84" t="s">
        <v>64</v>
      </c>
      <c r="D229" s="65" t="s">
        <v>73</v>
      </c>
      <c r="E229" s="65"/>
      <c r="I229" s="12">
        <f>(I124-LTM_EBITDA)*Purchase_Multiple</f>
      </c>
      <c r="J229" s="12">
        <f>(J124-LTM_EBITDA)*Purchase_Multiple</f>
      </c>
      <c r="K229" s="12">
        <f>(K124-LTM_EBITDA)*Purchase_Multiple</f>
      </c>
      <c r="L229" s="12">
        <f>(L124-LTM_EBITDA)*Purchase_Multiple</f>
      </c>
      <c r="M229" s="12">
        <f>(M124-LTM_EBITDA)*Purchase_Multiple</f>
      </c>
    </row>
    <row r="230" spans="2:14" outlineLevel="1" x14ac:dyDescent="0.2">
      <c r="C230" s="84" t="s">
        <v>65</v>
      </c>
      <c r="D230" s="65" t="s">
        <v>73</v>
      </c>
      <c r="E230" s="65"/>
      <c r="I230" s="12">
        <f>(I190-Purchase_Multiple)*I124</f>
      </c>
      <c r="J230" s="12">
        <f>(J190-Purchase_Multiple)*J124</f>
      </c>
      <c r="K230" s="12">
        <f>(K190-Purchase_Multiple)*K124</f>
      </c>
      <c r="L230" s="12">
        <f>(L190-Purchase_Multiple)*L124</f>
      </c>
      <c r="M230" s="12">
        <f>(M190-Purchase_Multiple)*M124</f>
      </c>
      <c r="N230" s="12"/>
    </row>
    <row r="231" spans="2:14" outlineLevel="1" x14ac:dyDescent="0.2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</c>
      <c r="J231" s="12">
        <f t="shared" ref="J231:M231" si="131">+J232-SUM(J229:J230)</f>
      </c>
      <c r="K231" s="12">
        <f t="shared" si="131"/>
      </c>
      <c r="L231" s="12">
        <f t="shared" si="131"/>
      </c>
      <c r="M231" s="12">
        <f t="shared" si="131"/>
      </c>
    </row>
    <row r="232" spans="2:14" outlineLevel="1" x14ac:dyDescent="0.2">
      <c r="C232" s="4" t="s">
        <v>67</v>
      </c>
      <c r="D232" s="65" t="s">
        <v>73</v>
      </c>
      <c r="E232" s="65"/>
      <c r="I232" s="46">
        <f>+I193-Sponsor_Equity</f>
      </c>
      <c r="J232" s="46">
        <f>+J193-Sponsor_Equity</f>
      </c>
      <c r="K232" s="46">
        <f>+K193-Sponsor_Equity</f>
      </c>
      <c r="L232" s="46">
        <f>+L193-Sponsor_Equity</f>
      </c>
      <c r="M232" s="46">
        <f>+M193-Sponsor_Equity</f>
      </c>
    </row>
    <row r="233" spans="2:14" outlineLevel="1" x14ac:dyDescent="0.2"/>
    <row r="234" spans="2:14" outlineLevel="1" x14ac:dyDescent="0.2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2">
      <c r="C235" s="84" t="str">
        <f>+$C$229</f>
      </c>
      <c r="D235" s="67" t="s">
        <v>37</v>
      </c>
      <c r="E235" s="65"/>
      <c r="I235" s="86">
        <f>+I229/I$232</f>
      </c>
      <c r="J235" s="86">
        <f t="shared" ref="J235:M235" si="132">+J229/J$232</f>
      </c>
      <c r="K235" s="86">
        <f t="shared" si="132"/>
      </c>
      <c r="L235" s="86">
        <f t="shared" si="132"/>
      </c>
      <c r="M235" s="86">
        <f t="shared" si="132"/>
      </c>
    </row>
    <row r="236" spans="2:14" outlineLevel="1" x14ac:dyDescent="0.2">
      <c r="C236" s="84" t="str">
        <f>+$C$230</f>
      </c>
      <c r="D236" s="67" t="s">
        <v>37</v>
      </c>
      <c r="E236" s="65"/>
      <c r="I236" s="86">
        <f t="shared" ref="I236:M237" si="133">+I230/I$232</f>
      </c>
      <c r="J236" s="86">
        <f t="shared" si="133"/>
      </c>
      <c r="K236" s="86">
        <f t="shared" si="133"/>
      </c>
      <c r="L236" s="86">
        <f t="shared" si="133"/>
      </c>
      <c r="M236" s="86">
        <f t="shared" si="133"/>
      </c>
    </row>
    <row r="237" spans="2:14" outlineLevel="1" x14ac:dyDescent="0.2">
      <c r="C237" s="85" t="str">
        <f>+$C$231</f>
      </c>
      <c r="D237" s="143" t="s">
        <v>37</v>
      </c>
      <c r="E237" s="66"/>
      <c r="F237" s="28"/>
      <c r="G237" s="28"/>
      <c r="H237" s="28"/>
      <c r="I237" s="87">
        <f t="shared" si="133"/>
      </c>
      <c r="J237" s="87">
        <f t="shared" si="133"/>
      </c>
      <c r="K237" s="87">
        <f t="shared" si="133"/>
      </c>
      <c r="L237" s="87">
        <f t="shared" si="133"/>
      </c>
      <c r="M237" s="87">
        <f t="shared" si="133"/>
      </c>
    </row>
    <row r="238" spans="2:14" outlineLevel="1" x14ac:dyDescent="0.2">
      <c r="C238" s="4" t="str">
        <f>+$C$232</f>
      </c>
      <c r="D238" s="67" t="s">
        <v>37</v>
      </c>
      <c r="E238" s="65"/>
      <c r="I238" s="88">
        <f>SUM(I235:I237)</f>
      </c>
      <c r="J238" s="88">
        <f t="shared" ref="J238:M238" si="134">SUM(J235:J237)</f>
      </c>
      <c r="K238" s="88">
        <f t="shared" si="134"/>
      </c>
      <c r="L238" s="88">
        <f t="shared" si="134"/>
      </c>
      <c r="M238" s="88">
        <f t="shared" si="134"/>
      </c>
    </row>
    <row r="239" spans="2:14" outlineLevel="1" x14ac:dyDescent="0.2"/>
    <row r="240" spans="2:14" outlineLevel="1" x14ac:dyDescent="0.2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2">
      <c r="C241" s="103" t="s">
        <v>150</v>
      </c>
      <c r="D241" s="65" t="s">
        <v>73</v>
      </c>
      <c r="E241" s="65"/>
      <c r="I241" s="12">
        <f>(I50-$H50)*$H53/Units</f>
      </c>
      <c r="J241" s="12">
        <f>(J50-$H50)*$H53/Units</f>
      </c>
      <c r="K241" s="12">
        <f>(K50-$H50)*$H53/Units</f>
      </c>
      <c r="L241" s="12">
        <f>(L50-$H50)*$H53/Units</f>
      </c>
      <c r="M241" s="12">
        <f>(M50-$H50)*$H53/Units</f>
      </c>
    </row>
    <row r="242" spans="3:14" outlineLevel="1" x14ac:dyDescent="0.2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</c>
      <c r="J242" s="12">
        <f>(J53-$H53)*J50/Units</f>
      </c>
      <c r="K242" s="12">
        <f>(K53-$H53)*K50/Units</f>
      </c>
      <c r="L242" s="12">
        <f>(L53-$H53)*L50/Units</f>
      </c>
      <c r="M242" s="12">
        <f>(M53-$H53)*M50/Units</f>
      </c>
    </row>
    <row r="243" spans="3:14" outlineLevel="1" x14ac:dyDescent="0.2">
      <c r="C243" s="4" t="s">
        <v>149</v>
      </c>
      <c r="D243" s="65" t="s">
        <v>73</v>
      </c>
      <c r="E243" s="65"/>
      <c r="I243" s="46">
        <f>SUM(I241:I242)</f>
      </c>
      <c r="J243" s="46">
        <f t="shared" ref="J243:M243" si="135">SUM(J241:J242)</f>
      </c>
      <c r="K243" s="46">
        <f t="shared" si="135"/>
      </c>
      <c r="L243" s="46">
        <f t="shared" si="135"/>
      </c>
      <c r="M243" s="46">
        <f t="shared" si="135"/>
      </c>
    </row>
    <row r="244" spans="3:14" outlineLevel="1" x14ac:dyDescent="0.2">
      <c r="I244" s="12"/>
      <c r="J244" s="12"/>
      <c r="K244" s="12"/>
      <c r="L244" s="12"/>
      <c r="M244" s="12"/>
      <c r="N244" s="12"/>
    </row>
    <row r="245" spans="3:14" outlineLevel="1" x14ac:dyDescent="0.2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2">
      <c r="C246" s="84" t="str">
        <f>+$C$241</f>
      </c>
      <c r="D246" s="67" t="s">
        <v>37</v>
      </c>
      <c r="E246" s="65"/>
      <c r="I246" s="86">
        <f>+I241/I$243</f>
      </c>
      <c r="J246" s="86">
        <f t="shared" ref="J246:M246" si="136">+J241/J$243</f>
      </c>
      <c r="K246" s="86">
        <f t="shared" si="136"/>
      </c>
      <c r="L246" s="86">
        <f t="shared" si="136"/>
      </c>
      <c r="M246" s="86">
        <f t="shared" si="136"/>
      </c>
    </row>
    <row r="247" spans="3:14" outlineLevel="1" x14ac:dyDescent="0.2">
      <c r="C247" s="85" t="str">
        <f>+$C$242</f>
      </c>
      <c r="D247" s="143" t="s">
        <v>37</v>
      </c>
      <c r="E247" s="66"/>
      <c r="F247" s="28"/>
      <c r="G247" s="28"/>
      <c r="H247" s="28"/>
      <c r="I247" s="87">
        <f t="shared" ref="I247:M247" si="137">+I242/I$243</f>
      </c>
      <c r="J247" s="87">
        <f t="shared" si="137"/>
      </c>
      <c r="K247" s="87">
        <f t="shared" si="137"/>
      </c>
      <c r="L247" s="87">
        <f t="shared" si="137"/>
      </c>
      <c r="M247" s="87">
        <f t="shared" si="137"/>
      </c>
    </row>
    <row r="248" spans="3:14" outlineLevel="1" x14ac:dyDescent="0.2">
      <c r="C248" s="4" t="str">
        <f>+$C$243</f>
      </c>
      <c r="D248" s="67" t="s">
        <v>37</v>
      </c>
      <c r="E248" s="65"/>
      <c r="I248" s="88">
        <f>SUM(I246:I247)</f>
      </c>
      <c r="J248" s="88">
        <f t="shared" ref="J248:M248" si="138">SUM(J246:J247)</f>
      </c>
      <c r="K248" s="88">
        <f t="shared" si="138"/>
      </c>
      <c r="L248" s="88">
        <f t="shared" si="138"/>
      </c>
      <c r="M248" s="88">
        <f t="shared" si="138"/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