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0"/>
  <workbookPr filterPrivacy="1" codeName="ThisWorkbook" defaultThemeVersion="124226"/>
  <bookViews>
    <workbookView xWindow="0" yWindow="760" windowWidth="30240" windowHeight="18880" activeTab="4" xr2:uid="{00000000-000D-0000-FFFF-FFFF00000000}"/>
  </bookViews>
  <sheets>
    <sheet name="S&amp;U" sheetId="33" r:id="rId1"/>
    <sheet name="Budget" sheetId="11" r:id="rId2"/>
    <sheet name="Draws" sheetId="12" r:id="rId3"/>
    <sheet name="Lease Up" sheetId="13" r:id="rId4"/>
    <sheet name="Waterfall" sheetId="36" r:id="rId5"/>
    <sheet name="Unit Mix" sheetId="4" r:id="rId6"/>
    <sheet name="Forward Rate" sheetId="14" r:id="rId7"/>
    <sheet name="Rent Comps" sheetId="10" r:id="rId8"/>
    <sheet name="DSCR" sheetId="32" state="hidden" r:id="rId9"/>
    <sheet name="Property" sheetId="34" r:id="rId10"/>
    <sheet name="Mortgage-50% LTC" sheetId="7" state="hidden" r:id="rId11"/>
    <sheet name="Cap Sens-50% LTC" sheetId="8" state="hidden" r:id="rId12"/>
    <sheet name="Site Inspection" sheetId="5" state="hidden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_" localSheetId="4" hidden="1">'[1]1999 BUDGET'!#REF!</definedName>
    <definedName name="_" hidden="1">'[2]1999 BUDGET'!#REF!</definedName>
    <definedName name="__a1" localSheetId="4" hidden="1">{"Assump",#N/A,TRUE,"Proforma";"first",#N/A,TRUE,"Proforma";"second",#N/A,TRUE,"Proforma";"lease1",#N/A,TRUE,"Proforma";"lease2",#N/A,TRUE,"Proforma"}</definedName>
    <definedName name="__a1" hidden="1">{"Assump",#N/A,TRUE,"Proforma";"first",#N/A,TRUE,"Proforma";"second",#N/A,TRUE,"Proforma";"lease1",#N/A,TRUE,"Proforma";"lease2",#N/A,TRUE,"Proforma"}</definedName>
    <definedName name="__FDS_HYPERLINK_TOGGLE_STATE__" hidden="1">"ON"</definedName>
    <definedName name="_a1" localSheetId="4" hidden="1">{"Assump",#N/A,TRUE,"Proforma";"first",#N/A,TRUE,"Proforma";"second",#N/A,TRUE,"Proforma";"lease1",#N/A,TRUE,"Proforma";"lease2",#N/A,TRUE,"Proforma"}</definedName>
    <definedName name="_a1" hidden="1">{"Assump",#N/A,TRUE,"Proforma";"first",#N/A,TRUE,"Proforma";"second",#N/A,TRUE,"Proforma";"lease1",#N/A,TRUE,"Proforma";"lease2",#N/A,TRUE,"Proforma"}</definedName>
    <definedName name="_COO2" localSheetId="4" hidden="1">{#N/A,#N/A,FALSE,"Matrix";#N/A,#N/A,FALSE,"Cash Flow";#N/A,#N/A,FALSE,"10 Year Cost Analysis"}</definedName>
    <definedName name="_COO2" hidden="1">{#N/A,#N/A,FALSE,"Matrix";#N/A,#N/A,FALSE,"Cash Flow";#N/A,#N/A,FALSE,"10 Year Cost Analysis"}</definedName>
    <definedName name="_dfadfasd" localSheetId="4" hidden="1">{"cap_structure",#N/A,FALSE,"Graph-Mkt Cap";"price",#N/A,FALSE,"Graph-Price";"ebit",#N/A,FALSE,"Graph-EBITDA";"ebitda",#N/A,FALSE,"Graph-EBITDA"}</definedName>
    <definedName name="_dfadfasd" hidden="1">{"cap_structure",#N/A,FALSE,"Graph-Mkt Cap";"price",#N/A,FALSE,"Graph-Price";"ebit",#N/A,FALSE,"Graph-EBITDA";"ebitda",#N/A,FALSE,"Graph-EBITDA"}</definedName>
    <definedName name="_Fill" localSheetId="4" hidden="1">#REF!</definedName>
    <definedName name="_Fill" hidden="1">#REF!</definedName>
    <definedName name="_Key1" localSheetId="4" hidden="1">#REF!</definedName>
    <definedName name="_Key1" hidden="1">#REF!</definedName>
    <definedName name="_Key2" localSheetId="4" hidden="1">#REF!</definedName>
    <definedName name="_Key2" hidden="1">#REF!</definedName>
    <definedName name="_Order1" hidden="1">255</definedName>
    <definedName name="_Order2" hidden="1">255</definedName>
    <definedName name="_Sort" localSheetId="4" hidden="1">#REF!</definedName>
    <definedName name="_Sort" hidden="1">#REF!</definedName>
    <definedName name="_Table2_In1" localSheetId="4" hidden="1">#REF!</definedName>
    <definedName name="_Table2_In1" hidden="1">#REF!</definedName>
    <definedName name="_Table2_In2" localSheetId="4" hidden="1">#REF!</definedName>
    <definedName name="_Table2_In2" hidden="1">#REF!</definedName>
    <definedName name="_Table2_Out" localSheetId="4" hidden="1">#REF!</definedName>
    <definedName name="_Table2_Out" hidden="1">#REF!</definedName>
    <definedName name="_Table3_In2" localSheetId="4" hidden="1">#REF!</definedName>
    <definedName name="_Table3_In2" hidden="1">#REF!</definedName>
    <definedName name="a1a1" localSheetId="4" hidden="1">{"Assump",#N/A,TRUE,"Proforma";"first",#N/A,TRUE,"Proforma";"second",#N/A,TRUE,"Proforma";"lease1",#N/A,TRUE,"Proforma";"lease2",#N/A,TRUE,"Proforma"}</definedName>
    <definedName name="a1a1" hidden="1">{"Assump",#N/A,TRUE,"Proforma";"first",#N/A,TRUE,"Proforma";"second",#N/A,TRUE,"Proforma";"lease1",#N/A,TRUE,"Proforma";"lease2",#N/A,TRUE,"Proforma"}</definedName>
    <definedName name="aa" localSheetId="4" hidden="1">{"AnnualRentRoll",#N/A,FALSE,"RentRoll"}</definedName>
    <definedName name="aa" hidden="1">{"AnnualRentRoll",#N/A,FALSE,"RentRoll"}</definedName>
    <definedName name="aaa" localSheetId="4" hidden="1">{"AnnualRentRoll",#N/A,FALSE,"RentRoll"}</definedName>
    <definedName name="aaa" hidden="1">{"AnnualRentRoll",#N/A,FALSE,"RentRoll"}</definedName>
    <definedName name="aaaaa" localSheetId="4" hidden="1">{"Assump",#N/A,TRUE,"Proforma";"first",#N/A,TRUE,"Proforma";"second",#N/A,TRUE,"Proforma";"lease1",#N/A,TRUE,"Proforma";"lease2",#N/A,TRUE,"Proforma"}</definedName>
    <definedName name="aaaaa" hidden="1">{"Assump",#N/A,TRUE,"Proforma";"first",#N/A,TRUE,"Proforma";"second",#N/A,TRUE,"Proforma";"lease1",#N/A,TRUE,"Proforma";"lease2",#N/A,TRUE,"Proforma"}</definedName>
    <definedName name="aaaaaaa" localSheetId="4" hidden="1">{"Outflow 1",#N/A,FALSE,"Outflows-Inflows";"Outflow 2",#N/A,FALSE,"Outflows-Inflows";"Inflow 1",#N/A,FALSE,"Outflows-Inflows";"Inflow 2",#N/A,FALSE,"Outflows-Inflows"}</definedName>
    <definedName name="aaaaaaa" hidden="1">{"Outflow 1",#N/A,FALSE,"Outflows-Inflows";"Outflow 2",#N/A,FALSE,"Outflows-Inflows";"Inflow 1",#N/A,FALSE,"Outflows-Inflows";"Inflow 2",#N/A,FALSE,"Outflows-Inflows"}</definedName>
    <definedName name="AAAAAAAA" localSheetId="4" hidden="1">{"Outflow 1",#N/A,FALSE,"Outflows-Inflows";"Outflow 2",#N/A,FALSE,"Outflows-Inflows";"Inflow 1",#N/A,FALSE,"Outflows-Inflows";"Inflow 2",#N/A,FALSE,"Outflows-Inflows"}</definedName>
    <definedName name="AAAAAAAA" hidden="1">{"Outflow 1",#N/A,FALSE,"Outflows-Inflows";"Outflow 2",#N/A,FALSE,"Outflows-Inflows";"Inflow 1",#N/A,FALSE,"Outflows-Inflows";"Inflow 2",#N/A,FALSE,"Outflows-Inflows"}</definedName>
    <definedName name="aasdfa" localSheetId="4" hidden="1">{"rtn",#N/A,FALSE,"RTN";"tables",#N/A,FALSE,"RTN";"cf",#N/A,FALSE,"CF";"stats",#N/A,FALSE,"Stats";"prop",#N/A,FALSE,"Prop"}</definedName>
    <definedName name="aasdfa" hidden="1">{"rtn",#N/A,FALSE,"RTN";"tables",#N/A,FALSE,"RTN";"cf",#N/A,FALSE,"CF";"stats",#N/A,FALSE,"Stats";"prop",#N/A,FALSE,"Prop"}</definedName>
    <definedName name="ACQPRICE" localSheetId="4">[3]Summary!$B$14</definedName>
    <definedName name="ACQPRICE">[4]Summary!$B$20</definedName>
    <definedName name="ad" localSheetId="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d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dfa" localSheetId="4" hidden="1">{"cap_structure",#N/A,FALSE,"Graph-Mkt Cap";"price",#N/A,FALSE,"Graph-Price";"ebit",#N/A,FALSE,"Graph-EBITDA";"ebitda",#N/A,FALSE,"Graph-EBITDA"}</definedName>
    <definedName name="adfa" hidden="1">{"cap_structure",#N/A,FALSE,"Graph-Mkt Cap";"price",#N/A,FALSE,"Graph-Price";"ebit",#N/A,FALSE,"Graph-EBITDA";"ebitda",#N/A,FALSE,"Graph-EBITDA"}</definedName>
    <definedName name="adfgga" localSheetId="4" hidden="1">{"FCB_ALL",#N/A,FALSE,"FCB"}</definedName>
    <definedName name="adfgga" hidden="1">{"FCB_ALL",#N/A,FALSE,"FCB"}</definedName>
    <definedName name="adfghsdfgas" localSheetId="4" hidden="1">{"inputs raw data",#N/A,TRUE,"INPUT"}</definedName>
    <definedName name="adfghsdfgas" hidden="1">{"inputs raw data",#N/A,TRUE,"INPUT"}</definedName>
    <definedName name="ADFWAE" localSheetId="4" hidden="1">{"summary1",#N/A,TRUE,"Comps";"summary2",#N/A,TRUE,"Comps";"summary3",#N/A,TRUE,"Comps"}</definedName>
    <definedName name="ADFWAE" hidden="1">{"summary1",#N/A,TRUE,"Comps";"summary2",#N/A,TRUE,"Comps";"summary3",#N/A,TRUE,"Comps"}</definedName>
    <definedName name="adgad" localSheetId="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s" localSheetId="4" hidden="1">{"inputs raw data",#N/A,TRUE,"INPUT"}</definedName>
    <definedName name="ads" hidden="1">{"inputs raw data",#N/A,TRUE,"INPUT"}</definedName>
    <definedName name="ADSFA" localSheetId="4" hidden="1">{"inputs raw data",#N/A,TRUE,"INPUT"}</definedName>
    <definedName name="ADSFA" hidden="1">{"inputs raw data",#N/A,TRUE,"INPUT"}</definedName>
    <definedName name="AEWEW" localSheetId="4" hidden="1">{"inputs raw data",#N/A,TRUE,"INPUT"}</definedName>
    <definedName name="AEWEW" hidden="1">{"inputs raw data",#N/A,TRUE,"INPUT"}</definedName>
    <definedName name="all" localSheetId="4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Taxes";#N/A,#N/A,FALSE,"PERSON0198 - BH";#N/A,#N/A,FALSE,"Comm.Condo PERSON0198"}</definedName>
    <definedName name="all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Taxes";#N/A,#N/A,FALSE,"PERSON0198 - BH";#N/A,#N/A,FALSE,"Comm.Condo PERSON0198"}</definedName>
    <definedName name="AMORT" localSheetId="4">Waterfall!$O$3</definedName>
    <definedName name="arew" localSheetId="4" hidden="1">{"cap_structure",#N/A,FALSE,"Graph-Mkt Cap";"price",#N/A,FALSE,"Graph-Price";"ebit",#N/A,FALSE,"Graph-EBITDA";"ebitda",#N/A,FALSE,"Graph-EBITDA"}</definedName>
    <definedName name="arew" hidden="1">{"cap_structure",#N/A,FALSE,"Graph-Mkt Cap";"price",#N/A,FALSE,"Graph-Price";"ebit",#N/A,FALSE,"Graph-EBITDA";"ebitda",#N/A,FALSE,"Graph-EBITDA"}</definedName>
    <definedName name="arg" localSheetId="4" hidden="1">{"inputs raw data",#N/A,TRUE,"INPUT"}</definedName>
    <definedName name="arg" hidden="1">{"inputs raw data",#N/A,TRUE,"INPUT"}</definedName>
    <definedName name="as" localSheetId="4" hidden="1">{"Outflow 1",#N/A,FALSE,"Outflows-Inflows";"Outflow 2",#N/A,FALSE,"Outflows-Inflows";"Inflow 1",#N/A,FALSE,"Outflows-Inflows";"Inflow 2",#N/A,FALSE,"Outflows-Inflows"}</definedName>
    <definedName name="as" hidden="1">{"Outflow 1",#N/A,FALSE,"Outflows-Inflows";"Outflow 2",#N/A,FALSE,"Outflows-Inflows";"Inflow 1",#N/A,FALSE,"Outflows-Inflows";"Inflow 2",#N/A,FALSE,"Outflows-Inflows"}</definedName>
    <definedName name="asdfas" localSheetId="4" hidden="1">{"print 1.6",#N/A,FALSE,"Sheet1";"print 2.6",#N/A,FALSE,"Sheet1";"print 3.6",#N/A,FALSE,"Sheet1";"print 4.6",#N/A,FALSE,"Sheet1";"print 5.6",#N/A,FALSE,"Sheet1";"print 6.6",#N/A,FALSE,"Sheet1"}</definedName>
    <definedName name="asdfas" hidden="1">{"print 1.6",#N/A,FALSE,"Sheet1";"print 2.6",#N/A,FALSE,"Sheet1";"print 3.6",#N/A,FALSE,"Sheet1";"print 4.6",#N/A,FALSE,"Sheet1";"print 5.6",#N/A,FALSE,"Sheet1";"print 6.6",#N/A,FALSE,"Sheet1"}</definedName>
    <definedName name="asdfasaa" localSheetId="4" hidden="1">{"print 1.6",#N/A,FALSE,"Sheet1";"print 2.6",#N/A,FALSE,"Sheet1";"print 3.6",#N/A,FALSE,"Sheet1";"print 4.6",#N/A,FALSE,"Sheet1";"print 5.6",#N/A,FALSE,"Sheet1";"print 6.6",#N/A,FALSE,"Sheet1"}</definedName>
    <definedName name="asdfasaa" hidden="1">{"print 1.6",#N/A,FALSE,"Sheet1";"print 2.6",#N/A,FALSE,"Sheet1";"print 3.6",#N/A,FALSE,"Sheet1";"print 4.6",#N/A,FALSE,"Sheet1";"print 5.6",#N/A,FALSE,"Sheet1";"print 6.6",#N/A,FALSE,"Sheet1"}</definedName>
    <definedName name="asdfasd" localSheetId="4" hidden="1">{"cap_structure",#N/A,FALSE,"Graph-Mkt Cap";"price",#N/A,FALSE,"Graph-Price";"ebit",#N/A,FALSE,"Graph-EBITDA";"ebitda",#N/A,FALSE,"Graph-EBITDA"}</definedName>
    <definedName name="asdfasd" hidden="1">{"cap_structure",#N/A,FALSE,"Graph-Mkt Cap";"price",#N/A,FALSE,"Graph-Price";"ebit",#N/A,FALSE,"Graph-EBITDA";"ebitda",#N/A,FALSE,"Graph-EBITDA"}</definedName>
    <definedName name="asdfasdf" localSheetId="4" hidden="1">{"rtn",#N/A,FALSE,"RTN";"tables",#N/A,FALSE,"RTN";"cf",#N/A,FALSE,"CF";"stats",#N/A,FALSE,"Stats";"prop",#N/A,FALSE,"Prop"}</definedName>
    <definedName name="asdfasdf" hidden="1">{"rtn",#N/A,FALSE,"RTN";"tables",#N/A,FALSE,"RTN";"cf",#N/A,FALSE,"CF";"stats",#N/A,FALSE,"Stats";"prop",#N/A,FALSE,"Prop"}</definedName>
    <definedName name="asdfasdfasd" localSheetId="4" hidden="1">{"summary1",#N/A,TRUE,"Comps";"summary2",#N/A,TRUE,"Comps";"summary3",#N/A,TRUE,"Comps"}</definedName>
    <definedName name="asdfasdfasd" hidden="1">{"summary1",#N/A,TRUE,"Comps";"summary2",#N/A,TRUE,"Comps";"summary3",#N/A,TRUE,"Comps"}</definedName>
    <definedName name="asdfg" localSheetId="4" hidden="1">{"rtn",#N/A,FALSE,"RTN";"tables",#N/A,FALSE,"RTN";"cf",#N/A,FALSE,"CF";"stats",#N/A,FALSE,"Stats";"prop",#N/A,FALSE,"Prop"}</definedName>
    <definedName name="asdfg" hidden="1">{"rtn",#N/A,FALSE,"RTN";"tables",#N/A,FALSE,"RTN";"cf",#N/A,FALSE,"CF";"stats",#N/A,FALSE,"Stats";"prop",#N/A,FALSE,"Prop"}</definedName>
    <definedName name="asfdgsdfg" localSheetId="4" hidden="1">{"inputs raw data",#N/A,TRUE,"INPUT"}</definedName>
    <definedName name="asfdgsdfg" hidden="1">{"inputs raw data",#N/A,TRUE,"INPUT"}</definedName>
    <definedName name="ass" localSheetId="4" hidden="1">{"print 1.6",#N/A,FALSE,"Sheet1";"print 2.6",#N/A,FALSE,"Sheet1";"print 3.6",#N/A,FALSE,"Sheet1";"print 4.6",#N/A,FALSE,"Sheet1";"print 5.6",#N/A,FALSE,"Sheet1";"print 6.6",#N/A,FALSE,"Sheet1"}</definedName>
    <definedName name="ass" hidden="1">{"print 1.6",#N/A,FALSE,"Sheet1";"print 2.6",#N/A,FALSE,"Sheet1";"print 3.6",#N/A,FALSE,"Sheet1";"print 4.6",#N/A,FALSE,"Sheet1";"print 5.6",#N/A,FALSE,"Sheet1";"print 6.6",#N/A,FALSE,"Sheet1"}</definedName>
    <definedName name="asss" localSheetId="4" hidden="1">{"rtn",#N/A,FALSE,"RTN";"tables",#N/A,FALSE,"RTN";"cf",#N/A,FALSE,"CF";"stats",#N/A,FALSE,"Stats";"prop",#N/A,FALSE,"Prop"}</definedName>
    <definedName name="asss" hidden="1">{"rtn",#N/A,FALSE,"RTN";"tables",#N/A,FALSE,"RTN";"cf",#N/A,FALSE,"CF";"stats",#N/A,FALSE,"Stats";"prop",#N/A,FALSE,"Prop"}</definedName>
    <definedName name="b" localSheetId="4" hidden="1">{"Assump",#N/A,TRUE,"Proforma";"first",#N/A,TRUE,"Proforma";"second",#N/A,TRUE,"Proforma";"lease1",#N/A,TRUE,"Proforma";"lease2",#N/A,TRUE,"Proforma"}</definedName>
    <definedName name="b" hidden="1">{"Assump",#N/A,TRUE,"Proforma";"first",#N/A,TRUE,"Proforma";"second",#N/A,TRUE,"Proforma";"lease1",#N/A,TRUE,"Proforma";"lease2",#N/A,TRUE,"Proforma"}</definedName>
    <definedName name="BadLink" localSheetId="4" hidden="1">#REF!</definedName>
    <definedName name="BadLink" hidden="1">#REF!</definedName>
    <definedName name="bb" localSheetId="4" hidden="1">{#N/A,#N/A,FALSE,"ExitStratigy"}</definedName>
    <definedName name="bb" hidden="1">{#N/A,#N/A,FALSE,"ExitStratigy"}</definedName>
    <definedName name="bbb" localSheetId="4" hidden="1">{#N/A,#N/A,FALSE,"ExitStratigy"}</definedName>
    <definedName name="bbb" hidden="1">{#N/A,#N/A,FALSE,"ExitStratigy"}</definedName>
    <definedName name="c.LTMYear" localSheetId="4" hidden="1">#REF!</definedName>
    <definedName name="c.LTMYear" hidden="1">#REF!</definedName>
    <definedName name="cc" localSheetId="4" hidden="1">{#N/A,#N/A,FALSE,"LoanAssumptions"}</definedName>
    <definedName name="cc" hidden="1">{#N/A,#N/A,FALSE,"LoanAssumptions"}</definedName>
    <definedName name="ccc" localSheetId="4" hidden="1">{#N/A,#N/A,FALSE,"LoanAssumptions"}</definedName>
    <definedName name="ccc" hidden="1">{#N/A,#N/A,FALSE,"LoanAssumptions"}</definedName>
    <definedName name="COO" localSheetId="4" hidden="1">{#N/A,#N/A,FALSE,"Matrix";#N/A,#N/A,FALSE,"Cash Flow";#N/A,#N/A,FALSE,"10 Year Cost Analysis"}</definedName>
    <definedName name="COO" hidden="1">{#N/A,#N/A,FALSE,"Matrix";#N/A,#N/A,FALSE,"Cash Flow";#N/A,#N/A,FALSE,"10 Year Cost Analysis"}</definedName>
    <definedName name="CreditStats" localSheetId="4" hidden="1">#REF!</definedName>
    <definedName name="CreditStats" hidden="1">#REF!</definedName>
    <definedName name="DAFAD" localSheetId="4" hidden="1">{"cap_structure",#N/A,FALSE,"Graph-Mkt Cap";"price",#N/A,FALSE,"Graph-Price";"ebit",#N/A,FALSE,"Graph-EBITDA";"ebitda",#N/A,FALSE,"Graph-EBITDA"}</definedName>
    <definedName name="DAFAD" hidden="1">{"cap_structure",#N/A,FALSE,"Graph-Mkt Cap";"price",#N/A,FALSE,"Graph-Price";"ebit",#N/A,FALSE,"Graph-EBITDA";"ebitda",#N/A,FALSE,"Graph-EBITDA"}</definedName>
    <definedName name="dafgdfg" localSheetId="4" hidden="1">{"inputs raw data",#N/A,TRUE,"INPUT"}</definedName>
    <definedName name="dafgdfg" hidden="1">{"inputs raw data",#N/A,TRUE,"INPUT"}</definedName>
    <definedName name="data" localSheetId="4" hidden="1">{"data",#N/A,FALSE,"INPUT"}</definedName>
    <definedName name="data" hidden="1">{"data",#N/A,FALSE,"INPUT"}</definedName>
    <definedName name="dd" localSheetId="4" hidden="1">{"MonthlyRentRoll",#N/A,FALSE,"RentRoll"}</definedName>
    <definedName name="dd" hidden="1">{"MonthlyRentRoll",#N/A,FALSE,"RentRoll"}</definedName>
    <definedName name="ddd" localSheetId="4" hidden="1">{"MonthlyRentRoll",#N/A,FALSE,"RentRoll"}</definedName>
    <definedName name="ddd" hidden="1">{"MonthlyRentRoll",#N/A,FALSE,"RentRoll"}</definedName>
    <definedName name="dfahgadf" localSheetId="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dfahgad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dfd" localSheetId="4" hidden="1">{"FCB_ALL",#N/A,FALSE,"FCB";"Company1110_ALL",#N/A,FALSE,"Company1110"}</definedName>
    <definedName name="dfd" hidden="1">{"FCB_ALL",#N/A,FALSE,"FCB";"Company1110_ALL",#N/A,FALSE,"Company1110"}</definedName>
    <definedName name="dfdas" localSheetId="4" hidden="1">{"FCB_ALL",#N/A,FALSE,"FCB";"Company1110_ALL",#N/A,FALSE,"Company1110"}</definedName>
    <definedName name="dfdas" hidden="1">{"FCB_ALL",#N/A,FALSE,"FCB";"Company1110_ALL",#N/A,FALSE,"Company1110"}</definedName>
    <definedName name="dfdfd" localSheetId="4" hidden="1">{"FCB_ALL",#N/A,FALSE,"FCB";"Company1110_ALL",#N/A,FALSE,"Company1110"}</definedName>
    <definedName name="dfdfd" hidden="1">{"FCB_ALL",#N/A,FALSE,"FCB";"Company1110_ALL",#N/A,FALSE,"Company1110"}</definedName>
    <definedName name="dfdfdfd" localSheetId="4" hidden="1">{"FCB_ALL",#N/A,FALSE,"FCB"}</definedName>
    <definedName name="dfdfdfd" hidden="1">{"FCB_ALL",#N/A,FALSE,"FCB"}</definedName>
    <definedName name="dfhdfagdf" localSheetId="4" hidden="1">{"cap_structure",#N/A,FALSE,"Graph-Mkt Cap";"price",#N/A,FALSE,"Graph-Price";"ebit",#N/A,FALSE,"Graph-EBITDA";"ebitda",#N/A,FALSE,"Graph-EBITDA"}</definedName>
    <definedName name="dfhdfagdf" hidden="1">{"cap_structure",#N/A,FALSE,"Graph-Mkt Cap";"price",#N/A,FALSE,"Graph-Price";"ebit",#N/A,FALSE,"Graph-EBITDA";"ebitda",#N/A,FALSE,"Graph-EBITDA"}</definedName>
    <definedName name="DHG" localSheetId="4" hidden="1">{"cap_structure",#N/A,FALSE,"Graph-Mkt Cap";"price",#N/A,FALSE,"Graph-Price";"ebit",#N/A,FALSE,"Graph-EBITDA";"ebitda",#N/A,FALSE,"Graph-EBITDA"}</definedName>
    <definedName name="DHG" hidden="1">{"cap_structure",#N/A,FALSE,"Graph-Mkt Cap";"price",#N/A,FALSE,"Graph-Price";"ebit",#N/A,FALSE,"Graph-EBITDA";"ebitda",#N/A,FALSE,"Graph-EBITDA"}</definedName>
    <definedName name="DZ.IndSpec_Left" localSheetId="4" hidden="1">#REF!</definedName>
    <definedName name="DZ.IndSpec_Left" hidden="1">#REF!</definedName>
    <definedName name="DZ.IndSpec_Right" localSheetId="4" hidden="1">#REF!</definedName>
    <definedName name="DZ.IndSpec_Right" hidden="1">#REF!</definedName>
    <definedName name="DZ.LTM" localSheetId="4" hidden="1">#REF!</definedName>
    <definedName name="DZ.LTM" hidden="1">#REF!</definedName>
    <definedName name="DZ.LTMPlus" localSheetId="4" hidden="1">#REF!</definedName>
    <definedName name="DZ.LTMPlus" hidden="1">#REF!</definedName>
    <definedName name="earghdfh" localSheetId="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arghdfh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e" localSheetId="4" hidden="1">{#N/A,#N/A,FALSE,"OperatingAssumptions"}</definedName>
    <definedName name="ee" hidden="1">{#N/A,#N/A,FALSE,"OperatingAssumptions"}</definedName>
    <definedName name="eee" localSheetId="4" hidden="1">{#N/A,#N/A,FALSE,"OperatingAssumptions"}</definedName>
    <definedName name="eee" hidden="1">{#N/A,#N/A,FALSE,"OperatingAssumptions"}</definedName>
    <definedName name="er" localSheetId="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tyui" localSheetId="4" hidden="1">{"FCB_ALL",#N/A,FALSE,"FCB";"Company1110_ALL",#N/A,FALSE,"Company1110"}</definedName>
    <definedName name="ertyui" hidden="1">{"FCB_ALL",#N/A,FALSE,"FCB";"Company1110_ALL",#N/A,FALSE,"Company1110"}</definedName>
    <definedName name="EV__LASTREFTIME__" hidden="1">38433.706724537</definedName>
    <definedName name="ev.Calculation" hidden="1">-4135</definedName>
    <definedName name="ev.Initialized" hidden="1">FALSE</definedName>
    <definedName name="Exchange_Rates" localSheetId="4" hidden="1">#REF!</definedName>
    <definedName name="Exchange_Rates" hidden="1">#REF!</definedName>
    <definedName name="EXITCAP" localSheetId="4">Waterfall!$L$5</definedName>
    <definedName name="ExRate_Yr1" localSheetId="4" hidden="1">#REF!</definedName>
    <definedName name="ExRate_Yr1" hidden="1">#REF!</definedName>
    <definedName name="ExRate_Yr2" localSheetId="4" hidden="1">#REF!</definedName>
    <definedName name="ExRate_Yr2" hidden="1">#REF!</definedName>
    <definedName name="ExRate_Yr3" localSheetId="4" hidden="1">#REF!</definedName>
    <definedName name="ExRate_Yr3" hidden="1">#REF!</definedName>
    <definedName name="ExRate_Yr4" localSheetId="4" hidden="1">#REF!</definedName>
    <definedName name="ExRate_Yr4" hidden="1">#REF!</definedName>
    <definedName name="ExRate_Yr5" localSheetId="4" hidden="1">#REF!</definedName>
    <definedName name="ExRate_Yr5" hidden="1">#REF!</definedName>
    <definedName name="ExRate_Yr6" localSheetId="4" hidden="1">#REF!</definedName>
    <definedName name="ExRate_Yr6" hidden="1">#REF!</definedName>
    <definedName name="ExRate_Yr7" localSheetId="4" hidden="1">#REF!</definedName>
    <definedName name="ExRate_Yr7" hidden="1">#REF!</definedName>
    <definedName name="ExRateLTM_Yr1" localSheetId="4" hidden="1">#REF!</definedName>
    <definedName name="ExRateLTM_Yr1" hidden="1">#REF!</definedName>
    <definedName name="ExRateLTM_Yr2" localSheetId="4" hidden="1">#REF!</definedName>
    <definedName name="ExRateLTM_Yr2" hidden="1">#REF!</definedName>
    <definedName name="ExRateLTM_Yr3" localSheetId="4" hidden="1">#REF!</definedName>
    <definedName name="ExRateLTM_Yr3" hidden="1">#REF!</definedName>
    <definedName name="fadsf" localSheetId="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dgad" localSheetId="4" hidden="1">{"inputs raw data",#N/A,TRUE,"INPUT"}</definedName>
    <definedName name="fdgad" hidden="1">{"inputs raw data",#N/A,TRUE,"INPUT"}</definedName>
    <definedName name="ff" localSheetId="4" hidden="1">{#N/A,#N/A,TRUE,"Summary";"AnnualRentRoll",#N/A,TRUE,"RentRoll";#N/A,#N/A,TRUE,"ExitStratigy";#N/A,#N/A,TRUE,"OperatingAssumptions"}</definedName>
    <definedName name="ff" hidden="1">{#N/A,#N/A,TRUE,"Summary";"AnnualRentRoll",#N/A,TRUE,"RentRoll";#N/A,#N/A,TRUE,"ExitStratigy";#N/A,#N/A,TRUE,"OperatingAssumptions"}</definedName>
    <definedName name="fff" localSheetId="4" hidden="1">{#N/A,#N/A,TRUE,"Summary";"AnnualRentRoll",#N/A,TRUE,"RentRoll";#N/A,#N/A,TRUE,"ExitStratigy";#N/A,#N/A,TRUE,"OperatingAssumptions"}</definedName>
    <definedName name="fff" hidden="1">{#N/A,#N/A,TRUE,"Summary";"AnnualRentRoll",#N/A,TRUE,"RentRoll";#N/A,#N/A,TRUE,"ExitStratigy";#N/A,#N/A,TRUE,"OperatingAssumptions"}</definedName>
    <definedName name="fhg" localSheetId="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localSheetId="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m" localSheetId="4" hidden="1">{"summary1",#N/A,TRUE,"Comps";"summary2",#N/A,TRUE,"Comps";"summary3",#N/A,TRUE,"Comps"}</definedName>
    <definedName name="fm" hidden="1">{"summary1",#N/A,TRUE,"Comps";"summary2",#N/A,TRUE,"Comps";"summary3",#N/A,TRUE,"Comps"}</definedName>
    <definedName name="fuckface" localSheetId="4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fuckface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gfhs" localSheetId="4" hidden="1">{"summary1",#N/A,TRUE,"Comps";"summary2",#N/A,TRUE,"Comps";"summary3",#N/A,TRUE,"Comps"}</definedName>
    <definedName name="gfhs" hidden="1">{"summary1",#N/A,TRUE,"Comps";"summary2",#N/A,TRUE,"Comps";"summary3",#N/A,TRUE,"Comps"}</definedName>
    <definedName name="gg" localSheetId="4" hidden="1">{#N/A,#N/A,FALSE,"PropertyInfo"}</definedName>
    <definedName name="gg" hidden="1">{#N/A,#N/A,FALSE,"PropertyInfo"}</definedName>
    <definedName name="ggg" localSheetId="4" hidden="1">{#N/A,#N/A,FALSE,"PropertyInfo"}</definedName>
    <definedName name="ggg" hidden="1">{#N/A,#N/A,FALSE,"PropertyInfo"}</definedName>
    <definedName name="gh" localSheetId="4" hidden="1">{"FCB_ALL",#N/A,FALSE,"FCB";"Company1110_ALL",#N/A,FALSE,"Company1110"}</definedName>
    <definedName name="gh" hidden="1">{"FCB_ALL",#N/A,FALSE,"FCB";"Company1110_ALL",#N/A,FALSE,"Company1110"}</definedName>
    <definedName name="GKUY" localSheetId="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LA">[3]Summary!$B$3</definedName>
    <definedName name="GOINGINCAP">Waterfall!$L$2</definedName>
    <definedName name="GPCF1">Waterfall!$E$2</definedName>
    <definedName name="GPCF2">Waterfall!$E$3</definedName>
    <definedName name="GPCF3">Waterfall!$E$4</definedName>
    <definedName name="GPCF4">Waterfall!$E$5</definedName>
    <definedName name="GPEQUITY">Waterfall!$C$8</definedName>
    <definedName name="HD" localSheetId="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h" localSheetId="4" hidden="1">{#N/A,#N/A,FALSE,"Summary"}</definedName>
    <definedName name="hh" hidden="1">{#N/A,#N/A,FALSE,"Summary"}</definedName>
    <definedName name="hhh" localSheetId="4" hidden="1">{#N/A,#N/A,FALSE,"Summary"}</definedName>
    <definedName name="hhh" hidden="1">{#N/A,#N/A,FALSE,"Summary"}</definedName>
    <definedName name="hjf" localSheetId="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n._I006" localSheetId="4" hidden="1">#REF!</definedName>
    <definedName name="hn._I006" hidden="1">#REF!</definedName>
    <definedName name="hn._I018" localSheetId="4" hidden="1">#REF!</definedName>
    <definedName name="hn._I018" hidden="1">#REF!</definedName>
    <definedName name="hn._I024" localSheetId="4" hidden="1">#REF!</definedName>
    <definedName name="hn._I024" hidden="1">#REF!</definedName>
    <definedName name="hn._I028" localSheetId="4" hidden="1">#REF!</definedName>
    <definedName name="hn._I028" hidden="1">#REF!</definedName>
    <definedName name="hn._I029" localSheetId="4" hidden="1">#REF!</definedName>
    <definedName name="hn._I029" hidden="1">#REF!</definedName>
    <definedName name="hn._I030" localSheetId="4" hidden="1">#REF!</definedName>
    <definedName name="hn._I030" hidden="1">#REF!</definedName>
    <definedName name="hn._I031" localSheetId="4" hidden="1">#REF!</definedName>
    <definedName name="hn._I031" hidden="1">#REF!</definedName>
    <definedName name="hn._I044" localSheetId="4" hidden="1">#REF!</definedName>
    <definedName name="hn._I044" hidden="1">#REF!</definedName>
    <definedName name="hn._I051" localSheetId="4" hidden="1">#REF!</definedName>
    <definedName name="hn._I051" hidden="1">#REF!</definedName>
    <definedName name="hn._I059" localSheetId="4" hidden="1">#REF!</definedName>
    <definedName name="hn._I059" hidden="1">#REF!</definedName>
    <definedName name="hn._I062" localSheetId="4" hidden="1">#REF!</definedName>
    <definedName name="hn._I062" hidden="1">#REF!</definedName>
    <definedName name="hn._I070" localSheetId="4" hidden="1">#REF!</definedName>
    <definedName name="hn._I070" hidden="1">#REF!</definedName>
    <definedName name="hn._I071" localSheetId="4" hidden="1">#REF!</definedName>
    <definedName name="hn._I071" hidden="1">#REF!</definedName>
    <definedName name="hn._I075" localSheetId="4" hidden="1">#REF!</definedName>
    <definedName name="hn._I075" hidden="1">#REF!</definedName>
    <definedName name="hn._I077" localSheetId="4" hidden="1">#REF!</definedName>
    <definedName name="hn._I077" hidden="1">#REF!</definedName>
    <definedName name="hn._I083" localSheetId="4" hidden="1">#REF!</definedName>
    <definedName name="hn._I083" hidden="1">#REF!</definedName>
    <definedName name="hn._I085" localSheetId="4" hidden="1">#REF!</definedName>
    <definedName name="hn._I085" hidden="1">#REF!</definedName>
    <definedName name="hn._P001" localSheetId="4" hidden="1">#REF!</definedName>
    <definedName name="hn._P001" hidden="1">#REF!</definedName>
    <definedName name="hn._P002" localSheetId="4" hidden="1">#REF!</definedName>
    <definedName name="hn._P002" hidden="1">#REF!</definedName>
    <definedName name="hn._P004" localSheetId="4" hidden="1">#REF!</definedName>
    <definedName name="hn._P004" hidden="1">#REF!</definedName>
    <definedName name="hn._P014" localSheetId="4" hidden="1">#REF!</definedName>
    <definedName name="hn._P014" hidden="1">#REF!</definedName>
    <definedName name="hn._P016" localSheetId="4" hidden="1">#REF!</definedName>
    <definedName name="hn._P016" hidden="1">#REF!</definedName>
    <definedName name="hn._P017" localSheetId="4" hidden="1">#REF!</definedName>
    <definedName name="hn._P017" hidden="1">#REF!</definedName>
    <definedName name="hn._P017g" localSheetId="4" hidden="1">#REF!</definedName>
    <definedName name="hn._P017g" hidden="1">#REF!</definedName>
    <definedName name="hn._P021" localSheetId="4" hidden="1">#REF!</definedName>
    <definedName name="hn._P021" hidden="1">#REF!</definedName>
    <definedName name="hn._P024" localSheetId="4" hidden="1">#REF!</definedName>
    <definedName name="hn._P024" hidden="1">#REF!</definedName>
    <definedName name="hn.Add015" localSheetId="4" hidden="1">#REF!</definedName>
    <definedName name="hn.Add015" hidden="1">#REF!</definedName>
    <definedName name="hn.ConvertVal1" localSheetId="4" hidden="1">#REF!</definedName>
    <definedName name="hn.ConvertVal1" hidden="1">#REF!</definedName>
    <definedName name="hn.ConvertZero1" localSheetId="4" hidden="1">#REF!,#REF!,#REF!,#REF!,#REF!,#REF!,#REF!,#REF!,#REF!,#REF!</definedName>
    <definedName name="hn.ConvertZero1" hidden="1">#REF!,#REF!,#REF!,#REF!,#REF!,#REF!,#REF!,#REF!,#REF!,#REF!</definedName>
    <definedName name="hn.ConvertZero2" localSheetId="4" hidden="1">#REF!,#REF!,#REF!,#REF!,#REF!,#REF!,#REF!,#REF!</definedName>
    <definedName name="hn.ConvertZero2" hidden="1">#REF!,#REF!,#REF!,#REF!,#REF!,#REF!,#REF!,#REF!</definedName>
    <definedName name="hn.ConvertZero3" localSheetId="4" hidden="1">#REF!,#REF!,#REF!,#REF!,#REF!</definedName>
    <definedName name="hn.ConvertZero3" hidden="1">#REF!,#REF!,#REF!,#REF!,#REF!</definedName>
    <definedName name="hn.ConvertZero4" localSheetId="4" hidden="1">#REF!,#REF!,#REF!,#REF!,#REF!,#REF!,#REF!,#REF!</definedName>
    <definedName name="hn.ConvertZero4" hidden="1">#REF!,#REF!,#REF!,#REF!,#REF!,#REF!,#REF!,#REF!</definedName>
    <definedName name="hn.ConvertZeroUnhide1" localSheetId="4" hidden="1">#REF!,#REF!,#REF!</definedName>
    <definedName name="hn.ConvertZeroUnhide1" hidden="1">#REF!,#REF!,#REF!</definedName>
    <definedName name="hn.CopyforPR" localSheetId="4" hidden="1">#REF!</definedName>
    <definedName name="hn.CopyforPR" hidden="1">#REF!</definedName>
    <definedName name="hn.Delete015" localSheetId="4" hidden="1">#REF!,#REF!,#REF!,#REF!</definedName>
    <definedName name="hn.Delete015" hidden="1">#REF!,#REF!,#REF!,#REF!</definedName>
    <definedName name="hn.domestic" localSheetId="4" hidden="1">#REF!</definedName>
    <definedName name="hn.domestic" hidden="1">#REF!</definedName>
    <definedName name="hn.DZ_MultByFXRates" localSheetId="4" hidden="1">[5]DropZone!$B$2:$I$118,[5]DropZone!$B$120:$I$132,[5]DropZone!$B$134:$I$136,[5]DropZone!$B$138:$I$146</definedName>
    <definedName name="hn.DZ_MultByFXRates" hidden="1">[6]DropZone!$B$2:$I$118,[6]DropZone!$B$120:$I$132,[6]DropZone!$B$134:$I$136,[6]DropZone!$B$138:$I$146</definedName>
    <definedName name="hn.ExtDb" hidden="1">FALSE</definedName>
    <definedName name="hn.FromMain" localSheetId="4" hidden="1">#REF!</definedName>
    <definedName name="hn.FromMain" hidden="1">#REF!</definedName>
    <definedName name="hn.FromMain1" localSheetId="4" hidden="1">#REF!</definedName>
    <definedName name="hn.FromMain1" hidden="1">#REF!</definedName>
    <definedName name="hn.FromMain2" localSheetId="4" hidden="1">#REF!</definedName>
    <definedName name="hn.FromMain2" hidden="1">#REF!</definedName>
    <definedName name="hn.FromMain3" localSheetId="4" hidden="1">#REF!</definedName>
    <definedName name="hn.FromMain3" hidden="1">#REF!</definedName>
    <definedName name="hn.FromMain4" localSheetId="4" hidden="1">#REF!</definedName>
    <definedName name="hn.FromMain4" hidden="1">#REF!</definedName>
    <definedName name="hn.FromMain5" localSheetId="4" hidden="1">#REF!</definedName>
    <definedName name="hn.FromMain5" hidden="1">#REF!</definedName>
    <definedName name="hn.Global" localSheetId="4" hidden="1">#REF!</definedName>
    <definedName name="hn.Global" hidden="1">#REF!</definedName>
    <definedName name="hn.LTM_MultByFXRates" localSheetId="4" hidden="1">#REF!,#REF!,#REF!,#REF!,#REF!,#REF!,#REF!</definedName>
    <definedName name="hn.LTM_MultByFXRates" hidden="1">#REF!,#REF!,#REF!,#REF!,#REF!,#REF!,#REF!</definedName>
    <definedName name="hn.LTMData" localSheetId="4" hidden="1">#REF!</definedName>
    <definedName name="hn.LTMData" hidden="1">#REF!</definedName>
    <definedName name="hn.ModelType" hidden="1">"DEAL"</definedName>
    <definedName name="hn.ModelVersion" hidden="1">1</definedName>
    <definedName name="hn.MultbyFXRates" localSheetId="4" hidden="1">#REF!,#REF!,#REF!,#REF!,#REF!,#REF!,#REF!</definedName>
    <definedName name="hn.MultbyFXRates" hidden="1">#REF!,#REF!,#REF!,#REF!,#REF!,#REF!,#REF!</definedName>
    <definedName name="hn.MultByFXRates1" localSheetId="4" hidden="1">#REF!,#REF!,#REF!,#REF!,#REF!</definedName>
    <definedName name="hn.MultByFXRates1" hidden="1">#REF!,#REF!,#REF!,#REF!,#REF!</definedName>
    <definedName name="hn.MultByFXRates2" localSheetId="4" hidden="1">#REF!,#REF!,#REF!,#REF!,#REF!</definedName>
    <definedName name="hn.MultByFXRates2" hidden="1">#REF!,#REF!,#REF!,#REF!,#REF!</definedName>
    <definedName name="hn.MultByFXRates3" localSheetId="4" hidden="1">#REF!,#REF!,#REF!,#REF!,#REF!</definedName>
    <definedName name="hn.MultByFXRates3" hidden="1">#REF!,#REF!,#REF!,#REF!,#REF!</definedName>
    <definedName name="hn.MultbyFxrates4" localSheetId="4" hidden="1">#REF!,#REF!,#REF!,#REF!,#REF!,#REF!,#REF!</definedName>
    <definedName name="hn.MultbyFxrates4" hidden="1">#REF!,#REF!,#REF!,#REF!,#REF!,#REF!,#REF!</definedName>
    <definedName name="hn.multbyfxrates5" localSheetId="4" hidden="1">#REF!,#REF!,#REF!,#REF!,#REF!</definedName>
    <definedName name="hn.multbyfxrates5" hidden="1">#REF!,#REF!,#REF!,#REF!,#REF!</definedName>
    <definedName name="hn.multbyfxrates6" localSheetId="4" hidden="1">#REF!,#REF!,#REF!,#REF!,#REF!</definedName>
    <definedName name="hn.multbyfxrates6" hidden="1">#REF!,#REF!,#REF!,#REF!,#REF!</definedName>
    <definedName name="hn.multbyfxrates7" localSheetId="4" hidden="1">#REF!,#REF!,#REF!,#REF!,#REF!</definedName>
    <definedName name="hn.multbyfxrates7" hidden="1">#REF!,#REF!,#REF!,#REF!,#REF!</definedName>
    <definedName name="hn.MultByFXRatesBot1" localSheetId="4" hidden="1">#REF!,#REF!,#REF!,#REF!,#REF!,#REF!,#REF!,#REF!,#REF!,#REF!,#REF!,#REF!</definedName>
    <definedName name="hn.MultByFXRatesBot1" hidden="1">#REF!,#REF!,#REF!,#REF!,#REF!,#REF!,#REF!,#REF!,#REF!,#REF!,#REF!,#REF!</definedName>
    <definedName name="hn.MultByFXRatesBot2" localSheetId="4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localSheetId="4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localSheetId="4" hidden="1">#REF!,#REF!,#REF!,#REF!,#REF!,#REF!,#REF!,#REF!,#REF!,#REF!,#REF!,#REF!,#REF!</definedName>
    <definedName name="hn.MultByFXRatesBot4" hidden="1">#REF!,#REF!,#REF!,#REF!,#REF!,#REF!,#REF!,#REF!,#REF!,#REF!,#REF!,#REF!,#REF!</definedName>
    <definedName name="hn.MultByFXRatesBot5" localSheetId="4" hidden="1">#REF!,#REF!,#REF!,#REF!,#REF!,#REF!,#REF!,#REF!,#REF!,#REF!,#REF!</definedName>
    <definedName name="hn.MultByFXRatesBot5" hidden="1">#REF!,#REF!,#REF!,#REF!,#REF!,#REF!,#REF!,#REF!,#REF!,#REF!,#REF!</definedName>
    <definedName name="hn.MultByFXRatesBot6" localSheetId="4" hidden="1">#REF!,#REF!,#REF!,#REF!,#REF!,#REF!,#REF!,#REF!,#REF!,#REF!,#REF!</definedName>
    <definedName name="hn.MultByFXRatesBot6" hidden="1">#REF!,#REF!,#REF!,#REF!,#REF!,#REF!,#REF!,#REF!,#REF!,#REF!,#REF!</definedName>
    <definedName name="hn.MultByFXRatesBot7" localSheetId="4" hidden="1">#REF!,#REF!,#REF!,#REF!,#REF!,#REF!,#REF!,#REF!,#REF!,#REF!,#REF!</definedName>
    <definedName name="hn.MultByFXRatesBot7" hidden="1">#REF!,#REF!,#REF!,#REF!,#REF!,#REF!,#REF!,#REF!,#REF!,#REF!,#REF!</definedName>
    <definedName name="hn.MultByFXRatesTop1" localSheetId="4" hidden="1">#REF!,#REF!,#REF!,#REF!,#REF!,#REF!,#REF!,#REF!,#REF!,#REF!,#REF!,#REF!</definedName>
    <definedName name="hn.MultByFXRatesTop1" hidden="1">#REF!,#REF!,#REF!,#REF!,#REF!,#REF!,#REF!,#REF!,#REF!,#REF!,#REF!,#REF!</definedName>
    <definedName name="hn.MultByFXRatesTop2" localSheetId="4" hidden="1">#REF!,#REF!,#REF!,#REF!,#REF!,#REF!,#REF!,#REF!,#REF!,#REF!,#REF!,#REF!,#REF!,#REF!,#REF!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localSheetId="4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localSheetId="4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localSheetId="4" hidden="1">#REF!,#REF!,#REF!,#REF!,#REF!,#REF!,#REF!,#REF!,#REF!,#REF!,#REF!,#REF!</definedName>
    <definedName name="hn.MultByFXRatesTop5" hidden="1">#REF!,#REF!,#REF!,#REF!,#REF!,#REF!,#REF!,#REF!,#REF!,#REF!,#REF!,#REF!</definedName>
    <definedName name="hn.MultByFXRatesTop6" localSheetId="4" hidden="1">#REF!,#REF!,#REF!,#REF!,#REF!,#REF!,#REF!,#REF!,#REF!,#REF!,#REF!,#REF!,#REF!,#REF!,#REF!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localSheetId="4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n.ParityCheck" localSheetId="4" hidden="1">#REF!</definedName>
    <definedName name="hn.ParityCheck" hidden="1">#REF!</definedName>
    <definedName name="hn.PrivateLTMYear" localSheetId="4" hidden="1">#REF!</definedName>
    <definedName name="hn.PrivateLTMYear" hidden="1">#REF!</definedName>
    <definedName name="hn.USLast" localSheetId="4" hidden="1">#REF!</definedName>
    <definedName name="hn.USLast" hidden="1">#REF!</definedName>
    <definedName name="hn.YearLabel" localSheetId="4" hidden="1">#REF!</definedName>
    <definedName name="hn.YearLabel" hidden="1">#REF!</definedName>
    <definedName name="HOLD" localSheetId="4">[3]Summary!$B$25</definedName>
    <definedName name="HOLD">[4]Summary!$B$31</definedName>
    <definedName name="huh" localSheetId="4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huh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HURDLE2" localSheetId="4">Waterfall!$C$3</definedName>
    <definedName name="HURDLE3" localSheetId="4">Waterfall!$C$4</definedName>
    <definedName name="INTEREST" localSheetId="4">Waterfall!#REF!</definedName>
    <definedName name="IsColHidden" hidden="1">FALSE</definedName>
    <definedName name="IsLTMColHidden" hidden="1">FALSE</definedName>
    <definedName name="jb" localSheetId="4" hidden="1">{"summary1",#N/A,TRUE,"Comps";"summary2",#N/A,TRUE,"Comps";"summary3",#N/A,TRUE,"Comps"}</definedName>
    <definedName name="jb" hidden="1">{"summary1",#N/A,TRUE,"Comps";"summary2",#N/A,TRUE,"Comps";"summary3",#N/A,TRUE,"Comps"}</definedName>
    <definedName name="jk" localSheetId="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" localSheetId="4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k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KGKHJ" localSheetId="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lll" localSheetId="4" hidden="1">{"Outflow 1",#N/A,FALSE,"Outflows-Inflows";"Outflow 2",#N/A,FALSE,"Outflows-Inflows";"Inflow 1",#N/A,FALSE,"Outflows-Inflows";"Inflow 2",#N/A,FALSE,"Outflows-Inflows"}</definedName>
    <definedName name="lll" hidden="1">{"Outflow 1",#N/A,FALSE,"Outflows-Inflows";"Outflow 2",#N/A,FALSE,"Outflows-Inflows";"Inflow 1",#N/A,FALSE,"Outflows-Inflows";"Inflow 2",#N/A,FALSE,"Outflows-Inflows"}</definedName>
    <definedName name="LPCF1">Waterfall!$F$2</definedName>
    <definedName name="LPCF2">Waterfall!$F$3</definedName>
    <definedName name="LPCF3">Waterfall!$F$4</definedName>
    <definedName name="LPCF4">Waterfall!$F$5</definedName>
    <definedName name="LPEQUITY">Waterfall!$C$9</definedName>
    <definedName name="ltm_BalanceSheet" localSheetId="4" hidden="1">#REF!</definedName>
    <definedName name="ltm_BalanceSheet" hidden="1">#REF!</definedName>
    <definedName name="ltm_IncomeStatement" localSheetId="4" hidden="1">#REF!</definedName>
    <definedName name="ltm_IncomeStatement" hidden="1">#REF!</definedName>
    <definedName name="LTV" localSheetId="4">Waterfall!#REF!</definedName>
    <definedName name="MGHM" localSheetId="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localSheetId="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NLA">[3]Summary!$B$3</definedName>
    <definedName name="NOIGROWTH">Waterfall!$L$3</definedName>
    <definedName name="o" localSheetId="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o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p.Covenants" localSheetId="4" hidden="1">#REF!</definedName>
    <definedName name="p.Covenants" hidden="1">#REF!</definedName>
    <definedName name="p.Covenants_Titles" localSheetId="4" hidden="1">#REF!</definedName>
    <definedName name="p.Covenants_Titles" hidden="1">#REF!</definedName>
    <definedName name="p.CreditStats" localSheetId="4" hidden="1">#REF!</definedName>
    <definedName name="p.CreditStats" hidden="1">#REF!</definedName>
    <definedName name="p.LTM_BS" localSheetId="4" hidden="1">#REF!</definedName>
    <definedName name="p.LTM_BS" hidden="1">#REF!</definedName>
    <definedName name="p.LTM_IS" localSheetId="4" hidden="1">#REF!</definedName>
    <definedName name="p.LTM_IS" hidden="1">#REF!</definedName>
    <definedName name="p.Summary" localSheetId="4" hidden="1">#REF!</definedName>
    <definedName name="p.Summary" hidden="1">#REF!</definedName>
    <definedName name="p.Summary_Titles" localSheetId="4" hidden="1">#REF!</definedName>
    <definedName name="p.Summary_Titles" hidden="1">#REF!</definedName>
    <definedName name="PREF" localSheetId="4">Waterfall!$C$2</definedName>
    <definedName name="_xlnm.Print_Area" localSheetId="1">Budget!$B$1:$G$30</definedName>
    <definedName name="_xlnm.Print_Area" localSheetId="11">'Cap Sens-50% LTC'!$A$1:$K$35</definedName>
    <definedName name="_xlnm.Print_Area" localSheetId="2">Draws!$B$4:$AF$96</definedName>
    <definedName name="_xlnm.Print_Area" localSheetId="8">DSCR!$B$1:$P$65</definedName>
    <definedName name="_xlnm.Print_Area" localSheetId="3">'Lease Up'!$F$2:$AF$51</definedName>
    <definedName name="_xlnm.Print_Area" localSheetId="10">'Mortgage-50% LTC'!$A$1:$J$39</definedName>
    <definedName name="_xlnm.Print_Area" localSheetId="7">'Rent Comps'!$C$8:$AQ$23</definedName>
    <definedName name="_xlnm.Print_Area" localSheetId="0">'S&amp;U'!$A$1:$J$21</definedName>
    <definedName name="_xlnm.Print_Area" localSheetId="5">'Unit Mix'!$B$1:$J$7</definedName>
    <definedName name="_xlnm.Print_Titles" localSheetId="2">Draws!$B:$G</definedName>
    <definedName name="_xlnm.Print_Titles" localSheetId="3">'Lease Up'!$F:$H</definedName>
    <definedName name="PROMOTE2">Waterfall!$D$3</definedName>
    <definedName name="PROMOTE3">Waterfall!$D$4</definedName>
    <definedName name="PROMOTE4">Waterfall!$D$5</definedName>
    <definedName name="PURCHPRICE">Waterfall!#REF!</definedName>
    <definedName name="q" localSheetId="4" hidden="1">{"summary1",#N/A,TRUE,"Comps";"summary2",#N/A,TRUE,"Comps";"summary3",#N/A,TRUE,"Comps"}</definedName>
    <definedName name="q" hidden="1">{"summary1",#N/A,TRUE,"Comps";"summary2",#N/A,TRUE,"Comps";"summary3",#N/A,TRUE,"Comps"}</definedName>
    <definedName name="qre" localSheetId="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wert" localSheetId="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r.CashFlow" localSheetId="4" hidden="1">#REF!</definedName>
    <definedName name="r.CashFlow" hidden="1">#REF!</definedName>
    <definedName name="r.Leverage" localSheetId="4" hidden="1">#REF!</definedName>
    <definedName name="r.Leverage" hidden="1">#REF!</definedName>
    <definedName name="r.Liquidity" localSheetId="4" hidden="1">#REF!</definedName>
    <definedName name="r.Liquidity" hidden="1">#REF!</definedName>
    <definedName name="r.LTM" localSheetId="4" hidden="1">#REF!</definedName>
    <definedName name="r.LTM" hidden="1">#REF!</definedName>
    <definedName name="r.LTMInterim" localSheetId="4" hidden="1">#REF!</definedName>
    <definedName name="r.LTMInterim" hidden="1">#REF!</definedName>
    <definedName name="r.Market" localSheetId="4" hidden="1">#REF!</definedName>
    <definedName name="r.Market" hidden="1">#REF!</definedName>
    <definedName name="r.Profitability" localSheetId="4" hidden="1">#REF!</definedName>
    <definedName name="r.Profitability" hidden="1">#REF!</definedName>
    <definedName name="r.Summary" localSheetId="4" hidden="1">#REF!</definedName>
    <definedName name="r.Summary" hidden="1">#REF!</definedName>
    <definedName name="report" localSheetId="4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1" localSheetId="4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1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5" localSheetId="4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t" localSheetId="4" hidden="1">{"inputs raw data",#N/A,TRUE,"INPUT"}</definedName>
    <definedName name="rt" hidden="1">{"inputs raw data",#N/A,TRUE,"INPUT"}</definedName>
    <definedName name="sa" localSheetId="4" hidden="1">{"cap_structure",#N/A,FALSE,"Graph-Mkt Cap";"price",#N/A,FALSE,"Graph-Price";"ebit",#N/A,FALSE,"Graph-EBITDA";"ebitda",#N/A,FALSE,"Graph-EBITDA"}</definedName>
    <definedName name="sa" hidden="1">{"cap_structure",#N/A,FALSE,"Graph-Mkt Cap";"price",#N/A,FALSE,"Graph-Price";"ebit",#N/A,FALSE,"Graph-EBITDA";"ebitda",#N/A,FALSE,"Graph-EBITDA"}</definedName>
    <definedName name="saa" localSheetId="4" hidden="1">{"rtn",#N/A,FALSE,"RTN";"tables",#N/A,FALSE,"RTN";"cf",#N/A,FALSE,"CF";"stats",#N/A,FALSE,"Stats";"prop",#N/A,FALSE,"Prop"}</definedName>
    <definedName name="saa" hidden="1">{"rtn",#N/A,FALSE,"RTN";"tables",#N/A,FALSE,"RTN";"cf",#N/A,FALSE,"CF";"stats",#N/A,FALSE,"Stats";"prop",#N/A,FALSE,"Prop"}</definedName>
    <definedName name="sagf" localSheetId="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LEMONTH">Waterfall!$L$1</definedName>
    <definedName name="sas" localSheetId="4" hidden="1">{"Outflow 1",#N/A,FALSE,"Outflows-Inflows";"Outflow 2",#N/A,FALSE,"Outflows-Inflows";"Inflow 1",#N/A,FALSE,"Outflows-Inflows";"Inflow 2",#N/A,FALSE,"Outflows-Inflows"}</definedName>
    <definedName name="sas" hidden="1">{"Outflow 1",#N/A,FALSE,"Outflows-Inflows";"Outflow 2",#N/A,FALSE,"Outflows-Inflows";"Inflow 1",#N/A,FALSE,"Outflows-Inflows";"Inflow 2",#N/A,FALSE,"Outflows-Inflows"}</definedName>
    <definedName name="sdfass" localSheetId="4" hidden="1">{"Outflow 1",#N/A,FALSE,"Outflows-Inflows";"Outflow 2",#N/A,FALSE,"Outflows-Inflows";"Inflow 1",#N/A,FALSE,"Outflows-Inflows";"Inflow 2",#N/A,FALSE,"Outflows-Inflows"}</definedName>
    <definedName name="sdfass" hidden="1">{"Outflow 1",#N/A,FALSE,"Outflows-Inflows";"Outflow 2",#N/A,FALSE,"Outflows-Inflows";"Inflow 1",#N/A,FALSE,"Outflows-Inflows";"Inflow 2",#N/A,FALSE,"Outflows-Inflows"}</definedName>
    <definedName name="sdfga" localSheetId="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olver_eng" localSheetId="5" hidden="1">1</definedName>
    <definedName name="solver_neg" localSheetId="5" hidden="1">1</definedName>
    <definedName name="solver_num" localSheetId="5" hidden="1">0</definedName>
    <definedName name="solver_opt" localSheetId="5" hidden="1">'Unit Mix'!#REF!</definedName>
    <definedName name="solver_typ" localSheetId="5" hidden="1">1</definedName>
    <definedName name="solver_val" localSheetId="5" hidden="1">0</definedName>
    <definedName name="solver_ver" localSheetId="5" hidden="1">3</definedName>
    <definedName name="SSO" localSheetId="4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Taxes";#N/A,#N/A,FALSE,"PERSON0198 - BH";#N/A,#N/A,FALSE,"Comm.Condo PERSON0198"}</definedName>
    <definedName name="SSO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Taxes";#N/A,#N/A,FALSE,"PERSON0198 - BH";#N/A,#N/A,FALSE,"Comm.Condo PERSON0198"}</definedName>
    <definedName name="st" localSheetId="4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st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trial" localSheetId="4" hidden="1">{"Outflow 1",#N/A,FALSE,"Outflows-Inflows";"Outflow 2",#N/A,FALSE,"Outflows-Inflows";"Inflow 1",#N/A,FALSE,"Outflows-Inflows";"Inflow 2",#N/A,FALSE,"Outflows-Inflows"}</definedName>
    <definedName name="trial" hidden="1">{"Outflow 1",#N/A,FALSE,"Outflows-Inflows";"Outflow 2",#N/A,FALSE,"Outflows-Inflows";"Inflow 1",#N/A,FALSE,"Outflows-Inflows";"Inflow 2",#N/A,FALSE,"Outflows-Inflows"}</definedName>
    <definedName name="UNITS">[4]Revenue!$A$17</definedName>
    <definedName name="USDollar" localSheetId="4" hidden="1">#REF!</definedName>
    <definedName name="USDollar" hidden="1">#REF!</definedName>
    <definedName name="uyfkf" localSheetId="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localSheetId="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j" localSheetId="4" hidden="1">{#N/A,#N/A,FALSE,"Assumptions";#N/A,#N/A,FALSE,"10-Yr - detail";#N/A,#N/A,FALSE,"Rent Roll";#N/A,#N/A,FALSE,"Historical (2)";#N/A,#N/A,FALSE,"RET's";#N/A,#N/A,FALSE,"Lse-Exp.";#N/A,#N/A,FALSE,"Lease Rollover";#N/A,#N/A,FALSE,"Service Contracts"}</definedName>
    <definedName name="vj" hidden="1">{#N/A,#N/A,FALSE,"Assumptions";#N/A,#N/A,FALSE,"10-Yr - detail";#N/A,#N/A,FALSE,"Rent Roll";#N/A,#N/A,FALSE,"Historical (2)";#N/A,#N/A,FALSE,"RET's";#N/A,#N/A,FALSE,"Lse-Exp.";#N/A,#N/A,FALSE,"Lease Rollover";#N/A,#N/A,FALSE,"Service Contracts"}</definedName>
    <definedName name="w" localSheetId="4" hidden="1">{"cap_structure",#N/A,FALSE,"Graph-Mkt Cap";"price",#N/A,FALSE,"Graph-Price";"ebit",#N/A,FALSE,"Graph-EBITDA";"ebitda",#N/A,FALSE,"Graph-EBITDA"}</definedName>
    <definedName name="w" hidden="1">{"cap_structure",#N/A,FALSE,"Graph-Mkt Cap";"price",#N/A,FALSE,"Graph-Price";"ebit",#N/A,FALSE,"Graph-EBITDA";"ebitda",#N/A,FALSE,"Graph-EBITDA"}</definedName>
    <definedName name="wafe" localSheetId="4" hidden="1">{"summary1",#N/A,TRUE,"Comps";"summary2",#N/A,TRUE,"Comps";"summary3",#N/A,TRUE,"Comps"}</definedName>
    <definedName name="wafe" hidden="1">{"summary1",#N/A,TRUE,"Comps";"summary2",#N/A,TRUE,"Comps";"summary3",#N/A,TRUE,"Comps"}</definedName>
    <definedName name="WEA" localSheetId="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localSheetId="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QQE" localSheetId="4" hidden="1">{"summary1",#N/A,TRUE,"Comps";"summary2",#N/A,TRUE,"Comps";"summary3",#N/A,TRUE,"Comps"}</definedName>
    <definedName name="WEQQE" hidden="1">{"summary1",#N/A,TRUE,"Comps";"summary2",#N/A,TRUE,"Comps";"summary3",#N/A,TRUE,"Comps"}</definedName>
    <definedName name="wetrwergfwer" localSheetId="4" hidden="1">{"cap_structure",#N/A,FALSE,"Graph-Mkt Cap";"price",#N/A,FALSE,"Graph-Price";"ebit",#N/A,FALSE,"Graph-EBITDA";"ebitda",#N/A,FALSE,"Graph-EBITDA"}</definedName>
    <definedName name="wetrwergfwer" hidden="1">{"cap_structure",#N/A,FALSE,"Graph-Mkt Cap";"price",#N/A,FALSE,"Graph-Price";"ebit",#N/A,FALSE,"Graph-EBITDA";"ebitda",#N/A,FALSE,"Graph-EBITDA"}</definedName>
    <definedName name="WORKINGCAP" localSheetId="4">[3]Summary!$B$18</definedName>
    <definedName name="WORKINGCAP">[4]Summary!$B$24</definedName>
    <definedName name="WQE" localSheetId="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localSheetId="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r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rn.275PricingBook." localSheetId="4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wrn.275PricingBook.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wrn.275Schedulles." localSheetId="4" hidden="1">{#N/A,#N/A,FALSE,"Assumptions";#N/A,#N/A,FALSE,"10-Yr - detail";#N/A,#N/A,FALSE,"Rent Roll";#N/A,#N/A,FALSE,"Historical (2)";#N/A,#N/A,FALSE,"RET's";#N/A,#N/A,FALSE,"Lse-Exp.";#N/A,#N/A,FALSE,"Lease Rollover";#N/A,#N/A,FALSE,"Service Contracts"}</definedName>
    <definedName name="wrn.275Schedulles." hidden="1">{#N/A,#N/A,FALSE,"Assumptions";#N/A,#N/A,FALSE,"10-Yr - detail";#N/A,#N/A,FALSE,"Rent Roll";#N/A,#N/A,FALSE,"Historical (2)";#N/A,#N/A,FALSE,"RET's";#N/A,#N/A,FALSE,"Lse-Exp.";#N/A,#N/A,FALSE,"Lease Rollover";#N/A,#N/A,FALSE,"Service Contracts"}</definedName>
    <definedName name="wrn.Accretion." localSheetId="4" hidden="1">{"Accretion",#N/A,FALSE,"Assum"}</definedName>
    <definedName name="wrn.Accretion." hidden="1">{"Accretion",#N/A,FALSE,"Assum"}</definedName>
    <definedName name="wrn.Acq._.Model." localSheetId="4" hidden="1">{"RTN",#N/A,FALSE,"RTN";"Inc Stmt",#N/A,FALSE,"Inc Stmt";"Stats",#N/A,FALSE,"Stats";"Rnds",#N/A,FALSE,"Rnds";"Capx",#N/A,FALSE,"CapX";"Dues",#N/A,FALSE,"Dues";"Hist",#N/A,FALSE,"Hist";"Rev1",#N/A,FALSE,"Rev";"Rev2",#N/A,FALSE,"Rev";"Exp",#N/A,FALSE,"Exp";"Rounds",#N/A,FALSE,"Rounds";"Cap Imp",#N/A,FALSE,"Cap Imp"}</definedName>
    <definedName name="wrn.Acq._.Model." hidden="1">{"RTN",#N/A,FALSE,"RTN";"Inc Stmt",#N/A,FALSE,"Inc Stmt";"Stats",#N/A,FALSE,"Stats";"Rnds",#N/A,FALSE,"Rnds";"Capx",#N/A,FALSE,"CapX";"Dues",#N/A,FALSE,"Dues";"Hist",#N/A,FALSE,"Hist";"Rev1",#N/A,FALSE,"Rev";"Rev2",#N/A,FALSE,"Rev";"Exp",#N/A,FALSE,"Exp";"Rounds",#N/A,FALSE,"Rounds";"Cap Imp",#N/A,FALSE,"Cap Imp"}</definedName>
    <definedName name="wrn.Acquisition._.Model." localSheetId="4" hidden="1">{"Return",#N/A,FALSE,"RTN";"Inc Stmt",#N/A,FALSE,"Inc Stmt";"Stats",#N/A,FALSE,"Stats";"Rnds",#N/A,FALSE,"Rnds";"Dues",#N/A,FALSE,"Dues";"Capx",#N/A,FALSE,"CapX";"History",#N/A,FALSE,"Hist";"Rev",#N/A,FALSE,"Rev";"Expenses",#N/A,FALSE,"Exp";"Rounds",#N/A,FALSE,"Rounds";"Capex",#N/A,FALSE,"Capex"}</definedName>
    <definedName name="wrn.Acquisition._.Model." hidden="1">{"Return",#N/A,FALSE,"RTN";"Inc Stmt",#N/A,FALSE,"Inc Stmt";"Stats",#N/A,FALSE,"Stats";"Rnds",#N/A,FALSE,"Rnds";"Dues",#N/A,FALSE,"Dues";"Capx",#N/A,FALSE,"CapX";"History",#N/A,FALSE,"Hist";"Rev",#N/A,FALSE,"Rev";"Expenses",#N/A,FALSE,"Exp";"Rounds",#N/A,FALSE,"Rounds";"Capex",#N/A,FALSE,"Capex"}</definedName>
    <definedName name="wrn.All._.Schedules." localSheetId="4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Taxes";#N/A,#N/A,FALSE,"PERSON0198 - BH";#N/A,#N/A,FALSE,"Comm.Condo PERSON0198"}</definedName>
    <definedName name="wrn.All._.Schedules.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Taxes";#N/A,#N/A,FALSE,"PERSON0198 - BH";#N/A,#N/A,FALSE,"Comm.Condo PERSON0198"}</definedName>
    <definedName name="wrn.All._.Stock_10_12_14." localSheetId="4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nnualRentRoll." localSheetId="4" hidden="1">{"AnnualRentRoll",#N/A,FALSE,"RentRoll"}</definedName>
    <definedName name="wrn.AnnualRentRoll." hidden="1">{"AnnualRentRoll",#N/A,FALSE,"RentRoll"}</definedName>
    <definedName name="wrn.Assumptions." localSheetId="4" hidden="1">{"Assumptions",#N/A,FALSE,"Assum"}</definedName>
    <definedName name="wrn.Assumptions." hidden="1">{"Assumptions",#N/A,FALSE,"Assum"}</definedName>
    <definedName name="wrn.Basic." localSheetId="4" hidden="1">{#N/A,#N/A,FALSE,"Cover";#N/A,#N/A,FALSE,"Assumptions";#N/A,#N/A,FALSE,"Acquirer";#N/A,#N/A,FALSE,"Target";#N/A,#N/A,FALSE,"Income Statement";#N/A,#N/A,FALSE,"Summary Tables"}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lackWhite." localSheetId="4" hidden="1">{#N/A,#N/A,FALSE,"NNN sum";#N/A,#N/A,FALSE,"10-yr Opt. A Sum";#N/A,#N/A,FALSE,"10-yr Opt A Other Costs";#N/A,#N/A,FALSE,"Purchase Sum";#N/A,#N/A,FALSE,"Purchase Other Costs"}</definedName>
    <definedName name="wrn.BlackWhite." hidden="1">{#N/A,#N/A,FALSE,"NNN sum";#N/A,#N/A,FALSE,"10-yr Opt. A Sum";#N/A,#N/A,FALSE,"10-yr Opt A Other Costs";#N/A,#N/A,FALSE,"Purchase Sum";#N/A,#N/A,FALSE,"Purchase Other Costs"}</definedName>
    <definedName name="wrn.BlackWhite5" localSheetId="4" hidden="1">{#N/A,#N/A,FALSE,"NNN sum";#N/A,#N/A,FALSE,"10-yr Opt. A Sum";#N/A,#N/A,FALSE,"10-yr Opt A Other Costs";#N/A,#N/A,FALSE,"Purchase Sum";#N/A,#N/A,FALSE,"Purchase Other Costs"}</definedName>
    <definedName name="wrn.BlackWhite5" hidden="1">{#N/A,#N/A,FALSE,"NNN sum";#N/A,#N/A,FALSE,"10-yr Opt. A Sum";#N/A,#N/A,FALSE,"10-yr Opt A Other Costs";#N/A,#N/A,FALSE,"Purchase Sum";#N/A,#N/A,FALSE,"Purchase Other Costs"}</definedName>
    <definedName name="wrn.Bonds." localSheetId="4" hidden="1">{#N/A,#N/A,FALSE,"Bonds - Consol";#N/A,#N/A,FALSE,"Bonds - Lakes";#N/A,#N/A,FALSE,"Bonds - Chabot";#N/A,#N/A,FALSE,"Bonds - Diablo"}</definedName>
    <definedName name="wrn.Bonds." hidden="1">{#N/A,#N/A,FALSE,"Bonds - Consol";#N/A,#N/A,FALSE,"Bonds - Lakes";#N/A,#N/A,FALSE,"Bonds - Chabot";#N/A,#N/A,FALSE,"Bonds - Diablo"}</definedName>
    <definedName name="wrn.Capx." localSheetId="4" hidden="1">{"Capx/exp",#N/A,FALSE,"CapX"}</definedName>
    <definedName name="wrn.Capx." hidden="1">{"Capx/exp",#N/A,FALSE,"CapX"}</definedName>
    <definedName name="wrn.Cash._.Flow._.and._.Matrix." localSheetId="4" hidden="1">{#N/A,#N/A,FALSE,"Matrix";#N/A,#N/A,FALSE,"Cash Flow";#N/A,#N/A,FALSE,"10 Year Cost Analysis"}</definedName>
    <definedName name="wrn.Cash._.Flow._.and._.Matrix." hidden="1">{#N/A,#N/A,FALSE,"Matrix";#N/A,#N/A,FALSE,"Cash Flow";#N/A,#N/A,FALSE,"10 Year Cost Analysis"}</definedName>
    <definedName name="wrn.CASH._.FLOWS._.ONLY." localSheetId="4" hidden="1">{#N/A,#N/A,FALSE,"Assumptions";#N/A,#N/A,FALSE,"Consol CF";#N/A,#N/A,FALSE,"Hacienda CF";#N/A,#N/A,FALSE,"Chabot CF";#N/A,#N/A,FALSE,"Diablo CF"}</definedName>
    <definedName name="wrn.CASH._.FLOWS._.ONLY." hidden="1">{#N/A,#N/A,FALSE,"Assumptions";#N/A,#N/A,FALSE,"Consol CF";#N/A,#N/A,FALSE,"Hacienda CF";#N/A,#N/A,FALSE,"Chabot CF";#N/A,#N/A,FALSE,"Diablo CF"}</definedName>
    <definedName name="wrn.CF._.Print." localSheetId="4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F._.Print.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data." localSheetId="4" hidden="1">{"data",#N/A,FALSE,"INPUT"}</definedName>
    <definedName name="wrn.data." hidden="1">{"data",#N/A,FALSE,"INPUT"}</definedName>
    <definedName name="wrn.data5" localSheetId="4" hidden="1">{"data",#N/A,FALSE,"INPUT"}</definedName>
    <definedName name="wrn.data5" hidden="1">{"data",#N/A,FALSE,"INPUT"}</definedName>
    <definedName name="wrn.detail." localSheetId="4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velopment._.Budget." localSheetId="4" hidden="1">{"Year 1",#N/A,FALSE,"Budget";"Year 2",#N/A,FALSE,"Budget";"Year 3",#N/A,FALSE,"Budget";"Year 4",#N/A,FALSE,"Budget"}</definedName>
    <definedName name="wrn.Development._.Budget." hidden="1">{"Year 1",#N/A,FALSE,"Budget";"Year 2",#N/A,FALSE,"Budget";"Year 3",#N/A,FALSE,"Budget";"Year 4",#N/A,FALSE,"Budget"}</definedName>
    <definedName name="wrn.Earnings._.Model.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ntire._.Package." localSheetId="4" hidden="1">{"Summary",#N/A,FALSE,"Assumptions";"Development 1 2",#N/A,FALSE,"Budget";"Operating Income",#N/A,FALSE,"Budget"}</definedName>
    <definedName name="wrn.Entire._.Package." hidden="1">{"Summary",#N/A,FALSE,"Assumptions";"Development 1 2",#N/A,FALSE,"Budget";"Operating Income",#N/A,FALSE,"Budget"}</definedName>
    <definedName name="wrn.Exhibits." localSheetId="4" hidden="1">{#N/A,#N/A,FALSE,"Historical";#N/A,#N/A,FALSE,"Adjusted";#N/A,#N/A,FALSE,"PERSON0198 Alloc.";#N/A,#N/A,FALSE,"Projected PERSON0198"}</definedName>
    <definedName name="wrn.Exhibits." hidden="1">{#N/A,#N/A,FALSE,"Historical";#N/A,#N/A,FALSE,"Adjusted";#N/A,#N/A,FALSE,"PERSON0198 Alloc.";#N/A,#N/A,FALSE,"Projected PERSON0198"}</definedName>
    <definedName name="wrn.ExitAndSalesAssumptions." localSheetId="4" hidden="1">{#N/A,#N/A,FALSE,"ExitStratigy"}</definedName>
    <definedName name="wrn.ExitAndSalesAssumptions." hidden="1">{#N/A,#N/A,FALSE,"ExitStratigy"}</definedName>
    <definedName name="wrn.FCB." localSheetId="4" hidden="1">{"FCB_ALL",#N/A,FALSE,"FCB"}</definedName>
    <definedName name="wrn.FCB." hidden="1">{"FCB_ALL",#N/A,FALSE,"FCB"}</definedName>
    <definedName name="wrn.fcb2" localSheetId="4" hidden="1">{"FCB_ALL",#N/A,FALSE,"FCB"}</definedName>
    <definedName name="wrn.fcb2" hidden="1">{"FCB_ALL",#N/A,FALSE,"FCB"}</definedName>
    <definedName name="wrn.FOschedules." localSheetId="4" hidden="1">{"FOschedule1",#N/A,FALSE,"Sheet1";"FOschedule2",#N/A,FALSE,"Sheet1";"FOschedule3",#N/A,FALSE,"Sheet1"}</definedName>
    <definedName name="wrn.FOschedules." hidden="1">{"FOschedule1",#N/A,FALSE,"Sheet1";"FOschedule2",#N/A,FALSE,"Sheet1";"FOschedule3",#N/A,FALSE,"Sheet1"}</definedName>
    <definedName name="wrn.Garage." localSheetId="4" hidden="1">{#N/A,#N/A,FALSE,"Garage Assumpt 1";#N/A,#N/A,FALSE,"Garage Op Proj";#N/A,#N/A,FALSE,"Hist I&amp;E";#N/A,#N/A,FALSE,"Garage Lease"}</definedName>
    <definedName name="wrn.Garage." hidden="1">{#N/A,#N/A,FALSE,"Garage Assumpt 1";#N/A,#N/A,FALSE,"Garage Op Proj";#N/A,#N/A,FALSE,"Hist I&amp;E";#N/A,#N/A,FALSE,"Garage Lease"}</definedName>
    <definedName name="wrn.GSA._.PRINT." localSheetId="4" hidden="1">{#N/A,#N/A,FALSE,"DEV COSTS";#N/A,#N/A,FALSE,"10-YR C. F."}</definedName>
    <definedName name="wrn.GSA._.PRINT." hidden="1">{#N/A,#N/A,FALSE,"DEV COSTS";#N/A,#N/A,FALSE,"10-YR C. F."}</definedName>
    <definedName name="wrn.gsa._PRINT5" localSheetId="4" hidden="1">{#N/A,#N/A,FALSE,"DEV COSTS";#N/A,#N/A,FALSE,"10-YR C. F."}</definedName>
    <definedName name="wrn.gsa._PRINT5" hidden="1">{#N/A,#N/A,FALSE,"DEV COSTS";#N/A,#N/A,FALSE,"10-YR C. F."}</definedName>
    <definedName name="wrn.Hist._.InE." localSheetId="4" hidden="1">{#N/A,#N/A,FALSE,"Hist I&amp;E - Consol";#N/A,#N/A,FALSE,"Hist I&amp;E - Lakes";#N/A,#N/A,FALSE,"Hist I&amp;E - Chabot";#N/A,#N/A,FALSE,"Hist I&amp;E - Diablo"}</definedName>
    <definedName name="wrn.Hist._.InE." hidden="1">{#N/A,#N/A,FALSE,"Hist I&amp;E - Consol";#N/A,#N/A,FALSE,"Hist I&amp;E - Lakes";#N/A,#N/A,FALSE,"Hist I&amp;E - Chabot";#N/A,#N/A,FALSE,"Hist I&amp;E - Diablo"}</definedName>
    <definedName name="wrn.Hist._.InE2." localSheetId="4" hidden="1">{#N/A,#N/A,FALSE,"Hist I&amp;E - #2";#N/A,#N/A,FALSE,"Hist I&amp;E - #3";#N/A,#N/A,FALSE,"Hist I&amp;E - #4";#N/A,#N/A,FALSE,"Hist I&amp;E - #5";#N/A,#N/A,FALSE,"Hist I&amp;E - #6";#N/A,#N/A,FALSE,"Hist I&amp;E - #8";#N/A,#N/A,FALSE,"Hist I&amp;E - #9";#N/A,#N/A,FALSE,"Hist I&amp;E - #10"}</definedName>
    <definedName name="wrn.Hist._.InE2." hidden="1">{#N/A,#N/A,FALSE,"Hist I&amp;E - #2";#N/A,#N/A,FALSE,"Hist I&amp;E - #3";#N/A,#N/A,FALSE,"Hist I&amp;E - #4";#N/A,#N/A,FALSE,"Hist I&amp;E - #5";#N/A,#N/A,FALSE,"Hist I&amp;E - #6";#N/A,#N/A,FALSE,"Hist I&amp;E - #8";#N/A,#N/A,FALSE,"Hist I&amp;E - #9";#N/A,#N/A,FALSE,"Hist I&amp;E - #10"}</definedName>
    <definedName name="wrn.Income._.Statements." localSheetId="4" hidden="1">{"Annual Income",#N/A,FALSE,"Revenues";"Quarter Income",#N/A,FALSE,"Revenues"}</definedName>
    <definedName name="wrn.Income._.Statements." hidden="1">{"Annual Income",#N/A,FALSE,"Revenues";"Quarter Income",#N/A,FALSE,"Revenues"}</definedName>
    <definedName name="wrn.LoanInformation." localSheetId="4" hidden="1">{#N/A,#N/A,FALSE,"LoanAssumptions"}</definedName>
    <definedName name="wrn.LoanInformation." hidden="1">{#N/A,#N/A,FALSE,"LoanAssumptions"}</definedName>
    <definedName name="wrn.MATRICES._.and._.CFs." localSheetId="4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ES._.and._.CFs.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IES._.ONLY." localSheetId="4" hidden="1">{#N/A,#N/A,FALSE,"matx B4 DS";#N/A,#N/A,FALSE,"matx B4 DS Hac";#N/A,#N/A,FALSE,"matx B4 DS Chabot";#N/A,#N/A,FALSE,"matx B4 DS Diablo"}</definedName>
    <definedName name="wrn.MATRICIES._.ONLY." hidden="1">{#N/A,#N/A,FALSE,"matx B4 DS";#N/A,#N/A,FALSE,"matx B4 DS Hac";#N/A,#N/A,FALSE,"matx B4 DS Chabot";#N/A,#N/A,FALSE,"matx B4 DS Diablo"}</definedName>
    <definedName name="wrn.MODEL." localSheetId="4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.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5" localSheetId="4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5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nthlyRentRoll." localSheetId="4" hidden="1">{"MonthlyRentRoll",#N/A,FALSE,"RentRoll"}</definedName>
    <definedName name="wrn.MonthlyRentRoll." hidden="1">{"MonthlyRentRoll",#N/A,FALSE,"RentRoll"}</definedName>
    <definedName name="wrn.OperatingAssumtions." localSheetId="4" hidden="1">{#N/A,#N/A,FALSE,"OperatingAssumptions"}</definedName>
    <definedName name="wrn.OperatingAssumtions." hidden="1">{#N/A,#N/A,FALSE,"OperatingAssumptions"}</definedName>
    <definedName name="wrn.PR_TRIAL_BALANCE." localSheetId="4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_TRIAL_BALANCE.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esentation." localSheetId="4" hidden="1">{#N/A,#N/A,TRUE,"Summary";"AnnualRentRoll",#N/A,TRUE,"RentRoll";#N/A,#N/A,TRUE,"ExitStratigy";#N/A,#N/A,TRUE,"OperatingAssumptions"}</definedName>
    <definedName name="wrn.Presentation." hidden="1">{#N/A,#N/A,TRUE,"Summary";"AnnualRentRoll",#N/A,TRUE,"RentRoll";#N/A,#N/A,TRUE,"ExitStratigy";#N/A,#N/A,TRUE,"OperatingAssumptions"}</definedName>
    <definedName name="wrn.print." localSheetId="4" hidden="1">{"Assump",#N/A,TRUE,"Proforma";"first",#N/A,TRUE,"Proforma";"second",#N/A,TRUE,"Proforma";"lease1",#N/A,TRUE,"Proforma";"lease2",#N/A,TRUE,"Proforma"}</definedName>
    <definedName name="wrn.print." hidden="1">{"Assump",#N/A,TRUE,"Proforma";"first",#N/A,TRUE,"Proforma";"second",#N/A,TRUE,"Proforma";"lease1",#N/A,TRUE,"Proforma";"lease2",#N/A,TRUE,"Proforma"}</definedName>
    <definedName name="wrn.Print._.4." localSheetId="4" hidden="1">{"Outflow 1",#N/A,FALSE,"Outflows-Inflows";"Outflow 2",#N/A,FALSE,"Outflows-Inflows";"Inflow 1",#N/A,FALSE,"Outflows-Inflows";"Inflow 2",#N/A,FALSE,"Outflows-Inflows"}</definedName>
    <definedName name="wrn.Print._.4." hidden="1">{"Outflow 1",#N/A,FALSE,"Outflows-Inflows";"Outflow 2",#N/A,FALSE,"Outflows-Inflows";"Inflow 1",#N/A,FALSE,"Outflows-Inflows";"Inflow 2",#N/A,FALSE,"Outflows-Inflows"}</definedName>
    <definedName name="wrn.Print._.6." localSheetId="4" hidden="1">{"print 1.6",#N/A,FALSE,"Sheet1";"print 2.6",#N/A,FALSE,"Sheet1";"print 3.6",#N/A,FALSE,"Sheet1";"print 4.6",#N/A,FALSE,"Sheet1";"print 5.6",#N/A,FALSE,"Sheet1";"print 6.6",#N/A,FALSE,"Sheet1"}</definedName>
    <definedName name="wrn.Print._.6." hidden="1">{"print 1.6",#N/A,FALSE,"Sheet1";"print 2.6",#N/A,FALSE,"Sheet1";"print 3.6",#N/A,FALSE,"Sheet1";"print 4.6",#N/A,FALSE,"Sheet1";"print 5.6",#N/A,FALSE,"Sheet1";"print 6.6",#N/A,FALSE,"Sheet1"}</definedName>
    <definedName name="wrn.print._.graphs." localSheetId="4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localSheetId="4" hidden="1">{"inputs raw data",#N/A,TRUE,"INPUT"}</definedName>
    <definedName name="wrn.print._.raw._.data._.entry." hidden="1">{"inputs raw data",#N/A,TRUE,"INPUT"}</definedName>
    <definedName name="wrn.print._.summary._.sheets." localSheetId="4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2." localSheetId="4" hidden="1">{"Assump",#N/A,TRUE,"Proforma";"first",#N/A,TRUE,"Proforma";"second",#N/A,TRUE,"Proforma";"lease1",#N/A,TRUE,"Proforma";"lease2",#N/A,TRUE,"Proforma"}</definedName>
    <definedName name="wrn.print2." hidden="1">{"Assump",#N/A,TRUE,"Proforma";"first",#N/A,TRUE,"Proforma";"second",#N/A,TRUE,"Proforma";"lease1",#N/A,TRUE,"Proforma";"lease2",#N/A,TRUE,"Proforma"}</definedName>
    <definedName name="wrn.print5" localSheetId="4" hidden="1">{"Assump",#N/A,TRUE,"Proforma";"first",#N/A,TRUE,"Proforma";"second",#N/A,TRUE,"Proforma";"lease1",#N/A,TRUE,"Proforma";"lease2",#N/A,TRUE,"Proforma"}</definedName>
    <definedName name="wrn.print5" hidden="1">{"Assump",#N/A,TRUE,"Proforma";"first",#N/A,TRUE,"Proforma";"second",#N/A,TRUE,"Proforma";"lease1",#N/A,TRUE,"Proforma";"lease2",#N/A,TRUE,"Proforma"}</definedName>
    <definedName name="wrn.PropertyInformation." localSheetId="4" hidden="1">{#N/A,#N/A,FALSE,"PropertyInfo"}</definedName>
    <definedName name="wrn.PropertyInformation." hidden="1">{#N/A,#N/A,FALSE,"PropertyInfo"}</definedName>
    <definedName name="wrn.Report." localSheetId="4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.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1." localSheetId="4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1.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5" localSheetId="4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schedules." localSheetId="4" hidden="1">{"schedule1",#N/A,FALSE,"Sheet1";"schedule2",#N/A,FALSE,"Sheet1";"schedule3",#N/A,FALSE,"Sheet1";"schedule4",#N/A,FALSE,"Sheet1";"schedule5",#N/A,FALSE,"Sheet1";"schedule6",#N/A,FALSE,"Sheet1"}</definedName>
    <definedName name="wrn.schedules." hidden="1">{"schedule1",#N/A,FALSE,"Sheet1";"schedule2",#N/A,FALSE,"Sheet1";"schedule3",#N/A,FALSE,"Sheet1";"schedule4",#N/A,FALSE,"Sheet1";"schedule5",#N/A,FALSE,"Sheet1";"schedule6",#N/A,FALSE,"Sheet1"}</definedName>
    <definedName name="wrn.Short._.Print." localSheetId="4" hidden="1">{#N/A,#N/A,FALSE,"Cover";#N/A,#N/A,FALSE,"Stack";#N/A,#N/A,FALSE,"Cost S";#N/A,#N/A,FALSE," CF";#N/A,#N/A,FALSE,"Investor"}</definedName>
    <definedName name="wrn.Short._.Print." hidden="1">{#N/A,#N/A,FALSE,"Cover";#N/A,#N/A,FALSE,"Stack";#N/A,#N/A,FALSE,"Cost S";#N/A,#N/A,FALSE," CF";#N/A,#N/A,FALSE,"Investor"}</definedName>
    <definedName name="wrn.Side._.by._.Side." localSheetId="4" hidden="1">{"Side 99",#N/A,FALSE,"S&amp;U Side by Side"}</definedName>
    <definedName name="wrn.Side._.by._.Side." hidden="1">{"Side 99",#N/A,FALSE,"S&amp;U Side by Side"}</definedName>
    <definedName name="wrn.STAND_ALONE_BOTH." localSheetId="4" hidden="1">{"FCB_ALL",#N/A,FALSE,"FCB";"Company1110_ALL",#N/A,FALSE,"Company1110"}</definedName>
    <definedName name="wrn.STAND_ALONE_BOTH." hidden="1">{"FCB_ALL",#N/A,FALSE,"FCB";"Company1110_ALL",#N/A,FALSE,"Company1110"}</definedName>
    <definedName name="wrn.Summary." localSheetId="4" hidden="1">{#N/A,#N/A,FALSE,"Summary"}</definedName>
    <definedName name="wrn.Summary." hidden="1">{#N/A,#N/A,FALSE,"Summary"}</definedName>
    <definedName name="wrn.Total." localSheetId="4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.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._.SHEETS." localSheetId="4" hidden="1">{#N/A,#N/A,FALSE,"DEV COSTS";#N/A,#N/A,FALSE,"10-YR C. F."}</definedName>
    <definedName name="wrn.TOTAL._.SHEETS." hidden="1">{#N/A,#N/A,FALSE,"DEV COSTS";#N/A,#N/A,FALSE,"10-YR C. F."}</definedName>
    <definedName name="wrn.TOTAL._.SHEETS5" localSheetId="4" hidden="1">{#N/A,#N/A,FALSE,"DEV COSTS";#N/A,#N/A,FALSE,"10-YR C. F."}</definedName>
    <definedName name="wrn.TOTAL._.SHEETS5" hidden="1">{#N/A,#N/A,FALSE,"DEV COSTS";#N/A,#N/A,FALSE,"10-YR C. F."}</definedName>
    <definedName name="wrn.Total5" localSheetId="4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5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ycon._.Model." localSheetId="4" hidden="1">{"rtn",#N/A,FALSE,"RTN";"tables",#N/A,FALSE,"RTN";"cf",#N/A,FALSE,"CF";"stats",#N/A,FALSE,"Stats";"prop",#N/A,FALSE,"Prop"}</definedName>
    <definedName name="wrn.Tycon._.Model." hidden="1">{"rtn",#N/A,FALSE,"RTN";"tables",#N/A,FALSE,"RTN";"cf",#N/A,FALSE,"CF";"stats",#N/A,FALSE,"Stats";"prop",#N/A,FALSE,"Prop"}</definedName>
    <definedName name="wt" localSheetId="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inputs._.raw._.data." localSheetId="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lg" localSheetId="4" hidden="1">{"schedule1",#N/A,FALSE,"Sheet1";"schedule2",#N/A,FALSE,"Sheet1";"schedule3",#N/A,FALSE,"Sheet1";"schedule4",#N/A,FALSE,"Sheet1";"schedule5",#N/A,FALSE,"Sheet1";"schedule6",#N/A,FALSE,"Sheet1"}</definedName>
    <definedName name="xlg" hidden="1">{"schedule1",#N/A,FALSE,"Sheet1";"schedule2",#N/A,FALSE,"Sheet1";"schedule3",#N/A,FALSE,"Sheet1";"schedule4",#N/A,FALSE,"Sheet1";"schedule5",#N/A,FALSE,"Sheet1";"schedule6",#N/A,FALSE,"Sheet1"}</definedName>
    <definedName name="xlg1" localSheetId="4" hidden="1">{"Year 1",#N/A,FALSE,"Budget";"Year 2",#N/A,FALSE,"Budget";"Year 3",#N/A,FALSE,"Budget";"Year 4",#N/A,FALSE,"Budget"}</definedName>
    <definedName name="xlg1" hidden="1">{"Year 1",#N/A,FALSE,"Budget";"Year 2",#N/A,FALSE,"Budget";"Year 3",#N/A,FALSE,"Budget";"Year 4",#N/A,FALSE,"Budget"}</definedName>
    <definedName name="YGJ" localSheetId="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YG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Z_0A514F46_4112_44AD_B26D_0DCE2B924903_.wvu.Cols" localSheetId="8" hidden="1">DSCR!#REF!,DSCR!#REF!</definedName>
    <definedName name="Z_0A514F46_4112_44AD_B26D_0DCE2B924903_.wvu.PrintArea" localSheetId="8" hidden="1">DSCR!$B$2:$R$60</definedName>
    <definedName name="Z_1CB3F04A_51C3_4CE4_8913_262DD8A8E4A5_.wvu.Cols" localSheetId="8" hidden="1">DSCR!#REF!,DSCR!#REF!</definedName>
    <definedName name="Z_1CB3F04A_51C3_4CE4_8913_262DD8A8E4A5_.wvu.PrintArea" localSheetId="8" hidden="1">DSCR!$B$2:$R$60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5" i="36" l="1"/>
  <c r="C114" i="36"/>
  <c r="C113" i="36"/>
  <c r="AP85" i="36"/>
  <c r="D67" i="12"/>
  <c r="C32" i="36"/>
  <c r="C31" i="36"/>
  <c r="B32" i="36"/>
  <c r="B31" i="36"/>
  <c r="B22" i="36" l="1"/>
  <c r="B27" i="36"/>
  <c r="C20" i="36"/>
  <c r="C19" i="36"/>
  <c r="C25" i="36" s="1"/>
  <c r="C29" i="36" s="1"/>
  <c r="B18" i="36"/>
  <c r="B17" i="36"/>
  <c r="B15" i="36"/>
  <c r="D11" i="36"/>
  <c r="D27" i="36" s="1"/>
  <c r="B14" i="36"/>
  <c r="C12" i="36"/>
  <c r="C9" i="36"/>
  <c r="E2" i="36"/>
  <c r="E11" i="36" l="1"/>
  <c r="E27" i="36" s="1"/>
  <c r="D18" i="36"/>
  <c r="D17" i="36"/>
  <c r="E4" i="36"/>
  <c r="F4" i="36" s="1"/>
  <c r="E5" i="36"/>
  <c r="F5" i="36" s="1"/>
  <c r="F2" i="36"/>
  <c r="E3" i="36"/>
  <c r="F3" i="36" s="1"/>
  <c r="D19" i="36" l="1"/>
  <c r="D20" i="36"/>
  <c r="F11" i="36"/>
  <c r="F27" i="36" s="1"/>
  <c r="E18" i="36"/>
  <c r="E17" i="36"/>
  <c r="D12" i="36"/>
  <c r="E19" i="36" l="1"/>
  <c r="E20" i="36"/>
  <c r="G11" i="36"/>
  <c r="G27" i="36" s="1"/>
  <c r="F18" i="36"/>
  <c r="F17" i="36"/>
  <c r="E12" i="36"/>
  <c r="F19" i="36" l="1"/>
  <c r="F20" i="36"/>
  <c r="H11" i="36"/>
  <c r="H27" i="36" s="1"/>
  <c r="G18" i="36"/>
  <c r="G17" i="36"/>
  <c r="G19" i="36" s="1"/>
  <c r="F12" i="36"/>
  <c r="G20" i="36" l="1"/>
  <c r="I11" i="36"/>
  <c r="I27" i="36" s="1"/>
  <c r="H17" i="36"/>
  <c r="H18" i="36"/>
  <c r="G12" i="36"/>
  <c r="H20" i="36" l="1"/>
  <c r="H19" i="36"/>
  <c r="J11" i="36"/>
  <c r="J27" i="36" s="1"/>
  <c r="I17" i="36"/>
  <c r="I18" i="36"/>
  <c r="H12" i="36"/>
  <c r="I20" i="36" l="1"/>
  <c r="I19" i="36"/>
  <c r="K11" i="36"/>
  <c r="K27" i="36" s="1"/>
  <c r="J17" i="36"/>
  <c r="J18" i="36"/>
  <c r="I12" i="36"/>
  <c r="J20" i="36" l="1"/>
  <c r="J19" i="36"/>
  <c r="L11" i="36"/>
  <c r="L27" i="36" s="1"/>
  <c r="K17" i="36"/>
  <c r="K18" i="36"/>
  <c r="J12" i="36"/>
  <c r="K20" i="36" l="1"/>
  <c r="K19" i="36"/>
  <c r="M11" i="36"/>
  <c r="M27" i="36" s="1"/>
  <c r="L17" i="36"/>
  <c r="L18" i="36"/>
  <c r="L20" i="36" s="1"/>
  <c r="K12" i="36"/>
  <c r="L19" i="36" l="1"/>
  <c r="N11" i="36"/>
  <c r="N27" i="36" s="1"/>
  <c r="M18" i="36"/>
  <c r="M17" i="36"/>
  <c r="L12" i="36"/>
  <c r="M19" i="36" l="1"/>
  <c r="M20" i="36"/>
  <c r="O11" i="36"/>
  <c r="O27" i="36" s="1"/>
  <c r="N18" i="36"/>
  <c r="N17" i="36"/>
  <c r="M12" i="36"/>
  <c r="N19" i="36" l="1"/>
  <c r="N20" i="36"/>
  <c r="P11" i="36"/>
  <c r="P27" i="36" s="1"/>
  <c r="O18" i="36"/>
  <c r="O17" i="36"/>
  <c r="N12" i="36"/>
  <c r="O19" i="36" l="1"/>
  <c r="O20" i="36"/>
  <c r="Q11" i="36"/>
  <c r="Q27" i="36" s="1"/>
  <c r="P17" i="36"/>
  <c r="P18" i="36"/>
  <c r="O12" i="36"/>
  <c r="P20" i="36" l="1"/>
  <c r="R11" i="36"/>
  <c r="R27" i="36" s="1"/>
  <c r="Q17" i="36"/>
  <c r="Q18" i="36"/>
  <c r="Q20" i="36" s="1"/>
  <c r="P19" i="36"/>
  <c r="P12" i="36"/>
  <c r="Q19" i="36" l="1"/>
  <c r="S11" i="36"/>
  <c r="S27" i="36" s="1"/>
  <c r="R17" i="36"/>
  <c r="R18" i="36"/>
  <c r="Q12" i="36"/>
  <c r="R20" i="36" l="1"/>
  <c r="T11" i="36"/>
  <c r="T27" i="36" s="1"/>
  <c r="S17" i="36"/>
  <c r="S18" i="36"/>
  <c r="R19" i="36"/>
  <c r="R12" i="36"/>
  <c r="S20" i="36" l="1"/>
  <c r="S19" i="36"/>
  <c r="U11" i="36"/>
  <c r="U27" i="36" s="1"/>
  <c r="T18" i="36"/>
  <c r="T17" i="36"/>
  <c r="S12" i="36"/>
  <c r="T19" i="36" l="1"/>
  <c r="T20" i="36"/>
  <c r="V11" i="36"/>
  <c r="V27" i="36" s="1"/>
  <c r="U18" i="36"/>
  <c r="U17" i="36"/>
  <c r="T12" i="36"/>
  <c r="U19" i="36" l="1"/>
  <c r="U20" i="36"/>
  <c r="W11" i="36"/>
  <c r="W27" i="36" s="1"/>
  <c r="V18" i="36"/>
  <c r="V17" i="36"/>
  <c r="U12" i="36"/>
  <c r="V19" i="36" l="1"/>
  <c r="V20" i="36"/>
  <c r="X11" i="36"/>
  <c r="X27" i="36" s="1"/>
  <c r="W18" i="36"/>
  <c r="W17" i="36"/>
  <c r="V12" i="36"/>
  <c r="W19" i="36" l="1"/>
  <c r="Y11" i="36"/>
  <c r="Y27" i="36" s="1"/>
  <c r="X18" i="36"/>
  <c r="X17" i="36"/>
  <c r="W20" i="36"/>
  <c r="W12" i="36"/>
  <c r="X19" i="36" l="1"/>
  <c r="Z11" i="36"/>
  <c r="Z27" i="36" s="1"/>
  <c r="Y17" i="36"/>
  <c r="Y18" i="36"/>
  <c r="X20" i="36"/>
  <c r="X12" i="36"/>
  <c r="Y20" i="36" l="1"/>
  <c r="Y19" i="36"/>
  <c r="AA11" i="36"/>
  <c r="AA27" i="36" s="1"/>
  <c r="Z17" i="36"/>
  <c r="Z18" i="36"/>
  <c r="Z20" i="36" s="1"/>
  <c r="Y12" i="36"/>
  <c r="Z19" i="36" l="1"/>
  <c r="AB11" i="36"/>
  <c r="AB27" i="36" s="1"/>
  <c r="AA17" i="36"/>
  <c r="AA18" i="36"/>
  <c r="AA20" i="36" s="1"/>
  <c r="Z12" i="36"/>
  <c r="AA19" i="36" l="1"/>
  <c r="AC11" i="36"/>
  <c r="AC27" i="36" s="1"/>
  <c r="AB18" i="36"/>
  <c r="AB17" i="36"/>
  <c r="AA12" i="36"/>
  <c r="AB19" i="36" l="1"/>
  <c r="AB20" i="36"/>
  <c r="AD11" i="36"/>
  <c r="AD27" i="36" s="1"/>
  <c r="AC18" i="36"/>
  <c r="AC17" i="36"/>
  <c r="AB12" i="36"/>
  <c r="AC20" i="36" l="1"/>
  <c r="AC19" i="36"/>
  <c r="AE11" i="36"/>
  <c r="AE27" i="36" s="1"/>
  <c r="AD18" i="36"/>
  <c r="AD17" i="36"/>
  <c r="AC12" i="36"/>
  <c r="AD19" i="36" l="1"/>
  <c r="AD20" i="36"/>
  <c r="AF11" i="36"/>
  <c r="AF27" i="36" s="1"/>
  <c r="AE18" i="36"/>
  <c r="AE17" i="36"/>
  <c r="AD12" i="36"/>
  <c r="AE19" i="36" l="1"/>
  <c r="AG11" i="36"/>
  <c r="AG27" i="36" s="1"/>
  <c r="AF17" i="36"/>
  <c r="AF18" i="36"/>
  <c r="AE20" i="36"/>
  <c r="AE12" i="36"/>
  <c r="AF20" i="36" l="1"/>
  <c r="AF19" i="36"/>
  <c r="AH11" i="36"/>
  <c r="AH27" i="36" s="1"/>
  <c r="AG17" i="36"/>
  <c r="AG18" i="36"/>
  <c r="AF12" i="36"/>
  <c r="AG20" i="36" l="1"/>
  <c r="AG19" i="36"/>
  <c r="AI11" i="36"/>
  <c r="AI27" i="36" s="1"/>
  <c r="AH17" i="36"/>
  <c r="AH18" i="36"/>
  <c r="AG12" i="36"/>
  <c r="AH20" i="36" l="1"/>
  <c r="AH19" i="36"/>
  <c r="AJ11" i="36"/>
  <c r="AJ27" i="36" s="1"/>
  <c r="AI17" i="36"/>
  <c r="AI18" i="36"/>
  <c r="AH12" i="36"/>
  <c r="AI19" i="36" l="1"/>
  <c r="AI20" i="36"/>
  <c r="AK11" i="36"/>
  <c r="AK27" i="36" s="1"/>
  <c r="AJ18" i="36"/>
  <c r="AJ17" i="36"/>
  <c r="AI12" i="36"/>
  <c r="AJ19" i="36" l="1"/>
  <c r="AJ20" i="36"/>
  <c r="AL11" i="36"/>
  <c r="AL27" i="36" s="1"/>
  <c r="AK18" i="36"/>
  <c r="AK17" i="36"/>
  <c r="AJ12" i="36"/>
  <c r="AK19" i="36" l="1"/>
  <c r="AM11" i="36"/>
  <c r="AM27" i="36" s="1"/>
  <c r="AL18" i="36"/>
  <c r="AL17" i="36"/>
  <c r="AK20" i="36"/>
  <c r="AK12" i="36"/>
  <c r="AL19" i="36" l="1"/>
  <c r="AL20" i="36"/>
  <c r="AN11" i="36"/>
  <c r="AN27" i="36" s="1"/>
  <c r="AM18" i="36"/>
  <c r="AM17" i="36"/>
  <c r="AL12" i="36"/>
  <c r="AM19" i="36" l="1"/>
  <c r="AM20" i="36"/>
  <c r="AO11" i="36"/>
  <c r="AO27" i="36" s="1"/>
  <c r="AN17" i="36"/>
  <c r="AN15" i="36"/>
  <c r="AN14" i="36"/>
  <c r="AN18" i="36"/>
  <c r="AN20" i="36" s="1"/>
  <c r="AM12" i="36"/>
  <c r="AN19" i="36" l="1"/>
  <c r="AP11" i="36"/>
  <c r="AP27" i="36" s="1"/>
  <c r="AO14" i="36"/>
  <c r="AO17" i="36"/>
  <c r="AO18" i="36"/>
  <c r="AO15" i="36"/>
  <c r="AN12" i="36"/>
  <c r="AO20" i="36" l="1"/>
  <c r="AO19" i="36"/>
  <c r="AQ11" i="36"/>
  <c r="AQ27" i="36" s="1"/>
  <c r="AP14" i="36"/>
  <c r="AP17" i="36"/>
  <c r="AP18" i="36"/>
  <c r="AP15" i="36"/>
  <c r="AO12" i="36"/>
  <c r="AP19" i="36" l="1"/>
  <c r="AP20" i="36"/>
  <c r="AR11" i="36"/>
  <c r="AR27" i="36" s="1"/>
  <c r="AQ17" i="36"/>
  <c r="AQ15" i="36"/>
  <c r="AQ18" i="36"/>
  <c r="AQ14" i="36"/>
  <c r="AP12" i="36"/>
  <c r="AQ20" i="36" l="1"/>
  <c r="AS11" i="36"/>
  <c r="AS27" i="36" s="1"/>
  <c r="AR18" i="36"/>
  <c r="AR15" i="36"/>
  <c r="AR17" i="36"/>
  <c r="AR14" i="36"/>
  <c r="AQ19" i="36"/>
  <c r="AQ12" i="36"/>
  <c r="AR19" i="36" l="1"/>
  <c r="AR20" i="36"/>
  <c r="AT11" i="36"/>
  <c r="AT27" i="36" s="1"/>
  <c r="AS18" i="36"/>
  <c r="AS15" i="36"/>
  <c r="AS14" i="36"/>
  <c r="AS17" i="36"/>
  <c r="AR12" i="36"/>
  <c r="AS20" i="36" l="1"/>
  <c r="AU11" i="36"/>
  <c r="AU27" i="36" s="1"/>
  <c r="AT14" i="36"/>
  <c r="AT18" i="36"/>
  <c r="AT15" i="36"/>
  <c r="AT17" i="36"/>
  <c r="AS19" i="36"/>
  <c r="AS12" i="36"/>
  <c r="AT19" i="36" l="1"/>
  <c r="AT20" i="36"/>
  <c r="AV11" i="36"/>
  <c r="AV27" i="36" s="1"/>
  <c r="AU18" i="36"/>
  <c r="AU15" i="36"/>
  <c r="AU14" i="36"/>
  <c r="AU17" i="36"/>
  <c r="AT12" i="36"/>
  <c r="AU20" i="36" l="1"/>
  <c r="AW11" i="36"/>
  <c r="AW27" i="36" s="1"/>
  <c r="AV14" i="36"/>
  <c r="AV17" i="36"/>
  <c r="AV18" i="36"/>
  <c r="AV15" i="36"/>
  <c r="AU19" i="36"/>
  <c r="AU12" i="36"/>
  <c r="AV20" i="36" l="1"/>
  <c r="AV19" i="36"/>
  <c r="AX11" i="36"/>
  <c r="AX27" i="36" s="1"/>
  <c r="AW14" i="36"/>
  <c r="AW17" i="36"/>
  <c r="AW18" i="36"/>
  <c r="AW20" i="36" s="1"/>
  <c r="AW15" i="36"/>
  <c r="AV12" i="36"/>
  <c r="AW19" i="36" l="1"/>
  <c r="AY11" i="36"/>
  <c r="AY27" i="36" s="1"/>
  <c r="AX14" i="36"/>
  <c r="AX17" i="36"/>
  <c r="AX18" i="36"/>
  <c r="AX20" i="36" s="1"/>
  <c r="AX15" i="36"/>
  <c r="AW12" i="36"/>
  <c r="AX19" i="36" l="1"/>
  <c r="AZ11" i="36"/>
  <c r="AZ27" i="36" s="1"/>
  <c r="AY17" i="36"/>
  <c r="AY18" i="36"/>
  <c r="AY15" i="36"/>
  <c r="AY14" i="36"/>
  <c r="AX12" i="36"/>
  <c r="AY20" i="36" l="1"/>
  <c r="AY19" i="36"/>
  <c r="BA11" i="36"/>
  <c r="BA27" i="36" s="1"/>
  <c r="AZ18" i="36"/>
  <c r="AZ15" i="36"/>
  <c r="AZ17" i="36"/>
  <c r="AZ19" i="36" s="1"/>
  <c r="AZ14" i="36"/>
  <c r="AY12" i="36"/>
  <c r="AZ20" i="36" l="1"/>
  <c r="BB11" i="36"/>
  <c r="BB27" i="36" s="1"/>
  <c r="BA18" i="36"/>
  <c r="BA15" i="36"/>
  <c r="BA14" i="36"/>
  <c r="BA17" i="36"/>
  <c r="AZ12" i="36"/>
  <c r="BA19" i="36" l="1"/>
  <c r="BA20" i="36"/>
  <c r="BC11" i="36"/>
  <c r="BC27" i="36" s="1"/>
  <c r="BB18" i="36"/>
  <c r="BB15" i="36"/>
  <c r="BB14" i="36"/>
  <c r="BB17" i="36"/>
  <c r="BA12" i="36"/>
  <c r="BB19" i="36" l="1"/>
  <c r="BB20" i="36"/>
  <c r="BD11" i="36"/>
  <c r="BD27" i="36" s="1"/>
  <c r="BC18" i="36"/>
  <c r="BC15" i="36"/>
  <c r="BC14" i="36"/>
  <c r="BC17" i="36"/>
  <c r="BB12" i="36"/>
  <c r="BC19" i="36" l="1"/>
  <c r="BC20" i="36"/>
  <c r="BE11" i="36"/>
  <c r="BE27" i="36" s="1"/>
  <c r="BD17" i="36"/>
  <c r="BD18" i="36"/>
  <c r="BD14" i="36"/>
  <c r="BD15" i="36"/>
  <c r="BC12" i="36"/>
  <c r="BD20" i="36" l="1"/>
  <c r="BF11" i="36"/>
  <c r="BF27" i="36" s="1"/>
  <c r="BE14" i="36"/>
  <c r="BE17" i="36"/>
  <c r="BE18" i="36"/>
  <c r="BE20" i="36" s="1"/>
  <c r="BE15" i="36"/>
  <c r="BD19" i="36"/>
  <c r="BD12" i="36"/>
  <c r="BE19" i="36" l="1"/>
  <c r="BG11" i="36"/>
  <c r="BG27" i="36" s="1"/>
  <c r="BF14" i="36"/>
  <c r="BF17" i="36"/>
  <c r="BF18" i="36"/>
  <c r="BF20" i="36" s="1"/>
  <c r="BF15" i="36"/>
  <c r="BE12" i="36"/>
  <c r="BF19" i="36" l="1"/>
  <c r="BH11" i="36"/>
  <c r="BH27" i="36" s="1"/>
  <c r="BG17" i="36"/>
  <c r="BG14" i="36"/>
  <c r="BG18" i="36"/>
  <c r="BG20" i="36" s="1"/>
  <c r="BG15" i="36"/>
  <c r="BF12" i="36"/>
  <c r="BG19" i="36" l="1"/>
  <c r="BI11" i="36"/>
  <c r="BI27" i="36" s="1"/>
  <c r="BH17" i="36"/>
  <c r="BH18" i="36"/>
  <c r="BH15" i="36"/>
  <c r="BH14" i="36"/>
  <c r="BG12" i="36"/>
  <c r="BH20" i="36" l="1"/>
  <c r="BH19" i="36"/>
  <c r="BJ11" i="36"/>
  <c r="BJ27" i="36" s="1"/>
  <c r="BI18" i="36"/>
  <c r="BI15" i="36"/>
  <c r="BI14" i="36"/>
  <c r="BI17" i="36"/>
  <c r="BI19" i="36" s="1"/>
  <c r="BH12" i="36"/>
  <c r="BI20" i="36" l="1"/>
  <c r="BK11" i="36"/>
  <c r="BK27" i="36" s="1"/>
  <c r="BJ18" i="36"/>
  <c r="BJ15" i="36"/>
  <c r="BJ14" i="36"/>
  <c r="BJ17" i="36"/>
  <c r="BJ19" i="36" s="1"/>
  <c r="BI12" i="36"/>
  <c r="BJ20" i="36" l="1"/>
  <c r="BK18" i="36"/>
  <c r="BK15" i="36"/>
  <c r="BK17" i="36"/>
  <c r="BK19" i="36" s="1"/>
  <c r="BK14" i="36"/>
  <c r="BJ12" i="36"/>
  <c r="BK20" i="36" l="1"/>
  <c r="BK12" i="36"/>
  <c r="G19" i="4" l="1"/>
  <c r="F5" i="4"/>
  <c r="AM46" i="13" l="1"/>
  <c r="D68" i="12"/>
  <c r="K7" i="13"/>
  <c r="D93" i="12"/>
  <c r="N11" i="13"/>
  <c r="I58" i="12" s="1"/>
  <c r="I56" i="12"/>
  <c r="D32" i="36" s="1"/>
  <c r="W7" i="13"/>
  <c r="R7" i="13"/>
  <c r="S7" i="13"/>
  <c r="P7" i="13"/>
  <c r="Q7" i="13"/>
  <c r="G9" i="12"/>
  <c r="E20" i="12"/>
  <c r="G5" i="12"/>
  <c r="T3" i="13" s="1"/>
  <c r="T2" i="13"/>
  <c r="S6" i="13"/>
  <c r="S5" i="13"/>
  <c r="S4" i="13"/>
  <c r="S3" i="13"/>
  <c r="S2" i="13"/>
  <c r="Q2" i="13"/>
  <c r="P3" i="13"/>
  <c r="P4" i="13"/>
  <c r="P5" i="13"/>
  <c r="P6" i="13"/>
  <c r="P2" i="13"/>
  <c r="E71" i="12"/>
  <c r="E4" i="11" s="1"/>
  <c r="E35" i="11" s="1"/>
  <c r="B5" i="33" s="1"/>
  <c r="F12" i="4"/>
  <c r="F10" i="4"/>
  <c r="E9" i="4"/>
  <c r="E12" i="4" s="1"/>
  <c r="E18" i="4"/>
  <c r="G18" i="4" s="1"/>
  <c r="D18" i="4"/>
  <c r="H18" i="4" s="1"/>
  <c r="E17" i="4"/>
  <c r="D17" i="4"/>
  <c r="H17" i="4" s="1"/>
  <c r="E16" i="4"/>
  <c r="G16" i="4" s="1"/>
  <c r="D16" i="4"/>
  <c r="H16" i="4" s="1"/>
  <c r="K19" i="4"/>
  <c r="C19" i="4"/>
  <c r="I18" i="4"/>
  <c r="I17" i="4"/>
  <c r="I16" i="4"/>
  <c r="K7" i="4"/>
  <c r="L5" i="4" s="1"/>
  <c r="M5" i="4" s="1"/>
  <c r="H28" i="13"/>
  <c r="BO52" i="13" l="1"/>
  <c r="BO55" i="12" s="1"/>
  <c r="BJ31" i="36" s="1"/>
  <c r="AR52" i="13"/>
  <c r="T7" i="13"/>
  <c r="L1" i="36"/>
  <c r="AT52" i="13"/>
  <c r="AT55" i="12" s="1"/>
  <c r="AO31" i="36" s="1"/>
  <c r="BA52" i="13"/>
  <c r="BA55" i="12" s="1"/>
  <c r="AV31" i="36" s="1"/>
  <c r="BF52" i="13"/>
  <c r="BF55" i="12" s="1"/>
  <c r="BA31" i="36" s="1"/>
  <c r="R52" i="13"/>
  <c r="R55" i="12" s="1"/>
  <c r="M31" i="36" s="1"/>
  <c r="AL52" i="13"/>
  <c r="AL55" i="12" s="1"/>
  <c r="AG31" i="36" s="1"/>
  <c r="BI52" i="13"/>
  <c r="BI55" i="12" s="1"/>
  <c r="BD31" i="36" s="1"/>
  <c r="J52" i="13"/>
  <c r="J55" i="12" s="1"/>
  <c r="E31" i="36" s="1"/>
  <c r="M52" i="13"/>
  <c r="M55" i="12" s="1"/>
  <c r="H31" i="36" s="1"/>
  <c r="AH52" i="13"/>
  <c r="AH55" i="12" s="1"/>
  <c r="AC31" i="36" s="1"/>
  <c r="BB52" i="13"/>
  <c r="BB55" i="12" s="1"/>
  <c r="AW31" i="36" s="1"/>
  <c r="N52" i="13"/>
  <c r="N55" i="12" s="1"/>
  <c r="I31" i="36" s="1"/>
  <c r="U52" i="13"/>
  <c r="U55" i="12" s="1"/>
  <c r="P31" i="36" s="1"/>
  <c r="AP52" i="13"/>
  <c r="AP55" i="12" s="1"/>
  <c r="AK31" i="36" s="1"/>
  <c r="BJ52" i="13"/>
  <c r="BJ55" i="12" s="1"/>
  <c r="BE31" i="36" s="1"/>
  <c r="Z52" i="13"/>
  <c r="Z55" i="12" s="1"/>
  <c r="U31" i="36" s="1"/>
  <c r="AD52" i="13"/>
  <c r="AD55" i="12" s="1"/>
  <c r="Y31" i="36" s="1"/>
  <c r="AK52" i="13"/>
  <c r="AK55" i="12" s="1"/>
  <c r="AF31" i="36" s="1"/>
  <c r="V52" i="13"/>
  <c r="V55" i="12" s="1"/>
  <c r="Q31" i="36" s="1"/>
  <c r="AS52" i="13"/>
  <c r="AS55" i="12" s="1"/>
  <c r="AN31" i="36" s="1"/>
  <c r="BN52" i="13"/>
  <c r="BN55" i="12" s="1"/>
  <c r="BI31" i="36" s="1"/>
  <c r="AC52" i="13"/>
  <c r="AC55" i="12" s="1"/>
  <c r="X31" i="36" s="1"/>
  <c r="AX52" i="13"/>
  <c r="AX55" i="12" s="1"/>
  <c r="AS31" i="36" s="1"/>
  <c r="L52" i="13"/>
  <c r="L55" i="12" s="1"/>
  <c r="G31" i="36" s="1"/>
  <c r="T52" i="13"/>
  <c r="T55" i="12" s="1"/>
  <c r="O31" i="36" s="1"/>
  <c r="AB52" i="13"/>
  <c r="AB55" i="12" s="1"/>
  <c r="W31" i="36" s="1"/>
  <c r="AJ52" i="13"/>
  <c r="AJ55" i="12" s="1"/>
  <c r="AE31" i="36" s="1"/>
  <c r="AZ52" i="13"/>
  <c r="AZ55" i="12" s="1"/>
  <c r="AU31" i="36" s="1"/>
  <c r="BH52" i="13"/>
  <c r="BH55" i="12" s="1"/>
  <c r="BC31" i="36" s="1"/>
  <c r="BP52" i="13"/>
  <c r="BP55" i="12" s="1"/>
  <c r="BK31" i="36" s="1"/>
  <c r="O52" i="13"/>
  <c r="O55" i="12" s="1"/>
  <c r="J31" i="36" s="1"/>
  <c r="W52" i="13"/>
  <c r="W55" i="12" s="1"/>
  <c r="R31" i="36" s="1"/>
  <c r="AE52" i="13"/>
  <c r="AE55" i="12" s="1"/>
  <c r="Z31" i="36" s="1"/>
  <c r="AM52" i="13"/>
  <c r="AM55" i="12" s="1"/>
  <c r="AH31" i="36" s="1"/>
  <c r="AU52" i="13"/>
  <c r="AU55" i="12" s="1"/>
  <c r="AP31" i="36" s="1"/>
  <c r="BC52" i="13"/>
  <c r="BC55" i="12" s="1"/>
  <c r="AX31" i="36" s="1"/>
  <c r="BK52" i="13"/>
  <c r="BK55" i="12" s="1"/>
  <c r="BF31" i="36" s="1"/>
  <c r="P52" i="13"/>
  <c r="P55" i="12" s="1"/>
  <c r="K31" i="36" s="1"/>
  <c r="X52" i="13"/>
  <c r="X55" i="12" s="1"/>
  <c r="S31" i="36" s="1"/>
  <c r="AF52" i="13"/>
  <c r="AF55" i="12" s="1"/>
  <c r="AA31" i="36" s="1"/>
  <c r="AN52" i="13"/>
  <c r="AN55" i="12" s="1"/>
  <c r="AI31" i="36" s="1"/>
  <c r="AV52" i="13"/>
  <c r="AV55" i="12" s="1"/>
  <c r="AQ31" i="36" s="1"/>
  <c r="BD52" i="13"/>
  <c r="BD55" i="12" s="1"/>
  <c r="AY31" i="36" s="1"/>
  <c r="BL52" i="13"/>
  <c r="BL55" i="12" s="1"/>
  <c r="BG31" i="36" s="1"/>
  <c r="I52" i="13"/>
  <c r="I55" i="12" s="1"/>
  <c r="D31" i="36" s="1"/>
  <c r="Q52" i="13"/>
  <c r="Q55" i="12" s="1"/>
  <c r="L31" i="36" s="1"/>
  <c r="Y52" i="13"/>
  <c r="Y55" i="12" s="1"/>
  <c r="T31" i="36" s="1"/>
  <c r="AG52" i="13"/>
  <c r="AG55" i="12" s="1"/>
  <c r="AB31" i="36" s="1"/>
  <c r="AO52" i="13"/>
  <c r="AO55" i="12" s="1"/>
  <c r="AJ31" i="36" s="1"/>
  <c r="AW52" i="13"/>
  <c r="AW55" i="12" s="1"/>
  <c r="AR31" i="36" s="1"/>
  <c r="BE52" i="13"/>
  <c r="BE55" i="12" s="1"/>
  <c r="AZ31" i="36" s="1"/>
  <c r="BM52" i="13"/>
  <c r="BM55" i="12" s="1"/>
  <c r="BH31" i="36" s="1"/>
  <c r="K52" i="13"/>
  <c r="K55" i="12" s="1"/>
  <c r="F31" i="36" s="1"/>
  <c r="S52" i="13"/>
  <c r="S55" i="12" s="1"/>
  <c r="N31" i="36" s="1"/>
  <c r="AA52" i="13"/>
  <c r="AA55" i="12" s="1"/>
  <c r="V31" i="36" s="1"/>
  <c r="AI52" i="13"/>
  <c r="AI55" i="12" s="1"/>
  <c r="AD31" i="36" s="1"/>
  <c r="AQ52" i="13"/>
  <c r="AQ55" i="12" s="1"/>
  <c r="AL31" i="36" s="1"/>
  <c r="AY52" i="13"/>
  <c r="AY55" i="12" s="1"/>
  <c r="AT31" i="36" s="1"/>
  <c r="BG52" i="13"/>
  <c r="BG55" i="12" s="1"/>
  <c r="BB31" i="36" s="1"/>
  <c r="G6" i="12"/>
  <c r="J18" i="4"/>
  <c r="J16" i="4"/>
  <c r="L16" i="4"/>
  <c r="M16" i="4" s="1"/>
  <c r="I19" i="4"/>
  <c r="F18" i="4"/>
  <c r="F17" i="4"/>
  <c r="D19" i="4"/>
  <c r="G17" i="4"/>
  <c r="J17" i="4" s="1"/>
  <c r="F16" i="4"/>
  <c r="L18" i="4"/>
  <c r="M18" i="4" s="1"/>
  <c r="H19" i="4"/>
  <c r="L17" i="4"/>
  <c r="M17" i="4" s="1"/>
  <c r="L4" i="4"/>
  <c r="M4" i="4" s="1"/>
  <c r="L6" i="4"/>
  <c r="M6" i="4" s="1"/>
  <c r="AH23" i="10"/>
  <c r="I6" i="4" s="1"/>
  <c r="AG23" i="10"/>
  <c r="E6" i="4" s="1"/>
  <c r="AF23" i="10"/>
  <c r="AE23" i="10"/>
  <c r="AD23" i="10"/>
  <c r="AA23" i="10"/>
  <c r="I5" i="4" s="1"/>
  <c r="Z23" i="10"/>
  <c r="E5" i="4" s="1"/>
  <c r="X23" i="10"/>
  <c r="W23" i="10"/>
  <c r="Y23" i="10"/>
  <c r="T23" i="10"/>
  <c r="I4" i="4" s="1"/>
  <c r="S23" i="10"/>
  <c r="E4" i="4" s="1"/>
  <c r="Q23" i="10"/>
  <c r="P23" i="10"/>
  <c r="R23" i="10"/>
  <c r="J23" i="10"/>
  <c r="I23" i="10"/>
  <c r="M23" i="10"/>
  <c r="L23" i="10"/>
  <c r="O23" i="10" s="1"/>
  <c r="K23" i="10"/>
  <c r="N23" i="10" s="1"/>
  <c r="AO21" i="10"/>
  <c r="AN21" i="10"/>
  <c r="AL21" i="10"/>
  <c r="H21" i="10" s="1"/>
  <c r="AK21" i="10"/>
  <c r="G21" i="10" s="1"/>
  <c r="AO20" i="10"/>
  <c r="AM20" i="10"/>
  <c r="AL20" i="10"/>
  <c r="H20" i="10" s="1"/>
  <c r="AK20" i="10"/>
  <c r="G20" i="10" s="1"/>
  <c r="AL19" i="10"/>
  <c r="AK19" i="10"/>
  <c r="G19" i="10" s="1"/>
  <c r="AL18" i="10"/>
  <c r="AK18" i="10"/>
  <c r="G18" i="10" s="1"/>
  <c r="AO17" i="10"/>
  <c r="AN17" i="10"/>
  <c r="AM17" i="10"/>
  <c r="AL17" i="10"/>
  <c r="H17" i="10" s="1"/>
  <c r="AK17" i="10"/>
  <c r="G17" i="10"/>
  <c r="AJ22" i="10"/>
  <c r="AI22" i="10"/>
  <c r="AJ21" i="10"/>
  <c r="AI21" i="10"/>
  <c r="AJ20" i="10"/>
  <c r="AI20" i="10"/>
  <c r="AJ19" i="10"/>
  <c r="AI19" i="10"/>
  <c r="AJ18" i="10"/>
  <c r="AI18" i="10"/>
  <c r="AJ17" i="10"/>
  <c r="AI17" i="10"/>
  <c r="AJ16" i="10"/>
  <c r="AI16" i="10"/>
  <c r="AJ15" i="10"/>
  <c r="AI15" i="10"/>
  <c r="AJ14" i="10"/>
  <c r="AI14" i="10"/>
  <c r="AJ13" i="10"/>
  <c r="AI13" i="10"/>
  <c r="AJ12" i="10"/>
  <c r="AI12" i="10"/>
  <c r="AJ11" i="10"/>
  <c r="AI11" i="10"/>
  <c r="AC22" i="10"/>
  <c r="AB22" i="10"/>
  <c r="AC21" i="10"/>
  <c r="AB21" i="10"/>
  <c r="AC20" i="10"/>
  <c r="AB20" i="10"/>
  <c r="AC19" i="10"/>
  <c r="AB19" i="10"/>
  <c r="AC18" i="10"/>
  <c r="AB18" i="10"/>
  <c r="AC17" i="10"/>
  <c r="AB17" i="10"/>
  <c r="AC16" i="10"/>
  <c r="AB16" i="10"/>
  <c r="AC15" i="10"/>
  <c r="AB15" i="10"/>
  <c r="AC14" i="10"/>
  <c r="AB14" i="10"/>
  <c r="AC13" i="10"/>
  <c r="AB13" i="10"/>
  <c r="AC12" i="10"/>
  <c r="AB12" i="10"/>
  <c r="AC11" i="10"/>
  <c r="AB11" i="10"/>
  <c r="V22" i="10"/>
  <c r="U22" i="10"/>
  <c r="V21" i="10"/>
  <c r="U21" i="10"/>
  <c r="V20" i="10"/>
  <c r="U20" i="10"/>
  <c r="V19" i="10"/>
  <c r="U19" i="10"/>
  <c r="V18" i="10"/>
  <c r="U18" i="10"/>
  <c r="V17" i="10"/>
  <c r="U17" i="10"/>
  <c r="V16" i="10"/>
  <c r="U16" i="10"/>
  <c r="V15" i="10"/>
  <c r="U15" i="10"/>
  <c r="V14" i="10"/>
  <c r="U14" i="10"/>
  <c r="V13" i="10"/>
  <c r="U13" i="10"/>
  <c r="V12" i="10"/>
  <c r="U12" i="10"/>
  <c r="V11" i="10"/>
  <c r="U11" i="10"/>
  <c r="O22" i="10"/>
  <c r="N22" i="10"/>
  <c r="O21" i="10"/>
  <c r="N21" i="10"/>
  <c r="O20" i="10"/>
  <c r="N20" i="10"/>
  <c r="O19" i="10"/>
  <c r="N19" i="10"/>
  <c r="O18" i="10"/>
  <c r="N18" i="10"/>
  <c r="O17" i="10"/>
  <c r="N17" i="10"/>
  <c r="O16" i="10"/>
  <c r="N16" i="10"/>
  <c r="O15" i="10"/>
  <c r="N15" i="10"/>
  <c r="O14" i="10"/>
  <c r="N14" i="10"/>
  <c r="O13" i="10"/>
  <c r="N13" i="10"/>
  <c r="O12" i="10"/>
  <c r="N12" i="10"/>
  <c r="O11" i="10"/>
  <c r="N11" i="10"/>
  <c r="AK12" i="10"/>
  <c r="AM12" i="10" s="1"/>
  <c r="AL12" i="10"/>
  <c r="AK13" i="10"/>
  <c r="AM13" i="10" s="1"/>
  <c r="AL13" i="10"/>
  <c r="AK14" i="10"/>
  <c r="G14" i="10" s="1"/>
  <c r="AL14" i="10"/>
  <c r="AK15" i="10"/>
  <c r="G15" i="10" s="1"/>
  <c r="AL15" i="10"/>
  <c r="AK16" i="10"/>
  <c r="G16" i="10" s="1"/>
  <c r="AL16" i="10"/>
  <c r="AL11" i="10"/>
  <c r="AK11" i="10"/>
  <c r="G11" i="10" s="1"/>
  <c r="H94" i="12"/>
  <c r="E4" i="12"/>
  <c r="I13" i="13"/>
  <c r="R2" i="13" l="1"/>
  <c r="I71" i="12"/>
  <c r="I9" i="12"/>
  <c r="I12" i="13" s="1"/>
  <c r="I18" i="13" s="1"/>
  <c r="G7" i="12"/>
  <c r="T4" i="13"/>
  <c r="D5" i="12"/>
  <c r="E19" i="4"/>
  <c r="F19" i="4" s="1"/>
  <c r="AN20" i="10"/>
  <c r="AN18" i="10"/>
  <c r="AO18" i="10"/>
  <c r="AQ18" i="10" s="1"/>
  <c r="AQ17" i="10"/>
  <c r="AI23" i="10"/>
  <c r="AM19" i="10"/>
  <c r="I7" i="4"/>
  <c r="AB23" i="10"/>
  <c r="AJ23" i="10"/>
  <c r="U23" i="10"/>
  <c r="AC23" i="10"/>
  <c r="AN19" i="10"/>
  <c r="AQ19" i="10" s="1"/>
  <c r="AO19" i="10"/>
  <c r="AM21" i="10"/>
  <c r="V23" i="10"/>
  <c r="AM18" i="10"/>
  <c r="AP18" i="10" s="1"/>
  <c r="AP17" i="10"/>
  <c r="AK22" i="10"/>
  <c r="G22" i="10" s="1"/>
  <c r="AL22" i="10"/>
  <c r="AL23" i="10" s="1"/>
  <c r="AN22" i="10"/>
  <c r="H22" i="10"/>
  <c r="AQ21" i="10"/>
  <c r="AP21" i="10"/>
  <c r="AP20" i="10"/>
  <c r="AQ20" i="10"/>
  <c r="H19" i="10"/>
  <c r="H18" i="10"/>
  <c r="H11" i="10"/>
  <c r="AN11" i="10"/>
  <c r="AO11" i="10"/>
  <c r="AO16" i="10"/>
  <c r="AN16" i="10"/>
  <c r="AM16" i="10"/>
  <c r="H16" i="10"/>
  <c r="AN15" i="10"/>
  <c r="AO15" i="10"/>
  <c r="AM15" i="10"/>
  <c r="AP15" i="10" s="1"/>
  <c r="H15" i="10"/>
  <c r="H14" i="10"/>
  <c r="AO14" i="10"/>
  <c r="AN14" i="10"/>
  <c r="AM14" i="10"/>
  <c r="AP14" i="10" s="1"/>
  <c r="G13" i="10"/>
  <c r="AO13" i="10"/>
  <c r="H13" i="10"/>
  <c r="H12" i="10"/>
  <c r="G12" i="10"/>
  <c r="AO12" i="10"/>
  <c r="AN13" i="10"/>
  <c r="AN12" i="10"/>
  <c r="AM11" i="10"/>
  <c r="H29" i="12"/>
  <c r="H45" i="12"/>
  <c r="E45" i="12" s="1"/>
  <c r="BP33" i="12"/>
  <c r="BO33" i="12"/>
  <c r="BN33" i="12"/>
  <c r="BM33" i="12"/>
  <c r="BL33" i="12"/>
  <c r="BK33" i="12"/>
  <c r="BJ33" i="12"/>
  <c r="BI33" i="12"/>
  <c r="BH33" i="12"/>
  <c r="BG33" i="12"/>
  <c r="BF33" i="12"/>
  <c r="BE33" i="12"/>
  <c r="BD33" i="12"/>
  <c r="BC33" i="12"/>
  <c r="BB33" i="12"/>
  <c r="BA33" i="12"/>
  <c r="AZ33" i="12"/>
  <c r="AY33" i="12"/>
  <c r="AX33" i="12"/>
  <c r="AW33" i="12"/>
  <c r="AV33" i="12"/>
  <c r="AU33" i="12"/>
  <c r="AT33" i="12"/>
  <c r="AS33" i="12"/>
  <c r="AR33" i="12"/>
  <c r="AQ33" i="12"/>
  <c r="AP33" i="12"/>
  <c r="AO33" i="12"/>
  <c r="AN33" i="12"/>
  <c r="AM33" i="12"/>
  <c r="AL33" i="12"/>
  <c r="AK33" i="12"/>
  <c r="AJ33" i="12"/>
  <c r="AI33" i="12"/>
  <c r="AH33" i="12"/>
  <c r="AG33" i="12"/>
  <c r="AF33" i="12"/>
  <c r="AE33" i="12"/>
  <c r="AD33" i="12"/>
  <c r="AC33" i="12"/>
  <c r="AB33" i="12"/>
  <c r="AA33" i="12"/>
  <c r="Z33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I20" i="12" l="1"/>
  <c r="E5" i="12"/>
  <c r="I93" i="12" s="1"/>
  <c r="Q3" i="13"/>
  <c r="G8" i="12"/>
  <c r="T6" i="13" s="1"/>
  <c r="T5" i="13"/>
  <c r="J19" i="4"/>
  <c r="AQ15" i="10"/>
  <c r="AN23" i="10"/>
  <c r="AQ11" i="10"/>
  <c r="AP19" i="10"/>
  <c r="AP11" i="10"/>
  <c r="AK23" i="10"/>
  <c r="G23" i="10" s="1"/>
  <c r="AQ12" i="10"/>
  <c r="AP12" i="10"/>
  <c r="AQ13" i="10"/>
  <c r="AQ14" i="10"/>
  <c r="AP16" i="10"/>
  <c r="AP13" i="10"/>
  <c r="AQ16" i="10"/>
  <c r="AO22" i="10"/>
  <c r="AQ22" i="10" s="1"/>
  <c r="AM22" i="10"/>
  <c r="AP22" i="10" s="1"/>
  <c r="D87" i="12"/>
  <c r="H76" i="12"/>
  <c r="F68" i="12"/>
  <c r="F67" i="12"/>
  <c r="E94" i="12"/>
  <c r="E25" i="11" s="1"/>
  <c r="E42" i="11" s="1"/>
  <c r="B12" i="33" s="1"/>
  <c r="E92" i="12"/>
  <c r="E23" i="11" s="1"/>
  <c r="E90" i="12"/>
  <c r="E21" i="11" s="1"/>
  <c r="E38" i="11" s="1"/>
  <c r="B8" i="33" s="1"/>
  <c r="E89" i="12"/>
  <c r="E20" i="11" s="1"/>
  <c r="E86" i="12"/>
  <c r="E17" i="11" s="1"/>
  <c r="E85" i="12"/>
  <c r="E16" i="11" s="1"/>
  <c r="E82" i="12"/>
  <c r="E13" i="11" s="1"/>
  <c r="E81" i="12"/>
  <c r="E12" i="11" s="1"/>
  <c r="E80" i="12"/>
  <c r="E11" i="11" s="1"/>
  <c r="E79" i="12"/>
  <c r="E10" i="11" s="1"/>
  <c r="E75" i="12"/>
  <c r="E7" i="11" s="1"/>
  <c r="E74" i="12"/>
  <c r="E6" i="11" s="1"/>
  <c r="H27" i="12"/>
  <c r="H25" i="12"/>
  <c r="H24" i="12"/>
  <c r="H22" i="12"/>
  <c r="H21" i="12"/>
  <c r="BP69" i="12"/>
  <c r="BP19" i="12" s="1"/>
  <c r="BO69" i="12"/>
  <c r="BO19" i="12" s="1"/>
  <c r="BN69" i="12"/>
  <c r="BN19" i="12" s="1"/>
  <c r="BM69" i="12"/>
  <c r="BM19" i="12" s="1"/>
  <c r="BL69" i="12"/>
  <c r="BL19" i="12" s="1"/>
  <c r="BK69" i="12"/>
  <c r="BK19" i="12" s="1"/>
  <c r="BJ69" i="12"/>
  <c r="BJ19" i="12" s="1"/>
  <c r="BI69" i="12"/>
  <c r="BI19" i="12" s="1"/>
  <c r="BH69" i="12"/>
  <c r="BH19" i="12" s="1"/>
  <c r="BG69" i="12"/>
  <c r="BG19" i="12" s="1"/>
  <c r="BF69" i="12"/>
  <c r="BF19" i="12" s="1"/>
  <c r="BE69" i="12"/>
  <c r="BE19" i="12" s="1"/>
  <c r="BD69" i="12"/>
  <c r="BD19" i="12" s="1"/>
  <c r="BC69" i="12"/>
  <c r="BC19" i="12" s="1"/>
  <c r="BB69" i="12"/>
  <c r="BB19" i="12" s="1"/>
  <c r="BA69" i="12"/>
  <c r="BA19" i="12" s="1"/>
  <c r="AZ69" i="12"/>
  <c r="AZ19" i="12" s="1"/>
  <c r="AY69" i="12"/>
  <c r="AY19" i="12" s="1"/>
  <c r="AX69" i="12"/>
  <c r="AX19" i="12" s="1"/>
  <c r="AW69" i="12"/>
  <c r="AW19" i="12" s="1"/>
  <c r="AV69" i="12"/>
  <c r="AV19" i="12" s="1"/>
  <c r="AU69" i="12"/>
  <c r="AU19" i="12" s="1"/>
  <c r="AT69" i="12"/>
  <c r="AT19" i="12" s="1"/>
  <c r="AS69" i="12"/>
  <c r="AS19" i="12" s="1"/>
  <c r="AR69" i="12"/>
  <c r="AR19" i="12" s="1"/>
  <c r="AQ69" i="12"/>
  <c r="AQ19" i="12" s="1"/>
  <c r="AP69" i="12"/>
  <c r="AP19" i="12" s="1"/>
  <c r="AO69" i="12"/>
  <c r="AO19" i="12" s="1"/>
  <c r="AN69" i="12"/>
  <c r="AN19" i="12" s="1"/>
  <c r="AM69" i="12"/>
  <c r="AM19" i="12" s="1"/>
  <c r="AL69" i="12"/>
  <c r="AL19" i="12" s="1"/>
  <c r="AK69" i="12"/>
  <c r="AK19" i="12" s="1"/>
  <c r="AJ69" i="12"/>
  <c r="AJ19" i="12" s="1"/>
  <c r="AI69" i="12"/>
  <c r="AI19" i="12" s="1"/>
  <c r="AH69" i="12"/>
  <c r="AH19" i="12" s="1"/>
  <c r="AG69" i="12"/>
  <c r="AG19" i="12" s="1"/>
  <c r="AF69" i="12"/>
  <c r="AF19" i="12" s="1"/>
  <c r="AE69" i="12"/>
  <c r="AE19" i="12" s="1"/>
  <c r="AD69" i="12"/>
  <c r="AD19" i="12" s="1"/>
  <c r="AC69" i="12"/>
  <c r="AC19" i="12" s="1"/>
  <c r="AB69" i="12"/>
  <c r="AB19" i="12" s="1"/>
  <c r="AA69" i="12"/>
  <c r="AA19" i="12" s="1"/>
  <c r="Z69" i="12"/>
  <c r="Z19" i="12" s="1"/>
  <c r="Y69" i="12"/>
  <c r="Y19" i="12" s="1"/>
  <c r="X69" i="12"/>
  <c r="X19" i="12" s="1"/>
  <c r="W69" i="12"/>
  <c r="W19" i="12" s="1"/>
  <c r="V69" i="12"/>
  <c r="V19" i="12" s="1"/>
  <c r="U69" i="12"/>
  <c r="U19" i="12" s="1"/>
  <c r="T69" i="12"/>
  <c r="T19" i="12" s="1"/>
  <c r="S69" i="12"/>
  <c r="S19" i="12" s="1"/>
  <c r="R69" i="12"/>
  <c r="R19" i="12" s="1"/>
  <c r="Q69" i="12"/>
  <c r="Q19" i="12" s="1"/>
  <c r="P69" i="12"/>
  <c r="P19" i="12" s="1"/>
  <c r="O69" i="12"/>
  <c r="O19" i="12" s="1"/>
  <c r="N69" i="12"/>
  <c r="N19" i="12" s="1"/>
  <c r="M69" i="12"/>
  <c r="M19" i="12" s="1"/>
  <c r="L69" i="12"/>
  <c r="L19" i="12" s="1"/>
  <c r="K69" i="12"/>
  <c r="K19" i="12" s="1"/>
  <c r="J69" i="12"/>
  <c r="J19" i="12" s="1"/>
  <c r="I69" i="12"/>
  <c r="I19" i="12" s="1"/>
  <c r="I74" i="12" l="1"/>
  <c r="I82" i="12"/>
  <c r="I79" i="12"/>
  <c r="I81" i="12"/>
  <c r="I89" i="12"/>
  <c r="I91" i="12"/>
  <c r="I84" i="12"/>
  <c r="I80" i="12"/>
  <c r="I85" i="12"/>
  <c r="R3" i="13"/>
  <c r="D6" i="12"/>
  <c r="I86" i="12"/>
  <c r="I75" i="12"/>
  <c r="I90" i="12"/>
  <c r="I83" i="12"/>
  <c r="F69" i="12"/>
  <c r="F3" i="11" s="1"/>
  <c r="F34" i="11" s="1"/>
  <c r="E4" i="33" s="1"/>
  <c r="AM23" i="10"/>
  <c r="AP23" i="10" s="1"/>
  <c r="AO23" i="10"/>
  <c r="AQ23" i="10" s="1"/>
  <c r="E40" i="11"/>
  <c r="B10" i="33" s="1"/>
  <c r="E8" i="11"/>
  <c r="E36" i="11" s="1"/>
  <c r="E76" i="12"/>
  <c r="F19" i="12"/>
  <c r="H93" i="12"/>
  <c r="H91" i="12"/>
  <c r="H83" i="12"/>
  <c r="H84" i="12"/>
  <c r="H68" i="12"/>
  <c r="E68" i="12" s="1"/>
  <c r="G68" i="12" s="1"/>
  <c r="H67" i="12"/>
  <c r="E67" i="12" s="1"/>
  <c r="D69" i="12"/>
  <c r="D92" i="12"/>
  <c r="D76" i="12"/>
  <c r="H10" i="12"/>
  <c r="H64" i="12"/>
  <c r="E6" i="12" l="1"/>
  <c r="R4" i="13" s="1"/>
  <c r="Q4" i="13"/>
  <c r="Q9" i="13" s="1"/>
  <c r="B6" i="33"/>
  <c r="H28" i="12"/>
  <c r="E84" i="12"/>
  <c r="E15" i="11" s="1"/>
  <c r="D96" i="12"/>
  <c r="H87" i="12"/>
  <c r="H26" i="12"/>
  <c r="E91" i="12"/>
  <c r="E22" i="11" s="1"/>
  <c r="E93" i="12"/>
  <c r="E24" i="11" s="1"/>
  <c r="G67" i="12"/>
  <c r="G69" i="12" s="1"/>
  <c r="E69" i="12"/>
  <c r="E3" i="11" s="1"/>
  <c r="E34" i="11" s="1"/>
  <c r="B4" i="33" s="1"/>
  <c r="E83" i="12"/>
  <c r="H23" i="12"/>
  <c r="H69" i="12"/>
  <c r="I19" i="13"/>
  <c r="R9" i="13" l="1"/>
  <c r="Q10" i="13" s="1"/>
  <c r="I21" i="13"/>
  <c r="D5" i="33"/>
  <c r="H4" i="33"/>
  <c r="E39" i="11"/>
  <c r="B9" i="33" s="1"/>
  <c r="E41" i="11"/>
  <c r="B11" i="33" s="1"/>
  <c r="G3" i="11"/>
  <c r="G34" i="11" s="1"/>
  <c r="E87" i="12"/>
  <c r="E96" i="12" s="1"/>
  <c r="E14" i="11"/>
  <c r="E18" i="11" s="1"/>
  <c r="E37" i="11" s="1"/>
  <c r="B7" i="33" s="1"/>
  <c r="H19" i="12"/>
  <c r="H96" i="12"/>
  <c r="I87" i="12"/>
  <c r="I22" i="12"/>
  <c r="I24" i="12"/>
  <c r="I26" i="12"/>
  <c r="I28" i="12"/>
  <c r="I25" i="12"/>
  <c r="I21" i="12"/>
  <c r="I23" i="12"/>
  <c r="I43" i="32"/>
  <c r="I54" i="32"/>
  <c r="E27" i="11" l="1"/>
  <c r="B15" i="33"/>
  <c r="E43" i="11"/>
  <c r="E28" i="12" l="1"/>
  <c r="O63" i="32"/>
  <c r="N63" i="32"/>
  <c r="M63" i="32"/>
  <c r="O61" i="32"/>
  <c r="N61" i="32"/>
  <c r="M61" i="32"/>
  <c r="K61" i="32"/>
  <c r="I61" i="32"/>
  <c r="G61" i="32"/>
  <c r="E61" i="32"/>
  <c r="D61" i="32"/>
  <c r="M60" i="32"/>
  <c r="D64" i="32"/>
  <c r="D7" i="32" s="1"/>
  <c r="C51" i="32"/>
  <c r="C50" i="32"/>
  <c r="C49" i="32"/>
  <c r="C47" i="32"/>
  <c r="C48" i="32" s="1"/>
  <c r="E39" i="32"/>
  <c r="D39" i="32"/>
  <c r="K38" i="32"/>
  <c r="N36" i="32"/>
  <c r="N35" i="32"/>
  <c r="M34" i="32"/>
  <c r="O34" i="32" s="1"/>
  <c r="R32" i="32"/>
  <c r="R31" i="32"/>
  <c r="N31" i="32"/>
  <c r="Q31" i="32"/>
  <c r="R30" i="32"/>
  <c r="Q29" i="32"/>
  <c r="E27" i="32"/>
  <c r="K24" i="32"/>
  <c r="Q24" i="32" s="1"/>
  <c r="I27" i="32"/>
  <c r="G27" i="32"/>
  <c r="K23" i="32"/>
  <c r="Q23" i="32" s="1"/>
  <c r="K22" i="32"/>
  <c r="Q22" i="32" s="1"/>
  <c r="E19" i="32"/>
  <c r="D19" i="32"/>
  <c r="D18" i="32"/>
  <c r="O17" i="32"/>
  <c r="N17" i="32"/>
  <c r="M17" i="32"/>
  <c r="K17" i="32"/>
  <c r="R17" i="32" s="1"/>
  <c r="R8" i="32"/>
  <c r="Q8" i="32"/>
  <c r="N8" i="32"/>
  <c r="M8" i="32"/>
  <c r="I10" i="32"/>
  <c r="I48" i="32" s="1"/>
  <c r="E7" i="32"/>
  <c r="N32" i="32" l="1"/>
  <c r="Q64" i="32"/>
  <c r="Q7" i="32" s="1"/>
  <c r="Q11" i="32" s="1"/>
  <c r="Q32" i="32"/>
  <c r="M32" i="32"/>
  <c r="O32" i="32" s="1"/>
  <c r="M23" i="32"/>
  <c r="I64" i="32"/>
  <c r="N23" i="32"/>
  <c r="G64" i="32"/>
  <c r="M22" i="32"/>
  <c r="O22" i="32"/>
  <c r="R23" i="32"/>
  <c r="R24" i="32"/>
  <c r="R29" i="32"/>
  <c r="N34" i="32"/>
  <c r="R22" i="32"/>
  <c r="R34" i="32"/>
  <c r="R35" i="32"/>
  <c r="M64" i="32"/>
  <c r="M7" i="32" s="1"/>
  <c r="M24" i="32"/>
  <c r="M29" i="32"/>
  <c r="O29" i="32" s="1"/>
  <c r="M35" i="32"/>
  <c r="O35" i="32" s="1"/>
  <c r="Q34" i="32"/>
  <c r="Q35" i="32"/>
  <c r="D27" i="32"/>
  <c r="D41" i="32" s="1"/>
  <c r="M31" i="32"/>
  <c r="O31" i="32" s="1"/>
  <c r="K64" i="32"/>
  <c r="N22" i="32"/>
  <c r="O23" i="32"/>
  <c r="N29" i="32"/>
  <c r="E64" i="32"/>
  <c r="R64" i="32"/>
  <c r="R7" i="32" s="1"/>
  <c r="R10" i="32" s="1"/>
  <c r="D10" i="32"/>
  <c r="D11" i="32"/>
  <c r="N38" i="32"/>
  <c r="E40" i="32"/>
  <c r="N30" i="32"/>
  <c r="I39" i="32"/>
  <c r="O24" i="32"/>
  <c r="G39" i="32"/>
  <c r="N37" i="32"/>
  <c r="Q37" i="32"/>
  <c r="M37" i="32"/>
  <c r="O37" i="32" s="1"/>
  <c r="Q30" i="32"/>
  <c r="R37" i="32"/>
  <c r="E41" i="32"/>
  <c r="M10" i="32"/>
  <c r="M30" i="32"/>
  <c r="O30" i="32" s="1"/>
  <c r="M38" i="32"/>
  <c r="O38" i="32" s="1"/>
  <c r="K39" i="32"/>
  <c r="Q38" i="32"/>
  <c r="I55" i="32"/>
  <c r="I11" i="32"/>
  <c r="E10" i="32"/>
  <c r="K7" i="32"/>
  <c r="G7" i="32"/>
  <c r="M11" i="32"/>
  <c r="N24" i="32"/>
  <c r="R36" i="32"/>
  <c r="M36" i="32"/>
  <c r="O36" i="32" s="1"/>
  <c r="Q36" i="32"/>
  <c r="R38" i="32"/>
  <c r="E11" i="32"/>
  <c r="D40" i="32" l="1"/>
  <c r="Q10" i="32"/>
  <c r="D43" i="32"/>
  <c r="D44" i="32" s="1"/>
  <c r="D51" i="32"/>
  <c r="D45" i="32"/>
  <c r="D50" i="32"/>
  <c r="D49" i="32"/>
  <c r="D54" i="32"/>
  <c r="D55" i="32" s="1"/>
  <c r="D48" i="32"/>
  <c r="D47" i="32"/>
  <c r="R11" i="32"/>
  <c r="G40" i="32"/>
  <c r="I40" i="32"/>
  <c r="G11" i="32"/>
  <c r="G10" i="32"/>
  <c r="K11" i="32"/>
  <c r="K10" i="32"/>
  <c r="G41" i="32"/>
  <c r="G54" i="32" s="1"/>
  <c r="E49" i="32"/>
  <c r="E50" i="32"/>
  <c r="E45" i="32"/>
  <c r="E48" i="32"/>
  <c r="E43" i="32"/>
  <c r="E44" i="32" s="1"/>
  <c r="E51" i="32"/>
  <c r="E54" i="32"/>
  <c r="E47" i="32"/>
  <c r="I50" i="32" l="1"/>
  <c r="I45" i="32"/>
  <c r="I51" i="32"/>
  <c r="I47" i="32"/>
  <c r="I44" i="32"/>
  <c r="I49" i="32"/>
  <c r="G49" i="32"/>
  <c r="G48" i="32"/>
  <c r="G47" i="32"/>
  <c r="G45" i="32"/>
  <c r="G51" i="32"/>
  <c r="G50" i="32"/>
  <c r="E55" i="32"/>
  <c r="G55" i="32" l="1"/>
  <c r="H31" i="12" l="1"/>
  <c r="E31" i="12" s="1"/>
  <c r="E13" i="12" l="1"/>
  <c r="B18" i="33" s="1"/>
  <c r="E26" i="12"/>
  <c r="N60" i="32"/>
  <c r="G5" i="4"/>
  <c r="J5" i="4" s="1"/>
  <c r="G6" i="4"/>
  <c r="J6" i="4" s="1"/>
  <c r="G4" i="4"/>
  <c r="J4" i="4" s="1"/>
  <c r="N64" i="32" l="1"/>
  <c r="N7" i="32" s="1"/>
  <c r="O60" i="32"/>
  <c r="O64" i="32" s="1"/>
  <c r="O7" i="32" s="1"/>
  <c r="H40" i="12"/>
  <c r="BK40" i="12"/>
  <c r="BC40" i="12"/>
  <c r="AU40" i="12"/>
  <c r="AM40" i="12"/>
  <c r="AE40" i="12"/>
  <c r="W40" i="12"/>
  <c r="O40" i="12"/>
  <c r="AF40" i="12"/>
  <c r="BJ40" i="12"/>
  <c r="BB40" i="12"/>
  <c r="AT40" i="12"/>
  <c r="AL40" i="12"/>
  <c r="AD40" i="12"/>
  <c r="V40" i="12"/>
  <c r="N40" i="12"/>
  <c r="X40" i="12"/>
  <c r="BI40" i="12"/>
  <c r="BA40" i="12"/>
  <c r="AS40" i="12"/>
  <c r="AK40" i="12"/>
  <c r="AC40" i="12"/>
  <c r="U40" i="12"/>
  <c r="M40" i="12"/>
  <c r="AV40" i="12"/>
  <c r="BP40" i="12"/>
  <c r="BH40" i="12"/>
  <c r="AZ40" i="12"/>
  <c r="AR40" i="12"/>
  <c r="AJ40" i="12"/>
  <c r="AB40" i="12"/>
  <c r="T40" i="12"/>
  <c r="L40" i="12"/>
  <c r="BL40" i="12"/>
  <c r="BO40" i="12"/>
  <c r="BG40" i="12"/>
  <c r="AY40" i="12"/>
  <c r="AQ40" i="12"/>
  <c r="AI40" i="12"/>
  <c r="AA40" i="12"/>
  <c r="S40" i="12"/>
  <c r="K40" i="12"/>
  <c r="BD40" i="12"/>
  <c r="BN40" i="12"/>
  <c r="BF40" i="12"/>
  <c r="AX40" i="12"/>
  <c r="AP40" i="12"/>
  <c r="AH40" i="12"/>
  <c r="Z40" i="12"/>
  <c r="R40" i="12"/>
  <c r="J40" i="12"/>
  <c r="AN40" i="12"/>
  <c r="BM40" i="12"/>
  <c r="BE40" i="12"/>
  <c r="AW40" i="12"/>
  <c r="AO40" i="12"/>
  <c r="AG40" i="12"/>
  <c r="Y40" i="12"/>
  <c r="Q40" i="12"/>
  <c r="I40" i="12"/>
  <c r="P40" i="12"/>
  <c r="O11" i="32" l="1"/>
  <c r="O10" i="32"/>
  <c r="N10" i="32"/>
  <c r="N11" i="32"/>
  <c r="H5" i="4"/>
  <c r="H6" i="4"/>
  <c r="H4" i="4"/>
  <c r="H7" i="4" l="1"/>
  <c r="B8" i="8"/>
  <c r="B23" i="11"/>
  <c r="B24" i="11"/>
  <c r="C11" i="11"/>
  <c r="C12" i="11"/>
  <c r="C13" i="11"/>
  <c r="C14" i="11"/>
  <c r="C15" i="11"/>
  <c r="C16" i="11"/>
  <c r="C17" i="11"/>
  <c r="C10" i="11"/>
  <c r="J65" i="12"/>
  <c r="K65" i="12" s="1"/>
  <c r="L65" i="12" s="1"/>
  <c r="M65" i="12" s="1"/>
  <c r="N65" i="12" s="1"/>
  <c r="O65" i="12" s="1"/>
  <c r="P65" i="12" s="1"/>
  <c r="Q65" i="12" s="1"/>
  <c r="R65" i="12" s="1"/>
  <c r="S65" i="12" s="1"/>
  <c r="T65" i="12" s="1"/>
  <c r="U65" i="12" s="1"/>
  <c r="V65" i="12" s="1"/>
  <c r="W65" i="12" s="1"/>
  <c r="X65" i="12" s="1"/>
  <c r="Y65" i="12" s="1"/>
  <c r="Z65" i="12" s="1"/>
  <c r="AA65" i="12" s="1"/>
  <c r="AB65" i="12" s="1"/>
  <c r="AC65" i="12" s="1"/>
  <c r="AD65" i="12" s="1"/>
  <c r="AE65" i="12" s="1"/>
  <c r="AF65" i="12" s="1"/>
  <c r="AG65" i="12" s="1"/>
  <c r="AH65" i="12" s="1"/>
  <c r="AI65" i="12" s="1"/>
  <c r="AJ65" i="12" s="1"/>
  <c r="AK65" i="12" s="1"/>
  <c r="AL65" i="12" s="1"/>
  <c r="AM65" i="12" s="1"/>
  <c r="AN65" i="12" s="1"/>
  <c r="AO65" i="12" s="1"/>
  <c r="AP65" i="12" s="1"/>
  <c r="AQ65" i="12" s="1"/>
  <c r="AR65" i="12" s="1"/>
  <c r="AS65" i="12" s="1"/>
  <c r="AT65" i="12" s="1"/>
  <c r="AU65" i="12" s="1"/>
  <c r="AV65" i="12" s="1"/>
  <c r="AW65" i="12" s="1"/>
  <c r="AX65" i="12" s="1"/>
  <c r="AY65" i="12" s="1"/>
  <c r="AZ65" i="12" s="1"/>
  <c r="BA65" i="12" s="1"/>
  <c r="BB65" i="12" s="1"/>
  <c r="BC65" i="12" s="1"/>
  <c r="BD65" i="12" s="1"/>
  <c r="BE65" i="12" s="1"/>
  <c r="BF65" i="12" s="1"/>
  <c r="BG65" i="12" s="1"/>
  <c r="BH65" i="12" s="1"/>
  <c r="BI65" i="12" s="1"/>
  <c r="BJ65" i="12" s="1"/>
  <c r="BK65" i="12" s="1"/>
  <c r="BL65" i="12" s="1"/>
  <c r="BM65" i="12" s="1"/>
  <c r="BN65" i="12" s="1"/>
  <c r="BO65" i="12" s="1"/>
  <c r="BP65" i="12" s="1"/>
  <c r="I64" i="12"/>
  <c r="J64" i="12" s="1"/>
  <c r="K64" i="12" s="1"/>
  <c r="L64" i="12" s="1"/>
  <c r="M64" i="12" s="1"/>
  <c r="N64" i="12" s="1"/>
  <c r="O64" i="12" s="1"/>
  <c r="P64" i="12" s="1"/>
  <c r="Q64" i="12" s="1"/>
  <c r="R64" i="12" s="1"/>
  <c r="S64" i="12" s="1"/>
  <c r="T64" i="12" s="1"/>
  <c r="U64" i="12" s="1"/>
  <c r="V64" i="12" s="1"/>
  <c r="W64" i="12" s="1"/>
  <c r="X64" i="12" s="1"/>
  <c r="Y64" i="12" s="1"/>
  <c r="Z64" i="12" s="1"/>
  <c r="AA64" i="12" s="1"/>
  <c r="AB64" i="12" s="1"/>
  <c r="AC64" i="12" s="1"/>
  <c r="AD64" i="12" s="1"/>
  <c r="AE64" i="12" s="1"/>
  <c r="AF64" i="12" s="1"/>
  <c r="AG64" i="12" s="1"/>
  <c r="AH64" i="12" s="1"/>
  <c r="AI64" i="12" s="1"/>
  <c r="AJ64" i="12" s="1"/>
  <c r="AK64" i="12" s="1"/>
  <c r="AL64" i="12" s="1"/>
  <c r="AM64" i="12" s="1"/>
  <c r="AN64" i="12" s="1"/>
  <c r="AO64" i="12" s="1"/>
  <c r="AP64" i="12" s="1"/>
  <c r="AQ64" i="12" s="1"/>
  <c r="AR64" i="12" s="1"/>
  <c r="AS64" i="12" s="1"/>
  <c r="AT64" i="12" s="1"/>
  <c r="AU64" i="12" s="1"/>
  <c r="AV64" i="12" s="1"/>
  <c r="AW64" i="12" s="1"/>
  <c r="AX64" i="12" s="1"/>
  <c r="AY64" i="12" s="1"/>
  <c r="AZ64" i="12" s="1"/>
  <c r="BA64" i="12" s="1"/>
  <c r="BB64" i="12" s="1"/>
  <c r="BC64" i="12" s="1"/>
  <c r="BD64" i="12" s="1"/>
  <c r="BE64" i="12" s="1"/>
  <c r="BF64" i="12" s="1"/>
  <c r="BG64" i="12" s="1"/>
  <c r="BH64" i="12" s="1"/>
  <c r="BI64" i="12" s="1"/>
  <c r="BJ64" i="12" s="1"/>
  <c r="BK64" i="12" s="1"/>
  <c r="BL64" i="12" s="1"/>
  <c r="BM64" i="12" s="1"/>
  <c r="BN64" i="12" s="1"/>
  <c r="BO64" i="12" s="1"/>
  <c r="BP64" i="12" s="1"/>
  <c r="F6" i="4"/>
  <c r="C7" i="4"/>
  <c r="K3" i="13" s="1"/>
  <c r="M5" i="13" s="1"/>
  <c r="S10" i="13" s="1"/>
  <c r="R10" i="13" s="1"/>
  <c r="E29" i="12"/>
  <c r="E19" i="12"/>
  <c r="E25" i="12"/>
  <c r="E24" i="12"/>
  <c r="E22" i="12"/>
  <c r="I76" i="12"/>
  <c r="K9" i="13" l="1"/>
  <c r="I39" i="13"/>
  <c r="I35" i="13"/>
  <c r="I34" i="13"/>
  <c r="I42" i="13"/>
  <c r="I45" i="13"/>
  <c r="I40" i="13"/>
  <c r="I36" i="13"/>
  <c r="I41" i="13"/>
  <c r="K8" i="13"/>
  <c r="N8" i="13" s="1"/>
  <c r="H25" i="13" s="1"/>
  <c r="I33" i="13"/>
  <c r="I38" i="13"/>
  <c r="D7" i="4"/>
  <c r="E10" i="4" s="1"/>
  <c r="B1" i="33"/>
  <c r="D7" i="12"/>
  <c r="Q5" i="13" s="1"/>
  <c r="K12" i="32"/>
  <c r="D12" i="32"/>
  <c r="I12" i="32"/>
  <c r="G12" i="32"/>
  <c r="E12" i="32"/>
  <c r="C4" i="32"/>
  <c r="E23" i="12"/>
  <c r="E21" i="12"/>
  <c r="G19" i="12"/>
  <c r="C3" i="32" l="1"/>
  <c r="I18" i="32" s="1"/>
  <c r="I19" i="32" s="1"/>
  <c r="D8" i="33"/>
  <c r="D12" i="33"/>
  <c r="D10" i="33"/>
  <c r="D6" i="33"/>
  <c r="G4" i="33"/>
  <c r="D4" i="33"/>
  <c r="J4" i="33"/>
  <c r="D14" i="33"/>
  <c r="D7" i="33"/>
  <c r="D9" i="33"/>
  <c r="D11" i="33"/>
  <c r="D13" i="33"/>
  <c r="D18" i="33"/>
  <c r="E7" i="12"/>
  <c r="D13" i="32"/>
  <c r="D56" i="32"/>
  <c r="D57" i="32"/>
  <c r="F39" i="32"/>
  <c r="H39" i="32"/>
  <c r="J39" i="32"/>
  <c r="L39" i="32"/>
  <c r="E56" i="32"/>
  <c r="F38" i="32"/>
  <c r="E13" i="32"/>
  <c r="E57" i="32"/>
  <c r="K42" i="32"/>
  <c r="L35" i="32"/>
  <c r="Q12" i="32"/>
  <c r="J22" i="32"/>
  <c r="L34" i="32"/>
  <c r="J38" i="32"/>
  <c r="L32" i="32"/>
  <c r="J26" i="32"/>
  <c r="L24" i="32"/>
  <c r="J23" i="32"/>
  <c r="J25" i="32"/>
  <c r="R12" i="32"/>
  <c r="L31" i="32"/>
  <c r="L36" i="32"/>
  <c r="H27" i="32"/>
  <c r="K56" i="32"/>
  <c r="H38" i="32"/>
  <c r="L29" i="32"/>
  <c r="J21" i="32"/>
  <c r="K13" i="32"/>
  <c r="L30" i="32"/>
  <c r="L37" i="32"/>
  <c r="L22" i="32"/>
  <c r="J24" i="32"/>
  <c r="L38" i="32"/>
  <c r="L23" i="32"/>
  <c r="G13" i="32"/>
  <c r="G56" i="32"/>
  <c r="G57" i="32"/>
  <c r="I13" i="32"/>
  <c r="I57" i="32"/>
  <c r="I56" i="32"/>
  <c r="F8" i="7"/>
  <c r="D8" i="12" l="1"/>
  <c r="R5" i="13"/>
  <c r="R19" i="32"/>
  <c r="G18" i="32"/>
  <c r="G19" i="32" s="1"/>
  <c r="E18" i="32"/>
  <c r="D15" i="33"/>
  <c r="J27" i="32"/>
  <c r="J40" i="32" s="1"/>
  <c r="H40" i="32"/>
  <c r="R13" i="32"/>
  <c r="R56" i="32"/>
  <c r="F27" i="32"/>
  <c r="F40" i="32" s="1"/>
  <c r="G43" i="32"/>
  <c r="G44" i="32" s="1"/>
  <c r="Q13" i="32"/>
  <c r="Q56" i="32"/>
  <c r="E8" i="7"/>
  <c r="D8" i="7" s="1"/>
  <c r="C8" i="7" s="1"/>
  <c r="F29" i="7"/>
  <c r="E8" i="12" l="1"/>
  <c r="R6" i="13" s="1"/>
  <c r="Q6" i="13"/>
  <c r="G7" i="4"/>
  <c r="K21" i="32" l="1"/>
  <c r="M21" i="32" l="1"/>
  <c r="M25" i="32" s="1"/>
  <c r="M26" i="32" s="1"/>
  <c r="M27" i="32" s="1"/>
  <c r="K25" i="32"/>
  <c r="N21" i="32"/>
  <c r="N25" i="32" s="1"/>
  <c r="N26" i="32" s="1"/>
  <c r="N27" i="32" s="1"/>
  <c r="O21" i="32"/>
  <c r="O25" i="32" s="1"/>
  <c r="L21" i="32"/>
  <c r="O26" i="32" l="1"/>
  <c r="O27" i="32" s="1"/>
  <c r="L25" i="32"/>
  <c r="K26" i="32"/>
  <c r="L26" i="32" l="1"/>
  <c r="L27" i="32" s="1"/>
  <c r="L40" i="32" s="1"/>
  <c r="K27" i="32"/>
  <c r="K41" i="32" l="1"/>
  <c r="K40" i="32"/>
  <c r="AR38" i="12"/>
  <c r="AS38" i="12"/>
  <c r="AT38" i="12"/>
  <c r="AU38" i="12"/>
  <c r="AV38" i="12"/>
  <c r="AW38" i="12"/>
  <c r="AX38" i="12"/>
  <c r="AY38" i="12"/>
  <c r="AZ38" i="12"/>
  <c r="BA38" i="12"/>
  <c r="BB38" i="12"/>
  <c r="BC38" i="12"/>
  <c r="BD38" i="12"/>
  <c r="BE38" i="12"/>
  <c r="BF38" i="12"/>
  <c r="BG38" i="12"/>
  <c r="BH38" i="12"/>
  <c r="BI38" i="12"/>
  <c r="BJ38" i="12"/>
  <c r="BK38" i="12"/>
  <c r="BL38" i="12"/>
  <c r="BM38" i="12"/>
  <c r="BN38" i="12"/>
  <c r="BO38" i="12"/>
  <c r="BP38" i="12"/>
  <c r="AN38" i="12"/>
  <c r="AO38" i="12"/>
  <c r="AP38" i="12"/>
  <c r="AQ38" i="12"/>
  <c r="AK38" i="12"/>
  <c r="AL38" i="12"/>
  <c r="AM38" i="12"/>
  <c r="K65" i="32" l="1"/>
  <c r="K50" i="32"/>
  <c r="K45" i="32"/>
  <c r="K51" i="32"/>
  <c r="K49" i="32"/>
  <c r="K48" i="32"/>
  <c r="K54" i="32"/>
  <c r="K47" i="32"/>
  <c r="K43" i="32"/>
  <c r="K44" i="32" s="1"/>
  <c r="N33" i="32"/>
  <c r="N39" i="32" s="1"/>
  <c r="O33" i="32"/>
  <c r="O39" i="32" s="1"/>
  <c r="M33" i="32"/>
  <c r="M39" i="32" s="1"/>
  <c r="E3" i="14"/>
  <c r="R4" i="14"/>
  <c r="AD4" i="14" s="1"/>
  <c r="AP4" i="14" s="1"/>
  <c r="BB4" i="14" s="1"/>
  <c r="BN4" i="14" s="1"/>
  <c r="BZ4" i="14" s="1"/>
  <c r="CL4" i="14" s="1"/>
  <c r="CX4" i="14" s="1"/>
  <c r="DJ4" i="14" s="1"/>
  <c r="S4" i="14"/>
  <c r="AE4" i="14" s="1"/>
  <c r="AQ4" i="14" s="1"/>
  <c r="BC4" i="14" s="1"/>
  <c r="BO4" i="14" s="1"/>
  <c r="CA4" i="14" s="1"/>
  <c r="CM4" i="14" s="1"/>
  <c r="CY4" i="14" s="1"/>
  <c r="DK4" i="14" s="1"/>
  <c r="T4" i="14"/>
  <c r="U4" i="14"/>
  <c r="V4" i="14"/>
  <c r="AH4" i="14" s="1"/>
  <c r="AT4" i="14" s="1"/>
  <c r="BF4" i="14" s="1"/>
  <c r="BR4" i="14" s="1"/>
  <c r="CD4" i="14" s="1"/>
  <c r="CP4" i="14" s="1"/>
  <c r="DB4" i="14" s="1"/>
  <c r="DN4" i="14" s="1"/>
  <c r="W4" i="14"/>
  <c r="AI4" i="14" s="1"/>
  <c r="AU4" i="14" s="1"/>
  <c r="BG4" i="14" s="1"/>
  <c r="BS4" i="14" s="1"/>
  <c r="CE4" i="14" s="1"/>
  <c r="CQ4" i="14" s="1"/>
  <c r="DC4" i="14" s="1"/>
  <c r="DO4" i="14" s="1"/>
  <c r="X4" i="14"/>
  <c r="AJ4" i="14" s="1"/>
  <c r="AV4" i="14" s="1"/>
  <c r="BH4" i="14" s="1"/>
  <c r="BT4" i="14" s="1"/>
  <c r="CF4" i="14" s="1"/>
  <c r="CR4" i="14" s="1"/>
  <c r="DD4" i="14" s="1"/>
  <c r="DP4" i="14" s="1"/>
  <c r="Y4" i="14"/>
  <c r="AK4" i="14" s="1"/>
  <c r="AW4" i="14" s="1"/>
  <c r="BI4" i="14" s="1"/>
  <c r="BU4" i="14" s="1"/>
  <c r="CG4" i="14" s="1"/>
  <c r="CS4" i="14" s="1"/>
  <c r="DE4" i="14" s="1"/>
  <c r="DQ4" i="14" s="1"/>
  <c r="Z4" i="14"/>
  <c r="AA4" i="14"/>
  <c r="AB4" i="14"/>
  <c r="AF4" i="14"/>
  <c r="AR4" i="14" s="1"/>
  <c r="BD4" i="14" s="1"/>
  <c r="BP4" i="14" s="1"/>
  <c r="CB4" i="14" s="1"/>
  <c r="CN4" i="14" s="1"/>
  <c r="CZ4" i="14" s="1"/>
  <c r="DL4" i="14" s="1"/>
  <c r="AG4" i="14"/>
  <c r="AS4" i="14" s="1"/>
  <c r="BE4" i="14" s="1"/>
  <c r="BQ4" i="14" s="1"/>
  <c r="CC4" i="14" s="1"/>
  <c r="CO4" i="14" s="1"/>
  <c r="DA4" i="14" s="1"/>
  <c r="DM4" i="14" s="1"/>
  <c r="AL4" i="14"/>
  <c r="AX4" i="14" s="1"/>
  <c r="BJ4" i="14" s="1"/>
  <c r="BV4" i="14" s="1"/>
  <c r="CH4" i="14" s="1"/>
  <c r="CT4" i="14" s="1"/>
  <c r="DF4" i="14" s="1"/>
  <c r="DR4" i="14" s="1"/>
  <c r="AM4" i="14"/>
  <c r="AY4" i="14" s="1"/>
  <c r="BK4" i="14" s="1"/>
  <c r="BW4" i="14" s="1"/>
  <c r="CI4" i="14" s="1"/>
  <c r="CU4" i="14" s="1"/>
  <c r="DG4" i="14" s="1"/>
  <c r="DS4" i="14" s="1"/>
  <c r="AN4" i="14"/>
  <c r="AZ4" i="14" s="1"/>
  <c r="BL4" i="14" s="1"/>
  <c r="BX4" i="14" s="1"/>
  <c r="CJ4" i="14" s="1"/>
  <c r="CV4" i="14" s="1"/>
  <c r="DH4" i="14" s="1"/>
  <c r="DT4" i="14" s="1"/>
  <c r="Q4" i="14"/>
  <c r="AC4" i="14" s="1"/>
  <c r="AO4" i="14" s="1"/>
  <c r="BA4" i="14" s="1"/>
  <c r="BM4" i="14" s="1"/>
  <c r="BY4" i="14" s="1"/>
  <c r="CK4" i="14" s="1"/>
  <c r="CW4" i="14" s="1"/>
  <c r="DI4" i="14" s="1"/>
  <c r="DU4" i="14" s="1"/>
  <c r="M40" i="32" l="1"/>
  <c r="M41" i="32"/>
  <c r="N40" i="32"/>
  <c r="N41" i="32"/>
  <c r="K55" i="32"/>
  <c r="K57" i="32"/>
  <c r="O40" i="32"/>
  <c r="O41" i="32"/>
  <c r="AR34" i="12"/>
  <c r="AS34" i="12"/>
  <c r="AT34" i="12"/>
  <c r="AU34" i="12"/>
  <c r="AV34" i="12"/>
  <c r="AW34" i="12"/>
  <c r="AX34" i="12"/>
  <c r="AY34" i="12"/>
  <c r="AZ34" i="12"/>
  <c r="BA34" i="12"/>
  <c r="BB34" i="12"/>
  <c r="BC34" i="12"/>
  <c r="BD34" i="12"/>
  <c r="BE34" i="12"/>
  <c r="BF34" i="12"/>
  <c r="BG34" i="12"/>
  <c r="BH34" i="12"/>
  <c r="BI34" i="12"/>
  <c r="BJ34" i="12"/>
  <c r="BK34" i="12"/>
  <c r="BL34" i="12"/>
  <c r="BM34" i="12"/>
  <c r="BN34" i="12"/>
  <c r="BO34" i="12"/>
  <c r="BP34" i="12"/>
  <c r="J34" i="12"/>
  <c r="K34" i="12"/>
  <c r="L34" i="12"/>
  <c r="M34" i="12"/>
  <c r="N34" i="12"/>
  <c r="O34" i="12"/>
  <c r="P34" i="12"/>
  <c r="Q34" i="12"/>
  <c r="R34" i="12"/>
  <c r="S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AJ34" i="12"/>
  <c r="AK34" i="12"/>
  <c r="AL34" i="12"/>
  <c r="AM34" i="12"/>
  <c r="AN34" i="12"/>
  <c r="AO34" i="12"/>
  <c r="AP34" i="12"/>
  <c r="AQ34" i="12"/>
  <c r="M51" i="32" l="1"/>
  <c r="M47" i="32"/>
  <c r="M48" i="32"/>
  <c r="M54" i="32"/>
  <c r="M45" i="32"/>
  <c r="M49" i="32"/>
  <c r="M50" i="32"/>
  <c r="N50" i="32"/>
  <c r="N45" i="32"/>
  <c r="N51" i="32"/>
  <c r="N47" i="32"/>
  <c r="N54" i="32"/>
  <c r="N49" i="32"/>
  <c r="N48" i="32"/>
  <c r="O51" i="32"/>
  <c r="O47" i="32"/>
  <c r="O45" i="32"/>
  <c r="O54" i="32"/>
  <c r="O49" i="32"/>
  <c r="O48" i="32"/>
  <c r="O50" i="32"/>
  <c r="BI35" i="12"/>
  <c r="BH35" i="12"/>
  <c r="BA35" i="12"/>
  <c r="BE35" i="12"/>
  <c r="AW35" i="12"/>
  <c r="AV35" i="12"/>
  <c r="BL35" i="12"/>
  <c r="BD35" i="12"/>
  <c r="BP35" i="12"/>
  <c r="AS35" i="12"/>
  <c r="BF35" i="12"/>
  <c r="BG35" i="12"/>
  <c r="AZ35" i="12"/>
  <c r="AR35" i="12"/>
  <c r="BO35" i="12"/>
  <c r="BN35" i="12"/>
  <c r="AX35" i="12"/>
  <c r="AY35" i="12"/>
  <c r="BM35" i="12"/>
  <c r="BJ35" i="12"/>
  <c r="BB35" i="12"/>
  <c r="AT35" i="12"/>
  <c r="BK35" i="12"/>
  <c r="BC35" i="12"/>
  <c r="AU35" i="12"/>
  <c r="O55" i="32" l="1"/>
  <c r="M55" i="32"/>
  <c r="N55" i="32"/>
  <c r="AJ35" i="12"/>
  <c r="AJ38" i="12"/>
  <c r="AK35" i="12" l="1"/>
  <c r="AL35" i="12"/>
  <c r="AM35" i="12"/>
  <c r="AN35" i="12"/>
  <c r="AO35" i="12"/>
  <c r="AP35" i="12"/>
  <c r="AQ35" i="12"/>
  <c r="J15" i="13" l="1"/>
  <c r="K15" i="13" l="1"/>
  <c r="J21" i="13"/>
  <c r="E41" i="12"/>
  <c r="AI38" i="12"/>
  <c r="AH38" i="12"/>
  <c r="AG38" i="12"/>
  <c r="AF38" i="12"/>
  <c r="AE38" i="12"/>
  <c r="AD38" i="12"/>
  <c r="AC38" i="12"/>
  <c r="AB38" i="12"/>
  <c r="AA38" i="12"/>
  <c r="Z38" i="12"/>
  <c r="Y38" i="12"/>
  <c r="X38" i="12"/>
  <c r="W38" i="12"/>
  <c r="V38" i="12"/>
  <c r="U38" i="12"/>
  <c r="T38" i="12"/>
  <c r="S38" i="12"/>
  <c r="R38" i="12"/>
  <c r="Q38" i="12"/>
  <c r="P38" i="12"/>
  <c r="O38" i="12"/>
  <c r="N38" i="12"/>
  <c r="M38" i="12"/>
  <c r="L38" i="12"/>
  <c r="K38" i="12"/>
  <c r="J38" i="12"/>
  <c r="I38" i="12"/>
  <c r="I34" i="12"/>
  <c r="H35" i="12"/>
  <c r="H36" i="12" s="1"/>
  <c r="AD36" i="12" s="1"/>
  <c r="J11" i="12"/>
  <c r="I10" i="12"/>
  <c r="J58" i="12" l="1"/>
  <c r="J56" i="12"/>
  <c r="E32" i="36" s="1"/>
  <c r="L15" i="13"/>
  <c r="K21" i="13"/>
  <c r="J40" i="13"/>
  <c r="J38" i="13"/>
  <c r="J35" i="13"/>
  <c r="J42" i="13"/>
  <c r="J45" i="13"/>
  <c r="J36" i="13"/>
  <c r="J34" i="13"/>
  <c r="J33" i="13"/>
  <c r="J39" i="13"/>
  <c r="J41" i="13"/>
  <c r="J83" i="12"/>
  <c r="J89" i="12"/>
  <c r="J90" i="12"/>
  <c r="J91" i="12"/>
  <c r="J86" i="12"/>
  <c r="J84" i="12"/>
  <c r="J82" i="12"/>
  <c r="J80" i="12"/>
  <c r="J85" i="12"/>
  <c r="J79" i="12"/>
  <c r="J93" i="12"/>
  <c r="J9" i="12"/>
  <c r="J12" i="13" s="1"/>
  <c r="J81" i="12"/>
  <c r="J75" i="12"/>
  <c r="J71" i="12"/>
  <c r="J74" i="12"/>
  <c r="N36" i="12"/>
  <c r="X36" i="12"/>
  <c r="M36" i="12"/>
  <c r="V36" i="12"/>
  <c r="AF36" i="12"/>
  <c r="AH36" i="12"/>
  <c r="Q36" i="12"/>
  <c r="Z36" i="12"/>
  <c r="AI36" i="12"/>
  <c r="AG36" i="12"/>
  <c r="I36" i="12"/>
  <c r="R36" i="12"/>
  <c r="AA36" i="12"/>
  <c r="Y36" i="12"/>
  <c r="J36" i="12"/>
  <c r="S36" i="12"/>
  <c r="AB36" i="12"/>
  <c r="P36" i="12"/>
  <c r="K36" i="12"/>
  <c r="T36" i="12"/>
  <c r="AC36" i="12"/>
  <c r="L36" i="12"/>
  <c r="U36" i="12"/>
  <c r="AY36" i="12"/>
  <c r="AY37" i="12" s="1"/>
  <c r="AY39" i="12" s="1"/>
  <c r="BG36" i="12"/>
  <c r="BG37" i="12" s="1"/>
  <c r="BG39" i="12" s="1"/>
  <c r="BO36" i="12"/>
  <c r="BO37" i="12" s="1"/>
  <c r="BO39" i="12" s="1"/>
  <c r="BA36" i="12"/>
  <c r="BA37" i="12" s="1"/>
  <c r="BA39" i="12" s="1"/>
  <c r="BB36" i="12"/>
  <c r="BB37" i="12" s="1"/>
  <c r="BB39" i="12" s="1"/>
  <c r="BJ36" i="12"/>
  <c r="BJ37" i="12" s="1"/>
  <c r="BJ39" i="12" s="1"/>
  <c r="AK36" i="12"/>
  <c r="AK37" i="12" s="1"/>
  <c r="AK39" i="12" s="1"/>
  <c r="AU36" i="12"/>
  <c r="AU37" i="12" s="1"/>
  <c r="AU39" i="12" s="1"/>
  <c r="BL36" i="12"/>
  <c r="BL37" i="12" s="1"/>
  <c r="BL39" i="12" s="1"/>
  <c r="AM36" i="12"/>
  <c r="AM37" i="12" s="1"/>
  <c r="AM39" i="12" s="1"/>
  <c r="BE36" i="12"/>
  <c r="BE37" i="12" s="1"/>
  <c r="BE39" i="12" s="1"/>
  <c r="AQ36" i="12"/>
  <c r="AQ37" i="12" s="1"/>
  <c r="AQ39" i="12" s="1"/>
  <c r="BF36" i="12"/>
  <c r="BF37" i="12" s="1"/>
  <c r="BF39" i="12" s="1"/>
  <c r="AR36" i="12"/>
  <c r="AR37" i="12" s="1"/>
  <c r="AR39" i="12" s="1"/>
  <c r="AZ36" i="12"/>
  <c r="AZ37" i="12" s="1"/>
  <c r="AZ39" i="12" s="1"/>
  <c r="BH36" i="12"/>
  <c r="BH37" i="12" s="1"/>
  <c r="BH39" i="12" s="1"/>
  <c r="BP36" i="12"/>
  <c r="BP37" i="12" s="1"/>
  <c r="BP39" i="12" s="1"/>
  <c r="AS36" i="12"/>
  <c r="AS37" i="12" s="1"/>
  <c r="AS39" i="12" s="1"/>
  <c r="AT36" i="12"/>
  <c r="AT37" i="12" s="1"/>
  <c r="AT39" i="12" s="1"/>
  <c r="AN36" i="12"/>
  <c r="AN37" i="12" s="1"/>
  <c r="AN39" i="12" s="1"/>
  <c r="BC36" i="12"/>
  <c r="BC37" i="12" s="1"/>
  <c r="BC39" i="12" s="1"/>
  <c r="BK36" i="12"/>
  <c r="BK37" i="12" s="1"/>
  <c r="BK39" i="12" s="1"/>
  <c r="AO36" i="12"/>
  <c r="AO37" i="12" s="1"/>
  <c r="AO39" i="12" s="1"/>
  <c r="AW36" i="12"/>
  <c r="AW37" i="12" s="1"/>
  <c r="AW39" i="12" s="1"/>
  <c r="AX36" i="12"/>
  <c r="AX37" i="12" s="1"/>
  <c r="AX39" i="12" s="1"/>
  <c r="BN36" i="12"/>
  <c r="BN37" i="12" s="1"/>
  <c r="BN39" i="12" s="1"/>
  <c r="BI36" i="12"/>
  <c r="BI37" i="12" s="1"/>
  <c r="BI39" i="12" s="1"/>
  <c r="BD36" i="12"/>
  <c r="BD37" i="12" s="1"/>
  <c r="BD39" i="12" s="1"/>
  <c r="BM36" i="12"/>
  <c r="BM37" i="12" s="1"/>
  <c r="BM39" i="12" s="1"/>
  <c r="AL36" i="12"/>
  <c r="AL37" i="12" s="1"/>
  <c r="AL39" i="12" s="1"/>
  <c r="AV36" i="12"/>
  <c r="AV37" i="12" s="1"/>
  <c r="AV39" i="12" s="1"/>
  <c r="AP36" i="12"/>
  <c r="AP37" i="12" s="1"/>
  <c r="AP39" i="12" s="1"/>
  <c r="AJ36" i="12"/>
  <c r="AJ37" i="12" s="1"/>
  <c r="AJ39" i="12" s="1"/>
  <c r="O36" i="12"/>
  <c r="W36" i="12"/>
  <c r="AE36" i="12"/>
  <c r="K11" i="12"/>
  <c r="J10" i="12"/>
  <c r="H37" i="12"/>
  <c r="H39" i="12" s="1"/>
  <c r="J35" i="12"/>
  <c r="J37" i="12" s="1"/>
  <c r="J39" i="12" s="1"/>
  <c r="Z35" i="12"/>
  <c r="AH35" i="12"/>
  <c r="K35" i="12"/>
  <c r="AA35" i="12"/>
  <c r="AI35" i="12"/>
  <c r="R35" i="12"/>
  <c r="S35" i="12"/>
  <c r="T35" i="12"/>
  <c r="M35" i="12"/>
  <c r="AC35" i="12"/>
  <c r="AB35" i="12"/>
  <c r="U35" i="12"/>
  <c r="N35" i="12"/>
  <c r="V35" i="12"/>
  <c r="AD35" i="12"/>
  <c r="AD37" i="12" s="1"/>
  <c r="AD39" i="12" s="1"/>
  <c r="O35" i="12"/>
  <c r="W35" i="12"/>
  <c r="AE35" i="12"/>
  <c r="L35" i="12"/>
  <c r="P35" i="12"/>
  <c r="X35" i="12"/>
  <c r="AF35" i="12"/>
  <c r="AF37" i="12" s="1"/>
  <c r="AF39" i="12" s="1"/>
  <c r="I35" i="12"/>
  <c r="Q35" i="12"/>
  <c r="Q37" i="12" s="1"/>
  <c r="Q39" i="12" s="1"/>
  <c r="Y35" i="12"/>
  <c r="AG35" i="12"/>
  <c r="K58" i="12" l="1"/>
  <c r="K56" i="12"/>
  <c r="F32" i="36" s="1"/>
  <c r="M15" i="13"/>
  <c r="L21" i="13"/>
  <c r="K38" i="13"/>
  <c r="K35" i="13"/>
  <c r="K36" i="13"/>
  <c r="K39" i="13"/>
  <c r="K45" i="13"/>
  <c r="K33" i="13"/>
  <c r="K42" i="13"/>
  <c r="K40" i="13"/>
  <c r="K41" i="13"/>
  <c r="K34" i="13"/>
  <c r="AC37" i="12"/>
  <c r="AC39" i="12" s="1"/>
  <c r="Y37" i="12"/>
  <c r="Y39" i="12" s="1"/>
  <c r="AG37" i="12"/>
  <c r="AG39" i="12" s="1"/>
  <c r="AA37" i="12"/>
  <c r="AA39" i="12" s="1"/>
  <c r="J20" i="12"/>
  <c r="X37" i="12"/>
  <c r="X39" i="12" s="1"/>
  <c r="K89" i="12"/>
  <c r="K24" i="12" s="1"/>
  <c r="K85" i="12"/>
  <c r="K93" i="12"/>
  <c r="K86" i="12"/>
  <c r="K84" i="12"/>
  <c r="K80" i="12"/>
  <c r="K83" i="12"/>
  <c r="K79" i="12"/>
  <c r="K81" i="12"/>
  <c r="K74" i="12"/>
  <c r="K82" i="12"/>
  <c r="K9" i="12"/>
  <c r="K12" i="13" s="1"/>
  <c r="K71" i="12"/>
  <c r="K20" i="12" s="1"/>
  <c r="K90" i="12"/>
  <c r="K25" i="12" s="1"/>
  <c r="K91" i="12"/>
  <c r="K26" i="12" s="1"/>
  <c r="K75" i="12"/>
  <c r="K22" i="12" s="1"/>
  <c r="J18" i="13"/>
  <c r="J19" i="13" s="1"/>
  <c r="P37" i="12"/>
  <c r="P39" i="12" s="1"/>
  <c r="T37" i="12"/>
  <c r="T39" i="12" s="1"/>
  <c r="V37" i="12"/>
  <c r="V39" i="12" s="1"/>
  <c r="R37" i="12"/>
  <c r="R39" i="12" s="1"/>
  <c r="K37" i="12"/>
  <c r="K39" i="12" s="1"/>
  <c r="L37" i="12"/>
  <c r="L39" i="12" s="1"/>
  <c r="AH37" i="12"/>
  <c r="AH39" i="12" s="1"/>
  <c r="M37" i="12"/>
  <c r="M39" i="12" s="1"/>
  <c r="I37" i="12"/>
  <c r="I39" i="12" s="1"/>
  <c r="N37" i="12"/>
  <c r="N39" i="12" s="1"/>
  <c r="O37" i="12"/>
  <c r="O39" i="12" s="1"/>
  <c r="W37" i="12"/>
  <c r="W39" i="12" s="1"/>
  <c r="Z37" i="12"/>
  <c r="Z39" i="12" s="1"/>
  <c r="S37" i="12"/>
  <c r="S39" i="12" s="1"/>
  <c r="U37" i="12"/>
  <c r="U39" i="12" s="1"/>
  <c r="AE37" i="12"/>
  <c r="AE39" i="12" s="1"/>
  <c r="AI37" i="12"/>
  <c r="AI39" i="12" s="1"/>
  <c r="AB37" i="12"/>
  <c r="AB39" i="12" s="1"/>
  <c r="J87" i="12"/>
  <c r="J25" i="12"/>
  <c r="J26" i="12"/>
  <c r="J22" i="12"/>
  <c r="J24" i="12"/>
  <c r="J23" i="12"/>
  <c r="J28" i="12"/>
  <c r="J76" i="12"/>
  <c r="J21" i="12"/>
  <c r="K10" i="12"/>
  <c r="L11" i="12"/>
  <c r="L56" i="12" l="1"/>
  <c r="G32" i="36" s="1"/>
  <c r="L58" i="12"/>
  <c r="L34" i="13"/>
  <c r="L39" i="13"/>
  <c r="L38" i="13"/>
  <c r="L33" i="13"/>
  <c r="L35" i="13"/>
  <c r="L41" i="13"/>
  <c r="L36" i="13"/>
  <c r="L42" i="13"/>
  <c r="L45" i="13"/>
  <c r="L40" i="13"/>
  <c r="N15" i="13"/>
  <c r="M21" i="13"/>
  <c r="K18" i="13"/>
  <c r="K19" i="13" s="1"/>
  <c r="L85" i="12"/>
  <c r="L91" i="12"/>
  <c r="L82" i="12"/>
  <c r="L89" i="12"/>
  <c r="L90" i="12"/>
  <c r="L25" i="12" s="1"/>
  <c r="L83" i="12"/>
  <c r="L81" i="12"/>
  <c r="L71" i="12"/>
  <c r="L93" i="12"/>
  <c r="L86" i="12"/>
  <c r="L74" i="12"/>
  <c r="L84" i="12"/>
  <c r="L9" i="12"/>
  <c r="L12" i="13" s="1"/>
  <c r="L80" i="12"/>
  <c r="L75" i="12"/>
  <c r="L79" i="12"/>
  <c r="K87" i="12"/>
  <c r="K21" i="12"/>
  <c r="K76" i="12"/>
  <c r="K23" i="12"/>
  <c r="K28" i="12"/>
  <c r="L10" i="12"/>
  <c r="M11" i="12"/>
  <c r="J13" i="13"/>
  <c r="K13" i="13" s="1"/>
  <c r="L13" i="13" s="1"/>
  <c r="M13" i="13" s="1"/>
  <c r="N13" i="13" s="1"/>
  <c r="O13" i="13" s="1"/>
  <c r="P13" i="13" s="1"/>
  <c r="Q13" i="13" s="1"/>
  <c r="R13" i="13" s="1"/>
  <c r="S13" i="13" s="1"/>
  <c r="T13" i="13" s="1"/>
  <c r="U13" i="13" s="1"/>
  <c r="V13" i="13" s="1"/>
  <c r="W13" i="13" s="1"/>
  <c r="X13" i="13" s="1"/>
  <c r="Y13" i="13" s="1"/>
  <c r="Z13" i="13" s="1"/>
  <c r="AA13" i="13" s="1"/>
  <c r="AB13" i="13" s="1"/>
  <c r="AC13" i="13" s="1"/>
  <c r="AD13" i="13" s="1"/>
  <c r="AE13" i="13" s="1"/>
  <c r="AF13" i="13" s="1"/>
  <c r="AG13" i="13" s="1"/>
  <c r="AH13" i="13" s="1"/>
  <c r="AI13" i="13" s="1"/>
  <c r="AJ13" i="13" s="1"/>
  <c r="AK13" i="13" s="1"/>
  <c r="AL13" i="13" s="1"/>
  <c r="AM13" i="13" s="1"/>
  <c r="AN13" i="13" s="1"/>
  <c r="AO13" i="13" s="1"/>
  <c r="AP13" i="13" s="1"/>
  <c r="AQ13" i="13" s="1"/>
  <c r="AR13" i="13" s="1"/>
  <c r="AS13" i="13" s="1"/>
  <c r="AT13" i="13" s="1"/>
  <c r="AU13" i="13" s="1"/>
  <c r="AV13" i="13" s="1"/>
  <c r="AW13" i="13" s="1"/>
  <c r="AX13" i="13" s="1"/>
  <c r="AY13" i="13" s="1"/>
  <c r="AZ13" i="13" s="1"/>
  <c r="BA13" i="13" s="1"/>
  <c r="BB13" i="13" s="1"/>
  <c r="BC13" i="13" s="1"/>
  <c r="BD13" i="13" s="1"/>
  <c r="BE13" i="13" s="1"/>
  <c r="BF13" i="13" s="1"/>
  <c r="BG13" i="13" s="1"/>
  <c r="BH13" i="13" s="1"/>
  <c r="BI13" i="13" s="1"/>
  <c r="BJ13" i="13" s="1"/>
  <c r="BK13" i="13" s="1"/>
  <c r="BL13" i="13" s="1"/>
  <c r="BM13" i="13" s="1"/>
  <c r="BN13" i="13" s="1"/>
  <c r="BO13" i="13" s="1"/>
  <c r="BP13" i="13" s="1"/>
  <c r="M58" i="12" l="1"/>
  <c r="M56" i="12"/>
  <c r="H32" i="36" s="1"/>
  <c r="M41" i="13"/>
  <c r="M38" i="13"/>
  <c r="M33" i="13"/>
  <c r="M39" i="13"/>
  <c r="M34" i="13"/>
  <c r="M42" i="13"/>
  <c r="M40" i="13"/>
  <c r="M45" i="13"/>
  <c r="M36" i="13"/>
  <c r="M35" i="13"/>
  <c r="O15" i="13"/>
  <c r="N21" i="13"/>
  <c r="L18" i="13"/>
  <c r="L19" i="13" s="1"/>
  <c r="M91" i="12"/>
  <c r="M26" i="12" s="1"/>
  <c r="M82" i="12"/>
  <c r="M86" i="12"/>
  <c r="M79" i="12"/>
  <c r="M75" i="12"/>
  <c r="M22" i="12" s="1"/>
  <c r="M83" i="12"/>
  <c r="M71" i="12"/>
  <c r="M20" i="12" s="1"/>
  <c r="M74" i="12"/>
  <c r="M93" i="12"/>
  <c r="M85" i="12"/>
  <c r="M84" i="12"/>
  <c r="M89" i="12"/>
  <c r="M24" i="12" s="1"/>
  <c r="M80" i="12"/>
  <c r="M81" i="12"/>
  <c r="M90" i="12"/>
  <c r="M9" i="12"/>
  <c r="M12" i="13" s="1"/>
  <c r="L20" i="12"/>
  <c r="L87" i="12"/>
  <c r="L23" i="12"/>
  <c r="L28" i="12"/>
  <c r="L24" i="12"/>
  <c r="L26" i="12"/>
  <c r="L21" i="12"/>
  <c r="L76" i="12"/>
  <c r="L22" i="12"/>
  <c r="M10" i="12"/>
  <c r="N11" i="12"/>
  <c r="N58" i="12" l="1"/>
  <c r="N56" i="12"/>
  <c r="I32" i="36" s="1"/>
  <c r="N38" i="13"/>
  <c r="N39" i="13"/>
  <c r="N33" i="13"/>
  <c r="N40" i="13"/>
  <c r="N35" i="13"/>
  <c r="N42" i="13"/>
  <c r="N41" i="13"/>
  <c r="N34" i="13"/>
  <c r="N45" i="13"/>
  <c r="N36" i="13"/>
  <c r="P15" i="13"/>
  <c r="O21" i="13"/>
  <c r="M18" i="13"/>
  <c r="M19" i="13" s="1"/>
  <c r="N84" i="12"/>
  <c r="N93" i="12"/>
  <c r="N89" i="12"/>
  <c r="N24" i="12" s="1"/>
  <c r="N82" i="12"/>
  <c r="N81" i="12"/>
  <c r="N75" i="12"/>
  <c r="N22" i="12" s="1"/>
  <c r="N9" i="12"/>
  <c r="N12" i="13" s="1"/>
  <c r="N90" i="12"/>
  <c r="N25" i="12" s="1"/>
  <c r="N86" i="12"/>
  <c r="N74" i="12"/>
  <c r="N80" i="12"/>
  <c r="N85" i="12"/>
  <c r="N91" i="12"/>
  <c r="N83" i="12"/>
  <c r="N79" i="12"/>
  <c r="N71" i="12"/>
  <c r="M87" i="12"/>
  <c r="M28" i="12"/>
  <c r="M23" i="12"/>
  <c r="M25" i="12"/>
  <c r="M21" i="12"/>
  <c r="M76" i="12"/>
  <c r="N10" i="12"/>
  <c r="O11" i="12"/>
  <c r="O56" i="12" l="1"/>
  <c r="J32" i="36" s="1"/>
  <c r="O58" i="12"/>
  <c r="O45" i="13"/>
  <c r="O42" i="13"/>
  <c r="O34" i="13"/>
  <c r="O40" i="13"/>
  <c r="O35" i="13"/>
  <c r="O41" i="13"/>
  <c r="O39" i="13"/>
  <c r="O38" i="13"/>
  <c r="O36" i="13"/>
  <c r="O33" i="13"/>
  <c r="Q15" i="13"/>
  <c r="P21" i="13"/>
  <c r="N18" i="13"/>
  <c r="N19" i="13" s="1"/>
  <c r="N20" i="12"/>
  <c r="O84" i="12"/>
  <c r="O90" i="12"/>
  <c r="O25" i="12" s="1"/>
  <c r="O81" i="12"/>
  <c r="O91" i="12"/>
  <c r="O26" i="12" s="1"/>
  <c r="O89" i="12"/>
  <c r="O24" i="12" s="1"/>
  <c r="O85" i="12"/>
  <c r="O83" i="12"/>
  <c r="O86" i="12"/>
  <c r="O80" i="12"/>
  <c r="O82" i="12"/>
  <c r="O79" i="12"/>
  <c r="O9" i="12"/>
  <c r="O12" i="13" s="1"/>
  <c r="O75" i="12"/>
  <c r="O22" i="12" s="1"/>
  <c r="O71" i="12"/>
  <c r="O20" i="12" s="1"/>
  <c r="O74" i="12"/>
  <c r="O93" i="12"/>
  <c r="N87" i="12"/>
  <c r="N26" i="12"/>
  <c r="N76" i="12"/>
  <c r="N21" i="12"/>
  <c r="N28" i="12"/>
  <c r="N23" i="12"/>
  <c r="O10" i="12"/>
  <c r="P11" i="12"/>
  <c r="P58" i="12" l="1"/>
  <c r="P56" i="12"/>
  <c r="K32" i="36" s="1"/>
  <c r="P34" i="13"/>
  <c r="P45" i="13"/>
  <c r="P41" i="13"/>
  <c r="P36" i="13"/>
  <c r="P33" i="13"/>
  <c r="P40" i="13"/>
  <c r="P35" i="13"/>
  <c r="P39" i="13"/>
  <c r="P38" i="13"/>
  <c r="P42" i="13"/>
  <c r="R15" i="13"/>
  <c r="Q21" i="13"/>
  <c r="O18" i="13"/>
  <c r="O19" i="13" s="1"/>
  <c r="P90" i="12"/>
  <c r="P25" i="12" s="1"/>
  <c r="P81" i="12"/>
  <c r="P86" i="12"/>
  <c r="P75" i="12"/>
  <c r="P22" i="12" s="1"/>
  <c r="P89" i="12"/>
  <c r="P24" i="12" s="1"/>
  <c r="P79" i="12"/>
  <c r="P91" i="12"/>
  <c r="P26" i="12" s="1"/>
  <c r="P85" i="12"/>
  <c r="P74" i="12"/>
  <c r="P80" i="12"/>
  <c r="P84" i="12"/>
  <c r="P82" i="12"/>
  <c r="P71" i="12"/>
  <c r="P83" i="12"/>
  <c r="P9" i="12"/>
  <c r="P12" i="13" s="1"/>
  <c r="P93" i="12"/>
  <c r="O87" i="12"/>
  <c r="O76" i="12"/>
  <c r="O21" i="12"/>
  <c r="O28" i="12"/>
  <c r="O23" i="12"/>
  <c r="P10" i="12"/>
  <c r="Q11" i="12"/>
  <c r="Q58" i="12" l="1"/>
  <c r="Q56" i="12"/>
  <c r="L32" i="36" s="1"/>
  <c r="Q33" i="13"/>
  <c r="Q34" i="13"/>
  <c r="Q35" i="13"/>
  <c r="Q40" i="13"/>
  <c r="Q38" i="13"/>
  <c r="Q41" i="13"/>
  <c r="Q42" i="13"/>
  <c r="Q45" i="13"/>
  <c r="Q36" i="13"/>
  <c r="Q39" i="13"/>
  <c r="S15" i="13"/>
  <c r="R21" i="13"/>
  <c r="P20" i="12"/>
  <c r="Q86" i="12"/>
  <c r="Q83" i="12"/>
  <c r="Q90" i="12"/>
  <c r="Q25" i="12" s="1"/>
  <c r="Q81" i="12"/>
  <c r="Q91" i="12"/>
  <c r="Q26" i="12" s="1"/>
  <c r="Q89" i="12"/>
  <c r="Q24" i="12" s="1"/>
  <c r="Q84" i="12"/>
  <c r="Q82" i="12"/>
  <c r="Q85" i="12"/>
  <c r="Q74" i="12"/>
  <c r="Q71" i="12"/>
  <c r="Q20" i="12" s="1"/>
  <c r="Q80" i="12"/>
  <c r="Q9" i="12"/>
  <c r="Q12" i="13" s="1"/>
  <c r="Q75" i="12"/>
  <c r="Q22" i="12" s="1"/>
  <c r="Q79" i="12"/>
  <c r="Q93" i="12"/>
  <c r="Q28" i="12" s="1"/>
  <c r="P18" i="13"/>
  <c r="P19" i="13" s="1"/>
  <c r="P87" i="12"/>
  <c r="P28" i="12"/>
  <c r="P21" i="12"/>
  <c r="P76" i="12"/>
  <c r="P23" i="12"/>
  <c r="Q10" i="12"/>
  <c r="R11" i="12"/>
  <c r="R58" i="12" l="1"/>
  <c r="R56" i="12"/>
  <c r="M32" i="36" s="1"/>
  <c r="R35" i="13"/>
  <c r="R41" i="13"/>
  <c r="R36" i="13"/>
  <c r="R39" i="13"/>
  <c r="R33" i="13"/>
  <c r="R40" i="13"/>
  <c r="R45" i="13"/>
  <c r="R34" i="13"/>
  <c r="R38" i="13"/>
  <c r="R42" i="13"/>
  <c r="T15" i="13"/>
  <c r="S21" i="13"/>
  <c r="Q18" i="13"/>
  <c r="Q19" i="13" s="1"/>
  <c r="R83" i="12"/>
  <c r="R89" i="12"/>
  <c r="R24" i="12" s="1"/>
  <c r="R85" i="12"/>
  <c r="R80" i="12"/>
  <c r="R79" i="12"/>
  <c r="R91" i="12"/>
  <c r="R26" i="12" s="1"/>
  <c r="R81" i="12"/>
  <c r="R9" i="12"/>
  <c r="R12" i="13" s="1"/>
  <c r="R75" i="12"/>
  <c r="R22" i="12" s="1"/>
  <c r="R90" i="12"/>
  <c r="R25" i="12" s="1"/>
  <c r="R84" i="12"/>
  <c r="R86" i="12"/>
  <c r="R82" i="12"/>
  <c r="R71" i="12"/>
  <c r="R20" i="12" s="1"/>
  <c r="R74" i="12"/>
  <c r="R93" i="12"/>
  <c r="R28" i="12" s="1"/>
  <c r="Q87" i="12"/>
  <c r="Q23" i="12"/>
  <c r="Q21" i="12"/>
  <c r="Q76" i="12"/>
  <c r="R10" i="12"/>
  <c r="S11" i="12"/>
  <c r="S58" i="12" l="1"/>
  <c r="S56" i="12"/>
  <c r="N32" i="36" s="1"/>
  <c r="S39" i="13"/>
  <c r="S45" i="13"/>
  <c r="S42" i="13"/>
  <c r="S34" i="13"/>
  <c r="S33" i="13"/>
  <c r="S40" i="13"/>
  <c r="S35" i="13"/>
  <c r="S36" i="13"/>
  <c r="S38" i="13"/>
  <c r="S41" i="13"/>
  <c r="U15" i="13"/>
  <c r="T21" i="13"/>
  <c r="S89" i="12"/>
  <c r="S24" i="12" s="1"/>
  <c r="S85" i="12"/>
  <c r="S75" i="12"/>
  <c r="S22" i="12" s="1"/>
  <c r="S86" i="12"/>
  <c r="S82" i="12"/>
  <c r="S80" i="12"/>
  <c r="S71" i="12"/>
  <c r="S20" i="12" s="1"/>
  <c r="S90" i="12"/>
  <c r="S25" i="12" s="1"/>
  <c r="S84" i="12"/>
  <c r="S83" i="12"/>
  <c r="S79" i="12"/>
  <c r="S91" i="12"/>
  <c r="S26" i="12" s="1"/>
  <c r="S74" i="12"/>
  <c r="S9" i="12"/>
  <c r="S12" i="13" s="1"/>
  <c r="S81" i="12"/>
  <c r="S93" i="12"/>
  <c r="S28" i="12" s="1"/>
  <c r="R18" i="13"/>
  <c r="R19" i="13" s="1"/>
  <c r="R87" i="12"/>
  <c r="R23" i="12"/>
  <c r="R76" i="12"/>
  <c r="R21" i="12"/>
  <c r="S10" i="12"/>
  <c r="T11" i="12"/>
  <c r="T56" i="12" l="1"/>
  <c r="O32" i="36" s="1"/>
  <c r="T58" i="12"/>
  <c r="T40" i="13"/>
  <c r="T33" i="13"/>
  <c r="T35" i="13"/>
  <c r="T42" i="13"/>
  <c r="T36" i="13"/>
  <c r="T34" i="13"/>
  <c r="T41" i="13"/>
  <c r="T45" i="13"/>
  <c r="T39" i="13"/>
  <c r="T38" i="13"/>
  <c r="V15" i="13"/>
  <c r="U21" i="13"/>
  <c r="S18" i="13"/>
  <c r="S19" i="13" s="1"/>
  <c r="T85" i="12"/>
  <c r="T91" i="12"/>
  <c r="T26" i="12" s="1"/>
  <c r="T82" i="12"/>
  <c r="T90" i="12"/>
  <c r="T25" i="12" s="1"/>
  <c r="T86" i="12"/>
  <c r="T84" i="12"/>
  <c r="T71" i="12"/>
  <c r="T20" i="12" s="1"/>
  <c r="T80" i="12"/>
  <c r="T83" i="12"/>
  <c r="T89" i="12"/>
  <c r="T24" i="12" s="1"/>
  <c r="T79" i="12"/>
  <c r="T75" i="12"/>
  <c r="T74" i="12"/>
  <c r="T21" i="12" s="1"/>
  <c r="T9" i="12"/>
  <c r="T12" i="13" s="1"/>
  <c r="T81" i="12"/>
  <c r="T93" i="12"/>
  <c r="T28" i="12" s="1"/>
  <c r="S87" i="12"/>
  <c r="S23" i="12"/>
  <c r="S21" i="12"/>
  <c r="S76" i="12"/>
  <c r="T10" i="12"/>
  <c r="U11" i="12"/>
  <c r="B27" i="8"/>
  <c r="B26" i="8" s="1"/>
  <c r="B25" i="8" s="1"/>
  <c r="B24" i="8" s="1"/>
  <c r="B23" i="8" s="1"/>
  <c r="U58" i="12" l="1"/>
  <c r="U56" i="12"/>
  <c r="P32" i="36" s="1"/>
  <c r="U40" i="13"/>
  <c r="U39" i="13"/>
  <c r="U34" i="13"/>
  <c r="U36" i="13"/>
  <c r="U38" i="13"/>
  <c r="U45" i="13"/>
  <c r="U41" i="13"/>
  <c r="U35" i="13"/>
  <c r="U42" i="13"/>
  <c r="U33" i="13"/>
  <c r="W15" i="13"/>
  <c r="V21" i="13"/>
  <c r="T18" i="13"/>
  <c r="T19" i="13" s="1"/>
  <c r="U91" i="12"/>
  <c r="U26" i="12" s="1"/>
  <c r="U82" i="12"/>
  <c r="U79" i="12"/>
  <c r="U75" i="12"/>
  <c r="U22" i="12" s="1"/>
  <c r="U80" i="12"/>
  <c r="U71" i="12"/>
  <c r="U20" i="12" s="1"/>
  <c r="U74" i="12"/>
  <c r="U89" i="12"/>
  <c r="U24" i="12" s="1"/>
  <c r="U90" i="12"/>
  <c r="U25" i="12" s="1"/>
  <c r="U83" i="12"/>
  <c r="U9" i="12"/>
  <c r="U12" i="13" s="1"/>
  <c r="U86" i="12"/>
  <c r="U81" i="12"/>
  <c r="U85" i="12"/>
  <c r="U84" i="12"/>
  <c r="U93" i="12"/>
  <c r="U28" i="12" s="1"/>
  <c r="T87" i="12"/>
  <c r="T76" i="12"/>
  <c r="T22" i="12"/>
  <c r="T23" i="12"/>
  <c r="U10" i="12"/>
  <c r="V11" i="12"/>
  <c r="N9" i="13"/>
  <c r="H26" i="13" s="1"/>
  <c r="N7" i="13"/>
  <c r="H24" i="13" s="1"/>
  <c r="B28" i="8"/>
  <c r="B29" i="8" s="1"/>
  <c r="B30" i="8" s="1"/>
  <c r="B31" i="8" s="1"/>
  <c r="B32" i="8" s="1"/>
  <c r="B33" i="8" s="1"/>
  <c r="B34" i="8" s="1"/>
  <c r="B35" i="8" s="1"/>
  <c r="B7" i="8"/>
  <c r="V58" i="12" l="1"/>
  <c r="V56" i="12"/>
  <c r="Q32" i="36" s="1"/>
  <c r="V41" i="13"/>
  <c r="V45" i="13"/>
  <c r="V39" i="13"/>
  <c r="V40" i="13"/>
  <c r="V34" i="13"/>
  <c r="V42" i="13"/>
  <c r="V33" i="13"/>
  <c r="V36" i="13"/>
  <c r="V38" i="13"/>
  <c r="V35" i="13"/>
  <c r="X15" i="13"/>
  <c r="W21" i="13"/>
  <c r="U18" i="13"/>
  <c r="U19" i="13" s="1"/>
  <c r="V84" i="12"/>
  <c r="V91" i="12"/>
  <c r="V26" i="12" s="1"/>
  <c r="V89" i="12"/>
  <c r="V24" i="12" s="1"/>
  <c r="V82" i="12"/>
  <c r="V90" i="12"/>
  <c r="V25" i="12" s="1"/>
  <c r="V85" i="12"/>
  <c r="V83" i="12"/>
  <c r="V81" i="12"/>
  <c r="V79" i="12"/>
  <c r="V9" i="12"/>
  <c r="V12" i="13" s="1"/>
  <c r="V75" i="12"/>
  <c r="V22" i="12" s="1"/>
  <c r="V74" i="12"/>
  <c r="V71" i="12"/>
  <c r="V20" i="12" s="1"/>
  <c r="V86" i="12"/>
  <c r="V80" i="12"/>
  <c r="V93" i="12"/>
  <c r="V28" i="12" s="1"/>
  <c r="U87" i="12"/>
  <c r="U23" i="12"/>
  <c r="U21" i="12"/>
  <c r="U76" i="12"/>
  <c r="V10" i="12"/>
  <c r="W11" i="12"/>
  <c r="B6" i="8"/>
  <c r="B9" i="8"/>
  <c r="W58" i="12" l="1"/>
  <c r="W56" i="12"/>
  <c r="R32" i="36" s="1"/>
  <c r="W41" i="13"/>
  <c r="W39" i="13"/>
  <c r="W38" i="13"/>
  <c r="W36" i="13"/>
  <c r="W33" i="13"/>
  <c r="W40" i="13"/>
  <c r="W42" i="13"/>
  <c r="W34" i="13"/>
  <c r="W35" i="13"/>
  <c r="W45" i="13"/>
  <c r="Y15" i="13"/>
  <c r="X21" i="13"/>
  <c r="V18" i="13"/>
  <c r="V19" i="13" s="1"/>
  <c r="W84" i="12"/>
  <c r="W90" i="12"/>
  <c r="W25" i="12" s="1"/>
  <c r="W81" i="12"/>
  <c r="W86" i="12"/>
  <c r="W80" i="12"/>
  <c r="W82" i="12"/>
  <c r="W89" i="12"/>
  <c r="W24" i="12" s="1"/>
  <c r="W71" i="12"/>
  <c r="W20" i="12" s="1"/>
  <c r="W75" i="12"/>
  <c r="W22" i="12" s="1"/>
  <c r="W83" i="12"/>
  <c r="W79" i="12"/>
  <c r="W74" i="12"/>
  <c r="W9" i="12"/>
  <c r="W12" i="13" s="1"/>
  <c r="W91" i="12"/>
  <c r="W26" i="12" s="1"/>
  <c r="W85" i="12"/>
  <c r="W93" i="12"/>
  <c r="W28" i="12" s="1"/>
  <c r="V87" i="12"/>
  <c r="V23" i="12"/>
  <c r="V76" i="12"/>
  <c r="V21" i="12"/>
  <c r="W10" i="12"/>
  <c r="X11" i="12"/>
  <c r="I20" i="13"/>
  <c r="I25" i="13" s="1"/>
  <c r="B10" i="8"/>
  <c r="B5" i="8"/>
  <c r="B10" i="7"/>
  <c r="B11" i="7" s="1"/>
  <c r="B12" i="7" s="1"/>
  <c r="X58" i="12" l="1"/>
  <c r="X56" i="12"/>
  <c r="S32" i="36" s="1"/>
  <c r="Z15" i="13"/>
  <c r="Y21" i="13"/>
  <c r="X42" i="13"/>
  <c r="X45" i="13"/>
  <c r="X35" i="13"/>
  <c r="X39" i="13"/>
  <c r="X36" i="13"/>
  <c r="X34" i="13"/>
  <c r="X38" i="13"/>
  <c r="X33" i="13"/>
  <c r="X40" i="13"/>
  <c r="X41" i="13"/>
  <c r="W18" i="13"/>
  <c r="W19" i="13" s="1"/>
  <c r="X90" i="12"/>
  <c r="X25" i="12" s="1"/>
  <c r="X81" i="12"/>
  <c r="X86" i="12"/>
  <c r="X75" i="12"/>
  <c r="X22" i="12" s="1"/>
  <c r="X84" i="12"/>
  <c r="X83" i="12"/>
  <c r="X74" i="12"/>
  <c r="X89" i="12"/>
  <c r="X24" i="12" s="1"/>
  <c r="X91" i="12"/>
  <c r="X26" i="12" s="1"/>
  <c r="X79" i="12"/>
  <c r="X9" i="12"/>
  <c r="X12" i="13" s="1"/>
  <c r="X85" i="12"/>
  <c r="X80" i="12"/>
  <c r="X82" i="12"/>
  <c r="X71" i="12"/>
  <c r="X20" i="12" s="1"/>
  <c r="X93" i="12"/>
  <c r="X28" i="12" s="1"/>
  <c r="I24" i="13"/>
  <c r="I26" i="13"/>
  <c r="W87" i="12"/>
  <c r="W76" i="12"/>
  <c r="W21" i="12"/>
  <c r="W23" i="12"/>
  <c r="X10" i="12"/>
  <c r="Y11" i="12"/>
  <c r="J20" i="13"/>
  <c r="J25" i="13" s="1"/>
  <c r="B4" i="8"/>
  <c r="B11" i="8"/>
  <c r="C39" i="7"/>
  <c r="B37" i="7"/>
  <c r="B36" i="7" s="1"/>
  <c r="B35" i="7" s="1"/>
  <c r="B34" i="7" s="1"/>
  <c r="B33" i="7" s="1"/>
  <c r="B32" i="7" s="1"/>
  <c r="B31" i="7" s="1"/>
  <c r="B30" i="7" s="1"/>
  <c r="B13" i="7"/>
  <c r="Y58" i="12" l="1"/>
  <c r="Y56" i="12"/>
  <c r="T32" i="36" s="1"/>
  <c r="AA15" i="13"/>
  <c r="Z21" i="13"/>
  <c r="Y42" i="13"/>
  <c r="Y45" i="13"/>
  <c r="Y35" i="13"/>
  <c r="Y40" i="13"/>
  <c r="Y36" i="13"/>
  <c r="Y39" i="13"/>
  <c r="Y41" i="13"/>
  <c r="Y38" i="13"/>
  <c r="Y33" i="13"/>
  <c r="Y34" i="13"/>
  <c r="X18" i="13"/>
  <c r="X19" i="13" s="1"/>
  <c r="Y86" i="12"/>
  <c r="Y83" i="12"/>
  <c r="Y91" i="12"/>
  <c r="Y26" i="12" s="1"/>
  <c r="Y89" i="12"/>
  <c r="Y24" i="12" s="1"/>
  <c r="Y84" i="12"/>
  <c r="Y85" i="12"/>
  <c r="Y74" i="12"/>
  <c r="Y90" i="12"/>
  <c r="Y25" i="12" s="1"/>
  <c r="Y79" i="12"/>
  <c r="Y81" i="12"/>
  <c r="Y75" i="12"/>
  <c r="Y22" i="12" s="1"/>
  <c r="Y71" i="12"/>
  <c r="Y20" i="12" s="1"/>
  <c r="Y9" i="12"/>
  <c r="Y12" i="13" s="1"/>
  <c r="Y18" i="13" s="1"/>
  <c r="Y80" i="12"/>
  <c r="Y82" i="12"/>
  <c r="Y93" i="12"/>
  <c r="Y28" i="12" s="1"/>
  <c r="J24" i="13"/>
  <c r="J26" i="13"/>
  <c r="X87" i="12"/>
  <c r="X21" i="12"/>
  <c r="X76" i="12"/>
  <c r="X23" i="12"/>
  <c r="Y10" i="12"/>
  <c r="Z11" i="12"/>
  <c r="K20" i="13"/>
  <c r="K25" i="13" s="1"/>
  <c r="B12" i="8"/>
  <c r="B14" i="7"/>
  <c r="Z58" i="12" l="1"/>
  <c r="Z56" i="12"/>
  <c r="U32" i="36" s="1"/>
  <c r="AB15" i="13"/>
  <c r="AA21" i="13"/>
  <c r="Z34" i="13"/>
  <c r="Z33" i="13"/>
  <c r="Z41" i="13"/>
  <c r="Z42" i="13"/>
  <c r="Z45" i="13"/>
  <c r="Z40" i="13"/>
  <c r="Z38" i="13"/>
  <c r="Z39" i="13"/>
  <c r="Z35" i="13"/>
  <c r="Z36" i="13"/>
  <c r="Z83" i="12"/>
  <c r="Z89" i="12"/>
  <c r="Z24" i="12" s="1"/>
  <c r="Z80" i="12"/>
  <c r="Z79" i="12"/>
  <c r="Z90" i="12"/>
  <c r="Z25" i="12" s="1"/>
  <c r="Z84" i="12"/>
  <c r="Z9" i="12"/>
  <c r="Z12" i="13" s="1"/>
  <c r="Z18" i="13" s="1"/>
  <c r="Z86" i="12"/>
  <c r="Z82" i="12"/>
  <c r="Z91" i="12"/>
  <c r="Z26" i="12" s="1"/>
  <c r="Z85" i="12"/>
  <c r="Z75" i="12"/>
  <c r="Z22" i="12" s="1"/>
  <c r="Z74" i="12"/>
  <c r="Z81" i="12"/>
  <c r="Z71" i="12"/>
  <c r="Z20" i="12" s="1"/>
  <c r="Z93" i="12"/>
  <c r="Z28" i="12" s="1"/>
  <c r="K26" i="13"/>
  <c r="K24" i="13"/>
  <c r="Y87" i="12"/>
  <c r="Y21" i="12"/>
  <c r="Y76" i="12"/>
  <c r="Y23" i="12"/>
  <c r="Z10" i="12"/>
  <c r="AA11" i="12"/>
  <c r="L20" i="13"/>
  <c r="L25" i="13" s="1"/>
  <c r="B13" i="8"/>
  <c r="B15" i="7"/>
  <c r="F4" i="4"/>
  <c r="G28" i="4"/>
  <c r="F28" i="4"/>
  <c r="G27" i="4"/>
  <c r="F27" i="4"/>
  <c r="G26" i="4"/>
  <c r="F26" i="4"/>
  <c r="AA58" i="12" l="1"/>
  <c r="AA56" i="12"/>
  <c r="V32" i="36" s="1"/>
  <c r="AA35" i="13"/>
  <c r="AA34" i="13"/>
  <c r="AA41" i="13"/>
  <c r="AA36" i="13"/>
  <c r="AA45" i="13"/>
  <c r="AA42" i="13"/>
  <c r="AA33" i="13"/>
  <c r="AA40" i="13"/>
  <c r="AA39" i="13"/>
  <c r="AA38" i="13"/>
  <c r="AC15" i="13"/>
  <c r="AB21" i="13"/>
  <c r="AA89" i="12"/>
  <c r="AA24" i="12" s="1"/>
  <c r="AA85" i="12"/>
  <c r="AA90" i="12"/>
  <c r="AA25" i="12" s="1"/>
  <c r="AA83" i="12"/>
  <c r="AA81" i="12"/>
  <c r="AA91" i="12"/>
  <c r="AA26" i="12" s="1"/>
  <c r="AA86" i="12"/>
  <c r="AA84" i="12"/>
  <c r="AA82" i="12"/>
  <c r="AA79" i="12"/>
  <c r="AA80" i="12"/>
  <c r="AA74" i="12"/>
  <c r="AA75" i="12"/>
  <c r="AA22" i="12" s="1"/>
  <c r="AA9" i="12"/>
  <c r="AA12" i="13" s="1"/>
  <c r="AA18" i="13" s="1"/>
  <c r="AA71" i="12"/>
  <c r="AA20" i="12" s="1"/>
  <c r="AA93" i="12"/>
  <c r="AA28" i="12" s="1"/>
  <c r="L26" i="13"/>
  <c r="L24" i="13"/>
  <c r="Z87" i="12"/>
  <c r="Z21" i="12"/>
  <c r="Z76" i="12"/>
  <c r="Z23" i="12"/>
  <c r="AA10" i="12"/>
  <c r="AB11" i="12"/>
  <c r="M20" i="13"/>
  <c r="M25" i="13" s="1"/>
  <c r="B14" i="8"/>
  <c r="B16" i="7"/>
  <c r="B17" i="7" s="1"/>
  <c r="B18" i="7" s="1"/>
  <c r="B19" i="7" s="1"/>
  <c r="F30" i="4"/>
  <c r="F29" i="4"/>
  <c r="F25" i="4"/>
  <c r="AB56" i="12" l="1"/>
  <c r="W32" i="36" s="1"/>
  <c r="AB58" i="12"/>
  <c r="AB39" i="13"/>
  <c r="AB35" i="13"/>
  <c r="AB38" i="13"/>
  <c r="AB41" i="13"/>
  <c r="AB40" i="13"/>
  <c r="AB42" i="13"/>
  <c r="AB45" i="13"/>
  <c r="AB34" i="13"/>
  <c r="AB36" i="13"/>
  <c r="AB33" i="13"/>
  <c r="AD15" i="13"/>
  <c r="AC21" i="13"/>
  <c r="AB85" i="12"/>
  <c r="AB91" i="12"/>
  <c r="AB26" i="12" s="1"/>
  <c r="AB82" i="12"/>
  <c r="AB86" i="12"/>
  <c r="AB83" i="12"/>
  <c r="AB75" i="12"/>
  <c r="AB71" i="12"/>
  <c r="AB20" i="12" s="1"/>
  <c r="AB79" i="12"/>
  <c r="AB90" i="12"/>
  <c r="AB25" i="12" s="1"/>
  <c r="AB81" i="12"/>
  <c r="AB89" i="12"/>
  <c r="AB24" i="12" s="1"/>
  <c r="AB74" i="12"/>
  <c r="AB21" i="12" s="1"/>
  <c r="AB80" i="12"/>
  <c r="AB84" i="12"/>
  <c r="AB9" i="12"/>
  <c r="AB12" i="13" s="1"/>
  <c r="AB18" i="13" s="1"/>
  <c r="AB93" i="12"/>
  <c r="AB28" i="12" s="1"/>
  <c r="M26" i="13"/>
  <c r="M24" i="13"/>
  <c r="AA87" i="12"/>
  <c r="AA21" i="12"/>
  <c r="AA76" i="12"/>
  <c r="AA23" i="12"/>
  <c r="AB10" i="12"/>
  <c r="AC11" i="12"/>
  <c r="N20" i="13"/>
  <c r="N25" i="13" s="1"/>
  <c r="B15" i="8"/>
  <c r="AC58" i="12" l="1"/>
  <c r="AC56" i="12"/>
  <c r="X32" i="36" s="1"/>
  <c r="AC41" i="13"/>
  <c r="AC36" i="13"/>
  <c r="AC39" i="13"/>
  <c r="AC45" i="13"/>
  <c r="AC35" i="13"/>
  <c r="AC42" i="13"/>
  <c r="AC33" i="13"/>
  <c r="AC34" i="13"/>
  <c r="AC40" i="13"/>
  <c r="AC38" i="13"/>
  <c r="AE15" i="13"/>
  <c r="AD21" i="13"/>
  <c r="AC91" i="12"/>
  <c r="AC26" i="12" s="1"/>
  <c r="AC82" i="12"/>
  <c r="AC79" i="12"/>
  <c r="AC89" i="12"/>
  <c r="AC24" i="12" s="1"/>
  <c r="AC75" i="12"/>
  <c r="AC22" i="12" s="1"/>
  <c r="AC71" i="12"/>
  <c r="AC20" i="12" s="1"/>
  <c r="AC81" i="12"/>
  <c r="AC74" i="12"/>
  <c r="AC93" i="12"/>
  <c r="AC28" i="12" s="1"/>
  <c r="AC90" i="12"/>
  <c r="AC25" i="12" s="1"/>
  <c r="AC83" i="12"/>
  <c r="AC85" i="12"/>
  <c r="AC80" i="12"/>
  <c r="AC84" i="12"/>
  <c r="AC86" i="12"/>
  <c r="AC9" i="12"/>
  <c r="AC12" i="13" s="1"/>
  <c r="N24" i="13"/>
  <c r="N26" i="13"/>
  <c r="AB87" i="12"/>
  <c r="AB76" i="12"/>
  <c r="AB22" i="12"/>
  <c r="AB23" i="12"/>
  <c r="AC10" i="12"/>
  <c r="AD11" i="12"/>
  <c r="O20" i="13"/>
  <c r="O25" i="13" s="1"/>
  <c r="B16" i="8"/>
  <c r="AD58" i="12" l="1"/>
  <c r="AD56" i="12"/>
  <c r="Y32" i="36" s="1"/>
  <c r="AD42" i="13"/>
  <c r="AD34" i="13"/>
  <c r="AD33" i="13"/>
  <c r="AD35" i="13"/>
  <c r="AD38" i="13"/>
  <c r="AD41" i="13"/>
  <c r="AD39" i="13"/>
  <c r="AD40" i="13"/>
  <c r="AD45" i="13"/>
  <c r="AD36" i="13"/>
  <c r="AF15" i="13"/>
  <c r="AE21" i="13"/>
  <c r="AD93" i="12"/>
  <c r="AD28" i="12" s="1"/>
  <c r="AD84" i="12"/>
  <c r="AD90" i="12"/>
  <c r="AD25" i="12" s="1"/>
  <c r="AD85" i="12"/>
  <c r="AD86" i="12"/>
  <c r="AD82" i="12"/>
  <c r="AD81" i="12"/>
  <c r="AD75" i="12"/>
  <c r="AD22" i="12" s="1"/>
  <c r="AD80" i="12"/>
  <c r="AD9" i="12"/>
  <c r="AD12" i="13" s="1"/>
  <c r="AD83" i="12"/>
  <c r="AD91" i="12"/>
  <c r="AD26" i="12" s="1"/>
  <c r="AD74" i="12"/>
  <c r="AD79" i="12"/>
  <c r="AD71" i="12"/>
  <c r="AD20" i="12" s="1"/>
  <c r="AD89" i="12"/>
  <c r="AD24" i="12" s="1"/>
  <c r="O26" i="13"/>
  <c r="O24" i="13"/>
  <c r="AC87" i="12"/>
  <c r="AC23" i="12"/>
  <c r="AC21" i="12"/>
  <c r="AC76" i="12"/>
  <c r="AD10" i="12"/>
  <c r="AE11" i="12"/>
  <c r="P20" i="13"/>
  <c r="P25" i="13" s="1"/>
  <c r="C5" i="7"/>
  <c r="C26" i="7" s="1"/>
  <c r="AE56" i="12" l="1"/>
  <c r="Z32" i="36" s="1"/>
  <c r="AE58" i="12"/>
  <c r="AE40" i="13"/>
  <c r="AE39" i="13"/>
  <c r="AE41" i="13"/>
  <c r="AE38" i="13"/>
  <c r="AE36" i="13"/>
  <c r="AE45" i="13"/>
  <c r="AE42" i="13"/>
  <c r="AE34" i="13"/>
  <c r="AE35" i="13"/>
  <c r="AE33" i="13"/>
  <c r="AG15" i="13"/>
  <c r="AF21" i="13"/>
  <c r="AE93" i="12"/>
  <c r="AE28" i="12" s="1"/>
  <c r="AE84" i="12"/>
  <c r="AE90" i="12"/>
  <c r="AE25" i="12" s="1"/>
  <c r="AE81" i="12"/>
  <c r="AE80" i="12"/>
  <c r="AE89" i="12"/>
  <c r="AE24" i="12" s="1"/>
  <c r="AE91" i="12"/>
  <c r="AE26" i="12" s="1"/>
  <c r="AE85" i="12"/>
  <c r="AE71" i="12"/>
  <c r="AE20" i="12" s="1"/>
  <c r="AE79" i="12"/>
  <c r="AE75" i="12"/>
  <c r="AE22" i="12" s="1"/>
  <c r="AE83" i="12"/>
  <c r="AE86" i="12"/>
  <c r="AE9" i="12"/>
  <c r="AE12" i="13" s="1"/>
  <c r="AE82" i="12"/>
  <c r="AE74" i="12"/>
  <c r="P24" i="13"/>
  <c r="P26" i="13"/>
  <c r="AD87" i="12"/>
  <c r="AD76" i="12"/>
  <c r="AD21" i="12"/>
  <c r="AD23" i="12"/>
  <c r="AE10" i="12"/>
  <c r="AF11" i="12"/>
  <c r="Q20" i="13"/>
  <c r="Q25" i="13" s="1"/>
  <c r="C51" i="4"/>
  <c r="B51" i="4"/>
  <c r="AF58" i="12" l="1"/>
  <c r="AF56" i="12"/>
  <c r="AA32" i="36" s="1"/>
  <c r="AF45" i="13"/>
  <c r="AF41" i="13"/>
  <c r="AF42" i="13"/>
  <c r="AF39" i="13"/>
  <c r="AF40" i="13"/>
  <c r="AF34" i="13"/>
  <c r="AF33" i="13"/>
  <c r="AF36" i="13"/>
  <c r="AF38" i="13"/>
  <c r="AF35" i="13"/>
  <c r="AH15" i="13"/>
  <c r="AG21" i="13"/>
  <c r="AF90" i="12"/>
  <c r="AF25" i="12" s="1"/>
  <c r="AF81" i="12"/>
  <c r="AF86" i="12"/>
  <c r="AF91" i="12"/>
  <c r="AF26" i="12" s="1"/>
  <c r="AF89" i="12"/>
  <c r="AF24" i="12" s="1"/>
  <c r="AF84" i="12"/>
  <c r="AF82" i="12"/>
  <c r="AF75" i="12"/>
  <c r="AF22" i="12" s="1"/>
  <c r="AF85" i="12"/>
  <c r="AF83" i="12"/>
  <c r="AF80" i="12"/>
  <c r="AF74" i="12"/>
  <c r="AF93" i="12"/>
  <c r="AF28" i="12" s="1"/>
  <c r="AF79" i="12"/>
  <c r="AF71" i="12"/>
  <c r="AF20" i="12" s="1"/>
  <c r="AF9" i="12"/>
  <c r="AF12" i="13" s="1"/>
  <c r="Q26" i="13"/>
  <c r="Q24" i="13"/>
  <c r="AE87" i="12"/>
  <c r="AE76" i="12"/>
  <c r="AE21" i="12"/>
  <c r="AE23" i="12"/>
  <c r="AF10" i="12"/>
  <c r="AG11" i="12"/>
  <c r="R20" i="13"/>
  <c r="R25" i="13" s="1"/>
  <c r="AG58" i="12" l="1"/>
  <c r="AG56" i="12"/>
  <c r="AB32" i="36" s="1"/>
  <c r="AG34" i="13"/>
  <c r="AG38" i="13"/>
  <c r="AG39" i="13"/>
  <c r="AG40" i="13"/>
  <c r="AG41" i="13"/>
  <c r="AG33" i="13"/>
  <c r="AG45" i="13"/>
  <c r="AG35" i="13"/>
  <c r="AG36" i="13"/>
  <c r="AG42" i="13"/>
  <c r="AI15" i="13"/>
  <c r="AH21" i="13"/>
  <c r="AG86" i="12"/>
  <c r="AG83" i="12"/>
  <c r="AG93" i="12"/>
  <c r="AG28" i="12" s="1"/>
  <c r="AG89" i="12"/>
  <c r="AG24" i="12" s="1"/>
  <c r="AG74" i="12"/>
  <c r="AG91" i="12"/>
  <c r="AG26" i="12" s="1"/>
  <c r="AG85" i="12"/>
  <c r="AG71" i="12"/>
  <c r="AG20" i="12" s="1"/>
  <c r="AG90" i="12"/>
  <c r="AG25" i="12" s="1"/>
  <c r="AG81" i="12"/>
  <c r="AG80" i="12"/>
  <c r="AG9" i="12"/>
  <c r="AG41" i="12" s="1"/>
  <c r="AG84" i="12"/>
  <c r="AG82" i="12"/>
  <c r="AG79" i="12"/>
  <c r="AG75" i="12"/>
  <c r="AG22" i="12" s="1"/>
  <c r="R24" i="13"/>
  <c r="R26" i="13"/>
  <c r="AF87" i="12"/>
  <c r="AF23" i="12"/>
  <c r="AF21" i="12"/>
  <c r="AF76" i="12"/>
  <c r="AG10" i="12"/>
  <c r="AH11" i="12"/>
  <c r="S20" i="13"/>
  <c r="S25" i="13" s="1"/>
  <c r="G8" i="7"/>
  <c r="AH58" i="12" l="1"/>
  <c r="AH56" i="12"/>
  <c r="AC32" i="36" s="1"/>
  <c r="AH35" i="13"/>
  <c r="AH34" i="13"/>
  <c r="AH38" i="13"/>
  <c r="AH41" i="13"/>
  <c r="AH42" i="13"/>
  <c r="AH45" i="13"/>
  <c r="AH40" i="13"/>
  <c r="AH39" i="13"/>
  <c r="AH36" i="13"/>
  <c r="AH33" i="13"/>
  <c r="AJ15" i="13"/>
  <c r="AI21" i="13"/>
  <c r="AG13" i="12"/>
  <c r="AG12" i="13"/>
  <c r="AG44" i="12"/>
  <c r="AH83" i="12"/>
  <c r="AH89" i="12"/>
  <c r="AH24" i="12" s="1"/>
  <c r="AH80" i="12"/>
  <c r="AH90" i="12"/>
  <c r="AH25" i="12" s="1"/>
  <c r="AH81" i="12"/>
  <c r="AH79" i="12"/>
  <c r="AH91" i="12"/>
  <c r="AH26" i="12" s="1"/>
  <c r="AH85" i="12"/>
  <c r="AH9" i="12"/>
  <c r="AH41" i="12" s="1"/>
  <c r="AH84" i="12"/>
  <c r="AH86" i="12"/>
  <c r="AH82" i="12"/>
  <c r="AH93" i="12"/>
  <c r="AH28" i="12" s="1"/>
  <c r="AH75" i="12"/>
  <c r="AH22" i="12" s="1"/>
  <c r="AH74" i="12"/>
  <c r="AH71" i="12"/>
  <c r="AH20" i="12" s="1"/>
  <c r="AG87" i="12"/>
  <c r="S26" i="13"/>
  <c r="S24" i="13"/>
  <c r="AG76" i="12"/>
  <c r="AG21" i="12"/>
  <c r="AG23" i="12"/>
  <c r="AH10" i="12"/>
  <c r="AI11" i="12"/>
  <c r="T20" i="13"/>
  <c r="T25" i="13" s="1"/>
  <c r="G29" i="7"/>
  <c r="H8" i="7"/>
  <c r="F46" i="4"/>
  <c r="J46" i="4"/>
  <c r="I45" i="4"/>
  <c r="I44" i="4"/>
  <c r="I43" i="4"/>
  <c r="I42" i="4"/>
  <c r="I41" i="4"/>
  <c r="I40" i="4"/>
  <c r="I39" i="4"/>
  <c r="AI58" i="12" l="1"/>
  <c r="AI56" i="12"/>
  <c r="AD32" i="36" s="1"/>
  <c r="AI39" i="13"/>
  <c r="AI41" i="13"/>
  <c r="AI42" i="13"/>
  <c r="AI40" i="13"/>
  <c r="AI35" i="13"/>
  <c r="AI33" i="13"/>
  <c r="AI45" i="13"/>
  <c r="AI36" i="13"/>
  <c r="AI34" i="13"/>
  <c r="AI38" i="13"/>
  <c r="AK15" i="13"/>
  <c r="AJ21" i="13"/>
  <c r="AH13" i="12"/>
  <c r="AH12" i="13"/>
  <c r="AH44" i="12"/>
  <c r="AI89" i="12"/>
  <c r="AI24" i="12" s="1"/>
  <c r="AI85" i="12"/>
  <c r="AI91" i="12"/>
  <c r="AI26" i="12" s="1"/>
  <c r="AI86" i="12"/>
  <c r="AI84" i="12"/>
  <c r="AI93" i="12"/>
  <c r="AI28" i="12" s="1"/>
  <c r="AI90" i="12"/>
  <c r="AI25" i="12" s="1"/>
  <c r="AI83" i="12"/>
  <c r="AI82" i="12"/>
  <c r="AI75" i="12"/>
  <c r="AI22" i="12" s="1"/>
  <c r="AI81" i="12"/>
  <c r="AI71" i="12"/>
  <c r="AI20" i="12" s="1"/>
  <c r="AI80" i="12"/>
  <c r="AI74" i="12"/>
  <c r="AI79" i="12"/>
  <c r="AI9" i="12"/>
  <c r="AI41" i="12" s="1"/>
  <c r="T26" i="13"/>
  <c r="T24" i="13"/>
  <c r="AH87" i="12"/>
  <c r="AH23" i="12"/>
  <c r="AH76" i="12"/>
  <c r="AH21" i="12"/>
  <c r="AI10" i="12"/>
  <c r="AJ10" i="12" s="1"/>
  <c r="AK10" i="12" s="1"/>
  <c r="AL10" i="12" s="1"/>
  <c r="AM10" i="12" s="1"/>
  <c r="AN10" i="12" s="1"/>
  <c r="AJ11" i="12"/>
  <c r="U20" i="13"/>
  <c r="U25" i="13" s="1"/>
  <c r="I8" i="7"/>
  <c r="H29" i="7"/>
  <c r="G45" i="4"/>
  <c r="G41" i="4"/>
  <c r="G39" i="4"/>
  <c r="G44" i="4"/>
  <c r="G40" i="4"/>
  <c r="G42" i="4"/>
  <c r="G43" i="4"/>
  <c r="I46" i="4"/>
  <c r="E52" i="4" s="1"/>
  <c r="D51" i="4"/>
  <c r="AJ56" i="12" l="1"/>
  <c r="AE32" i="36" s="1"/>
  <c r="AJ58" i="12"/>
  <c r="AJ45" i="13"/>
  <c r="AJ33" i="13"/>
  <c r="AJ41" i="13"/>
  <c r="AJ36" i="13"/>
  <c r="AJ42" i="13"/>
  <c r="AJ40" i="13"/>
  <c r="AJ39" i="13"/>
  <c r="AJ34" i="13"/>
  <c r="AJ38" i="13"/>
  <c r="AJ35" i="13"/>
  <c r="AL15" i="13"/>
  <c r="AK21" i="13"/>
  <c r="AI13" i="12"/>
  <c r="AI12" i="13"/>
  <c r="AI44" i="12"/>
  <c r="AJ85" i="12"/>
  <c r="AJ91" i="12"/>
  <c r="AJ26" i="12" s="1"/>
  <c r="AJ82" i="12"/>
  <c r="AJ79" i="12"/>
  <c r="AJ71" i="12"/>
  <c r="AJ20" i="12" s="1"/>
  <c r="AJ86" i="12"/>
  <c r="AJ80" i="12"/>
  <c r="AJ9" i="12"/>
  <c r="AJ41" i="12" s="1"/>
  <c r="AJ84" i="12"/>
  <c r="AJ74" i="12"/>
  <c r="AJ21" i="12" s="1"/>
  <c r="AJ75" i="12"/>
  <c r="AJ90" i="12"/>
  <c r="AJ25" i="12" s="1"/>
  <c r="AJ89" i="12"/>
  <c r="AJ24" i="12" s="1"/>
  <c r="AJ93" i="12"/>
  <c r="AJ28" i="12" s="1"/>
  <c r="AJ83" i="12"/>
  <c r="AJ81" i="12"/>
  <c r="U26" i="13"/>
  <c r="U24" i="13"/>
  <c r="AI87" i="12"/>
  <c r="AI21" i="12"/>
  <c r="AI76" i="12"/>
  <c r="AI23" i="12"/>
  <c r="AO10" i="12"/>
  <c r="AP10" i="12" s="1"/>
  <c r="AQ10" i="12" s="1"/>
  <c r="AR10" i="12" s="1"/>
  <c r="AK11" i="12"/>
  <c r="V20" i="13"/>
  <c r="V25" i="13" s="1"/>
  <c r="I29" i="7"/>
  <c r="J8" i="7"/>
  <c r="D52" i="4"/>
  <c r="C52" i="4"/>
  <c r="B52" i="4"/>
  <c r="G46" i="4"/>
  <c r="AK58" i="12" l="1"/>
  <c r="AK56" i="12"/>
  <c r="AF32" i="36" s="1"/>
  <c r="AJ12" i="13"/>
  <c r="AJ44" i="12"/>
  <c r="AJ13" i="12"/>
  <c r="AK39" i="13"/>
  <c r="AK36" i="13"/>
  <c r="AK45" i="13"/>
  <c r="AK42" i="13"/>
  <c r="AK40" i="13"/>
  <c r="AK33" i="13"/>
  <c r="AK38" i="13"/>
  <c r="AK41" i="13"/>
  <c r="AK34" i="13"/>
  <c r="AK35" i="13"/>
  <c r="AM15" i="13"/>
  <c r="AL21" i="13"/>
  <c r="AK91" i="12"/>
  <c r="AK26" i="12" s="1"/>
  <c r="AK82" i="12"/>
  <c r="AK89" i="12"/>
  <c r="AK24" i="12" s="1"/>
  <c r="AK90" i="12"/>
  <c r="AK25" i="12" s="1"/>
  <c r="AK85" i="12"/>
  <c r="AK83" i="12"/>
  <c r="AK81" i="12"/>
  <c r="AK79" i="12"/>
  <c r="AK86" i="12"/>
  <c r="AK84" i="12"/>
  <c r="AK75" i="12"/>
  <c r="AK22" i="12" s="1"/>
  <c r="AK71" i="12"/>
  <c r="AK20" i="12" s="1"/>
  <c r="AK93" i="12"/>
  <c r="AK28" i="12" s="1"/>
  <c r="AK80" i="12"/>
  <c r="AK74" i="12"/>
  <c r="AK9" i="12"/>
  <c r="AK13" i="12" s="1"/>
  <c r="V24" i="13"/>
  <c r="V26" i="13"/>
  <c r="W20" i="13"/>
  <c r="W25" i="13" s="1"/>
  <c r="AJ87" i="12"/>
  <c r="AJ76" i="12"/>
  <c r="AJ22" i="12"/>
  <c r="AJ23" i="12"/>
  <c r="AS10" i="12"/>
  <c r="AT10" i="12" s="1"/>
  <c r="AU10" i="12" s="1"/>
  <c r="AV10" i="12" s="1"/>
  <c r="AW10" i="12" s="1"/>
  <c r="AX10" i="12" s="1"/>
  <c r="AY10" i="12" s="1"/>
  <c r="AZ10" i="12" s="1"/>
  <c r="BA10" i="12" s="1"/>
  <c r="BB10" i="12" s="1"/>
  <c r="BC10" i="12" s="1"/>
  <c r="BD10" i="12" s="1"/>
  <c r="BE10" i="12" s="1"/>
  <c r="BF10" i="12" s="1"/>
  <c r="BG10" i="12" s="1"/>
  <c r="BH10" i="12" s="1"/>
  <c r="BI10" i="12" s="1"/>
  <c r="BJ10" i="12" s="1"/>
  <c r="BK10" i="12" s="1"/>
  <c r="BL10" i="12" s="1"/>
  <c r="BM10" i="12" s="1"/>
  <c r="BN10" i="12" s="1"/>
  <c r="BO10" i="12" s="1"/>
  <c r="BP10" i="12" s="1"/>
  <c r="X20" i="13"/>
  <c r="X25" i="13" s="1"/>
  <c r="AL11" i="12"/>
  <c r="J29" i="7"/>
  <c r="H46" i="4"/>
  <c r="AL58" i="12" l="1"/>
  <c r="AL56" i="12"/>
  <c r="AG32" i="36" s="1"/>
  <c r="AL39" i="13"/>
  <c r="AL35" i="13"/>
  <c r="AL42" i="13"/>
  <c r="AL36" i="13"/>
  <c r="AL40" i="13"/>
  <c r="AL41" i="13"/>
  <c r="AL45" i="13"/>
  <c r="AL34" i="13"/>
  <c r="AL33" i="13"/>
  <c r="AL38" i="13"/>
  <c r="AN15" i="13"/>
  <c r="AM21" i="13"/>
  <c r="AK12" i="13"/>
  <c r="AL93" i="12"/>
  <c r="AL28" i="12" s="1"/>
  <c r="AL84" i="12"/>
  <c r="AL79" i="12"/>
  <c r="AL81" i="12"/>
  <c r="AL9" i="12"/>
  <c r="AL12" i="13" s="1"/>
  <c r="AL91" i="12"/>
  <c r="AL26" i="12" s="1"/>
  <c r="AL85" i="12"/>
  <c r="AL74" i="12"/>
  <c r="AL82" i="12"/>
  <c r="AL75" i="12"/>
  <c r="AL22" i="12" s="1"/>
  <c r="AL86" i="12"/>
  <c r="AL80" i="12"/>
  <c r="AL71" i="12"/>
  <c r="AL20" i="12" s="1"/>
  <c r="AL89" i="12"/>
  <c r="AL24" i="12" s="1"/>
  <c r="AL83" i="12"/>
  <c r="AL90" i="12"/>
  <c r="AL25" i="12" s="1"/>
  <c r="AK44" i="12"/>
  <c r="AK41" i="12"/>
  <c r="X26" i="13"/>
  <c r="X24" i="13"/>
  <c r="W24" i="13"/>
  <c r="W26" i="13"/>
  <c r="AK87" i="12"/>
  <c r="AK23" i="12"/>
  <c r="AK76" i="12"/>
  <c r="AK21" i="12"/>
  <c r="AM11" i="12"/>
  <c r="C31" i="4"/>
  <c r="AM56" i="12" l="1"/>
  <c r="AH32" i="36" s="1"/>
  <c r="AM58" i="12"/>
  <c r="AO15" i="13"/>
  <c r="AN21" i="13"/>
  <c r="AM41" i="13"/>
  <c r="AM36" i="13"/>
  <c r="AM38" i="13"/>
  <c r="AM45" i="13"/>
  <c r="AM39" i="13"/>
  <c r="AM35" i="13"/>
  <c r="AM33" i="13"/>
  <c r="AM40" i="13"/>
  <c r="AM34" i="13"/>
  <c r="AM42" i="13"/>
  <c r="AL44" i="12"/>
  <c r="AM93" i="12"/>
  <c r="AM28" i="12" s="1"/>
  <c r="AM84" i="12"/>
  <c r="AM90" i="12"/>
  <c r="AM25" i="12" s="1"/>
  <c r="AM81" i="12"/>
  <c r="AM91" i="12"/>
  <c r="AM26" i="12" s="1"/>
  <c r="AM89" i="12"/>
  <c r="AM24" i="12" s="1"/>
  <c r="AM82" i="12"/>
  <c r="AM80" i="12"/>
  <c r="AM83" i="12"/>
  <c r="AM75" i="12"/>
  <c r="AM22" i="12" s="1"/>
  <c r="AM85" i="12"/>
  <c r="AM74" i="12"/>
  <c r="AM86" i="12"/>
  <c r="AM79" i="12"/>
  <c r="AM9" i="12"/>
  <c r="AM44" i="12" s="1"/>
  <c r="AM71" i="12"/>
  <c r="AM20" i="12" s="1"/>
  <c r="AL13" i="12"/>
  <c r="AL41" i="12"/>
  <c r="AL87" i="12"/>
  <c r="AL21" i="12"/>
  <c r="AL76" i="12"/>
  <c r="AL23" i="12"/>
  <c r="AN11" i="12"/>
  <c r="D31" i="4"/>
  <c r="C34" i="4"/>
  <c r="G30" i="4"/>
  <c r="G29" i="4"/>
  <c r="G25" i="4"/>
  <c r="AN58" i="12" l="1"/>
  <c r="AN56" i="12"/>
  <c r="AI32" i="36" s="1"/>
  <c r="AN39" i="13"/>
  <c r="AN36" i="13"/>
  <c r="AN34" i="13"/>
  <c r="AN40" i="13"/>
  <c r="AN35" i="13"/>
  <c r="AN42" i="13"/>
  <c r="AN45" i="13"/>
  <c r="AN41" i="13"/>
  <c r="AN38" i="13"/>
  <c r="AN33" i="13"/>
  <c r="AP15" i="13"/>
  <c r="AO21" i="13"/>
  <c r="AM12" i="13"/>
  <c r="AM13" i="12"/>
  <c r="AM41" i="12"/>
  <c r="AN90" i="12"/>
  <c r="AN25" i="12" s="1"/>
  <c r="AN81" i="12"/>
  <c r="AN86" i="12"/>
  <c r="AN85" i="12"/>
  <c r="AN93" i="12"/>
  <c r="AN28" i="12" s="1"/>
  <c r="AN75" i="12"/>
  <c r="AN22" i="12" s="1"/>
  <c r="AN83" i="12"/>
  <c r="AN74" i="12"/>
  <c r="AN89" i="12"/>
  <c r="AN24" i="12" s="1"/>
  <c r="AN91" i="12"/>
  <c r="AN26" i="12" s="1"/>
  <c r="AN84" i="12"/>
  <c r="AN82" i="12"/>
  <c r="AN79" i="12"/>
  <c r="AN71" i="12"/>
  <c r="AN20" i="12" s="1"/>
  <c r="AN9" i="12"/>
  <c r="AN13" i="12" s="1"/>
  <c r="AN80" i="12"/>
  <c r="AM87" i="12"/>
  <c r="AM76" i="12"/>
  <c r="AM21" i="12"/>
  <c r="AM23" i="12"/>
  <c r="M12" i="32"/>
  <c r="O12" i="32"/>
  <c r="N12" i="32"/>
  <c r="AO11" i="12"/>
  <c r="D34" i="4"/>
  <c r="G31" i="4"/>
  <c r="E31" i="4" s="1"/>
  <c r="F31" i="4" s="1"/>
  <c r="AO58" i="12" l="1"/>
  <c r="AO56" i="12"/>
  <c r="AJ32" i="36" s="1"/>
  <c r="AN44" i="12"/>
  <c r="AO35" i="13"/>
  <c r="AO40" i="13"/>
  <c r="AO39" i="13"/>
  <c r="AO36" i="13"/>
  <c r="AO42" i="13"/>
  <c r="AO45" i="13"/>
  <c r="AO38" i="13"/>
  <c r="AO41" i="13"/>
  <c r="AO33" i="13"/>
  <c r="AO34" i="13"/>
  <c r="AQ15" i="13"/>
  <c r="AP21" i="13"/>
  <c r="AN12" i="13"/>
  <c r="AN41" i="12"/>
  <c r="AO86" i="12"/>
  <c r="AO83" i="12"/>
  <c r="AO93" i="12"/>
  <c r="AO28" i="12" s="1"/>
  <c r="AO75" i="12"/>
  <c r="AO22" i="12" s="1"/>
  <c r="AO74" i="12"/>
  <c r="AO90" i="12"/>
  <c r="AO25" i="12" s="1"/>
  <c r="AO84" i="12"/>
  <c r="AO82" i="12"/>
  <c r="AO80" i="12"/>
  <c r="AO89" i="12"/>
  <c r="AO24" i="12" s="1"/>
  <c r="AO71" i="12"/>
  <c r="AO20" i="12" s="1"/>
  <c r="AO91" i="12"/>
  <c r="AO26" i="12" s="1"/>
  <c r="AO85" i="12"/>
  <c r="AO79" i="12"/>
  <c r="AO81" i="12"/>
  <c r="AO9" i="12"/>
  <c r="AO41" i="12" s="1"/>
  <c r="AN87" i="12"/>
  <c r="AN21" i="12"/>
  <c r="AN76" i="12"/>
  <c r="AN23" i="12"/>
  <c r="M14" i="32"/>
  <c r="M15" i="32" s="1"/>
  <c r="M56" i="32"/>
  <c r="M42" i="32"/>
  <c r="M13" i="32"/>
  <c r="M57" i="32"/>
  <c r="N42" i="32"/>
  <c r="N43" i="32" s="1"/>
  <c r="N44" i="32" s="1"/>
  <c r="N13" i="32"/>
  <c r="N56" i="32"/>
  <c r="N57" i="32"/>
  <c r="O13" i="32"/>
  <c r="O42" i="32"/>
  <c r="O43" i="32" s="1"/>
  <c r="O44" i="32" s="1"/>
  <c r="O56" i="32"/>
  <c r="O57" i="32"/>
  <c r="O14" i="32"/>
  <c r="O15" i="32" s="1"/>
  <c r="N14" i="32"/>
  <c r="N15" i="32" s="1"/>
  <c r="G14" i="32"/>
  <c r="G15" i="32" s="1"/>
  <c r="D14" i="32"/>
  <c r="D15" i="32" s="1"/>
  <c r="E14" i="32"/>
  <c r="E15" i="32" s="1"/>
  <c r="K14" i="32"/>
  <c r="I14" i="32"/>
  <c r="I15" i="32" s="1"/>
  <c r="AP11" i="12"/>
  <c r="AP58" i="12" l="1"/>
  <c r="AP56" i="12"/>
  <c r="AK32" i="36" s="1"/>
  <c r="AP42" i="13"/>
  <c r="AP45" i="13"/>
  <c r="AP39" i="13"/>
  <c r="AP40" i="13"/>
  <c r="AP33" i="13"/>
  <c r="AP34" i="13"/>
  <c r="AP38" i="13"/>
  <c r="AP35" i="13"/>
  <c r="AP41" i="13"/>
  <c r="AP36" i="13"/>
  <c r="AR15" i="13"/>
  <c r="AQ21" i="13"/>
  <c r="AO12" i="13"/>
  <c r="AO13" i="12"/>
  <c r="AO44" i="12"/>
  <c r="AP83" i="12"/>
  <c r="AP89" i="12"/>
  <c r="AP24" i="12" s="1"/>
  <c r="AP90" i="12"/>
  <c r="AP25" i="12" s="1"/>
  <c r="AP91" i="12"/>
  <c r="AP26" i="12" s="1"/>
  <c r="AP86" i="12"/>
  <c r="AP84" i="12"/>
  <c r="AP82" i="12"/>
  <c r="AP80" i="12"/>
  <c r="AP85" i="12"/>
  <c r="AP79" i="12"/>
  <c r="AP9" i="12"/>
  <c r="AP41" i="12" s="1"/>
  <c r="AP75" i="12"/>
  <c r="AP22" i="12" s="1"/>
  <c r="AP71" i="12"/>
  <c r="AP20" i="12" s="1"/>
  <c r="AP93" i="12"/>
  <c r="AP28" i="12" s="1"/>
  <c r="AP81" i="12"/>
  <c r="AP74" i="12"/>
  <c r="AO87" i="12"/>
  <c r="AO76" i="12"/>
  <c r="AO21" i="12"/>
  <c r="AO23" i="12"/>
  <c r="Q42" i="32"/>
  <c r="R42" i="32"/>
  <c r="M43" i="32"/>
  <c r="M44" i="32" s="1"/>
  <c r="R14" i="32"/>
  <c r="K15" i="32"/>
  <c r="Q14" i="32"/>
  <c r="Q15" i="32" s="1"/>
  <c r="AQ11" i="12"/>
  <c r="AQ58" i="12" l="1"/>
  <c r="AQ56" i="12"/>
  <c r="AL32" i="36" s="1"/>
  <c r="AQ45" i="13"/>
  <c r="AQ38" i="13"/>
  <c r="AQ34" i="13"/>
  <c r="AQ40" i="13"/>
  <c r="AQ41" i="13"/>
  <c r="AQ36" i="13"/>
  <c r="AQ35" i="13"/>
  <c r="AQ39" i="13"/>
  <c r="AQ42" i="13"/>
  <c r="AQ33" i="13"/>
  <c r="AS15" i="13"/>
  <c r="AR21" i="13"/>
  <c r="AP13" i="12"/>
  <c r="AP12" i="13"/>
  <c r="AQ89" i="12"/>
  <c r="AQ24" i="12" s="1"/>
  <c r="AQ85" i="12"/>
  <c r="AQ93" i="12"/>
  <c r="AQ28" i="12" s="1"/>
  <c r="AQ90" i="12"/>
  <c r="AQ25" i="12" s="1"/>
  <c r="AQ84" i="12"/>
  <c r="AQ82" i="12"/>
  <c r="AQ80" i="12"/>
  <c r="AQ86" i="12"/>
  <c r="AQ81" i="12"/>
  <c r="AQ91" i="12"/>
  <c r="AQ26" i="12" s="1"/>
  <c r="AQ79" i="12"/>
  <c r="AQ75" i="12"/>
  <c r="AQ22" i="12" s="1"/>
  <c r="AQ71" i="12"/>
  <c r="AQ20" i="12" s="1"/>
  <c r="AQ9" i="12"/>
  <c r="AQ41" i="12" s="1"/>
  <c r="AQ83" i="12"/>
  <c r="AQ74" i="12"/>
  <c r="AP44" i="12"/>
  <c r="AP87" i="12"/>
  <c r="AP21" i="12"/>
  <c r="AP76" i="12"/>
  <c r="AP23" i="12"/>
  <c r="R15" i="32"/>
  <c r="R21" i="32"/>
  <c r="R25" i="32" s="1"/>
  <c r="AR11" i="12"/>
  <c r="AR58" i="12" s="1"/>
  <c r="AR35" i="13" l="1"/>
  <c r="AR36" i="13"/>
  <c r="AR38" i="13"/>
  <c r="AR41" i="13"/>
  <c r="AR42" i="13"/>
  <c r="AR34" i="13"/>
  <c r="AR40" i="13"/>
  <c r="AR33" i="13"/>
  <c r="AR39" i="13"/>
  <c r="AR45" i="13"/>
  <c r="AT15" i="13"/>
  <c r="AS21" i="13"/>
  <c r="AQ12" i="13"/>
  <c r="AQ13" i="12"/>
  <c r="AQ44" i="12"/>
  <c r="AR85" i="12"/>
  <c r="AR91" i="12"/>
  <c r="AR26" i="12" s="1"/>
  <c r="AR82" i="12"/>
  <c r="AR89" i="12"/>
  <c r="AR24" i="12" s="1"/>
  <c r="AR90" i="12"/>
  <c r="AR25" i="12" s="1"/>
  <c r="AR83" i="12"/>
  <c r="AR81" i="12"/>
  <c r="AR86" i="12"/>
  <c r="AR71" i="12"/>
  <c r="AR20" i="12" s="1"/>
  <c r="AR84" i="12"/>
  <c r="AR79" i="12"/>
  <c r="AR9" i="12"/>
  <c r="AR41" i="12" s="1"/>
  <c r="AR93" i="12"/>
  <c r="AR28" i="12" s="1"/>
  <c r="AR80" i="12"/>
  <c r="AR74" i="12"/>
  <c r="AR21" i="12" s="1"/>
  <c r="AR75" i="12"/>
  <c r="AQ87" i="12"/>
  <c r="AQ23" i="12"/>
  <c r="AQ21" i="12"/>
  <c r="AQ76" i="12"/>
  <c r="R26" i="32"/>
  <c r="R27" i="32" s="1"/>
  <c r="AS11" i="12"/>
  <c r="G34" i="4"/>
  <c r="AS58" i="12" l="1"/>
  <c r="AS56" i="12"/>
  <c r="AN32" i="36" s="1"/>
  <c r="AS53" i="12"/>
  <c r="AS35" i="13"/>
  <c r="AS40" i="13"/>
  <c r="AS33" i="13"/>
  <c r="AS45" i="13"/>
  <c r="AS39" i="13"/>
  <c r="AS36" i="13"/>
  <c r="AS34" i="13"/>
  <c r="AS38" i="13"/>
  <c r="AS41" i="13"/>
  <c r="AS42" i="13"/>
  <c r="AU15" i="13"/>
  <c r="AT21" i="13"/>
  <c r="AR13" i="12"/>
  <c r="AR12" i="13"/>
  <c r="AR44" i="12"/>
  <c r="AS91" i="12"/>
  <c r="AS26" i="12" s="1"/>
  <c r="AS82" i="12"/>
  <c r="AS86" i="12"/>
  <c r="AS84" i="12"/>
  <c r="AS79" i="12"/>
  <c r="AS93" i="12"/>
  <c r="AS28" i="12" s="1"/>
  <c r="AS75" i="12"/>
  <c r="AS22" i="12" s="1"/>
  <c r="AS81" i="12"/>
  <c r="AS71" i="12"/>
  <c r="AS20" i="12" s="1"/>
  <c r="AS85" i="12"/>
  <c r="AS74" i="12"/>
  <c r="AS89" i="12"/>
  <c r="AS24" i="12" s="1"/>
  <c r="AS83" i="12"/>
  <c r="AS80" i="12"/>
  <c r="AS90" i="12"/>
  <c r="AS25" i="12" s="1"/>
  <c r="AS9" i="12"/>
  <c r="AS13" i="12" s="1"/>
  <c r="AR87" i="12"/>
  <c r="AR76" i="12"/>
  <c r="AR22" i="12"/>
  <c r="AR23" i="12"/>
  <c r="R33" i="32"/>
  <c r="R39" i="32" s="1"/>
  <c r="R40" i="32" s="1"/>
  <c r="AT11" i="12"/>
  <c r="F7" i="4"/>
  <c r="L4" i="13" s="1"/>
  <c r="L3" i="13"/>
  <c r="E34" i="4"/>
  <c r="F34" i="4" s="1"/>
  <c r="AT56" i="12" l="1"/>
  <c r="AO32" i="36" s="1"/>
  <c r="AT58" i="12"/>
  <c r="AT53" i="12"/>
  <c r="AT40" i="13"/>
  <c r="AT45" i="13"/>
  <c r="AT36" i="13"/>
  <c r="AT35" i="13"/>
  <c r="AT34" i="13"/>
  <c r="AT41" i="13"/>
  <c r="AT38" i="13"/>
  <c r="AT39" i="13"/>
  <c r="AT42" i="13"/>
  <c r="AT33" i="13"/>
  <c r="AV15" i="13"/>
  <c r="AU21" i="13"/>
  <c r="AS12" i="13"/>
  <c r="AS44" i="12"/>
  <c r="AS41" i="12"/>
  <c r="AT93" i="12"/>
  <c r="AT28" i="12" s="1"/>
  <c r="AT84" i="12"/>
  <c r="AT75" i="12"/>
  <c r="AT22" i="12" s="1"/>
  <c r="AT9" i="12"/>
  <c r="AT13" i="12" s="1"/>
  <c r="AT82" i="12"/>
  <c r="AT86" i="12"/>
  <c r="AT89" i="12"/>
  <c r="AT24" i="12" s="1"/>
  <c r="AT83" i="12"/>
  <c r="AT71" i="12"/>
  <c r="AT20" i="12" s="1"/>
  <c r="AT80" i="12"/>
  <c r="AT91" i="12"/>
  <c r="AT26" i="12" s="1"/>
  <c r="AT90" i="12"/>
  <c r="AT25" i="12" s="1"/>
  <c r="AT81" i="12"/>
  <c r="AT74" i="12"/>
  <c r="AT85" i="12"/>
  <c r="AT79" i="12"/>
  <c r="H23" i="13"/>
  <c r="M23" i="13" s="1"/>
  <c r="N3" i="13"/>
  <c r="AS87" i="12"/>
  <c r="AS23" i="12"/>
  <c r="AS76" i="12"/>
  <c r="AS21" i="12"/>
  <c r="R41" i="32"/>
  <c r="K18" i="32"/>
  <c r="AU11" i="12"/>
  <c r="AU58" i="12" l="1"/>
  <c r="AU56" i="12"/>
  <c r="AP32" i="36" s="1"/>
  <c r="AU53" i="12"/>
  <c r="AU38" i="13"/>
  <c r="AU39" i="13"/>
  <c r="AU42" i="13"/>
  <c r="AU35" i="13"/>
  <c r="AU45" i="13"/>
  <c r="AU36" i="13"/>
  <c r="AU33" i="13"/>
  <c r="AU40" i="13"/>
  <c r="AU34" i="13"/>
  <c r="AU41" i="13"/>
  <c r="AW15" i="13"/>
  <c r="AV21" i="13"/>
  <c r="AT12" i="13"/>
  <c r="AT44" i="12"/>
  <c r="AT41" i="12"/>
  <c r="AU93" i="12"/>
  <c r="AU28" i="12" s="1"/>
  <c r="AU84" i="12"/>
  <c r="AU90" i="12"/>
  <c r="AU25" i="12" s="1"/>
  <c r="AU81" i="12"/>
  <c r="AU91" i="12"/>
  <c r="AU26" i="12" s="1"/>
  <c r="AU89" i="12"/>
  <c r="AU24" i="12" s="1"/>
  <c r="AU85" i="12"/>
  <c r="AU83" i="12"/>
  <c r="AU86" i="12"/>
  <c r="AU80" i="12"/>
  <c r="AU79" i="12"/>
  <c r="AU9" i="12"/>
  <c r="AU13" i="12" s="1"/>
  <c r="AU71" i="12"/>
  <c r="AU20" i="12" s="1"/>
  <c r="AU74" i="12"/>
  <c r="AU82" i="12"/>
  <c r="AU75" i="12"/>
  <c r="AU22" i="12" s="1"/>
  <c r="Q23" i="13"/>
  <c r="Q28" i="13" s="1"/>
  <c r="N23" i="13"/>
  <c r="N27" i="13" s="1"/>
  <c r="Y23" i="13"/>
  <c r="Y28" i="13" s="1"/>
  <c r="T23" i="13"/>
  <c r="T28" i="13" s="1"/>
  <c r="L23" i="13"/>
  <c r="L27" i="13" s="1"/>
  <c r="J23" i="13"/>
  <c r="J28" i="13" s="1"/>
  <c r="H43" i="13"/>
  <c r="V23" i="13"/>
  <c r="V28" i="13" s="1"/>
  <c r="R23" i="13"/>
  <c r="R27" i="13" s="1"/>
  <c r="S23" i="13"/>
  <c r="S28" i="13" s="1"/>
  <c r="K23" i="13"/>
  <c r="K28" i="13" s="1"/>
  <c r="X23" i="13"/>
  <c r="X27" i="13" s="1"/>
  <c r="P23" i="13"/>
  <c r="P27" i="13" s="1"/>
  <c r="I23" i="13"/>
  <c r="I27" i="13" s="1"/>
  <c r="W23" i="13"/>
  <c r="W27" i="13" s="1"/>
  <c r="O23" i="13"/>
  <c r="O28" i="13" s="1"/>
  <c r="U23" i="13"/>
  <c r="U27" i="13" s="1"/>
  <c r="M28" i="13"/>
  <c r="M27" i="13"/>
  <c r="AT87" i="12"/>
  <c r="AT23" i="12"/>
  <c r="AT76" i="12"/>
  <c r="AT21" i="12"/>
  <c r="R51" i="32"/>
  <c r="R49" i="32"/>
  <c r="R47" i="32"/>
  <c r="R43" i="32"/>
  <c r="R44" i="32" s="1"/>
  <c r="R54" i="32"/>
  <c r="R48" i="32"/>
  <c r="R50" i="32"/>
  <c r="R45" i="32"/>
  <c r="N18" i="32"/>
  <c r="N19" i="32" s="1"/>
  <c r="O18" i="32"/>
  <c r="O19" i="32" s="1"/>
  <c r="M18" i="32"/>
  <c r="K19" i="32"/>
  <c r="AV11" i="12"/>
  <c r="AV56" i="12" l="1"/>
  <c r="AQ32" i="36" s="1"/>
  <c r="AV58" i="12"/>
  <c r="AV53" i="12"/>
  <c r="AV40" i="13"/>
  <c r="AV45" i="13"/>
  <c r="AV36" i="13"/>
  <c r="AV35" i="13"/>
  <c r="AV38" i="13"/>
  <c r="AV42" i="13"/>
  <c r="AV41" i="13"/>
  <c r="AV33" i="13"/>
  <c r="AV39" i="13"/>
  <c r="AV34" i="13"/>
  <c r="AX15" i="13"/>
  <c r="AW21" i="13"/>
  <c r="AU12" i="13"/>
  <c r="AU41" i="12"/>
  <c r="AV90" i="12"/>
  <c r="AV25" i="12" s="1"/>
  <c r="AV81" i="12"/>
  <c r="AV86" i="12"/>
  <c r="AV75" i="12"/>
  <c r="AV22" i="12" s="1"/>
  <c r="AV79" i="12"/>
  <c r="AV89" i="12"/>
  <c r="AV24" i="12" s="1"/>
  <c r="AV74" i="12"/>
  <c r="AV83" i="12"/>
  <c r="AV80" i="12"/>
  <c r="AV93" i="12"/>
  <c r="AV28" i="12" s="1"/>
  <c r="AV71" i="12"/>
  <c r="AV20" i="12" s="1"/>
  <c r="AV9" i="12"/>
  <c r="AV41" i="12" s="1"/>
  <c r="AV91" i="12"/>
  <c r="AV26" i="12" s="1"/>
  <c r="AV85" i="12"/>
  <c r="AV82" i="12"/>
  <c r="AV84" i="12"/>
  <c r="AU44" i="12"/>
  <c r="J27" i="13"/>
  <c r="J29" i="13" s="1"/>
  <c r="Q27" i="13"/>
  <c r="Q29" i="13" s="1"/>
  <c r="L28" i="13"/>
  <c r="V27" i="13"/>
  <c r="V30" i="13" s="1"/>
  <c r="X28" i="13"/>
  <c r="N28" i="13"/>
  <c r="K27" i="13"/>
  <c r="K29" i="13" s="1"/>
  <c r="R28" i="13"/>
  <c r="T27" i="13"/>
  <c r="T30" i="13" s="1"/>
  <c r="W28" i="13"/>
  <c r="S27" i="13"/>
  <c r="S29" i="13" s="1"/>
  <c r="I28" i="13"/>
  <c r="U28" i="13"/>
  <c r="P28" i="13"/>
  <c r="O27" i="13"/>
  <c r="O29" i="13" s="1"/>
  <c r="L30" i="13"/>
  <c r="L29" i="13"/>
  <c r="X30" i="13"/>
  <c r="X29" i="13"/>
  <c r="M29" i="13"/>
  <c r="M30" i="13"/>
  <c r="W30" i="13"/>
  <c r="W29" i="13"/>
  <c r="R30" i="13"/>
  <c r="R29" i="13"/>
  <c r="U30" i="13"/>
  <c r="U29" i="13"/>
  <c r="P29" i="13"/>
  <c r="P30" i="13"/>
  <c r="N29" i="13"/>
  <c r="N30" i="13"/>
  <c r="I30" i="13"/>
  <c r="I29" i="13"/>
  <c r="AU87" i="12"/>
  <c r="AU76" i="12"/>
  <c r="AU21" i="12"/>
  <c r="AU23" i="12"/>
  <c r="Q18" i="32"/>
  <c r="R57" i="32"/>
  <c r="R55" i="32"/>
  <c r="M19" i="32"/>
  <c r="AW11" i="12"/>
  <c r="AW58" i="12" l="1"/>
  <c r="AW56" i="12"/>
  <c r="AR32" i="36" s="1"/>
  <c r="AW53" i="12"/>
  <c r="AW39" i="13"/>
  <c r="AW36" i="13"/>
  <c r="AW42" i="13"/>
  <c r="AW34" i="13"/>
  <c r="AW35" i="13"/>
  <c r="AW40" i="13"/>
  <c r="AW41" i="13"/>
  <c r="AW45" i="13"/>
  <c r="AW38" i="13"/>
  <c r="AW33" i="13"/>
  <c r="AY15" i="13"/>
  <c r="AX21" i="13"/>
  <c r="Q30" i="13"/>
  <c r="Q31" i="13" s="1"/>
  <c r="Q37" i="13" s="1"/>
  <c r="Q43" i="13" s="1"/>
  <c r="Q44" i="13" s="1"/>
  <c r="AV12" i="13"/>
  <c r="AV44" i="12"/>
  <c r="AV13" i="12"/>
  <c r="AW86" i="12"/>
  <c r="AW83" i="12"/>
  <c r="AW90" i="12"/>
  <c r="AW25" i="12" s="1"/>
  <c r="AW81" i="12"/>
  <c r="AW91" i="12"/>
  <c r="AW26" i="12" s="1"/>
  <c r="AW89" i="12"/>
  <c r="AW24" i="12" s="1"/>
  <c r="AW84" i="12"/>
  <c r="AW82" i="12"/>
  <c r="AW74" i="12"/>
  <c r="AW85" i="12"/>
  <c r="AW93" i="12"/>
  <c r="AW28" i="12" s="1"/>
  <c r="AW71" i="12"/>
  <c r="AW20" i="12" s="1"/>
  <c r="AW80" i="12"/>
  <c r="AW75" i="12"/>
  <c r="AW22" i="12" s="1"/>
  <c r="AW79" i="12"/>
  <c r="AW9" i="12"/>
  <c r="AW12" i="13" s="1"/>
  <c r="S30" i="13"/>
  <c r="S31" i="13" s="1"/>
  <c r="S37" i="13" s="1"/>
  <c r="S43" i="13" s="1"/>
  <c r="S44" i="13" s="1"/>
  <c r="V29" i="13"/>
  <c r="V31" i="13" s="1"/>
  <c r="V37" i="13" s="1"/>
  <c r="V43" i="13" s="1"/>
  <c r="V44" i="13" s="1"/>
  <c r="J30" i="13"/>
  <c r="J31" i="13" s="1"/>
  <c r="J37" i="13" s="1"/>
  <c r="J43" i="13" s="1"/>
  <c r="J44" i="13" s="1"/>
  <c r="K30" i="13"/>
  <c r="K31" i="13" s="1"/>
  <c r="K37" i="13" s="1"/>
  <c r="K43" i="13" s="1"/>
  <c r="K44" i="13" s="1"/>
  <c r="T29" i="13"/>
  <c r="T31" i="13" s="1"/>
  <c r="T37" i="13" s="1"/>
  <c r="T43" i="13" s="1"/>
  <c r="T44" i="13" s="1"/>
  <c r="O30" i="13"/>
  <c r="O31" i="13" s="1"/>
  <c r="O37" i="13" s="1"/>
  <c r="O43" i="13" s="1"/>
  <c r="O44" i="13" s="1"/>
  <c r="R31" i="13"/>
  <c r="R37" i="13" s="1"/>
  <c r="R43" i="13" s="1"/>
  <c r="R44" i="13" s="1"/>
  <c r="W31" i="13"/>
  <c r="W37" i="13" s="1"/>
  <c r="W43" i="13" s="1"/>
  <c r="W44" i="13" s="1"/>
  <c r="L31" i="13"/>
  <c r="L37" i="13" s="1"/>
  <c r="L43" i="13" s="1"/>
  <c r="L44" i="13" s="1"/>
  <c r="U31" i="13"/>
  <c r="U37" i="13" s="1"/>
  <c r="U43" i="13" s="1"/>
  <c r="U44" i="13" s="1"/>
  <c r="I31" i="13"/>
  <c r="I37" i="13" s="1"/>
  <c r="I43" i="13" s="1"/>
  <c r="I44" i="13" s="1"/>
  <c r="M31" i="13"/>
  <c r="M37" i="13" s="1"/>
  <c r="M43" i="13" s="1"/>
  <c r="M44" i="13" s="1"/>
  <c r="X31" i="13"/>
  <c r="X37" i="13" s="1"/>
  <c r="X43" i="13" s="1"/>
  <c r="X44" i="13" s="1"/>
  <c r="N31" i="13"/>
  <c r="N37" i="13" s="1"/>
  <c r="N43" i="13" s="1"/>
  <c r="N44" i="13" s="1"/>
  <c r="P31" i="13"/>
  <c r="P37" i="13" s="1"/>
  <c r="P43" i="13" s="1"/>
  <c r="P44" i="13" s="1"/>
  <c r="AV87" i="12"/>
  <c r="AV23" i="12"/>
  <c r="AV21" i="12"/>
  <c r="AV76" i="12"/>
  <c r="Q19" i="32"/>
  <c r="Q21" i="32"/>
  <c r="Q25" i="32" s="1"/>
  <c r="AX11" i="12"/>
  <c r="AX58" i="12" l="1"/>
  <c r="AX56" i="12"/>
  <c r="AS32" i="36" s="1"/>
  <c r="AX53" i="12"/>
  <c r="AX35" i="13"/>
  <c r="AX36" i="13"/>
  <c r="AX41" i="13"/>
  <c r="AX42" i="13"/>
  <c r="AX34" i="13"/>
  <c r="AX39" i="13"/>
  <c r="AX40" i="13"/>
  <c r="AX38" i="13"/>
  <c r="AX45" i="13"/>
  <c r="AX33" i="13"/>
  <c r="AZ15" i="13"/>
  <c r="AY21" i="13"/>
  <c r="AW44" i="12"/>
  <c r="AW41" i="12"/>
  <c r="AX83" i="12"/>
  <c r="AX89" i="12"/>
  <c r="AX24" i="12" s="1"/>
  <c r="AX85" i="12"/>
  <c r="AX93" i="12"/>
  <c r="AX28" i="12" s="1"/>
  <c r="AX80" i="12"/>
  <c r="AX79" i="12"/>
  <c r="AX9" i="12"/>
  <c r="AX41" i="12" s="1"/>
  <c r="AX91" i="12"/>
  <c r="AX26" i="12" s="1"/>
  <c r="AX75" i="12"/>
  <c r="AX22" i="12" s="1"/>
  <c r="AX82" i="12"/>
  <c r="AX90" i="12"/>
  <c r="AX25" i="12" s="1"/>
  <c r="AX86" i="12"/>
  <c r="AX74" i="12"/>
  <c r="AX81" i="12"/>
  <c r="AX84" i="12"/>
  <c r="AX71" i="12"/>
  <c r="AX20" i="12" s="1"/>
  <c r="AW13" i="12"/>
  <c r="AW87" i="12"/>
  <c r="AW21" i="12"/>
  <c r="AW76" i="12"/>
  <c r="AW23" i="12"/>
  <c r="Q26" i="32"/>
  <c r="Q27" i="32"/>
  <c r="AY11" i="12"/>
  <c r="AY58" i="12" l="1"/>
  <c r="AY56" i="12"/>
  <c r="AT32" i="36" s="1"/>
  <c r="AY53" i="12"/>
  <c r="AY34" i="13"/>
  <c r="AY41" i="13"/>
  <c r="AY40" i="13"/>
  <c r="AY33" i="13"/>
  <c r="AY35" i="13"/>
  <c r="AY38" i="13"/>
  <c r="AY36" i="13"/>
  <c r="AY45" i="13"/>
  <c r="AY39" i="13"/>
  <c r="AY42" i="13"/>
  <c r="BA15" i="13"/>
  <c r="AZ21" i="13"/>
  <c r="AX13" i="12"/>
  <c r="AX12" i="13"/>
  <c r="AX44" i="12"/>
  <c r="AY89" i="12"/>
  <c r="AY24" i="12" s="1"/>
  <c r="AY85" i="12"/>
  <c r="AY91" i="12"/>
  <c r="AY26" i="12" s="1"/>
  <c r="AY75" i="12"/>
  <c r="AY22" i="12" s="1"/>
  <c r="AY90" i="12"/>
  <c r="AY25" i="12" s="1"/>
  <c r="AY84" i="12"/>
  <c r="AY86" i="12"/>
  <c r="AY83" i="12"/>
  <c r="AY80" i="12"/>
  <c r="AY74" i="12"/>
  <c r="AY81" i="12"/>
  <c r="AY93" i="12"/>
  <c r="AY28" i="12" s="1"/>
  <c r="AY82" i="12"/>
  <c r="AY79" i="12"/>
  <c r="AY9" i="12"/>
  <c r="AY41" i="12" s="1"/>
  <c r="AY71" i="12"/>
  <c r="AY20" i="12" s="1"/>
  <c r="AX87" i="12"/>
  <c r="AX23" i="12"/>
  <c r="AX21" i="12"/>
  <c r="AX76" i="12"/>
  <c r="Q33" i="32"/>
  <c r="Q39" i="32" s="1"/>
  <c r="Q40" i="32" s="1"/>
  <c r="AZ11" i="12"/>
  <c r="AZ56" i="12" l="1"/>
  <c r="AU32" i="36" s="1"/>
  <c r="AZ58" i="12"/>
  <c r="AZ53" i="12"/>
  <c r="AY12" i="13"/>
  <c r="AY13" i="12"/>
  <c r="AZ34" i="13"/>
  <c r="AZ39" i="13"/>
  <c r="AZ42" i="13"/>
  <c r="AZ36" i="13"/>
  <c r="AZ45" i="13"/>
  <c r="AZ38" i="13"/>
  <c r="AZ33" i="13"/>
  <c r="AZ41" i="13"/>
  <c r="AZ35" i="13"/>
  <c r="AZ40" i="13"/>
  <c r="BB15" i="13"/>
  <c r="BA21" i="13"/>
  <c r="AY44" i="12"/>
  <c r="AZ85" i="12"/>
  <c r="AZ91" i="12"/>
  <c r="AZ26" i="12" s="1"/>
  <c r="AZ82" i="12"/>
  <c r="AZ90" i="12"/>
  <c r="AZ25" i="12" s="1"/>
  <c r="AZ86" i="12"/>
  <c r="AZ84" i="12"/>
  <c r="AZ89" i="12"/>
  <c r="AZ24" i="12" s="1"/>
  <c r="AZ71" i="12"/>
  <c r="AZ20" i="12" s="1"/>
  <c r="AZ80" i="12"/>
  <c r="AZ81" i="12"/>
  <c r="AZ83" i="12"/>
  <c r="AZ74" i="12"/>
  <c r="AZ21" i="12" s="1"/>
  <c r="AZ93" i="12"/>
  <c r="AZ28" i="12" s="1"/>
  <c r="AZ79" i="12"/>
  <c r="AZ75" i="12"/>
  <c r="AZ9" i="12"/>
  <c r="AZ41" i="12" s="1"/>
  <c r="AY87" i="12"/>
  <c r="AY21" i="12"/>
  <c r="AY76" i="12"/>
  <c r="AY23" i="12"/>
  <c r="Q41" i="32"/>
  <c r="BA11" i="12"/>
  <c r="BA58" i="12" l="1"/>
  <c r="BA56" i="12"/>
  <c r="AV32" i="36" s="1"/>
  <c r="BA53" i="12"/>
  <c r="BA41" i="13"/>
  <c r="BA38" i="13"/>
  <c r="BA39" i="13"/>
  <c r="BA36" i="13"/>
  <c r="BA45" i="13"/>
  <c r="BA42" i="13"/>
  <c r="BA34" i="13"/>
  <c r="BA40" i="13"/>
  <c r="BA35" i="13"/>
  <c r="BA33" i="13"/>
  <c r="BC15" i="13"/>
  <c r="BB21" i="13"/>
  <c r="BA91" i="12"/>
  <c r="BA26" i="12" s="1"/>
  <c r="BA82" i="12"/>
  <c r="BA93" i="12"/>
  <c r="BA28" i="12" s="1"/>
  <c r="BA79" i="12"/>
  <c r="BA75" i="12"/>
  <c r="BA22" i="12" s="1"/>
  <c r="BA85" i="12"/>
  <c r="BA80" i="12"/>
  <c r="BA71" i="12"/>
  <c r="BA20" i="12" s="1"/>
  <c r="BA83" i="12"/>
  <c r="BA86" i="12"/>
  <c r="BA74" i="12"/>
  <c r="BA89" i="12"/>
  <c r="BA24" i="12" s="1"/>
  <c r="BA81" i="12"/>
  <c r="BA90" i="12"/>
  <c r="BA25" i="12" s="1"/>
  <c r="BA9" i="12"/>
  <c r="BA12" i="13" s="1"/>
  <c r="BA84" i="12"/>
  <c r="AZ13" i="12"/>
  <c r="AZ12" i="13"/>
  <c r="AZ44" i="12"/>
  <c r="AZ87" i="12"/>
  <c r="AZ76" i="12"/>
  <c r="AZ22" i="12"/>
  <c r="AZ23" i="12"/>
  <c r="Q50" i="32"/>
  <c r="Q45" i="32"/>
  <c r="Q51" i="32"/>
  <c r="Q54" i="32"/>
  <c r="Q47" i="32"/>
  <c r="Q43" i="32"/>
  <c r="Q44" i="32" s="1"/>
  <c r="Q49" i="32"/>
  <c r="Q48" i="32"/>
  <c r="BB11" i="12"/>
  <c r="BB56" i="12" l="1"/>
  <c r="AW32" i="36" s="1"/>
  <c r="BB58" i="12"/>
  <c r="BB53" i="12"/>
  <c r="BB34" i="13"/>
  <c r="BB42" i="13"/>
  <c r="BB40" i="13"/>
  <c r="BB39" i="13"/>
  <c r="BB38" i="13"/>
  <c r="BB45" i="13"/>
  <c r="BB36" i="13"/>
  <c r="BB41" i="13"/>
  <c r="BB35" i="13"/>
  <c r="BB33" i="13"/>
  <c r="BD15" i="13"/>
  <c r="BC21" i="13"/>
  <c r="BA44" i="12"/>
  <c r="BA41" i="12"/>
  <c r="BA13" i="12"/>
  <c r="BB93" i="12"/>
  <c r="BB28" i="12" s="1"/>
  <c r="BB84" i="12"/>
  <c r="BB91" i="12"/>
  <c r="BB26" i="12" s="1"/>
  <c r="BB89" i="12"/>
  <c r="BB24" i="12" s="1"/>
  <c r="BB82" i="12"/>
  <c r="BB90" i="12"/>
  <c r="BB25" i="12" s="1"/>
  <c r="BB85" i="12"/>
  <c r="BB83" i="12"/>
  <c r="BB81" i="12"/>
  <c r="BB79" i="12"/>
  <c r="BB9" i="12"/>
  <c r="BB12" i="13" s="1"/>
  <c r="BB80" i="12"/>
  <c r="BB75" i="12"/>
  <c r="BB22" i="12" s="1"/>
  <c r="BB74" i="12"/>
  <c r="BB71" i="12"/>
  <c r="BB20" i="12" s="1"/>
  <c r="BB86" i="12"/>
  <c r="BA87" i="12"/>
  <c r="BA76" i="12"/>
  <c r="BA21" i="12"/>
  <c r="BA23" i="12"/>
  <c r="Q57" i="32"/>
  <c r="Q55" i="32"/>
  <c r="BC11" i="12"/>
  <c r="BC58" i="12" l="1"/>
  <c r="BC56" i="12"/>
  <c r="AX32" i="36" s="1"/>
  <c r="BC53" i="12"/>
  <c r="BC40" i="13"/>
  <c r="BC33" i="13"/>
  <c r="BC41" i="13"/>
  <c r="BC36" i="13"/>
  <c r="BC39" i="13"/>
  <c r="BC42" i="13"/>
  <c r="BC45" i="13"/>
  <c r="BC35" i="13"/>
  <c r="BC34" i="13"/>
  <c r="BC38" i="13"/>
  <c r="BE15" i="13"/>
  <c r="BD21" i="13"/>
  <c r="BB41" i="12"/>
  <c r="BB44" i="12"/>
  <c r="BB13" i="12"/>
  <c r="BC93" i="12"/>
  <c r="BC28" i="12" s="1"/>
  <c r="BC84" i="12"/>
  <c r="BC90" i="12"/>
  <c r="BC25" i="12" s="1"/>
  <c r="BC81" i="12"/>
  <c r="BC86" i="12"/>
  <c r="BC80" i="12"/>
  <c r="BC83" i="12"/>
  <c r="BC89" i="12"/>
  <c r="BC24" i="12" s="1"/>
  <c r="BC75" i="12"/>
  <c r="BC22" i="12" s="1"/>
  <c r="BC9" i="12"/>
  <c r="BC13" i="12" s="1"/>
  <c r="BC79" i="12"/>
  <c r="BC74" i="12"/>
  <c r="BC82" i="12"/>
  <c r="BC71" i="12"/>
  <c r="BC20" i="12" s="1"/>
  <c r="BC91" i="12"/>
  <c r="BC26" i="12" s="1"/>
  <c r="BC85" i="12"/>
  <c r="BB87" i="12"/>
  <c r="BB76" i="12"/>
  <c r="BB21" i="12"/>
  <c r="BB23" i="12"/>
  <c r="BD11" i="12"/>
  <c r="BD56" i="12" l="1"/>
  <c r="AY32" i="36" s="1"/>
  <c r="BD58" i="12"/>
  <c r="BD53" i="12"/>
  <c r="BF15" i="13"/>
  <c r="BE21" i="13"/>
  <c r="BD35" i="13"/>
  <c r="BD39" i="13"/>
  <c r="BD34" i="13"/>
  <c r="BD33" i="13"/>
  <c r="BD41" i="13"/>
  <c r="BD40" i="13"/>
  <c r="BD42" i="13"/>
  <c r="BD45" i="13"/>
  <c r="BD36" i="13"/>
  <c r="BD38" i="13"/>
  <c r="BD90" i="12"/>
  <c r="BD25" i="12" s="1"/>
  <c r="BD81" i="12"/>
  <c r="BD86" i="12"/>
  <c r="BD75" i="12"/>
  <c r="BD22" i="12" s="1"/>
  <c r="BD93" i="12"/>
  <c r="BD28" i="12" s="1"/>
  <c r="BD82" i="12"/>
  <c r="BD74" i="12"/>
  <c r="BD89" i="12"/>
  <c r="BD24" i="12" s="1"/>
  <c r="BD79" i="12"/>
  <c r="BD71" i="12"/>
  <c r="BD20" i="12" s="1"/>
  <c r="BD9" i="12"/>
  <c r="BD13" i="12" s="1"/>
  <c r="BD91" i="12"/>
  <c r="BD26" i="12" s="1"/>
  <c r="BD85" i="12"/>
  <c r="BD84" i="12"/>
  <c r="BD83" i="12"/>
  <c r="BD80" i="12"/>
  <c r="BC41" i="12"/>
  <c r="BC12" i="13"/>
  <c r="BC44" i="12"/>
  <c r="BC87" i="12"/>
  <c r="BC23" i="12"/>
  <c r="BC76" i="12"/>
  <c r="BC21" i="12"/>
  <c r="BE11" i="12"/>
  <c r="BE58" i="12" l="1"/>
  <c r="BE56" i="12"/>
  <c r="AZ32" i="36" s="1"/>
  <c r="BE53" i="12"/>
  <c r="BD12" i="13"/>
  <c r="BD44" i="12"/>
  <c r="BE41" i="13"/>
  <c r="BE33" i="13"/>
  <c r="BE35" i="13"/>
  <c r="BE38" i="13"/>
  <c r="BE40" i="13"/>
  <c r="BE42" i="13"/>
  <c r="BE39" i="13"/>
  <c r="BE34" i="13"/>
  <c r="BE45" i="13"/>
  <c r="BE36" i="13"/>
  <c r="BG15" i="13"/>
  <c r="BF21" i="13"/>
  <c r="BD41" i="12"/>
  <c r="BE86" i="12"/>
  <c r="BE83" i="12"/>
  <c r="BE91" i="12"/>
  <c r="BE26" i="12" s="1"/>
  <c r="BE89" i="12"/>
  <c r="BE24" i="12" s="1"/>
  <c r="BE84" i="12"/>
  <c r="BE85" i="12"/>
  <c r="BE93" i="12"/>
  <c r="BE28" i="12" s="1"/>
  <c r="BE74" i="12"/>
  <c r="BE82" i="12"/>
  <c r="BE9" i="12"/>
  <c r="BE41" i="12" s="1"/>
  <c r="BE79" i="12"/>
  <c r="BE75" i="12"/>
  <c r="BE22" i="12" s="1"/>
  <c r="BE71" i="12"/>
  <c r="BE20" i="12" s="1"/>
  <c r="BE81" i="12"/>
  <c r="BE90" i="12"/>
  <c r="BE25" i="12" s="1"/>
  <c r="BE80" i="12"/>
  <c r="BD87" i="12"/>
  <c r="BD76" i="12"/>
  <c r="BD21" i="12"/>
  <c r="BD23" i="12"/>
  <c r="BF11" i="12"/>
  <c r="BF58" i="12" l="1"/>
  <c r="BF56" i="12"/>
  <c r="BA32" i="36" s="1"/>
  <c r="BF53" i="12"/>
  <c r="BF45" i="13"/>
  <c r="BF41" i="13"/>
  <c r="BF33" i="13"/>
  <c r="BF40" i="13"/>
  <c r="BF34" i="13"/>
  <c r="BF42" i="13"/>
  <c r="BF38" i="13"/>
  <c r="BF36" i="13"/>
  <c r="BF39" i="13"/>
  <c r="BF35" i="13"/>
  <c r="BH15" i="13"/>
  <c r="BG21" i="13"/>
  <c r="BE13" i="12"/>
  <c r="BE12" i="13"/>
  <c r="BE44" i="12"/>
  <c r="BF83" i="12"/>
  <c r="BF89" i="12"/>
  <c r="BF24" i="12" s="1"/>
  <c r="BF80" i="12"/>
  <c r="BF79" i="12"/>
  <c r="BF93" i="12"/>
  <c r="BF28" i="12" s="1"/>
  <c r="BF74" i="12"/>
  <c r="BF9" i="12"/>
  <c r="BF41" i="12" s="1"/>
  <c r="BF90" i="12"/>
  <c r="BF25" i="12" s="1"/>
  <c r="BF84" i="12"/>
  <c r="BF81" i="12"/>
  <c r="BF91" i="12"/>
  <c r="BF26" i="12" s="1"/>
  <c r="BF85" i="12"/>
  <c r="BF75" i="12"/>
  <c r="BF22" i="12" s="1"/>
  <c r="BF71" i="12"/>
  <c r="BF20" i="12" s="1"/>
  <c r="BF82" i="12"/>
  <c r="BF86" i="12"/>
  <c r="BE87" i="12"/>
  <c r="BE23" i="12"/>
  <c r="BE21" i="12"/>
  <c r="BE76" i="12"/>
  <c r="BG11" i="12"/>
  <c r="BG58" i="12" l="1"/>
  <c r="BG56" i="12"/>
  <c r="BB32" i="36" s="1"/>
  <c r="BG53" i="12"/>
  <c r="BG45" i="13"/>
  <c r="BG35" i="13"/>
  <c r="BG39" i="13"/>
  <c r="BG40" i="13"/>
  <c r="BG36" i="13"/>
  <c r="BG42" i="13"/>
  <c r="BG41" i="13"/>
  <c r="BG38" i="13"/>
  <c r="BG34" i="13"/>
  <c r="BG33" i="13"/>
  <c r="BI15" i="13"/>
  <c r="BH21" i="13"/>
  <c r="BF13" i="12"/>
  <c r="BF12" i="13"/>
  <c r="BG89" i="12"/>
  <c r="BG24" i="12" s="1"/>
  <c r="BG85" i="12"/>
  <c r="BG90" i="12"/>
  <c r="BG25" i="12" s="1"/>
  <c r="BG83" i="12"/>
  <c r="BG81" i="12"/>
  <c r="BG91" i="12"/>
  <c r="BG26" i="12" s="1"/>
  <c r="BG86" i="12"/>
  <c r="BG84" i="12"/>
  <c r="BG82" i="12"/>
  <c r="BG79" i="12"/>
  <c r="BG80" i="12"/>
  <c r="BG75" i="12"/>
  <c r="BG22" i="12" s="1"/>
  <c r="BG9" i="12"/>
  <c r="BG41" i="12" s="1"/>
  <c r="BG93" i="12"/>
  <c r="BG28" i="12" s="1"/>
  <c r="BG71" i="12"/>
  <c r="BG20" i="12" s="1"/>
  <c r="BG74" i="12"/>
  <c r="BF44" i="12"/>
  <c r="BF87" i="12"/>
  <c r="BF23" i="12"/>
  <c r="BF76" i="12"/>
  <c r="BF21" i="12"/>
  <c r="BH11" i="12"/>
  <c r="BH56" i="12" l="1"/>
  <c r="BC32" i="36" s="1"/>
  <c r="BH58" i="12"/>
  <c r="BH53" i="12"/>
  <c r="BH40" i="13"/>
  <c r="BH42" i="13"/>
  <c r="BH38" i="13"/>
  <c r="BH35" i="13"/>
  <c r="BH39" i="13"/>
  <c r="BH34" i="13"/>
  <c r="BH36" i="13"/>
  <c r="BH33" i="13"/>
  <c r="BH41" i="13"/>
  <c r="BH45" i="13"/>
  <c r="BJ15" i="13"/>
  <c r="BI21" i="13"/>
  <c r="BG44" i="12"/>
  <c r="BG12" i="13"/>
  <c r="BG13" i="12"/>
  <c r="BH85" i="12"/>
  <c r="BH91" i="12"/>
  <c r="BH26" i="12" s="1"/>
  <c r="BH82" i="12"/>
  <c r="BH93" i="12"/>
  <c r="BH28" i="12" s="1"/>
  <c r="BH74" i="12"/>
  <c r="BH21" i="12" s="1"/>
  <c r="BH90" i="12"/>
  <c r="BH25" i="12" s="1"/>
  <c r="BH84" i="12"/>
  <c r="BH81" i="12"/>
  <c r="BH86" i="12"/>
  <c r="BH75" i="12"/>
  <c r="BH71" i="12"/>
  <c r="BH20" i="12" s="1"/>
  <c r="BH89" i="12"/>
  <c r="BH24" i="12" s="1"/>
  <c r="BH79" i="12"/>
  <c r="BH80" i="12"/>
  <c r="BH83" i="12"/>
  <c r="BH9" i="12"/>
  <c r="BH41" i="12" s="1"/>
  <c r="BG87" i="12"/>
  <c r="BG23" i="12"/>
  <c r="BG21" i="12"/>
  <c r="BG76" i="12"/>
  <c r="BI11" i="12"/>
  <c r="BI58" i="12" l="1"/>
  <c r="BI56" i="12"/>
  <c r="BD32" i="36" s="1"/>
  <c r="BI53" i="12"/>
  <c r="BI39" i="13"/>
  <c r="BI34" i="13"/>
  <c r="BI33" i="13"/>
  <c r="BI36" i="13"/>
  <c r="BI35" i="13"/>
  <c r="BI41" i="13"/>
  <c r="BI40" i="13"/>
  <c r="BI42" i="13"/>
  <c r="BI38" i="13"/>
  <c r="BI45" i="13"/>
  <c r="BK15" i="13"/>
  <c r="BJ21" i="13"/>
  <c r="BH12" i="13"/>
  <c r="BI91" i="12"/>
  <c r="BI26" i="12" s="1"/>
  <c r="BI82" i="12"/>
  <c r="BI79" i="12"/>
  <c r="BI89" i="12"/>
  <c r="BI24" i="12" s="1"/>
  <c r="BI75" i="12"/>
  <c r="BI22" i="12" s="1"/>
  <c r="BI86" i="12"/>
  <c r="BI71" i="12"/>
  <c r="BI20" i="12" s="1"/>
  <c r="BI85" i="12"/>
  <c r="BI93" i="12"/>
  <c r="BI28" i="12" s="1"/>
  <c r="BI90" i="12"/>
  <c r="BI25" i="12" s="1"/>
  <c r="BI84" i="12"/>
  <c r="BI9" i="12"/>
  <c r="BI13" i="12" s="1"/>
  <c r="BI81" i="12"/>
  <c r="BI80" i="12"/>
  <c r="BI74" i="12"/>
  <c r="BI83" i="12"/>
  <c r="BH13" i="12"/>
  <c r="BH44" i="12"/>
  <c r="BH87" i="12"/>
  <c r="BH76" i="12"/>
  <c r="BH22" i="12"/>
  <c r="BH23" i="12"/>
  <c r="BJ11" i="12"/>
  <c r="BJ56" i="12" l="1"/>
  <c r="BE32" i="36" s="1"/>
  <c r="BJ58" i="12"/>
  <c r="BJ53" i="12"/>
  <c r="BJ45" i="13"/>
  <c r="BJ42" i="13"/>
  <c r="BJ33" i="13"/>
  <c r="BJ39" i="13"/>
  <c r="BJ36" i="13"/>
  <c r="BJ41" i="13"/>
  <c r="BJ34" i="13"/>
  <c r="BJ38" i="13"/>
  <c r="BJ40" i="13"/>
  <c r="BJ35" i="13"/>
  <c r="BL15" i="13"/>
  <c r="BK21" i="13"/>
  <c r="BI12" i="13"/>
  <c r="BI44" i="12"/>
  <c r="BI41" i="12"/>
  <c r="BJ93" i="12"/>
  <c r="BJ28" i="12" s="1"/>
  <c r="BJ84" i="12"/>
  <c r="BJ90" i="12"/>
  <c r="BJ25" i="12" s="1"/>
  <c r="BJ85" i="12"/>
  <c r="BJ86" i="12"/>
  <c r="BJ75" i="12"/>
  <c r="BJ22" i="12" s="1"/>
  <c r="BJ80" i="12"/>
  <c r="BJ91" i="12"/>
  <c r="BJ26" i="12" s="1"/>
  <c r="BJ83" i="12"/>
  <c r="BJ9" i="12"/>
  <c r="BJ13" i="12" s="1"/>
  <c r="BJ79" i="12"/>
  <c r="BJ71" i="12"/>
  <c r="BJ20" i="12" s="1"/>
  <c r="BJ82" i="12"/>
  <c r="BJ74" i="12"/>
  <c r="BJ89" i="12"/>
  <c r="BJ24" i="12" s="1"/>
  <c r="BJ81" i="12"/>
  <c r="BI87" i="12"/>
  <c r="BI21" i="12"/>
  <c r="BI76" i="12"/>
  <c r="BI23" i="12"/>
  <c r="BK11" i="12"/>
  <c r="BK58" i="12" l="1"/>
  <c r="BK56" i="12"/>
  <c r="BF32" i="36" s="1"/>
  <c r="BK53" i="12"/>
  <c r="BK42" i="13"/>
  <c r="BK41" i="13"/>
  <c r="BK33" i="13"/>
  <c r="BK36" i="13"/>
  <c r="BK39" i="13"/>
  <c r="BK34" i="13"/>
  <c r="BK45" i="13"/>
  <c r="BK40" i="13"/>
  <c r="BK35" i="13"/>
  <c r="BK38" i="13"/>
  <c r="BM15" i="13"/>
  <c r="BL21" i="13"/>
  <c r="BJ12" i="13"/>
  <c r="BJ44" i="12"/>
  <c r="BJ41" i="12"/>
  <c r="BK93" i="12"/>
  <c r="BK28" i="12" s="1"/>
  <c r="BK84" i="12"/>
  <c r="BK90" i="12"/>
  <c r="BK25" i="12" s="1"/>
  <c r="BK81" i="12"/>
  <c r="BK80" i="12"/>
  <c r="BK74" i="12"/>
  <c r="BK82" i="12"/>
  <c r="BK91" i="12"/>
  <c r="BK26" i="12" s="1"/>
  <c r="BK85" i="12"/>
  <c r="BK79" i="12"/>
  <c r="BK75" i="12"/>
  <c r="BK22" i="12" s="1"/>
  <c r="BK71" i="12"/>
  <c r="BK20" i="12" s="1"/>
  <c r="BK83" i="12"/>
  <c r="BK86" i="12"/>
  <c r="BK9" i="12"/>
  <c r="BK13" i="12" s="1"/>
  <c r="BK89" i="12"/>
  <c r="BK24" i="12" s="1"/>
  <c r="BJ87" i="12"/>
  <c r="BJ23" i="12"/>
  <c r="BJ76" i="12"/>
  <c r="BJ21" i="12"/>
  <c r="BL11" i="12"/>
  <c r="BL56" i="12" l="1"/>
  <c r="BG32" i="36" s="1"/>
  <c r="BL58" i="12"/>
  <c r="BL53" i="12"/>
  <c r="BL34" i="13"/>
  <c r="BL38" i="13"/>
  <c r="BL36" i="13"/>
  <c r="BL39" i="13"/>
  <c r="BL33" i="13"/>
  <c r="BL45" i="13"/>
  <c r="BL35" i="13"/>
  <c r="BL42" i="13"/>
  <c r="BL40" i="13"/>
  <c r="BL41" i="13"/>
  <c r="BN15" i="13"/>
  <c r="BM21" i="13"/>
  <c r="BL90" i="12"/>
  <c r="BL25" i="12" s="1"/>
  <c r="BL81" i="12"/>
  <c r="BL86" i="12"/>
  <c r="BL91" i="12"/>
  <c r="BL26" i="12" s="1"/>
  <c r="BL89" i="12"/>
  <c r="BL24" i="12" s="1"/>
  <c r="BL84" i="12"/>
  <c r="BL82" i="12"/>
  <c r="BL75" i="12"/>
  <c r="BL22" i="12" s="1"/>
  <c r="BL85" i="12"/>
  <c r="BL83" i="12"/>
  <c r="BL80" i="12"/>
  <c r="BL79" i="12"/>
  <c r="BL93" i="12"/>
  <c r="BL28" i="12" s="1"/>
  <c r="BL74" i="12"/>
  <c r="BL71" i="12"/>
  <c r="BL20" i="12" s="1"/>
  <c r="BL9" i="12"/>
  <c r="BL44" i="12" s="1"/>
  <c r="BK12" i="13"/>
  <c r="BK44" i="12"/>
  <c r="BK41" i="12"/>
  <c r="BK87" i="12"/>
  <c r="BK23" i="12"/>
  <c r="BK21" i="12"/>
  <c r="BK76" i="12"/>
  <c r="BM11" i="12"/>
  <c r="BM58" i="12" l="1"/>
  <c r="BM56" i="12"/>
  <c r="BH32" i="36" s="1"/>
  <c r="BM53" i="12"/>
  <c r="BM42" i="13"/>
  <c r="BM35" i="13"/>
  <c r="BM36" i="13"/>
  <c r="BM45" i="13"/>
  <c r="BM34" i="13"/>
  <c r="BM33" i="13"/>
  <c r="BM40" i="13"/>
  <c r="BM38" i="13"/>
  <c r="BM41" i="13"/>
  <c r="BM39" i="13"/>
  <c r="BO15" i="13"/>
  <c r="BN21" i="13"/>
  <c r="BL12" i="13"/>
  <c r="BL41" i="12"/>
  <c r="BL13" i="12"/>
  <c r="BM86" i="12"/>
  <c r="BM83" i="12"/>
  <c r="BM93" i="12"/>
  <c r="BM28" i="12" s="1"/>
  <c r="BM74" i="12"/>
  <c r="BM9" i="12"/>
  <c r="BM13" i="12" s="1"/>
  <c r="BM89" i="12"/>
  <c r="BM24" i="12" s="1"/>
  <c r="BM82" i="12"/>
  <c r="BM71" i="12"/>
  <c r="BM20" i="12" s="1"/>
  <c r="BM90" i="12"/>
  <c r="BM25" i="12" s="1"/>
  <c r="BM91" i="12"/>
  <c r="BM26" i="12" s="1"/>
  <c r="BM85" i="12"/>
  <c r="BM84" i="12"/>
  <c r="BM80" i="12"/>
  <c r="BM79" i="12"/>
  <c r="BM75" i="12"/>
  <c r="BM22" i="12" s="1"/>
  <c r="BM81" i="12"/>
  <c r="BL87" i="12"/>
  <c r="BL21" i="12"/>
  <c r="BL76" i="12"/>
  <c r="BL23" i="12"/>
  <c r="BN11" i="12"/>
  <c r="BN58" i="12" l="1"/>
  <c r="BN56" i="12"/>
  <c r="BI32" i="36" s="1"/>
  <c r="BN53" i="12"/>
  <c r="BN34" i="13"/>
  <c r="BN38" i="13"/>
  <c r="BN45" i="13"/>
  <c r="BN41" i="13"/>
  <c r="BN39" i="13"/>
  <c r="BN40" i="13"/>
  <c r="BN42" i="13"/>
  <c r="BN35" i="13"/>
  <c r="BN36" i="13"/>
  <c r="BN33" i="13"/>
  <c r="BP15" i="13"/>
  <c r="BP21" i="13" s="1"/>
  <c r="BO21" i="13"/>
  <c r="BM44" i="12"/>
  <c r="BM12" i="13"/>
  <c r="BM41" i="12"/>
  <c r="BN83" i="12"/>
  <c r="BN89" i="12"/>
  <c r="BN24" i="12" s="1"/>
  <c r="BN80" i="12"/>
  <c r="BN90" i="12"/>
  <c r="BN25" i="12" s="1"/>
  <c r="BN81" i="12"/>
  <c r="BN79" i="12"/>
  <c r="BN9" i="12"/>
  <c r="BN44" i="12" s="1"/>
  <c r="BN91" i="12"/>
  <c r="BN26" i="12" s="1"/>
  <c r="BN85" i="12"/>
  <c r="BN93" i="12"/>
  <c r="BN28" i="12" s="1"/>
  <c r="BN82" i="12"/>
  <c r="BN84" i="12"/>
  <c r="BN74" i="12"/>
  <c r="BN86" i="12"/>
  <c r="BN75" i="12"/>
  <c r="BN22" i="12" s="1"/>
  <c r="BN71" i="12"/>
  <c r="BN20" i="12" s="1"/>
  <c r="BM87" i="12"/>
  <c r="BM76" i="12"/>
  <c r="BM21" i="12"/>
  <c r="BM23" i="12"/>
  <c r="BO11" i="12"/>
  <c r="BO58" i="12" l="1"/>
  <c r="BO56" i="12"/>
  <c r="BJ32" i="36" s="1"/>
  <c r="BO53" i="12"/>
  <c r="BN41" i="12"/>
  <c r="BN13" i="12"/>
  <c r="BN12" i="13"/>
  <c r="BP41" i="13"/>
  <c r="BP39" i="13"/>
  <c r="BP45" i="13"/>
  <c r="BP42" i="13"/>
  <c r="BP34" i="13"/>
  <c r="BP33" i="13"/>
  <c r="BP38" i="13"/>
  <c r="BP36" i="13"/>
  <c r="BP35" i="13"/>
  <c r="BP40" i="13"/>
  <c r="BO35" i="13"/>
  <c r="BO33" i="13"/>
  <c r="BO45" i="13"/>
  <c r="BO40" i="13"/>
  <c r="BO36" i="13"/>
  <c r="BO39" i="13"/>
  <c r="BO34" i="13"/>
  <c r="BO38" i="13"/>
  <c r="BO42" i="13"/>
  <c r="BO41" i="13"/>
  <c r="BO89" i="12"/>
  <c r="BO24" i="12" s="1"/>
  <c r="BO85" i="12"/>
  <c r="BO91" i="12"/>
  <c r="BO26" i="12" s="1"/>
  <c r="BO86" i="12"/>
  <c r="BO84" i="12"/>
  <c r="BO93" i="12"/>
  <c r="BO28" i="12" s="1"/>
  <c r="BO74" i="12"/>
  <c r="BO81" i="12"/>
  <c r="BO75" i="12"/>
  <c r="BO22" i="12" s="1"/>
  <c r="BO90" i="12"/>
  <c r="BO25" i="12" s="1"/>
  <c r="BO80" i="12"/>
  <c r="BO83" i="12"/>
  <c r="BO9" i="12"/>
  <c r="BO41" i="12" s="1"/>
  <c r="BO71" i="12"/>
  <c r="BO20" i="12" s="1"/>
  <c r="BO79" i="12"/>
  <c r="BO82" i="12"/>
  <c r="BN87" i="12"/>
  <c r="BN23" i="12"/>
  <c r="BN21" i="12"/>
  <c r="BN76" i="12"/>
  <c r="BP11" i="12"/>
  <c r="BP58" i="12" l="1"/>
  <c r="BP56" i="12"/>
  <c r="BK32" i="36" s="1"/>
  <c r="BP53" i="12"/>
  <c r="BP85" i="12"/>
  <c r="F85" i="12" s="1"/>
  <c r="BP91" i="12"/>
  <c r="BP82" i="12"/>
  <c r="F82" i="12" s="1"/>
  <c r="BP74" i="12"/>
  <c r="BP89" i="12"/>
  <c r="BP83" i="12"/>
  <c r="F83" i="12" s="1"/>
  <c r="BP79" i="12"/>
  <c r="BP71" i="12"/>
  <c r="BP90" i="12"/>
  <c r="BP84" i="12"/>
  <c r="F84" i="12" s="1"/>
  <c r="BP86" i="12"/>
  <c r="F86" i="12" s="1"/>
  <c r="BP80" i="12"/>
  <c r="BP9" i="12"/>
  <c r="BP41" i="12" s="1"/>
  <c r="BP93" i="12"/>
  <c r="BP81" i="12"/>
  <c r="F81" i="12" s="1"/>
  <c r="BP75" i="12"/>
  <c r="BO13" i="12"/>
  <c r="BO44" i="12"/>
  <c r="BO12" i="13"/>
  <c r="BO87" i="12"/>
  <c r="BO23" i="12"/>
  <c r="BO21" i="12"/>
  <c r="BO76" i="12"/>
  <c r="BP12" i="13" l="1"/>
  <c r="BP13" i="12"/>
  <c r="BP20" i="12"/>
  <c r="F20" i="12" s="1"/>
  <c r="G20" i="12" s="1"/>
  <c r="F71" i="12"/>
  <c r="BP44" i="12"/>
  <c r="G84" i="12"/>
  <c r="F15" i="11"/>
  <c r="G15" i="11" s="1"/>
  <c r="G83" i="12"/>
  <c r="F14" i="11"/>
  <c r="G14" i="11" s="1"/>
  <c r="G85" i="12"/>
  <c r="F16" i="11"/>
  <c r="G16" i="11" s="1"/>
  <c r="G82" i="12"/>
  <c r="F13" i="11"/>
  <c r="G13" i="11" s="1"/>
  <c r="G81" i="12"/>
  <c r="F12" i="11"/>
  <c r="G12" i="11" s="1"/>
  <c r="G86" i="12"/>
  <c r="F17" i="11"/>
  <c r="BP87" i="12"/>
  <c r="BP23" i="12"/>
  <c r="F23" i="12" s="1"/>
  <c r="G23" i="12" s="1"/>
  <c r="F80" i="12"/>
  <c r="BP28" i="12"/>
  <c r="F28" i="12" s="1"/>
  <c r="G28" i="12" s="1"/>
  <c r="F93" i="12"/>
  <c r="BP21" i="12"/>
  <c r="F21" i="12" s="1"/>
  <c r="G21" i="12" s="1"/>
  <c r="F74" i="12"/>
  <c r="F6" i="11" s="1"/>
  <c r="BP26" i="12"/>
  <c r="F26" i="12" s="1"/>
  <c r="G26" i="12" s="1"/>
  <c r="F91" i="12"/>
  <c r="BP24" i="12"/>
  <c r="F24" i="12" s="1"/>
  <c r="F89" i="12"/>
  <c r="BP76" i="12"/>
  <c r="BP22" i="12"/>
  <c r="F22" i="12" s="1"/>
  <c r="G22" i="12" s="1"/>
  <c r="F75" i="12"/>
  <c r="F79" i="12"/>
  <c r="F10" i="11" s="1"/>
  <c r="G10" i="11" s="1"/>
  <c r="BP25" i="12"/>
  <c r="F25" i="12" s="1"/>
  <c r="F90" i="12"/>
  <c r="G71" i="12" l="1"/>
  <c r="F4" i="11"/>
  <c r="G89" i="12"/>
  <c r="G20" i="11" s="1"/>
  <c r="F20" i="11"/>
  <c r="G90" i="12"/>
  <c r="G21" i="11" s="1"/>
  <c r="F21" i="11"/>
  <c r="G6" i="11"/>
  <c r="G80" i="12"/>
  <c r="F11" i="11"/>
  <c r="G11" i="11" s="1"/>
  <c r="G91" i="12"/>
  <c r="G22" i="11" s="1"/>
  <c r="G39" i="11" s="1"/>
  <c r="F22" i="11"/>
  <c r="G75" i="12"/>
  <c r="F7" i="11"/>
  <c r="G7" i="11" s="1"/>
  <c r="G93" i="12"/>
  <c r="G24" i="11" s="1"/>
  <c r="F24" i="11"/>
  <c r="G17" i="11"/>
  <c r="F87" i="12"/>
  <c r="F76" i="12"/>
  <c r="G74" i="12"/>
  <c r="G79" i="12"/>
  <c r="F35" i="11" l="1"/>
  <c r="E5" i="33" s="1"/>
  <c r="G4" i="11"/>
  <c r="G35" i="11" s="1"/>
  <c r="G41" i="11"/>
  <c r="G38" i="11"/>
  <c r="D28" i="11"/>
  <c r="F39" i="11"/>
  <c r="E9" i="33" s="1"/>
  <c r="F41" i="11"/>
  <c r="E11" i="33" s="1"/>
  <c r="F38" i="11"/>
  <c r="E8" i="33" s="1"/>
  <c r="G18" i="11"/>
  <c r="G37" i="11" s="1"/>
  <c r="G76" i="12"/>
  <c r="F18" i="11"/>
  <c r="F8" i="11"/>
  <c r="G87" i="12"/>
  <c r="G8" i="11"/>
  <c r="G36" i="11" s="1"/>
  <c r="C3" i="7"/>
  <c r="C24" i="7" s="1"/>
  <c r="C8" i="8"/>
  <c r="C7" i="8"/>
  <c r="C9" i="8"/>
  <c r="C6" i="8"/>
  <c r="C5" i="8"/>
  <c r="C10" i="8"/>
  <c r="C11" i="8"/>
  <c r="C4" i="8"/>
  <c r="C12" i="8"/>
  <c r="C13" i="8"/>
  <c r="C14" i="8"/>
  <c r="C15" i="8"/>
  <c r="C16" i="8"/>
  <c r="G22" i="8"/>
  <c r="G11" i="33" l="1"/>
  <c r="H11" i="33"/>
  <c r="J11" i="33" s="1"/>
  <c r="G9" i="33"/>
  <c r="H9" i="33"/>
  <c r="J9" i="33" s="1"/>
  <c r="G8" i="33"/>
  <c r="H8" i="33"/>
  <c r="J8" i="33" s="1"/>
  <c r="D30" i="11"/>
  <c r="D29" i="11"/>
  <c r="F37" i="11"/>
  <c r="E7" i="33" s="1"/>
  <c r="F36" i="11"/>
  <c r="C22" i="8"/>
  <c r="C21" i="8" s="1"/>
  <c r="G21" i="8"/>
  <c r="E22" i="8"/>
  <c r="J22" i="8"/>
  <c r="K22" i="8"/>
  <c r="D22" i="8"/>
  <c r="F22" i="8"/>
  <c r="I22" i="8"/>
  <c r="H22" i="8"/>
  <c r="E29" i="7"/>
  <c r="D29" i="7"/>
  <c r="E6" i="33" l="1"/>
  <c r="G6" i="33" s="1"/>
  <c r="G7" i="33"/>
  <c r="H7" i="33"/>
  <c r="J7" i="33" s="1"/>
  <c r="I21" i="8"/>
  <c r="D21" i="8"/>
  <c r="E21" i="8"/>
  <c r="K21" i="8"/>
  <c r="J21" i="8"/>
  <c r="F21" i="8"/>
  <c r="H21" i="8"/>
  <c r="H6" i="33" l="1"/>
  <c r="J6" i="33" s="1"/>
  <c r="G5" i="33"/>
  <c r="H5" i="33"/>
  <c r="J5" i="33" s="1"/>
  <c r="C29" i="7"/>
  <c r="K29" i="8" l="1"/>
  <c r="C25" i="8"/>
  <c r="G27" i="8"/>
  <c r="I23" i="8"/>
  <c r="F31" i="8"/>
  <c r="C30" i="8"/>
  <c r="D30" i="8"/>
  <c r="K26" i="8"/>
  <c r="J30" i="8"/>
  <c r="F32" i="8"/>
  <c r="K23" i="8"/>
  <c r="K34" i="8"/>
  <c r="J32" i="8"/>
  <c r="C26" i="8"/>
  <c r="D31" i="8"/>
  <c r="J29" i="8"/>
  <c r="G29" i="8"/>
  <c r="I30" i="8"/>
  <c r="K35" i="8"/>
  <c r="D28" i="8"/>
  <c r="I28" i="8"/>
  <c r="G26" i="8"/>
  <c r="H23" i="8"/>
  <c r="G35" i="8"/>
  <c r="E26" i="8"/>
  <c r="H29" i="8"/>
  <c r="C33" i="8"/>
  <c r="J35" i="8"/>
  <c r="K28" i="8"/>
  <c r="J25" i="8"/>
  <c r="F24" i="8"/>
  <c r="D35" i="8"/>
  <c r="D29" i="8"/>
  <c r="J24" i="8"/>
  <c r="I34" i="8"/>
  <c r="J26" i="8"/>
  <c r="G32" i="8"/>
  <c r="F29" i="8"/>
  <c r="F30" i="8"/>
  <c r="J23" i="8"/>
  <c r="G25" i="8"/>
  <c r="D33" i="8"/>
  <c r="H27" i="8"/>
  <c r="F28" i="8"/>
  <c r="J33" i="8"/>
  <c r="H24" i="8"/>
  <c r="C35" i="8"/>
  <c r="E33" i="8"/>
  <c r="C23" i="8"/>
  <c r="E28" i="8"/>
  <c r="H26" i="8"/>
  <c r="K30" i="8"/>
  <c r="H31" i="8"/>
  <c r="D27" i="8"/>
  <c r="H28" i="8"/>
  <c r="H30" i="8"/>
  <c r="K27" i="8"/>
  <c r="F25" i="8"/>
  <c r="H33" i="8"/>
  <c r="H32" i="8"/>
  <c r="J28" i="8"/>
  <c r="E32" i="8"/>
  <c r="E34" i="8"/>
  <c r="E27" i="8"/>
  <c r="F35" i="8"/>
  <c r="I31" i="8"/>
  <c r="E23" i="8"/>
  <c r="F34" i="8"/>
  <c r="C31" i="8"/>
  <c r="E24" i="8"/>
  <c r="E30" i="8"/>
  <c r="J34" i="8"/>
  <c r="E31" i="8"/>
  <c r="G23" i="8"/>
  <c r="I26" i="8"/>
  <c r="E35" i="8"/>
  <c r="F33" i="8"/>
  <c r="F26" i="8"/>
  <c r="C34" i="8"/>
  <c r="I35" i="8"/>
  <c r="G28" i="8"/>
  <c r="D23" i="8"/>
  <c r="I25" i="8"/>
  <c r="H35" i="8"/>
  <c r="E29" i="8"/>
  <c r="F23" i="8"/>
  <c r="F27" i="8"/>
  <c r="K25" i="8"/>
  <c r="C4" i="7"/>
  <c r="D34" i="8"/>
  <c r="G30" i="8"/>
  <c r="K33" i="8"/>
  <c r="G31" i="8"/>
  <c r="E25" i="8"/>
  <c r="G24" i="8"/>
  <c r="D25" i="8"/>
  <c r="J31" i="8"/>
  <c r="D26" i="8"/>
  <c r="I32" i="8"/>
  <c r="C24" i="8"/>
  <c r="I27" i="8"/>
  <c r="J27" i="8"/>
  <c r="I29" i="8"/>
  <c r="H34" i="8"/>
  <c r="C32" i="8"/>
  <c r="C27" i="8"/>
  <c r="C29" i="8"/>
  <c r="D24" i="8"/>
  <c r="H25" i="8"/>
  <c r="D32" i="8"/>
  <c r="G34" i="8"/>
  <c r="G33" i="8"/>
  <c r="K32" i="8"/>
  <c r="I24" i="8"/>
  <c r="I33" i="8"/>
  <c r="C28" i="8"/>
  <c r="K24" i="8"/>
  <c r="K31" i="8"/>
  <c r="J18" i="7" l="1"/>
  <c r="D9" i="7"/>
  <c r="E18" i="7"/>
  <c r="H19" i="7"/>
  <c r="I12" i="7"/>
  <c r="E11" i="7"/>
  <c r="H11" i="7"/>
  <c r="J13" i="7"/>
  <c r="G15" i="7"/>
  <c r="C17" i="7"/>
  <c r="I18" i="7"/>
  <c r="C25" i="7"/>
  <c r="F13" i="7"/>
  <c r="I14" i="7"/>
  <c r="C15" i="7"/>
  <c r="G12" i="7"/>
  <c r="I16" i="7"/>
  <c r="I17" i="7"/>
  <c r="I10" i="7"/>
  <c r="F18" i="7"/>
  <c r="E10" i="7"/>
  <c r="E17" i="7"/>
  <c r="G14" i="7"/>
  <c r="C13" i="7"/>
  <c r="G16" i="7"/>
  <c r="H16" i="7"/>
  <c r="E14" i="7"/>
  <c r="I9" i="7"/>
  <c r="E15" i="7"/>
  <c r="J12" i="7"/>
  <c r="F9" i="7"/>
  <c r="C9" i="7"/>
  <c r="F12" i="7"/>
  <c r="C12" i="7"/>
  <c r="F15" i="7"/>
  <c r="G10" i="7"/>
  <c r="G13" i="7"/>
  <c r="J14" i="7"/>
  <c r="F16" i="7"/>
  <c r="H13" i="7"/>
  <c r="C14" i="7"/>
  <c r="H17" i="7"/>
  <c r="C19" i="7"/>
  <c r="C18" i="7"/>
  <c r="D19" i="7"/>
  <c r="G11" i="7"/>
  <c r="F10" i="7"/>
  <c r="H12" i="7"/>
  <c r="H18" i="7"/>
  <c r="I19" i="7"/>
  <c r="J17" i="7"/>
  <c r="H15" i="7"/>
  <c r="I11" i="7"/>
  <c r="F19" i="7"/>
  <c r="I13" i="7"/>
  <c r="D18" i="7"/>
  <c r="E12" i="7"/>
  <c r="H14" i="7"/>
  <c r="I15" i="7"/>
  <c r="J11" i="7"/>
  <c r="F14" i="7"/>
  <c r="D12" i="7"/>
  <c r="J15" i="7"/>
  <c r="J9" i="7"/>
  <c r="D13" i="7"/>
  <c r="C16" i="7"/>
  <c r="E13" i="7"/>
  <c r="E16" i="7"/>
  <c r="E19" i="7"/>
  <c r="G18" i="7"/>
  <c r="J16" i="7"/>
  <c r="J19" i="7"/>
  <c r="D17" i="7"/>
  <c r="E9" i="7"/>
  <c r="D16" i="7"/>
  <c r="J10" i="7"/>
  <c r="D10" i="7"/>
  <c r="G17" i="7"/>
  <c r="D11" i="7"/>
  <c r="G19" i="7"/>
  <c r="C10" i="7"/>
  <c r="D14" i="7"/>
  <c r="H10" i="7"/>
  <c r="C11" i="7"/>
  <c r="F17" i="7"/>
  <c r="D15" i="7"/>
  <c r="F11" i="7"/>
  <c r="G9" i="7"/>
  <c r="H9" i="7"/>
  <c r="H37" i="7" l="1"/>
  <c r="I36" i="7"/>
  <c r="C38" i="7"/>
  <c r="G33" i="7"/>
  <c r="H31" i="7"/>
  <c r="H30" i="7"/>
  <c r="D32" i="7"/>
  <c r="F36" i="7"/>
  <c r="G35" i="7"/>
  <c r="G38" i="7"/>
  <c r="I32" i="7"/>
  <c r="C31" i="7"/>
  <c r="E38" i="7"/>
  <c r="H38" i="7"/>
  <c r="I37" i="7"/>
  <c r="I30" i="7"/>
  <c r="G32" i="7"/>
  <c r="J34" i="7"/>
  <c r="F37" i="7"/>
  <c r="C34" i="7"/>
  <c r="J36" i="7"/>
  <c r="D31" i="7"/>
  <c r="E34" i="7"/>
  <c r="G37" i="7"/>
  <c r="D35" i="7"/>
  <c r="E36" i="7"/>
  <c r="C35" i="7"/>
  <c r="J32" i="7"/>
  <c r="C30" i="7"/>
  <c r="D33" i="7"/>
  <c r="J33" i="7"/>
  <c r="E35" i="7"/>
  <c r="G30" i="7"/>
  <c r="E30" i="7"/>
  <c r="F34" i="7"/>
  <c r="C36" i="7"/>
  <c r="G36" i="7"/>
  <c r="I34" i="7"/>
  <c r="E31" i="7"/>
  <c r="I35" i="7"/>
  <c r="E37" i="7"/>
  <c r="H32" i="7"/>
  <c r="D30" i="7"/>
  <c r="F33" i="7"/>
  <c r="H36" i="7"/>
  <c r="F35" i="7"/>
  <c r="H33" i="7"/>
  <c r="G34" i="7"/>
  <c r="C33" i="7"/>
  <c r="I38" i="7"/>
  <c r="C32" i="7"/>
  <c r="G31" i="7"/>
  <c r="F32" i="7"/>
  <c r="I33" i="7"/>
  <c r="J31" i="7"/>
  <c r="J30" i="7"/>
  <c r="D38" i="7"/>
  <c r="J37" i="7"/>
  <c r="D37" i="7"/>
  <c r="H35" i="7"/>
  <c r="F31" i="7"/>
  <c r="J35" i="7"/>
  <c r="J38" i="7"/>
  <c r="E33" i="7"/>
  <c r="F38" i="7"/>
  <c r="E32" i="7"/>
  <c r="C37" i="7"/>
  <c r="D36" i="7"/>
  <c r="F30" i="7"/>
  <c r="I31" i="7"/>
  <c r="H34" i="7"/>
  <c r="D34" i="7"/>
  <c r="D11" i="8"/>
  <c r="D13" i="8"/>
  <c r="D9" i="8"/>
  <c r="D10" i="8"/>
  <c r="D15" i="8"/>
  <c r="D16" i="8"/>
  <c r="D5" i="8"/>
  <c r="D14" i="8"/>
  <c r="D4" i="8"/>
  <c r="D12" i="8"/>
  <c r="D6" i="8"/>
  <c r="D7" i="8"/>
  <c r="D8" i="8"/>
  <c r="I46" i="13" l="1"/>
  <c r="I13" i="12" l="1"/>
  <c r="I31" i="12" s="1"/>
  <c r="I49" i="13"/>
  <c r="I92" i="12"/>
  <c r="J46" i="13"/>
  <c r="K46" i="13"/>
  <c r="L46" i="13"/>
  <c r="M46" i="13"/>
  <c r="N46" i="13"/>
  <c r="O46" i="13"/>
  <c r="P46" i="13"/>
  <c r="Q46" i="13"/>
  <c r="R46" i="13"/>
  <c r="S46" i="13"/>
  <c r="T46" i="13"/>
  <c r="U46" i="13"/>
  <c r="U13" i="12" s="1"/>
  <c r="V46" i="13"/>
  <c r="V13" i="12" s="1"/>
  <c r="W46" i="13"/>
  <c r="W13" i="12" s="1"/>
  <c r="X46" i="13"/>
  <c r="X13" i="12" s="1"/>
  <c r="K13" i="12" l="1"/>
  <c r="K31" i="12" s="1"/>
  <c r="S13" i="12"/>
  <c r="S31" i="12" s="1"/>
  <c r="J13" i="12"/>
  <c r="J31" i="12" s="1"/>
  <c r="T13" i="12"/>
  <c r="T31" i="12" s="1"/>
  <c r="L13" i="12"/>
  <c r="L31" i="12" s="1"/>
  <c r="Q13" i="12"/>
  <c r="Q31" i="12" s="1"/>
  <c r="O13" i="12"/>
  <c r="O31" i="12" s="1"/>
  <c r="R13" i="12"/>
  <c r="R31" i="12" s="1"/>
  <c r="P13" i="12"/>
  <c r="P31" i="12" s="1"/>
  <c r="N13" i="12"/>
  <c r="N31" i="12" s="1"/>
  <c r="M13" i="12"/>
  <c r="M31" i="12" s="1"/>
  <c r="L92" i="12"/>
  <c r="L27" i="12" s="1"/>
  <c r="L49" i="13"/>
  <c r="I27" i="12"/>
  <c r="X92" i="12"/>
  <c r="X27" i="12" s="1"/>
  <c r="X49" i="13"/>
  <c r="P92" i="12"/>
  <c r="P27" i="12" s="1"/>
  <c r="P49" i="13"/>
  <c r="O92" i="12"/>
  <c r="O27" i="12" s="1"/>
  <c r="O49" i="13"/>
  <c r="T92" i="12"/>
  <c r="T27" i="12" s="1"/>
  <c r="T49" i="13"/>
  <c r="S92" i="12"/>
  <c r="S27" i="12" s="1"/>
  <c r="S49" i="13"/>
  <c r="K92" i="12"/>
  <c r="K27" i="12" s="1"/>
  <c r="K49" i="13"/>
  <c r="R49" i="13"/>
  <c r="R92" i="12"/>
  <c r="R27" i="12" s="1"/>
  <c r="J49" i="13"/>
  <c r="J92" i="12"/>
  <c r="J27" i="12" s="1"/>
  <c r="Q92" i="12"/>
  <c r="Q27" i="12" s="1"/>
  <c r="Q49" i="13"/>
  <c r="W92" i="12"/>
  <c r="W27" i="12" s="1"/>
  <c r="W49" i="13"/>
  <c r="V92" i="12"/>
  <c r="V27" i="12" s="1"/>
  <c r="V49" i="13"/>
  <c r="V31" i="12"/>
  <c r="N92" i="12"/>
  <c r="N27" i="12" s="1"/>
  <c r="N49" i="13"/>
  <c r="U31" i="12"/>
  <c r="U92" i="12"/>
  <c r="U27" i="12" s="1"/>
  <c r="U49" i="13"/>
  <c r="M92" i="12"/>
  <c r="M27" i="12" s="1"/>
  <c r="M49" i="13"/>
  <c r="G25" i="12" l="1"/>
  <c r="E27" i="12" l="1"/>
  <c r="E30" i="12" s="1"/>
  <c r="H30" i="12"/>
  <c r="H32" i="12" l="1"/>
  <c r="E32" i="12" l="1"/>
  <c r="G24" i="12" l="1"/>
  <c r="X31" i="12" l="1"/>
  <c r="W31" i="12"/>
  <c r="J7" i="4" l="1"/>
  <c r="J51" i="13" l="1"/>
  <c r="K51" i="13" l="1"/>
  <c r="L51" i="13" l="1"/>
  <c r="M51" i="13" l="1"/>
  <c r="N51" i="13" l="1"/>
  <c r="O51" i="13" l="1"/>
  <c r="P51" i="13" l="1"/>
  <c r="Q51" i="13" l="1"/>
  <c r="R51" i="13" l="1"/>
  <c r="S51" i="13" l="1"/>
  <c r="T51" i="13" l="1"/>
  <c r="U51" i="13" l="1"/>
  <c r="V51" i="13" l="1"/>
  <c r="Y19" i="13" l="1"/>
  <c r="Z19" i="13" l="1"/>
  <c r="Z20" i="13" s="1"/>
  <c r="Y20" i="13"/>
  <c r="Y25" i="13" s="1"/>
  <c r="Z23" i="13"/>
  <c r="AA19" i="13" l="1"/>
  <c r="AA20" i="13" s="1"/>
  <c r="AA23" i="13"/>
  <c r="AA28" i="13" s="1"/>
  <c r="Y24" i="13"/>
  <c r="Y26" i="13"/>
  <c r="Z28" i="13"/>
  <c r="Z26" i="13"/>
  <c r="Z25" i="13"/>
  <c r="Z24" i="13"/>
  <c r="AB23" i="13" l="1"/>
  <c r="AB28" i="13" s="1"/>
  <c r="AB19" i="13"/>
  <c r="AC18" i="13" s="1"/>
  <c r="Y27" i="13"/>
  <c r="Y29" i="13" s="1"/>
  <c r="Z27" i="13"/>
  <c r="Z30" i="13" s="1"/>
  <c r="AA25" i="13"/>
  <c r="AA24" i="13"/>
  <c r="AA26" i="13"/>
  <c r="AC19" i="13" l="1"/>
  <c r="AD18" i="13" s="1"/>
  <c r="AC23" i="13"/>
  <c r="AB20" i="13"/>
  <c r="AB25" i="13" s="1"/>
  <c r="Z29" i="13"/>
  <c r="Z31" i="13" s="1"/>
  <c r="Z37" i="13" s="1"/>
  <c r="Z43" i="13" s="1"/>
  <c r="Z44" i="13" s="1"/>
  <c r="Z46" i="13" s="1"/>
  <c r="Z13" i="12" s="1"/>
  <c r="Y30" i="13"/>
  <c r="Y31" i="13" s="1"/>
  <c r="Y37" i="13" s="1"/>
  <c r="Y43" i="13" s="1"/>
  <c r="Y44" i="13" s="1"/>
  <c r="Y46" i="13" s="1"/>
  <c r="Y13" i="12" s="1"/>
  <c r="AC28" i="13"/>
  <c r="AB24" i="13"/>
  <c r="AA27" i="13"/>
  <c r="AD19" i="13" l="1"/>
  <c r="AE18" i="13" s="1"/>
  <c r="AE19" i="13" s="1"/>
  <c r="AF18" i="13" s="1"/>
  <c r="AC20" i="13"/>
  <c r="AC26" i="13" s="1"/>
  <c r="AD23" i="13"/>
  <c r="AB26" i="13"/>
  <c r="AB27" i="13" s="1"/>
  <c r="Y92" i="12"/>
  <c r="Y49" i="13"/>
  <c r="AA30" i="13"/>
  <c r="AA29" i="13"/>
  <c r="Z92" i="12"/>
  <c r="Z49" i="13"/>
  <c r="AD28" i="13"/>
  <c r="AC25" i="13" l="1"/>
  <c r="AD20" i="13"/>
  <c r="AE23" i="13"/>
  <c r="AE28" i="13" s="1"/>
  <c r="AC24" i="13"/>
  <c r="AA31" i="13"/>
  <c r="AA37" i="13" s="1"/>
  <c r="AA43" i="13" s="1"/>
  <c r="AA44" i="13" s="1"/>
  <c r="AA46" i="13" s="1"/>
  <c r="AA13" i="12" s="1"/>
  <c r="Z27" i="12"/>
  <c r="AC27" i="13"/>
  <c r="Z31" i="12"/>
  <c r="AE20" i="13"/>
  <c r="AF19" i="13"/>
  <c r="AG18" i="13" s="1"/>
  <c r="AF23" i="13"/>
  <c r="AD24" i="13"/>
  <c r="AD25" i="13"/>
  <c r="AD26" i="13"/>
  <c r="Y31" i="12"/>
  <c r="Y27" i="12"/>
  <c r="AB29" i="13"/>
  <c r="AB30" i="13"/>
  <c r="AB31" i="13" l="1"/>
  <c r="AB37" i="13" s="1"/>
  <c r="AB43" i="13" s="1"/>
  <c r="AB44" i="13" s="1"/>
  <c r="AB46" i="13" s="1"/>
  <c r="AB13" i="12" s="1"/>
  <c r="AE26" i="13"/>
  <c r="AE25" i="13"/>
  <c r="AE24" i="13"/>
  <c r="AA92" i="12"/>
  <c r="AA49" i="13"/>
  <c r="AD27" i="13"/>
  <c r="AC29" i="13"/>
  <c r="AC30" i="13"/>
  <c r="AF28" i="13"/>
  <c r="AF20" i="13"/>
  <c r="AG19" i="13"/>
  <c r="AH18" i="13" s="1"/>
  <c r="AG23" i="13"/>
  <c r="AE27" i="13" l="1"/>
  <c r="AE29" i="13" s="1"/>
  <c r="AC31" i="13"/>
  <c r="AC37" i="13" s="1"/>
  <c r="AC43" i="13" s="1"/>
  <c r="AC44" i="13" s="1"/>
  <c r="AC46" i="13" s="1"/>
  <c r="AC13" i="12" s="1"/>
  <c r="AA27" i="12"/>
  <c r="AD30" i="13"/>
  <c r="AD29" i="13"/>
  <c r="AG20" i="13"/>
  <c r="AH19" i="13"/>
  <c r="AH23" i="13"/>
  <c r="AG28" i="13"/>
  <c r="AF26" i="13"/>
  <c r="AF24" i="13"/>
  <c r="AF25" i="13"/>
  <c r="AB92" i="12"/>
  <c r="AB49" i="13"/>
  <c r="AA31" i="12"/>
  <c r="AI18" i="13" l="1"/>
  <c r="AI8" i="13"/>
  <c r="AE30" i="13"/>
  <c r="AE31" i="13" s="1"/>
  <c r="AE37" i="13" s="1"/>
  <c r="AE43" i="13" s="1"/>
  <c r="AE44" i="13" s="1"/>
  <c r="AE46" i="13" s="1"/>
  <c r="AE13" i="12" s="1"/>
  <c r="AD31" i="13"/>
  <c r="AD37" i="13" s="1"/>
  <c r="AD43" i="13" s="1"/>
  <c r="AD44" i="13" s="1"/>
  <c r="AD46" i="13" s="1"/>
  <c r="AD13" i="12" s="1"/>
  <c r="AH28" i="13"/>
  <c r="AB27" i="12"/>
  <c r="AB31" i="12"/>
  <c r="AG24" i="13"/>
  <c r="AG26" i="13"/>
  <c r="AG25" i="13"/>
  <c r="AC92" i="12"/>
  <c r="AC49" i="13"/>
  <c r="AH20" i="13"/>
  <c r="AI19" i="13"/>
  <c r="AJ18" i="13" s="1"/>
  <c r="AI23" i="13"/>
  <c r="AF27" i="13"/>
  <c r="AC31" i="12" l="1"/>
  <c r="AF29" i="13"/>
  <c r="AF30" i="13"/>
  <c r="AD92" i="12"/>
  <c r="AD49" i="13"/>
  <c r="AH25" i="13"/>
  <c r="AH24" i="13"/>
  <c r="AH26" i="13"/>
  <c r="AE92" i="12"/>
  <c r="AE49" i="13"/>
  <c r="AG27" i="13"/>
  <c r="AI28" i="13"/>
  <c r="AC27" i="12"/>
  <c r="AI20" i="13"/>
  <c r="AJ19" i="13"/>
  <c r="AK18" i="13" s="1"/>
  <c r="AJ23" i="13"/>
  <c r="AF31" i="13" l="1"/>
  <c r="AF37" i="13" s="1"/>
  <c r="AF43" i="13" s="1"/>
  <c r="AF44" i="13" s="1"/>
  <c r="AF46" i="13" s="1"/>
  <c r="AF13" i="12" s="1"/>
  <c r="F13" i="12" s="1"/>
  <c r="E18" i="33" s="1"/>
  <c r="AH27" i="13"/>
  <c r="AI26" i="13"/>
  <c r="AI24" i="13"/>
  <c r="AI25" i="13"/>
  <c r="AJ20" i="13"/>
  <c r="AK19" i="13"/>
  <c r="AL18" i="13" s="1"/>
  <c r="AK23" i="13"/>
  <c r="AG29" i="13"/>
  <c r="AG30" i="13"/>
  <c r="AD27" i="12"/>
  <c r="AJ28" i="13"/>
  <c r="AE31" i="12"/>
  <c r="AE27" i="12"/>
  <c r="AD31" i="12"/>
  <c r="H18" i="33" l="1"/>
  <c r="J18" i="33" s="1"/>
  <c r="G18" i="33"/>
  <c r="AG31" i="13"/>
  <c r="AG37" i="13" s="1"/>
  <c r="AG43" i="13" s="1"/>
  <c r="AG44" i="13" s="1"/>
  <c r="AG46" i="13" s="1"/>
  <c r="AK28" i="13"/>
  <c r="AJ26" i="13"/>
  <c r="AJ25" i="13"/>
  <c r="AJ24" i="13"/>
  <c r="AF92" i="12"/>
  <c r="AF49" i="13"/>
  <c r="AK20" i="13"/>
  <c r="AL19" i="13"/>
  <c r="AM18" i="13" s="1"/>
  <c r="AL23" i="13"/>
  <c r="AI27" i="13"/>
  <c r="AH30" i="13"/>
  <c r="AH29" i="13"/>
  <c r="AH31" i="13" l="1"/>
  <c r="AH37" i="13" s="1"/>
  <c r="AH43" i="13" s="1"/>
  <c r="AH44" i="13" s="1"/>
  <c r="AH46" i="13" s="1"/>
  <c r="AJ27" i="13"/>
  <c r="AJ29" i="13" s="1"/>
  <c r="AG92" i="12"/>
  <c r="AG49" i="13"/>
  <c r="AF27" i="12"/>
  <c r="AL28" i="13"/>
  <c r="AL20" i="13"/>
  <c r="AM19" i="13"/>
  <c r="AN18" i="13" s="1"/>
  <c r="AM23" i="13"/>
  <c r="AF31" i="12"/>
  <c r="AK26" i="13"/>
  <c r="AK24" i="13"/>
  <c r="AK25" i="13"/>
  <c r="AI30" i="13"/>
  <c r="AI29" i="13"/>
  <c r="AJ30" i="13" l="1"/>
  <c r="AJ31" i="13" s="1"/>
  <c r="AJ37" i="13" s="1"/>
  <c r="AJ43" i="13" s="1"/>
  <c r="AJ44" i="13" s="1"/>
  <c r="AJ46" i="13" s="1"/>
  <c r="AI31" i="13"/>
  <c r="AI37" i="13" s="1"/>
  <c r="AI43" i="13" s="1"/>
  <c r="AI44" i="13" s="1"/>
  <c r="AI46" i="13" s="1"/>
  <c r="AH92" i="12"/>
  <c r="AH49" i="13"/>
  <c r="AK27" i="13"/>
  <c r="AG27" i="12"/>
  <c r="AM28" i="13"/>
  <c r="AG31" i="12"/>
  <c r="AM20" i="13"/>
  <c r="AN19" i="13"/>
  <c r="AO18" i="13" s="1"/>
  <c r="AN23" i="13"/>
  <c r="AL24" i="13"/>
  <c r="AL25" i="13"/>
  <c r="AL26" i="13"/>
  <c r="AN20" i="13" l="1"/>
  <c r="AO19" i="13"/>
  <c r="AP18" i="13" s="1"/>
  <c r="AO23" i="13"/>
  <c r="AM24" i="13"/>
  <c r="AM25" i="13"/>
  <c r="AM26" i="13"/>
  <c r="AH31" i="12"/>
  <c r="AJ92" i="12"/>
  <c r="AJ49" i="13"/>
  <c r="AI92" i="12"/>
  <c r="AI49" i="13"/>
  <c r="AK29" i="13"/>
  <c r="AK30" i="13"/>
  <c r="AL27" i="13"/>
  <c r="AN28" i="13"/>
  <c r="AH27" i="12"/>
  <c r="AK31" i="13" l="1"/>
  <c r="AK37" i="13" s="1"/>
  <c r="AK43" i="13" s="1"/>
  <c r="AK44" i="13" s="1"/>
  <c r="AK46" i="13" s="1"/>
  <c r="AI31" i="12"/>
  <c r="AI27" i="12"/>
  <c r="AJ31" i="12"/>
  <c r="AL30" i="13"/>
  <c r="AL29" i="13"/>
  <c r="AO28" i="13"/>
  <c r="AO20" i="13"/>
  <c r="AP19" i="13"/>
  <c r="AQ18" i="13" s="1"/>
  <c r="AP23" i="13"/>
  <c r="AM27" i="13"/>
  <c r="AJ27" i="12"/>
  <c r="AN25" i="13"/>
  <c r="AN26" i="13"/>
  <c r="AN24" i="13"/>
  <c r="AN27" i="13" l="1"/>
  <c r="AN29" i="13" s="1"/>
  <c r="AL31" i="13"/>
  <c r="AL37" i="13" s="1"/>
  <c r="AL43" i="13" s="1"/>
  <c r="AL44" i="13" s="1"/>
  <c r="AL46" i="13" s="1"/>
  <c r="AM30" i="13"/>
  <c r="AM29" i="13"/>
  <c r="AP20" i="13"/>
  <c r="AQ19" i="13"/>
  <c r="AR18" i="13" s="1"/>
  <c r="AQ23" i="13"/>
  <c r="AO25" i="13"/>
  <c r="AO26" i="13"/>
  <c r="AO24" i="13"/>
  <c r="AP28" i="13"/>
  <c r="AK92" i="12"/>
  <c r="AK49" i="13"/>
  <c r="AN30" i="13" l="1"/>
  <c r="AN31" i="13" s="1"/>
  <c r="AN37" i="13" s="1"/>
  <c r="AN43" i="13" s="1"/>
  <c r="AN44" i="13" s="1"/>
  <c r="AN46" i="13" s="1"/>
  <c r="AM31" i="13"/>
  <c r="AM37" i="13" s="1"/>
  <c r="AM43" i="13" s="1"/>
  <c r="AM44" i="13" s="1"/>
  <c r="AO27" i="13"/>
  <c r="AO30" i="13" s="1"/>
  <c r="AQ20" i="13"/>
  <c r="AR19" i="13"/>
  <c r="AS18" i="13" s="1"/>
  <c r="AR23" i="13"/>
  <c r="AP24" i="13"/>
  <c r="AP25" i="13"/>
  <c r="AP26" i="13"/>
  <c r="AK27" i="12"/>
  <c r="AQ28" i="13"/>
  <c r="AL92" i="12"/>
  <c r="AL49" i="13"/>
  <c r="AK31" i="12"/>
  <c r="AO29" i="13" l="1"/>
  <c r="AO31" i="13" s="1"/>
  <c r="AO37" i="13" s="1"/>
  <c r="AO43" i="13" s="1"/>
  <c r="AO44" i="13" s="1"/>
  <c r="AO46" i="13" s="1"/>
  <c r="AM92" i="12"/>
  <c r="AM49" i="13"/>
  <c r="AN92" i="12"/>
  <c r="AN49" i="13"/>
  <c r="AL27" i="12"/>
  <c r="AL31" i="12"/>
  <c r="AR20" i="13"/>
  <c r="AS19" i="13"/>
  <c r="AT18" i="13" s="1"/>
  <c r="AS23" i="13"/>
  <c r="AP27" i="13"/>
  <c r="AR28" i="13"/>
  <c r="AQ25" i="13"/>
  <c r="AQ24" i="13"/>
  <c r="AQ26" i="13"/>
  <c r="AQ27" i="13" l="1"/>
  <c r="AQ29" i="13" s="1"/>
  <c r="AO92" i="12"/>
  <c r="AO49" i="13"/>
  <c r="AN31" i="12"/>
  <c r="AP30" i="13"/>
  <c r="AP29" i="13"/>
  <c r="AS20" i="13"/>
  <c r="AT19" i="13"/>
  <c r="AU18" i="13" s="1"/>
  <c r="AT23" i="13"/>
  <c r="AR26" i="13"/>
  <c r="AR25" i="13"/>
  <c r="AR24" i="13"/>
  <c r="AM27" i="12"/>
  <c r="AS28" i="13"/>
  <c r="AM31" i="12"/>
  <c r="AN27" i="12"/>
  <c r="AQ30" i="13" l="1"/>
  <c r="AQ31" i="13" s="1"/>
  <c r="AQ37" i="13" s="1"/>
  <c r="AQ43" i="13" s="1"/>
  <c r="AQ44" i="13" s="1"/>
  <c r="AQ46" i="13" s="1"/>
  <c r="AP31" i="13"/>
  <c r="AP37" i="13" s="1"/>
  <c r="AP43" i="13" s="1"/>
  <c r="G13" i="12"/>
  <c r="AR27" i="13"/>
  <c r="AT28" i="13"/>
  <c r="AT20" i="13"/>
  <c r="AU19" i="13"/>
  <c r="AV18" i="13" s="1"/>
  <c r="AU23" i="13"/>
  <c r="F31" i="12"/>
  <c r="AS25" i="13"/>
  <c r="AS24" i="13"/>
  <c r="AS26" i="13"/>
  <c r="AO27" i="12"/>
  <c r="AO31" i="12"/>
  <c r="AP44" i="13" l="1"/>
  <c r="AP46" i="13" s="1"/>
  <c r="AP49" i="13" s="1"/>
  <c r="AR29" i="13"/>
  <c r="AR30" i="13"/>
  <c r="G31" i="12"/>
  <c r="AQ92" i="12"/>
  <c r="AQ49" i="13"/>
  <c r="AU20" i="13"/>
  <c r="AV19" i="13"/>
  <c r="AW18" i="13" s="1"/>
  <c r="AV23" i="13"/>
  <c r="AS27" i="13"/>
  <c r="AU28" i="13"/>
  <c r="AT26" i="13"/>
  <c r="AT25" i="13"/>
  <c r="AT24" i="13"/>
  <c r="AR31" i="13" l="1"/>
  <c r="AR37" i="13" s="1"/>
  <c r="AR43" i="13" s="1"/>
  <c r="AR44" i="13" s="1"/>
  <c r="AR46" i="13" s="1"/>
  <c r="AP92" i="12"/>
  <c r="AP27" i="12" s="1"/>
  <c r="AT27" i="13"/>
  <c r="AT30" i="13" s="1"/>
  <c r="AW19" i="13"/>
  <c r="AX18" i="13" s="1"/>
  <c r="AV20" i="13"/>
  <c r="AW23" i="13"/>
  <c r="AV28" i="13"/>
  <c r="AQ27" i="12"/>
  <c r="AU26" i="13"/>
  <c r="AU25" i="13"/>
  <c r="AU24" i="13"/>
  <c r="AP31" i="12"/>
  <c r="AS29" i="13"/>
  <c r="AS30" i="13"/>
  <c r="AQ31" i="12"/>
  <c r="AT29" i="13" l="1"/>
  <c r="AT31" i="13" s="1"/>
  <c r="AT37" i="13" s="1"/>
  <c r="AT43" i="13" s="1"/>
  <c r="AT44" i="13" s="1"/>
  <c r="AT46" i="13" s="1"/>
  <c r="AS31" i="13"/>
  <c r="AS37" i="13" s="1"/>
  <c r="AS43" i="13" s="1"/>
  <c r="AS44" i="13" s="1"/>
  <c r="AS46" i="13" s="1"/>
  <c r="AW28" i="13"/>
  <c r="AV25" i="13"/>
  <c r="AV24" i="13"/>
  <c r="AV26" i="13"/>
  <c r="AW20" i="13"/>
  <c r="AX19" i="13"/>
  <c r="AY18" i="13" s="1"/>
  <c r="AX23" i="13"/>
  <c r="AR92" i="12"/>
  <c r="AR49" i="13"/>
  <c r="AU27" i="13"/>
  <c r="AV27" i="13" l="1"/>
  <c r="AV29" i="13" s="1"/>
  <c r="AX28" i="13"/>
  <c r="AX20" i="13"/>
  <c r="AY19" i="13"/>
  <c r="AZ18" i="13" s="1"/>
  <c r="AY23" i="13"/>
  <c r="AW24" i="13"/>
  <c r="AW25" i="13"/>
  <c r="AW26" i="13"/>
  <c r="AS92" i="12"/>
  <c r="AS49" i="13"/>
  <c r="AR31" i="12"/>
  <c r="AR27" i="12"/>
  <c r="AU30" i="13"/>
  <c r="AU29" i="13"/>
  <c r="AT92" i="12"/>
  <c r="AT49" i="13"/>
  <c r="AV30" i="13" l="1"/>
  <c r="AV31" i="13" s="1"/>
  <c r="AV37" i="13" s="1"/>
  <c r="AV43" i="13" s="1"/>
  <c r="AV44" i="13" s="1"/>
  <c r="AV46" i="13" s="1"/>
  <c r="AU31" i="13"/>
  <c r="AU37" i="13" s="1"/>
  <c r="AU43" i="13" s="1"/>
  <c r="AU44" i="13" s="1"/>
  <c r="AU46" i="13" s="1"/>
  <c r="AY28" i="13"/>
  <c r="AY20" i="13"/>
  <c r="AZ23" i="13"/>
  <c r="AZ19" i="13"/>
  <c r="BA18" i="13" s="1"/>
  <c r="AS31" i="12"/>
  <c r="AX26" i="13"/>
  <c r="AX25" i="13"/>
  <c r="AX24" i="13"/>
  <c r="AT31" i="12"/>
  <c r="AT27" i="12"/>
  <c r="AS27" i="12"/>
  <c r="AW27" i="13"/>
  <c r="AU92" i="12" l="1"/>
  <c r="AU49" i="13"/>
  <c r="AY26" i="13"/>
  <c r="AY24" i="13"/>
  <c r="AY25" i="13"/>
  <c r="AW29" i="13"/>
  <c r="AW30" i="13"/>
  <c r="AV92" i="12"/>
  <c r="AV49" i="13"/>
  <c r="AZ20" i="13"/>
  <c r="BA23" i="13"/>
  <c r="BA19" i="13"/>
  <c r="BB18" i="13" s="1"/>
  <c r="AX27" i="13"/>
  <c r="AZ28" i="13"/>
  <c r="AW31" i="13" l="1"/>
  <c r="AW37" i="13" s="1"/>
  <c r="AW43" i="13" s="1"/>
  <c r="AW44" i="13" s="1"/>
  <c r="AW46" i="13" s="1"/>
  <c r="AZ25" i="13"/>
  <c r="AZ24" i="13"/>
  <c r="AZ26" i="13"/>
  <c r="AY27" i="13"/>
  <c r="AU31" i="12"/>
  <c r="AX30" i="13"/>
  <c r="AX29" i="13"/>
  <c r="AU27" i="12"/>
  <c r="AV31" i="12"/>
  <c r="AV27" i="12"/>
  <c r="BA20" i="13"/>
  <c r="BB19" i="13"/>
  <c r="BC18" i="13" s="1"/>
  <c r="BB23" i="13"/>
  <c r="BA28" i="13"/>
  <c r="AX31" i="13" l="1"/>
  <c r="AX37" i="13" s="1"/>
  <c r="AX43" i="13" s="1"/>
  <c r="AX44" i="13" s="1"/>
  <c r="AX46" i="13" s="1"/>
  <c r="BB28" i="13"/>
  <c r="AY29" i="13"/>
  <c r="AY30" i="13"/>
  <c r="BA25" i="13"/>
  <c r="BA24" i="13"/>
  <c r="BA26" i="13"/>
  <c r="AZ27" i="13"/>
  <c r="BB20" i="13"/>
  <c r="BC19" i="13"/>
  <c r="BD18" i="13" s="1"/>
  <c r="BC23" i="13"/>
  <c r="AW92" i="12"/>
  <c r="AW49" i="13"/>
  <c r="AY31" i="13" l="1"/>
  <c r="AY37" i="13" s="1"/>
  <c r="AY43" i="13" s="1"/>
  <c r="AY44" i="13" s="1"/>
  <c r="AY46" i="13" s="1"/>
  <c r="AX92" i="12"/>
  <c r="AX49" i="13"/>
  <c r="AW27" i="12"/>
  <c r="AW31" i="12"/>
  <c r="BC20" i="13"/>
  <c r="BD23" i="13"/>
  <c r="BD19" i="13"/>
  <c r="BE18" i="13" s="1"/>
  <c r="BA27" i="13"/>
  <c r="BC28" i="13"/>
  <c r="BB24" i="13"/>
  <c r="BB26" i="13"/>
  <c r="BB25" i="13"/>
  <c r="AZ29" i="13"/>
  <c r="AZ30" i="13"/>
  <c r="AZ31" i="13" l="1"/>
  <c r="AZ37" i="13" s="1"/>
  <c r="AZ43" i="13" s="1"/>
  <c r="AZ44" i="13" s="1"/>
  <c r="AZ46" i="13" s="1"/>
  <c r="BC25" i="13"/>
  <c r="BC24" i="13"/>
  <c r="BC26" i="13"/>
  <c r="AX31" i="12"/>
  <c r="AY49" i="13"/>
  <c r="AY92" i="12"/>
  <c r="BD20" i="13"/>
  <c r="BE23" i="13"/>
  <c r="BE19" i="13"/>
  <c r="BF18" i="13" s="1"/>
  <c r="AX27" i="12"/>
  <c r="BB27" i="13"/>
  <c r="BD28" i="13"/>
  <c r="BA30" i="13"/>
  <c r="BA29" i="13"/>
  <c r="BA31" i="13" l="1"/>
  <c r="BB29" i="13"/>
  <c r="BB30" i="13"/>
  <c r="BE20" i="13"/>
  <c r="BF19" i="13"/>
  <c r="BG18" i="13" s="1"/>
  <c r="BF23" i="13"/>
  <c r="BC27" i="13"/>
  <c r="BD25" i="13"/>
  <c r="BD26" i="13"/>
  <c r="BD24" i="13"/>
  <c r="AY27" i="12"/>
  <c r="AZ92" i="12"/>
  <c r="AZ49" i="13"/>
  <c r="AY31" i="12"/>
  <c r="BA37" i="13"/>
  <c r="BA43" i="13" s="1"/>
  <c r="BA44" i="13" s="1"/>
  <c r="BA46" i="13" s="1"/>
  <c r="BE28" i="13"/>
  <c r="BB31" i="13" l="1"/>
  <c r="BD27" i="13"/>
  <c r="BD29" i="13" s="1"/>
  <c r="BC29" i="13"/>
  <c r="BC30" i="13"/>
  <c r="BF20" i="13"/>
  <c r="BG19" i="13"/>
  <c r="BH18" i="13" s="1"/>
  <c r="BG23" i="13"/>
  <c r="BB37" i="13"/>
  <c r="BB43" i="13" s="1"/>
  <c r="BB44" i="13" s="1"/>
  <c r="BB46" i="13" s="1"/>
  <c r="BA92" i="12"/>
  <c r="BA49" i="13"/>
  <c r="AZ27" i="12"/>
  <c r="BF28" i="13"/>
  <c r="BE25" i="13"/>
  <c r="BE24" i="13"/>
  <c r="BE26" i="13"/>
  <c r="AZ31" i="12"/>
  <c r="BD30" i="13" l="1"/>
  <c r="BD31" i="13" s="1"/>
  <c r="BD37" i="13" s="1"/>
  <c r="BD43" i="13" s="1"/>
  <c r="BD44" i="13" s="1"/>
  <c r="BD46" i="13" s="1"/>
  <c r="BC31" i="13"/>
  <c r="BC37" i="13" s="1"/>
  <c r="BC43" i="13" s="1"/>
  <c r="BC44" i="13" s="1"/>
  <c r="BC46" i="13" s="1"/>
  <c r="BE27" i="13"/>
  <c r="BE30" i="13" s="1"/>
  <c r="BH23" i="13"/>
  <c r="BG20" i="13"/>
  <c r="BH19" i="13"/>
  <c r="BI18" i="13" s="1"/>
  <c r="BG28" i="13"/>
  <c r="BA27" i="12"/>
  <c r="BA31" i="12"/>
  <c r="BF26" i="13"/>
  <c r="BF25" i="13"/>
  <c r="BF24" i="13"/>
  <c r="BB49" i="13"/>
  <c r="BB92" i="12"/>
  <c r="AR55" i="12" l="1"/>
  <c r="AM31" i="36" s="1"/>
  <c r="BE29" i="13"/>
  <c r="BE31" i="13" s="1"/>
  <c r="BE37" i="13" s="1"/>
  <c r="BE43" i="13" s="1"/>
  <c r="BE44" i="13" s="1"/>
  <c r="BE46" i="13" s="1"/>
  <c r="BC92" i="12"/>
  <c r="BC49" i="13"/>
  <c r="BH20" i="13"/>
  <c r="BI19" i="13"/>
  <c r="BJ18" i="13" s="1"/>
  <c r="BI23" i="13"/>
  <c r="BB31" i="12"/>
  <c r="BD92" i="12"/>
  <c r="BD49" i="13"/>
  <c r="BF27" i="13"/>
  <c r="BG24" i="13"/>
  <c r="BG25" i="13"/>
  <c r="BG26" i="13"/>
  <c r="BB27" i="12"/>
  <c r="BH28" i="13"/>
  <c r="BE49" i="13" l="1"/>
  <c r="BE92" i="12"/>
  <c r="BH24" i="13"/>
  <c r="BH26" i="13"/>
  <c r="BH25" i="13"/>
  <c r="BC27" i="12"/>
  <c r="BI20" i="13"/>
  <c r="BJ19" i="13"/>
  <c r="BK18" i="13" s="1"/>
  <c r="BJ23" i="13"/>
  <c r="BD27" i="12"/>
  <c r="BC31" i="12"/>
  <c r="BD31" i="12"/>
  <c r="BG27" i="13"/>
  <c r="BF30" i="13"/>
  <c r="BF29" i="13"/>
  <c r="BI28" i="13"/>
  <c r="BF31" i="13" l="1"/>
  <c r="BF37" i="13" s="1"/>
  <c r="BF43" i="13" s="1"/>
  <c r="BF44" i="13" s="1"/>
  <c r="BF46" i="13" s="1"/>
  <c r="BH27" i="13"/>
  <c r="BE27" i="12"/>
  <c r="BI24" i="13"/>
  <c r="BI26" i="13"/>
  <c r="BI25" i="13"/>
  <c r="BJ20" i="13"/>
  <c r="BK19" i="13"/>
  <c r="BL18" i="13" s="1"/>
  <c r="BK23" i="13"/>
  <c r="BJ28" i="13"/>
  <c r="BG29" i="13"/>
  <c r="BG30" i="13"/>
  <c r="BE31" i="12"/>
  <c r="BG31" i="13" l="1"/>
  <c r="BG37" i="13" s="1"/>
  <c r="BG43" i="13" s="1"/>
  <c r="BG44" i="13" s="1"/>
  <c r="BG46" i="13" s="1"/>
  <c r="BF92" i="12"/>
  <c r="BF49" i="13"/>
  <c r="BL23" i="13"/>
  <c r="BK20" i="13"/>
  <c r="BL19" i="13"/>
  <c r="BM18" i="13" s="1"/>
  <c r="BI27" i="13"/>
  <c r="BK28" i="13"/>
  <c r="BJ24" i="13"/>
  <c r="BJ26" i="13"/>
  <c r="BJ25" i="13"/>
  <c r="BH29" i="13"/>
  <c r="BH30" i="13"/>
  <c r="BH31" i="13" l="1"/>
  <c r="BH37" i="13" s="1"/>
  <c r="BH43" i="13" s="1"/>
  <c r="BH44" i="13" s="1"/>
  <c r="BH46" i="13" s="1"/>
  <c r="BJ27" i="13"/>
  <c r="BJ29" i="13" s="1"/>
  <c r="BF31" i="12"/>
  <c r="BL20" i="13"/>
  <c r="BM19" i="13"/>
  <c r="BN18" i="13" s="1"/>
  <c r="BM23" i="13"/>
  <c r="BG92" i="12"/>
  <c r="BG49" i="13"/>
  <c r="BF27" i="12"/>
  <c r="BI29" i="13"/>
  <c r="BI30" i="13"/>
  <c r="BK25" i="13"/>
  <c r="BK26" i="13"/>
  <c r="BK24" i="13"/>
  <c r="BL28" i="13"/>
  <c r="BJ30" i="13" l="1"/>
  <c r="BJ31" i="13" s="1"/>
  <c r="BJ37" i="13" s="1"/>
  <c r="BJ43" i="13" s="1"/>
  <c r="BJ44" i="13" s="1"/>
  <c r="BJ46" i="13" s="1"/>
  <c r="BK27" i="13"/>
  <c r="BK30" i="13" s="1"/>
  <c r="BI31" i="13"/>
  <c r="BI37" i="13" s="1"/>
  <c r="BI43" i="13" s="1"/>
  <c r="BI44" i="13" s="1"/>
  <c r="BI46" i="13" s="1"/>
  <c r="BM28" i="13"/>
  <c r="BM20" i="13"/>
  <c r="BN19" i="13"/>
  <c r="BO18" i="13" s="1"/>
  <c r="BN23" i="13"/>
  <c r="BL26" i="13"/>
  <c r="BL25" i="13"/>
  <c r="BL24" i="13"/>
  <c r="BG31" i="12"/>
  <c r="BG27" i="12"/>
  <c r="BH92" i="12"/>
  <c r="BH49" i="13"/>
  <c r="BK29" i="13" l="1"/>
  <c r="BK31" i="13" s="1"/>
  <c r="BK37" i="13" s="1"/>
  <c r="BK43" i="13" s="1"/>
  <c r="BK44" i="13" s="1"/>
  <c r="BK46" i="13" s="1"/>
  <c r="BL27" i="13"/>
  <c r="BL30" i="13" s="1"/>
  <c r="BN28" i="13"/>
  <c r="BI92" i="12"/>
  <c r="BI49" i="13"/>
  <c r="BJ92" i="12"/>
  <c r="BJ49" i="13"/>
  <c r="BH31" i="12"/>
  <c r="BN20" i="13"/>
  <c r="BO19" i="13"/>
  <c r="BP18" i="13" s="1"/>
  <c r="BO23" i="13"/>
  <c r="BM25" i="13"/>
  <c r="BM24" i="13"/>
  <c r="BM26" i="13"/>
  <c r="BH27" i="12"/>
  <c r="BL29" i="13" l="1"/>
  <c r="BL31" i="13" s="1"/>
  <c r="BL37" i="13" s="1"/>
  <c r="BL43" i="13" s="1"/>
  <c r="BL44" i="13" s="1"/>
  <c r="BL46" i="13" s="1"/>
  <c r="BJ27" i="12"/>
  <c r="BN26" i="13"/>
  <c r="BN24" i="13"/>
  <c r="BN25" i="13"/>
  <c r="BO20" i="13"/>
  <c r="BP23" i="13"/>
  <c r="BP19" i="13"/>
  <c r="BI27" i="12"/>
  <c r="BK49" i="13"/>
  <c r="BK92" i="12"/>
  <c r="BM27" i="13"/>
  <c r="BI31" i="12"/>
  <c r="BO28" i="13"/>
  <c r="BJ31" i="12"/>
  <c r="BN27" i="13" l="1"/>
  <c r="BN29" i="13" s="1"/>
  <c r="BL92" i="12"/>
  <c r="BL49" i="13"/>
  <c r="BM30" i="13"/>
  <c r="BM29" i="13"/>
  <c r="BK27" i="12"/>
  <c r="BO25" i="13"/>
  <c r="BO24" i="13"/>
  <c r="BO26" i="13"/>
  <c r="BP20" i="13"/>
  <c r="BK31" i="12"/>
  <c r="BP28" i="13"/>
  <c r="BM31" i="13" l="1"/>
  <c r="BM37" i="13" s="1"/>
  <c r="BM43" i="13" s="1"/>
  <c r="BM44" i="13" s="1"/>
  <c r="BM46" i="13" s="1"/>
  <c r="BN30" i="13"/>
  <c r="BN31" i="13" s="1"/>
  <c r="BN37" i="13" s="1"/>
  <c r="BN43" i="13" s="1"/>
  <c r="BN44" i="13" s="1"/>
  <c r="BN46" i="13" s="1"/>
  <c r="BP25" i="13"/>
  <c r="BP26" i="13"/>
  <c r="BP24" i="13"/>
  <c r="BL27" i="12"/>
  <c r="AG94" i="12"/>
  <c r="AG45" i="12"/>
  <c r="AG29" i="12"/>
  <c r="AG30" i="12" s="1"/>
  <c r="BO27" i="13"/>
  <c r="BL31" i="12"/>
  <c r="BP27" i="13" l="1"/>
  <c r="BP29" i="13" s="1"/>
  <c r="BM92" i="12"/>
  <c r="BM49" i="13"/>
  <c r="BN92" i="12"/>
  <c r="BN49" i="13"/>
  <c r="AG32" i="12"/>
  <c r="AG47" i="13"/>
  <c r="AG48" i="13" s="1"/>
  <c r="AG53" i="12" s="1"/>
  <c r="AG96" i="12"/>
  <c r="BO29" i="13"/>
  <c r="BO30" i="13"/>
  <c r="BO31" i="13" l="1"/>
  <c r="BO37" i="13" s="1"/>
  <c r="BO43" i="13" s="1"/>
  <c r="BO44" i="13" s="1"/>
  <c r="BO46" i="13" s="1"/>
  <c r="BP30" i="13"/>
  <c r="BP31" i="13" s="1"/>
  <c r="BP37" i="13" s="1"/>
  <c r="BP43" i="13" s="1"/>
  <c r="BP44" i="13" s="1"/>
  <c r="BP46" i="13" s="1"/>
  <c r="AG14" i="12"/>
  <c r="AB15" i="36" s="1"/>
  <c r="BN31" i="12"/>
  <c r="BM27" i="12"/>
  <c r="BM31" i="12"/>
  <c r="AG50" i="13"/>
  <c r="AG51" i="13"/>
  <c r="BN27" i="12"/>
  <c r="BO92" i="12" l="1"/>
  <c r="BO49" i="13"/>
  <c r="BP92" i="12"/>
  <c r="BP49" i="13"/>
  <c r="AH29" i="12" l="1"/>
  <c r="AH30" i="12" s="1"/>
  <c r="AH45" i="12"/>
  <c r="AH94" i="12"/>
  <c r="BP27" i="12"/>
  <c r="F92" i="12"/>
  <c r="BO27" i="12"/>
  <c r="BP31" i="12"/>
  <c r="BO31" i="12"/>
  <c r="AH47" i="13" l="1"/>
  <c r="AH48" i="13" s="1"/>
  <c r="AH53" i="12" s="1"/>
  <c r="AH96" i="12"/>
  <c r="G92" i="12"/>
  <c r="F23" i="11"/>
  <c r="F40" i="11" s="1"/>
  <c r="E10" i="33" s="1"/>
  <c r="F27" i="12"/>
  <c r="AH32" i="12"/>
  <c r="H10" i="33" l="1"/>
  <c r="G10" i="33"/>
  <c r="AH14" i="12"/>
  <c r="AC15" i="36" s="1"/>
  <c r="G23" i="11"/>
  <c r="G40" i="11" s="1"/>
  <c r="G27" i="12"/>
  <c r="AH50" i="13"/>
  <c r="AH51" i="13"/>
  <c r="J10" i="33" l="1"/>
  <c r="AI45" i="12" l="1"/>
  <c r="AI29" i="12"/>
  <c r="AI30" i="12" s="1"/>
  <c r="AI94" i="12"/>
  <c r="AI47" i="13" l="1"/>
  <c r="AI48" i="13" s="1"/>
  <c r="AI53" i="12" s="1"/>
  <c r="AI96" i="12"/>
  <c r="AI32" i="12"/>
  <c r="AI14" i="12" l="1"/>
  <c r="AD15" i="36" s="1"/>
  <c r="AI50" i="13"/>
  <c r="AI51" i="13"/>
  <c r="AJ94" i="12" l="1"/>
  <c r="AJ29" i="12"/>
  <c r="AJ30" i="12" s="1"/>
  <c r="AJ45" i="12"/>
  <c r="AJ32" i="12" l="1"/>
  <c r="AJ47" i="13"/>
  <c r="AJ48" i="13" s="1"/>
  <c r="AJ53" i="12" s="1"/>
  <c r="AJ96" i="12"/>
  <c r="AJ50" i="13" l="1"/>
  <c r="AJ51" i="13"/>
  <c r="AJ14" i="12"/>
  <c r="AE15" i="36" s="1"/>
  <c r="AK94" i="12" l="1"/>
  <c r="AK29" i="12"/>
  <c r="AK30" i="12" s="1"/>
  <c r="AK45" i="12"/>
  <c r="AK32" i="12" l="1"/>
  <c r="AK47" i="13"/>
  <c r="AK48" i="13" s="1"/>
  <c r="AK53" i="12" s="1"/>
  <c r="AK96" i="12"/>
  <c r="AK50" i="13" l="1"/>
  <c r="AK51" i="13"/>
  <c r="AK14" i="12"/>
  <c r="AF15" i="36" s="1"/>
  <c r="AL29" i="12" l="1"/>
  <c r="AL30" i="12" s="1"/>
  <c r="AL45" i="12"/>
  <c r="AL94" i="12"/>
  <c r="AL47" i="13" l="1"/>
  <c r="AL48" i="13" s="1"/>
  <c r="AL53" i="12" s="1"/>
  <c r="AL96" i="12"/>
  <c r="AL32" i="12"/>
  <c r="AL14" i="12" l="1"/>
  <c r="AG15" i="36" s="1"/>
  <c r="AL50" i="13"/>
  <c r="AL51" i="13"/>
  <c r="AM94" i="12" l="1"/>
  <c r="AM45" i="12"/>
  <c r="AM29" i="12"/>
  <c r="AM30" i="12" s="1"/>
  <c r="AM32" i="12" l="1"/>
  <c r="AM47" i="13"/>
  <c r="AM48" i="13" s="1"/>
  <c r="AM53" i="12" s="1"/>
  <c r="AM96" i="12"/>
  <c r="AM50" i="13" l="1"/>
  <c r="AM51" i="13"/>
  <c r="AM14" i="12"/>
  <c r="AH15" i="36" s="1"/>
  <c r="AN29" i="12" l="1"/>
  <c r="AN30" i="12" s="1"/>
  <c r="AN94" i="12"/>
  <c r="AN45" i="12"/>
  <c r="AN47" i="13" l="1"/>
  <c r="AN48" i="13" s="1"/>
  <c r="AN53" i="12" s="1"/>
  <c r="AN96" i="12"/>
  <c r="AN32" i="12"/>
  <c r="AN14" i="12" l="1"/>
  <c r="AI15" i="36" s="1"/>
  <c r="AN50" i="13"/>
  <c r="AN51" i="13"/>
  <c r="AO94" i="12" l="1"/>
  <c r="AO45" i="12"/>
  <c r="AO29" i="12"/>
  <c r="AO30" i="12" s="1"/>
  <c r="AO32" i="12" l="1"/>
  <c r="AO47" i="13"/>
  <c r="AO48" i="13" s="1"/>
  <c r="AO53" i="12" s="1"/>
  <c r="AO96" i="12"/>
  <c r="AO50" i="13" l="1"/>
  <c r="AO51" i="13"/>
  <c r="AO14" i="12"/>
  <c r="AJ15" i="36" s="1"/>
  <c r="AP94" i="12" l="1"/>
  <c r="AP29" i="12"/>
  <c r="AP30" i="12" s="1"/>
  <c r="AP45" i="12"/>
  <c r="AP32" i="12" l="1"/>
  <c r="AP47" i="13"/>
  <c r="AP48" i="13" s="1"/>
  <c r="AP53" i="12" s="1"/>
  <c r="AP96" i="12"/>
  <c r="AP50" i="13" l="1"/>
  <c r="AP51" i="13"/>
  <c r="AP14" i="12"/>
  <c r="AK15" i="36" s="1"/>
  <c r="AQ29" i="12" l="1"/>
  <c r="AQ30" i="12" s="1"/>
  <c r="AQ45" i="12"/>
  <c r="AQ94" i="12"/>
  <c r="AQ47" i="13" l="1"/>
  <c r="AQ48" i="13" s="1"/>
  <c r="AQ53" i="12" s="1"/>
  <c r="AQ96" i="12"/>
  <c r="AQ32" i="12"/>
  <c r="AQ14" i="12" l="1"/>
  <c r="AL15" i="36" s="1"/>
  <c r="AQ50" i="13"/>
  <c r="AQ51" i="13"/>
  <c r="AR94" i="12" l="1"/>
  <c r="AR29" i="12"/>
  <c r="AR30" i="12" s="1"/>
  <c r="AR45" i="12"/>
  <c r="AR32" i="12" l="1"/>
  <c r="AR47" i="13"/>
  <c r="AR48" i="13" s="1"/>
  <c r="AR53" i="12" s="1"/>
  <c r="AR96" i="12"/>
  <c r="AR50" i="13" l="1"/>
  <c r="AR51" i="13"/>
  <c r="AR14" i="12"/>
  <c r="AM15" i="36" s="1"/>
  <c r="AS94" i="12" l="1"/>
  <c r="AS29" i="12"/>
  <c r="AS30" i="12" s="1"/>
  <c r="AS45" i="12"/>
  <c r="AS32" i="12" l="1"/>
  <c r="AS47" i="13"/>
  <c r="AS96" i="12"/>
  <c r="AS48" i="13" l="1"/>
  <c r="AN22" i="36"/>
  <c r="AS50" i="13"/>
  <c r="AS51" i="13"/>
  <c r="AS14" i="12"/>
  <c r="AN23" i="36" l="1"/>
  <c r="AN25" i="36"/>
  <c r="AN29" i="36" s="1"/>
  <c r="AN34" i="36" s="1"/>
  <c r="AT45" i="12"/>
  <c r="AT94" i="12"/>
  <c r="AT29" i="12"/>
  <c r="AT30" i="12" s="1"/>
  <c r="AN42" i="36" l="1"/>
  <c r="AN41" i="36"/>
  <c r="AT32" i="12"/>
  <c r="AT47" i="13"/>
  <c r="AT96" i="12"/>
  <c r="AT48" i="13" l="1"/>
  <c r="AT50" i="13" s="1"/>
  <c r="AO22" i="36"/>
  <c r="AN61" i="36"/>
  <c r="AN47" i="36"/>
  <c r="AN93" i="36"/>
  <c r="AN75" i="36"/>
  <c r="AN100" i="36"/>
  <c r="AN52" i="36"/>
  <c r="AT14" i="12"/>
  <c r="AT51" i="13" l="1"/>
  <c r="AO23" i="36"/>
  <c r="AO25" i="36"/>
  <c r="AO29" i="36" s="1"/>
  <c r="AO34" i="36" s="1"/>
  <c r="AU29" i="12"/>
  <c r="AU30" i="12" s="1"/>
  <c r="AU94" i="12"/>
  <c r="AU45" i="12"/>
  <c r="AO41" i="36" l="1"/>
  <c r="AO42" i="36"/>
  <c r="AU47" i="13"/>
  <c r="AU96" i="12"/>
  <c r="AU32" i="12"/>
  <c r="AU48" i="13" l="1"/>
  <c r="AP22" i="36"/>
  <c r="AO61" i="36"/>
  <c r="AO47" i="36"/>
  <c r="AO93" i="36"/>
  <c r="AO75" i="36"/>
  <c r="AO100" i="36"/>
  <c r="AO52" i="36"/>
  <c r="AU14" i="12"/>
  <c r="AU50" i="13"/>
  <c r="AU51" i="13"/>
  <c r="AP23" i="36" l="1"/>
  <c r="AP25" i="36"/>
  <c r="AP29" i="36" s="1"/>
  <c r="AP34" i="36" s="1"/>
  <c r="AV29" i="12"/>
  <c r="AV30" i="12" s="1"/>
  <c r="AV94" i="12"/>
  <c r="AV45" i="12"/>
  <c r="AP42" i="36" l="1"/>
  <c r="AP41" i="36"/>
  <c r="AV47" i="13"/>
  <c r="AV96" i="12"/>
  <c r="AV32" i="12"/>
  <c r="AV48" i="13" l="1"/>
  <c r="AQ22" i="36"/>
  <c r="AP52" i="36"/>
  <c r="AP100" i="36"/>
  <c r="AP75" i="36"/>
  <c r="AP93" i="36"/>
  <c r="AP61" i="36"/>
  <c r="AP47" i="36"/>
  <c r="AV14" i="12"/>
  <c r="AV50" i="13"/>
  <c r="AV51" i="13"/>
  <c r="AQ25" i="36" l="1"/>
  <c r="AQ29" i="36" s="1"/>
  <c r="AQ34" i="36" s="1"/>
  <c r="AQ23" i="36"/>
  <c r="AW94" i="12"/>
  <c r="AW45" i="12"/>
  <c r="AW29" i="12"/>
  <c r="AW30" i="12" s="1"/>
  <c r="AQ41" i="36" l="1"/>
  <c r="AQ42" i="36"/>
  <c r="AW32" i="12"/>
  <c r="AW47" i="13"/>
  <c r="AW96" i="12"/>
  <c r="AQ52" i="36" l="1"/>
  <c r="AQ100" i="36"/>
  <c r="AQ75" i="36"/>
  <c r="AQ93" i="36"/>
  <c r="AQ61" i="36"/>
  <c r="AQ47" i="36"/>
  <c r="AW48" i="13"/>
  <c r="AW51" i="13" s="1"/>
  <c r="AR22" i="36"/>
  <c r="AW50" i="13"/>
  <c r="AW14" i="12"/>
  <c r="AR25" i="36" l="1"/>
  <c r="AR29" i="36" s="1"/>
  <c r="AR34" i="36" s="1"/>
  <c r="AR23" i="36"/>
  <c r="AX94" i="12"/>
  <c r="AX45" i="12"/>
  <c r="AX29" i="12"/>
  <c r="AX30" i="12" s="1"/>
  <c r="AR42" i="36" l="1"/>
  <c r="AR41" i="36"/>
  <c r="AX32" i="12"/>
  <c r="AX47" i="13"/>
  <c r="AX96" i="12"/>
  <c r="AX48" i="13" l="1"/>
  <c r="AS22" i="36"/>
  <c r="AR52" i="36"/>
  <c r="AR100" i="36"/>
  <c r="AR61" i="36"/>
  <c r="AR47" i="36"/>
  <c r="AR75" i="36"/>
  <c r="AR93" i="36"/>
  <c r="AX50" i="13"/>
  <c r="AX51" i="13"/>
  <c r="AX14" i="12"/>
  <c r="AS23" i="36" l="1"/>
  <c r="AS25" i="36"/>
  <c r="AS29" i="36" s="1"/>
  <c r="AS34" i="36" s="1"/>
  <c r="AY94" i="12"/>
  <c r="AY45" i="12"/>
  <c r="AY29" i="12"/>
  <c r="AY30" i="12" s="1"/>
  <c r="AS42" i="36" l="1"/>
  <c r="AS41" i="36"/>
  <c r="AY32" i="12"/>
  <c r="AY47" i="13"/>
  <c r="AY96" i="12"/>
  <c r="AY48" i="13" l="1"/>
  <c r="AT22" i="36"/>
  <c r="AS52" i="36"/>
  <c r="AS100" i="36"/>
  <c r="AS75" i="36"/>
  <c r="AS61" i="36"/>
  <c r="AS93" i="36"/>
  <c r="AS47" i="36"/>
  <c r="AY50" i="13"/>
  <c r="AY51" i="13"/>
  <c r="AY14" i="12"/>
  <c r="AT25" i="36" l="1"/>
  <c r="AT29" i="36" s="1"/>
  <c r="AT34" i="36" s="1"/>
  <c r="AT23" i="36"/>
  <c r="AZ94" i="12"/>
  <c r="AZ29" i="12"/>
  <c r="AZ30" i="12" s="1"/>
  <c r="AZ45" i="12"/>
  <c r="AT41" i="36" l="1"/>
  <c r="AT42" i="36"/>
  <c r="AZ32" i="12"/>
  <c r="AZ47" i="13"/>
  <c r="AZ96" i="12"/>
  <c r="AZ48" i="13" l="1"/>
  <c r="AU22" i="36"/>
  <c r="AT93" i="36"/>
  <c r="AT47" i="36"/>
  <c r="AT61" i="36"/>
  <c r="AT75" i="36"/>
  <c r="AT100" i="36"/>
  <c r="AT52" i="36"/>
  <c r="AZ50" i="13"/>
  <c r="AZ51" i="13"/>
  <c r="AZ14" i="12"/>
  <c r="AU23" i="36" l="1"/>
  <c r="AU25" i="36"/>
  <c r="AU29" i="36" s="1"/>
  <c r="AU34" i="36" s="1"/>
  <c r="BA45" i="12"/>
  <c r="BA29" i="12"/>
  <c r="BA30" i="12" s="1"/>
  <c r="BA94" i="12"/>
  <c r="AU41" i="36" l="1"/>
  <c r="AU42" i="36"/>
  <c r="BA47" i="13"/>
  <c r="BA96" i="12"/>
  <c r="BA32" i="12"/>
  <c r="AU75" i="36" l="1"/>
  <c r="AU47" i="36"/>
  <c r="AU93" i="36"/>
  <c r="AU61" i="36"/>
  <c r="BA48" i="13"/>
  <c r="BA51" i="13" s="1"/>
  <c r="AV22" i="36"/>
  <c r="AU52" i="36"/>
  <c r="AU100" i="36"/>
  <c r="BA14" i="12"/>
  <c r="BA50" i="13" l="1"/>
  <c r="AV25" i="36"/>
  <c r="AV29" i="36" s="1"/>
  <c r="AV34" i="36" s="1"/>
  <c r="AV23" i="36"/>
  <c r="BB94" i="12"/>
  <c r="BB45" i="12"/>
  <c r="BB29" i="12"/>
  <c r="BB30" i="12" s="1"/>
  <c r="AV42" i="36" l="1"/>
  <c r="AV41" i="36"/>
  <c r="BB32" i="12"/>
  <c r="BB47" i="13"/>
  <c r="BB96" i="12"/>
  <c r="BB48" i="13" l="1"/>
  <c r="AW22" i="36"/>
  <c r="AV52" i="36"/>
  <c r="AV100" i="36"/>
  <c r="AV75" i="36"/>
  <c r="AV61" i="36"/>
  <c r="AV93" i="36"/>
  <c r="AV47" i="36"/>
  <c r="BB50" i="13"/>
  <c r="BB51" i="13"/>
  <c r="BB14" i="12"/>
  <c r="AW23" i="36" l="1"/>
  <c r="AW25" i="36"/>
  <c r="AW29" i="36" s="1"/>
  <c r="AW34" i="36" s="1"/>
  <c r="BC94" i="12"/>
  <c r="BC45" i="12"/>
  <c r="BC29" i="12"/>
  <c r="BC30" i="12" s="1"/>
  <c r="AW42" i="36" l="1"/>
  <c r="AW41" i="36"/>
  <c r="BC32" i="12"/>
  <c r="BC47" i="13"/>
  <c r="BC96" i="12"/>
  <c r="BC48" i="13" l="1"/>
  <c r="AX22" i="36"/>
  <c r="AW100" i="36"/>
  <c r="AW52" i="36"/>
  <c r="AW75" i="36"/>
  <c r="AW93" i="36"/>
  <c r="AW61" i="36"/>
  <c r="AW47" i="36"/>
  <c r="BC50" i="13"/>
  <c r="BC51" i="13"/>
  <c r="BC14" i="12"/>
  <c r="AX23" i="36" l="1"/>
  <c r="AX25" i="36"/>
  <c r="AX29" i="36" s="1"/>
  <c r="AX34" i="36" s="1"/>
  <c r="BD94" i="12"/>
  <c r="BD29" i="12"/>
  <c r="BD30" i="12" s="1"/>
  <c r="BD45" i="12"/>
  <c r="AX42" i="36" l="1"/>
  <c r="AX41" i="36"/>
  <c r="BD32" i="12"/>
  <c r="BD47" i="13"/>
  <c r="BD96" i="12"/>
  <c r="BD48" i="13" l="1"/>
  <c r="AY22" i="36"/>
  <c r="AX100" i="36"/>
  <c r="AX52" i="36"/>
  <c r="AX93" i="36"/>
  <c r="AX61" i="36"/>
  <c r="AX47" i="36"/>
  <c r="AX75" i="36"/>
  <c r="BD50" i="13"/>
  <c r="BD51" i="13"/>
  <c r="BD14" i="12"/>
  <c r="AY25" i="36" l="1"/>
  <c r="AY29" i="36" s="1"/>
  <c r="AY34" i="36" s="1"/>
  <c r="AY23" i="36"/>
  <c r="BE94" i="12"/>
  <c r="BE45" i="12"/>
  <c r="BE29" i="12"/>
  <c r="BE30" i="12" s="1"/>
  <c r="AY41" i="36" l="1"/>
  <c r="AY42" i="36"/>
  <c r="BE32" i="12"/>
  <c r="BE47" i="13"/>
  <c r="BE96" i="12"/>
  <c r="BE48" i="13" l="1"/>
  <c r="AZ22" i="36"/>
  <c r="AY75" i="36"/>
  <c r="AY47" i="36"/>
  <c r="AY93" i="36"/>
  <c r="AY61" i="36"/>
  <c r="AY52" i="36"/>
  <c r="AY100" i="36"/>
  <c r="BE50" i="13"/>
  <c r="BE51" i="13"/>
  <c r="BE14" i="12"/>
  <c r="AZ23" i="36" l="1"/>
  <c r="AZ25" i="36"/>
  <c r="AZ29" i="36" s="1"/>
  <c r="AZ34" i="36" s="1"/>
  <c r="BF94" i="12"/>
  <c r="BF29" i="12"/>
  <c r="BF30" i="12" s="1"/>
  <c r="BF45" i="12"/>
  <c r="AZ42" i="36" l="1"/>
  <c r="AZ41" i="36"/>
  <c r="BF32" i="12"/>
  <c r="BF47" i="13"/>
  <c r="BF96" i="12"/>
  <c r="BF48" i="13" l="1"/>
  <c r="BA22" i="36"/>
  <c r="AZ52" i="36"/>
  <c r="AZ100" i="36"/>
  <c r="AZ61" i="36"/>
  <c r="AZ93" i="36"/>
  <c r="AZ47" i="36"/>
  <c r="AZ75" i="36"/>
  <c r="BF50" i="13"/>
  <c r="BF51" i="13"/>
  <c r="BF14" i="12"/>
  <c r="BA23" i="36" l="1"/>
  <c r="BA25" i="36"/>
  <c r="BA29" i="36" s="1"/>
  <c r="BA34" i="36" s="1"/>
  <c r="BG45" i="12"/>
  <c r="BG94" i="12"/>
  <c r="BG29" i="12"/>
  <c r="BG30" i="12" s="1"/>
  <c r="BA41" i="36" l="1"/>
  <c r="BA42" i="36"/>
  <c r="BG32" i="12"/>
  <c r="BG47" i="13"/>
  <c r="BG96" i="12"/>
  <c r="BG48" i="13" l="1"/>
  <c r="BB22" i="36"/>
  <c r="BA61" i="36"/>
  <c r="BA47" i="36"/>
  <c r="BA75" i="36"/>
  <c r="BA93" i="36"/>
  <c r="BA100" i="36"/>
  <c r="BA52" i="36"/>
  <c r="BG50" i="13"/>
  <c r="BG51" i="13"/>
  <c r="BG14" i="12"/>
  <c r="BB25" i="36" l="1"/>
  <c r="BB29" i="36" s="1"/>
  <c r="BB34" i="36" s="1"/>
  <c r="BB23" i="36"/>
  <c r="BH29" i="12"/>
  <c r="BH30" i="12" s="1"/>
  <c r="BH94" i="12"/>
  <c r="BH45" i="12"/>
  <c r="BB41" i="36" l="1"/>
  <c r="BB42" i="36"/>
  <c r="BH47" i="13"/>
  <c r="BH96" i="12"/>
  <c r="BH32" i="12"/>
  <c r="BH48" i="13" l="1"/>
  <c r="BC22" i="36"/>
  <c r="BB93" i="36"/>
  <c r="BB61" i="36"/>
  <c r="BB75" i="36"/>
  <c r="BB47" i="36"/>
  <c r="BB100" i="36"/>
  <c r="BB52" i="36"/>
  <c r="BH14" i="12"/>
  <c r="BH50" i="13"/>
  <c r="BH51" i="13"/>
  <c r="BC23" i="36" l="1"/>
  <c r="BC25" i="36"/>
  <c r="BC29" i="36" s="1"/>
  <c r="BC34" i="36" s="1"/>
  <c r="BI45" i="12"/>
  <c r="BI29" i="12"/>
  <c r="BI30" i="12" s="1"/>
  <c r="BI94" i="12"/>
  <c r="BC42" i="36" l="1"/>
  <c r="BC41" i="36"/>
  <c r="BI47" i="13"/>
  <c r="BI96" i="12"/>
  <c r="BI32" i="12"/>
  <c r="BI48" i="13" l="1"/>
  <c r="BD22" i="36"/>
  <c r="BC52" i="36"/>
  <c r="BC100" i="36"/>
  <c r="BC61" i="36"/>
  <c r="BC75" i="36"/>
  <c r="BC93" i="36"/>
  <c r="BC47" i="36"/>
  <c r="BI14" i="12"/>
  <c r="BI50" i="13"/>
  <c r="BI51" i="13"/>
  <c r="BD25" i="36" l="1"/>
  <c r="BD29" i="36" s="1"/>
  <c r="BD34" i="36" s="1"/>
  <c r="BD23" i="36"/>
  <c r="BJ94" i="12"/>
  <c r="BJ45" i="12"/>
  <c r="BJ29" i="12"/>
  <c r="BJ30" i="12" s="1"/>
  <c r="BD41" i="36" l="1"/>
  <c r="BD42" i="36"/>
  <c r="BJ32" i="12"/>
  <c r="BJ47" i="13"/>
  <c r="BJ96" i="12"/>
  <c r="BD52" i="36" l="1"/>
  <c r="BD100" i="36"/>
  <c r="BJ48" i="13"/>
  <c r="BJ50" i="13" s="1"/>
  <c r="BE22" i="36"/>
  <c r="BD61" i="36"/>
  <c r="BD75" i="36"/>
  <c r="BD47" i="36"/>
  <c r="BD93" i="36"/>
  <c r="BJ14" i="12"/>
  <c r="BJ51" i="13" l="1"/>
  <c r="BE25" i="36"/>
  <c r="BE29" i="36" s="1"/>
  <c r="BE34" i="36" s="1"/>
  <c r="BE23" i="36"/>
  <c r="BK94" i="12"/>
  <c r="BK45" i="12"/>
  <c r="BK29" i="12"/>
  <c r="BK30" i="12" s="1"/>
  <c r="BE41" i="36" l="1"/>
  <c r="BE42" i="36"/>
  <c r="BK47" i="13"/>
  <c r="BK96" i="12"/>
  <c r="BK32" i="12"/>
  <c r="BE47" i="36" l="1"/>
  <c r="BE61" i="36"/>
  <c r="BE93" i="36"/>
  <c r="BE75" i="36"/>
  <c r="BK48" i="13"/>
  <c r="BK50" i="13" s="1"/>
  <c r="BF22" i="36"/>
  <c r="BE100" i="36"/>
  <c r="BE52" i="36"/>
  <c r="BK14" i="12"/>
  <c r="BK51" i="13" l="1"/>
  <c r="BF25" i="36"/>
  <c r="BF29" i="36" s="1"/>
  <c r="BF34" i="36" s="1"/>
  <c r="BF23" i="36"/>
  <c r="BL29" i="12"/>
  <c r="BL30" i="12" s="1"/>
  <c r="BL94" i="12"/>
  <c r="BL45" i="12"/>
  <c r="BF41" i="36" l="1"/>
  <c r="BF42" i="36"/>
  <c r="BL47" i="13"/>
  <c r="BL96" i="12"/>
  <c r="BL32" i="12"/>
  <c r="BF75" i="36" l="1"/>
  <c r="BF61" i="36"/>
  <c r="BF47" i="36"/>
  <c r="BF93" i="36"/>
  <c r="BF52" i="36"/>
  <c r="BF100" i="36"/>
  <c r="BL48" i="13"/>
  <c r="BL50" i="13" s="1"/>
  <c r="BG22" i="36"/>
  <c r="BL14" i="12"/>
  <c r="BG25" i="36" l="1"/>
  <c r="BG29" i="36" s="1"/>
  <c r="BG34" i="36" s="1"/>
  <c r="BG23" i="36"/>
  <c r="BL51" i="13"/>
  <c r="BM94" i="12"/>
  <c r="BM45" i="12"/>
  <c r="BM29" i="12"/>
  <c r="BM30" i="12" s="1"/>
  <c r="BG42" i="36" l="1"/>
  <c r="BG41" i="36"/>
  <c r="BM32" i="12"/>
  <c r="BM47" i="13"/>
  <c r="BM96" i="12"/>
  <c r="BM48" i="13" l="1"/>
  <c r="BH22" i="36"/>
  <c r="BG100" i="36"/>
  <c r="BG52" i="36"/>
  <c r="BG75" i="36"/>
  <c r="BG93" i="36"/>
  <c r="BG47" i="36"/>
  <c r="BG61" i="36"/>
  <c r="BM50" i="13"/>
  <c r="BM51" i="13"/>
  <c r="BM14" i="12"/>
  <c r="BH25" i="36" l="1"/>
  <c r="BH29" i="36" s="1"/>
  <c r="BH34" i="36" s="1"/>
  <c r="BH23" i="36"/>
  <c r="BN94" i="12"/>
  <c r="BN29" i="12"/>
  <c r="BN30" i="12" s="1"/>
  <c r="BN45" i="12"/>
  <c r="BH41" i="36" l="1"/>
  <c r="BH42" i="36"/>
  <c r="BN32" i="12"/>
  <c r="BN47" i="13"/>
  <c r="BN96" i="12"/>
  <c r="BN48" i="13" l="1"/>
  <c r="BI22" i="36"/>
  <c r="BH93" i="36"/>
  <c r="BH75" i="36"/>
  <c r="BH61" i="36"/>
  <c r="BH47" i="36"/>
  <c r="BH100" i="36"/>
  <c r="BH52" i="36"/>
  <c r="BN50" i="13"/>
  <c r="BN51" i="13"/>
  <c r="BN14" i="12"/>
  <c r="BI25" i="36" l="1"/>
  <c r="BI29" i="36" s="1"/>
  <c r="BI34" i="36" s="1"/>
  <c r="BI23" i="36"/>
  <c r="BO94" i="12"/>
  <c r="BO45" i="12"/>
  <c r="BO29" i="12"/>
  <c r="BO30" i="12" s="1"/>
  <c r="BI41" i="36" l="1"/>
  <c r="BI42" i="36"/>
  <c r="BO32" i="12"/>
  <c r="BO47" i="13"/>
  <c r="BO96" i="12"/>
  <c r="BI47" i="36" l="1"/>
  <c r="BI75" i="36"/>
  <c r="BI61" i="36"/>
  <c r="BI93" i="36"/>
  <c r="BO48" i="13"/>
  <c r="BO50" i="13" s="1"/>
  <c r="BJ22" i="36"/>
  <c r="BI100" i="36"/>
  <c r="BI52" i="36"/>
  <c r="BO14" i="12"/>
  <c r="BJ25" i="36" l="1"/>
  <c r="BJ29" i="36" s="1"/>
  <c r="BJ34" i="36" s="1"/>
  <c r="BJ23" i="36"/>
  <c r="BO51" i="13"/>
  <c r="BP94" i="12"/>
  <c r="BP45" i="12"/>
  <c r="BP29" i="12"/>
  <c r="BJ42" i="36" l="1"/>
  <c r="BJ41" i="36"/>
  <c r="BP30" i="12"/>
  <c r="BP47" i="13"/>
  <c r="BP96" i="12"/>
  <c r="BP48" i="13" l="1"/>
  <c r="BK22" i="36"/>
  <c r="BJ52" i="36"/>
  <c r="BJ100" i="36"/>
  <c r="BJ93" i="36"/>
  <c r="BJ75" i="36"/>
  <c r="BJ61" i="36"/>
  <c r="BJ47" i="36"/>
  <c r="BP50" i="13"/>
  <c r="BP51" i="13"/>
  <c r="BP32" i="12"/>
  <c r="BK23" i="36" l="1"/>
  <c r="BK25" i="36"/>
  <c r="BK29" i="36" s="1"/>
  <c r="BK34" i="36" s="1"/>
  <c r="BP14" i="12"/>
  <c r="I51" i="13"/>
  <c r="W51" i="13"/>
  <c r="X51" i="13"/>
  <c r="H15" i="12"/>
  <c r="H54" i="12" l="1"/>
  <c r="H57" i="12" s="1"/>
  <c r="H59" i="12" s="1"/>
  <c r="C14" i="36"/>
  <c r="BK41" i="36"/>
  <c r="BK42" i="36"/>
  <c r="E15" i="12"/>
  <c r="H50" i="12"/>
  <c r="H14" i="12"/>
  <c r="C15" i="36" s="1"/>
  <c r="BK52" i="36" l="1"/>
  <c r="BK100" i="36"/>
  <c r="C34" i="36"/>
  <c r="BK61" i="36"/>
  <c r="BK47" i="36"/>
  <c r="BK93" i="36"/>
  <c r="BK75" i="36"/>
  <c r="H16" i="12"/>
  <c r="E14" i="12"/>
  <c r="H44" i="12"/>
  <c r="H52" i="12"/>
  <c r="E50" i="12"/>
  <c r="E52" i="12" s="1"/>
  <c r="B19" i="33"/>
  <c r="C42" i="36" l="1"/>
  <c r="C41" i="36"/>
  <c r="C48" i="36"/>
  <c r="D19" i="33"/>
  <c r="I49" i="12"/>
  <c r="E16" i="12"/>
  <c r="B20" i="33"/>
  <c r="B21" i="33" s="1"/>
  <c r="E44" i="12"/>
  <c r="H47" i="12"/>
  <c r="C62" i="36" l="1"/>
  <c r="C53" i="36"/>
  <c r="C100" i="36"/>
  <c r="C52" i="36"/>
  <c r="C93" i="36"/>
  <c r="C75" i="36"/>
  <c r="C47" i="36"/>
  <c r="C49" i="36" s="1"/>
  <c r="D45" i="36" s="1"/>
  <c r="C61" i="36"/>
  <c r="I43" i="12"/>
  <c r="I41" i="12"/>
  <c r="D20" i="33"/>
  <c r="D21" i="33" s="1"/>
  <c r="C13" i="33"/>
  <c r="C14" i="33"/>
  <c r="C50" i="36" l="1"/>
  <c r="D46" i="36"/>
  <c r="C55" i="36"/>
  <c r="C54" i="36"/>
  <c r="I94" i="12"/>
  <c r="I45" i="12"/>
  <c r="I29" i="12"/>
  <c r="C56" i="36" l="1"/>
  <c r="C63" i="36" s="1"/>
  <c r="I30" i="12"/>
  <c r="I96" i="12"/>
  <c r="I47" i="13"/>
  <c r="I48" i="13" l="1"/>
  <c r="I50" i="13" s="1"/>
  <c r="D22" i="36"/>
  <c r="C65" i="36"/>
  <c r="C67" i="36"/>
  <c r="C76" i="36"/>
  <c r="C64" i="36"/>
  <c r="D59" i="36" s="1"/>
  <c r="I32" i="12"/>
  <c r="I15" i="12" s="1"/>
  <c r="D14" i="36" s="1"/>
  <c r="D60" i="36" l="1"/>
  <c r="C68" i="36"/>
  <c r="C69" i="36" s="1"/>
  <c r="D23" i="36"/>
  <c r="D25" i="36"/>
  <c r="D29" i="36" s="1"/>
  <c r="D34" i="36" s="1"/>
  <c r="I44" i="12"/>
  <c r="I47" i="12" s="1"/>
  <c r="I54" i="12"/>
  <c r="I57" i="12" s="1"/>
  <c r="I59" i="12" s="1"/>
  <c r="I50" i="12"/>
  <c r="C70" i="36" l="1"/>
  <c r="C77" i="36" s="1"/>
  <c r="D41" i="36"/>
  <c r="D42" i="36"/>
  <c r="D48" i="36"/>
  <c r="I14" i="12"/>
  <c r="D15" i="36" s="1"/>
  <c r="I16" i="12"/>
  <c r="I52" i="12"/>
  <c r="J49" i="12" s="1"/>
  <c r="J41" i="12"/>
  <c r="J43" i="12"/>
  <c r="D52" i="36" l="1"/>
  <c r="D100" i="36"/>
  <c r="D47" i="36"/>
  <c r="D49" i="36" s="1"/>
  <c r="E45" i="36" s="1"/>
  <c r="D61" i="36"/>
  <c r="D93" i="36"/>
  <c r="D75" i="36"/>
  <c r="D50" i="36"/>
  <c r="D62" i="36"/>
  <c r="D53" i="36"/>
  <c r="C79" i="36"/>
  <c r="C81" i="36"/>
  <c r="C78" i="36"/>
  <c r="D73" i="36" s="1"/>
  <c r="J94" i="12"/>
  <c r="J29" i="12"/>
  <c r="J45" i="12"/>
  <c r="D55" i="36" l="1"/>
  <c r="D54" i="36"/>
  <c r="E46" i="36"/>
  <c r="D74" i="36"/>
  <c r="C82" i="36"/>
  <c r="C83" i="36" s="1"/>
  <c r="J30" i="12"/>
  <c r="J96" i="12"/>
  <c r="J47" i="13"/>
  <c r="J48" i="13" l="1"/>
  <c r="J50" i="13" s="1"/>
  <c r="E22" i="36"/>
  <c r="C84" i="36"/>
  <c r="D56" i="36"/>
  <c r="D63" i="36" s="1"/>
  <c r="J32" i="12"/>
  <c r="J15" i="12" s="1"/>
  <c r="J54" i="12" l="1"/>
  <c r="J57" i="12" s="1"/>
  <c r="J59" i="12" s="1"/>
  <c r="E14" i="36"/>
  <c r="D65" i="36"/>
  <c r="D76" i="36"/>
  <c r="D67" i="36"/>
  <c r="D64" i="36"/>
  <c r="E59" i="36" s="1"/>
  <c r="E25" i="36"/>
  <c r="E29" i="36" s="1"/>
  <c r="E34" i="36" s="1"/>
  <c r="E23" i="36"/>
  <c r="C88" i="36"/>
  <c r="C101" i="36" s="1"/>
  <c r="C102" i="36" s="1"/>
  <c r="C87" i="36"/>
  <c r="J44" i="12"/>
  <c r="J14" i="12" s="1"/>
  <c r="E15" i="36" s="1"/>
  <c r="J50" i="12"/>
  <c r="E60" i="36" l="1"/>
  <c r="C89" i="36"/>
  <c r="C94" i="36"/>
  <c r="C95" i="36" s="1"/>
  <c r="E42" i="36"/>
  <c r="E41" i="36"/>
  <c r="E48" i="36"/>
  <c r="D68" i="36"/>
  <c r="D69" i="36" s="1"/>
  <c r="J47" i="12"/>
  <c r="K41" i="12" s="1"/>
  <c r="J52" i="12"/>
  <c r="K49" i="12" s="1"/>
  <c r="J16" i="12"/>
  <c r="K43" i="12" l="1"/>
  <c r="D70" i="36"/>
  <c r="D77" i="36" s="1"/>
  <c r="E75" i="36"/>
  <c r="E47" i="36"/>
  <c r="E49" i="36" s="1"/>
  <c r="F45" i="36" s="1"/>
  <c r="E61" i="36"/>
  <c r="E93" i="36"/>
  <c r="E50" i="36"/>
  <c r="E62" i="36"/>
  <c r="E53" i="36"/>
  <c r="C90" i="36"/>
  <c r="E100" i="36"/>
  <c r="E52" i="36"/>
  <c r="K94" i="12"/>
  <c r="K29" i="12"/>
  <c r="K45" i="12"/>
  <c r="E54" i="36" l="1"/>
  <c r="E55" i="36"/>
  <c r="D79" i="36"/>
  <c r="D81" i="36"/>
  <c r="D78" i="36"/>
  <c r="E73" i="36" s="1"/>
  <c r="F46" i="36"/>
  <c r="K30" i="12"/>
  <c r="K47" i="13"/>
  <c r="K96" i="12"/>
  <c r="E74" i="36" l="1"/>
  <c r="K48" i="13"/>
  <c r="K50" i="13" s="1"/>
  <c r="F22" i="36"/>
  <c r="D82" i="36"/>
  <c r="E56" i="36"/>
  <c r="E63" i="36" s="1"/>
  <c r="K32" i="12"/>
  <c r="K15" i="12" s="1"/>
  <c r="D83" i="36" l="1"/>
  <c r="E64" i="36"/>
  <c r="F59" i="36" s="1"/>
  <c r="E76" i="36"/>
  <c r="E65" i="36"/>
  <c r="E67" i="36"/>
  <c r="D84" i="36"/>
  <c r="F25" i="36"/>
  <c r="F29" i="36" s="1"/>
  <c r="F23" i="36"/>
  <c r="K54" i="12"/>
  <c r="K57" i="12" s="1"/>
  <c r="K59" i="12" s="1"/>
  <c r="F14" i="36"/>
  <c r="K50" i="12"/>
  <c r="K44" i="12"/>
  <c r="F34" i="36" l="1"/>
  <c r="D88" i="36"/>
  <c r="D101" i="36" s="1"/>
  <c r="D102" i="36" s="1"/>
  <c r="D87" i="36"/>
  <c r="E68" i="36"/>
  <c r="E69" i="36" s="1"/>
  <c r="F60" i="36"/>
  <c r="K14" i="12"/>
  <c r="F15" i="36" s="1"/>
  <c r="K47" i="12"/>
  <c r="K52" i="12"/>
  <c r="L49" i="12" s="1"/>
  <c r="E70" i="36" l="1"/>
  <c r="E77" i="36" s="1"/>
  <c r="D89" i="36"/>
  <c r="D94" i="36"/>
  <c r="D95" i="36" s="1"/>
  <c r="F42" i="36"/>
  <c r="F41" i="36"/>
  <c r="F48" i="36"/>
  <c r="L41" i="12"/>
  <c r="L43" i="12"/>
  <c r="K16" i="12"/>
  <c r="F62" i="36" l="1"/>
  <c r="F53" i="36"/>
  <c r="D90" i="36"/>
  <c r="E79" i="36"/>
  <c r="E81" i="36"/>
  <c r="E78" i="36"/>
  <c r="F73" i="36" s="1"/>
  <c r="F52" i="36"/>
  <c r="F100" i="36"/>
  <c r="F75" i="36"/>
  <c r="F61" i="36"/>
  <c r="F93" i="36"/>
  <c r="F47" i="36"/>
  <c r="F49" i="36" s="1"/>
  <c r="G45" i="36" s="1"/>
  <c r="L45" i="12"/>
  <c r="L94" i="12"/>
  <c r="L29" i="12"/>
  <c r="E82" i="36" l="1"/>
  <c r="G46" i="36"/>
  <c r="F54" i="36"/>
  <c r="F55" i="36"/>
  <c r="F74" i="36"/>
  <c r="F50" i="36"/>
  <c r="L30" i="12"/>
  <c r="L47" i="13"/>
  <c r="L96" i="12"/>
  <c r="E83" i="36" l="1"/>
  <c r="F56" i="36"/>
  <c r="F63" i="36" s="1"/>
  <c r="L48" i="13"/>
  <c r="L50" i="13" s="1"/>
  <c r="G22" i="36"/>
  <c r="E84" i="36"/>
  <c r="L32" i="12"/>
  <c r="L15" i="12" s="1"/>
  <c r="E88" i="36" l="1"/>
  <c r="E101" i="36" s="1"/>
  <c r="E102" i="36" s="1"/>
  <c r="E87" i="36"/>
  <c r="G23" i="36"/>
  <c r="G25" i="36"/>
  <c r="G29" i="36" s="1"/>
  <c r="F67" i="36"/>
  <c r="F65" i="36"/>
  <c r="F76" i="36"/>
  <c r="F64" i="36"/>
  <c r="G59" i="36" s="1"/>
  <c r="L54" i="12"/>
  <c r="L57" i="12" s="1"/>
  <c r="L59" i="12" s="1"/>
  <c r="G14" i="36"/>
  <c r="L50" i="12"/>
  <c r="L44" i="12"/>
  <c r="G60" i="36" l="1"/>
  <c r="F68" i="36"/>
  <c r="F69" i="36" s="1"/>
  <c r="G34" i="36"/>
  <c r="E89" i="36"/>
  <c r="E94" i="36"/>
  <c r="E95" i="36" s="1"/>
  <c r="L14" i="12"/>
  <c r="G15" i="36" s="1"/>
  <c r="L47" i="12"/>
  <c r="L52" i="12"/>
  <c r="M49" i="12" s="1"/>
  <c r="G42" i="36" l="1"/>
  <c r="G41" i="36"/>
  <c r="G48" i="36"/>
  <c r="E90" i="36"/>
  <c r="F70" i="36"/>
  <c r="F77" i="36" s="1"/>
  <c r="M41" i="12"/>
  <c r="M43" i="12"/>
  <c r="L16" i="12"/>
  <c r="F81" i="36" l="1"/>
  <c r="F79" i="36"/>
  <c r="F78" i="36"/>
  <c r="G73" i="36" s="1"/>
  <c r="G52" i="36"/>
  <c r="G100" i="36"/>
  <c r="G53" i="36"/>
  <c r="G62" i="36"/>
  <c r="G93" i="36"/>
  <c r="G47" i="36"/>
  <c r="G49" i="36" s="1"/>
  <c r="H45" i="36" s="1"/>
  <c r="G75" i="36"/>
  <c r="G61" i="36"/>
  <c r="M94" i="12"/>
  <c r="M29" i="12"/>
  <c r="M45" i="12"/>
  <c r="H46" i="36" l="1"/>
  <c r="G55" i="36"/>
  <c r="G54" i="36"/>
  <c r="G50" i="36"/>
  <c r="G74" i="36"/>
  <c r="F82" i="36"/>
  <c r="M30" i="12"/>
  <c r="M96" i="12"/>
  <c r="M47" i="13"/>
  <c r="F83" i="36" l="1"/>
  <c r="F84" i="36"/>
  <c r="M48" i="13"/>
  <c r="M50" i="13" s="1"/>
  <c r="H22" i="36"/>
  <c r="G56" i="36"/>
  <c r="G63" i="36" s="1"/>
  <c r="M32" i="12"/>
  <c r="M15" i="12" s="1"/>
  <c r="G76" i="36" l="1"/>
  <c r="G67" i="36"/>
  <c r="G65" i="36"/>
  <c r="G64" i="36"/>
  <c r="H59" i="36" s="1"/>
  <c r="M54" i="12"/>
  <c r="M57" i="12" s="1"/>
  <c r="M59" i="12" s="1"/>
  <c r="H14" i="36"/>
  <c r="H23" i="36"/>
  <c r="H25" i="36"/>
  <c r="H29" i="36" s="1"/>
  <c r="H34" i="36" s="1"/>
  <c r="F87" i="36"/>
  <c r="F88" i="36"/>
  <c r="F101" i="36" s="1"/>
  <c r="F102" i="36" s="1"/>
  <c r="M50" i="12"/>
  <c r="M44" i="12"/>
  <c r="F89" i="36" l="1"/>
  <c r="F94" i="36"/>
  <c r="F95" i="36" s="1"/>
  <c r="H41" i="36"/>
  <c r="H42" i="36"/>
  <c r="H48" i="36"/>
  <c r="G68" i="36"/>
  <c r="G69" i="36" s="1"/>
  <c r="H60" i="36"/>
  <c r="M14" i="12"/>
  <c r="H15" i="36" s="1"/>
  <c r="M47" i="12"/>
  <c r="M52" i="12"/>
  <c r="N49" i="12" s="1"/>
  <c r="H53" i="36" l="1"/>
  <c r="H62" i="36"/>
  <c r="H52" i="36"/>
  <c r="H100" i="36"/>
  <c r="G70" i="36"/>
  <c r="G77" i="36" s="1"/>
  <c r="H75" i="36"/>
  <c r="H93" i="36"/>
  <c r="H47" i="36"/>
  <c r="H49" i="36" s="1"/>
  <c r="I45" i="36" s="1"/>
  <c r="H61" i="36"/>
  <c r="F90" i="36"/>
  <c r="N43" i="12"/>
  <c r="N41" i="12"/>
  <c r="M16" i="12"/>
  <c r="I46" i="36" l="1"/>
  <c r="G79" i="36"/>
  <c r="G81" i="36"/>
  <c r="G78" i="36"/>
  <c r="H73" i="36" s="1"/>
  <c r="H55" i="36"/>
  <c r="H54" i="36"/>
  <c r="H50" i="36"/>
  <c r="N94" i="12"/>
  <c r="N29" i="12"/>
  <c r="N30" i="12" s="1"/>
  <c r="N45" i="12"/>
  <c r="H74" i="36" l="1"/>
  <c r="H56" i="36"/>
  <c r="H63" i="36" s="1"/>
  <c r="G82" i="36"/>
  <c r="G83" i="36" s="1"/>
  <c r="N32" i="12"/>
  <c r="N15" i="12" s="1"/>
  <c r="I14" i="36" s="1"/>
  <c r="N47" i="13"/>
  <c r="N96" i="12"/>
  <c r="H76" i="36" l="1"/>
  <c r="H67" i="36"/>
  <c r="H65" i="36"/>
  <c r="H64" i="36"/>
  <c r="I59" i="36" s="1"/>
  <c r="N48" i="13"/>
  <c r="N50" i="13" s="1"/>
  <c r="I22" i="36"/>
  <c r="G84" i="36"/>
  <c r="N50" i="12"/>
  <c r="N52" i="12" s="1"/>
  <c r="O49" i="12" s="1"/>
  <c r="N54" i="12"/>
  <c r="N57" i="12" s="1"/>
  <c r="N59" i="12" s="1"/>
  <c r="N44" i="12"/>
  <c r="G87" i="36" l="1"/>
  <c r="G88" i="36"/>
  <c r="G101" i="36" s="1"/>
  <c r="G102" i="36" s="1"/>
  <c r="I25" i="36"/>
  <c r="I29" i="36" s="1"/>
  <c r="I34" i="36" s="1"/>
  <c r="I23" i="36"/>
  <c r="I60" i="36"/>
  <c r="H68" i="36"/>
  <c r="H69" i="36" s="1"/>
  <c r="N14" i="12"/>
  <c r="N47" i="12"/>
  <c r="H70" i="36" l="1"/>
  <c r="H77" i="36" s="1"/>
  <c r="I42" i="36"/>
  <c r="I41" i="36"/>
  <c r="I48" i="36"/>
  <c r="N16" i="12"/>
  <c r="I15" i="36"/>
  <c r="G89" i="36"/>
  <c r="G94" i="36"/>
  <c r="G95" i="36" s="1"/>
  <c r="O43" i="12"/>
  <c r="O41" i="12"/>
  <c r="I52" i="36" l="1"/>
  <c r="I100" i="36"/>
  <c r="I62" i="36"/>
  <c r="I53" i="36"/>
  <c r="I93" i="36"/>
  <c r="I61" i="36"/>
  <c r="I47" i="36"/>
  <c r="I49" i="36" s="1"/>
  <c r="J45" i="36" s="1"/>
  <c r="I75" i="36"/>
  <c r="G90" i="36"/>
  <c r="H79" i="36"/>
  <c r="H81" i="36"/>
  <c r="H78" i="36"/>
  <c r="I73" i="36" s="1"/>
  <c r="O45" i="12"/>
  <c r="O94" i="12"/>
  <c r="O29" i="12"/>
  <c r="O30" i="12" s="1"/>
  <c r="J46" i="36" l="1"/>
  <c r="I54" i="36"/>
  <c r="I55" i="36"/>
  <c r="I56" i="36" s="1"/>
  <c r="I63" i="36" s="1"/>
  <c r="I74" i="36"/>
  <c r="H82" i="36"/>
  <c r="H83" i="36" s="1"/>
  <c r="H84" i="36" s="1"/>
  <c r="I50" i="36"/>
  <c r="O32" i="12"/>
  <c r="O15" i="12" s="1"/>
  <c r="J14" i="36" s="1"/>
  <c r="O47" i="13"/>
  <c r="O96" i="12"/>
  <c r="I76" i="36" l="1"/>
  <c r="I65" i="36"/>
  <c r="I67" i="36"/>
  <c r="I64" i="36"/>
  <c r="J59" i="36" s="1"/>
  <c r="H88" i="36"/>
  <c r="H101" i="36" s="1"/>
  <c r="H102" i="36" s="1"/>
  <c r="H87" i="36"/>
  <c r="O48" i="13"/>
  <c r="O50" i="13" s="1"/>
  <c r="J22" i="36"/>
  <c r="O50" i="12"/>
  <c r="O52" i="12" s="1"/>
  <c r="P49" i="12" s="1"/>
  <c r="O54" i="12"/>
  <c r="O57" i="12" s="1"/>
  <c r="O59" i="12" s="1"/>
  <c r="O44" i="12"/>
  <c r="O14" i="12" s="1"/>
  <c r="H89" i="36" l="1"/>
  <c r="H90" i="36" s="1"/>
  <c r="H94" i="36"/>
  <c r="H95" i="36" s="1"/>
  <c r="I68" i="36"/>
  <c r="I69" i="36" s="1"/>
  <c r="I70" i="36" s="1"/>
  <c r="I77" i="36" s="1"/>
  <c r="J25" i="36"/>
  <c r="J29" i="36" s="1"/>
  <c r="J34" i="36" s="1"/>
  <c r="J23" i="36"/>
  <c r="J60" i="36"/>
  <c r="O16" i="12"/>
  <c r="J15" i="36"/>
  <c r="O47" i="12"/>
  <c r="P41" i="12" s="1"/>
  <c r="I78" i="36" l="1"/>
  <c r="J73" i="36" s="1"/>
  <c r="I81" i="36"/>
  <c r="I79" i="36"/>
  <c r="J41" i="36"/>
  <c r="J42" i="36"/>
  <c r="J48" i="36"/>
  <c r="P43" i="12"/>
  <c r="P45" i="12"/>
  <c r="P94" i="12"/>
  <c r="P29" i="12"/>
  <c r="P30" i="12" s="1"/>
  <c r="J47" i="36" l="1"/>
  <c r="J49" i="36" s="1"/>
  <c r="K45" i="36" s="1"/>
  <c r="J93" i="36"/>
  <c r="J61" i="36"/>
  <c r="J75" i="36"/>
  <c r="J62" i="36"/>
  <c r="J50" i="36"/>
  <c r="J53" i="36"/>
  <c r="J52" i="36"/>
  <c r="J100" i="36"/>
  <c r="I82" i="36"/>
  <c r="I83" i="36" s="1"/>
  <c r="I84" i="36" s="1"/>
  <c r="J74" i="36"/>
  <c r="P32" i="12"/>
  <c r="P15" i="12" s="1"/>
  <c r="P96" i="12"/>
  <c r="P47" i="13"/>
  <c r="P48" i="13" l="1"/>
  <c r="P50" i="13" s="1"/>
  <c r="K22" i="36"/>
  <c r="I88" i="36"/>
  <c r="I101" i="36" s="1"/>
  <c r="I102" i="36" s="1"/>
  <c r="I87" i="36"/>
  <c r="J55" i="36"/>
  <c r="J56" i="36" s="1"/>
  <c r="J63" i="36" s="1"/>
  <c r="J64" i="36" s="1"/>
  <c r="K59" i="36" s="1"/>
  <c r="J54" i="36"/>
  <c r="P44" i="12"/>
  <c r="P14" i="12" s="1"/>
  <c r="K14" i="36"/>
  <c r="K46" i="36"/>
  <c r="P50" i="12"/>
  <c r="P52" i="12" s="1"/>
  <c r="Q49" i="12" s="1"/>
  <c r="P54" i="12"/>
  <c r="P57" i="12" s="1"/>
  <c r="P59" i="12" s="1"/>
  <c r="P47" i="12"/>
  <c r="K60" i="36" l="1"/>
  <c r="J65" i="36"/>
  <c r="J76" i="36"/>
  <c r="J67" i="36"/>
  <c r="P16" i="12"/>
  <c r="K15" i="36"/>
  <c r="I89" i="36"/>
  <c r="I90" i="36" s="1"/>
  <c r="I94" i="36"/>
  <c r="I95" i="36" s="1"/>
  <c r="K25" i="36"/>
  <c r="K29" i="36" s="1"/>
  <c r="K34" i="36" s="1"/>
  <c r="K23" i="36"/>
  <c r="Q41" i="12"/>
  <c r="Q43" i="12"/>
  <c r="K41" i="36" l="1"/>
  <c r="K42" i="36"/>
  <c r="J68" i="36"/>
  <c r="J69" i="36" s="1"/>
  <c r="J70" i="36" s="1"/>
  <c r="J77" i="36" s="1"/>
  <c r="K48" i="36"/>
  <c r="Q45" i="12"/>
  <c r="Q29" i="12"/>
  <c r="Q30" i="12" s="1"/>
  <c r="Q94" i="12"/>
  <c r="J81" i="36" l="1"/>
  <c r="J79" i="36"/>
  <c r="J78" i="36"/>
  <c r="K73" i="36" s="1"/>
  <c r="K53" i="36"/>
  <c r="K62" i="36"/>
  <c r="K61" i="36"/>
  <c r="K75" i="36"/>
  <c r="K47" i="36"/>
  <c r="K49" i="36" s="1"/>
  <c r="L45" i="36" s="1"/>
  <c r="K93" i="36"/>
  <c r="K100" i="36"/>
  <c r="K52" i="36"/>
  <c r="Q47" i="13"/>
  <c r="Q96" i="12"/>
  <c r="Q32" i="12"/>
  <c r="Q15" i="12" s="1"/>
  <c r="L14" i="36" s="1"/>
  <c r="L46" i="36" l="1"/>
  <c r="K50" i="36"/>
  <c r="K74" i="36"/>
  <c r="K55" i="36"/>
  <c r="K56" i="36" s="1"/>
  <c r="K63" i="36" s="1"/>
  <c r="K54" i="36"/>
  <c r="Q48" i="13"/>
  <c r="Q50" i="13" s="1"/>
  <c r="L22" i="36"/>
  <c r="J82" i="36"/>
  <c r="J83" i="36" s="1"/>
  <c r="J84" i="36" s="1"/>
  <c r="Q50" i="12"/>
  <c r="Q52" i="12" s="1"/>
  <c r="R49" i="12" s="1"/>
  <c r="Q54" i="12"/>
  <c r="Q57" i="12" s="1"/>
  <c r="Q59" i="12" s="1"/>
  <c r="Q44" i="12"/>
  <c r="Q14" i="12" s="1"/>
  <c r="L23" i="36" l="1"/>
  <c r="L25" i="36"/>
  <c r="L29" i="36" s="1"/>
  <c r="L34" i="36" s="1"/>
  <c r="Q16" i="12"/>
  <c r="L15" i="36"/>
  <c r="K65" i="36"/>
  <c r="K76" i="36"/>
  <c r="K67" i="36"/>
  <c r="K64" i="36"/>
  <c r="L59" i="36" s="1"/>
  <c r="J87" i="36"/>
  <c r="J88" i="36"/>
  <c r="J101" i="36" s="1"/>
  <c r="J102" i="36" s="1"/>
  <c r="L48" i="36"/>
  <c r="Q47" i="12"/>
  <c r="R43" i="12" s="1"/>
  <c r="K68" i="36" l="1"/>
  <c r="K69" i="36" s="1"/>
  <c r="K70" i="36" s="1"/>
  <c r="K77" i="36" s="1"/>
  <c r="K78" i="36" s="1"/>
  <c r="L73" i="36" s="1"/>
  <c r="J89" i="36"/>
  <c r="J90" i="36" s="1"/>
  <c r="J94" i="36"/>
  <c r="J95" i="36" s="1"/>
  <c r="L60" i="36"/>
  <c r="L42" i="36"/>
  <c r="L41" i="36"/>
  <c r="L62" i="36"/>
  <c r="L53" i="36"/>
  <c r="R41" i="12"/>
  <c r="R94" i="12" s="1"/>
  <c r="L61" i="36" l="1"/>
  <c r="L75" i="36"/>
  <c r="L47" i="36"/>
  <c r="L93" i="36"/>
  <c r="L52" i="36"/>
  <c r="L100" i="36"/>
  <c r="L74" i="36"/>
  <c r="L54" i="36"/>
  <c r="L55" i="36"/>
  <c r="L56" i="36" s="1"/>
  <c r="L63" i="36" s="1"/>
  <c r="K81" i="36"/>
  <c r="K79" i="36"/>
  <c r="R45" i="12"/>
  <c r="R29" i="12"/>
  <c r="R30" i="12" s="1"/>
  <c r="R32" i="12" s="1"/>
  <c r="R15" i="12" s="1"/>
  <c r="M14" i="36" s="1"/>
  <c r="R47" i="13"/>
  <c r="R96" i="12"/>
  <c r="L64" i="36" l="1"/>
  <c r="M59" i="36" s="1"/>
  <c r="L76" i="36"/>
  <c r="L67" i="36"/>
  <c r="L65" i="36"/>
  <c r="R48" i="13"/>
  <c r="R50" i="13" s="1"/>
  <c r="M22" i="36"/>
  <c r="K82" i="36"/>
  <c r="K83" i="36" s="1"/>
  <c r="K84" i="36" s="1"/>
  <c r="L49" i="36"/>
  <c r="M45" i="36" s="1"/>
  <c r="L50" i="36"/>
  <c r="R50" i="12"/>
  <c r="R52" i="12" s="1"/>
  <c r="S49" i="12" s="1"/>
  <c r="R54" i="12"/>
  <c r="R57" i="12" s="1"/>
  <c r="R59" i="12" s="1"/>
  <c r="R44" i="12"/>
  <c r="R14" i="12" s="1"/>
  <c r="K88" i="36" l="1"/>
  <c r="K101" i="36" s="1"/>
  <c r="K102" i="36" s="1"/>
  <c r="K87" i="36"/>
  <c r="L68" i="36"/>
  <c r="L69" i="36" s="1"/>
  <c r="L70" i="36" s="1"/>
  <c r="L77" i="36" s="1"/>
  <c r="M46" i="36"/>
  <c r="R16" i="12"/>
  <c r="M15" i="36"/>
  <c r="M23" i="36"/>
  <c r="M25" i="36"/>
  <c r="M29" i="36" s="1"/>
  <c r="M34" i="36" s="1"/>
  <c r="M60" i="36"/>
  <c r="R47" i="12"/>
  <c r="S43" i="12" s="1"/>
  <c r="M48" i="36" l="1"/>
  <c r="L81" i="36"/>
  <c r="L79" i="36"/>
  <c r="L78" i="36"/>
  <c r="M73" i="36" s="1"/>
  <c r="M53" i="36"/>
  <c r="M62" i="36"/>
  <c r="M41" i="36"/>
  <c r="M42" i="36"/>
  <c r="K89" i="36"/>
  <c r="K90" i="36" s="1"/>
  <c r="K94" i="36"/>
  <c r="K95" i="36" s="1"/>
  <c r="S41" i="12"/>
  <c r="S45" i="12" s="1"/>
  <c r="M93" i="36" l="1"/>
  <c r="M61" i="36"/>
  <c r="M75" i="36"/>
  <c r="M47" i="36"/>
  <c r="M100" i="36"/>
  <c r="M52" i="36"/>
  <c r="M54" i="36" s="1"/>
  <c r="M55" i="36"/>
  <c r="M56" i="36" s="1"/>
  <c r="M63" i="36" s="1"/>
  <c r="M74" i="36"/>
  <c r="L82" i="36"/>
  <c r="L83" i="36" s="1"/>
  <c r="L84" i="36" s="1"/>
  <c r="S29" i="12"/>
  <c r="S30" i="12" s="1"/>
  <c r="S32" i="12" s="1"/>
  <c r="S15" i="12" s="1"/>
  <c r="S94" i="12"/>
  <c r="S96" i="12" s="1"/>
  <c r="S47" i="13" l="1"/>
  <c r="M65" i="36"/>
  <c r="M67" i="36"/>
  <c r="M76" i="36"/>
  <c r="S48" i="13"/>
  <c r="S50" i="13" s="1"/>
  <c r="N22" i="36"/>
  <c r="N14" i="36"/>
  <c r="S54" i="12"/>
  <c r="S57" i="12" s="1"/>
  <c r="S59" i="12" s="1"/>
  <c r="S50" i="12"/>
  <c r="S52" i="12" s="1"/>
  <c r="T49" i="12" s="1"/>
  <c r="T15" i="12" s="1"/>
  <c r="M49" i="36"/>
  <c r="N45" i="36" s="1"/>
  <c r="M50" i="36"/>
  <c r="M64" i="36"/>
  <c r="N59" i="36" s="1"/>
  <c r="N60" i="36" s="1"/>
  <c r="L88" i="36"/>
  <c r="L101" i="36" s="1"/>
  <c r="L102" i="36" s="1"/>
  <c r="L87" i="36"/>
  <c r="S44" i="12"/>
  <c r="S14" i="12" s="1"/>
  <c r="N23" i="36" l="1"/>
  <c r="N25" i="36"/>
  <c r="N29" i="36" s="1"/>
  <c r="N34" i="36" s="1"/>
  <c r="M68" i="36"/>
  <c r="M69" i="36" s="1"/>
  <c r="M70" i="36" s="1"/>
  <c r="M77" i="36" s="1"/>
  <c r="O14" i="36"/>
  <c r="T54" i="12"/>
  <c r="T57" i="12" s="1"/>
  <c r="T59" i="12" s="1"/>
  <c r="T50" i="12"/>
  <c r="T52" i="12" s="1"/>
  <c r="U49" i="12" s="1"/>
  <c r="U15" i="12" s="1"/>
  <c r="S16" i="12"/>
  <c r="N15" i="36"/>
  <c r="L89" i="36"/>
  <c r="L90" i="36" s="1"/>
  <c r="L94" i="36"/>
  <c r="L95" i="36" s="1"/>
  <c r="N46" i="36"/>
  <c r="S47" i="12"/>
  <c r="T41" i="12"/>
  <c r="T43" i="12"/>
  <c r="P14" i="36" l="1"/>
  <c r="U54" i="12"/>
  <c r="U57" i="12" s="1"/>
  <c r="U59" i="12" s="1"/>
  <c r="U50" i="12"/>
  <c r="U52" i="12" s="1"/>
  <c r="V49" i="12" s="1"/>
  <c r="V15" i="12" s="1"/>
  <c r="Q14" i="36" s="1"/>
  <c r="M81" i="36"/>
  <c r="M79" i="36"/>
  <c r="N41" i="36"/>
  <c r="N42" i="36"/>
  <c r="N48" i="36"/>
  <c r="M78" i="36"/>
  <c r="N73" i="36" s="1"/>
  <c r="T29" i="12"/>
  <c r="T30" i="12" s="1"/>
  <c r="T94" i="12"/>
  <c r="T45" i="12"/>
  <c r="N74" i="36" l="1"/>
  <c r="N75" i="36"/>
  <c r="N93" i="36"/>
  <c r="N47" i="36"/>
  <c r="N49" i="36" s="1"/>
  <c r="O45" i="36" s="1"/>
  <c r="O46" i="36" s="1"/>
  <c r="N61" i="36"/>
  <c r="N53" i="36"/>
  <c r="N62" i="36"/>
  <c r="N52" i="36"/>
  <c r="N100" i="36"/>
  <c r="V54" i="12"/>
  <c r="V57" i="12" s="1"/>
  <c r="V59" i="12" s="1"/>
  <c r="M82" i="36"/>
  <c r="M83" i="36" s="1"/>
  <c r="M84" i="36" s="1"/>
  <c r="V50" i="12"/>
  <c r="V52" i="12" s="1"/>
  <c r="W49" i="12" s="1"/>
  <c r="W15" i="12" s="1"/>
  <c r="R14" i="36" s="1"/>
  <c r="W50" i="12"/>
  <c r="W52" i="12" s="1"/>
  <c r="X49" i="12" s="1"/>
  <c r="X15" i="12" s="1"/>
  <c r="S14" i="36" s="1"/>
  <c r="T47" i="13"/>
  <c r="T96" i="12"/>
  <c r="T32" i="12"/>
  <c r="T44" i="12"/>
  <c r="N50" i="36" l="1"/>
  <c r="N54" i="36"/>
  <c r="N55" i="36"/>
  <c r="N56" i="36" s="1"/>
  <c r="N63" i="36" s="1"/>
  <c r="T48" i="13"/>
  <c r="T50" i="13" s="1"/>
  <c r="O22" i="36"/>
  <c r="W54" i="12"/>
  <c r="W57" i="12" s="1"/>
  <c r="W59" i="12" s="1"/>
  <c r="M88" i="36"/>
  <c r="M101" i="36" s="1"/>
  <c r="M102" i="36" s="1"/>
  <c r="M87" i="36"/>
  <c r="X50" i="12"/>
  <c r="X52" i="12" s="1"/>
  <c r="Y49" i="12" s="1"/>
  <c r="Y15" i="12" s="1"/>
  <c r="T14" i="36" s="1"/>
  <c r="X54" i="12"/>
  <c r="X57" i="12" s="1"/>
  <c r="X59" i="12" s="1"/>
  <c r="T14" i="12"/>
  <c r="T47" i="12"/>
  <c r="N64" i="36" l="1"/>
  <c r="O59" i="36" s="1"/>
  <c r="N76" i="36"/>
  <c r="N65" i="36"/>
  <c r="N67" i="36"/>
  <c r="T16" i="12"/>
  <c r="O15" i="36"/>
  <c r="M89" i="36"/>
  <c r="M90" i="36" s="1"/>
  <c r="M94" i="36"/>
  <c r="M95" i="36" s="1"/>
  <c r="O23" i="36"/>
  <c r="O25" i="36"/>
  <c r="O29" i="36" s="1"/>
  <c r="O34" i="36" s="1"/>
  <c r="Y50" i="12"/>
  <c r="Y52" i="12" s="1"/>
  <c r="Z49" i="12" s="1"/>
  <c r="Y54" i="12"/>
  <c r="Y57" i="12" s="1"/>
  <c r="Y59" i="12" s="1"/>
  <c r="U41" i="12"/>
  <c r="U43" i="12"/>
  <c r="O41" i="36" l="1"/>
  <c r="O42" i="36"/>
  <c r="O48" i="36"/>
  <c r="N68" i="36"/>
  <c r="N69" i="36" s="1"/>
  <c r="N70" i="36" s="1"/>
  <c r="N77" i="36" s="1"/>
  <c r="O60" i="36"/>
  <c r="Z15" i="12"/>
  <c r="U14" i="36" s="1"/>
  <c r="U29" i="12"/>
  <c r="U30" i="12" s="1"/>
  <c r="U94" i="12"/>
  <c r="U45" i="12"/>
  <c r="N81" i="36" l="1"/>
  <c r="N79" i="36"/>
  <c r="N78" i="36"/>
  <c r="O73" i="36" s="1"/>
  <c r="O93" i="36"/>
  <c r="O47" i="36"/>
  <c r="O49" i="36" s="1"/>
  <c r="P45" i="36" s="1"/>
  <c r="O75" i="36"/>
  <c r="O61" i="36"/>
  <c r="O50" i="36"/>
  <c r="O53" i="36"/>
  <c r="O62" i="36"/>
  <c r="O100" i="36"/>
  <c r="O52" i="36"/>
  <c r="Z50" i="12"/>
  <c r="Z52" i="12" s="1"/>
  <c r="AA49" i="12" s="1"/>
  <c r="AA15" i="12" s="1"/>
  <c r="V14" i="36" s="1"/>
  <c r="Z54" i="12"/>
  <c r="Z57" i="12" s="1"/>
  <c r="Z59" i="12" s="1"/>
  <c r="U47" i="13"/>
  <c r="U96" i="12"/>
  <c r="U44" i="12"/>
  <c r="U32" i="12"/>
  <c r="P46" i="36" l="1"/>
  <c r="U48" i="13"/>
  <c r="U50" i="13" s="1"/>
  <c r="P22" i="36"/>
  <c r="O55" i="36"/>
  <c r="O56" i="36" s="1"/>
  <c r="O63" i="36" s="1"/>
  <c r="O54" i="36"/>
  <c r="O74" i="36"/>
  <c r="N82" i="36"/>
  <c r="N83" i="36" s="1"/>
  <c r="N84" i="36" s="1"/>
  <c r="AA50" i="12"/>
  <c r="AA52" i="12" s="1"/>
  <c r="AB49" i="12" s="1"/>
  <c r="AB15" i="12" s="1"/>
  <c r="W14" i="36" s="1"/>
  <c r="AA54" i="12"/>
  <c r="AA57" i="12" s="1"/>
  <c r="AA59" i="12" s="1"/>
  <c r="U14" i="12"/>
  <c r="U47" i="12"/>
  <c r="N87" i="36" l="1"/>
  <c r="N88" i="36"/>
  <c r="N101" i="36" s="1"/>
  <c r="N102" i="36" s="1"/>
  <c r="O67" i="36"/>
  <c r="O76" i="36"/>
  <c r="O65" i="36"/>
  <c r="O64" i="36"/>
  <c r="P59" i="36" s="1"/>
  <c r="U16" i="12"/>
  <c r="P15" i="36"/>
  <c r="P25" i="36"/>
  <c r="P29" i="36" s="1"/>
  <c r="P34" i="36" s="1"/>
  <c r="P23" i="36"/>
  <c r="AB50" i="12"/>
  <c r="AB52" i="12" s="1"/>
  <c r="AC49" i="12" s="1"/>
  <c r="AC15" i="12" s="1"/>
  <c r="X14" i="36" s="1"/>
  <c r="AB54" i="12"/>
  <c r="AB57" i="12" s="1"/>
  <c r="AB59" i="12" s="1"/>
  <c r="V41" i="12"/>
  <c r="V43" i="12"/>
  <c r="P41" i="36" l="1"/>
  <c r="P42" i="36"/>
  <c r="P48" i="36"/>
  <c r="P60" i="36"/>
  <c r="O68" i="36"/>
  <c r="O69" i="36" s="1"/>
  <c r="O70" i="36" s="1"/>
  <c r="O77" i="36" s="1"/>
  <c r="N89" i="36"/>
  <c r="N90" i="36" s="1"/>
  <c r="N94" i="36"/>
  <c r="N95" i="36" s="1"/>
  <c r="AC50" i="12"/>
  <c r="AC52" i="12" s="1"/>
  <c r="AD49" i="12" s="1"/>
  <c r="AD15" i="12" s="1"/>
  <c r="Y14" i="36" s="1"/>
  <c r="AC54" i="12"/>
  <c r="AC57" i="12" s="1"/>
  <c r="AC59" i="12" s="1"/>
  <c r="V29" i="12"/>
  <c r="V30" i="12" s="1"/>
  <c r="V45" i="12"/>
  <c r="V94" i="12"/>
  <c r="P62" i="36" l="1"/>
  <c r="P53" i="36"/>
  <c r="P61" i="36"/>
  <c r="P93" i="36"/>
  <c r="P47" i="36"/>
  <c r="P50" i="36" s="1"/>
  <c r="P75" i="36"/>
  <c r="O81" i="36"/>
  <c r="O79" i="36"/>
  <c r="P52" i="36"/>
  <c r="P100" i="36"/>
  <c r="O78" i="36"/>
  <c r="P73" i="36" s="1"/>
  <c r="AD50" i="12"/>
  <c r="AD52" i="12" s="1"/>
  <c r="AE49" i="12" s="1"/>
  <c r="AE15" i="12" s="1"/>
  <c r="Z14" i="36" s="1"/>
  <c r="AD54" i="12"/>
  <c r="AD57" i="12" s="1"/>
  <c r="AD59" i="12" s="1"/>
  <c r="V96" i="12"/>
  <c r="V47" i="13"/>
  <c r="V44" i="12"/>
  <c r="V32" i="12"/>
  <c r="O82" i="36" l="1"/>
  <c r="O83" i="36" s="1"/>
  <c r="O84" i="36" s="1"/>
  <c r="V48" i="13"/>
  <c r="V50" i="13" s="1"/>
  <c r="Q22" i="36"/>
  <c r="P74" i="36"/>
  <c r="P49" i="36"/>
  <c r="Q45" i="36" s="1"/>
  <c r="P55" i="36"/>
  <c r="P56" i="36" s="1"/>
  <c r="P63" i="36" s="1"/>
  <c r="P54" i="36"/>
  <c r="AE50" i="12"/>
  <c r="AE52" i="12" s="1"/>
  <c r="AF49" i="12" s="1"/>
  <c r="AF15" i="12" s="1"/>
  <c r="AA14" i="36" s="1"/>
  <c r="AE54" i="12"/>
  <c r="AE57" i="12" s="1"/>
  <c r="AE59" i="12" s="1"/>
  <c r="V14" i="12"/>
  <c r="V47" i="12"/>
  <c r="P65" i="36" l="1"/>
  <c r="P67" i="36"/>
  <c r="P76" i="36"/>
  <c r="P64" i="36"/>
  <c r="Q59" i="36" s="1"/>
  <c r="Q60" i="36" s="1"/>
  <c r="Q46" i="36"/>
  <c r="O88" i="36"/>
  <c r="O101" i="36" s="1"/>
  <c r="O102" i="36" s="1"/>
  <c r="O87" i="36"/>
  <c r="Q23" i="36"/>
  <c r="Q25" i="36"/>
  <c r="Q29" i="36" s="1"/>
  <c r="Q34" i="36" s="1"/>
  <c r="V16" i="12"/>
  <c r="Q15" i="36"/>
  <c r="AF50" i="12"/>
  <c r="AF52" i="12" s="1"/>
  <c r="AG49" i="12" s="1"/>
  <c r="AG15" i="12" s="1"/>
  <c r="AB14" i="36" s="1"/>
  <c r="AF54" i="12"/>
  <c r="AF57" i="12" s="1"/>
  <c r="AF59" i="12" s="1"/>
  <c r="W41" i="12"/>
  <c r="W43" i="12"/>
  <c r="Q48" i="36" l="1"/>
  <c r="O89" i="36"/>
  <c r="O90" i="36" s="1"/>
  <c r="O94" i="36"/>
  <c r="O95" i="36" s="1"/>
  <c r="Q53" i="36"/>
  <c r="Q62" i="36"/>
  <c r="P68" i="36"/>
  <c r="P69" i="36" s="1"/>
  <c r="P70" i="36" s="1"/>
  <c r="P77" i="36" s="1"/>
  <c r="Q42" i="36"/>
  <c r="Q41" i="36"/>
  <c r="AG54" i="12"/>
  <c r="AG57" i="12" s="1"/>
  <c r="AG50" i="12"/>
  <c r="AG52" i="12" s="1"/>
  <c r="AH49" i="12" s="1"/>
  <c r="AH15" i="12" s="1"/>
  <c r="AC14" i="36" s="1"/>
  <c r="AG16" i="12"/>
  <c r="W45" i="12"/>
  <c r="W94" i="12"/>
  <c r="W29" i="12"/>
  <c r="W30" i="12" s="1"/>
  <c r="P79" i="36" l="1"/>
  <c r="P81" i="36"/>
  <c r="P78" i="36"/>
  <c r="Q73" i="36" s="1"/>
  <c r="Q74" i="36" s="1"/>
  <c r="Q75" i="36"/>
  <c r="Q93" i="36"/>
  <c r="Q47" i="36"/>
  <c r="Q61" i="36"/>
  <c r="Q55" i="36"/>
  <c r="Q56" i="36" s="1"/>
  <c r="Q63" i="36" s="1"/>
  <c r="Q100" i="36"/>
  <c r="Q52" i="36"/>
  <c r="Q54" i="36" s="1"/>
  <c r="AG59" i="12"/>
  <c r="AH54" i="12"/>
  <c r="AH57" i="12" s="1"/>
  <c r="AH59" i="12" s="1"/>
  <c r="AH50" i="12"/>
  <c r="AH52" i="12" s="1"/>
  <c r="AI49" i="12" s="1"/>
  <c r="AI15" i="12" s="1"/>
  <c r="AD14" i="36" s="1"/>
  <c r="AH16" i="12"/>
  <c r="W32" i="12"/>
  <c r="W44" i="12"/>
  <c r="W96" i="12"/>
  <c r="W47" i="13"/>
  <c r="W48" i="13" l="1"/>
  <c r="W50" i="13" s="1"/>
  <c r="R22" i="36"/>
  <c r="Q64" i="36"/>
  <c r="R59" i="36" s="1"/>
  <c r="Q67" i="36"/>
  <c r="Q76" i="36"/>
  <c r="Q65" i="36"/>
  <c r="P82" i="36"/>
  <c r="P83" i="36" s="1"/>
  <c r="P84" i="36" s="1"/>
  <c r="Q49" i="36"/>
  <c r="R45" i="36" s="1"/>
  <c r="Q50" i="36"/>
  <c r="AI54" i="12"/>
  <c r="AI57" i="12" s="1"/>
  <c r="AI50" i="12"/>
  <c r="AI52" i="12" s="1"/>
  <c r="AJ49" i="12" s="1"/>
  <c r="AJ15" i="12" s="1"/>
  <c r="AE14" i="36" s="1"/>
  <c r="AI16" i="12"/>
  <c r="W14" i="12"/>
  <c r="W47" i="12"/>
  <c r="W16" i="12" l="1"/>
  <c r="R15" i="36"/>
  <c r="R60" i="36"/>
  <c r="R46" i="36"/>
  <c r="P88" i="36"/>
  <c r="P101" i="36" s="1"/>
  <c r="P102" i="36" s="1"/>
  <c r="P87" i="36"/>
  <c r="Q68" i="36"/>
  <c r="Q69" i="36" s="1"/>
  <c r="Q70" i="36" s="1"/>
  <c r="Q77" i="36" s="1"/>
  <c r="R23" i="36"/>
  <c r="R25" i="36"/>
  <c r="R29" i="36" s="1"/>
  <c r="R34" i="36" s="1"/>
  <c r="AI59" i="12"/>
  <c r="AJ54" i="12"/>
  <c r="AJ57" i="12" s="1"/>
  <c r="AJ59" i="12" s="1"/>
  <c r="AJ50" i="12"/>
  <c r="AJ52" i="12" s="1"/>
  <c r="AK49" i="12" s="1"/>
  <c r="AK15" i="12" s="1"/>
  <c r="AF14" i="36" s="1"/>
  <c r="AJ16" i="12"/>
  <c r="X41" i="12"/>
  <c r="X43" i="12"/>
  <c r="R48" i="36" l="1"/>
  <c r="Q78" i="36"/>
  <c r="R73" i="36" s="1"/>
  <c r="Q81" i="36"/>
  <c r="Q79" i="36"/>
  <c r="P89" i="36"/>
  <c r="P90" i="36" s="1"/>
  <c r="P94" i="36"/>
  <c r="P95" i="36" s="1"/>
  <c r="R62" i="36"/>
  <c r="R53" i="36"/>
  <c r="R42" i="36"/>
  <c r="R41" i="36"/>
  <c r="AK54" i="12"/>
  <c r="AK57" i="12" s="1"/>
  <c r="AK59" i="12" s="1"/>
  <c r="AK16" i="12"/>
  <c r="AK50" i="12"/>
  <c r="AK52" i="12" s="1"/>
  <c r="AL49" i="12" s="1"/>
  <c r="AL15" i="12" s="1"/>
  <c r="AG14" i="36" s="1"/>
  <c r="X45" i="12"/>
  <c r="X94" i="12"/>
  <c r="X29" i="12"/>
  <c r="X30" i="12" s="1"/>
  <c r="R100" i="36" l="1"/>
  <c r="R52" i="36"/>
  <c r="R61" i="36"/>
  <c r="R47" i="36"/>
  <c r="R93" i="36"/>
  <c r="R75" i="36"/>
  <c r="R55" i="36"/>
  <c r="R56" i="36" s="1"/>
  <c r="R63" i="36" s="1"/>
  <c r="R54" i="36"/>
  <c r="Q82" i="36"/>
  <c r="Q83" i="36" s="1"/>
  <c r="Q84" i="36" s="1"/>
  <c r="R74" i="36"/>
  <c r="AL54" i="12"/>
  <c r="AL57" i="12" s="1"/>
  <c r="AL59" i="12" s="1"/>
  <c r="AL16" i="12"/>
  <c r="AL50" i="12"/>
  <c r="AL52" i="12" s="1"/>
  <c r="AM49" i="12" s="1"/>
  <c r="AM15" i="12" s="1"/>
  <c r="AH14" i="36" s="1"/>
  <c r="X44" i="12"/>
  <c r="X32" i="12"/>
  <c r="X96" i="12"/>
  <c r="X47" i="13"/>
  <c r="R76" i="36" l="1"/>
  <c r="R65" i="36"/>
  <c r="R67" i="36"/>
  <c r="Q88" i="36"/>
  <c r="Q101" i="36" s="1"/>
  <c r="Q102" i="36" s="1"/>
  <c r="Q87" i="36"/>
  <c r="R49" i="36"/>
  <c r="S45" i="36" s="1"/>
  <c r="R50" i="36"/>
  <c r="X48" i="13"/>
  <c r="X50" i="13" s="1"/>
  <c r="S22" i="36"/>
  <c r="R64" i="36"/>
  <c r="S59" i="36" s="1"/>
  <c r="AM54" i="12"/>
  <c r="AM57" i="12" s="1"/>
  <c r="AM59" i="12" s="1"/>
  <c r="AM50" i="12"/>
  <c r="AM52" i="12" s="1"/>
  <c r="AN49" i="12" s="1"/>
  <c r="AN15" i="12" s="1"/>
  <c r="AI14" i="36" s="1"/>
  <c r="AM16" i="12"/>
  <c r="X14" i="12"/>
  <c r="X47" i="12"/>
  <c r="Q89" i="36" l="1"/>
  <c r="Q90" i="36" s="1"/>
  <c r="Q94" i="36"/>
  <c r="Q95" i="36" s="1"/>
  <c r="S60" i="36"/>
  <c r="S23" i="36"/>
  <c r="S25" i="36"/>
  <c r="S29" i="36" s="1"/>
  <c r="S34" i="36" s="1"/>
  <c r="R68" i="36"/>
  <c r="R69" i="36" s="1"/>
  <c r="R70" i="36" s="1"/>
  <c r="R77" i="36" s="1"/>
  <c r="S46" i="36"/>
  <c r="S48" i="36" s="1"/>
  <c r="X16" i="12"/>
  <c r="S15" i="36"/>
  <c r="AN54" i="12"/>
  <c r="AN57" i="12" s="1"/>
  <c r="AN59" i="12" s="1"/>
  <c r="AN50" i="12"/>
  <c r="AN52" i="12" s="1"/>
  <c r="AO49" i="12" s="1"/>
  <c r="AO15" i="12" s="1"/>
  <c r="AN16" i="12"/>
  <c r="Y41" i="12"/>
  <c r="Y43" i="12"/>
  <c r="R79" i="36" l="1"/>
  <c r="R81" i="36"/>
  <c r="S62" i="36"/>
  <c r="S53" i="36"/>
  <c r="AO54" i="12"/>
  <c r="AO57" i="12" s="1"/>
  <c r="AO59" i="12" s="1"/>
  <c r="AJ14" i="36"/>
  <c r="S41" i="36"/>
  <c r="S42" i="36"/>
  <c r="R78" i="36"/>
  <c r="S73" i="36" s="1"/>
  <c r="AO16" i="12"/>
  <c r="AO50" i="12"/>
  <c r="AO52" i="12" s="1"/>
  <c r="AP49" i="12" s="1"/>
  <c r="AP15" i="12" s="1"/>
  <c r="Y45" i="12"/>
  <c r="Y29" i="12"/>
  <c r="Y30" i="12" s="1"/>
  <c r="Y94" i="12"/>
  <c r="S52" i="36" l="1"/>
  <c r="S54" i="36" s="1"/>
  <c r="S100" i="36"/>
  <c r="S93" i="36"/>
  <c r="S61" i="36"/>
  <c r="S75" i="36"/>
  <c r="S47" i="36"/>
  <c r="AP54" i="12"/>
  <c r="AP57" i="12" s="1"/>
  <c r="AP59" i="12" s="1"/>
  <c r="AK14" i="36"/>
  <c r="S55" i="36"/>
  <c r="S56" i="36" s="1"/>
  <c r="S63" i="36" s="1"/>
  <c r="S74" i="36"/>
  <c r="R82" i="36"/>
  <c r="R83" i="36" s="1"/>
  <c r="R84" i="36" s="1"/>
  <c r="Y47" i="13"/>
  <c r="Y96" i="12"/>
  <c r="Y44" i="12"/>
  <c r="Y32" i="12"/>
  <c r="AP50" i="12"/>
  <c r="AP52" i="12" s="1"/>
  <c r="AQ49" i="12" s="1"/>
  <c r="AP16" i="12"/>
  <c r="S65" i="36" l="1"/>
  <c r="S76" i="36"/>
  <c r="S67" i="36"/>
  <c r="S49" i="36"/>
  <c r="T45" i="36" s="1"/>
  <c r="T46" i="36" s="1"/>
  <c r="S50" i="36"/>
  <c r="S64" i="36"/>
  <c r="T59" i="36" s="1"/>
  <c r="Y48" i="13"/>
  <c r="Y50" i="13" s="1"/>
  <c r="T22" i="36"/>
  <c r="R87" i="36"/>
  <c r="R88" i="36"/>
  <c r="R101" i="36" s="1"/>
  <c r="R102" i="36" s="1"/>
  <c r="AQ15" i="12"/>
  <c r="Y14" i="12"/>
  <c r="Y47" i="12"/>
  <c r="T60" i="36" l="1"/>
  <c r="Y51" i="13"/>
  <c r="R89" i="36"/>
  <c r="R90" i="36" s="1"/>
  <c r="R94" i="36"/>
  <c r="R95" i="36" s="1"/>
  <c r="S68" i="36"/>
  <c r="S69" i="36" s="1"/>
  <c r="S70" i="36" s="1"/>
  <c r="S77" i="36" s="1"/>
  <c r="T23" i="36"/>
  <c r="T25" i="36"/>
  <c r="T29" i="36" s="1"/>
  <c r="T34" i="36" s="1"/>
  <c r="Y16" i="12"/>
  <c r="T15" i="36"/>
  <c r="AQ54" i="12"/>
  <c r="AQ57" i="12" s="1"/>
  <c r="AQ59" i="12" s="1"/>
  <c r="AL14" i="36"/>
  <c r="Z41" i="12"/>
  <c r="Z43" i="12"/>
  <c r="AQ50" i="12"/>
  <c r="AQ52" i="12" s="1"/>
  <c r="AR49" i="12" s="1"/>
  <c r="AQ16" i="12"/>
  <c r="S81" i="36" l="1"/>
  <c r="S79" i="36"/>
  <c r="S78" i="36"/>
  <c r="T73" i="36" s="1"/>
  <c r="T41" i="36"/>
  <c r="T42" i="36"/>
  <c r="T48" i="36"/>
  <c r="AR15" i="12"/>
  <c r="Z29" i="12"/>
  <c r="Z30" i="12" s="1"/>
  <c r="Z94" i="12"/>
  <c r="Z45" i="12"/>
  <c r="T93" i="36" l="1"/>
  <c r="T47" i="36"/>
  <c r="T61" i="36"/>
  <c r="T75" i="36"/>
  <c r="AR54" i="12"/>
  <c r="AM14" i="36"/>
  <c r="T49" i="36"/>
  <c r="U45" i="36" s="1"/>
  <c r="T50" i="36"/>
  <c r="T62" i="36"/>
  <c r="T53" i="36"/>
  <c r="T100" i="36"/>
  <c r="T52" i="36"/>
  <c r="T74" i="36"/>
  <c r="S82" i="36"/>
  <c r="S83" i="36" s="1"/>
  <c r="S84" i="36" s="1"/>
  <c r="Z96" i="12"/>
  <c r="Z47" i="13"/>
  <c r="Z32" i="12"/>
  <c r="Z44" i="12"/>
  <c r="AR16" i="12"/>
  <c r="AR50" i="12"/>
  <c r="AR52" i="12" s="1"/>
  <c r="AS49" i="12" s="1"/>
  <c r="T55" i="36" l="1"/>
  <c r="T56" i="36" s="1"/>
  <c r="T54" i="36"/>
  <c r="S88" i="36"/>
  <c r="S101" i="36" s="1"/>
  <c r="S102" i="36" s="1"/>
  <c r="S87" i="36"/>
  <c r="D9" i="36"/>
  <c r="D8" i="36"/>
  <c r="Z48" i="13"/>
  <c r="Z50" i="13" s="1"/>
  <c r="U22" i="36"/>
  <c r="U46" i="36"/>
  <c r="T63" i="36"/>
  <c r="T64" i="36" s="1"/>
  <c r="U59" i="36" s="1"/>
  <c r="U60" i="36" s="1"/>
  <c r="Z14" i="12"/>
  <c r="Z47" i="12"/>
  <c r="AS15" i="12"/>
  <c r="AS54" i="12" s="1"/>
  <c r="AS57" i="12" s="1"/>
  <c r="AS59" i="12" s="1"/>
  <c r="U25" i="36" l="1"/>
  <c r="U29" i="36" s="1"/>
  <c r="U34" i="36" s="1"/>
  <c r="U23" i="36"/>
  <c r="S89" i="36"/>
  <c r="S90" i="36" s="1"/>
  <c r="S94" i="36"/>
  <c r="S95" i="36" s="1"/>
  <c r="AN37" i="36"/>
  <c r="AO37" i="36"/>
  <c r="AP37" i="36"/>
  <c r="AQ37" i="36"/>
  <c r="AR37" i="36"/>
  <c r="AS37" i="36"/>
  <c r="AT37" i="36"/>
  <c r="AU37" i="36"/>
  <c r="AV37" i="36"/>
  <c r="AW37" i="36"/>
  <c r="AX37" i="36"/>
  <c r="AY37" i="36"/>
  <c r="AZ37" i="36"/>
  <c r="BA37" i="36"/>
  <c r="BB37" i="36"/>
  <c r="BC37" i="36"/>
  <c r="BD37" i="36"/>
  <c r="BE37" i="36"/>
  <c r="BF37" i="36"/>
  <c r="BG37" i="36"/>
  <c r="BH37" i="36"/>
  <c r="BI37" i="36"/>
  <c r="BJ37" i="36"/>
  <c r="BK37" i="36"/>
  <c r="D37" i="36"/>
  <c r="E37" i="36"/>
  <c r="F37" i="36"/>
  <c r="G37" i="36"/>
  <c r="H37" i="36"/>
  <c r="I37" i="36"/>
  <c r="J37" i="36"/>
  <c r="K37" i="36"/>
  <c r="L37" i="36"/>
  <c r="M37" i="36"/>
  <c r="N37" i="36"/>
  <c r="O37" i="36"/>
  <c r="P37" i="36"/>
  <c r="Q37" i="36"/>
  <c r="R37" i="36"/>
  <c r="S37" i="36"/>
  <c r="T37" i="36"/>
  <c r="Z16" i="12"/>
  <c r="U15" i="36"/>
  <c r="Z51" i="13"/>
  <c r="T67" i="36"/>
  <c r="T76" i="36"/>
  <c r="T65" i="36"/>
  <c r="AS16" i="12"/>
  <c r="AS50" i="12"/>
  <c r="AS52" i="12" s="1"/>
  <c r="AT49" i="12" s="1"/>
  <c r="AA43" i="12"/>
  <c r="AA41" i="12"/>
  <c r="U41" i="36" l="1"/>
  <c r="U42" i="36"/>
  <c r="U37" i="36"/>
  <c r="T68" i="36"/>
  <c r="T69" i="36" s="1"/>
  <c r="T70" i="36" s="1"/>
  <c r="T77" i="36" s="1"/>
  <c r="U48" i="36"/>
  <c r="AA29" i="12"/>
  <c r="AA30" i="12" s="1"/>
  <c r="AA94" i="12"/>
  <c r="AA45" i="12"/>
  <c r="AT15" i="12"/>
  <c r="AT54" i="12" s="1"/>
  <c r="AT57" i="12" s="1"/>
  <c r="AT59" i="12" s="1"/>
  <c r="T81" i="36" l="1"/>
  <c r="T79" i="36"/>
  <c r="T78" i="36"/>
  <c r="U73" i="36" s="1"/>
  <c r="U53" i="36"/>
  <c r="U62" i="36"/>
  <c r="U47" i="36"/>
  <c r="U49" i="36" s="1"/>
  <c r="V45" i="36" s="1"/>
  <c r="V46" i="36" s="1"/>
  <c r="U93" i="36"/>
  <c r="U75" i="36"/>
  <c r="U61" i="36"/>
  <c r="U100" i="36"/>
  <c r="U52" i="36"/>
  <c r="AA96" i="12"/>
  <c r="AA47" i="13"/>
  <c r="AT50" i="12"/>
  <c r="AT52" i="12" s="1"/>
  <c r="AU49" i="12" s="1"/>
  <c r="AT16" i="12"/>
  <c r="AA32" i="12"/>
  <c r="AA44" i="12"/>
  <c r="U54" i="36" l="1"/>
  <c r="U55" i="36"/>
  <c r="U56" i="36" s="1"/>
  <c r="U63" i="36" s="1"/>
  <c r="AA48" i="13"/>
  <c r="AA51" i="13" s="1"/>
  <c r="V22" i="36"/>
  <c r="U50" i="36"/>
  <c r="U74" i="36"/>
  <c r="T82" i="36"/>
  <c r="T83" i="36" s="1"/>
  <c r="T84" i="36" s="1"/>
  <c r="AU15" i="12"/>
  <c r="AU54" i="12" s="1"/>
  <c r="AU57" i="12" s="1"/>
  <c r="AU59" i="12" s="1"/>
  <c r="AA14" i="12"/>
  <c r="AA47" i="12"/>
  <c r="U64" i="36" l="1"/>
  <c r="V59" i="36" s="1"/>
  <c r="U76" i="36"/>
  <c r="U67" i="36"/>
  <c r="U65" i="36"/>
  <c r="T88" i="36"/>
  <c r="T101" i="36" s="1"/>
  <c r="T102" i="36" s="1"/>
  <c r="T87" i="36"/>
  <c r="V23" i="36"/>
  <c r="V25" i="36"/>
  <c r="V29" i="36" s="1"/>
  <c r="V34" i="36" s="1"/>
  <c r="AA50" i="13"/>
  <c r="AA16" i="12"/>
  <c r="V15" i="36"/>
  <c r="AB41" i="12"/>
  <c r="AB43" i="12"/>
  <c r="AU50" i="12"/>
  <c r="AU52" i="12" s="1"/>
  <c r="AV49" i="12" s="1"/>
  <c r="AU16" i="12"/>
  <c r="V60" i="36" l="1"/>
  <c r="V41" i="36"/>
  <c r="V37" i="36"/>
  <c r="V42" i="36"/>
  <c r="V48" i="36"/>
  <c r="T89" i="36"/>
  <c r="T90" i="36" s="1"/>
  <c r="T94" i="36"/>
  <c r="T95" i="36" s="1"/>
  <c r="U68" i="36"/>
  <c r="U69" i="36" s="1"/>
  <c r="U70" i="36" s="1"/>
  <c r="U77" i="36" s="1"/>
  <c r="AV15" i="12"/>
  <c r="AV54" i="12" s="1"/>
  <c r="AV57" i="12" s="1"/>
  <c r="AV59" i="12" s="1"/>
  <c r="AB29" i="12"/>
  <c r="AB30" i="12" s="1"/>
  <c r="AB45" i="12"/>
  <c r="AB94" i="12"/>
  <c r="U81" i="36" l="1"/>
  <c r="U79" i="36"/>
  <c r="U78" i="36"/>
  <c r="V73" i="36" s="1"/>
  <c r="V62" i="36"/>
  <c r="V53" i="36"/>
  <c r="V61" i="36"/>
  <c r="V93" i="36"/>
  <c r="V47" i="36"/>
  <c r="V49" i="36" s="1"/>
  <c r="W45" i="36" s="1"/>
  <c r="V75" i="36"/>
  <c r="V52" i="36"/>
  <c r="V100" i="36"/>
  <c r="AB96" i="12"/>
  <c r="AB47" i="13"/>
  <c r="AB44" i="12"/>
  <c r="AB32" i="12"/>
  <c r="AV50" i="12"/>
  <c r="AV52" i="12" s="1"/>
  <c r="AW49" i="12" s="1"/>
  <c r="AV16" i="12"/>
  <c r="V50" i="36" l="1"/>
  <c r="W46" i="36"/>
  <c r="V55" i="36"/>
  <c r="V56" i="36" s="1"/>
  <c r="V63" i="36" s="1"/>
  <c r="V54" i="36"/>
  <c r="AB48" i="13"/>
  <c r="AB51" i="13" s="1"/>
  <c r="W22" i="36"/>
  <c r="V74" i="36"/>
  <c r="U82" i="36"/>
  <c r="U83" i="36" s="1"/>
  <c r="U84" i="36" s="1"/>
  <c r="AW15" i="12"/>
  <c r="AW54" i="12" s="1"/>
  <c r="AW57" i="12" s="1"/>
  <c r="AW59" i="12" s="1"/>
  <c r="AB14" i="12"/>
  <c r="AB47" i="12"/>
  <c r="AB50" i="13" l="1"/>
  <c r="V76" i="36"/>
  <c r="V65" i="36"/>
  <c r="V67" i="36"/>
  <c r="V64" i="36"/>
  <c r="W59" i="36" s="1"/>
  <c r="W23" i="36"/>
  <c r="W25" i="36"/>
  <c r="W29" i="36" s="1"/>
  <c r="W34" i="36" s="1"/>
  <c r="AB16" i="12"/>
  <c r="W15" i="36"/>
  <c r="U88" i="36"/>
  <c r="U101" i="36" s="1"/>
  <c r="U102" i="36" s="1"/>
  <c r="U87" i="36"/>
  <c r="AC41" i="12"/>
  <c r="AC43" i="12"/>
  <c r="AW50" i="12"/>
  <c r="AW52" i="12" s="1"/>
  <c r="AX49" i="12" s="1"/>
  <c r="AW16" i="12"/>
  <c r="W42" i="36" l="1"/>
  <c r="W41" i="36"/>
  <c r="W37" i="36"/>
  <c r="W48" i="36"/>
  <c r="U89" i="36"/>
  <c r="U90" i="36" s="1"/>
  <c r="U94" i="36"/>
  <c r="U95" i="36" s="1"/>
  <c r="W60" i="36"/>
  <c r="V68" i="36"/>
  <c r="V69" i="36" s="1"/>
  <c r="V70" i="36" s="1"/>
  <c r="V77" i="36" s="1"/>
  <c r="AX15" i="12"/>
  <c r="AX54" i="12" s="1"/>
  <c r="AX57" i="12" s="1"/>
  <c r="AX59" i="12" s="1"/>
  <c r="AC94" i="12"/>
  <c r="AC45" i="12"/>
  <c r="AC29" i="12"/>
  <c r="AC30" i="12" s="1"/>
  <c r="V81" i="36" l="1"/>
  <c r="V79" i="36"/>
  <c r="V78" i="36"/>
  <c r="W73" i="36" s="1"/>
  <c r="W53" i="36"/>
  <c r="W62" i="36"/>
  <c r="W100" i="36"/>
  <c r="W52" i="36"/>
  <c r="W61" i="36"/>
  <c r="W75" i="36"/>
  <c r="W47" i="36"/>
  <c r="W49" i="36" s="1"/>
  <c r="X45" i="36" s="1"/>
  <c r="W93" i="36"/>
  <c r="AX16" i="12"/>
  <c r="AX50" i="12"/>
  <c r="AX52" i="12" s="1"/>
  <c r="AY49" i="12" s="1"/>
  <c r="AC44" i="12"/>
  <c r="AC32" i="12"/>
  <c r="AC47" i="13"/>
  <c r="AC96" i="12"/>
  <c r="W50" i="36" l="1"/>
  <c r="W54" i="36"/>
  <c r="W55" i="36"/>
  <c r="W56" i="36" s="1"/>
  <c r="W63" i="36" s="1"/>
  <c r="AC48" i="13"/>
  <c r="AC51" i="13" s="1"/>
  <c r="X22" i="36"/>
  <c r="X46" i="36"/>
  <c r="W74" i="36"/>
  <c r="V82" i="36"/>
  <c r="V83" i="36" s="1"/>
  <c r="V84" i="36" s="1"/>
  <c r="AC14" i="12"/>
  <c r="AC47" i="12"/>
  <c r="AY15" i="12"/>
  <c r="AY54" i="12" s="1"/>
  <c r="AY57" i="12" s="1"/>
  <c r="AY59" i="12" s="1"/>
  <c r="W76" i="36" l="1"/>
  <c r="W67" i="36"/>
  <c r="W65" i="36"/>
  <c r="AC16" i="12"/>
  <c r="X15" i="36"/>
  <c r="X23" i="36"/>
  <c r="X25" i="36"/>
  <c r="X29" i="36" s="1"/>
  <c r="X34" i="36" s="1"/>
  <c r="AC50" i="13"/>
  <c r="V87" i="36"/>
  <c r="V88" i="36"/>
  <c r="V101" i="36" s="1"/>
  <c r="V102" i="36" s="1"/>
  <c r="W64" i="36"/>
  <c r="X59" i="36" s="1"/>
  <c r="X60" i="36" s="1"/>
  <c r="AY16" i="12"/>
  <c r="AY50" i="12"/>
  <c r="AY52" i="12" s="1"/>
  <c r="AZ49" i="12" s="1"/>
  <c r="AD43" i="12"/>
  <c r="AD41" i="12"/>
  <c r="X37" i="36" l="1"/>
  <c r="X41" i="36"/>
  <c r="X42" i="36"/>
  <c r="V89" i="36"/>
  <c r="V90" i="36" s="1"/>
  <c r="V94" i="36"/>
  <c r="V95" i="36" s="1"/>
  <c r="W68" i="36"/>
  <c r="W69" i="36" s="1"/>
  <c r="W70" i="36" s="1"/>
  <c r="W77" i="36" s="1"/>
  <c r="X48" i="36"/>
  <c r="AD29" i="12"/>
  <c r="AD30" i="12" s="1"/>
  <c r="AD94" i="12"/>
  <c r="AD45" i="12"/>
  <c r="AZ15" i="12"/>
  <c r="AZ54" i="12" s="1"/>
  <c r="AZ57" i="12" s="1"/>
  <c r="AZ59" i="12" s="1"/>
  <c r="X53" i="36" l="1"/>
  <c r="X62" i="36"/>
  <c r="X47" i="36"/>
  <c r="X49" i="36" s="1"/>
  <c r="Y45" i="36" s="1"/>
  <c r="X61" i="36"/>
  <c r="X93" i="36"/>
  <c r="X75" i="36"/>
  <c r="X52" i="36"/>
  <c r="X100" i="36"/>
  <c r="W79" i="36"/>
  <c r="W81" i="36"/>
  <c r="W78" i="36"/>
  <c r="X73" i="36" s="1"/>
  <c r="AZ50" i="12"/>
  <c r="AZ52" i="12" s="1"/>
  <c r="BA49" i="12" s="1"/>
  <c r="AZ16" i="12"/>
  <c r="AD47" i="13"/>
  <c r="AD96" i="12"/>
  <c r="AD32" i="12"/>
  <c r="AD44" i="12"/>
  <c r="AD48" i="13" l="1"/>
  <c r="Y22" i="36"/>
  <c r="X74" i="36"/>
  <c r="Y46" i="36"/>
  <c r="X50" i="36"/>
  <c r="W82" i="36"/>
  <c r="W83" i="36" s="1"/>
  <c r="W84" i="36" s="1"/>
  <c r="X54" i="36"/>
  <c r="X55" i="36"/>
  <c r="X56" i="36" s="1"/>
  <c r="X63" i="36" s="1"/>
  <c r="AD14" i="12"/>
  <c r="AD47" i="12"/>
  <c r="AD50" i="13"/>
  <c r="AD51" i="13"/>
  <c r="H51" i="13" s="1"/>
  <c r="BA15" i="12"/>
  <c r="BA54" i="12" s="1"/>
  <c r="BA57" i="12" s="1"/>
  <c r="BA59" i="12" s="1"/>
  <c r="W88" i="36" l="1"/>
  <c r="W101" i="36" s="1"/>
  <c r="W102" i="36" s="1"/>
  <c r="W87" i="36"/>
  <c r="X64" i="36"/>
  <c r="Y59" i="36" s="1"/>
  <c r="X65" i="36"/>
  <c r="X76" i="36"/>
  <c r="X67" i="36"/>
  <c r="AD16" i="12"/>
  <c r="Y15" i="36"/>
  <c r="Y23" i="36"/>
  <c r="Y25" i="36"/>
  <c r="Y29" i="36" s="1"/>
  <c r="Y34" i="36" s="1"/>
  <c r="BA16" i="12"/>
  <c r="BA50" i="12"/>
  <c r="BA52" i="12" s="1"/>
  <c r="BB49" i="12" s="1"/>
  <c r="AE43" i="12"/>
  <c r="AE41" i="12"/>
  <c r="Y41" i="36" l="1"/>
  <c r="Y37" i="36"/>
  <c r="Y42" i="36"/>
  <c r="Y48" i="36"/>
  <c r="X68" i="36"/>
  <c r="X69" i="36" s="1"/>
  <c r="X70" i="36" s="1"/>
  <c r="X77" i="36" s="1"/>
  <c r="Y60" i="36"/>
  <c r="W89" i="36"/>
  <c r="W90" i="36" s="1"/>
  <c r="W94" i="36"/>
  <c r="W95" i="36" s="1"/>
  <c r="AE29" i="12"/>
  <c r="AE30" i="12" s="1"/>
  <c r="AE94" i="12"/>
  <c r="AE45" i="12"/>
  <c r="BB15" i="12"/>
  <c r="BB54" i="12" s="1"/>
  <c r="BB57" i="12" s="1"/>
  <c r="BB59" i="12" s="1"/>
  <c r="X79" i="36" l="1"/>
  <c r="X81" i="36"/>
  <c r="X78" i="36"/>
  <c r="Y73" i="36" s="1"/>
  <c r="Y62" i="36"/>
  <c r="Y53" i="36"/>
  <c r="Y93" i="36"/>
  <c r="Y61" i="36"/>
  <c r="Y47" i="36"/>
  <c r="Y49" i="36" s="1"/>
  <c r="Z45" i="36" s="1"/>
  <c r="Y75" i="36"/>
  <c r="Y100" i="36"/>
  <c r="Y52" i="36"/>
  <c r="AE96" i="12"/>
  <c r="AE47" i="13"/>
  <c r="BB50" i="12"/>
  <c r="BB52" i="12" s="1"/>
  <c r="BC49" i="12" s="1"/>
  <c r="BB16" i="12"/>
  <c r="AE32" i="12"/>
  <c r="AE44" i="12" s="1"/>
  <c r="Y50" i="36" l="1"/>
  <c r="Y55" i="36"/>
  <c r="Y56" i="36" s="1"/>
  <c r="Y63" i="36" s="1"/>
  <c r="Y54" i="36"/>
  <c r="X82" i="36"/>
  <c r="X83" i="36" s="1"/>
  <c r="X84" i="36" s="1"/>
  <c r="AE48" i="13"/>
  <c r="AE50" i="13" s="1"/>
  <c r="Z22" i="36"/>
  <c r="Y74" i="36"/>
  <c r="Z46" i="36"/>
  <c r="AE14" i="12"/>
  <c r="AE47" i="12"/>
  <c r="BC15" i="12"/>
  <c r="BC54" i="12" s="1"/>
  <c r="BC57" i="12" s="1"/>
  <c r="BC59" i="12" s="1"/>
  <c r="AE51" i="13"/>
  <c r="Y65" i="36" l="1"/>
  <c r="Y76" i="36"/>
  <c r="Y67" i="36"/>
  <c r="Y64" i="36"/>
  <c r="Z59" i="36" s="1"/>
  <c r="Z23" i="36"/>
  <c r="Z25" i="36"/>
  <c r="Z29" i="36" s="1"/>
  <c r="Z34" i="36" s="1"/>
  <c r="X88" i="36"/>
  <c r="X101" i="36" s="1"/>
  <c r="X102" i="36" s="1"/>
  <c r="X87" i="36"/>
  <c r="AE16" i="12"/>
  <c r="Z15" i="36"/>
  <c r="BC50" i="12"/>
  <c r="BC52" i="12" s="1"/>
  <c r="BD49" i="12" s="1"/>
  <c r="BC16" i="12"/>
  <c r="AF43" i="12"/>
  <c r="AF41" i="12"/>
  <c r="X89" i="36" l="1"/>
  <c r="X90" i="36" s="1"/>
  <c r="X94" i="36"/>
  <c r="X95" i="36" s="1"/>
  <c r="Z41" i="36"/>
  <c r="Z37" i="36"/>
  <c r="Z42" i="36"/>
  <c r="Z48" i="36"/>
  <c r="Z60" i="36"/>
  <c r="Y68" i="36"/>
  <c r="Y69" i="36" s="1"/>
  <c r="Y70" i="36" s="1"/>
  <c r="Y77" i="36" s="1"/>
  <c r="AF29" i="12"/>
  <c r="AF45" i="12"/>
  <c r="F45" i="12" s="1"/>
  <c r="G45" i="12" s="1"/>
  <c r="AF94" i="12"/>
  <c r="F41" i="12"/>
  <c r="G41" i="12" s="1"/>
  <c r="BD15" i="12"/>
  <c r="BD54" i="12" s="1"/>
  <c r="BD57" i="12" s="1"/>
  <c r="BD59" i="12" s="1"/>
  <c r="Y81" i="36" l="1"/>
  <c r="Y79" i="36"/>
  <c r="Y78" i="36"/>
  <c r="Z73" i="36" s="1"/>
  <c r="Z53" i="36"/>
  <c r="Z62" i="36"/>
  <c r="Z61" i="36"/>
  <c r="Z75" i="36"/>
  <c r="Z47" i="36"/>
  <c r="Z49" i="36" s="1"/>
  <c r="AA45" i="36" s="1"/>
  <c r="Z93" i="36"/>
  <c r="Z100" i="36"/>
  <c r="Z52" i="36"/>
  <c r="BD50" i="12"/>
  <c r="BD52" i="12" s="1"/>
  <c r="BE49" i="12" s="1"/>
  <c r="BD16" i="12"/>
  <c r="AF47" i="13"/>
  <c r="AF96" i="12"/>
  <c r="F94" i="12"/>
  <c r="AF30" i="12"/>
  <c r="F29" i="12"/>
  <c r="Z50" i="36" l="1"/>
  <c r="AF48" i="13"/>
  <c r="AA22" i="36"/>
  <c r="Z54" i="36"/>
  <c r="Z55" i="36"/>
  <c r="Z56" i="36" s="1"/>
  <c r="Z63" i="36" s="1"/>
  <c r="Z74" i="36"/>
  <c r="Y82" i="36"/>
  <c r="Y83" i="36" s="1"/>
  <c r="Y84" i="36" s="1"/>
  <c r="AA46" i="36"/>
  <c r="G29" i="12"/>
  <c r="F30" i="12"/>
  <c r="AF32" i="12"/>
  <c r="AF44" i="12" s="1"/>
  <c r="G94" i="12"/>
  <c r="F96" i="12"/>
  <c r="F25" i="11"/>
  <c r="AF51" i="13"/>
  <c r="AF50" i="13"/>
  <c r="BE15" i="12"/>
  <c r="BE54" i="12" s="1"/>
  <c r="BE57" i="12" s="1"/>
  <c r="BE59" i="12" s="1"/>
  <c r="Z76" i="36" l="1"/>
  <c r="Z67" i="36"/>
  <c r="Z65" i="36"/>
  <c r="Z64" i="36"/>
  <c r="AA59" i="36" s="1"/>
  <c r="AA60" i="36" s="1"/>
  <c r="Y87" i="36"/>
  <c r="Y88" i="36"/>
  <c r="Y101" i="36" s="1"/>
  <c r="Y102" i="36" s="1"/>
  <c r="AA21" i="36"/>
  <c r="AB22" i="36" s="1"/>
  <c r="AA25" i="36"/>
  <c r="AA29" i="36" s="1"/>
  <c r="AA34" i="36" s="1"/>
  <c r="AA48" i="36" s="1"/>
  <c r="AA23" i="36"/>
  <c r="AF14" i="12"/>
  <c r="AA15" i="36" s="1"/>
  <c r="F44" i="12"/>
  <c r="G44" i="12" s="1"/>
  <c r="G47" i="12" s="1"/>
  <c r="AF47" i="12"/>
  <c r="AG43" i="12" s="1"/>
  <c r="AG47" i="12" s="1"/>
  <c r="AH43" i="12" s="1"/>
  <c r="AH47" i="12" s="1"/>
  <c r="AI43" i="12" s="1"/>
  <c r="AI47" i="12" s="1"/>
  <c r="AJ43" i="12" s="1"/>
  <c r="AJ47" i="12" s="1"/>
  <c r="AK43" i="12" s="1"/>
  <c r="AK47" i="12" s="1"/>
  <c r="AL43" i="12" s="1"/>
  <c r="AL47" i="12" s="1"/>
  <c r="AM43" i="12" s="1"/>
  <c r="AM47" i="12" s="1"/>
  <c r="AN43" i="12" s="1"/>
  <c r="AN47" i="12" s="1"/>
  <c r="AO43" i="12" s="1"/>
  <c r="AO47" i="12" s="1"/>
  <c r="AP43" i="12" s="1"/>
  <c r="AP47" i="12" s="1"/>
  <c r="AQ43" i="12" s="1"/>
  <c r="AQ47" i="12" s="1"/>
  <c r="AR43" i="12" s="1"/>
  <c r="AR47" i="12" s="1"/>
  <c r="AR56" i="12" s="1"/>
  <c r="G96" i="12"/>
  <c r="G25" i="11"/>
  <c r="F27" i="11"/>
  <c r="F42" i="11"/>
  <c r="BE50" i="12"/>
  <c r="BE52" i="12" s="1"/>
  <c r="BF49" i="12" s="1"/>
  <c r="BE16" i="12"/>
  <c r="G30" i="12"/>
  <c r="G32" i="12" s="1"/>
  <c r="D1" i="12"/>
  <c r="AA62" i="36" l="1"/>
  <c r="AA53" i="36"/>
  <c r="AC22" i="36"/>
  <c r="AB25" i="36"/>
  <c r="AB29" i="36" s="1"/>
  <c r="AB34" i="36" s="1"/>
  <c r="AB23" i="36"/>
  <c r="AR57" i="12"/>
  <c r="H61" i="12" s="1"/>
  <c r="AM32" i="36"/>
  <c r="Z68" i="36"/>
  <c r="Z69" i="36" s="1"/>
  <c r="Z70" i="36" s="1"/>
  <c r="Z77" i="36" s="1"/>
  <c r="AA37" i="36"/>
  <c r="AA42" i="36"/>
  <c r="AA41" i="36"/>
  <c r="Y89" i="36"/>
  <c r="Y90" i="36" s="1"/>
  <c r="Y94" i="36"/>
  <c r="Y95" i="36" s="1"/>
  <c r="AS43" i="12"/>
  <c r="AS47" i="12" s="1"/>
  <c r="AT43" i="12" s="1"/>
  <c r="AT47" i="12" s="1"/>
  <c r="AU43" i="12" s="1"/>
  <c r="AU47" i="12" s="1"/>
  <c r="AV43" i="12" s="1"/>
  <c r="AV47" i="12" s="1"/>
  <c r="AW43" i="12" s="1"/>
  <c r="AW47" i="12" s="1"/>
  <c r="AX43" i="12" s="1"/>
  <c r="AX47" i="12" s="1"/>
  <c r="AY43" i="12" s="1"/>
  <c r="AY47" i="12" s="1"/>
  <c r="AZ43" i="12" s="1"/>
  <c r="AZ47" i="12" s="1"/>
  <c r="BA43" i="12" s="1"/>
  <c r="BA47" i="12" s="1"/>
  <c r="BB43" i="12" s="1"/>
  <c r="BB47" i="12" s="1"/>
  <c r="BC43" i="12" s="1"/>
  <c r="BC47" i="12" s="1"/>
  <c r="BD43" i="12" s="1"/>
  <c r="BD47" i="12" s="1"/>
  <c r="BE43" i="12" s="1"/>
  <c r="BE47" i="12" s="1"/>
  <c r="BF43" i="12" s="1"/>
  <c r="BF47" i="12" s="1"/>
  <c r="BG43" i="12" s="1"/>
  <c r="BG47" i="12" s="1"/>
  <c r="BH43" i="12" s="1"/>
  <c r="BH47" i="12" s="1"/>
  <c r="BI43" i="12" s="1"/>
  <c r="BI47" i="12" s="1"/>
  <c r="BJ43" i="12" s="1"/>
  <c r="BJ47" i="12" s="1"/>
  <c r="BK43" i="12" s="1"/>
  <c r="BK47" i="12" s="1"/>
  <c r="BL43" i="12" s="1"/>
  <c r="BL47" i="12" s="1"/>
  <c r="BM43" i="12" s="1"/>
  <c r="BM47" i="12" s="1"/>
  <c r="BN43" i="12" s="1"/>
  <c r="BN47" i="12" s="1"/>
  <c r="BO43" i="12" s="1"/>
  <c r="BO47" i="12" s="1"/>
  <c r="BP43" i="12" s="1"/>
  <c r="BP47" i="12" s="1"/>
  <c r="BF15" i="12"/>
  <c r="BF54" i="12" s="1"/>
  <c r="BF57" i="12" s="1"/>
  <c r="BF59" i="12" s="1"/>
  <c r="G27" i="11"/>
  <c r="G42" i="11"/>
  <c r="G43" i="11" s="1"/>
  <c r="E12" i="33"/>
  <c r="F43" i="11"/>
  <c r="AF16" i="12"/>
  <c r="F14" i="12"/>
  <c r="AR59" i="12" l="1"/>
  <c r="H60" i="12" s="1"/>
  <c r="Z79" i="36"/>
  <c r="Z81" i="36"/>
  <c r="Z78" i="36"/>
  <c r="AA73" i="36" s="1"/>
  <c r="AB42" i="36"/>
  <c r="AB37" i="36"/>
  <c r="AB41" i="36"/>
  <c r="AD22" i="36"/>
  <c r="AC25" i="36"/>
  <c r="AC29" i="36" s="1"/>
  <c r="AC34" i="36" s="1"/>
  <c r="AC23" i="36"/>
  <c r="AA55" i="36"/>
  <c r="AA56" i="36" s="1"/>
  <c r="AA63" i="36" s="1"/>
  <c r="AA61" i="36"/>
  <c r="AA75" i="36"/>
  <c r="AA93" i="36"/>
  <c r="AA47" i="36"/>
  <c r="AA52" i="36"/>
  <c r="AA54" i="36" s="1"/>
  <c r="AA100" i="36"/>
  <c r="E20" i="33"/>
  <c r="G14" i="12"/>
  <c r="E15" i="33"/>
  <c r="H12" i="33"/>
  <c r="E13" i="33"/>
  <c r="G12" i="33"/>
  <c r="G15" i="33" s="1"/>
  <c r="BF16" i="12"/>
  <c r="BF50" i="12"/>
  <c r="BF52" i="12" s="1"/>
  <c r="BG49" i="12" s="1"/>
  <c r="AA64" i="36" l="1"/>
  <c r="AB59" i="36" s="1"/>
  <c r="AA67" i="36"/>
  <c r="AA76" i="36"/>
  <c r="AA65" i="36"/>
  <c r="AB93" i="36"/>
  <c r="AB61" i="36"/>
  <c r="AB75" i="36"/>
  <c r="AB47" i="36"/>
  <c r="AC42" i="36"/>
  <c r="AC41" i="36"/>
  <c r="AC37" i="36"/>
  <c r="AE22" i="36"/>
  <c r="AD25" i="36"/>
  <c r="AD29" i="36" s="1"/>
  <c r="AD34" i="36" s="1"/>
  <c r="AD23" i="36"/>
  <c r="AB100" i="36"/>
  <c r="AB52" i="36"/>
  <c r="AA74" i="36"/>
  <c r="AA49" i="36"/>
  <c r="AB45" i="36" s="1"/>
  <c r="AB46" i="36" s="1"/>
  <c r="AB48" i="36" s="1"/>
  <c r="AA50" i="36"/>
  <c r="Z82" i="36"/>
  <c r="Z83" i="36" s="1"/>
  <c r="Z84" i="36" s="1"/>
  <c r="H15" i="33"/>
  <c r="J12" i="33"/>
  <c r="J15" i="33" s="1"/>
  <c r="G13" i="33"/>
  <c r="F13" i="33"/>
  <c r="BG15" i="12"/>
  <c r="BG54" i="12" s="1"/>
  <c r="BG57" i="12" s="1"/>
  <c r="BG59" i="12" s="1"/>
  <c r="G20" i="33"/>
  <c r="H20" i="33"/>
  <c r="AC52" i="36" l="1"/>
  <c r="AC100" i="36"/>
  <c r="AB49" i="36"/>
  <c r="AC45" i="36" s="1"/>
  <c r="AB62" i="36"/>
  <c r="AB53" i="36"/>
  <c r="AB50" i="36"/>
  <c r="AD41" i="36"/>
  <c r="AD37" i="36"/>
  <c r="AD42" i="36"/>
  <c r="Z88" i="36"/>
  <c r="Z101" i="36" s="1"/>
  <c r="Z102" i="36" s="1"/>
  <c r="Z87" i="36"/>
  <c r="AC75" i="36"/>
  <c r="AC47" i="36"/>
  <c r="AC61" i="36"/>
  <c r="AC93" i="36"/>
  <c r="AF22" i="36"/>
  <c r="AE23" i="36"/>
  <c r="AE25" i="36"/>
  <c r="AE29" i="36" s="1"/>
  <c r="AE34" i="36" s="1"/>
  <c r="AA68" i="36"/>
  <c r="AA69" i="36" s="1"/>
  <c r="AA70" i="36" s="1"/>
  <c r="AA77" i="36" s="1"/>
  <c r="AB60" i="36"/>
  <c r="BG16" i="12"/>
  <c r="BG50" i="12"/>
  <c r="BG52" i="12" s="1"/>
  <c r="BH49" i="12" s="1"/>
  <c r="J20" i="33"/>
  <c r="C6" i="33"/>
  <c r="I10" i="33"/>
  <c r="C12" i="33"/>
  <c r="F4" i="33"/>
  <c r="I6" i="33"/>
  <c r="F6" i="33"/>
  <c r="F10" i="33"/>
  <c r="F9" i="33"/>
  <c r="C8" i="33"/>
  <c r="I5" i="33"/>
  <c r="C7" i="33"/>
  <c r="C4" i="33"/>
  <c r="I7" i="33"/>
  <c r="F11" i="33"/>
  <c r="I4" i="33"/>
  <c r="C5" i="33"/>
  <c r="C11" i="33"/>
  <c r="I8" i="33"/>
  <c r="C10" i="33"/>
  <c r="C9" i="33"/>
  <c r="F8" i="33"/>
  <c r="F5" i="33"/>
  <c r="I11" i="33"/>
  <c r="I9" i="33"/>
  <c r="F7" i="33"/>
  <c r="F12" i="33"/>
  <c r="I12" i="33"/>
  <c r="AD52" i="36" l="1"/>
  <c r="AD100" i="36"/>
  <c r="AA81" i="36"/>
  <c r="AA79" i="36"/>
  <c r="AE42" i="36"/>
  <c r="AE37" i="36"/>
  <c r="AE41" i="36"/>
  <c r="AB55" i="36"/>
  <c r="AB56" i="36" s="1"/>
  <c r="AB63" i="36" s="1"/>
  <c r="AB54" i="36"/>
  <c r="AC46" i="36"/>
  <c r="AC48" i="36" s="1"/>
  <c r="AG22" i="36"/>
  <c r="AF25" i="36"/>
  <c r="AF29" i="36" s="1"/>
  <c r="AF34" i="36" s="1"/>
  <c r="AF23" i="36"/>
  <c r="Z89" i="36"/>
  <c r="Z90" i="36" s="1"/>
  <c r="Z94" i="36"/>
  <c r="Z95" i="36" s="1"/>
  <c r="AD61" i="36"/>
  <c r="AD93" i="36"/>
  <c r="AD47" i="36"/>
  <c r="AD75" i="36"/>
  <c r="AA78" i="36"/>
  <c r="AB73" i="36" s="1"/>
  <c r="F15" i="33"/>
  <c r="C15" i="33"/>
  <c r="BH15" i="12"/>
  <c r="BH54" i="12" s="1"/>
  <c r="BH57" i="12" s="1"/>
  <c r="BH59" i="12" s="1"/>
  <c r="I15" i="33"/>
  <c r="AB65" i="36" l="1"/>
  <c r="AB67" i="36"/>
  <c r="AB76" i="36"/>
  <c r="AB64" i="36"/>
  <c r="AC59" i="36" s="1"/>
  <c r="AE61" i="36"/>
  <c r="AE47" i="36"/>
  <c r="AE93" i="36"/>
  <c r="AE75" i="36"/>
  <c r="AC50" i="36"/>
  <c r="AC53" i="36"/>
  <c r="AC62" i="36"/>
  <c r="AF42" i="36"/>
  <c r="AF37" i="36"/>
  <c r="AF41" i="36"/>
  <c r="AA82" i="36"/>
  <c r="AA83" i="36" s="1"/>
  <c r="AA84" i="36" s="1"/>
  <c r="AH22" i="36"/>
  <c r="AG23" i="36"/>
  <c r="AG25" i="36"/>
  <c r="AG29" i="36" s="1"/>
  <c r="AG34" i="36" s="1"/>
  <c r="AE100" i="36"/>
  <c r="AE52" i="36"/>
  <c r="AB74" i="36"/>
  <c r="AC49" i="36"/>
  <c r="AD45" i="36" s="1"/>
  <c r="AD46" i="36" s="1"/>
  <c r="AD48" i="36" s="1"/>
  <c r="BH16" i="12"/>
  <c r="BH50" i="12"/>
  <c r="BH52" i="12" s="1"/>
  <c r="BI49" i="12" s="1"/>
  <c r="AF52" i="36" l="1"/>
  <c r="AF100" i="36"/>
  <c r="AI22" i="36"/>
  <c r="AH23" i="36"/>
  <c r="AH25" i="36"/>
  <c r="AH29" i="36" s="1"/>
  <c r="AH34" i="36" s="1"/>
  <c r="AA88" i="36"/>
  <c r="AA101" i="36" s="1"/>
  <c r="AA102" i="36" s="1"/>
  <c r="AA87" i="36"/>
  <c r="AG42" i="36"/>
  <c r="AG41" i="36"/>
  <c r="AG37" i="36"/>
  <c r="AB68" i="36"/>
  <c r="AB69" i="36" s="1"/>
  <c r="AB70" i="36" s="1"/>
  <c r="AB77" i="36" s="1"/>
  <c r="AC55" i="36"/>
  <c r="AC56" i="36" s="1"/>
  <c r="AC54" i="36"/>
  <c r="AD49" i="36"/>
  <c r="AE45" i="36" s="1"/>
  <c r="AD62" i="36"/>
  <c r="AD50" i="36"/>
  <c r="AD53" i="36"/>
  <c r="AC60" i="36"/>
  <c r="AF47" i="36"/>
  <c r="AF75" i="36"/>
  <c r="AF61" i="36"/>
  <c r="AF93" i="36"/>
  <c r="BI15" i="12"/>
  <c r="BI54" i="12" s="1"/>
  <c r="BI57" i="12" s="1"/>
  <c r="BI59" i="12" s="1"/>
  <c r="AC63" i="36" l="1"/>
  <c r="AC64" i="36" s="1"/>
  <c r="AD59" i="36" s="1"/>
  <c r="AD60" i="36" s="1"/>
  <c r="AC76" i="36"/>
  <c r="AC67" i="36"/>
  <c r="AC65" i="36"/>
  <c r="AJ22" i="36"/>
  <c r="AI25" i="36"/>
  <c r="AI29" i="36" s="1"/>
  <c r="AI34" i="36" s="1"/>
  <c r="AI23" i="36"/>
  <c r="AG52" i="36"/>
  <c r="AG100" i="36"/>
  <c r="AG75" i="36"/>
  <c r="AG47" i="36"/>
  <c r="AG61" i="36"/>
  <c r="AG93" i="36"/>
  <c r="AA89" i="36"/>
  <c r="AA90" i="36" s="1"/>
  <c r="AA94" i="36"/>
  <c r="AA95" i="36" s="1"/>
  <c r="AH37" i="36"/>
  <c r="AH41" i="36"/>
  <c r="AH42" i="36"/>
  <c r="AD54" i="36"/>
  <c r="AD55" i="36"/>
  <c r="AD56" i="36" s="1"/>
  <c r="AE46" i="36"/>
  <c r="AE48" i="36" s="1"/>
  <c r="AB81" i="36"/>
  <c r="AB79" i="36"/>
  <c r="AB78" i="36"/>
  <c r="AC73" i="36" s="1"/>
  <c r="BI16" i="12"/>
  <c r="BI50" i="12"/>
  <c r="BI52" i="12" s="1"/>
  <c r="BJ49" i="12" s="1"/>
  <c r="AD63" i="36" l="1"/>
  <c r="AD64" i="36" s="1"/>
  <c r="AE59" i="36" s="1"/>
  <c r="AE49" i="36"/>
  <c r="AF45" i="36" s="1"/>
  <c r="AF46" i="36" s="1"/>
  <c r="AF48" i="36" s="1"/>
  <c r="AF49" i="36" s="1"/>
  <c r="AG45" i="36" s="1"/>
  <c r="AH100" i="36"/>
  <c r="AH52" i="36"/>
  <c r="AI37" i="36"/>
  <c r="AI42" i="36"/>
  <c r="AI41" i="36"/>
  <c r="AC74" i="36"/>
  <c r="AC77" i="36" s="1"/>
  <c r="AC78" i="36" s="1"/>
  <c r="AD73" i="36" s="1"/>
  <c r="AD74" i="36" s="1"/>
  <c r="AH93" i="36"/>
  <c r="AH75" i="36"/>
  <c r="AH47" i="36"/>
  <c r="AH61" i="36"/>
  <c r="AK22" i="36"/>
  <c r="AJ25" i="36"/>
  <c r="AJ29" i="36" s="1"/>
  <c r="AJ34" i="36" s="1"/>
  <c r="AJ23" i="36"/>
  <c r="AC68" i="36"/>
  <c r="AC69" i="36" s="1"/>
  <c r="AC70" i="36" s="1"/>
  <c r="AB82" i="36"/>
  <c r="AB83" i="36" s="1"/>
  <c r="AB84" i="36" s="1"/>
  <c r="AE60" i="36"/>
  <c r="AE50" i="36"/>
  <c r="AE53" i="36"/>
  <c r="AE62" i="36"/>
  <c r="AD76" i="36"/>
  <c r="AD67" i="36"/>
  <c r="AD65" i="36"/>
  <c r="BJ15" i="12"/>
  <c r="BJ54" i="12" s="1"/>
  <c r="BJ57" i="12" s="1"/>
  <c r="BJ59" i="12" s="1"/>
  <c r="AG46" i="36" l="1"/>
  <c r="AG48" i="36" s="1"/>
  <c r="AB87" i="36"/>
  <c r="AB88" i="36"/>
  <c r="AB101" i="36" s="1"/>
  <c r="AB102" i="36" s="1"/>
  <c r="AD68" i="36"/>
  <c r="AD69" i="36" s="1"/>
  <c r="AD70" i="36" s="1"/>
  <c r="AD77" i="36" s="1"/>
  <c r="AE55" i="36"/>
  <c r="AE56" i="36" s="1"/>
  <c r="AE63" i="36" s="1"/>
  <c r="AE54" i="36"/>
  <c r="AI52" i="36"/>
  <c r="AI100" i="36"/>
  <c r="AI75" i="36"/>
  <c r="AI61" i="36"/>
  <c r="AI93" i="36"/>
  <c r="AI47" i="36"/>
  <c r="AF62" i="36"/>
  <c r="AF53" i="36"/>
  <c r="AF50" i="36"/>
  <c r="AC81" i="36"/>
  <c r="AC79" i="36"/>
  <c r="AJ37" i="36"/>
  <c r="AJ41" i="36"/>
  <c r="AJ42" i="36"/>
  <c r="AL22" i="36"/>
  <c r="AK23" i="36"/>
  <c r="AK25" i="36"/>
  <c r="AK29" i="36" s="1"/>
  <c r="AK34" i="36" s="1"/>
  <c r="BJ50" i="12"/>
  <c r="BJ52" i="12" s="1"/>
  <c r="BK49" i="12" s="1"/>
  <c r="BJ16" i="12"/>
  <c r="AE67" i="36" l="1"/>
  <c r="AE65" i="36"/>
  <c r="AE76" i="36"/>
  <c r="AE64" i="36"/>
  <c r="AF59" i="36" s="1"/>
  <c r="AD78" i="36"/>
  <c r="AE73" i="36" s="1"/>
  <c r="AD81" i="36"/>
  <c r="AD79" i="36"/>
  <c r="AF55" i="36"/>
  <c r="AF56" i="36" s="1"/>
  <c r="AF54" i="36"/>
  <c r="AC82" i="36"/>
  <c r="AC83" i="36" s="1"/>
  <c r="AC84" i="36" s="1"/>
  <c r="AK42" i="36"/>
  <c r="AK37" i="36"/>
  <c r="AK41" i="36"/>
  <c r="AM22" i="36"/>
  <c r="AL23" i="36"/>
  <c r="AL25" i="36"/>
  <c r="AL29" i="36" s="1"/>
  <c r="AL34" i="36" s="1"/>
  <c r="AB89" i="36"/>
  <c r="AB90" i="36" s="1"/>
  <c r="AB94" i="36"/>
  <c r="AB95" i="36" s="1"/>
  <c r="AJ47" i="36"/>
  <c r="AJ75" i="36"/>
  <c r="AJ93" i="36"/>
  <c r="AJ61" i="36"/>
  <c r="AG50" i="36"/>
  <c r="AG53" i="36"/>
  <c r="AG62" i="36"/>
  <c r="AJ100" i="36"/>
  <c r="AJ52" i="36"/>
  <c r="AG49" i="36"/>
  <c r="AH45" i="36" s="1"/>
  <c r="AH46" i="36" s="1"/>
  <c r="AH48" i="36" s="1"/>
  <c r="BK15" i="12"/>
  <c r="BK54" i="12" s="1"/>
  <c r="BK57" i="12" s="1"/>
  <c r="BK59" i="12" s="1"/>
  <c r="AH49" i="36" l="1"/>
  <c r="AI45" i="36" s="1"/>
  <c r="AH50" i="36"/>
  <c r="AH62" i="36"/>
  <c r="AH53" i="36"/>
  <c r="AM23" i="36"/>
  <c r="AM25" i="36"/>
  <c r="AM29" i="36" s="1"/>
  <c r="AM34" i="36" s="1"/>
  <c r="AD82" i="36"/>
  <c r="AD83" i="36" s="1"/>
  <c r="AD84" i="36" s="1"/>
  <c r="AG54" i="36"/>
  <c r="AG55" i="36"/>
  <c r="AG56" i="36" s="1"/>
  <c r="AC87" i="36"/>
  <c r="AC88" i="36"/>
  <c r="AC101" i="36" s="1"/>
  <c r="AC102" i="36" s="1"/>
  <c r="AL37" i="36"/>
  <c r="AL41" i="36"/>
  <c r="AL42" i="36"/>
  <c r="AE74" i="36"/>
  <c r="AF60" i="36"/>
  <c r="AF63" i="36" s="1"/>
  <c r="AF64" i="36" s="1"/>
  <c r="AG59" i="36" s="1"/>
  <c r="AK100" i="36"/>
  <c r="AK52" i="36"/>
  <c r="AK93" i="36"/>
  <c r="AK47" i="36"/>
  <c r="AK75" i="36"/>
  <c r="AK61" i="36"/>
  <c r="AE68" i="36"/>
  <c r="AE69" i="36" s="1"/>
  <c r="AE70" i="36" s="1"/>
  <c r="BK50" i="12"/>
  <c r="BK52" i="12" s="1"/>
  <c r="BL49" i="12" s="1"/>
  <c r="BK16" i="12"/>
  <c r="AE77" i="36" l="1"/>
  <c r="AE78" i="36"/>
  <c r="AF73" i="36" s="1"/>
  <c r="AG60" i="36"/>
  <c r="AG63" i="36" s="1"/>
  <c r="AM37" i="36"/>
  <c r="C37" i="36" s="1"/>
  <c r="AM42" i="36"/>
  <c r="AM41" i="36"/>
  <c r="C38" i="36"/>
  <c r="C36" i="36"/>
  <c r="C35" i="36"/>
  <c r="I2" i="36"/>
  <c r="I3" i="36"/>
  <c r="AF65" i="36"/>
  <c r="AF67" i="36"/>
  <c r="AF76" i="36"/>
  <c r="AD87" i="36"/>
  <c r="AD88" i="36"/>
  <c r="AD101" i="36" s="1"/>
  <c r="AD102" i="36" s="1"/>
  <c r="AF74" i="36"/>
  <c r="AL75" i="36"/>
  <c r="AL61" i="36"/>
  <c r="AL47" i="36"/>
  <c r="AL93" i="36"/>
  <c r="AE81" i="36"/>
  <c r="AE79" i="36"/>
  <c r="AL100" i="36"/>
  <c r="AL52" i="36"/>
  <c r="AH54" i="36"/>
  <c r="AH55" i="36"/>
  <c r="AH56" i="36" s="1"/>
  <c r="AC89" i="36"/>
  <c r="AC90" i="36" s="1"/>
  <c r="AC94" i="36"/>
  <c r="AC95" i="36" s="1"/>
  <c r="AI46" i="36"/>
  <c r="AI48" i="36" s="1"/>
  <c r="AI49" i="36" s="1"/>
  <c r="AJ45" i="36" s="1"/>
  <c r="BL15" i="12"/>
  <c r="BL54" i="12" s="1"/>
  <c r="BL57" i="12" s="1"/>
  <c r="BL59" i="12" s="1"/>
  <c r="AG64" i="36" l="1"/>
  <c r="AH59" i="36" s="1"/>
  <c r="AJ46" i="36"/>
  <c r="AJ48" i="36" s="1"/>
  <c r="AJ49" i="36" s="1"/>
  <c r="AK45" i="36" s="1"/>
  <c r="AI53" i="36"/>
  <c r="AI50" i="36"/>
  <c r="AI62" i="36"/>
  <c r="AH60" i="36"/>
  <c r="AH63" i="36" s="1"/>
  <c r="AM100" i="36"/>
  <c r="AM52" i="36"/>
  <c r="AD89" i="36"/>
  <c r="AD90" i="36" s="1"/>
  <c r="AD94" i="36"/>
  <c r="AD95" i="36" s="1"/>
  <c r="AM61" i="36"/>
  <c r="AM47" i="36"/>
  <c r="AM93" i="36"/>
  <c r="AM75" i="36"/>
  <c r="AF68" i="36"/>
  <c r="AF69" i="36" s="1"/>
  <c r="AF70" i="36" s="1"/>
  <c r="AF77" i="36" s="1"/>
  <c r="AE82" i="36"/>
  <c r="AE83" i="36" s="1"/>
  <c r="AE84" i="36" s="1"/>
  <c r="AG67" i="36"/>
  <c r="AG65" i="36"/>
  <c r="AG76" i="36"/>
  <c r="BL50" i="12"/>
  <c r="BL52" i="12" s="1"/>
  <c r="BM49" i="12" s="1"/>
  <c r="BL16" i="12"/>
  <c r="AG68" i="36" l="1"/>
  <c r="AG69" i="36" s="1"/>
  <c r="AG70" i="36" s="1"/>
  <c r="AE88" i="36"/>
  <c r="AE101" i="36" s="1"/>
  <c r="AE102" i="36" s="1"/>
  <c r="AE87" i="36"/>
  <c r="AH64" i="36"/>
  <c r="AI59" i="36" s="1"/>
  <c r="AI60" i="36" s="1"/>
  <c r="AF81" i="36"/>
  <c r="AF79" i="36"/>
  <c r="AF78" i="36"/>
  <c r="AG73" i="36" s="1"/>
  <c r="AI55" i="36"/>
  <c r="AI56" i="36" s="1"/>
  <c r="AI54" i="36"/>
  <c r="AK46" i="36"/>
  <c r="AK48" i="36" s="1"/>
  <c r="AH76" i="36"/>
  <c r="AH67" i="36"/>
  <c r="AH65" i="36"/>
  <c r="AJ50" i="36"/>
  <c r="AJ62" i="36"/>
  <c r="AJ53" i="36"/>
  <c r="BM15" i="12"/>
  <c r="BM54" i="12" s="1"/>
  <c r="BM57" i="12" s="1"/>
  <c r="BM59" i="12" s="1"/>
  <c r="AJ55" i="36" l="1"/>
  <c r="AJ56" i="36" s="1"/>
  <c r="AJ54" i="36"/>
  <c r="AF82" i="36"/>
  <c r="AF83" i="36" s="1"/>
  <c r="AF84" i="36" s="1"/>
  <c r="AE89" i="36"/>
  <c r="AE90" i="36" s="1"/>
  <c r="AE94" i="36"/>
  <c r="AE95" i="36" s="1"/>
  <c r="AK53" i="36"/>
  <c r="AK50" i="36"/>
  <c r="AK62" i="36"/>
  <c r="AI63" i="36"/>
  <c r="AH68" i="36"/>
  <c r="AH69" i="36" s="1"/>
  <c r="AH70" i="36" s="1"/>
  <c r="AG74" i="36"/>
  <c r="AG77" i="36" s="1"/>
  <c r="AK49" i="36"/>
  <c r="AL45" i="36" s="1"/>
  <c r="BM50" i="12"/>
  <c r="BM52" i="12" s="1"/>
  <c r="BN49" i="12" s="1"/>
  <c r="BM16" i="12"/>
  <c r="AG78" i="36" l="1"/>
  <c r="AH73" i="36" s="1"/>
  <c r="AI64" i="36"/>
  <c r="AJ59" i="36" s="1"/>
  <c r="AJ60" i="36" s="1"/>
  <c r="AJ63" i="36" s="1"/>
  <c r="AI67" i="36"/>
  <c r="AI65" i="36"/>
  <c r="AI76" i="36"/>
  <c r="AK55" i="36"/>
  <c r="AK56" i="36" s="1"/>
  <c r="AK54" i="36"/>
  <c r="AL46" i="36"/>
  <c r="AL48" i="36" s="1"/>
  <c r="AH74" i="36"/>
  <c r="AH77" i="36" s="1"/>
  <c r="AH78" i="36" s="1"/>
  <c r="AI73" i="36" s="1"/>
  <c r="AG79" i="36"/>
  <c r="AG81" i="36"/>
  <c r="AF88" i="36"/>
  <c r="AF101" i="36" s="1"/>
  <c r="AF102" i="36" s="1"/>
  <c r="AF87" i="36"/>
  <c r="BN15" i="12"/>
  <c r="BN54" i="12" s="1"/>
  <c r="BN57" i="12" s="1"/>
  <c r="BN59" i="12" s="1"/>
  <c r="AL50" i="36" l="1"/>
  <c r="AL62" i="36"/>
  <c r="AL53" i="36"/>
  <c r="AI74" i="36"/>
  <c r="AL49" i="36"/>
  <c r="AM45" i="36" s="1"/>
  <c r="AI68" i="36"/>
  <c r="AI69" i="36" s="1"/>
  <c r="AI70" i="36" s="1"/>
  <c r="AI77" i="36" s="1"/>
  <c r="AH81" i="36"/>
  <c r="AH79" i="36"/>
  <c r="AF89" i="36"/>
  <c r="AF90" i="36" s="1"/>
  <c r="AF94" i="36"/>
  <c r="AF95" i="36" s="1"/>
  <c r="AG82" i="36"/>
  <c r="AG83" i="36" s="1"/>
  <c r="AG84" i="36" s="1"/>
  <c r="AJ64" i="36"/>
  <c r="AK59" i="36" s="1"/>
  <c r="AJ65" i="36"/>
  <c r="AJ76" i="36"/>
  <c r="AJ67" i="36"/>
  <c r="BN16" i="12"/>
  <c r="BN50" i="12"/>
  <c r="BN52" i="12" s="1"/>
  <c r="BO49" i="12" s="1"/>
  <c r="AI81" i="36" l="1"/>
  <c r="AI79" i="36"/>
  <c r="AI78" i="36"/>
  <c r="AJ73" i="36" s="1"/>
  <c r="AJ68" i="36"/>
  <c r="AJ69" i="36" s="1"/>
  <c r="AJ70" i="36" s="1"/>
  <c r="AM46" i="36"/>
  <c r="AM48" i="36" s="1"/>
  <c r="AG87" i="36"/>
  <c r="AG88" i="36"/>
  <c r="AG101" i="36" s="1"/>
  <c r="AG102" i="36" s="1"/>
  <c r="AH82" i="36"/>
  <c r="AH83" i="36" s="1"/>
  <c r="AH84" i="36" s="1"/>
  <c r="AK60" i="36"/>
  <c r="AK63" i="36" s="1"/>
  <c r="AL55" i="36"/>
  <c r="AL56" i="36" s="1"/>
  <c r="AL54" i="36"/>
  <c r="BO15" i="12"/>
  <c r="BO54" i="12" s="1"/>
  <c r="BO57" i="12" s="1"/>
  <c r="BO59" i="12" s="1"/>
  <c r="AK64" i="36" l="1"/>
  <c r="AL59" i="36" s="1"/>
  <c r="AM53" i="36"/>
  <c r="AM62" i="36"/>
  <c r="AM50" i="36"/>
  <c r="AG89" i="36"/>
  <c r="AG90" i="36" s="1"/>
  <c r="AG94" i="36"/>
  <c r="AG95" i="36" s="1"/>
  <c r="AM49" i="36"/>
  <c r="AN45" i="36" s="1"/>
  <c r="AL60" i="36"/>
  <c r="AL63" i="36" s="1"/>
  <c r="AK76" i="36"/>
  <c r="AK65" i="36"/>
  <c r="AK67" i="36"/>
  <c r="AJ74" i="36"/>
  <c r="AJ77" i="36" s="1"/>
  <c r="AH88" i="36"/>
  <c r="AH101" i="36" s="1"/>
  <c r="AH102" i="36" s="1"/>
  <c r="AH87" i="36"/>
  <c r="AI82" i="36"/>
  <c r="AI83" i="36" s="1"/>
  <c r="AI84" i="36" s="1"/>
  <c r="BO16" i="12"/>
  <c r="BO50" i="12"/>
  <c r="BO52" i="12" s="1"/>
  <c r="BP49" i="12" s="1"/>
  <c r="AN46" i="36" l="1"/>
  <c r="AN48" i="36"/>
  <c r="AN49" i="36"/>
  <c r="AO45" i="36" s="1"/>
  <c r="AJ78" i="36"/>
  <c r="AK73" i="36" s="1"/>
  <c r="AK74" i="36" s="1"/>
  <c r="AL64" i="36"/>
  <c r="AM59" i="36" s="1"/>
  <c r="AM60" i="36" s="1"/>
  <c r="AI88" i="36"/>
  <c r="AI101" i="36" s="1"/>
  <c r="AI102" i="36" s="1"/>
  <c r="AI87" i="36"/>
  <c r="AL76" i="36"/>
  <c r="AL67" i="36"/>
  <c r="AL65" i="36"/>
  <c r="AH89" i="36"/>
  <c r="AH90" i="36" s="1"/>
  <c r="AH94" i="36"/>
  <c r="AH95" i="36" s="1"/>
  <c r="AJ79" i="36"/>
  <c r="AJ81" i="36"/>
  <c r="AK68" i="36"/>
  <c r="AK69" i="36" s="1"/>
  <c r="AK70" i="36" s="1"/>
  <c r="AM55" i="36"/>
  <c r="AM56" i="36" s="1"/>
  <c r="AM54" i="36"/>
  <c r="BP15" i="12"/>
  <c r="BP54" i="12" s="1"/>
  <c r="BP57" i="12" s="1"/>
  <c r="BP59" i="12" s="1"/>
  <c r="AO46" i="36" l="1"/>
  <c r="AO48" i="36" s="1"/>
  <c r="AN53" i="36"/>
  <c r="AN62" i="36"/>
  <c r="AN50" i="36"/>
  <c r="AK77" i="36"/>
  <c r="AK78" i="36" s="1"/>
  <c r="AL73" i="36" s="1"/>
  <c r="AL74" i="36" s="1"/>
  <c r="AM63" i="36"/>
  <c r="AM64" i="36" s="1"/>
  <c r="AN59" i="36" s="1"/>
  <c r="AM67" i="36"/>
  <c r="AM65" i="36"/>
  <c r="AJ82" i="36"/>
  <c r="AJ83" i="36" s="1"/>
  <c r="AJ84" i="36" s="1"/>
  <c r="AI89" i="36"/>
  <c r="AI90" i="36" s="1"/>
  <c r="AI94" i="36"/>
  <c r="AI95" i="36" s="1"/>
  <c r="AL68" i="36"/>
  <c r="AL69" i="36" s="1"/>
  <c r="AL70" i="36" s="1"/>
  <c r="BP16" i="12"/>
  <c r="BP50" i="12"/>
  <c r="F15" i="12"/>
  <c r="AO53" i="36" l="1"/>
  <c r="AO62" i="36"/>
  <c r="AO50" i="36"/>
  <c r="AO49" i="36"/>
  <c r="AP45" i="36" s="1"/>
  <c r="AM76" i="36"/>
  <c r="AK79" i="36"/>
  <c r="AK81" i="36"/>
  <c r="AK82" i="36" s="1"/>
  <c r="AK83" i="36" s="1"/>
  <c r="AK84" i="36" s="1"/>
  <c r="AN54" i="36"/>
  <c r="AN55" i="36"/>
  <c r="AN56" i="36" s="1"/>
  <c r="AN60" i="36"/>
  <c r="AN63" i="36" s="1"/>
  <c r="AN64" i="36" s="1"/>
  <c r="AO59" i="36" s="1"/>
  <c r="AJ87" i="36"/>
  <c r="AJ88" i="36"/>
  <c r="AJ101" i="36" s="1"/>
  <c r="AJ102" i="36" s="1"/>
  <c r="AL77" i="36"/>
  <c r="AM68" i="36"/>
  <c r="AM69" i="36" s="1"/>
  <c r="AM70" i="36" s="1"/>
  <c r="E19" i="33"/>
  <c r="G15" i="12"/>
  <c r="G16" i="12" s="1"/>
  <c r="H1" i="12" s="1"/>
  <c r="F16" i="12"/>
  <c r="F50" i="12"/>
  <c r="F52" i="12" s="1"/>
  <c r="BP52" i="12"/>
  <c r="AP46" i="36" l="1"/>
  <c r="AP48" i="36"/>
  <c r="AP49" i="36"/>
  <c r="AQ45" i="36" s="1"/>
  <c r="AO54" i="36"/>
  <c r="AO55" i="36"/>
  <c r="AO56" i="36" s="1"/>
  <c r="AJ89" i="36"/>
  <c r="AJ90" i="36" s="1"/>
  <c r="AJ94" i="36"/>
  <c r="AJ95" i="36" s="1"/>
  <c r="AL81" i="36"/>
  <c r="AL79" i="36"/>
  <c r="AL78" i="36"/>
  <c r="AM73" i="36" s="1"/>
  <c r="AK88" i="36"/>
  <c r="AK101" i="36" s="1"/>
  <c r="AK102" i="36" s="1"/>
  <c r="AK87" i="36"/>
  <c r="AO60" i="36"/>
  <c r="AN76" i="36"/>
  <c r="AN65" i="36"/>
  <c r="AN67" i="36"/>
  <c r="G50" i="12"/>
  <c r="G52" i="12" s="1"/>
  <c r="E21" i="33"/>
  <c r="G19" i="33"/>
  <c r="G21" i="33" s="1"/>
  <c r="H19" i="33"/>
  <c r="AQ46" i="36" l="1"/>
  <c r="AQ48" i="36" s="1"/>
  <c r="AQ49" i="36" s="1"/>
  <c r="AR45" i="36" s="1"/>
  <c r="AO63" i="36"/>
  <c r="AO64" i="36" s="1"/>
  <c r="AP59" i="36" s="1"/>
  <c r="AP62" i="36"/>
  <c r="AP53" i="36"/>
  <c r="AP50" i="36"/>
  <c r="AO67" i="36"/>
  <c r="AO76" i="36"/>
  <c r="AO65" i="36"/>
  <c r="AK89" i="36"/>
  <c r="AK90" i="36" s="1"/>
  <c r="AK94" i="36"/>
  <c r="AK95" i="36" s="1"/>
  <c r="AM74" i="36"/>
  <c r="AM77" i="36" s="1"/>
  <c r="AL82" i="36"/>
  <c r="AL83" i="36" s="1"/>
  <c r="AL84" i="36" s="1"/>
  <c r="AN68" i="36"/>
  <c r="AN69" i="36" s="1"/>
  <c r="AN70" i="36" s="1"/>
  <c r="H21" i="33"/>
  <c r="J19" i="33"/>
  <c r="J21" i="33" s="1"/>
  <c r="AP55" i="36" l="1"/>
  <c r="AP56" i="36" s="1"/>
  <c r="AP54" i="36"/>
  <c r="AR46" i="36"/>
  <c r="AR48" i="36" s="1"/>
  <c r="AQ53" i="36"/>
  <c r="AQ62" i="36"/>
  <c r="AQ50" i="36"/>
  <c r="AM79" i="36"/>
  <c r="AM81" i="36"/>
  <c r="AM78" i="36"/>
  <c r="AN73" i="36" s="1"/>
  <c r="AP60" i="36"/>
  <c r="AP63" i="36" s="1"/>
  <c r="AL88" i="36"/>
  <c r="AL101" i="36" s="1"/>
  <c r="AL102" i="36" s="1"/>
  <c r="AL87" i="36"/>
  <c r="AO68" i="36"/>
  <c r="AO69" i="36" s="1"/>
  <c r="AO70" i="36" s="1"/>
  <c r="F18" i="33"/>
  <c r="I18" i="33"/>
  <c r="C18" i="33"/>
  <c r="H23" i="33"/>
  <c r="H25" i="33" s="1"/>
  <c r="C19" i="33"/>
  <c r="C20" i="33"/>
  <c r="F20" i="33"/>
  <c r="I20" i="33"/>
  <c r="F19" i="33"/>
  <c r="I19" i="33"/>
  <c r="AR50" i="36" l="1"/>
  <c r="AR53" i="36"/>
  <c r="AR62" i="36"/>
  <c r="AQ54" i="36"/>
  <c r="AQ55" i="36"/>
  <c r="AQ56" i="36" s="1"/>
  <c r="AR49" i="36"/>
  <c r="AS45" i="36" s="1"/>
  <c r="AP64" i="36"/>
  <c r="AQ59" i="36" s="1"/>
  <c r="AL89" i="36"/>
  <c r="AL90" i="36" s="1"/>
  <c r="AL94" i="36"/>
  <c r="AL95" i="36" s="1"/>
  <c r="AQ60" i="36"/>
  <c r="AQ63" i="36" s="1"/>
  <c r="AP67" i="36"/>
  <c r="AP65" i="36"/>
  <c r="AP76" i="36"/>
  <c r="AN74" i="36"/>
  <c r="AN77" i="36" s="1"/>
  <c r="AM82" i="36"/>
  <c r="C21" i="33"/>
  <c r="I21" i="33"/>
  <c r="F21" i="33"/>
  <c r="AS46" i="36" l="1"/>
  <c r="AS48" i="36"/>
  <c r="AS49" i="36"/>
  <c r="AT45" i="36" s="1"/>
  <c r="AR54" i="36"/>
  <c r="AR55" i="36"/>
  <c r="AR56" i="36" s="1"/>
  <c r="AM83" i="36"/>
  <c r="AM84" i="36" s="1"/>
  <c r="AN78" i="36"/>
  <c r="AO73" i="36" s="1"/>
  <c r="AO74" i="36" s="1"/>
  <c r="AO77" i="36" s="1"/>
  <c r="AO78" i="36" s="1"/>
  <c r="AP73" i="36" s="1"/>
  <c r="AQ64" i="36"/>
  <c r="AR59" i="36" s="1"/>
  <c r="AR60" i="36" s="1"/>
  <c r="AR63" i="36" s="1"/>
  <c r="AN81" i="36"/>
  <c r="AN79" i="36"/>
  <c r="AP68" i="36"/>
  <c r="AP69" i="36" s="1"/>
  <c r="AP70" i="36" s="1"/>
  <c r="AQ67" i="36"/>
  <c r="AQ76" i="36"/>
  <c r="AQ65" i="36"/>
  <c r="AT46" i="36" l="1"/>
  <c r="AT48" i="36"/>
  <c r="AT49" i="36"/>
  <c r="AU45" i="36" s="1"/>
  <c r="AS53" i="36"/>
  <c r="AS62" i="36"/>
  <c r="AS50" i="36"/>
  <c r="AM87" i="36"/>
  <c r="AM88" i="36"/>
  <c r="AM101" i="36" s="1"/>
  <c r="AM102" i="36" s="1"/>
  <c r="AR64" i="36"/>
  <c r="AS59" i="36" s="1"/>
  <c r="AR65" i="36"/>
  <c r="AR76" i="36"/>
  <c r="AR67" i="36"/>
  <c r="AN82" i="36"/>
  <c r="AN83" i="36" s="1"/>
  <c r="AN84" i="36" s="1"/>
  <c r="AP74" i="36"/>
  <c r="AP77" i="36" s="1"/>
  <c r="AO79" i="36"/>
  <c r="AO81" i="36"/>
  <c r="AQ68" i="36"/>
  <c r="AQ69" i="36" s="1"/>
  <c r="AQ70" i="36" s="1"/>
  <c r="AM94" i="36"/>
  <c r="AM95" i="36" s="1"/>
  <c r="AS55" i="36" l="1"/>
  <c r="AS56" i="36" s="1"/>
  <c r="AS54" i="36"/>
  <c r="AU46" i="36"/>
  <c r="AU48" i="36" s="1"/>
  <c r="AU49" i="36"/>
  <c r="AV45" i="36" s="1"/>
  <c r="AT62" i="36"/>
  <c r="AT53" i="36"/>
  <c r="AT50" i="36"/>
  <c r="AM89" i="36"/>
  <c r="AM90" i="36" s="1"/>
  <c r="AP78" i="36"/>
  <c r="AQ73" i="36" s="1"/>
  <c r="AQ74" i="36" s="1"/>
  <c r="AQ77" i="36" s="1"/>
  <c r="AQ78" i="36" s="1"/>
  <c r="AR73" i="36" s="1"/>
  <c r="AO82" i="36"/>
  <c r="AO83" i="36" s="1"/>
  <c r="AO84" i="36" s="1"/>
  <c r="AP81" i="36"/>
  <c r="AP79" i="36"/>
  <c r="AN88" i="36"/>
  <c r="AN101" i="36" s="1"/>
  <c r="AN102" i="36" s="1"/>
  <c r="AN87" i="36"/>
  <c r="AR68" i="36"/>
  <c r="AR69" i="36" s="1"/>
  <c r="AR70" i="36" s="1"/>
  <c r="AS60" i="36"/>
  <c r="AS63" i="36" s="1"/>
  <c r="AT55" i="36" l="1"/>
  <c r="AT56" i="36" s="1"/>
  <c r="AT54" i="36"/>
  <c r="AV46" i="36"/>
  <c r="AV48" i="36" s="1"/>
  <c r="AU50" i="36"/>
  <c r="AU62" i="36"/>
  <c r="AU53" i="36"/>
  <c r="AS76" i="36"/>
  <c r="AS65" i="36"/>
  <c r="AS67" i="36"/>
  <c r="AN89" i="36"/>
  <c r="AN90" i="36" s="1"/>
  <c r="AN94" i="36"/>
  <c r="AN95" i="36" s="1"/>
  <c r="AP82" i="36"/>
  <c r="AP83" i="36" s="1"/>
  <c r="AP84" i="36" s="1"/>
  <c r="AO87" i="36"/>
  <c r="AO88" i="36"/>
  <c r="AO101" i="36" s="1"/>
  <c r="AO102" i="36" s="1"/>
  <c r="AR74" i="36"/>
  <c r="AR77" i="36" s="1"/>
  <c r="AS64" i="36"/>
  <c r="AT59" i="36" s="1"/>
  <c r="AQ81" i="36"/>
  <c r="AQ79" i="36"/>
  <c r="AU55" i="36" l="1"/>
  <c r="AU56" i="36" s="1"/>
  <c r="AU54" i="36"/>
  <c r="AV62" i="36"/>
  <c r="AV53" i="36"/>
  <c r="AV50" i="36"/>
  <c r="AV49" i="36"/>
  <c r="AW45" i="36" s="1"/>
  <c r="AR78" i="36"/>
  <c r="AS73" i="36" s="1"/>
  <c r="AS74" i="36" s="1"/>
  <c r="AP88" i="36"/>
  <c r="AP101" i="36" s="1"/>
  <c r="AP102" i="36" s="1"/>
  <c r="AP87" i="36"/>
  <c r="AR81" i="36"/>
  <c r="AR79" i="36"/>
  <c r="AO89" i="36"/>
  <c r="AO90" i="36" s="1"/>
  <c r="AO94" i="36"/>
  <c r="AO95" i="36" s="1"/>
  <c r="AS68" i="36"/>
  <c r="AS69" i="36" s="1"/>
  <c r="AS70" i="36" s="1"/>
  <c r="AQ82" i="36"/>
  <c r="AQ83" i="36" s="1"/>
  <c r="AQ84" i="36" s="1"/>
  <c r="AT60" i="36"/>
  <c r="AT63" i="36" s="1"/>
  <c r="AW46" i="36" l="1"/>
  <c r="AW48" i="36"/>
  <c r="AV54" i="36"/>
  <c r="AV55" i="36"/>
  <c r="AV56" i="36" s="1"/>
  <c r="AT64" i="36"/>
  <c r="AU59" i="36" s="1"/>
  <c r="AU60" i="36" s="1"/>
  <c r="AU63" i="36" s="1"/>
  <c r="AU76" i="36" s="1"/>
  <c r="AQ88" i="36"/>
  <c r="AQ101" i="36" s="1"/>
  <c r="AQ102" i="36" s="1"/>
  <c r="AQ87" i="36"/>
  <c r="AR82" i="36"/>
  <c r="AR83" i="36" s="1"/>
  <c r="AR84" i="36" s="1"/>
  <c r="AP89" i="36"/>
  <c r="AP90" i="36" s="1"/>
  <c r="AP94" i="36"/>
  <c r="AP95" i="36" s="1"/>
  <c r="AT65" i="36"/>
  <c r="AT76" i="36"/>
  <c r="AT67" i="36"/>
  <c r="AS77" i="36"/>
  <c r="AW62" i="36" l="1"/>
  <c r="AW53" i="36"/>
  <c r="AW50" i="36"/>
  <c r="AU67" i="36"/>
  <c r="AU65" i="36"/>
  <c r="AW49" i="36"/>
  <c r="AX45" i="36" s="1"/>
  <c r="AU64" i="36"/>
  <c r="AV59" i="36" s="1"/>
  <c r="AU68" i="36"/>
  <c r="AU69" i="36" s="1"/>
  <c r="AU70" i="36" s="1"/>
  <c r="AV60" i="36"/>
  <c r="AV63" i="36" s="1"/>
  <c r="AV64" i="36" s="1"/>
  <c r="AW59" i="36" s="1"/>
  <c r="AW60" i="36" s="1"/>
  <c r="AS81" i="36"/>
  <c r="AS79" i="36"/>
  <c r="AS78" i="36"/>
  <c r="AT73" i="36" s="1"/>
  <c r="AR87" i="36"/>
  <c r="AR88" i="36"/>
  <c r="AR101" i="36" s="1"/>
  <c r="AR102" i="36" s="1"/>
  <c r="AT68" i="36"/>
  <c r="AT69" i="36" s="1"/>
  <c r="AT70" i="36" s="1"/>
  <c r="AQ89" i="36"/>
  <c r="AQ90" i="36" s="1"/>
  <c r="AQ94" i="36"/>
  <c r="AQ95" i="36" s="1"/>
  <c r="AX46" i="36" l="1"/>
  <c r="AX48" i="36" s="1"/>
  <c r="AX49" i="36"/>
  <c r="AY45" i="36" s="1"/>
  <c r="AW55" i="36"/>
  <c r="AW56" i="36" s="1"/>
  <c r="AW63" i="36" s="1"/>
  <c r="AW54" i="36"/>
  <c r="AT74" i="36"/>
  <c r="AT77" i="36" s="1"/>
  <c r="AS82" i="36"/>
  <c r="AS83" i="36" s="1"/>
  <c r="AS84" i="36" s="1"/>
  <c r="AR89" i="36"/>
  <c r="AR90" i="36" s="1"/>
  <c r="AR94" i="36"/>
  <c r="AR95" i="36" s="1"/>
  <c r="AV76" i="36"/>
  <c r="AV67" i="36"/>
  <c r="AV65" i="36"/>
  <c r="AW64" i="36" l="1"/>
  <c r="AX59" i="36" s="1"/>
  <c r="AX60" i="36" s="1"/>
  <c r="AW65" i="36"/>
  <c r="AW67" i="36"/>
  <c r="AW76" i="36"/>
  <c r="AY46" i="36"/>
  <c r="AY48" i="36" s="1"/>
  <c r="AY49" i="36" s="1"/>
  <c r="AZ45" i="36" s="1"/>
  <c r="AX62" i="36"/>
  <c r="AX53" i="36"/>
  <c r="AX50" i="36"/>
  <c r="AT79" i="36"/>
  <c r="AT81" i="36"/>
  <c r="AT78" i="36"/>
  <c r="AU73" i="36" s="1"/>
  <c r="AS87" i="36"/>
  <c r="AS88" i="36"/>
  <c r="AS101" i="36" s="1"/>
  <c r="AS102" i="36" s="1"/>
  <c r="AW68" i="36"/>
  <c r="AW69" i="36" s="1"/>
  <c r="AW70" i="36" s="1"/>
  <c r="AV68" i="36"/>
  <c r="AV69" i="36" s="1"/>
  <c r="AV70" i="36" s="1"/>
  <c r="AZ46" i="36" l="1"/>
  <c r="AZ48" i="36" s="1"/>
  <c r="AZ49" i="36"/>
  <c r="BA45" i="36" s="1"/>
  <c r="AX54" i="36"/>
  <c r="AX55" i="36"/>
  <c r="AX56" i="36" s="1"/>
  <c r="AY62" i="36"/>
  <c r="AY53" i="36"/>
  <c r="AY50" i="36"/>
  <c r="AX63" i="36"/>
  <c r="AS89" i="36"/>
  <c r="AS90" i="36" s="1"/>
  <c r="AS94" i="36"/>
  <c r="AS95" i="36" s="1"/>
  <c r="AU74" i="36"/>
  <c r="AT82" i="36"/>
  <c r="AT83" i="36" s="1"/>
  <c r="AT84" i="36" s="1"/>
  <c r="AX76" i="36" l="1"/>
  <c r="AX67" i="36"/>
  <c r="AX68" i="36" s="1"/>
  <c r="AX69" i="36" s="1"/>
  <c r="AX70" i="36" s="1"/>
  <c r="AX65" i="36"/>
  <c r="AY55" i="36"/>
  <c r="AY56" i="36" s="1"/>
  <c r="AY54" i="36"/>
  <c r="BA46" i="36"/>
  <c r="BA48" i="36"/>
  <c r="BA49" i="36" s="1"/>
  <c r="BB45" i="36" s="1"/>
  <c r="AZ53" i="36"/>
  <c r="AZ62" i="36"/>
  <c r="AZ50" i="36"/>
  <c r="AX64" i="36"/>
  <c r="AY59" i="36" s="1"/>
  <c r="AU77" i="36"/>
  <c r="AT88" i="36"/>
  <c r="AT101" i="36" s="1"/>
  <c r="AT102" i="36" s="1"/>
  <c r="AT87" i="36"/>
  <c r="BB46" i="36" l="1"/>
  <c r="BB48" i="36"/>
  <c r="AZ54" i="36"/>
  <c r="AZ55" i="36"/>
  <c r="AZ56" i="36" s="1"/>
  <c r="BA62" i="36"/>
  <c r="BA53" i="36"/>
  <c r="BA50" i="36"/>
  <c r="AY60" i="36"/>
  <c r="AY63" i="36" s="1"/>
  <c r="AT89" i="36"/>
  <c r="AT90" i="36" s="1"/>
  <c r="AT94" i="36"/>
  <c r="AT95" i="36" s="1"/>
  <c r="AU79" i="36"/>
  <c r="AU81" i="36"/>
  <c r="AU78" i="36"/>
  <c r="AV73" i="36" s="1"/>
  <c r="AV74" i="36" s="1"/>
  <c r="AV77" i="36" s="1"/>
  <c r="AY67" i="36" l="1"/>
  <c r="AY68" i="36" s="1"/>
  <c r="AY69" i="36" s="1"/>
  <c r="AY70" i="36" s="1"/>
  <c r="AY65" i="36"/>
  <c r="AY76" i="36"/>
  <c r="AY64" i="36"/>
  <c r="AZ59" i="36" s="1"/>
  <c r="BA54" i="36"/>
  <c r="BA55" i="36"/>
  <c r="BA56" i="36" s="1"/>
  <c r="BB62" i="36"/>
  <c r="BB53" i="36"/>
  <c r="BB50" i="36"/>
  <c r="BB49" i="36"/>
  <c r="BC45" i="36" s="1"/>
  <c r="AU82" i="36"/>
  <c r="AU83" i="36" s="1"/>
  <c r="AU84" i="36" s="1"/>
  <c r="AV78" i="36"/>
  <c r="AW73" i="36" s="1"/>
  <c r="AV81" i="36"/>
  <c r="AV79" i="36"/>
  <c r="BC46" i="36" l="1"/>
  <c r="BC48" i="36"/>
  <c r="BB55" i="36"/>
  <c r="BB56" i="36" s="1"/>
  <c r="BB54" i="36"/>
  <c r="AZ60" i="36"/>
  <c r="AZ63" i="36" s="1"/>
  <c r="AV82" i="36"/>
  <c r="AV83" i="36" s="1"/>
  <c r="AV84" i="36" s="1"/>
  <c r="AW74" i="36"/>
  <c r="AW77" i="36" s="1"/>
  <c r="AW78" i="36" s="1"/>
  <c r="AX73" i="36" s="1"/>
  <c r="AU87" i="36"/>
  <c r="AU88" i="36"/>
  <c r="AU101" i="36" s="1"/>
  <c r="AU102" i="36" s="1"/>
  <c r="AZ76" i="36" l="1"/>
  <c r="AZ65" i="36"/>
  <c r="AZ67" i="36"/>
  <c r="AZ68" i="36" s="1"/>
  <c r="AZ69" i="36" s="1"/>
  <c r="AZ70" i="36" s="1"/>
  <c r="BC62" i="36"/>
  <c r="BC53" i="36"/>
  <c r="BC50" i="36"/>
  <c r="AZ64" i="36"/>
  <c r="BA59" i="36" s="1"/>
  <c r="BC49" i="36"/>
  <c r="BD45" i="36" s="1"/>
  <c r="AU89" i="36"/>
  <c r="AU90" i="36" s="1"/>
  <c r="AU94" i="36"/>
  <c r="AU95" i="36" s="1"/>
  <c r="AX74" i="36"/>
  <c r="AX77" i="36" s="1"/>
  <c r="AW79" i="36"/>
  <c r="AW81" i="36"/>
  <c r="AV87" i="36"/>
  <c r="AV88" i="36"/>
  <c r="AV101" i="36" s="1"/>
  <c r="AV102" i="36" s="1"/>
  <c r="BD46" i="36" l="1"/>
  <c r="BD48" i="36"/>
  <c r="BD49" i="36"/>
  <c r="BE45" i="36" s="1"/>
  <c r="BA60" i="36"/>
  <c r="BA63" i="36" s="1"/>
  <c r="BA64" i="36"/>
  <c r="BB59" i="36" s="1"/>
  <c r="BC54" i="36"/>
  <c r="BC55" i="36"/>
  <c r="BC56" i="36" s="1"/>
  <c r="AW82" i="36"/>
  <c r="AW83" i="36" s="1"/>
  <c r="AW84" i="36" s="1"/>
  <c r="AX78" i="36"/>
  <c r="AY73" i="36" s="1"/>
  <c r="AX79" i="36"/>
  <c r="AX81" i="36"/>
  <c r="AV89" i="36"/>
  <c r="AV90" i="36" s="1"/>
  <c r="AV94" i="36"/>
  <c r="AV95" i="36" s="1"/>
  <c r="BE46" i="36" l="1"/>
  <c r="BE48" i="36"/>
  <c r="BE49" i="36"/>
  <c r="BF45" i="36" s="1"/>
  <c r="BD53" i="36"/>
  <c r="BD62" i="36"/>
  <c r="BD50" i="36"/>
  <c r="BB60" i="36"/>
  <c r="BB63" i="36" s="1"/>
  <c r="BB64" i="36" s="1"/>
  <c r="BC59" i="36" s="1"/>
  <c r="BA67" i="36"/>
  <c r="BA68" i="36" s="1"/>
  <c r="BA69" i="36" s="1"/>
  <c r="BA70" i="36" s="1"/>
  <c r="BA65" i="36"/>
  <c r="BA76" i="36"/>
  <c r="AX82" i="36"/>
  <c r="AX83" i="36" s="1"/>
  <c r="AX84" i="36" s="1"/>
  <c r="AY74" i="36"/>
  <c r="AY77" i="36" s="1"/>
  <c r="AW88" i="36"/>
  <c r="AW101" i="36" s="1"/>
  <c r="AW102" i="36" s="1"/>
  <c r="AW87" i="36"/>
  <c r="BC60" i="36" l="1"/>
  <c r="BC63" i="36" s="1"/>
  <c r="BC64" i="36"/>
  <c r="BD59" i="36" s="1"/>
  <c r="BB76" i="36"/>
  <c r="BB67" i="36"/>
  <c r="BB68" i="36" s="1"/>
  <c r="BB69" i="36" s="1"/>
  <c r="BB70" i="36" s="1"/>
  <c r="BB65" i="36"/>
  <c r="BD54" i="36"/>
  <c r="BD55" i="36"/>
  <c r="BD56" i="36" s="1"/>
  <c r="BF46" i="36"/>
  <c r="BF48" i="36" s="1"/>
  <c r="BE62" i="36"/>
  <c r="BE53" i="36"/>
  <c r="BE50" i="36"/>
  <c r="AY78" i="36"/>
  <c r="AZ73" i="36" s="1"/>
  <c r="AW89" i="36"/>
  <c r="AW90" i="36" s="1"/>
  <c r="AW94" i="36"/>
  <c r="AW95" i="36" s="1"/>
  <c r="AZ74" i="36"/>
  <c r="AZ77" i="36" s="1"/>
  <c r="AY81" i="36"/>
  <c r="AY79" i="36"/>
  <c r="AX88" i="36"/>
  <c r="AX101" i="36" s="1"/>
  <c r="AX102" i="36" s="1"/>
  <c r="AX87" i="36"/>
  <c r="BE55" i="36" l="1"/>
  <c r="BE56" i="36" s="1"/>
  <c r="BE54" i="36"/>
  <c r="BF62" i="36"/>
  <c r="BF53" i="36"/>
  <c r="BF50" i="36"/>
  <c r="BF49" i="36"/>
  <c r="BG45" i="36" s="1"/>
  <c r="BD60" i="36"/>
  <c r="BD63" i="36" s="1"/>
  <c r="BC65" i="36"/>
  <c r="BC76" i="36"/>
  <c r="BC67" i="36"/>
  <c r="BC68" i="36" s="1"/>
  <c r="BC69" i="36" s="1"/>
  <c r="BC70" i="36" s="1"/>
  <c r="AY82" i="36"/>
  <c r="AY83" i="36" s="1"/>
  <c r="AY84" i="36" s="1"/>
  <c r="AZ79" i="36"/>
  <c r="AZ81" i="36"/>
  <c r="AX89" i="36"/>
  <c r="AX90" i="36" s="1"/>
  <c r="AX94" i="36"/>
  <c r="AX95" i="36" s="1"/>
  <c r="AZ78" i="36"/>
  <c r="BA73" i="36" s="1"/>
  <c r="BD64" i="36" l="1"/>
  <c r="BE59" i="36" s="1"/>
  <c r="BE60" i="36"/>
  <c r="BE63" i="36" s="1"/>
  <c r="BE64" i="36"/>
  <c r="BF59" i="36" s="1"/>
  <c r="BF60" i="36" s="1"/>
  <c r="BD65" i="36"/>
  <c r="BD67" i="36"/>
  <c r="BD68" i="36" s="1"/>
  <c r="BD69" i="36" s="1"/>
  <c r="BD70" i="36" s="1"/>
  <c r="BD76" i="36"/>
  <c r="BG46" i="36"/>
  <c r="BG48" i="36" s="1"/>
  <c r="BG49" i="36" s="1"/>
  <c r="BH45" i="36" s="1"/>
  <c r="BF55" i="36"/>
  <c r="BF56" i="36" s="1"/>
  <c r="BF54" i="36"/>
  <c r="BA74" i="36"/>
  <c r="BA77" i="36" s="1"/>
  <c r="AZ82" i="36"/>
  <c r="AZ83" i="36" s="1"/>
  <c r="AZ84" i="36" s="1"/>
  <c r="AY87" i="36"/>
  <c r="AY88" i="36"/>
  <c r="AY101" i="36" s="1"/>
  <c r="AY102" i="36" s="1"/>
  <c r="BH46" i="36" l="1"/>
  <c r="BH48" i="36" s="1"/>
  <c r="BG62" i="36"/>
  <c r="BG53" i="36"/>
  <c r="BG50" i="36"/>
  <c r="BF63" i="36"/>
  <c r="BE65" i="36"/>
  <c r="BE67" i="36"/>
  <c r="BE68" i="36" s="1"/>
  <c r="BE69" i="36" s="1"/>
  <c r="BE70" i="36" s="1"/>
  <c r="BE76" i="36"/>
  <c r="AY89" i="36"/>
  <c r="AY90" i="36" s="1"/>
  <c r="AY94" i="36"/>
  <c r="AY95" i="36" s="1"/>
  <c r="AZ88" i="36"/>
  <c r="AZ101" i="36" s="1"/>
  <c r="AZ102" i="36" s="1"/>
  <c r="AZ87" i="36"/>
  <c r="BA78" i="36"/>
  <c r="BB73" i="36" s="1"/>
  <c r="BB74" i="36" s="1"/>
  <c r="BB77" i="36" s="1"/>
  <c r="BA79" i="36"/>
  <c r="BA81" i="36"/>
  <c r="BF65" i="36" l="1"/>
  <c r="BF67" i="36"/>
  <c r="BF68" i="36" s="1"/>
  <c r="BF69" i="36" s="1"/>
  <c r="BF70" i="36" s="1"/>
  <c r="BF64" i="36"/>
  <c r="BG59" i="36" s="1"/>
  <c r="BF76" i="36"/>
  <c r="BG55" i="36"/>
  <c r="BG56" i="36" s="1"/>
  <c r="BG54" i="36"/>
  <c r="BH49" i="36"/>
  <c r="BI45" i="36" s="1"/>
  <c r="BH53" i="36"/>
  <c r="BH62" i="36"/>
  <c r="BH50" i="36"/>
  <c r="BA82" i="36"/>
  <c r="BA83" i="36" s="1"/>
  <c r="BA84" i="36" s="1"/>
  <c r="BB78" i="36"/>
  <c r="BC73" i="36" s="1"/>
  <c r="BC74" i="36" s="1"/>
  <c r="BC77" i="36" s="1"/>
  <c r="BB81" i="36"/>
  <c r="BB79" i="36"/>
  <c r="AZ89" i="36"/>
  <c r="AZ90" i="36" s="1"/>
  <c r="AZ94" i="36"/>
  <c r="AZ95" i="36" s="1"/>
  <c r="BG60" i="36" l="1"/>
  <c r="BG63" i="36" s="1"/>
  <c r="BG64" i="36"/>
  <c r="BH59" i="36" s="1"/>
  <c r="BH54" i="36"/>
  <c r="BH55" i="36"/>
  <c r="BH56" i="36" s="1"/>
  <c r="BI46" i="36"/>
  <c r="BI48" i="36"/>
  <c r="BI49" i="36"/>
  <c r="BJ45" i="36" s="1"/>
  <c r="BB82" i="36"/>
  <c r="BB83" i="36" s="1"/>
  <c r="BB84" i="36" s="1"/>
  <c r="BC78" i="36"/>
  <c r="BD73" i="36" s="1"/>
  <c r="BC81" i="36"/>
  <c r="BC79" i="36"/>
  <c r="BA88" i="36"/>
  <c r="BA101" i="36" s="1"/>
  <c r="BA102" i="36" s="1"/>
  <c r="BA87" i="36"/>
  <c r="BJ46" i="36" l="1"/>
  <c r="BJ48" i="36"/>
  <c r="BJ49" i="36"/>
  <c r="BK45" i="36" s="1"/>
  <c r="BI53" i="36"/>
  <c r="BI62" i="36"/>
  <c r="BI50" i="36"/>
  <c r="BH60" i="36"/>
  <c r="BH63" i="36" s="1"/>
  <c r="BG76" i="36"/>
  <c r="BG65" i="36"/>
  <c r="BG67" i="36"/>
  <c r="BG68" i="36" s="1"/>
  <c r="BG69" i="36" s="1"/>
  <c r="BG70" i="36" s="1"/>
  <c r="BB88" i="36"/>
  <c r="BB101" i="36" s="1"/>
  <c r="BB102" i="36" s="1"/>
  <c r="BB87" i="36"/>
  <c r="BC82" i="36"/>
  <c r="BC83" i="36" s="1"/>
  <c r="BC84" i="36" s="1"/>
  <c r="BD74" i="36"/>
  <c r="BD77" i="36" s="1"/>
  <c r="BA89" i="36"/>
  <c r="BA90" i="36" s="1"/>
  <c r="BA94" i="36"/>
  <c r="BA95" i="36" s="1"/>
  <c r="BH65" i="36" l="1"/>
  <c r="BH76" i="36"/>
  <c r="BH67" i="36"/>
  <c r="BH68" i="36" s="1"/>
  <c r="BH69" i="36" s="1"/>
  <c r="BH70" i="36" s="1"/>
  <c r="BH64" i="36"/>
  <c r="BI59" i="36" s="1"/>
  <c r="BI54" i="36"/>
  <c r="BI55" i="36"/>
  <c r="BI56" i="36" s="1"/>
  <c r="BK46" i="36"/>
  <c r="BK48" i="36"/>
  <c r="BK49" i="36" s="1"/>
  <c r="BJ62" i="36"/>
  <c r="BJ53" i="36"/>
  <c r="BJ50" i="36"/>
  <c r="BD78" i="36"/>
  <c r="BE73" i="36" s="1"/>
  <c r="BD79" i="36"/>
  <c r="BD81" i="36"/>
  <c r="BC88" i="36"/>
  <c r="BC101" i="36" s="1"/>
  <c r="BC102" i="36" s="1"/>
  <c r="BC87" i="36"/>
  <c r="BB89" i="36"/>
  <c r="BB90" i="36" s="1"/>
  <c r="BB94" i="36"/>
  <c r="BB95" i="36" s="1"/>
  <c r="BJ54" i="36" l="1"/>
  <c r="BJ55" i="36"/>
  <c r="BJ56" i="36" s="1"/>
  <c r="BK53" i="36"/>
  <c r="BK62" i="36"/>
  <c r="BK50" i="36"/>
  <c r="A50" i="36" s="1"/>
  <c r="BI60" i="36"/>
  <c r="BI63" i="36" s="1"/>
  <c r="BE74" i="36"/>
  <c r="BE77" i="36" s="1"/>
  <c r="BC89" i="36"/>
  <c r="BC90" i="36" s="1"/>
  <c r="BC94" i="36"/>
  <c r="BC95" i="36" s="1"/>
  <c r="BD82" i="36"/>
  <c r="BD83" i="36" s="1"/>
  <c r="BD84" i="36" s="1"/>
  <c r="BI64" i="36" l="1"/>
  <c r="BJ59" i="36" s="1"/>
  <c r="BJ60" i="36" s="1"/>
  <c r="BJ63" i="36" s="1"/>
  <c r="BK55" i="36"/>
  <c r="BK56" i="36" s="1"/>
  <c r="BK54" i="36"/>
  <c r="A54" i="36" s="1"/>
  <c r="BI67" i="36"/>
  <c r="BI68" i="36" s="1"/>
  <c r="BI69" i="36" s="1"/>
  <c r="BI70" i="36" s="1"/>
  <c r="BI65" i="36"/>
  <c r="BI76" i="36"/>
  <c r="BE78" i="36"/>
  <c r="BF73" i="36" s="1"/>
  <c r="BF74" i="36" s="1"/>
  <c r="BF77" i="36" s="1"/>
  <c r="BD88" i="36"/>
  <c r="BD101" i="36" s="1"/>
  <c r="BD102" i="36" s="1"/>
  <c r="BD87" i="36"/>
  <c r="BE79" i="36"/>
  <c r="BE81" i="36"/>
  <c r="BJ64" i="36" l="1"/>
  <c r="BK59" i="36" s="1"/>
  <c r="BJ76" i="36"/>
  <c r="BJ65" i="36"/>
  <c r="BJ67" i="36"/>
  <c r="BJ68" i="36" s="1"/>
  <c r="BJ69" i="36" s="1"/>
  <c r="BJ70" i="36" s="1"/>
  <c r="BE82" i="36"/>
  <c r="BE83" i="36" s="1"/>
  <c r="BE84" i="36" s="1"/>
  <c r="BF78" i="36"/>
  <c r="BG73" i="36" s="1"/>
  <c r="BD89" i="36"/>
  <c r="BD90" i="36" s="1"/>
  <c r="BD94" i="36"/>
  <c r="BD95" i="36" s="1"/>
  <c r="BF81" i="36"/>
  <c r="BF79" i="36"/>
  <c r="BK60" i="36" l="1"/>
  <c r="BK63" i="36" s="1"/>
  <c r="BF82" i="36"/>
  <c r="BF83" i="36" s="1"/>
  <c r="BF84" i="36" s="1"/>
  <c r="BG74" i="36"/>
  <c r="BG77" i="36" s="1"/>
  <c r="BG78" i="36" s="1"/>
  <c r="BH73" i="36" s="1"/>
  <c r="BH74" i="36" s="1"/>
  <c r="BH77" i="36" s="1"/>
  <c r="BE87" i="36"/>
  <c r="BE88" i="36"/>
  <c r="BE101" i="36" s="1"/>
  <c r="BE102" i="36" s="1"/>
  <c r="BK67" i="36" l="1"/>
  <c r="BK68" i="36" s="1"/>
  <c r="BK69" i="36" s="1"/>
  <c r="BK65" i="36"/>
  <c r="A65" i="36" s="1"/>
  <c r="BK76" i="36"/>
  <c r="BK64" i="36"/>
  <c r="BH78" i="36"/>
  <c r="BI73" i="36" s="1"/>
  <c r="BI74" i="36" s="1"/>
  <c r="BI77" i="36" s="1"/>
  <c r="BH81" i="36"/>
  <c r="BH79" i="36"/>
  <c r="BE89" i="36"/>
  <c r="BE90" i="36" s="1"/>
  <c r="BE94" i="36"/>
  <c r="BE95" i="36" s="1"/>
  <c r="BG81" i="36"/>
  <c r="BG79" i="36"/>
  <c r="BF87" i="36"/>
  <c r="BF88" i="36"/>
  <c r="BF101" i="36" s="1"/>
  <c r="BF102" i="36" s="1"/>
  <c r="BK70" i="36" l="1"/>
  <c r="C107" i="36"/>
  <c r="BI78" i="36"/>
  <c r="BJ73" i="36" s="1"/>
  <c r="BI79" i="36"/>
  <c r="BI81" i="36"/>
  <c r="BF89" i="36"/>
  <c r="BF90" i="36" s="1"/>
  <c r="BF94" i="36"/>
  <c r="BF95" i="36" s="1"/>
  <c r="BG82" i="36"/>
  <c r="BG83" i="36" s="1"/>
  <c r="BG84" i="36" s="1"/>
  <c r="BH82" i="36"/>
  <c r="BH83" i="36" s="1"/>
  <c r="BH84" i="36" s="1"/>
  <c r="BH88" i="36" l="1"/>
  <c r="BH101" i="36" s="1"/>
  <c r="BH102" i="36" s="1"/>
  <c r="BH87" i="36"/>
  <c r="BG87" i="36"/>
  <c r="BG88" i="36"/>
  <c r="BG101" i="36" s="1"/>
  <c r="BG102" i="36" s="1"/>
  <c r="BI82" i="36"/>
  <c r="BI83" i="36" s="1"/>
  <c r="BI84" i="36" s="1"/>
  <c r="BJ74" i="36"/>
  <c r="BJ77" i="36" s="1"/>
  <c r="BJ79" i="36" l="1"/>
  <c r="BJ81" i="36"/>
  <c r="BJ78" i="36"/>
  <c r="BK73" i="36" s="1"/>
  <c r="BK74" i="36" s="1"/>
  <c r="BK77" i="36" s="1"/>
  <c r="BI87" i="36"/>
  <c r="BI88" i="36"/>
  <c r="BI101" i="36" s="1"/>
  <c r="BI102" i="36" s="1"/>
  <c r="BG89" i="36"/>
  <c r="BG90" i="36" s="1"/>
  <c r="BG94" i="36"/>
  <c r="BG95" i="36" s="1"/>
  <c r="BH89" i="36"/>
  <c r="BH90" i="36" s="1"/>
  <c r="BH94" i="36"/>
  <c r="BH95" i="36" s="1"/>
  <c r="BI89" i="36" l="1"/>
  <c r="BI90" i="36" s="1"/>
  <c r="BI94" i="36"/>
  <c r="BI95" i="36" s="1"/>
  <c r="BK78" i="36"/>
  <c r="BK79" i="36"/>
  <c r="A79" i="36" s="1"/>
  <c r="BK81" i="36"/>
  <c r="BJ82" i="36"/>
  <c r="BJ83" i="36" s="1"/>
  <c r="BJ84" i="36" s="1"/>
  <c r="BJ88" i="36" l="1"/>
  <c r="BJ101" i="36" s="1"/>
  <c r="BJ102" i="36" s="1"/>
  <c r="BJ87" i="36"/>
  <c r="BK82" i="36"/>
  <c r="BK83" i="36" l="1"/>
  <c r="C108" i="36"/>
  <c r="BK84" i="36"/>
  <c r="BJ89" i="36"/>
  <c r="BJ90" i="36" s="1"/>
  <c r="BJ94" i="36"/>
  <c r="BJ95" i="36" s="1"/>
  <c r="BK88" i="36" l="1"/>
  <c r="BK101" i="36" s="1"/>
  <c r="BK102" i="36" s="1"/>
  <c r="BK87" i="36"/>
  <c r="BK89" i="36" l="1"/>
  <c r="BK94" i="36"/>
  <c r="BK95" i="36" s="1"/>
  <c r="C104" i="36"/>
  <c r="I7" i="36" s="1"/>
  <c r="C103" i="36"/>
  <c r="I6" i="36" s="1"/>
  <c r="C96" i="36" l="1"/>
  <c r="I4" i="36" s="1"/>
  <c r="C97" i="36"/>
  <c r="I5" i="36" s="1"/>
  <c r="BK90" i="36"/>
  <c r="C109" i="36"/>
  <c r="C110" i="36" s="1"/>
  <c r="I8" i="36" s="1"/>
</calcChain>
</file>

<file path=xl/sharedStrings.xml><?xml version="1.0" encoding="utf-8"?>
<sst xmlns="http://schemas.openxmlformats.org/spreadsheetml/2006/main" count="948" uniqueCount="669">
  <si>
    <t>At Closing</t>
  </si>
  <si>
    <t>% of Total</t>
  </si>
  <si>
    <t>Interest Rate</t>
  </si>
  <si>
    <t>Occupancy</t>
  </si>
  <si>
    <t>Rent PSF</t>
  </si>
  <si>
    <t>Income</t>
  </si>
  <si>
    <t>Effective Gross Income</t>
  </si>
  <si>
    <t>Operating Expenses</t>
  </si>
  <si>
    <t>Total Operating Expenses</t>
  </si>
  <si>
    <t>Net Operating Income</t>
  </si>
  <si>
    <t>Cap Rate</t>
  </si>
  <si>
    <t>Est. Value</t>
  </si>
  <si>
    <t>Est. Loan-to-Value</t>
  </si>
  <si>
    <t>Debt Service</t>
  </si>
  <si>
    <t>Amortizing</t>
  </si>
  <si>
    <t>I/O</t>
  </si>
  <si>
    <t>Debt Yield</t>
  </si>
  <si>
    <t>Loan Funding</t>
  </si>
  <si>
    <t>Loan Balance</t>
  </si>
  <si>
    <t>Amortization</t>
  </si>
  <si>
    <t>Square Feet</t>
  </si>
  <si>
    <t>Annual Rent</t>
  </si>
  <si>
    <t xml:space="preserve"> </t>
  </si>
  <si>
    <t>Utilities</t>
  </si>
  <si>
    <t>Management Fee</t>
  </si>
  <si>
    <t>No. of Units</t>
  </si>
  <si>
    <t>Studio</t>
  </si>
  <si>
    <t xml:space="preserve">Rent </t>
  </si>
  <si>
    <t>1 BD</t>
  </si>
  <si>
    <t>Units - Total</t>
  </si>
  <si>
    <t>Units - Occupied</t>
  </si>
  <si>
    <t>Jr. 1 BD</t>
  </si>
  <si>
    <t>Unit Type</t>
  </si>
  <si>
    <t>Total/Average</t>
  </si>
  <si>
    <t>Loan Per Unit</t>
  </si>
  <si>
    <t>Value Per Unit</t>
  </si>
  <si>
    <t>Real Estate Taxes</t>
  </si>
  <si>
    <t>Property Insurance</t>
  </si>
  <si>
    <t>Payroll &amp; Benefits</t>
  </si>
  <si>
    <t>Affordable</t>
  </si>
  <si>
    <t>Weighted Average</t>
  </si>
  <si>
    <t>Type</t>
  </si>
  <si>
    <t>Status</t>
  </si>
  <si>
    <t>Suite</t>
  </si>
  <si>
    <t>Tenant</t>
  </si>
  <si>
    <t>Annual Reimb.</t>
  </si>
  <si>
    <t>Lease Start</t>
  </si>
  <si>
    <t>Lease End</t>
  </si>
  <si>
    <t>Option</t>
  </si>
  <si>
    <t>Office</t>
  </si>
  <si>
    <t>Leased</t>
  </si>
  <si>
    <t>Vacant</t>
  </si>
  <si>
    <t>Multifamily</t>
  </si>
  <si>
    <t>Commercial</t>
  </si>
  <si>
    <t>Occupied</t>
  </si>
  <si>
    <t>Economic Vacancy</t>
  </si>
  <si>
    <t>Tenant 1</t>
  </si>
  <si>
    <t>Tenant 2</t>
  </si>
  <si>
    <t>Tenant 3</t>
  </si>
  <si>
    <t>Tenant 4</t>
  </si>
  <si>
    <t>Tenant 5</t>
  </si>
  <si>
    <t>Tenant 6</t>
  </si>
  <si>
    <t>Tenant 7</t>
  </si>
  <si>
    <t>Retail</t>
  </si>
  <si>
    <t>Parking Income</t>
  </si>
  <si>
    <t>Multifamily Potential Rent</t>
  </si>
  <si>
    <t>Reimbursement Override</t>
  </si>
  <si>
    <t>Commercial Vacancy</t>
  </si>
  <si>
    <t>Apartment Sq. Ft.</t>
  </si>
  <si>
    <t>Market Rate</t>
  </si>
  <si>
    <t>Multifamily Site Inspection Form</t>
  </si>
  <si>
    <t>I.   Loan/ Inspection Information</t>
  </si>
  <si>
    <t>Overall Property Rating</t>
  </si>
  <si>
    <t>Borrower</t>
  </si>
  <si>
    <t>Deferred Maintenance?</t>
  </si>
  <si>
    <t>Property Name</t>
  </si>
  <si>
    <t>Date of Inspection</t>
  </si>
  <si>
    <t>Property Address</t>
  </si>
  <si>
    <t>Inspected By</t>
  </si>
  <si>
    <t>City, State, Zip</t>
  </si>
  <si>
    <t>Inspector Name</t>
  </si>
  <si>
    <t>Borrower Contact</t>
  </si>
  <si>
    <t>Contact Phone</t>
  </si>
  <si>
    <t>General Comments for Subject Property:</t>
  </si>
  <si>
    <t>Industrial</t>
  </si>
  <si>
    <t>Street Appeal</t>
  </si>
  <si>
    <t>Access to Major Arteries</t>
  </si>
  <si>
    <t>Visibility</t>
  </si>
  <si>
    <t>Access to Local Amenities</t>
  </si>
  <si>
    <t>Ingress and Egress</t>
  </si>
  <si>
    <t>Access to Public Transportation:</t>
  </si>
  <si>
    <t>Traffic Volume</t>
  </si>
  <si>
    <t>Compatibility with Neighborhood</t>
  </si>
  <si>
    <t>Number of Buildings</t>
  </si>
  <si>
    <t>Number of Units</t>
  </si>
  <si>
    <t>Number of Floors</t>
  </si>
  <si>
    <t>Number of Units Occupied</t>
  </si>
  <si>
    <t>Number of Parking Spaces</t>
  </si>
  <si>
    <t>Percent Occupied</t>
  </si>
  <si>
    <t>Number of Elevators</t>
  </si>
  <si>
    <t>Number of Down Units</t>
  </si>
  <si>
    <t>Annual Tenant Turnover (%)</t>
  </si>
  <si>
    <t>Sprinklers</t>
  </si>
  <si>
    <t>Average Lease Term</t>
  </si>
  <si>
    <t>Months of Free Rent</t>
  </si>
  <si>
    <t>Please verify rent roll during manager interview.</t>
  </si>
  <si>
    <t># of Units</t>
  </si>
  <si>
    <t>Avg. SF/Unit</t>
  </si>
  <si>
    <t>Monthly Rent</t>
  </si>
  <si>
    <t># Vacant</t>
  </si>
  <si>
    <t>Project Amenities</t>
  </si>
  <si>
    <t>Unit Amenities</t>
  </si>
  <si>
    <t>Comments regarding competitiveness of improvements and existing tenants:</t>
  </si>
  <si>
    <r>
      <t xml:space="preserve">Please answer each question using </t>
    </r>
    <r>
      <rPr>
        <b/>
        <i/>
        <sz val="8"/>
        <rFont val="Arial"/>
        <family val="2"/>
      </rPr>
      <t>Excellent, Good, Fair, Poor, Not Accessible, Not Inspected, or N/A</t>
    </r>
    <r>
      <rPr>
        <i/>
        <sz val="8"/>
        <rFont val="Arial"/>
        <family val="2"/>
      </rPr>
      <t xml:space="preserve"> ratings</t>
    </r>
  </si>
  <si>
    <t>Exterior</t>
  </si>
  <si>
    <t>Interior</t>
  </si>
  <si>
    <t>Ingress/Egress</t>
  </si>
  <si>
    <t>Lobbies</t>
  </si>
  <si>
    <t>Parking Lot</t>
  </si>
  <si>
    <t>Hallways</t>
  </si>
  <si>
    <t>Striping</t>
  </si>
  <si>
    <t>Stairways</t>
  </si>
  <si>
    <t>Drainage</t>
  </si>
  <si>
    <t>Interior Walls</t>
  </si>
  <si>
    <t>Retaining Walls</t>
  </si>
  <si>
    <t>Painting/Wallcoverings</t>
  </si>
  <si>
    <t>Sidewalks</t>
  </si>
  <si>
    <t>Flooring/Carpets/Tiles</t>
  </si>
  <si>
    <t>Landscaping</t>
  </si>
  <si>
    <t>Ceilings</t>
  </si>
  <si>
    <t>Signage</t>
  </si>
  <si>
    <t>Interior Doors</t>
  </si>
  <si>
    <t>Site Lighting</t>
  </si>
  <si>
    <t>Curtains/Blinds</t>
  </si>
  <si>
    <t>Roof Condition</t>
  </si>
  <si>
    <t>Electrical</t>
  </si>
  <si>
    <t>Flashing/Eaves/Ventilators</t>
  </si>
  <si>
    <t>Lighting</t>
  </si>
  <si>
    <t>Gutters/Downspouts/Roof Drains</t>
  </si>
  <si>
    <t>HVAC System</t>
  </si>
  <si>
    <t>Foundations</t>
  </si>
  <si>
    <t>Basement</t>
  </si>
  <si>
    <t>Exterior Walls</t>
  </si>
  <si>
    <t>Mechanical Rooms</t>
  </si>
  <si>
    <t>Windows/Glazing/Screens</t>
  </si>
  <si>
    <t>Boilers/Water Heaters</t>
  </si>
  <si>
    <t>Exterior Doors</t>
  </si>
  <si>
    <t>Elevators</t>
  </si>
  <si>
    <t>Stairs/Railings</t>
  </si>
  <si>
    <t>Sprinklers/Fire Protection</t>
  </si>
  <si>
    <t>Paint</t>
  </si>
  <si>
    <t>Kitchen Appliances</t>
  </si>
  <si>
    <t>Siding/Trim</t>
  </si>
  <si>
    <t>Kitchen Cabinets &amp; Countertops</t>
  </si>
  <si>
    <t>Balconies/Patios</t>
  </si>
  <si>
    <t>Kitchen Flooring</t>
  </si>
  <si>
    <t>Security</t>
  </si>
  <si>
    <t>Bathroom Cabinet/Vanity</t>
  </si>
  <si>
    <t>Refuse/Disposal</t>
  </si>
  <si>
    <t xml:space="preserve">Bathroom Flooring </t>
  </si>
  <si>
    <t>Amenities</t>
  </si>
  <si>
    <t>Bathroom Lighting</t>
  </si>
  <si>
    <t>Other  ____________________</t>
  </si>
  <si>
    <t>Tub, Toilet &amp; Sink Condition</t>
  </si>
  <si>
    <t>Laundry Rooms</t>
  </si>
  <si>
    <t>Other __________________</t>
  </si>
  <si>
    <t>Describe any observed deferred maintenance or planned major improvements.  Please also include comments for any fair or poor item noted above, as well as any health &amp; safety concerns.</t>
  </si>
  <si>
    <t>24 Hour Security</t>
  </si>
  <si>
    <t>24 Hour Staffing</t>
  </si>
  <si>
    <t>Excellent</t>
  </si>
  <si>
    <t>Urban</t>
  </si>
  <si>
    <t>Over 75%</t>
  </si>
  <si>
    <t>Ballroom</t>
  </si>
  <si>
    <t>Good</t>
  </si>
  <si>
    <t>Suburban</t>
  </si>
  <si>
    <t>25-75%</t>
  </si>
  <si>
    <t>Cable TV</t>
  </si>
  <si>
    <t>Fair</t>
  </si>
  <si>
    <t>Rural</t>
  </si>
  <si>
    <t>Under 25%</t>
  </si>
  <si>
    <t>Carports</t>
  </si>
  <si>
    <t>Poor</t>
  </si>
  <si>
    <t>Ceiling Fans</t>
  </si>
  <si>
    <t>N/A</t>
  </si>
  <si>
    <t>Fully Developed</t>
  </si>
  <si>
    <t>Club House</t>
  </si>
  <si>
    <t>Rapid</t>
  </si>
  <si>
    <t>Club Room</t>
  </si>
  <si>
    <t>Monthly</t>
  </si>
  <si>
    <t>Steady</t>
  </si>
  <si>
    <t>Cocktail Lounge</t>
  </si>
  <si>
    <t>Weekly</t>
  </si>
  <si>
    <t>Slow</t>
  </si>
  <si>
    <t>Coffee Shop</t>
  </si>
  <si>
    <t>Daily</t>
  </si>
  <si>
    <t>Concierge</t>
  </si>
  <si>
    <t>On-site</t>
  </si>
  <si>
    <t>Likely</t>
  </si>
  <si>
    <t>Improving</t>
  </si>
  <si>
    <t>Conference Facility</t>
  </si>
  <si>
    <t>Unlikely</t>
  </si>
  <si>
    <t>Stable</t>
  </si>
  <si>
    <t>Declining</t>
  </si>
  <si>
    <t>Dining Room</t>
  </si>
  <si>
    <t>Responsive</t>
  </si>
  <si>
    <t>Fitness Room</t>
  </si>
  <si>
    <t>Satisfactory</t>
  </si>
  <si>
    <t>Medium</t>
  </si>
  <si>
    <t>Garage</t>
  </si>
  <si>
    <t>Inadequate</t>
  </si>
  <si>
    <t>Golf Course</t>
  </si>
  <si>
    <t>Absent</t>
  </si>
  <si>
    <t>Health Club</t>
  </si>
  <si>
    <t xml:space="preserve">Yes </t>
  </si>
  <si>
    <t>Yes, see page 3</t>
  </si>
  <si>
    <t>Kitchen in Room</t>
  </si>
  <si>
    <t>Congregate Care</t>
  </si>
  <si>
    <t>No</t>
  </si>
  <si>
    <t>Education</t>
  </si>
  <si>
    <t>Library</t>
  </si>
  <si>
    <t>Healthcare</t>
  </si>
  <si>
    <t>Microwave</t>
  </si>
  <si>
    <t>Hospitality</t>
  </si>
  <si>
    <t>Not Accessible</t>
  </si>
  <si>
    <t>Office Support</t>
  </si>
  <si>
    <t>Not Inspected</t>
  </si>
  <si>
    <t>Parking - Covered</t>
  </si>
  <si>
    <t>Mixed Use</t>
  </si>
  <si>
    <t>None</t>
  </si>
  <si>
    <t>Parking - Garage</t>
  </si>
  <si>
    <t>Mobile Home</t>
  </si>
  <si>
    <t>RV Parking</t>
  </si>
  <si>
    <t>Secured Access</t>
  </si>
  <si>
    <t>Storage</t>
  </si>
  <si>
    <t>Self Storage</t>
  </si>
  <si>
    <t>Swimming Pool</t>
  </si>
  <si>
    <t>Tennis Court</t>
  </si>
  <si>
    <t>Superior</t>
  </si>
  <si>
    <t>Transportation</t>
  </si>
  <si>
    <t>Similar</t>
  </si>
  <si>
    <t>Underground Parking</t>
  </si>
  <si>
    <t>Inferior</t>
  </si>
  <si>
    <t>Volleyball Courts</t>
  </si>
  <si>
    <t>Washer/Dryer</t>
  </si>
  <si>
    <t>Product0460</t>
  </si>
  <si>
    <t>II. Site Data &amp; Property Information</t>
  </si>
  <si>
    <t>III. Property Condition</t>
  </si>
  <si>
    <t>Amortizing @ Note Rate</t>
  </si>
  <si>
    <t>I/O @ Note Rate</t>
  </si>
  <si>
    <t>Apartment Rent PSF</t>
  </si>
  <si>
    <t>One Bedroom Units</t>
  </si>
  <si>
    <t>Two Bedroom/One Bath</t>
  </si>
  <si>
    <t>Three Bedroom</t>
  </si>
  <si>
    <t>Other Unit Type</t>
  </si>
  <si>
    <t>Total</t>
  </si>
  <si>
    <t>Total Sq. Ft.</t>
  </si>
  <si>
    <t>Vacant Sq. Ft.</t>
  </si>
  <si>
    <t>Two Bedroom/Two Bath</t>
  </si>
  <si>
    <t>Multifamily Investment Real Estate Income Analysis</t>
  </si>
  <si>
    <t>1 BD + Den</t>
  </si>
  <si>
    <t>2 BD / 2 BA</t>
  </si>
  <si>
    <t>3 BD / 1 BA</t>
  </si>
  <si>
    <t>3 BD / 2 BA</t>
  </si>
  <si>
    <t>Interest Rate and DSCR Sensitivity</t>
  </si>
  <si>
    <t>Loan Amount:</t>
  </si>
  <si>
    <t>Amortization:</t>
  </si>
  <si>
    <t>Note Rate</t>
  </si>
  <si>
    <t>R</t>
  </si>
  <si>
    <t>C</t>
  </si>
  <si>
    <t>S</t>
  </si>
  <si>
    <t>D</t>
  </si>
  <si>
    <t>Interest Rate and NOI</t>
  </si>
  <si>
    <t>I</t>
  </si>
  <si>
    <t>O</t>
  </si>
  <si>
    <t>N</t>
  </si>
  <si>
    <t>E</t>
  </si>
  <si>
    <t>G</t>
  </si>
  <si>
    <t>A</t>
  </si>
  <si>
    <t>%</t>
  </si>
  <si>
    <t>NOI:</t>
  </si>
  <si>
    <t>Total (SF)</t>
  </si>
  <si>
    <t>Occupied (SF)</t>
  </si>
  <si>
    <t>Loan-to-Value Sensitivity to Capitalization Rates &amp; NOI</t>
  </si>
  <si>
    <t>Value at Underwritten NOI</t>
  </si>
  <si>
    <t>Loan-to-Value</t>
  </si>
  <si>
    <t>Less 100 bps</t>
  </si>
  <si>
    <t>Less 75 bps</t>
  </si>
  <si>
    <t>Less 50 bps</t>
  </si>
  <si>
    <t>Less 25 bps</t>
  </si>
  <si>
    <t>Plus 25 bps</t>
  </si>
  <si>
    <t>Plus 50 bps</t>
  </si>
  <si>
    <t>Plus 75 bps</t>
  </si>
  <si>
    <t>Plus 100 bps</t>
  </si>
  <si>
    <t>Plus 125 bps</t>
  </si>
  <si>
    <t>Plus 150 bps</t>
  </si>
  <si>
    <t>Plus 175 bps</t>
  </si>
  <si>
    <t>Plus 200 bps</t>
  </si>
  <si>
    <t xml:space="preserve">Underwritten </t>
  </si>
  <si>
    <t>Net Cash Flow</t>
  </si>
  <si>
    <t>Stabilized</t>
  </si>
  <si>
    <t>Appraised Value</t>
  </si>
  <si>
    <t>Comments</t>
  </si>
  <si>
    <t>Hard Costs</t>
  </si>
  <si>
    <t>Soft Costs</t>
  </si>
  <si>
    <t>Premiums</t>
  </si>
  <si>
    <t>Apartment # Units</t>
  </si>
  <si>
    <t>Gross Income</t>
  </si>
  <si>
    <t>$/Unit/Mo</t>
  </si>
  <si>
    <t>at Closing</t>
  </si>
  <si>
    <t>After Close</t>
  </si>
  <si>
    <t>Closing</t>
  </si>
  <si>
    <t>Spread</t>
  </si>
  <si>
    <t>Total Rate</t>
  </si>
  <si>
    <t>Floor</t>
  </si>
  <si>
    <t>Greater of Index + Spread or Floor</t>
  </si>
  <si>
    <t>Premium for Rate Sizing</t>
  </si>
  <si>
    <t>Rate for Sizing IR</t>
  </si>
  <si>
    <t>TOTAL COST</t>
  </si>
  <si>
    <t>ASSUMPTIONS</t>
  </si>
  <si>
    <t>REVENUES</t>
  </si>
  <si>
    <t>EXPENSES</t>
  </si>
  <si>
    <t>Per Unit</t>
  </si>
  <si>
    <t>General &amp; Admin.</t>
  </si>
  <si>
    <t>Mgt. Fee</t>
  </si>
  <si>
    <t>Insurance</t>
  </si>
  <si>
    <t>Total Expenses</t>
  </si>
  <si>
    <t>NOI</t>
  </si>
  <si>
    <t>CF After DS</t>
  </si>
  <si>
    <t># units</t>
  </si>
  <si>
    <t>Start Mo.</t>
  </si>
  <si>
    <t>End Mo.</t>
  </si>
  <si>
    <t># Ms. To complete</t>
  </si>
  <si>
    <t>COSTS</t>
  </si>
  <si>
    <t>Utiliz Rt</t>
  </si>
  <si>
    <t>Apt - Occ. %</t>
  </si>
  <si>
    <t>Parking</t>
  </si>
  <si>
    <t>Replacement Rsv</t>
  </si>
  <si>
    <t>Rate</t>
  </si>
  <si>
    <t>Date</t>
  </si>
  <si>
    <t>https://example.com/</t>
  </si>
  <si>
    <t>Conduit: 10yr T + 200 (30yr)</t>
  </si>
  <si>
    <t>Stressed:  10yr T + 350 (30 yr)</t>
  </si>
  <si>
    <t>Agency:  10yr T+ 100 (35 yr)</t>
  </si>
  <si>
    <t>Built</t>
  </si>
  <si>
    <t>Occ.</t>
  </si>
  <si>
    <t>SF</t>
  </si>
  <si>
    <t>Bldg. Address</t>
  </si>
  <si>
    <t>units</t>
  </si>
  <si>
    <t>Occ</t>
  </si>
  <si>
    <t>Rent</t>
  </si>
  <si>
    <t>PSF</t>
  </si>
  <si>
    <t>Builder</t>
  </si>
  <si>
    <t>Year</t>
  </si>
  <si>
    <t>Min.Index</t>
  </si>
  <si>
    <t>Loan Yrs</t>
  </si>
  <si>
    <t>YEAR 1</t>
  </si>
  <si>
    <t>YEAR 2</t>
  </si>
  <si>
    <t>YEAR 3</t>
  </si>
  <si>
    <t>YEAR 4</t>
  </si>
  <si>
    <t>YEAR 5</t>
  </si>
  <si>
    <t>Note</t>
  </si>
  <si>
    <t>Subject</t>
  </si>
  <si>
    <r>
      <t xml:space="preserve"> </t>
    </r>
    <r>
      <rPr>
        <b/>
        <sz val="11"/>
        <color theme="0"/>
        <rFont val="Times New Roman"/>
        <family val="1"/>
      </rPr>
      <t>Apart</t>
    </r>
  </si>
  <si>
    <t>Subtotal Soft Costs</t>
  </si>
  <si>
    <t>Studios</t>
  </si>
  <si>
    <t>$/SF</t>
  </si>
  <si>
    <t>Avg.</t>
  </si>
  <si>
    <t>1BR</t>
  </si>
  <si>
    <t>2BR</t>
  </si>
  <si>
    <t>3BR</t>
  </si>
  <si>
    <t>.</t>
  </si>
  <si>
    <t>Submkt</t>
  </si>
  <si>
    <t>RENTAL COMPS</t>
  </si>
  <si>
    <t>Total Development Costs</t>
  </si>
  <si>
    <t>Mortgageability Gap - Untrended Rents - Forward SOFR</t>
  </si>
  <si>
    <t>DSCR Sensitivity - Untrended Rents - Forward SOFR</t>
  </si>
  <si>
    <t>Breakeven Occupancy (Amort)</t>
  </si>
  <si>
    <t>Breakeven Rent (Amort)</t>
  </si>
  <si>
    <t>General &amp; Adm.</t>
  </si>
  <si>
    <t>Less: Replacement Rsv</t>
  </si>
  <si>
    <t>Cash Flow After DS</t>
  </si>
  <si>
    <t>Hard Cost Contingency</t>
  </si>
  <si>
    <t>Soft Cost Contingency</t>
  </si>
  <si>
    <t>Total Hard Costs + Contingency</t>
  </si>
  <si>
    <t>Operating Deficit Reserve</t>
  </si>
  <si>
    <t>Construction Budget</t>
  </si>
  <si>
    <t>(2)</t>
  </si>
  <si>
    <t>(3)</t>
  </si>
  <si>
    <t>R&amp;M</t>
  </si>
  <si>
    <t>Rental Expense</t>
  </si>
  <si>
    <t>HOA</t>
  </si>
  <si>
    <t xml:space="preserve">Perm Rate </t>
  </si>
  <si>
    <t>Misc/Other Income</t>
  </si>
  <si>
    <t>UW Cap Rate</t>
  </si>
  <si>
    <t xml:space="preserve"> Positive &lt;----------------------------------------------------------NOI----------------------------------------------------&gt; Negative</t>
  </si>
  <si>
    <t>(4)</t>
  </si>
  <si>
    <t>(5)</t>
  </si>
  <si>
    <t>Current</t>
  </si>
  <si>
    <t>HARD COSTS</t>
  </si>
  <si>
    <t>SOFT COSTS</t>
  </si>
  <si>
    <t>Architectural</t>
  </si>
  <si>
    <t>Ops Deficit Rsv</t>
  </si>
  <si>
    <t>Ground Lease</t>
  </si>
  <si>
    <t>SENIOR DEBT</t>
  </si>
  <si>
    <t>FUNDING SOURCES</t>
  </si>
  <si>
    <t>TOTAL FUNDING SOURCES</t>
  </si>
  <si>
    <t>1-month Term SOFR</t>
  </si>
  <si>
    <t>Less:  Bad Debt</t>
  </si>
  <si>
    <t>1 BD / 1 BA</t>
  </si>
  <si>
    <t>1 BD + Den / 1 BA</t>
  </si>
  <si>
    <t>1 BD + Den / 2 BA</t>
  </si>
  <si>
    <t>2 BD + Den / 2 BA</t>
  </si>
  <si>
    <t>Vacancy After Lease Up</t>
  </si>
  <si>
    <t>Premium Income</t>
  </si>
  <si>
    <t>Vacancy &amp; Bad Debt Loss</t>
  </si>
  <si>
    <t>DSCR MATRIX</t>
  </si>
  <si>
    <t>VALUATION</t>
  </si>
  <si>
    <t>RATE</t>
  </si>
  <si>
    <t>Rate Description</t>
  </si>
  <si>
    <t>Risk Premium</t>
  </si>
  <si>
    <t>1 ms. Term SOFR - forward curve</t>
  </si>
  <si>
    <t>Current Rate</t>
  </si>
  <si>
    <t>Tot SF</t>
  </si>
  <si>
    <t>Apt.  Rent /Unit (info)</t>
  </si>
  <si>
    <t>48 ms SOFR</t>
  </si>
  <si>
    <t>- Repayment</t>
  </si>
  <si>
    <t>+ Cost Draw</t>
  </si>
  <si>
    <t>Sr. Debt:  BOP</t>
  </si>
  <si>
    <t>Sr. Debt:  EOP</t>
  </si>
  <si>
    <t>GP Equity:  BOP</t>
  </si>
  <si>
    <t>GP Equity:  EOP</t>
  </si>
  <si>
    <t>Untrended
current rate (Loan less Guar)</t>
  </si>
  <si>
    <t>Untrended future rate
(Loan less Guar)</t>
  </si>
  <si>
    <t>Rent /mo.</t>
  </si>
  <si>
    <t>Index - 3/4/24</t>
  </si>
  <si>
    <t>OpEx % of Company0843 (excl. ground lease)</t>
  </si>
  <si>
    <t>*  Loan underwritten at 1.15x DSCR, 30 year amortization and 8.32% rate.</t>
  </si>
  <si>
    <t>Hard Costs (Construction)</t>
  </si>
  <si>
    <t>TOTAL SOFT COSTS</t>
  </si>
  <si>
    <t xml:space="preserve">Lease-Up </t>
  </si>
  <si>
    <t>Start Date</t>
  </si>
  <si>
    <t>Month</t>
  </si>
  <si>
    <t>Year for Growth Calcs</t>
  </si>
  <si>
    <t>Ops Deficit</t>
  </si>
  <si>
    <t>CF from Ops</t>
  </si>
  <si>
    <t>Gross Pot. Rev.</t>
  </si>
  <si>
    <t>Less:  Ls-Up Conc.</t>
  </si>
  <si>
    <t>Less:  Apt Vac.</t>
  </si>
  <si>
    <t>Eff. Gross Income</t>
  </si>
  <si>
    <t>Repairs &amp; Maint.</t>
  </si>
  <si>
    <t>Share of Exp.</t>
  </si>
  <si>
    <t xml:space="preserve">IR Sized Based on </t>
  </si>
  <si>
    <t>(Rate Today or Forward Rate)</t>
  </si>
  <si>
    <t>Forward Rate</t>
  </si>
  <si>
    <t>Not B/E &amp; NOI &gt; $0</t>
  </si>
  <si>
    <t>Excess Property CF</t>
  </si>
  <si>
    <t>Sr. Interest</t>
  </si>
  <si>
    <t>BORROWER</t>
  </si>
  <si>
    <t>Yr. 1
Untrended
current rate</t>
  </si>
  <si>
    <t>APPRAISER</t>
  </si>
  <si>
    <t>Yr. 1
Untrended
future rate</t>
  </si>
  <si>
    <t>Today's Rate</t>
  </si>
  <si>
    <t>Less:  Excess Property CF</t>
  </si>
  <si>
    <t>TOTAL CAPITALIZATION</t>
  </si>
  <si>
    <t>(2) Hard cost contingency:</t>
  </si>
  <si>
    <t>(3) Soft cost contingency:</t>
  </si>
  <si>
    <t>(4) Dvlp Fee</t>
  </si>
  <si>
    <t>% hard costs.</t>
  </si>
  <si>
    <t>% soft costs.</t>
  </si>
  <si>
    <t>Cap Rate (3/24 apprs 5.75%)</t>
  </si>
  <si>
    <t>Closing Costs</t>
  </si>
  <si>
    <t>HC Contingency</t>
  </si>
  <si>
    <t>Engineering &amp; Related</t>
  </si>
  <si>
    <t>Impact/Permits</t>
  </si>
  <si>
    <t>Marketing</t>
  </si>
  <si>
    <t>Bldr Risk &amp; Perf Bond</t>
  </si>
  <si>
    <t>Legal &amp; Professional</t>
  </si>
  <si>
    <t>Investor Admin Costs</t>
  </si>
  <si>
    <t>RE Tax During Constr</t>
  </si>
  <si>
    <t>Dvlp &amp; Constr Mgt Fee</t>
  </si>
  <si>
    <t>TOTAL HARD COSTS</t>
  </si>
  <si>
    <t>North Lot</t>
  </si>
  <si>
    <t>South Lot</t>
  </si>
  <si>
    <t>EQUITY</t>
  </si>
  <si>
    <t>LAND ACQUISITION</t>
  </si>
  <si>
    <t>Land Acquisition</t>
  </si>
  <si>
    <t>s</t>
  </si>
  <si>
    <t>Dvlp/Const Mgt Fees</t>
  </si>
  <si>
    <t>Sr. Debt:  Debt Service</t>
  </si>
  <si>
    <t>Sr. Debt:  Commit Fee</t>
  </si>
  <si>
    <t>TOTAL LAND ACQU</t>
  </si>
  <si>
    <t>TOTAL COSTS</t>
  </si>
  <si>
    <t>Equity</t>
  </si>
  <si>
    <t>Senior Debt</t>
  </si>
  <si>
    <t>Total Rate Floor</t>
  </si>
  <si>
    <t>+ Sr. Debt:  Debt Service</t>
  </si>
  <si>
    <t>+ Debt Service</t>
  </si>
  <si>
    <t>Apts:  New Leases</t>
  </si>
  <si>
    <t>Apts:  Total Leased Up</t>
  </si>
  <si>
    <t xml:space="preserve">The Sapphire, </t>
  </si>
  <si>
    <t>LENDER - Stabil (Yr. 4)</t>
  </si>
  <si>
    <t>Debt</t>
  </si>
  <si>
    <t># Units</t>
  </si>
  <si>
    <t>Land</t>
  </si>
  <si>
    <t>Hard Cost &amp; Contingency</t>
  </si>
  <si>
    <t>Soft Cost &amp; Contingency</t>
  </si>
  <si>
    <t>Total Cost</t>
  </si>
  <si>
    <t>Post Closing</t>
  </si>
  <si>
    <t>USES OF FUNDS</t>
  </si>
  <si>
    <t>Funded at Closing</t>
  </si>
  <si>
    <t>Name</t>
  </si>
  <si>
    <t>The Harrison</t>
  </si>
  <si>
    <t>Person1180</t>
  </si>
  <si>
    <t># Unit</t>
  </si>
  <si>
    <t># Vac</t>
  </si>
  <si>
    <t>Conc%</t>
  </si>
  <si>
    <t>Avg $</t>
  </si>
  <si>
    <t>Eff. $</t>
  </si>
  <si>
    <t>Eff $</t>
  </si>
  <si>
    <t>Address</t>
  </si>
  <si>
    <t>Conc %</t>
  </si>
  <si>
    <t>2555-2575 University Pkwy</t>
  </si>
  <si>
    <t>Loop 2800</t>
  </si>
  <si>
    <t>2800 Telluride Loop</t>
  </si>
  <si>
    <t>8310 Bella Grove Cir</t>
  </si>
  <si>
    <t>Product0040 @ Univ</t>
  </si>
  <si>
    <t>3540 Broadway</t>
  </si>
  <si>
    <t>Person1071 Apt</t>
  </si>
  <si>
    <t>2413 N. Tamiami Trl</t>
  </si>
  <si>
    <t>Downtown Sarasota</t>
  </si>
  <si>
    <t>Product0108 Apt</t>
  </si>
  <si>
    <t>700 Coconut</t>
  </si>
  <si>
    <t>District @ Rosemary</t>
  </si>
  <si>
    <t>Pt @ Bella Grove</t>
  </si>
  <si>
    <t>710 Lemon Ave</t>
  </si>
  <si>
    <t>ARCOS</t>
  </si>
  <si>
    <t>320 Central Ave</t>
  </si>
  <si>
    <t>Bold Lofts</t>
  </si>
  <si>
    <t>1659 2nd St</t>
  </si>
  <si>
    <t>The Desota</t>
  </si>
  <si>
    <t>1415 2nd St</t>
  </si>
  <si>
    <t>One Palm</t>
  </si>
  <si>
    <t>201 S Palm</t>
  </si>
  <si>
    <t>Company1629</t>
  </si>
  <si>
    <t>2260 Ringling</t>
  </si>
  <si>
    <t>W/Conc</t>
  </si>
  <si>
    <t>Concession/yr</t>
  </si>
  <si>
    <t>Advertis. &amp; Mktg</t>
  </si>
  <si>
    <t>Other Expense</t>
  </si>
  <si>
    <t>Lease-Up Concession %</t>
  </si>
  <si>
    <t>CF After Rpl Rsv</t>
  </si>
  <si>
    <t>Rental Income</t>
  </si>
  <si>
    <t>Other Services</t>
  </si>
  <si>
    <t>Growth %</t>
  </si>
  <si>
    <t>Is NOI+RR &gt; $0</t>
  </si>
  <si>
    <t>Is CFADS &gt; )</t>
  </si>
  <si>
    <t>NOI+</t>
  </si>
  <si>
    <t>B/E</t>
  </si>
  <si>
    <t>eye-ball to get correct periods for Draw Schedule timing</t>
  </si>
  <si>
    <t>Funded Post Closing</t>
  </si>
  <si>
    <t>Total Funding</t>
  </si>
  <si>
    <t>Summary Construction Budget</t>
  </si>
  <si>
    <t xml:space="preserve"> % hard+soft costs</t>
  </si>
  <si>
    <t>YEAR 0</t>
  </si>
  <si>
    <t>SOURCE OF FUNDS</t>
  </si>
  <si>
    <t>To B/E</t>
  </si>
  <si>
    <t>Property CashFlow</t>
  </si>
  <si>
    <t>% Cost</t>
  </si>
  <si>
    <t>DETAIL</t>
  </si>
  <si>
    <t>Sr. Debt:  Commit Fee - 1%</t>
  </si>
  <si>
    <t>$/Unit</t>
  </si>
  <si>
    <t>Apartments (Unit)</t>
  </si>
  <si>
    <t>Apartments (SF)</t>
  </si>
  <si>
    <t>Tot $/Mo.</t>
  </si>
  <si>
    <t>cell E7 controls rental rates</t>
  </si>
  <si>
    <t>Rent Comps</t>
  </si>
  <si>
    <t>Avg. SF</t>
  </si>
  <si>
    <t>Avg. Rent/SF</t>
  </si>
  <si>
    <t>Avg. Rent/Unit</t>
  </si>
  <si>
    <t>PRE-DVLP COSTS</t>
  </si>
  <si>
    <t>Pre-Development</t>
  </si>
  <si>
    <t>Construction</t>
  </si>
  <si>
    <t>Unit Mix Tab controls rents</t>
  </si>
  <si>
    <t>Brk Even CF</t>
  </si>
  <si>
    <t>Pre-ls up exp</t>
  </si>
  <si>
    <t># Ms.</t>
  </si>
  <si>
    <t>Ls up exp</t>
  </si>
  <si>
    <t>Lease-up/Mo.</t>
  </si>
  <si>
    <t>Tot. ls up ms</t>
  </si>
  <si>
    <t>NORTH PLAN</t>
  </si>
  <si>
    <t>SOUTH PLAN</t>
  </si>
  <si>
    <t>LOT PLAN</t>
  </si>
  <si>
    <t>Lease-Up</t>
  </si>
  <si>
    <t>Equity % Total</t>
  </si>
  <si>
    <t>Total Cost After Excess CF</t>
  </si>
  <si>
    <t>Total Equity Required</t>
  </si>
  <si>
    <t>Less:  Debt</t>
  </si>
  <si>
    <t/>
  </si>
  <si>
    <t>Sale Price</t>
  </si>
  <si>
    <t>Discounted CF to Equity</t>
  </si>
  <si>
    <t>Discount Rate</t>
  </si>
  <si>
    <t>IRR</t>
  </si>
  <si>
    <t>Sale Date</t>
  </si>
  <si>
    <t>Net Sale Amt</t>
  </si>
  <si>
    <t>Cost of Sale</t>
  </si>
  <si>
    <t>if sale ms &gt;</t>
  </si>
  <si>
    <t>then extend cash flows</t>
  </si>
  <si>
    <t>Total Equity CF</t>
  </si>
  <si>
    <t>CF to Equity</t>
  </si>
  <si>
    <t>Equity Payments</t>
  </si>
  <si>
    <t>Sale Cap</t>
  </si>
  <si>
    <t>Dsct Rt</t>
  </si>
  <si>
    <t>Multiple</t>
  </si>
  <si>
    <t>Waterfall Structure (IRR)</t>
  </si>
  <si>
    <t>Return</t>
  </si>
  <si>
    <t>GP Promote</t>
  </si>
  <si>
    <t>GP Cash Flow</t>
  </si>
  <si>
    <t>LP Cash Flow</t>
  </si>
  <si>
    <t>Return Metrics</t>
  </si>
  <si>
    <t>Preferred Return</t>
  </si>
  <si>
    <t>Project-Level IRR</t>
  </si>
  <si>
    <t>Hurdle #2</t>
  </si>
  <si>
    <t>Project-Level EM</t>
  </si>
  <si>
    <t>Hurdle #3</t>
  </si>
  <si>
    <t>LP IRR</t>
  </si>
  <si>
    <t>Hurdle #4</t>
  </si>
  <si>
    <t>LP EM</t>
  </si>
  <si>
    <t>GP IRR</t>
  </si>
  <si>
    <t>Equity Investment</t>
  </si>
  <si>
    <t>GP EM</t>
  </si>
  <si>
    <t>GP Equity</t>
  </si>
  <si>
    <t>LP Equity</t>
  </si>
  <si>
    <t>Beginning Balance</t>
  </si>
  <si>
    <t>Preferred Interest Accrual</t>
  </si>
  <si>
    <t>LP Contributions</t>
  </si>
  <si>
    <t>LP Distributions</t>
  </si>
  <si>
    <t>Ending Balance</t>
  </si>
  <si>
    <t>Total LP Cash Flow</t>
  </si>
  <si>
    <t>GP Contributions</t>
  </si>
  <si>
    <t>GP Distributions</t>
  </si>
  <si>
    <t>Total Distributions</t>
  </si>
  <si>
    <t>Cash Flow Remaining</t>
  </si>
  <si>
    <t>Hurdle #2 Accrual</t>
  </si>
  <si>
    <t>Prior Distributions</t>
  </si>
  <si>
    <t>Hurdle #3 Accrual</t>
  </si>
  <si>
    <t>LP Cash Flows</t>
  </si>
  <si>
    <t>Contributions</t>
  </si>
  <si>
    <t>Distributions</t>
  </si>
  <si>
    <t>LP Net Cash Flow</t>
  </si>
  <si>
    <t>GP Cash Flows</t>
  </si>
  <si>
    <t>GP Net Cash Flow</t>
  </si>
  <si>
    <t>Total Project-Level Cash Flows</t>
  </si>
  <si>
    <t>Equity Contributions</t>
  </si>
  <si>
    <t>Distributions to LP</t>
  </si>
  <si>
    <t>Distributions to GP</t>
  </si>
  <si>
    <t>Distribution to LP</t>
  </si>
  <si>
    <t>Distribution to GP</t>
  </si>
  <si>
    <t>Total GP Promote</t>
  </si>
  <si>
    <t>Expense Ratio</t>
  </si>
  <si>
    <t>DSCR</t>
  </si>
  <si>
    <t>Cashflow After Debt Service</t>
  </si>
  <si>
    <t>Cashflow from Property After Rsv.</t>
  </si>
  <si>
    <t>Net Cashflow from Investment</t>
  </si>
  <si>
    <t>Property IRR</t>
  </si>
  <si>
    <t>Property Equity Multiple</t>
  </si>
  <si>
    <t>Cash on Cash</t>
  </si>
  <si>
    <t>Net Return</t>
  </si>
  <si>
    <t>GP</t>
  </si>
  <si>
    <t>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</si>
</sst>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#,##0_);\(#,##0\);\-_)"/>
    <numFmt numFmtId="167" formatCode="0.00%_);\(0.00%\);\-_)"/>
    <numFmt numFmtId="168" formatCode="_([$€-2]* #,##0.00_);_([$€-2]* \(#,##0.00\);_([$€-2]* &quot;-&quot;??_)"/>
    <numFmt numFmtId="169" formatCode="0.00_)"/>
    <numFmt numFmtId="170" formatCode="#,##0.00&quot;x&quot;_);\(#,##0.00&quot;x&quot;\)"/>
    <numFmt numFmtId="171" formatCode="&quot;$&quot;#,##0"/>
    <numFmt numFmtId="172" formatCode="&quot;$&quot;#,##0.00"/>
    <numFmt numFmtId="173" formatCode="[$-409]mmm\-yy;@"/>
    <numFmt numFmtId="174" formatCode="&quot;$&quot;#,##0.00;[Red]&quot;$&quot;#,##0.00"/>
    <numFmt numFmtId="175" formatCode="&quot;Mo.&quot;\ #"/>
    <numFmt numFmtId="176" formatCode="#,##0.0_);\(#,##0.0\)"/>
    <numFmt numFmtId="177" formatCode="m/d/yy;@"/>
    <numFmt numFmtId="178" formatCode="#,##0.0000_);\(#,##0.0000\)"/>
    <numFmt numFmtId="179" formatCode="0.00&quot;x&quot;"/>
    <numFmt numFmtId="180" formatCode="0\ &quot;Years&quot;"/>
    <numFmt numFmtId="181" formatCode="&quot;Month&quot;\ 0"/>
    <numFmt numFmtId="182" formatCode="0.00\x"/>
  </numFmts>
  <fonts count="9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Helvetica"/>
      <family val="2"/>
    </font>
    <font>
      <sz val="11"/>
      <name val="Times New Roman"/>
      <family val="1"/>
    </font>
    <font>
      <sz val="10"/>
      <name val="Arial"/>
      <family val="2"/>
    </font>
    <font>
      <b/>
      <sz val="11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8"/>
      <color indexed="12"/>
      <name val="Times"/>
    </font>
    <font>
      <sz val="8"/>
      <name val="Arial"/>
      <family val="2"/>
    </font>
    <font>
      <sz val="10"/>
      <color indexed="12"/>
      <name val="Arial"/>
      <family val="2"/>
    </font>
    <font>
      <b/>
      <sz val="14"/>
      <name val="Helvetica"/>
      <family val="2"/>
    </font>
    <font>
      <sz val="7"/>
      <name val="Small Fonts"/>
      <family val="2"/>
    </font>
    <font>
      <b/>
      <i/>
      <sz val="16"/>
      <name val="Helvetica"/>
      <family val="2"/>
    </font>
    <font>
      <sz val="12"/>
      <color theme="1"/>
      <name val="Calibri"/>
      <family val="2"/>
      <scheme val="minor"/>
    </font>
    <font>
      <sz val="24"/>
      <color indexed="13"/>
      <name val="Helvetica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u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b/>
      <sz val="10"/>
      <color rgb="FF0070C0"/>
      <name val="Times New Roman"/>
      <family val="1"/>
    </font>
    <font>
      <sz val="10"/>
      <color rgb="FF0070C0"/>
      <name val="Times New Roman"/>
      <family val="1"/>
    </font>
    <font>
      <b/>
      <sz val="14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b/>
      <sz val="10"/>
      <name val="Arial"/>
      <family val="2"/>
    </font>
    <font>
      <i/>
      <sz val="8"/>
      <name val="Arial"/>
      <family val="2"/>
    </font>
    <font>
      <i/>
      <sz val="9"/>
      <name val="Arial"/>
      <family val="2"/>
    </font>
    <font>
      <b/>
      <i/>
      <sz val="8"/>
      <name val="Arial"/>
      <family val="2"/>
    </font>
    <font>
      <b/>
      <sz val="10"/>
      <color theme="3" tint="0.39997558519241921"/>
      <name val="Times New Roman"/>
      <family val="1"/>
    </font>
    <font>
      <b/>
      <i/>
      <sz val="10"/>
      <color theme="3" tint="0.39997558519241921"/>
      <name val="Times New Roman"/>
      <family val="1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3" tint="0.39997558519241921"/>
      <name val="Times New Roman"/>
      <family val="1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color theme="1"/>
      <name val="Times New Roman"/>
      <family val="1"/>
    </font>
    <font>
      <b/>
      <sz val="10"/>
      <name val="Times New Roman"/>
      <family val="1"/>
    </font>
    <font>
      <b/>
      <sz val="10"/>
      <color rgb="FF0000CC"/>
      <name val="Times New Roman"/>
      <family val="1"/>
    </font>
    <font>
      <b/>
      <u/>
      <sz val="10"/>
      <color rgb="FF0000CC"/>
      <name val="Times New Roman"/>
      <family val="1"/>
    </font>
    <font>
      <sz val="10"/>
      <color rgb="FF0000CC"/>
      <name val="Times New Roman"/>
      <family val="1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0"/>
      <color theme="0"/>
      <name val="Times New Roman"/>
      <family val="1"/>
    </font>
    <font>
      <b/>
      <sz val="10"/>
      <color theme="0"/>
      <name val="Times New Roman"/>
      <family val="1"/>
    </font>
    <font>
      <b/>
      <sz val="11"/>
      <color theme="0"/>
      <name val="Times New Roman"/>
      <family val="1"/>
    </font>
    <font>
      <sz val="11"/>
      <color theme="0"/>
      <name val="Times New Roman"/>
      <family val="1"/>
    </font>
    <font>
      <b/>
      <sz val="14"/>
      <color theme="1"/>
      <name val="Times New Roman"/>
      <family val="1"/>
    </font>
    <font>
      <u val="singleAccounting"/>
      <sz val="10"/>
      <name val="Times New Roman"/>
      <family val="1"/>
    </font>
    <font>
      <sz val="10"/>
      <color theme="1"/>
      <name val="Arial"/>
      <family val="2"/>
    </font>
    <font>
      <u/>
      <sz val="10"/>
      <color theme="10"/>
      <name val="Times New Roman"/>
      <family val="1"/>
    </font>
    <font>
      <sz val="10"/>
      <name val="Calibri"/>
      <family val="2"/>
      <scheme val="minor"/>
    </font>
    <font>
      <u val="singleAccounting"/>
      <sz val="10"/>
      <color theme="1"/>
      <name val="Times New Roman"/>
      <family val="1"/>
    </font>
    <font>
      <b/>
      <u/>
      <sz val="10"/>
      <color theme="3" tint="0.39997558519241921"/>
      <name val="Times New Roman"/>
      <family val="1"/>
    </font>
    <font>
      <sz val="16"/>
      <color theme="1"/>
      <name val="Times New Roman"/>
      <family val="1"/>
    </font>
    <font>
      <sz val="10"/>
      <color rgb="FF000000"/>
      <name val="Times New Roman"/>
      <family val="1"/>
    </font>
    <font>
      <sz val="12"/>
      <color theme="1"/>
      <name val="Times New Roman"/>
      <family val="2"/>
    </font>
    <font>
      <sz val="12"/>
      <name val="Arial MT"/>
    </font>
    <font>
      <sz val="10"/>
      <name val="MS Sans Serif"/>
      <family val="2"/>
    </font>
    <font>
      <sz val="12"/>
      <name val="Arial"/>
      <family val="2"/>
    </font>
    <font>
      <sz val="10"/>
      <color indexed="8"/>
      <name val="Arial"/>
      <family val="2"/>
    </font>
    <font>
      <sz val="12"/>
      <color indexed="62"/>
      <name val="Arial"/>
      <family val="2"/>
    </font>
    <font>
      <sz val="11"/>
      <color indexed="8"/>
      <name val="Calibri"/>
      <family val="2"/>
    </font>
    <font>
      <sz val="11"/>
      <color indexed="8"/>
      <name val="Futura Lt BT"/>
      <family val="2"/>
    </font>
    <font>
      <b/>
      <sz val="10"/>
      <color rgb="FF0066CC"/>
      <name val="Times New Roman"/>
      <family val="1"/>
    </font>
    <font>
      <b/>
      <u/>
      <sz val="10"/>
      <color rgb="FF0066CC"/>
      <name val="Times New Roman"/>
      <family val="1"/>
    </font>
    <font>
      <b/>
      <u val="singleAccounting"/>
      <sz val="10"/>
      <color rgb="FF0066CC"/>
      <name val="Times New Roman"/>
      <family val="1"/>
    </font>
    <font>
      <b/>
      <u val="singleAccounting"/>
      <sz val="10"/>
      <color theme="1"/>
      <name val="Times New Roman"/>
      <family val="1"/>
    </font>
    <font>
      <b/>
      <u/>
      <sz val="10"/>
      <name val="Times New Roman"/>
      <family val="1"/>
    </font>
    <font>
      <sz val="10"/>
      <color rgb="FF0066CC"/>
      <name val="Times New Roman"/>
      <family val="1"/>
    </font>
    <font>
      <b/>
      <sz val="12"/>
      <color theme="1"/>
      <name val="Times New Roman"/>
      <family val="1"/>
    </font>
    <font>
      <u/>
      <sz val="10"/>
      <name val="Times New Roman"/>
      <family val="1"/>
    </font>
    <font>
      <sz val="10"/>
      <color theme="1"/>
      <name val="Franklin Gothic Book"/>
      <family val="2"/>
    </font>
    <font>
      <b/>
      <sz val="10"/>
      <color theme="0"/>
      <name val="Franklin Gothic Book"/>
      <family val="2"/>
    </font>
    <font>
      <sz val="10"/>
      <color rgb="FF0000FF"/>
      <name val="Franklin Gothic Book"/>
      <family val="2"/>
    </font>
    <font>
      <sz val="10"/>
      <name val="Franklin Gothic Book"/>
      <family val="2"/>
    </font>
    <font>
      <b/>
      <sz val="10"/>
      <color theme="1"/>
      <name val="Franklin Gothic Book"/>
      <family val="2"/>
    </font>
    <font>
      <sz val="10"/>
      <color indexed="12"/>
      <name val="Franklin Gothic Book"/>
      <family val="2"/>
    </font>
    <font>
      <sz val="10"/>
      <color rgb="FF0070C0"/>
      <name val="Franklin Gothic Book"/>
      <family val="2"/>
    </font>
    <font>
      <b/>
      <u/>
      <sz val="10"/>
      <color theme="0"/>
      <name val="Franklin Gothic Book"/>
      <family val="2"/>
    </font>
    <font>
      <b/>
      <sz val="9"/>
      <color theme="0"/>
      <name val="Franklin Gothic Book"/>
      <family val="2"/>
    </font>
    <font>
      <sz val="9"/>
      <color theme="1"/>
      <name val="Franklin Gothic Book"/>
      <family val="2"/>
    </font>
    <font>
      <i/>
      <sz val="10"/>
      <color theme="1"/>
      <name val="Franklin Gothic Book"/>
      <family val="2"/>
    </font>
    <font>
      <sz val="10"/>
      <color rgb="FF0432FF"/>
      <name val="Times New Roman"/>
      <family val="1"/>
    </font>
    <font>
      <b/>
      <sz val="10"/>
      <color rgb="FF0432FF"/>
      <name val="Times New Roman"/>
      <family val="1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1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69BE2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149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23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23"/>
      </right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23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23"/>
      </left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medium">
        <color indexed="23"/>
      </left>
      <right/>
      <top style="thin">
        <color indexed="23"/>
      </top>
      <bottom/>
      <diagonal/>
    </border>
    <border>
      <left/>
      <right/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medium">
        <color indexed="23"/>
      </left>
      <right/>
      <top/>
      <bottom style="medium">
        <color indexed="23"/>
      </bottom>
      <diagonal/>
    </border>
    <border>
      <left/>
      <right/>
      <top/>
      <bottom style="medium">
        <color indexed="23"/>
      </bottom>
      <diagonal/>
    </border>
    <border>
      <left/>
      <right style="thin">
        <color indexed="23"/>
      </right>
      <top/>
      <bottom style="medium">
        <color indexed="23"/>
      </bottom>
      <diagonal/>
    </border>
    <border>
      <left style="medium">
        <color indexed="23"/>
      </left>
      <right/>
      <top style="thin">
        <color indexed="23"/>
      </top>
      <bottom/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23"/>
      </left>
      <right/>
      <top style="thin">
        <color indexed="23"/>
      </top>
      <bottom style="thin">
        <color indexed="23"/>
      </bottom>
      <diagonal/>
    </border>
    <border>
      <left style="medium">
        <color indexed="23"/>
      </left>
      <right/>
      <top style="thin">
        <color indexed="23"/>
      </top>
      <bottom style="medium">
        <color indexed="23"/>
      </bottom>
      <diagonal/>
    </border>
    <border>
      <left/>
      <right style="thin">
        <color indexed="23"/>
      </right>
      <top style="thin">
        <color indexed="23"/>
      </top>
      <bottom style="medium">
        <color indexed="23"/>
      </bottom>
      <diagonal/>
    </border>
    <border>
      <left/>
      <right style="thin">
        <color indexed="23"/>
      </right>
      <top style="thin">
        <color indexed="23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 style="medium">
        <color indexed="23"/>
      </right>
      <top/>
      <bottom/>
      <diagonal/>
    </border>
    <border>
      <left style="thin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23"/>
      </left>
      <right style="thin">
        <color indexed="64"/>
      </right>
      <top style="thin">
        <color indexed="23"/>
      </top>
      <bottom/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 style="thin">
        <color indexed="23"/>
      </top>
      <bottom/>
      <diagonal/>
    </border>
    <border>
      <left/>
      <right style="thin">
        <color indexed="64"/>
      </right>
      <top style="medium">
        <color indexed="23"/>
      </top>
      <bottom/>
      <diagonal/>
    </border>
    <border>
      <left style="thin">
        <color indexed="64"/>
      </left>
      <right style="thin">
        <color indexed="64"/>
      </right>
      <top style="medium">
        <color indexed="23"/>
      </top>
      <bottom/>
      <diagonal/>
    </border>
    <border>
      <left style="thin">
        <color indexed="64"/>
      </left>
      <right/>
      <top style="medium">
        <color indexed="23"/>
      </top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double">
        <color theme="5" tint="-0.24994659260841701"/>
      </left>
      <right style="double">
        <color theme="5" tint="-0.24994659260841701"/>
      </right>
      <top style="double">
        <color theme="5" tint="-0.24994659260841701"/>
      </top>
      <bottom/>
      <diagonal/>
    </border>
    <border>
      <left style="double">
        <color theme="5" tint="-0.24994659260841701"/>
      </left>
      <right style="double">
        <color theme="5" tint="-0.24994659260841701"/>
      </right>
      <top/>
      <bottom/>
      <diagonal/>
    </border>
    <border>
      <left style="double">
        <color theme="5" tint="-0.24994659260841701"/>
      </left>
      <right style="double">
        <color theme="5" tint="-0.24994659260841701"/>
      </right>
      <top style="medium">
        <color indexed="64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double">
        <color theme="5" tint="-0.24994659260841701"/>
      </left>
      <right style="double">
        <color theme="5" tint="-0.24994659260841701"/>
      </right>
      <top/>
      <bottom style="double">
        <color theme="5" tint="-0.2499465926084170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C4C4C4"/>
      </left>
      <right style="thin">
        <color rgb="FFC4C4C4"/>
      </right>
      <top style="thin">
        <color rgb="FFC4C4C4"/>
      </top>
      <bottom style="thin">
        <color rgb="FFC4C4C4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hair">
        <color auto="1"/>
      </right>
      <top/>
      <bottom/>
      <diagonal/>
    </border>
    <border>
      <left style="medium">
        <color indexed="64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auto="1"/>
      </bottom>
      <diagonal/>
    </border>
    <border>
      <left style="hair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indexed="64"/>
      </right>
      <top/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</borders>
  <cellStyleXfs count="8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5" fontId="2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37" fontId="6" fillId="0" borderId="0" applyFont="0" applyAlignment="0">
      <alignment horizontal="centerContinuous" vertical="top"/>
    </xf>
    <xf numFmtId="166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0" fontId="2" fillId="0" borderId="6"/>
    <xf numFmtId="168" fontId="2" fillId="0" borderId="0" applyFont="0" applyFill="0" applyBorder="0" applyAlignment="0" applyProtection="0"/>
    <xf numFmtId="38" fontId="9" fillId="2" borderId="0" applyNumberFormat="0" applyBorder="0" applyAlignment="0" applyProtection="0"/>
    <xf numFmtId="10" fontId="9" fillId="3" borderId="7" applyNumberFormat="0" applyBorder="0" applyAlignment="0" applyProtection="0"/>
    <xf numFmtId="0" fontId="10" fillId="0" borderId="0" applyNumberFormat="0" applyFill="0" applyBorder="0" applyAlignment="0">
      <protection locked="0"/>
    </xf>
    <xf numFmtId="0" fontId="11" fillId="4" borderId="6"/>
    <xf numFmtId="37" fontId="12" fillId="0" borderId="0"/>
    <xf numFmtId="169" fontId="13" fillId="0" borderId="0"/>
    <xf numFmtId="0" fontId="1" fillId="0" borderId="0"/>
    <xf numFmtId="0" fontId="14" fillId="0" borderId="0"/>
    <xf numFmtId="0" fontId="1" fillId="0" borderId="0"/>
    <xf numFmtId="10" fontId="4" fillId="0" borderId="0" applyFont="0" applyFill="0" applyBorder="0" applyAlignment="0" applyProtection="0"/>
    <xf numFmtId="0" fontId="2" fillId="0" borderId="0"/>
    <xf numFmtId="0" fontId="2" fillId="0" borderId="6"/>
    <xf numFmtId="170" fontId="7" fillId="0" borderId="0" applyFont="0" applyFill="0" applyBorder="0" applyAlignment="0" applyProtection="0"/>
    <xf numFmtId="0" fontId="15" fillId="5" borderId="0"/>
    <xf numFmtId="0" fontId="11" fillId="0" borderId="8"/>
    <xf numFmtId="0" fontId="11" fillId="0" borderId="6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>
      <alignment horizontal="left" wrapText="1"/>
    </xf>
    <xf numFmtId="9" fontId="4" fillId="0" borderId="0" applyFont="0" applyFill="0" applyBorder="0" applyAlignment="0" applyProtection="0"/>
    <xf numFmtId="0" fontId="4" fillId="0" borderId="0">
      <alignment horizontal="left" wrapText="1"/>
    </xf>
    <xf numFmtId="0" fontId="4" fillId="0" borderId="0">
      <alignment horizontal="left" wrapText="1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4" fillId="0" borderId="0">
      <alignment vertical="center"/>
    </xf>
    <xf numFmtId="9" fontId="4" fillId="0" borderId="0"/>
    <xf numFmtId="44" fontId="4" fillId="0" borderId="0"/>
    <xf numFmtId="42" fontId="4" fillId="0" borderId="0"/>
    <xf numFmtId="43" fontId="4" fillId="0" borderId="0"/>
    <xf numFmtId="41" fontId="4" fillId="0" borderId="0"/>
    <xf numFmtId="0" fontId="55" fillId="0" borderId="0"/>
    <xf numFmtId="0" fontId="4" fillId="0" borderId="0"/>
    <xf numFmtId="37" fontId="63" fillId="0" borderId="0"/>
    <xf numFmtId="37" fontId="64" fillId="0" borderId="0"/>
    <xf numFmtId="9" fontId="64" fillId="0" borderId="0" applyFont="0" applyFill="0" applyBorder="0" applyAlignment="0" applyProtection="0"/>
    <xf numFmtId="0" fontId="65" fillId="26" borderId="0"/>
    <xf numFmtId="0" fontId="4" fillId="0" borderId="0"/>
    <xf numFmtId="0" fontId="4" fillId="0" borderId="0"/>
    <xf numFmtId="0" fontId="4" fillId="0" borderId="0">
      <alignment wrapText="1"/>
    </xf>
    <xf numFmtId="0" fontId="4" fillId="0" borderId="0"/>
    <xf numFmtId="44" fontId="4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4" fillId="0" borderId="0"/>
    <xf numFmtId="0" fontId="66" fillId="0" borderId="0">
      <alignment vertical="top"/>
    </xf>
    <xf numFmtId="37" fontId="4" fillId="0" borderId="0" applyFont="0" applyFill="0" applyBorder="0" applyAlignment="0" applyProtection="0"/>
    <xf numFmtId="0" fontId="69" fillId="27" borderId="102" applyNumberFormat="0" applyBorder="0" applyAlignment="0" applyProtection="0"/>
    <xf numFmtId="43" fontId="1" fillId="0" borderId="0" applyFont="0" applyFill="0" applyBorder="0" applyAlignment="0" applyProtection="0"/>
    <xf numFmtId="43" fontId="68" fillId="0" borderId="0" applyFont="0" applyFill="0" applyBorder="0" applyAlignment="0" applyProtection="0"/>
    <xf numFmtId="9" fontId="67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4" fillId="0" borderId="0"/>
    <xf numFmtId="0" fontId="68" fillId="0" borderId="0"/>
    <xf numFmtId="44" fontId="67" fillId="0" borderId="0" applyFont="0" applyFill="0" applyBorder="0" applyAlignment="0" applyProtection="0"/>
    <xf numFmtId="0" fontId="1" fillId="0" borderId="0"/>
    <xf numFmtId="0" fontId="61" fillId="0" borderId="0"/>
    <xf numFmtId="43" fontId="6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2" fillId="0" borderId="0"/>
    <xf numFmtId="43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55" fillId="0" borderId="0"/>
  </cellStyleXfs>
  <cellXfs count="1598">
    <xf numFmtId="0" fontId="0" fillId="0" borderId="0" xfId="0"/>
    <xf numFmtId="0" fontId="19" fillId="0" borderId="0" xfId="0" applyFont="1"/>
    <xf numFmtId="0" fontId="20" fillId="0" borderId="0" xfId="0" applyFont="1"/>
    <xf numFmtId="3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171" fontId="19" fillId="0" borderId="0" xfId="0" applyNumberFormat="1" applyFont="1"/>
    <xf numFmtId="171" fontId="19" fillId="0" borderId="0" xfId="0" applyNumberFormat="1" applyFont="1" applyAlignment="1">
      <alignment horizontal="center"/>
    </xf>
    <xf numFmtId="3" fontId="20" fillId="10" borderId="13" xfId="0" applyNumberFormat="1" applyFont="1" applyFill="1" applyBorder="1" applyAlignment="1">
      <alignment horizontal="center"/>
    </xf>
    <xf numFmtId="0" fontId="20" fillId="10" borderId="14" xfId="0" applyFont="1" applyFill="1" applyBorder="1"/>
    <xf numFmtId="0" fontId="20" fillId="10" borderId="13" xfId="0" applyFont="1" applyFill="1" applyBorder="1" applyAlignment="1">
      <alignment horizontal="center"/>
    </xf>
    <xf numFmtId="171" fontId="20" fillId="10" borderId="13" xfId="0" applyNumberFormat="1" applyFont="1" applyFill="1" applyBorder="1" applyAlignment="1">
      <alignment horizontal="center"/>
    </xf>
    <xf numFmtId="0" fontId="20" fillId="10" borderId="15" xfId="0" applyFont="1" applyFill="1" applyBorder="1" applyAlignment="1">
      <alignment horizontal="center"/>
    </xf>
    <xf numFmtId="172" fontId="19" fillId="0" borderId="12" xfId="0" applyNumberFormat="1" applyFont="1" applyBorder="1" applyAlignment="1">
      <alignment horizontal="center"/>
    </xf>
    <xf numFmtId="0" fontId="22" fillId="9" borderId="14" xfId="0" applyFont="1" applyFill="1" applyBorder="1" applyAlignment="1">
      <alignment horizontal="center"/>
    </xf>
    <xf numFmtId="0" fontId="20" fillId="9" borderId="13" xfId="0" applyFont="1" applyFill="1" applyBorder="1" applyAlignment="1">
      <alignment horizontal="center"/>
    </xf>
    <xf numFmtId="1" fontId="20" fillId="9" borderId="13" xfId="0" applyNumberFormat="1" applyFont="1" applyFill="1" applyBorder="1" applyAlignment="1">
      <alignment horizontal="center"/>
    </xf>
    <xf numFmtId="3" fontId="20" fillId="9" borderId="13" xfId="0" applyNumberFormat="1" applyFont="1" applyFill="1" applyBorder="1" applyAlignment="1">
      <alignment horizontal="center"/>
    </xf>
    <xf numFmtId="172" fontId="20" fillId="9" borderId="13" xfId="0" applyNumberFormat="1" applyFont="1" applyFill="1" applyBorder="1" applyAlignment="1">
      <alignment horizontal="center"/>
    </xf>
    <xf numFmtId="171" fontId="20" fillId="9" borderId="15" xfId="0" applyNumberFormat="1" applyFont="1" applyFill="1" applyBorder="1"/>
    <xf numFmtId="171" fontId="19" fillId="0" borderId="10" xfId="0" applyNumberFormat="1" applyFont="1" applyBorder="1"/>
    <xf numFmtId="0" fontId="20" fillId="10" borderId="23" xfId="0" applyFont="1" applyFill="1" applyBorder="1" applyProtection="1">
      <protection locked="0"/>
    </xf>
    <xf numFmtId="0" fontId="20" fillId="10" borderId="24" xfId="0" applyFont="1" applyFill="1" applyBorder="1" applyProtection="1">
      <protection locked="0"/>
    </xf>
    <xf numFmtId="3" fontId="20" fillId="10" borderId="24" xfId="0" applyNumberFormat="1" applyFont="1" applyFill="1" applyBorder="1" applyAlignment="1" applyProtection="1">
      <alignment horizontal="center"/>
      <protection locked="0"/>
    </xf>
    <xf numFmtId="172" fontId="20" fillId="10" borderId="24" xfId="0" applyNumberFormat="1" applyFont="1" applyFill="1" applyBorder="1" applyAlignment="1" applyProtection="1">
      <alignment horizontal="center"/>
      <protection locked="0"/>
    </xf>
    <xf numFmtId="0" fontId="20" fillId="10" borderId="24" xfId="0" applyFont="1" applyFill="1" applyBorder="1" applyAlignment="1" applyProtection="1">
      <alignment horizontal="right"/>
      <protection locked="0"/>
    </xf>
    <xf numFmtId="173" fontId="20" fillId="10" borderId="24" xfId="0" applyNumberFormat="1" applyFont="1" applyFill="1" applyBorder="1" applyAlignment="1" applyProtection="1">
      <alignment horizontal="right"/>
      <protection locked="0"/>
    </xf>
    <xf numFmtId="173" fontId="20" fillId="10" borderId="22" xfId="0" applyNumberFormat="1" applyFont="1" applyFill="1" applyBorder="1" applyAlignment="1" applyProtection="1">
      <alignment horizontal="center"/>
      <protection locked="0"/>
    </xf>
    <xf numFmtId="0" fontId="19" fillId="0" borderId="21" xfId="0" applyFont="1" applyBorder="1" applyProtection="1">
      <protection locked="0"/>
    </xf>
    <xf numFmtId="0" fontId="19" fillId="0" borderId="19" xfId="0" applyFont="1" applyBorder="1" applyProtection="1">
      <protection locked="0"/>
    </xf>
    <xf numFmtId="0" fontId="24" fillId="0" borderId="19" xfId="0" applyFont="1" applyBorder="1" applyProtection="1">
      <protection locked="0"/>
    </xf>
    <xf numFmtId="3" fontId="24" fillId="0" borderId="19" xfId="0" applyNumberFormat="1" applyFont="1" applyBorder="1" applyAlignment="1" applyProtection="1">
      <alignment horizontal="center"/>
      <protection locked="0"/>
    </xf>
    <xf numFmtId="9" fontId="19" fillId="0" borderId="19" xfId="2" applyFont="1" applyBorder="1" applyAlignment="1" applyProtection="1">
      <alignment horizontal="center"/>
      <protection locked="0"/>
    </xf>
    <xf numFmtId="172" fontId="24" fillId="0" borderId="19" xfId="0" applyNumberFormat="1" applyFont="1" applyBorder="1" applyAlignment="1" applyProtection="1">
      <alignment horizontal="center"/>
      <protection locked="0"/>
    </xf>
    <xf numFmtId="171" fontId="19" fillId="0" borderId="19" xfId="0" applyNumberFormat="1" applyFont="1" applyBorder="1" applyProtection="1">
      <protection locked="0"/>
    </xf>
    <xf numFmtId="17" fontId="24" fillId="0" borderId="19" xfId="0" applyNumberFormat="1" applyFont="1" applyBorder="1" applyAlignment="1" applyProtection="1">
      <alignment horizontal="right"/>
      <protection locked="0"/>
    </xf>
    <xf numFmtId="173" fontId="24" fillId="0" borderId="19" xfId="0" applyNumberFormat="1" applyFont="1" applyBorder="1" applyAlignment="1" applyProtection="1">
      <alignment horizontal="right"/>
      <protection locked="0"/>
    </xf>
    <xf numFmtId="3" fontId="22" fillId="9" borderId="24" xfId="0" applyNumberFormat="1" applyFont="1" applyFill="1" applyBorder="1" applyAlignment="1">
      <alignment horizontal="center"/>
    </xf>
    <xf numFmtId="9" fontId="22" fillId="9" borderId="24" xfId="2" applyFont="1" applyFill="1" applyBorder="1" applyAlignment="1" applyProtection="1">
      <alignment horizontal="center"/>
    </xf>
    <xf numFmtId="172" fontId="22" fillId="9" borderId="24" xfId="0" applyNumberFormat="1" applyFont="1" applyFill="1" applyBorder="1" applyAlignment="1">
      <alignment horizontal="center"/>
    </xf>
    <xf numFmtId="171" fontId="22" fillId="9" borderId="24" xfId="0" applyNumberFormat="1" applyFont="1" applyFill="1" applyBorder="1"/>
    <xf numFmtId="0" fontId="22" fillId="9" borderId="24" xfId="0" applyFont="1" applyFill="1" applyBorder="1" applyAlignment="1">
      <alignment horizontal="right"/>
    </xf>
    <xf numFmtId="173" fontId="19" fillId="9" borderId="24" xfId="0" applyNumberFormat="1" applyFont="1" applyFill="1" applyBorder="1" applyAlignment="1">
      <alignment horizontal="right"/>
    </xf>
    <xf numFmtId="173" fontId="19" fillId="9" borderId="22" xfId="0" applyNumberFormat="1" applyFont="1" applyFill="1" applyBorder="1" applyAlignment="1">
      <alignment horizontal="center"/>
    </xf>
    <xf numFmtId="3" fontId="20" fillId="9" borderId="24" xfId="0" applyNumberFormat="1" applyFont="1" applyFill="1" applyBorder="1" applyAlignment="1">
      <alignment horizontal="right" wrapText="1"/>
    </xf>
    <xf numFmtId="3" fontId="19" fillId="10" borderId="24" xfId="0" applyNumberFormat="1" applyFont="1" applyFill="1" applyBorder="1" applyAlignment="1">
      <alignment horizontal="right"/>
    </xf>
    <xf numFmtId="3" fontId="19" fillId="10" borderId="24" xfId="0" applyNumberFormat="1" applyFont="1" applyFill="1" applyBorder="1" applyAlignment="1">
      <alignment horizontal="center"/>
    </xf>
    <xf numFmtId="164" fontId="19" fillId="10" borderId="24" xfId="2" applyNumberFormat="1" applyFont="1" applyFill="1" applyBorder="1" applyAlignment="1" applyProtection="1">
      <alignment horizontal="right"/>
    </xf>
    <xf numFmtId="3" fontId="20" fillId="9" borderId="23" xfId="0" applyNumberFormat="1" applyFont="1" applyFill="1" applyBorder="1" applyAlignment="1">
      <alignment horizontal="right"/>
    </xf>
    <xf numFmtId="3" fontId="19" fillId="10" borderId="23" xfId="0" applyNumberFormat="1" applyFont="1" applyFill="1" applyBorder="1" applyAlignment="1">
      <alignment horizontal="right"/>
    </xf>
    <xf numFmtId="164" fontId="19" fillId="10" borderId="23" xfId="2" applyNumberFormat="1" applyFont="1" applyFill="1" applyBorder="1" applyAlignment="1" applyProtection="1">
      <alignment horizontal="right"/>
    </xf>
    <xf numFmtId="0" fontId="20" fillId="9" borderId="24" xfId="0" applyFont="1" applyFill="1" applyBorder="1" applyAlignment="1">
      <alignment horizontal="center" wrapText="1"/>
    </xf>
    <xf numFmtId="171" fontId="22" fillId="9" borderId="24" xfId="0" applyNumberFormat="1" applyFont="1" applyFill="1" applyBorder="1" applyAlignment="1">
      <alignment horizontal="center"/>
    </xf>
    <xf numFmtId="0" fontId="20" fillId="0" borderId="0" xfId="0" applyFont="1" applyAlignment="1">
      <alignment horizontal="right"/>
    </xf>
    <xf numFmtId="3" fontId="19" fillId="0" borderId="0" xfId="0" applyNumberFormat="1" applyFont="1" applyAlignment="1">
      <alignment horizontal="center" vertical="top"/>
    </xf>
    <xf numFmtId="0" fontId="25" fillId="11" borderId="0" xfId="0" applyFont="1" applyFill="1" applyProtection="1">
      <protection locked="0"/>
    </xf>
    <xf numFmtId="0" fontId="4" fillId="11" borderId="0" xfId="0" applyFont="1" applyFill="1" applyAlignment="1" applyProtection="1">
      <alignment horizontal="left" wrapText="1"/>
      <protection hidden="1"/>
    </xf>
    <xf numFmtId="0" fontId="4" fillId="11" borderId="0" xfId="0" applyFont="1" applyFill="1" applyAlignment="1">
      <alignment horizontal="left" wrapText="1"/>
    </xf>
    <xf numFmtId="0" fontId="26" fillId="11" borderId="0" xfId="0" applyFont="1" applyFill="1" applyAlignment="1">
      <alignment horizontal="left" wrapText="1"/>
    </xf>
    <xf numFmtId="0" fontId="26" fillId="11" borderId="0" xfId="0" applyFont="1" applyFill="1" applyAlignment="1" applyProtection="1">
      <alignment horizontal="left" wrapText="1"/>
      <protection hidden="1"/>
    </xf>
    <xf numFmtId="0" fontId="27" fillId="11" borderId="0" xfId="0" applyFont="1" applyFill="1"/>
    <xf numFmtId="0" fontId="26" fillId="11" borderId="0" xfId="0" applyFont="1" applyFill="1" applyAlignment="1">
      <alignment horizontal="left"/>
    </xf>
    <xf numFmtId="0" fontId="26" fillId="11" borderId="0" xfId="0" applyFont="1" applyFill="1"/>
    <xf numFmtId="7" fontId="26" fillId="11" borderId="0" xfId="0" applyNumberFormat="1" applyFont="1" applyFill="1" applyAlignment="1">
      <alignment horizontal="left"/>
    </xf>
    <xf numFmtId="0" fontId="4" fillId="11" borderId="0" xfId="0" applyFont="1" applyFill="1" applyAlignment="1">
      <alignment horizontal="left"/>
    </xf>
    <xf numFmtId="9" fontId="4" fillId="11" borderId="0" xfId="0" applyNumberFormat="1" applyFont="1" applyFill="1" applyAlignment="1">
      <alignment horizontal="left"/>
    </xf>
    <xf numFmtId="0" fontId="9" fillId="11" borderId="0" xfId="0" applyFont="1" applyFill="1" applyAlignment="1" applyProtection="1">
      <alignment horizontal="left" vertical="top" wrapText="1"/>
      <protection locked="0"/>
    </xf>
    <xf numFmtId="0" fontId="29" fillId="11" borderId="0" xfId="0" applyFont="1" applyFill="1" applyAlignment="1">
      <alignment horizontal="left"/>
    </xf>
    <xf numFmtId="0" fontId="26" fillId="11" borderId="0" xfId="0" applyFont="1" applyFill="1" applyAlignment="1">
      <alignment wrapText="1"/>
    </xf>
    <xf numFmtId="0" fontId="26" fillId="11" borderId="52" xfId="0" applyFont="1" applyFill="1" applyBorder="1" applyProtection="1">
      <protection locked="0"/>
    </xf>
    <xf numFmtId="37" fontId="26" fillId="11" borderId="51" xfId="0" applyNumberFormat="1" applyFont="1" applyFill="1" applyBorder="1" applyProtection="1">
      <protection locked="0"/>
    </xf>
    <xf numFmtId="37" fontId="26" fillId="11" borderId="52" xfId="0" applyNumberFormat="1" applyFont="1" applyFill="1" applyBorder="1" applyProtection="1">
      <protection locked="0"/>
    </xf>
    <xf numFmtId="0" fontId="26" fillId="11" borderId="0" xfId="0" applyFont="1" applyFill="1" applyProtection="1">
      <protection locked="0"/>
    </xf>
    <xf numFmtId="37" fontId="26" fillId="11" borderId="0" xfId="0" applyNumberFormat="1" applyFont="1" applyFill="1" applyProtection="1">
      <protection locked="0"/>
    </xf>
    <xf numFmtId="0" fontId="26" fillId="11" borderId="0" xfId="0" applyFont="1" applyFill="1" applyAlignment="1" applyProtection="1">
      <alignment horizontal="right"/>
      <protection locked="0"/>
    </xf>
    <xf numFmtId="37" fontId="26" fillId="11" borderId="0" xfId="0" applyNumberFormat="1" applyFont="1" applyFill="1" applyAlignment="1" applyProtection="1">
      <alignment horizontal="right"/>
      <protection locked="0"/>
    </xf>
    <xf numFmtId="0" fontId="31" fillId="11" borderId="0" xfId="0" applyFont="1" applyFill="1" applyAlignment="1">
      <alignment horizontal="left"/>
    </xf>
    <xf numFmtId="0" fontId="26" fillId="2" borderId="44" xfId="0" applyFont="1" applyFill="1" applyBorder="1" applyAlignment="1">
      <alignment vertical="center"/>
    </xf>
    <xf numFmtId="0" fontId="26" fillId="2" borderId="42" xfId="0" applyFont="1" applyFill="1" applyBorder="1" applyAlignment="1">
      <alignment vertical="center"/>
    </xf>
    <xf numFmtId="0" fontId="26" fillId="2" borderId="43" xfId="0" applyFont="1" applyFill="1" applyBorder="1" applyAlignment="1">
      <alignment vertical="center"/>
    </xf>
    <xf numFmtId="0" fontId="26" fillId="2" borderId="49" xfId="0" applyFont="1" applyFill="1" applyBorder="1" applyAlignment="1">
      <alignment vertical="center"/>
    </xf>
    <xf numFmtId="0" fontId="26" fillId="11" borderId="0" xfId="0" applyFont="1" applyFill="1" applyAlignment="1">
      <alignment vertical="center"/>
    </xf>
    <xf numFmtId="174" fontId="26" fillId="11" borderId="0" xfId="0" applyNumberFormat="1" applyFont="1" applyFill="1" applyProtection="1">
      <protection locked="0"/>
    </xf>
    <xf numFmtId="174" fontId="26" fillId="11" borderId="0" xfId="0" applyNumberFormat="1" applyFont="1" applyFill="1" applyAlignment="1" applyProtection="1">
      <alignment horizontal="center"/>
      <protection locked="0"/>
    </xf>
    <xf numFmtId="0" fontId="0" fillId="11" borderId="0" xfId="0" applyFill="1"/>
    <xf numFmtId="0" fontId="29" fillId="11" borderId="41" xfId="0" applyFont="1" applyFill="1" applyBorder="1" applyAlignment="1">
      <alignment horizontal="center"/>
    </xf>
    <xf numFmtId="0" fontId="29" fillId="11" borderId="0" xfId="0" applyFont="1" applyFill="1" applyAlignment="1">
      <alignment horizontal="center"/>
    </xf>
    <xf numFmtId="0" fontId="0" fillId="11" borderId="0" xfId="0" applyFill="1" applyAlignment="1">
      <alignment horizontal="right"/>
    </xf>
    <xf numFmtId="0" fontId="30" fillId="11" borderId="0" xfId="0" applyFont="1" applyFill="1" applyAlignment="1">
      <alignment horizontal="left"/>
    </xf>
    <xf numFmtId="0" fontId="26" fillId="11" borderId="0" xfId="0" applyFont="1" applyFill="1" applyAlignment="1">
      <alignment horizontal="center"/>
    </xf>
    <xf numFmtId="9" fontId="26" fillId="11" borderId="0" xfId="0" applyNumberFormat="1" applyFont="1" applyFill="1" applyAlignment="1" applyProtection="1">
      <alignment horizontal="left" wrapText="1"/>
      <protection hidden="1"/>
    </xf>
    <xf numFmtId="9" fontId="26" fillId="11" borderId="0" xfId="0" applyNumberFormat="1" applyFont="1" applyFill="1" applyAlignment="1">
      <alignment horizontal="left" wrapText="1"/>
    </xf>
    <xf numFmtId="164" fontId="19" fillId="10" borderId="24" xfId="2" applyNumberFormat="1" applyFont="1" applyFill="1" applyBorder="1" applyAlignment="1" applyProtection="1">
      <alignment horizontal="center"/>
    </xf>
    <xf numFmtId="3" fontId="20" fillId="9" borderId="22" xfId="0" applyNumberFormat="1" applyFont="1" applyFill="1" applyBorder="1" applyAlignment="1">
      <alignment horizontal="center" wrapText="1"/>
    </xf>
    <xf numFmtId="3" fontId="19" fillId="10" borderId="22" xfId="0" applyNumberFormat="1" applyFont="1" applyFill="1" applyBorder="1" applyAlignment="1">
      <alignment horizontal="center"/>
    </xf>
    <xf numFmtId="10" fontId="19" fillId="10" borderId="22" xfId="2" applyNumberFormat="1" applyFont="1" applyFill="1" applyBorder="1" applyAlignment="1" applyProtection="1">
      <alignment horizontal="center"/>
    </xf>
    <xf numFmtId="0" fontId="22" fillId="9" borderId="64" xfId="0" applyFont="1" applyFill="1" applyBorder="1"/>
    <xf numFmtId="0" fontId="22" fillId="9" borderId="48" xfId="0" applyFont="1" applyFill="1" applyBorder="1"/>
    <xf numFmtId="0" fontId="19" fillId="0" borderId="65" xfId="0" applyFont="1" applyBorder="1" applyAlignment="1">
      <alignment horizontal="center"/>
    </xf>
    <xf numFmtId="0" fontId="7" fillId="0" borderId="65" xfId="0" applyFont="1" applyBorder="1" applyAlignment="1">
      <alignment horizontal="center"/>
    </xf>
    <xf numFmtId="0" fontId="23" fillId="0" borderId="11" xfId="0" applyFont="1" applyBorder="1"/>
    <xf numFmtId="0" fontId="23" fillId="0" borderId="12" xfId="0" applyFont="1" applyBorder="1" applyAlignment="1">
      <alignment horizontal="center"/>
    </xf>
    <xf numFmtId="3" fontId="23" fillId="0" borderId="12" xfId="0" applyNumberFormat="1" applyFont="1" applyBorder="1" applyAlignment="1">
      <alignment horizontal="center"/>
    </xf>
    <xf numFmtId="171" fontId="23" fillId="0" borderId="12" xfId="2" applyNumberFormat="1" applyFont="1" applyBorder="1" applyAlignment="1">
      <alignment horizontal="center"/>
    </xf>
    <xf numFmtId="6" fontId="19" fillId="10" borderId="0" xfId="0" applyNumberFormat="1" applyFont="1" applyFill="1" applyAlignment="1">
      <alignment horizontal="center"/>
    </xf>
    <xf numFmtId="171" fontId="34" fillId="9" borderId="9" xfId="0" applyNumberFormat="1" applyFont="1" applyFill="1" applyBorder="1" applyAlignment="1">
      <alignment horizontal="center"/>
    </xf>
    <xf numFmtId="0" fontId="0" fillId="12" borderId="0" xfId="0" applyFill="1"/>
    <xf numFmtId="171" fontId="36" fillId="14" borderId="68" xfId="0" applyNumberFormat="1" applyFont="1" applyFill="1" applyBorder="1" applyAlignment="1">
      <alignment horizontal="center"/>
    </xf>
    <xf numFmtId="3" fontId="36" fillId="14" borderId="68" xfId="0" applyNumberFormat="1" applyFont="1" applyFill="1" applyBorder="1" applyAlignment="1">
      <alignment horizontal="center"/>
    </xf>
    <xf numFmtId="3" fontId="36" fillId="14" borderId="69" xfId="0" applyNumberFormat="1" applyFont="1" applyFill="1" applyBorder="1" applyAlignment="1">
      <alignment horizontal="center"/>
    </xf>
    <xf numFmtId="171" fontId="36" fillId="14" borderId="0" xfId="0" applyNumberFormat="1" applyFont="1" applyFill="1" applyAlignment="1">
      <alignment horizontal="center"/>
    </xf>
    <xf numFmtId="10" fontId="36" fillId="14" borderId="0" xfId="0" applyNumberFormat="1" applyFont="1" applyFill="1"/>
    <xf numFmtId="0" fontId="36" fillId="14" borderId="0" xfId="0" applyFont="1" applyFill="1"/>
    <xf numFmtId="171" fontId="36" fillId="14" borderId="0" xfId="0" applyNumberFormat="1" applyFont="1" applyFill="1"/>
    <xf numFmtId="0" fontId="36" fillId="14" borderId="57" xfId="0" applyFont="1" applyFill="1" applyBorder="1"/>
    <xf numFmtId="37" fontId="36" fillId="14" borderId="0" xfId="1" applyNumberFormat="1" applyFont="1" applyFill="1" applyBorder="1" applyAlignment="1">
      <alignment horizontal="center"/>
    </xf>
    <xf numFmtId="3" fontId="36" fillId="14" borderId="70" xfId="0" applyNumberFormat="1" applyFont="1" applyFill="1" applyBorder="1"/>
    <xf numFmtId="3" fontId="36" fillId="14" borderId="0" xfId="0" applyNumberFormat="1" applyFont="1" applyFill="1"/>
    <xf numFmtId="0" fontId="36" fillId="14" borderId="0" xfId="0" quotePrefix="1" applyFont="1" applyFill="1" applyAlignment="1">
      <alignment horizontal="center"/>
    </xf>
    <xf numFmtId="0" fontId="36" fillId="14" borderId="71" xfId="0" quotePrefix="1" applyFont="1" applyFill="1" applyBorder="1" applyAlignment="1">
      <alignment horizontal="center"/>
    </xf>
    <xf numFmtId="0" fontId="36" fillId="14" borderId="57" xfId="0" quotePrefix="1" applyFont="1" applyFill="1" applyBorder="1" applyAlignment="1">
      <alignment horizontal="center"/>
    </xf>
    <xf numFmtId="0" fontId="35" fillId="14" borderId="70" xfId="0" applyFont="1" applyFill="1" applyBorder="1"/>
    <xf numFmtId="0" fontId="35" fillId="14" borderId="0" xfId="0" applyFont="1" applyFill="1"/>
    <xf numFmtId="10" fontId="35" fillId="14" borderId="72" xfId="0" applyNumberFormat="1" applyFont="1" applyFill="1" applyBorder="1" applyAlignment="1">
      <alignment horizontal="center"/>
    </xf>
    <xf numFmtId="10" fontId="35" fillId="14" borderId="0" xfId="0" applyNumberFormat="1" applyFont="1" applyFill="1" applyAlignment="1">
      <alignment horizontal="center"/>
    </xf>
    <xf numFmtId="10" fontId="35" fillId="14" borderId="57" xfId="0" applyNumberFormat="1" applyFont="1" applyFill="1" applyBorder="1" applyAlignment="1">
      <alignment horizontal="center"/>
    </xf>
    <xf numFmtId="2" fontId="35" fillId="14" borderId="70" xfId="0" applyNumberFormat="1" applyFont="1" applyFill="1" applyBorder="1"/>
    <xf numFmtId="2" fontId="35" fillId="14" borderId="0" xfId="0" applyNumberFormat="1" applyFont="1" applyFill="1"/>
    <xf numFmtId="5" fontId="0" fillId="0" borderId="73" xfId="43" applyNumberFormat="1" applyFont="1" applyBorder="1" applyAlignment="1">
      <alignment horizontal="center"/>
    </xf>
    <xf numFmtId="5" fontId="0" fillId="0" borderId="68" xfId="43" applyNumberFormat="1" applyFont="1" applyBorder="1" applyAlignment="1">
      <alignment horizontal="center"/>
    </xf>
    <xf numFmtId="5" fontId="0" fillId="0" borderId="69" xfId="43" applyNumberFormat="1" applyFont="1" applyBorder="1" applyAlignment="1">
      <alignment horizontal="center"/>
    </xf>
    <xf numFmtId="5" fontId="0" fillId="0" borderId="72" xfId="43" applyNumberFormat="1" applyFont="1" applyBorder="1" applyAlignment="1">
      <alignment horizontal="center"/>
    </xf>
    <xf numFmtId="5" fontId="0" fillId="0" borderId="0" xfId="43" applyNumberFormat="1" applyFont="1" applyBorder="1" applyAlignment="1">
      <alignment horizontal="center"/>
    </xf>
    <xf numFmtId="5" fontId="0" fillId="0" borderId="57" xfId="43" applyNumberFormat="1" applyFont="1" applyBorder="1" applyAlignment="1">
      <alignment horizontal="center"/>
    </xf>
    <xf numFmtId="2" fontId="35" fillId="14" borderId="70" xfId="0" applyNumberFormat="1" applyFont="1" applyFill="1" applyBorder="1" applyAlignment="1">
      <alignment textRotation="90"/>
    </xf>
    <xf numFmtId="2" fontId="35" fillId="14" borderId="74" xfId="0" applyNumberFormat="1" applyFont="1" applyFill="1" applyBorder="1"/>
    <xf numFmtId="2" fontId="35" fillId="14" borderId="4" xfId="0" applyNumberFormat="1" applyFont="1" applyFill="1" applyBorder="1"/>
    <xf numFmtId="5" fontId="0" fillId="0" borderId="75" xfId="43" applyNumberFormat="1" applyFont="1" applyBorder="1" applyAlignment="1">
      <alignment horizontal="center"/>
    </xf>
    <xf numFmtId="5" fontId="0" fillId="0" borderId="4" xfId="43" applyNumberFormat="1" applyFont="1" applyBorder="1" applyAlignment="1">
      <alignment horizontal="center"/>
    </xf>
    <xf numFmtId="5" fontId="0" fillId="0" borderId="17" xfId="43" applyNumberFormat="1" applyFont="1" applyBorder="1" applyAlignment="1">
      <alignment horizontal="center"/>
    </xf>
    <xf numFmtId="3" fontId="36" fillId="14" borderId="70" xfId="0" applyNumberFormat="1" applyFont="1" applyFill="1" applyBorder="1" applyAlignment="1">
      <alignment textRotation="90"/>
    </xf>
    <xf numFmtId="0" fontId="35" fillId="14" borderId="70" xfId="0" applyFont="1" applyFill="1" applyBorder="1" applyAlignment="1">
      <alignment textRotation="90"/>
    </xf>
    <xf numFmtId="10" fontId="35" fillId="14" borderId="0" xfId="2" quotePrefix="1" applyNumberFormat="1" applyFont="1" applyFill="1" applyBorder="1" applyAlignment="1">
      <alignment horizontal="center"/>
    </xf>
    <xf numFmtId="10" fontId="35" fillId="14" borderId="72" xfId="2" quotePrefix="1" applyNumberFormat="1" applyFont="1" applyFill="1" applyBorder="1" applyAlignment="1">
      <alignment horizontal="center"/>
    </xf>
    <xf numFmtId="2" fontId="35" fillId="14" borderId="76" xfId="0" applyNumberFormat="1" applyFont="1" applyFill="1" applyBorder="1"/>
    <xf numFmtId="2" fontId="0" fillId="0" borderId="67" xfId="43" applyNumberFormat="1" applyFont="1" applyBorder="1" applyAlignment="1">
      <alignment horizontal="center"/>
    </xf>
    <xf numFmtId="2" fontId="0" fillId="0" borderId="73" xfId="43" applyNumberFormat="1" applyFont="1" applyBorder="1" applyAlignment="1">
      <alignment horizontal="center"/>
    </xf>
    <xf numFmtId="2" fontId="0" fillId="0" borderId="68" xfId="43" applyNumberFormat="1" applyFont="1" applyBorder="1" applyAlignment="1">
      <alignment horizontal="center"/>
    </xf>
    <xf numFmtId="2" fontId="0" fillId="0" borderId="69" xfId="43" applyNumberFormat="1" applyFont="1" applyBorder="1" applyAlignment="1">
      <alignment horizontal="center"/>
    </xf>
    <xf numFmtId="2" fontId="0" fillId="0" borderId="70" xfId="43" applyNumberFormat="1" applyFont="1" applyBorder="1" applyAlignment="1">
      <alignment horizontal="center"/>
    </xf>
    <xf numFmtId="2" fontId="0" fillId="0" borderId="72" xfId="43" applyNumberFormat="1" applyFont="1" applyBorder="1" applyAlignment="1">
      <alignment horizontal="center"/>
    </xf>
    <xf numFmtId="2" fontId="0" fillId="0" borderId="0" xfId="43" applyNumberFormat="1" applyFont="1" applyBorder="1" applyAlignment="1">
      <alignment horizontal="center"/>
    </xf>
    <xf numFmtId="2" fontId="0" fillId="0" borderId="57" xfId="43" applyNumberFormat="1" applyFont="1" applyBorder="1" applyAlignment="1">
      <alignment horizontal="center"/>
    </xf>
    <xf numFmtId="0" fontId="38" fillId="12" borderId="0" xfId="0" applyFont="1" applyFill="1"/>
    <xf numFmtId="2" fontId="35" fillId="14" borderId="74" xfId="0" applyNumberFormat="1" applyFont="1" applyFill="1" applyBorder="1" applyAlignment="1">
      <alignment textRotation="90"/>
    </xf>
    <xf numFmtId="2" fontId="35" fillId="14" borderId="77" xfId="0" applyNumberFormat="1" applyFont="1" applyFill="1" applyBorder="1"/>
    <xf numFmtId="2" fontId="0" fillId="0" borderId="74" xfId="43" applyNumberFormat="1" applyFont="1" applyBorder="1" applyAlignment="1">
      <alignment horizontal="center"/>
    </xf>
    <xf numFmtId="2" fontId="0" fillId="0" borderId="75" xfId="43" applyNumberFormat="1" applyFont="1" applyBorder="1" applyAlignment="1">
      <alignment horizontal="center"/>
    </xf>
    <xf numFmtId="2" fontId="0" fillId="0" borderId="4" xfId="43" applyNumberFormat="1" applyFont="1" applyBorder="1" applyAlignment="1">
      <alignment horizontal="center"/>
    </xf>
    <xf numFmtId="2" fontId="0" fillId="0" borderId="17" xfId="43" applyNumberFormat="1" applyFont="1" applyBorder="1" applyAlignment="1">
      <alignment horizontal="center"/>
    </xf>
    <xf numFmtId="3" fontId="19" fillId="0" borderId="65" xfId="1" applyNumberFormat="1" applyFont="1" applyBorder="1" applyAlignment="1">
      <alignment horizontal="center"/>
    </xf>
    <xf numFmtId="0" fontId="39" fillId="0" borderId="19" xfId="0" applyFont="1" applyBorder="1" applyProtection="1">
      <protection locked="0"/>
    </xf>
    <xf numFmtId="0" fontId="39" fillId="0" borderId="19" xfId="0" applyFont="1" applyBorder="1" applyAlignment="1" applyProtection="1">
      <alignment horizontal="left"/>
      <protection locked="0"/>
    </xf>
    <xf numFmtId="173" fontId="33" fillId="10" borderId="20" xfId="0" applyNumberFormat="1" applyFont="1" applyFill="1" applyBorder="1" applyAlignment="1" applyProtection="1">
      <alignment horizontal="center"/>
      <protection locked="0"/>
    </xf>
    <xf numFmtId="0" fontId="0" fillId="12" borderId="0" xfId="0" applyFill="1" applyAlignment="1">
      <alignment horizontal="center"/>
    </xf>
    <xf numFmtId="0" fontId="40" fillId="12" borderId="0" xfId="0" applyFont="1" applyFill="1"/>
    <xf numFmtId="0" fontId="40" fillId="12" borderId="4" xfId="0" applyFont="1" applyFill="1" applyBorder="1" applyAlignment="1">
      <alignment horizontal="center" wrapText="1"/>
    </xf>
    <xf numFmtId="0" fontId="40" fillId="12" borderId="78" xfId="0" applyFont="1" applyFill="1" applyBorder="1"/>
    <xf numFmtId="10" fontId="0" fillId="12" borderId="0" xfId="0" applyNumberFormat="1" applyFill="1"/>
    <xf numFmtId="10" fontId="0" fillId="12" borderId="80" xfId="0" applyNumberFormat="1" applyFill="1" applyBorder="1"/>
    <xf numFmtId="171" fontId="0" fillId="12" borderId="0" xfId="0" applyNumberFormat="1" applyFill="1"/>
    <xf numFmtId="9" fontId="0" fillId="12" borderId="0" xfId="2" applyFont="1" applyFill="1"/>
    <xf numFmtId="9" fontId="0" fillId="12" borderId="81" xfId="2" applyFont="1" applyFill="1" applyBorder="1"/>
    <xf numFmtId="9" fontId="40" fillId="12" borderId="83" xfId="2" applyFont="1" applyFill="1" applyBorder="1" applyAlignment="1">
      <alignment horizontal="center"/>
    </xf>
    <xf numFmtId="9" fontId="40" fillId="12" borderId="4" xfId="2" applyFont="1" applyFill="1" applyBorder="1" applyAlignment="1"/>
    <xf numFmtId="9" fontId="0" fillId="12" borderId="84" xfId="2" applyFont="1" applyFill="1" applyBorder="1" applyAlignment="1">
      <alignment horizontal="center"/>
    </xf>
    <xf numFmtId="9" fontId="0" fillId="12" borderId="67" xfId="2" applyFont="1" applyFill="1" applyBorder="1" applyAlignment="1">
      <alignment horizontal="center"/>
    </xf>
    <xf numFmtId="9" fontId="0" fillId="12" borderId="68" xfId="2" applyFont="1" applyFill="1" applyBorder="1" applyAlignment="1">
      <alignment horizontal="center"/>
    </xf>
    <xf numFmtId="9" fontId="0" fillId="12" borderId="82" xfId="2" applyFont="1" applyFill="1" applyBorder="1" applyAlignment="1">
      <alignment horizontal="center"/>
    </xf>
    <xf numFmtId="9" fontId="0" fillId="12" borderId="69" xfId="2" applyFont="1" applyFill="1" applyBorder="1" applyAlignment="1">
      <alignment horizontal="center"/>
    </xf>
    <xf numFmtId="9" fontId="0" fillId="12" borderId="70" xfId="2" applyFont="1" applyFill="1" applyBorder="1" applyAlignment="1">
      <alignment horizontal="center"/>
    </xf>
    <xf numFmtId="9" fontId="0" fillId="12" borderId="0" xfId="2" applyFont="1" applyFill="1" applyBorder="1" applyAlignment="1">
      <alignment horizontal="center"/>
    </xf>
    <xf numFmtId="9" fontId="0" fillId="12" borderId="57" xfId="2" applyFont="1" applyFill="1" applyBorder="1" applyAlignment="1">
      <alignment horizontal="center"/>
    </xf>
    <xf numFmtId="9" fontId="0" fillId="12" borderId="74" xfId="2" applyFont="1" applyFill="1" applyBorder="1" applyAlignment="1">
      <alignment horizontal="center"/>
    </xf>
    <xf numFmtId="9" fontId="0" fillId="12" borderId="4" xfId="2" applyFont="1" applyFill="1" applyBorder="1" applyAlignment="1">
      <alignment horizontal="center"/>
    </xf>
    <xf numFmtId="9" fontId="0" fillId="12" borderId="83" xfId="2" applyFont="1" applyFill="1" applyBorder="1" applyAlignment="1">
      <alignment horizontal="center"/>
    </xf>
    <xf numFmtId="9" fontId="0" fillId="12" borderId="17" xfId="2" applyFont="1" applyFill="1" applyBorder="1" applyAlignment="1">
      <alignment horizontal="center"/>
    </xf>
    <xf numFmtId="171" fontId="0" fillId="12" borderId="80" xfId="0" applyNumberFormat="1" applyFill="1" applyBorder="1" applyAlignment="1">
      <alignment horizontal="right"/>
    </xf>
    <xf numFmtId="9" fontId="0" fillId="12" borderId="78" xfId="2" applyFont="1" applyFill="1" applyBorder="1" applyAlignment="1">
      <alignment horizontal="center"/>
    </xf>
    <xf numFmtId="9" fontId="0" fillId="12" borderId="80" xfId="2" applyFont="1" applyFill="1" applyBorder="1" applyAlignment="1">
      <alignment horizontal="center"/>
    </xf>
    <xf numFmtId="9" fontId="0" fillId="12" borderId="79" xfId="2" applyFont="1" applyFill="1" applyBorder="1" applyAlignment="1">
      <alignment horizontal="center"/>
    </xf>
    <xf numFmtId="9" fontId="0" fillId="12" borderId="85" xfId="2" applyFont="1" applyFill="1" applyBorder="1" applyAlignment="1">
      <alignment horizontal="center"/>
    </xf>
    <xf numFmtId="6" fontId="20" fillId="13" borderId="86" xfId="0" applyNumberFormat="1" applyFont="1" applyFill="1" applyBorder="1" applyAlignment="1">
      <alignment horizontal="center"/>
    </xf>
    <xf numFmtId="171" fontId="19" fillId="0" borderId="86" xfId="2" applyNumberFormat="1" applyFont="1" applyFill="1" applyBorder="1" applyAlignment="1">
      <alignment horizontal="center"/>
    </xf>
    <xf numFmtId="0" fontId="40" fillId="12" borderId="0" xfId="0" applyFont="1" applyFill="1" applyAlignment="1">
      <alignment horizontal="center"/>
    </xf>
    <xf numFmtId="171" fontId="0" fillId="12" borderId="79" xfId="0" applyNumberFormat="1" applyFill="1" applyBorder="1"/>
    <xf numFmtId="0" fontId="23" fillId="0" borderId="91" xfId="0" applyFont="1" applyBorder="1" applyAlignment="1">
      <alignment horizontal="center"/>
    </xf>
    <xf numFmtId="171" fontId="23" fillId="0" borderId="91" xfId="2" applyNumberFormat="1" applyFont="1" applyBorder="1" applyAlignment="1">
      <alignment horizontal="center"/>
    </xf>
    <xf numFmtId="0" fontId="19" fillId="12" borderId="0" xfId="0" applyFont="1" applyFill="1"/>
    <xf numFmtId="6" fontId="19" fillId="0" borderId="65" xfId="0" applyNumberFormat="1" applyFont="1" applyBorder="1" applyAlignment="1">
      <alignment horizontal="center"/>
    </xf>
    <xf numFmtId="37" fontId="19" fillId="0" borderId="0" xfId="0" applyNumberFormat="1" applyFont="1" applyAlignment="1">
      <alignment horizontal="center"/>
    </xf>
    <xf numFmtId="171" fontId="23" fillId="0" borderId="65" xfId="0" applyNumberFormat="1" applyFont="1" applyBorder="1" applyAlignment="1">
      <alignment horizontal="center"/>
    </xf>
    <xf numFmtId="171" fontId="19" fillId="0" borderId="65" xfId="0" applyNumberFormat="1" applyFont="1" applyBorder="1" applyAlignment="1">
      <alignment horizontal="center"/>
    </xf>
    <xf numFmtId="5" fontId="19" fillId="0" borderId="0" xfId="0" applyNumberFormat="1" applyFont="1" applyAlignment="1">
      <alignment horizontal="right" indent="2"/>
    </xf>
    <xf numFmtId="6" fontId="42" fillId="0" borderId="65" xfId="0" applyNumberFormat="1" applyFont="1" applyBorder="1" applyAlignment="1">
      <alignment horizontal="center"/>
    </xf>
    <xf numFmtId="6" fontId="42" fillId="10" borderId="0" xfId="0" applyNumberFormat="1" applyFont="1" applyFill="1" applyAlignment="1">
      <alignment horizontal="center"/>
    </xf>
    <xf numFmtId="5" fontId="19" fillId="12" borderId="0" xfId="0" applyNumberFormat="1" applyFont="1" applyFill="1"/>
    <xf numFmtId="0" fontId="19" fillId="12" borderId="0" xfId="0" applyFont="1" applyFill="1" applyAlignment="1">
      <alignment vertical="center"/>
    </xf>
    <xf numFmtId="0" fontId="19" fillId="12" borderId="0" xfId="0" applyFont="1" applyFill="1" applyAlignment="1">
      <alignment horizontal="right" vertical="center"/>
    </xf>
    <xf numFmtId="0" fontId="19" fillId="12" borderId="92" xfId="0" applyFont="1" applyFill="1" applyBorder="1" applyAlignment="1">
      <alignment vertical="center"/>
    </xf>
    <xf numFmtId="0" fontId="19" fillId="12" borderId="93" xfId="0" applyFont="1" applyFill="1" applyBorder="1" applyAlignment="1">
      <alignment vertical="center"/>
    </xf>
    <xf numFmtId="173" fontId="19" fillId="12" borderId="94" xfId="0" applyNumberFormat="1" applyFont="1" applyFill="1" applyBorder="1" applyAlignment="1">
      <alignment horizontal="right" vertical="center"/>
    </xf>
    <xf numFmtId="0" fontId="19" fillId="12" borderId="95" xfId="0" applyFont="1" applyFill="1" applyBorder="1" applyAlignment="1">
      <alignment vertical="center"/>
    </xf>
    <xf numFmtId="0" fontId="20" fillId="12" borderId="96" xfId="0" applyFont="1" applyFill="1" applyBorder="1" applyAlignment="1">
      <alignment horizontal="right" vertical="center"/>
    </xf>
    <xf numFmtId="0" fontId="19" fillId="12" borderId="97" xfId="0" applyFont="1" applyFill="1" applyBorder="1" applyAlignment="1">
      <alignment horizontal="right" vertical="center"/>
    </xf>
    <xf numFmtId="37" fontId="19" fillId="12" borderId="0" xfId="0" applyNumberFormat="1" applyFont="1" applyFill="1" applyAlignment="1">
      <alignment vertical="center"/>
    </xf>
    <xf numFmtId="37" fontId="19" fillId="12" borderId="76" xfId="0" applyNumberFormat="1" applyFont="1" applyFill="1" applyBorder="1" applyAlignment="1">
      <alignment vertical="center"/>
    </xf>
    <xf numFmtId="37" fontId="19" fillId="12" borderId="98" xfId="0" applyNumberFormat="1" applyFont="1" applyFill="1" applyBorder="1" applyAlignment="1">
      <alignment horizontal="right" vertical="center"/>
    </xf>
    <xf numFmtId="37" fontId="19" fillId="12" borderId="0" xfId="0" applyNumberFormat="1" applyFont="1" applyFill="1" applyAlignment="1">
      <alignment horizontal="right" vertical="center"/>
    </xf>
    <xf numFmtId="0" fontId="19" fillId="12" borderId="98" xfId="0" applyFont="1" applyFill="1" applyBorder="1" applyAlignment="1">
      <alignment vertical="center"/>
    </xf>
    <xf numFmtId="0" fontId="20" fillId="12" borderId="78" xfId="0" applyFont="1" applyFill="1" applyBorder="1" applyAlignment="1">
      <alignment vertical="center"/>
    </xf>
    <xf numFmtId="37" fontId="20" fillId="12" borderId="80" xfId="0" applyNumberFormat="1" applyFont="1" applyFill="1" applyBorder="1" applyAlignment="1">
      <alignment vertical="center"/>
    </xf>
    <xf numFmtId="37" fontId="20" fillId="12" borderId="81" xfId="0" applyNumberFormat="1" applyFont="1" applyFill="1" applyBorder="1" applyAlignment="1">
      <alignment vertical="center"/>
    </xf>
    <xf numFmtId="37" fontId="42" fillId="12" borderId="0" xfId="0" applyNumberFormat="1" applyFont="1" applyFill="1" applyAlignment="1">
      <alignment vertical="center"/>
    </xf>
    <xf numFmtId="37" fontId="42" fillId="12" borderId="98" xfId="0" applyNumberFormat="1" applyFont="1" applyFill="1" applyBorder="1" applyAlignment="1">
      <alignment horizontal="right" vertical="center"/>
    </xf>
    <xf numFmtId="37" fontId="42" fillId="12" borderId="0" xfId="0" applyNumberFormat="1" applyFont="1" applyFill="1" applyAlignment="1">
      <alignment horizontal="right" vertical="center"/>
    </xf>
    <xf numFmtId="10" fontId="19" fillId="12" borderId="0" xfId="0" applyNumberFormat="1" applyFont="1" applyFill="1" applyAlignment="1">
      <alignment horizontal="right" vertical="center"/>
    </xf>
    <xf numFmtId="10" fontId="45" fillId="16" borderId="79" xfId="0" applyNumberFormat="1" applyFont="1" applyFill="1" applyBorder="1" applyAlignment="1">
      <alignment horizontal="right" vertical="center"/>
    </xf>
    <xf numFmtId="10" fontId="42" fillId="12" borderId="0" xfId="0" applyNumberFormat="1" applyFont="1" applyFill="1" applyAlignment="1">
      <alignment horizontal="right" vertical="center"/>
    </xf>
    <xf numFmtId="0" fontId="20" fillId="12" borderId="0" xfId="0" applyFont="1" applyFill="1"/>
    <xf numFmtId="0" fontId="19" fillId="12" borderId="92" xfId="0" applyFont="1" applyFill="1" applyBorder="1"/>
    <xf numFmtId="0" fontId="20" fillId="17" borderId="92" xfId="0" applyFont="1" applyFill="1" applyBorder="1"/>
    <xf numFmtId="0" fontId="19" fillId="17" borderId="94" xfId="0" applyFont="1" applyFill="1" applyBorder="1"/>
    <xf numFmtId="0" fontId="19" fillId="12" borderId="98" xfId="0" applyFont="1" applyFill="1" applyBorder="1"/>
    <xf numFmtId="0" fontId="20" fillId="17" borderId="98" xfId="0" applyFont="1" applyFill="1" applyBorder="1"/>
    <xf numFmtId="0" fontId="20" fillId="12" borderId="98" xfId="0" applyFont="1" applyFill="1" applyBorder="1"/>
    <xf numFmtId="5" fontId="19" fillId="12" borderId="98" xfId="0" applyNumberFormat="1" applyFont="1" applyFill="1" applyBorder="1" applyAlignment="1">
      <alignment horizontal="right"/>
    </xf>
    <xf numFmtId="5" fontId="20" fillId="12" borderId="98" xfId="0" applyNumberFormat="1" applyFont="1" applyFill="1" applyBorder="1" applyAlignment="1">
      <alignment horizontal="right"/>
    </xf>
    <xf numFmtId="0" fontId="19" fillId="12" borderId="98" xfId="0" quotePrefix="1" applyFont="1" applyFill="1" applyBorder="1" applyAlignment="1">
      <alignment horizontal="left"/>
    </xf>
    <xf numFmtId="0" fontId="20" fillId="12" borderId="3" xfId="0" applyFont="1" applyFill="1" applyBorder="1"/>
    <xf numFmtId="0" fontId="19" fillId="12" borderId="57" xfId="0" applyFont="1" applyFill="1" applyBorder="1"/>
    <xf numFmtId="0" fontId="19" fillId="12" borderId="4" xfId="0" applyFont="1" applyFill="1" applyBorder="1"/>
    <xf numFmtId="5" fontId="19" fillId="12" borderId="57" xfId="0" applyNumberFormat="1" applyFont="1" applyFill="1" applyBorder="1"/>
    <xf numFmtId="0" fontId="19" fillId="12" borderId="0" xfId="0" applyFont="1" applyFill="1" applyAlignment="1">
      <alignment horizontal="centerContinuous" vertical="center"/>
    </xf>
    <xf numFmtId="0" fontId="19" fillId="12" borderId="99" xfId="0" applyFont="1" applyFill="1" applyBorder="1" applyAlignment="1">
      <alignment vertical="center"/>
    </xf>
    <xf numFmtId="0" fontId="20" fillId="12" borderId="0" xfId="0" applyFont="1" applyFill="1" applyAlignment="1">
      <alignment vertical="center"/>
    </xf>
    <xf numFmtId="0" fontId="20" fillId="12" borderId="80" xfId="0" applyFont="1" applyFill="1" applyBorder="1" applyAlignment="1">
      <alignment vertical="center"/>
    </xf>
    <xf numFmtId="0" fontId="19" fillId="12" borderId="0" xfId="0" quotePrefix="1" applyFont="1" applyFill="1" applyAlignment="1">
      <alignment vertical="center"/>
    </xf>
    <xf numFmtId="0" fontId="19" fillId="12" borderId="94" xfId="0" applyFont="1" applyFill="1" applyBorder="1" applyAlignment="1">
      <alignment vertical="center"/>
    </xf>
    <xf numFmtId="0" fontId="20" fillId="12" borderId="99" xfId="0" applyFont="1" applyFill="1" applyBorder="1" applyAlignment="1">
      <alignment horizontal="right" vertical="center"/>
    </xf>
    <xf numFmtId="0" fontId="20" fillId="12" borderId="98" xfId="0" applyFont="1" applyFill="1" applyBorder="1" applyAlignment="1">
      <alignment vertical="center"/>
    </xf>
    <xf numFmtId="0" fontId="20" fillId="12" borderId="92" xfId="0" applyFont="1" applyFill="1" applyBorder="1" applyAlignment="1">
      <alignment vertical="center"/>
    </xf>
    <xf numFmtId="0" fontId="20" fillId="12" borderId="0" xfId="0" applyFont="1" applyFill="1" applyAlignment="1">
      <alignment horizontal="right" vertical="center"/>
    </xf>
    <xf numFmtId="0" fontId="19" fillId="12" borderId="98" xfId="0" applyFont="1" applyFill="1" applyBorder="1" applyAlignment="1">
      <alignment horizontal="right" vertical="center"/>
    </xf>
    <xf numFmtId="0" fontId="20" fillId="12" borderId="100" xfId="0" applyFont="1" applyFill="1" applyBorder="1" applyAlignment="1">
      <alignment horizontal="right" vertical="center"/>
    </xf>
    <xf numFmtId="37" fontId="20" fillId="12" borderId="0" xfId="0" applyNumberFormat="1" applyFont="1" applyFill="1" applyAlignment="1">
      <alignment vertical="center"/>
    </xf>
    <xf numFmtId="0" fontId="20" fillId="12" borderId="102" xfId="0" applyFont="1" applyFill="1" applyBorder="1"/>
    <xf numFmtId="9" fontId="19" fillId="12" borderId="0" xfId="0" applyNumberFormat="1" applyFont="1" applyFill="1"/>
    <xf numFmtId="5" fontId="19" fillId="12" borderId="0" xfId="0" applyNumberFormat="1" applyFont="1" applyFill="1" applyAlignment="1">
      <alignment horizontal="right"/>
    </xf>
    <xf numFmtId="175" fontId="19" fillId="17" borderId="92" xfId="0" applyNumberFormat="1" applyFont="1" applyFill="1" applyBorder="1" applyAlignment="1">
      <alignment horizontal="right"/>
    </xf>
    <xf numFmtId="37" fontId="19" fillId="12" borderId="98" xfId="0" applyNumberFormat="1" applyFont="1" applyFill="1" applyBorder="1" applyAlignment="1">
      <alignment horizontal="right"/>
    </xf>
    <xf numFmtId="9" fontId="19" fillId="12" borderId="98" xfId="2" applyFont="1" applyFill="1" applyBorder="1" applyAlignment="1">
      <alignment horizontal="right"/>
    </xf>
    <xf numFmtId="9" fontId="19" fillId="12" borderId="0" xfId="2" applyFont="1" applyFill="1" applyBorder="1" applyAlignment="1">
      <alignment horizontal="right"/>
    </xf>
    <xf numFmtId="0" fontId="19" fillId="17" borderId="98" xfId="0" applyFont="1" applyFill="1" applyBorder="1" applyAlignment="1">
      <alignment horizontal="right"/>
    </xf>
    <xf numFmtId="5" fontId="42" fillId="12" borderId="98" xfId="0" applyNumberFormat="1" applyFont="1" applyFill="1" applyBorder="1" applyAlignment="1">
      <alignment horizontal="right"/>
    </xf>
    <xf numFmtId="5" fontId="19" fillId="17" borderId="98" xfId="0" applyNumberFormat="1" applyFont="1" applyFill="1" applyBorder="1" applyAlignment="1">
      <alignment horizontal="right"/>
    </xf>
    <xf numFmtId="0" fontId="20" fillId="6" borderId="98" xfId="0" applyFont="1" applyFill="1" applyBorder="1"/>
    <xf numFmtId="5" fontId="19" fillId="6" borderId="98" xfId="0" applyNumberFormat="1" applyFont="1" applyFill="1" applyBorder="1" applyAlignment="1">
      <alignment horizontal="right"/>
    </xf>
    <xf numFmtId="0" fontId="20" fillId="12" borderId="0" xfId="0" applyFont="1" applyFill="1" applyAlignment="1">
      <alignment horizontal="center"/>
    </xf>
    <xf numFmtId="10" fontId="19" fillId="0" borderId="0" xfId="0" applyNumberFormat="1" applyFont="1"/>
    <xf numFmtId="10" fontId="19" fillId="0" borderId="4" xfId="0" applyNumberFormat="1" applyFont="1" applyBorder="1"/>
    <xf numFmtId="164" fontId="7" fillId="0" borderId="65" xfId="2" applyNumberFormat="1" applyFont="1" applyFill="1" applyBorder="1" applyAlignment="1">
      <alignment horizontal="center"/>
    </xf>
    <xf numFmtId="172" fontId="23" fillId="0" borderId="65" xfId="0" applyNumberFormat="1" applyFont="1" applyBorder="1" applyAlignment="1">
      <alignment horizontal="center"/>
    </xf>
    <xf numFmtId="0" fontId="22" fillId="0" borderId="106" xfId="0" applyFont="1" applyBorder="1" applyAlignment="1">
      <alignment horizontal="center" vertical="center" wrapText="1"/>
    </xf>
    <xf numFmtId="0" fontId="19" fillId="0" borderId="102" xfId="0" applyFont="1" applyBorder="1"/>
    <xf numFmtId="0" fontId="19" fillId="0" borderId="106" xfId="0" applyFont="1" applyBorder="1"/>
    <xf numFmtId="0" fontId="19" fillId="0" borderId="91" xfId="0" applyFont="1" applyBorder="1"/>
    <xf numFmtId="3" fontId="19" fillId="0" borderId="106" xfId="1" applyNumberFormat="1" applyFont="1" applyBorder="1" applyAlignment="1">
      <alignment horizontal="center"/>
    </xf>
    <xf numFmtId="171" fontId="19" fillId="0" borderId="5" xfId="2" quotePrefix="1" applyNumberFormat="1" applyFont="1" applyBorder="1" applyAlignment="1">
      <alignment horizontal="center"/>
    </xf>
    <xf numFmtId="6" fontId="19" fillId="0" borderId="106" xfId="0" applyNumberFormat="1" applyFont="1" applyBorder="1" applyAlignment="1">
      <alignment horizontal="center"/>
    </xf>
    <xf numFmtId="171" fontId="7" fillId="0" borderId="65" xfId="0" applyNumberFormat="1" applyFont="1" applyBorder="1" applyAlignment="1">
      <alignment horizontal="center"/>
    </xf>
    <xf numFmtId="6" fontId="20" fillId="13" borderId="103" xfId="0" applyNumberFormat="1" applyFont="1" applyFill="1" applyBorder="1" applyAlignment="1">
      <alignment horizontal="center"/>
    </xf>
    <xf numFmtId="171" fontId="23" fillId="0" borderId="106" xfId="0" applyNumberFormat="1" applyFont="1" applyBorder="1" applyAlignment="1">
      <alignment horizontal="center"/>
    </xf>
    <xf numFmtId="171" fontId="19" fillId="0" borderId="103" xfId="2" applyNumberFormat="1" applyFont="1" applyFill="1" applyBorder="1" applyAlignment="1">
      <alignment horizontal="center"/>
    </xf>
    <xf numFmtId="164" fontId="19" fillId="0" borderId="86" xfId="2" applyNumberFormat="1" applyFont="1" applyFill="1" applyBorder="1" applyAlignment="1">
      <alignment horizontal="center"/>
    </xf>
    <xf numFmtId="2" fontId="19" fillId="0" borderId="86" xfId="0" applyNumberFormat="1" applyFont="1" applyBorder="1" applyAlignment="1">
      <alignment horizontal="center"/>
    </xf>
    <xf numFmtId="0" fontId="19" fillId="12" borderId="0" xfId="0" applyFont="1" applyFill="1" applyAlignment="1">
      <alignment horizontal="center" vertical="center"/>
    </xf>
    <xf numFmtId="173" fontId="19" fillId="12" borderId="93" xfId="0" applyNumberFormat="1" applyFont="1" applyFill="1" applyBorder="1" applyAlignment="1">
      <alignment horizontal="right" vertical="center"/>
    </xf>
    <xf numFmtId="0" fontId="19" fillId="12" borderId="99" xfId="0" applyFont="1" applyFill="1" applyBorder="1" applyAlignment="1">
      <alignment horizontal="right" vertical="center"/>
    </xf>
    <xf numFmtId="0" fontId="19" fillId="12" borderId="100" xfId="0" applyFont="1" applyFill="1" applyBorder="1" applyAlignment="1">
      <alignment horizontal="right" vertical="center"/>
    </xf>
    <xf numFmtId="0" fontId="16" fillId="12" borderId="0" xfId="0" applyFont="1" applyFill="1" applyAlignment="1">
      <alignment horizontal="center" vertical="center" wrapText="1"/>
    </xf>
    <xf numFmtId="6" fontId="16" fillId="12" borderId="0" xfId="0" applyNumberFormat="1" applyFont="1" applyFill="1" applyAlignment="1">
      <alignment horizontal="center" vertical="center" wrapText="1"/>
    </xf>
    <xf numFmtId="8" fontId="16" fillId="12" borderId="0" xfId="0" applyNumberFormat="1" applyFont="1" applyFill="1" applyAlignment="1">
      <alignment horizontal="center" vertical="center" wrapText="1"/>
    </xf>
    <xf numFmtId="0" fontId="16" fillId="12" borderId="102" xfId="0" applyFont="1" applyFill="1" applyBorder="1" applyAlignment="1">
      <alignment vertical="center" wrapText="1"/>
    </xf>
    <xf numFmtId="0" fontId="16" fillId="12" borderId="91" xfId="0" applyFont="1" applyFill="1" applyBorder="1" applyAlignment="1">
      <alignment horizontal="center" vertical="center" wrapText="1"/>
    </xf>
    <xf numFmtId="9" fontId="16" fillId="12" borderId="91" xfId="0" applyNumberFormat="1" applyFont="1" applyFill="1" applyBorder="1" applyAlignment="1">
      <alignment horizontal="center" vertical="center" wrapText="1"/>
    </xf>
    <xf numFmtId="6" fontId="16" fillId="12" borderId="91" xfId="0" applyNumberFormat="1" applyFont="1" applyFill="1" applyBorder="1" applyAlignment="1">
      <alignment horizontal="center" vertical="center" wrapText="1"/>
    </xf>
    <xf numFmtId="8" fontId="16" fillId="12" borderId="91" xfId="0" applyNumberFormat="1" applyFont="1" applyFill="1" applyBorder="1" applyAlignment="1">
      <alignment horizontal="center" vertical="center" wrapText="1"/>
    </xf>
    <xf numFmtId="0" fontId="16" fillId="12" borderId="66" xfId="0" applyFont="1" applyFill="1" applyBorder="1" applyAlignment="1">
      <alignment horizontal="center" vertical="center" wrapText="1"/>
    </xf>
    <xf numFmtId="0" fontId="16" fillId="12" borderId="56" xfId="0" applyFont="1" applyFill="1" applyBorder="1" applyAlignment="1">
      <alignment vertical="center" wrapText="1"/>
    </xf>
    <xf numFmtId="0" fontId="16" fillId="12" borderId="57" xfId="0" applyFont="1" applyFill="1" applyBorder="1" applyAlignment="1">
      <alignment horizontal="center" vertical="center" wrapText="1"/>
    </xf>
    <xf numFmtId="0" fontId="16" fillId="12" borderId="1" xfId="0" applyFont="1" applyFill="1" applyBorder="1" applyAlignment="1">
      <alignment vertical="center" wrapText="1"/>
    </xf>
    <xf numFmtId="0" fontId="16" fillId="12" borderId="4" xfId="0" applyFont="1" applyFill="1" applyBorder="1" applyAlignment="1">
      <alignment horizontal="center" vertical="center" wrapText="1"/>
    </xf>
    <xf numFmtId="0" fontId="16" fillId="12" borderId="17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171" fontId="19" fillId="0" borderId="1" xfId="2" quotePrefix="1" applyNumberFormat="1" applyFont="1" applyBorder="1" applyAlignment="1">
      <alignment horizontal="center"/>
    </xf>
    <xf numFmtId="0" fontId="19" fillId="12" borderId="0" xfId="0" applyFont="1" applyFill="1" applyAlignment="1">
      <alignment horizontal="right"/>
    </xf>
    <xf numFmtId="0" fontId="19" fillId="12" borderId="57" xfId="0" applyFont="1" applyFill="1" applyBorder="1" applyAlignment="1">
      <alignment horizontal="right" vertical="center"/>
    </xf>
    <xf numFmtId="173" fontId="19" fillId="12" borderId="69" xfId="0" applyNumberFormat="1" applyFont="1" applyFill="1" applyBorder="1" applyAlignment="1">
      <alignment horizontal="right" vertical="center"/>
    </xf>
    <xf numFmtId="0" fontId="19" fillId="12" borderId="107" xfId="0" applyFont="1" applyFill="1" applyBorder="1" applyAlignment="1">
      <alignment horizontal="right" vertical="center"/>
    </xf>
    <xf numFmtId="37" fontId="19" fillId="12" borderId="57" xfId="0" applyNumberFormat="1" applyFont="1" applyFill="1" applyBorder="1" applyAlignment="1">
      <alignment horizontal="right" vertical="center"/>
    </xf>
    <xf numFmtId="37" fontId="19" fillId="12" borderId="57" xfId="0" applyNumberFormat="1" applyFont="1" applyFill="1" applyBorder="1" applyAlignment="1">
      <alignment vertical="center"/>
    </xf>
    <xf numFmtId="37" fontId="19" fillId="12" borderId="107" xfId="0" applyNumberFormat="1" applyFont="1" applyFill="1" applyBorder="1" applyAlignment="1">
      <alignment horizontal="right" vertical="center"/>
    </xf>
    <xf numFmtId="37" fontId="42" fillId="12" borderId="57" xfId="0" applyNumberFormat="1" applyFont="1" applyFill="1" applyBorder="1" applyAlignment="1">
      <alignment horizontal="right" vertical="center"/>
    </xf>
    <xf numFmtId="10" fontId="19" fillId="12" borderId="57" xfId="0" applyNumberFormat="1" applyFont="1" applyFill="1" applyBorder="1" applyAlignment="1">
      <alignment horizontal="right" vertical="center"/>
    </xf>
    <xf numFmtId="10" fontId="42" fillId="12" borderId="57" xfId="0" applyNumberFormat="1" applyFont="1" applyFill="1" applyBorder="1" applyAlignment="1">
      <alignment horizontal="right" vertical="center"/>
    </xf>
    <xf numFmtId="0" fontId="19" fillId="12" borderId="57" xfId="0" applyFont="1" applyFill="1" applyBorder="1" applyAlignment="1">
      <alignment vertical="center"/>
    </xf>
    <xf numFmtId="0" fontId="49" fillId="7" borderId="80" xfId="0" applyFont="1" applyFill="1" applyBorder="1" applyAlignment="1">
      <alignment horizontal="centerContinuous" vertical="center"/>
    </xf>
    <xf numFmtId="0" fontId="50" fillId="7" borderId="78" xfId="0" applyFont="1" applyFill="1" applyBorder="1" applyAlignment="1">
      <alignment horizontal="centerContinuous" vertical="center"/>
    </xf>
    <xf numFmtId="0" fontId="50" fillId="7" borderId="80" xfId="0" applyFont="1" applyFill="1" applyBorder="1" applyAlignment="1">
      <alignment horizontal="centerContinuous" vertical="center"/>
    </xf>
    <xf numFmtId="0" fontId="50" fillId="7" borderId="81" xfId="0" applyFont="1" applyFill="1" applyBorder="1" applyAlignment="1">
      <alignment horizontal="centerContinuous" vertical="center"/>
    </xf>
    <xf numFmtId="0" fontId="16" fillId="12" borderId="91" xfId="0" applyFont="1" applyFill="1" applyBorder="1" applyAlignment="1">
      <alignment vertical="center" wrapText="1"/>
    </xf>
    <xf numFmtId="0" fontId="16" fillId="12" borderId="0" xfId="0" applyFont="1" applyFill="1" applyAlignment="1">
      <alignment vertical="center" wrapText="1"/>
    </xf>
    <xf numFmtId="0" fontId="16" fillId="12" borderId="4" xfId="0" applyFont="1" applyFill="1" applyBorder="1" applyAlignment="1">
      <alignment vertical="center" wrapText="1"/>
    </xf>
    <xf numFmtId="9" fontId="16" fillId="12" borderId="4" xfId="0" applyNumberFormat="1" applyFont="1" applyFill="1" applyBorder="1" applyAlignment="1">
      <alignment horizontal="center" vertical="center" wrapText="1"/>
    </xf>
    <xf numFmtId="5" fontId="16" fillId="12" borderId="4" xfId="0" applyNumberFormat="1" applyFont="1" applyFill="1" applyBorder="1" applyAlignment="1">
      <alignment horizontal="center" vertical="center" wrapText="1"/>
    </xf>
    <xf numFmtId="7" fontId="16" fillId="12" borderId="4" xfId="0" applyNumberFormat="1" applyFont="1" applyFill="1" applyBorder="1" applyAlignment="1">
      <alignment horizontal="center" vertical="center" wrapText="1"/>
    </xf>
    <xf numFmtId="0" fontId="16" fillId="12" borderId="0" xfId="0" quotePrefix="1" applyFont="1" applyFill="1" applyAlignment="1">
      <alignment vertical="center"/>
    </xf>
    <xf numFmtId="0" fontId="16" fillId="12" borderId="0" xfId="0" applyFont="1" applyFill="1" applyAlignment="1">
      <alignment vertical="center"/>
    </xf>
    <xf numFmtId="0" fontId="16" fillId="12" borderId="0" xfId="0" applyFont="1" applyFill="1" applyAlignment="1">
      <alignment horizontal="center" vertical="center"/>
    </xf>
    <xf numFmtId="0" fontId="17" fillId="12" borderId="91" xfId="0" applyFont="1" applyFill="1" applyBorder="1" applyAlignment="1">
      <alignment vertical="center" wrapText="1"/>
    </xf>
    <xf numFmtId="5" fontId="16" fillId="12" borderId="91" xfId="0" applyNumberFormat="1" applyFont="1" applyFill="1" applyBorder="1" applyAlignment="1">
      <alignment horizontal="center" vertical="center" wrapText="1"/>
    </xf>
    <xf numFmtId="7" fontId="16" fillId="12" borderId="91" xfId="0" applyNumberFormat="1" applyFont="1" applyFill="1" applyBorder="1" applyAlignment="1">
      <alignment horizontal="center" vertical="center" wrapText="1"/>
    </xf>
    <xf numFmtId="0" fontId="52" fillId="19" borderId="103" xfId="0" applyFont="1" applyFill="1" applyBorder="1" applyAlignment="1">
      <alignment vertical="center" wrapText="1"/>
    </xf>
    <xf numFmtId="0" fontId="51" fillId="19" borderId="105" xfId="0" applyFont="1" applyFill="1" applyBorder="1" applyAlignment="1">
      <alignment vertical="center" wrapText="1"/>
    </xf>
    <xf numFmtId="0" fontId="51" fillId="19" borderId="105" xfId="0" applyFont="1" applyFill="1" applyBorder="1" applyAlignment="1">
      <alignment horizontal="center" vertical="center" wrapText="1"/>
    </xf>
    <xf numFmtId="0" fontId="51" fillId="19" borderId="104" xfId="0" applyFont="1" applyFill="1" applyBorder="1" applyAlignment="1">
      <alignment horizontal="center" vertical="center" wrapText="1"/>
    </xf>
    <xf numFmtId="9" fontId="16" fillId="12" borderId="0" xfId="0" quotePrefix="1" applyNumberFormat="1" applyFont="1" applyFill="1" applyAlignment="1">
      <alignment horizontal="center" vertical="center" wrapText="1"/>
    </xf>
    <xf numFmtId="0" fontId="19" fillId="12" borderId="91" xfId="0" applyFont="1" applyFill="1" applyBorder="1"/>
    <xf numFmtId="5" fontId="20" fillId="12" borderId="0" xfId="0" applyNumberFormat="1" applyFont="1" applyFill="1"/>
    <xf numFmtId="5" fontId="42" fillId="12" borderId="0" xfId="0" applyNumberFormat="1" applyFont="1" applyFill="1"/>
    <xf numFmtId="0" fontId="20" fillId="12" borderId="4" xfId="0" applyFont="1" applyFill="1" applyBorder="1"/>
    <xf numFmtId="0" fontId="19" fillId="12" borderId="0" xfId="0" applyFont="1" applyFill="1" applyAlignment="1">
      <alignment horizontal="center"/>
    </xf>
    <xf numFmtId="0" fontId="20" fillId="12" borderId="4" xfId="0" applyFont="1" applyFill="1" applyBorder="1" applyAlignment="1">
      <alignment horizontal="center"/>
    </xf>
    <xf numFmtId="0" fontId="40" fillId="12" borderId="4" xfId="0" applyFont="1" applyFill="1" applyBorder="1" applyAlignment="1">
      <alignment horizontal="right" wrapText="1"/>
    </xf>
    <xf numFmtId="0" fontId="40" fillId="12" borderId="0" xfId="0" applyFont="1" applyFill="1" applyAlignment="1">
      <alignment horizontal="left"/>
    </xf>
    <xf numFmtId="0" fontId="20" fillId="13" borderId="105" xfId="0" applyFont="1" applyFill="1" applyBorder="1" applyAlignment="1">
      <alignment horizontal="centerContinuous" vertical="top"/>
    </xf>
    <xf numFmtId="0" fontId="20" fillId="13" borderId="104" xfId="0" applyFont="1" applyFill="1" applyBorder="1" applyAlignment="1">
      <alignment horizontal="centerContinuous" vertical="top"/>
    </xf>
    <xf numFmtId="0" fontId="53" fillId="12" borderId="0" xfId="0" applyFont="1" applyFill="1"/>
    <xf numFmtId="0" fontId="23" fillId="0" borderId="102" xfId="0" applyFont="1" applyBorder="1"/>
    <xf numFmtId="37" fontId="23" fillId="0" borderId="12" xfId="0" applyNumberFormat="1" applyFont="1" applyBorder="1" applyAlignment="1">
      <alignment horizontal="center"/>
    </xf>
    <xf numFmtId="37" fontId="23" fillId="0" borderId="91" xfId="0" applyNumberFormat="1" applyFont="1" applyBorder="1" applyAlignment="1">
      <alignment horizontal="center"/>
    </xf>
    <xf numFmtId="37" fontId="20" fillId="9" borderId="13" xfId="0" applyNumberFormat="1" applyFont="1" applyFill="1" applyBorder="1" applyAlignment="1">
      <alignment horizontal="center"/>
    </xf>
    <xf numFmtId="0" fontId="20" fillId="12" borderId="1" xfId="0" applyFont="1" applyFill="1" applyBorder="1"/>
    <xf numFmtId="6" fontId="19" fillId="0" borderId="56" xfId="0" applyNumberFormat="1" applyFont="1" applyBorder="1" applyAlignment="1">
      <alignment horizontal="center"/>
    </xf>
    <xf numFmtId="0" fontId="20" fillId="6" borderId="103" xfId="0" applyFont="1" applyFill="1" applyBorder="1" applyAlignment="1">
      <alignment horizontal="centerContinuous"/>
    </xf>
    <xf numFmtId="0" fontId="20" fillId="6" borderId="105" xfId="0" applyFont="1" applyFill="1" applyBorder="1" applyAlignment="1">
      <alignment horizontal="centerContinuous"/>
    </xf>
    <xf numFmtId="0" fontId="20" fillId="6" borderId="19" xfId="0" applyFont="1" applyFill="1" applyBorder="1" applyAlignment="1">
      <alignment horizontal="centerContinuous"/>
    </xf>
    <xf numFmtId="0" fontId="20" fillId="6" borderId="20" xfId="0" applyFont="1" applyFill="1" applyBorder="1" applyAlignment="1">
      <alignment horizontal="centerContinuous"/>
    </xf>
    <xf numFmtId="0" fontId="20" fillId="6" borderId="4" xfId="0" applyFont="1" applyFill="1" applyBorder="1" applyAlignment="1">
      <alignment horizontal="centerContinuous"/>
    </xf>
    <xf numFmtId="0" fontId="20" fillId="6" borderId="17" xfId="0" applyFont="1" applyFill="1" applyBorder="1" applyAlignment="1">
      <alignment horizontal="centerContinuous"/>
    </xf>
    <xf numFmtId="172" fontId="19" fillId="0" borderId="106" xfId="2" applyNumberFormat="1" applyFont="1" applyBorder="1" applyAlignment="1">
      <alignment horizontal="center"/>
    </xf>
    <xf numFmtId="37" fontId="19" fillId="0" borderId="65" xfId="0" applyNumberFormat="1" applyFont="1" applyBorder="1" applyAlignment="1">
      <alignment horizontal="center"/>
    </xf>
    <xf numFmtId="0" fontId="40" fillId="12" borderId="86" xfId="0" applyFont="1" applyFill="1" applyBorder="1" applyAlignment="1">
      <alignment horizontal="center"/>
    </xf>
    <xf numFmtId="37" fontId="0" fillId="21" borderId="0" xfId="0" applyNumberFormat="1" applyFill="1" applyAlignment="1">
      <alignment horizontal="center"/>
    </xf>
    <xf numFmtId="37" fontId="0" fillId="21" borderId="84" xfId="0" applyNumberFormat="1" applyFill="1" applyBorder="1" applyAlignment="1">
      <alignment horizontal="center"/>
    </xf>
    <xf numFmtId="10" fontId="7" fillId="15" borderId="65" xfId="2" applyNumberFormat="1" applyFont="1" applyFill="1" applyBorder="1" applyAlignment="1">
      <alignment horizontal="center"/>
    </xf>
    <xf numFmtId="0" fontId="20" fillId="6" borderId="86" xfId="0" applyFont="1" applyFill="1" applyBorder="1" applyAlignment="1">
      <alignment horizontal="centerContinuous"/>
    </xf>
    <xf numFmtId="2" fontId="19" fillId="0" borderId="103" xfId="0" applyNumberFormat="1" applyFont="1" applyBorder="1" applyAlignment="1">
      <alignment horizontal="center"/>
    </xf>
    <xf numFmtId="164" fontId="19" fillId="0" borderId="103" xfId="2" applyNumberFormat="1" applyFont="1" applyFill="1" applyBorder="1" applyAlignment="1">
      <alignment horizontal="center"/>
    </xf>
    <xf numFmtId="171" fontId="19" fillId="0" borderId="56" xfId="0" applyNumberFormat="1" applyFont="1" applyBorder="1" applyAlignment="1">
      <alignment horizontal="center"/>
    </xf>
    <xf numFmtId="3" fontId="19" fillId="0" borderId="102" xfId="1" applyNumberFormat="1" applyFont="1" applyBorder="1" applyAlignment="1">
      <alignment horizontal="center"/>
    </xf>
    <xf numFmtId="3" fontId="19" fillId="0" borderId="56" xfId="1" applyNumberFormat="1" applyFont="1" applyBorder="1" applyAlignment="1">
      <alignment horizontal="center"/>
    </xf>
    <xf numFmtId="164" fontId="23" fillId="0" borderId="56" xfId="2" applyNumberFormat="1" applyFont="1" applyFill="1" applyBorder="1" applyAlignment="1">
      <alignment horizontal="center"/>
    </xf>
    <xf numFmtId="171" fontId="23" fillId="0" borderId="56" xfId="0" applyNumberFormat="1" applyFont="1" applyBorder="1" applyAlignment="1">
      <alignment horizontal="center"/>
    </xf>
    <xf numFmtId="0" fontId="7" fillId="0" borderId="56" xfId="0" applyFont="1" applyBorder="1" applyAlignment="1">
      <alignment horizontal="center"/>
    </xf>
    <xf numFmtId="172" fontId="19" fillId="7" borderId="65" xfId="2" applyNumberFormat="1" applyFont="1" applyFill="1" applyBorder="1" applyAlignment="1">
      <alignment horizontal="center"/>
    </xf>
    <xf numFmtId="10" fontId="42" fillId="0" borderId="0" xfId="0" applyNumberFormat="1" applyFont="1"/>
    <xf numFmtId="10" fontId="19" fillId="0" borderId="113" xfId="0" applyNumberFormat="1" applyFont="1" applyBorder="1"/>
    <xf numFmtId="173" fontId="19" fillId="12" borderId="0" xfId="0" applyNumberFormat="1" applyFont="1" applyFill="1" applyAlignment="1">
      <alignment horizontal="center"/>
    </xf>
    <xf numFmtId="173" fontId="19" fillId="16" borderId="0" xfId="0" applyNumberFormat="1" applyFont="1" applyFill="1" applyAlignment="1">
      <alignment horizontal="center"/>
    </xf>
    <xf numFmtId="37" fontId="19" fillId="12" borderId="0" xfId="0" applyNumberFormat="1" applyFont="1" applyFill="1" applyAlignment="1">
      <alignment horizontal="center"/>
    </xf>
    <xf numFmtId="10" fontId="19" fillId="12" borderId="0" xfId="0" applyNumberFormat="1" applyFont="1" applyFill="1" applyAlignment="1">
      <alignment horizontal="center"/>
    </xf>
    <xf numFmtId="37" fontId="19" fillId="16" borderId="0" xfId="0" applyNumberFormat="1" applyFont="1" applyFill="1" applyAlignment="1">
      <alignment horizontal="center"/>
    </xf>
    <xf numFmtId="0" fontId="19" fillId="16" borderId="0" xfId="0" applyFont="1" applyFill="1" applyAlignment="1">
      <alignment horizontal="center"/>
    </xf>
    <xf numFmtId="9" fontId="19" fillId="10" borderId="86" xfId="2" applyFont="1" applyFill="1" applyBorder="1" applyAlignment="1">
      <alignment horizontal="center"/>
    </xf>
    <xf numFmtId="164" fontId="19" fillId="7" borderId="106" xfId="2" applyNumberFormat="1" applyFont="1" applyFill="1" applyBorder="1" applyAlignment="1">
      <alignment horizontal="center"/>
    </xf>
    <xf numFmtId="171" fontId="19" fillId="7" borderId="65" xfId="0" applyNumberFormat="1" applyFont="1" applyFill="1" applyBorder="1" applyAlignment="1">
      <alignment horizontal="center"/>
    </xf>
    <xf numFmtId="164" fontId="19" fillId="7" borderId="65" xfId="2" applyNumberFormat="1" applyFont="1" applyFill="1" applyBorder="1" applyAlignment="1">
      <alignment horizontal="center"/>
    </xf>
    <xf numFmtId="0" fontId="22" fillId="0" borderId="102" xfId="0" applyFont="1" applyBorder="1" applyAlignment="1">
      <alignment horizontal="center" vertical="center" wrapText="1"/>
    </xf>
    <xf numFmtId="10" fontId="7" fillId="15" borderId="56" xfId="2" applyNumberFormat="1" applyFont="1" applyFill="1" applyBorder="1" applyAlignment="1">
      <alignment horizontal="center"/>
    </xf>
    <xf numFmtId="0" fontId="19" fillId="0" borderId="56" xfId="0" applyFont="1" applyBorder="1" applyAlignment="1">
      <alignment horizontal="center"/>
    </xf>
    <xf numFmtId="172" fontId="7" fillId="0" borderId="56" xfId="0" applyNumberFormat="1" applyFont="1" applyBorder="1" applyAlignment="1">
      <alignment horizontal="center"/>
    </xf>
    <xf numFmtId="172" fontId="19" fillId="0" borderId="56" xfId="2" applyNumberFormat="1" applyFont="1" applyBorder="1" applyAlignment="1">
      <alignment horizontal="center"/>
    </xf>
    <xf numFmtId="6" fontId="42" fillId="0" borderId="56" xfId="0" applyNumberFormat="1" applyFont="1" applyBorder="1" applyAlignment="1">
      <alignment horizontal="center"/>
    </xf>
    <xf numFmtId="37" fontId="19" fillId="0" borderId="56" xfId="0" applyNumberFormat="1" applyFont="1" applyBorder="1" applyAlignment="1">
      <alignment horizontal="center"/>
    </xf>
    <xf numFmtId="171" fontId="7" fillId="0" borderId="56" xfId="0" applyNumberFormat="1" applyFont="1" applyBorder="1" applyAlignment="1">
      <alignment horizontal="center"/>
    </xf>
    <xf numFmtId="9" fontId="19" fillId="10" borderId="103" xfId="2" applyFont="1" applyFill="1" applyBorder="1" applyAlignment="1">
      <alignment horizontal="center"/>
    </xf>
    <xf numFmtId="164" fontId="19" fillId="7" borderId="102" xfId="2" applyNumberFormat="1" applyFont="1" applyFill="1" applyBorder="1" applyAlignment="1">
      <alignment horizontal="center"/>
    </xf>
    <xf numFmtId="171" fontId="19" fillId="7" borderId="56" xfId="0" applyNumberFormat="1" applyFont="1" applyFill="1" applyBorder="1" applyAlignment="1">
      <alignment horizontal="center"/>
    </xf>
    <xf numFmtId="164" fontId="19" fillId="7" borderId="56" xfId="2" applyNumberFormat="1" applyFont="1" applyFill="1" applyBorder="1" applyAlignment="1">
      <alignment horizontal="center"/>
    </xf>
    <xf numFmtId="172" fontId="19" fillId="7" borderId="56" xfId="2" applyNumberFormat="1" applyFont="1" applyFill="1" applyBorder="1" applyAlignment="1">
      <alignment horizontal="center"/>
    </xf>
    <xf numFmtId="172" fontId="19" fillId="7" borderId="1" xfId="2" applyNumberFormat="1" applyFont="1" applyFill="1" applyBorder="1" applyAlignment="1">
      <alignment horizontal="center"/>
    </xf>
    <xf numFmtId="10" fontId="19" fillId="0" borderId="117" xfId="0" applyNumberFormat="1" applyFont="1" applyBorder="1"/>
    <xf numFmtId="10" fontId="19" fillId="0" borderId="65" xfId="0" applyNumberFormat="1" applyFont="1" applyBorder="1"/>
    <xf numFmtId="10" fontId="42" fillId="0" borderId="65" xfId="0" applyNumberFormat="1" applyFont="1" applyBorder="1"/>
    <xf numFmtId="10" fontId="19" fillId="0" borderId="5" xfId="0" applyNumberFormat="1" applyFont="1" applyBorder="1"/>
    <xf numFmtId="0" fontId="19" fillId="12" borderId="0" xfId="0" applyFont="1" applyFill="1" applyAlignment="1">
      <alignment horizontal="left" vertical="center"/>
    </xf>
    <xf numFmtId="165" fontId="19" fillId="12" borderId="0" xfId="0" applyNumberFormat="1" applyFont="1" applyFill="1" applyAlignment="1">
      <alignment horizontal="right" vertical="center"/>
    </xf>
    <xf numFmtId="37" fontId="19" fillId="12" borderId="116" xfId="0" applyNumberFormat="1" applyFont="1" applyFill="1" applyBorder="1" applyAlignment="1">
      <alignment vertical="center"/>
    </xf>
    <xf numFmtId="37" fontId="19" fillId="12" borderId="116" xfId="0" applyNumberFormat="1" applyFont="1" applyFill="1" applyBorder="1" applyAlignment="1">
      <alignment horizontal="right" vertical="center"/>
    </xf>
    <xf numFmtId="0" fontId="19" fillId="12" borderId="116" xfId="0" applyFont="1" applyFill="1" applyBorder="1" applyAlignment="1">
      <alignment vertical="center"/>
    </xf>
    <xf numFmtId="0" fontId="20" fillId="12" borderId="116" xfId="0" applyFont="1" applyFill="1" applyBorder="1" applyAlignment="1">
      <alignment horizontal="right" vertical="center"/>
    </xf>
    <xf numFmtId="0" fontId="20" fillId="18" borderId="78" xfId="0" applyFont="1" applyFill="1" applyBorder="1" applyAlignment="1">
      <alignment vertical="center"/>
    </xf>
    <xf numFmtId="0" fontId="20" fillId="18" borderId="80" xfId="0" applyFont="1" applyFill="1" applyBorder="1" applyAlignment="1">
      <alignment vertical="center"/>
    </xf>
    <xf numFmtId="0" fontId="20" fillId="18" borderId="81" xfId="0" applyFont="1" applyFill="1" applyBorder="1" applyAlignment="1">
      <alignment vertical="center"/>
    </xf>
    <xf numFmtId="37" fontId="20" fillId="18" borderId="80" xfId="1" applyNumberFormat="1" applyFont="1" applyFill="1" applyBorder="1" applyAlignment="1">
      <alignment vertical="center"/>
    </xf>
    <xf numFmtId="37" fontId="20" fillId="18" borderId="81" xfId="1" applyNumberFormat="1" applyFont="1" applyFill="1" applyBorder="1" applyAlignment="1">
      <alignment vertical="center"/>
    </xf>
    <xf numFmtId="37" fontId="20" fillId="18" borderId="85" xfId="1" applyNumberFormat="1" applyFont="1" applyFill="1" applyBorder="1" applyAlignment="1">
      <alignment vertical="center"/>
    </xf>
    <xf numFmtId="0" fontId="20" fillId="18" borderId="0" xfId="0" applyFont="1" applyFill="1" applyAlignment="1">
      <alignment vertical="center"/>
    </xf>
    <xf numFmtId="0" fontId="56" fillId="0" borderId="0" xfId="44" applyFont="1" applyAlignment="1"/>
    <xf numFmtId="37" fontId="19" fillId="12" borderId="113" xfId="0" applyNumberFormat="1" applyFont="1" applyFill="1" applyBorder="1" applyAlignment="1">
      <alignment horizontal="right" vertical="center"/>
    </xf>
    <xf numFmtId="165" fontId="20" fillId="12" borderId="116" xfId="0" applyNumberFormat="1" applyFont="1" applyFill="1" applyBorder="1" applyAlignment="1">
      <alignment horizontal="right" vertical="center"/>
    </xf>
    <xf numFmtId="0" fontId="19" fillId="12" borderId="113" xfId="0" applyFont="1" applyFill="1" applyBorder="1" applyAlignment="1">
      <alignment horizontal="right" vertical="center"/>
    </xf>
    <xf numFmtId="0" fontId="49" fillId="7" borderId="85" xfId="0" applyFont="1" applyFill="1" applyBorder="1" applyAlignment="1">
      <alignment horizontal="centerContinuous" vertical="center"/>
    </xf>
    <xf numFmtId="0" fontId="50" fillId="7" borderId="85" xfId="0" applyFont="1" applyFill="1" applyBorder="1" applyAlignment="1">
      <alignment horizontal="centerContinuous" vertical="center"/>
    </xf>
    <xf numFmtId="0" fontId="20" fillId="18" borderId="92" xfId="0" applyFont="1" applyFill="1" applyBorder="1" applyAlignment="1">
      <alignment vertical="center"/>
    </xf>
    <xf numFmtId="0" fontId="19" fillId="12" borderId="112" xfId="0" applyFont="1" applyFill="1" applyBorder="1" applyAlignment="1">
      <alignment vertical="center"/>
    </xf>
    <xf numFmtId="0" fontId="19" fillId="12" borderId="113" xfId="0" quotePrefix="1" applyFont="1" applyFill="1" applyBorder="1" applyAlignment="1">
      <alignment vertical="center"/>
    </xf>
    <xf numFmtId="0" fontId="19" fillId="12" borderId="115" xfId="0" quotePrefix="1" applyFont="1" applyFill="1" applyBorder="1" applyAlignment="1">
      <alignment vertical="center"/>
    </xf>
    <xf numFmtId="37" fontId="19" fillId="12" borderId="113" xfId="0" applyNumberFormat="1" applyFont="1" applyFill="1" applyBorder="1" applyAlignment="1">
      <alignment vertical="center"/>
    </xf>
    <xf numFmtId="37" fontId="19" fillId="12" borderId="115" xfId="0" applyNumberFormat="1" applyFont="1" applyFill="1" applyBorder="1" applyAlignment="1">
      <alignment vertical="center"/>
    </xf>
    <xf numFmtId="0" fontId="19" fillId="12" borderId="113" xfId="0" applyFont="1" applyFill="1" applyBorder="1" applyAlignment="1">
      <alignment vertical="center"/>
    </xf>
    <xf numFmtId="5" fontId="19" fillId="6" borderId="113" xfId="0" applyNumberFormat="1" applyFont="1" applyFill="1" applyBorder="1" applyAlignment="1">
      <alignment horizontal="right"/>
    </xf>
    <xf numFmtId="5" fontId="19" fillId="6" borderId="112" xfId="0" applyNumberFormat="1" applyFont="1" applyFill="1" applyBorder="1" applyAlignment="1">
      <alignment horizontal="right"/>
    </xf>
    <xf numFmtId="172" fontId="19" fillId="0" borderId="91" xfId="0" applyNumberFormat="1" applyFont="1" applyBorder="1" applyAlignment="1">
      <alignment horizontal="center"/>
    </xf>
    <xf numFmtId="37" fontId="19" fillId="12" borderId="98" xfId="0" applyNumberFormat="1" applyFont="1" applyFill="1" applyBorder="1" applyAlignment="1">
      <alignment vertical="center"/>
    </xf>
    <xf numFmtId="37" fontId="20" fillId="12" borderId="116" xfId="0" applyNumberFormat="1" applyFont="1" applyFill="1" applyBorder="1" applyAlignment="1">
      <alignment horizontal="right" vertical="center"/>
    </xf>
    <xf numFmtId="10" fontId="19" fillId="12" borderId="116" xfId="2" applyNumberFormat="1" applyFont="1" applyFill="1" applyBorder="1" applyAlignment="1">
      <alignment vertical="center"/>
    </xf>
    <xf numFmtId="0" fontId="19" fillId="12" borderId="94" xfId="0" applyFont="1" applyFill="1" applyBorder="1" applyAlignment="1">
      <alignment horizontal="centerContinuous" vertical="center"/>
    </xf>
    <xf numFmtId="0" fontId="19" fillId="12" borderId="93" xfId="0" applyFont="1" applyFill="1" applyBorder="1" applyAlignment="1">
      <alignment horizontal="centerContinuous" vertical="center"/>
    </xf>
    <xf numFmtId="0" fontId="20" fillId="12" borderId="115" xfId="0" applyFont="1" applyFill="1" applyBorder="1" applyAlignment="1">
      <alignment horizontal="right" vertical="center"/>
    </xf>
    <xf numFmtId="0" fontId="20" fillId="12" borderId="113" xfId="0" applyFont="1" applyFill="1" applyBorder="1" applyAlignment="1">
      <alignment vertical="center"/>
    </xf>
    <xf numFmtId="0" fontId="19" fillId="12" borderId="92" xfId="0" applyFont="1" applyFill="1" applyBorder="1" applyAlignment="1">
      <alignment horizontal="centerContinuous" vertical="center"/>
    </xf>
    <xf numFmtId="0" fontId="20" fillId="12" borderId="112" xfId="0" applyFont="1" applyFill="1" applyBorder="1" applyAlignment="1">
      <alignment horizontal="right" vertical="center"/>
    </xf>
    <xf numFmtId="0" fontId="19" fillId="12" borderId="112" xfId="0" applyFont="1" applyFill="1" applyBorder="1" applyAlignment="1">
      <alignment horizontal="right" vertical="center"/>
    </xf>
    <xf numFmtId="0" fontId="19" fillId="12" borderId="115" xfId="0" applyFont="1" applyFill="1" applyBorder="1" applyAlignment="1">
      <alignment horizontal="right" vertical="center"/>
    </xf>
    <xf numFmtId="173" fontId="19" fillId="12" borderId="92" xfId="0" applyNumberFormat="1" applyFont="1" applyFill="1" applyBorder="1" applyAlignment="1">
      <alignment horizontal="right" vertical="center"/>
    </xf>
    <xf numFmtId="0" fontId="20" fillId="12" borderId="109" xfId="0" applyFont="1" applyFill="1" applyBorder="1" applyAlignment="1">
      <alignment vertical="center"/>
    </xf>
    <xf numFmtId="0" fontId="20" fillId="12" borderId="109" xfId="0" applyFont="1" applyFill="1" applyBorder="1" applyAlignment="1">
      <alignment horizontal="right" vertical="center" wrapText="1"/>
    </xf>
    <xf numFmtId="0" fontId="20" fillId="12" borderId="110" xfId="0" applyFont="1" applyFill="1" applyBorder="1" applyAlignment="1">
      <alignment horizontal="right" vertical="center" wrapText="1"/>
    </xf>
    <xf numFmtId="0" fontId="19" fillId="12" borderId="111" xfId="0" applyFont="1" applyFill="1" applyBorder="1" applyAlignment="1">
      <alignment vertical="center"/>
    </xf>
    <xf numFmtId="0" fontId="20" fillId="6" borderId="0" xfId="0" applyFont="1" applyFill="1" applyAlignment="1">
      <alignment horizontal="centerContinuous"/>
    </xf>
    <xf numFmtId="0" fontId="20" fillId="6" borderId="65" xfId="0" applyFont="1" applyFill="1" applyBorder="1" applyAlignment="1">
      <alignment horizontal="centerContinuous"/>
    </xf>
    <xf numFmtId="0" fontId="20" fillId="12" borderId="0" xfId="0" applyFont="1" applyFill="1" applyAlignment="1">
      <alignment horizontal="centerContinuous"/>
    </xf>
    <xf numFmtId="10" fontId="20" fillId="0" borderId="0" xfId="0" applyNumberFormat="1" applyFont="1" applyAlignment="1">
      <alignment horizontal="center"/>
    </xf>
    <xf numFmtId="0" fontId="19" fillId="23" borderId="0" xfId="0" applyFont="1" applyFill="1"/>
    <xf numFmtId="2" fontId="0" fillId="0" borderId="94" xfId="43" applyNumberFormat="1" applyFont="1" applyBorder="1" applyAlignment="1">
      <alignment horizontal="center"/>
    </xf>
    <xf numFmtId="5" fontId="0" fillId="0" borderId="92" xfId="43" applyNumberFormat="1" applyFont="1" applyBorder="1" applyAlignment="1">
      <alignment horizontal="center"/>
    </xf>
    <xf numFmtId="5" fontId="0" fillId="0" borderId="98" xfId="43" applyNumberFormat="1" applyFont="1" applyBorder="1" applyAlignment="1">
      <alignment horizontal="center"/>
    </xf>
    <xf numFmtId="5" fontId="0" fillId="0" borderId="74" xfId="43" applyNumberFormat="1" applyFont="1" applyBorder="1" applyAlignment="1">
      <alignment horizontal="center"/>
    </xf>
    <xf numFmtId="5" fontId="0" fillId="0" borderId="94" xfId="43" applyNumberFormat="1" applyFont="1" applyBorder="1" applyAlignment="1">
      <alignment horizontal="center"/>
    </xf>
    <xf numFmtId="9" fontId="20" fillId="0" borderId="0" xfId="2" applyFont="1"/>
    <xf numFmtId="165" fontId="19" fillId="0" borderId="0" xfId="1" applyNumberFormat="1" applyFont="1"/>
    <xf numFmtId="165" fontId="19" fillId="0" borderId="0" xfId="0" applyNumberFormat="1" applyFont="1"/>
    <xf numFmtId="0" fontId="20" fillId="12" borderId="0" xfId="0" applyFont="1" applyFill="1" applyAlignment="1">
      <alignment horizontal="centerContinuous" vertical="top"/>
    </xf>
    <xf numFmtId="0" fontId="22" fillId="12" borderId="0" xfId="0" applyFont="1" applyFill="1" applyAlignment="1">
      <alignment horizontal="center" wrapText="1"/>
    </xf>
    <xf numFmtId="171" fontId="23" fillId="12" borderId="0" xfId="0" applyNumberFormat="1" applyFont="1" applyFill="1" applyAlignment="1">
      <alignment horizontal="center"/>
    </xf>
    <xf numFmtId="10" fontId="43" fillId="12" borderId="0" xfId="2" applyNumberFormat="1" applyFont="1" applyFill="1" applyBorder="1" applyAlignment="1">
      <alignment horizontal="center"/>
    </xf>
    <xf numFmtId="0" fontId="43" fillId="12" borderId="0" xfId="0" applyFont="1" applyFill="1" applyAlignment="1">
      <alignment horizontal="center"/>
    </xf>
    <xf numFmtId="171" fontId="19" fillId="12" borderId="0" xfId="0" applyNumberFormat="1" applyFont="1" applyFill="1" applyAlignment="1">
      <alignment horizontal="center"/>
    </xf>
    <xf numFmtId="3" fontId="19" fillId="12" borderId="0" xfId="1" applyNumberFormat="1" applyFont="1" applyFill="1" applyBorder="1" applyAlignment="1">
      <alignment horizontal="center"/>
    </xf>
    <xf numFmtId="164" fontId="23" fillId="12" borderId="0" xfId="2" applyNumberFormat="1" applyFont="1" applyFill="1" applyBorder="1" applyAlignment="1">
      <alignment horizontal="center"/>
    </xf>
    <xf numFmtId="172" fontId="19" fillId="12" borderId="0" xfId="2" quotePrefix="1" applyNumberFormat="1" applyFont="1" applyFill="1" applyBorder="1" applyAlignment="1">
      <alignment horizontal="center"/>
    </xf>
    <xf numFmtId="171" fontId="19" fillId="12" borderId="0" xfId="2" quotePrefix="1" applyNumberFormat="1" applyFont="1" applyFill="1" applyBorder="1" applyAlignment="1">
      <alignment horizontal="center"/>
    </xf>
    <xf numFmtId="6" fontId="19" fillId="12" borderId="0" xfId="0" applyNumberFormat="1" applyFont="1" applyFill="1" applyAlignment="1">
      <alignment horizontal="center"/>
    </xf>
    <xf numFmtId="6" fontId="42" fillId="12" borderId="0" xfId="0" applyNumberFormat="1" applyFont="1" applyFill="1" applyAlignment="1">
      <alignment horizontal="center"/>
    </xf>
    <xf numFmtId="6" fontId="20" fillId="12" borderId="0" xfId="0" applyNumberFormat="1" applyFont="1" applyFill="1" applyAlignment="1">
      <alignment horizontal="center"/>
    </xf>
    <xf numFmtId="10" fontId="20" fillId="12" borderId="0" xfId="2" applyNumberFormat="1" applyFont="1" applyFill="1" applyBorder="1" applyAlignment="1">
      <alignment horizontal="center"/>
    </xf>
    <xf numFmtId="9" fontId="19" fillId="12" borderId="0" xfId="2" applyFont="1" applyFill="1" applyBorder="1" applyAlignment="1">
      <alignment horizontal="center"/>
    </xf>
    <xf numFmtId="171" fontId="19" fillId="12" borderId="0" xfId="2" applyNumberFormat="1" applyFont="1" applyFill="1" applyBorder="1" applyAlignment="1"/>
    <xf numFmtId="164" fontId="19" fillId="12" borderId="0" xfId="2" applyNumberFormat="1" applyFont="1" applyFill="1" applyBorder="1" applyAlignment="1">
      <alignment horizontal="center"/>
    </xf>
    <xf numFmtId="2" fontId="19" fillId="12" borderId="0" xfId="0" applyNumberFormat="1" applyFont="1" applyFill="1" applyAlignment="1">
      <alignment horizontal="center"/>
    </xf>
    <xf numFmtId="10" fontId="23" fillId="12" borderId="0" xfId="2" applyNumberFormat="1" applyFont="1" applyFill="1" applyBorder="1" applyAlignment="1">
      <alignment horizontal="center"/>
    </xf>
    <xf numFmtId="171" fontId="19" fillId="12" borderId="0" xfId="2" applyNumberFormat="1" applyFont="1" applyFill="1" applyBorder="1" applyAlignment="1">
      <alignment horizontal="center"/>
    </xf>
    <xf numFmtId="10" fontId="33" fillId="12" borderId="0" xfId="2" applyNumberFormat="1" applyFont="1" applyFill="1" applyBorder="1" applyAlignment="1">
      <alignment horizontal="center"/>
    </xf>
    <xf numFmtId="10" fontId="33" fillId="12" borderId="0" xfId="0" applyNumberFormat="1" applyFont="1" applyFill="1" applyAlignment="1">
      <alignment horizontal="center"/>
    </xf>
    <xf numFmtId="10" fontId="59" fillId="12" borderId="0" xfId="0" applyNumberFormat="1" applyFont="1" applyFill="1" applyAlignment="1">
      <alignment horizontal="center"/>
    </xf>
    <xf numFmtId="10" fontId="20" fillId="12" borderId="0" xfId="0" applyNumberFormat="1" applyFont="1" applyFill="1" applyAlignment="1">
      <alignment horizontal="center"/>
    </xf>
    <xf numFmtId="6" fontId="19" fillId="10" borderId="119" xfId="0" applyNumberFormat="1" applyFont="1" applyFill="1" applyBorder="1" applyAlignment="1">
      <alignment horizontal="center"/>
    </xf>
    <xf numFmtId="6" fontId="19" fillId="10" borderId="120" xfId="0" applyNumberFormat="1" applyFont="1" applyFill="1" applyBorder="1" applyAlignment="1">
      <alignment horizontal="center"/>
    </xf>
    <xf numFmtId="6" fontId="42" fillId="10" borderId="120" xfId="0" applyNumberFormat="1" applyFont="1" applyFill="1" applyBorder="1" applyAlignment="1">
      <alignment horizontal="center"/>
    </xf>
    <xf numFmtId="10" fontId="20" fillId="10" borderId="103" xfId="2" applyNumberFormat="1" applyFont="1" applyFill="1" applyBorder="1" applyAlignment="1">
      <alignment horizontal="center"/>
    </xf>
    <xf numFmtId="9" fontId="19" fillId="10" borderId="121" xfId="2" applyFont="1" applyFill="1" applyBorder="1" applyAlignment="1">
      <alignment horizontal="center"/>
    </xf>
    <xf numFmtId="171" fontId="23" fillId="0" borderId="105" xfId="0" applyNumberFormat="1" applyFont="1" applyBorder="1" applyAlignment="1">
      <alignment horizontal="center"/>
    </xf>
    <xf numFmtId="171" fontId="19" fillId="0" borderId="105" xfId="2" applyNumberFormat="1" applyFont="1" applyFill="1" applyBorder="1" applyAlignment="1"/>
    <xf numFmtId="37" fontId="20" fillId="16" borderId="79" xfId="0" applyNumberFormat="1" applyFont="1" applyFill="1" applyBorder="1" applyAlignment="1">
      <alignment vertical="center"/>
    </xf>
    <xf numFmtId="37" fontId="19" fillId="12" borderId="122" xfId="0" applyNumberFormat="1" applyFont="1" applyFill="1" applyBorder="1" applyAlignment="1">
      <alignment horizontal="right" vertical="center"/>
    </xf>
    <xf numFmtId="0" fontId="20" fillId="6" borderId="105" xfId="0" applyFont="1" applyFill="1" applyBorder="1" applyAlignment="1">
      <alignment horizontal="center"/>
    </xf>
    <xf numFmtId="164" fontId="46" fillId="0" borderId="0" xfId="0" applyNumberFormat="1" applyFont="1" applyAlignment="1">
      <alignment horizontal="left" indent="2"/>
    </xf>
    <xf numFmtId="164" fontId="19" fillId="0" borderId="105" xfId="2" applyNumberFormat="1" applyFont="1" applyFill="1" applyBorder="1" applyAlignment="1">
      <alignment horizontal="center"/>
    </xf>
    <xf numFmtId="10" fontId="23" fillId="0" borderId="0" xfId="2" applyNumberFormat="1" applyFont="1" applyBorder="1" applyAlignment="1">
      <alignment horizontal="center"/>
    </xf>
    <xf numFmtId="164" fontId="19" fillId="0" borderId="0" xfId="2" applyNumberFormat="1" applyFont="1" applyBorder="1" applyAlignment="1">
      <alignment horizontal="center"/>
    </xf>
    <xf numFmtId="171" fontId="19" fillId="0" borderId="0" xfId="2" applyNumberFormat="1" applyFont="1" applyBorder="1" applyAlignment="1">
      <alignment horizontal="center"/>
    </xf>
    <xf numFmtId="3" fontId="19" fillId="0" borderId="0" xfId="1" applyNumberFormat="1" applyFont="1" applyBorder="1" applyAlignment="1">
      <alignment horizontal="center"/>
    </xf>
    <xf numFmtId="164" fontId="23" fillId="0" borderId="0" xfId="2" applyNumberFormat="1" applyFont="1" applyFill="1" applyBorder="1" applyAlignment="1">
      <alignment horizontal="center"/>
    </xf>
    <xf numFmtId="2" fontId="19" fillId="0" borderId="105" xfId="0" applyNumberFormat="1" applyFont="1" applyBorder="1" applyAlignment="1">
      <alignment horizontal="center"/>
    </xf>
    <xf numFmtId="0" fontId="20" fillId="12" borderId="105" xfId="0" applyFont="1" applyFill="1" applyBorder="1" applyAlignment="1">
      <alignment horizontal="center"/>
    </xf>
    <xf numFmtId="0" fontId="22" fillId="0" borderId="105" xfId="0" applyFont="1" applyBorder="1" applyAlignment="1">
      <alignment horizontal="center" wrapText="1"/>
    </xf>
    <xf numFmtId="171" fontId="23" fillId="0" borderId="0" xfId="0" applyNumberFormat="1" applyFont="1" applyAlignment="1">
      <alignment horizontal="center"/>
    </xf>
    <xf numFmtId="10" fontId="43" fillId="0" borderId="0" xfId="2" applyNumberFormat="1" applyFont="1" applyBorder="1" applyAlignment="1">
      <alignment horizontal="center"/>
    </xf>
    <xf numFmtId="3" fontId="19" fillId="0" borderId="91" xfId="1" applyNumberFormat="1" applyFont="1" applyBorder="1" applyAlignment="1">
      <alignment horizontal="center"/>
    </xf>
    <xf numFmtId="0" fontId="43" fillId="0" borderId="0" xfId="0" applyFont="1" applyAlignment="1">
      <alignment horizontal="center"/>
    </xf>
    <xf numFmtId="171" fontId="19" fillId="0" borderId="4" xfId="0" applyNumberFormat="1" applyFont="1" applyBorder="1" applyAlignment="1">
      <alignment horizontal="center"/>
    </xf>
    <xf numFmtId="10" fontId="33" fillId="0" borderId="0" xfId="0" applyNumberFormat="1" applyFont="1" applyAlignment="1">
      <alignment horizontal="center"/>
    </xf>
    <xf numFmtId="10" fontId="59" fillId="0" borderId="0" xfId="0" applyNumberFormat="1" applyFont="1" applyAlignment="1">
      <alignment horizontal="center"/>
    </xf>
    <xf numFmtId="5" fontId="7" fillId="11" borderId="0" xfId="0" applyNumberFormat="1" applyFont="1" applyFill="1" applyAlignment="1">
      <alignment horizontal="right" indent="2"/>
    </xf>
    <xf numFmtId="5" fontId="7" fillId="11" borderId="0" xfId="2" applyNumberFormat="1" applyFont="1" applyFill="1" applyBorder="1" applyAlignment="1">
      <alignment horizontal="right" indent="2"/>
    </xf>
    <xf numFmtId="0" fontId="7" fillId="11" borderId="0" xfId="0" applyFont="1" applyFill="1" applyAlignment="1">
      <alignment horizontal="right" indent="2"/>
    </xf>
    <xf numFmtId="0" fontId="33" fillId="0" borderId="105" xfId="0" applyFont="1" applyBorder="1" applyAlignment="1">
      <alignment horizontal="right"/>
    </xf>
    <xf numFmtId="10" fontId="20" fillId="0" borderId="105" xfId="0" applyNumberFormat="1" applyFont="1" applyBorder="1"/>
    <xf numFmtId="10" fontId="20" fillId="0" borderId="105" xfId="2" applyNumberFormat="1" applyFont="1" applyFill="1" applyBorder="1" applyAlignment="1">
      <alignment horizontal="right"/>
    </xf>
    <xf numFmtId="10" fontId="20" fillId="0" borderId="105" xfId="2" applyNumberFormat="1" applyFont="1" applyFill="1" applyBorder="1" applyAlignment="1"/>
    <xf numFmtId="6" fontId="19" fillId="0" borderId="0" xfId="0" applyNumberFormat="1" applyFont="1" applyAlignment="1">
      <alignment horizontal="center"/>
    </xf>
    <xf numFmtId="6" fontId="19" fillId="0" borderId="123" xfId="0" quotePrefix="1" applyNumberFormat="1" applyFont="1" applyBorder="1" applyAlignment="1">
      <alignment horizontal="center"/>
    </xf>
    <xf numFmtId="6" fontId="42" fillId="0" borderId="123" xfId="0" quotePrefix="1" applyNumberFormat="1" applyFont="1" applyBorder="1" applyAlignment="1">
      <alignment horizontal="center"/>
    </xf>
    <xf numFmtId="6" fontId="19" fillId="0" borderId="123" xfId="0" applyNumberFormat="1" applyFont="1" applyBorder="1" applyAlignment="1">
      <alignment horizontal="center"/>
    </xf>
    <xf numFmtId="37" fontId="19" fillId="0" borderId="123" xfId="0" applyNumberFormat="1" applyFont="1" applyBorder="1" applyAlignment="1">
      <alignment horizontal="center"/>
    </xf>
    <xf numFmtId="0" fontId="22" fillId="0" borderId="4" xfId="0" applyFont="1" applyBorder="1" applyAlignment="1">
      <alignment horizontal="center" wrapText="1"/>
    </xf>
    <xf numFmtId="171" fontId="23" fillId="0" borderId="123" xfId="0" applyNumberFormat="1" applyFont="1" applyBorder="1" applyAlignment="1">
      <alignment horizontal="center"/>
    </xf>
    <xf numFmtId="171" fontId="19" fillId="0" borderId="105" xfId="2" applyNumberFormat="1" applyFont="1" applyFill="1" applyBorder="1" applyAlignment="1">
      <alignment horizontal="center"/>
    </xf>
    <xf numFmtId="0" fontId="20" fillId="13" borderId="110" xfId="0" applyFont="1" applyFill="1" applyBorder="1" applyAlignment="1">
      <alignment horizontal="centerContinuous" vertical="top"/>
    </xf>
    <xf numFmtId="0" fontId="19" fillId="0" borderId="111" xfId="0" applyFont="1" applyBorder="1"/>
    <xf numFmtId="0" fontId="19" fillId="0" borderId="101" xfId="0" applyFont="1" applyBorder="1"/>
    <xf numFmtId="171" fontId="7" fillId="0" borderId="126" xfId="0" applyNumberFormat="1" applyFont="1" applyBorder="1"/>
    <xf numFmtId="10" fontId="43" fillId="0" borderId="126" xfId="2" applyNumberFormat="1" applyFont="1" applyBorder="1" applyAlignment="1"/>
    <xf numFmtId="0" fontId="43" fillId="0" borderId="98" xfId="0" applyFont="1" applyBorder="1" applyAlignment="1">
      <alignment horizontal="center"/>
    </xf>
    <xf numFmtId="0" fontId="43" fillId="0" borderId="126" xfId="0" applyFont="1" applyBorder="1"/>
    <xf numFmtId="0" fontId="19" fillId="0" borderId="98" xfId="0" applyFont="1" applyBorder="1" applyAlignment="1">
      <alignment horizontal="center"/>
    </xf>
    <xf numFmtId="0" fontId="19" fillId="0" borderId="126" xfId="0" applyFont="1" applyBorder="1" applyAlignment="1">
      <alignment horizontal="center"/>
    </xf>
    <xf numFmtId="171" fontId="19" fillId="0" borderId="98" xfId="0" applyNumberFormat="1" applyFont="1" applyBorder="1" applyAlignment="1">
      <alignment horizontal="center"/>
    </xf>
    <xf numFmtId="171" fontId="19" fillId="0" borderId="126" xfId="0" applyNumberFormat="1" applyFont="1" applyBorder="1"/>
    <xf numFmtId="171" fontId="19" fillId="0" borderId="74" xfId="0" applyNumberFormat="1" applyFont="1" applyBorder="1" applyAlignment="1">
      <alignment horizontal="center"/>
    </xf>
    <xf numFmtId="171" fontId="19" fillId="0" borderId="77" xfId="0" applyNumberFormat="1" applyFont="1" applyBorder="1"/>
    <xf numFmtId="3" fontId="19" fillId="0" borderId="111" xfId="1" applyNumberFormat="1" applyFont="1" applyBorder="1" applyAlignment="1">
      <alignment horizontal="center"/>
    </xf>
    <xf numFmtId="3" fontId="19" fillId="0" borderId="101" xfId="1" applyNumberFormat="1" applyFont="1" applyBorder="1" applyAlignment="1"/>
    <xf numFmtId="3" fontId="19" fillId="0" borderId="98" xfId="1" applyNumberFormat="1" applyFont="1" applyBorder="1" applyAlignment="1">
      <alignment horizontal="center"/>
    </xf>
    <xf numFmtId="3" fontId="19" fillId="0" borderId="126" xfId="1" applyNumberFormat="1" applyFont="1" applyBorder="1" applyAlignment="1"/>
    <xf numFmtId="3" fontId="19" fillId="0" borderId="126" xfId="1" applyNumberFormat="1" applyFont="1" applyBorder="1" applyAlignment="1">
      <alignment horizontal="center"/>
    </xf>
    <xf numFmtId="164" fontId="23" fillId="0" borderId="98" xfId="2" applyNumberFormat="1" applyFont="1" applyFill="1" applyBorder="1" applyAlignment="1">
      <alignment horizontal="center"/>
    </xf>
    <xf numFmtId="164" fontId="23" fillId="0" borderId="126" xfId="2" applyNumberFormat="1" applyFont="1" applyFill="1" applyBorder="1" applyAlignment="1"/>
    <xf numFmtId="172" fontId="19" fillId="0" borderId="98" xfId="2" applyNumberFormat="1" applyFont="1" applyBorder="1" applyAlignment="1">
      <alignment horizontal="center"/>
    </xf>
    <xf numFmtId="172" fontId="19" fillId="0" borderId="126" xfId="2" applyNumberFormat="1" applyFont="1" applyBorder="1" applyAlignment="1"/>
    <xf numFmtId="171" fontId="19" fillId="0" borderId="74" xfId="2" applyNumberFormat="1" applyFont="1" applyBorder="1" applyAlignment="1">
      <alignment horizontal="center"/>
    </xf>
    <xf numFmtId="171" fontId="19" fillId="0" borderId="77" xfId="2" applyNumberFormat="1" applyFont="1" applyBorder="1" applyAlignment="1"/>
    <xf numFmtId="0" fontId="22" fillId="0" borderId="74" xfId="0" applyFont="1" applyBorder="1" applyAlignment="1">
      <alignment horizontal="center" wrapText="1"/>
    </xf>
    <xf numFmtId="0" fontId="22" fillId="0" borderId="77" xfId="0" applyFont="1" applyBorder="1" applyAlignment="1">
      <alignment horizontal="center" wrapText="1"/>
    </xf>
    <xf numFmtId="6" fontId="19" fillId="0" borderId="98" xfId="0" applyNumberFormat="1" applyFont="1" applyBorder="1" applyAlignment="1">
      <alignment horizontal="center"/>
    </xf>
    <xf numFmtId="6" fontId="19" fillId="10" borderId="127" xfId="0" applyNumberFormat="1" applyFont="1" applyFill="1" applyBorder="1" applyAlignment="1">
      <alignment horizontal="center"/>
    </xf>
    <xf numFmtId="6" fontId="19" fillId="0" borderId="128" xfId="0" applyNumberFormat="1" applyFont="1" applyBorder="1" applyAlignment="1">
      <alignment horizontal="center"/>
    </xf>
    <xf numFmtId="6" fontId="19" fillId="10" borderId="126" xfId="0" applyNumberFormat="1" applyFont="1" applyFill="1" applyBorder="1" applyAlignment="1">
      <alignment horizontal="center"/>
    </xf>
    <xf numFmtId="6" fontId="42" fillId="10" borderId="126" xfId="0" applyNumberFormat="1" applyFont="1" applyFill="1" applyBorder="1" applyAlignment="1">
      <alignment horizontal="center"/>
    </xf>
    <xf numFmtId="37" fontId="19" fillId="0" borderId="128" xfId="0" applyNumberFormat="1" applyFont="1" applyBorder="1" applyAlignment="1">
      <alignment horizontal="center"/>
    </xf>
    <xf numFmtId="0" fontId="22" fillId="0" borderId="125" xfId="0" applyFont="1" applyBorder="1" applyAlignment="1">
      <alignment horizontal="center" wrapText="1"/>
    </xf>
    <xf numFmtId="171" fontId="23" fillId="0" borderId="128" xfId="0" applyNumberFormat="1" applyFont="1" applyBorder="1" applyAlignment="1">
      <alignment horizontal="center"/>
    </xf>
    <xf numFmtId="6" fontId="19" fillId="10" borderId="77" xfId="0" applyNumberFormat="1" applyFont="1" applyFill="1" applyBorder="1" applyAlignment="1">
      <alignment horizontal="center"/>
    </xf>
    <xf numFmtId="9" fontId="19" fillId="10" borderId="132" xfId="2" applyFont="1" applyFill="1" applyBorder="1" applyAlignment="1">
      <alignment horizontal="center"/>
    </xf>
    <xf numFmtId="171" fontId="23" fillId="0" borderId="98" xfId="0" applyNumberFormat="1" applyFont="1" applyBorder="1" applyAlignment="1">
      <alignment horizontal="center"/>
    </xf>
    <xf numFmtId="171" fontId="23" fillId="0" borderId="125" xfId="0" applyNumberFormat="1" applyFont="1" applyBorder="1" applyAlignment="1">
      <alignment horizontal="center"/>
    </xf>
    <xf numFmtId="171" fontId="19" fillId="0" borderId="131" xfId="2" applyNumberFormat="1" applyFont="1" applyFill="1" applyBorder="1" applyAlignment="1">
      <alignment horizontal="center"/>
    </xf>
    <xf numFmtId="164" fontId="19" fillId="0" borderId="131" xfId="2" applyNumberFormat="1" applyFont="1" applyFill="1" applyBorder="1" applyAlignment="1">
      <alignment horizontal="center"/>
    </xf>
    <xf numFmtId="164" fontId="19" fillId="0" borderId="125" xfId="2" applyNumberFormat="1" applyFont="1" applyFill="1" applyBorder="1" applyAlignment="1">
      <alignment horizontal="center"/>
    </xf>
    <xf numFmtId="0" fontId="20" fillId="6" borderId="131" xfId="0" applyFont="1" applyFill="1" applyBorder="1" applyAlignment="1">
      <alignment horizontal="center"/>
    </xf>
    <xf numFmtId="0" fontId="20" fillId="6" borderId="125" xfId="0" applyFont="1" applyFill="1" applyBorder="1" applyAlignment="1">
      <alignment horizontal="center"/>
    </xf>
    <xf numFmtId="2" fontId="19" fillId="0" borderId="131" xfId="0" applyNumberFormat="1" applyFont="1" applyBorder="1" applyAlignment="1">
      <alignment horizontal="center"/>
    </xf>
    <xf numFmtId="2" fontId="19" fillId="0" borderId="125" xfId="0" applyNumberFormat="1" applyFont="1" applyBorder="1" applyAlignment="1">
      <alignment horizontal="center"/>
    </xf>
    <xf numFmtId="10" fontId="23" fillId="0" borderId="98" xfId="2" applyNumberFormat="1" applyFont="1" applyBorder="1" applyAlignment="1">
      <alignment horizontal="center"/>
    </xf>
    <xf numFmtId="10" fontId="23" fillId="0" borderId="126" xfId="2" applyNumberFormat="1" applyFont="1" applyBorder="1" applyAlignment="1">
      <alignment horizontal="center"/>
    </xf>
    <xf numFmtId="171" fontId="19" fillId="0" borderId="126" xfId="0" applyNumberFormat="1" applyFont="1" applyBorder="1" applyAlignment="1">
      <alignment horizontal="center"/>
    </xf>
    <xf numFmtId="164" fontId="19" fillId="0" borderId="98" xfId="2" applyNumberFormat="1" applyFont="1" applyBorder="1" applyAlignment="1">
      <alignment horizontal="center"/>
    </xf>
    <xf numFmtId="164" fontId="19" fillId="0" borderId="126" xfId="2" applyNumberFormat="1" applyFont="1" applyBorder="1" applyAlignment="1">
      <alignment horizontal="center"/>
    </xf>
    <xf numFmtId="171" fontId="19" fillId="0" borderId="98" xfId="2" applyNumberFormat="1" applyFont="1" applyBorder="1" applyAlignment="1">
      <alignment horizontal="center"/>
    </xf>
    <xf numFmtId="171" fontId="19" fillId="0" borderId="126" xfId="2" applyNumberFormat="1" applyFont="1" applyBorder="1" applyAlignment="1">
      <alignment horizontal="center"/>
    </xf>
    <xf numFmtId="0" fontId="20" fillId="12" borderId="131" xfId="0" applyFont="1" applyFill="1" applyBorder="1" applyAlignment="1">
      <alignment horizontal="center"/>
    </xf>
    <xf numFmtId="0" fontId="20" fillId="12" borderId="125" xfId="0" applyFont="1" applyFill="1" applyBorder="1" applyAlignment="1">
      <alignment horizontal="center"/>
    </xf>
    <xf numFmtId="10" fontId="33" fillId="0" borderId="98" xfId="2" quotePrefix="1" applyNumberFormat="1" applyFont="1" applyBorder="1" applyAlignment="1">
      <alignment horizontal="center"/>
    </xf>
    <xf numFmtId="10" fontId="33" fillId="0" borderId="126" xfId="2" applyNumberFormat="1" applyFont="1" applyBorder="1" applyAlignment="1">
      <alignment horizontal="center"/>
    </xf>
    <xf numFmtId="10" fontId="33" fillId="0" borderId="98" xfId="0" applyNumberFormat="1" applyFont="1" applyBorder="1" applyAlignment="1">
      <alignment horizontal="center"/>
    </xf>
    <xf numFmtId="10" fontId="33" fillId="0" borderId="126" xfId="0" applyNumberFormat="1" applyFont="1" applyBorder="1" applyAlignment="1">
      <alignment horizontal="center"/>
    </xf>
    <xf numFmtId="10" fontId="59" fillId="0" borderId="98" xfId="0" applyNumberFormat="1" applyFont="1" applyBorder="1" applyAlignment="1">
      <alignment horizontal="center"/>
    </xf>
    <xf numFmtId="10" fontId="59" fillId="0" borderId="126" xfId="0" applyNumberFormat="1" applyFont="1" applyBorder="1" applyAlignment="1">
      <alignment horizontal="center"/>
    </xf>
    <xf numFmtId="10" fontId="20" fillId="0" borderId="112" xfId="0" applyNumberFormat="1" applyFont="1" applyBorder="1" applyAlignment="1">
      <alignment horizontal="center"/>
    </xf>
    <xf numFmtId="10" fontId="20" fillId="0" borderId="115" xfId="0" applyNumberFormat="1" applyFont="1" applyBorder="1" applyAlignment="1">
      <alignment horizontal="center"/>
    </xf>
    <xf numFmtId="6" fontId="42" fillId="0" borderId="98" xfId="0" applyNumberFormat="1" applyFont="1" applyBorder="1" applyAlignment="1">
      <alignment horizontal="center"/>
    </xf>
    <xf numFmtId="37" fontId="19" fillId="0" borderId="98" xfId="0" applyNumberFormat="1" applyFont="1" applyBorder="1" applyAlignment="1">
      <alignment horizontal="center"/>
    </xf>
    <xf numFmtId="171" fontId="7" fillId="0" borderId="0" xfId="0" applyNumberFormat="1" applyFont="1" applyAlignment="1">
      <alignment horizontal="center"/>
    </xf>
    <xf numFmtId="172" fontId="19" fillId="12" borderId="0" xfId="2" applyNumberFormat="1" applyFont="1" applyFill="1" applyBorder="1" applyAlignment="1">
      <alignment horizontal="center"/>
    </xf>
    <xf numFmtId="171" fontId="19" fillId="12" borderId="4" xfId="2" applyNumberFormat="1" applyFont="1" applyFill="1" applyBorder="1" applyAlignment="1">
      <alignment horizontal="center"/>
    </xf>
    <xf numFmtId="6" fontId="19" fillId="10" borderId="101" xfId="0" applyNumberFormat="1" applyFont="1" applyFill="1" applyBorder="1" applyAlignment="1">
      <alignment horizontal="center"/>
    </xf>
    <xf numFmtId="6" fontId="42" fillId="0" borderId="0" xfId="0" applyNumberFormat="1" applyFont="1" applyAlignment="1">
      <alignment horizontal="center"/>
    </xf>
    <xf numFmtId="10" fontId="43" fillId="10" borderId="125" xfId="2" applyNumberFormat="1" applyFont="1" applyFill="1" applyBorder="1" applyAlignment="1">
      <alignment horizontal="center"/>
    </xf>
    <xf numFmtId="9" fontId="19" fillId="10" borderId="125" xfId="2" applyFont="1" applyFill="1" applyBorder="1" applyAlignment="1">
      <alignment horizontal="center"/>
    </xf>
    <xf numFmtId="171" fontId="19" fillId="0" borderId="125" xfId="2" applyNumberFormat="1" applyFont="1" applyFill="1" applyBorder="1" applyAlignment="1"/>
    <xf numFmtId="10" fontId="33" fillId="0" borderId="0" xfId="2" quotePrefix="1" applyNumberFormat="1" applyFont="1" applyBorder="1" applyAlignment="1">
      <alignment horizontal="center"/>
    </xf>
    <xf numFmtId="10" fontId="20" fillId="0" borderId="113" xfId="0" applyNumberFormat="1" applyFont="1" applyBorder="1" applyAlignment="1">
      <alignment horizontal="center"/>
    </xf>
    <xf numFmtId="0" fontId="22" fillId="0" borderId="131" xfId="0" applyFont="1" applyBorder="1" applyAlignment="1">
      <alignment horizontal="center" wrapText="1"/>
    </xf>
    <xf numFmtId="6" fontId="19" fillId="0" borderId="128" xfId="0" quotePrefix="1" applyNumberFormat="1" applyFont="1" applyBorder="1" applyAlignment="1">
      <alignment horizontal="center"/>
    </xf>
    <xf numFmtId="6" fontId="42" fillId="0" borderId="128" xfId="0" quotePrefix="1" applyNumberFormat="1" applyFont="1" applyBorder="1" applyAlignment="1">
      <alignment horizontal="center"/>
    </xf>
    <xf numFmtId="0" fontId="20" fillId="6" borderId="131" xfId="0" applyFont="1" applyFill="1" applyBorder="1" applyAlignment="1">
      <alignment horizontal="centerContinuous"/>
    </xf>
    <xf numFmtId="6" fontId="19" fillId="10" borderId="133" xfId="0" applyNumberFormat="1" applyFont="1" applyFill="1" applyBorder="1" applyAlignment="1">
      <alignment horizontal="center"/>
    </xf>
    <xf numFmtId="6" fontId="42" fillId="10" borderId="133" xfId="0" applyNumberFormat="1" applyFont="1" applyFill="1" applyBorder="1" applyAlignment="1">
      <alignment horizontal="center"/>
    </xf>
    <xf numFmtId="10" fontId="20" fillId="10" borderId="130" xfId="2" applyNumberFormat="1" applyFont="1" applyFill="1" applyBorder="1" applyAlignment="1">
      <alignment horizontal="center"/>
    </xf>
    <xf numFmtId="0" fontId="20" fillId="6" borderId="125" xfId="0" applyFont="1" applyFill="1" applyBorder="1" applyAlignment="1">
      <alignment horizontal="centerContinuous"/>
    </xf>
    <xf numFmtId="6" fontId="19" fillId="0" borderId="98" xfId="0" quotePrefix="1" applyNumberFormat="1" applyFont="1" applyBorder="1" applyAlignment="1">
      <alignment horizontal="center"/>
    </xf>
    <xf numFmtId="6" fontId="42" fillId="0" borderId="98" xfId="0" quotePrefix="1" applyNumberFormat="1" applyFont="1" applyBorder="1" applyAlignment="1">
      <alignment horizontal="center"/>
    </xf>
    <xf numFmtId="10" fontId="20" fillId="10" borderId="105" xfId="2" applyNumberFormat="1" applyFont="1" applyFill="1" applyBorder="1" applyAlignment="1">
      <alignment horizontal="center"/>
    </xf>
    <xf numFmtId="9" fontId="19" fillId="10" borderId="105" xfId="2" applyFont="1" applyFill="1" applyBorder="1" applyAlignment="1">
      <alignment horizontal="center"/>
    </xf>
    <xf numFmtId="0" fontId="22" fillId="23" borderId="105" xfId="0" applyFont="1" applyFill="1" applyBorder="1" applyAlignment="1">
      <alignment horizontal="center" wrapText="1"/>
    </xf>
    <xf numFmtId="0" fontId="19" fillId="23" borderId="91" xfId="0" applyFont="1" applyFill="1" applyBorder="1"/>
    <xf numFmtId="171" fontId="23" fillId="23" borderId="0" xfId="0" applyNumberFormat="1" applyFont="1" applyFill="1" applyAlignment="1">
      <alignment horizontal="center"/>
    </xf>
    <xf numFmtId="10" fontId="43" fillId="23" borderId="0" xfId="2" applyNumberFormat="1" applyFont="1" applyFill="1" applyBorder="1" applyAlignment="1">
      <alignment horizontal="center"/>
    </xf>
    <xf numFmtId="0" fontId="43" fillId="23" borderId="0" xfId="0" applyFont="1" applyFill="1" applyAlignment="1">
      <alignment horizontal="center"/>
    </xf>
    <xf numFmtId="0" fontId="19" fillId="23" borderId="0" xfId="0" applyFont="1" applyFill="1" applyAlignment="1">
      <alignment horizontal="center"/>
    </xf>
    <xf numFmtId="171" fontId="19" fillId="23" borderId="0" xfId="0" applyNumberFormat="1" applyFont="1" applyFill="1" applyAlignment="1">
      <alignment horizontal="center"/>
    </xf>
    <xf numFmtId="171" fontId="19" fillId="23" borderId="4" xfId="0" applyNumberFormat="1" applyFont="1" applyFill="1" applyBorder="1" applyAlignment="1">
      <alignment horizontal="center"/>
    </xf>
    <xf numFmtId="3" fontId="19" fillId="23" borderId="91" xfId="1" applyNumberFormat="1" applyFont="1" applyFill="1" applyBorder="1" applyAlignment="1">
      <alignment horizontal="center"/>
    </xf>
    <xf numFmtId="3" fontId="19" fillId="23" borderId="0" xfId="1" applyNumberFormat="1" applyFont="1" applyFill="1" applyBorder="1" applyAlignment="1">
      <alignment horizontal="center"/>
    </xf>
    <xf numFmtId="164" fontId="23" fillId="23" borderId="0" xfId="2" applyNumberFormat="1" applyFont="1" applyFill="1" applyBorder="1" applyAlignment="1">
      <alignment horizontal="center"/>
    </xf>
    <xf numFmtId="172" fontId="19" fillId="23" borderId="0" xfId="2" quotePrefix="1" applyNumberFormat="1" applyFont="1" applyFill="1" applyBorder="1" applyAlignment="1">
      <alignment horizontal="center"/>
    </xf>
    <xf numFmtId="171" fontId="19" fillId="23" borderId="4" xfId="2" quotePrefix="1" applyNumberFormat="1" applyFont="1" applyFill="1" applyBorder="1" applyAlignment="1">
      <alignment horizontal="center"/>
    </xf>
    <xf numFmtId="0" fontId="22" fillId="23" borderId="4" xfId="0" applyFont="1" applyFill="1" applyBorder="1" applyAlignment="1">
      <alignment horizontal="center" wrapText="1"/>
    </xf>
    <xf numFmtId="6" fontId="19" fillId="23" borderId="91" xfId="0" applyNumberFormat="1" applyFont="1" applyFill="1" applyBorder="1" applyAlignment="1">
      <alignment horizontal="center"/>
    </xf>
    <xf numFmtId="6" fontId="19" fillId="23" borderId="0" xfId="0" applyNumberFormat="1" applyFont="1" applyFill="1" applyAlignment="1">
      <alignment horizontal="center"/>
    </xf>
    <xf numFmtId="6" fontId="42" fillId="23" borderId="0" xfId="0" applyNumberFormat="1" applyFont="1" applyFill="1" applyAlignment="1">
      <alignment horizontal="center"/>
    </xf>
    <xf numFmtId="37" fontId="19" fillId="23" borderId="0" xfId="0" applyNumberFormat="1" applyFont="1" applyFill="1" applyAlignment="1">
      <alignment horizontal="center"/>
    </xf>
    <xf numFmtId="9" fontId="19" fillId="23" borderId="105" xfId="2" applyFont="1" applyFill="1" applyBorder="1" applyAlignment="1">
      <alignment horizontal="center" vertical="top"/>
    </xf>
    <xf numFmtId="171" fontId="19" fillId="23" borderId="105" xfId="2" applyNumberFormat="1" applyFont="1" applyFill="1" applyBorder="1" applyAlignment="1">
      <alignment horizontal="center"/>
    </xf>
    <xf numFmtId="164" fontId="19" fillId="23" borderId="105" xfId="2" applyNumberFormat="1" applyFont="1" applyFill="1" applyBorder="1" applyAlignment="1">
      <alignment horizontal="center"/>
    </xf>
    <xf numFmtId="2" fontId="19" fillId="23" borderId="105" xfId="0" applyNumberFormat="1" applyFont="1" applyFill="1" applyBorder="1" applyAlignment="1">
      <alignment horizontal="center"/>
    </xf>
    <xf numFmtId="10" fontId="23" fillId="23" borderId="0" xfId="2" applyNumberFormat="1" applyFont="1" applyFill="1" applyBorder="1" applyAlignment="1">
      <alignment horizontal="center"/>
    </xf>
    <xf numFmtId="164" fontId="19" fillId="23" borderId="0" xfId="2" applyNumberFormat="1" applyFont="1" applyFill="1" applyBorder="1" applyAlignment="1">
      <alignment horizontal="center"/>
    </xf>
    <xf numFmtId="171" fontId="19" fillId="23" borderId="0" xfId="2" applyNumberFormat="1" applyFont="1" applyFill="1" applyBorder="1" applyAlignment="1">
      <alignment horizontal="center"/>
    </xf>
    <xf numFmtId="0" fontId="20" fillId="23" borderId="105" xfId="0" applyFont="1" applyFill="1" applyBorder="1" applyAlignment="1">
      <alignment horizontal="center"/>
    </xf>
    <xf numFmtId="10" fontId="33" fillId="23" borderId="0" xfId="2" quotePrefix="1" applyNumberFormat="1" applyFont="1" applyFill="1" applyBorder="1" applyAlignment="1">
      <alignment horizontal="center"/>
    </xf>
    <xf numFmtId="10" fontId="33" fillId="23" borderId="0" xfId="0" applyNumberFormat="1" applyFont="1" applyFill="1" applyAlignment="1">
      <alignment horizontal="center"/>
    </xf>
    <xf numFmtId="10" fontId="59" fillId="23" borderId="0" xfId="0" applyNumberFormat="1" applyFont="1" applyFill="1" applyAlignment="1">
      <alignment horizontal="center"/>
    </xf>
    <xf numFmtId="0" fontId="20" fillId="6" borderId="57" xfId="0" applyFont="1" applyFill="1" applyBorder="1" applyAlignment="1">
      <alignment horizontal="centerContinuous"/>
    </xf>
    <xf numFmtId="0" fontId="20" fillId="13" borderId="134" xfId="0" applyFont="1" applyFill="1" applyBorder="1" applyAlignment="1">
      <alignment horizontal="centerContinuous" vertical="top"/>
    </xf>
    <xf numFmtId="0" fontId="22" fillId="24" borderId="125" xfId="0" applyFont="1" applyFill="1" applyBorder="1" applyAlignment="1">
      <alignment horizontal="center" wrapText="1"/>
    </xf>
    <xf numFmtId="0" fontId="19" fillId="24" borderId="101" xfId="0" applyFont="1" applyFill="1" applyBorder="1"/>
    <xf numFmtId="171" fontId="23" fillId="24" borderId="126" xfId="0" applyNumberFormat="1" applyFont="1" applyFill="1" applyBorder="1" applyAlignment="1">
      <alignment horizontal="center"/>
    </xf>
    <xf numFmtId="10" fontId="43" fillId="24" borderId="126" xfId="2" applyNumberFormat="1" applyFont="1" applyFill="1" applyBorder="1" applyAlignment="1">
      <alignment horizontal="center"/>
    </xf>
    <xf numFmtId="0" fontId="43" fillId="24" borderId="126" xfId="0" applyFont="1" applyFill="1" applyBorder="1" applyAlignment="1">
      <alignment horizontal="center"/>
    </xf>
    <xf numFmtId="0" fontId="19" fillId="24" borderId="126" xfId="0" applyFont="1" applyFill="1" applyBorder="1" applyAlignment="1">
      <alignment horizontal="center"/>
    </xf>
    <xf numFmtId="171" fontId="19" fillId="24" borderId="126" xfId="0" applyNumberFormat="1" applyFont="1" applyFill="1" applyBorder="1" applyAlignment="1">
      <alignment horizontal="center"/>
    </xf>
    <xf numFmtId="171" fontId="19" fillId="24" borderId="77" xfId="0" applyNumberFormat="1" applyFont="1" applyFill="1" applyBorder="1" applyAlignment="1">
      <alignment horizontal="center"/>
    </xf>
    <xf numFmtId="3" fontId="19" fillId="24" borderId="101" xfId="1" applyNumberFormat="1" applyFont="1" applyFill="1" applyBorder="1" applyAlignment="1">
      <alignment horizontal="center"/>
    </xf>
    <xf numFmtId="3" fontId="19" fillId="24" borderId="126" xfId="1" applyNumberFormat="1" applyFont="1" applyFill="1" applyBorder="1" applyAlignment="1">
      <alignment horizontal="center"/>
    </xf>
    <xf numFmtId="164" fontId="23" fillId="24" borderId="126" xfId="2" applyNumberFormat="1" applyFont="1" applyFill="1" applyBorder="1" applyAlignment="1">
      <alignment horizontal="center"/>
    </xf>
    <xf numFmtId="172" fontId="19" fillId="24" borderId="126" xfId="2" quotePrefix="1" applyNumberFormat="1" applyFont="1" applyFill="1" applyBorder="1" applyAlignment="1">
      <alignment horizontal="center"/>
    </xf>
    <xf numFmtId="171" fontId="19" fillId="24" borderId="77" xfId="2" quotePrefix="1" applyNumberFormat="1" applyFont="1" applyFill="1" applyBorder="1" applyAlignment="1">
      <alignment horizontal="center"/>
    </xf>
    <xf numFmtId="0" fontId="22" fillId="24" borderId="77" xfId="0" applyFont="1" applyFill="1" applyBorder="1" applyAlignment="1">
      <alignment horizontal="center" wrapText="1"/>
    </xf>
    <xf numFmtId="6" fontId="19" fillId="24" borderId="101" xfId="0" applyNumberFormat="1" applyFont="1" applyFill="1" applyBorder="1" applyAlignment="1">
      <alignment horizontal="center"/>
    </xf>
    <xf numFmtId="6" fontId="19" fillId="24" borderId="126" xfId="0" applyNumberFormat="1" applyFont="1" applyFill="1" applyBorder="1" applyAlignment="1">
      <alignment horizontal="center"/>
    </xf>
    <xf numFmtId="6" fontId="42" fillId="24" borderId="126" xfId="0" applyNumberFormat="1" applyFont="1" applyFill="1" applyBorder="1" applyAlignment="1">
      <alignment horizontal="center"/>
    </xf>
    <xf numFmtId="37" fontId="19" fillId="24" borderId="126" xfId="0" applyNumberFormat="1" applyFont="1" applyFill="1" applyBorder="1" applyAlignment="1">
      <alignment horizontal="center"/>
    </xf>
    <xf numFmtId="9" fontId="19" fillId="24" borderId="125" xfId="2" applyFont="1" applyFill="1" applyBorder="1" applyAlignment="1">
      <alignment horizontal="center" vertical="top"/>
    </xf>
    <xf numFmtId="171" fontId="19" fillId="24" borderId="125" xfId="2" applyNumberFormat="1" applyFont="1" applyFill="1" applyBorder="1" applyAlignment="1">
      <alignment horizontal="center"/>
    </xf>
    <xf numFmtId="164" fontId="19" fillId="24" borderId="125" xfId="2" applyNumberFormat="1" applyFont="1" applyFill="1" applyBorder="1" applyAlignment="1">
      <alignment horizontal="center"/>
    </xf>
    <xf numFmtId="2" fontId="19" fillId="24" borderId="125" xfId="0" applyNumberFormat="1" applyFont="1" applyFill="1" applyBorder="1" applyAlignment="1">
      <alignment horizontal="center"/>
    </xf>
    <xf numFmtId="10" fontId="23" fillId="24" borderId="126" xfId="2" applyNumberFormat="1" applyFont="1" applyFill="1" applyBorder="1" applyAlignment="1">
      <alignment horizontal="center"/>
    </xf>
    <xf numFmtId="164" fontId="19" fillId="24" borderId="126" xfId="2" applyNumberFormat="1" applyFont="1" applyFill="1" applyBorder="1" applyAlignment="1">
      <alignment horizontal="center"/>
    </xf>
    <xf numFmtId="171" fontId="19" fillId="24" borderId="126" xfId="2" applyNumberFormat="1" applyFont="1" applyFill="1" applyBorder="1" applyAlignment="1">
      <alignment horizontal="center"/>
    </xf>
    <xf numFmtId="0" fontId="20" fillId="24" borderId="125" xfId="0" applyFont="1" applyFill="1" applyBorder="1" applyAlignment="1">
      <alignment horizontal="center"/>
    </xf>
    <xf numFmtId="10" fontId="33" fillId="24" borderId="126" xfId="2" quotePrefix="1" applyNumberFormat="1" applyFont="1" applyFill="1" applyBorder="1" applyAlignment="1">
      <alignment horizontal="center"/>
    </xf>
    <xf numFmtId="10" fontId="33" fillId="24" borderId="126" xfId="0" applyNumberFormat="1" applyFont="1" applyFill="1" applyBorder="1" applyAlignment="1">
      <alignment horizontal="center"/>
    </xf>
    <xf numFmtId="10" fontId="59" fillId="24" borderId="126" xfId="0" applyNumberFormat="1" applyFont="1" applyFill="1" applyBorder="1" applyAlignment="1">
      <alignment horizontal="center"/>
    </xf>
    <xf numFmtId="10" fontId="20" fillId="23" borderId="113" xfId="0" applyNumberFormat="1" applyFont="1" applyFill="1" applyBorder="1" applyAlignment="1">
      <alignment horizontal="center"/>
    </xf>
    <xf numFmtId="10" fontId="20" fillId="24" borderId="115" xfId="0" applyNumberFormat="1" applyFont="1" applyFill="1" applyBorder="1" applyAlignment="1">
      <alignment horizontal="center"/>
    </xf>
    <xf numFmtId="3" fontId="22" fillId="0" borderId="131" xfId="0" applyNumberFormat="1" applyFont="1" applyBorder="1" applyAlignment="1">
      <alignment horizontal="center" wrapText="1"/>
    </xf>
    <xf numFmtId="6" fontId="19" fillId="0" borderId="0" xfId="0" applyNumberFormat="1" applyFont="1"/>
    <xf numFmtId="9" fontId="19" fillId="0" borderId="131" xfId="2" applyFont="1" applyBorder="1" applyAlignment="1">
      <alignment horizontal="center" vertical="top"/>
    </xf>
    <xf numFmtId="9" fontId="19" fillId="0" borderId="105" xfId="2" applyFont="1" applyBorder="1" applyAlignment="1">
      <alignment horizontal="center" vertical="top"/>
    </xf>
    <xf numFmtId="177" fontId="19" fillId="0" borderId="0" xfId="0" applyNumberFormat="1" applyFont="1"/>
    <xf numFmtId="177" fontId="19" fillId="12" borderId="0" xfId="0" applyNumberFormat="1" applyFont="1" applyFill="1"/>
    <xf numFmtId="0" fontId="20" fillId="6" borderId="122" xfId="0" applyFont="1" applyFill="1" applyBorder="1" applyAlignment="1">
      <alignment horizontal="centerContinuous"/>
    </xf>
    <xf numFmtId="0" fontId="20" fillId="6" borderId="93" xfId="0" applyFont="1" applyFill="1" applyBorder="1" applyAlignment="1">
      <alignment horizontal="centerContinuous"/>
    </xf>
    <xf numFmtId="0" fontId="20" fillId="6" borderId="126" xfId="0" applyFont="1" applyFill="1" applyBorder="1" applyAlignment="1">
      <alignment horizontal="centerContinuous"/>
    </xf>
    <xf numFmtId="0" fontId="20" fillId="0" borderId="98" xfId="0" applyFont="1" applyBorder="1" applyAlignment="1">
      <alignment vertical="top"/>
    </xf>
    <xf numFmtId="0" fontId="21" fillId="0" borderId="98" xfId="0" applyFont="1" applyBorder="1"/>
    <xf numFmtId="0" fontId="19" fillId="0" borderId="98" xfId="0" applyFont="1" applyBorder="1" applyAlignment="1">
      <alignment horizontal="left" indent="2"/>
    </xf>
    <xf numFmtId="0" fontId="19" fillId="0" borderId="111" xfId="0" applyFont="1" applyBorder="1" applyAlignment="1">
      <alignment horizontal="left" indent="2"/>
    </xf>
    <xf numFmtId="0" fontId="19" fillId="0" borderId="74" xfId="0" applyFont="1" applyBorder="1" applyAlignment="1">
      <alignment horizontal="left" indent="2"/>
    </xf>
    <xf numFmtId="0" fontId="7" fillId="11" borderId="98" xfId="0" applyFont="1" applyFill="1" applyBorder="1" applyAlignment="1">
      <alignment horizontal="left" indent="2"/>
    </xf>
    <xf numFmtId="164" fontId="7" fillId="11" borderId="98" xfId="2" applyNumberFormat="1" applyFont="1" applyFill="1" applyBorder="1" applyAlignment="1">
      <alignment horizontal="left" indent="2"/>
    </xf>
    <xf numFmtId="0" fontId="20" fillId="0" borderId="131" xfId="0" applyFont="1" applyBorder="1"/>
    <xf numFmtId="0" fontId="20" fillId="0" borderId="131" xfId="0" applyFont="1" applyBorder="1" applyAlignment="1">
      <alignment horizontal="left"/>
    </xf>
    <xf numFmtId="0" fontId="19" fillId="0" borderId="98" xfId="0" applyFont="1" applyBorder="1"/>
    <xf numFmtId="0" fontId="19" fillId="0" borderId="112" xfId="0" applyFont="1" applyBorder="1"/>
    <xf numFmtId="0" fontId="19" fillId="0" borderId="113" xfId="0" applyFont="1" applyBorder="1"/>
    <xf numFmtId="0" fontId="20" fillId="20" borderId="131" xfId="0" applyFont="1" applyFill="1" applyBorder="1"/>
    <xf numFmtId="0" fontId="19" fillId="20" borderId="105" xfId="0" applyFont="1" applyFill="1" applyBorder="1"/>
    <xf numFmtId="6" fontId="20" fillId="20" borderId="131" xfId="0" applyNumberFormat="1" applyFont="1" applyFill="1" applyBorder="1" applyAlignment="1">
      <alignment horizontal="center"/>
    </xf>
    <xf numFmtId="6" fontId="20" fillId="20" borderId="105" xfId="0" applyNumberFormat="1" applyFont="1" applyFill="1" applyBorder="1" applyAlignment="1">
      <alignment horizontal="center"/>
    </xf>
    <xf numFmtId="6" fontId="20" fillId="20" borderId="125" xfId="0" applyNumberFormat="1" applyFont="1" applyFill="1" applyBorder="1" applyAlignment="1">
      <alignment horizontal="center"/>
    </xf>
    <xf numFmtId="6" fontId="20" fillId="20" borderId="132" xfId="0" applyNumberFormat="1" applyFont="1" applyFill="1" applyBorder="1" applyAlignment="1">
      <alignment horizontal="center"/>
    </xf>
    <xf numFmtId="6" fontId="20" fillId="20" borderId="121" xfId="0" applyNumberFormat="1" applyFont="1" applyFill="1" applyBorder="1" applyAlignment="1">
      <alignment horizontal="center"/>
    </xf>
    <xf numFmtId="6" fontId="20" fillId="20" borderId="0" xfId="0" applyNumberFormat="1" applyFont="1" applyFill="1" applyAlignment="1">
      <alignment horizontal="center"/>
    </xf>
    <xf numFmtId="0" fontId="20" fillId="20" borderId="105" xfId="0" applyFont="1" applyFill="1" applyBorder="1"/>
    <xf numFmtId="6" fontId="20" fillId="20" borderId="124" xfId="0" applyNumberFormat="1" applyFont="1" applyFill="1" applyBorder="1" applyAlignment="1">
      <alignment horizontal="center"/>
    </xf>
    <xf numFmtId="6" fontId="20" fillId="20" borderId="130" xfId="0" applyNumberFormat="1" applyFont="1" applyFill="1" applyBorder="1" applyAlignment="1">
      <alignment horizontal="center"/>
    </xf>
    <xf numFmtId="6" fontId="20" fillId="20" borderId="129" xfId="0" applyNumberFormat="1" applyFont="1" applyFill="1" applyBorder="1" applyAlignment="1">
      <alignment horizontal="center"/>
    </xf>
    <xf numFmtId="6" fontId="20" fillId="20" borderId="103" xfId="0" applyNumberFormat="1" applyFont="1" applyFill="1" applyBorder="1" applyAlignment="1">
      <alignment horizontal="center"/>
    </xf>
    <xf numFmtId="0" fontId="19" fillId="12" borderId="126" xfId="0" applyFont="1" applyFill="1" applyBorder="1" applyAlignment="1">
      <alignment vertical="center"/>
    </xf>
    <xf numFmtId="37" fontId="19" fillId="12" borderId="126" xfId="0" applyNumberFormat="1" applyFont="1" applyFill="1" applyBorder="1" applyAlignment="1">
      <alignment horizontal="right" vertical="center"/>
    </xf>
    <xf numFmtId="37" fontId="19" fillId="12" borderId="126" xfId="0" applyNumberFormat="1" applyFont="1" applyFill="1" applyBorder="1" applyAlignment="1">
      <alignment vertical="center"/>
    </xf>
    <xf numFmtId="10" fontId="43" fillId="12" borderId="98" xfId="2" applyNumberFormat="1" applyFont="1" applyFill="1" applyBorder="1" applyAlignment="1">
      <alignment horizontal="center"/>
    </xf>
    <xf numFmtId="171" fontId="7" fillId="12" borderId="98" xfId="0" applyNumberFormat="1" applyFont="1" applyFill="1" applyBorder="1" applyAlignment="1">
      <alignment horizontal="center"/>
    </xf>
    <xf numFmtId="0" fontId="19" fillId="12" borderId="122" xfId="0" applyFont="1" applyFill="1" applyBorder="1" applyAlignment="1">
      <alignment horizontal="right" vertical="center"/>
    </xf>
    <xf numFmtId="0" fontId="20" fillId="23" borderId="112" xfId="0" applyFont="1" applyFill="1" applyBorder="1" applyAlignment="1">
      <alignment vertical="center"/>
    </xf>
    <xf numFmtId="0" fontId="20" fillId="23" borderId="113" xfId="0" applyFont="1" applyFill="1" applyBorder="1" applyAlignment="1">
      <alignment vertical="center"/>
    </xf>
    <xf numFmtId="0" fontId="20" fillId="23" borderId="115" xfId="0" applyFont="1" applyFill="1" applyBorder="1" applyAlignment="1">
      <alignment vertical="center"/>
    </xf>
    <xf numFmtId="37" fontId="20" fillId="23" borderId="113" xfId="0" applyNumberFormat="1" applyFont="1" applyFill="1" applyBorder="1" applyAlignment="1">
      <alignment vertical="center"/>
    </xf>
    <xf numFmtId="0" fontId="20" fillId="23" borderId="0" xfId="0" applyFont="1" applyFill="1" applyAlignment="1">
      <alignment vertical="center"/>
    </xf>
    <xf numFmtId="0" fontId="20" fillId="12" borderId="126" xfId="0" applyFont="1" applyFill="1" applyBorder="1" applyAlignment="1">
      <alignment horizontal="right" vertical="center"/>
    </xf>
    <xf numFmtId="10" fontId="19" fillId="12" borderId="126" xfId="0" applyNumberFormat="1" applyFont="1" applyFill="1" applyBorder="1" applyAlignment="1">
      <alignment horizontal="right" vertical="center"/>
    </xf>
    <xf numFmtId="10" fontId="42" fillId="12" borderId="126" xfId="0" applyNumberFormat="1" applyFont="1" applyFill="1" applyBorder="1" applyAlignment="1">
      <alignment horizontal="right" vertical="center"/>
    </xf>
    <xf numFmtId="173" fontId="19" fillId="12" borderId="122" xfId="0" applyNumberFormat="1" applyFont="1" applyFill="1" applyBorder="1" applyAlignment="1">
      <alignment horizontal="right" vertical="center"/>
    </xf>
    <xf numFmtId="37" fontId="20" fillId="18" borderId="122" xfId="1" applyNumberFormat="1" applyFont="1" applyFill="1" applyBorder="1" applyAlignment="1">
      <alignment vertical="center"/>
    </xf>
    <xf numFmtId="37" fontId="19" fillId="12" borderId="122" xfId="0" applyNumberFormat="1" applyFont="1" applyFill="1" applyBorder="1" applyAlignment="1">
      <alignment vertical="center"/>
    </xf>
    <xf numFmtId="0" fontId="20" fillId="12" borderId="93" xfId="0" applyFont="1" applyFill="1" applyBorder="1" applyAlignment="1">
      <alignment horizontal="right" vertical="center"/>
    </xf>
    <xf numFmtId="5" fontId="19" fillId="12" borderId="0" xfId="0" applyNumberFormat="1" applyFont="1" applyFill="1" applyAlignment="1">
      <alignment horizontal="left"/>
    </xf>
    <xf numFmtId="173" fontId="19" fillId="12" borderId="115" xfId="0" applyNumberFormat="1" applyFont="1" applyFill="1" applyBorder="1" applyAlignment="1">
      <alignment vertical="center"/>
    </xf>
    <xf numFmtId="0" fontId="19" fillId="12" borderId="135" xfId="0" applyFont="1" applyFill="1" applyBorder="1"/>
    <xf numFmtId="0" fontId="20" fillId="12" borderId="112" xfId="0" applyFont="1" applyFill="1" applyBorder="1"/>
    <xf numFmtId="0" fontId="19" fillId="12" borderId="115" xfId="0" applyFont="1" applyFill="1" applyBorder="1" applyAlignment="1">
      <alignment horizontal="right"/>
    </xf>
    <xf numFmtId="37" fontId="46" fillId="12" borderId="98" xfId="0" applyNumberFormat="1" applyFont="1" applyFill="1" applyBorder="1" applyAlignment="1">
      <alignment horizontal="right"/>
    </xf>
    <xf numFmtId="37" fontId="19" fillId="12" borderId="112" xfId="0" applyNumberFormat="1" applyFont="1" applyFill="1" applyBorder="1" applyAlignment="1">
      <alignment horizontal="right"/>
    </xf>
    <xf numFmtId="37" fontId="19" fillId="12" borderId="113" xfId="0" applyNumberFormat="1" applyFont="1" applyFill="1" applyBorder="1" applyAlignment="1">
      <alignment horizontal="right"/>
    </xf>
    <xf numFmtId="0" fontId="20" fillId="12" borderId="113" xfId="0" applyFont="1" applyFill="1" applyBorder="1"/>
    <xf numFmtId="0" fontId="20" fillId="6" borderId="113" xfId="0" applyFont="1" applyFill="1" applyBorder="1" applyAlignment="1">
      <alignment horizontal="right"/>
    </xf>
    <xf numFmtId="37" fontId="19" fillId="12" borderId="93" xfId="0" applyNumberFormat="1" applyFont="1" applyFill="1" applyBorder="1" applyAlignment="1">
      <alignment horizontal="right" vertical="center"/>
    </xf>
    <xf numFmtId="37" fontId="20" fillId="18" borderId="85" xfId="0" applyNumberFormat="1" applyFont="1" applyFill="1" applyBorder="1" applyAlignment="1">
      <alignment vertical="center"/>
    </xf>
    <xf numFmtId="37" fontId="20" fillId="18" borderId="80" xfId="0" applyNumberFormat="1" applyFont="1" applyFill="1" applyBorder="1" applyAlignment="1">
      <alignment vertical="center"/>
    </xf>
    <xf numFmtId="37" fontId="20" fillId="18" borderId="81" xfId="0" applyNumberFormat="1" applyFont="1" applyFill="1" applyBorder="1" applyAlignment="1">
      <alignment vertical="center"/>
    </xf>
    <xf numFmtId="0" fontId="22" fillId="16" borderId="0" xfId="0" applyFont="1" applyFill="1" applyAlignment="1">
      <alignment vertical="center"/>
    </xf>
    <xf numFmtId="5" fontId="43" fillId="12" borderId="0" xfId="0" applyNumberFormat="1" applyFont="1" applyFill="1"/>
    <xf numFmtId="165" fontId="19" fillId="12" borderId="0" xfId="0" applyNumberFormat="1" applyFont="1" applyFill="1" applyAlignment="1">
      <alignment vertical="center"/>
    </xf>
    <xf numFmtId="165" fontId="20" fillId="25" borderId="79" xfId="1" applyNumberFormat="1" applyFont="1" applyFill="1" applyBorder="1" applyAlignment="1">
      <alignment horizontal="right" vertical="center"/>
    </xf>
    <xf numFmtId="10" fontId="45" fillId="16" borderId="82" xfId="0" applyNumberFormat="1" applyFont="1" applyFill="1" applyBorder="1" applyAlignment="1">
      <alignment horizontal="right" vertical="center"/>
    </xf>
    <xf numFmtId="0" fontId="20" fillId="24" borderId="92" xfId="0" applyFont="1" applyFill="1" applyBorder="1" applyAlignment="1">
      <alignment vertical="center"/>
    </xf>
    <xf numFmtId="0" fontId="20" fillId="24" borderId="136" xfId="0" applyFont="1" applyFill="1" applyBorder="1" applyAlignment="1">
      <alignment vertical="center"/>
    </xf>
    <xf numFmtId="0" fontId="20" fillId="24" borderId="135" xfId="0" applyFont="1" applyFill="1" applyBorder="1" applyAlignment="1">
      <alignment vertical="center"/>
    </xf>
    <xf numFmtId="10" fontId="20" fillId="24" borderId="136" xfId="0" applyNumberFormat="1" applyFont="1" applyFill="1" applyBorder="1" applyAlignment="1">
      <alignment horizontal="right" vertical="center"/>
    </xf>
    <xf numFmtId="10" fontId="20" fillId="24" borderId="122" xfId="0" applyNumberFormat="1" applyFont="1" applyFill="1" applyBorder="1" applyAlignment="1">
      <alignment horizontal="right" vertical="center"/>
    </xf>
    <xf numFmtId="10" fontId="20" fillId="24" borderId="135" xfId="0" applyNumberFormat="1" applyFont="1" applyFill="1" applyBorder="1" applyAlignment="1">
      <alignment horizontal="right" vertical="center"/>
    </xf>
    <xf numFmtId="0" fontId="22" fillId="24" borderId="112" xfId="0" applyFont="1" applyFill="1" applyBorder="1" applyAlignment="1">
      <alignment vertical="center"/>
    </xf>
    <xf numFmtId="0" fontId="22" fillId="24" borderId="113" xfId="0" quotePrefix="1" applyFont="1" applyFill="1" applyBorder="1" applyAlignment="1">
      <alignment vertical="center"/>
    </xf>
    <xf numFmtId="0" fontId="22" fillId="24" borderId="115" xfId="0" quotePrefix="1" applyFont="1" applyFill="1" applyBorder="1" applyAlignment="1">
      <alignment vertical="center"/>
    </xf>
    <xf numFmtId="37" fontId="22" fillId="24" borderId="113" xfId="0" applyNumberFormat="1" applyFont="1" applyFill="1" applyBorder="1" applyAlignment="1">
      <alignment vertical="center"/>
    </xf>
    <xf numFmtId="37" fontId="22" fillId="24" borderId="115" xfId="0" applyNumberFormat="1" applyFont="1" applyFill="1" applyBorder="1" applyAlignment="1">
      <alignment vertical="center"/>
    </xf>
    <xf numFmtId="10" fontId="22" fillId="24" borderId="113" xfId="2" applyNumberFormat="1" applyFont="1" applyFill="1" applyBorder="1" applyAlignment="1">
      <alignment horizontal="right" vertical="center"/>
    </xf>
    <xf numFmtId="10" fontId="22" fillId="24" borderId="107" xfId="2" applyNumberFormat="1" applyFont="1" applyFill="1" applyBorder="1" applyAlignment="1">
      <alignment horizontal="right" vertical="center"/>
    </xf>
    <xf numFmtId="10" fontId="22" fillId="24" borderId="107" xfId="2" applyNumberFormat="1" applyFont="1" applyFill="1" applyBorder="1" applyAlignment="1">
      <alignment vertical="center"/>
    </xf>
    <xf numFmtId="10" fontId="22" fillId="24" borderId="113" xfId="2" applyNumberFormat="1" applyFont="1" applyFill="1" applyBorder="1" applyAlignment="1">
      <alignment vertical="center"/>
    </xf>
    <xf numFmtId="10" fontId="22" fillId="24" borderId="115" xfId="2" applyNumberFormat="1" applyFont="1" applyFill="1" applyBorder="1" applyAlignment="1">
      <alignment vertical="center"/>
    </xf>
    <xf numFmtId="0" fontId="20" fillId="18" borderId="136" xfId="0" applyFont="1" applyFill="1" applyBorder="1" applyAlignment="1">
      <alignment vertical="center"/>
    </xf>
    <xf numFmtId="0" fontId="20" fillId="18" borderId="135" xfId="0" applyFont="1" applyFill="1" applyBorder="1" applyAlignment="1">
      <alignment vertical="center"/>
    </xf>
    <xf numFmtId="37" fontId="20" fillId="18" borderId="136" xfId="1" applyNumberFormat="1" applyFont="1" applyFill="1" applyBorder="1" applyAlignment="1">
      <alignment vertical="center"/>
    </xf>
    <xf numFmtId="37" fontId="20" fillId="18" borderId="135" xfId="1" applyNumberFormat="1" applyFont="1" applyFill="1" applyBorder="1" applyAlignment="1">
      <alignment vertical="center"/>
    </xf>
    <xf numFmtId="37" fontId="20" fillId="18" borderId="136" xfId="0" applyNumberFormat="1" applyFont="1" applyFill="1" applyBorder="1" applyAlignment="1">
      <alignment vertical="center"/>
    </xf>
    <xf numFmtId="37" fontId="20" fillId="18" borderId="122" xfId="0" applyNumberFormat="1" applyFont="1" applyFill="1" applyBorder="1" applyAlignment="1">
      <alignment vertical="center"/>
    </xf>
    <xf numFmtId="37" fontId="20" fillId="18" borderId="135" xfId="0" applyNumberFormat="1" applyFont="1" applyFill="1" applyBorder="1" applyAlignment="1">
      <alignment vertical="center"/>
    </xf>
    <xf numFmtId="0" fontId="20" fillId="12" borderId="112" xfId="0" applyFont="1" applyFill="1" applyBorder="1" applyAlignment="1">
      <alignment vertical="center"/>
    </xf>
    <xf numFmtId="0" fontId="20" fillId="12" borderId="115" xfId="0" applyFont="1" applyFill="1" applyBorder="1" applyAlignment="1">
      <alignment vertical="center"/>
    </xf>
    <xf numFmtId="37" fontId="20" fillId="12" borderId="113" xfId="1" applyNumberFormat="1" applyFont="1" applyFill="1" applyBorder="1" applyAlignment="1">
      <alignment vertical="center"/>
    </xf>
    <xf numFmtId="37" fontId="20" fillId="12" borderId="115" xfId="1" applyNumberFormat="1" applyFont="1" applyFill="1" applyBorder="1" applyAlignment="1">
      <alignment vertical="center"/>
    </xf>
    <xf numFmtId="37" fontId="20" fillId="12" borderId="107" xfId="1" applyNumberFormat="1" applyFont="1" applyFill="1" applyBorder="1" applyAlignment="1">
      <alignment vertical="center"/>
    </xf>
    <xf numFmtId="37" fontId="20" fillId="12" borderId="113" xfId="0" applyNumberFormat="1" applyFont="1" applyFill="1" applyBorder="1" applyAlignment="1">
      <alignment vertical="center"/>
    </xf>
    <xf numFmtId="37" fontId="20" fillId="12" borderId="107" xfId="0" applyNumberFormat="1" applyFont="1" applyFill="1" applyBorder="1" applyAlignment="1">
      <alignment vertical="center"/>
    </xf>
    <xf numFmtId="37" fontId="20" fillId="12" borderId="115" xfId="0" applyNumberFormat="1" applyFont="1" applyFill="1" applyBorder="1" applyAlignment="1">
      <alignment vertical="center"/>
    </xf>
    <xf numFmtId="37" fontId="19" fillId="12" borderId="0" xfId="1" applyNumberFormat="1" applyFont="1" applyFill="1" applyBorder="1" applyAlignment="1">
      <alignment vertical="center"/>
    </xf>
    <xf numFmtId="37" fontId="42" fillId="12" borderId="0" xfId="1" applyNumberFormat="1" applyFont="1" applyFill="1" applyBorder="1" applyAlignment="1">
      <alignment vertical="center"/>
    </xf>
    <xf numFmtId="37" fontId="42" fillId="12" borderId="57" xfId="1" applyNumberFormat="1" applyFont="1" applyFill="1" applyBorder="1" applyAlignment="1">
      <alignment vertical="center"/>
    </xf>
    <xf numFmtId="37" fontId="42" fillId="12" borderId="57" xfId="0" applyNumberFormat="1" applyFont="1" applyFill="1" applyBorder="1" applyAlignment="1">
      <alignment vertical="center"/>
    </xf>
    <xf numFmtId="37" fontId="42" fillId="12" borderId="126" xfId="0" applyNumberFormat="1" applyFont="1" applyFill="1" applyBorder="1" applyAlignment="1">
      <alignment vertical="center"/>
    </xf>
    <xf numFmtId="37" fontId="42" fillId="12" borderId="126" xfId="1" applyNumberFormat="1" applyFont="1" applyFill="1" applyBorder="1" applyAlignment="1">
      <alignment vertical="center"/>
    </xf>
    <xf numFmtId="0" fontId="16" fillId="12" borderId="0" xfId="0" applyFont="1" applyFill="1"/>
    <xf numFmtId="0" fontId="19" fillId="12" borderId="137" xfId="0" applyFont="1" applyFill="1" applyBorder="1" applyAlignment="1">
      <alignment vertical="center"/>
    </xf>
    <xf numFmtId="0" fontId="19" fillId="12" borderId="137" xfId="0" applyFont="1" applyFill="1" applyBorder="1" applyAlignment="1">
      <alignment horizontal="right" vertical="center"/>
    </xf>
    <xf numFmtId="173" fontId="19" fillId="12" borderId="136" xfId="0" applyNumberFormat="1" applyFont="1" applyFill="1" applyBorder="1" applyAlignment="1">
      <alignment horizontal="right" vertical="center"/>
    </xf>
    <xf numFmtId="173" fontId="19" fillId="12" borderId="135" xfId="0" applyNumberFormat="1" applyFont="1" applyFill="1" applyBorder="1" applyAlignment="1">
      <alignment horizontal="right" vertical="center"/>
    </xf>
    <xf numFmtId="37" fontId="19" fillId="12" borderId="137" xfId="0" applyNumberFormat="1" applyFont="1" applyFill="1" applyBorder="1" applyAlignment="1">
      <alignment horizontal="right" vertical="center"/>
    </xf>
    <xf numFmtId="37" fontId="19" fillId="12" borderId="136" xfId="0" applyNumberFormat="1" applyFont="1" applyFill="1" applyBorder="1" applyAlignment="1">
      <alignment horizontal="right" vertical="center"/>
    </xf>
    <xf numFmtId="37" fontId="19" fillId="12" borderId="137" xfId="0" applyNumberFormat="1" applyFont="1" applyFill="1" applyBorder="1" applyAlignment="1">
      <alignment vertical="center"/>
    </xf>
    <xf numFmtId="10" fontId="16" fillId="12" borderId="0" xfId="0" applyNumberFormat="1" applyFont="1" applyFill="1" applyAlignment="1">
      <alignment horizontal="center" vertical="center"/>
    </xf>
    <xf numFmtId="0" fontId="19" fillId="12" borderId="91" xfId="0" quotePrefix="1" applyFont="1" applyFill="1" applyBorder="1" applyAlignment="1">
      <alignment horizontal="center"/>
    </xf>
    <xf numFmtId="0" fontId="19" fillId="0" borderId="78" xfId="0" applyFont="1" applyBorder="1"/>
    <xf numFmtId="0" fontId="19" fillId="0" borderId="80" xfId="0" applyFont="1" applyBorder="1"/>
    <xf numFmtId="10" fontId="20" fillId="0" borderId="80" xfId="0" applyNumberFormat="1" applyFont="1" applyBorder="1" applyAlignment="1">
      <alignment horizontal="center"/>
    </xf>
    <xf numFmtId="10" fontId="20" fillId="12" borderId="80" xfId="0" applyNumberFormat="1" applyFont="1" applyFill="1" applyBorder="1" applyAlignment="1">
      <alignment horizontal="center"/>
    </xf>
    <xf numFmtId="10" fontId="20" fillId="12" borderId="81" xfId="0" applyNumberFormat="1" applyFont="1" applyFill="1" applyBorder="1" applyAlignment="1">
      <alignment horizontal="center"/>
    </xf>
    <xf numFmtId="0" fontId="19" fillId="0" borderId="70" xfId="0" applyFont="1" applyBorder="1" applyAlignment="1">
      <alignment horizontal="center"/>
    </xf>
    <xf numFmtId="0" fontId="19" fillId="0" borderId="137" xfId="0" applyFont="1" applyBorder="1" applyAlignment="1">
      <alignment horizontal="center"/>
    </xf>
    <xf numFmtId="3" fontId="19" fillId="0" borderId="70" xfId="1" applyNumberFormat="1" applyFont="1" applyBorder="1" applyAlignment="1">
      <alignment horizontal="center"/>
    </xf>
    <xf numFmtId="3" fontId="19" fillId="0" borderId="137" xfId="1" applyNumberFormat="1" applyFont="1" applyBorder="1" applyAlignment="1">
      <alignment horizontal="center"/>
    </xf>
    <xf numFmtId="6" fontId="19" fillId="0" borderId="70" xfId="0" applyNumberFormat="1" applyFont="1" applyBorder="1" applyAlignment="1">
      <alignment horizontal="center"/>
    </xf>
    <xf numFmtId="6" fontId="19" fillId="10" borderId="137" xfId="0" applyNumberFormat="1" applyFont="1" applyFill="1" applyBorder="1" applyAlignment="1">
      <alignment horizontal="center"/>
    </xf>
    <xf numFmtId="171" fontId="23" fillId="0" borderId="70" xfId="0" applyNumberFormat="1" applyFont="1" applyBorder="1" applyAlignment="1">
      <alignment horizontal="center"/>
    </xf>
    <xf numFmtId="170" fontId="20" fillId="0" borderId="78" xfId="0" applyNumberFormat="1" applyFont="1" applyBorder="1" applyAlignment="1">
      <alignment horizontal="center"/>
    </xf>
    <xf numFmtId="10" fontId="20" fillId="0" borderId="81" xfId="0" applyNumberFormat="1" applyFont="1" applyBorder="1" applyAlignment="1">
      <alignment horizontal="center"/>
    </xf>
    <xf numFmtId="0" fontId="20" fillId="0" borderId="70" xfId="0" applyFont="1" applyBorder="1"/>
    <xf numFmtId="0" fontId="20" fillId="13" borderId="74" xfId="0" applyFont="1" applyFill="1" applyBorder="1" applyAlignment="1">
      <alignment horizontal="centerContinuous" vertical="top"/>
    </xf>
    <xf numFmtId="0" fontId="20" fillId="13" borderId="4" xfId="0" applyFont="1" applyFill="1" applyBorder="1" applyAlignment="1">
      <alignment horizontal="centerContinuous" vertical="top"/>
    </xf>
    <xf numFmtId="0" fontId="20" fillId="13" borderId="77" xfId="0" applyFont="1" applyFill="1" applyBorder="1" applyAlignment="1">
      <alignment horizontal="centerContinuous" vertical="top"/>
    </xf>
    <xf numFmtId="0" fontId="20" fillId="6" borderId="67" xfId="0" applyFont="1" applyFill="1" applyBorder="1" applyAlignment="1">
      <alignment horizontal="centerContinuous"/>
    </xf>
    <xf numFmtId="0" fontId="20" fillId="6" borderId="94" xfId="0" applyFont="1" applyFill="1" applyBorder="1" applyAlignment="1">
      <alignment horizontal="centerContinuous"/>
    </xf>
    <xf numFmtId="0" fontId="20" fillId="6" borderId="112" xfId="0" applyFont="1" applyFill="1" applyBorder="1" applyAlignment="1">
      <alignment horizontal="centerContinuous"/>
    </xf>
    <xf numFmtId="0" fontId="20" fillId="6" borderId="113" xfId="0" applyFont="1" applyFill="1" applyBorder="1" applyAlignment="1">
      <alignment horizontal="centerContinuous"/>
    </xf>
    <xf numFmtId="0" fontId="20" fillId="6" borderId="115" xfId="0" applyFont="1" applyFill="1" applyBorder="1" applyAlignment="1">
      <alignment horizontal="centerContinuous"/>
    </xf>
    <xf numFmtId="0" fontId="7" fillId="10" borderId="74" xfId="0" applyFont="1" applyFill="1" applyBorder="1" applyAlignment="1">
      <alignment horizontal="left" indent="2"/>
    </xf>
    <xf numFmtId="5" fontId="7" fillId="10" borderId="4" xfId="0" applyNumberFormat="1" applyFont="1" applyFill="1" applyBorder="1" applyAlignment="1">
      <alignment horizontal="right" indent="2"/>
    </xf>
    <xf numFmtId="171" fontId="23" fillId="10" borderId="74" xfId="0" applyNumberFormat="1" applyFont="1" applyFill="1" applyBorder="1" applyAlignment="1">
      <alignment horizontal="center"/>
    </xf>
    <xf numFmtId="171" fontId="23" fillId="10" borderId="4" xfId="0" applyNumberFormat="1" applyFont="1" applyFill="1" applyBorder="1" applyAlignment="1">
      <alignment horizontal="center"/>
    </xf>
    <xf numFmtId="171" fontId="23" fillId="10" borderId="98" xfId="0" applyNumberFormat="1" applyFont="1" applyFill="1" applyBorder="1" applyAlignment="1">
      <alignment horizontal="center"/>
    </xf>
    <xf numFmtId="171" fontId="23" fillId="10" borderId="123" xfId="0" applyNumberFormat="1" applyFont="1" applyFill="1" applyBorder="1" applyAlignment="1">
      <alignment horizontal="center"/>
    </xf>
    <xf numFmtId="171" fontId="23" fillId="10" borderId="128" xfId="0" applyNumberFormat="1" applyFont="1" applyFill="1" applyBorder="1" applyAlignment="1">
      <alignment horizontal="center"/>
    </xf>
    <xf numFmtId="165" fontId="16" fillId="12" borderId="0" xfId="1" applyNumberFormat="1" applyFont="1" applyFill="1" applyAlignment="1">
      <alignment horizontal="right"/>
    </xf>
    <xf numFmtId="0" fontId="17" fillId="12" borderId="0" xfId="0" applyFont="1" applyFill="1" applyAlignment="1">
      <alignment horizontal="right" indent="1"/>
    </xf>
    <xf numFmtId="165" fontId="16" fillId="12" borderId="0" xfId="0" applyNumberFormat="1" applyFont="1" applyFill="1"/>
    <xf numFmtId="8" fontId="16" fillId="12" borderId="0" xfId="0" applyNumberFormat="1" applyFont="1" applyFill="1"/>
    <xf numFmtId="171" fontId="16" fillId="12" borderId="0" xfId="0" applyNumberFormat="1" applyFont="1" applyFill="1"/>
    <xf numFmtId="10" fontId="16" fillId="12" borderId="0" xfId="0" applyNumberFormat="1" applyFont="1" applyFill="1"/>
    <xf numFmtId="165" fontId="5" fillId="6" borderId="104" xfId="1" applyNumberFormat="1" applyFont="1" applyFill="1" applyBorder="1" applyAlignment="1">
      <alignment horizontal="right"/>
    </xf>
    <xf numFmtId="6" fontId="20" fillId="16" borderId="105" xfId="0" applyNumberFormat="1" applyFont="1" applyFill="1" applyBorder="1" applyAlignment="1">
      <alignment horizontal="center"/>
    </xf>
    <xf numFmtId="0" fontId="7" fillId="12" borderId="91" xfId="0" applyFont="1" applyFill="1" applyBorder="1" applyAlignment="1">
      <alignment vertical="center"/>
    </xf>
    <xf numFmtId="0" fontId="70" fillId="12" borderId="0" xfId="0" applyFont="1" applyFill="1" applyAlignment="1">
      <alignment horizontal="centerContinuous" vertical="center"/>
    </xf>
    <xf numFmtId="37" fontId="70" fillId="16" borderId="116" xfId="0" applyNumberFormat="1" applyFont="1" applyFill="1" applyBorder="1" applyAlignment="1">
      <alignment vertical="center"/>
    </xf>
    <xf numFmtId="0" fontId="71" fillId="16" borderId="116" xfId="0" applyFont="1" applyFill="1" applyBorder="1" applyAlignment="1">
      <alignment vertical="center"/>
    </xf>
    <xf numFmtId="165" fontId="70" fillId="16" borderId="116" xfId="1" applyNumberFormat="1" applyFont="1" applyFill="1" applyBorder="1" applyAlignment="1">
      <alignment vertical="center"/>
    </xf>
    <xf numFmtId="165" fontId="70" fillId="16" borderId="137" xfId="1" applyNumberFormat="1" applyFont="1" applyFill="1" applyBorder="1" applyAlignment="1">
      <alignment vertical="center"/>
    </xf>
    <xf numFmtId="0" fontId="20" fillId="12" borderId="137" xfId="0" applyFont="1" applyFill="1" applyBorder="1" applyAlignment="1">
      <alignment horizontal="right" vertical="center"/>
    </xf>
    <xf numFmtId="0" fontId="20" fillId="12" borderId="98" xfId="0" applyFont="1" applyFill="1" applyBorder="1" applyAlignment="1">
      <alignment horizontal="right" vertical="center"/>
    </xf>
    <xf numFmtId="37" fontId="70" fillId="16" borderId="137" xfId="0" applyNumberFormat="1" applyFont="1" applyFill="1" applyBorder="1" applyAlignment="1">
      <alignment horizontal="right" vertical="center"/>
    </xf>
    <xf numFmtId="37" fontId="71" fillId="16" borderId="137" xfId="0" applyNumberFormat="1" applyFont="1" applyFill="1" applyBorder="1" applyAlignment="1">
      <alignment horizontal="right" vertical="center"/>
    </xf>
    <xf numFmtId="0" fontId="19" fillId="12" borderId="114" xfId="0" applyFont="1" applyFill="1" applyBorder="1" applyAlignment="1">
      <alignment horizontal="right" vertical="center"/>
    </xf>
    <xf numFmtId="37" fontId="19" fillId="12" borderId="84" xfId="0" applyNumberFormat="1" applyFont="1" applyFill="1" applyBorder="1" applyAlignment="1">
      <alignment horizontal="right" vertical="center"/>
    </xf>
    <xf numFmtId="37" fontId="20" fillId="18" borderId="79" xfId="1" applyNumberFormat="1" applyFont="1" applyFill="1" applyBorder="1" applyAlignment="1">
      <alignment vertical="center"/>
    </xf>
    <xf numFmtId="37" fontId="20" fillId="18" borderId="82" xfId="1" applyNumberFormat="1" applyFont="1" applyFill="1" applyBorder="1" applyAlignment="1">
      <alignment vertical="center"/>
    </xf>
    <xf numFmtId="37" fontId="42" fillId="12" borderId="84" xfId="1" applyNumberFormat="1" applyFont="1" applyFill="1" applyBorder="1" applyAlignment="1">
      <alignment vertical="center"/>
    </xf>
    <xf numFmtId="37" fontId="20" fillId="12" borderId="114" xfId="1" applyNumberFormat="1" applyFont="1" applyFill="1" applyBorder="1" applyAlignment="1">
      <alignment vertical="center"/>
    </xf>
    <xf numFmtId="10" fontId="19" fillId="12" borderId="84" xfId="0" applyNumberFormat="1" applyFont="1" applyFill="1" applyBorder="1" applyAlignment="1">
      <alignment horizontal="right" vertical="center"/>
    </xf>
    <xf numFmtId="10" fontId="44" fillId="16" borderId="84" xfId="0" applyNumberFormat="1" applyFont="1" applyFill="1" applyBorder="1" applyAlignment="1">
      <alignment horizontal="right" vertical="center"/>
    </xf>
    <xf numFmtId="10" fontId="20" fillId="24" borderId="82" xfId="0" applyNumberFormat="1" applyFont="1" applyFill="1" applyBorder="1" applyAlignment="1">
      <alignment horizontal="right" vertical="center"/>
    </xf>
    <xf numFmtId="10" fontId="22" fillId="24" borderId="114" xfId="2" applyNumberFormat="1" applyFont="1" applyFill="1" applyBorder="1" applyAlignment="1">
      <alignment horizontal="right" vertical="center"/>
    </xf>
    <xf numFmtId="37" fontId="19" fillId="12" borderId="114" xfId="0" applyNumberFormat="1" applyFont="1" applyFill="1" applyBorder="1" applyAlignment="1">
      <alignment horizontal="right" vertical="center"/>
    </xf>
    <xf numFmtId="37" fontId="42" fillId="12" borderId="84" xfId="0" applyNumberFormat="1" applyFont="1" applyFill="1" applyBorder="1" applyAlignment="1">
      <alignment horizontal="right" vertical="center"/>
    </xf>
    <xf numFmtId="37" fontId="19" fillId="12" borderId="82" xfId="0" applyNumberFormat="1" applyFont="1" applyFill="1" applyBorder="1" applyAlignment="1">
      <alignment horizontal="right" vertical="center"/>
    </xf>
    <xf numFmtId="37" fontId="7" fillId="12" borderId="84" xfId="0" applyNumberFormat="1" applyFont="1" applyFill="1" applyBorder="1" applyAlignment="1">
      <alignment horizontal="right" vertical="center"/>
    </xf>
    <xf numFmtId="173" fontId="7" fillId="12" borderId="82" xfId="0" applyNumberFormat="1" applyFont="1" applyFill="1" applyBorder="1" applyAlignment="1">
      <alignment horizontal="right" vertical="center"/>
    </xf>
    <xf numFmtId="0" fontId="19" fillId="12" borderId="84" xfId="0" applyFont="1" applyFill="1" applyBorder="1" applyAlignment="1">
      <alignment horizontal="right" vertical="center"/>
    </xf>
    <xf numFmtId="37" fontId="20" fillId="12" borderId="98" xfId="0" applyNumberFormat="1" applyFont="1" applyFill="1" applyBorder="1" applyAlignment="1">
      <alignment horizontal="right" vertical="center"/>
    </xf>
    <xf numFmtId="37" fontId="20" fillId="12" borderId="137" xfId="0" applyNumberFormat="1" applyFont="1" applyFill="1" applyBorder="1" applyAlignment="1">
      <alignment horizontal="right" vertical="center"/>
    </xf>
    <xf numFmtId="37" fontId="58" fillId="12" borderId="98" xfId="0" applyNumberFormat="1" applyFont="1" applyFill="1" applyBorder="1" applyAlignment="1">
      <alignment horizontal="right" vertical="center"/>
    </xf>
    <xf numFmtId="0" fontId="19" fillId="12" borderId="136" xfId="0" applyFont="1" applyFill="1" applyBorder="1" applyAlignment="1">
      <alignment vertical="center"/>
    </xf>
    <xf numFmtId="0" fontId="19" fillId="12" borderId="135" xfId="0" applyFont="1" applyFill="1" applyBorder="1" applyAlignment="1">
      <alignment vertical="center"/>
    </xf>
    <xf numFmtId="0" fontId="19" fillId="12" borderId="122" xfId="0" applyFont="1" applyFill="1" applyBorder="1" applyAlignment="1">
      <alignment vertical="center"/>
    </xf>
    <xf numFmtId="0" fontId="19" fillId="12" borderId="137" xfId="0" quotePrefix="1" applyFont="1" applyFill="1" applyBorder="1" applyAlignment="1">
      <alignment vertical="center"/>
    </xf>
    <xf numFmtId="37" fontId="19" fillId="12" borderId="0" xfId="0" quotePrefix="1" applyNumberFormat="1" applyFont="1" applyFill="1" applyAlignment="1">
      <alignment horizontal="right" vertical="center"/>
    </xf>
    <xf numFmtId="37" fontId="42" fillId="12" borderId="137" xfId="0" applyNumberFormat="1" applyFont="1" applyFill="1" applyBorder="1" applyAlignment="1">
      <alignment vertical="center"/>
    </xf>
    <xf numFmtId="37" fontId="20" fillId="23" borderId="114" xfId="0" applyNumberFormat="1" applyFont="1" applyFill="1" applyBorder="1" applyAlignment="1">
      <alignment horizontal="right" vertical="center"/>
    </xf>
    <xf numFmtId="37" fontId="20" fillId="23" borderId="113" xfId="0" applyNumberFormat="1" applyFont="1" applyFill="1" applyBorder="1" applyAlignment="1">
      <alignment horizontal="right" vertical="center"/>
    </xf>
    <xf numFmtId="37" fontId="20" fillId="23" borderId="107" xfId="0" applyNumberFormat="1" applyFont="1" applyFill="1" applyBorder="1" applyAlignment="1">
      <alignment horizontal="right" vertical="center"/>
    </xf>
    <xf numFmtId="37" fontId="20" fillId="23" borderId="107" xfId="0" applyNumberFormat="1" applyFont="1" applyFill="1" applyBorder="1" applyAlignment="1">
      <alignment vertical="center"/>
    </xf>
    <xf numFmtId="37" fontId="20" fillId="23" borderId="115" xfId="0" applyNumberFormat="1" applyFont="1" applyFill="1" applyBorder="1" applyAlignment="1">
      <alignment vertical="center"/>
    </xf>
    <xf numFmtId="37" fontId="20" fillId="12" borderId="136" xfId="0" applyNumberFormat="1" applyFont="1" applyFill="1" applyBorder="1" applyAlignment="1">
      <alignment vertical="center"/>
    </xf>
    <xf numFmtId="37" fontId="20" fillId="12" borderId="136" xfId="0" applyNumberFormat="1" applyFont="1" applyFill="1" applyBorder="1" applyAlignment="1" applyProtection="1">
      <alignment vertical="center"/>
      <protection locked="0"/>
    </xf>
    <xf numFmtId="37" fontId="19" fillId="12" borderId="136" xfId="0" applyNumberFormat="1" applyFont="1" applyFill="1" applyBorder="1" applyAlignment="1">
      <alignment vertical="center"/>
    </xf>
    <xf numFmtId="37" fontId="19" fillId="12" borderId="135" xfId="0" applyNumberFormat="1" applyFont="1" applyFill="1" applyBorder="1" applyAlignment="1">
      <alignment vertical="center"/>
    </xf>
    <xf numFmtId="37" fontId="20" fillId="12" borderId="0" xfId="0" applyNumberFormat="1" applyFont="1" applyFill="1" applyAlignment="1" applyProtection="1">
      <alignment vertical="center"/>
      <protection locked="0"/>
    </xf>
    <xf numFmtId="37" fontId="20" fillId="23" borderId="113" xfId="0" applyNumberFormat="1" applyFont="1" applyFill="1" applyBorder="1" applyAlignment="1" applyProtection="1">
      <alignment vertical="center"/>
      <protection locked="0"/>
    </xf>
    <xf numFmtId="37" fontId="21" fillId="12" borderId="137" xfId="0" applyNumberFormat="1" applyFont="1" applyFill="1" applyBorder="1" applyAlignment="1">
      <alignment horizontal="right" vertical="center"/>
    </xf>
    <xf numFmtId="165" fontId="72" fillId="16" borderId="116" xfId="1" applyNumberFormat="1" applyFont="1" applyFill="1" applyBorder="1" applyAlignment="1">
      <alignment vertical="center"/>
    </xf>
    <xf numFmtId="37" fontId="58" fillId="12" borderId="0" xfId="0" applyNumberFormat="1" applyFont="1" applyFill="1" applyAlignment="1">
      <alignment vertical="center"/>
    </xf>
    <xf numFmtId="37" fontId="73" fillId="12" borderId="137" xfId="0" applyNumberFormat="1" applyFont="1" applyFill="1" applyBorder="1" applyAlignment="1">
      <alignment horizontal="right" vertical="center"/>
    </xf>
    <xf numFmtId="165" fontId="43" fillId="12" borderId="137" xfId="1" applyNumberFormat="1" applyFont="1" applyFill="1" applyBorder="1" applyAlignment="1">
      <alignment vertical="center"/>
    </xf>
    <xf numFmtId="165" fontId="20" fillId="12" borderId="81" xfId="0" applyNumberFormat="1" applyFont="1" applyFill="1" applyBorder="1" applyAlignment="1">
      <alignment vertical="center"/>
    </xf>
    <xf numFmtId="37" fontId="20" fillId="12" borderId="78" xfId="0" applyNumberFormat="1" applyFont="1" applyFill="1" applyBorder="1" applyAlignment="1">
      <alignment horizontal="right" vertical="center"/>
    </xf>
    <xf numFmtId="37" fontId="20" fillId="12" borderId="80" xfId="0" applyNumberFormat="1" applyFont="1" applyFill="1" applyBorder="1" applyAlignment="1">
      <alignment horizontal="right" vertical="center"/>
    </xf>
    <xf numFmtId="37" fontId="20" fillId="12" borderId="81" xfId="0" applyNumberFormat="1" applyFont="1" applyFill="1" applyBorder="1" applyAlignment="1">
      <alignment horizontal="right" vertical="center"/>
    </xf>
    <xf numFmtId="37" fontId="20" fillId="12" borderId="79" xfId="0" applyNumberFormat="1" applyFont="1" applyFill="1" applyBorder="1" applyAlignment="1">
      <alignment horizontal="right" vertical="center"/>
    </xf>
    <xf numFmtId="37" fontId="20" fillId="12" borderId="78" xfId="0" applyNumberFormat="1" applyFont="1" applyFill="1" applyBorder="1" applyAlignment="1">
      <alignment vertical="center"/>
    </xf>
    <xf numFmtId="177" fontId="20" fillId="22" borderId="118" xfId="0" applyNumberFormat="1" applyFont="1" applyFill="1" applyBorder="1" applyAlignment="1">
      <alignment horizontal="right"/>
    </xf>
    <xf numFmtId="177" fontId="19" fillId="0" borderId="118" xfId="0" applyNumberFormat="1" applyFont="1" applyBorder="1" applyAlignment="1">
      <alignment horizontal="right"/>
    </xf>
    <xf numFmtId="177" fontId="19" fillId="22" borderId="118" xfId="0" applyNumberFormat="1" applyFont="1" applyFill="1" applyBorder="1" applyAlignment="1">
      <alignment horizontal="right"/>
    </xf>
    <xf numFmtId="0" fontId="20" fillId="22" borderId="118" xfId="0" applyFont="1" applyFill="1" applyBorder="1" applyAlignment="1">
      <alignment horizontal="right"/>
    </xf>
    <xf numFmtId="10" fontId="19" fillId="0" borderId="118" xfId="0" applyNumberFormat="1" applyFont="1" applyBorder="1" applyAlignment="1">
      <alignment horizontal="right"/>
    </xf>
    <xf numFmtId="10" fontId="19" fillId="22" borderId="118" xfId="0" applyNumberFormat="1" applyFont="1" applyFill="1" applyBorder="1" applyAlignment="1">
      <alignment horizontal="right"/>
    </xf>
    <xf numFmtId="14" fontId="19" fillId="0" borderId="118" xfId="0" applyNumberFormat="1" applyFont="1" applyBorder="1" applyAlignment="1">
      <alignment horizontal="right"/>
    </xf>
    <xf numFmtId="14" fontId="19" fillId="22" borderId="118" xfId="0" applyNumberFormat="1" applyFont="1" applyFill="1" applyBorder="1" applyAlignment="1">
      <alignment horizontal="right"/>
    </xf>
    <xf numFmtId="10" fontId="70" fillId="16" borderId="84" xfId="0" applyNumberFormat="1" applyFont="1" applyFill="1" applyBorder="1" applyAlignment="1">
      <alignment horizontal="right" vertical="center"/>
    </xf>
    <xf numFmtId="37" fontId="7" fillId="12" borderId="84" xfId="0" quotePrefix="1" applyNumberFormat="1" applyFont="1" applyFill="1" applyBorder="1" applyAlignment="1">
      <alignment horizontal="right" vertical="center"/>
    </xf>
    <xf numFmtId="37" fontId="7" fillId="12" borderId="0" xfId="0" applyNumberFormat="1" applyFont="1" applyFill="1" applyAlignment="1">
      <alignment horizontal="right" vertical="center"/>
    </xf>
    <xf numFmtId="37" fontId="7" fillId="12" borderId="0" xfId="0" quotePrefix="1" applyNumberFormat="1" applyFont="1" applyFill="1" applyAlignment="1">
      <alignment horizontal="right" vertical="center"/>
    </xf>
    <xf numFmtId="37" fontId="7" fillId="12" borderId="57" xfId="0" quotePrefix="1" applyNumberFormat="1" applyFont="1" applyFill="1" applyBorder="1" applyAlignment="1">
      <alignment horizontal="right" vertical="center"/>
    </xf>
    <xf numFmtId="37" fontId="7" fillId="12" borderId="57" xfId="0" applyNumberFormat="1" applyFont="1" applyFill="1" applyBorder="1" applyAlignment="1">
      <alignment horizontal="right" vertical="center"/>
    </xf>
    <xf numFmtId="37" fontId="7" fillId="12" borderId="126" xfId="0" applyNumberFormat="1" applyFont="1" applyFill="1" applyBorder="1" applyAlignment="1">
      <alignment horizontal="right" vertical="center"/>
    </xf>
    <xf numFmtId="37" fontId="19" fillId="12" borderId="107" xfId="0" applyNumberFormat="1" applyFont="1" applyFill="1" applyBorder="1" applyAlignment="1">
      <alignment vertical="center"/>
    </xf>
    <xf numFmtId="37" fontId="7" fillId="12" borderId="113" xfId="0" applyNumberFormat="1" applyFont="1" applyFill="1" applyBorder="1" applyAlignment="1">
      <alignment vertical="center"/>
    </xf>
    <xf numFmtId="37" fontId="7" fillId="12" borderId="0" xfId="0" applyNumberFormat="1" applyFont="1" applyFill="1" applyAlignment="1">
      <alignment vertical="center"/>
    </xf>
    <xf numFmtId="37" fontId="7" fillId="12" borderId="107" xfId="0" applyNumberFormat="1" applyFont="1" applyFill="1" applyBorder="1" applyAlignment="1">
      <alignment vertical="center"/>
    </xf>
    <xf numFmtId="37" fontId="7" fillId="12" borderId="98" xfId="0" applyNumberFormat="1" applyFont="1" applyFill="1" applyBorder="1" applyAlignment="1">
      <alignment vertical="center"/>
    </xf>
    <xf numFmtId="37" fontId="7" fillId="12" borderId="137" xfId="0" applyNumberFormat="1" applyFont="1" applyFill="1" applyBorder="1" applyAlignment="1">
      <alignment vertical="center"/>
    </xf>
    <xf numFmtId="37" fontId="7" fillId="12" borderId="57" xfId="0" applyNumberFormat="1" applyFont="1" applyFill="1" applyBorder="1" applyAlignment="1">
      <alignment vertical="center"/>
    </xf>
    <xf numFmtId="0" fontId="19" fillId="18" borderId="0" xfId="0" applyFont="1" applyFill="1" applyAlignment="1">
      <alignment vertical="center"/>
    </xf>
    <xf numFmtId="37" fontId="7" fillId="12" borderId="84" xfId="0" applyNumberFormat="1" applyFont="1" applyFill="1" applyBorder="1" applyAlignment="1">
      <alignment vertical="center"/>
    </xf>
    <xf numFmtId="37" fontId="7" fillId="12" borderId="116" xfId="0" applyNumberFormat="1" applyFont="1" applyFill="1" applyBorder="1" applyAlignment="1">
      <alignment vertical="center"/>
    </xf>
    <xf numFmtId="37" fontId="54" fillId="12" borderId="84" xfId="0" applyNumberFormat="1" applyFont="1" applyFill="1" applyBorder="1" applyAlignment="1">
      <alignment vertical="center"/>
    </xf>
    <xf numFmtId="37" fontId="54" fillId="12" borderId="0" xfId="0" applyNumberFormat="1" applyFont="1" applyFill="1" applyAlignment="1">
      <alignment vertical="center"/>
    </xf>
    <xf numFmtId="37" fontId="54" fillId="12" borderId="116" xfId="0" applyNumberFormat="1" applyFont="1" applyFill="1" applyBorder="1" applyAlignment="1">
      <alignment vertical="center"/>
    </xf>
    <xf numFmtId="37" fontId="54" fillId="12" borderId="98" xfId="0" applyNumberFormat="1" applyFont="1" applyFill="1" applyBorder="1" applyAlignment="1">
      <alignment vertical="center"/>
    </xf>
    <xf numFmtId="37" fontId="54" fillId="12" borderId="137" xfId="0" applyNumberFormat="1" applyFont="1" applyFill="1" applyBorder="1" applyAlignment="1">
      <alignment vertical="center"/>
    </xf>
    <xf numFmtId="173" fontId="19" fillId="12" borderId="92" xfId="0" applyNumberFormat="1" applyFont="1" applyFill="1" applyBorder="1" applyAlignment="1">
      <alignment horizontal="right"/>
    </xf>
    <xf numFmtId="0" fontId="18" fillId="0" borderId="103" xfId="0" applyFont="1" applyBorder="1" applyAlignment="1">
      <alignment horizontal="left"/>
    </xf>
    <xf numFmtId="0" fontId="17" fillId="8" borderId="103" xfId="0" applyFont="1" applyFill="1" applyBorder="1" applyAlignment="1">
      <alignment horizontal="left" indent="1"/>
    </xf>
    <xf numFmtId="0" fontId="20" fillId="18" borderId="103" xfId="0" applyFont="1" applyFill="1" applyBorder="1"/>
    <xf numFmtId="0" fontId="20" fillId="18" borderId="105" xfId="0" applyFont="1" applyFill="1" applyBorder="1"/>
    <xf numFmtId="0" fontId="20" fillId="18" borderId="105" xfId="0" applyFont="1" applyFill="1" applyBorder="1" applyAlignment="1">
      <alignment horizontal="center"/>
    </xf>
    <xf numFmtId="37" fontId="19" fillId="12" borderId="91" xfId="0" quotePrefix="1" applyNumberFormat="1" applyFont="1" applyFill="1" applyBorder="1" applyAlignment="1">
      <alignment horizontal="center"/>
    </xf>
    <xf numFmtId="5" fontId="20" fillId="12" borderId="4" xfId="0" applyNumberFormat="1" applyFont="1" applyFill="1" applyBorder="1" applyAlignment="1">
      <alignment horizontal="right"/>
    </xf>
    <xf numFmtId="165" fontId="5" fillId="6" borderId="103" xfId="1" applyNumberFormat="1" applyFont="1" applyFill="1" applyBorder="1" applyAlignment="1">
      <alignment horizontal="right"/>
    </xf>
    <xf numFmtId="165" fontId="17" fillId="12" borderId="103" xfId="1" applyNumberFormat="1" applyFont="1" applyFill="1" applyBorder="1" applyAlignment="1">
      <alignment horizontal="centerContinuous"/>
    </xf>
    <xf numFmtId="0" fontId="17" fillId="12" borderId="105" xfId="0" applyFont="1" applyFill="1" applyBorder="1" applyAlignment="1">
      <alignment horizontal="centerContinuous"/>
    </xf>
    <xf numFmtId="0" fontId="17" fillId="12" borderId="104" xfId="0" applyFont="1" applyFill="1" applyBorder="1" applyAlignment="1">
      <alignment horizontal="centerContinuous"/>
    </xf>
    <xf numFmtId="0" fontId="0" fillId="12" borderId="0" xfId="0" applyFill="1" applyAlignment="1">
      <alignment vertical="center"/>
    </xf>
    <xf numFmtId="9" fontId="19" fillId="12" borderId="0" xfId="2" applyFont="1" applyFill="1" applyAlignment="1">
      <alignment horizontal="center" vertical="center"/>
    </xf>
    <xf numFmtId="37" fontId="19" fillId="12" borderId="0" xfId="0" applyNumberFormat="1" applyFont="1" applyFill="1" applyAlignment="1">
      <alignment horizontal="center" vertical="center"/>
    </xf>
    <xf numFmtId="5" fontId="19" fillId="12" borderId="0" xfId="0" applyNumberFormat="1" applyFont="1" applyFill="1" applyAlignment="1">
      <alignment horizontal="center" vertical="center"/>
    </xf>
    <xf numFmtId="7" fontId="19" fillId="12" borderId="0" xfId="0" applyNumberFormat="1" applyFont="1" applyFill="1" applyAlignment="1">
      <alignment horizontal="center" vertical="center"/>
    </xf>
    <xf numFmtId="5" fontId="19" fillId="12" borderId="0" xfId="0" applyNumberFormat="1" applyFont="1" applyFill="1" applyAlignment="1">
      <alignment vertical="center"/>
    </xf>
    <xf numFmtId="0" fontId="19" fillId="12" borderId="94" xfId="0" applyFont="1" applyFill="1" applyBorder="1" applyAlignment="1">
      <alignment horizontal="center" vertical="center"/>
    </xf>
    <xf numFmtId="9" fontId="19" fillId="12" borderId="94" xfId="2" applyFont="1" applyFill="1" applyBorder="1" applyAlignment="1">
      <alignment horizontal="center" vertical="center"/>
    </xf>
    <xf numFmtId="0" fontId="20" fillId="12" borderId="108" xfId="0" applyFont="1" applyFill="1" applyBorder="1" applyAlignment="1">
      <alignment horizontal="centerContinuous" vertical="center"/>
    </xf>
    <xf numFmtId="0" fontId="20" fillId="12" borderId="109" xfId="0" applyFont="1" applyFill="1" applyBorder="1" applyAlignment="1">
      <alignment horizontal="centerContinuous" vertical="center"/>
    </xf>
    <xf numFmtId="37" fontId="20" fillId="12" borderId="109" xfId="0" applyNumberFormat="1" applyFont="1" applyFill="1" applyBorder="1" applyAlignment="1">
      <alignment horizontal="centerContinuous" vertical="center"/>
    </xf>
    <xf numFmtId="5" fontId="20" fillId="12" borderId="109" xfId="0" applyNumberFormat="1" applyFont="1" applyFill="1" applyBorder="1" applyAlignment="1">
      <alignment horizontal="centerContinuous" vertical="center"/>
    </xf>
    <xf numFmtId="7" fontId="20" fillId="12" borderId="110" xfId="0" applyNumberFormat="1" applyFont="1" applyFill="1" applyBorder="1" applyAlignment="1">
      <alignment horizontal="centerContinuous" vertical="center"/>
    </xf>
    <xf numFmtId="7" fontId="20" fillId="12" borderId="109" xfId="0" applyNumberFormat="1" applyFont="1" applyFill="1" applyBorder="1" applyAlignment="1">
      <alignment horizontal="centerContinuous" vertical="center"/>
    </xf>
    <xf numFmtId="7" fontId="20" fillId="12" borderId="0" xfId="0" applyNumberFormat="1" applyFont="1" applyFill="1" applyAlignment="1">
      <alignment horizontal="centerContinuous" vertical="center"/>
    </xf>
    <xf numFmtId="0" fontId="19" fillId="12" borderId="74" xfId="0" applyFont="1" applyFill="1" applyBorder="1" applyAlignment="1">
      <alignment vertical="center"/>
    </xf>
    <xf numFmtId="0" fontId="19" fillId="12" borderId="4" xfId="0" applyFont="1" applyFill="1" applyBorder="1" applyAlignment="1">
      <alignment vertical="center"/>
    </xf>
    <xf numFmtId="0" fontId="20" fillId="12" borderId="4" xfId="0" applyFont="1" applyFill="1" applyBorder="1" applyAlignment="1">
      <alignment vertical="center"/>
    </xf>
    <xf numFmtId="0" fontId="20" fillId="12" borderId="4" xfId="0" applyFont="1" applyFill="1" applyBorder="1" applyAlignment="1">
      <alignment horizontal="center" vertical="center"/>
    </xf>
    <xf numFmtId="9" fontId="20" fillId="12" borderId="4" xfId="2" applyFont="1" applyFill="1" applyBorder="1" applyAlignment="1">
      <alignment horizontal="center" vertical="center"/>
    </xf>
    <xf numFmtId="0" fontId="20" fillId="12" borderId="112" xfId="0" applyFont="1" applyFill="1" applyBorder="1" applyAlignment="1">
      <alignment horizontal="center" vertical="center" wrapText="1"/>
    </xf>
    <xf numFmtId="0" fontId="20" fillId="12" borderId="113" xfId="0" applyFont="1" applyFill="1" applyBorder="1" applyAlignment="1">
      <alignment horizontal="center" vertical="center" wrapText="1"/>
    </xf>
    <xf numFmtId="37" fontId="20" fillId="12" borderId="138" xfId="0" applyNumberFormat="1" applyFont="1" applyFill="1" applyBorder="1" applyAlignment="1">
      <alignment horizontal="center" vertical="center" wrapText="1"/>
    </xf>
    <xf numFmtId="5" fontId="20" fillId="12" borderId="113" xfId="0" applyNumberFormat="1" applyFont="1" applyFill="1" applyBorder="1" applyAlignment="1">
      <alignment horizontal="center" vertical="center" wrapText="1"/>
    </xf>
    <xf numFmtId="7" fontId="20" fillId="12" borderId="113" xfId="0" applyNumberFormat="1" applyFont="1" applyFill="1" applyBorder="1" applyAlignment="1">
      <alignment horizontal="center" vertical="center" wrapText="1"/>
    </xf>
    <xf numFmtId="7" fontId="20" fillId="12" borderId="139" xfId="0" applyNumberFormat="1" applyFont="1" applyFill="1" applyBorder="1" applyAlignment="1">
      <alignment horizontal="center" vertical="center" wrapText="1"/>
    </xf>
    <xf numFmtId="7" fontId="20" fillId="12" borderId="138" xfId="0" applyNumberFormat="1" applyFont="1" applyFill="1" applyBorder="1" applyAlignment="1">
      <alignment horizontal="center" vertical="center" wrapText="1"/>
    </xf>
    <xf numFmtId="7" fontId="20" fillId="12" borderId="115" xfId="0" applyNumberFormat="1" applyFont="1" applyFill="1" applyBorder="1" applyAlignment="1">
      <alignment horizontal="center" vertical="center" wrapText="1"/>
    </xf>
    <xf numFmtId="7" fontId="20" fillId="12" borderId="0" xfId="0" applyNumberFormat="1" applyFont="1" applyFill="1" applyAlignment="1">
      <alignment horizontal="center" vertical="center"/>
    </xf>
    <xf numFmtId="7" fontId="19" fillId="18" borderId="0" xfId="0" applyNumberFormat="1" applyFont="1" applyFill="1" applyAlignment="1">
      <alignment horizontal="center" vertical="center"/>
    </xf>
    <xf numFmtId="0" fontId="75" fillId="12" borderId="140" xfId="0" applyFont="1" applyFill="1" applyBorder="1" applyAlignment="1">
      <alignment vertical="center" wrapText="1"/>
    </xf>
    <xf numFmtId="0" fontId="75" fillId="12" borderId="141" xfId="0" applyFont="1" applyFill="1" applyBorder="1" applyAlignment="1">
      <alignment vertical="center" wrapText="1"/>
    </xf>
    <xf numFmtId="0" fontId="75" fillId="12" borderId="141" xfId="0" applyFont="1" applyFill="1" applyBorder="1" applyAlignment="1">
      <alignment horizontal="center" vertical="center"/>
    </xf>
    <xf numFmtId="0" fontId="7" fillId="12" borderId="141" xfId="0" applyFont="1" applyFill="1" applyBorder="1" applyAlignment="1">
      <alignment horizontal="center" vertical="center"/>
    </xf>
    <xf numFmtId="9" fontId="7" fillId="12" borderId="141" xfId="2" applyFont="1" applyFill="1" applyBorder="1" applyAlignment="1">
      <alignment horizontal="center" vertical="center"/>
    </xf>
    <xf numFmtId="0" fontId="75" fillId="12" borderId="140" xfId="0" applyFont="1" applyFill="1" applyBorder="1" applyAlignment="1">
      <alignment horizontal="center" vertical="center"/>
    </xf>
    <xf numFmtId="37" fontId="75" fillId="12" borderId="141" xfId="0" applyNumberFormat="1" applyFont="1" applyFill="1" applyBorder="1" applyAlignment="1">
      <alignment horizontal="center" vertical="center"/>
    </xf>
    <xf numFmtId="5" fontId="75" fillId="12" borderId="141" xfId="0" applyNumberFormat="1" applyFont="1" applyFill="1" applyBorder="1" applyAlignment="1">
      <alignment horizontal="center" vertical="center"/>
    </xf>
    <xf numFmtId="7" fontId="19" fillId="12" borderId="141" xfId="0" applyNumberFormat="1" applyFont="1" applyFill="1" applyBorder="1" applyAlignment="1">
      <alignment horizontal="center" vertical="center"/>
    </xf>
    <xf numFmtId="164" fontId="19" fillId="12" borderId="142" xfId="0" applyNumberFormat="1" applyFont="1" applyFill="1" applyBorder="1" applyAlignment="1">
      <alignment horizontal="center" vertical="center"/>
    </xf>
    <xf numFmtId="0" fontId="19" fillId="12" borderId="140" xfId="0" applyFont="1" applyFill="1" applyBorder="1" applyAlignment="1">
      <alignment horizontal="center" vertical="center"/>
    </xf>
    <xf numFmtId="0" fontId="19" fillId="12" borderId="141" xfId="0" applyFont="1" applyFill="1" applyBorder="1" applyAlignment="1">
      <alignment horizontal="center" vertical="center"/>
    </xf>
    <xf numFmtId="37" fontId="19" fillId="12" borderId="141" xfId="0" applyNumberFormat="1" applyFont="1" applyFill="1" applyBorder="1" applyAlignment="1">
      <alignment horizontal="center" vertical="center"/>
    </xf>
    <xf numFmtId="5" fontId="19" fillId="12" borderId="141" xfId="0" applyNumberFormat="1" applyFont="1" applyFill="1" applyBorder="1" applyAlignment="1">
      <alignment horizontal="center" vertical="center"/>
    </xf>
    <xf numFmtId="0" fontId="75" fillId="12" borderId="143" xfId="0" applyFont="1" applyFill="1" applyBorder="1" applyAlignment="1">
      <alignment vertical="center" wrapText="1"/>
    </xf>
    <xf numFmtId="0" fontId="75" fillId="12" borderId="144" xfId="0" applyFont="1" applyFill="1" applyBorder="1" applyAlignment="1">
      <alignment vertical="center" wrapText="1"/>
    </xf>
    <xf numFmtId="0" fontId="75" fillId="12" borderId="144" xfId="0" applyFont="1" applyFill="1" applyBorder="1" applyAlignment="1">
      <alignment horizontal="center" vertical="center"/>
    </xf>
    <xf numFmtId="0" fontId="7" fillId="12" borderId="144" xfId="0" applyFont="1" applyFill="1" applyBorder="1" applyAlignment="1">
      <alignment horizontal="center" vertical="center"/>
    </xf>
    <xf numFmtId="9" fontId="7" fillId="12" borderId="144" xfId="2" applyFont="1" applyFill="1" applyBorder="1" applyAlignment="1">
      <alignment horizontal="center" vertical="center"/>
    </xf>
    <xf numFmtId="0" fontId="75" fillId="12" borderId="143" xfId="0" applyFont="1" applyFill="1" applyBorder="1" applyAlignment="1">
      <alignment horizontal="center" vertical="center"/>
    </xf>
    <xf numFmtId="37" fontId="75" fillId="12" borderId="144" xfId="0" applyNumberFormat="1" applyFont="1" applyFill="1" applyBorder="1" applyAlignment="1">
      <alignment horizontal="center" vertical="center"/>
    </xf>
    <xf numFmtId="5" fontId="75" fillId="12" borderId="144" xfId="0" applyNumberFormat="1" applyFont="1" applyFill="1" applyBorder="1" applyAlignment="1">
      <alignment horizontal="center" vertical="center"/>
    </xf>
    <xf numFmtId="7" fontId="19" fillId="12" borderId="144" xfId="0" applyNumberFormat="1" applyFont="1" applyFill="1" applyBorder="1" applyAlignment="1">
      <alignment horizontal="center" vertical="center"/>
    </xf>
    <xf numFmtId="164" fontId="19" fillId="12" borderId="145" xfId="0" applyNumberFormat="1" applyFont="1" applyFill="1" applyBorder="1" applyAlignment="1">
      <alignment horizontal="center" vertical="center"/>
    </xf>
    <xf numFmtId="0" fontId="19" fillId="12" borderId="143" xfId="0" applyFont="1" applyFill="1" applyBorder="1" applyAlignment="1">
      <alignment horizontal="center" vertical="center"/>
    </xf>
    <xf numFmtId="0" fontId="19" fillId="12" borderId="144" xfId="0" applyFont="1" applyFill="1" applyBorder="1" applyAlignment="1">
      <alignment horizontal="center" vertical="center"/>
    </xf>
    <xf numFmtId="37" fontId="19" fillId="12" borderId="144" xfId="0" applyNumberFormat="1" applyFont="1" applyFill="1" applyBorder="1" applyAlignment="1">
      <alignment horizontal="center" vertical="center"/>
    </xf>
    <xf numFmtId="5" fontId="19" fillId="12" borderId="144" xfId="0" applyNumberFormat="1" applyFont="1" applyFill="1" applyBorder="1" applyAlignment="1">
      <alignment horizontal="center" vertical="center"/>
    </xf>
    <xf numFmtId="0" fontId="75" fillId="12" borderId="146" xfId="0" applyFont="1" applyFill="1" applyBorder="1" applyAlignment="1">
      <alignment vertical="center" wrapText="1"/>
    </xf>
    <xf numFmtId="0" fontId="75" fillId="12" borderId="147" xfId="0" applyFont="1" applyFill="1" applyBorder="1" applyAlignment="1">
      <alignment vertical="center" wrapText="1"/>
    </xf>
    <xf numFmtId="0" fontId="75" fillId="12" borderId="147" xfId="0" applyFont="1" applyFill="1" applyBorder="1" applyAlignment="1">
      <alignment horizontal="center" vertical="center"/>
    </xf>
    <xf numFmtId="0" fontId="7" fillId="12" borderId="147" xfId="0" applyFont="1" applyFill="1" applyBorder="1" applyAlignment="1">
      <alignment horizontal="center" vertical="center"/>
    </xf>
    <xf numFmtId="9" fontId="7" fillId="12" borderId="147" xfId="2" applyFont="1" applyFill="1" applyBorder="1" applyAlignment="1">
      <alignment horizontal="center" vertical="center"/>
    </xf>
    <xf numFmtId="0" fontId="75" fillId="12" borderId="146" xfId="0" applyFont="1" applyFill="1" applyBorder="1" applyAlignment="1">
      <alignment horizontal="center" vertical="center"/>
    </xf>
    <xf numFmtId="37" fontId="75" fillId="12" borderId="147" xfId="0" applyNumberFormat="1" applyFont="1" applyFill="1" applyBorder="1" applyAlignment="1">
      <alignment horizontal="center" vertical="center"/>
    </xf>
    <xf numFmtId="5" fontId="75" fillId="12" borderId="147" xfId="0" applyNumberFormat="1" applyFont="1" applyFill="1" applyBorder="1" applyAlignment="1">
      <alignment horizontal="center" vertical="center"/>
    </xf>
    <xf numFmtId="7" fontId="19" fillId="12" borderId="147" xfId="0" applyNumberFormat="1" applyFont="1" applyFill="1" applyBorder="1" applyAlignment="1">
      <alignment horizontal="center" vertical="center"/>
    </xf>
    <xf numFmtId="164" fontId="19" fillId="12" borderId="148" xfId="0" applyNumberFormat="1" applyFont="1" applyFill="1" applyBorder="1" applyAlignment="1">
      <alignment horizontal="center" vertical="center"/>
    </xf>
    <xf numFmtId="0" fontId="19" fillId="12" borderId="146" xfId="0" applyFont="1" applyFill="1" applyBorder="1" applyAlignment="1">
      <alignment horizontal="center" vertical="center"/>
    </xf>
    <xf numFmtId="0" fontId="19" fillId="12" borderId="147" xfId="0" applyFont="1" applyFill="1" applyBorder="1" applyAlignment="1">
      <alignment horizontal="center" vertical="center"/>
    </xf>
    <xf numFmtId="37" fontId="19" fillId="12" borderId="147" xfId="0" applyNumberFormat="1" applyFont="1" applyFill="1" applyBorder="1" applyAlignment="1">
      <alignment horizontal="center" vertical="center"/>
    </xf>
    <xf numFmtId="5" fontId="19" fillId="12" borderId="147" xfId="0" applyNumberFormat="1" applyFont="1" applyFill="1" applyBorder="1" applyAlignment="1">
      <alignment horizontal="center" vertical="center"/>
    </xf>
    <xf numFmtId="0" fontId="19" fillId="18" borderId="80" xfId="0" applyFont="1" applyFill="1" applyBorder="1" applyAlignment="1">
      <alignment vertical="center"/>
    </xf>
    <xf numFmtId="0" fontId="19" fillId="18" borderId="80" xfId="0" applyFont="1" applyFill="1" applyBorder="1" applyAlignment="1">
      <alignment horizontal="center" vertical="center"/>
    </xf>
    <xf numFmtId="9" fontId="19" fillId="18" borderId="80" xfId="2" applyFont="1" applyFill="1" applyBorder="1" applyAlignment="1">
      <alignment horizontal="center" vertical="center"/>
    </xf>
    <xf numFmtId="1" fontId="19" fillId="18" borderId="78" xfId="0" applyNumberFormat="1" applyFont="1" applyFill="1" applyBorder="1" applyAlignment="1">
      <alignment horizontal="center" vertical="center"/>
    </xf>
    <xf numFmtId="1" fontId="19" fillId="18" borderId="80" xfId="0" applyNumberFormat="1" applyFont="1" applyFill="1" applyBorder="1" applyAlignment="1">
      <alignment horizontal="center" vertical="center"/>
    </xf>
    <xf numFmtId="37" fontId="19" fillId="18" borderId="80" xfId="0" applyNumberFormat="1" applyFont="1" applyFill="1" applyBorder="1" applyAlignment="1">
      <alignment horizontal="center" vertical="center"/>
    </xf>
    <xf numFmtId="5" fontId="19" fillId="18" borderId="80" xfId="0" applyNumberFormat="1" applyFont="1" applyFill="1" applyBorder="1" applyAlignment="1">
      <alignment horizontal="center" vertical="center"/>
    </xf>
    <xf numFmtId="7" fontId="19" fillId="18" borderId="80" xfId="0" applyNumberFormat="1" applyFont="1" applyFill="1" applyBorder="1" applyAlignment="1">
      <alignment horizontal="center" vertical="center"/>
    </xf>
    <xf numFmtId="164" fontId="19" fillId="18" borderId="81" xfId="2" applyNumberFormat="1" applyFont="1" applyFill="1" applyBorder="1" applyAlignment="1">
      <alignment horizontal="center" vertical="center"/>
    </xf>
    <xf numFmtId="164" fontId="19" fillId="18" borderId="80" xfId="2" applyNumberFormat="1" applyFont="1" applyFill="1" applyBorder="1" applyAlignment="1">
      <alignment horizontal="center" vertical="center"/>
    </xf>
    <xf numFmtId="0" fontId="19" fillId="18" borderId="78" xfId="0" applyFont="1" applyFill="1" applyBorder="1" applyAlignment="1">
      <alignment horizontal="center" vertical="center"/>
    </xf>
    <xf numFmtId="5" fontId="19" fillId="0" borderId="0" xfId="0" applyNumberFormat="1" applyFont="1"/>
    <xf numFmtId="171" fontId="19" fillId="0" borderId="0" xfId="0" applyNumberFormat="1" applyFont="1" applyAlignment="1">
      <alignment horizontal="left"/>
    </xf>
    <xf numFmtId="5" fontId="42" fillId="0" borderId="0" xfId="0" applyNumberFormat="1" applyFont="1"/>
    <xf numFmtId="10" fontId="19" fillId="12" borderId="0" xfId="0" applyNumberFormat="1" applyFont="1" applyFill="1" applyProtection="1">
      <protection locked="0"/>
    </xf>
    <xf numFmtId="0" fontId="20" fillId="12" borderId="0" xfId="0" applyFont="1" applyFill="1" applyProtection="1">
      <protection locked="0"/>
    </xf>
    <xf numFmtId="176" fontId="19" fillId="12" borderId="0" xfId="0" applyNumberFormat="1" applyFont="1" applyFill="1"/>
    <xf numFmtId="164" fontId="19" fillId="12" borderId="0" xfId="0" applyNumberFormat="1" applyFont="1" applyFill="1"/>
    <xf numFmtId="37" fontId="20" fillId="12" borderId="113" xfId="0" applyNumberFormat="1" applyFont="1" applyFill="1" applyBorder="1" applyAlignment="1">
      <alignment horizontal="center"/>
    </xf>
    <xf numFmtId="173" fontId="19" fillId="12" borderId="137" xfId="0" applyNumberFormat="1" applyFont="1" applyFill="1" applyBorder="1" applyAlignment="1">
      <alignment vertical="center"/>
    </xf>
    <xf numFmtId="0" fontId="19" fillId="12" borderId="78" xfId="0" applyFont="1" applyFill="1" applyBorder="1" applyAlignment="1">
      <alignment horizontal="right"/>
    </xf>
    <xf numFmtId="0" fontId="19" fillId="12" borderId="80" xfId="0" applyFont="1" applyFill="1" applyBorder="1" applyAlignment="1">
      <alignment horizontal="right"/>
    </xf>
    <xf numFmtId="37" fontId="20" fillId="12" borderId="113" xfId="0" applyNumberFormat="1" applyFont="1" applyFill="1" applyBorder="1"/>
    <xf numFmtId="0" fontId="19" fillId="12" borderId="137" xfId="0" applyFont="1" applyFill="1" applyBorder="1" applyAlignment="1">
      <alignment horizontal="centerContinuous" vertical="center"/>
    </xf>
    <xf numFmtId="173" fontId="19" fillId="12" borderId="84" xfId="0" applyNumberFormat="1" applyFont="1" applyFill="1" applyBorder="1" applyAlignment="1">
      <alignment horizontal="right" vertical="center"/>
    </xf>
    <xf numFmtId="0" fontId="19" fillId="12" borderId="85" xfId="0" applyFont="1" applyFill="1" applyBorder="1" applyAlignment="1">
      <alignment horizontal="right"/>
    </xf>
    <xf numFmtId="173" fontId="19" fillId="12" borderId="122" xfId="0" applyNumberFormat="1" applyFont="1" applyFill="1" applyBorder="1" applyAlignment="1">
      <alignment horizontal="right"/>
    </xf>
    <xf numFmtId="37" fontId="19" fillId="12" borderId="57" xfId="0" applyNumberFormat="1" applyFont="1" applyFill="1" applyBorder="1" applyAlignment="1">
      <alignment horizontal="right"/>
    </xf>
    <xf numFmtId="37" fontId="19" fillId="12" borderId="107" xfId="0" applyNumberFormat="1" applyFont="1" applyFill="1" applyBorder="1" applyAlignment="1">
      <alignment horizontal="right"/>
    </xf>
    <xf numFmtId="175" fontId="19" fillId="17" borderId="122" xfId="0" applyNumberFormat="1" applyFont="1" applyFill="1" applyBorder="1" applyAlignment="1">
      <alignment horizontal="right"/>
    </xf>
    <xf numFmtId="9" fontId="19" fillId="12" borderId="57" xfId="2" applyFont="1" applyFill="1" applyBorder="1" applyAlignment="1">
      <alignment horizontal="right"/>
    </xf>
    <xf numFmtId="0" fontId="19" fillId="17" borderId="57" xfId="0" applyFont="1" applyFill="1" applyBorder="1" applyAlignment="1">
      <alignment horizontal="right"/>
    </xf>
    <xf numFmtId="5" fontId="19" fillId="12" borderId="57" xfId="0" quotePrefix="1" applyNumberFormat="1" applyFont="1" applyFill="1" applyBorder="1" applyAlignment="1">
      <alignment horizontal="right"/>
    </xf>
    <xf numFmtId="5" fontId="19" fillId="12" borderId="57" xfId="0" applyNumberFormat="1" applyFont="1" applyFill="1" applyBorder="1" applyAlignment="1">
      <alignment horizontal="right"/>
    </xf>
    <xf numFmtId="5" fontId="42" fillId="12" borderId="57" xfId="0" applyNumberFormat="1" applyFont="1" applyFill="1" applyBorder="1" applyAlignment="1">
      <alignment horizontal="right"/>
    </xf>
    <xf numFmtId="5" fontId="20" fillId="12" borderId="57" xfId="0" applyNumberFormat="1" applyFont="1" applyFill="1" applyBorder="1" applyAlignment="1">
      <alignment horizontal="right"/>
    </xf>
    <xf numFmtId="5" fontId="19" fillId="17" borderId="57" xfId="0" applyNumberFormat="1" applyFont="1" applyFill="1" applyBorder="1" applyAlignment="1">
      <alignment horizontal="right"/>
    </xf>
    <xf numFmtId="5" fontId="19" fillId="6" borderId="57" xfId="0" applyNumberFormat="1" applyFont="1" applyFill="1" applyBorder="1" applyAlignment="1">
      <alignment horizontal="right"/>
    </xf>
    <xf numFmtId="5" fontId="19" fillId="6" borderId="107" xfId="0" applyNumberFormat="1" applyFont="1" applyFill="1" applyBorder="1" applyAlignment="1">
      <alignment horizontal="right"/>
    </xf>
    <xf numFmtId="0" fontId="20" fillId="12" borderId="122" xfId="0" applyFont="1" applyFill="1" applyBorder="1" applyAlignment="1">
      <alignment horizontal="center"/>
    </xf>
    <xf numFmtId="0" fontId="20" fillId="12" borderId="57" xfId="0" applyFont="1" applyFill="1" applyBorder="1" applyAlignment="1">
      <alignment horizontal="center"/>
    </xf>
    <xf numFmtId="37" fontId="20" fillId="12" borderId="107" xfId="0" applyNumberFormat="1" applyFont="1" applyFill="1" applyBorder="1" applyAlignment="1">
      <alignment horizontal="center"/>
    </xf>
    <xf numFmtId="9" fontId="57" fillId="12" borderId="57" xfId="52" applyNumberFormat="1" applyFont="1" applyFill="1" applyBorder="1"/>
    <xf numFmtId="0" fontId="19" fillId="12" borderId="94" xfId="0" applyFont="1" applyFill="1" applyBorder="1"/>
    <xf numFmtId="0" fontId="19" fillId="12" borderId="81" xfId="0" applyFont="1" applyFill="1" applyBorder="1" applyAlignment="1">
      <alignment horizontal="right"/>
    </xf>
    <xf numFmtId="0" fontId="19" fillId="12" borderId="137" xfId="0" applyFont="1" applyFill="1" applyBorder="1"/>
    <xf numFmtId="173" fontId="19" fillId="12" borderId="94" xfId="0" applyNumberFormat="1" applyFont="1" applyFill="1" applyBorder="1" applyAlignment="1">
      <alignment horizontal="right"/>
    </xf>
    <xf numFmtId="173" fontId="19" fillId="12" borderId="135" xfId="0" applyNumberFormat="1" applyFont="1" applyFill="1" applyBorder="1" applyAlignment="1">
      <alignment horizontal="right"/>
    </xf>
    <xf numFmtId="37" fontId="19" fillId="12" borderId="0" xfId="0" applyNumberFormat="1" applyFont="1" applyFill="1" applyAlignment="1">
      <alignment horizontal="right"/>
    </xf>
    <xf numFmtId="37" fontId="19" fillId="12" borderId="137" xfId="0" applyNumberFormat="1" applyFont="1" applyFill="1" applyBorder="1" applyAlignment="1">
      <alignment horizontal="right"/>
    </xf>
    <xf numFmtId="37" fontId="19" fillId="12" borderId="115" xfId="0" applyNumberFormat="1" applyFont="1" applyFill="1" applyBorder="1" applyAlignment="1">
      <alignment horizontal="right"/>
    </xf>
    <xf numFmtId="0" fontId="20" fillId="17" borderId="94" xfId="0" applyFont="1" applyFill="1" applyBorder="1"/>
    <xf numFmtId="175" fontId="19" fillId="17" borderId="94" xfId="0" applyNumberFormat="1" applyFont="1" applyFill="1" applyBorder="1" applyAlignment="1">
      <alignment horizontal="right"/>
    </xf>
    <xf numFmtId="175" fontId="19" fillId="17" borderId="135" xfId="0" applyNumberFormat="1" applyFont="1" applyFill="1" applyBorder="1" applyAlignment="1">
      <alignment horizontal="right"/>
    </xf>
    <xf numFmtId="9" fontId="19" fillId="12" borderId="137" xfId="2" applyFont="1" applyFill="1" applyBorder="1" applyAlignment="1">
      <alignment horizontal="right"/>
    </xf>
    <xf numFmtId="9" fontId="57" fillId="12" borderId="0" xfId="52" applyNumberFormat="1" applyFont="1" applyFill="1"/>
    <xf numFmtId="9" fontId="57" fillId="12" borderId="137" xfId="52" applyNumberFormat="1" applyFont="1" applyFill="1" applyBorder="1"/>
    <xf numFmtId="0" fontId="21" fillId="17" borderId="0" xfId="0" applyFont="1" applyFill="1" applyAlignment="1">
      <alignment horizontal="right"/>
    </xf>
    <xf numFmtId="0" fontId="19" fillId="17" borderId="0" xfId="0" applyFont="1" applyFill="1" applyAlignment="1">
      <alignment horizontal="right"/>
    </xf>
    <xf numFmtId="0" fontId="19" fillId="17" borderId="137" xfId="0" applyFont="1" applyFill="1" applyBorder="1" applyAlignment="1">
      <alignment horizontal="right"/>
    </xf>
    <xf numFmtId="10" fontId="19" fillId="12" borderId="0" xfId="0" applyNumberFormat="1" applyFont="1" applyFill="1" applyAlignment="1">
      <alignment horizontal="right"/>
    </xf>
    <xf numFmtId="5" fontId="19" fillId="12" borderId="0" xfId="0" quotePrefix="1" applyNumberFormat="1" applyFont="1" applyFill="1" applyAlignment="1">
      <alignment horizontal="right"/>
    </xf>
    <xf numFmtId="5" fontId="19" fillId="12" borderId="137" xfId="0" quotePrefix="1" applyNumberFormat="1" applyFont="1" applyFill="1" applyBorder="1" applyAlignment="1">
      <alignment horizontal="right"/>
    </xf>
    <xf numFmtId="5" fontId="19" fillId="12" borderId="137" xfId="0" applyNumberFormat="1" applyFont="1" applyFill="1" applyBorder="1" applyAlignment="1">
      <alignment horizontal="right"/>
    </xf>
    <xf numFmtId="5" fontId="42" fillId="12" borderId="0" xfId="0" applyNumberFormat="1" applyFont="1" applyFill="1" applyAlignment="1">
      <alignment horizontal="right"/>
    </xf>
    <xf numFmtId="5" fontId="42" fillId="12" borderId="0" xfId="0" quotePrefix="1" applyNumberFormat="1" applyFont="1" applyFill="1" applyAlignment="1">
      <alignment horizontal="right"/>
    </xf>
    <xf numFmtId="5" fontId="42" fillId="12" borderId="137" xfId="0" applyNumberFormat="1" applyFont="1" applyFill="1" applyBorder="1" applyAlignment="1">
      <alignment horizontal="right"/>
    </xf>
    <xf numFmtId="0" fontId="20" fillId="12" borderId="0" xfId="0" applyFont="1" applyFill="1" applyAlignment="1">
      <alignment horizontal="right"/>
    </xf>
    <xf numFmtId="5" fontId="20" fillId="12" borderId="0" xfId="0" applyNumberFormat="1" applyFont="1" applyFill="1" applyAlignment="1">
      <alignment horizontal="right"/>
    </xf>
    <xf numFmtId="5" fontId="20" fillId="12" borderId="137" xfId="0" applyNumberFormat="1" applyFont="1" applyFill="1" applyBorder="1" applyAlignment="1">
      <alignment horizontal="right"/>
    </xf>
    <xf numFmtId="5" fontId="7" fillId="12" borderId="0" xfId="0" applyNumberFormat="1" applyFont="1" applyFill="1"/>
    <xf numFmtId="0" fontId="20" fillId="17" borderId="0" xfId="0" applyFont="1" applyFill="1" applyAlignment="1">
      <alignment horizontal="right"/>
    </xf>
    <xf numFmtId="0" fontId="19" fillId="17" borderId="0" xfId="0" applyFont="1" applyFill="1"/>
    <xf numFmtId="5" fontId="19" fillId="17" borderId="0" xfId="0" applyNumberFormat="1" applyFont="1" applyFill="1" applyAlignment="1">
      <alignment horizontal="right"/>
    </xf>
    <xf numFmtId="5" fontId="19" fillId="17" borderId="137" xfId="0" applyNumberFormat="1" applyFont="1" applyFill="1" applyBorder="1" applyAlignment="1">
      <alignment horizontal="right"/>
    </xf>
    <xf numFmtId="0" fontId="20" fillId="6" borderId="0" xfId="0" applyFont="1" applyFill="1" applyAlignment="1">
      <alignment horizontal="right"/>
    </xf>
    <xf numFmtId="0" fontId="19" fillId="6" borderId="0" xfId="0" applyFont="1" applyFill="1"/>
    <xf numFmtId="5" fontId="19" fillId="6" borderId="0" xfId="0" applyNumberFormat="1" applyFont="1" applyFill="1" applyAlignment="1">
      <alignment horizontal="right"/>
    </xf>
    <xf numFmtId="5" fontId="19" fillId="6" borderId="137" xfId="0" applyNumberFormat="1" applyFont="1" applyFill="1" applyBorder="1" applyAlignment="1">
      <alignment horizontal="right"/>
    </xf>
    <xf numFmtId="0" fontId="19" fillId="12" borderId="0" xfId="0" quotePrefix="1" applyFont="1" applyFill="1" applyAlignment="1">
      <alignment horizontal="right"/>
    </xf>
    <xf numFmtId="0" fontId="20" fillId="6" borderId="112" xfId="0" applyFont="1" applyFill="1" applyBorder="1"/>
    <xf numFmtId="0" fontId="19" fillId="6" borderId="113" xfId="0" applyFont="1" applyFill="1" applyBorder="1"/>
    <xf numFmtId="5" fontId="19" fillId="6" borderId="115" xfId="0" applyNumberFormat="1" applyFont="1" applyFill="1" applyBorder="1" applyAlignment="1">
      <alignment horizontal="right"/>
    </xf>
    <xf numFmtId="0" fontId="20" fillId="12" borderId="94" xfId="0" applyFont="1" applyFill="1" applyBorder="1" applyAlignment="1">
      <alignment horizontal="center"/>
    </xf>
    <xf numFmtId="0" fontId="20" fillId="12" borderId="135" xfId="0" applyFont="1" applyFill="1" applyBorder="1" applyAlignment="1">
      <alignment horizontal="center"/>
    </xf>
    <xf numFmtId="0" fontId="20" fillId="12" borderId="137" xfId="0" applyFont="1" applyFill="1" applyBorder="1" applyAlignment="1">
      <alignment horizontal="center"/>
    </xf>
    <xf numFmtId="37" fontId="20" fillId="12" borderId="115" xfId="0" applyNumberFormat="1" applyFont="1" applyFill="1" applyBorder="1" applyAlignment="1">
      <alignment horizontal="center"/>
    </xf>
    <xf numFmtId="37" fontId="20" fillId="18" borderId="94" xfId="1" applyNumberFormat="1" applyFont="1" applyFill="1" applyBorder="1" applyAlignment="1">
      <alignment vertical="center"/>
    </xf>
    <xf numFmtId="10" fontId="20" fillId="24" borderId="94" xfId="0" applyNumberFormat="1" applyFont="1" applyFill="1" applyBorder="1" applyAlignment="1">
      <alignment horizontal="right" vertical="center"/>
    </xf>
    <xf numFmtId="37" fontId="19" fillId="12" borderId="94" xfId="0" applyNumberFormat="1" applyFont="1" applyFill="1" applyBorder="1" applyAlignment="1">
      <alignment horizontal="right" vertical="center"/>
    </xf>
    <xf numFmtId="165" fontId="5" fillId="6" borderId="105" xfId="1" applyNumberFormat="1" applyFont="1" applyFill="1" applyBorder="1" applyAlignment="1">
      <alignment horizontal="right"/>
    </xf>
    <xf numFmtId="165" fontId="19" fillId="12" borderId="0" xfId="1" applyNumberFormat="1" applyFont="1" applyFill="1" applyBorder="1" applyAlignment="1">
      <alignment horizontal="right"/>
    </xf>
    <xf numFmtId="5" fontId="20" fillId="18" borderId="104" xfId="0" applyNumberFormat="1" applyFont="1" applyFill="1" applyBorder="1" applyAlignment="1">
      <alignment horizontal="right"/>
    </xf>
    <xf numFmtId="0" fontId="19" fillId="12" borderId="3" xfId="0" applyFont="1" applyFill="1" applyBorder="1" applyAlignment="1">
      <alignment horizontal="left" indent="2"/>
    </xf>
    <xf numFmtId="165" fontId="19" fillId="12" borderId="57" xfId="1" applyNumberFormat="1" applyFont="1" applyFill="1" applyBorder="1" applyAlignment="1">
      <alignment horizontal="right"/>
    </xf>
    <xf numFmtId="0" fontId="20" fillId="12" borderId="103" xfId="0" applyFont="1" applyFill="1" applyBorder="1"/>
    <xf numFmtId="0" fontId="20" fillId="12" borderId="105" xfId="0" applyFont="1" applyFill="1" applyBorder="1"/>
    <xf numFmtId="165" fontId="20" fillId="12" borderId="105" xfId="0" applyNumberFormat="1" applyFont="1" applyFill="1" applyBorder="1" applyAlignment="1">
      <alignment horizontal="center"/>
    </xf>
    <xf numFmtId="165" fontId="20" fillId="12" borderId="104" xfId="0" applyNumberFormat="1" applyFont="1" applyFill="1" applyBorder="1" applyAlignment="1">
      <alignment horizontal="center"/>
    </xf>
    <xf numFmtId="5" fontId="43" fillId="12" borderId="66" xfId="0" applyNumberFormat="1" applyFont="1" applyFill="1" applyBorder="1" applyAlignment="1">
      <alignment horizontal="right"/>
    </xf>
    <xf numFmtId="5" fontId="43" fillId="12" borderId="57" xfId="0" applyNumberFormat="1" applyFont="1" applyFill="1" applyBorder="1" applyAlignment="1">
      <alignment horizontal="right"/>
    </xf>
    <xf numFmtId="0" fontId="19" fillId="12" borderId="0" xfId="0" quotePrefix="1" applyFont="1" applyFill="1" applyAlignment="1">
      <alignment horizontal="center"/>
    </xf>
    <xf numFmtId="37" fontId="42" fillId="12" borderId="0" xfId="0" applyNumberFormat="1" applyFont="1" applyFill="1" applyAlignment="1">
      <alignment horizontal="center"/>
    </xf>
    <xf numFmtId="5" fontId="74" fillId="12" borderId="57" xfId="0" applyNumberFormat="1" applyFont="1" applyFill="1" applyBorder="1" applyAlignment="1">
      <alignment horizontal="right"/>
    </xf>
    <xf numFmtId="0" fontId="19" fillId="12" borderId="3" xfId="0" applyFont="1" applyFill="1" applyBorder="1"/>
    <xf numFmtId="37" fontId="19" fillId="12" borderId="0" xfId="0" quotePrefix="1" applyNumberFormat="1" applyFont="1" applyFill="1" applyAlignment="1">
      <alignment horizontal="center"/>
    </xf>
    <xf numFmtId="5" fontId="20" fillId="12" borderId="17" xfId="0" applyNumberFormat="1" applyFont="1" applyFill="1" applyBorder="1" applyAlignment="1">
      <alignment horizontal="right"/>
    </xf>
    <xf numFmtId="0" fontId="16" fillId="12" borderId="0" xfId="0" applyFont="1" applyFill="1" applyAlignment="1">
      <alignment horizontal="left" vertical="center"/>
    </xf>
    <xf numFmtId="0" fontId="20" fillId="12" borderId="0" xfId="0" applyFont="1" applyFill="1" applyAlignment="1">
      <alignment horizontal="right" vertical="center" wrapText="1"/>
    </xf>
    <xf numFmtId="9" fontId="44" fillId="12" borderId="0" xfId="0" applyNumberFormat="1" applyFont="1" applyFill="1" applyAlignment="1">
      <alignment horizontal="right" vertical="center"/>
    </xf>
    <xf numFmtId="0" fontId="44" fillId="12" borderId="0" xfId="0" applyFont="1" applyFill="1" applyAlignment="1">
      <alignment horizontal="right" vertical="center"/>
    </xf>
    <xf numFmtId="0" fontId="44" fillId="12" borderId="113" xfId="0" applyFont="1" applyFill="1" applyBorder="1" applyAlignment="1">
      <alignment horizontal="right" vertical="center"/>
    </xf>
    <xf numFmtId="0" fontId="16" fillId="12" borderId="0" xfId="0" applyFont="1" applyFill="1" applyAlignment="1">
      <alignment horizontal="right"/>
    </xf>
    <xf numFmtId="164" fontId="16" fillId="12" borderId="0" xfId="2" applyNumberFormat="1" applyFont="1" applyFill="1" applyBorder="1" applyAlignment="1">
      <alignment horizontal="right"/>
    </xf>
    <xf numFmtId="171" fontId="16" fillId="12" borderId="57" xfId="1" applyNumberFormat="1" applyFont="1" applyFill="1" applyBorder="1" applyAlignment="1">
      <alignment horizontal="right"/>
    </xf>
    <xf numFmtId="171" fontId="16" fillId="12" borderId="0" xfId="1" applyNumberFormat="1" applyFont="1" applyFill="1" applyBorder="1" applyAlignment="1">
      <alignment horizontal="right"/>
    </xf>
    <xf numFmtId="164" fontId="18" fillId="12" borderId="105" xfId="2" applyNumberFormat="1" applyFont="1" applyFill="1" applyBorder="1" applyAlignment="1">
      <alignment horizontal="right"/>
    </xf>
    <xf numFmtId="171" fontId="18" fillId="0" borderId="104" xfId="1" applyNumberFormat="1" applyFont="1" applyBorder="1" applyAlignment="1">
      <alignment horizontal="right"/>
    </xf>
    <xf numFmtId="171" fontId="18" fillId="12" borderId="104" xfId="1" applyNumberFormat="1" applyFont="1" applyFill="1" applyBorder="1" applyAlignment="1">
      <alignment horizontal="right"/>
    </xf>
    <xf numFmtId="172" fontId="5" fillId="12" borderId="0" xfId="1" applyNumberFormat="1" applyFont="1" applyFill="1" applyBorder="1" applyAlignment="1">
      <alignment horizontal="right"/>
    </xf>
    <xf numFmtId="172" fontId="17" fillId="12" borderId="0" xfId="1" applyNumberFormat="1" applyFont="1" applyFill="1" applyBorder="1" applyAlignment="1">
      <alignment horizontal="right"/>
    </xf>
    <xf numFmtId="0" fontId="16" fillId="12" borderId="3" xfId="0" applyFont="1" applyFill="1" applyBorder="1" applyAlignment="1">
      <alignment horizontal="left" indent="2"/>
    </xf>
    <xf numFmtId="171" fontId="16" fillId="12" borderId="3" xfId="1" applyNumberFormat="1" applyFont="1" applyFill="1" applyBorder="1" applyAlignment="1">
      <alignment horizontal="right"/>
    </xf>
    <xf numFmtId="171" fontId="18" fillId="12" borderId="103" xfId="1" applyNumberFormat="1" applyFont="1" applyFill="1" applyBorder="1" applyAlignment="1">
      <alignment horizontal="right"/>
    </xf>
    <xf numFmtId="164" fontId="18" fillId="12" borderId="91" xfId="2" applyNumberFormat="1" applyFont="1" applyFill="1" applyBorder="1" applyAlignment="1">
      <alignment horizontal="right"/>
    </xf>
    <xf numFmtId="171" fontId="18" fillId="12" borderId="91" xfId="1" applyNumberFormat="1" applyFont="1" applyFill="1" applyBorder="1" applyAlignment="1">
      <alignment horizontal="right"/>
    </xf>
    <xf numFmtId="0" fontId="18" fillId="0" borderId="0" xfId="0" applyFont="1" applyAlignment="1">
      <alignment horizontal="left"/>
    </xf>
    <xf numFmtId="165" fontId="18" fillId="0" borderId="91" xfId="1" applyNumberFormat="1" applyFont="1" applyBorder="1" applyAlignment="1">
      <alignment horizontal="right"/>
    </xf>
    <xf numFmtId="171" fontId="18" fillId="0" borderId="91" xfId="1" applyNumberFormat="1" applyFont="1" applyBorder="1" applyAlignment="1">
      <alignment horizontal="right"/>
    </xf>
    <xf numFmtId="0" fontId="16" fillId="12" borderId="1" xfId="0" applyFont="1" applyFill="1" applyBorder="1" applyAlignment="1">
      <alignment horizontal="left" indent="2"/>
    </xf>
    <xf numFmtId="164" fontId="16" fillId="12" borderId="4" xfId="2" applyNumberFormat="1" applyFont="1" applyFill="1" applyBorder="1" applyAlignment="1">
      <alignment horizontal="right"/>
    </xf>
    <xf numFmtId="164" fontId="16" fillId="12" borderId="91" xfId="2" applyNumberFormat="1" applyFont="1" applyFill="1" applyBorder="1" applyAlignment="1">
      <alignment horizontal="right"/>
    </xf>
    <xf numFmtId="0" fontId="20" fillId="12" borderId="97" xfId="0" applyFont="1" applyFill="1" applyBorder="1" applyAlignment="1">
      <alignment horizontal="right" vertical="center"/>
    </xf>
    <xf numFmtId="5" fontId="16" fillId="12" borderId="3" xfId="1" applyNumberFormat="1" applyFont="1" applyFill="1" applyBorder="1" applyAlignment="1">
      <alignment horizontal="right"/>
    </xf>
    <xf numFmtId="5" fontId="18" fillId="0" borderId="103" xfId="1" applyNumberFormat="1" applyFont="1" applyBorder="1" applyAlignment="1">
      <alignment horizontal="right"/>
    </xf>
    <xf numFmtId="5" fontId="18" fillId="12" borderId="103" xfId="1" applyNumberFormat="1" applyFont="1" applyFill="1" applyBorder="1" applyAlignment="1">
      <alignment horizontal="right"/>
    </xf>
    <xf numFmtId="5" fontId="3" fillId="12" borderId="1" xfId="1" applyNumberFormat="1" applyFont="1" applyFill="1" applyBorder="1" applyAlignment="1">
      <alignment horizontal="right"/>
    </xf>
    <xf numFmtId="5" fontId="16" fillId="12" borderId="66" xfId="1" applyNumberFormat="1" applyFont="1" applyFill="1" applyBorder="1" applyAlignment="1">
      <alignment horizontal="right"/>
    </xf>
    <xf numFmtId="5" fontId="16" fillId="12" borderId="102" xfId="1" applyNumberFormat="1" applyFont="1" applyFill="1" applyBorder="1" applyAlignment="1">
      <alignment horizontal="right"/>
    </xf>
    <xf numFmtId="5" fontId="16" fillId="12" borderId="17" xfId="1" applyNumberFormat="1" applyFont="1" applyFill="1" applyBorder="1" applyAlignment="1">
      <alignment horizontal="right"/>
    </xf>
    <xf numFmtId="5" fontId="18" fillId="0" borderId="104" xfId="1" applyNumberFormat="1" applyFont="1" applyBorder="1" applyAlignment="1">
      <alignment horizontal="right"/>
    </xf>
    <xf numFmtId="5" fontId="16" fillId="12" borderId="91" xfId="1" applyNumberFormat="1" applyFont="1" applyFill="1" applyBorder="1" applyAlignment="1">
      <alignment horizontal="right"/>
    </xf>
    <xf numFmtId="5" fontId="18" fillId="12" borderId="104" xfId="1" applyNumberFormat="1" applyFont="1" applyFill="1" applyBorder="1" applyAlignment="1">
      <alignment horizontal="right"/>
    </xf>
    <xf numFmtId="5" fontId="18" fillId="12" borderId="105" xfId="1" applyNumberFormat="1" applyFont="1" applyFill="1" applyBorder="1" applyAlignment="1">
      <alignment horizontal="right"/>
    </xf>
    <xf numFmtId="9" fontId="16" fillId="12" borderId="91" xfId="2" applyFont="1" applyFill="1" applyBorder="1" applyAlignment="1">
      <alignment horizontal="right"/>
    </xf>
    <xf numFmtId="5" fontId="16" fillId="12" borderId="57" xfId="1" applyNumberFormat="1" applyFont="1" applyFill="1" applyBorder="1" applyAlignment="1">
      <alignment horizontal="right"/>
    </xf>
    <xf numFmtId="5" fontId="16" fillId="12" borderId="0" xfId="1" applyNumberFormat="1" applyFont="1" applyFill="1" applyBorder="1" applyAlignment="1">
      <alignment horizontal="right"/>
    </xf>
    <xf numFmtId="4" fontId="16" fillId="12" borderId="102" xfId="0" applyNumberFormat="1" applyFont="1" applyFill="1" applyBorder="1" applyAlignment="1">
      <alignment horizontal="left" indent="2"/>
    </xf>
    <xf numFmtId="5" fontId="16" fillId="12" borderId="1" xfId="0" applyNumberFormat="1" applyFont="1" applyFill="1" applyBorder="1" applyAlignment="1">
      <alignment horizontal="right"/>
    </xf>
    <xf numFmtId="5" fontId="16" fillId="12" borderId="17" xfId="0" applyNumberFormat="1" applyFont="1" applyFill="1" applyBorder="1" applyAlignment="1">
      <alignment horizontal="right"/>
    </xf>
    <xf numFmtId="5" fontId="16" fillId="12" borderId="4" xfId="0" applyNumberFormat="1" applyFont="1" applyFill="1" applyBorder="1" applyAlignment="1">
      <alignment horizontal="right"/>
    </xf>
    <xf numFmtId="0" fontId="17" fillId="12" borderId="0" xfId="0" applyFont="1" applyFill="1" applyAlignment="1">
      <alignment horizontal="right"/>
    </xf>
    <xf numFmtId="0" fontId="19" fillId="28" borderId="0" xfId="0" applyFont="1" applyFill="1" applyAlignment="1">
      <alignment vertical="center"/>
    </xf>
    <xf numFmtId="43" fontId="19" fillId="0" borderId="0" xfId="1" applyFont="1"/>
    <xf numFmtId="0" fontId="21" fillId="12" borderId="0" xfId="0" applyFont="1" applyFill="1" applyAlignment="1">
      <alignment horizontal="right"/>
    </xf>
    <xf numFmtId="37" fontId="19" fillId="12" borderId="0" xfId="0" applyNumberFormat="1" applyFont="1" applyFill="1"/>
    <xf numFmtId="172" fontId="43" fillId="9" borderId="13" xfId="0" applyNumberFormat="1" applyFont="1" applyFill="1" applyBorder="1" applyAlignment="1">
      <alignment horizontal="center"/>
    </xf>
    <xf numFmtId="5" fontId="70" fillId="16" borderId="79" xfId="0" applyNumberFormat="1" applyFont="1" applyFill="1" applyBorder="1" applyAlignment="1">
      <alignment horizontal="center"/>
    </xf>
    <xf numFmtId="37" fontId="19" fillId="0" borderId="0" xfId="0" applyNumberFormat="1" applyFont="1"/>
    <xf numFmtId="7" fontId="19" fillId="0" borderId="0" xfId="0" applyNumberFormat="1" applyFont="1"/>
    <xf numFmtId="0" fontId="19" fillId="0" borderId="0" xfId="0" applyFont="1" applyAlignment="1">
      <alignment horizontal="right"/>
    </xf>
    <xf numFmtId="37" fontId="19" fillId="0" borderId="0" xfId="0" applyNumberFormat="1" applyFont="1" applyAlignment="1">
      <alignment horizontal="right"/>
    </xf>
    <xf numFmtId="7" fontId="19" fillId="0" borderId="0" xfId="0" applyNumberFormat="1" applyFont="1" applyAlignment="1">
      <alignment horizontal="right"/>
    </xf>
    <xf numFmtId="0" fontId="20" fillId="0" borderId="78" xfId="0" applyFont="1" applyBorder="1"/>
    <xf numFmtId="5" fontId="19" fillId="0" borderId="80" xfId="0" applyNumberFormat="1" applyFont="1" applyBorder="1"/>
    <xf numFmtId="5" fontId="19" fillId="0" borderId="81" xfId="0" applyNumberFormat="1" applyFont="1" applyBorder="1" applyAlignment="1">
      <alignment horizontal="right"/>
    </xf>
    <xf numFmtId="37" fontId="77" fillId="12" borderId="0" xfId="0" applyNumberFormat="1" applyFont="1" applyFill="1" applyAlignment="1">
      <alignment vertical="center"/>
    </xf>
    <xf numFmtId="0" fontId="19" fillId="20" borderId="98" xfId="0" applyFont="1" applyFill="1" applyBorder="1" applyAlignment="1">
      <alignment vertical="center"/>
    </xf>
    <xf numFmtId="0" fontId="19" fillId="20" borderId="0" xfId="0" applyFont="1" applyFill="1" applyAlignment="1">
      <alignment vertical="center"/>
    </xf>
    <xf numFmtId="165" fontId="70" fillId="20" borderId="116" xfId="1" applyNumberFormat="1" applyFont="1" applyFill="1" applyBorder="1" applyAlignment="1">
      <alignment vertical="center"/>
    </xf>
    <xf numFmtId="37" fontId="19" fillId="20" borderId="98" xfId="0" applyNumberFormat="1" applyFont="1" applyFill="1" applyBorder="1" applyAlignment="1">
      <alignment horizontal="right" vertical="center"/>
    </xf>
    <xf numFmtId="37" fontId="19" fillId="20" borderId="0" xfId="0" applyNumberFormat="1" applyFont="1" applyFill="1" applyAlignment="1">
      <alignment vertical="center"/>
    </xf>
    <xf numFmtId="37" fontId="20" fillId="20" borderId="137" xfId="0" applyNumberFormat="1" applyFont="1" applyFill="1" applyBorder="1" applyAlignment="1">
      <alignment horizontal="right" vertical="center"/>
    </xf>
    <xf numFmtId="37" fontId="7" fillId="20" borderId="84" xfId="0" applyNumberFormat="1" applyFont="1" applyFill="1" applyBorder="1" applyAlignment="1">
      <alignment vertical="center"/>
    </xf>
    <xf numFmtId="37" fontId="7" fillId="20" borderId="0" xfId="0" applyNumberFormat="1" applyFont="1" applyFill="1" applyAlignment="1">
      <alignment vertical="center"/>
    </xf>
    <xf numFmtId="37" fontId="7" fillId="20" borderId="116" xfId="0" applyNumberFormat="1" applyFont="1" applyFill="1" applyBorder="1" applyAlignment="1">
      <alignment vertical="center"/>
    </xf>
    <xf numFmtId="37" fontId="7" fillId="20" borderId="98" xfId="0" applyNumberFormat="1" applyFont="1" applyFill="1" applyBorder="1" applyAlignment="1">
      <alignment vertical="center"/>
    </xf>
    <xf numFmtId="37" fontId="19" fillId="20" borderId="98" xfId="0" applyNumberFormat="1" applyFont="1" applyFill="1" applyBorder="1" applyAlignment="1">
      <alignment vertical="center"/>
    </xf>
    <xf numFmtId="37" fontId="19" fillId="20" borderId="137" xfId="0" applyNumberFormat="1" applyFont="1" applyFill="1" applyBorder="1" applyAlignment="1">
      <alignment vertical="center"/>
    </xf>
    <xf numFmtId="165" fontId="70" fillId="20" borderId="137" xfId="1" applyNumberFormat="1" applyFont="1" applyFill="1" applyBorder="1" applyAlignment="1">
      <alignment vertical="center"/>
    </xf>
    <xf numFmtId="37" fontId="75" fillId="12" borderId="98" xfId="0" applyNumberFormat="1" applyFont="1" applyFill="1" applyBorder="1" applyAlignment="1">
      <alignment horizontal="right"/>
    </xf>
    <xf numFmtId="37" fontId="75" fillId="12" borderId="0" xfId="0" applyNumberFormat="1" applyFont="1" applyFill="1" applyAlignment="1">
      <alignment horizontal="right"/>
    </xf>
    <xf numFmtId="37" fontId="75" fillId="12" borderId="57" xfId="0" applyNumberFormat="1" applyFont="1" applyFill="1" applyBorder="1" applyAlignment="1">
      <alignment horizontal="right"/>
    </xf>
    <xf numFmtId="37" fontId="75" fillId="12" borderId="137" xfId="0" applyNumberFormat="1" applyFont="1" applyFill="1" applyBorder="1" applyAlignment="1">
      <alignment horizontal="right"/>
    </xf>
    <xf numFmtId="0" fontId="19" fillId="20" borderId="98" xfId="0" applyFont="1" applyFill="1" applyBorder="1"/>
    <xf numFmtId="10" fontId="19" fillId="20" borderId="0" xfId="0" applyNumberFormat="1" applyFont="1" applyFill="1" applyAlignment="1">
      <alignment horizontal="right"/>
    </xf>
    <xf numFmtId="10" fontId="19" fillId="20" borderId="0" xfId="0" applyNumberFormat="1" applyFont="1" applyFill="1"/>
    <xf numFmtId="5" fontId="19" fillId="20" borderId="98" xfId="0" applyNumberFormat="1" applyFont="1" applyFill="1" applyBorder="1" applyAlignment="1">
      <alignment horizontal="right"/>
    </xf>
    <xf numFmtId="5" fontId="19" fillId="20" borderId="0" xfId="0" applyNumberFormat="1" applyFont="1" applyFill="1" applyAlignment="1">
      <alignment horizontal="right"/>
    </xf>
    <xf numFmtId="5" fontId="19" fillId="20" borderId="57" xfId="0" applyNumberFormat="1" applyFont="1" applyFill="1" applyBorder="1" applyAlignment="1">
      <alignment horizontal="right"/>
    </xf>
    <xf numFmtId="5" fontId="19" fillId="20" borderId="137" xfId="0" applyNumberFormat="1" applyFont="1" applyFill="1" applyBorder="1" applyAlignment="1">
      <alignment horizontal="right"/>
    </xf>
    <xf numFmtId="0" fontId="19" fillId="20" borderId="0" xfId="0" applyFont="1" applyFill="1"/>
    <xf numFmtId="0" fontId="20" fillId="12" borderId="108" xfId="0" applyFont="1" applyFill="1" applyBorder="1" applyAlignment="1">
      <alignment vertical="center"/>
    </xf>
    <xf numFmtId="9" fontId="19" fillId="12" borderId="137" xfId="2" applyFont="1" applyFill="1" applyBorder="1"/>
    <xf numFmtId="0" fontId="19" fillId="12" borderId="112" xfId="0" applyFont="1" applyFill="1" applyBorder="1"/>
    <xf numFmtId="0" fontId="19" fillId="12" borderId="113" xfId="0" applyFont="1" applyFill="1" applyBorder="1"/>
    <xf numFmtId="0" fontId="70" fillId="16" borderId="113" xfId="0" applyFont="1" applyFill="1" applyBorder="1"/>
    <xf numFmtId="9" fontId="19" fillId="12" borderId="115" xfId="0" applyNumberFormat="1" applyFont="1" applyFill="1" applyBorder="1"/>
    <xf numFmtId="0" fontId="7" fillId="12" borderId="98" xfId="0" applyFont="1" applyFill="1" applyBorder="1"/>
    <xf numFmtId="0" fontId="77" fillId="12" borderId="0" xfId="0" applyFont="1" applyFill="1"/>
    <xf numFmtId="9" fontId="57" fillId="12" borderId="98" xfId="52" applyNumberFormat="1" applyFont="1" applyFill="1" applyBorder="1"/>
    <xf numFmtId="0" fontId="7" fillId="12" borderId="0" xfId="0" applyFont="1" applyFill="1"/>
    <xf numFmtId="0" fontId="20" fillId="25" borderId="0" xfId="0" applyFont="1" applyFill="1"/>
    <xf numFmtId="0" fontId="70" fillId="16" borderId="0" xfId="0" applyFont="1" applyFill="1"/>
    <xf numFmtId="0" fontId="7" fillId="12" borderId="0" xfId="0" applyFont="1" applyFill="1" applyAlignment="1">
      <alignment vertical="center"/>
    </xf>
    <xf numFmtId="0" fontId="70" fillId="16" borderId="0" xfId="0" applyFont="1" applyFill="1" applyAlignment="1">
      <alignment horizontal="right" vertical="center"/>
    </xf>
    <xf numFmtId="0" fontId="7" fillId="12" borderId="0" xfId="0" applyFont="1" applyFill="1" applyAlignment="1">
      <alignment horizontal="right" vertical="center"/>
    </xf>
    <xf numFmtId="0" fontId="19" fillId="12" borderId="57" xfId="0" applyFont="1" applyFill="1" applyBorder="1" applyAlignment="1">
      <alignment horizontal="right"/>
    </xf>
    <xf numFmtId="0" fontId="19" fillId="12" borderId="1" xfId="0" applyFont="1" applyFill="1" applyBorder="1" applyAlignment="1">
      <alignment horizontal="left" indent="2"/>
    </xf>
    <xf numFmtId="0" fontId="19" fillId="12" borderId="4" xfId="0" applyFont="1" applyFill="1" applyBorder="1" applyAlignment="1">
      <alignment horizontal="center"/>
    </xf>
    <xf numFmtId="165" fontId="19" fillId="12" borderId="4" xfId="1" applyNumberFormat="1" applyFont="1" applyFill="1" applyBorder="1" applyAlignment="1">
      <alignment horizontal="right"/>
    </xf>
    <xf numFmtId="165" fontId="19" fillId="12" borderId="17" xfId="1" applyNumberFormat="1" applyFont="1" applyFill="1" applyBorder="1" applyAlignment="1">
      <alignment horizontal="right"/>
    </xf>
    <xf numFmtId="5" fontId="16" fillId="12" borderId="0" xfId="0" applyNumberFormat="1" applyFont="1" applyFill="1" applyAlignment="1">
      <alignment horizontal="right"/>
    </xf>
    <xf numFmtId="9" fontId="16" fillId="12" borderId="0" xfId="0" applyNumberFormat="1" applyFont="1" applyFill="1" applyAlignment="1">
      <alignment horizontal="right"/>
    </xf>
    <xf numFmtId="0" fontId="16" fillId="12" borderId="0" xfId="0" applyFont="1" applyFill="1" applyAlignment="1">
      <alignment horizontal="left"/>
    </xf>
    <xf numFmtId="0" fontId="20" fillId="12" borderId="94" xfId="0" applyFont="1" applyFill="1" applyBorder="1" applyAlignment="1">
      <alignment vertical="center"/>
    </xf>
    <xf numFmtId="37" fontId="20" fillId="12" borderId="94" xfId="0" applyNumberFormat="1" applyFont="1" applyFill="1" applyBorder="1" applyAlignment="1" applyProtection="1">
      <alignment vertical="center"/>
      <protection locked="0"/>
    </xf>
    <xf numFmtId="0" fontId="20" fillId="12" borderId="135" xfId="0" applyFont="1" applyFill="1" applyBorder="1" applyAlignment="1">
      <alignment vertical="center"/>
    </xf>
    <xf numFmtId="0" fontId="20" fillId="12" borderId="0" xfId="0" quotePrefix="1" applyFont="1" applyFill="1" applyAlignment="1">
      <alignment vertical="center"/>
    </xf>
    <xf numFmtId="0" fontId="20" fillId="12" borderId="137" xfId="0" applyFont="1" applyFill="1" applyBorder="1" applyAlignment="1">
      <alignment vertical="center"/>
    </xf>
    <xf numFmtId="37" fontId="20" fillId="12" borderId="92" xfId="0" applyNumberFormat="1" applyFont="1" applyFill="1" applyBorder="1" applyAlignment="1">
      <alignment vertical="center"/>
    </xf>
    <xf numFmtId="37" fontId="20" fillId="12" borderId="135" xfId="0" applyNumberFormat="1" applyFont="1" applyFill="1" applyBorder="1" applyAlignment="1">
      <alignment vertical="center"/>
    </xf>
    <xf numFmtId="37" fontId="20" fillId="12" borderId="98" xfId="0" applyNumberFormat="1" applyFont="1" applyFill="1" applyBorder="1" applyAlignment="1">
      <alignment vertical="center"/>
    </xf>
    <xf numFmtId="37" fontId="20" fillId="12" borderId="137" xfId="0" applyNumberFormat="1" applyFont="1" applyFill="1" applyBorder="1" applyAlignment="1">
      <alignment vertical="center"/>
    </xf>
    <xf numFmtId="37" fontId="19" fillId="12" borderId="112" xfId="0" applyNumberFormat="1" applyFont="1" applyFill="1" applyBorder="1" applyAlignment="1">
      <alignment horizontal="right" vertical="center"/>
    </xf>
    <xf numFmtId="0" fontId="50" fillId="7" borderId="81" xfId="0" applyFont="1" applyFill="1" applyBorder="1" applyAlignment="1">
      <alignment horizontal="center" vertical="center"/>
    </xf>
    <xf numFmtId="173" fontId="19" fillId="12" borderId="115" xfId="0" applyNumberFormat="1" applyFont="1" applyFill="1" applyBorder="1"/>
    <xf numFmtId="173" fontId="7" fillId="12" borderId="137" xfId="0" applyNumberFormat="1" applyFont="1" applyFill="1" applyBorder="1" applyAlignment="1">
      <alignment vertical="center"/>
    </xf>
    <xf numFmtId="173" fontId="43" fillId="12" borderId="137" xfId="0" applyNumberFormat="1" applyFont="1" applyFill="1" applyBorder="1" applyAlignment="1">
      <alignment vertical="center"/>
    </xf>
    <xf numFmtId="0" fontId="7" fillId="12" borderId="91" xfId="0" applyFont="1" applyFill="1" applyBorder="1" applyAlignment="1">
      <alignment horizontal="right" vertical="center"/>
    </xf>
    <xf numFmtId="7" fontId="19" fillId="12" borderId="0" xfId="0" applyNumberFormat="1" applyFont="1" applyFill="1"/>
    <xf numFmtId="0" fontId="21" fillId="12" borderId="94" xfId="0" applyFont="1" applyFill="1" applyBorder="1" applyAlignment="1">
      <alignment horizontal="right"/>
    </xf>
    <xf numFmtId="0" fontId="21" fillId="12" borderId="135" xfId="0" applyFont="1" applyFill="1" applyBorder="1" applyAlignment="1">
      <alignment horizontal="right"/>
    </xf>
    <xf numFmtId="5" fontId="19" fillId="12" borderId="137" xfId="0" applyNumberFormat="1" applyFont="1" applyFill="1" applyBorder="1"/>
    <xf numFmtId="5" fontId="19" fillId="12" borderId="0" xfId="0" applyNumberFormat="1" applyFont="1" applyFill="1" applyAlignment="1">
      <alignment horizontal="center"/>
    </xf>
    <xf numFmtId="5" fontId="20" fillId="12" borderId="0" xfId="0" applyNumberFormat="1" applyFont="1" applyFill="1" applyAlignment="1">
      <alignment horizontal="center"/>
    </xf>
    <xf numFmtId="5" fontId="20" fillId="12" borderId="57" xfId="0" applyNumberFormat="1" applyFont="1" applyFill="1" applyBorder="1" applyAlignment="1">
      <alignment horizontal="center"/>
    </xf>
    <xf numFmtId="0" fontId="20" fillId="25" borderId="0" xfId="0" applyFont="1" applyFill="1" applyAlignment="1">
      <alignment horizontal="center"/>
    </xf>
    <xf numFmtId="165" fontId="20" fillId="12" borderId="0" xfId="1" applyNumberFormat="1" applyFont="1" applyFill="1" applyBorder="1" applyAlignment="1">
      <alignment horizontal="right" vertical="center"/>
    </xf>
    <xf numFmtId="37" fontId="20" fillId="12" borderId="0" xfId="0" applyNumberFormat="1" applyFont="1" applyFill="1" applyAlignment="1">
      <alignment horizontal="right" vertical="center"/>
    </xf>
    <xf numFmtId="37" fontId="20" fillId="12" borderId="57" xfId="0" applyNumberFormat="1" applyFont="1" applyFill="1" applyBorder="1" applyAlignment="1">
      <alignment horizontal="right" vertical="center"/>
    </xf>
    <xf numFmtId="10" fontId="19" fillId="12" borderId="115" xfId="0" applyNumberFormat="1" applyFont="1" applyFill="1" applyBorder="1"/>
    <xf numFmtId="37" fontId="20" fillId="12" borderId="82" xfId="0" applyNumberFormat="1" applyFont="1" applyFill="1" applyBorder="1" applyAlignment="1">
      <alignment horizontal="right" vertical="center"/>
    </xf>
    <xf numFmtId="0" fontId="76" fillId="28" borderId="78" xfId="0" applyFont="1" applyFill="1" applyBorder="1" applyAlignment="1">
      <alignment vertical="center"/>
    </xf>
    <xf numFmtId="0" fontId="20" fillId="28" borderId="80" xfId="0" applyFont="1" applyFill="1" applyBorder="1" applyAlignment="1">
      <alignment vertical="center"/>
    </xf>
    <xf numFmtId="37" fontId="20" fillId="28" borderId="80" xfId="0" applyNumberFormat="1" applyFont="1" applyFill="1" applyBorder="1" applyAlignment="1">
      <alignment vertical="center"/>
    </xf>
    <xf numFmtId="37" fontId="19" fillId="28" borderId="80" xfId="0" applyNumberFormat="1" applyFont="1" applyFill="1" applyBorder="1" applyAlignment="1">
      <alignment horizontal="right" vertical="center"/>
    </xf>
    <xf numFmtId="0" fontId="19" fillId="28" borderId="80" xfId="0" applyFont="1" applyFill="1" applyBorder="1" applyAlignment="1">
      <alignment vertical="center"/>
    </xf>
    <xf numFmtId="0" fontId="19" fillId="28" borderId="81" xfId="0" applyFont="1" applyFill="1" applyBorder="1" applyAlignment="1">
      <alignment vertical="center"/>
    </xf>
    <xf numFmtId="178" fontId="42" fillId="12" borderId="84" xfId="0" applyNumberFormat="1" applyFont="1" applyFill="1" applyBorder="1" applyAlignment="1">
      <alignment horizontal="right" vertical="center"/>
    </xf>
    <xf numFmtId="178" fontId="42" fillId="12" borderId="0" xfId="0" applyNumberFormat="1" applyFont="1" applyFill="1" applyAlignment="1">
      <alignment horizontal="right" vertical="center"/>
    </xf>
    <xf numFmtId="178" fontId="42" fillId="12" borderId="57" xfId="0" applyNumberFormat="1" applyFont="1" applyFill="1" applyBorder="1" applyAlignment="1">
      <alignment horizontal="right" vertical="center"/>
    </xf>
    <xf numFmtId="178" fontId="42" fillId="12" borderId="57" xfId="0" applyNumberFormat="1" applyFont="1" applyFill="1" applyBorder="1" applyAlignment="1">
      <alignment vertical="center"/>
    </xf>
    <xf numFmtId="178" fontId="42" fillId="12" borderId="0" xfId="0" applyNumberFormat="1" applyFont="1" applyFill="1" applyAlignment="1">
      <alignment vertical="center"/>
    </xf>
    <xf numFmtId="178" fontId="42" fillId="12" borderId="137" xfId="0" applyNumberFormat="1" applyFont="1" applyFill="1" applyBorder="1" applyAlignment="1">
      <alignment vertical="center"/>
    </xf>
    <xf numFmtId="0" fontId="20" fillId="16" borderId="92" xfId="0" applyFont="1" applyFill="1" applyBorder="1" applyAlignment="1">
      <alignment vertical="center"/>
    </xf>
    <xf numFmtId="0" fontId="20" fillId="16" borderId="94" xfId="0" applyFont="1" applyFill="1" applyBorder="1" applyAlignment="1">
      <alignment vertical="center"/>
    </xf>
    <xf numFmtId="0" fontId="20" fillId="16" borderId="135" xfId="0" applyFont="1" applyFill="1" applyBorder="1" applyAlignment="1">
      <alignment vertical="center"/>
    </xf>
    <xf numFmtId="37" fontId="20" fillId="16" borderId="92" xfId="0" applyNumberFormat="1" applyFont="1" applyFill="1" applyBorder="1" applyAlignment="1">
      <alignment vertical="center"/>
    </xf>
    <xf numFmtId="37" fontId="20" fillId="16" borderId="94" xfId="0" applyNumberFormat="1" applyFont="1" applyFill="1" applyBorder="1" applyAlignment="1" applyProtection="1">
      <alignment vertical="center"/>
      <protection locked="0"/>
    </xf>
    <xf numFmtId="37" fontId="20" fillId="16" borderId="135" xfId="0" applyNumberFormat="1" applyFont="1" applyFill="1" applyBorder="1" applyAlignment="1">
      <alignment vertical="center"/>
    </xf>
    <xf numFmtId="0" fontId="20" fillId="16" borderId="112" xfId="0" applyFont="1" applyFill="1" applyBorder="1" applyAlignment="1">
      <alignment vertical="center"/>
    </xf>
    <xf numFmtId="0" fontId="20" fillId="16" borderId="113" xfId="0" applyFont="1" applyFill="1" applyBorder="1" applyAlignment="1">
      <alignment vertical="center"/>
    </xf>
    <xf numFmtId="0" fontId="20" fillId="16" borderId="115" xfId="0" applyFont="1" applyFill="1" applyBorder="1" applyAlignment="1">
      <alignment vertical="center"/>
    </xf>
    <xf numFmtId="37" fontId="20" fillId="16" borderId="112" xfId="0" applyNumberFormat="1" applyFont="1" applyFill="1" applyBorder="1" applyAlignment="1">
      <alignment vertical="center"/>
    </xf>
    <xf numFmtId="37" fontId="20" fillId="16" borderId="113" xfId="0" applyNumberFormat="1" applyFont="1" applyFill="1" applyBorder="1" applyAlignment="1" applyProtection="1">
      <alignment vertical="center"/>
      <protection locked="0"/>
    </xf>
    <xf numFmtId="37" fontId="20" fillId="16" borderId="115" xfId="0" applyNumberFormat="1" applyFont="1" applyFill="1" applyBorder="1" applyAlignment="1">
      <alignment vertical="center"/>
    </xf>
    <xf numFmtId="164" fontId="20" fillId="16" borderId="82" xfId="2" applyNumberFormat="1" applyFont="1" applyFill="1" applyBorder="1" applyAlignment="1">
      <alignment horizontal="right" vertical="center"/>
    </xf>
    <xf numFmtId="170" fontId="20" fillId="16" borderId="114" xfId="2" applyNumberFormat="1" applyFont="1" applyFill="1" applyBorder="1" applyAlignment="1">
      <alignment horizontal="right" vertical="center"/>
    </xf>
    <xf numFmtId="7" fontId="0" fillId="12" borderId="0" xfId="0" applyNumberFormat="1" applyFill="1"/>
    <xf numFmtId="1" fontId="19" fillId="12" borderId="0" xfId="0" applyNumberFormat="1" applyFont="1" applyFill="1"/>
    <xf numFmtId="0" fontId="78" fillId="0" borderId="0" xfId="0" applyFont="1"/>
    <xf numFmtId="0" fontId="79" fillId="14" borderId="105" xfId="0" applyFont="1" applyFill="1" applyBorder="1" applyAlignment="1">
      <alignment horizontal="center"/>
    </xf>
    <xf numFmtId="0" fontId="79" fillId="14" borderId="104" xfId="0" applyFont="1" applyFill="1" applyBorder="1" applyAlignment="1">
      <alignment horizontal="center"/>
    </xf>
    <xf numFmtId="0" fontId="79" fillId="14" borderId="106" xfId="0" applyFont="1" applyFill="1" applyBorder="1" applyAlignment="1">
      <alignment horizontal="centerContinuous"/>
    </xf>
    <xf numFmtId="10" fontId="78" fillId="0" borderId="91" xfId="0" applyNumberFormat="1" applyFont="1" applyBorder="1" applyAlignment="1">
      <alignment horizontal="center"/>
    </xf>
    <xf numFmtId="10" fontId="78" fillId="0" borderId="66" xfId="0" applyNumberFormat="1" applyFont="1" applyBorder="1" applyAlignment="1">
      <alignment horizontal="center"/>
    </xf>
    <xf numFmtId="0" fontId="81" fillId="6" borderId="102" xfId="0" applyFont="1" applyFill="1" applyBorder="1" applyAlignment="1">
      <alignment horizontal="right"/>
    </xf>
    <xf numFmtId="10" fontId="81" fillId="12" borderId="106" xfId="0" applyNumberFormat="1" applyFont="1" applyFill="1" applyBorder="1" applyAlignment="1">
      <alignment horizontal="center"/>
    </xf>
    <xf numFmtId="38" fontId="78" fillId="0" borderId="0" xfId="0" applyNumberFormat="1" applyFont="1" applyAlignment="1">
      <alignment horizontal="center"/>
    </xf>
    <xf numFmtId="10" fontId="78" fillId="0" borderId="0" xfId="0" applyNumberFormat="1" applyFont="1" applyAlignment="1">
      <alignment horizontal="center"/>
    </xf>
    <xf numFmtId="10" fontId="78" fillId="0" borderId="57" xfId="0" applyNumberFormat="1" applyFont="1" applyBorder="1" applyAlignment="1">
      <alignment horizontal="center"/>
    </xf>
    <xf numFmtId="0" fontId="81" fillId="6" borderId="3" xfId="0" applyFont="1" applyFill="1" applyBorder="1" applyAlignment="1">
      <alignment horizontal="right"/>
    </xf>
    <xf numFmtId="179" fontId="81" fillId="12" borderId="65" xfId="0" applyNumberFormat="1" applyFont="1" applyFill="1" applyBorder="1" applyAlignment="1">
      <alignment horizontal="center"/>
    </xf>
    <xf numFmtId="10" fontId="81" fillId="12" borderId="65" xfId="0" applyNumberFormat="1" applyFont="1" applyFill="1" applyBorder="1" applyAlignment="1">
      <alignment horizontal="center"/>
    </xf>
    <xf numFmtId="10" fontId="78" fillId="0" borderId="4" xfId="0" applyNumberFormat="1" applyFont="1" applyBorder="1" applyAlignment="1">
      <alignment horizontal="center"/>
    </xf>
    <xf numFmtId="10" fontId="78" fillId="0" borderId="17" xfId="0" applyNumberFormat="1" applyFont="1" applyBorder="1" applyAlignment="1">
      <alignment horizontal="center"/>
    </xf>
    <xf numFmtId="0" fontId="81" fillId="6" borderId="1" xfId="0" applyFont="1" applyFill="1" applyBorder="1" applyAlignment="1">
      <alignment horizontal="right"/>
    </xf>
    <xf numFmtId="171" fontId="81" fillId="12" borderId="5" xfId="0" applyNumberFormat="1" applyFont="1" applyFill="1" applyBorder="1" applyAlignment="1">
      <alignment horizontal="center"/>
    </xf>
    <xf numFmtId="0" fontId="81" fillId="0" borderId="0" xfId="0" applyFont="1" applyAlignment="1">
      <alignment horizontal="right"/>
    </xf>
    <xf numFmtId="0" fontId="79" fillId="14" borderId="86" xfId="0" applyFont="1" applyFill="1" applyBorder="1" applyAlignment="1">
      <alignment horizontal="right"/>
    </xf>
    <xf numFmtId="0" fontId="79" fillId="0" borderId="0" xfId="0" applyFont="1" applyAlignment="1">
      <alignment horizontal="right"/>
    </xf>
    <xf numFmtId="10" fontId="84" fillId="0" borderId="0" xfId="0" applyNumberFormat="1" applyFont="1" applyAlignment="1">
      <alignment horizontal="center"/>
    </xf>
    <xf numFmtId="180" fontId="84" fillId="0" borderId="0" xfId="0" applyNumberFormat="1" applyFont="1" applyAlignment="1">
      <alignment horizontal="center"/>
    </xf>
    <xf numFmtId="14" fontId="84" fillId="0" borderId="0" xfId="0" applyNumberFormat="1" applyFont="1" applyAlignment="1">
      <alignment horizontal="center"/>
    </xf>
    <xf numFmtId="171" fontId="81" fillId="12" borderId="0" xfId="0" applyNumberFormat="1" applyFont="1" applyFill="1" applyAlignment="1">
      <alignment horizontal="center"/>
    </xf>
    <xf numFmtId="38" fontId="78" fillId="0" borderId="0" xfId="0" applyNumberFormat="1" applyFont="1"/>
    <xf numFmtId="38" fontId="79" fillId="14" borderId="105" xfId="0" applyNumberFormat="1" applyFont="1" applyFill="1" applyBorder="1"/>
    <xf numFmtId="38" fontId="79" fillId="14" borderId="104" xfId="0" applyNumberFormat="1" applyFont="1" applyFill="1" applyBorder="1"/>
    <xf numFmtId="38" fontId="78" fillId="0" borderId="102" xfId="0" applyNumberFormat="1" applyFont="1" applyBorder="1" applyAlignment="1">
      <alignment horizontal="center"/>
    </xf>
    <xf numFmtId="38" fontId="78" fillId="0" borderId="91" xfId="0" applyNumberFormat="1" applyFont="1" applyBorder="1" applyAlignment="1">
      <alignment horizontal="center"/>
    </xf>
    <xf numFmtId="38" fontId="78" fillId="0" borderId="1" xfId="0" applyNumberFormat="1" applyFont="1" applyBorder="1" applyAlignment="1">
      <alignment horizontal="center"/>
    </xf>
    <xf numFmtId="38" fontId="78" fillId="0" borderId="4" xfId="0" applyNumberFormat="1" applyFont="1" applyBorder="1" applyAlignment="1">
      <alignment horizontal="center"/>
    </xf>
    <xf numFmtId="14" fontId="79" fillId="14" borderId="105" xfId="0" applyNumberFormat="1" applyFont="1" applyFill="1" applyBorder="1"/>
    <xf numFmtId="38" fontId="78" fillId="0" borderId="3" xfId="0" applyNumberFormat="1" applyFont="1" applyBorder="1" applyAlignment="1">
      <alignment horizontal="center"/>
    </xf>
    <xf numFmtId="38" fontId="78" fillId="0" borderId="57" xfId="0" applyNumberFormat="1" applyFont="1" applyBorder="1" applyAlignment="1">
      <alignment horizontal="center"/>
    </xf>
    <xf numFmtId="0" fontId="85" fillId="14" borderId="0" xfId="0" applyFont="1" applyFill="1" applyAlignment="1">
      <alignment horizontal="center"/>
    </xf>
    <xf numFmtId="164" fontId="78" fillId="0" borderId="86" xfId="2" applyNumberFormat="1" applyFont="1" applyBorder="1" applyAlignment="1">
      <alignment horizontal="center"/>
    </xf>
    <xf numFmtId="38" fontId="82" fillId="0" borderId="103" xfId="0" applyNumberFormat="1" applyFont="1" applyBorder="1" applyAlignment="1">
      <alignment horizontal="center"/>
    </xf>
    <xf numFmtId="38" fontId="82" fillId="0" borderId="105" xfId="0" applyNumberFormat="1" applyFont="1" applyBorder="1" applyAlignment="1">
      <alignment horizontal="center"/>
    </xf>
    <xf numFmtId="10" fontId="81" fillId="0" borderId="66" xfId="0" applyNumberFormat="1" applyFont="1" applyBorder="1" applyAlignment="1">
      <alignment horizontal="center"/>
    </xf>
    <xf numFmtId="179" fontId="81" fillId="0" borderId="17" xfId="0" applyNumberFormat="1" applyFont="1" applyBorder="1" applyAlignment="1">
      <alignment horizontal="center"/>
    </xf>
    <xf numFmtId="38" fontId="78" fillId="0" borderId="106" xfId="0" applyNumberFormat="1" applyFont="1" applyBorder="1" applyAlignment="1">
      <alignment horizontal="center"/>
    </xf>
    <xf numFmtId="38" fontId="78" fillId="0" borderId="65" xfId="0" applyNumberFormat="1" applyFont="1" applyBorder="1" applyAlignment="1">
      <alignment horizontal="center"/>
    </xf>
    <xf numFmtId="38" fontId="82" fillId="0" borderId="86" xfId="0" applyNumberFormat="1" applyFont="1" applyBorder="1" applyAlignment="1">
      <alignment horizontal="center"/>
    </xf>
    <xf numFmtId="0" fontId="78" fillId="0" borderId="0" xfId="0" applyFont="1" applyAlignment="1">
      <alignment horizontal="center"/>
    </xf>
    <xf numFmtId="14" fontId="86" fillId="14" borderId="105" xfId="0" applyNumberFormat="1" applyFont="1" applyFill="1" applyBorder="1" applyAlignment="1">
      <alignment horizontal="center"/>
    </xf>
    <xf numFmtId="0" fontId="87" fillId="0" borderId="0" xfId="0" applyFont="1"/>
    <xf numFmtId="181" fontId="86" fillId="14" borderId="105" xfId="0" applyNumberFormat="1" applyFont="1" applyFill="1" applyBorder="1" applyAlignment="1">
      <alignment horizontal="center"/>
    </xf>
    <xf numFmtId="9" fontId="88" fillId="0" borderId="3" xfId="2" applyFont="1" applyBorder="1" applyAlignment="1">
      <alignment horizontal="center"/>
    </xf>
    <xf numFmtId="9" fontId="88" fillId="0" borderId="0" xfId="2" applyFont="1" applyBorder="1" applyAlignment="1">
      <alignment horizontal="center"/>
    </xf>
    <xf numFmtId="181" fontId="86" fillId="14" borderId="104" xfId="0" applyNumberFormat="1" applyFont="1" applyFill="1" applyBorder="1" applyAlignment="1">
      <alignment horizontal="center"/>
    </xf>
    <xf numFmtId="14" fontId="86" fillId="14" borderId="104" xfId="0" applyNumberFormat="1" applyFont="1" applyFill="1" applyBorder="1" applyAlignment="1">
      <alignment horizontal="center"/>
    </xf>
    <xf numFmtId="38" fontId="82" fillId="0" borderId="0" xfId="0" applyNumberFormat="1" applyFont="1" applyAlignment="1">
      <alignment horizontal="center"/>
    </xf>
    <xf numFmtId="38" fontId="82" fillId="0" borderId="57" xfId="0" applyNumberFormat="1" applyFont="1" applyBorder="1" applyAlignment="1">
      <alignment horizontal="center"/>
    </xf>
    <xf numFmtId="9" fontId="88" fillId="0" borderId="57" xfId="2" applyFont="1" applyBorder="1" applyAlignment="1">
      <alignment horizontal="center"/>
    </xf>
    <xf numFmtId="38" fontId="78" fillId="16" borderId="0" xfId="0" applyNumberFormat="1" applyFont="1" applyFill="1" applyAlignment="1">
      <alignment horizontal="center"/>
    </xf>
    <xf numFmtId="182" fontId="78" fillId="0" borderId="0" xfId="0" applyNumberFormat="1" applyFont="1" applyAlignment="1">
      <alignment horizontal="center"/>
    </xf>
    <xf numFmtId="182" fontId="78" fillId="0" borderId="57" xfId="0" applyNumberFormat="1" applyFont="1" applyBorder="1" applyAlignment="1">
      <alignment horizontal="center"/>
    </xf>
    <xf numFmtId="38" fontId="78" fillId="0" borderId="5" xfId="0" applyNumberFormat="1" applyFont="1" applyBorder="1" applyAlignment="1">
      <alignment horizontal="center"/>
    </xf>
    <xf numFmtId="9" fontId="78" fillId="0" borderId="4" xfId="0" applyNumberFormat="1" applyFont="1" applyBorder="1" applyAlignment="1">
      <alignment horizontal="center"/>
    </xf>
    <xf numFmtId="14" fontId="86" fillId="14" borderId="0" xfId="0" applyNumberFormat="1" applyFont="1" applyFill="1" applyAlignment="1">
      <alignment horizontal="center"/>
    </xf>
    <xf numFmtId="9" fontId="86" fillId="14" borderId="0" xfId="2" applyFont="1" applyFill="1" applyBorder="1" applyAlignment="1">
      <alignment horizontal="center"/>
    </xf>
    <xf numFmtId="10" fontId="86" fillId="14" borderId="0" xfId="2" applyNumberFormat="1" applyFont="1" applyFill="1" applyBorder="1" applyAlignment="1">
      <alignment horizontal="center"/>
    </xf>
    <xf numFmtId="182" fontId="86" fillId="14" borderId="0" xfId="0" applyNumberFormat="1" applyFont="1" applyFill="1" applyAlignment="1">
      <alignment horizontal="center"/>
    </xf>
    <xf numFmtId="165" fontId="86" fillId="14" borderId="0" xfId="1" applyNumberFormat="1" applyFont="1" applyFill="1" applyBorder="1" applyAlignment="1">
      <alignment horizontal="center" vertical="center"/>
    </xf>
    <xf numFmtId="14" fontId="81" fillId="16" borderId="104" xfId="0" applyNumberFormat="1" applyFont="1" applyFill="1" applyBorder="1" applyAlignment="1">
      <alignment horizontal="center"/>
    </xf>
    <xf numFmtId="0" fontId="85" fillId="29" borderId="0" xfId="0" applyFont="1" applyFill="1" applyAlignment="1">
      <alignment horizontal="center"/>
    </xf>
    <xf numFmtId="38" fontId="78" fillId="29" borderId="3" xfId="0" applyNumberFormat="1" applyFont="1" applyFill="1" applyBorder="1" applyAlignment="1">
      <alignment horizontal="center"/>
    </xf>
    <xf numFmtId="38" fontId="78" fillId="29" borderId="0" xfId="0" applyNumberFormat="1" applyFont="1" applyFill="1" applyAlignment="1">
      <alignment horizontal="center"/>
    </xf>
    <xf numFmtId="0" fontId="78" fillId="29" borderId="0" xfId="0" applyFont="1" applyFill="1"/>
    <xf numFmtId="0" fontId="85" fillId="29" borderId="57" xfId="0" applyFont="1" applyFill="1" applyBorder="1" applyAlignment="1">
      <alignment horizontal="center"/>
    </xf>
    <xf numFmtId="0" fontId="79" fillId="14" borderId="103" xfId="0" applyFont="1" applyFill="1" applyBorder="1" applyAlignment="1" applyProtection="1">
      <alignment horizontal="center"/>
      <protection locked="0"/>
    </xf>
    <xf numFmtId="0" fontId="78" fillId="6" borderId="106" xfId="0" applyFont="1" applyFill="1" applyBorder="1" applyAlignment="1" applyProtection="1">
      <alignment horizontal="right"/>
      <protection locked="0"/>
    </xf>
    <xf numFmtId="0" fontId="78" fillId="6" borderId="65" xfId="0" applyFont="1" applyFill="1" applyBorder="1" applyAlignment="1" applyProtection="1">
      <alignment horizontal="right"/>
      <protection locked="0"/>
    </xf>
    <xf numFmtId="0" fontId="78" fillId="6" borderId="5" xfId="0" applyFont="1" applyFill="1" applyBorder="1" applyAlignment="1" applyProtection="1">
      <alignment horizontal="right"/>
      <protection locked="0"/>
    </xf>
    <xf numFmtId="0" fontId="78" fillId="0" borderId="0" xfId="0" applyFont="1" applyProtection="1">
      <protection locked="0"/>
    </xf>
    <xf numFmtId="0" fontId="79" fillId="14" borderId="106" xfId="0" applyFont="1" applyFill="1" applyBorder="1" applyAlignment="1" applyProtection="1">
      <alignment horizontal="centerContinuous"/>
      <protection locked="0"/>
    </xf>
    <xf numFmtId="0" fontId="81" fillId="6" borderId="106" xfId="0" applyFont="1" applyFill="1" applyBorder="1" applyAlignment="1" applyProtection="1">
      <alignment horizontal="right"/>
      <protection locked="0"/>
    </xf>
    <xf numFmtId="0" fontId="81" fillId="6" borderId="5" xfId="0" applyFont="1" applyFill="1" applyBorder="1" applyAlignment="1" applyProtection="1">
      <alignment horizontal="right"/>
      <protection locked="0"/>
    </xf>
    <xf numFmtId="0" fontId="78" fillId="0" borderId="0" xfId="0" applyFont="1" applyAlignment="1" applyProtection="1">
      <alignment horizontal="right"/>
      <protection locked="0"/>
    </xf>
    <xf numFmtId="0" fontId="86" fillId="14" borderId="103" xfId="0" applyFont="1" applyFill="1" applyBorder="1" applyAlignment="1" applyProtection="1">
      <alignment horizontal="right"/>
      <protection locked="0"/>
    </xf>
    <xf numFmtId="0" fontId="82" fillId="6" borderId="65" xfId="0" applyFont="1" applyFill="1" applyBorder="1" applyAlignment="1" applyProtection="1">
      <alignment horizontal="right"/>
      <protection locked="0"/>
    </xf>
    <xf numFmtId="0" fontId="88" fillId="6" borderId="65" xfId="0" applyFont="1" applyFill="1" applyBorder="1" applyAlignment="1" applyProtection="1">
      <alignment horizontal="right"/>
      <protection locked="0"/>
    </xf>
    <xf numFmtId="0" fontId="86" fillId="14" borderId="0" xfId="0" applyFont="1" applyFill="1" applyAlignment="1" applyProtection="1">
      <alignment horizontal="right"/>
      <protection locked="0"/>
    </xf>
    <xf numFmtId="0" fontId="79" fillId="14" borderId="103" xfId="0" applyFont="1" applyFill="1" applyBorder="1" applyAlignment="1" applyProtection="1">
      <alignment horizontal="right"/>
      <protection locked="0"/>
    </xf>
    <xf numFmtId="0" fontId="78" fillId="29" borderId="65" xfId="0" applyFont="1" applyFill="1" applyBorder="1" applyAlignment="1" applyProtection="1">
      <alignment horizontal="right"/>
      <protection locked="0"/>
    </xf>
    <xf numFmtId="0" fontId="82" fillId="6" borderId="86" xfId="0" applyFont="1" applyFill="1" applyBorder="1" applyAlignment="1" applyProtection="1">
      <alignment horizontal="right"/>
      <protection locked="0"/>
    </xf>
    <xf numFmtId="0" fontId="78" fillId="29" borderId="57" xfId="0" applyFont="1" applyFill="1" applyBorder="1" applyAlignment="1" applyProtection="1">
      <alignment horizontal="right"/>
      <protection locked="0"/>
    </xf>
    <xf numFmtId="0" fontId="79" fillId="14" borderId="106" xfId="0" applyFont="1" applyFill="1" applyBorder="1" applyAlignment="1" applyProtection="1">
      <alignment horizontal="right"/>
      <protection locked="0"/>
    </xf>
    <xf numFmtId="0" fontId="79" fillId="14" borderId="5" xfId="0" applyFont="1" applyFill="1" applyBorder="1" applyAlignment="1" applyProtection="1">
      <alignment horizontal="right"/>
      <protection locked="0"/>
    </xf>
    <xf numFmtId="0" fontId="82" fillId="0" borderId="0" xfId="0" applyFont="1"/>
    <xf numFmtId="38" fontId="78" fillId="0" borderId="86" xfId="0" applyNumberFormat="1" applyFont="1" applyBorder="1" applyAlignment="1">
      <alignment horizontal="center"/>
    </xf>
    <xf numFmtId="38" fontId="78" fillId="0" borderId="86" xfId="0" applyNumberFormat="1" applyFont="1" applyBorder="1"/>
    <xf numFmtId="0" fontId="78" fillId="0" borderId="86" xfId="0" applyFont="1" applyBorder="1" applyAlignment="1" applyProtection="1">
      <alignment horizontal="right"/>
      <protection locked="0"/>
    </xf>
    <xf numFmtId="0" fontId="82" fillId="0" borderId="86" xfId="0" applyFont="1" applyBorder="1" applyAlignment="1" applyProtection="1">
      <alignment horizontal="right"/>
      <protection locked="0"/>
    </xf>
    <xf numFmtId="0" fontId="20" fillId="29" borderId="112" xfId="0" applyFont="1" applyFill="1" applyBorder="1"/>
    <xf numFmtId="0" fontId="20" fillId="29" borderId="113" xfId="0" applyFont="1" applyFill="1" applyBorder="1"/>
    <xf numFmtId="10" fontId="90" fillId="29" borderId="113" xfId="0" applyNumberFormat="1" applyFont="1" applyFill="1" applyBorder="1"/>
    <xf numFmtId="10" fontId="83" fillId="29" borderId="102" xfId="0" applyNumberFormat="1" applyFont="1" applyFill="1" applyBorder="1" applyAlignment="1">
      <alignment horizontal="center"/>
    </xf>
    <xf numFmtId="10" fontId="83" fillId="29" borderId="91" xfId="0" applyNumberFormat="1" applyFont="1" applyFill="1" applyBorder="1" applyAlignment="1">
      <alignment horizontal="center"/>
    </xf>
    <xf numFmtId="10" fontId="83" fillId="29" borderId="3" xfId="0" applyNumberFormat="1" applyFont="1" applyFill="1" applyBorder="1" applyAlignment="1">
      <alignment horizontal="center"/>
    </xf>
    <xf numFmtId="10" fontId="83" fillId="29" borderId="0" xfId="0" applyNumberFormat="1" applyFont="1" applyFill="1" applyAlignment="1">
      <alignment horizontal="center"/>
    </xf>
    <xf numFmtId="10" fontId="83" fillId="29" borderId="1" xfId="0" applyNumberFormat="1" applyFont="1" applyFill="1" applyBorder="1" applyAlignment="1">
      <alignment horizontal="center"/>
    </xf>
    <xf numFmtId="10" fontId="83" fillId="29" borderId="4" xfId="0" applyNumberFormat="1" applyFont="1" applyFill="1" applyBorder="1" applyAlignment="1">
      <alignment horizontal="center"/>
    </xf>
    <xf numFmtId="9" fontId="80" fillId="29" borderId="91" xfId="0" applyNumberFormat="1" applyFont="1" applyFill="1" applyBorder="1" applyAlignment="1">
      <alignment horizontal="center"/>
    </xf>
    <xf numFmtId="0" fontId="70" fillId="29" borderId="91" xfId="0" applyFont="1" applyFill="1" applyBorder="1" applyAlignment="1">
      <alignment horizontal="right" vertical="center"/>
    </xf>
    <xf numFmtId="0" fontId="70" fillId="29" borderId="0" xfId="0" applyFont="1" applyFill="1" applyAlignment="1">
      <alignment horizontal="right" vertical="center"/>
    </xf>
    <xf numFmtId="173" fontId="70" fillId="29" borderId="137" xfId="0" applyNumberFormat="1" applyFont="1" applyFill="1" applyBorder="1" applyAlignment="1">
      <alignment vertical="center"/>
    </xf>
    <xf numFmtId="0" fontId="89" fillId="29" borderId="113" xfId="0" applyFont="1" applyFill="1" applyBorder="1" applyAlignment="1">
      <alignment vertical="center"/>
    </xf>
    <xf numFmtId="40" fontId="78" fillId="0" borderId="0" xfId="0" applyNumberFormat="1" applyFont="1" applyAlignment="1">
      <alignment horizontal="center"/>
    </xf>
    <xf numFmtId="0" fontId="79" fillId="30" borderId="0" xfId="0" applyFont="1" applyFill="1" applyAlignment="1" applyProtection="1">
      <alignment horizontal="center"/>
      <protection locked="0"/>
    </xf>
    <xf numFmtId="0" fontId="20" fillId="0" borderId="0" xfId="0" applyFont="1" applyAlignment="1">
      <alignment horizontal="center"/>
    </xf>
    <xf numFmtId="0" fontId="20" fillId="0" borderId="4" xfId="0" applyFont="1" applyBorder="1" applyAlignment="1">
      <alignment horizontal="center"/>
    </xf>
    <xf numFmtId="0" fontId="22" fillId="0" borderId="105" xfId="0" applyFont="1" applyBorder="1" applyAlignment="1">
      <alignment horizontal="center" wrapText="1"/>
    </xf>
    <xf numFmtId="0" fontId="22" fillId="0" borderId="125" xfId="0" applyFont="1" applyBorder="1" applyAlignment="1">
      <alignment horizontal="center" wrapText="1"/>
    </xf>
    <xf numFmtId="0" fontId="22" fillId="0" borderId="131" xfId="0" applyFont="1" applyBorder="1" applyAlignment="1">
      <alignment horizontal="center" wrapText="1"/>
    </xf>
    <xf numFmtId="171" fontId="23" fillId="0" borderId="98" xfId="0" applyNumberFormat="1" applyFont="1" applyBorder="1" applyAlignment="1">
      <alignment horizontal="center"/>
    </xf>
    <xf numFmtId="171" fontId="23" fillId="0" borderId="0" xfId="0" applyNumberFormat="1" applyFont="1" applyAlignment="1">
      <alignment horizontal="center"/>
    </xf>
    <xf numFmtId="171" fontId="23" fillId="0" borderId="70" xfId="0" applyNumberFormat="1" applyFont="1" applyBorder="1" applyAlignment="1">
      <alignment horizontal="center"/>
    </xf>
    <xf numFmtId="171" fontId="23" fillId="0" borderId="137" xfId="0" applyNumberFormat="1" applyFont="1" applyBorder="1" applyAlignment="1">
      <alignment horizontal="center"/>
    </xf>
    <xf numFmtId="10" fontId="43" fillId="0" borderId="98" xfId="2" quotePrefix="1" applyNumberFormat="1" applyFont="1" applyBorder="1" applyAlignment="1">
      <alignment horizontal="center"/>
    </xf>
    <xf numFmtId="10" fontId="43" fillId="0" borderId="0" xfId="2" applyNumberFormat="1" applyFont="1" applyBorder="1" applyAlignment="1">
      <alignment horizontal="center"/>
    </xf>
    <xf numFmtId="10" fontId="43" fillId="0" borderId="0" xfId="2" quotePrefix="1" applyNumberFormat="1" applyFont="1" applyBorder="1" applyAlignment="1">
      <alignment horizontal="center"/>
    </xf>
    <xf numFmtId="10" fontId="43" fillId="0" borderId="70" xfId="2" quotePrefix="1" applyNumberFormat="1" applyFont="1" applyBorder="1" applyAlignment="1">
      <alignment horizontal="center"/>
    </xf>
    <xf numFmtId="10" fontId="43" fillId="0" borderId="137" xfId="2" applyNumberFormat="1" applyFont="1" applyBorder="1" applyAlignment="1">
      <alignment horizontal="center"/>
    </xf>
    <xf numFmtId="0" fontId="43" fillId="0" borderId="98" xfId="0" applyFont="1" applyBorder="1" applyAlignment="1">
      <alignment horizontal="center"/>
    </xf>
    <xf numFmtId="0" fontId="43" fillId="0" borderId="0" xfId="0" applyFont="1" applyAlignment="1">
      <alignment horizontal="center"/>
    </xf>
    <xf numFmtId="0" fontId="43" fillId="0" borderId="70" xfId="0" applyFont="1" applyBorder="1" applyAlignment="1">
      <alignment horizontal="center"/>
    </xf>
    <xf numFmtId="0" fontId="43" fillId="0" borderId="137" xfId="0" applyFont="1" applyBorder="1" applyAlignment="1">
      <alignment horizontal="center"/>
    </xf>
    <xf numFmtId="171" fontId="19" fillId="0" borderId="98" xfId="0" applyNumberFormat="1" applyFont="1" applyBorder="1" applyAlignment="1">
      <alignment horizontal="center"/>
    </xf>
    <xf numFmtId="171" fontId="19" fillId="0" borderId="0" xfId="0" applyNumberFormat="1" applyFont="1" applyAlignment="1">
      <alignment horizontal="center"/>
    </xf>
    <xf numFmtId="171" fontId="19" fillId="0" borderId="70" xfId="0" applyNumberFormat="1" applyFont="1" applyBorder="1" applyAlignment="1">
      <alignment horizontal="center"/>
    </xf>
    <xf numFmtId="171" fontId="19" fillId="0" borderId="137" xfId="0" applyNumberFormat="1" applyFont="1" applyBorder="1" applyAlignment="1">
      <alignment horizontal="center"/>
    </xf>
    <xf numFmtId="171" fontId="19" fillId="0" borderId="74" xfId="0" applyNumberFormat="1" applyFont="1" applyBorder="1" applyAlignment="1">
      <alignment horizontal="center"/>
    </xf>
    <xf numFmtId="171" fontId="19" fillId="0" borderId="4" xfId="0" applyNumberFormat="1" applyFont="1" applyBorder="1" applyAlignment="1">
      <alignment horizontal="center"/>
    </xf>
    <xf numFmtId="171" fontId="19" fillId="0" borderId="77" xfId="0" applyNumberFormat="1" applyFont="1" applyBorder="1" applyAlignment="1">
      <alignment horizontal="center"/>
    </xf>
    <xf numFmtId="3" fontId="19" fillId="0" borderId="111" xfId="1" applyNumberFormat="1" applyFont="1" applyBorder="1" applyAlignment="1">
      <alignment horizontal="center"/>
    </xf>
    <xf numFmtId="3" fontId="19" fillId="0" borderId="91" xfId="1" applyNumberFormat="1" applyFont="1" applyBorder="1" applyAlignment="1">
      <alignment horizontal="center"/>
    </xf>
    <xf numFmtId="3" fontId="19" fillId="0" borderId="101" xfId="1" applyNumberFormat="1" applyFont="1" applyBorder="1" applyAlignment="1">
      <alignment horizontal="center"/>
    </xf>
    <xf numFmtId="3" fontId="19" fillId="0" borderId="98" xfId="1" applyNumberFormat="1" applyFont="1" applyBorder="1" applyAlignment="1">
      <alignment horizontal="center"/>
    </xf>
    <xf numFmtId="3" fontId="19" fillId="0" borderId="0" xfId="1" applyNumberFormat="1" applyFont="1" applyBorder="1" applyAlignment="1">
      <alignment horizontal="center"/>
    </xf>
    <xf numFmtId="3" fontId="19" fillId="0" borderId="70" xfId="1" applyNumberFormat="1" applyFont="1" applyBorder="1" applyAlignment="1">
      <alignment horizontal="center"/>
    </xf>
    <xf numFmtId="3" fontId="19" fillId="0" borderId="137" xfId="1" applyNumberFormat="1" applyFont="1" applyBorder="1" applyAlignment="1">
      <alignment horizontal="center"/>
    </xf>
    <xf numFmtId="0" fontId="20" fillId="0" borderId="131" xfId="0" applyFont="1" applyBorder="1" applyAlignment="1">
      <alignment horizontal="left"/>
    </xf>
    <xf numFmtId="0" fontId="20" fillId="0" borderId="105" xfId="0" applyFont="1" applyBorder="1" applyAlignment="1">
      <alignment horizontal="left"/>
    </xf>
    <xf numFmtId="164" fontId="19" fillId="0" borderId="131" xfId="2" applyNumberFormat="1" applyFont="1" applyFill="1" applyBorder="1" applyAlignment="1">
      <alignment horizontal="center"/>
    </xf>
    <xf numFmtId="164" fontId="19" fillId="0" borderId="105" xfId="2" applyNumberFormat="1" applyFont="1" applyFill="1" applyBorder="1" applyAlignment="1">
      <alignment horizontal="center"/>
    </xf>
    <xf numFmtId="164" fontId="19" fillId="0" borderId="125" xfId="2" applyNumberFormat="1" applyFont="1" applyFill="1" applyBorder="1" applyAlignment="1">
      <alignment horizontal="center"/>
    </xf>
    <xf numFmtId="164" fontId="23" fillId="0" borderId="98" xfId="2" applyNumberFormat="1" applyFont="1" applyFill="1" applyBorder="1" applyAlignment="1">
      <alignment horizontal="center"/>
    </xf>
    <xf numFmtId="164" fontId="23" fillId="0" borderId="0" xfId="2" applyNumberFormat="1" applyFont="1" applyFill="1" applyBorder="1" applyAlignment="1">
      <alignment horizontal="center"/>
    </xf>
    <xf numFmtId="164" fontId="23" fillId="0" borderId="70" xfId="2" applyNumberFormat="1" applyFont="1" applyFill="1" applyBorder="1" applyAlignment="1">
      <alignment horizontal="center"/>
    </xf>
    <xf numFmtId="164" fontId="23" fillId="0" borderId="137" xfId="2" applyNumberFormat="1" applyFont="1" applyFill="1" applyBorder="1" applyAlignment="1">
      <alignment horizontal="center"/>
    </xf>
    <xf numFmtId="172" fontId="19" fillId="0" borderId="98" xfId="2" applyNumberFormat="1" applyFont="1" applyBorder="1" applyAlignment="1">
      <alignment horizontal="center"/>
    </xf>
    <xf numFmtId="172" fontId="19" fillId="0" borderId="0" xfId="2" applyNumberFormat="1" applyFont="1" applyBorder="1" applyAlignment="1">
      <alignment horizontal="center"/>
    </xf>
    <xf numFmtId="172" fontId="19" fillId="0" borderId="70" xfId="2" applyNumberFormat="1" applyFont="1" applyBorder="1" applyAlignment="1">
      <alignment horizontal="center"/>
    </xf>
    <xf numFmtId="172" fontId="19" fillId="0" borderId="137" xfId="2" applyNumberFormat="1" applyFont="1" applyBorder="1" applyAlignment="1">
      <alignment horizontal="center"/>
    </xf>
    <xf numFmtId="171" fontId="19" fillId="0" borderId="74" xfId="2" applyNumberFormat="1" applyFont="1" applyBorder="1" applyAlignment="1">
      <alignment horizontal="center"/>
    </xf>
    <xf numFmtId="171" fontId="19" fillId="0" borderId="4" xfId="2" applyNumberFormat="1" applyFont="1" applyBorder="1" applyAlignment="1">
      <alignment horizontal="center"/>
    </xf>
    <xf numFmtId="171" fontId="19" fillId="0" borderId="77" xfId="2" applyNumberFormat="1" applyFont="1" applyBorder="1" applyAlignment="1">
      <alignment horizontal="center"/>
    </xf>
    <xf numFmtId="0" fontId="19" fillId="0" borderId="131" xfId="0" applyFont="1" applyBorder="1" applyAlignment="1">
      <alignment horizontal="left" vertical="top"/>
    </xf>
    <xf numFmtId="0" fontId="19" fillId="0" borderId="105" xfId="0" applyFont="1" applyBorder="1" applyAlignment="1">
      <alignment horizontal="left" vertical="top"/>
    </xf>
    <xf numFmtId="0" fontId="7" fillId="11" borderId="74" xfId="0" applyFont="1" applyFill="1" applyBorder="1" applyAlignment="1">
      <alignment horizontal="left" indent="2"/>
    </xf>
    <xf numFmtId="0" fontId="7" fillId="11" borderId="4" xfId="0" applyFont="1" applyFill="1" applyBorder="1" applyAlignment="1">
      <alignment horizontal="left" indent="2"/>
    </xf>
    <xf numFmtId="2" fontId="19" fillId="0" borderId="131" xfId="0" applyNumberFormat="1" applyFont="1" applyBorder="1" applyAlignment="1">
      <alignment horizontal="center"/>
    </xf>
    <xf numFmtId="2" fontId="19" fillId="0" borderId="105" xfId="0" applyNumberFormat="1" applyFont="1" applyBorder="1" applyAlignment="1">
      <alignment horizontal="center"/>
    </xf>
    <xf numFmtId="2" fontId="19" fillId="0" borderId="111" xfId="0" applyNumberFormat="1" applyFont="1" applyBorder="1" applyAlignment="1">
      <alignment horizontal="center"/>
    </xf>
    <xf numFmtId="2" fontId="19" fillId="0" borderId="101" xfId="0" applyNumberFormat="1" applyFont="1" applyBorder="1" applyAlignment="1">
      <alignment horizontal="center"/>
    </xf>
    <xf numFmtId="2" fontId="60" fillId="25" borderId="78" xfId="0" applyNumberFormat="1" applyFont="1" applyFill="1" applyBorder="1" applyAlignment="1">
      <alignment horizontal="center"/>
    </xf>
    <xf numFmtId="2" fontId="60" fillId="25" borderId="81" xfId="0" applyNumberFormat="1" applyFont="1" applyFill="1" applyBorder="1" applyAlignment="1">
      <alignment horizontal="center"/>
    </xf>
    <xf numFmtId="2" fontId="19" fillId="0" borderId="74" xfId="0" applyNumberFormat="1" applyFont="1" applyBorder="1" applyAlignment="1">
      <alignment horizontal="center"/>
    </xf>
    <xf numFmtId="2" fontId="19" fillId="0" borderId="77" xfId="0" applyNumberFormat="1" applyFont="1" applyBorder="1" applyAlignment="1">
      <alignment horizontal="center"/>
    </xf>
    <xf numFmtId="2" fontId="19" fillId="0" borderId="125" xfId="0" applyNumberFormat="1" applyFont="1" applyBorder="1" applyAlignment="1">
      <alignment horizontal="center"/>
    </xf>
    <xf numFmtId="10" fontId="23" fillId="0" borderId="98" xfId="2" applyNumberFormat="1" applyFont="1" applyBorder="1" applyAlignment="1">
      <alignment horizontal="center"/>
    </xf>
    <xf numFmtId="10" fontId="23" fillId="0" borderId="0" xfId="2" applyNumberFormat="1" applyFont="1" applyBorder="1" applyAlignment="1">
      <alignment horizontal="center"/>
    </xf>
    <xf numFmtId="10" fontId="23" fillId="0" borderId="70" xfId="2" applyNumberFormat="1" applyFont="1" applyBorder="1" applyAlignment="1">
      <alignment horizontal="center"/>
    </xf>
    <xf numFmtId="10" fontId="23" fillId="0" borderId="137" xfId="2" applyNumberFormat="1" applyFont="1" applyBorder="1" applyAlignment="1">
      <alignment horizontal="center"/>
    </xf>
    <xf numFmtId="164" fontId="19" fillId="0" borderId="98" xfId="2" applyNumberFormat="1" applyFont="1" applyBorder="1" applyAlignment="1">
      <alignment horizontal="center"/>
    </xf>
    <xf numFmtId="164" fontId="19" fillId="0" borderId="0" xfId="2" applyNumberFormat="1" applyFont="1" applyBorder="1" applyAlignment="1">
      <alignment horizontal="center"/>
    </xf>
    <xf numFmtId="164" fontId="19" fillId="0" borderId="70" xfId="2" applyNumberFormat="1" applyFont="1" applyBorder="1" applyAlignment="1">
      <alignment horizontal="center"/>
    </xf>
    <xf numFmtId="164" fontId="19" fillId="0" borderId="137" xfId="2" applyNumberFormat="1" applyFont="1" applyBorder="1" applyAlignment="1">
      <alignment horizontal="center"/>
    </xf>
    <xf numFmtId="171" fontId="19" fillId="0" borderId="98" xfId="2" applyNumberFormat="1" applyFont="1" applyBorder="1" applyAlignment="1">
      <alignment horizontal="center"/>
    </xf>
    <xf numFmtId="171" fontId="19" fillId="0" borderId="0" xfId="2" applyNumberFormat="1" applyFont="1" applyBorder="1" applyAlignment="1">
      <alignment horizontal="center"/>
    </xf>
    <xf numFmtId="171" fontId="19" fillId="0" borderId="70" xfId="2" applyNumberFormat="1" applyFont="1" applyBorder="1" applyAlignment="1">
      <alignment horizontal="center"/>
    </xf>
    <xf numFmtId="171" fontId="19" fillId="0" borderId="137" xfId="2" applyNumberFormat="1" applyFont="1" applyBorder="1" applyAlignment="1">
      <alignment horizontal="center"/>
    </xf>
    <xf numFmtId="0" fontId="20" fillId="12" borderId="131" xfId="0" applyFont="1" applyFill="1" applyBorder="1" applyAlignment="1">
      <alignment horizontal="center"/>
    </xf>
    <xf numFmtId="0" fontId="20" fillId="12" borderId="105" xfId="0" applyFont="1" applyFill="1" applyBorder="1" applyAlignment="1">
      <alignment horizontal="center"/>
    </xf>
    <xf numFmtId="0" fontId="20" fillId="12" borderId="125" xfId="0" applyFont="1" applyFill="1" applyBorder="1" applyAlignment="1">
      <alignment horizontal="center"/>
    </xf>
    <xf numFmtId="10" fontId="33" fillId="0" borderId="98" xfId="2" quotePrefix="1" applyNumberFormat="1" applyFont="1" applyBorder="1" applyAlignment="1">
      <alignment horizontal="center"/>
    </xf>
    <xf numFmtId="10" fontId="33" fillId="0" borderId="0" xfId="2" applyNumberFormat="1" applyFont="1" applyBorder="1" applyAlignment="1">
      <alignment horizontal="center"/>
    </xf>
    <xf numFmtId="10" fontId="33" fillId="0" borderId="0" xfId="2" quotePrefix="1" applyNumberFormat="1" applyFont="1" applyBorder="1" applyAlignment="1">
      <alignment horizontal="center"/>
    </xf>
    <xf numFmtId="10" fontId="33" fillId="0" borderId="70" xfId="2" quotePrefix="1" applyNumberFormat="1" applyFont="1" applyBorder="1" applyAlignment="1">
      <alignment horizontal="center"/>
    </xf>
    <xf numFmtId="10" fontId="33" fillId="0" borderId="137" xfId="2" applyNumberFormat="1" applyFont="1" applyBorder="1" applyAlignment="1">
      <alignment horizontal="center"/>
    </xf>
    <xf numFmtId="10" fontId="33" fillId="0" borderId="98" xfId="0" applyNumberFormat="1" applyFont="1" applyBorder="1" applyAlignment="1">
      <alignment horizontal="center"/>
    </xf>
    <xf numFmtId="10" fontId="33" fillId="0" borderId="0" xfId="0" applyNumberFormat="1" applyFont="1" applyAlignment="1">
      <alignment horizontal="center"/>
    </xf>
    <xf numFmtId="10" fontId="33" fillId="0" borderId="70" xfId="0" applyNumberFormat="1" applyFont="1" applyBorder="1" applyAlignment="1">
      <alignment horizontal="center"/>
    </xf>
    <xf numFmtId="10" fontId="33" fillId="0" borderId="137" xfId="0" applyNumberFormat="1" applyFont="1" applyBorder="1" applyAlignment="1">
      <alignment horizontal="center"/>
    </xf>
    <xf numFmtId="10" fontId="59" fillId="0" borderId="98" xfId="0" applyNumberFormat="1" applyFont="1" applyBorder="1" applyAlignment="1">
      <alignment horizontal="center"/>
    </xf>
    <xf numFmtId="10" fontId="59" fillId="0" borderId="0" xfId="0" applyNumberFormat="1" applyFont="1" applyAlignment="1">
      <alignment horizontal="center"/>
    </xf>
    <xf numFmtId="10" fontId="59" fillId="0" borderId="70" xfId="0" applyNumberFormat="1" applyFont="1" applyBorder="1" applyAlignment="1">
      <alignment horizontal="center"/>
    </xf>
    <xf numFmtId="10" fontId="59" fillId="0" borderId="137" xfId="0" applyNumberFormat="1" applyFont="1" applyBorder="1" applyAlignment="1">
      <alignment horizontal="center"/>
    </xf>
    <xf numFmtId="10" fontId="20" fillId="0" borderId="112" xfId="0" applyNumberFormat="1" applyFont="1" applyBorder="1" applyAlignment="1">
      <alignment horizontal="center"/>
    </xf>
    <xf numFmtId="10" fontId="20" fillId="0" borderId="113" xfId="0" applyNumberFormat="1" applyFont="1" applyBorder="1" applyAlignment="1">
      <alignment horizontal="center"/>
    </xf>
    <xf numFmtId="10" fontId="20" fillId="0" borderId="115" xfId="0" applyNumberFormat="1" applyFont="1" applyBorder="1" applyAlignment="1">
      <alignment horizontal="center"/>
    </xf>
    <xf numFmtId="0" fontId="36" fillId="14" borderId="0" xfId="0" quotePrefix="1" applyFont="1" applyFill="1" applyAlignment="1">
      <alignment horizontal="center" wrapText="1"/>
    </xf>
    <xf numFmtId="3" fontId="37" fillId="12" borderId="0" xfId="0" applyNumberFormat="1" applyFont="1" applyFill="1" applyAlignment="1">
      <alignment horizontal="center"/>
    </xf>
    <xf numFmtId="3" fontId="35" fillId="14" borderId="67" xfId="0" applyNumberFormat="1" applyFont="1" applyFill="1" applyBorder="1" applyAlignment="1">
      <alignment horizontal="right"/>
    </xf>
    <xf numFmtId="3" fontId="35" fillId="14" borderId="68" xfId="0" applyNumberFormat="1" applyFont="1" applyFill="1" applyBorder="1" applyAlignment="1">
      <alignment horizontal="right"/>
    </xf>
    <xf numFmtId="3" fontId="35" fillId="14" borderId="70" xfId="0" applyNumberFormat="1" applyFont="1" applyFill="1" applyBorder="1" applyAlignment="1">
      <alignment horizontal="right"/>
    </xf>
    <xf numFmtId="3" fontId="35" fillId="14" borderId="0" xfId="0" applyNumberFormat="1" applyFont="1" applyFill="1" applyAlignment="1">
      <alignment horizontal="right"/>
    </xf>
    <xf numFmtId="0" fontId="36" fillId="14" borderId="0" xfId="0" quotePrefix="1" applyFont="1" applyFill="1" applyAlignment="1">
      <alignment horizontal="center"/>
    </xf>
    <xf numFmtId="0" fontId="36" fillId="14" borderId="57" xfId="0" quotePrefix="1" applyFont="1" applyFill="1" applyBorder="1" applyAlignment="1">
      <alignment horizontal="center"/>
    </xf>
    <xf numFmtId="0" fontId="41" fillId="12" borderId="0" xfId="0" applyFont="1" applyFill="1" applyAlignment="1">
      <alignment horizontal="center"/>
    </xf>
    <xf numFmtId="0" fontId="40" fillId="12" borderId="0" xfId="0" applyFont="1" applyFill="1" applyAlignment="1">
      <alignment horizontal="center"/>
    </xf>
    <xf numFmtId="0" fontId="40" fillId="12" borderId="89" xfId="0" applyFont="1" applyFill="1" applyBorder="1" applyAlignment="1">
      <alignment horizontal="center"/>
    </xf>
    <xf numFmtId="0" fontId="0" fillId="12" borderId="67" xfId="0" applyFill="1" applyBorder="1" applyAlignment="1">
      <alignment horizontal="left" vertical="top" wrapText="1"/>
    </xf>
    <xf numFmtId="0" fontId="0" fillId="12" borderId="68" xfId="0" applyFill="1" applyBorder="1" applyAlignment="1">
      <alignment horizontal="left" vertical="top" wrapText="1"/>
    </xf>
    <xf numFmtId="0" fontId="0" fillId="12" borderId="87" xfId="0" applyFill="1" applyBorder="1" applyAlignment="1">
      <alignment horizontal="left" vertical="top" wrapText="1"/>
    </xf>
    <xf numFmtId="0" fontId="0" fillId="12" borderId="70" xfId="0" applyFill="1" applyBorder="1" applyAlignment="1">
      <alignment horizontal="left" vertical="top" wrapText="1"/>
    </xf>
    <xf numFmtId="0" fontId="0" fillId="12" borderId="0" xfId="0" applyFill="1" applyAlignment="1">
      <alignment horizontal="left" vertical="top" wrapText="1"/>
    </xf>
    <xf numFmtId="0" fontId="0" fillId="12" borderId="76" xfId="0" applyFill="1" applyBorder="1" applyAlignment="1">
      <alignment horizontal="left" vertical="top" wrapText="1"/>
    </xf>
    <xf numFmtId="0" fontId="0" fillId="12" borderId="88" xfId="0" applyFill="1" applyBorder="1" applyAlignment="1">
      <alignment horizontal="left" vertical="top" wrapText="1"/>
    </xf>
    <xf numFmtId="0" fontId="0" fillId="12" borderId="89" xfId="0" applyFill="1" applyBorder="1" applyAlignment="1">
      <alignment horizontal="left" vertical="top" wrapText="1"/>
    </xf>
    <xf numFmtId="0" fontId="0" fillId="12" borderId="90" xfId="0" applyFill="1" applyBorder="1" applyAlignment="1">
      <alignment horizontal="left" vertical="top" wrapText="1"/>
    </xf>
    <xf numFmtId="0" fontId="25" fillId="11" borderId="0" xfId="0" applyFont="1" applyFill="1" applyAlignment="1" applyProtection="1">
      <alignment horizontal="center"/>
      <protection locked="0"/>
    </xf>
    <xf numFmtId="0" fontId="27" fillId="11" borderId="0" xfId="0" applyFont="1" applyFill="1" applyAlignment="1">
      <alignment horizontal="center"/>
    </xf>
    <xf numFmtId="0" fontId="29" fillId="2" borderId="27" xfId="0" applyFont="1" applyFill="1" applyBorder="1" applyAlignment="1">
      <alignment horizontal="left"/>
    </xf>
    <xf numFmtId="0" fontId="26" fillId="3" borderId="58" xfId="0" applyFont="1" applyFill="1" applyBorder="1" applyAlignment="1" applyProtection="1">
      <alignment horizontal="right"/>
      <protection locked="0"/>
    </xf>
    <xf numFmtId="0" fontId="26" fillId="3" borderId="59" xfId="0" applyFont="1" applyFill="1" applyBorder="1" applyAlignment="1" applyProtection="1">
      <alignment horizontal="right"/>
      <protection locked="0"/>
    </xf>
    <xf numFmtId="0" fontId="26" fillId="3" borderId="60" xfId="0" applyFont="1" applyFill="1" applyBorder="1" applyAlignment="1" applyProtection="1">
      <alignment horizontal="right"/>
      <protection locked="0"/>
    </xf>
    <xf numFmtId="0" fontId="26" fillId="11" borderId="0" xfId="0" applyFont="1" applyFill="1" applyAlignment="1">
      <alignment horizontal="left"/>
    </xf>
    <xf numFmtId="0" fontId="26" fillId="3" borderId="28" xfId="0" applyFont="1" applyFill="1" applyBorder="1" applyAlignment="1">
      <alignment horizontal="right"/>
    </xf>
    <xf numFmtId="0" fontId="26" fillId="3" borderId="29" xfId="0" applyFont="1" applyFill="1" applyBorder="1" applyAlignment="1">
      <alignment horizontal="right"/>
    </xf>
    <xf numFmtId="0" fontId="26" fillId="3" borderId="30" xfId="0" applyFont="1" applyFill="1" applyBorder="1" applyAlignment="1">
      <alignment horizontal="right"/>
    </xf>
    <xf numFmtId="0" fontId="26" fillId="12" borderId="61" xfId="0" applyFont="1" applyFill="1" applyBorder="1" applyAlignment="1" applyProtection="1">
      <alignment horizontal="right"/>
      <protection locked="0"/>
    </xf>
    <xf numFmtId="0" fontId="26" fillId="12" borderId="62" xfId="0" applyFont="1" applyFill="1" applyBorder="1" applyAlignment="1" applyProtection="1">
      <alignment horizontal="right"/>
      <protection locked="0"/>
    </xf>
    <xf numFmtId="0" fontId="26" fillId="12" borderId="63" xfId="0" applyFont="1" applyFill="1" applyBorder="1" applyAlignment="1" applyProtection="1">
      <alignment horizontal="right"/>
      <protection locked="0"/>
    </xf>
    <xf numFmtId="0" fontId="26" fillId="3" borderId="31" xfId="0" applyFont="1" applyFill="1" applyBorder="1" applyAlignment="1" applyProtection="1">
      <alignment horizontal="right"/>
      <protection locked="0"/>
    </xf>
    <xf numFmtId="0" fontId="26" fillId="3" borderId="32" xfId="0" applyFont="1" applyFill="1" applyBorder="1" applyAlignment="1" applyProtection="1">
      <alignment horizontal="right"/>
      <protection locked="0"/>
    </xf>
    <xf numFmtId="0" fontId="26" fillId="3" borderId="33" xfId="0" applyFont="1" applyFill="1" applyBorder="1" applyAlignment="1" applyProtection="1">
      <alignment horizontal="right"/>
      <protection locked="0"/>
    </xf>
    <xf numFmtId="0" fontId="26" fillId="3" borderId="28" xfId="0" applyFont="1" applyFill="1" applyBorder="1" applyAlignment="1" applyProtection="1">
      <alignment horizontal="right"/>
      <protection locked="0"/>
    </xf>
    <xf numFmtId="0" fontId="26" fillId="3" borderId="29" xfId="0" applyFont="1" applyFill="1" applyBorder="1" applyAlignment="1" applyProtection="1">
      <alignment horizontal="right"/>
      <protection locked="0"/>
    </xf>
    <xf numFmtId="0" fontId="26" fillId="3" borderId="30" xfId="0" applyFont="1" applyFill="1" applyBorder="1" applyAlignment="1" applyProtection="1">
      <alignment horizontal="right"/>
      <protection locked="0"/>
    </xf>
    <xf numFmtId="14" fontId="26" fillId="3" borderId="28" xfId="0" applyNumberFormat="1" applyFont="1" applyFill="1" applyBorder="1" applyAlignment="1" applyProtection="1">
      <alignment horizontal="right"/>
      <protection locked="0"/>
    </xf>
    <xf numFmtId="0" fontId="26" fillId="3" borderId="44" xfId="0" applyFont="1" applyFill="1" applyBorder="1" applyAlignment="1">
      <alignment horizontal="right"/>
    </xf>
    <xf numFmtId="0" fontId="26" fillId="3" borderId="42" xfId="0" applyFont="1" applyFill="1" applyBorder="1" applyAlignment="1">
      <alignment horizontal="right"/>
    </xf>
    <xf numFmtId="0" fontId="26" fillId="3" borderId="43" xfId="0" applyFont="1" applyFill="1" applyBorder="1" applyAlignment="1">
      <alignment horizontal="right"/>
    </xf>
    <xf numFmtId="0" fontId="26" fillId="11" borderId="0" xfId="0" applyFont="1" applyFill="1" applyAlignment="1">
      <alignment horizontal="left" wrapText="1"/>
    </xf>
    <xf numFmtId="0" fontId="26" fillId="11" borderId="51" xfId="0" applyFont="1" applyFill="1" applyBorder="1" applyAlignment="1">
      <alignment horizontal="left" wrapText="1"/>
    </xf>
    <xf numFmtId="0" fontId="26" fillId="3" borderId="34" xfId="0" applyFont="1" applyFill="1" applyBorder="1" applyAlignment="1" applyProtection="1">
      <alignment horizontal="left" vertical="top" wrapText="1"/>
      <protection locked="0"/>
    </xf>
    <xf numFmtId="0" fontId="26" fillId="3" borderId="35" xfId="0" applyFont="1" applyFill="1" applyBorder="1" applyAlignment="1" applyProtection="1">
      <alignment horizontal="left" vertical="top" wrapText="1"/>
      <protection locked="0"/>
    </xf>
    <xf numFmtId="0" fontId="26" fillId="3" borderId="36" xfId="0" applyFont="1" applyFill="1" applyBorder="1" applyAlignment="1" applyProtection="1">
      <alignment horizontal="left" vertical="top" wrapText="1"/>
      <protection locked="0"/>
    </xf>
    <xf numFmtId="0" fontId="26" fillId="3" borderId="16" xfId="0" applyFont="1" applyFill="1" applyBorder="1" applyAlignment="1" applyProtection="1">
      <alignment horizontal="left" vertical="top" wrapText="1"/>
      <protection locked="0"/>
    </xf>
    <xf numFmtId="0" fontId="26" fillId="3" borderId="0" xfId="0" applyFont="1" applyFill="1" applyAlignment="1" applyProtection="1">
      <alignment horizontal="left" vertical="top" wrapText="1"/>
      <protection locked="0"/>
    </xf>
    <xf numFmtId="0" fontId="26" fillId="3" borderId="26" xfId="0" applyFont="1" applyFill="1" applyBorder="1" applyAlignment="1" applyProtection="1">
      <alignment horizontal="left" vertical="top" wrapText="1"/>
      <protection locked="0"/>
    </xf>
    <xf numFmtId="0" fontId="26" fillId="3" borderId="37" xfId="0" applyFont="1" applyFill="1" applyBorder="1" applyAlignment="1" applyProtection="1">
      <alignment horizontal="left" vertical="top" wrapText="1"/>
      <protection locked="0"/>
    </xf>
    <xf numFmtId="0" fontId="26" fillId="3" borderId="38" xfId="0" applyFont="1" applyFill="1" applyBorder="1" applyAlignment="1" applyProtection="1">
      <alignment horizontal="left" vertical="top" wrapText="1"/>
      <protection locked="0"/>
    </xf>
    <xf numFmtId="0" fontId="26" fillId="3" borderId="39" xfId="0" applyFont="1" applyFill="1" applyBorder="1" applyAlignment="1" applyProtection="1">
      <alignment horizontal="left" vertical="top" wrapText="1"/>
      <protection locked="0"/>
    </xf>
    <xf numFmtId="0" fontId="26" fillId="11" borderId="2" xfId="0" applyFont="1" applyFill="1" applyBorder="1" applyAlignment="1">
      <alignment horizontal="left"/>
    </xf>
    <xf numFmtId="0" fontId="26" fillId="11" borderId="18" xfId="0" applyFont="1" applyFill="1" applyBorder="1" applyAlignment="1">
      <alignment horizontal="left"/>
    </xf>
    <xf numFmtId="0" fontId="26" fillId="11" borderId="3" xfId="0" applyFont="1" applyFill="1" applyBorder="1" applyAlignment="1">
      <alignment horizontal="left"/>
    </xf>
    <xf numFmtId="0" fontId="26" fillId="11" borderId="51" xfId="0" applyFont="1" applyFill="1" applyBorder="1" applyAlignment="1">
      <alignment horizontal="left"/>
    </xf>
    <xf numFmtId="3" fontId="26" fillId="3" borderId="44" xfId="0" applyNumberFormat="1" applyFont="1" applyFill="1" applyBorder="1" applyAlignment="1" applyProtection="1">
      <alignment horizontal="right"/>
      <protection locked="0"/>
    </xf>
    <xf numFmtId="3" fontId="26" fillId="3" borderId="42" xfId="0" applyNumberFormat="1" applyFont="1" applyFill="1" applyBorder="1" applyAlignment="1" applyProtection="1">
      <alignment horizontal="right"/>
      <protection locked="0"/>
    </xf>
    <xf numFmtId="3" fontId="26" fillId="3" borderId="43" xfId="0" applyNumberFormat="1" applyFont="1" applyFill="1" applyBorder="1" applyAlignment="1" applyProtection="1">
      <alignment horizontal="right"/>
      <protection locked="0"/>
    </xf>
    <xf numFmtId="37" fontId="26" fillId="3" borderId="44" xfId="0" applyNumberFormat="1" applyFont="1" applyFill="1" applyBorder="1" applyAlignment="1" applyProtection="1">
      <alignment horizontal="right"/>
      <protection locked="0"/>
    </xf>
    <xf numFmtId="37" fontId="26" fillId="3" borderId="42" xfId="0" applyNumberFormat="1" applyFont="1" applyFill="1" applyBorder="1" applyAlignment="1" applyProtection="1">
      <alignment horizontal="right"/>
      <protection locked="0"/>
    </xf>
    <xf numFmtId="37" fontId="26" fillId="3" borderId="43" xfId="0" applyNumberFormat="1" applyFont="1" applyFill="1" applyBorder="1" applyAlignment="1" applyProtection="1">
      <alignment horizontal="right"/>
      <protection locked="0"/>
    </xf>
    <xf numFmtId="0" fontId="26" fillId="3" borderId="45" xfId="0" applyFont="1" applyFill="1" applyBorder="1" applyAlignment="1">
      <alignment horizontal="right"/>
    </xf>
    <xf numFmtId="0" fontId="26" fillId="3" borderId="50" xfId="0" applyFont="1" applyFill="1" applyBorder="1" applyAlignment="1">
      <alignment horizontal="right"/>
    </xf>
    <xf numFmtId="0" fontId="26" fillId="3" borderId="46" xfId="0" applyFont="1" applyFill="1" applyBorder="1" applyAlignment="1">
      <alignment horizontal="right"/>
    </xf>
    <xf numFmtId="3" fontId="26" fillId="3" borderId="45" xfId="0" applyNumberFormat="1" applyFont="1" applyFill="1" applyBorder="1" applyAlignment="1" applyProtection="1">
      <alignment horizontal="right"/>
      <protection locked="0"/>
    </xf>
    <xf numFmtId="3" fontId="26" fillId="3" borderId="50" xfId="0" applyNumberFormat="1" applyFont="1" applyFill="1" applyBorder="1" applyAlignment="1" applyProtection="1">
      <alignment horizontal="right"/>
      <protection locked="0"/>
    </xf>
    <xf numFmtId="3" fontId="26" fillId="3" borderId="46" xfId="0" applyNumberFormat="1" applyFont="1" applyFill="1" applyBorder="1" applyAlignment="1" applyProtection="1">
      <alignment horizontal="right"/>
      <protection locked="0"/>
    </xf>
    <xf numFmtId="43" fontId="26" fillId="3" borderId="45" xfId="7" applyFont="1" applyFill="1" applyBorder="1" applyAlignment="1" applyProtection="1">
      <alignment horizontal="right"/>
      <protection locked="0"/>
    </xf>
    <xf numFmtId="43" fontId="26" fillId="3" borderId="50" xfId="7" applyFont="1" applyFill="1" applyBorder="1" applyAlignment="1" applyProtection="1">
      <alignment horizontal="right"/>
      <protection locked="0"/>
    </xf>
    <xf numFmtId="43" fontId="26" fillId="3" borderId="46" xfId="7" applyFont="1" applyFill="1" applyBorder="1" applyAlignment="1" applyProtection="1">
      <alignment horizontal="right"/>
      <protection locked="0"/>
    </xf>
    <xf numFmtId="0" fontId="26" fillId="2" borderId="49" xfId="0" applyFont="1" applyFill="1" applyBorder="1" applyAlignment="1">
      <alignment horizontal="center" vertical="center"/>
    </xf>
    <xf numFmtId="0" fontId="26" fillId="2" borderId="42" xfId="0" applyFont="1" applyFill="1" applyBorder="1" applyAlignment="1">
      <alignment horizontal="center" vertical="center"/>
    </xf>
    <xf numFmtId="0" fontId="26" fillId="2" borderId="43" xfId="0" applyFont="1" applyFill="1" applyBorder="1" applyAlignment="1">
      <alignment horizontal="center" vertical="center"/>
    </xf>
    <xf numFmtId="3" fontId="26" fillId="3" borderId="40" xfId="0" applyNumberFormat="1" applyFont="1" applyFill="1" applyBorder="1" applyAlignment="1" applyProtection="1">
      <alignment horizontal="right"/>
      <protection locked="0"/>
    </xf>
    <xf numFmtId="3" fontId="26" fillId="3" borderId="41" xfId="0" applyNumberFormat="1" applyFont="1" applyFill="1" applyBorder="1" applyAlignment="1" applyProtection="1">
      <alignment horizontal="right"/>
      <protection locked="0"/>
    </xf>
    <xf numFmtId="3" fontId="26" fillId="3" borderId="47" xfId="0" applyNumberFormat="1" applyFont="1" applyFill="1" applyBorder="1" applyAlignment="1" applyProtection="1">
      <alignment horizontal="right"/>
      <protection locked="0"/>
    </xf>
    <xf numFmtId="43" fontId="26" fillId="3" borderId="44" xfId="7" applyFont="1" applyFill="1" applyBorder="1" applyAlignment="1" applyProtection="1">
      <alignment horizontal="right"/>
      <protection locked="0"/>
    </xf>
    <xf numFmtId="43" fontId="26" fillId="3" borderId="42" xfId="7" applyFont="1" applyFill="1" applyBorder="1" applyAlignment="1" applyProtection="1">
      <alignment horizontal="right"/>
      <protection locked="0"/>
    </xf>
    <xf numFmtId="43" fontId="26" fillId="3" borderId="43" xfId="7" applyFont="1" applyFill="1" applyBorder="1" applyAlignment="1" applyProtection="1">
      <alignment horizontal="right"/>
      <protection locked="0"/>
    </xf>
    <xf numFmtId="9" fontId="26" fillId="3" borderId="40" xfId="6" applyFont="1" applyFill="1" applyBorder="1" applyAlignment="1" applyProtection="1">
      <alignment horizontal="right"/>
      <protection locked="0"/>
    </xf>
    <xf numFmtId="9" fontId="26" fillId="3" borderId="41" xfId="6" applyFont="1" applyFill="1" applyBorder="1" applyAlignment="1" applyProtection="1">
      <alignment horizontal="right"/>
      <protection locked="0"/>
    </xf>
    <xf numFmtId="9" fontId="26" fillId="3" borderId="47" xfId="6" applyFont="1" applyFill="1" applyBorder="1" applyAlignment="1" applyProtection="1">
      <alignment horizontal="right"/>
      <protection locked="0"/>
    </xf>
    <xf numFmtId="10" fontId="26" fillId="11" borderId="44" xfId="0" applyNumberFormat="1" applyFont="1" applyFill="1" applyBorder="1" applyAlignment="1" applyProtection="1">
      <alignment horizontal="left"/>
      <protection locked="0"/>
    </xf>
    <xf numFmtId="0" fontId="26" fillId="11" borderId="42" xfId="0" applyFont="1" applyFill="1" applyBorder="1" applyAlignment="1" applyProtection="1">
      <alignment horizontal="left"/>
      <protection locked="0"/>
    </xf>
    <xf numFmtId="0" fontId="26" fillId="11" borderId="43" xfId="0" applyFont="1" applyFill="1" applyBorder="1" applyAlignment="1" applyProtection="1">
      <alignment horizontal="left"/>
      <protection locked="0"/>
    </xf>
    <xf numFmtId="3" fontId="26" fillId="3" borderId="49" xfId="0" applyNumberFormat="1" applyFont="1" applyFill="1" applyBorder="1" applyAlignment="1" applyProtection="1">
      <alignment horizontal="center"/>
      <protection locked="0"/>
    </xf>
    <xf numFmtId="3" fontId="26" fillId="3" borderId="42" xfId="0" applyNumberFormat="1" applyFont="1" applyFill="1" applyBorder="1" applyAlignment="1" applyProtection="1">
      <alignment horizontal="center"/>
      <protection locked="0"/>
    </xf>
    <xf numFmtId="3" fontId="26" fillId="3" borderId="43" xfId="0" applyNumberFormat="1" applyFont="1" applyFill="1" applyBorder="1" applyAlignment="1" applyProtection="1">
      <alignment horizontal="center"/>
      <protection locked="0"/>
    </xf>
    <xf numFmtId="0" fontId="26" fillId="11" borderId="44" xfId="0" applyFont="1" applyFill="1" applyBorder="1" applyAlignment="1" applyProtection="1">
      <alignment horizontal="left"/>
      <protection locked="0"/>
    </xf>
    <xf numFmtId="0" fontId="28" fillId="2" borderId="45" xfId="0" applyFont="1" applyFill="1" applyBorder="1" applyAlignment="1">
      <alignment horizontal="center" wrapText="1"/>
    </xf>
    <xf numFmtId="0" fontId="28" fillId="2" borderId="50" xfId="0" applyFont="1" applyFill="1" applyBorder="1" applyAlignment="1">
      <alignment horizontal="center" wrapText="1"/>
    </xf>
    <xf numFmtId="0" fontId="28" fillId="2" borderId="46" xfId="0" applyFont="1" applyFill="1" applyBorder="1" applyAlignment="1">
      <alignment horizontal="center" wrapText="1"/>
    </xf>
    <xf numFmtId="0" fontId="26" fillId="3" borderId="44" xfId="0" applyFont="1" applyFill="1" applyBorder="1" applyAlignment="1">
      <alignment horizontal="center"/>
    </xf>
    <xf numFmtId="0" fontId="26" fillId="3" borderId="42" xfId="0" applyFont="1" applyFill="1" applyBorder="1" applyAlignment="1">
      <alignment horizontal="center"/>
    </xf>
    <xf numFmtId="0" fontId="26" fillId="3" borderId="43" xfId="0" applyFont="1" applyFill="1" applyBorder="1" applyAlignment="1">
      <alignment horizontal="center"/>
    </xf>
    <xf numFmtId="0" fontId="29" fillId="2" borderId="49" xfId="0" applyFont="1" applyFill="1" applyBorder="1" applyAlignment="1">
      <alignment horizontal="center"/>
    </xf>
    <xf numFmtId="0" fontId="29" fillId="2" borderId="42" xfId="0" applyFont="1" applyFill="1" applyBorder="1" applyAlignment="1">
      <alignment horizontal="center"/>
    </xf>
    <xf numFmtId="0" fontId="29" fillId="2" borderId="43" xfId="0" applyFont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26" fillId="3" borderId="53" xfId="0" applyFont="1" applyFill="1" applyBorder="1" applyAlignment="1" applyProtection="1">
      <alignment vertical="top" wrapText="1"/>
      <protection locked="0"/>
    </xf>
    <xf numFmtId="0" fontId="26" fillId="3" borderId="54" xfId="0" applyFont="1" applyFill="1" applyBorder="1" applyAlignment="1" applyProtection="1">
      <alignment vertical="top" wrapText="1"/>
      <protection locked="0"/>
    </xf>
    <xf numFmtId="0" fontId="26" fillId="3" borderId="55" xfId="0" applyFont="1" applyFill="1" applyBorder="1" applyAlignment="1" applyProtection="1">
      <alignment vertical="top" wrapText="1"/>
      <protection locked="0"/>
    </xf>
    <xf numFmtId="0" fontId="26" fillId="3" borderId="56" xfId="0" applyFont="1" applyFill="1" applyBorder="1" applyAlignment="1" applyProtection="1">
      <alignment vertical="top" wrapText="1"/>
      <protection locked="0"/>
    </xf>
    <xf numFmtId="0" fontId="26" fillId="3" borderId="0" xfId="0" applyFont="1" applyFill="1" applyAlignment="1" applyProtection="1">
      <alignment vertical="top" wrapText="1"/>
      <protection locked="0"/>
    </xf>
    <xf numFmtId="0" fontId="26" fillId="3" borderId="57" xfId="0" applyFont="1" applyFill="1" applyBorder="1" applyAlignment="1" applyProtection="1">
      <alignment vertical="top" wrapText="1"/>
      <protection locked="0"/>
    </xf>
    <xf numFmtId="0" fontId="26" fillId="3" borderId="1" xfId="0" applyFont="1" applyFill="1" applyBorder="1" applyAlignment="1" applyProtection="1">
      <alignment vertical="top" wrapText="1"/>
      <protection locked="0"/>
    </xf>
    <xf numFmtId="0" fontId="26" fillId="3" borderId="4" xfId="0" applyFont="1" applyFill="1" applyBorder="1" applyAlignment="1" applyProtection="1">
      <alignment vertical="top" wrapText="1"/>
      <protection locked="0"/>
    </xf>
    <xf numFmtId="0" fontId="26" fillId="3" borderId="17" xfId="0" applyFont="1" applyFill="1" applyBorder="1" applyAlignment="1" applyProtection="1">
      <alignment vertical="top" wrapText="1"/>
      <protection locked="0"/>
    </xf>
    <xf numFmtId="0" fontId="26" fillId="3" borderId="40" xfId="0" applyFont="1" applyFill="1" applyBorder="1" applyAlignment="1" applyProtection="1">
      <alignment horizontal="left" vertical="top" wrapText="1"/>
      <protection locked="0"/>
    </xf>
    <xf numFmtId="0" fontId="26" fillId="3" borderId="41" xfId="0" applyFont="1" applyFill="1" applyBorder="1" applyAlignment="1" applyProtection="1">
      <alignment horizontal="left" vertical="top" wrapText="1"/>
      <protection locked="0"/>
    </xf>
    <xf numFmtId="0" fontId="26" fillId="3" borderId="47" xfId="0" applyFont="1" applyFill="1" applyBorder="1" applyAlignment="1" applyProtection="1">
      <alignment horizontal="left" vertical="top" wrapText="1"/>
      <protection locked="0"/>
    </xf>
    <xf numFmtId="0" fontId="26" fillId="11" borderId="25" xfId="0" applyFont="1" applyFill="1" applyBorder="1" applyAlignment="1">
      <alignment horizontal="left"/>
    </xf>
    <xf numFmtId="0" fontId="26" fillId="11" borderId="0" xfId="0" applyFont="1" applyFill="1" applyAlignment="1" applyProtection="1">
      <alignment horizontal="left" shrinkToFit="1"/>
      <protection locked="0"/>
    </xf>
    <xf numFmtId="0" fontId="26" fillId="11" borderId="0" xfId="0" applyFont="1" applyFill="1" applyAlignment="1">
      <alignment horizontal="center"/>
    </xf>
    <xf numFmtId="0" fontId="31" fillId="11" borderId="0" xfId="0" applyFont="1" applyFill="1" applyAlignment="1">
      <alignment horizontal="left" vertical="top" wrapText="1"/>
    </xf>
    <xf numFmtId="0" fontId="26" fillId="11" borderId="0" xfId="0" applyFont="1" applyFill="1" applyAlignment="1">
      <alignment horizontal="left" vertical="top" wrapText="1"/>
    </xf>
  </cellXfs>
  <cellStyles count="85">
    <cellStyle name="ag" xfId="8" xr:uid="{00000000-0005-0000-0000-000000000000}"/>
    <cellStyle name="Blank [,]" xfId="9" xr:uid="{00000000-0005-0000-0000-000001000000}"/>
    <cellStyle name="Blank [2%]" xfId="10" xr:uid="{00000000-0005-0000-0000-000002000000}"/>
    <cellStyle name="Blue" xfId="11" xr:uid="{00000000-0005-0000-0000-000003000000}"/>
    <cellStyle name="Comma" xfId="1" builtinId="3"/>
    <cellStyle name="Comma [0] 2" xfId="50" xr:uid="{00000000-0005-0000-0000-000005000000}"/>
    <cellStyle name="Comma [0] 2 2" xfId="73" xr:uid="{897312DC-7B15-4525-BDC0-D17B3C1E555E}"/>
    <cellStyle name="Comma 2" xfId="7" xr:uid="{00000000-0005-0000-0000-000006000000}"/>
    <cellStyle name="Comma 2 2" xfId="71" xr:uid="{2C0978C4-5398-4D0A-8907-D319875DCF28}"/>
    <cellStyle name="Comma 2 3" xfId="80" xr:uid="{C2E69F12-FBDD-4388-8D52-B52A2D41D896}"/>
    <cellStyle name="Comma 3" xfId="4" xr:uid="{00000000-0005-0000-0000-000007000000}"/>
    <cellStyle name="Comma 3 2" xfId="68" xr:uid="{970CC4DC-349A-4D9C-969A-9CB3B159B0B0}"/>
    <cellStyle name="Comma 4" xfId="49" xr:uid="{00000000-0005-0000-0000-000008000000}"/>
    <cellStyle name="Comma 4 2" xfId="70" xr:uid="{55A5BE42-E7EB-403E-8697-67ACBD55E68B}"/>
    <cellStyle name="Comma 5" xfId="79" xr:uid="{EF62C53C-EFCA-4CFC-B9D5-43BDD31A43B4}"/>
    <cellStyle name="Comma 6" xfId="82" xr:uid="{E9C8B2C5-6C58-4045-ADF4-FF048DE51556}"/>
    <cellStyle name="Currency" xfId="43" builtinId="4"/>
    <cellStyle name="Currency [0] 2" xfId="48" xr:uid="{00000000-0005-0000-0000-00000A000000}"/>
    <cellStyle name="Currency 2" xfId="12" xr:uid="{00000000-0005-0000-0000-00000B000000}"/>
    <cellStyle name="Currency 2 2" xfId="64" xr:uid="{53434771-DD8C-4492-94F3-BD9FCB9DD84E}"/>
    <cellStyle name="Currency 2 3" xfId="61" xr:uid="{98516757-7408-4E9E-A63C-471604399353}"/>
    <cellStyle name="Currency 3" xfId="34" xr:uid="{00000000-0005-0000-0000-00000C000000}"/>
    <cellStyle name="Currency 3 2" xfId="76" xr:uid="{40A394EE-97BE-4AC4-8887-444078F2E28F}"/>
    <cellStyle name="Currency 4" xfId="47" xr:uid="{00000000-0005-0000-0000-00000D000000}"/>
    <cellStyle name="Custom - Style8" xfId="13" xr:uid="{00000000-0005-0000-0000-00000E000000}"/>
    <cellStyle name="Data   - Style2" xfId="14" xr:uid="{00000000-0005-0000-0000-00000F000000}"/>
    <cellStyle name="Euro" xfId="15" xr:uid="{00000000-0005-0000-0000-000010000000}"/>
    <cellStyle name="Green" xfId="69" xr:uid="{EE9B657F-27F1-4248-B531-D8FB22A249C8}"/>
    <cellStyle name="Grey" xfId="16" xr:uid="{00000000-0005-0000-0000-000011000000}"/>
    <cellStyle name="Hyperlink" xfId="44" builtinId="8"/>
    <cellStyle name="Input [yellow]" xfId="17" xr:uid="{00000000-0005-0000-0000-000013000000}"/>
    <cellStyle name="InputBlueFont" xfId="18" xr:uid="{00000000-0005-0000-0000-000014000000}"/>
    <cellStyle name="Labels - Style3" xfId="19" xr:uid="{00000000-0005-0000-0000-000015000000}"/>
    <cellStyle name="no dec" xfId="20" xr:uid="{00000000-0005-0000-0000-000016000000}"/>
    <cellStyle name="Normal" xfId="0" builtinId="0"/>
    <cellStyle name="Normal - Style1" xfId="21" xr:uid="{00000000-0005-0000-0000-000018000000}"/>
    <cellStyle name="Normal - Style1 2" xfId="66" xr:uid="{72559156-3A7E-47DD-91D9-3829B718D628}"/>
    <cellStyle name="Normal 10" xfId="40" xr:uid="{00000000-0005-0000-0000-000019000000}"/>
    <cellStyle name="Normal 10 2" xfId="81" xr:uid="{6441394B-DE45-4AC4-AD28-B883C48365D2}"/>
    <cellStyle name="Normal 11" xfId="45" xr:uid="{00000000-0005-0000-0000-00001A000000}"/>
    <cellStyle name="Normal 12" xfId="51" xr:uid="{69F7327C-2A05-49DB-B6EF-84AD6300C658}"/>
    <cellStyle name="Normal 13" xfId="84" xr:uid="{EC823D8E-E4C9-485E-BF8D-BE54F309B074}"/>
    <cellStyle name="Normal 2" xfId="22" xr:uid="{00000000-0005-0000-0000-00001B000000}"/>
    <cellStyle name="Normal 2 2" xfId="58" xr:uid="{515EBDFB-98AA-4D83-A513-C317721E5F56}"/>
    <cellStyle name="Normal 2 2 3" xfId="74" xr:uid="{095E2FD4-CA49-470B-94F8-ABFB057C50C1}"/>
    <cellStyle name="Normal 2 3" xfId="62" xr:uid="{73C661B1-C567-4277-A9A0-BA0FBF77D1A0}"/>
    <cellStyle name="Normal 2 4" xfId="56" xr:uid="{6FCAE064-016C-43B7-88EF-FB7317C8B976}"/>
    <cellStyle name="Normal 2 5" xfId="53" xr:uid="{6F20DCA8-4B0B-405E-AD51-04BA5B5FD309}"/>
    <cellStyle name="Normal 3" xfId="23" xr:uid="{00000000-0005-0000-0000-00001C000000}"/>
    <cellStyle name="Normal 3 2" xfId="65" xr:uid="{BC258469-7515-4B30-B237-61694DC8B52E}"/>
    <cellStyle name="Normal 3 3" xfId="57" xr:uid="{B04ECE6F-A8BD-4962-9D43-D380A38A7C9C}"/>
    <cellStyle name="Normal 4" xfId="24" xr:uid="{00000000-0005-0000-0000-00001D000000}"/>
    <cellStyle name="Normal 4 2" xfId="60" xr:uid="{644C6D69-7899-4FE5-84D4-2C0E652253E3}"/>
    <cellStyle name="Normal 5" xfId="3" xr:uid="{00000000-0005-0000-0000-00001E000000}"/>
    <cellStyle name="Normal 5 2" xfId="54" xr:uid="{7E5D09E5-040F-4D69-A265-FD2A69742F09}"/>
    <cellStyle name="Normal 6" xfId="32" xr:uid="{00000000-0005-0000-0000-00001F000000}"/>
    <cellStyle name="Normal 6 2" xfId="59" xr:uid="{646D9363-08A9-4EC4-B230-E04E24B5950D}"/>
    <cellStyle name="Normal 7" xfId="33" xr:uid="{00000000-0005-0000-0000-000020000000}"/>
    <cellStyle name="Normal 7 2" xfId="75" xr:uid="{07736823-E30C-4A3D-B2E2-B88E57CDABCC}"/>
    <cellStyle name="Normal 8" xfId="37" xr:uid="{00000000-0005-0000-0000-000021000000}"/>
    <cellStyle name="Normal 8 2" xfId="77" xr:uid="{F119098E-4E81-40A7-9E7F-6A56CBD5B388}"/>
    <cellStyle name="Normal 9" xfId="39" xr:uid="{00000000-0005-0000-0000-000022000000}"/>
    <cellStyle name="Normal 9 2" xfId="78" xr:uid="{4A8E7179-AEE3-46AD-9D2C-D36C4D7AD569}"/>
    <cellStyle name="Normal 98" xfId="67" xr:uid="{882EA7C1-F12C-47FD-9A3A-83BD64161E43}"/>
    <cellStyle name="Normal_Myrtle Beach-Horry Analysis - Scenario II-9%-104units-50" xfId="52" xr:uid="{55C073B6-3C1E-4E5F-9828-BF16D2919517}"/>
    <cellStyle name="Percent" xfId="2" builtinId="5"/>
    <cellStyle name="Percent [2]" xfId="25" xr:uid="{00000000-0005-0000-0000-000025000000}"/>
    <cellStyle name="Percent 2" xfId="6" xr:uid="{00000000-0005-0000-0000-000026000000}"/>
    <cellStyle name="Percent 2 2" xfId="63" xr:uid="{25C580A1-6448-4BE3-ACCF-5851A543F612}"/>
    <cellStyle name="Percent 2 3" xfId="72" xr:uid="{7E24E306-57A9-40D1-A027-379839BD661E}"/>
    <cellStyle name="Percent 3" xfId="5" xr:uid="{00000000-0005-0000-0000-000027000000}"/>
    <cellStyle name="Percent 3 2" xfId="83" xr:uid="{9A6E7D75-CF44-4085-9025-D5487B627BFF}"/>
    <cellStyle name="Percent 4" xfId="35" xr:uid="{00000000-0005-0000-0000-000028000000}"/>
    <cellStyle name="Percent 4 2" xfId="55" xr:uid="{9DDCECAB-EA4A-4B0C-A540-D2886034C830}"/>
    <cellStyle name="Percent 5" xfId="36" xr:uid="{00000000-0005-0000-0000-000029000000}"/>
    <cellStyle name="Percent 6" xfId="38" xr:uid="{00000000-0005-0000-0000-00002A000000}"/>
    <cellStyle name="Percent 7" xfId="41" xr:uid="{00000000-0005-0000-0000-00002B000000}"/>
    <cellStyle name="Percent 8" xfId="42" xr:uid="{00000000-0005-0000-0000-00002C000000}"/>
    <cellStyle name="Percent 9" xfId="46" xr:uid="{00000000-0005-0000-0000-00002D000000}"/>
    <cellStyle name="Reset  - Style7" xfId="26" xr:uid="{00000000-0005-0000-0000-00002E000000}"/>
    <cellStyle name="Table  - Style6" xfId="27" xr:uid="{00000000-0005-0000-0000-00002F000000}"/>
    <cellStyle name="Times [2]" xfId="28" xr:uid="{00000000-0005-0000-0000-000030000000}"/>
    <cellStyle name="Title  - Style1" xfId="29" xr:uid="{00000000-0005-0000-0000-000031000000}"/>
    <cellStyle name="TotCol - Style5" xfId="30" xr:uid="{00000000-0005-0000-0000-000032000000}"/>
    <cellStyle name="TotRow - Style4" xfId="31" xr:uid="{00000000-0005-0000-0000-000033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432FF"/>
      <color rgb="FFFF3399"/>
      <color rgb="FFFFFFCC"/>
      <color rgb="FFFFCCFF"/>
      <color rgb="FF0066CC"/>
      <color rgb="FF0000CC"/>
      <color rgb="FF0033CC"/>
      <color rgb="FF0000FF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emf"/><Relationship Id="rId13" Type="http://schemas.openxmlformats.org/officeDocument/2006/relationships/image" Target="../media/image19.emf"/><Relationship Id="rId18" Type="http://schemas.openxmlformats.org/officeDocument/2006/relationships/image" Target="../media/image24.emf"/><Relationship Id="rId3" Type="http://schemas.openxmlformats.org/officeDocument/2006/relationships/image" Target="../media/image9.emf"/><Relationship Id="rId21" Type="http://schemas.openxmlformats.org/officeDocument/2006/relationships/image" Target="../media/image27.emf"/><Relationship Id="rId7" Type="http://schemas.openxmlformats.org/officeDocument/2006/relationships/image" Target="../media/image13.emf"/><Relationship Id="rId12" Type="http://schemas.openxmlformats.org/officeDocument/2006/relationships/image" Target="../media/image18.emf"/><Relationship Id="rId17" Type="http://schemas.openxmlformats.org/officeDocument/2006/relationships/image" Target="../media/image23.emf"/><Relationship Id="rId2" Type="http://schemas.openxmlformats.org/officeDocument/2006/relationships/image" Target="../media/image8.emf"/><Relationship Id="rId16" Type="http://schemas.openxmlformats.org/officeDocument/2006/relationships/image" Target="../media/image22.emf"/><Relationship Id="rId20" Type="http://schemas.openxmlformats.org/officeDocument/2006/relationships/image" Target="../media/image26.emf"/><Relationship Id="rId1" Type="http://schemas.openxmlformats.org/officeDocument/2006/relationships/image" Target="../media/image7.emf"/><Relationship Id="rId6" Type="http://schemas.openxmlformats.org/officeDocument/2006/relationships/image" Target="../media/image12.emf"/><Relationship Id="rId11" Type="http://schemas.openxmlformats.org/officeDocument/2006/relationships/image" Target="../media/image17.emf"/><Relationship Id="rId5" Type="http://schemas.openxmlformats.org/officeDocument/2006/relationships/image" Target="../media/image11.emf"/><Relationship Id="rId15" Type="http://schemas.openxmlformats.org/officeDocument/2006/relationships/image" Target="../media/image21.emf"/><Relationship Id="rId23" Type="http://schemas.openxmlformats.org/officeDocument/2006/relationships/image" Target="../media/image29.emf"/><Relationship Id="rId10" Type="http://schemas.openxmlformats.org/officeDocument/2006/relationships/image" Target="../media/image16.emf"/><Relationship Id="rId19" Type="http://schemas.openxmlformats.org/officeDocument/2006/relationships/image" Target="../media/image25.emf"/><Relationship Id="rId4" Type="http://schemas.openxmlformats.org/officeDocument/2006/relationships/image" Target="../media/image10.emf"/><Relationship Id="rId9" Type="http://schemas.openxmlformats.org/officeDocument/2006/relationships/image" Target="../media/image15.emf"/><Relationship Id="rId14" Type="http://schemas.openxmlformats.org/officeDocument/2006/relationships/image" Target="../media/image20.emf"/><Relationship Id="rId22" Type="http://schemas.openxmlformats.org/officeDocument/2006/relationships/image" Target="../media/image2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361951</xdr:colOff>
      <xdr:row>2</xdr:row>
      <xdr:rowOff>66675</xdr:rowOff>
    </xdr:from>
    <xdr:to>
      <xdr:col>12</xdr:col>
      <xdr:colOff>38101</xdr:colOff>
      <xdr:row>20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4275" t="14149" r="30825" b="58038"/>
        <a:stretch/>
      </xdr:blipFill>
      <xdr:spPr>
        <a:xfrm>
          <a:off x="971551" y="371475"/>
          <a:ext cx="6381750" cy="2733675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333375</xdr:colOff>
      <xdr:row>21</xdr:row>
      <xdr:rowOff>76200</xdr:rowOff>
    </xdr:from>
    <xdr:to>
      <xdr:col>11</xdr:col>
      <xdr:colOff>523875</xdr:colOff>
      <xdr:row>56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4482" t="42544" r="31139" b="3961"/>
        <a:stretch/>
      </xdr:blipFill>
      <xdr:spPr>
        <a:xfrm>
          <a:off x="942975" y="3276600"/>
          <a:ext cx="6286500" cy="525780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12</xdr:col>
      <xdr:colOff>171449</xdr:colOff>
      <xdr:row>19</xdr:row>
      <xdr:rowOff>133350</xdr:rowOff>
    </xdr:from>
    <xdr:to>
      <xdr:col>21</xdr:col>
      <xdr:colOff>304800</xdr:colOff>
      <xdr:row>27</xdr:row>
      <xdr:rowOff>142876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8561" t="30422" r="28797" b="56452"/>
        <a:stretch/>
      </xdr:blipFill>
      <xdr:spPr>
        <a:xfrm>
          <a:off x="7486649" y="3028950"/>
          <a:ext cx="5619751" cy="122872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19050</xdr:colOff>
      <xdr:row>59</xdr:row>
      <xdr:rowOff>47625</xdr:rowOff>
    </xdr:from>
    <xdr:to>
      <xdr:col>12</xdr:col>
      <xdr:colOff>219075</xdr:colOff>
      <xdr:row>100</xdr:row>
      <xdr:rowOff>19050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50" t="19130" r="1825" b="9891"/>
        <a:stretch/>
      </xdr:blipFill>
      <xdr:spPr bwMode="auto">
        <a:xfrm>
          <a:off x="628650" y="9039225"/>
          <a:ext cx="6905625" cy="6219825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295275</xdr:colOff>
      <xdr:row>103</xdr:row>
      <xdr:rowOff>38100</xdr:rowOff>
    </xdr:from>
    <xdr:to>
      <xdr:col>11</xdr:col>
      <xdr:colOff>285750</xdr:colOff>
      <xdr:row>157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875" y="15735300"/>
          <a:ext cx="6086475" cy="8210550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14</xdr:col>
      <xdr:colOff>219075</xdr:colOff>
      <xdr:row>231</xdr:row>
      <xdr:rowOff>133350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231600"/>
          <a:ext cx="8143875" cy="11106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556254</xdr:colOff>
      <xdr:row>159</xdr:row>
      <xdr:rowOff>66675</xdr:rowOff>
    </xdr:from>
    <xdr:to>
      <xdr:col>27</xdr:col>
      <xdr:colOff>133350</xdr:colOff>
      <xdr:row>223</xdr:row>
      <xdr:rowOff>68372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37778" t="10490" r="26535" b="4162"/>
        <a:stretch/>
      </xdr:blipFill>
      <xdr:spPr>
        <a:xfrm>
          <a:off x="9090654" y="24298275"/>
          <a:ext cx="7501896" cy="975529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76200</xdr:colOff>
      <xdr:row>50</xdr:row>
      <xdr:rowOff>104775</xdr:rowOff>
    </xdr:from>
    <xdr:to>
      <xdr:col>18</xdr:col>
      <xdr:colOff>123825</xdr:colOff>
      <xdr:row>56</xdr:row>
      <xdr:rowOff>0</xdr:rowOff>
    </xdr:to>
    <xdr:grpSp>
      <xdr:nvGrpSpPr>
        <xdr:cNvPr id="29" name="Group 57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GrpSpPr>
          <a:grpSpLocks/>
        </xdr:cNvGrpSpPr>
      </xdr:nvGrpSpPr>
      <xdr:grpSpPr bwMode="auto">
        <a:xfrm>
          <a:off x="2717800" y="7902575"/>
          <a:ext cx="1393825" cy="936625"/>
          <a:chOff x="254" y="1265"/>
          <a:chExt cx="131" cy="84"/>
        </a:xfrm>
      </xdr:grpSpPr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2074" name="CheckBox1" hidden="1">
                <a:extLst>
                  <a:ext uri="{63B3BB69-23CF-44E3-9099-C40C66FF867C}">
                    <a14:compatExt spid="_x0000_s2074"/>
                  </a:ext>
                  <a:ext uri="{FF2B5EF4-FFF2-40B4-BE49-F238E27FC236}">
                    <a16:creationId xmlns:a16="http://schemas.microsoft.com/office/drawing/2014/main" id="{00000000-0008-0000-0B00-00001A080000}"/>
                  </a:ext>
                </a:extLst>
              </xdr:cNvPr>
              <xdr:cNvSpPr/>
            </xdr:nvSpPr>
            <xdr:spPr bwMode="auto">
              <a:xfrm>
                <a:off x="255" y="1297"/>
                <a:ext cx="130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 xmlns=""/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2075" name="CheckBox2" hidden="1">
                <a:extLst>
                  <a:ext uri="{63B3BB69-23CF-44E3-9099-C40C66FF867C}">
                    <a14:compatExt spid="_x0000_s2075"/>
                  </a:ext>
                  <a:ext uri="{FF2B5EF4-FFF2-40B4-BE49-F238E27FC236}">
                    <a16:creationId xmlns:a16="http://schemas.microsoft.com/office/drawing/2014/main" id="{00000000-0008-0000-0B00-00001B080000}"/>
                  </a:ext>
                </a:extLst>
              </xdr:cNvPr>
              <xdr:cNvSpPr/>
            </xdr:nvSpPr>
            <xdr:spPr bwMode="auto">
              <a:xfrm>
                <a:off x="254" y="1313"/>
                <a:ext cx="117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 xmlns=""/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2076" name="CheckBox3" hidden="1">
                <a:extLst>
                  <a:ext uri="{63B3BB69-23CF-44E3-9099-C40C66FF867C}">
                    <a14:compatExt spid="_x0000_s2076"/>
                  </a:ext>
                  <a:ext uri="{FF2B5EF4-FFF2-40B4-BE49-F238E27FC236}">
                    <a16:creationId xmlns:a16="http://schemas.microsoft.com/office/drawing/2014/main" id="{00000000-0008-0000-0B00-00001C080000}"/>
                  </a:ext>
                </a:extLst>
              </xdr:cNvPr>
              <xdr:cNvSpPr/>
            </xdr:nvSpPr>
            <xdr:spPr bwMode="auto">
              <a:xfrm>
                <a:off x="254" y="1329"/>
                <a:ext cx="117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 xmlns=""/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2077" name="CheckBox4" hidden="1">
                <a:extLst>
                  <a:ext uri="{63B3BB69-23CF-44E3-9099-C40C66FF867C}">
                    <a14:compatExt spid="_x0000_s2077"/>
                  </a:ext>
                  <a:ext uri="{FF2B5EF4-FFF2-40B4-BE49-F238E27FC236}">
                    <a16:creationId xmlns:a16="http://schemas.microsoft.com/office/drawing/2014/main" id="{00000000-0008-0000-0B00-00001D080000}"/>
                  </a:ext>
                </a:extLst>
              </xdr:cNvPr>
              <xdr:cNvSpPr/>
            </xdr:nvSpPr>
            <xdr:spPr bwMode="auto">
              <a:xfrm>
                <a:off x="255" y="1281"/>
                <a:ext cx="117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 xmlns=""/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2078" name="CheckBox5" hidden="1">
                <a:extLst>
                  <a:ext uri="{63B3BB69-23CF-44E3-9099-C40C66FF867C}">
                    <a14:compatExt spid="_x0000_s2078"/>
                  </a:ext>
                  <a:ext uri="{FF2B5EF4-FFF2-40B4-BE49-F238E27FC236}">
                    <a16:creationId xmlns:a16="http://schemas.microsoft.com/office/drawing/2014/main" id="{00000000-0008-0000-0B00-00001E080000}"/>
                  </a:ext>
                </a:extLst>
              </xdr:cNvPr>
              <xdr:cNvSpPr/>
            </xdr:nvSpPr>
            <xdr:spPr bwMode="auto">
              <a:xfrm>
                <a:off x="255" y="1265"/>
                <a:ext cx="117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 xmlns=""/>
      </mc:AlternateContent>
    </xdr:grpSp>
    <xdr:clientData/>
  </xdr:twoCellAnchor>
  <xdr:twoCellAnchor>
    <xdr:from>
      <xdr:col>3</xdr:col>
      <xdr:colOff>171450</xdr:colOff>
      <xdr:row>50</xdr:row>
      <xdr:rowOff>114300</xdr:rowOff>
    </xdr:from>
    <xdr:to>
      <xdr:col>8</xdr:col>
      <xdr:colOff>161925</xdr:colOff>
      <xdr:row>57</xdr:row>
      <xdr:rowOff>0</xdr:rowOff>
    </xdr:to>
    <xdr:grpSp>
      <xdr:nvGrpSpPr>
        <xdr:cNvPr id="35" name="Group 56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GrpSpPr>
          <a:grpSpLocks/>
        </xdr:cNvGrpSpPr>
      </xdr:nvGrpSpPr>
      <xdr:grpSpPr bwMode="auto">
        <a:xfrm>
          <a:off x="781050" y="7912100"/>
          <a:ext cx="1412875" cy="1117600"/>
          <a:chOff x="75" y="1266"/>
          <a:chExt cx="131" cy="100"/>
        </a:xfrm>
      </xdr:grpSpPr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2079" name="CheckBox6" hidden="1">
                <a:extLst>
                  <a:ext uri="{63B3BB69-23CF-44E3-9099-C40C66FF867C}">
                    <a14:compatExt spid="_x0000_s2079"/>
                  </a:ext>
                  <a:ext uri="{FF2B5EF4-FFF2-40B4-BE49-F238E27FC236}">
                    <a16:creationId xmlns:a16="http://schemas.microsoft.com/office/drawing/2014/main" id="{00000000-0008-0000-0B00-00001F080000}"/>
                  </a:ext>
                </a:extLst>
              </xdr:cNvPr>
              <xdr:cNvSpPr/>
            </xdr:nvSpPr>
            <xdr:spPr bwMode="auto">
              <a:xfrm>
                <a:off x="75" y="1329"/>
                <a:ext cx="117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 xmlns=""/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2080" name="CheckBox7" hidden="1">
                <a:extLst>
                  <a:ext uri="{63B3BB69-23CF-44E3-9099-C40C66FF867C}">
                    <a14:compatExt spid="_x0000_s2080"/>
                  </a:ext>
                  <a:ext uri="{FF2B5EF4-FFF2-40B4-BE49-F238E27FC236}">
                    <a16:creationId xmlns:a16="http://schemas.microsoft.com/office/drawing/2014/main" id="{00000000-0008-0000-0B00-000020080000}"/>
                  </a:ext>
                </a:extLst>
              </xdr:cNvPr>
              <xdr:cNvSpPr/>
            </xdr:nvSpPr>
            <xdr:spPr bwMode="auto">
              <a:xfrm>
                <a:off x="75" y="1266"/>
                <a:ext cx="117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 xmlns=""/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2081" name="CheckBox8" hidden="1">
                <a:extLst>
                  <a:ext uri="{63B3BB69-23CF-44E3-9099-C40C66FF867C}">
                    <a14:compatExt spid="_x0000_s2081"/>
                  </a:ext>
                  <a:ext uri="{FF2B5EF4-FFF2-40B4-BE49-F238E27FC236}">
                    <a16:creationId xmlns:a16="http://schemas.microsoft.com/office/drawing/2014/main" id="{00000000-0008-0000-0B00-000021080000}"/>
                  </a:ext>
                </a:extLst>
              </xdr:cNvPr>
              <xdr:cNvSpPr/>
            </xdr:nvSpPr>
            <xdr:spPr bwMode="auto">
              <a:xfrm>
                <a:off x="75" y="1297"/>
                <a:ext cx="117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 xmlns=""/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2082" name="CheckBox9" hidden="1">
                <a:extLst>
                  <a:ext uri="{63B3BB69-23CF-44E3-9099-C40C66FF867C}">
                    <a14:compatExt spid="_x0000_s2082"/>
                  </a:ext>
                  <a:ext uri="{FF2B5EF4-FFF2-40B4-BE49-F238E27FC236}">
                    <a16:creationId xmlns:a16="http://schemas.microsoft.com/office/drawing/2014/main" id="{00000000-0008-0000-0B00-000022080000}"/>
                  </a:ext>
                </a:extLst>
              </xdr:cNvPr>
              <xdr:cNvSpPr/>
            </xdr:nvSpPr>
            <xdr:spPr bwMode="auto">
              <a:xfrm>
                <a:off x="75" y="1282"/>
                <a:ext cx="117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 xmlns=""/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2083" name="CheckBox10" hidden="1">
                <a:extLst>
                  <a:ext uri="{63B3BB69-23CF-44E3-9099-C40C66FF867C}">
                    <a14:compatExt spid="_x0000_s2083"/>
                  </a:ext>
                  <a:ext uri="{FF2B5EF4-FFF2-40B4-BE49-F238E27FC236}">
                    <a16:creationId xmlns:a16="http://schemas.microsoft.com/office/drawing/2014/main" id="{00000000-0008-0000-0B00-000023080000}"/>
                  </a:ext>
                </a:extLst>
              </xdr:cNvPr>
              <xdr:cNvSpPr/>
            </xdr:nvSpPr>
            <xdr:spPr bwMode="auto">
              <a:xfrm>
                <a:off x="75" y="1313"/>
                <a:ext cx="117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 xmlns=""/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2084" name="CheckBox11" hidden="1">
                <a:extLst>
                  <a:ext uri="{63B3BB69-23CF-44E3-9099-C40C66FF867C}">
                    <a14:compatExt spid="_x0000_s2084"/>
                  </a:ext>
                  <a:ext uri="{FF2B5EF4-FFF2-40B4-BE49-F238E27FC236}">
                    <a16:creationId xmlns:a16="http://schemas.microsoft.com/office/drawing/2014/main" id="{00000000-0008-0000-0B00-000024080000}"/>
                  </a:ext>
                </a:extLst>
              </xdr:cNvPr>
              <xdr:cNvSpPr/>
            </xdr:nvSpPr>
            <xdr:spPr bwMode="auto">
              <a:xfrm>
                <a:off x="75" y="1346"/>
                <a:ext cx="131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 xmlns=""/>
      </mc:AlternateContent>
    </xdr:grpSp>
    <xdr:clientData/>
  </xdr:twoCellAnchor>
  <xdr:twoCellAnchor>
    <xdr:from>
      <xdr:col>19</xdr:col>
      <xdr:colOff>38100</xdr:colOff>
      <xdr:row>50</xdr:row>
      <xdr:rowOff>85725</xdr:rowOff>
    </xdr:from>
    <xdr:to>
      <xdr:col>26</xdr:col>
      <xdr:colOff>85725</xdr:colOff>
      <xdr:row>56</xdr:row>
      <xdr:rowOff>152400</xdr:rowOff>
    </xdr:to>
    <xdr:grpSp>
      <xdr:nvGrpSpPr>
        <xdr:cNvPr id="42" name="Group 58">
          <a:extLst>
            <a:ext uri="{FF2B5EF4-FFF2-40B4-BE49-F238E27FC236}">
              <a16:creationId xmlns:a16="http://schemas.microsoft.com/office/drawing/2014/main" id="{00000000-0008-0000-0B00-00002A000000}"/>
            </a:ext>
          </a:extLst>
        </xdr:cNvPr>
        <xdr:cNvGrpSpPr>
          <a:grpSpLocks/>
        </xdr:cNvGrpSpPr>
      </xdr:nvGrpSpPr>
      <xdr:grpSpPr bwMode="auto">
        <a:xfrm>
          <a:off x="4229100" y="7883525"/>
          <a:ext cx="1393825" cy="1108075"/>
          <a:chOff x="395" y="1263"/>
          <a:chExt cx="131" cy="102"/>
        </a:xfrm>
      </xdr:grpSpPr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2085" name="CheckBox12" hidden="1">
                <a:extLst>
                  <a:ext uri="{63B3BB69-23CF-44E3-9099-C40C66FF867C}">
                    <a14:compatExt spid="_x0000_s2085"/>
                  </a:ext>
                  <a:ext uri="{FF2B5EF4-FFF2-40B4-BE49-F238E27FC236}">
                    <a16:creationId xmlns:a16="http://schemas.microsoft.com/office/drawing/2014/main" id="{00000000-0008-0000-0B00-000025080000}"/>
                  </a:ext>
                </a:extLst>
              </xdr:cNvPr>
              <xdr:cNvSpPr/>
            </xdr:nvSpPr>
            <xdr:spPr bwMode="auto">
              <a:xfrm>
                <a:off x="395" y="1263"/>
                <a:ext cx="117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 xmlns=""/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2086" name="CheckBox13" hidden="1">
                <a:extLst>
                  <a:ext uri="{63B3BB69-23CF-44E3-9099-C40C66FF867C}">
                    <a14:compatExt spid="_x0000_s2086"/>
                  </a:ext>
                  <a:ext uri="{FF2B5EF4-FFF2-40B4-BE49-F238E27FC236}">
                    <a16:creationId xmlns:a16="http://schemas.microsoft.com/office/drawing/2014/main" id="{00000000-0008-0000-0B00-000026080000}"/>
                  </a:ext>
                </a:extLst>
              </xdr:cNvPr>
              <xdr:cNvSpPr/>
            </xdr:nvSpPr>
            <xdr:spPr bwMode="auto">
              <a:xfrm>
                <a:off x="395" y="1295"/>
                <a:ext cx="117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 xmlns=""/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2087" name="CheckBox14" hidden="1">
                <a:extLst>
                  <a:ext uri="{63B3BB69-23CF-44E3-9099-C40C66FF867C}">
                    <a14:compatExt spid="_x0000_s2087"/>
                  </a:ext>
                  <a:ext uri="{FF2B5EF4-FFF2-40B4-BE49-F238E27FC236}">
                    <a16:creationId xmlns:a16="http://schemas.microsoft.com/office/drawing/2014/main" id="{00000000-0008-0000-0B00-000027080000}"/>
                  </a:ext>
                </a:extLst>
              </xdr:cNvPr>
              <xdr:cNvSpPr/>
            </xdr:nvSpPr>
            <xdr:spPr bwMode="auto">
              <a:xfrm>
                <a:off x="395" y="1279"/>
                <a:ext cx="117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 xmlns=""/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2088" name="CheckBox15" hidden="1">
                <a:extLst>
                  <a:ext uri="{63B3BB69-23CF-44E3-9099-C40C66FF867C}">
                    <a14:compatExt spid="_x0000_s2088"/>
                  </a:ext>
                  <a:ext uri="{FF2B5EF4-FFF2-40B4-BE49-F238E27FC236}">
                    <a16:creationId xmlns:a16="http://schemas.microsoft.com/office/drawing/2014/main" id="{00000000-0008-0000-0B00-000028080000}"/>
                  </a:ext>
                </a:extLst>
              </xdr:cNvPr>
              <xdr:cNvSpPr/>
            </xdr:nvSpPr>
            <xdr:spPr bwMode="auto">
              <a:xfrm>
                <a:off x="395" y="1311"/>
                <a:ext cx="117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 xmlns=""/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2089" name="CheckBox16" hidden="1">
                <a:extLst>
                  <a:ext uri="{63B3BB69-23CF-44E3-9099-C40C66FF867C}">
                    <a14:compatExt spid="_x0000_s2089"/>
                  </a:ext>
                  <a:ext uri="{FF2B5EF4-FFF2-40B4-BE49-F238E27FC236}">
                    <a16:creationId xmlns:a16="http://schemas.microsoft.com/office/drawing/2014/main" id="{00000000-0008-0000-0B00-000029080000}"/>
                  </a:ext>
                </a:extLst>
              </xdr:cNvPr>
              <xdr:cNvSpPr/>
            </xdr:nvSpPr>
            <xdr:spPr bwMode="auto">
              <a:xfrm>
                <a:off x="395" y="1328"/>
                <a:ext cx="131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 xmlns=""/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2090" name="CheckBox17" hidden="1">
                <a:extLst>
                  <a:ext uri="{63B3BB69-23CF-44E3-9099-C40C66FF867C}">
                    <a14:compatExt spid="_x0000_s2090"/>
                  </a:ext>
                  <a:ext uri="{FF2B5EF4-FFF2-40B4-BE49-F238E27FC236}">
                    <a16:creationId xmlns:a16="http://schemas.microsoft.com/office/drawing/2014/main" id="{00000000-0008-0000-0B00-00002A080000}"/>
                  </a:ext>
                </a:extLst>
              </xdr:cNvPr>
              <xdr:cNvSpPr/>
            </xdr:nvSpPr>
            <xdr:spPr bwMode="auto">
              <a:xfrm>
                <a:off x="395" y="1345"/>
                <a:ext cx="131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 xmlns=""/>
      </mc:AlternateContent>
    </xdr:grpSp>
    <xdr:clientData/>
  </xdr:twoCellAnchor>
  <xdr:twoCellAnchor>
    <xdr:from>
      <xdr:col>27</xdr:col>
      <xdr:colOff>0</xdr:colOff>
      <xdr:row>50</xdr:row>
      <xdr:rowOff>104775</xdr:rowOff>
    </xdr:from>
    <xdr:to>
      <xdr:col>33</xdr:col>
      <xdr:colOff>161925</xdr:colOff>
      <xdr:row>56</xdr:row>
      <xdr:rowOff>123825</xdr:rowOff>
    </xdr:to>
    <xdr:grpSp>
      <xdr:nvGrpSpPr>
        <xdr:cNvPr id="49" name="Group 59">
          <a:extLst>
            <a:ext uri="{FF2B5EF4-FFF2-40B4-BE49-F238E27FC236}">
              <a16:creationId xmlns:a16="http://schemas.microsoft.com/office/drawing/2014/main" id="{00000000-0008-0000-0B00-000031000000}"/>
            </a:ext>
          </a:extLst>
        </xdr:cNvPr>
        <xdr:cNvGrpSpPr>
          <a:grpSpLocks/>
        </xdr:cNvGrpSpPr>
      </xdr:nvGrpSpPr>
      <xdr:grpSpPr bwMode="auto">
        <a:xfrm>
          <a:off x="5740400" y="7902575"/>
          <a:ext cx="1381125" cy="1060450"/>
          <a:chOff x="536" y="1265"/>
          <a:chExt cx="131" cy="97"/>
        </a:xfrm>
      </xdr:grpSpPr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2091" name="CheckBox18" hidden="1">
                <a:extLst>
                  <a:ext uri="{63B3BB69-23CF-44E3-9099-C40C66FF867C}">
                    <a14:compatExt spid="_x0000_s2091"/>
                  </a:ext>
                  <a:ext uri="{FF2B5EF4-FFF2-40B4-BE49-F238E27FC236}">
                    <a16:creationId xmlns:a16="http://schemas.microsoft.com/office/drawing/2014/main" id="{00000000-0008-0000-0B00-00002B080000}"/>
                  </a:ext>
                </a:extLst>
              </xdr:cNvPr>
              <xdr:cNvSpPr/>
            </xdr:nvSpPr>
            <xdr:spPr bwMode="auto">
              <a:xfrm>
                <a:off x="536" y="1265"/>
                <a:ext cx="117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 xmlns=""/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2092" name="CheckBox19" hidden="1">
                <a:extLst>
                  <a:ext uri="{63B3BB69-23CF-44E3-9099-C40C66FF867C}">
                    <a14:compatExt spid="_x0000_s2092"/>
                  </a:ext>
                  <a:ext uri="{FF2B5EF4-FFF2-40B4-BE49-F238E27FC236}">
                    <a16:creationId xmlns:a16="http://schemas.microsoft.com/office/drawing/2014/main" id="{00000000-0008-0000-0B00-00002C080000}"/>
                  </a:ext>
                </a:extLst>
              </xdr:cNvPr>
              <xdr:cNvSpPr/>
            </xdr:nvSpPr>
            <xdr:spPr bwMode="auto">
              <a:xfrm>
                <a:off x="536" y="1295"/>
                <a:ext cx="117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 xmlns=""/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2093" name="CheckBox20" hidden="1">
                <a:extLst>
                  <a:ext uri="{63B3BB69-23CF-44E3-9099-C40C66FF867C}">
                    <a14:compatExt spid="_x0000_s2093"/>
                  </a:ext>
                  <a:ext uri="{FF2B5EF4-FFF2-40B4-BE49-F238E27FC236}">
                    <a16:creationId xmlns:a16="http://schemas.microsoft.com/office/drawing/2014/main" id="{00000000-0008-0000-0B00-00002D080000}"/>
                  </a:ext>
                </a:extLst>
              </xdr:cNvPr>
              <xdr:cNvSpPr/>
            </xdr:nvSpPr>
            <xdr:spPr bwMode="auto">
              <a:xfrm>
                <a:off x="536" y="1279"/>
                <a:ext cx="129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 xmlns=""/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2094" name="CheckBox21" hidden="1">
                <a:extLst>
                  <a:ext uri="{63B3BB69-23CF-44E3-9099-C40C66FF867C}">
                    <a14:compatExt spid="_x0000_s2094"/>
                  </a:ext>
                  <a:ext uri="{FF2B5EF4-FFF2-40B4-BE49-F238E27FC236}">
                    <a16:creationId xmlns:a16="http://schemas.microsoft.com/office/drawing/2014/main" id="{00000000-0008-0000-0B00-00002E080000}"/>
                  </a:ext>
                </a:extLst>
              </xdr:cNvPr>
              <xdr:cNvSpPr/>
            </xdr:nvSpPr>
            <xdr:spPr bwMode="auto">
              <a:xfrm>
                <a:off x="536" y="1311"/>
                <a:ext cx="117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 xmlns=""/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2095" name="CheckBox22" hidden="1">
                <a:extLst>
                  <a:ext uri="{63B3BB69-23CF-44E3-9099-C40C66FF867C}">
                    <a14:compatExt spid="_x0000_s2095"/>
                  </a:ext>
                  <a:ext uri="{FF2B5EF4-FFF2-40B4-BE49-F238E27FC236}">
                    <a16:creationId xmlns:a16="http://schemas.microsoft.com/office/drawing/2014/main" id="{00000000-0008-0000-0B00-00002F080000}"/>
                  </a:ext>
                </a:extLst>
              </xdr:cNvPr>
              <xdr:cNvSpPr/>
            </xdr:nvSpPr>
            <xdr:spPr bwMode="auto">
              <a:xfrm>
                <a:off x="536" y="1326"/>
                <a:ext cx="131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 xmlns=""/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2096" name="CheckBox23" hidden="1">
                <a:extLst>
                  <a:ext uri="{63B3BB69-23CF-44E3-9099-C40C66FF867C}">
                    <a14:compatExt spid="_x0000_s2096"/>
                  </a:ext>
                  <a:ext uri="{FF2B5EF4-FFF2-40B4-BE49-F238E27FC236}">
                    <a16:creationId xmlns:a16="http://schemas.microsoft.com/office/drawing/2014/main" id="{00000000-0008-0000-0B00-000030080000}"/>
                  </a:ext>
                </a:extLst>
              </xdr:cNvPr>
              <xdr:cNvSpPr/>
            </xdr:nvSpPr>
            <xdr:spPr bwMode="auto">
              <a:xfrm>
                <a:off x="536" y="1342"/>
                <a:ext cx="131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 xmlns=""/>
      </mc:AlternateContent>
    </xdr:grpSp>
    <xdr:clientData/>
  </xdr:twoCellAnchor>
  <xdr:twoCellAnchor>
    <xdr:from>
      <xdr:col>11</xdr:col>
      <xdr:colOff>88900</xdr:colOff>
      <xdr:row>52</xdr:row>
      <xdr:rowOff>76200</xdr:rowOff>
    </xdr:from>
    <xdr:to>
      <xdr:col>18</xdr:col>
      <xdr:colOff>127000</xdr:colOff>
      <xdr:row>53</xdr:row>
      <xdr:rowOff>114300</xdr:rowOff>
    </xdr:to>
    <xdr:pic>
      <xdr:nvPicPr>
        <xdr:cNvPr id="2" name="CheckBox1">
          <a:extLst>
            <a:ext uri="{FF2B5EF4-FFF2-40B4-BE49-F238E27FC236}">
              <a16:creationId xmlns:a16="http://schemas.microsoft.com/office/drawing/2014/main" id="{BBBB6DC8-A7B6-E2C3-0D24-1066B90EACE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8255000"/>
          <a:ext cx="138430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76200</xdr:colOff>
      <xdr:row>53</xdr:row>
      <xdr:rowOff>63500</xdr:rowOff>
    </xdr:from>
    <xdr:to>
      <xdr:col>17</xdr:col>
      <xdr:colOff>177800</xdr:colOff>
      <xdr:row>54</xdr:row>
      <xdr:rowOff>101600</xdr:rowOff>
    </xdr:to>
    <xdr:pic>
      <xdr:nvPicPr>
        <xdr:cNvPr id="3" name="CheckBox2">
          <a:extLst>
            <a:ext uri="{FF2B5EF4-FFF2-40B4-BE49-F238E27FC236}">
              <a16:creationId xmlns:a16="http://schemas.microsoft.com/office/drawing/2014/main" id="{3E86E6BE-B1B9-B809-A33C-EC143944B17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7800" y="8432800"/>
          <a:ext cx="124460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76200</xdr:colOff>
      <xdr:row>54</xdr:row>
      <xdr:rowOff>50800</xdr:rowOff>
    </xdr:from>
    <xdr:to>
      <xdr:col>17</xdr:col>
      <xdr:colOff>177800</xdr:colOff>
      <xdr:row>56</xdr:row>
      <xdr:rowOff>0</xdr:rowOff>
    </xdr:to>
    <xdr:pic>
      <xdr:nvPicPr>
        <xdr:cNvPr id="4" name="CheckBox3">
          <a:extLst>
            <a:ext uri="{FF2B5EF4-FFF2-40B4-BE49-F238E27FC236}">
              <a16:creationId xmlns:a16="http://schemas.microsoft.com/office/drawing/2014/main" id="{5F61A007-8A42-2BF8-2513-552390E0C49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7800" y="8610600"/>
          <a:ext cx="124460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88900</xdr:colOff>
      <xdr:row>51</xdr:row>
      <xdr:rowOff>88900</xdr:rowOff>
    </xdr:from>
    <xdr:to>
      <xdr:col>17</xdr:col>
      <xdr:colOff>190500</xdr:colOff>
      <xdr:row>52</xdr:row>
      <xdr:rowOff>127000</xdr:rowOff>
    </xdr:to>
    <xdr:pic>
      <xdr:nvPicPr>
        <xdr:cNvPr id="5" name="CheckBox4">
          <a:extLst>
            <a:ext uri="{FF2B5EF4-FFF2-40B4-BE49-F238E27FC236}">
              <a16:creationId xmlns:a16="http://schemas.microsoft.com/office/drawing/2014/main" id="{7326147D-286C-D889-7D47-D1C6809F511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8077200"/>
          <a:ext cx="124460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88900</xdr:colOff>
      <xdr:row>50</xdr:row>
      <xdr:rowOff>101600</xdr:rowOff>
    </xdr:from>
    <xdr:to>
      <xdr:col>17</xdr:col>
      <xdr:colOff>190500</xdr:colOff>
      <xdr:row>51</xdr:row>
      <xdr:rowOff>139700</xdr:rowOff>
    </xdr:to>
    <xdr:pic>
      <xdr:nvPicPr>
        <xdr:cNvPr id="6" name="CheckBox5">
          <a:extLst>
            <a:ext uri="{FF2B5EF4-FFF2-40B4-BE49-F238E27FC236}">
              <a16:creationId xmlns:a16="http://schemas.microsoft.com/office/drawing/2014/main" id="{64FB1A28-8023-10E4-6D9A-526429C4273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7899400"/>
          <a:ext cx="124460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177800</xdr:colOff>
      <xdr:row>54</xdr:row>
      <xdr:rowOff>50800</xdr:rowOff>
    </xdr:from>
    <xdr:to>
      <xdr:col>8</xdr:col>
      <xdr:colOff>12700</xdr:colOff>
      <xdr:row>56</xdr:row>
      <xdr:rowOff>0</xdr:rowOff>
    </xdr:to>
    <xdr:pic>
      <xdr:nvPicPr>
        <xdr:cNvPr id="7" name="CheckBox6">
          <a:extLst>
            <a:ext uri="{FF2B5EF4-FFF2-40B4-BE49-F238E27FC236}">
              <a16:creationId xmlns:a16="http://schemas.microsoft.com/office/drawing/2014/main" id="{090DA079-E11F-07F9-80BE-BB94668BA40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400" y="8610600"/>
          <a:ext cx="125730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177800</xdr:colOff>
      <xdr:row>50</xdr:row>
      <xdr:rowOff>114300</xdr:rowOff>
    </xdr:from>
    <xdr:to>
      <xdr:col>8</xdr:col>
      <xdr:colOff>12700</xdr:colOff>
      <xdr:row>51</xdr:row>
      <xdr:rowOff>152400</xdr:rowOff>
    </xdr:to>
    <xdr:pic>
      <xdr:nvPicPr>
        <xdr:cNvPr id="8" name="CheckBox7">
          <a:extLst>
            <a:ext uri="{FF2B5EF4-FFF2-40B4-BE49-F238E27FC236}">
              <a16:creationId xmlns:a16="http://schemas.microsoft.com/office/drawing/2014/main" id="{63258D3C-E7BD-F3D3-7E36-61A80351CC5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400" y="7912100"/>
          <a:ext cx="125730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177800</xdr:colOff>
      <xdr:row>52</xdr:row>
      <xdr:rowOff>76200</xdr:rowOff>
    </xdr:from>
    <xdr:to>
      <xdr:col>8</xdr:col>
      <xdr:colOff>12700</xdr:colOff>
      <xdr:row>53</xdr:row>
      <xdr:rowOff>114300</xdr:rowOff>
    </xdr:to>
    <xdr:pic>
      <xdr:nvPicPr>
        <xdr:cNvPr id="9" name="CheckBox8">
          <a:extLst>
            <a:ext uri="{FF2B5EF4-FFF2-40B4-BE49-F238E27FC236}">
              <a16:creationId xmlns:a16="http://schemas.microsoft.com/office/drawing/2014/main" id="{96FE2F6E-8C1D-BF95-6852-2F5769B1375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400" y="8255000"/>
          <a:ext cx="125730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177800</xdr:colOff>
      <xdr:row>51</xdr:row>
      <xdr:rowOff>101600</xdr:rowOff>
    </xdr:from>
    <xdr:to>
      <xdr:col>8</xdr:col>
      <xdr:colOff>12700</xdr:colOff>
      <xdr:row>52</xdr:row>
      <xdr:rowOff>139700</xdr:rowOff>
    </xdr:to>
    <xdr:pic>
      <xdr:nvPicPr>
        <xdr:cNvPr id="10" name="CheckBox9">
          <a:extLst>
            <a:ext uri="{FF2B5EF4-FFF2-40B4-BE49-F238E27FC236}">
              <a16:creationId xmlns:a16="http://schemas.microsoft.com/office/drawing/2014/main" id="{E3A3C955-89AD-948B-691F-2F19854BDBB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400" y="8089900"/>
          <a:ext cx="125730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177800</xdr:colOff>
      <xdr:row>53</xdr:row>
      <xdr:rowOff>63500</xdr:rowOff>
    </xdr:from>
    <xdr:to>
      <xdr:col>8</xdr:col>
      <xdr:colOff>12700</xdr:colOff>
      <xdr:row>54</xdr:row>
      <xdr:rowOff>101600</xdr:rowOff>
    </xdr:to>
    <xdr:pic>
      <xdr:nvPicPr>
        <xdr:cNvPr id="11" name="CheckBox10">
          <a:extLst>
            <a:ext uri="{FF2B5EF4-FFF2-40B4-BE49-F238E27FC236}">
              <a16:creationId xmlns:a16="http://schemas.microsoft.com/office/drawing/2014/main" id="{386EEC38-AA3E-B5BF-EAB6-E4D2E98D2BD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400" y="8432800"/>
          <a:ext cx="125730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177800</xdr:colOff>
      <xdr:row>55</xdr:row>
      <xdr:rowOff>50800</xdr:rowOff>
    </xdr:from>
    <xdr:to>
      <xdr:col>8</xdr:col>
      <xdr:colOff>165100</xdr:colOff>
      <xdr:row>57</xdr:row>
      <xdr:rowOff>0</xdr:rowOff>
    </xdr:to>
    <xdr:pic>
      <xdr:nvPicPr>
        <xdr:cNvPr id="12" name="CheckBox11">
          <a:extLst>
            <a:ext uri="{FF2B5EF4-FFF2-40B4-BE49-F238E27FC236}">
              <a16:creationId xmlns:a16="http://schemas.microsoft.com/office/drawing/2014/main" id="{167D96AA-2E37-C95C-06EE-47DEA20E528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400" y="8801100"/>
          <a:ext cx="140970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</xdr:col>
      <xdr:colOff>38100</xdr:colOff>
      <xdr:row>50</xdr:row>
      <xdr:rowOff>88900</xdr:rowOff>
    </xdr:from>
    <xdr:to>
      <xdr:col>25</xdr:col>
      <xdr:colOff>139700</xdr:colOff>
      <xdr:row>51</xdr:row>
      <xdr:rowOff>114300</xdr:rowOff>
    </xdr:to>
    <xdr:pic>
      <xdr:nvPicPr>
        <xdr:cNvPr id="13" name="CheckBox12">
          <a:extLst>
            <a:ext uri="{FF2B5EF4-FFF2-40B4-BE49-F238E27FC236}">
              <a16:creationId xmlns:a16="http://schemas.microsoft.com/office/drawing/2014/main" id="{25299AEB-2212-3E4B-BB11-667C95D7BDE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9100" y="7886700"/>
          <a:ext cx="1244600" cy="2159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</xdr:col>
      <xdr:colOff>38100</xdr:colOff>
      <xdr:row>52</xdr:row>
      <xdr:rowOff>50800</xdr:rowOff>
    </xdr:from>
    <xdr:to>
      <xdr:col>25</xdr:col>
      <xdr:colOff>139700</xdr:colOff>
      <xdr:row>53</xdr:row>
      <xdr:rowOff>76200</xdr:rowOff>
    </xdr:to>
    <xdr:pic>
      <xdr:nvPicPr>
        <xdr:cNvPr id="14" name="CheckBox13">
          <a:extLst>
            <a:ext uri="{FF2B5EF4-FFF2-40B4-BE49-F238E27FC236}">
              <a16:creationId xmlns:a16="http://schemas.microsoft.com/office/drawing/2014/main" id="{F154D036-C106-DD8E-6CF3-4922BBC6AE9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9100" y="8229600"/>
          <a:ext cx="1244600" cy="2159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</xdr:col>
      <xdr:colOff>38100</xdr:colOff>
      <xdr:row>51</xdr:row>
      <xdr:rowOff>63500</xdr:rowOff>
    </xdr:from>
    <xdr:to>
      <xdr:col>25</xdr:col>
      <xdr:colOff>139700</xdr:colOff>
      <xdr:row>52</xdr:row>
      <xdr:rowOff>101600</xdr:rowOff>
    </xdr:to>
    <xdr:pic>
      <xdr:nvPicPr>
        <xdr:cNvPr id="15" name="CheckBox14">
          <a:extLst>
            <a:ext uri="{FF2B5EF4-FFF2-40B4-BE49-F238E27FC236}">
              <a16:creationId xmlns:a16="http://schemas.microsoft.com/office/drawing/2014/main" id="{92912FB2-23F4-651F-5EC1-D548E25AADB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9100" y="8051800"/>
          <a:ext cx="124460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</xdr:col>
      <xdr:colOff>38100</xdr:colOff>
      <xdr:row>53</xdr:row>
      <xdr:rowOff>38100</xdr:rowOff>
    </xdr:from>
    <xdr:to>
      <xdr:col>25</xdr:col>
      <xdr:colOff>139700</xdr:colOff>
      <xdr:row>54</xdr:row>
      <xdr:rowOff>63500</xdr:rowOff>
    </xdr:to>
    <xdr:pic>
      <xdr:nvPicPr>
        <xdr:cNvPr id="16" name="CheckBox15">
          <a:extLst>
            <a:ext uri="{FF2B5EF4-FFF2-40B4-BE49-F238E27FC236}">
              <a16:creationId xmlns:a16="http://schemas.microsoft.com/office/drawing/2014/main" id="{40485636-5FC3-0313-35B5-6FC969B9289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9100" y="8407400"/>
          <a:ext cx="1244600" cy="2159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</xdr:col>
      <xdr:colOff>38100</xdr:colOff>
      <xdr:row>54</xdr:row>
      <xdr:rowOff>25400</xdr:rowOff>
    </xdr:from>
    <xdr:to>
      <xdr:col>26</xdr:col>
      <xdr:colOff>88900</xdr:colOff>
      <xdr:row>55</xdr:row>
      <xdr:rowOff>50800</xdr:rowOff>
    </xdr:to>
    <xdr:pic>
      <xdr:nvPicPr>
        <xdr:cNvPr id="17" name="CheckBox16">
          <a:extLst>
            <a:ext uri="{FF2B5EF4-FFF2-40B4-BE49-F238E27FC236}">
              <a16:creationId xmlns:a16="http://schemas.microsoft.com/office/drawing/2014/main" id="{DF400E12-FBF3-517D-02DE-D2ECCE2AC9C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9100" y="8585200"/>
          <a:ext cx="1397000" cy="2159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</xdr:col>
      <xdr:colOff>38100</xdr:colOff>
      <xdr:row>55</xdr:row>
      <xdr:rowOff>25400</xdr:rowOff>
    </xdr:from>
    <xdr:to>
      <xdr:col>26</xdr:col>
      <xdr:colOff>88900</xdr:colOff>
      <xdr:row>56</xdr:row>
      <xdr:rowOff>152400</xdr:rowOff>
    </xdr:to>
    <xdr:pic>
      <xdr:nvPicPr>
        <xdr:cNvPr id="18" name="CheckBox17">
          <a:extLst>
            <a:ext uri="{FF2B5EF4-FFF2-40B4-BE49-F238E27FC236}">
              <a16:creationId xmlns:a16="http://schemas.microsoft.com/office/drawing/2014/main" id="{58761D2D-76AD-C0A2-162C-E72D186E864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9100" y="8775700"/>
          <a:ext cx="1397000" cy="2159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27</xdr:col>
      <xdr:colOff>0</xdr:colOff>
      <xdr:row>50</xdr:row>
      <xdr:rowOff>101600</xdr:rowOff>
    </xdr:from>
    <xdr:to>
      <xdr:col>33</xdr:col>
      <xdr:colOff>12700</xdr:colOff>
      <xdr:row>51</xdr:row>
      <xdr:rowOff>127000</xdr:rowOff>
    </xdr:to>
    <xdr:pic>
      <xdr:nvPicPr>
        <xdr:cNvPr id="19" name="CheckBox18">
          <a:extLst>
            <a:ext uri="{FF2B5EF4-FFF2-40B4-BE49-F238E27FC236}">
              <a16:creationId xmlns:a16="http://schemas.microsoft.com/office/drawing/2014/main" id="{7B5C8221-1E0E-88F6-9FF8-E9E9CC4C999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0400" y="7899400"/>
          <a:ext cx="1231900" cy="2159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27</xdr:col>
      <xdr:colOff>0</xdr:colOff>
      <xdr:row>52</xdr:row>
      <xdr:rowOff>50800</xdr:rowOff>
    </xdr:from>
    <xdr:to>
      <xdr:col>33</xdr:col>
      <xdr:colOff>12700</xdr:colOff>
      <xdr:row>53</xdr:row>
      <xdr:rowOff>76200</xdr:rowOff>
    </xdr:to>
    <xdr:pic>
      <xdr:nvPicPr>
        <xdr:cNvPr id="20" name="CheckBox19">
          <a:extLst>
            <a:ext uri="{FF2B5EF4-FFF2-40B4-BE49-F238E27FC236}">
              <a16:creationId xmlns:a16="http://schemas.microsoft.com/office/drawing/2014/main" id="{F6CCED69-B8D2-56C0-1DCA-3D102A3A52F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0400" y="8229600"/>
          <a:ext cx="1231900" cy="2159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27</xdr:col>
      <xdr:colOff>0</xdr:colOff>
      <xdr:row>51</xdr:row>
      <xdr:rowOff>63500</xdr:rowOff>
    </xdr:from>
    <xdr:to>
      <xdr:col>33</xdr:col>
      <xdr:colOff>139700</xdr:colOff>
      <xdr:row>52</xdr:row>
      <xdr:rowOff>101600</xdr:rowOff>
    </xdr:to>
    <xdr:pic>
      <xdr:nvPicPr>
        <xdr:cNvPr id="21" name="CheckBox20">
          <a:extLst>
            <a:ext uri="{FF2B5EF4-FFF2-40B4-BE49-F238E27FC236}">
              <a16:creationId xmlns:a16="http://schemas.microsoft.com/office/drawing/2014/main" id="{40C8564A-B006-C3BB-A378-114B0EC408B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0400" y="8051800"/>
          <a:ext cx="135890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27</xdr:col>
      <xdr:colOff>0</xdr:colOff>
      <xdr:row>53</xdr:row>
      <xdr:rowOff>38100</xdr:rowOff>
    </xdr:from>
    <xdr:to>
      <xdr:col>33</xdr:col>
      <xdr:colOff>12700</xdr:colOff>
      <xdr:row>54</xdr:row>
      <xdr:rowOff>63500</xdr:rowOff>
    </xdr:to>
    <xdr:pic>
      <xdr:nvPicPr>
        <xdr:cNvPr id="22" name="CheckBox21">
          <a:extLst>
            <a:ext uri="{FF2B5EF4-FFF2-40B4-BE49-F238E27FC236}">
              <a16:creationId xmlns:a16="http://schemas.microsoft.com/office/drawing/2014/main" id="{AE97997C-B0B4-8CEA-995C-F854BDDB310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0400" y="8407400"/>
          <a:ext cx="1231900" cy="2159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27</xdr:col>
      <xdr:colOff>0</xdr:colOff>
      <xdr:row>54</xdr:row>
      <xdr:rowOff>12700</xdr:rowOff>
    </xdr:from>
    <xdr:to>
      <xdr:col>33</xdr:col>
      <xdr:colOff>165100</xdr:colOff>
      <xdr:row>55</xdr:row>
      <xdr:rowOff>38100</xdr:rowOff>
    </xdr:to>
    <xdr:pic>
      <xdr:nvPicPr>
        <xdr:cNvPr id="23" name="CheckBox22">
          <a:extLst>
            <a:ext uri="{FF2B5EF4-FFF2-40B4-BE49-F238E27FC236}">
              <a16:creationId xmlns:a16="http://schemas.microsoft.com/office/drawing/2014/main" id="{2E5FD0B7-E926-BB64-4ED6-2C2FDD5ABE4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0400" y="8572500"/>
          <a:ext cx="1384300" cy="2159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27</xdr:col>
      <xdr:colOff>0</xdr:colOff>
      <xdr:row>54</xdr:row>
      <xdr:rowOff>190500</xdr:rowOff>
    </xdr:from>
    <xdr:to>
      <xdr:col>33</xdr:col>
      <xdr:colOff>165100</xdr:colOff>
      <xdr:row>56</xdr:row>
      <xdr:rowOff>127000</xdr:rowOff>
    </xdr:to>
    <xdr:pic>
      <xdr:nvPicPr>
        <xdr:cNvPr id="24" name="CheckBox23">
          <a:extLst>
            <a:ext uri="{FF2B5EF4-FFF2-40B4-BE49-F238E27FC236}">
              <a16:creationId xmlns:a16="http://schemas.microsoft.com/office/drawing/2014/main" id="{B94DA186-E0C3-4311-D2AF-8E49A36F363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0400" y="8750300"/>
          <a:ext cx="1384300" cy="2159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xternal_workbook_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xternal_workbook_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xternal_workbook_3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external_workbook_4.xlsx" TargetMode="External"/><Relationship Id="rId1" Type="http://schemas.openxmlformats.org/officeDocument/2006/relationships/externalLinkPath" Target="external_workbook_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external_workbook_6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external_workbook_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99 BUDGET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99 BUDGET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 First"/>
      <sheetName val="Summary"/>
      <sheetName val="CRE Leases"/>
      <sheetName val="Expenses"/>
      <sheetName val="Monthly CF"/>
      <sheetName val="Annual CF"/>
      <sheetName val="Debt"/>
      <sheetName val="Construction Budget"/>
      <sheetName val="Waterfall"/>
      <sheetName val="Checks"/>
    </sheetNames>
    <sheetDataSet>
      <sheetData sheetId="0" refreshError="1"/>
      <sheetData sheetId="1" refreshError="1">
        <row r="3">
          <cell r="B3">
            <v>0</v>
          </cell>
        </row>
        <row r="14">
          <cell r="B14">
            <v>0</v>
          </cell>
        </row>
        <row r="18">
          <cell r="B18">
            <v>0</v>
          </cell>
        </row>
        <row r="25">
          <cell r="B25">
            <v>120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 Me First"/>
      <sheetName val="Summary"/>
      <sheetName val="Revenue"/>
      <sheetName val="Expenses"/>
      <sheetName val="Monthly CF"/>
      <sheetName val="Annual CF"/>
      <sheetName val="Debt"/>
      <sheetName val="Construction Budget"/>
      <sheetName val="Waterfall"/>
      <sheetName val="Checks"/>
    </sheetNames>
    <sheetDataSet>
      <sheetData sheetId="0"/>
      <sheetData sheetId="1">
        <row r="20">
          <cell r="B20">
            <v>10000000</v>
          </cell>
        </row>
        <row r="24">
          <cell r="B24">
            <v>0</v>
          </cell>
        </row>
        <row r="31">
          <cell r="B31">
            <v>36</v>
          </cell>
        </row>
      </sheetData>
      <sheetData sheetId="2">
        <row r="17">
          <cell r="A17">
            <v>61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t Employee driven"/>
      <sheetName val="Temps"/>
      <sheetName val="Internal-nonEmployee driven"/>
      <sheetName val="Wells University-Internal"/>
      <sheetName val="MAPS driven"/>
      <sheetName val="External-nonMAPS driven"/>
      <sheetName val="Wells University-External"/>
      <sheetName val="DropZo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t Employee driven"/>
      <sheetName val="Temps"/>
      <sheetName val="Internal-nonEmployee driven"/>
      <sheetName val="Wells University-Internal"/>
      <sheetName val="MAPS driven"/>
      <sheetName val="External-nonMAPS driven"/>
      <sheetName val="Wells University-External"/>
      <sheetName val="DropZo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example.com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C355F-C51E-402F-B08F-E1C870E0BD0D}">
  <sheetPr codeName="Sheet3">
    <tabColor rgb="FFFFFF00"/>
  </sheetPr>
  <dimension ref="A1:M26"/>
  <sheetViews>
    <sheetView workbookViewId="0">
      <selection activeCell="H25" sqref="H25"/>
    </sheetView>
  </sheetViews>
  <sheetFormatPr baseColWidth="10" defaultColWidth="9.1640625" defaultRowHeight="14"/>
  <cols>
    <col min="1" max="1" width="30.5" style="786" bestFit="1" customWidth="1"/>
    <col min="2" max="2" width="13.5" style="826" customWidth="1"/>
    <col min="3" max="3" width="9.1640625" style="1117" customWidth="1"/>
    <col min="4" max="4" width="10.83203125" style="1117" customWidth="1"/>
    <col min="5" max="5" width="14" style="1117" customWidth="1"/>
    <col min="6" max="6" width="9.33203125" style="1117" customWidth="1"/>
    <col min="7" max="7" width="10.83203125" style="1117" customWidth="1"/>
    <col min="8" max="8" width="14.1640625" style="1117" customWidth="1"/>
    <col min="9" max="9" width="9.33203125" style="1117" customWidth="1"/>
    <col min="10" max="10" width="10.5" style="1117" customWidth="1"/>
    <col min="11" max="11" width="13.83203125" style="786" customWidth="1"/>
    <col min="12" max="12" width="9.1640625" style="786"/>
    <col min="13" max="13" width="14.33203125" style="786" bestFit="1" customWidth="1"/>
    <col min="14" max="16384" width="9.1640625" style="786"/>
  </cols>
  <sheetData>
    <row r="1" spans="1:12">
      <c r="A1" s="1156" t="s">
        <v>502</v>
      </c>
      <c r="B1" s="826">
        <f>'Unit Mix'!C7</f>
        <v>61</v>
      </c>
    </row>
    <row r="2" spans="1:12">
      <c r="B2" s="930" t="s">
        <v>509</v>
      </c>
      <c r="C2" s="931"/>
      <c r="D2" s="932"/>
      <c r="E2" s="930" t="s">
        <v>559</v>
      </c>
      <c r="F2" s="931"/>
      <c r="G2" s="932"/>
      <c r="H2" s="930" t="s">
        <v>560</v>
      </c>
      <c r="I2" s="931"/>
      <c r="J2" s="932"/>
    </row>
    <row r="3" spans="1:12">
      <c r="A3" s="923" t="s">
        <v>508</v>
      </c>
      <c r="B3" s="929" t="s">
        <v>254</v>
      </c>
      <c r="C3" s="1095" t="s">
        <v>567</v>
      </c>
      <c r="D3" s="832" t="s">
        <v>321</v>
      </c>
      <c r="E3" s="929" t="s">
        <v>254</v>
      </c>
      <c r="F3" s="1095" t="s">
        <v>567</v>
      </c>
      <c r="G3" s="832" t="s">
        <v>321</v>
      </c>
      <c r="H3" s="929" t="s">
        <v>254</v>
      </c>
      <c r="I3" s="1095" t="s">
        <v>567</v>
      </c>
      <c r="J3" s="832" t="s">
        <v>321</v>
      </c>
    </row>
    <row r="4" spans="1:12">
      <c r="A4" s="1126" t="s">
        <v>503</v>
      </c>
      <c r="B4" s="1138">
        <f>Budget!E34</f>
        <v>4800000</v>
      </c>
      <c r="C4" s="1118">
        <f>B4/$H$15</f>
        <v>0.19974427007261397</v>
      </c>
      <c r="D4" s="1119">
        <f>B4/$B$1</f>
        <v>78688.524590163928</v>
      </c>
      <c r="E4" s="1138">
        <f>Budget!F34</f>
        <v>0</v>
      </c>
      <c r="F4" s="1118">
        <f>E4/$H$15</f>
        <v>0</v>
      </c>
      <c r="G4" s="1119">
        <f>E4/$B$1</f>
        <v>0</v>
      </c>
      <c r="H4" s="1127">
        <f>B4+E4</f>
        <v>4800000</v>
      </c>
      <c r="I4" s="1118">
        <f>H4/$H$15</f>
        <v>0.19974427007261397</v>
      </c>
      <c r="J4" s="1119">
        <f>H4/$B$1</f>
        <v>78688.524590163928</v>
      </c>
    </row>
    <row r="5" spans="1:12">
      <c r="A5" s="1126" t="s">
        <v>580</v>
      </c>
      <c r="B5" s="1138">
        <f>Budget!E35</f>
        <v>0</v>
      </c>
      <c r="C5" s="1118">
        <f>B5/$H$15</f>
        <v>0</v>
      </c>
      <c r="D5" s="1119">
        <f>B5/$B$1</f>
        <v>0</v>
      </c>
      <c r="E5" s="1138">
        <f>Budget!F35</f>
        <v>200000.00000000003</v>
      </c>
      <c r="F5" s="1118">
        <f>E5/$H$15</f>
        <v>8.32267791969225E-3</v>
      </c>
      <c r="G5" s="1119">
        <f>E5/$B$1</f>
        <v>3278.6885245901644</v>
      </c>
      <c r="H5" s="1127">
        <f>B5+E5</f>
        <v>200000.00000000003</v>
      </c>
      <c r="I5" s="1118">
        <f>H5/$H$15</f>
        <v>8.32267791969225E-3</v>
      </c>
      <c r="J5" s="1119">
        <f>H5/$B$1</f>
        <v>3278.6885245901644</v>
      </c>
    </row>
    <row r="6" spans="1:12">
      <c r="A6" s="1126" t="s">
        <v>504</v>
      </c>
      <c r="B6" s="1138">
        <f>Budget!E36</f>
        <v>0</v>
      </c>
      <c r="C6" s="1118">
        <f t="shared" ref="C6:C12" si="0">B6/$H$15</f>
        <v>0</v>
      </c>
      <c r="D6" s="1119">
        <f t="shared" ref="D6:D12" si="1">B6/$B$1</f>
        <v>0</v>
      </c>
      <c r="E6" s="1138">
        <f>Budget!F36</f>
        <v>16199999.999999994</v>
      </c>
      <c r="F6" s="1118">
        <f t="shared" ref="F6:F12" si="2">E6/$H$15</f>
        <v>0.67413691149507193</v>
      </c>
      <c r="G6" s="1119">
        <f t="shared" ref="G6:G12" si="3">E6/$B$1</f>
        <v>265573.77049180318</v>
      </c>
      <c r="H6" s="1127">
        <f t="shared" ref="H6:H12" si="4">B6+E6</f>
        <v>16199999.999999994</v>
      </c>
      <c r="I6" s="1118">
        <f t="shared" ref="I6:I12" si="5">H6/$H$15</f>
        <v>0.67413691149507193</v>
      </c>
      <c r="J6" s="1119">
        <f t="shared" ref="J6:J12" si="6">H6/$B$1</f>
        <v>265573.77049180318</v>
      </c>
    </row>
    <row r="7" spans="1:12">
      <c r="A7" s="1126" t="s">
        <v>505</v>
      </c>
      <c r="B7" s="1138">
        <f>Budget!E37</f>
        <v>203435</v>
      </c>
      <c r="C7" s="1118">
        <f t="shared" si="0"/>
        <v>8.4656199129629628E-3</v>
      </c>
      <c r="D7" s="1119">
        <f t="shared" si="1"/>
        <v>3335</v>
      </c>
      <c r="E7" s="1138">
        <f>Budget!F37</f>
        <v>1013415</v>
      </c>
      <c r="F7" s="1118">
        <f t="shared" si="2"/>
        <v>4.2171633219924606E-2</v>
      </c>
      <c r="G7" s="1119">
        <f t="shared" si="3"/>
        <v>16613.360655737706</v>
      </c>
      <c r="H7" s="1127">
        <f t="shared" si="4"/>
        <v>1216850</v>
      </c>
      <c r="I7" s="1118">
        <f t="shared" si="5"/>
        <v>5.0637253132887569E-2</v>
      </c>
      <c r="J7" s="1119">
        <f t="shared" si="6"/>
        <v>19948.360655737706</v>
      </c>
      <c r="L7" s="831"/>
    </row>
    <row r="8" spans="1:12">
      <c r="A8" s="1126" t="s">
        <v>479</v>
      </c>
      <c r="B8" s="1138">
        <f>Budget!E38</f>
        <v>0</v>
      </c>
      <c r="C8" s="1118">
        <f t="shared" si="0"/>
        <v>0</v>
      </c>
      <c r="D8" s="1119">
        <f t="shared" si="1"/>
        <v>0</v>
      </c>
      <c r="E8" s="1138">
        <f>Budget!F38</f>
        <v>280000</v>
      </c>
      <c r="F8" s="1118">
        <f t="shared" si="2"/>
        <v>1.1651749087569149E-2</v>
      </c>
      <c r="G8" s="1119">
        <f t="shared" si="3"/>
        <v>4590.1639344262294</v>
      </c>
      <c r="H8" s="1127">
        <f t="shared" si="4"/>
        <v>280000</v>
      </c>
      <c r="I8" s="1118">
        <f t="shared" si="5"/>
        <v>1.1651749087569149E-2</v>
      </c>
      <c r="J8" s="1119">
        <f t="shared" si="6"/>
        <v>4590.1639344262294</v>
      </c>
    </row>
    <row r="9" spans="1:12">
      <c r="A9" s="1126" t="s">
        <v>470</v>
      </c>
      <c r="B9" s="1138">
        <f>Budget!E39</f>
        <v>150000</v>
      </c>
      <c r="C9" s="1118">
        <f t="shared" si="0"/>
        <v>6.2420084397691866E-3</v>
      </c>
      <c r="D9" s="1119">
        <f t="shared" si="1"/>
        <v>2459.0163934426228</v>
      </c>
      <c r="E9" s="1138">
        <f>Budget!F39</f>
        <v>0</v>
      </c>
      <c r="F9" s="1118">
        <f t="shared" si="2"/>
        <v>0</v>
      </c>
      <c r="G9" s="1119">
        <f t="shared" si="3"/>
        <v>0</v>
      </c>
      <c r="H9" s="1127">
        <f t="shared" si="4"/>
        <v>150000</v>
      </c>
      <c r="I9" s="1118">
        <f t="shared" si="5"/>
        <v>6.2420084397691866E-3</v>
      </c>
      <c r="J9" s="1119">
        <f t="shared" si="6"/>
        <v>2459.0163934426228</v>
      </c>
    </row>
    <row r="10" spans="1:12">
      <c r="A10" s="1126" t="s">
        <v>401</v>
      </c>
      <c r="B10" s="1138">
        <f>Budget!E40</f>
        <v>0</v>
      </c>
      <c r="C10" s="1118">
        <f t="shared" si="0"/>
        <v>0</v>
      </c>
      <c r="D10" s="1119">
        <f t="shared" si="1"/>
        <v>0</v>
      </c>
      <c r="E10" s="1138">
        <f>Budget!F40</f>
        <v>120381.33518700834</v>
      </c>
      <c r="F10" s="1118">
        <f t="shared" si="2"/>
        <v>5.0094754015199295E-3</v>
      </c>
      <c r="G10" s="1119">
        <f t="shared" si="3"/>
        <v>1973.4645112624319</v>
      </c>
      <c r="H10" s="1127">
        <f t="shared" si="4"/>
        <v>120381.33518700834</v>
      </c>
      <c r="I10" s="1118">
        <f t="shared" si="5"/>
        <v>5.0094754015199295E-3</v>
      </c>
      <c r="J10" s="1119">
        <f t="shared" si="6"/>
        <v>1973.4645112624319</v>
      </c>
    </row>
    <row r="11" spans="1:12">
      <c r="A11" s="1126" t="s">
        <v>489</v>
      </c>
      <c r="B11" s="1138">
        <f>Budget!E41</f>
        <v>156000</v>
      </c>
      <c r="C11" s="1118">
        <f t="shared" si="0"/>
        <v>6.491688777359954E-3</v>
      </c>
      <c r="D11" s="1119">
        <f t="shared" si="1"/>
        <v>2557.377049180328</v>
      </c>
      <c r="E11" s="1138">
        <f>Budget!F41</f>
        <v>0</v>
      </c>
      <c r="F11" s="1118">
        <f t="shared" si="2"/>
        <v>0</v>
      </c>
      <c r="G11" s="1119">
        <f t="shared" si="3"/>
        <v>0</v>
      </c>
      <c r="H11" s="1127">
        <f t="shared" si="4"/>
        <v>156000</v>
      </c>
      <c r="I11" s="1118">
        <f t="shared" si="5"/>
        <v>6.491688777359954E-3</v>
      </c>
      <c r="J11" s="1119">
        <f t="shared" si="6"/>
        <v>2557.377049180328</v>
      </c>
    </row>
    <row r="12" spans="1:12">
      <c r="A12" s="1126" t="s">
        <v>488</v>
      </c>
      <c r="B12" s="1138">
        <f>Budget!E42</f>
        <v>0</v>
      </c>
      <c r="C12" s="1118">
        <f t="shared" si="0"/>
        <v>0</v>
      </c>
      <c r="D12" s="1119">
        <f t="shared" si="1"/>
        <v>0</v>
      </c>
      <c r="E12" s="1138">
        <f>Budget!F42</f>
        <v>907495.54501353716</v>
      </c>
      <c r="F12" s="1118">
        <f t="shared" si="2"/>
        <v>3.7763965673516246E-2</v>
      </c>
      <c r="G12" s="1119">
        <f t="shared" si="3"/>
        <v>14876.976147762904</v>
      </c>
      <c r="H12" s="1127">
        <f t="shared" si="4"/>
        <v>907495.54501353716</v>
      </c>
      <c r="I12" s="1118">
        <f t="shared" si="5"/>
        <v>3.7763965673516246E-2</v>
      </c>
      <c r="J12" s="1119">
        <f t="shared" si="6"/>
        <v>14876.976147762904</v>
      </c>
    </row>
    <row r="13" spans="1:12" hidden="1">
      <c r="A13" s="1126"/>
      <c r="B13" s="1138"/>
      <c r="C13" s="1118" t="e">
        <f>B13/$B$20</f>
        <v>#DIV/0!</v>
      </c>
      <c r="D13" s="1119">
        <f>B13/$B$1</f>
        <v>0</v>
      </c>
      <c r="E13" s="1140">
        <f>SUM(E4:E12)</f>
        <v>18721291.880200535</v>
      </c>
      <c r="F13" s="1121" t="e">
        <f>E13/$B$20</f>
        <v>#DIV/0!</v>
      </c>
      <c r="G13" s="1122">
        <f t="shared" ref="G13" si="7">E13/$B$1</f>
        <v>306906.42426558252</v>
      </c>
      <c r="H13" s="1127"/>
      <c r="I13" s="1120"/>
      <c r="J13" s="1119"/>
    </row>
    <row r="14" spans="1:12" hidden="1">
      <c r="A14" s="1126"/>
      <c r="B14" s="1138"/>
      <c r="C14" s="1118" t="e">
        <f>B14/$B$20</f>
        <v>#DIV/0!</v>
      </c>
      <c r="D14" s="1119">
        <f>B14/$B$1</f>
        <v>0</v>
      </c>
      <c r="E14" s="1138"/>
      <c r="F14" s="1120"/>
      <c r="G14" s="1119"/>
      <c r="H14" s="1127"/>
      <c r="I14" s="1120"/>
      <c r="J14" s="1119"/>
    </row>
    <row r="15" spans="1:12">
      <c r="A15" s="922" t="s">
        <v>254</v>
      </c>
      <c r="B15" s="1139">
        <f t="shared" ref="B15:J15" si="8">SUM(B4:B12)</f>
        <v>5309435</v>
      </c>
      <c r="C15" s="1121">
        <f t="shared" si="8"/>
        <v>0.22094358720270607</v>
      </c>
      <c r="D15" s="1122">
        <f t="shared" si="8"/>
        <v>87039.918032786882</v>
      </c>
      <c r="E15" s="1140">
        <f t="shared" si="8"/>
        <v>18721291.880200535</v>
      </c>
      <c r="F15" s="1121">
        <f t="shared" si="8"/>
        <v>0.7790564127972941</v>
      </c>
      <c r="G15" s="1123">
        <f t="shared" si="8"/>
        <v>306906.42426558258</v>
      </c>
      <c r="H15" s="1128">
        <f t="shared" si="8"/>
        <v>24030726.880200535</v>
      </c>
      <c r="I15" s="1121">
        <f t="shared" si="8"/>
        <v>1.0000000000000002</v>
      </c>
      <c r="J15" s="1123">
        <f t="shared" si="8"/>
        <v>393946.34229836945</v>
      </c>
      <c r="K15" s="830"/>
    </row>
    <row r="16" spans="1:12">
      <c r="A16" s="1131"/>
      <c r="B16" s="1132"/>
      <c r="C16" s="1129"/>
      <c r="D16" s="1133"/>
      <c r="E16" s="1130"/>
      <c r="F16" s="1129"/>
      <c r="G16" s="1130"/>
      <c r="H16" s="1130"/>
      <c r="I16" s="1129"/>
      <c r="J16" s="1130"/>
      <c r="K16" s="830"/>
    </row>
    <row r="17" spans="1:13">
      <c r="A17" s="923" t="s">
        <v>564</v>
      </c>
      <c r="B17" s="929" t="s">
        <v>254</v>
      </c>
      <c r="C17" s="1095" t="s">
        <v>567</v>
      </c>
      <c r="D17" s="832" t="s">
        <v>321</v>
      </c>
      <c r="E17" s="929" t="s">
        <v>254</v>
      </c>
      <c r="F17" s="1095" t="s">
        <v>567</v>
      </c>
      <c r="G17" s="832" t="s">
        <v>321</v>
      </c>
      <c r="H17" s="1095" t="s">
        <v>254</v>
      </c>
      <c r="I17" s="1095" t="s">
        <v>567</v>
      </c>
      <c r="J17" s="832" t="s">
        <v>321</v>
      </c>
      <c r="K17" s="830"/>
    </row>
    <row r="18" spans="1:13">
      <c r="A18" s="1152" t="s">
        <v>566</v>
      </c>
      <c r="B18" s="1143">
        <f>Draws!E13</f>
        <v>0</v>
      </c>
      <c r="C18" s="1136">
        <f>B18/$H$21</f>
        <v>0</v>
      </c>
      <c r="D18" s="1142">
        <f>B18/$B$1</f>
        <v>0</v>
      </c>
      <c r="E18" s="1143">
        <f>Draws!F13</f>
        <v>94333.685716624997</v>
      </c>
      <c r="F18" s="1149">
        <f>E18/$H$21</f>
        <v>3.9255444159847124E-3</v>
      </c>
      <c r="G18" s="1142">
        <f>E18/$B$1</f>
        <v>1546.4538642069672</v>
      </c>
      <c r="H18" s="1146">
        <f>B18+E18</f>
        <v>94333.685716624997</v>
      </c>
      <c r="I18" s="1149">
        <f>H18/$H$21</f>
        <v>3.9255444159847124E-3</v>
      </c>
      <c r="J18" s="1142">
        <f>H18/$B$1</f>
        <v>1546.4538642069672</v>
      </c>
      <c r="M18" s="829"/>
    </row>
    <row r="19" spans="1:13">
      <c r="A19" s="1126" t="s">
        <v>492</v>
      </c>
      <c r="B19" s="1138">
        <f>Draws!E15</f>
        <v>5309435</v>
      </c>
      <c r="C19" s="1118">
        <f>B19/$H$21</f>
        <v>0.22094358720270593</v>
      </c>
      <c r="D19" s="1150">
        <f>B19/$B$1</f>
        <v>87039.918032786882</v>
      </c>
      <c r="E19" s="1138">
        <f>Draws!F15</f>
        <v>3090565.0000000023</v>
      </c>
      <c r="F19" s="1118">
        <f>E19/$H$21</f>
        <v>0.12860888542436841</v>
      </c>
      <c r="G19" s="1150">
        <f>E19/$B$1</f>
        <v>50665.000000000036</v>
      </c>
      <c r="H19" s="1151">
        <f>B19+E19</f>
        <v>8400000.0000000019</v>
      </c>
      <c r="I19" s="1118">
        <f>H19/$H$21</f>
        <v>0.34955247262707434</v>
      </c>
      <c r="J19" s="1150">
        <f>H19/$B$1</f>
        <v>137704.91803278693</v>
      </c>
      <c r="M19" s="829"/>
    </row>
    <row r="20" spans="1:13">
      <c r="A20" s="1134" t="s">
        <v>501</v>
      </c>
      <c r="B20" s="1141">
        <f>Draws!E14</f>
        <v>0</v>
      </c>
      <c r="C20" s="1135">
        <f>B20/$H$21</f>
        <v>0</v>
      </c>
      <c r="D20" s="1144">
        <f>B20/$B$1</f>
        <v>0</v>
      </c>
      <c r="E20" s="1153">
        <f>Draws!F14</f>
        <v>15536393.194483921</v>
      </c>
      <c r="F20" s="1135">
        <f>E20/$H$21</f>
        <v>0.64652198295694085</v>
      </c>
      <c r="G20" s="1154">
        <f>E20/$B$1</f>
        <v>254694.97040137576</v>
      </c>
      <c r="H20" s="1155">
        <f>B20+E20</f>
        <v>15536393.194483921</v>
      </c>
      <c r="I20" s="1135">
        <f>H20/$H$21</f>
        <v>0.64652198295694085</v>
      </c>
      <c r="J20" s="1154">
        <f>H20/$B$1</f>
        <v>254694.97040137576</v>
      </c>
      <c r="M20" s="828"/>
    </row>
    <row r="21" spans="1:13">
      <c r="A21" s="922" t="s">
        <v>254</v>
      </c>
      <c r="B21" s="1139">
        <f t="shared" ref="B21:J21" si="9">SUM(B18:B20)</f>
        <v>5309435</v>
      </c>
      <c r="C21" s="1121">
        <f t="shared" si="9"/>
        <v>0.22094358720270593</v>
      </c>
      <c r="D21" s="1145">
        <f t="shared" si="9"/>
        <v>87039.918032786882</v>
      </c>
      <c r="E21" s="1140">
        <f t="shared" si="9"/>
        <v>18721291.88020055</v>
      </c>
      <c r="F21" s="1121">
        <f t="shared" si="9"/>
        <v>0.77905641279729398</v>
      </c>
      <c r="G21" s="1147">
        <f t="shared" si="9"/>
        <v>306906.42426558275</v>
      </c>
      <c r="H21" s="1148">
        <f t="shared" si="9"/>
        <v>24030726.88020055</v>
      </c>
      <c r="I21" s="1121">
        <f t="shared" si="9"/>
        <v>0.99999999999999989</v>
      </c>
      <c r="J21" s="1147">
        <f t="shared" si="9"/>
        <v>393946.34229836962</v>
      </c>
      <c r="K21" s="830"/>
    </row>
    <row r="22" spans="1:13">
      <c r="A22" s="827"/>
      <c r="B22" s="1124"/>
      <c r="C22" s="1125"/>
      <c r="D22" s="1125"/>
      <c r="E22" s="1125"/>
      <c r="F22" s="1125"/>
      <c r="G22" s="1125"/>
      <c r="H22" s="1125"/>
      <c r="I22" s="1125"/>
      <c r="J22" s="1125"/>
    </row>
    <row r="23" spans="1:13">
      <c r="E23" s="1219" t="s">
        <v>594</v>
      </c>
      <c r="H23" s="1217">
        <f>H21-H18</f>
        <v>23936393.194483925</v>
      </c>
    </row>
    <row r="24" spans="1:13">
      <c r="E24" s="1219" t="s">
        <v>593</v>
      </c>
      <c r="H24" s="1218">
        <v>0.35</v>
      </c>
    </row>
    <row r="25" spans="1:13">
      <c r="E25" s="1219" t="s">
        <v>595</v>
      </c>
      <c r="F25" s="1219"/>
      <c r="H25" s="1217">
        <f>H23*H24</f>
        <v>8377737.6180693731</v>
      </c>
    </row>
    <row r="26" spans="1:13">
      <c r="G26" s="1219"/>
    </row>
  </sheetData>
  <pageMargins left="0.25" right="0.25" top="0.25" bottom="0.2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FFFF00"/>
  </sheetPr>
  <dimension ref="B1:T50"/>
  <sheetViews>
    <sheetView workbookViewId="0">
      <selection activeCell="E3" sqref="E3"/>
    </sheetView>
  </sheetViews>
  <sheetFormatPr baseColWidth="10" defaultColWidth="9.1640625" defaultRowHeight="12" customHeight="1"/>
  <cols>
    <col min="1" max="1" width="5.83203125" style="197" customWidth="1"/>
    <col min="2" max="2" width="6" style="197" customWidth="1"/>
    <col min="3" max="3" width="18.83203125" style="197" customWidth="1"/>
    <col min="4" max="6" width="11.5" style="341" customWidth="1"/>
    <col min="7" max="7" width="11.83203125" style="257" customWidth="1"/>
    <col min="8" max="8" width="11.83203125" style="105" bestFit="1" customWidth="1"/>
    <col min="9" max="10" width="13.5" style="205" customWidth="1"/>
    <col min="11" max="11" width="12" style="257" customWidth="1"/>
    <col min="12" max="12" width="10.1640625" style="730" customWidth="1"/>
    <col min="13" max="18" width="10.1640625" style="305" customWidth="1"/>
    <col min="19" max="16384" width="9.1640625" style="197"/>
  </cols>
  <sheetData>
    <row r="1" spans="2:20" ht="21" customHeight="1">
      <c r="B1" s="347" t="s">
        <v>385</v>
      </c>
    </row>
    <row r="2" spans="2:20" ht="19.5" customHeight="1">
      <c r="B2" s="924"/>
      <c r="C2" s="925"/>
      <c r="D2" s="926"/>
      <c r="E2" s="926" t="s">
        <v>0</v>
      </c>
      <c r="F2" s="926" t="s">
        <v>507</v>
      </c>
      <c r="G2" s="1097" t="s">
        <v>506</v>
      </c>
    </row>
    <row r="3" spans="2:20" ht="12" customHeight="1">
      <c r="B3" s="255" t="s">
        <v>503</v>
      </c>
      <c r="C3" s="337"/>
      <c r="D3" s="795"/>
      <c r="E3" s="927">
        <f>Draws!E69</f>
        <v>4800000</v>
      </c>
      <c r="F3" s="927">
        <f>Draws!F69</f>
        <v>0</v>
      </c>
      <c r="G3" s="1104">
        <f>SUM(E3:F3)</f>
        <v>4800000</v>
      </c>
      <c r="I3" s="745"/>
      <c r="J3" s="745"/>
    </row>
    <row r="4" spans="2:20" ht="12" customHeight="1">
      <c r="B4" s="238" t="s">
        <v>580</v>
      </c>
      <c r="D4" s="1106"/>
      <c r="E4" s="1110">
        <f>Draws!E71</f>
        <v>0</v>
      </c>
      <c r="F4" s="1110">
        <f>Draws!F71</f>
        <v>200000.00000000003</v>
      </c>
      <c r="G4" s="1105">
        <f>SUM(E4:F4)</f>
        <v>200000.00000000003</v>
      </c>
      <c r="I4" s="745"/>
      <c r="J4" s="745"/>
    </row>
    <row r="5" spans="2:20" ht="12" customHeight="1">
      <c r="B5" s="238" t="s">
        <v>302</v>
      </c>
      <c r="G5" s="1040"/>
      <c r="I5" s="338"/>
      <c r="J5" s="338"/>
    </row>
    <row r="6" spans="2:20" ht="12" customHeight="1">
      <c r="B6" s="238"/>
      <c r="C6" s="197" t="s">
        <v>437</v>
      </c>
      <c r="E6" s="380">
        <f>Draws!E74</f>
        <v>0</v>
      </c>
      <c r="F6" s="380">
        <f>Draws!F74</f>
        <v>16199999.999999994</v>
      </c>
      <c r="G6" s="1105">
        <f>SUM(E6:F6)</f>
        <v>16199999.999999994</v>
      </c>
      <c r="H6" s="1274"/>
    </row>
    <row r="7" spans="2:20" ht="12" customHeight="1">
      <c r="B7" s="238"/>
      <c r="C7" s="197" t="s">
        <v>381</v>
      </c>
      <c r="D7" s="1106" t="s">
        <v>386</v>
      </c>
      <c r="E7" s="1107">
        <f>Draws!E75</f>
        <v>0</v>
      </c>
      <c r="F7" s="1107">
        <f>Draws!F75</f>
        <v>0</v>
      </c>
      <c r="G7" s="1108">
        <f>SUM(E7:F7)</f>
        <v>0</v>
      </c>
      <c r="I7" s="339"/>
      <c r="J7" s="339"/>
    </row>
    <row r="8" spans="2:20" ht="12" customHeight="1">
      <c r="B8" s="238" t="s">
        <v>383</v>
      </c>
      <c r="E8" s="380">
        <f>SUM(E6:E7)</f>
        <v>0</v>
      </c>
      <c r="F8" s="380">
        <f t="shared" ref="F8:G8" si="0">SUM(F6:F7)</f>
        <v>16199999.999999994</v>
      </c>
      <c r="G8" s="1032">
        <f t="shared" si="0"/>
        <v>16199999.999999994</v>
      </c>
      <c r="I8" s="338"/>
      <c r="J8" s="338"/>
    </row>
    <row r="9" spans="2:20" ht="12" customHeight="1">
      <c r="B9" s="238" t="s">
        <v>303</v>
      </c>
      <c r="G9" s="1038"/>
    </row>
    <row r="10" spans="2:20" ht="12" customHeight="1">
      <c r="B10" s="1109"/>
      <c r="C10" s="197" t="str">
        <f>Draws!C79</f>
        <v>Architectural</v>
      </c>
      <c r="E10" s="380">
        <f>Draws!E79</f>
        <v>0</v>
      </c>
      <c r="F10" s="380">
        <f>Draws!F79</f>
        <v>243999.99999999991</v>
      </c>
      <c r="G10" s="1105">
        <f t="shared" ref="G10:G17" si="1">SUM(E10:F10)</f>
        <v>243999.99999999991</v>
      </c>
      <c r="M10" s="257"/>
      <c r="N10" s="257"/>
      <c r="O10" s="257"/>
      <c r="P10" s="257"/>
      <c r="Q10" s="257"/>
      <c r="R10" s="257"/>
      <c r="S10" s="205"/>
      <c r="T10" s="205"/>
    </row>
    <row r="11" spans="2:20" ht="12" customHeight="1">
      <c r="B11" s="238"/>
      <c r="C11" s="197" t="str">
        <f>Draws!C80</f>
        <v>Engineering &amp; Related</v>
      </c>
      <c r="E11" s="380">
        <f>Draws!E80</f>
        <v>0</v>
      </c>
      <c r="F11" s="380">
        <f>Draws!F80</f>
        <v>33550.000000000007</v>
      </c>
      <c r="G11" s="1105">
        <f t="shared" si="1"/>
        <v>33550.000000000007</v>
      </c>
    </row>
    <row r="12" spans="2:20" ht="12" customHeight="1">
      <c r="B12" s="238"/>
      <c r="C12" s="197" t="str">
        <f>Draws!C81</f>
        <v>Impact/Permits</v>
      </c>
      <c r="E12" s="380">
        <f>Draws!E81</f>
        <v>0</v>
      </c>
      <c r="F12" s="380">
        <f>Draws!F81</f>
        <v>549000.00000000012</v>
      </c>
      <c r="G12" s="1105">
        <f t="shared" si="1"/>
        <v>549000.00000000012</v>
      </c>
    </row>
    <row r="13" spans="2:20" ht="12" customHeight="1">
      <c r="B13" s="238"/>
      <c r="C13" s="197" t="str">
        <f>Draws!C82</f>
        <v>Marketing</v>
      </c>
      <c r="E13" s="380">
        <f>Draws!E82</f>
        <v>0</v>
      </c>
      <c r="F13" s="380">
        <f>Draws!F82</f>
        <v>24399.999999999993</v>
      </c>
      <c r="G13" s="1105">
        <f t="shared" si="1"/>
        <v>24399.999999999993</v>
      </c>
    </row>
    <row r="14" spans="2:20" ht="12" customHeight="1">
      <c r="B14" s="238"/>
      <c r="C14" s="197" t="str">
        <f>Draws!C83</f>
        <v>Bldr Risk &amp; Perf Bond</v>
      </c>
      <c r="E14" s="380">
        <f>Draws!E83</f>
        <v>154635</v>
      </c>
      <c r="F14" s="380">
        <f>Draws!F83</f>
        <v>0</v>
      </c>
      <c r="G14" s="1105">
        <f t="shared" si="1"/>
        <v>154635</v>
      </c>
    </row>
    <row r="15" spans="2:20" ht="12" customHeight="1">
      <c r="B15" s="238"/>
      <c r="C15" s="197" t="str">
        <f>Draws!C84</f>
        <v>Legal &amp; Professional</v>
      </c>
      <c r="E15" s="380">
        <f>Draws!E84</f>
        <v>48800</v>
      </c>
      <c r="F15" s="380">
        <f>Draws!F84</f>
        <v>0</v>
      </c>
      <c r="G15" s="1105">
        <f t="shared" si="1"/>
        <v>48800</v>
      </c>
    </row>
    <row r="16" spans="2:20" ht="12" customHeight="1">
      <c r="B16" s="238"/>
      <c r="C16" s="197" t="str">
        <f>Draws!C85</f>
        <v>Investor Admin Costs</v>
      </c>
      <c r="E16" s="380">
        <f>Draws!E85</f>
        <v>0</v>
      </c>
      <c r="F16" s="380">
        <f>Draws!F85</f>
        <v>9150</v>
      </c>
      <c r="G16" s="1105">
        <f t="shared" si="1"/>
        <v>9150</v>
      </c>
    </row>
    <row r="17" spans="2:10" ht="12" customHeight="1">
      <c r="B17" s="238"/>
      <c r="C17" s="197" t="str">
        <f>Draws!C86</f>
        <v>RE Tax During Constr</v>
      </c>
      <c r="E17" s="1107">
        <f>Draws!E86</f>
        <v>0</v>
      </c>
      <c r="F17" s="1107">
        <f>Draws!F86</f>
        <v>92314.999999999971</v>
      </c>
      <c r="G17" s="1108">
        <f t="shared" si="1"/>
        <v>92314.999999999971</v>
      </c>
      <c r="H17" s="197"/>
    </row>
    <row r="18" spans="2:10" ht="12" customHeight="1">
      <c r="B18" s="238" t="s">
        <v>363</v>
      </c>
      <c r="E18" s="380">
        <f>SUM(E10:E17)</f>
        <v>203435</v>
      </c>
      <c r="F18" s="380">
        <f>SUM(F10:F17)</f>
        <v>952415</v>
      </c>
      <c r="G18" s="1040">
        <f>SUM(G10:G17)</f>
        <v>1155850</v>
      </c>
      <c r="H18" s="197"/>
      <c r="I18" s="338"/>
      <c r="J18" s="338"/>
    </row>
    <row r="19" spans="2:10" ht="12" customHeight="1">
      <c r="B19" s="238"/>
      <c r="G19" s="1040"/>
      <c r="H19" s="197"/>
      <c r="I19" s="338"/>
      <c r="J19" s="338"/>
    </row>
    <row r="20" spans="2:10" ht="12" customHeight="1">
      <c r="B20" s="238" t="s">
        <v>382</v>
      </c>
      <c r="D20" s="1106" t="s">
        <v>387</v>
      </c>
      <c r="E20" s="1110">
        <f>Draws!E89</f>
        <v>0</v>
      </c>
      <c r="F20" s="1110">
        <f>Draws!F89</f>
        <v>60999.999999999978</v>
      </c>
      <c r="G20" s="1038">
        <f>Draws!G89</f>
        <v>60999.999999999978</v>
      </c>
      <c r="H20" s="197"/>
    </row>
    <row r="21" spans="2:10" ht="12" customHeight="1">
      <c r="B21" s="238" t="s">
        <v>479</v>
      </c>
      <c r="D21" s="1106" t="s">
        <v>395</v>
      </c>
      <c r="E21" s="1110">
        <f>Draws!E90</f>
        <v>0</v>
      </c>
      <c r="F21" s="1110">
        <f>Draws!F90</f>
        <v>280000</v>
      </c>
      <c r="G21" s="1038">
        <f>Draws!G90</f>
        <v>280000</v>
      </c>
      <c r="H21" s="197"/>
    </row>
    <row r="22" spans="2:10" ht="12" customHeight="1">
      <c r="B22" s="238" t="s">
        <v>470</v>
      </c>
      <c r="E22" s="1110">
        <f>Draws!E91</f>
        <v>150000</v>
      </c>
      <c r="F22" s="1110">
        <f>Draws!F91</f>
        <v>0</v>
      </c>
      <c r="G22" s="1038">
        <f>Draws!G91</f>
        <v>150000</v>
      </c>
      <c r="H22" s="197"/>
    </row>
    <row r="23" spans="2:10" ht="12" customHeight="1">
      <c r="B23" s="238" t="str">
        <f>Draws!C27</f>
        <v>Ops Deficit Rsv</v>
      </c>
      <c r="E23" s="1110">
        <f>Draws!E92</f>
        <v>0</v>
      </c>
      <c r="F23" s="1110">
        <f>Draws!F92</f>
        <v>120381.33518700834</v>
      </c>
      <c r="G23" s="1038">
        <f>Draws!G92</f>
        <v>120381.33518700834</v>
      </c>
      <c r="H23" s="197"/>
    </row>
    <row r="24" spans="2:10" ht="12" customHeight="1">
      <c r="B24" s="238" t="str">
        <f>Draws!C28</f>
        <v>Sr. Debt:  Commit Fee</v>
      </c>
      <c r="D24" s="381">
        <v>0.01</v>
      </c>
      <c r="E24" s="1110">
        <f>Draws!E93</f>
        <v>156000</v>
      </c>
      <c r="F24" s="1110">
        <f>Draws!F93</f>
        <v>0</v>
      </c>
      <c r="G24" s="1038">
        <f>Draws!G93</f>
        <v>156000</v>
      </c>
      <c r="H24" s="197"/>
    </row>
    <row r="25" spans="2:10" ht="12" customHeight="1">
      <c r="B25" s="238" t="s">
        <v>488</v>
      </c>
      <c r="D25" s="1106" t="s">
        <v>396</v>
      </c>
      <c r="E25" s="1110">
        <f>Draws!E94</f>
        <v>0</v>
      </c>
      <c r="F25" s="1110">
        <f>Draws!F94</f>
        <v>907495.54501353716</v>
      </c>
      <c r="G25" s="1038">
        <f>Draws!G94</f>
        <v>907495.54501353716</v>
      </c>
      <c r="H25" s="197"/>
    </row>
    <row r="26" spans="2:10" ht="12" customHeight="1">
      <c r="B26" s="238"/>
      <c r="D26" s="1106"/>
      <c r="E26" s="1106"/>
      <c r="F26" s="1106"/>
      <c r="G26" s="1038"/>
      <c r="H26" s="197"/>
    </row>
    <row r="27" spans="2:10" ht="12" customHeight="1">
      <c r="B27" s="352"/>
      <c r="C27" s="340" t="s">
        <v>373</v>
      </c>
      <c r="D27" s="342"/>
      <c r="E27" s="928">
        <f>E3+E4+E8+E18+SUM(E20:E25)</f>
        <v>5309435</v>
      </c>
      <c r="F27" s="928">
        <f>F3+F4+F8+F18+SUM(F20:F25)</f>
        <v>18721291.880200539</v>
      </c>
      <c r="G27" s="1111">
        <f>G3+G4+G8+G18+SUM(G20:G25)</f>
        <v>24030726.880200539</v>
      </c>
      <c r="H27" s="197"/>
      <c r="I27" s="338"/>
      <c r="J27" s="338"/>
    </row>
    <row r="28" spans="2:10" ht="12" customHeight="1">
      <c r="B28" s="327" t="s">
        <v>464</v>
      </c>
      <c r="C28" s="327"/>
      <c r="D28" s="794">
        <f>G7/G6</f>
        <v>0</v>
      </c>
      <c r="E28" s="1112" t="s">
        <v>467</v>
      </c>
      <c r="F28" s="794"/>
      <c r="H28" s="197"/>
      <c r="I28" s="327"/>
      <c r="J28" s="327"/>
    </row>
    <row r="29" spans="2:10" ht="12" customHeight="1">
      <c r="B29" s="327" t="s">
        <v>465</v>
      </c>
      <c r="C29" s="327"/>
      <c r="D29" s="794">
        <f>G20/G18</f>
        <v>5.2775014058917658E-2</v>
      </c>
      <c r="E29" s="1112" t="s">
        <v>468</v>
      </c>
      <c r="F29" s="794"/>
      <c r="H29" s="197"/>
      <c r="I29" s="327"/>
      <c r="J29" s="327"/>
    </row>
    <row r="30" spans="2:10" ht="12" customHeight="1">
      <c r="B30" s="326" t="s">
        <v>466</v>
      </c>
      <c r="C30" s="327"/>
      <c r="D30" s="794">
        <f>G21/(G18+G8)</f>
        <v>1.6132888910655493E-2</v>
      </c>
      <c r="E30" s="1112" t="s">
        <v>562</v>
      </c>
      <c r="F30" s="794"/>
      <c r="H30" s="197"/>
      <c r="I30" s="327"/>
      <c r="J30" s="327"/>
    </row>
    <row r="31" spans="2:10" ht="12" customHeight="1">
      <c r="H31" s="197"/>
    </row>
    <row r="32" spans="2:10" ht="24" customHeight="1">
      <c r="B32" s="347" t="s">
        <v>561</v>
      </c>
      <c r="H32" s="197"/>
    </row>
    <row r="33" spans="2:8" ht="12" customHeight="1">
      <c r="B33" s="924"/>
      <c r="C33" s="925"/>
      <c r="D33" s="926"/>
      <c r="E33" s="926" t="s">
        <v>0</v>
      </c>
      <c r="F33" s="926" t="s">
        <v>507</v>
      </c>
      <c r="G33" s="1097" t="s">
        <v>506</v>
      </c>
      <c r="H33" s="197"/>
    </row>
    <row r="34" spans="2:8" ht="12" customHeight="1">
      <c r="B34" s="1098" t="s">
        <v>503</v>
      </c>
      <c r="E34" s="1096">
        <f>Budget!E3</f>
        <v>4800000</v>
      </c>
      <c r="F34" s="1096">
        <f>Budget!F3</f>
        <v>0</v>
      </c>
      <c r="G34" s="1099">
        <f>Budget!G3</f>
        <v>4800000</v>
      </c>
      <c r="H34" s="197"/>
    </row>
    <row r="35" spans="2:8" ht="12" customHeight="1">
      <c r="B35" s="1098" t="s">
        <v>580</v>
      </c>
      <c r="E35" s="1096">
        <f>E4</f>
        <v>0</v>
      </c>
      <c r="F35" s="1096">
        <f t="shared" ref="F35:G35" si="2">F4</f>
        <v>200000.00000000003</v>
      </c>
      <c r="G35" s="1099">
        <f t="shared" si="2"/>
        <v>200000.00000000003</v>
      </c>
      <c r="H35" s="197"/>
    </row>
    <row r="36" spans="2:8" ht="12" customHeight="1">
      <c r="B36" s="1098" t="s">
        <v>504</v>
      </c>
      <c r="E36" s="1096">
        <f>Budget!E8</f>
        <v>0</v>
      </c>
      <c r="F36" s="1096">
        <f>Budget!F8</f>
        <v>16199999.999999994</v>
      </c>
      <c r="G36" s="1099">
        <f>Budget!G8</f>
        <v>16199999.999999994</v>
      </c>
      <c r="H36" s="197"/>
    </row>
    <row r="37" spans="2:8" ht="12" customHeight="1">
      <c r="B37" s="1098" t="s">
        <v>505</v>
      </c>
      <c r="E37" s="1096">
        <f>Budget!E18+Budget!E20</f>
        <v>203435</v>
      </c>
      <c r="F37" s="1096">
        <f>Budget!F18+Budget!F20</f>
        <v>1013415</v>
      </c>
      <c r="G37" s="1099">
        <f>Budget!G18+Budget!G20</f>
        <v>1216850</v>
      </c>
      <c r="H37" s="197"/>
    </row>
    <row r="38" spans="2:8" ht="12" customHeight="1">
      <c r="B38" s="1098" t="s">
        <v>479</v>
      </c>
      <c r="E38" s="1096">
        <f>Budget!E21</f>
        <v>0</v>
      </c>
      <c r="F38" s="1096">
        <f>Budget!F21</f>
        <v>280000</v>
      </c>
      <c r="G38" s="1099">
        <f>Budget!G21</f>
        <v>280000</v>
      </c>
      <c r="H38" s="197"/>
    </row>
    <row r="39" spans="2:8" ht="12" customHeight="1">
      <c r="B39" s="1098" t="s">
        <v>470</v>
      </c>
      <c r="E39" s="1096">
        <f>Budget!E22</f>
        <v>150000</v>
      </c>
      <c r="F39" s="1096">
        <f>Budget!F22</f>
        <v>0</v>
      </c>
      <c r="G39" s="1099">
        <f>Budget!G22</f>
        <v>150000</v>
      </c>
      <c r="H39" s="197"/>
    </row>
    <row r="40" spans="2:8" ht="12" customHeight="1">
      <c r="B40" s="1098" t="s">
        <v>401</v>
      </c>
      <c r="E40" s="1096">
        <f>Budget!E23</f>
        <v>0</v>
      </c>
      <c r="F40" s="1096">
        <f>Budget!F23</f>
        <v>120381.33518700834</v>
      </c>
      <c r="G40" s="1099">
        <f>Budget!G23</f>
        <v>120381.33518700834</v>
      </c>
      <c r="H40" s="197"/>
    </row>
    <row r="41" spans="2:8" ht="12" customHeight="1">
      <c r="B41" s="1098" t="s">
        <v>489</v>
      </c>
      <c r="E41" s="1096">
        <f>Budget!E24</f>
        <v>156000</v>
      </c>
      <c r="F41" s="1096">
        <f>Budget!F24</f>
        <v>0</v>
      </c>
      <c r="G41" s="1099">
        <f>Budget!G24</f>
        <v>156000</v>
      </c>
      <c r="H41" s="197"/>
    </row>
    <row r="42" spans="2:8" ht="12" customHeight="1">
      <c r="B42" s="1213" t="s">
        <v>488</v>
      </c>
      <c r="C42" s="240"/>
      <c r="D42" s="1214"/>
      <c r="E42" s="1215">
        <f>Budget!E25</f>
        <v>0</v>
      </c>
      <c r="F42" s="1215">
        <f>Budget!F25</f>
        <v>907495.54501353716</v>
      </c>
      <c r="G42" s="1216">
        <f>Budget!G25</f>
        <v>907495.54501353716</v>
      </c>
      <c r="H42" s="197"/>
    </row>
    <row r="43" spans="2:8" ht="12" customHeight="1">
      <c r="B43" s="1100" t="s">
        <v>373</v>
      </c>
      <c r="C43" s="1101"/>
      <c r="D43" s="506"/>
      <c r="E43" s="1102">
        <f>SUM(E34:E42)</f>
        <v>5309435</v>
      </c>
      <c r="F43" s="1102">
        <f t="shared" ref="F43:G43" si="3">SUM(F34:F42)</f>
        <v>18721291.880200535</v>
      </c>
      <c r="G43" s="1103">
        <f t="shared" si="3"/>
        <v>24030726.880200535</v>
      </c>
      <c r="H43" s="197"/>
    </row>
    <row r="44" spans="2:8" ht="12" customHeight="1">
      <c r="H44" s="197"/>
    </row>
    <row r="45" spans="2:8" ht="12" customHeight="1">
      <c r="H45" s="197"/>
    </row>
    <row r="46" spans="2:8" ht="12" customHeight="1">
      <c r="H46" s="197"/>
    </row>
    <row r="47" spans="2:8" ht="12" customHeight="1">
      <c r="H47" s="197"/>
    </row>
    <row r="48" spans="2:8" ht="12" customHeight="1">
      <c r="H48" s="197"/>
    </row>
    <row r="49" spans="8:8" ht="12" customHeight="1">
      <c r="H49" s="197"/>
    </row>
    <row r="50" spans="8:8" ht="12" customHeight="1">
      <c r="H50" s="197"/>
    </row>
  </sheetData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6">
    <tabColor rgb="FFFFFF00"/>
  </sheetPr>
  <dimension ref="B1:BS344"/>
  <sheetViews>
    <sheetView zoomScale="120" zoomScaleNormal="120" workbookViewId="0">
      <pane xSplit="7" ySplit="11" topLeftCell="H67" activePane="bottomRight" state="frozen"/>
      <selection pane="topRight" activeCell="H1" sqref="H1"/>
      <selection pane="bottomLeft" activeCell="A7" sqref="A7"/>
      <selection pane="bottomRight" activeCell="J50" sqref="J50"/>
    </sheetView>
  </sheetViews>
  <sheetFormatPr baseColWidth="10" defaultColWidth="9.1640625" defaultRowHeight="12" customHeight="1" outlineLevelRow="1"/>
  <cols>
    <col min="1" max="1" width="2.83203125" style="206" customWidth="1"/>
    <col min="2" max="2" width="2.33203125" style="206" customWidth="1"/>
    <col min="3" max="3" width="19.5" style="206" customWidth="1"/>
    <col min="4" max="4" width="11.5" style="206" customWidth="1"/>
    <col min="5" max="6" width="10.1640625" style="206" customWidth="1"/>
    <col min="7" max="7" width="11.6640625" style="206" customWidth="1"/>
    <col min="8" max="8" width="10.6640625" style="207" customWidth="1"/>
    <col min="9" max="9" width="12" style="207" customWidth="1"/>
    <col min="10" max="10" width="10.5" style="207" customWidth="1"/>
    <col min="11" max="11" width="12.33203125" style="207" customWidth="1"/>
    <col min="12" max="19" width="10.5" style="207" customWidth="1"/>
    <col min="20" max="20" width="10.5" style="306" customWidth="1"/>
    <col min="21" max="26" width="10.5" style="207" customWidth="1"/>
    <col min="27" max="31" width="10.5" style="206" customWidth="1"/>
    <col min="32" max="32" width="10.5" style="315" customWidth="1"/>
    <col min="33" max="43" width="10.5" style="206" customWidth="1"/>
    <col min="44" max="44" width="10.5" style="315" customWidth="1"/>
    <col min="45" max="55" width="10.5" style="206" customWidth="1"/>
    <col min="56" max="56" width="10.5" style="315" customWidth="1"/>
    <col min="57" max="68" width="10.5" style="206" customWidth="1"/>
    <col min="69" max="16384" width="9.1640625" style="206"/>
  </cols>
  <sheetData>
    <row r="1" spans="2:71" ht="12" customHeight="1" thickBot="1">
      <c r="B1" s="244" t="s">
        <v>456</v>
      </c>
      <c r="D1" s="214">
        <f>G29</f>
        <v>907495.54501353716</v>
      </c>
      <c r="G1" s="746"/>
      <c r="H1" s="747">
        <f>G16</f>
        <v>24030726.88020055</v>
      </c>
    </row>
    <row r="2" spans="2:71" ht="12" customHeight="1" thickBot="1">
      <c r="B2" s="244" t="s">
        <v>451</v>
      </c>
      <c r="D2" s="744" t="s">
        <v>453</v>
      </c>
      <c r="E2" s="206" t="s">
        <v>452</v>
      </c>
      <c r="H2" s="1243"/>
    </row>
    <row r="3" spans="2:71" ht="12" customHeight="1">
      <c r="B3" s="208"/>
      <c r="C3" s="447"/>
      <c r="D3" s="448" t="s">
        <v>329</v>
      </c>
      <c r="E3" s="448" t="s">
        <v>330</v>
      </c>
      <c r="F3" s="448" t="s">
        <v>585</v>
      </c>
      <c r="G3" s="449" t="s">
        <v>440</v>
      </c>
    </row>
    <row r="4" spans="2:71" ht="12" customHeight="1">
      <c r="B4" s="450" t="s">
        <v>580</v>
      </c>
      <c r="D4" s="834">
        <v>1</v>
      </c>
      <c r="E4" s="834">
        <f>D4+F4-1</f>
        <v>6</v>
      </c>
      <c r="F4" s="1381">
        <v>6</v>
      </c>
      <c r="G4" s="1383">
        <v>45597</v>
      </c>
      <c r="H4" s="1113"/>
      <c r="I4" s="206"/>
    </row>
    <row r="5" spans="2:71" ht="12" customHeight="1">
      <c r="B5" s="218" t="s">
        <v>581</v>
      </c>
      <c r="D5" s="1209">
        <f>E4+1</f>
        <v>7</v>
      </c>
      <c r="E5" s="1211">
        <f>D5+F5-1</f>
        <v>20</v>
      </c>
      <c r="F5" s="1382">
        <v>14</v>
      </c>
      <c r="G5" s="1024">
        <f>EDATE(G4,F4)</f>
        <v>45778</v>
      </c>
      <c r="H5" s="1114"/>
      <c r="I5" s="105"/>
      <c r="J5" s="105"/>
      <c r="K5" s="105"/>
      <c r="L5" s="105"/>
      <c r="P5" s="407"/>
    </row>
    <row r="6" spans="2:71" ht="12" customHeight="1">
      <c r="B6" s="218" t="s">
        <v>439</v>
      </c>
      <c r="D6" s="1211">
        <f>E5+1</f>
        <v>21</v>
      </c>
      <c r="E6" s="1211">
        <f>D6+F6-1</f>
        <v>22</v>
      </c>
      <c r="F6" s="1382">
        <v>2</v>
      </c>
      <c r="G6" s="1024">
        <f>EDATE(G5,F5)</f>
        <v>46204</v>
      </c>
      <c r="H6" s="1114"/>
      <c r="I6" s="105"/>
      <c r="J6" s="105"/>
      <c r="K6" s="105"/>
      <c r="L6" s="105"/>
      <c r="P6" s="407"/>
    </row>
    <row r="7" spans="2:71" ht="12" customHeight="1" thickBot="1">
      <c r="B7" s="218" t="s">
        <v>556</v>
      </c>
      <c r="D7" s="206">
        <f>E6+1</f>
        <v>23</v>
      </c>
      <c r="E7" s="1211">
        <f>D7+F7-1</f>
        <v>24</v>
      </c>
      <c r="F7" s="1382">
        <v>2</v>
      </c>
      <c r="G7" s="1024">
        <f>EDATE(G6,F6)</f>
        <v>46266</v>
      </c>
      <c r="H7" s="1115"/>
      <c r="I7" s="105"/>
      <c r="J7" s="105"/>
      <c r="K7" s="105"/>
      <c r="L7" s="105"/>
      <c r="AO7" s="431"/>
      <c r="AP7" s="431"/>
      <c r="AQ7" s="431"/>
    </row>
    <row r="8" spans="2:71" ht="12" customHeight="1" thickBot="1">
      <c r="B8" s="218" t="s">
        <v>583</v>
      </c>
      <c r="D8" s="1211">
        <f>E7+1</f>
        <v>25</v>
      </c>
      <c r="E8" s="1211">
        <f>D8+F8-1</f>
        <v>29</v>
      </c>
      <c r="F8" s="1382">
        <v>5</v>
      </c>
      <c r="G8" s="1024">
        <f>EDATE(G7,F7)</f>
        <v>46327</v>
      </c>
      <c r="H8" s="1230" t="s">
        <v>563</v>
      </c>
      <c r="I8" s="318" t="s">
        <v>355</v>
      </c>
      <c r="J8" s="318"/>
      <c r="K8" s="318"/>
      <c r="L8" s="318"/>
      <c r="M8" s="318"/>
      <c r="N8" s="318"/>
      <c r="O8" s="318"/>
      <c r="P8" s="318"/>
      <c r="Q8" s="318"/>
      <c r="R8" s="318"/>
      <c r="S8" s="318"/>
      <c r="T8" s="319"/>
      <c r="U8" s="317" t="s">
        <v>356</v>
      </c>
      <c r="V8" s="316"/>
      <c r="W8" s="316"/>
      <c r="X8" s="316"/>
      <c r="Y8" s="316"/>
      <c r="Z8" s="316"/>
      <c r="AA8" s="316"/>
      <c r="AB8" s="316"/>
      <c r="AC8" s="316"/>
      <c r="AD8" s="316"/>
      <c r="AE8" s="316"/>
      <c r="AF8" s="423"/>
      <c r="AG8" s="318" t="s">
        <v>357</v>
      </c>
      <c r="AH8" s="318"/>
      <c r="AI8" s="318"/>
      <c r="AJ8" s="318"/>
      <c r="AK8" s="318"/>
      <c r="AL8" s="318"/>
      <c r="AM8" s="318"/>
      <c r="AN8" s="318"/>
      <c r="AO8" s="318"/>
      <c r="AP8" s="318"/>
      <c r="AQ8" s="318"/>
      <c r="AR8" s="424"/>
      <c r="AS8" s="318" t="s">
        <v>358</v>
      </c>
      <c r="AT8" s="318"/>
      <c r="AU8" s="318"/>
      <c r="AV8" s="318"/>
      <c r="AW8" s="318"/>
      <c r="AX8" s="318"/>
      <c r="AY8" s="318"/>
      <c r="AZ8" s="318"/>
      <c r="BA8" s="318"/>
      <c r="BB8" s="318"/>
      <c r="BC8" s="318"/>
      <c r="BD8" s="319"/>
      <c r="BE8" s="317" t="s">
        <v>359</v>
      </c>
      <c r="BF8" s="318"/>
      <c r="BG8" s="318"/>
      <c r="BH8" s="318"/>
      <c r="BI8" s="318"/>
      <c r="BJ8" s="318"/>
      <c r="BK8" s="318"/>
      <c r="BL8" s="318"/>
      <c r="BM8" s="318"/>
      <c r="BN8" s="318"/>
      <c r="BO8" s="318"/>
      <c r="BP8" s="319"/>
    </row>
    <row r="9" spans="2:71" ht="12" customHeight="1" thickBot="1">
      <c r="B9" s="426" t="s">
        <v>602</v>
      </c>
      <c r="C9" s="431"/>
      <c r="D9" s="431"/>
      <c r="E9" s="431"/>
      <c r="F9" s="1384">
        <v>36</v>
      </c>
      <c r="G9" s="731">
        <f>EDATE(G4,F9-1)</f>
        <v>46661</v>
      </c>
      <c r="H9" s="1116"/>
      <c r="I9" s="207" t="str">
        <f t="shared" ref="I9:AN9" si="0">IF(I11&lt;=$E$4,"Pre-Dvlp",IF(I11&lt;=$E$5,"Constr",IF(I11&lt;=$E$6,"Lease-Up",IF(I11&lt;=$E$7,"NOI+","B/E"))))</f>
        <v>Pre-Dvlp</v>
      </c>
      <c r="J9" s="207" t="str">
        <f t="shared" si="0"/>
        <v>Pre-Dvlp</v>
      </c>
      <c r="K9" s="207" t="str">
        <f t="shared" si="0"/>
        <v>Pre-Dvlp</v>
      </c>
      <c r="L9" s="207" t="str">
        <f t="shared" si="0"/>
        <v>Pre-Dvlp</v>
      </c>
      <c r="M9" s="207" t="str">
        <f t="shared" si="0"/>
        <v>Pre-Dvlp</v>
      </c>
      <c r="N9" s="207" t="str">
        <f t="shared" si="0"/>
        <v>Pre-Dvlp</v>
      </c>
      <c r="O9" s="207" t="str">
        <f t="shared" si="0"/>
        <v>Constr</v>
      </c>
      <c r="P9" s="207" t="str">
        <f t="shared" si="0"/>
        <v>Constr</v>
      </c>
      <c r="Q9" s="207" t="str">
        <f t="shared" si="0"/>
        <v>Constr</v>
      </c>
      <c r="R9" s="207" t="str">
        <f t="shared" si="0"/>
        <v>Constr</v>
      </c>
      <c r="S9" s="207" t="str">
        <f t="shared" si="0"/>
        <v>Constr</v>
      </c>
      <c r="T9" s="306" t="str">
        <f t="shared" si="0"/>
        <v>Constr</v>
      </c>
      <c r="U9" s="207" t="str">
        <f t="shared" si="0"/>
        <v>Constr</v>
      </c>
      <c r="V9" s="207" t="str">
        <f t="shared" si="0"/>
        <v>Constr</v>
      </c>
      <c r="W9" s="207" t="str">
        <f t="shared" si="0"/>
        <v>Constr</v>
      </c>
      <c r="X9" s="207" t="str">
        <f t="shared" si="0"/>
        <v>Constr</v>
      </c>
      <c r="Y9" s="207" t="str">
        <f t="shared" si="0"/>
        <v>Constr</v>
      </c>
      <c r="Z9" s="207" t="str">
        <f t="shared" si="0"/>
        <v>Constr</v>
      </c>
      <c r="AA9" s="207" t="str">
        <f t="shared" si="0"/>
        <v>Constr</v>
      </c>
      <c r="AB9" s="207" t="str">
        <f t="shared" si="0"/>
        <v>Constr</v>
      </c>
      <c r="AC9" s="207" t="str">
        <f t="shared" si="0"/>
        <v>Lease-Up</v>
      </c>
      <c r="AD9" s="207" t="str">
        <f t="shared" si="0"/>
        <v>Lease-Up</v>
      </c>
      <c r="AE9" s="207" t="str">
        <f t="shared" si="0"/>
        <v>NOI+</v>
      </c>
      <c r="AF9" s="306" t="str">
        <f t="shared" si="0"/>
        <v>NOI+</v>
      </c>
      <c r="AG9" s="207" t="str">
        <f t="shared" si="0"/>
        <v>B/E</v>
      </c>
      <c r="AH9" s="207" t="str">
        <f t="shared" si="0"/>
        <v>B/E</v>
      </c>
      <c r="AI9" s="207" t="str">
        <f t="shared" si="0"/>
        <v>B/E</v>
      </c>
      <c r="AJ9" s="207" t="str">
        <f t="shared" si="0"/>
        <v>B/E</v>
      </c>
      <c r="AK9" s="207" t="str">
        <f t="shared" si="0"/>
        <v>B/E</v>
      </c>
      <c r="AL9" s="207" t="str">
        <f t="shared" si="0"/>
        <v>B/E</v>
      </c>
      <c r="AM9" s="207" t="str">
        <f t="shared" si="0"/>
        <v>B/E</v>
      </c>
      <c r="AN9" s="207" t="str">
        <f t="shared" si="0"/>
        <v>B/E</v>
      </c>
      <c r="AO9" s="207" t="str">
        <f t="shared" ref="AO9:BP9" si="1">IF(AO11&lt;=$E$4,"Pre-Dvlp",IF(AO11&lt;=$E$5,"Constr",IF(AO11&lt;=$E$6,"Lease-Up",IF(AO11&lt;=$E$7,"NOI+","B/E"))))</f>
        <v>B/E</v>
      </c>
      <c r="AP9" s="207" t="str">
        <f t="shared" si="1"/>
        <v>B/E</v>
      </c>
      <c r="AQ9" s="207" t="str">
        <f t="shared" si="1"/>
        <v>B/E</v>
      </c>
      <c r="AR9" s="717" t="str">
        <f t="shared" si="1"/>
        <v>B/E</v>
      </c>
      <c r="AS9" s="207" t="str">
        <f t="shared" si="1"/>
        <v>B/E</v>
      </c>
      <c r="AT9" s="207" t="str">
        <f t="shared" si="1"/>
        <v>B/E</v>
      </c>
      <c r="AU9" s="207" t="str">
        <f t="shared" si="1"/>
        <v>B/E</v>
      </c>
      <c r="AV9" s="207" t="str">
        <f t="shared" si="1"/>
        <v>B/E</v>
      </c>
      <c r="AW9" s="207" t="str">
        <f t="shared" si="1"/>
        <v>B/E</v>
      </c>
      <c r="AX9" s="207" t="str">
        <f t="shared" si="1"/>
        <v>B/E</v>
      </c>
      <c r="AY9" s="207" t="str">
        <f t="shared" si="1"/>
        <v>B/E</v>
      </c>
      <c r="AZ9" s="207" t="str">
        <f t="shared" si="1"/>
        <v>B/E</v>
      </c>
      <c r="BA9" s="207" t="str">
        <f t="shared" si="1"/>
        <v>B/E</v>
      </c>
      <c r="BB9" s="207" t="str">
        <f t="shared" si="1"/>
        <v>B/E</v>
      </c>
      <c r="BC9" s="207" t="str">
        <f t="shared" si="1"/>
        <v>B/E</v>
      </c>
      <c r="BD9" s="306" t="str">
        <f t="shared" si="1"/>
        <v>B/E</v>
      </c>
      <c r="BE9" s="207" t="str">
        <f t="shared" si="1"/>
        <v>B/E</v>
      </c>
      <c r="BF9" s="207" t="str">
        <f t="shared" si="1"/>
        <v>B/E</v>
      </c>
      <c r="BG9" s="207" t="str">
        <f t="shared" si="1"/>
        <v>B/E</v>
      </c>
      <c r="BH9" s="207" t="str">
        <f t="shared" si="1"/>
        <v>B/E</v>
      </c>
      <c r="BI9" s="207" t="str">
        <f t="shared" si="1"/>
        <v>B/E</v>
      </c>
      <c r="BJ9" s="207" t="str">
        <f t="shared" si="1"/>
        <v>B/E</v>
      </c>
      <c r="BK9" s="207" t="str">
        <f t="shared" si="1"/>
        <v>B/E</v>
      </c>
      <c r="BL9" s="207" t="str">
        <f t="shared" si="1"/>
        <v>B/E</v>
      </c>
      <c r="BM9" s="207" t="str">
        <f t="shared" si="1"/>
        <v>B/E</v>
      </c>
      <c r="BN9" s="207" t="str">
        <f t="shared" si="1"/>
        <v>B/E</v>
      </c>
      <c r="BO9" s="207" t="str">
        <f t="shared" si="1"/>
        <v>B/E</v>
      </c>
      <c r="BP9" s="207" t="str">
        <f t="shared" si="1"/>
        <v>B/E</v>
      </c>
    </row>
    <row r="10" spans="2:71" ht="12" customHeight="1">
      <c r="B10" s="218"/>
      <c r="D10" s="787"/>
      <c r="E10" s="242"/>
      <c r="F10" s="835"/>
      <c r="G10" s="1028"/>
      <c r="H10" s="1029">
        <f>EDATE(G4,-1)</f>
        <v>45566</v>
      </c>
      <c r="I10" s="210">
        <f>EOMONTH(H10,1)</f>
        <v>45626</v>
      </c>
      <c r="J10" s="210">
        <f t="shared" ref="J10:AQ10" si="2">EOMONTH(I10,1)</f>
        <v>45657</v>
      </c>
      <c r="K10" s="210">
        <f t="shared" si="2"/>
        <v>45688</v>
      </c>
      <c r="L10" s="210">
        <f t="shared" si="2"/>
        <v>45716</v>
      </c>
      <c r="M10" s="210">
        <f t="shared" si="2"/>
        <v>45747</v>
      </c>
      <c r="N10" s="210">
        <f t="shared" si="2"/>
        <v>45777</v>
      </c>
      <c r="O10" s="210">
        <f t="shared" si="2"/>
        <v>45808</v>
      </c>
      <c r="P10" s="210">
        <f t="shared" si="2"/>
        <v>45838</v>
      </c>
      <c r="Q10" s="210">
        <f t="shared" si="2"/>
        <v>45869</v>
      </c>
      <c r="R10" s="210">
        <f t="shared" si="2"/>
        <v>45900</v>
      </c>
      <c r="S10" s="210">
        <f t="shared" si="2"/>
        <v>45930</v>
      </c>
      <c r="T10" s="307">
        <f t="shared" si="2"/>
        <v>45961</v>
      </c>
      <c r="U10" s="210">
        <f t="shared" si="2"/>
        <v>45991</v>
      </c>
      <c r="V10" s="210">
        <f t="shared" si="2"/>
        <v>46022</v>
      </c>
      <c r="W10" s="210">
        <f t="shared" si="2"/>
        <v>46053</v>
      </c>
      <c r="X10" s="210">
        <f t="shared" si="2"/>
        <v>46081</v>
      </c>
      <c r="Y10" s="210">
        <f t="shared" si="2"/>
        <v>46112</v>
      </c>
      <c r="Z10" s="210">
        <f t="shared" si="2"/>
        <v>46142</v>
      </c>
      <c r="AA10" s="210">
        <f t="shared" si="2"/>
        <v>46173</v>
      </c>
      <c r="AB10" s="210">
        <f t="shared" si="2"/>
        <v>46203</v>
      </c>
      <c r="AC10" s="210">
        <f t="shared" si="2"/>
        <v>46234</v>
      </c>
      <c r="AD10" s="210">
        <f t="shared" si="2"/>
        <v>46265</v>
      </c>
      <c r="AE10" s="210">
        <f t="shared" si="2"/>
        <v>46295</v>
      </c>
      <c r="AF10" s="307">
        <f t="shared" si="2"/>
        <v>46326</v>
      </c>
      <c r="AG10" s="210">
        <f t="shared" si="2"/>
        <v>46356</v>
      </c>
      <c r="AH10" s="210">
        <f t="shared" si="2"/>
        <v>46387</v>
      </c>
      <c r="AI10" s="210">
        <f t="shared" si="2"/>
        <v>46418</v>
      </c>
      <c r="AJ10" s="210">
        <f t="shared" si="2"/>
        <v>46446</v>
      </c>
      <c r="AK10" s="210">
        <f t="shared" si="2"/>
        <v>46477</v>
      </c>
      <c r="AL10" s="210">
        <f t="shared" si="2"/>
        <v>46507</v>
      </c>
      <c r="AM10" s="210">
        <f t="shared" si="2"/>
        <v>46538</v>
      </c>
      <c r="AN10" s="210">
        <f t="shared" si="2"/>
        <v>46568</v>
      </c>
      <c r="AO10" s="210">
        <f t="shared" si="2"/>
        <v>46599</v>
      </c>
      <c r="AP10" s="789">
        <f t="shared" si="2"/>
        <v>46630</v>
      </c>
      <c r="AQ10" s="210">
        <f t="shared" si="2"/>
        <v>46660</v>
      </c>
      <c r="AR10" s="726">
        <f t="shared" ref="AR10:BP10" si="3">EOMONTH(AQ10,1)</f>
        <v>46691</v>
      </c>
      <c r="AS10" s="210">
        <f t="shared" si="3"/>
        <v>46721</v>
      </c>
      <c r="AT10" s="210">
        <f t="shared" si="3"/>
        <v>46752</v>
      </c>
      <c r="AU10" s="210">
        <f t="shared" si="3"/>
        <v>46783</v>
      </c>
      <c r="AV10" s="210">
        <f t="shared" si="3"/>
        <v>46812</v>
      </c>
      <c r="AW10" s="210">
        <f t="shared" si="3"/>
        <v>46843</v>
      </c>
      <c r="AX10" s="210">
        <f t="shared" si="3"/>
        <v>46873</v>
      </c>
      <c r="AY10" s="210">
        <f t="shared" si="3"/>
        <v>46904</v>
      </c>
      <c r="AZ10" s="210">
        <f t="shared" si="3"/>
        <v>46934</v>
      </c>
      <c r="BA10" s="210">
        <f t="shared" si="3"/>
        <v>46965</v>
      </c>
      <c r="BB10" s="210">
        <f t="shared" si="3"/>
        <v>46996</v>
      </c>
      <c r="BC10" s="210">
        <f t="shared" si="3"/>
        <v>47026</v>
      </c>
      <c r="BD10" s="307">
        <f t="shared" si="3"/>
        <v>47057</v>
      </c>
      <c r="BE10" s="210">
        <f t="shared" si="3"/>
        <v>47087</v>
      </c>
      <c r="BF10" s="210">
        <f t="shared" si="3"/>
        <v>47118</v>
      </c>
      <c r="BG10" s="210">
        <f t="shared" si="3"/>
        <v>47149</v>
      </c>
      <c r="BH10" s="210">
        <f t="shared" si="3"/>
        <v>47177</v>
      </c>
      <c r="BI10" s="210">
        <f t="shared" si="3"/>
        <v>47208</v>
      </c>
      <c r="BJ10" s="210">
        <f t="shared" si="3"/>
        <v>47238</v>
      </c>
      <c r="BK10" s="210">
        <f t="shared" si="3"/>
        <v>47269</v>
      </c>
      <c r="BL10" s="210">
        <f t="shared" si="3"/>
        <v>47299</v>
      </c>
      <c r="BM10" s="210">
        <f t="shared" si="3"/>
        <v>47330</v>
      </c>
      <c r="BN10" s="210">
        <f t="shared" si="3"/>
        <v>47361</v>
      </c>
      <c r="BO10" s="210">
        <f t="shared" si="3"/>
        <v>47391</v>
      </c>
      <c r="BP10" s="286">
        <f t="shared" si="3"/>
        <v>47422</v>
      </c>
    </row>
    <row r="11" spans="2:71" ht="12" customHeight="1" thickBot="1">
      <c r="B11" s="211"/>
      <c r="C11" s="243"/>
      <c r="D11" s="253" t="s">
        <v>254</v>
      </c>
      <c r="E11" s="248" t="s">
        <v>308</v>
      </c>
      <c r="F11" s="1137" t="s">
        <v>565</v>
      </c>
      <c r="G11" s="212" t="s">
        <v>254</v>
      </c>
      <c r="H11" s="844" t="s">
        <v>310</v>
      </c>
      <c r="I11" s="287">
        <v>1</v>
      </c>
      <c r="J11" s="287">
        <f>I11+1</f>
        <v>2</v>
      </c>
      <c r="K11" s="287">
        <f t="shared" ref="K11:AQ11" si="4">J11+1</f>
        <v>3</v>
      </c>
      <c r="L11" s="287">
        <f t="shared" si="4"/>
        <v>4</v>
      </c>
      <c r="M11" s="287">
        <f t="shared" si="4"/>
        <v>5</v>
      </c>
      <c r="N11" s="287">
        <f t="shared" si="4"/>
        <v>6</v>
      </c>
      <c r="O11" s="287">
        <f t="shared" si="4"/>
        <v>7</v>
      </c>
      <c r="P11" s="287">
        <f t="shared" si="4"/>
        <v>8</v>
      </c>
      <c r="Q11" s="287">
        <f t="shared" si="4"/>
        <v>9</v>
      </c>
      <c r="R11" s="287">
        <f t="shared" si="4"/>
        <v>10</v>
      </c>
      <c r="S11" s="287">
        <f t="shared" si="4"/>
        <v>11</v>
      </c>
      <c r="T11" s="308">
        <f t="shared" si="4"/>
        <v>12</v>
      </c>
      <c r="U11" s="287">
        <f t="shared" si="4"/>
        <v>13</v>
      </c>
      <c r="V11" s="287">
        <f t="shared" si="4"/>
        <v>14</v>
      </c>
      <c r="W11" s="287">
        <f t="shared" si="4"/>
        <v>15</v>
      </c>
      <c r="X11" s="287">
        <f t="shared" si="4"/>
        <v>16</v>
      </c>
      <c r="Y11" s="287">
        <f t="shared" si="4"/>
        <v>17</v>
      </c>
      <c r="Z11" s="287">
        <f t="shared" si="4"/>
        <v>18</v>
      </c>
      <c r="AA11" s="287">
        <f t="shared" si="4"/>
        <v>19</v>
      </c>
      <c r="AB11" s="287">
        <f t="shared" si="4"/>
        <v>20</v>
      </c>
      <c r="AC11" s="287">
        <f t="shared" si="4"/>
        <v>21</v>
      </c>
      <c r="AD11" s="287">
        <f t="shared" si="4"/>
        <v>22</v>
      </c>
      <c r="AE11" s="287">
        <f t="shared" si="4"/>
        <v>23</v>
      </c>
      <c r="AF11" s="308">
        <f t="shared" si="4"/>
        <v>24</v>
      </c>
      <c r="AG11" s="422">
        <f t="shared" si="4"/>
        <v>25</v>
      </c>
      <c r="AH11" s="287">
        <f t="shared" si="4"/>
        <v>26</v>
      </c>
      <c r="AI11" s="287">
        <f t="shared" si="4"/>
        <v>27</v>
      </c>
      <c r="AJ11" s="287">
        <f t="shared" si="4"/>
        <v>28</v>
      </c>
      <c r="AK11" s="287">
        <f t="shared" si="4"/>
        <v>29</v>
      </c>
      <c r="AL11" s="287">
        <f t="shared" si="4"/>
        <v>30</v>
      </c>
      <c r="AM11" s="287">
        <f t="shared" si="4"/>
        <v>31</v>
      </c>
      <c r="AN11" s="287">
        <f t="shared" si="4"/>
        <v>32</v>
      </c>
      <c r="AO11" s="422">
        <f t="shared" si="4"/>
        <v>33</v>
      </c>
      <c r="AP11" s="422">
        <f t="shared" si="4"/>
        <v>34</v>
      </c>
      <c r="AQ11" s="422">
        <f t="shared" si="4"/>
        <v>35</v>
      </c>
      <c r="AR11" s="308">
        <f t="shared" ref="AR11:BP11" si="5">AQ11+1</f>
        <v>36</v>
      </c>
      <c r="AS11" s="422">
        <f t="shared" si="5"/>
        <v>37</v>
      </c>
      <c r="AT11" s="213">
        <f t="shared" si="5"/>
        <v>38</v>
      </c>
      <c r="AU11" s="213">
        <f t="shared" si="5"/>
        <v>39</v>
      </c>
      <c r="AV11" s="213">
        <f t="shared" si="5"/>
        <v>40</v>
      </c>
      <c r="AW11" s="213">
        <f t="shared" si="5"/>
        <v>41</v>
      </c>
      <c r="AX11" s="213">
        <f t="shared" si="5"/>
        <v>42</v>
      </c>
      <c r="AY11" s="213">
        <f t="shared" si="5"/>
        <v>43</v>
      </c>
      <c r="AZ11" s="213">
        <f t="shared" si="5"/>
        <v>44</v>
      </c>
      <c r="BA11" s="213">
        <f t="shared" si="5"/>
        <v>45</v>
      </c>
      <c r="BB11" s="213">
        <f t="shared" si="5"/>
        <v>46</v>
      </c>
      <c r="BC11" s="213">
        <f t="shared" si="5"/>
        <v>47</v>
      </c>
      <c r="BD11" s="308">
        <f t="shared" si="5"/>
        <v>48</v>
      </c>
      <c r="BE11" s="213">
        <f t="shared" si="5"/>
        <v>49</v>
      </c>
      <c r="BF11" s="213">
        <f t="shared" si="5"/>
        <v>50</v>
      </c>
      <c r="BG11" s="213">
        <f t="shared" si="5"/>
        <v>51</v>
      </c>
      <c r="BH11" s="213">
        <f t="shared" si="5"/>
        <v>52</v>
      </c>
      <c r="BI11" s="213">
        <f t="shared" si="5"/>
        <v>53</v>
      </c>
      <c r="BJ11" s="213">
        <f t="shared" si="5"/>
        <v>54</v>
      </c>
      <c r="BK11" s="213">
        <f t="shared" si="5"/>
        <v>55</v>
      </c>
      <c r="BL11" s="213">
        <f t="shared" si="5"/>
        <v>56</v>
      </c>
      <c r="BM11" s="213">
        <f t="shared" si="5"/>
        <v>57</v>
      </c>
      <c r="BN11" s="213">
        <f t="shared" si="5"/>
        <v>58</v>
      </c>
      <c r="BO11" s="213">
        <f t="shared" si="5"/>
        <v>59</v>
      </c>
      <c r="BP11" s="288">
        <f t="shared" si="5"/>
        <v>60</v>
      </c>
    </row>
    <row r="12" spans="2:71" ht="20" customHeight="1">
      <c r="B12" s="249" t="s">
        <v>404</v>
      </c>
      <c r="D12" s="729"/>
      <c r="E12" s="251"/>
      <c r="F12" s="244"/>
      <c r="G12" s="411"/>
      <c r="H12" s="845"/>
      <c r="I12" s="217"/>
      <c r="J12" s="217"/>
      <c r="K12" s="217"/>
      <c r="L12" s="217"/>
      <c r="M12" s="217"/>
      <c r="N12" s="217"/>
      <c r="O12" s="217"/>
      <c r="P12" s="217"/>
      <c r="Q12" s="217"/>
      <c r="R12" s="217"/>
      <c r="S12" s="217"/>
      <c r="T12" s="309"/>
      <c r="U12" s="217"/>
      <c r="V12" s="217"/>
      <c r="W12" s="217"/>
      <c r="X12" s="217"/>
      <c r="Y12" s="217"/>
      <c r="Z12" s="217"/>
      <c r="AA12" s="214"/>
      <c r="AB12" s="217"/>
      <c r="AC12" s="217"/>
      <c r="AD12" s="217"/>
      <c r="AE12" s="217"/>
      <c r="AF12" s="496"/>
      <c r="AG12" s="217"/>
      <c r="AH12" s="217"/>
      <c r="AI12" s="217"/>
      <c r="AJ12" s="217"/>
      <c r="AK12" s="217"/>
      <c r="AL12" s="217"/>
      <c r="AM12" s="217"/>
      <c r="AN12" s="217"/>
      <c r="AO12" s="217"/>
      <c r="AP12" s="217"/>
      <c r="AQ12" s="217"/>
      <c r="AR12" s="496"/>
      <c r="AS12" s="217"/>
      <c r="AT12" s="217"/>
      <c r="AU12" s="217"/>
      <c r="AV12" s="217"/>
      <c r="AW12" s="217"/>
      <c r="AX12" s="217"/>
      <c r="AY12" s="217"/>
      <c r="AZ12" s="217"/>
      <c r="BA12" s="217"/>
      <c r="BB12" s="217"/>
      <c r="BC12" s="217"/>
      <c r="BD12" s="496"/>
      <c r="BE12" s="217"/>
      <c r="BF12" s="217"/>
      <c r="BG12" s="217"/>
      <c r="BH12" s="217"/>
      <c r="BI12" s="217"/>
      <c r="BJ12" s="217"/>
      <c r="BK12" s="217"/>
      <c r="BL12" s="217"/>
      <c r="BM12" s="217"/>
      <c r="BN12" s="217"/>
      <c r="BO12" s="217"/>
      <c r="BP12" s="740"/>
    </row>
    <row r="13" spans="2:71" ht="12" customHeight="1" outlineLevel="1">
      <c r="B13" s="249"/>
      <c r="C13" s="206" t="s">
        <v>455</v>
      </c>
      <c r="D13" s="723"/>
      <c r="E13" s="407">
        <f>SUM(H13)</f>
        <v>0</v>
      </c>
      <c r="F13" s="214">
        <f>SUM(I13:BP13)</f>
        <v>94333.685716624997</v>
      </c>
      <c r="G13" s="421">
        <f>E13+F13</f>
        <v>94333.685716624997</v>
      </c>
      <c r="H13" s="845">
        <v>0</v>
      </c>
      <c r="I13" s="217">
        <f>IF(I9="B/E",0,IF('Lease Up'!I46&gt;0,'Lease Up'!I46,0))</f>
        <v>0</v>
      </c>
      <c r="J13" s="217">
        <f>IF(J9="B/E",0,IF('Lease Up'!J46&gt;0,'Lease Up'!J46,0))</f>
        <v>0</v>
      </c>
      <c r="K13" s="217">
        <f>IF(K9="B/E",0,IF('Lease Up'!K46&gt;0,'Lease Up'!K46,0))</f>
        <v>0</v>
      </c>
      <c r="L13" s="217">
        <f>IF(L9="B/E",0,IF('Lease Up'!L46&gt;0,'Lease Up'!L46,0))</f>
        <v>0</v>
      </c>
      <c r="M13" s="217">
        <f>IF(M9="B/E",0,IF('Lease Up'!M46&gt;0,'Lease Up'!M46,0))</f>
        <v>0</v>
      </c>
      <c r="N13" s="217">
        <f>IF(N9="B/E",0,IF('Lease Up'!N46&gt;0,'Lease Up'!N46,0))</f>
        <v>0</v>
      </c>
      <c r="O13" s="217">
        <f>IF(O9="B/E",0,IF('Lease Up'!O46&gt;0,'Lease Up'!O46,0))</f>
        <v>0</v>
      </c>
      <c r="P13" s="217">
        <f>IF(P9="B/E",0,IF('Lease Up'!P46&gt;0,'Lease Up'!P46,0))</f>
        <v>0</v>
      </c>
      <c r="Q13" s="217">
        <f>IF(Q9="B/E",0,IF('Lease Up'!Q46&gt;0,'Lease Up'!Q46,0))</f>
        <v>0</v>
      </c>
      <c r="R13" s="217">
        <f>IF(R9="B/E",0,IF('Lease Up'!R46&gt;0,'Lease Up'!R46,0))</f>
        <v>0</v>
      </c>
      <c r="S13" s="217">
        <f>IF(S9="B/E",0,IF('Lease Up'!S46&gt;0,'Lease Up'!S46,0))</f>
        <v>0</v>
      </c>
      <c r="T13" s="309">
        <f>IF(T9="B/E",0,IF('Lease Up'!T46&gt;0,'Lease Up'!T46,0))</f>
        <v>0</v>
      </c>
      <c r="U13" s="217">
        <f>IF(U9="B/E",0,IF('Lease Up'!U46&gt;0,'Lease Up'!U46,0))</f>
        <v>0</v>
      </c>
      <c r="V13" s="217">
        <f>IF(V9="B/E",0,IF('Lease Up'!V46&gt;0,'Lease Up'!V46,0))</f>
        <v>0</v>
      </c>
      <c r="W13" s="217">
        <f>IF(W9="B/E",0,IF('Lease Up'!W46&gt;0,'Lease Up'!W46,0))</f>
        <v>0</v>
      </c>
      <c r="X13" s="217">
        <f>IF(X9="B/E",0,IF('Lease Up'!X46&gt;0,'Lease Up'!X46,0))</f>
        <v>0</v>
      </c>
      <c r="Y13" s="217">
        <f>IF(Y9="B/E",0,IF('Lease Up'!Y46&gt;0,'Lease Up'!Y46,0))</f>
        <v>0</v>
      </c>
      <c r="Z13" s="217">
        <f>IF(Z9="B/E",0,IF('Lease Up'!Z46&gt;0,'Lease Up'!Z46,0))</f>
        <v>0</v>
      </c>
      <c r="AA13" s="217">
        <f>IF(AA9="B/E",0,IF('Lease Up'!AA46&gt;0,'Lease Up'!AA46,0))</f>
        <v>0</v>
      </c>
      <c r="AB13" s="217">
        <f>IF(AB9="B/E",0,IF('Lease Up'!AB46&gt;0,'Lease Up'!AB46,0))</f>
        <v>0</v>
      </c>
      <c r="AC13" s="217">
        <f>IF(AC9="B/E",0,IF('Lease Up'!AC46&gt;0,'Lease Up'!AC46,0))</f>
        <v>0</v>
      </c>
      <c r="AD13" s="217">
        <f>IF(AD9="B/E",0,IF('Lease Up'!AD46&gt;0,'Lease Up'!AD46,0))</f>
        <v>0</v>
      </c>
      <c r="AE13" s="217">
        <f>IF(AE9="B/E",0,IF('Lease Up'!AE46&gt;0,'Lease Up'!AE46,0))</f>
        <v>31226.532987024999</v>
      </c>
      <c r="AF13" s="309">
        <f>IF(AF9="B/E",0,IF('Lease Up'!AF46&gt;0,'Lease Up'!AF46,0))</f>
        <v>63107.152729599999</v>
      </c>
      <c r="AG13" s="217">
        <f>IF(AG9="B/E",0,IF('Lease Up'!AG46&gt;0,'Lease Up'!AG46,0))</f>
        <v>0</v>
      </c>
      <c r="AH13" s="217">
        <f>IF(AH9="B/E",0,IF('Lease Up'!AH46&gt;0,'Lease Up'!AH46,0))</f>
        <v>0</v>
      </c>
      <c r="AI13" s="217">
        <f>IF(AI9="B/E",0,IF('Lease Up'!AI46&gt;0,'Lease Up'!AI46,0))</f>
        <v>0</v>
      </c>
      <c r="AJ13" s="217">
        <f>IF(AJ9="B/E",0,IF('Lease Up'!AJ46&gt;0,'Lease Up'!AJ46,0))</f>
        <v>0</v>
      </c>
      <c r="AK13" s="217">
        <f>IF(AK9="B/E",0,IF('Lease Up'!AK46&gt;0,'Lease Up'!AK46,0))</f>
        <v>0</v>
      </c>
      <c r="AL13" s="217">
        <f>IF(AL9="B/E",0,IF('Lease Up'!AL46&gt;0,'Lease Up'!AL46,0))</f>
        <v>0</v>
      </c>
      <c r="AM13" s="217">
        <f>IF(AM9="B/E",0,IF('Lease Up'!AM46&gt;0,'Lease Up'!AM46,0))</f>
        <v>0</v>
      </c>
      <c r="AN13" s="217">
        <f>IF(AN9="B/E",0,IF('Lease Up'!AN46&gt;0,'Lease Up'!AN46,0))</f>
        <v>0</v>
      </c>
      <c r="AO13" s="217">
        <f>IF(AO9="B/E",0,IF('Lease Up'!AO46&gt;0,'Lease Up'!AO46,0))</f>
        <v>0</v>
      </c>
      <c r="AP13" s="217">
        <f>IF(AP9="B/E",0,IF('Lease Up'!AP46&gt;0,'Lease Up'!AP46,0))</f>
        <v>0</v>
      </c>
      <c r="AQ13" s="217">
        <f>IF(AQ9="B/E",0,IF('Lease Up'!AQ46&gt;0,'Lease Up'!AQ46,0))</f>
        <v>0</v>
      </c>
      <c r="AR13" s="309">
        <f>IF(AR9="B/E",0,IF('Lease Up'!AR46&gt;0,'Lease Up'!AR46,0))</f>
        <v>0</v>
      </c>
      <c r="AS13" s="217">
        <f>IF(AS9="B/E",0,IF('Lease Up'!AS46&gt;0,'Lease Up'!AS46,0))</f>
        <v>0</v>
      </c>
      <c r="AT13" s="217">
        <f>IF(AT9="B/E",0,IF('Lease Up'!AT46&gt;0,'Lease Up'!AT46,0))</f>
        <v>0</v>
      </c>
      <c r="AU13" s="217">
        <f>IF(AU9="B/E",0,IF('Lease Up'!AU46&gt;0,'Lease Up'!AU46,0))</f>
        <v>0</v>
      </c>
      <c r="AV13" s="217">
        <f>IF(AV9="B/E",0,IF('Lease Up'!AV46&gt;0,'Lease Up'!AV46,0))</f>
        <v>0</v>
      </c>
      <c r="AW13" s="217">
        <f>IF(AW9="B/E",0,IF('Lease Up'!AW46&gt;0,'Lease Up'!AW46,0))</f>
        <v>0</v>
      </c>
      <c r="AX13" s="217">
        <f>IF(AX9="B/E",0,IF('Lease Up'!AX46&gt;0,'Lease Up'!AX46,0))</f>
        <v>0</v>
      </c>
      <c r="AY13" s="217">
        <f>IF(AY9="B/E",0,IF('Lease Up'!AY46&gt;0,'Lease Up'!AY46,0))</f>
        <v>0</v>
      </c>
      <c r="AZ13" s="217">
        <f>IF(AZ9="B/E",0,IF('Lease Up'!AZ46&gt;0,'Lease Up'!AZ46,0))</f>
        <v>0</v>
      </c>
      <c r="BA13" s="217">
        <f>IF(BA9="B/E",0,IF('Lease Up'!BA46&gt;0,'Lease Up'!BA46,0))</f>
        <v>0</v>
      </c>
      <c r="BB13" s="217">
        <f>IF(BB9="B/E",0,IF('Lease Up'!BB46&gt;0,'Lease Up'!BB46,0))</f>
        <v>0</v>
      </c>
      <c r="BC13" s="217">
        <f>IF(BC9="B/E",0,IF('Lease Up'!BC46&gt;0,'Lease Up'!BC46,0))</f>
        <v>0</v>
      </c>
      <c r="BD13" s="309">
        <f>IF(BD9="B/E",0,IF('Lease Up'!BD46&gt;0,'Lease Up'!BD46,0))</f>
        <v>0</v>
      </c>
      <c r="BE13" s="217">
        <f>IF(BE9="B/E",0,IF('Lease Up'!BE46&gt;0,'Lease Up'!BE46,0))</f>
        <v>0</v>
      </c>
      <c r="BF13" s="217">
        <f>IF(BF9="B/E",0,IF('Lease Up'!BF46&gt;0,'Lease Up'!BF46,0))</f>
        <v>0</v>
      </c>
      <c r="BG13" s="217">
        <f>IF(BG9="B/E",0,IF('Lease Up'!BG46&gt;0,'Lease Up'!BG46,0))</f>
        <v>0</v>
      </c>
      <c r="BH13" s="217">
        <f>IF(BH9="B/E",0,IF('Lease Up'!BH46&gt;0,'Lease Up'!BH46,0))</f>
        <v>0</v>
      </c>
      <c r="BI13" s="217">
        <f>IF(BI9="B/E",0,IF('Lease Up'!BI46&gt;0,'Lease Up'!BI46,0))</f>
        <v>0</v>
      </c>
      <c r="BJ13" s="217">
        <f>IF(BJ9="B/E",0,IF('Lease Up'!BJ46&gt;0,'Lease Up'!BJ46,0))</f>
        <v>0</v>
      </c>
      <c r="BK13" s="217">
        <f>IF(BK9="B/E",0,IF('Lease Up'!BK46&gt;0,'Lease Up'!BK46,0))</f>
        <v>0</v>
      </c>
      <c r="BL13" s="217">
        <f>IF(BL9="B/E",0,IF('Lease Up'!BL46&gt;0,'Lease Up'!BL46,0))</f>
        <v>0</v>
      </c>
      <c r="BM13" s="217">
        <f>IF(BM9="B/E",0,IF('Lease Up'!BM46&gt;0,'Lease Up'!BM46,0))</f>
        <v>0</v>
      </c>
      <c r="BN13" s="217">
        <f>IF(BN9="B/E",0,IF('Lease Up'!BN46&gt;0,'Lease Up'!BN46,0))</f>
        <v>0</v>
      </c>
      <c r="BO13" s="217">
        <f>IF(BO9="B/E",0,IF('Lease Up'!BO46&gt;0,'Lease Up'!BO46,0))</f>
        <v>0</v>
      </c>
      <c r="BP13" s="713">
        <f>IF(BP9="B/E",0,IF('Lease Up'!BP46&gt;0,'Lease Up'!BP46,0))</f>
        <v>0</v>
      </c>
    </row>
    <row r="14" spans="2:71" ht="12" customHeight="1" outlineLevel="1" thickBot="1">
      <c r="B14" s="218"/>
      <c r="C14" s="206" t="s">
        <v>493</v>
      </c>
      <c r="D14" s="779"/>
      <c r="E14" s="407">
        <f>SUM(H14)</f>
        <v>0</v>
      </c>
      <c r="F14" s="214">
        <f>SUM(I14:BP14)</f>
        <v>15536393.194483921</v>
      </c>
      <c r="G14" s="421">
        <f>E14+F14</f>
        <v>15536393.194483921</v>
      </c>
      <c r="H14" s="857">
        <f>IF(H15=H32,0,IF(H49=$D$15,H32,H32-H50))</f>
        <v>0</v>
      </c>
      <c r="I14" s="901">
        <f>I44+I45</f>
        <v>0</v>
      </c>
      <c r="J14" s="901">
        <f t="shared" ref="J14:BP14" si="6">J44+J45</f>
        <v>0</v>
      </c>
      <c r="K14" s="901">
        <f t="shared" si="6"/>
        <v>0</v>
      </c>
      <c r="L14" s="901">
        <f t="shared" si="6"/>
        <v>0</v>
      </c>
      <c r="M14" s="901">
        <f t="shared" si="6"/>
        <v>0</v>
      </c>
      <c r="N14" s="901">
        <f t="shared" si="6"/>
        <v>0</v>
      </c>
      <c r="O14" s="902">
        <f t="shared" si="6"/>
        <v>0</v>
      </c>
      <c r="P14" s="902">
        <f t="shared" si="6"/>
        <v>0</v>
      </c>
      <c r="Q14" s="902">
        <f t="shared" si="6"/>
        <v>858023.92857142654</v>
      </c>
      <c r="R14" s="902">
        <f t="shared" si="6"/>
        <v>1255340.98599402</v>
      </c>
      <c r="S14" s="902">
        <f t="shared" si="6"/>
        <v>1263770.6413692234</v>
      </c>
      <c r="T14" s="903">
        <f t="shared" si="6"/>
        <v>1272286.613078279</v>
      </c>
      <c r="U14" s="902">
        <f t="shared" si="6"/>
        <v>1280454.2912552697</v>
      </c>
      <c r="V14" s="902">
        <f t="shared" si="6"/>
        <v>1288603.6647020152</v>
      </c>
      <c r="W14" s="902">
        <f t="shared" si="6"/>
        <v>1296791.3005424456</v>
      </c>
      <c r="X14" s="902">
        <f t="shared" si="6"/>
        <v>1304930.2717527072</v>
      </c>
      <c r="Y14" s="902">
        <f t="shared" si="6"/>
        <v>1334837.9005813557</v>
      </c>
      <c r="Z14" s="902">
        <f t="shared" si="6"/>
        <v>1343088.4114563039</v>
      </c>
      <c r="AA14" s="902">
        <f t="shared" si="6"/>
        <v>1351351.336258457</v>
      </c>
      <c r="AB14" s="902">
        <f t="shared" si="6"/>
        <v>1359601.7629117081</v>
      </c>
      <c r="AC14" s="902">
        <f t="shared" si="6"/>
        <v>129112.16029969226</v>
      </c>
      <c r="AD14" s="902">
        <f t="shared" si="6"/>
        <v>97709.922027372857</v>
      </c>
      <c r="AE14" s="902">
        <f t="shared" si="6"/>
        <v>66126.752626217247</v>
      </c>
      <c r="AF14" s="903">
        <f t="shared" si="6"/>
        <v>34363.251057426241</v>
      </c>
      <c r="AG14" s="902">
        <f t="shared" si="6"/>
        <v>0</v>
      </c>
      <c r="AH14" s="902">
        <f t="shared" si="6"/>
        <v>0</v>
      </c>
      <c r="AI14" s="902">
        <f t="shared" si="6"/>
        <v>0</v>
      </c>
      <c r="AJ14" s="902">
        <f t="shared" si="6"/>
        <v>0</v>
      </c>
      <c r="AK14" s="902">
        <f t="shared" si="6"/>
        <v>0</v>
      </c>
      <c r="AL14" s="902">
        <f t="shared" si="6"/>
        <v>0</v>
      </c>
      <c r="AM14" s="902">
        <f t="shared" si="6"/>
        <v>0</v>
      </c>
      <c r="AN14" s="902">
        <f t="shared" si="6"/>
        <v>0</v>
      </c>
      <c r="AO14" s="902">
        <f t="shared" si="6"/>
        <v>0</v>
      </c>
      <c r="AP14" s="902">
        <f t="shared" si="6"/>
        <v>0</v>
      </c>
      <c r="AQ14" s="902">
        <f t="shared" si="6"/>
        <v>0</v>
      </c>
      <c r="AR14" s="903">
        <f t="shared" si="6"/>
        <v>0</v>
      </c>
      <c r="AS14" s="901">
        <f t="shared" si="6"/>
        <v>0</v>
      </c>
      <c r="AT14" s="901">
        <f t="shared" si="6"/>
        <v>0</v>
      </c>
      <c r="AU14" s="901">
        <f t="shared" si="6"/>
        <v>0</v>
      </c>
      <c r="AV14" s="901">
        <f t="shared" si="6"/>
        <v>0</v>
      </c>
      <c r="AW14" s="901">
        <f t="shared" si="6"/>
        <v>0</v>
      </c>
      <c r="AX14" s="901">
        <f t="shared" si="6"/>
        <v>0</v>
      </c>
      <c r="AY14" s="901">
        <f t="shared" si="6"/>
        <v>0</v>
      </c>
      <c r="AZ14" s="901">
        <f t="shared" si="6"/>
        <v>0</v>
      </c>
      <c r="BA14" s="901">
        <f t="shared" si="6"/>
        <v>0</v>
      </c>
      <c r="BB14" s="901">
        <f t="shared" si="6"/>
        <v>0</v>
      </c>
      <c r="BC14" s="901">
        <f t="shared" si="6"/>
        <v>0</v>
      </c>
      <c r="BD14" s="904">
        <f t="shared" si="6"/>
        <v>0</v>
      </c>
      <c r="BE14" s="901">
        <f t="shared" si="6"/>
        <v>0</v>
      </c>
      <c r="BF14" s="901">
        <f t="shared" si="6"/>
        <v>0</v>
      </c>
      <c r="BG14" s="901">
        <f t="shared" si="6"/>
        <v>0</v>
      </c>
      <c r="BH14" s="901">
        <f t="shared" si="6"/>
        <v>0</v>
      </c>
      <c r="BI14" s="901">
        <f t="shared" si="6"/>
        <v>0</v>
      </c>
      <c r="BJ14" s="901">
        <f t="shared" si="6"/>
        <v>0</v>
      </c>
      <c r="BK14" s="901">
        <f t="shared" si="6"/>
        <v>0</v>
      </c>
      <c r="BL14" s="901">
        <f t="shared" si="6"/>
        <v>0</v>
      </c>
      <c r="BM14" s="901">
        <f t="shared" si="6"/>
        <v>0</v>
      </c>
      <c r="BN14" s="901">
        <f t="shared" si="6"/>
        <v>0</v>
      </c>
      <c r="BO14" s="901">
        <f t="shared" si="6"/>
        <v>0</v>
      </c>
      <c r="BP14" s="905">
        <f t="shared" si="6"/>
        <v>0</v>
      </c>
    </row>
    <row r="15" spans="2:71" ht="12" customHeight="1" outlineLevel="1" thickBot="1">
      <c r="B15" s="218"/>
      <c r="C15" s="206" t="s">
        <v>492</v>
      </c>
      <c r="D15" s="495">
        <v>8400000</v>
      </c>
      <c r="E15" s="407">
        <f t="shared" ref="E15" si="7">SUM(H15)</f>
        <v>5309435</v>
      </c>
      <c r="F15" s="214">
        <f>SUM(I15:BP15)</f>
        <v>3090565.0000000023</v>
      </c>
      <c r="G15" s="421">
        <f t="shared" ref="G15" si="8">E15+F15</f>
        <v>8400000.0000000019</v>
      </c>
      <c r="H15" s="900">
        <f>IF(H49=$D$15,0,IF(H32+H49&lt;=$D$15,H32,IF(H32+H49&gt;$D$15,$D$15-H49,0)))</f>
        <v>5309435</v>
      </c>
      <c r="I15" s="902">
        <f t="shared" ref="I15:BP15" si="9">IF(I49=$D$15,0,IF(I32+I49&lt;=$D$15,I32,IF(I32+I49&gt;$D$15,$D$15-I49,0)))</f>
        <v>33333.333333333336</v>
      </c>
      <c r="J15" s="902">
        <f t="shared" si="9"/>
        <v>33333.333333333336</v>
      </c>
      <c r="K15" s="902">
        <f t="shared" si="9"/>
        <v>33333.333333333336</v>
      </c>
      <c r="L15" s="907">
        <f t="shared" si="9"/>
        <v>33333.333333333336</v>
      </c>
      <c r="M15" s="908">
        <f t="shared" si="9"/>
        <v>33333.333333333336</v>
      </c>
      <c r="N15" s="908">
        <f t="shared" si="9"/>
        <v>33333.333333333336</v>
      </c>
      <c r="O15" s="908">
        <f t="shared" si="9"/>
        <v>1249529.642857143</v>
      </c>
      <c r="P15" s="908">
        <f t="shared" si="9"/>
        <v>1249529.642857143</v>
      </c>
      <c r="Q15" s="908">
        <f t="shared" si="9"/>
        <v>391505.71428571641</v>
      </c>
      <c r="R15" s="908">
        <f t="shared" si="9"/>
        <v>0</v>
      </c>
      <c r="S15" s="908">
        <f t="shared" si="9"/>
        <v>0</v>
      </c>
      <c r="T15" s="909">
        <f t="shared" si="9"/>
        <v>0</v>
      </c>
      <c r="U15" s="908">
        <f t="shared" si="9"/>
        <v>0</v>
      </c>
      <c r="V15" s="908">
        <f t="shared" si="9"/>
        <v>0</v>
      </c>
      <c r="W15" s="908">
        <f t="shared" si="9"/>
        <v>0</v>
      </c>
      <c r="X15" s="908">
        <f t="shared" si="9"/>
        <v>0</v>
      </c>
      <c r="Y15" s="908">
        <f t="shared" si="9"/>
        <v>0</v>
      </c>
      <c r="Z15" s="908">
        <f t="shared" si="9"/>
        <v>0</v>
      </c>
      <c r="AA15" s="908">
        <f t="shared" si="9"/>
        <v>0</v>
      </c>
      <c r="AB15" s="908">
        <f t="shared" si="9"/>
        <v>0</v>
      </c>
      <c r="AC15" s="908">
        <f t="shared" si="9"/>
        <v>0</v>
      </c>
      <c r="AD15" s="908">
        <f t="shared" si="9"/>
        <v>0</v>
      </c>
      <c r="AE15" s="908">
        <f t="shared" si="9"/>
        <v>0</v>
      </c>
      <c r="AF15" s="909">
        <f t="shared" si="9"/>
        <v>0</v>
      </c>
      <c r="AG15" s="908">
        <f t="shared" si="9"/>
        <v>0</v>
      </c>
      <c r="AH15" s="908">
        <f t="shared" si="9"/>
        <v>0</v>
      </c>
      <c r="AI15" s="908">
        <f t="shared" si="9"/>
        <v>0</v>
      </c>
      <c r="AJ15" s="908">
        <f t="shared" si="9"/>
        <v>0</v>
      </c>
      <c r="AK15" s="908">
        <f t="shared" si="9"/>
        <v>0</v>
      </c>
      <c r="AL15" s="908">
        <f t="shared" si="9"/>
        <v>0</v>
      </c>
      <c r="AM15" s="908">
        <f t="shared" si="9"/>
        <v>0</v>
      </c>
      <c r="AN15" s="908">
        <f t="shared" si="9"/>
        <v>0</v>
      </c>
      <c r="AO15" s="908">
        <f t="shared" si="9"/>
        <v>0</v>
      </c>
      <c r="AP15" s="908">
        <f t="shared" si="9"/>
        <v>0</v>
      </c>
      <c r="AQ15" s="908">
        <f t="shared" si="9"/>
        <v>0</v>
      </c>
      <c r="AR15" s="912">
        <f t="shared" si="9"/>
        <v>0</v>
      </c>
      <c r="AS15" s="908">
        <f t="shared" si="9"/>
        <v>0</v>
      </c>
      <c r="AT15" s="908">
        <f t="shared" si="9"/>
        <v>0</v>
      </c>
      <c r="AU15" s="908">
        <f t="shared" si="9"/>
        <v>0</v>
      </c>
      <c r="AV15" s="908">
        <f t="shared" si="9"/>
        <v>0</v>
      </c>
      <c r="AW15" s="908">
        <f t="shared" si="9"/>
        <v>0</v>
      </c>
      <c r="AX15" s="908">
        <f t="shared" si="9"/>
        <v>0</v>
      </c>
      <c r="AY15" s="908">
        <f t="shared" si="9"/>
        <v>0</v>
      </c>
      <c r="AZ15" s="908">
        <f t="shared" si="9"/>
        <v>0</v>
      </c>
      <c r="BA15" s="908">
        <f t="shared" si="9"/>
        <v>0</v>
      </c>
      <c r="BB15" s="908">
        <f t="shared" si="9"/>
        <v>0</v>
      </c>
      <c r="BC15" s="908">
        <f t="shared" si="9"/>
        <v>0</v>
      </c>
      <c r="BD15" s="912">
        <f t="shared" si="9"/>
        <v>0</v>
      </c>
      <c r="BE15" s="901">
        <f t="shared" si="9"/>
        <v>0</v>
      </c>
      <c r="BF15" s="901">
        <f t="shared" si="9"/>
        <v>0</v>
      </c>
      <c r="BG15" s="901">
        <f t="shared" si="9"/>
        <v>0</v>
      </c>
      <c r="BH15" s="901">
        <f t="shared" si="9"/>
        <v>0</v>
      </c>
      <c r="BI15" s="901">
        <f t="shared" si="9"/>
        <v>0</v>
      </c>
      <c r="BJ15" s="901">
        <f t="shared" si="9"/>
        <v>0</v>
      </c>
      <c r="BK15" s="901">
        <f t="shared" si="9"/>
        <v>0</v>
      </c>
      <c r="BL15" s="901">
        <f t="shared" si="9"/>
        <v>0</v>
      </c>
      <c r="BM15" s="901">
        <f t="shared" si="9"/>
        <v>0</v>
      </c>
      <c r="BN15" s="901">
        <f t="shared" si="9"/>
        <v>0</v>
      </c>
      <c r="BO15" s="901">
        <f t="shared" si="9"/>
        <v>0</v>
      </c>
      <c r="BP15" s="905">
        <f t="shared" si="9"/>
        <v>0</v>
      </c>
    </row>
    <row r="16" spans="2:71" s="418" customFormat="1" ht="12" customHeight="1" thickBot="1">
      <c r="B16" s="412" t="s">
        <v>405</v>
      </c>
      <c r="C16" s="413"/>
      <c r="D16" s="414"/>
      <c r="E16" s="415">
        <f t="shared" ref="E16:AJ16" si="10">SUM(E13:E15)</f>
        <v>5309435</v>
      </c>
      <c r="F16" s="415">
        <f t="shared" si="10"/>
        <v>18721291.88020055</v>
      </c>
      <c r="G16" s="416">
        <f t="shared" si="10"/>
        <v>24030726.88020055</v>
      </c>
      <c r="H16" s="846">
        <f t="shared" si="10"/>
        <v>5309435</v>
      </c>
      <c r="I16" s="415">
        <f t="shared" si="10"/>
        <v>33333.333333333336</v>
      </c>
      <c r="J16" s="415">
        <f t="shared" si="10"/>
        <v>33333.333333333336</v>
      </c>
      <c r="K16" s="415">
        <f t="shared" si="10"/>
        <v>33333.333333333336</v>
      </c>
      <c r="L16" s="415">
        <f t="shared" si="10"/>
        <v>33333.333333333336</v>
      </c>
      <c r="M16" s="415">
        <f t="shared" si="10"/>
        <v>33333.333333333336</v>
      </c>
      <c r="N16" s="415">
        <f t="shared" si="10"/>
        <v>33333.333333333336</v>
      </c>
      <c r="O16" s="415">
        <f t="shared" si="10"/>
        <v>1249529.642857143</v>
      </c>
      <c r="P16" s="415">
        <f t="shared" si="10"/>
        <v>1249529.642857143</v>
      </c>
      <c r="Q16" s="415">
        <f t="shared" si="10"/>
        <v>1249529.642857143</v>
      </c>
      <c r="R16" s="415">
        <f t="shared" si="10"/>
        <v>1255340.98599402</v>
      </c>
      <c r="S16" s="415">
        <f t="shared" si="10"/>
        <v>1263770.6413692234</v>
      </c>
      <c r="T16" s="417">
        <f t="shared" si="10"/>
        <v>1272286.613078279</v>
      </c>
      <c r="U16" s="415">
        <f t="shared" si="10"/>
        <v>1280454.2912552697</v>
      </c>
      <c r="V16" s="415">
        <f t="shared" si="10"/>
        <v>1288603.6647020152</v>
      </c>
      <c r="W16" s="415">
        <f t="shared" si="10"/>
        <v>1296791.3005424456</v>
      </c>
      <c r="X16" s="415">
        <f t="shared" si="10"/>
        <v>1304930.2717527072</v>
      </c>
      <c r="Y16" s="415">
        <f t="shared" si="10"/>
        <v>1334837.9005813557</v>
      </c>
      <c r="Z16" s="415">
        <f t="shared" si="10"/>
        <v>1343088.4114563039</v>
      </c>
      <c r="AA16" s="415">
        <f t="shared" si="10"/>
        <v>1351351.336258457</v>
      </c>
      <c r="AB16" s="415">
        <f t="shared" si="10"/>
        <v>1359601.7629117081</v>
      </c>
      <c r="AC16" s="415">
        <f t="shared" si="10"/>
        <v>129112.16029969226</v>
      </c>
      <c r="AD16" s="415">
        <f t="shared" si="10"/>
        <v>97709.922027372857</v>
      </c>
      <c r="AE16" s="415">
        <f t="shared" si="10"/>
        <v>97353.285613242246</v>
      </c>
      <c r="AF16" s="417">
        <f t="shared" si="10"/>
        <v>97470.40378702624</v>
      </c>
      <c r="AG16" s="415">
        <f t="shared" si="10"/>
        <v>0</v>
      </c>
      <c r="AH16" s="415">
        <f t="shared" si="10"/>
        <v>0</v>
      </c>
      <c r="AI16" s="415">
        <f t="shared" si="10"/>
        <v>0</v>
      </c>
      <c r="AJ16" s="415">
        <f t="shared" si="10"/>
        <v>0</v>
      </c>
      <c r="AK16" s="415">
        <f t="shared" ref="AK16:BP16" si="11">SUM(AK13:AK15)</f>
        <v>0</v>
      </c>
      <c r="AL16" s="415">
        <f t="shared" si="11"/>
        <v>0</v>
      </c>
      <c r="AM16" s="415">
        <f t="shared" si="11"/>
        <v>0</v>
      </c>
      <c r="AN16" s="415">
        <f t="shared" si="11"/>
        <v>0</v>
      </c>
      <c r="AO16" s="415">
        <f t="shared" si="11"/>
        <v>0</v>
      </c>
      <c r="AP16" s="415">
        <f t="shared" si="11"/>
        <v>0</v>
      </c>
      <c r="AQ16" s="415">
        <f t="shared" si="11"/>
        <v>0</v>
      </c>
      <c r="AR16" s="741">
        <f t="shared" si="11"/>
        <v>0</v>
      </c>
      <c r="AS16" s="742">
        <f t="shared" si="11"/>
        <v>0</v>
      </c>
      <c r="AT16" s="742">
        <f t="shared" si="11"/>
        <v>0</v>
      </c>
      <c r="AU16" s="742">
        <f t="shared" si="11"/>
        <v>0</v>
      </c>
      <c r="AV16" s="742">
        <f t="shared" si="11"/>
        <v>0</v>
      </c>
      <c r="AW16" s="742">
        <f t="shared" si="11"/>
        <v>0</v>
      </c>
      <c r="AX16" s="742">
        <f t="shared" si="11"/>
        <v>0</v>
      </c>
      <c r="AY16" s="742">
        <f t="shared" si="11"/>
        <v>0</v>
      </c>
      <c r="AZ16" s="742">
        <f t="shared" si="11"/>
        <v>0</v>
      </c>
      <c r="BA16" s="742">
        <f t="shared" si="11"/>
        <v>0</v>
      </c>
      <c r="BB16" s="742">
        <f t="shared" si="11"/>
        <v>0</v>
      </c>
      <c r="BC16" s="742">
        <f t="shared" si="11"/>
        <v>0</v>
      </c>
      <c r="BD16" s="741">
        <f t="shared" si="11"/>
        <v>0</v>
      </c>
      <c r="BE16" s="742">
        <f t="shared" si="11"/>
        <v>0</v>
      </c>
      <c r="BF16" s="742">
        <f t="shared" si="11"/>
        <v>0</v>
      </c>
      <c r="BG16" s="742">
        <f t="shared" si="11"/>
        <v>0</v>
      </c>
      <c r="BH16" s="742">
        <f t="shared" si="11"/>
        <v>0</v>
      </c>
      <c r="BI16" s="742">
        <f t="shared" si="11"/>
        <v>0</v>
      </c>
      <c r="BJ16" s="742">
        <f t="shared" si="11"/>
        <v>0</v>
      </c>
      <c r="BK16" s="742">
        <f t="shared" si="11"/>
        <v>0</v>
      </c>
      <c r="BL16" s="742">
        <f t="shared" si="11"/>
        <v>0</v>
      </c>
      <c r="BM16" s="742">
        <f t="shared" si="11"/>
        <v>0</v>
      </c>
      <c r="BN16" s="742">
        <f t="shared" si="11"/>
        <v>0</v>
      </c>
      <c r="BO16" s="742">
        <f t="shared" si="11"/>
        <v>0</v>
      </c>
      <c r="BP16" s="743">
        <f t="shared" si="11"/>
        <v>0</v>
      </c>
      <c r="BQ16" s="913"/>
      <c r="BR16" s="913"/>
      <c r="BS16" s="913"/>
    </row>
    <row r="17" spans="2:71" ht="12" customHeight="1">
      <c r="B17" s="218"/>
      <c r="D17" s="411"/>
      <c r="E17" s="251"/>
      <c r="F17" s="244"/>
      <c r="G17" s="411"/>
      <c r="H17" s="845"/>
      <c r="I17" s="217"/>
      <c r="J17" s="217"/>
      <c r="K17" s="217"/>
      <c r="L17" s="217"/>
      <c r="M17" s="217"/>
      <c r="N17" s="217"/>
      <c r="O17" s="217"/>
      <c r="P17" s="217"/>
      <c r="Q17" s="217"/>
      <c r="R17" s="217"/>
      <c r="S17" s="217"/>
      <c r="T17" s="309"/>
      <c r="U17" s="217"/>
      <c r="V17" s="217"/>
      <c r="W17" s="217"/>
      <c r="X17" s="217"/>
      <c r="Y17" s="217"/>
      <c r="Z17" s="217"/>
      <c r="AA17" s="217"/>
      <c r="AB17" s="217"/>
      <c r="AC17" s="217"/>
      <c r="AD17" s="217"/>
      <c r="AE17" s="217"/>
      <c r="AF17" s="309"/>
      <c r="AG17" s="217"/>
      <c r="AH17" s="217"/>
      <c r="AI17" s="217"/>
      <c r="AJ17" s="217"/>
      <c r="AK17" s="217"/>
      <c r="AL17" s="217"/>
      <c r="AM17" s="217"/>
      <c r="AN17" s="217"/>
      <c r="AO17" s="217"/>
      <c r="AP17" s="217"/>
      <c r="AQ17" s="217"/>
      <c r="AR17" s="309"/>
      <c r="AS17" s="217"/>
      <c r="AT17" s="217"/>
      <c r="AU17" s="217"/>
      <c r="AV17" s="217"/>
      <c r="AW17" s="217"/>
      <c r="AX17" s="217"/>
      <c r="AY17" s="217"/>
      <c r="AZ17" s="217"/>
      <c r="BA17" s="217"/>
      <c r="BB17" s="217"/>
      <c r="BC17" s="217"/>
      <c r="BD17" s="309"/>
      <c r="BE17" s="217"/>
      <c r="BF17" s="217"/>
      <c r="BG17" s="217"/>
      <c r="BH17" s="217"/>
      <c r="BI17" s="217"/>
      <c r="BJ17" s="217"/>
      <c r="BK17" s="217"/>
      <c r="BL17" s="217"/>
      <c r="BM17" s="217"/>
      <c r="BN17" s="217"/>
      <c r="BO17" s="217"/>
      <c r="BP17" s="713"/>
    </row>
    <row r="18" spans="2:71" ht="12" customHeight="1">
      <c r="B18" s="249" t="s">
        <v>332</v>
      </c>
      <c r="D18" s="411"/>
      <c r="E18" s="251"/>
      <c r="F18" s="244"/>
      <c r="G18" s="411"/>
      <c r="H18" s="845"/>
      <c r="I18" s="217"/>
      <c r="J18" s="217"/>
      <c r="K18" s="217"/>
      <c r="L18" s="217"/>
      <c r="M18" s="217"/>
      <c r="N18" s="217"/>
      <c r="O18" s="217"/>
      <c r="P18" s="217"/>
      <c r="Q18" s="217"/>
      <c r="R18" s="217"/>
      <c r="S18" s="217"/>
      <c r="T18" s="309"/>
      <c r="U18" s="217"/>
      <c r="V18" s="217"/>
      <c r="W18" s="217"/>
      <c r="X18" s="217"/>
      <c r="Y18" s="217"/>
      <c r="Z18" s="217"/>
      <c r="AA18" s="217"/>
      <c r="AB18" s="217"/>
      <c r="AC18" s="217"/>
      <c r="AD18" s="217"/>
      <c r="AE18" s="217"/>
      <c r="AF18" s="309"/>
      <c r="AG18" s="217"/>
      <c r="AH18" s="217"/>
      <c r="AI18" s="217"/>
      <c r="AJ18" s="217"/>
      <c r="AK18" s="217"/>
      <c r="AL18" s="217"/>
      <c r="AM18" s="217"/>
      <c r="AN18" s="217"/>
      <c r="AO18" s="217"/>
      <c r="AP18" s="217"/>
      <c r="AQ18" s="217"/>
      <c r="AR18" s="310"/>
      <c r="AS18" s="214"/>
      <c r="AT18" s="214"/>
      <c r="AU18" s="214"/>
      <c r="AV18" s="214"/>
      <c r="AW18" s="214"/>
      <c r="AX18" s="214"/>
      <c r="AY18" s="214"/>
      <c r="AZ18" s="214"/>
      <c r="BA18" s="214"/>
      <c r="BB18" s="214"/>
      <c r="BC18" s="214"/>
      <c r="BD18" s="310"/>
      <c r="BE18" s="214"/>
      <c r="BF18" s="214"/>
      <c r="BG18" s="214"/>
      <c r="BH18" s="214"/>
      <c r="BI18" s="214"/>
      <c r="BJ18" s="214"/>
      <c r="BK18" s="214"/>
      <c r="BL18" s="214"/>
      <c r="BM18" s="214"/>
      <c r="BN18" s="214"/>
      <c r="BO18" s="214"/>
      <c r="BP18" s="714"/>
    </row>
    <row r="19" spans="2:71" ht="12" customHeight="1" outlineLevel="1">
      <c r="B19" s="218"/>
      <c r="C19" s="406" t="s">
        <v>485</v>
      </c>
      <c r="D19" s="215"/>
      <c r="E19" s="217">
        <f t="shared" ref="E19:E29" si="12">SUM(H19)</f>
        <v>4800000</v>
      </c>
      <c r="F19" s="214">
        <f>SUM(I19:BP19)</f>
        <v>0</v>
      </c>
      <c r="G19" s="436">
        <f t="shared" ref="G19:G29" si="13">E19+F19</f>
        <v>4800000</v>
      </c>
      <c r="H19" s="845">
        <f t="shared" ref="H19:AM19" si="14">H69</f>
        <v>4800000</v>
      </c>
      <c r="I19" s="217">
        <f t="shared" si="14"/>
        <v>0</v>
      </c>
      <c r="J19" s="217">
        <f t="shared" si="14"/>
        <v>0</v>
      </c>
      <c r="K19" s="217">
        <f t="shared" si="14"/>
        <v>0</v>
      </c>
      <c r="L19" s="217">
        <f t="shared" si="14"/>
        <v>0</v>
      </c>
      <c r="M19" s="217">
        <f t="shared" si="14"/>
        <v>0</v>
      </c>
      <c r="N19" s="217">
        <f t="shared" si="14"/>
        <v>0</v>
      </c>
      <c r="O19" s="217">
        <f t="shared" si="14"/>
        <v>0</v>
      </c>
      <c r="P19" s="217">
        <f t="shared" si="14"/>
        <v>0</v>
      </c>
      <c r="Q19" s="217">
        <f t="shared" si="14"/>
        <v>0</v>
      </c>
      <c r="R19" s="217">
        <f t="shared" si="14"/>
        <v>0</v>
      </c>
      <c r="S19" s="217">
        <f t="shared" si="14"/>
        <v>0</v>
      </c>
      <c r="T19" s="309">
        <f t="shared" si="14"/>
        <v>0</v>
      </c>
      <c r="U19" s="217">
        <f t="shared" si="14"/>
        <v>0</v>
      </c>
      <c r="V19" s="217">
        <f t="shared" si="14"/>
        <v>0</v>
      </c>
      <c r="W19" s="217">
        <f t="shared" si="14"/>
        <v>0</v>
      </c>
      <c r="X19" s="217">
        <f t="shared" si="14"/>
        <v>0</v>
      </c>
      <c r="Y19" s="217">
        <f t="shared" si="14"/>
        <v>0</v>
      </c>
      <c r="Z19" s="217">
        <f t="shared" si="14"/>
        <v>0</v>
      </c>
      <c r="AA19" s="217">
        <f t="shared" si="14"/>
        <v>0</v>
      </c>
      <c r="AB19" s="217">
        <f t="shared" si="14"/>
        <v>0</v>
      </c>
      <c r="AC19" s="217">
        <f t="shared" si="14"/>
        <v>0</v>
      </c>
      <c r="AD19" s="217">
        <f t="shared" si="14"/>
        <v>0</v>
      </c>
      <c r="AE19" s="217">
        <f t="shared" si="14"/>
        <v>0</v>
      </c>
      <c r="AF19" s="309">
        <f t="shared" si="14"/>
        <v>0</v>
      </c>
      <c r="AG19" s="217">
        <f t="shared" si="14"/>
        <v>0</v>
      </c>
      <c r="AH19" s="217">
        <f t="shared" si="14"/>
        <v>0</v>
      </c>
      <c r="AI19" s="217">
        <f t="shared" si="14"/>
        <v>0</v>
      </c>
      <c r="AJ19" s="217">
        <f t="shared" si="14"/>
        <v>0</v>
      </c>
      <c r="AK19" s="217">
        <f t="shared" si="14"/>
        <v>0</v>
      </c>
      <c r="AL19" s="217">
        <f t="shared" si="14"/>
        <v>0</v>
      </c>
      <c r="AM19" s="217">
        <f t="shared" si="14"/>
        <v>0</v>
      </c>
      <c r="AN19" s="217">
        <f t="shared" ref="AN19:BP19" si="15">AN69</f>
        <v>0</v>
      </c>
      <c r="AO19" s="217">
        <f t="shared" si="15"/>
        <v>0</v>
      </c>
      <c r="AP19" s="217">
        <f t="shared" si="15"/>
        <v>0</v>
      </c>
      <c r="AQ19" s="217">
        <f t="shared" si="15"/>
        <v>0</v>
      </c>
      <c r="AR19" s="310">
        <f t="shared" si="15"/>
        <v>0</v>
      </c>
      <c r="AS19" s="214">
        <f t="shared" si="15"/>
        <v>0</v>
      </c>
      <c r="AT19" s="214">
        <f t="shared" si="15"/>
        <v>0</v>
      </c>
      <c r="AU19" s="214">
        <f t="shared" si="15"/>
        <v>0</v>
      </c>
      <c r="AV19" s="214">
        <f t="shared" si="15"/>
        <v>0</v>
      </c>
      <c r="AW19" s="214">
        <f t="shared" si="15"/>
        <v>0</v>
      </c>
      <c r="AX19" s="214">
        <f t="shared" si="15"/>
        <v>0</v>
      </c>
      <c r="AY19" s="214">
        <f t="shared" si="15"/>
        <v>0</v>
      </c>
      <c r="AZ19" s="214">
        <f t="shared" si="15"/>
        <v>0</v>
      </c>
      <c r="BA19" s="214">
        <f t="shared" si="15"/>
        <v>0</v>
      </c>
      <c r="BB19" s="214">
        <f t="shared" si="15"/>
        <v>0</v>
      </c>
      <c r="BC19" s="214">
        <f t="shared" si="15"/>
        <v>0</v>
      </c>
      <c r="BD19" s="310">
        <f t="shared" si="15"/>
        <v>0</v>
      </c>
      <c r="BE19" s="214">
        <f t="shared" si="15"/>
        <v>0</v>
      </c>
      <c r="BF19" s="214">
        <f t="shared" si="15"/>
        <v>0</v>
      </c>
      <c r="BG19" s="214">
        <f t="shared" si="15"/>
        <v>0</v>
      </c>
      <c r="BH19" s="214">
        <f t="shared" si="15"/>
        <v>0</v>
      </c>
      <c r="BI19" s="214">
        <f t="shared" si="15"/>
        <v>0</v>
      </c>
      <c r="BJ19" s="214">
        <f t="shared" si="15"/>
        <v>0</v>
      </c>
      <c r="BK19" s="214">
        <f t="shared" si="15"/>
        <v>0</v>
      </c>
      <c r="BL19" s="214">
        <f t="shared" si="15"/>
        <v>0</v>
      </c>
      <c r="BM19" s="214">
        <f t="shared" si="15"/>
        <v>0</v>
      </c>
      <c r="BN19" s="214">
        <f t="shared" si="15"/>
        <v>0</v>
      </c>
      <c r="BO19" s="214">
        <f t="shared" si="15"/>
        <v>0</v>
      </c>
      <c r="BP19" s="714">
        <f t="shared" si="15"/>
        <v>0</v>
      </c>
    </row>
    <row r="20" spans="2:71" ht="12" customHeight="1" outlineLevel="1">
      <c r="B20" s="218"/>
      <c r="C20" s="406" t="s">
        <v>580</v>
      </c>
      <c r="D20" s="793"/>
      <c r="E20" s="217">
        <f t="shared" ref="E20" si="16">SUM(H20)</f>
        <v>0</v>
      </c>
      <c r="F20" s="214">
        <f>SUM(I20:BP20)</f>
        <v>200000.00000000003</v>
      </c>
      <c r="G20" s="436">
        <f t="shared" ref="G20" si="17">E20+F20</f>
        <v>200000.00000000003</v>
      </c>
      <c r="H20" s="845"/>
      <c r="I20" s="217">
        <f>I71</f>
        <v>33333.333333333336</v>
      </c>
      <c r="J20" s="217">
        <f t="shared" ref="J20:BP20" si="18">J71</f>
        <v>33333.333333333336</v>
      </c>
      <c r="K20" s="217">
        <f t="shared" si="18"/>
        <v>33333.333333333336</v>
      </c>
      <c r="L20" s="217">
        <f t="shared" si="18"/>
        <v>33333.333333333336</v>
      </c>
      <c r="M20" s="217">
        <f t="shared" si="18"/>
        <v>33333.333333333336</v>
      </c>
      <c r="N20" s="217">
        <f t="shared" si="18"/>
        <v>33333.333333333336</v>
      </c>
      <c r="O20" s="217">
        <f t="shared" si="18"/>
        <v>0</v>
      </c>
      <c r="P20" s="217">
        <f t="shared" si="18"/>
        <v>0</v>
      </c>
      <c r="Q20" s="217">
        <f t="shared" si="18"/>
        <v>0</v>
      </c>
      <c r="R20" s="217">
        <f t="shared" si="18"/>
        <v>0</v>
      </c>
      <c r="S20" s="217">
        <f t="shared" si="18"/>
        <v>0</v>
      </c>
      <c r="T20" s="309">
        <f t="shared" si="18"/>
        <v>0</v>
      </c>
      <c r="U20" s="217">
        <f t="shared" si="18"/>
        <v>0</v>
      </c>
      <c r="V20" s="217">
        <f t="shared" si="18"/>
        <v>0</v>
      </c>
      <c r="W20" s="217">
        <f t="shared" si="18"/>
        <v>0</v>
      </c>
      <c r="X20" s="217">
        <f t="shared" si="18"/>
        <v>0</v>
      </c>
      <c r="Y20" s="217">
        <f t="shared" si="18"/>
        <v>0</v>
      </c>
      <c r="Z20" s="217">
        <f t="shared" si="18"/>
        <v>0</v>
      </c>
      <c r="AA20" s="217">
        <f t="shared" si="18"/>
        <v>0</v>
      </c>
      <c r="AB20" s="217">
        <f t="shared" si="18"/>
        <v>0</v>
      </c>
      <c r="AC20" s="217">
        <f t="shared" si="18"/>
        <v>0</v>
      </c>
      <c r="AD20" s="217">
        <f t="shared" si="18"/>
        <v>0</v>
      </c>
      <c r="AE20" s="217">
        <f t="shared" si="18"/>
        <v>0</v>
      </c>
      <c r="AF20" s="309">
        <f t="shared" si="18"/>
        <v>0</v>
      </c>
      <c r="AG20" s="217">
        <f t="shared" si="18"/>
        <v>0</v>
      </c>
      <c r="AH20" s="217">
        <f t="shared" si="18"/>
        <v>0</v>
      </c>
      <c r="AI20" s="217">
        <f t="shared" si="18"/>
        <v>0</v>
      </c>
      <c r="AJ20" s="217">
        <f t="shared" si="18"/>
        <v>0</v>
      </c>
      <c r="AK20" s="217">
        <f t="shared" si="18"/>
        <v>0</v>
      </c>
      <c r="AL20" s="217">
        <f t="shared" si="18"/>
        <v>0</v>
      </c>
      <c r="AM20" s="217">
        <f t="shared" si="18"/>
        <v>0</v>
      </c>
      <c r="AN20" s="217">
        <f t="shared" si="18"/>
        <v>0</v>
      </c>
      <c r="AO20" s="217">
        <f t="shared" si="18"/>
        <v>0</v>
      </c>
      <c r="AP20" s="217">
        <f t="shared" si="18"/>
        <v>0</v>
      </c>
      <c r="AQ20" s="217">
        <f t="shared" si="18"/>
        <v>0</v>
      </c>
      <c r="AR20" s="310">
        <f t="shared" si="18"/>
        <v>0</v>
      </c>
      <c r="AS20" s="214">
        <f t="shared" si="18"/>
        <v>0</v>
      </c>
      <c r="AT20" s="214">
        <f t="shared" si="18"/>
        <v>0</v>
      </c>
      <c r="AU20" s="214">
        <f t="shared" si="18"/>
        <v>0</v>
      </c>
      <c r="AV20" s="214">
        <f t="shared" si="18"/>
        <v>0</v>
      </c>
      <c r="AW20" s="214">
        <f t="shared" si="18"/>
        <v>0</v>
      </c>
      <c r="AX20" s="214">
        <f t="shared" si="18"/>
        <v>0</v>
      </c>
      <c r="AY20" s="214">
        <f t="shared" si="18"/>
        <v>0</v>
      </c>
      <c r="AZ20" s="214">
        <f t="shared" si="18"/>
        <v>0</v>
      </c>
      <c r="BA20" s="214">
        <f t="shared" si="18"/>
        <v>0</v>
      </c>
      <c r="BB20" s="214">
        <f t="shared" si="18"/>
        <v>0</v>
      </c>
      <c r="BC20" s="214">
        <f t="shared" si="18"/>
        <v>0</v>
      </c>
      <c r="BD20" s="310">
        <f t="shared" si="18"/>
        <v>0</v>
      </c>
      <c r="BE20" s="214">
        <f t="shared" si="18"/>
        <v>0</v>
      </c>
      <c r="BF20" s="214">
        <f t="shared" si="18"/>
        <v>0</v>
      </c>
      <c r="BG20" s="214">
        <f t="shared" si="18"/>
        <v>0</v>
      </c>
      <c r="BH20" s="214">
        <f t="shared" si="18"/>
        <v>0</v>
      </c>
      <c r="BI20" s="214">
        <f t="shared" si="18"/>
        <v>0</v>
      </c>
      <c r="BJ20" s="214">
        <f t="shared" si="18"/>
        <v>0</v>
      </c>
      <c r="BK20" s="214">
        <f t="shared" si="18"/>
        <v>0</v>
      </c>
      <c r="BL20" s="214">
        <f t="shared" si="18"/>
        <v>0</v>
      </c>
      <c r="BM20" s="214">
        <f t="shared" si="18"/>
        <v>0</v>
      </c>
      <c r="BN20" s="214">
        <f t="shared" si="18"/>
        <v>0</v>
      </c>
      <c r="BO20" s="214">
        <f t="shared" si="18"/>
        <v>0</v>
      </c>
      <c r="BP20" s="793">
        <f t="shared" si="18"/>
        <v>0</v>
      </c>
    </row>
    <row r="21" spans="2:71" ht="12" customHeight="1" outlineLevel="1">
      <c r="B21" s="218"/>
      <c r="C21" s="406" t="s">
        <v>302</v>
      </c>
      <c r="D21" s="215"/>
      <c r="E21" s="217">
        <f t="shared" si="12"/>
        <v>0</v>
      </c>
      <c r="F21" s="214">
        <f t="shared" ref="F21:F29" si="19">SUM(I21:BP21)</f>
        <v>16199999.999999994</v>
      </c>
      <c r="G21" s="436">
        <f t="shared" si="13"/>
        <v>16199999.999999994</v>
      </c>
      <c r="H21" s="845">
        <f>H74</f>
        <v>0</v>
      </c>
      <c r="I21" s="214">
        <f t="shared" ref="I21:BP21" si="20">I74</f>
        <v>0</v>
      </c>
      <c r="J21" s="214">
        <f t="shared" si="20"/>
        <v>0</v>
      </c>
      <c r="K21" s="214">
        <f t="shared" si="20"/>
        <v>0</v>
      </c>
      <c r="L21" s="214">
        <f t="shared" si="20"/>
        <v>0</v>
      </c>
      <c r="M21" s="214">
        <f t="shared" si="20"/>
        <v>0</v>
      </c>
      <c r="N21" s="214">
        <f t="shared" si="20"/>
        <v>0</v>
      </c>
      <c r="O21" s="214">
        <f t="shared" si="20"/>
        <v>1157142.857142857</v>
      </c>
      <c r="P21" s="214">
        <f t="shared" si="20"/>
        <v>1157142.857142857</v>
      </c>
      <c r="Q21" s="214">
        <f t="shared" si="20"/>
        <v>1157142.857142857</v>
      </c>
      <c r="R21" s="214">
        <f t="shared" si="20"/>
        <v>1157142.857142857</v>
      </c>
      <c r="S21" s="214">
        <f t="shared" si="20"/>
        <v>1157142.857142857</v>
      </c>
      <c r="T21" s="310">
        <f t="shared" si="20"/>
        <v>1157142.857142857</v>
      </c>
      <c r="U21" s="214">
        <f t="shared" si="20"/>
        <v>1157142.857142857</v>
      </c>
      <c r="V21" s="214">
        <f t="shared" si="20"/>
        <v>1157142.857142857</v>
      </c>
      <c r="W21" s="214">
        <f t="shared" si="20"/>
        <v>1157142.857142857</v>
      </c>
      <c r="X21" s="214">
        <f t="shared" si="20"/>
        <v>1157142.857142857</v>
      </c>
      <c r="Y21" s="214">
        <f t="shared" si="20"/>
        <v>1157142.857142857</v>
      </c>
      <c r="Z21" s="214">
        <f t="shared" si="20"/>
        <v>1157142.857142857</v>
      </c>
      <c r="AA21" s="214">
        <f t="shared" si="20"/>
        <v>1157142.857142857</v>
      </c>
      <c r="AB21" s="214">
        <f t="shared" si="20"/>
        <v>1157142.857142857</v>
      </c>
      <c r="AC21" s="214">
        <f t="shared" si="20"/>
        <v>0</v>
      </c>
      <c r="AD21" s="214">
        <f t="shared" si="20"/>
        <v>0</v>
      </c>
      <c r="AE21" s="217">
        <f t="shared" si="20"/>
        <v>0</v>
      </c>
      <c r="AF21" s="309">
        <f t="shared" si="20"/>
        <v>0</v>
      </c>
      <c r="AG21" s="217">
        <f t="shared" si="20"/>
        <v>0</v>
      </c>
      <c r="AH21" s="217">
        <f t="shared" si="20"/>
        <v>0</v>
      </c>
      <c r="AI21" s="217">
        <f t="shared" si="20"/>
        <v>0</v>
      </c>
      <c r="AJ21" s="217">
        <f t="shared" si="20"/>
        <v>0</v>
      </c>
      <c r="AK21" s="217">
        <f t="shared" si="20"/>
        <v>0</v>
      </c>
      <c r="AL21" s="217">
        <f t="shared" si="20"/>
        <v>0</v>
      </c>
      <c r="AM21" s="217">
        <f t="shared" si="20"/>
        <v>0</v>
      </c>
      <c r="AN21" s="217">
        <f t="shared" si="20"/>
        <v>0</v>
      </c>
      <c r="AO21" s="217">
        <f t="shared" si="20"/>
        <v>0</v>
      </c>
      <c r="AP21" s="217">
        <f t="shared" si="20"/>
        <v>0</v>
      </c>
      <c r="AQ21" s="217">
        <f t="shared" si="20"/>
        <v>0</v>
      </c>
      <c r="AR21" s="310">
        <f t="shared" si="20"/>
        <v>0</v>
      </c>
      <c r="AS21" s="214">
        <f t="shared" si="20"/>
        <v>0</v>
      </c>
      <c r="AT21" s="214">
        <f t="shared" si="20"/>
        <v>0</v>
      </c>
      <c r="AU21" s="214">
        <f t="shared" si="20"/>
        <v>0</v>
      </c>
      <c r="AV21" s="214">
        <f t="shared" si="20"/>
        <v>0</v>
      </c>
      <c r="AW21" s="214">
        <f t="shared" si="20"/>
        <v>0</v>
      </c>
      <c r="AX21" s="214">
        <f t="shared" si="20"/>
        <v>0</v>
      </c>
      <c r="AY21" s="214">
        <f t="shared" si="20"/>
        <v>0</v>
      </c>
      <c r="AZ21" s="214">
        <f t="shared" si="20"/>
        <v>0</v>
      </c>
      <c r="BA21" s="214">
        <f t="shared" si="20"/>
        <v>0</v>
      </c>
      <c r="BB21" s="214">
        <f t="shared" si="20"/>
        <v>0</v>
      </c>
      <c r="BC21" s="214">
        <f t="shared" si="20"/>
        <v>0</v>
      </c>
      <c r="BD21" s="310">
        <f t="shared" si="20"/>
        <v>0</v>
      </c>
      <c r="BE21" s="214">
        <f t="shared" si="20"/>
        <v>0</v>
      </c>
      <c r="BF21" s="214">
        <f t="shared" si="20"/>
        <v>0</v>
      </c>
      <c r="BG21" s="214">
        <f t="shared" si="20"/>
        <v>0</v>
      </c>
      <c r="BH21" s="214">
        <f t="shared" si="20"/>
        <v>0</v>
      </c>
      <c r="BI21" s="214">
        <f t="shared" si="20"/>
        <v>0</v>
      </c>
      <c r="BJ21" s="214">
        <f t="shared" si="20"/>
        <v>0</v>
      </c>
      <c r="BK21" s="214">
        <f t="shared" si="20"/>
        <v>0</v>
      </c>
      <c r="BL21" s="214">
        <f t="shared" si="20"/>
        <v>0</v>
      </c>
      <c r="BM21" s="214">
        <f t="shared" si="20"/>
        <v>0</v>
      </c>
      <c r="BN21" s="214">
        <f t="shared" si="20"/>
        <v>0</v>
      </c>
      <c r="BO21" s="214">
        <f t="shared" si="20"/>
        <v>0</v>
      </c>
      <c r="BP21" s="714">
        <f t="shared" si="20"/>
        <v>0</v>
      </c>
    </row>
    <row r="22" spans="2:71" ht="12" customHeight="1" outlineLevel="1">
      <c r="B22" s="218"/>
      <c r="C22" s="406" t="s">
        <v>381</v>
      </c>
      <c r="D22" s="408"/>
      <c r="E22" s="217">
        <f t="shared" si="12"/>
        <v>0</v>
      </c>
      <c r="F22" s="214">
        <f t="shared" si="19"/>
        <v>0</v>
      </c>
      <c r="G22" s="436">
        <f t="shared" si="13"/>
        <v>0</v>
      </c>
      <c r="H22" s="845">
        <f>H75</f>
        <v>0</v>
      </c>
      <c r="I22" s="214">
        <f t="shared" ref="I22:BP22" si="21">I75</f>
        <v>0</v>
      </c>
      <c r="J22" s="214">
        <f t="shared" si="21"/>
        <v>0</v>
      </c>
      <c r="K22" s="214">
        <f t="shared" si="21"/>
        <v>0</v>
      </c>
      <c r="L22" s="214">
        <f t="shared" si="21"/>
        <v>0</v>
      </c>
      <c r="M22" s="214">
        <f t="shared" si="21"/>
        <v>0</v>
      </c>
      <c r="N22" s="214">
        <f t="shared" si="21"/>
        <v>0</v>
      </c>
      <c r="O22" s="214">
        <f t="shared" si="21"/>
        <v>0</v>
      </c>
      <c r="P22" s="214">
        <f t="shared" si="21"/>
        <v>0</v>
      </c>
      <c r="Q22" s="214">
        <f t="shared" si="21"/>
        <v>0</v>
      </c>
      <c r="R22" s="214">
        <f t="shared" si="21"/>
        <v>0</v>
      </c>
      <c r="S22" s="214">
        <f t="shared" si="21"/>
        <v>0</v>
      </c>
      <c r="T22" s="310">
        <f t="shared" si="21"/>
        <v>0</v>
      </c>
      <c r="U22" s="214">
        <f t="shared" si="21"/>
        <v>0</v>
      </c>
      <c r="V22" s="214">
        <f t="shared" si="21"/>
        <v>0</v>
      </c>
      <c r="W22" s="214">
        <f t="shared" si="21"/>
        <v>0</v>
      </c>
      <c r="X22" s="214">
        <f t="shared" si="21"/>
        <v>0</v>
      </c>
      <c r="Y22" s="214">
        <f t="shared" si="21"/>
        <v>0</v>
      </c>
      <c r="Z22" s="214">
        <f t="shared" si="21"/>
        <v>0</v>
      </c>
      <c r="AA22" s="214">
        <f t="shared" si="21"/>
        <v>0</v>
      </c>
      <c r="AB22" s="214">
        <f t="shared" si="21"/>
        <v>0</v>
      </c>
      <c r="AC22" s="214">
        <f t="shared" si="21"/>
        <v>0</v>
      </c>
      <c r="AD22" s="214">
        <f t="shared" si="21"/>
        <v>0</v>
      </c>
      <c r="AE22" s="217">
        <f t="shared" si="21"/>
        <v>0</v>
      </c>
      <c r="AF22" s="309">
        <f t="shared" si="21"/>
        <v>0</v>
      </c>
      <c r="AG22" s="217">
        <f t="shared" si="21"/>
        <v>0</v>
      </c>
      <c r="AH22" s="217">
        <f t="shared" si="21"/>
        <v>0</v>
      </c>
      <c r="AI22" s="217">
        <f t="shared" si="21"/>
        <v>0</v>
      </c>
      <c r="AJ22" s="217">
        <f t="shared" si="21"/>
        <v>0</v>
      </c>
      <c r="AK22" s="217">
        <f t="shared" si="21"/>
        <v>0</v>
      </c>
      <c r="AL22" s="217">
        <f t="shared" si="21"/>
        <v>0</v>
      </c>
      <c r="AM22" s="217">
        <f t="shared" si="21"/>
        <v>0</v>
      </c>
      <c r="AN22" s="217">
        <f t="shared" si="21"/>
        <v>0</v>
      </c>
      <c r="AO22" s="217">
        <f t="shared" si="21"/>
        <v>0</v>
      </c>
      <c r="AP22" s="217">
        <f t="shared" si="21"/>
        <v>0</v>
      </c>
      <c r="AQ22" s="217">
        <f t="shared" si="21"/>
        <v>0</v>
      </c>
      <c r="AR22" s="310">
        <f t="shared" si="21"/>
        <v>0</v>
      </c>
      <c r="AS22" s="214">
        <f t="shared" si="21"/>
        <v>0</v>
      </c>
      <c r="AT22" s="214">
        <f t="shared" si="21"/>
        <v>0</v>
      </c>
      <c r="AU22" s="214">
        <f t="shared" si="21"/>
        <v>0</v>
      </c>
      <c r="AV22" s="214">
        <f t="shared" si="21"/>
        <v>0</v>
      </c>
      <c r="AW22" s="214">
        <f t="shared" si="21"/>
        <v>0</v>
      </c>
      <c r="AX22" s="214">
        <f t="shared" si="21"/>
        <v>0</v>
      </c>
      <c r="AY22" s="214">
        <f t="shared" si="21"/>
        <v>0</v>
      </c>
      <c r="AZ22" s="214">
        <f t="shared" si="21"/>
        <v>0</v>
      </c>
      <c r="BA22" s="214">
        <f t="shared" si="21"/>
        <v>0</v>
      </c>
      <c r="BB22" s="214">
        <f t="shared" si="21"/>
        <v>0</v>
      </c>
      <c r="BC22" s="214">
        <f t="shared" si="21"/>
        <v>0</v>
      </c>
      <c r="BD22" s="310">
        <f t="shared" si="21"/>
        <v>0</v>
      </c>
      <c r="BE22" s="214">
        <f t="shared" si="21"/>
        <v>0</v>
      </c>
      <c r="BF22" s="214">
        <f t="shared" si="21"/>
        <v>0</v>
      </c>
      <c r="BG22" s="214">
        <f t="shared" si="21"/>
        <v>0</v>
      </c>
      <c r="BH22" s="214">
        <f t="shared" si="21"/>
        <v>0</v>
      </c>
      <c r="BI22" s="214">
        <f t="shared" si="21"/>
        <v>0</v>
      </c>
      <c r="BJ22" s="214">
        <f t="shared" si="21"/>
        <v>0</v>
      </c>
      <c r="BK22" s="214">
        <f t="shared" si="21"/>
        <v>0</v>
      </c>
      <c r="BL22" s="214">
        <f t="shared" si="21"/>
        <v>0</v>
      </c>
      <c r="BM22" s="214">
        <f t="shared" si="21"/>
        <v>0</v>
      </c>
      <c r="BN22" s="214">
        <f t="shared" si="21"/>
        <v>0</v>
      </c>
      <c r="BO22" s="214">
        <f t="shared" si="21"/>
        <v>0</v>
      </c>
      <c r="BP22" s="714">
        <f t="shared" si="21"/>
        <v>0</v>
      </c>
    </row>
    <row r="23" spans="2:71" ht="12" customHeight="1" outlineLevel="1">
      <c r="B23" s="218"/>
      <c r="C23" s="406" t="s">
        <v>303</v>
      </c>
      <c r="D23" s="215"/>
      <c r="E23" s="217">
        <f t="shared" si="12"/>
        <v>203435</v>
      </c>
      <c r="F23" s="214">
        <f t="shared" si="19"/>
        <v>952414.99999999988</v>
      </c>
      <c r="G23" s="436">
        <f t="shared" si="13"/>
        <v>1155850</v>
      </c>
      <c r="H23" s="845">
        <f>SUM(H79:H86)</f>
        <v>203435</v>
      </c>
      <c r="I23" s="214">
        <f t="shared" ref="I23:BP23" si="22">SUM(I79:I86)</f>
        <v>0</v>
      </c>
      <c r="J23" s="214">
        <f t="shared" si="22"/>
        <v>0</v>
      </c>
      <c r="K23" s="214">
        <f t="shared" si="22"/>
        <v>0</v>
      </c>
      <c r="L23" s="214">
        <f t="shared" si="22"/>
        <v>0</v>
      </c>
      <c r="M23" s="214">
        <f t="shared" si="22"/>
        <v>0</v>
      </c>
      <c r="N23" s="214">
        <f t="shared" si="22"/>
        <v>0</v>
      </c>
      <c r="O23" s="214">
        <f t="shared" si="22"/>
        <v>68029.642857142855</v>
      </c>
      <c r="P23" s="214">
        <f t="shared" si="22"/>
        <v>68029.642857142855</v>
      </c>
      <c r="Q23" s="214">
        <f t="shared" si="22"/>
        <v>68029.642857142855</v>
      </c>
      <c r="R23" s="214">
        <f t="shared" si="22"/>
        <v>68029.642857142855</v>
      </c>
      <c r="S23" s="214">
        <f t="shared" si="22"/>
        <v>68029.642857142855</v>
      </c>
      <c r="T23" s="310">
        <f t="shared" si="22"/>
        <v>68029.642857142855</v>
      </c>
      <c r="U23" s="214">
        <f t="shared" si="22"/>
        <v>68029.642857142855</v>
      </c>
      <c r="V23" s="214">
        <f t="shared" si="22"/>
        <v>68029.642857142855</v>
      </c>
      <c r="W23" s="214">
        <f t="shared" si="22"/>
        <v>68029.642857142855</v>
      </c>
      <c r="X23" s="214">
        <f t="shared" si="22"/>
        <v>68029.642857142855</v>
      </c>
      <c r="Y23" s="214">
        <f t="shared" si="22"/>
        <v>68029.642857142855</v>
      </c>
      <c r="Z23" s="214">
        <f t="shared" si="22"/>
        <v>68029.642857142855</v>
      </c>
      <c r="AA23" s="214">
        <f t="shared" si="22"/>
        <v>68029.642857142855</v>
      </c>
      <c r="AB23" s="214">
        <f t="shared" si="22"/>
        <v>68029.642857142855</v>
      </c>
      <c r="AC23" s="214">
        <f t="shared" si="22"/>
        <v>0</v>
      </c>
      <c r="AD23" s="214">
        <f t="shared" si="22"/>
        <v>0</v>
      </c>
      <c r="AE23" s="217">
        <f t="shared" si="22"/>
        <v>0</v>
      </c>
      <c r="AF23" s="309">
        <f t="shared" si="22"/>
        <v>0</v>
      </c>
      <c r="AG23" s="217">
        <f t="shared" si="22"/>
        <v>0</v>
      </c>
      <c r="AH23" s="217">
        <f t="shared" si="22"/>
        <v>0</v>
      </c>
      <c r="AI23" s="217">
        <f t="shared" si="22"/>
        <v>0</v>
      </c>
      <c r="AJ23" s="217">
        <f t="shared" si="22"/>
        <v>0</v>
      </c>
      <c r="AK23" s="217">
        <f t="shared" si="22"/>
        <v>0</v>
      </c>
      <c r="AL23" s="217">
        <f t="shared" si="22"/>
        <v>0</v>
      </c>
      <c r="AM23" s="217">
        <f t="shared" si="22"/>
        <v>0</v>
      </c>
      <c r="AN23" s="217">
        <f t="shared" si="22"/>
        <v>0</v>
      </c>
      <c r="AO23" s="217">
        <f t="shared" si="22"/>
        <v>0</v>
      </c>
      <c r="AP23" s="217">
        <f t="shared" si="22"/>
        <v>0</v>
      </c>
      <c r="AQ23" s="217">
        <f t="shared" si="22"/>
        <v>0</v>
      </c>
      <c r="AR23" s="310">
        <f t="shared" si="22"/>
        <v>0</v>
      </c>
      <c r="AS23" s="214">
        <f t="shared" si="22"/>
        <v>0</v>
      </c>
      <c r="AT23" s="214">
        <f t="shared" si="22"/>
        <v>0</v>
      </c>
      <c r="AU23" s="214">
        <f t="shared" si="22"/>
        <v>0</v>
      </c>
      <c r="AV23" s="214">
        <f t="shared" si="22"/>
        <v>0</v>
      </c>
      <c r="AW23" s="214">
        <f t="shared" si="22"/>
        <v>0</v>
      </c>
      <c r="AX23" s="214">
        <f t="shared" si="22"/>
        <v>0</v>
      </c>
      <c r="AY23" s="214">
        <f t="shared" si="22"/>
        <v>0</v>
      </c>
      <c r="AZ23" s="214">
        <f t="shared" si="22"/>
        <v>0</v>
      </c>
      <c r="BA23" s="214">
        <f t="shared" si="22"/>
        <v>0</v>
      </c>
      <c r="BB23" s="214">
        <f t="shared" si="22"/>
        <v>0</v>
      </c>
      <c r="BC23" s="214">
        <f t="shared" si="22"/>
        <v>0</v>
      </c>
      <c r="BD23" s="310">
        <f t="shared" si="22"/>
        <v>0</v>
      </c>
      <c r="BE23" s="214">
        <f t="shared" si="22"/>
        <v>0</v>
      </c>
      <c r="BF23" s="214">
        <f t="shared" si="22"/>
        <v>0</v>
      </c>
      <c r="BG23" s="214">
        <f t="shared" si="22"/>
        <v>0</v>
      </c>
      <c r="BH23" s="214">
        <f t="shared" si="22"/>
        <v>0</v>
      </c>
      <c r="BI23" s="214">
        <f t="shared" si="22"/>
        <v>0</v>
      </c>
      <c r="BJ23" s="214">
        <f t="shared" si="22"/>
        <v>0</v>
      </c>
      <c r="BK23" s="214">
        <f t="shared" si="22"/>
        <v>0</v>
      </c>
      <c r="BL23" s="214">
        <f t="shared" si="22"/>
        <v>0</v>
      </c>
      <c r="BM23" s="214">
        <f t="shared" si="22"/>
        <v>0</v>
      </c>
      <c r="BN23" s="214">
        <f t="shared" si="22"/>
        <v>0</v>
      </c>
      <c r="BO23" s="214">
        <f t="shared" si="22"/>
        <v>0</v>
      </c>
      <c r="BP23" s="714">
        <f t="shared" si="22"/>
        <v>0</v>
      </c>
    </row>
    <row r="24" spans="2:71" ht="12" customHeight="1" outlineLevel="1">
      <c r="B24" s="218"/>
      <c r="C24" s="406" t="s">
        <v>382</v>
      </c>
      <c r="D24" s="408"/>
      <c r="E24" s="217">
        <f t="shared" si="12"/>
        <v>0</v>
      </c>
      <c r="F24" s="214">
        <f t="shared" si="19"/>
        <v>60999.999999999978</v>
      </c>
      <c r="G24" s="436">
        <f t="shared" si="13"/>
        <v>60999.999999999978</v>
      </c>
      <c r="H24" s="845">
        <f>H89</f>
        <v>0</v>
      </c>
      <c r="I24" s="214">
        <f t="shared" ref="I24:BP24" si="23">I89</f>
        <v>0</v>
      </c>
      <c r="J24" s="214">
        <f t="shared" si="23"/>
        <v>0</v>
      </c>
      <c r="K24" s="214">
        <f t="shared" si="23"/>
        <v>0</v>
      </c>
      <c r="L24" s="214">
        <f t="shared" si="23"/>
        <v>0</v>
      </c>
      <c r="M24" s="214">
        <f t="shared" si="23"/>
        <v>0</v>
      </c>
      <c r="N24" s="214">
        <f t="shared" si="23"/>
        <v>0</v>
      </c>
      <c r="O24" s="214">
        <f t="shared" si="23"/>
        <v>4357.1428571428569</v>
      </c>
      <c r="P24" s="214">
        <f t="shared" si="23"/>
        <v>4357.1428571428569</v>
      </c>
      <c r="Q24" s="214">
        <f t="shared" si="23"/>
        <v>4357.1428571428569</v>
      </c>
      <c r="R24" s="214">
        <f t="shared" si="23"/>
        <v>4357.1428571428569</v>
      </c>
      <c r="S24" s="214">
        <f t="shared" si="23"/>
        <v>4357.1428571428569</v>
      </c>
      <c r="T24" s="310">
        <f t="shared" si="23"/>
        <v>4357.1428571428569</v>
      </c>
      <c r="U24" s="214">
        <f t="shared" si="23"/>
        <v>4357.1428571428569</v>
      </c>
      <c r="V24" s="214">
        <f t="shared" si="23"/>
        <v>4357.1428571428569</v>
      </c>
      <c r="W24" s="214">
        <f t="shared" si="23"/>
        <v>4357.1428571428569</v>
      </c>
      <c r="X24" s="214">
        <f t="shared" si="23"/>
        <v>4357.1428571428569</v>
      </c>
      <c r="Y24" s="214">
        <f t="shared" si="23"/>
        <v>4357.1428571428569</v>
      </c>
      <c r="Z24" s="214">
        <f t="shared" si="23"/>
        <v>4357.1428571428569</v>
      </c>
      <c r="AA24" s="214">
        <f t="shared" si="23"/>
        <v>4357.1428571428569</v>
      </c>
      <c r="AB24" s="214">
        <f t="shared" si="23"/>
        <v>4357.1428571428569</v>
      </c>
      <c r="AC24" s="214">
        <f t="shared" si="23"/>
        <v>0</v>
      </c>
      <c r="AD24" s="214">
        <f t="shared" si="23"/>
        <v>0</v>
      </c>
      <c r="AE24" s="217">
        <f t="shared" si="23"/>
        <v>0</v>
      </c>
      <c r="AF24" s="309">
        <f t="shared" si="23"/>
        <v>0</v>
      </c>
      <c r="AG24" s="217">
        <f t="shared" si="23"/>
        <v>0</v>
      </c>
      <c r="AH24" s="217">
        <f t="shared" si="23"/>
        <v>0</v>
      </c>
      <c r="AI24" s="217">
        <f t="shared" si="23"/>
        <v>0</v>
      </c>
      <c r="AJ24" s="217">
        <f t="shared" si="23"/>
        <v>0</v>
      </c>
      <c r="AK24" s="217">
        <f t="shared" si="23"/>
        <v>0</v>
      </c>
      <c r="AL24" s="217">
        <f t="shared" si="23"/>
        <v>0</v>
      </c>
      <c r="AM24" s="217">
        <f t="shared" si="23"/>
        <v>0</v>
      </c>
      <c r="AN24" s="217">
        <f t="shared" si="23"/>
        <v>0</v>
      </c>
      <c r="AO24" s="217">
        <f t="shared" si="23"/>
        <v>0</v>
      </c>
      <c r="AP24" s="217">
        <f t="shared" si="23"/>
        <v>0</v>
      </c>
      <c r="AQ24" s="217">
        <f t="shared" si="23"/>
        <v>0</v>
      </c>
      <c r="AR24" s="310">
        <f t="shared" si="23"/>
        <v>0</v>
      </c>
      <c r="AS24" s="214">
        <f t="shared" si="23"/>
        <v>0</v>
      </c>
      <c r="AT24" s="214">
        <f t="shared" si="23"/>
        <v>0</v>
      </c>
      <c r="AU24" s="214">
        <f t="shared" si="23"/>
        <v>0</v>
      </c>
      <c r="AV24" s="214">
        <f t="shared" si="23"/>
        <v>0</v>
      </c>
      <c r="AW24" s="214">
        <f t="shared" si="23"/>
        <v>0</v>
      </c>
      <c r="AX24" s="214">
        <f t="shared" si="23"/>
        <v>0</v>
      </c>
      <c r="AY24" s="214">
        <f t="shared" si="23"/>
        <v>0</v>
      </c>
      <c r="AZ24" s="214">
        <f t="shared" si="23"/>
        <v>0</v>
      </c>
      <c r="BA24" s="214">
        <f t="shared" si="23"/>
        <v>0</v>
      </c>
      <c r="BB24" s="214">
        <f t="shared" si="23"/>
        <v>0</v>
      </c>
      <c r="BC24" s="214">
        <f t="shared" si="23"/>
        <v>0</v>
      </c>
      <c r="BD24" s="310">
        <f t="shared" si="23"/>
        <v>0</v>
      </c>
      <c r="BE24" s="214">
        <f t="shared" si="23"/>
        <v>0</v>
      </c>
      <c r="BF24" s="214">
        <f t="shared" si="23"/>
        <v>0</v>
      </c>
      <c r="BG24" s="214">
        <f t="shared" si="23"/>
        <v>0</v>
      </c>
      <c r="BH24" s="214">
        <f t="shared" si="23"/>
        <v>0</v>
      </c>
      <c r="BI24" s="214">
        <f t="shared" si="23"/>
        <v>0</v>
      </c>
      <c r="BJ24" s="214">
        <f t="shared" si="23"/>
        <v>0</v>
      </c>
      <c r="BK24" s="214">
        <f t="shared" si="23"/>
        <v>0</v>
      </c>
      <c r="BL24" s="214">
        <f t="shared" si="23"/>
        <v>0</v>
      </c>
      <c r="BM24" s="214">
        <f t="shared" si="23"/>
        <v>0</v>
      </c>
      <c r="BN24" s="214">
        <f t="shared" si="23"/>
        <v>0</v>
      </c>
      <c r="BO24" s="214">
        <f t="shared" si="23"/>
        <v>0</v>
      </c>
      <c r="BP24" s="714">
        <f t="shared" si="23"/>
        <v>0</v>
      </c>
    </row>
    <row r="25" spans="2:71" ht="12" customHeight="1" outlineLevel="1">
      <c r="B25" s="218"/>
      <c r="C25" s="406" t="s">
        <v>487</v>
      </c>
      <c r="D25" s="215"/>
      <c r="E25" s="217">
        <f t="shared" si="12"/>
        <v>0</v>
      </c>
      <c r="F25" s="214">
        <f t="shared" si="19"/>
        <v>280000</v>
      </c>
      <c r="G25" s="436">
        <f t="shared" si="13"/>
        <v>280000</v>
      </c>
      <c r="H25" s="845">
        <f>H90</f>
        <v>0</v>
      </c>
      <c r="I25" s="214">
        <f t="shared" ref="I25:BP25" si="24">I90</f>
        <v>0</v>
      </c>
      <c r="J25" s="214">
        <f t="shared" si="24"/>
        <v>0</v>
      </c>
      <c r="K25" s="214">
        <f t="shared" si="24"/>
        <v>0</v>
      </c>
      <c r="L25" s="214">
        <f t="shared" si="24"/>
        <v>0</v>
      </c>
      <c r="M25" s="214">
        <f t="shared" si="24"/>
        <v>0</v>
      </c>
      <c r="N25" s="214">
        <f t="shared" si="24"/>
        <v>0</v>
      </c>
      <c r="O25" s="214">
        <f t="shared" si="24"/>
        <v>20000</v>
      </c>
      <c r="P25" s="214">
        <f t="shared" si="24"/>
        <v>20000</v>
      </c>
      <c r="Q25" s="214">
        <f t="shared" si="24"/>
        <v>20000</v>
      </c>
      <c r="R25" s="214">
        <f t="shared" si="24"/>
        <v>20000</v>
      </c>
      <c r="S25" s="214">
        <f t="shared" si="24"/>
        <v>20000</v>
      </c>
      <c r="T25" s="310">
        <f t="shared" si="24"/>
        <v>20000</v>
      </c>
      <c r="U25" s="214">
        <f t="shared" si="24"/>
        <v>20000</v>
      </c>
      <c r="V25" s="214">
        <f t="shared" si="24"/>
        <v>20000</v>
      </c>
      <c r="W25" s="214">
        <f t="shared" si="24"/>
        <v>20000</v>
      </c>
      <c r="X25" s="214">
        <f t="shared" si="24"/>
        <v>20000</v>
      </c>
      <c r="Y25" s="214">
        <f t="shared" si="24"/>
        <v>20000</v>
      </c>
      <c r="Z25" s="214">
        <f t="shared" si="24"/>
        <v>20000</v>
      </c>
      <c r="AA25" s="214">
        <f t="shared" si="24"/>
        <v>20000</v>
      </c>
      <c r="AB25" s="214">
        <f t="shared" si="24"/>
        <v>20000</v>
      </c>
      <c r="AC25" s="214">
        <f t="shared" si="24"/>
        <v>0</v>
      </c>
      <c r="AD25" s="214">
        <f t="shared" si="24"/>
        <v>0</v>
      </c>
      <c r="AE25" s="217">
        <f t="shared" si="24"/>
        <v>0</v>
      </c>
      <c r="AF25" s="309">
        <f t="shared" si="24"/>
        <v>0</v>
      </c>
      <c r="AG25" s="217">
        <f t="shared" si="24"/>
        <v>0</v>
      </c>
      <c r="AH25" s="217">
        <f t="shared" si="24"/>
        <v>0</v>
      </c>
      <c r="AI25" s="217">
        <f t="shared" si="24"/>
        <v>0</v>
      </c>
      <c r="AJ25" s="217">
        <f t="shared" si="24"/>
        <v>0</v>
      </c>
      <c r="AK25" s="217">
        <f t="shared" si="24"/>
        <v>0</v>
      </c>
      <c r="AL25" s="217">
        <f t="shared" si="24"/>
        <v>0</v>
      </c>
      <c r="AM25" s="217">
        <f t="shared" si="24"/>
        <v>0</v>
      </c>
      <c r="AN25" s="217">
        <f t="shared" si="24"/>
        <v>0</v>
      </c>
      <c r="AO25" s="217">
        <f t="shared" si="24"/>
        <v>0</v>
      </c>
      <c r="AP25" s="217">
        <f t="shared" si="24"/>
        <v>0</v>
      </c>
      <c r="AQ25" s="217">
        <f t="shared" si="24"/>
        <v>0</v>
      </c>
      <c r="AR25" s="310">
        <f t="shared" si="24"/>
        <v>0</v>
      </c>
      <c r="AS25" s="214">
        <f t="shared" si="24"/>
        <v>0</v>
      </c>
      <c r="AT25" s="214">
        <f t="shared" si="24"/>
        <v>0</v>
      </c>
      <c r="AU25" s="214">
        <f t="shared" si="24"/>
        <v>0</v>
      </c>
      <c r="AV25" s="214">
        <f t="shared" si="24"/>
        <v>0</v>
      </c>
      <c r="AW25" s="214">
        <f t="shared" si="24"/>
        <v>0</v>
      </c>
      <c r="AX25" s="214">
        <f t="shared" si="24"/>
        <v>0</v>
      </c>
      <c r="AY25" s="214">
        <f t="shared" si="24"/>
        <v>0</v>
      </c>
      <c r="AZ25" s="214">
        <f t="shared" si="24"/>
        <v>0</v>
      </c>
      <c r="BA25" s="214">
        <f t="shared" si="24"/>
        <v>0</v>
      </c>
      <c r="BB25" s="214">
        <f t="shared" si="24"/>
        <v>0</v>
      </c>
      <c r="BC25" s="214">
        <f t="shared" si="24"/>
        <v>0</v>
      </c>
      <c r="BD25" s="310">
        <f t="shared" si="24"/>
        <v>0</v>
      </c>
      <c r="BE25" s="214">
        <f t="shared" si="24"/>
        <v>0</v>
      </c>
      <c r="BF25" s="214">
        <f t="shared" si="24"/>
        <v>0</v>
      </c>
      <c r="BG25" s="214">
        <f t="shared" si="24"/>
        <v>0</v>
      </c>
      <c r="BH25" s="214">
        <f t="shared" si="24"/>
        <v>0</v>
      </c>
      <c r="BI25" s="214">
        <f t="shared" si="24"/>
        <v>0</v>
      </c>
      <c r="BJ25" s="214">
        <f t="shared" si="24"/>
        <v>0</v>
      </c>
      <c r="BK25" s="214">
        <f t="shared" si="24"/>
        <v>0</v>
      </c>
      <c r="BL25" s="214">
        <f t="shared" si="24"/>
        <v>0</v>
      </c>
      <c r="BM25" s="214">
        <f t="shared" si="24"/>
        <v>0</v>
      </c>
      <c r="BN25" s="214">
        <f t="shared" si="24"/>
        <v>0</v>
      </c>
      <c r="BO25" s="214">
        <f t="shared" si="24"/>
        <v>0</v>
      </c>
      <c r="BP25" s="714">
        <f t="shared" si="24"/>
        <v>0</v>
      </c>
    </row>
    <row r="26" spans="2:71" ht="12" customHeight="1" outlineLevel="1">
      <c r="B26" s="218"/>
      <c r="C26" s="406" t="s">
        <v>470</v>
      </c>
      <c r="D26" s="714"/>
      <c r="E26" s="217">
        <f t="shared" ref="E26" si="25">SUM(H26)</f>
        <v>150000</v>
      </c>
      <c r="F26" s="214">
        <f t="shared" si="19"/>
        <v>0</v>
      </c>
      <c r="G26" s="436">
        <f t="shared" ref="G26" si="26">E26+F26</f>
        <v>150000</v>
      </c>
      <c r="H26" s="845">
        <f>H91</f>
        <v>150000</v>
      </c>
      <c r="I26" s="214">
        <f t="shared" ref="I26:BP26" si="27">I91</f>
        <v>0</v>
      </c>
      <c r="J26" s="214">
        <f t="shared" si="27"/>
        <v>0</v>
      </c>
      <c r="K26" s="214">
        <f t="shared" si="27"/>
        <v>0</v>
      </c>
      <c r="L26" s="214">
        <f t="shared" si="27"/>
        <v>0</v>
      </c>
      <c r="M26" s="214">
        <f t="shared" si="27"/>
        <v>0</v>
      </c>
      <c r="N26" s="214">
        <f t="shared" si="27"/>
        <v>0</v>
      </c>
      <c r="O26" s="214">
        <f t="shared" si="27"/>
        <v>0</v>
      </c>
      <c r="P26" s="214">
        <f t="shared" si="27"/>
        <v>0</v>
      </c>
      <c r="Q26" s="214">
        <f t="shared" si="27"/>
        <v>0</v>
      </c>
      <c r="R26" s="214">
        <f t="shared" si="27"/>
        <v>0</v>
      </c>
      <c r="S26" s="214">
        <f t="shared" si="27"/>
        <v>0</v>
      </c>
      <c r="T26" s="310">
        <f t="shared" si="27"/>
        <v>0</v>
      </c>
      <c r="U26" s="214">
        <f t="shared" si="27"/>
        <v>0</v>
      </c>
      <c r="V26" s="214">
        <f t="shared" si="27"/>
        <v>0</v>
      </c>
      <c r="W26" s="214">
        <f t="shared" si="27"/>
        <v>0</v>
      </c>
      <c r="X26" s="214">
        <f t="shared" si="27"/>
        <v>0</v>
      </c>
      <c r="Y26" s="214">
        <f t="shared" si="27"/>
        <v>0</v>
      </c>
      <c r="Z26" s="214">
        <f t="shared" si="27"/>
        <v>0</v>
      </c>
      <c r="AA26" s="214">
        <f t="shared" si="27"/>
        <v>0</v>
      </c>
      <c r="AB26" s="214">
        <f t="shared" si="27"/>
        <v>0</v>
      </c>
      <c r="AC26" s="214">
        <f t="shared" si="27"/>
        <v>0</v>
      </c>
      <c r="AD26" s="214">
        <f t="shared" si="27"/>
        <v>0</v>
      </c>
      <c r="AE26" s="217">
        <f t="shared" si="27"/>
        <v>0</v>
      </c>
      <c r="AF26" s="309">
        <f t="shared" si="27"/>
        <v>0</v>
      </c>
      <c r="AG26" s="217">
        <f t="shared" si="27"/>
        <v>0</v>
      </c>
      <c r="AH26" s="217">
        <f t="shared" si="27"/>
        <v>0</v>
      </c>
      <c r="AI26" s="217">
        <f t="shared" si="27"/>
        <v>0</v>
      </c>
      <c r="AJ26" s="217">
        <f t="shared" si="27"/>
        <v>0</v>
      </c>
      <c r="AK26" s="217">
        <f t="shared" si="27"/>
        <v>0</v>
      </c>
      <c r="AL26" s="217">
        <f t="shared" si="27"/>
        <v>0</v>
      </c>
      <c r="AM26" s="217">
        <f t="shared" si="27"/>
        <v>0</v>
      </c>
      <c r="AN26" s="217">
        <f t="shared" si="27"/>
        <v>0</v>
      </c>
      <c r="AO26" s="217">
        <f t="shared" si="27"/>
        <v>0</v>
      </c>
      <c r="AP26" s="217">
        <f t="shared" si="27"/>
        <v>0</v>
      </c>
      <c r="AQ26" s="217">
        <f t="shared" si="27"/>
        <v>0</v>
      </c>
      <c r="AR26" s="310">
        <f t="shared" si="27"/>
        <v>0</v>
      </c>
      <c r="AS26" s="214">
        <f t="shared" si="27"/>
        <v>0</v>
      </c>
      <c r="AT26" s="214">
        <f t="shared" si="27"/>
        <v>0</v>
      </c>
      <c r="AU26" s="214">
        <f t="shared" si="27"/>
        <v>0</v>
      </c>
      <c r="AV26" s="214">
        <f t="shared" si="27"/>
        <v>0</v>
      </c>
      <c r="AW26" s="214">
        <f t="shared" si="27"/>
        <v>0</v>
      </c>
      <c r="AX26" s="214">
        <f t="shared" si="27"/>
        <v>0</v>
      </c>
      <c r="AY26" s="214">
        <f t="shared" si="27"/>
        <v>0</v>
      </c>
      <c r="AZ26" s="214">
        <f t="shared" si="27"/>
        <v>0</v>
      </c>
      <c r="BA26" s="214">
        <f t="shared" si="27"/>
        <v>0</v>
      </c>
      <c r="BB26" s="214">
        <f t="shared" si="27"/>
        <v>0</v>
      </c>
      <c r="BC26" s="214">
        <f t="shared" si="27"/>
        <v>0</v>
      </c>
      <c r="BD26" s="310">
        <f t="shared" si="27"/>
        <v>0</v>
      </c>
      <c r="BE26" s="214">
        <f t="shared" si="27"/>
        <v>0</v>
      </c>
      <c r="BF26" s="214">
        <f t="shared" si="27"/>
        <v>0</v>
      </c>
      <c r="BG26" s="214">
        <f t="shared" si="27"/>
        <v>0</v>
      </c>
      <c r="BH26" s="214">
        <f t="shared" si="27"/>
        <v>0</v>
      </c>
      <c r="BI26" s="214">
        <f t="shared" si="27"/>
        <v>0</v>
      </c>
      <c r="BJ26" s="214">
        <f t="shared" si="27"/>
        <v>0</v>
      </c>
      <c r="BK26" s="214">
        <f t="shared" si="27"/>
        <v>0</v>
      </c>
      <c r="BL26" s="214">
        <f t="shared" si="27"/>
        <v>0</v>
      </c>
      <c r="BM26" s="214">
        <f t="shared" si="27"/>
        <v>0</v>
      </c>
      <c r="BN26" s="214">
        <f t="shared" si="27"/>
        <v>0</v>
      </c>
      <c r="BO26" s="214">
        <f t="shared" si="27"/>
        <v>0</v>
      </c>
      <c r="BP26" s="714">
        <f t="shared" si="27"/>
        <v>0</v>
      </c>
    </row>
    <row r="27" spans="2:71" ht="12" customHeight="1" outlineLevel="1">
      <c r="B27" s="218"/>
      <c r="C27" s="406" t="s">
        <v>401</v>
      </c>
      <c r="D27" s="215"/>
      <c r="E27" s="217">
        <f>SUM(H27)</f>
        <v>0</v>
      </c>
      <c r="F27" s="214">
        <f t="shared" si="19"/>
        <v>120381.33518700834</v>
      </c>
      <c r="G27" s="436">
        <f>E27+F27</f>
        <v>120381.33518700834</v>
      </c>
      <c r="H27" s="845">
        <f>H92</f>
        <v>0</v>
      </c>
      <c r="I27" s="217">
        <f t="shared" ref="I27:BP27" si="28">I92</f>
        <v>0</v>
      </c>
      <c r="J27" s="217">
        <f t="shared" si="28"/>
        <v>0</v>
      </c>
      <c r="K27" s="217">
        <f t="shared" si="28"/>
        <v>0</v>
      </c>
      <c r="L27" s="217">
        <f t="shared" si="28"/>
        <v>0</v>
      </c>
      <c r="M27" s="217">
        <f t="shared" si="28"/>
        <v>0</v>
      </c>
      <c r="N27" s="217">
        <f t="shared" si="28"/>
        <v>0</v>
      </c>
      <c r="O27" s="217">
        <f t="shared" si="28"/>
        <v>0</v>
      </c>
      <c r="P27" s="217">
        <f t="shared" si="28"/>
        <v>0</v>
      </c>
      <c r="Q27" s="217">
        <f t="shared" si="28"/>
        <v>0</v>
      </c>
      <c r="R27" s="217">
        <f t="shared" si="28"/>
        <v>0</v>
      </c>
      <c r="S27" s="217">
        <f t="shared" si="28"/>
        <v>0</v>
      </c>
      <c r="T27" s="309">
        <f t="shared" si="28"/>
        <v>0</v>
      </c>
      <c r="U27" s="217">
        <f t="shared" si="28"/>
        <v>0</v>
      </c>
      <c r="V27" s="217">
        <f t="shared" si="28"/>
        <v>0</v>
      </c>
      <c r="W27" s="217">
        <f t="shared" si="28"/>
        <v>0</v>
      </c>
      <c r="X27" s="217">
        <f t="shared" si="28"/>
        <v>0</v>
      </c>
      <c r="Y27" s="217">
        <f t="shared" si="28"/>
        <v>21798.135483333332</v>
      </c>
      <c r="Z27" s="217">
        <f t="shared" si="28"/>
        <v>21798.135483333332</v>
      </c>
      <c r="AA27" s="217">
        <f t="shared" si="28"/>
        <v>21798.135483333332</v>
      </c>
      <c r="AB27" s="217">
        <f t="shared" si="28"/>
        <v>21798.135483333332</v>
      </c>
      <c r="AC27" s="217">
        <f t="shared" si="28"/>
        <v>32534.706498125001</v>
      </c>
      <c r="AD27" s="217">
        <f t="shared" si="28"/>
        <v>654.08675555000923</v>
      </c>
      <c r="AE27" s="217">
        <f t="shared" si="28"/>
        <v>0</v>
      </c>
      <c r="AF27" s="309">
        <f t="shared" si="28"/>
        <v>0</v>
      </c>
      <c r="AG27" s="217">
        <f t="shared" si="28"/>
        <v>0</v>
      </c>
      <c r="AH27" s="217">
        <f t="shared" si="28"/>
        <v>0</v>
      </c>
      <c r="AI27" s="217">
        <f t="shared" si="28"/>
        <v>0</v>
      </c>
      <c r="AJ27" s="217">
        <f t="shared" si="28"/>
        <v>0</v>
      </c>
      <c r="AK27" s="217">
        <f t="shared" si="28"/>
        <v>0</v>
      </c>
      <c r="AL27" s="217">
        <f t="shared" si="28"/>
        <v>0</v>
      </c>
      <c r="AM27" s="217">
        <f t="shared" si="28"/>
        <v>0</v>
      </c>
      <c r="AN27" s="217">
        <f t="shared" si="28"/>
        <v>0</v>
      </c>
      <c r="AO27" s="217">
        <f t="shared" si="28"/>
        <v>0</v>
      </c>
      <c r="AP27" s="217">
        <f t="shared" si="28"/>
        <v>0</v>
      </c>
      <c r="AQ27" s="217">
        <f t="shared" si="28"/>
        <v>0</v>
      </c>
      <c r="AR27" s="310">
        <f t="shared" si="28"/>
        <v>0</v>
      </c>
      <c r="AS27" s="214">
        <f t="shared" si="28"/>
        <v>0</v>
      </c>
      <c r="AT27" s="214">
        <f t="shared" si="28"/>
        <v>0</v>
      </c>
      <c r="AU27" s="214">
        <f t="shared" si="28"/>
        <v>0</v>
      </c>
      <c r="AV27" s="214">
        <f t="shared" si="28"/>
        <v>0</v>
      </c>
      <c r="AW27" s="214">
        <f t="shared" si="28"/>
        <v>0</v>
      </c>
      <c r="AX27" s="214">
        <f t="shared" si="28"/>
        <v>0</v>
      </c>
      <c r="AY27" s="214">
        <f t="shared" si="28"/>
        <v>0</v>
      </c>
      <c r="AZ27" s="214">
        <f t="shared" si="28"/>
        <v>0</v>
      </c>
      <c r="BA27" s="214">
        <f t="shared" si="28"/>
        <v>0</v>
      </c>
      <c r="BB27" s="214">
        <f t="shared" si="28"/>
        <v>0</v>
      </c>
      <c r="BC27" s="214">
        <f t="shared" si="28"/>
        <v>0</v>
      </c>
      <c r="BD27" s="310">
        <f t="shared" si="28"/>
        <v>0</v>
      </c>
      <c r="BE27" s="214">
        <f t="shared" si="28"/>
        <v>0</v>
      </c>
      <c r="BF27" s="214">
        <f t="shared" si="28"/>
        <v>0</v>
      </c>
      <c r="BG27" s="214">
        <f t="shared" si="28"/>
        <v>0</v>
      </c>
      <c r="BH27" s="214">
        <f t="shared" si="28"/>
        <v>0</v>
      </c>
      <c r="BI27" s="214">
        <f t="shared" si="28"/>
        <v>0</v>
      </c>
      <c r="BJ27" s="214">
        <f t="shared" si="28"/>
        <v>0</v>
      </c>
      <c r="BK27" s="214">
        <f t="shared" si="28"/>
        <v>0</v>
      </c>
      <c r="BL27" s="214">
        <f t="shared" si="28"/>
        <v>0</v>
      </c>
      <c r="BM27" s="214">
        <f t="shared" si="28"/>
        <v>0</v>
      </c>
      <c r="BN27" s="214">
        <f t="shared" si="28"/>
        <v>0</v>
      </c>
      <c r="BO27" s="214">
        <f t="shared" si="28"/>
        <v>0</v>
      </c>
      <c r="BP27" s="714">
        <f t="shared" si="28"/>
        <v>0</v>
      </c>
    </row>
    <row r="28" spans="2:71" ht="12" customHeight="1" outlineLevel="1">
      <c r="B28" s="218"/>
      <c r="C28" s="406" t="s">
        <v>489</v>
      </c>
      <c r="D28" s="437">
        <v>0.01</v>
      </c>
      <c r="E28" s="217">
        <f>SUM(H28)</f>
        <v>156000</v>
      </c>
      <c r="F28" s="214">
        <f t="shared" si="19"/>
        <v>0</v>
      </c>
      <c r="G28" s="436">
        <f t="shared" si="13"/>
        <v>156000</v>
      </c>
      <c r="H28" s="845">
        <f>H93</f>
        <v>156000</v>
      </c>
      <c r="I28" s="214">
        <f t="shared" ref="I28:BP28" si="29">I93</f>
        <v>0</v>
      </c>
      <c r="J28" s="214">
        <f t="shared" si="29"/>
        <v>0</v>
      </c>
      <c r="K28" s="214">
        <f t="shared" si="29"/>
        <v>0</v>
      </c>
      <c r="L28" s="214">
        <f t="shared" si="29"/>
        <v>0</v>
      </c>
      <c r="M28" s="214">
        <f t="shared" si="29"/>
        <v>0</v>
      </c>
      <c r="N28" s="214">
        <f t="shared" si="29"/>
        <v>0</v>
      </c>
      <c r="O28" s="214">
        <f t="shared" si="29"/>
        <v>0</v>
      </c>
      <c r="P28" s="214">
        <f t="shared" si="29"/>
        <v>0</v>
      </c>
      <c r="Q28" s="214">
        <f t="shared" si="29"/>
        <v>0</v>
      </c>
      <c r="R28" s="214">
        <f t="shared" si="29"/>
        <v>0</v>
      </c>
      <c r="S28" s="214">
        <f t="shared" si="29"/>
        <v>0</v>
      </c>
      <c r="T28" s="310">
        <f t="shared" si="29"/>
        <v>0</v>
      </c>
      <c r="U28" s="214">
        <f t="shared" si="29"/>
        <v>0</v>
      </c>
      <c r="V28" s="214">
        <f t="shared" si="29"/>
        <v>0</v>
      </c>
      <c r="W28" s="214">
        <f t="shared" si="29"/>
        <v>0</v>
      </c>
      <c r="X28" s="214">
        <f t="shared" si="29"/>
        <v>0</v>
      </c>
      <c r="Y28" s="214">
        <f t="shared" si="29"/>
        <v>0</v>
      </c>
      <c r="Z28" s="214">
        <f t="shared" si="29"/>
        <v>0</v>
      </c>
      <c r="AA28" s="214">
        <f t="shared" si="29"/>
        <v>0</v>
      </c>
      <c r="AB28" s="214">
        <f t="shared" si="29"/>
        <v>0</v>
      </c>
      <c r="AC28" s="214">
        <f t="shared" si="29"/>
        <v>0</v>
      </c>
      <c r="AD28" s="214">
        <f t="shared" si="29"/>
        <v>0</v>
      </c>
      <c r="AE28" s="217">
        <f t="shared" si="29"/>
        <v>0</v>
      </c>
      <c r="AF28" s="309">
        <f t="shared" si="29"/>
        <v>0</v>
      </c>
      <c r="AG28" s="217">
        <f t="shared" si="29"/>
        <v>0</v>
      </c>
      <c r="AH28" s="217">
        <f t="shared" si="29"/>
        <v>0</v>
      </c>
      <c r="AI28" s="217">
        <f t="shared" si="29"/>
        <v>0</v>
      </c>
      <c r="AJ28" s="217">
        <f t="shared" si="29"/>
        <v>0</v>
      </c>
      <c r="AK28" s="217">
        <f t="shared" si="29"/>
        <v>0</v>
      </c>
      <c r="AL28" s="217">
        <f t="shared" si="29"/>
        <v>0</v>
      </c>
      <c r="AM28" s="217">
        <f t="shared" si="29"/>
        <v>0</v>
      </c>
      <c r="AN28" s="217">
        <f t="shared" si="29"/>
        <v>0</v>
      </c>
      <c r="AO28" s="217">
        <f t="shared" si="29"/>
        <v>0</v>
      </c>
      <c r="AP28" s="217">
        <f t="shared" si="29"/>
        <v>0</v>
      </c>
      <c r="AQ28" s="217">
        <f t="shared" si="29"/>
        <v>0</v>
      </c>
      <c r="AR28" s="310">
        <f t="shared" si="29"/>
        <v>0</v>
      </c>
      <c r="AS28" s="214">
        <f t="shared" si="29"/>
        <v>0</v>
      </c>
      <c r="AT28" s="214">
        <f t="shared" si="29"/>
        <v>0</v>
      </c>
      <c r="AU28" s="214">
        <f t="shared" si="29"/>
        <v>0</v>
      </c>
      <c r="AV28" s="214">
        <f t="shared" si="29"/>
        <v>0</v>
      </c>
      <c r="AW28" s="214">
        <f t="shared" si="29"/>
        <v>0</v>
      </c>
      <c r="AX28" s="214">
        <f t="shared" si="29"/>
        <v>0</v>
      </c>
      <c r="AY28" s="214">
        <f t="shared" si="29"/>
        <v>0</v>
      </c>
      <c r="AZ28" s="214">
        <f t="shared" si="29"/>
        <v>0</v>
      </c>
      <c r="BA28" s="214">
        <f t="shared" si="29"/>
        <v>0</v>
      </c>
      <c r="BB28" s="214">
        <f t="shared" si="29"/>
        <v>0</v>
      </c>
      <c r="BC28" s="214">
        <f t="shared" si="29"/>
        <v>0</v>
      </c>
      <c r="BD28" s="310">
        <f t="shared" si="29"/>
        <v>0</v>
      </c>
      <c r="BE28" s="214">
        <f t="shared" si="29"/>
        <v>0</v>
      </c>
      <c r="BF28" s="214">
        <f t="shared" si="29"/>
        <v>0</v>
      </c>
      <c r="BG28" s="214">
        <f t="shared" si="29"/>
        <v>0</v>
      </c>
      <c r="BH28" s="214">
        <f t="shared" si="29"/>
        <v>0</v>
      </c>
      <c r="BI28" s="214">
        <f t="shared" si="29"/>
        <v>0</v>
      </c>
      <c r="BJ28" s="214">
        <f t="shared" si="29"/>
        <v>0</v>
      </c>
      <c r="BK28" s="214">
        <f t="shared" si="29"/>
        <v>0</v>
      </c>
      <c r="BL28" s="214">
        <f t="shared" si="29"/>
        <v>0</v>
      </c>
      <c r="BM28" s="214">
        <f t="shared" si="29"/>
        <v>0</v>
      </c>
      <c r="BN28" s="214">
        <f t="shared" si="29"/>
        <v>0</v>
      </c>
      <c r="BO28" s="214">
        <f t="shared" si="29"/>
        <v>0</v>
      </c>
      <c r="BP28" s="714">
        <f t="shared" si="29"/>
        <v>0</v>
      </c>
    </row>
    <row r="29" spans="2:71" ht="12" customHeight="1" outlineLevel="1" thickBot="1">
      <c r="B29" s="218"/>
      <c r="C29" s="406" t="s">
        <v>488</v>
      </c>
      <c r="D29" s="408"/>
      <c r="E29" s="217">
        <f t="shared" si="12"/>
        <v>0</v>
      </c>
      <c r="F29" s="214">
        <f t="shared" si="19"/>
        <v>907495.54501353716</v>
      </c>
      <c r="G29" s="436">
        <f t="shared" si="13"/>
        <v>907495.54501353716</v>
      </c>
      <c r="H29" s="845">
        <f>H41</f>
        <v>0</v>
      </c>
      <c r="I29" s="217">
        <f t="shared" ref="I29:BP29" si="30">I41</f>
        <v>0</v>
      </c>
      <c r="J29" s="217">
        <f t="shared" si="30"/>
        <v>0</v>
      </c>
      <c r="K29" s="217">
        <f t="shared" si="30"/>
        <v>0</v>
      </c>
      <c r="L29" s="217">
        <f t="shared" si="30"/>
        <v>0</v>
      </c>
      <c r="M29" s="217">
        <f t="shared" si="30"/>
        <v>0</v>
      </c>
      <c r="N29" s="217">
        <f t="shared" si="30"/>
        <v>0</v>
      </c>
      <c r="O29" s="217">
        <f t="shared" si="30"/>
        <v>0</v>
      </c>
      <c r="P29" s="217">
        <f t="shared" si="30"/>
        <v>0</v>
      </c>
      <c r="Q29" s="217">
        <f t="shared" si="30"/>
        <v>0</v>
      </c>
      <c r="R29" s="217">
        <f t="shared" si="30"/>
        <v>5811.3431368770125</v>
      </c>
      <c r="S29" s="217">
        <f t="shared" si="30"/>
        <v>14240.998512080385</v>
      </c>
      <c r="T29" s="309">
        <f t="shared" si="30"/>
        <v>22756.970221135954</v>
      </c>
      <c r="U29" s="217">
        <f t="shared" si="30"/>
        <v>30924.648398126807</v>
      </c>
      <c r="V29" s="217">
        <f t="shared" si="30"/>
        <v>39074.021844872266</v>
      </c>
      <c r="W29" s="217">
        <f t="shared" si="30"/>
        <v>47261.657685302729</v>
      </c>
      <c r="X29" s="217">
        <f t="shared" si="30"/>
        <v>55400.628895564296</v>
      </c>
      <c r="Y29" s="217">
        <f t="shared" si="30"/>
        <v>63510.122240879326</v>
      </c>
      <c r="Z29" s="217">
        <f t="shared" si="30"/>
        <v>71760.633115827484</v>
      </c>
      <c r="AA29" s="217">
        <f t="shared" si="30"/>
        <v>80023.557917980754</v>
      </c>
      <c r="AB29" s="217">
        <f t="shared" si="30"/>
        <v>88273.984571231733</v>
      </c>
      <c r="AC29" s="217">
        <f t="shared" si="30"/>
        <v>96577.453801567259</v>
      </c>
      <c r="AD29" s="217">
        <f t="shared" si="30"/>
        <v>97055.835271822842</v>
      </c>
      <c r="AE29" s="217">
        <f t="shared" si="30"/>
        <v>97353.285613242246</v>
      </c>
      <c r="AF29" s="309">
        <f t="shared" si="30"/>
        <v>97470.40378702624</v>
      </c>
      <c r="AG29" s="217">
        <f t="shared" si="30"/>
        <v>0</v>
      </c>
      <c r="AH29" s="217">
        <f t="shared" si="30"/>
        <v>0</v>
      </c>
      <c r="AI29" s="217">
        <f t="shared" si="30"/>
        <v>0</v>
      </c>
      <c r="AJ29" s="217">
        <f t="shared" si="30"/>
        <v>0</v>
      </c>
      <c r="AK29" s="217">
        <f t="shared" si="30"/>
        <v>0</v>
      </c>
      <c r="AL29" s="217">
        <f t="shared" si="30"/>
        <v>0</v>
      </c>
      <c r="AM29" s="217">
        <f t="shared" si="30"/>
        <v>0</v>
      </c>
      <c r="AN29" s="217">
        <f t="shared" si="30"/>
        <v>0</v>
      </c>
      <c r="AO29" s="217">
        <f t="shared" si="30"/>
        <v>0</v>
      </c>
      <c r="AP29" s="217">
        <f t="shared" si="30"/>
        <v>0</v>
      </c>
      <c r="AQ29" s="217">
        <f t="shared" si="30"/>
        <v>0</v>
      </c>
      <c r="AR29" s="310">
        <f t="shared" si="30"/>
        <v>0</v>
      </c>
      <c r="AS29" s="214">
        <f t="shared" si="30"/>
        <v>0</v>
      </c>
      <c r="AT29" s="214">
        <f t="shared" si="30"/>
        <v>0</v>
      </c>
      <c r="AU29" s="214">
        <f t="shared" si="30"/>
        <v>0</v>
      </c>
      <c r="AV29" s="214">
        <f t="shared" si="30"/>
        <v>0</v>
      </c>
      <c r="AW29" s="214">
        <f t="shared" si="30"/>
        <v>0</v>
      </c>
      <c r="AX29" s="214">
        <f t="shared" si="30"/>
        <v>0</v>
      </c>
      <c r="AY29" s="214">
        <f t="shared" si="30"/>
        <v>0</v>
      </c>
      <c r="AZ29" s="214">
        <f t="shared" si="30"/>
        <v>0</v>
      </c>
      <c r="BA29" s="214">
        <f t="shared" si="30"/>
        <v>0</v>
      </c>
      <c r="BB29" s="214">
        <f t="shared" si="30"/>
        <v>0</v>
      </c>
      <c r="BC29" s="214">
        <f t="shared" si="30"/>
        <v>0</v>
      </c>
      <c r="BD29" s="310">
        <f t="shared" si="30"/>
        <v>0</v>
      </c>
      <c r="BE29" s="214">
        <f t="shared" si="30"/>
        <v>0</v>
      </c>
      <c r="BF29" s="214">
        <f t="shared" si="30"/>
        <v>0</v>
      </c>
      <c r="BG29" s="214">
        <f t="shared" si="30"/>
        <v>0</v>
      </c>
      <c r="BH29" s="214">
        <f t="shared" si="30"/>
        <v>0</v>
      </c>
      <c r="BI29" s="214">
        <f t="shared" si="30"/>
        <v>0</v>
      </c>
      <c r="BJ29" s="214">
        <f t="shared" si="30"/>
        <v>0</v>
      </c>
      <c r="BK29" s="214">
        <f t="shared" si="30"/>
        <v>0</v>
      </c>
      <c r="BL29" s="214">
        <f t="shared" si="30"/>
        <v>0</v>
      </c>
      <c r="BM29" s="214">
        <f t="shared" si="30"/>
        <v>0</v>
      </c>
      <c r="BN29" s="214">
        <f t="shared" si="30"/>
        <v>0</v>
      </c>
      <c r="BO29" s="214">
        <f t="shared" si="30"/>
        <v>0</v>
      </c>
      <c r="BP29" s="714">
        <f t="shared" si="30"/>
        <v>0</v>
      </c>
    </row>
    <row r="30" spans="2:71" s="418" customFormat="1" ht="12" customHeight="1">
      <c r="B30" s="425" t="s">
        <v>317</v>
      </c>
      <c r="C30" s="765"/>
      <c r="D30" s="766"/>
      <c r="E30" s="767">
        <f t="shared" ref="E30:AJ30" si="31">SUM(E19:E29)</f>
        <v>5309435</v>
      </c>
      <c r="F30" s="767">
        <f t="shared" si="31"/>
        <v>18721291.880200535</v>
      </c>
      <c r="G30" s="768">
        <f t="shared" si="31"/>
        <v>24030726.880200535</v>
      </c>
      <c r="H30" s="847">
        <f t="shared" si="31"/>
        <v>5309435</v>
      </c>
      <c r="I30" s="767">
        <f t="shared" si="31"/>
        <v>33333.333333333336</v>
      </c>
      <c r="J30" s="767">
        <f t="shared" si="31"/>
        <v>33333.333333333336</v>
      </c>
      <c r="K30" s="767">
        <f t="shared" si="31"/>
        <v>33333.333333333336</v>
      </c>
      <c r="L30" s="767">
        <f t="shared" si="31"/>
        <v>33333.333333333336</v>
      </c>
      <c r="M30" s="767">
        <f t="shared" si="31"/>
        <v>33333.333333333336</v>
      </c>
      <c r="N30" s="767">
        <f t="shared" si="31"/>
        <v>33333.333333333336</v>
      </c>
      <c r="O30" s="767">
        <f t="shared" si="31"/>
        <v>1249529.642857143</v>
      </c>
      <c r="P30" s="767">
        <f t="shared" si="31"/>
        <v>1249529.642857143</v>
      </c>
      <c r="Q30" s="767">
        <f t="shared" si="31"/>
        <v>1249529.642857143</v>
      </c>
      <c r="R30" s="767">
        <f t="shared" si="31"/>
        <v>1255340.98599402</v>
      </c>
      <c r="S30" s="767">
        <f t="shared" si="31"/>
        <v>1263770.6413692234</v>
      </c>
      <c r="T30" s="727">
        <f t="shared" si="31"/>
        <v>1272286.613078279</v>
      </c>
      <c r="U30" s="767">
        <f t="shared" si="31"/>
        <v>1280454.2912552697</v>
      </c>
      <c r="V30" s="767">
        <f t="shared" si="31"/>
        <v>1288603.6647020152</v>
      </c>
      <c r="W30" s="767">
        <f t="shared" si="31"/>
        <v>1296791.3005424456</v>
      </c>
      <c r="X30" s="767">
        <f t="shared" si="31"/>
        <v>1304930.2717527072</v>
      </c>
      <c r="Y30" s="767">
        <f t="shared" si="31"/>
        <v>1334837.9005813557</v>
      </c>
      <c r="Z30" s="767">
        <f t="shared" si="31"/>
        <v>1343088.4114563039</v>
      </c>
      <c r="AA30" s="767">
        <f t="shared" si="31"/>
        <v>1351351.336258457</v>
      </c>
      <c r="AB30" s="767">
        <f t="shared" si="31"/>
        <v>1359601.7629117081</v>
      </c>
      <c r="AC30" s="767">
        <f t="shared" si="31"/>
        <v>129112.16029969226</v>
      </c>
      <c r="AD30" s="767">
        <f t="shared" si="31"/>
        <v>97709.922027372857</v>
      </c>
      <c r="AE30" s="767">
        <f t="shared" si="31"/>
        <v>97353.285613242246</v>
      </c>
      <c r="AF30" s="727">
        <f t="shared" si="31"/>
        <v>97470.40378702624</v>
      </c>
      <c r="AG30" s="767">
        <f t="shared" si="31"/>
        <v>0</v>
      </c>
      <c r="AH30" s="767">
        <f t="shared" si="31"/>
        <v>0</v>
      </c>
      <c r="AI30" s="767">
        <f t="shared" si="31"/>
        <v>0</v>
      </c>
      <c r="AJ30" s="767">
        <f t="shared" si="31"/>
        <v>0</v>
      </c>
      <c r="AK30" s="767">
        <f t="shared" ref="AK30:BP30" si="32">SUM(AK19:AK29)</f>
        <v>0</v>
      </c>
      <c r="AL30" s="767">
        <f t="shared" si="32"/>
        <v>0</v>
      </c>
      <c r="AM30" s="767">
        <f t="shared" si="32"/>
        <v>0</v>
      </c>
      <c r="AN30" s="767">
        <f t="shared" si="32"/>
        <v>0</v>
      </c>
      <c r="AO30" s="1092">
        <f t="shared" si="32"/>
        <v>0</v>
      </c>
      <c r="AP30" s="767">
        <f t="shared" si="32"/>
        <v>0</v>
      </c>
      <c r="AQ30" s="1092">
        <f t="shared" si="32"/>
        <v>0</v>
      </c>
      <c r="AR30" s="727">
        <f t="shared" si="32"/>
        <v>0</v>
      </c>
      <c r="AS30" s="769">
        <f t="shared" si="32"/>
        <v>0</v>
      </c>
      <c r="AT30" s="769">
        <f t="shared" si="32"/>
        <v>0</v>
      </c>
      <c r="AU30" s="769">
        <f t="shared" si="32"/>
        <v>0</v>
      </c>
      <c r="AV30" s="769">
        <f t="shared" si="32"/>
        <v>0</v>
      </c>
      <c r="AW30" s="769">
        <f t="shared" si="32"/>
        <v>0</v>
      </c>
      <c r="AX30" s="769">
        <f t="shared" si="32"/>
        <v>0</v>
      </c>
      <c r="AY30" s="769">
        <f t="shared" si="32"/>
        <v>0</v>
      </c>
      <c r="AZ30" s="769">
        <f t="shared" si="32"/>
        <v>0</v>
      </c>
      <c r="BA30" s="769">
        <f t="shared" si="32"/>
        <v>0</v>
      </c>
      <c r="BB30" s="769">
        <f t="shared" si="32"/>
        <v>0</v>
      </c>
      <c r="BC30" s="769">
        <f t="shared" si="32"/>
        <v>0</v>
      </c>
      <c r="BD30" s="770">
        <f t="shared" si="32"/>
        <v>0</v>
      </c>
      <c r="BE30" s="769">
        <f t="shared" si="32"/>
        <v>0</v>
      </c>
      <c r="BF30" s="769">
        <f t="shared" si="32"/>
        <v>0</v>
      </c>
      <c r="BG30" s="769">
        <f t="shared" si="32"/>
        <v>0</v>
      </c>
      <c r="BH30" s="769">
        <f t="shared" si="32"/>
        <v>0</v>
      </c>
      <c r="BI30" s="769">
        <f t="shared" si="32"/>
        <v>0</v>
      </c>
      <c r="BJ30" s="769">
        <f t="shared" si="32"/>
        <v>0</v>
      </c>
      <c r="BK30" s="769">
        <f t="shared" si="32"/>
        <v>0</v>
      </c>
      <c r="BL30" s="769">
        <f t="shared" si="32"/>
        <v>0</v>
      </c>
      <c r="BM30" s="769">
        <f t="shared" si="32"/>
        <v>0</v>
      </c>
      <c r="BN30" s="769">
        <f t="shared" si="32"/>
        <v>0</v>
      </c>
      <c r="BO30" s="769">
        <f t="shared" si="32"/>
        <v>0</v>
      </c>
      <c r="BP30" s="771">
        <f t="shared" si="32"/>
        <v>0</v>
      </c>
      <c r="BQ30" s="913"/>
      <c r="BR30" s="913"/>
      <c r="BS30" s="913"/>
    </row>
    <row r="31" spans="2:71" s="244" customFormat="1" ht="12" customHeight="1">
      <c r="B31" s="249"/>
      <c r="C31" s="206" t="s">
        <v>462</v>
      </c>
      <c r="D31" s="712"/>
      <c r="E31" s="780">
        <f>H31</f>
        <v>0</v>
      </c>
      <c r="F31" s="214">
        <f t="shared" ref="F31" si="33">SUM(I31:AN31)</f>
        <v>-94333.685716624997</v>
      </c>
      <c r="G31" s="785">
        <f t="shared" ref="G31:AL31" si="34">-G13</f>
        <v>-94333.685716624997</v>
      </c>
      <c r="H31" s="848">
        <f t="shared" si="34"/>
        <v>0</v>
      </c>
      <c r="I31" s="781">
        <f t="shared" si="34"/>
        <v>0</v>
      </c>
      <c r="J31" s="781">
        <f t="shared" si="34"/>
        <v>0</v>
      </c>
      <c r="K31" s="781">
        <f t="shared" si="34"/>
        <v>0</v>
      </c>
      <c r="L31" s="781">
        <f t="shared" si="34"/>
        <v>0</v>
      </c>
      <c r="M31" s="781">
        <f t="shared" si="34"/>
        <v>0</v>
      </c>
      <c r="N31" s="781">
        <f t="shared" si="34"/>
        <v>0</v>
      </c>
      <c r="O31" s="781">
        <f t="shared" si="34"/>
        <v>0</v>
      </c>
      <c r="P31" s="781">
        <f t="shared" si="34"/>
        <v>0</v>
      </c>
      <c r="Q31" s="781">
        <f t="shared" si="34"/>
        <v>0</v>
      </c>
      <c r="R31" s="781">
        <f t="shared" si="34"/>
        <v>0</v>
      </c>
      <c r="S31" s="781">
        <f t="shared" si="34"/>
        <v>0</v>
      </c>
      <c r="T31" s="782">
        <f t="shared" si="34"/>
        <v>0</v>
      </c>
      <c r="U31" s="781">
        <f t="shared" si="34"/>
        <v>0</v>
      </c>
      <c r="V31" s="781">
        <f t="shared" si="34"/>
        <v>0</v>
      </c>
      <c r="W31" s="781">
        <f t="shared" si="34"/>
        <v>0</v>
      </c>
      <c r="X31" s="781">
        <f t="shared" si="34"/>
        <v>0</v>
      </c>
      <c r="Y31" s="781">
        <f t="shared" si="34"/>
        <v>0</v>
      </c>
      <c r="Z31" s="781">
        <f t="shared" si="34"/>
        <v>0</v>
      </c>
      <c r="AA31" s="781">
        <f t="shared" si="34"/>
        <v>0</v>
      </c>
      <c r="AB31" s="781">
        <f t="shared" si="34"/>
        <v>0</v>
      </c>
      <c r="AC31" s="781">
        <f t="shared" si="34"/>
        <v>0</v>
      </c>
      <c r="AD31" s="781">
        <f t="shared" si="34"/>
        <v>0</v>
      </c>
      <c r="AE31" s="781">
        <f t="shared" si="34"/>
        <v>-31226.532987024999</v>
      </c>
      <c r="AF31" s="782">
        <f t="shared" si="34"/>
        <v>-63107.152729599999</v>
      </c>
      <c r="AG31" s="781">
        <f t="shared" si="34"/>
        <v>0</v>
      </c>
      <c r="AH31" s="781">
        <f t="shared" si="34"/>
        <v>0</v>
      </c>
      <c r="AI31" s="781">
        <f t="shared" si="34"/>
        <v>0</v>
      </c>
      <c r="AJ31" s="781">
        <f t="shared" si="34"/>
        <v>0</v>
      </c>
      <c r="AK31" s="781">
        <f t="shared" si="34"/>
        <v>0</v>
      </c>
      <c r="AL31" s="781">
        <f t="shared" si="34"/>
        <v>0</v>
      </c>
      <c r="AM31" s="781">
        <f t="shared" ref="AM31:BP31" si="35">-AM13</f>
        <v>0</v>
      </c>
      <c r="AN31" s="781">
        <f t="shared" si="35"/>
        <v>0</v>
      </c>
      <c r="AO31" s="781">
        <f t="shared" si="35"/>
        <v>0</v>
      </c>
      <c r="AP31" s="781">
        <f t="shared" si="35"/>
        <v>0</v>
      </c>
      <c r="AQ31" s="781">
        <f t="shared" si="35"/>
        <v>0</v>
      </c>
      <c r="AR31" s="782">
        <f t="shared" si="35"/>
        <v>0</v>
      </c>
      <c r="AS31" s="222">
        <f t="shared" si="35"/>
        <v>0</v>
      </c>
      <c r="AT31" s="222">
        <f t="shared" si="35"/>
        <v>0</v>
      </c>
      <c r="AU31" s="222">
        <f t="shared" si="35"/>
        <v>0</v>
      </c>
      <c r="AV31" s="222">
        <f t="shared" si="35"/>
        <v>0</v>
      </c>
      <c r="AW31" s="222">
        <f t="shared" si="35"/>
        <v>0</v>
      </c>
      <c r="AX31" s="222">
        <f t="shared" si="35"/>
        <v>0</v>
      </c>
      <c r="AY31" s="222">
        <f t="shared" si="35"/>
        <v>0</v>
      </c>
      <c r="AZ31" s="222">
        <f t="shared" si="35"/>
        <v>0</v>
      </c>
      <c r="BA31" s="222">
        <f t="shared" si="35"/>
        <v>0</v>
      </c>
      <c r="BB31" s="222">
        <f t="shared" si="35"/>
        <v>0</v>
      </c>
      <c r="BC31" s="222">
        <f t="shared" si="35"/>
        <v>0</v>
      </c>
      <c r="BD31" s="783">
        <f t="shared" si="35"/>
        <v>0</v>
      </c>
      <c r="BE31" s="222">
        <f t="shared" si="35"/>
        <v>0</v>
      </c>
      <c r="BF31" s="222">
        <f t="shared" si="35"/>
        <v>0</v>
      </c>
      <c r="BG31" s="222">
        <f t="shared" si="35"/>
        <v>0</v>
      </c>
      <c r="BH31" s="222">
        <f t="shared" si="35"/>
        <v>0</v>
      </c>
      <c r="BI31" s="222">
        <f t="shared" si="35"/>
        <v>0</v>
      </c>
      <c r="BJ31" s="222">
        <f t="shared" si="35"/>
        <v>0</v>
      </c>
      <c r="BK31" s="222">
        <f t="shared" si="35"/>
        <v>0</v>
      </c>
      <c r="BL31" s="222">
        <f t="shared" si="35"/>
        <v>0</v>
      </c>
      <c r="BM31" s="222">
        <f t="shared" si="35"/>
        <v>0</v>
      </c>
      <c r="BN31" s="222">
        <f t="shared" si="35"/>
        <v>0</v>
      </c>
      <c r="BO31" s="222">
        <f t="shared" si="35"/>
        <v>0</v>
      </c>
      <c r="BP31" s="784">
        <f t="shared" si="35"/>
        <v>0</v>
      </c>
      <c r="BQ31" s="206"/>
      <c r="BR31" s="206"/>
      <c r="BS31" s="206"/>
    </row>
    <row r="32" spans="2:71" s="244" customFormat="1" ht="12" customHeight="1" thickBot="1">
      <c r="B32" s="772" t="s">
        <v>463</v>
      </c>
      <c r="C32" s="441"/>
      <c r="D32" s="773"/>
      <c r="E32" s="774">
        <f>H32</f>
        <v>5309435</v>
      </c>
      <c r="F32" s="774"/>
      <c r="G32" s="775">
        <f>SUM(G30:G31)</f>
        <v>23936393.19448391</v>
      </c>
      <c r="H32" s="849">
        <f>SUM(H30:H31)</f>
        <v>5309435</v>
      </c>
      <c r="I32" s="774">
        <f t="shared" ref="I32:BP32" si="36">SUM(I30:I31)</f>
        <v>33333.333333333336</v>
      </c>
      <c r="J32" s="774">
        <f t="shared" si="36"/>
        <v>33333.333333333336</v>
      </c>
      <c r="K32" s="774">
        <f t="shared" si="36"/>
        <v>33333.333333333336</v>
      </c>
      <c r="L32" s="774">
        <f t="shared" si="36"/>
        <v>33333.333333333336</v>
      </c>
      <c r="M32" s="774">
        <f t="shared" si="36"/>
        <v>33333.333333333336</v>
      </c>
      <c r="N32" s="774">
        <f t="shared" si="36"/>
        <v>33333.333333333336</v>
      </c>
      <c r="O32" s="774">
        <f t="shared" si="36"/>
        <v>1249529.642857143</v>
      </c>
      <c r="P32" s="774">
        <f t="shared" si="36"/>
        <v>1249529.642857143</v>
      </c>
      <c r="Q32" s="774">
        <f t="shared" si="36"/>
        <v>1249529.642857143</v>
      </c>
      <c r="R32" s="774">
        <f t="shared" si="36"/>
        <v>1255340.98599402</v>
      </c>
      <c r="S32" s="774">
        <f t="shared" si="36"/>
        <v>1263770.6413692234</v>
      </c>
      <c r="T32" s="776">
        <f t="shared" si="36"/>
        <v>1272286.613078279</v>
      </c>
      <c r="U32" s="774">
        <f t="shared" si="36"/>
        <v>1280454.2912552697</v>
      </c>
      <c r="V32" s="774">
        <f t="shared" si="36"/>
        <v>1288603.6647020152</v>
      </c>
      <c r="W32" s="774">
        <f t="shared" si="36"/>
        <v>1296791.3005424456</v>
      </c>
      <c r="X32" s="774">
        <f t="shared" si="36"/>
        <v>1304930.2717527072</v>
      </c>
      <c r="Y32" s="774">
        <f t="shared" si="36"/>
        <v>1334837.9005813557</v>
      </c>
      <c r="Z32" s="774">
        <f t="shared" si="36"/>
        <v>1343088.4114563039</v>
      </c>
      <c r="AA32" s="774">
        <f t="shared" si="36"/>
        <v>1351351.336258457</v>
      </c>
      <c r="AB32" s="774">
        <f t="shared" si="36"/>
        <v>1359601.7629117081</v>
      </c>
      <c r="AC32" s="774">
        <f t="shared" si="36"/>
        <v>129112.16029969226</v>
      </c>
      <c r="AD32" s="774">
        <f t="shared" si="36"/>
        <v>97709.922027372857</v>
      </c>
      <c r="AE32" s="774">
        <f t="shared" si="36"/>
        <v>66126.752626217247</v>
      </c>
      <c r="AF32" s="776">
        <f t="shared" si="36"/>
        <v>34363.251057426241</v>
      </c>
      <c r="AG32" s="774">
        <f t="shared" si="36"/>
        <v>0</v>
      </c>
      <c r="AH32" s="774">
        <f t="shared" si="36"/>
        <v>0</v>
      </c>
      <c r="AI32" s="774">
        <f t="shared" si="36"/>
        <v>0</v>
      </c>
      <c r="AJ32" s="774">
        <f t="shared" si="36"/>
        <v>0</v>
      </c>
      <c r="AK32" s="774">
        <f t="shared" si="36"/>
        <v>0</v>
      </c>
      <c r="AL32" s="774">
        <f t="shared" si="36"/>
        <v>0</v>
      </c>
      <c r="AM32" s="774">
        <f t="shared" si="36"/>
        <v>0</v>
      </c>
      <c r="AN32" s="774">
        <f t="shared" si="36"/>
        <v>0</v>
      </c>
      <c r="AO32" s="774">
        <f t="shared" si="36"/>
        <v>0</v>
      </c>
      <c r="AP32" s="774">
        <f t="shared" si="36"/>
        <v>0</v>
      </c>
      <c r="AQ32" s="774">
        <f t="shared" si="36"/>
        <v>0</v>
      </c>
      <c r="AR32" s="776">
        <f t="shared" si="36"/>
        <v>0</v>
      </c>
      <c r="AS32" s="777">
        <f t="shared" si="36"/>
        <v>0</v>
      </c>
      <c r="AT32" s="777">
        <f t="shared" si="36"/>
        <v>0</v>
      </c>
      <c r="AU32" s="777">
        <f t="shared" si="36"/>
        <v>0</v>
      </c>
      <c r="AV32" s="777">
        <f t="shared" si="36"/>
        <v>0</v>
      </c>
      <c r="AW32" s="777">
        <f t="shared" si="36"/>
        <v>0</v>
      </c>
      <c r="AX32" s="777">
        <f t="shared" si="36"/>
        <v>0</v>
      </c>
      <c r="AY32" s="777">
        <f t="shared" si="36"/>
        <v>0</v>
      </c>
      <c r="AZ32" s="777">
        <f t="shared" si="36"/>
        <v>0</v>
      </c>
      <c r="BA32" s="777">
        <f t="shared" si="36"/>
        <v>0</v>
      </c>
      <c r="BB32" s="777">
        <f t="shared" si="36"/>
        <v>0</v>
      </c>
      <c r="BC32" s="777">
        <f t="shared" si="36"/>
        <v>0</v>
      </c>
      <c r="BD32" s="778">
        <f t="shared" si="36"/>
        <v>0</v>
      </c>
      <c r="BE32" s="777">
        <f t="shared" si="36"/>
        <v>0</v>
      </c>
      <c r="BF32" s="777">
        <f t="shared" si="36"/>
        <v>0</v>
      </c>
      <c r="BG32" s="777">
        <f t="shared" si="36"/>
        <v>0</v>
      </c>
      <c r="BH32" s="777">
        <f t="shared" si="36"/>
        <v>0</v>
      </c>
      <c r="BI32" s="777">
        <f t="shared" si="36"/>
        <v>0</v>
      </c>
      <c r="BJ32" s="777">
        <f t="shared" si="36"/>
        <v>0</v>
      </c>
      <c r="BK32" s="777">
        <f t="shared" si="36"/>
        <v>0</v>
      </c>
      <c r="BL32" s="777">
        <f t="shared" si="36"/>
        <v>0</v>
      </c>
      <c r="BM32" s="777">
        <f t="shared" si="36"/>
        <v>0</v>
      </c>
      <c r="BN32" s="777">
        <f t="shared" si="36"/>
        <v>0</v>
      </c>
      <c r="BO32" s="777">
        <f t="shared" si="36"/>
        <v>0</v>
      </c>
      <c r="BP32" s="779">
        <f t="shared" si="36"/>
        <v>0</v>
      </c>
      <c r="BQ32" s="206"/>
      <c r="BR32" s="206"/>
      <c r="BS32" s="206"/>
    </row>
    <row r="33" spans="2:68" ht="12" customHeight="1" thickBot="1">
      <c r="B33" s="218"/>
      <c r="C33" s="206" t="s">
        <v>420</v>
      </c>
      <c r="D33" s="410"/>
      <c r="G33" s="410"/>
      <c r="H33" s="899">
        <f>'Forward Rate'!G6</f>
        <v>5.3053299999999998E-2</v>
      </c>
      <c r="I33" s="225">
        <f>'Forward Rate'!H6</f>
        <v>5.23577E-2</v>
      </c>
      <c r="J33" s="225">
        <f>'Forward Rate'!I6</f>
        <v>5.1802099999999997E-2</v>
      </c>
      <c r="K33" s="225">
        <f>'Forward Rate'!J6</f>
        <v>5.1267800000000002E-2</v>
      </c>
      <c r="L33" s="225">
        <f>'Forward Rate'!K6</f>
        <v>4.9621800000000001E-2</v>
      </c>
      <c r="M33" s="225">
        <f>'Forward Rate'!L6</f>
        <v>4.9312799999999997E-2</v>
      </c>
      <c r="N33" s="225">
        <f>'Forward Rate'!M6</f>
        <v>4.9302699999999998E-2</v>
      </c>
      <c r="O33" s="225">
        <f>'Forward Rate'!N6</f>
        <v>4.7426900000000001E-2</v>
      </c>
      <c r="P33" s="225">
        <f>'Forward Rate'!O6</f>
        <v>4.69083E-2</v>
      </c>
      <c r="Q33" s="225">
        <f>'Forward Rate'!P6</f>
        <v>4.6911300000000003E-2</v>
      </c>
      <c r="R33" s="225">
        <f>'Forward Rate'!Q6</f>
        <v>4.5161899999999998E-2</v>
      </c>
      <c r="S33" s="225">
        <f>'Forward Rate'!R6</f>
        <v>4.4754799999999997E-2</v>
      </c>
      <c r="T33" s="313">
        <f>'Forward Rate'!S6</f>
        <v>4.4754799999999997E-2</v>
      </c>
      <c r="U33" s="225">
        <f>'Forward Rate'!T6</f>
        <v>4.37221E-2</v>
      </c>
      <c r="V33" s="225">
        <f>'Forward Rate'!U6</f>
        <v>4.2988999999999999E-2</v>
      </c>
      <c r="W33" s="225">
        <f>'Forward Rate'!V6</f>
        <v>4.2491500000000001E-2</v>
      </c>
      <c r="X33" s="225">
        <f>'Forward Rate'!W6</f>
        <v>4.2002900000000003E-2</v>
      </c>
      <c r="Y33" s="225">
        <f>'Forward Rate'!X6</f>
        <v>4.1544400000000002E-2</v>
      </c>
      <c r="Z33" s="225">
        <f>'Forward Rate'!Y6</f>
        <v>4.1138800000000003E-2</v>
      </c>
      <c r="AA33" s="225">
        <f>'Forward Rate'!Z6</f>
        <v>4.0781600000000001E-2</v>
      </c>
      <c r="AB33" s="225">
        <f>'Forward Rate'!AA6</f>
        <v>4.0438000000000002E-2</v>
      </c>
      <c r="AC33" s="225">
        <f>'Forward Rate'!AB6</f>
        <v>4.0155999999999997E-2</v>
      </c>
      <c r="AD33" s="225">
        <f>'Forward Rate'!AC6</f>
        <v>3.9892499999999997E-2</v>
      </c>
      <c r="AE33" s="225">
        <f>'Forward Rate'!AD6</f>
        <v>3.9646500000000001E-2</v>
      </c>
      <c r="AF33" s="313">
        <f>'Forward Rate'!AE6</f>
        <v>3.9417500000000001E-2</v>
      </c>
      <c r="AG33" s="225">
        <f>'Forward Rate'!AF6</f>
        <v>3.9186800000000001E-2</v>
      </c>
      <c r="AH33" s="225">
        <f>'Forward Rate'!AG6</f>
        <v>3.8990999999999998E-2</v>
      </c>
      <c r="AI33" s="225">
        <f>'Forward Rate'!AH6</f>
        <v>3.8800500000000002E-2</v>
      </c>
      <c r="AJ33" s="225">
        <f>'Forward Rate'!AI6</f>
        <v>3.8612399999999998E-2</v>
      </c>
      <c r="AK33" s="225">
        <f>'Forward Rate'!AJ6</f>
        <v>3.8452699999999999E-2</v>
      </c>
      <c r="AL33" s="225">
        <f>'Forward Rate'!AK6</f>
        <v>3.8295500000000003E-2</v>
      </c>
      <c r="AM33" s="225">
        <f>'Forward Rate'!AL6</f>
        <v>3.81622E-2</v>
      </c>
      <c r="AN33" s="225">
        <f>'Forward Rate'!AM6</f>
        <v>3.8027999999999999E-2</v>
      </c>
      <c r="AO33" s="225">
        <f>'Forward Rate'!AN6</f>
        <v>3.7910600000000003E-2</v>
      </c>
      <c r="AP33" s="225">
        <f>'Forward Rate'!AO6</f>
        <v>3.7793500000000001E-2</v>
      </c>
      <c r="AQ33" s="225">
        <f>'Forward Rate'!AP6</f>
        <v>3.7703500000000001E-2</v>
      </c>
      <c r="AR33" s="313">
        <f>'Forward Rate'!AQ6</f>
        <v>3.7612600000000003E-2</v>
      </c>
      <c r="AS33" s="225">
        <f>'Forward Rate'!AR6</f>
        <v>3.75261E-2</v>
      </c>
      <c r="AT33" s="225">
        <f>'Forward Rate'!AS6</f>
        <v>3.7457699999999997E-2</v>
      </c>
      <c r="AU33" s="225">
        <f>'Forward Rate'!AT6</f>
        <v>3.7392399999999999E-2</v>
      </c>
      <c r="AV33" s="225">
        <f>'Forward Rate'!AU6</f>
        <v>3.7336000000000001E-2</v>
      </c>
      <c r="AW33" s="225">
        <f>'Forward Rate'!AV6</f>
        <v>3.7292400000000003E-2</v>
      </c>
      <c r="AX33" s="225">
        <f>'Forward Rate'!AW6</f>
        <v>3.7245899999999998E-2</v>
      </c>
      <c r="AY33" s="225">
        <f>'Forward Rate'!AX6</f>
        <v>3.7221600000000001E-2</v>
      </c>
      <c r="AZ33" s="225">
        <f>'Forward Rate'!AY6</f>
        <v>3.71989E-2</v>
      </c>
      <c r="BA33" s="225">
        <f>'Forward Rate'!AZ6</f>
        <v>3.71878E-2</v>
      </c>
      <c r="BB33" s="225">
        <f>'Forward Rate'!BA6</f>
        <v>3.71808E-2</v>
      </c>
      <c r="BC33" s="225">
        <f>'Forward Rate'!BB6</f>
        <v>3.7186499999999997E-2</v>
      </c>
      <c r="BD33" s="313">
        <f>'Forward Rate'!BC6</f>
        <v>3.7187199999999997E-2</v>
      </c>
      <c r="BE33" s="225">
        <f>'Forward Rate'!BD6</f>
        <v>3.7193299999999999E-2</v>
      </c>
      <c r="BF33" s="225">
        <f>'Forward Rate'!BE6</f>
        <v>3.7210199999999999E-2</v>
      </c>
      <c r="BG33" s="225">
        <f>'Forward Rate'!BF6</f>
        <v>3.7223699999999998E-2</v>
      </c>
      <c r="BH33" s="225">
        <f>'Forward Rate'!BG6</f>
        <v>3.7246300000000003E-2</v>
      </c>
      <c r="BI33" s="225">
        <f>'Forward Rate'!BH6</f>
        <v>3.7272300000000001E-2</v>
      </c>
      <c r="BJ33" s="225">
        <f>'Forward Rate'!BI6</f>
        <v>3.7295300000000003E-2</v>
      </c>
      <c r="BK33" s="225">
        <f>'Forward Rate'!BJ6</f>
        <v>3.7333999999999999E-2</v>
      </c>
      <c r="BL33" s="225">
        <f>'Forward Rate'!BK6</f>
        <v>3.7375400000000003E-2</v>
      </c>
      <c r="BM33" s="225">
        <f>'Forward Rate'!BL6</f>
        <v>3.7417499999999999E-2</v>
      </c>
      <c r="BN33" s="225">
        <f>'Forward Rate'!BM6</f>
        <v>3.7458400000000003E-2</v>
      </c>
      <c r="BO33" s="225">
        <f>'Forward Rate'!BN6</f>
        <v>3.7508699999999999E-2</v>
      </c>
      <c r="BP33" s="724">
        <f>'Forward Rate'!BO6</f>
        <v>3.7552599999999998E-2</v>
      </c>
    </row>
    <row r="34" spans="2:68" ht="12" customHeight="1" thickBot="1">
      <c r="B34" s="218"/>
      <c r="C34" s="206" t="s">
        <v>311</v>
      </c>
      <c r="D34" s="410"/>
      <c r="G34" s="410"/>
      <c r="H34" s="226">
        <v>0.03</v>
      </c>
      <c r="I34" s="227">
        <f t="shared" ref="I34:AN34" si="37">$H$34</f>
        <v>0.03</v>
      </c>
      <c r="J34" s="227">
        <f t="shared" si="37"/>
        <v>0.03</v>
      </c>
      <c r="K34" s="227">
        <f t="shared" si="37"/>
        <v>0.03</v>
      </c>
      <c r="L34" s="227">
        <f t="shared" si="37"/>
        <v>0.03</v>
      </c>
      <c r="M34" s="227">
        <f t="shared" si="37"/>
        <v>0.03</v>
      </c>
      <c r="N34" s="227">
        <f t="shared" si="37"/>
        <v>0.03</v>
      </c>
      <c r="O34" s="227">
        <f t="shared" si="37"/>
        <v>0.03</v>
      </c>
      <c r="P34" s="227">
        <f t="shared" si="37"/>
        <v>0.03</v>
      </c>
      <c r="Q34" s="227">
        <f t="shared" si="37"/>
        <v>0.03</v>
      </c>
      <c r="R34" s="227">
        <f t="shared" si="37"/>
        <v>0.03</v>
      </c>
      <c r="S34" s="227">
        <f t="shared" si="37"/>
        <v>0.03</v>
      </c>
      <c r="T34" s="314">
        <f t="shared" si="37"/>
        <v>0.03</v>
      </c>
      <c r="U34" s="227">
        <f t="shared" si="37"/>
        <v>0.03</v>
      </c>
      <c r="V34" s="227">
        <f t="shared" si="37"/>
        <v>0.03</v>
      </c>
      <c r="W34" s="227">
        <f t="shared" si="37"/>
        <v>0.03</v>
      </c>
      <c r="X34" s="227">
        <f t="shared" si="37"/>
        <v>0.03</v>
      </c>
      <c r="Y34" s="227">
        <f t="shared" si="37"/>
        <v>0.03</v>
      </c>
      <c r="Z34" s="227">
        <f t="shared" si="37"/>
        <v>0.03</v>
      </c>
      <c r="AA34" s="227">
        <f t="shared" si="37"/>
        <v>0.03</v>
      </c>
      <c r="AB34" s="227">
        <f t="shared" si="37"/>
        <v>0.03</v>
      </c>
      <c r="AC34" s="227">
        <f t="shared" si="37"/>
        <v>0.03</v>
      </c>
      <c r="AD34" s="227">
        <f t="shared" si="37"/>
        <v>0.03</v>
      </c>
      <c r="AE34" s="227">
        <f t="shared" si="37"/>
        <v>0.03</v>
      </c>
      <c r="AF34" s="314">
        <f t="shared" si="37"/>
        <v>0.03</v>
      </c>
      <c r="AG34" s="227">
        <f t="shared" si="37"/>
        <v>0.03</v>
      </c>
      <c r="AH34" s="227">
        <f t="shared" si="37"/>
        <v>0.03</v>
      </c>
      <c r="AI34" s="227">
        <f t="shared" si="37"/>
        <v>0.03</v>
      </c>
      <c r="AJ34" s="227">
        <f t="shared" si="37"/>
        <v>0.03</v>
      </c>
      <c r="AK34" s="227">
        <f t="shared" si="37"/>
        <v>0.03</v>
      </c>
      <c r="AL34" s="227">
        <f t="shared" si="37"/>
        <v>0.03</v>
      </c>
      <c r="AM34" s="227">
        <f t="shared" si="37"/>
        <v>0.03</v>
      </c>
      <c r="AN34" s="227">
        <f t="shared" si="37"/>
        <v>0.03</v>
      </c>
      <c r="AO34" s="227">
        <f t="shared" ref="AO34:BP34" si="38">$H$34</f>
        <v>0.03</v>
      </c>
      <c r="AP34" s="227">
        <f t="shared" si="38"/>
        <v>0.03</v>
      </c>
      <c r="AQ34" s="227">
        <f t="shared" si="38"/>
        <v>0.03</v>
      </c>
      <c r="AR34" s="314">
        <f t="shared" si="38"/>
        <v>0.03</v>
      </c>
      <c r="AS34" s="227">
        <f t="shared" si="38"/>
        <v>0.03</v>
      </c>
      <c r="AT34" s="227">
        <f t="shared" si="38"/>
        <v>0.03</v>
      </c>
      <c r="AU34" s="227">
        <f t="shared" si="38"/>
        <v>0.03</v>
      </c>
      <c r="AV34" s="227">
        <f t="shared" si="38"/>
        <v>0.03</v>
      </c>
      <c r="AW34" s="227">
        <f t="shared" si="38"/>
        <v>0.03</v>
      </c>
      <c r="AX34" s="227">
        <f t="shared" si="38"/>
        <v>0.03</v>
      </c>
      <c r="AY34" s="227">
        <f t="shared" si="38"/>
        <v>0.03</v>
      </c>
      <c r="AZ34" s="227">
        <f t="shared" si="38"/>
        <v>0.03</v>
      </c>
      <c r="BA34" s="227">
        <f t="shared" si="38"/>
        <v>0.03</v>
      </c>
      <c r="BB34" s="227">
        <f t="shared" si="38"/>
        <v>0.03</v>
      </c>
      <c r="BC34" s="227">
        <f t="shared" si="38"/>
        <v>0.03</v>
      </c>
      <c r="BD34" s="314">
        <f t="shared" si="38"/>
        <v>0.03</v>
      </c>
      <c r="BE34" s="227">
        <f t="shared" si="38"/>
        <v>0.03</v>
      </c>
      <c r="BF34" s="227">
        <f t="shared" si="38"/>
        <v>0.03</v>
      </c>
      <c r="BG34" s="227">
        <f t="shared" si="38"/>
        <v>0.03</v>
      </c>
      <c r="BH34" s="227">
        <f t="shared" si="38"/>
        <v>0.03</v>
      </c>
      <c r="BI34" s="227">
        <f t="shared" si="38"/>
        <v>0.03</v>
      </c>
      <c r="BJ34" s="227">
        <f t="shared" si="38"/>
        <v>0.03</v>
      </c>
      <c r="BK34" s="227">
        <f t="shared" si="38"/>
        <v>0.03</v>
      </c>
      <c r="BL34" s="227">
        <f t="shared" si="38"/>
        <v>0.03</v>
      </c>
      <c r="BM34" s="227">
        <f t="shared" si="38"/>
        <v>0.03</v>
      </c>
      <c r="BN34" s="227">
        <f t="shared" si="38"/>
        <v>0.03</v>
      </c>
      <c r="BO34" s="227">
        <f t="shared" si="38"/>
        <v>0.03</v>
      </c>
      <c r="BP34" s="725">
        <f t="shared" si="38"/>
        <v>0.03</v>
      </c>
    </row>
    <row r="35" spans="2:68" ht="12" customHeight="1">
      <c r="B35" s="218"/>
      <c r="C35" s="206" t="s">
        <v>312</v>
      </c>
      <c r="D35" s="410"/>
      <c r="G35" s="410"/>
      <c r="H35" s="850">
        <f>H33+H34</f>
        <v>8.3053299999999997E-2</v>
      </c>
      <c r="I35" s="225">
        <f t="shared" ref="I35:AI35" si="39">I33+I34</f>
        <v>8.2357700000000006E-2</v>
      </c>
      <c r="J35" s="225">
        <f t="shared" si="39"/>
        <v>8.1802099999999989E-2</v>
      </c>
      <c r="K35" s="225">
        <f t="shared" si="39"/>
        <v>8.1267800000000001E-2</v>
      </c>
      <c r="L35" s="225">
        <f t="shared" si="39"/>
        <v>7.9621799999999993E-2</v>
      </c>
      <c r="M35" s="225">
        <f t="shared" si="39"/>
        <v>7.9312799999999989E-2</v>
      </c>
      <c r="N35" s="225">
        <f t="shared" si="39"/>
        <v>7.9302700000000004E-2</v>
      </c>
      <c r="O35" s="225">
        <f t="shared" si="39"/>
        <v>7.7426899999999993E-2</v>
      </c>
      <c r="P35" s="225">
        <f t="shared" si="39"/>
        <v>7.6908299999999999E-2</v>
      </c>
      <c r="Q35" s="225">
        <f t="shared" si="39"/>
        <v>7.6911300000000002E-2</v>
      </c>
      <c r="R35" s="225">
        <f t="shared" si="39"/>
        <v>7.5161900000000004E-2</v>
      </c>
      <c r="S35" s="225">
        <f t="shared" si="39"/>
        <v>7.4754799999999996E-2</v>
      </c>
      <c r="T35" s="313">
        <f t="shared" si="39"/>
        <v>7.4754799999999996E-2</v>
      </c>
      <c r="U35" s="225">
        <f t="shared" si="39"/>
        <v>7.3722099999999999E-2</v>
      </c>
      <c r="V35" s="225">
        <f t="shared" si="39"/>
        <v>7.2988999999999998E-2</v>
      </c>
      <c r="W35" s="225">
        <f t="shared" si="39"/>
        <v>7.24915E-2</v>
      </c>
      <c r="X35" s="225">
        <f t="shared" si="39"/>
        <v>7.2002900000000009E-2</v>
      </c>
      <c r="Y35" s="225">
        <f t="shared" si="39"/>
        <v>7.1544400000000008E-2</v>
      </c>
      <c r="Z35" s="225">
        <f t="shared" si="39"/>
        <v>7.1138800000000002E-2</v>
      </c>
      <c r="AA35" s="225">
        <f t="shared" si="39"/>
        <v>7.07816E-2</v>
      </c>
      <c r="AB35" s="225">
        <f t="shared" si="39"/>
        <v>7.0438000000000001E-2</v>
      </c>
      <c r="AC35" s="225">
        <f t="shared" si="39"/>
        <v>7.0155999999999996E-2</v>
      </c>
      <c r="AD35" s="225">
        <f t="shared" si="39"/>
        <v>6.9892499999999996E-2</v>
      </c>
      <c r="AE35" s="225">
        <f t="shared" si="39"/>
        <v>6.96465E-2</v>
      </c>
      <c r="AF35" s="313">
        <f t="shared" si="39"/>
        <v>6.9417499999999993E-2</v>
      </c>
      <c r="AG35" s="225">
        <f t="shared" si="39"/>
        <v>6.9186799999999993E-2</v>
      </c>
      <c r="AH35" s="225">
        <f t="shared" si="39"/>
        <v>6.8990999999999997E-2</v>
      </c>
      <c r="AI35" s="225">
        <f t="shared" si="39"/>
        <v>6.8800500000000001E-2</v>
      </c>
      <c r="AJ35" s="225">
        <f>AJ33+AJ34</f>
        <v>6.861239999999999E-2</v>
      </c>
      <c r="AK35" s="225">
        <f t="shared" ref="AK35:AQ35" si="40">AK33+AK34</f>
        <v>6.8452700000000005E-2</v>
      </c>
      <c r="AL35" s="225">
        <f t="shared" si="40"/>
        <v>6.8295500000000009E-2</v>
      </c>
      <c r="AM35" s="225">
        <f t="shared" si="40"/>
        <v>6.8162200000000006E-2</v>
      </c>
      <c r="AN35" s="225">
        <f t="shared" si="40"/>
        <v>6.8028000000000005E-2</v>
      </c>
      <c r="AO35" s="225">
        <f t="shared" si="40"/>
        <v>6.7910600000000002E-2</v>
      </c>
      <c r="AP35" s="225">
        <f t="shared" si="40"/>
        <v>6.7793500000000007E-2</v>
      </c>
      <c r="AQ35" s="225">
        <f t="shared" si="40"/>
        <v>6.77035E-2</v>
      </c>
      <c r="AR35" s="313">
        <f t="shared" ref="AR35:BP35" si="41">AR33+AR34</f>
        <v>6.7612599999999995E-2</v>
      </c>
      <c r="AS35" s="225">
        <f t="shared" si="41"/>
        <v>6.7526100000000006E-2</v>
      </c>
      <c r="AT35" s="225">
        <f t="shared" si="41"/>
        <v>6.7457699999999995E-2</v>
      </c>
      <c r="AU35" s="225">
        <f t="shared" si="41"/>
        <v>6.7392399999999991E-2</v>
      </c>
      <c r="AV35" s="225">
        <f t="shared" si="41"/>
        <v>6.7336000000000007E-2</v>
      </c>
      <c r="AW35" s="225">
        <f t="shared" si="41"/>
        <v>6.7292400000000002E-2</v>
      </c>
      <c r="AX35" s="225">
        <f t="shared" si="41"/>
        <v>6.7245899999999997E-2</v>
      </c>
      <c r="AY35" s="225">
        <f t="shared" si="41"/>
        <v>6.7221599999999992E-2</v>
      </c>
      <c r="AZ35" s="225">
        <f t="shared" si="41"/>
        <v>6.7198900000000006E-2</v>
      </c>
      <c r="BA35" s="225">
        <f t="shared" si="41"/>
        <v>6.7187799999999992E-2</v>
      </c>
      <c r="BB35" s="225">
        <f t="shared" si="41"/>
        <v>6.7180799999999999E-2</v>
      </c>
      <c r="BC35" s="225">
        <f t="shared" si="41"/>
        <v>6.7186499999999996E-2</v>
      </c>
      <c r="BD35" s="313">
        <f t="shared" si="41"/>
        <v>6.7187200000000002E-2</v>
      </c>
      <c r="BE35" s="225">
        <f t="shared" si="41"/>
        <v>6.7193299999999997E-2</v>
      </c>
      <c r="BF35" s="225">
        <f t="shared" si="41"/>
        <v>6.7210199999999998E-2</v>
      </c>
      <c r="BG35" s="225">
        <f t="shared" si="41"/>
        <v>6.7223699999999997E-2</v>
      </c>
      <c r="BH35" s="225">
        <f t="shared" si="41"/>
        <v>6.7246300000000009E-2</v>
      </c>
      <c r="BI35" s="225">
        <f t="shared" si="41"/>
        <v>6.7272300000000007E-2</v>
      </c>
      <c r="BJ35" s="225">
        <f t="shared" si="41"/>
        <v>6.7295300000000002E-2</v>
      </c>
      <c r="BK35" s="225">
        <f t="shared" si="41"/>
        <v>6.7334000000000005E-2</v>
      </c>
      <c r="BL35" s="225">
        <f t="shared" si="41"/>
        <v>6.7375400000000002E-2</v>
      </c>
      <c r="BM35" s="225">
        <f t="shared" si="41"/>
        <v>6.7417499999999991E-2</v>
      </c>
      <c r="BN35" s="225">
        <f t="shared" si="41"/>
        <v>6.7458400000000002E-2</v>
      </c>
      <c r="BO35" s="225">
        <f t="shared" si="41"/>
        <v>6.7508700000000005E-2</v>
      </c>
      <c r="BP35" s="724">
        <f t="shared" si="41"/>
        <v>6.755259999999999E-2</v>
      </c>
    </row>
    <row r="36" spans="2:68" ht="12" customHeight="1">
      <c r="B36" s="218"/>
      <c r="C36" s="206" t="s">
        <v>494</v>
      </c>
      <c r="D36" s="410"/>
      <c r="G36" s="410"/>
      <c r="H36" s="851">
        <f>H35-2%</f>
        <v>6.3053299999999993E-2</v>
      </c>
      <c r="I36" s="225">
        <f t="shared" ref="I36:AN36" si="42">$H$36</f>
        <v>6.3053299999999993E-2</v>
      </c>
      <c r="J36" s="225">
        <f t="shared" si="42"/>
        <v>6.3053299999999993E-2</v>
      </c>
      <c r="K36" s="225">
        <f t="shared" si="42"/>
        <v>6.3053299999999993E-2</v>
      </c>
      <c r="L36" s="225">
        <f t="shared" si="42"/>
        <v>6.3053299999999993E-2</v>
      </c>
      <c r="M36" s="225">
        <f t="shared" si="42"/>
        <v>6.3053299999999993E-2</v>
      </c>
      <c r="N36" s="225">
        <f t="shared" si="42"/>
        <v>6.3053299999999993E-2</v>
      </c>
      <c r="O36" s="225">
        <f t="shared" si="42"/>
        <v>6.3053299999999993E-2</v>
      </c>
      <c r="P36" s="225">
        <f t="shared" si="42"/>
        <v>6.3053299999999993E-2</v>
      </c>
      <c r="Q36" s="225">
        <f t="shared" si="42"/>
        <v>6.3053299999999993E-2</v>
      </c>
      <c r="R36" s="225">
        <f t="shared" si="42"/>
        <v>6.3053299999999993E-2</v>
      </c>
      <c r="S36" s="225">
        <f t="shared" si="42"/>
        <v>6.3053299999999993E-2</v>
      </c>
      <c r="T36" s="313">
        <f t="shared" si="42"/>
        <v>6.3053299999999993E-2</v>
      </c>
      <c r="U36" s="225">
        <f t="shared" si="42"/>
        <v>6.3053299999999993E-2</v>
      </c>
      <c r="V36" s="225">
        <f t="shared" si="42"/>
        <v>6.3053299999999993E-2</v>
      </c>
      <c r="W36" s="225">
        <f t="shared" si="42"/>
        <v>6.3053299999999993E-2</v>
      </c>
      <c r="X36" s="225">
        <f t="shared" si="42"/>
        <v>6.3053299999999993E-2</v>
      </c>
      <c r="Y36" s="225">
        <f t="shared" si="42"/>
        <v>6.3053299999999993E-2</v>
      </c>
      <c r="Z36" s="225">
        <f t="shared" si="42"/>
        <v>6.3053299999999993E-2</v>
      </c>
      <c r="AA36" s="225">
        <f t="shared" si="42"/>
        <v>6.3053299999999993E-2</v>
      </c>
      <c r="AB36" s="225">
        <f t="shared" si="42"/>
        <v>6.3053299999999993E-2</v>
      </c>
      <c r="AC36" s="225">
        <f t="shared" si="42"/>
        <v>6.3053299999999993E-2</v>
      </c>
      <c r="AD36" s="225">
        <f t="shared" si="42"/>
        <v>6.3053299999999993E-2</v>
      </c>
      <c r="AE36" s="225">
        <f t="shared" si="42"/>
        <v>6.3053299999999993E-2</v>
      </c>
      <c r="AF36" s="313">
        <f t="shared" si="42"/>
        <v>6.3053299999999993E-2</v>
      </c>
      <c r="AG36" s="225">
        <f t="shared" si="42"/>
        <v>6.3053299999999993E-2</v>
      </c>
      <c r="AH36" s="225">
        <f t="shared" si="42"/>
        <v>6.3053299999999993E-2</v>
      </c>
      <c r="AI36" s="225">
        <f t="shared" si="42"/>
        <v>6.3053299999999993E-2</v>
      </c>
      <c r="AJ36" s="225">
        <f t="shared" si="42"/>
        <v>6.3053299999999993E-2</v>
      </c>
      <c r="AK36" s="225">
        <f t="shared" si="42"/>
        <v>6.3053299999999993E-2</v>
      </c>
      <c r="AL36" s="225">
        <f t="shared" si="42"/>
        <v>6.3053299999999993E-2</v>
      </c>
      <c r="AM36" s="225">
        <f t="shared" si="42"/>
        <v>6.3053299999999993E-2</v>
      </c>
      <c r="AN36" s="225">
        <f t="shared" si="42"/>
        <v>6.3053299999999993E-2</v>
      </c>
      <c r="AO36" s="225">
        <f t="shared" ref="AO36:BP36" si="43">$H$36</f>
        <v>6.3053299999999993E-2</v>
      </c>
      <c r="AP36" s="225">
        <f t="shared" si="43"/>
        <v>6.3053299999999993E-2</v>
      </c>
      <c r="AQ36" s="225">
        <f t="shared" si="43"/>
        <v>6.3053299999999993E-2</v>
      </c>
      <c r="AR36" s="313">
        <f t="shared" si="43"/>
        <v>6.3053299999999993E-2</v>
      </c>
      <c r="AS36" s="225">
        <f t="shared" si="43"/>
        <v>6.3053299999999993E-2</v>
      </c>
      <c r="AT36" s="225">
        <f t="shared" si="43"/>
        <v>6.3053299999999993E-2</v>
      </c>
      <c r="AU36" s="225">
        <f t="shared" si="43"/>
        <v>6.3053299999999993E-2</v>
      </c>
      <c r="AV36" s="225">
        <f t="shared" si="43"/>
        <v>6.3053299999999993E-2</v>
      </c>
      <c r="AW36" s="225">
        <f t="shared" si="43"/>
        <v>6.3053299999999993E-2</v>
      </c>
      <c r="AX36" s="225">
        <f t="shared" si="43"/>
        <v>6.3053299999999993E-2</v>
      </c>
      <c r="AY36" s="225">
        <f t="shared" si="43"/>
        <v>6.3053299999999993E-2</v>
      </c>
      <c r="AZ36" s="225">
        <f t="shared" si="43"/>
        <v>6.3053299999999993E-2</v>
      </c>
      <c r="BA36" s="225">
        <f t="shared" si="43"/>
        <v>6.3053299999999993E-2</v>
      </c>
      <c r="BB36" s="225">
        <f t="shared" si="43"/>
        <v>6.3053299999999993E-2</v>
      </c>
      <c r="BC36" s="225">
        <f t="shared" si="43"/>
        <v>6.3053299999999993E-2</v>
      </c>
      <c r="BD36" s="313">
        <f t="shared" si="43"/>
        <v>6.3053299999999993E-2</v>
      </c>
      <c r="BE36" s="225">
        <f t="shared" si="43"/>
        <v>6.3053299999999993E-2</v>
      </c>
      <c r="BF36" s="225">
        <f t="shared" si="43"/>
        <v>6.3053299999999993E-2</v>
      </c>
      <c r="BG36" s="225">
        <f t="shared" si="43"/>
        <v>6.3053299999999993E-2</v>
      </c>
      <c r="BH36" s="225">
        <f t="shared" si="43"/>
        <v>6.3053299999999993E-2</v>
      </c>
      <c r="BI36" s="225">
        <f t="shared" si="43"/>
        <v>6.3053299999999993E-2</v>
      </c>
      <c r="BJ36" s="225">
        <f t="shared" si="43"/>
        <v>6.3053299999999993E-2</v>
      </c>
      <c r="BK36" s="225">
        <f t="shared" si="43"/>
        <v>6.3053299999999993E-2</v>
      </c>
      <c r="BL36" s="225">
        <f t="shared" si="43"/>
        <v>6.3053299999999993E-2</v>
      </c>
      <c r="BM36" s="225">
        <f t="shared" si="43"/>
        <v>6.3053299999999993E-2</v>
      </c>
      <c r="BN36" s="225">
        <f t="shared" si="43"/>
        <v>6.3053299999999993E-2</v>
      </c>
      <c r="BO36" s="225">
        <f t="shared" si="43"/>
        <v>6.3053299999999993E-2</v>
      </c>
      <c r="BP36" s="724">
        <f t="shared" si="43"/>
        <v>6.3053299999999993E-2</v>
      </c>
    </row>
    <row r="37" spans="2:68" ht="12" customHeight="1" thickBot="1">
      <c r="B37" s="218"/>
      <c r="C37" s="206" t="s">
        <v>314</v>
      </c>
      <c r="D37" s="410"/>
      <c r="G37" s="410"/>
      <c r="H37" s="850">
        <f>MAX(H35:H36)</f>
        <v>8.3053299999999997E-2</v>
      </c>
      <c r="I37" s="225">
        <f t="shared" ref="I37:AI37" si="44">MAX(I35:I36)</f>
        <v>8.2357700000000006E-2</v>
      </c>
      <c r="J37" s="225">
        <f t="shared" si="44"/>
        <v>8.1802099999999989E-2</v>
      </c>
      <c r="K37" s="225">
        <f t="shared" si="44"/>
        <v>8.1267800000000001E-2</v>
      </c>
      <c r="L37" s="225">
        <f t="shared" si="44"/>
        <v>7.9621799999999993E-2</v>
      </c>
      <c r="M37" s="225">
        <f t="shared" si="44"/>
        <v>7.9312799999999989E-2</v>
      </c>
      <c r="N37" s="225">
        <f t="shared" si="44"/>
        <v>7.9302700000000004E-2</v>
      </c>
      <c r="O37" s="225">
        <f t="shared" si="44"/>
        <v>7.7426899999999993E-2</v>
      </c>
      <c r="P37" s="225">
        <f t="shared" si="44"/>
        <v>7.6908299999999999E-2</v>
      </c>
      <c r="Q37" s="225">
        <f t="shared" si="44"/>
        <v>7.6911300000000002E-2</v>
      </c>
      <c r="R37" s="225">
        <f t="shared" si="44"/>
        <v>7.5161900000000004E-2</v>
      </c>
      <c r="S37" s="225">
        <f t="shared" si="44"/>
        <v>7.4754799999999996E-2</v>
      </c>
      <c r="T37" s="313">
        <f t="shared" si="44"/>
        <v>7.4754799999999996E-2</v>
      </c>
      <c r="U37" s="225">
        <f t="shared" si="44"/>
        <v>7.3722099999999999E-2</v>
      </c>
      <c r="V37" s="225">
        <f t="shared" si="44"/>
        <v>7.2988999999999998E-2</v>
      </c>
      <c r="W37" s="225">
        <f t="shared" si="44"/>
        <v>7.24915E-2</v>
      </c>
      <c r="X37" s="225">
        <f t="shared" si="44"/>
        <v>7.2002900000000009E-2</v>
      </c>
      <c r="Y37" s="225">
        <f t="shared" si="44"/>
        <v>7.1544400000000008E-2</v>
      </c>
      <c r="Z37" s="225">
        <f t="shared" si="44"/>
        <v>7.1138800000000002E-2</v>
      </c>
      <c r="AA37" s="225">
        <f t="shared" si="44"/>
        <v>7.07816E-2</v>
      </c>
      <c r="AB37" s="225">
        <f t="shared" si="44"/>
        <v>7.0438000000000001E-2</v>
      </c>
      <c r="AC37" s="225">
        <f t="shared" si="44"/>
        <v>7.0155999999999996E-2</v>
      </c>
      <c r="AD37" s="225">
        <f t="shared" si="44"/>
        <v>6.9892499999999996E-2</v>
      </c>
      <c r="AE37" s="225">
        <f t="shared" si="44"/>
        <v>6.96465E-2</v>
      </c>
      <c r="AF37" s="313">
        <f t="shared" si="44"/>
        <v>6.9417499999999993E-2</v>
      </c>
      <c r="AG37" s="225">
        <f t="shared" si="44"/>
        <v>6.9186799999999993E-2</v>
      </c>
      <c r="AH37" s="225">
        <f t="shared" si="44"/>
        <v>6.8990999999999997E-2</v>
      </c>
      <c r="AI37" s="225">
        <f t="shared" si="44"/>
        <v>6.8800500000000001E-2</v>
      </c>
      <c r="AJ37" s="225">
        <f t="shared" ref="AJ37:BP37" si="45">MAX(AJ35:AJ36)</f>
        <v>6.861239999999999E-2</v>
      </c>
      <c r="AK37" s="225">
        <f t="shared" si="45"/>
        <v>6.8452700000000005E-2</v>
      </c>
      <c r="AL37" s="225">
        <f t="shared" si="45"/>
        <v>6.8295500000000009E-2</v>
      </c>
      <c r="AM37" s="225">
        <f t="shared" si="45"/>
        <v>6.8162200000000006E-2</v>
      </c>
      <c r="AN37" s="225">
        <f t="shared" si="45"/>
        <v>6.8028000000000005E-2</v>
      </c>
      <c r="AO37" s="225">
        <f t="shared" si="45"/>
        <v>6.7910600000000002E-2</v>
      </c>
      <c r="AP37" s="225">
        <f t="shared" si="45"/>
        <v>6.7793500000000007E-2</v>
      </c>
      <c r="AQ37" s="225">
        <f t="shared" si="45"/>
        <v>6.77035E-2</v>
      </c>
      <c r="AR37" s="313">
        <f t="shared" si="45"/>
        <v>6.7612599999999995E-2</v>
      </c>
      <c r="AS37" s="225">
        <f t="shared" si="45"/>
        <v>6.7526100000000006E-2</v>
      </c>
      <c r="AT37" s="225">
        <f t="shared" si="45"/>
        <v>6.7457699999999995E-2</v>
      </c>
      <c r="AU37" s="225">
        <f t="shared" si="45"/>
        <v>6.7392399999999991E-2</v>
      </c>
      <c r="AV37" s="225">
        <f t="shared" si="45"/>
        <v>6.7336000000000007E-2</v>
      </c>
      <c r="AW37" s="225">
        <f t="shared" si="45"/>
        <v>6.7292400000000002E-2</v>
      </c>
      <c r="AX37" s="225">
        <f t="shared" si="45"/>
        <v>6.7245899999999997E-2</v>
      </c>
      <c r="AY37" s="225">
        <f t="shared" si="45"/>
        <v>6.7221599999999992E-2</v>
      </c>
      <c r="AZ37" s="225">
        <f t="shared" si="45"/>
        <v>6.7198900000000006E-2</v>
      </c>
      <c r="BA37" s="225">
        <f t="shared" si="45"/>
        <v>6.7187799999999992E-2</v>
      </c>
      <c r="BB37" s="225">
        <f t="shared" si="45"/>
        <v>6.7180799999999999E-2</v>
      </c>
      <c r="BC37" s="225">
        <f t="shared" si="45"/>
        <v>6.7186499999999996E-2</v>
      </c>
      <c r="BD37" s="313">
        <f t="shared" si="45"/>
        <v>6.7187200000000002E-2</v>
      </c>
      <c r="BE37" s="225">
        <f t="shared" si="45"/>
        <v>6.7193299999999997E-2</v>
      </c>
      <c r="BF37" s="225">
        <f t="shared" si="45"/>
        <v>6.7210199999999998E-2</v>
      </c>
      <c r="BG37" s="225">
        <f t="shared" si="45"/>
        <v>6.7223699999999997E-2</v>
      </c>
      <c r="BH37" s="225">
        <f t="shared" si="45"/>
        <v>6.7246300000000009E-2</v>
      </c>
      <c r="BI37" s="225">
        <f t="shared" si="45"/>
        <v>6.7272300000000007E-2</v>
      </c>
      <c r="BJ37" s="225">
        <f t="shared" si="45"/>
        <v>6.7295300000000002E-2</v>
      </c>
      <c r="BK37" s="225">
        <f t="shared" si="45"/>
        <v>6.7334000000000005E-2</v>
      </c>
      <c r="BL37" s="225">
        <f t="shared" si="45"/>
        <v>6.7375400000000002E-2</v>
      </c>
      <c r="BM37" s="225">
        <f t="shared" si="45"/>
        <v>6.7417499999999991E-2</v>
      </c>
      <c r="BN37" s="225">
        <f t="shared" si="45"/>
        <v>6.7458400000000002E-2</v>
      </c>
      <c r="BO37" s="225">
        <f t="shared" si="45"/>
        <v>6.7508700000000005E-2</v>
      </c>
      <c r="BP37" s="724">
        <f t="shared" si="45"/>
        <v>6.755259999999999E-2</v>
      </c>
    </row>
    <row r="38" spans="2:68" ht="12" customHeight="1" thickBot="1">
      <c r="B38" s="218"/>
      <c r="C38" s="206" t="s">
        <v>315</v>
      </c>
      <c r="D38" s="712"/>
      <c r="G38" s="712"/>
      <c r="H38" s="748">
        <v>5.0000000000000001E-3</v>
      </c>
      <c r="I38" s="227">
        <f t="shared" ref="I38:AN38" si="46">$H$38</f>
        <v>5.0000000000000001E-3</v>
      </c>
      <c r="J38" s="227">
        <f t="shared" si="46"/>
        <v>5.0000000000000001E-3</v>
      </c>
      <c r="K38" s="227">
        <f t="shared" si="46"/>
        <v>5.0000000000000001E-3</v>
      </c>
      <c r="L38" s="227">
        <f t="shared" si="46"/>
        <v>5.0000000000000001E-3</v>
      </c>
      <c r="M38" s="227">
        <f t="shared" si="46"/>
        <v>5.0000000000000001E-3</v>
      </c>
      <c r="N38" s="227">
        <f t="shared" si="46"/>
        <v>5.0000000000000001E-3</v>
      </c>
      <c r="O38" s="227">
        <f t="shared" si="46"/>
        <v>5.0000000000000001E-3</v>
      </c>
      <c r="P38" s="227">
        <f t="shared" si="46"/>
        <v>5.0000000000000001E-3</v>
      </c>
      <c r="Q38" s="227">
        <f t="shared" si="46"/>
        <v>5.0000000000000001E-3</v>
      </c>
      <c r="R38" s="227">
        <f t="shared" si="46"/>
        <v>5.0000000000000001E-3</v>
      </c>
      <c r="S38" s="227">
        <f t="shared" si="46"/>
        <v>5.0000000000000001E-3</v>
      </c>
      <c r="T38" s="314">
        <f t="shared" si="46"/>
        <v>5.0000000000000001E-3</v>
      </c>
      <c r="U38" s="227">
        <f t="shared" si="46"/>
        <v>5.0000000000000001E-3</v>
      </c>
      <c r="V38" s="227">
        <f t="shared" si="46"/>
        <v>5.0000000000000001E-3</v>
      </c>
      <c r="W38" s="227">
        <f t="shared" si="46"/>
        <v>5.0000000000000001E-3</v>
      </c>
      <c r="X38" s="227">
        <f t="shared" si="46"/>
        <v>5.0000000000000001E-3</v>
      </c>
      <c r="Y38" s="227">
        <f t="shared" si="46"/>
        <v>5.0000000000000001E-3</v>
      </c>
      <c r="Z38" s="227">
        <f t="shared" si="46"/>
        <v>5.0000000000000001E-3</v>
      </c>
      <c r="AA38" s="227">
        <f t="shared" si="46"/>
        <v>5.0000000000000001E-3</v>
      </c>
      <c r="AB38" s="227">
        <f t="shared" si="46"/>
        <v>5.0000000000000001E-3</v>
      </c>
      <c r="AC38" s="227">
        <f t="shared" si="46"/>
        <v>5.0000000000000001E-3</v>
      </c>
      <c r="AD38" s="227">
        <f t="shared" si="46"/>
        <v>5.0000000000000001E-3</v>
      </c>
      <c r="AE38" s="227">
        <f t="shared" si="46"/>
        <v>5.0000000000000001E-3</v>
      </c>
      <c r="AF38" s="314">
        <f t="shared" si="46"/>
        <v>5.0000000000000001E-3</v>
      </c>
      <c r="AG38" s="227">
        <f t="shared" si="46"/>
        <v>5.0000000000000001E-3</v>
      </c>
      <c r="AH38" s="227">
        <f t="shared" si="46"/>
        <v>5.0000000000000001E-3</v>
      </c>
      <c r="AI38" s="227">
        <f t="shared" si="46"/>
        <v>5.0000000000000001E-3</v>
      </c>
      <c r="AJ38" s="227">
        <f t="shared" si="46"/>
        <v>5.0000000000000001E-3</v>
      </c>
      <c r="AK38" s="227">
        <f t="shared" si="46"/>
        <v>5.0000000000000001E-3</v>
      </c>
      <c r="AL38" s="227">
        <f t="shared" si="46"/>
        <v>5.0000000000000001E-3</v>
      </c>
      <c r="AM38" s="227">
        <f t="shared" si="46"/>
        <v>5.0000000000000001E-3</v>
      </c>
      <c r="AN38" s="227">
        <f t="shared" si="46"/>
        <v>5.0000000000000001E-3</v>
      </c>
      <c r="AO38" s="227">
        <f t="shared" ref="AO38:BP38" si="47">$H$38</f>
        <v>5.0000000000000001E-3</v>
      </c>
      <c r="AP38" s="227">
        <f t="shared" si="47"/>
        <v>5.0000000000000001E-3</v>
      </c>
      <c r="AQ38" s="227">
        <f t="shared" si="47"/>
        <v>5.0000000000000001E-3</v>
      </c>
      <c r="AR38" s="314">
        <f t="shared" si="47"/>
        <v>5.0000000000000001E-3</v>
      </c>
      <c r="AS38" s="227">
        <f t="shared" si="47"/>
        <v>5.0000000000000001E-3</v>
      </c>
      <c r="AT38" s="227">
        <f t="shared" si="47"/>
        <v>5.0000000000000001E-3</v>
      </c>
      <c r="AU38" s="227">
        <f t="shared" si="47"/>
        <v>5.0000000000000001E-3</v>
      </c>
      <c r="AV38" s="227">
        <f t="shared" si="47"/>
        <v>5.0000000000000001E-3</v>
      </c>
      <c r="AW38" s="227">
        <f t="shared" si="47"/>
        <v>5.0000000000000001E-3</v>
      </c>
      <c r="AX38" s="227">
        <f t="shared" si="47"/>
        <v>5.0000000000000001E-3</v>
      </c>
      <c r="AY38" s="227">
        <f t="shared" si="47"/>
        <v>5.0000000000000001E-3</v>
      </c>
      <c r="AZ38" s="227">
        <f t="shared" si="47"/>
        <v>5.0000000000000001E-3</v>
      </c>
      <c r="BA38" s="227">
        <f t="shared" si="47"/>
        <v>5.0000000000000001E-3</v>
      </c>
      <c r="BB38" s="227">
        <f t="shared" si="47"/>
        <v>5.0000000000000001E-3</v>
      </c>
      <c r="BC38" s="227">
        <f t="shared" si="47"/>
        <v>5.0000000000000001E-3</v>
      </c>
      <c r="BD38" s="314">
        <f t="shared" si="47"/>
        <v>5.0000000000000001E-3</v>
      </c>
      <c r="BE38" s="227">
        <f t="shared" si="47"/>
        <v>5.0000000000000001E-3</v>
      </c>
      <c r="BF38" s="227">
        <f t="shared" si="47"/>
        <v>5.0000000000000001E-3</v>
      </c>
      <c r="BG38" s="227">
        <f t="shared" si="47"/>
        <v>5.0000000000000001E-3</v>
      </c>
      <c r="BH38" s="227">
        <f t="shared" si="47"/>
        <v>5.0000000000000001E-3</v>
      </c>
      <c r="BI38" s="227">
        <f t="shared" si="47"/>
        <v>5.0000000000000001E-3</v>
      </c>
      <c r="BJ38" s="227">
        <f t="shared" si="47"/>
        <v>5.0000000000000001E-3</v>
      </c>
      <c r="BK38" s="227">
        <f t="shared" si="47"/>
        <v>5.0000000000000001E-3</v>
      </c>
      <c r="BL38" s="227">
        <f t="shared" si="47"/>
        <v>5.0000000000000001E-3</v>
      </c>
      <c r="BM38" s="227">
        <f t="shared" si="47"/>
        <v>5.0000000000000001E-3</v>
      </c>
      <c r="BN38" s="227">
        <f t="shared" si="47"/>
        <v>5.0000000000000001E-3</v>
      </c>
      <c r="BO38" s="227">
        <f t="shared" si="47"/>
        <v>5.0000000000000001E-3</v>
      </c>
      <c r="BP38" s="725">
        <f t="shared" si="47"/>
        <v>5.0000000000000001E-3</v>
      </c>
    </row>
    <row r="39" spans="2:68" ht="12" customHeight="1">
      <c r="B39" s="749"/>
      <c r="C39" s="750" t="s">
        <v>316</v>
      </c>
      <c r="D39" s="751"/>
      <c r="E39" s="750"/>
      <c r="F39" s="750"/>
      <c r="G39" s="751"/>
      <c r="H39" s="852">
        <f t="shared" ref="H39:AM39" si="48">IF($D$2="Forward Rate",SUM(H37:H38),H40)</f>
        <v>8.8053300000000001E-2</v>
      </c>
      <c r="I39" s="752">
        <f t="shared" si="48"/>
        <v>8.735770000000001E-2</v>
      </c>
      <c r="J39" s="752">
        <f t="shared" si="48"/>
        <v>8.6802099999999993E-2</v>
      </c>
      <c r="K39" s="752">
        <f t="shared" si="48"/>
        <v>8.6267800000000006E-2</v>
      </c>
      <c r="L39" s="752">
        <f t="shared" si="48"/>
        <v>8.4621799999999997E-2</v>
      </c>
      <c r="M39" s="752">
        <f t="shared" si="48"/>
        <v>8.4312799999999993E-2</v>
      </c>
      <c r="N39" s="752">
        <f t="shared" si="48"/>
        <v>8.4302700000000008E-2</v>
      </c>
      <c r="O39" s="752">
        <f t="shared" si="48"/>
        <v>8.2426899999999997E-2</v>
      </c>
      <c r="P39" s="752">
        <f t="shared" si="48"/>
        <v>8.1908300000000003E-2</v>
      </c>
      <c r="Q39" s="752">
        <f t="shared" si="48"/>
        <v>8.1911300000000006E-2</v>
      </c>
      <c r="R39" s="752">
        <f t="shared" si="48"/>
        <v>8.0161900000000008E-2</v>
      </c>
      <c r="S39" s="752">
        <f t="shared" si="48"/>
        <v>7.9754800000000001E-2</v>
      </c>
      <c r="T39" s="753">
        <f t="shared" si="48"/>
        <v>7.9754800000000001E-2</v>
      </c>
      <c r="U39" s="752">
        <f t="shared" si="48"/>
        <v>7.8722100000000003E-2</v>
      </c>
      <c r="V39" s="752">
        <f t="shared" si="48"/>
        <v>7.7989000000000003E-2</v>
      </c>
      <c r="W39" s="752">
        <f t="shared" si="48"/>
        <v>7.7491500000000005E-2</v>
      </c>
      <c r="X39" s="752">
        <f t="shared" si="48"/>
        <v>7.7002900000000013E-2</v>
      </c>
      <c r="Y39" s="752">
        <f t="shared" si="48"/>
        <v>7.6544400000000012E-2</v>
      </c>
      <c r="Z39" s="752">
        <f t="shared" si="48"/>
        <v>7.6138800000000006E-2</v>
      </c>
      <c r="AA39" s="752">
        <f t="shared" si="48"/>
        <v>7.5781600000000005E-2</v>
      </c>
      <c r="AB39" s="752">
        <f t="shared" si="48"/>
        <v>7.5438000000000005E-2</v>
      </c>
      <c r="AC39" s="752">
        <f t="shared" si="48"/>
        <v>7.5156000000000001E-2</v>
      </c>
      <c r="AD39" s="752">
        <f t="shared" si="48"/>
        <v>7.4892500000000001E-2</v>
      </c>
      <c r="AE39" s="752">
        <f t="shared" si="48"/>
        <v>7.4646500000000005E-2</v>
      </c>
      <c r="AF39" s="753">
        <f t="shared" si="48"/>
        <v>7.4417499999999998E-2</v>
      </c>
      <c r="AG39" s="752">
        <f t="shared" si="48"/>
        <v>7.4186799999999997E-2</v>
      </c>
      <c r="AH39" s="752">
        <f t="shared" si="48"/>
        <v>7.3991000000000001E-2</v>
      </c>
      <c r="AI39" s="752">
        <f t="shared" si="48"/>
        <v>7.3800500000000005E-2</v>
      </c>
      <c r="AJ39" s="752">
        <f t="shared" si="48"/>
        <v>7.3612399999999995E-2</v>
      </c>
      <c r="AK39" s="752">
        <f t="shared" si="48"/>
        <v>7.345270000000001E-2</v>
      </c>
      <c r="AL39" s="752">
        <f t="shared" si="48"/>
        <v>7.3295500000000013E-2</v>
      </c>
      <c r="AM39" s="752">
        <f t="shared" si="48"/>
        <v>7.3162200000000011E-2</v>
      </c>
      <c r="AN39" s="752">
        <f t="shared" ref="AN39:BP39" si="49">IF($D$2="Forward Rate",SUM(AN37:AN38),AN40)</f>
        <v>7.302800000000001E-2</v>
      </c>
      <c r="AO39" s="1093">
        <f t="shared" si="49"/>
        <v>7.2910600000000006E-2</v>
      </c>
      <c r="AP39" s="752">
        <f t="shared" si="49"/>
        <v>7.2793500000000011E-2</v>
      </c>
      <c r="AQ39" s="1093">
        <f t="shared" si="49"/>
        <v>7.2703500000000004E-2</v>
      </c>
      <c r="AR39" s="753">
        <f t="shared" si="49"/>
        <v>7.2612599999999999E-2</v>
      </c>
      <c r="AS39" s="752">
        <f t="shared" si="49"/>
        <v>7.252610000000001E-2</v>
      </c>
      <c r="AT39" s="752">
        <f t="shared" si="49"/>
        <v>7.24577E-2</v>
      </c>
      <c r="AU39" s="752">
        <f t="shared" si="49"/>
        <v>7.2392399999999996E-2</v>
      </c>
      <c r="AV39" s="752">
        <f t="shared" si="49"/>
        <v>7.2336000000000011E-2</v>
      </c>
      <c r="AW39" s="752">
        <f t="shared" si="49"/>
        <v>7.2292400000000007E-2</v>
      </c>
      <c r="AX39" s="752">
        <f t="shared" si="49"/>
        <v>7.2245900000000002E-2</v>
      </c>
      <c r="AY39" s="752">
        <f t="shared" si="49"/>
        <v>7.2221599999999997E-2</v>
      </c>
      <c r="AZ39" s="752">
        <f t="shared" si="49"/>
        <v>7.219890000000001E-2</v>
      </c>
      <c r="BA39" s="752">
        <f t="shared" si="49"/>
        <v>7.2187799999999996E-2</v>
      </c>
      <c r="BB39" s="752">
        <f t="shared" si="49"/>
        <v>7.2180800000000003E-2</v>
      </c>
      <c r="BC39" s="752">
        <f t="shared" si="49"/>
        <v>7.2186500000000001E-2</v>
      </c>
      <c r="BD39" s="753">
        <f t="shared" si="49"/>
        <v>7.2187200000000007E-2</v>
      </c>
      <c r="BE39" s="752">
        <f t="shared" si="49"/>
        <v>7.2193300000000002E-2</v>
      </c>
      <c r="BF39" s="752">
        <f t="shared" si="49"/>
        <v>7.2210200000000002E-2</v>
      </c>
      <c r="BG39" s="752">
        <f t="shared" si="49"/>
        <v>7.2223700000000002E-2</v>
      </c>
      <c r="BH39" s="752">
        <f t="shared" si="49"/>
        <v>7.2246300000000013E-2</v>
      </c>
      <c r="BI39" s="752">
        <f t="shared" si="49"/>
        <v>7.2272300000000012E-2</v>
      </c>
      <c r="BJ39" s="752">
        <f t="shared" si="49"/>
        <v>7.2295300000000007E-2</v>
      </c>
      <c r="BK39" s="752">
        <f t="shared" si="49"/>
        <v>7.2334000000000009E-2</v>
      </c>
      <c r="BL39" s="752">
        <f t="shared" si="49"/>
        <v>7.2375400000000006E-2</v>
      </c>
      <c r="BM39" s="752">
        <f t="shared" si="49"/>
        <v>7.2417499999999996E-2</v>
      </c>
      <c r="BN39" s="752">
        <f t="shared" si="49"/>
        <v>7.2458400000000006E-2</v>
      </c>
      <c r="BO39" s="752">
        <f t="shared" si="49"/>
        <v>7.2508700000000009E-2</v>
      </c>
      <c r="BP39" s="754">
        <f t="shared" si="49"/>
        <v>7.2552599999999995E-2</v>
      </c>
    </row>
    <row r="40" spans="2:68" ht="12" customHeight="1" thickBot="1">
      <c r="B40" s="755"/>
      <c r="C40" s="756" t="s">
        <v>461</v>
      </c>
      <c r="D40" s="757"/>
      <c r="E40" s="758"/>
      <c r="F40" s="758"/>
      <c r="G40" s="759"/>
      <c r="H40" s="853">
        <f>$H$33+$H$34</f>
        <v>8.3053299999999997E-2</v>
      </c>
      <c r="I40" s="760">
        <f t="shared" ref="I40:BP40" si="50">$H$33+$H$34</f>
        <v>8.3053299999999997E-2</v>
      </c>
      <c r="J40" s="760">
        <f t="shared" si="50"/>
        <v>8.3053299999999997E-2</v>
      </c>
      <c r="K40" s="760">
        <f t="shared" si="50"/>
        <v>8.3053299999999997E-2</v>
      </c>
      <c r="L40" s="760">
        <f t="shared" si="50"/>
        <v>8.3053299999999997E-2</v>
      </c>
      <c r="M40" s="760">
        <f t="shared" si="50"/>
        <v>8.3053299999999997E-2</v>
      </c>
      <c r="N40" s="760">
        <f t="shared" si="50"/>
        <v>8.3053299999999997E-2</v>
      </c>
      <c r="O40" s="760">
        <f t="shared" si="50"/>
        <v>8.3053299999999997E-2</v>
      </c>
      <c r="P40" s="760">
        <f t="shared" si="50"/>
        <v>8.3053299999999997E-2</v>
      </c>
      <c r="Q40" s="760">
        <f t="shared" si="50"/>
        <v>8.3053299999999997E-2</v>
      </c>
      <c r="R40" s="760">
        <f t="shared" si="50"/>
        <v>8.3053299999999997E-2</v>
      </c>
      <c r="S40" s="760">
        <f t="shared" si="50"/>
        <v>8.3053299999999997E-2</v>
      </c>
      <c r="T40" s="761">
        <f t="shared" si="50"/>
        <v>8.3053299999999997E-2</v>
      </c>
      <c r="U40" s="760">
        <f t="shared" si="50"/>
        <v>8.3053299999999997E-2</v>
      </c>
      <c r="V40" s="760">
        <f t="shared" si="50"/>
        <v>8.3053299999999997E-2</v>
      </c>
      <c r="W40" s="760">
        <f t="shared" si="50"/>
        <v>8.3053299999999997E-2</v>
      </c>
      <c r="X40" s="760">
        <f t="shared" si="50"/>
        <v>8.3053299999999997E-2</v>
      </c>
      <c r="Y40" s="760">
        <f t="shared" si="50"/>
        <v>8.3053299999999997E-2</v>
      </c>
      <c r="Z40" s="760">
        <f t="shared" si="50"/>
        <v>8.3053299999999997E-2</v>
      </c>
      <c r="AA40" s="760">
        <f t="shared" si="50"/>
        <v>8.3053299999999997E-2</v>
      </c>
      <c r="AB40" s="760">
        <f t="shared" si="50"/>
        <v>8.3053299999999997E-2</v>
      </c>
      <c r="AC40" s="760">
        <f t="shared" si="50"/>
        <v>8.3053299999999997E-2</v>
      </c>
      <c r="AD40" s="760">
        <f t="shared" si="50"/>
        <v>8.3053299999999997E-2</v>
      </c>
      <c r="AE40" s="760">
        <f t="shared" si="50"/>
        <v>8.3053299999999997E-2</v>
      </c>
      <c r="AF40" s="761">
        <f t="shared" si="50"/>
        <v>8.3053299999999997E-2</v>
      </c>
      <c r="AG40" s="760">
        <f t="shared" si="50"/>
        <v>8.3053299999999997E-2</v>
      </c>
      <c r="AH40" s="760">
        <f t="shared" si="50"/>
        <v>8.3053299999999997E-2</v>
      </c>
      <c r="AI40" s="760">
        <f t="shared" si="50"/>
        <v>8.3053299999999997E-2</v>
      </c>
      <c r="AJ40" s="760">
        <f t="shared" si="50"/>
        <v>8.3053299999999997E-2</v>
      </c>
      <c r="AK40" s="760">
        <f t="shared" si="50"/>
        <v>8.3053299999999997E-2</v>
      </c>
      <c r="AL40" s="760">
        <f t="shared" si="50"/>
        <v>8.3053299999999997E-2</v>
      </c>
      <c r="AM40" s="760">
        <f t="shared" si="50"/>
        <v>8.3053299999999997E-2</v>
      </c>
      <c r="AN40" s="760">
        <f t="shared" si="50"/>
        <v>8.3053299999999997E-2</v>
      </c>
      <c r="AO40" s="760">
        <f t="shared" si="50"/>
        <v>8.3053299999999997E-2</v>
      </c>
      <c r="AP40" s="760">
        <f t="shared" si="50"/>
        <v>8.3053299999999997E-2</v>
      </c>
      <c r="AQ40" s="760">
        <f t="shared" si="50"/>
        <v>8.3053299999999997E-2</v>
      </c>
      <c r="AR40" s="762">
        <f t="shared" si="50"/>
        <v>8.3053299999999997E-2</v>
      </c>
      <c r="AS40" s="763">
        <f t="shared" si="50"/>
        <v>8.3053299999999997E-2</v>
      </c>
      <c r="AT40" s="763">
        <f t="shared" si="50"/>
        <v>8.3053299999999997E-2</v>
      </c>
      <c r="AU40" s="763">
        <f t="shared" si="50"/>
        <v>8.3053299999999997E-2</v>
      </c>
      <c r="AV40" s="763">
        <f t="shared" si="50"/>
        <v>8.3053299999999997E-2</v>
      </c>
      <c r="AW40" s="763">
        <f t="shared" si="50"/>
        <v>8.3053299999999997E-2</v>
      </c>
      <c r="AX40" s="763">
        <f t="shared" si="50"/>
        <v>8.3053299999999997E-2</v>
      </c>
      <c r="AY40" s="763">
        <f t="shared" si="50"/>
        <v>8.3053299999999997E-2</v>
      </c>
      <c r="AZ40" s="763">
        <f t="shared" si="50"/>
        <v>8.3053299999999997E-2</v>
      </c>
      <c r="BA40" s="763">
        <f t="shared" si="50"/>
        <v>8.3053299999999997E-2</v>
      </c>
      <c r="BB40" s="763">
        <f t="shared" si="50"/>
        <v>8.3053299999999997E-2</v>
      </c>
      <c r="BC40" s="763">
        <f t="shared" si="50"/>
        <v>8.3053299999999997E-2</v>
      </c>
      <c r="BD40" s="762">
        <f t="shared" si="50"/>
        <v>8.3053299999999997E-2</v>
      </c>
      <c r="BE40" s="763">
        <f t="shared" si="50"/>
        <v>8.3053299999999997E-2</v>
      </c>
      <c r="BF40" s="763">
        <f t="shared" si="50"/>
        <v>8.3053299999999997E-2</v>
      </c>
      <c r="BG40" s="763">
        <f t="shared" si="50"/>
        <v>8.3053299999999997E-2</v>
      </c>
      <c r="BH40" s="763">
        <f t="shared" si="50"/>
        <v>8.3053299999999997E-2</v>
      </c>
      <c r="BI40" s="763">
        <f t="shared" si="50"/>
        <v>8.3053299999999997E-2</v>
      </c>
      <c r="BJ40" s="763">
        <f t="shared" si="50"/>
        <v>8.3053299999999997E-2</v>
      </c>
      <c r="BK40" s="763">
        <f t="shared" si="50"/>
        <v>8.3053299999999997E-2</v>
      </c>
      <c r="BL40" s="763">
        <f t="shared" si="50"/>
        <v>8.3053299999999997E-2</v>
      </c>
      <c r="BM40" s="763">
        <f t="shared" si="50"/>
        <v>8.3053299999999997E-2</v>
      </c>
      <c r="BN40" s="763">
        <f t="shared" si="50"/>
        <v>8.3053299999999997E-2</v>
      </c>
      <c r="BO40" s="763">
        <f t="shared" si="50"/>
        <v>8.3053299999999997E-2</v>
      </c>
      <c r="BP40" s="764">
        <f t="shared" si="50"/>
        <v>8.3053299999999997E-2</v>
      </c>
    </row>
    <row r="41" spans="2:68" ht="12" customHeight="1" thickBot="1">
      <c r="B41" s="426"/>
      <c r="C41" s="427" t="s">
        <v>495</v>
      </c>
      <c r="D41" s="428"/>
      <c r="E41" s="429">
        <f>H41</f>
        <v>0</v>
      </c>
      <c r="F41" s="429">
        <f>SUM(I41:BP41)</f>
        <v>907495.54501353716</v>
      </c>
      <c r="G41" s="430">
        <f>SUM(E41:F41)</f>
        <v>907495.54501353716</v>
      </c>
      <c r="H41" s="854">
        <v>0</v>
      </c>
      <c r="I41" s="420">
        <f>IF(I9="B/E",0,H47*I39/12*365/360)</f>
        <v>0</v>
      </c>
      <c r="J41" s="420">
        <f t="shared" ref="J41:BP41" si="51">IF(J9="B/E",0,I47*J39/12*365/360)</f>
        <v>0</v>
      </c>
      <c r="K41" s="420">
        <f t="shared" si="51"/>
        <v>0</v>
      </c>
      <c r="L41" s="420">
        <f t="shared" si="51"/>
        <v>0</v>
      </c>
      <c r="M41" s="420">
        <f t="shared" si="51"/>
        <v>0</v>
      </c>
      <c r="N41" s="420">
        <f t="shared" si="51"/>
        <v>0</v>
      </c>
      <c r="O41" s="420">
        <f t="shared" si="51"/>
        <v>0</v>
      </c>
      <c r="P41" s="420">
        <f t="shared" si="51"/>
        <v>0</v>
      </c>
      <c r="Q41" s="420">
        <f t="shared" si="51"/>
        <v>0</v>
      </c>
      <c r="R41" s="420">
        <f t="shared" si="51"/>
        <v>5811.3431368770125</v>
      </c>
      <c r="S41" s="420">
        <f t="shared" si="51"/>
        <v>14240.998512080385</v>
      </c>
      <c r="T41" s="311">
        <f t="shared" si="51"/>
        <v>22756.970221135954</v>
      </c>
      <c r="U41" s="420">
        <f t="shared" si="51"/>
        <v>30924.648398126807</v>
      </c>
      <c r="V41" s="420">
        <f t="shared" si="51"/>
        <v>39074.021844872266</v>
      </c>
      <c r="W41" s="420">
        <f t="shared" si="51"/>
        <v>47261.657685302729</v>
      </c>
      <c r="X41" s="420">
        <f t="shared" si="51"/>
        <v>55400.628895564296</v>
      </c>
      <c r="Y41" s="420">
        <f t="shared" si="51"/>
        <v>63510.122240879326</v>
      </c>
      <c r="Z41" s="420">
        <f t="shared" si="51"/>
        <v>71760.633115827484</v>
      </c>
      <c r="AA41" s="420">
        <f t="shared" si="51"/>
        <v>80023.557917980754</v>
      </c>
      <c r="AB41" s="420">
        <f t="shared" si="51"/>
        <v>88273.984571231733</v>
      </c>
      <c r="AC41" s="420">
        <f t="shared" si="51"/>
        <v>96577.453801567259</v>
      </c>
      <c r="AD41" s="420">
        <f t="shared" si="51"/>
        <v>97055.835271822842</v>
      </c>
      <c r="AE41" s="420">
        <f t="shared" si="51"/>
        <v>97353.285613242246</v>
      </c>
      <c r="AF41" s="311">
        <f t="shared" si="51"/>
        <v>97470.40378702624</v>
      </c>
      <c r="AG41" s="420">
        <f t="shared" si="51"/>
        <v>0</v>
      </c>
      <c r="AH41" s="420">
        <f t="shared" si="51"/>
        <v>0</v>
      </c>
      <c r="AI41" s="420">
        <f t="shared" si="51"/>
        <v>0</v>
      </c>
      <c r="AJ41" s="420">
        <f t="shared" si="51"/>
        <v>0</v>
      </c>
      <c r="AK41" s="420">
        <f t="shared" si="51"/>
        <v>0</v>
      </c>
      <c r="AL41" s="420">
        <f t="shared" si="51"/>
        <v>0</v>
      </c>
      <c r="AM41" s="420">
        <f t="shared" si="51"/>
        <v>0</v>
      </c>
      <c r="AN41" s="420">
        <f t="shared" si="51"/>
        <v>0</v>
      </c>
      <c r="AO41" s="420">
        <f t="shared" si="51"/>
        <v>0</v>
      </c>
      <c r="AP41" s="420">
        <f t="shared" si="51"/>
        <v>0</v>
      </c>
      <c r="AQ41" s="420">
        <f t="shared" si="51"/>
        <v>0</v>
      </c>
      <c r="AR41" s="906">
        <f t="shared" si="51"/>
        <v>0</v>
      </c>
      <c r="AS41" s="429">
        <f t="shared" si="51"/>
        <v>0</v>
      </c>
      <c r="AT41" s="429">
        <f t="shared" si="51"/>
        <v>0</v>
      </c>
      <c r="AU41" s="429">
        <f t="shared" si="51"/>
        <v>0</v>
      </c>
      <c r="AV41" s="429">
        <f t="shared" si="51"/>
        <v>0</v>
      </c>
      <c r="AW41" s="429">
        <f t="shared" si="51"/>
        <v>0</v>
      </c>
      <c r="AX41" s="429">
        <f t="shared" si="51"/>
        <v>0</v>
      </c>
      <c r="AY41" s="429">
        <f t="shared" si="51"/>
        <v>0</v>
      </c>
      <c r="AZ41" s="429">
        <f t="shared" si="51"/>
        <v>0</v>
      </c>
      <c r="BA41" s="429">
        <f t="shared" si="51"/>
        <v>0</v>
      </c>
      <c r="BB41" s="429">
        <f t="shared" si="51"/>
        <v>0</v>
      </c>
      <c r="BC41" s="429">
        <f t="shared" si="51"/>
        <v>0</v>
      </c>
      <c r="BD41" s="906">
        <f t="shared" si="51"/>
        <v>0</v>
      </c>
      <c r="BE41" s="429">
        <f t="shared" si="51"/>
        <v>0</v>
      </c>
      <c r="BF41" s="429">
        <f t="shared" si="51"/>
        <v>0</v>
      </c>
      <c r="BG41" s="429">
        <f t="shared" si="51"/>
        <v>0</v>
      </c>
      <c r="BH41" s="429">
        <f t="shared" si="51"/>
        <v>0</v>
      </c>
      <c r="BI41" s="429">
        <f t="shared" si="51"/>
        <v>0</v>
      </c>
      <c r="BJ41" s="429">
        <f t="shared" si="51"/>
        <v>0</v>
      </c>
      <c r="BK41" s="429">
        <f t="shared" si="51"/>
        <v>0</v>
      </c>
      <c r="BL41" s="429">
        <f t="shared" si="51"/>
        <v>0</v>
      </c>
      <c r="BM41" s="429">
        <f t="shared" si="51"/>
        <v>0</v>
      </c>
      <c r="BN41" s="429">
        <f t="shared" si="51"/>
        <v>0</v>
      </c>
      <c r="BO41" s="429">
        <f t="shared" si="51"/>
        <v>0</v>
      </c>
      <c r="BP41" s="430">
        <f t="shared" si="51"/>
        <v>0</v>
      </c>
    </row>
    <row r="42" spans="2:68" ht="12" customHeight="1">
      <c r="B42" s="250" t="s">
        <v>403</v>
      </c>
      <c r="C42" s="863"/>
      <c r="D42" s="864"/>
      <c r="E42" s="863"/>
      <c r="F42" s="863"/>
      <c r="G42" s="864"/>
      <c r="H42" s="856"/>
      <c r="I42" s="792"/>
      <c r="J42" s="792"/>
      <c r="K42" s="792"/>
      <c r="L42" s="792"/>
      <c r="M42" s="792"/>
      <c r="N42" s="792"/>
      <c r="O42" s="792"/>
      <c r="P42" s="792"/>
      <c r="Q42" s="792"/>
      <c r="R42" s="792"/>
      <c r="S42" s="792"/>
      <c r="T42" s="496"/>
      <c r="U42" s="792"/>
      <c r="V42" s="792"/>
      <c r="W42" s="792"/>
      <c r="X42" s="792"/>
      <c r="Y42" s="792"/>
      <c r="Z42" s="792"/>
      <c r="AA42" s="792"/>
      <c r="AB42" s="792"/>
      <c r="AC42" s="792"/>
      <c r="AD42" s="792"/>
      <c r="AE42" s="792"/>
      <c r="AF42" s="496"/>
      <c r="AG42" s="792"/>
      <c r="AH42" s="792"/>
      <c r="AI42" s="792"/>
      <c r="AJ42" s="792"/>
      <c r="AK42" s="792"/>
      <c r="AL42" s="792"/>
      <c r="AM42" s="792"/>
      <c r="AN42" s="792"/>
      <c r="AO42" s="1094"/>
      <c r="AP42" s="792"/>
      <c r="AQ42" s="1094"/>
      <c r="AR42" s="865"/>
      <c r="AS42" s="863"/>
      <c r="AT42" s="863"/>
      <c r="AU42" s="863"/>
      <c r="AV42" s="863"/>
      <c r="AW42" s="863"/>
      <c r="AX42" s="863"/>
      <c r="AY42" s="863"/>
      <c r="AZ42" s="863"/>
      <c r="BA42" s="863"/>
      <c r="BB42" s="863"/>
      <c r="BC42" s="863"/>
      <c r="BD42" s="865"/>
      <c r="BE42" s="863"/>
      <c r="BF42" s="863"/>
      <c r="BG42" s="863"/>
      <c r="BH42" s="863"/>
      <c r="BI42" s="863"/>
      <c r="BJ42" s="863"/>
      <c r="BK42" s="863"/>
      <c r="BL42" s="863"/>
      <c r="BM42" s="863"/>
      <c r="BN42" s="863"/>
      <c r="BO42" s="863"/>
      <c r="BP42" s="864"/>
    </row>
    <row r="43" spans="2:68" ht="12" customHeight="1">
      <c r="B43" s="218" t="s">
        <v>427</v>
      </c>
      <c r="D43" s="787"/>
      <c r="G43" s="787"/>
      <c r="H43" s="845">
        <v>0</v>
      </c>
      <c r="I43" s="217">
        <f>H47</f>
        <v>0</v>
      </c>
      <c r="J43" s="217">
        <f t="shared" ref="J43:AQ43" si="52">I47</f>
        <v>0</v>
      </c>
      <c r="K43" s="217">
        <f t="shared" si="52"/>
        <v>0</v>
      </c>
      <c r="L43" s="217">
        <f t="shared" si="52"/>
        <v>0</v>
      </c>
      <c r="M43" s="217">
        <f t="shared" si="52"/>
        <v>0</v>
      </c>
      <c r="N43" s="217">
        <f t="shared" si="52"/>
        <v>0</v>
      </c>
      <c r="O43" s="217">
        <f t="shared" si="52"/>
        <v>0</v>
      </c>
      <c r="P43" s="217">
        <f t="shared" si="52"/>
        <v>0</v>
      </c>
      <c r="Q43" s="217">
        <f t="shared" si="52"/>
        <v>0</v>
      </c>
      <c r="R43" s="217">
        <f t="shared" si="52"/>
        <v>858023.92857142654</v>
      </c>
      <c r="S43" s="217">
        <f t="shared" si="52"/>
        <v>2113364.9145654463</v>
      </c>
      <c r="T43" s="309">
        <f t="shared" si="52"/>
        <v>3377135.5559346699</v>
      </c>
      <c r="U43" s="217">
        <f t="shared" si="52"/>
        <v>4649422.1690129489</v>
      </c>
      <c r="V43" s="217">
        <f t="shared" si="52"/>
        <v>5929876.4602682181</v>
      </c>
      <c r="W43" s="217">
        <f t="shared" si="52"/>
        <v>7218480.1249702331</v>
      </c>
      <c r="X43" s="217">
        <f t="shared" si="52"/>
        <v>8515271.4255126789</v>
      </c>
      <c r="Y43" s="217">
        <f t="shared" si="52"/>
        <v>9820201.6972653866</v>
      </c>
      <c r="Z43" s="217">
        <f t="shared" si="52"/>
        <v>11155039.597846741</v>
      </c>
      <c r="AA43" s="217">
        <f t="shared" si="52"/>
        <v>12498128.009303045</v>
      </c>
      <c r="AB43" s="217">
        <f t="shared" si="52"/>
        <v>13849479.345561501</v>
      </c>
      <c r="AC43" s="217">
        <f t="shared" si="52"/>
        <v>15209081.108473208</v>
      </c>
      <c r="AD43" s="217">
        <f t="shared" si="52"/>
        <v>15338193.2687729</v>
      </c>
      <c r="AE43" s="217">
        <f t="shared" si="52"/>
        <v>15435903.190800272</v>
      </c>
      <c r="AF43" s="309">
        <f t="shared" si="52"/>
        <v>15502029.94342649</v>
      </c>
      <c r="AG43" s="217">
        <f t="shared" si="52"/>
        <v>15536393.194483915</v>
      </c>
      <c r="AH43" s="217">
        <f t="shared" si="52"/>
        <v>15536393.194483915</v>
      </c>
      <c r="AI43" s="217">
        <f t="shared" si="52"/>
        <v>15536393.194483915</v>
      </c>
      <c r="AJ43" s="217">
        <f t="shared" si="52"/>
        <v>15536393.194483915</v>
      </c>
      <c r="AK43" s="217">
        <f t="shared" si="52"/>
        <v>15536393.194483915</v>
      </c>
      <c r="AL43" s="217">
        <f t="shared" si="52"/>
        <v>15536393.194483915</v>
      </c>
      <c r="AM43" s="217">
        <f t="shared" si="52"/>
        <v>15536393.194483915</v>
      </c>
      <c r="AN43" s="217">
        <f t="shared" si="52"/>
        <v>15536393.194483915</v>
      </c>
      <c r="AO43" s="217">
        <f t="shared" si="52"/>
        <v>15536393.194483915</v>
      </c>
      <c r="AP43" s="217">
        <f t="shared" si="52"/>
        <v>15536393.194483915</v>
      </c>
      <c r="AQ43" s="217">
        <f t="shared" si="52"/>
        <v>15536393.194483915</v>
      </c>
      <c r="AR43" s="309">
        <f t="shared" ref="AR43" si="53">AQ47</f>
        <v>15536393.194483915</v>
      </c>
      <c r="AS43" s="214">
        <f t="shared" ref="AS43" si="54">AR47</f>
        <v>15536393.194483915</v>
      </c>
      <c r="AT43" s="214">
        <f t="shared" ref="AT43" si="55">AS47</f>
        <v>15536393.194483915</v>
      </c>
      <c r="AU43" s="214">
        <f t="shared" ref="AU43" si="56">AT47</f>
        <v>15536393.194483915</v>
      </c>
      <c r="AV43" s="214">
        <f t="shared" ref="AV43" si="57">AU47</f>
        <v>15536393.194483915</v>
      </c>
      <c r="AW43" s="214">
        <f t="shared" ref="AW43" si="58">AV47</f>
        <v>15536393.194483915</v>
      </c>
      <c r="AX43" s="214">
        <f t="shared" ref="AX43" si="59">AW47</f>
        <v>15536393.194483915</v>
      </c>
      <c r="AY43" s="214">
        <f t="shared" ref="AY43" si="60">AX47</f>
        <v>15536393.194483915</v>
      </c>
      <c r="AZ43" s="214">
        <f t="shared" ref="AZ43" si="61">AY47</f>
        <v>15536393.194483915</v>
      </c>
      <c r="BA43" s="214">
        <f t="shared" ref="BA43" si="62">AZ47</f>
        <v>15536393.194483915</v>
      </c>
      <c r="BB43" s="214">
        <f t="shared" ref="BB43" si="63">BA47</f>
        <v>15536393.194483915</v>
      </c>
      <c r="BC43" s="214">
        <f t="shared" ref="BC43" si="64">BB47</f>
        <v>15536393.194483915</v>
      </c>
      <c r="BD43" s="310">
        <f t="shared" ref="BD43" si="65">BC47</f>
        <v>15536393.194483915</v>
      </c>
      <c r="BE43" s="214">
        <f t="shared" ref="BE43" si="66">BD47</f>
        <v>15536393.194483915</v>
      </c>
      <c r="BF43" s="214">
        <f t="shared" ref="BF43" si="67">BE47</f>
        <v>15536393.194483915</v>
      </c>
      <c r="BG43" s="214">
        <f t="shared" ref="BG43" si="68">BF47</f>
        <v>15536393.194483915</v>
      </c>
      <c r="BH43" s="214">
        <f t="shared" ref="BH43" si="69">BG47</f>
        <v>15536393.194483915</v>
      </c>
      <c r="BI43" s="214">
        <f t="shared" ref="BI43" si="70">BH47</f>
        <v>15536393.194483915</v>
      </c>
      <c r="BJ43" s="214">
        <f t="shared" ref="BJ43" si="71">BI47</f>
        <v>15536393.194483915</v>
      </c>
      <c r="BK43" s="214">
        <f t="shared" ref="BK43" si="72">BJ47</f>
        <v>15536393.194483915</v>
      </c>
      <c r="BL43" s="214">
        <f t="shared" ref="BL43" si="73">BK47</f>
        <v>15536393.194483915</v>
      </c>
      <c r="BM43" s="214">
        <f t="shared" ref="BM43" si="74">BL47</f>
        <v>15536393.194483915</v>
      </c>
      <c r="BN43" s="214">
        <f t="shared" ref="BN43" si="75">BM47</f>
        <v>15536393.194483915</v>
      </c>
      <c r="BO43" s="214">
        <f t="shared" ref="BO43" si="76">BN47</f>
        <v>15536393.194483915</v>
      </c>
      <c r="BP43" s="793">
        <f t="shared" ref="BP43" si="77">BO47</f>
        <v>15536393.194483915</v>
      </c>
    </row>
    <row r="44" spans="2:68" ht="12" customHeight="1">
      <c r="B44" s="218"/>
      <c r="C44" s="246" t="s">
        <v>426</v>
      </c>
      <c r="D44" s="866"/>
      <c r="E44" s="214">
        <f>H44</f>
        <v>0</v>
      </c>
      <c r="F44" s="214">
        <f t="shared" ref="F44" si="78">SUM(I44:BP44)</f>
        <v>14628897.64947038</v>
      </c>
      <c r="G44" s="793">
        <f>SUM(E44:F44)</f>
        <v>14628897.64947038</v>
      </c>
      <c r="H44" s="845">
        <f>H14-H41</f>
        <v>0</v>
      </c>
      <c r="I44" s="901">
        <f>IF(I9="B/E",0,IF(I30&gt;I29,I30-I15-I13-I29,I32-I29))</f>
        <v>0</v>
      </c>
      <c r="J44" s="217">
        <f t="shared" ref="J44:BP44" si="79">IF(J9="B/E",0,IF(J30&gt;J29,J30-J15-J13-J29,J32-J29))</f>
        <v>0</v>
      </c>
      <c r="K44" s="217">
        <f t="shared" si="79"/>
        <v>0</v>
      </c>
      <c r="L44" s="217">
        <f t="shared" si="79"/>
        <v>0</v>
      </c>
      <c r="M44" s="217">
        <f t="shared" si="79"/>
        <v>0</v>
      </c>
      <c r="N44" s="217">
        <f t="shared" si="79"/>
        <v>0</v>
      </c>
      <c r="O44" s="217">
        <f t="shared" si="79"/>
        <v>0</v>
      </c>
      <c r="P44" s="867">
        <f t="shared" si="79"/>
        <v>0</v>
      </c>
      <c r="Q44" s="217">
        <f t="shared" si="79"/>
        <v>858023.92857142654</v>
      </c>
      <c r="R44" s="217">
        <f t="shared" si="79"/>
        <v>1249529.642857143</v>
      </c>
      <c r="S44" s="217">
        <f t="shared" si="79"/>
        <v>1249529.642857143</v>
      </c>
      <c r="T44" s="309">
        <f t="shared" si="79"/>
        <v>1249529.642857143</v>
      </c>
      <c r="U44" s="217">
        <f t="shared" si="79"/>
        <v>1249529.642857143</v>
      </c>
      <c r="V44" s="217">
        <f t="shared" si="79"/>
        <v>1249529.642857143</v>
      </c>
      <c r="W44" s="217">
        <f t="shared" si="79"/>
        <v>1249529.642857143</v>
      </c>
      <c r="X44" s="217">
        <f t="shared" si="79"/>
        <v>1249529.642857143</v>
      </c>
      <c r="Y44" s="217">
        <f t="shared" si="79"/>
        <v>1271327.7783404763</v>
      </c>
      <c r="Z44" s="217">
        <f t="shared" si="79"/>
        <v>1271327.7783404763</v>
      </c>
      <c r="AA44" s="217">
        <f t="shared" si="79"/>
        <v>1271327.7783404763</v>
      </c>
      <c r="AB44" s="217">
        <f t="shared" si="79"/>
        <v>1271327.7783404763</v>
      </c>
      <c r="AC44" s="217">
        <f t="shared" si="79"/>
        <v>32534.706498125001</v>
      </c>
      <c r="AD44" s="217">
        <f t="shared" si="79"/>
        <v>654.08675555001537</v>
      </c>
      <c r="AE44" s="217">
        <f t="shared" si="79"/>
        <v>-31226.532987024999</v>
      </c>
      <c r="AF44" s="309">
        <f t="shared" si="79"/>
        <v>-63107.152729599999</v>
      </c>
      <c r="AG44" s="217">
        <f t="shared" si="79"/>
        <v>0</v>
      </c>
      <c r="AH44" s="217">
        <f t="shared" si="79"/>
        <v>0</v>
      </c>
      <c r="AI44" s="217">
        <f t="shared" si="79"/>
        <v>0</v>
      </c>
      <c r="AJ44" s="217">
        <f t="shared" si="79"/>
        <v>0</v>
      </c>
      <c r="AK44" s="217">
        <f t="shared" si="79"/>
        <v>0</v>
      </c>
      <c r="AL44" s="217">
        <f t="shared" si="79"/>
        <v>0</v>
      </c>
      <c r="AM44" s="217">
        <f t="shared" si="79"/>
        <v>0</v>
      </c>
      <c r="AN44" s="217">
        <f t="shared" si="79"/>
        <v>0</v>
      </c>
      <c r="AO44" s="217">
        <f t="shared" si="79"/>
        <v>0</v>
      </c>
      <c r="AP44" s="217">
        <f t="shared" si="79"/>
        <v>0</v>
      </c>
      <c r="AQ44" s="217">
        <f t="shared" si="79"/>
        <v>0</v>
      </c>
      <c r="AR44" s="309">
        <f t="shared" si="79"/>
        <v>0</v>
      </c>
      <c r="AS44" s="214">
        <f t="shared" si="79"/>
        <v>0</v>
      </c>
      <c r="AT44" s="214">
        <f t="shared" si="79"/>
        <v>0</v>
      </c>
      <c r="AU44" s="214">
        <f t="shared" si="79"/>
        <v>0</v>
      </c>
      <c r="AV44" s="214">
        <f t="shared" si="79"/>
        <v>0</v>
      </c>
      <c r="AW44" s="214">
        <f t="shared" si="79"/>
        <v>0</v>
      </c>
      <c r="AX44" s="214">
        <f t="shared" si="79"/>
        <v>0</v>
      </c>
      <c r="AY44" s="214">
        <f t="shared" si="79"/>
        <v>0</v>
      </c>
      <c r="AZ44" s="214">
        <f t="shared" si="79"/>
        <v>0</v>
      </c>
      <c r="BA44" s="214">
        <f t="shared" si="79"/>
        <v>0</v>
      </c>
      <c r="BB44" s="214">
        <f t="shared" si="79"/>
        <v>0</v>
      </c>
      <c r="BC44" s="214">
        <f t="shared" si="79"/>
        <v>0</v>
      </c>
      <c r="BD44" s="310">
        <f t="shared" si="79"/>
        <v>0</v>
      </c>
      <c r="BE44" s="214">
        <f t="shared" si="79"/>
        <v>0</v>
      </c>
      <c r="BF44" s="214">
        <f t="shared" si="79"/>
        <v>0</v>
      </c>
      <c r="BG44" s="214">
        <f t="shared" si="79"/>
        <v>0</v>
      </c>
      <c r="BH44" s="214">
        <f t="shared" si="79"/>
        <v>0</v>
      </c>
      <c r="BI44" s="214">
        <f t="shared" si="79"/>
        <v>0</v>
      </c>
      <c r="BJ44" s="214">
        <f t="shared" si="79"/>
        <v>0</v>
      </c>
      <c r="BK44" s="214">
        <f t="shared" si="79"/>
        <v>0</v>
      </c>
      <c r="BL44" s="214">
        <f t="shared" si="79"/>
        <v>0</v>
      </c>
      <c r="BM44" s="214">
        <f t="shared" si="79"/>
        <v>0</v>
      </c>
      <c r="BN44" s="214">
        <f t="shared" si="79"/>
        <v>0</v>
      </c>
      <c r="BO44" s="214">
        <f t="shared" si="79"/>
        <v>0</v>
      </c>
      <c r="BP44" s="793">
        <f t="shared" si="79"/>
        <v>0</v>
      </c>
    </row>
    <row r="45" spans="2:68" ht="12" customHeight="1">
      <c r="B45" s="218"/>
      <c r="C45" s="246" t="s">
        <v>496</v>
      </c>
      <c r="D45" s="866"/>
      <c r="E45" s="214">
        <f>H45</f>
        <v>0</v>
      </c>
      <c r="F45" s="214">
        <f t="shared" ref="F45" si="80">SUM(I45:BP45)</f>
        <v>907495.54501353716</v>
      </c>
      <c r="G45" s="793">
        <f>SUM(E45:F45)</f>
        <v>907495.54501353716</v>
      </c>
      <c r="H45" s="845">
        <f>H41</f>
        <v>0</v>
      </c>
      <c r="I45" s="217">
        <f t="shared" ref="I45:AQ45" si="81">I41</f>
        <v>0</v>
      </c>
      <c r="J45" s="217">
        <f t="shared" si="81"/>
        <v>0</v>
      </c>
      <c r="K45" s="217">
        <f t="shared" si="81"/>
        <v>0</v>
      </c>
      <c r="L45" s="217">
        <f t="shared" si="81"/>
        <v>0</v>
      </c>
      <c r="M45" s="217">
        <f t="shared" si="81"/>
        <v>0</v>
      </c>
      <c r="N45" s="217">
        <f t="shared" si="81"/>
        <v>0</v>
      </c>
      <c r="O45" s="217">
        <f t="shared" si="81"/>
        <v>0</v>
      </c>
      <c r="P45" s="867">
        <f t="shared" si="81"/>
        <v>0</v>
      </c>
      <c r="Q45" s="217">
        <f t="shared" si="81"/>
        <v>0</v>
      </c>
      <c r="R45" s="217">
        <f t="shared" si="81"/>
        <v>5811.3431368770125</v>
      </c>
      <c r="S45" s="217">
        <f t="shared" si="81"/>
        <v>14240.998512080385</v>
      </c>
      <c r="T45" s="309">
        <f t="shared" si="81"/>
        <v>22756.970221135954</v>
      </c>
      <c r="U45" s="217">
        <f t="shared" si="81"/>
        <v>30924.648398126807</v>
      </c>
      <c r="V45" s="217">
        <f t="shared" si="81"/>
        <v>39074.021844872266</v>
      </c>
      <c r="W45" s="217">
        <f t="shared" si="81"/>
        <v>47261.657685302729</v>
      </c>
      <c r="X45" s="217">
        <f t="shared" si="81"/>
        <v>55400.628895564296</v>
      </c>
      <c r="Y45" s="217">
        <f t="shared" si="81"/>
        <v>63510.122240879326</v>
      </c>
      <c r="Z45" s="217">
        <f t="shared" si="81"/>
        <v>71760.633115827484</v>
      </c>
      <c r="AA45" s="217">
        <f t="shared" si="81"/>
        <v>80023.557917980754</v>
      </c>
      <c r="AB45" s="217">
        <f t="shared" si="81"/>
        <v>88273.984571231733</v>
      </c>
      <c r="AC45" s="217">
        <f t="shared" si="81"/>
        <v>96577.453801567259</v>
      </c>
      <c r="AD45" s="217">
        <f t="shared" si="81"/>
        <v>97055.835271822842</v>
      </c>
      <c r="AE45" s="217">
        <f t="shared" si="81"/>
        <v>97353.285613242246</v>
      </c>
      <c r="AF45" s="309">
        <f t="shared" si="81"/>
        <v>97470.40378702624</v>
      </c>
      <c r="AG45" s="217">
        <f t="shared" si="81"/>
        <v>0</v>
      </c>
      <c r="AH45" s="217">
        <f t="shared" si="81"/>
        <v>0</v>
      </c>
      <c r="AI45" s="217">
        <f t="shared" si="81"/>
        <v>0</v>
      </c>
      <c r="AJ45" s="217">
        <f t="shared" si="81"/>
        <v>0</v>
      </c>
      <c r="AK45" s="217">
        <f t="shared" si="81"/>
        <v>0</v>
      </c>
      <c r="AL45" s="217">
        <f t="shared" si="81"/>
        <v>0</v>
      </c>
      <c r="AM45" s="217">
        <f t="shared" si="81"/>
        <v>0</v>
      </c>
      <c r="AN45" s="217">
        <f t="shared" si="81"/>
        <v>0</v>
      </c>
      <c r="AO45" s="217">
        <f t="shared" si="81"/>
        <v>0</v>
      </c>
      <c r="AP45" s="217">
        <f t="shared" si="81"/>
        <v>0</v>
      </c>
      <c r="AQ45" s="217">
        <f t="shared" si="81"/>
        <v>0</v>
      </c>
      <c r="AR45" s="309">
        <f t="shared" ref="AR45:BP45" si="82">AR41</f>
        <v>0</v>
      </c>
      <c r="AS45" s="214">
        <f t="shared" si="82"/>
        <v>0</v>
      </c>
      <c r="AT45" s="214">
        <f t="shared" si="82"/>
        <v>0</v>
      </c>
      <c r="AU45" s="214">
        <f t="shared" si="82"/>
        <v>0</v>
      </c>
      <c r="AV45" s="214">
        <f t="shared" si="82"/>
        <v>0</v>
      </c>
      <c r="AW45" s="214">
        <f t="shared" si="82"/>
        <v>0</v>
      </c>
      <c r="AX45" s="214">
        <f t="shared" si="82"/>
        <v>0</v>
      </c>
      <c r="AY45" s="214">
        <f t="shared" si="82"/>
        <v>0</v>
      </c>
      <c r="AZ45" s="214">
        <f t="shared" si="82"/>
        <v>0</v>
      </c>
      <c r="BA45" s="214">
        <f t="shared" si="82"/>
        <v>0</v>
      </c>
      <c r="BB45" s="214">
        <f t="shared" si="82"/>
        <v>0</v>
      </c>
      <c r="BC45" s="214">
        <f t="shared" si="82"/>
        <v>0</v>
      </c>
      <c r="BD45" s="310">
        <f t="shared" si="82"/>
        <v>0</v>
      </c>
      <c r="BE45" s="214">
        <f t="shared" si="82"/>
        <v>0</v>
      </c>
      <c r="BF45" s="214">
        <f t="shared" si="82"/>
        <v>0</v>
      </c>
      <c r="BG45" s="214">
        <f t="shared" si="82"/>
        <v>0</v>
      </c>
      <c r="BH45" s="214">
        <f t="shared" si="82"/>
        <v>0</v>
      </c>
      <c r="BI45" s="214">
        <f t="shared" si="82"/>
        <v>0</v>
      </c>
      <c r="BJ45" s="214">
        <f t="shared" si="82"/>
        <v>0</v>
      </c>
      <c r="BK45" s="214">
        <f t="shared" si="82"/>
        <v>0</v>
      </c>
      <c r="BL45" s="214">
        <f t="shared" si="82"/>
        <v>0</v>
      </c>
      <c r="BM45" s="214">
        <f t="shared" si="82"/>
        <v>0</v>
      </c>
      <c r="BN45" s="214">
        <f t="shared" si="82"/>
        <v>0</v>
      </c>
      <c r="BO45" s="214">
        <f t="shared" si="82"/>
        <v>0</v>
      </c>
      <c r="BP45" s="793">
        <f t="shared" si="82"/>
        <v>0</v>
      </c>
    </row>
    <row r="46" spans="2:68" ht="12" customHeight="1">
      <c r="B46" s="218"/>
      <c r="C46" s="246" t="s">
        <v>425</v>
      </c>
      <c r="D46" s="866"/>
      <c r="E46" s="222"/>
      <c r="F46" s="214"/>
      <c r="G46" s="868"/>
      <c r="H46" s="855">
        <v>0</v>
      </c>
      <c r="I46" s="224">
        <v>0</v>
      </c>
      <c r="J46" s="224">
        <v>0</v>
      </c>
      <c r="K46" s="224">
        <v>0</v>
      </c>
      <c r="L46" s="224">
        <v>0</v>
      </c>
      <c r="M46" s="224">
        <v>0</v>
      </c>
      <c r="N46" s="224">
        <v>0</v>
      </c>
      <c r="O46" s="224">
        <v>0</v>
      </c>
      <c r="P46" s="224">
        <v>0</v>
      </c>
      <c r="Q46" s="224">
        <v>0</v>
      </c>
      <c r="R46" s="224">
        <v>0</v>
      </c>
      <c r="S46" s="224">
        <v>0</v>
      </c>
      <c r="T46" s="312">
        <v>0</v>
      </c>
      <c r="U46" s="224">
        <v>0</v>
      </c>
      <c r="V46" s="224">
        <v>0</v>
      </c>
      <c r="W46" s="224">
        <v>0</v>
      </c>
      <c r="X46" s="224">
        <v>0</v>
      </c>
      <c r="Y46" s="224">
        <v>0</v>
      </c>
      <c r="Z46" s="224">
        <v>0</v>
      </c>
      <c r="AA46" s="224">
        <v>0</v>
      </c>
      <c r="AB46" s="224">
        <v>0</v>
      </c>
      <c r="AC46" s="224">
        <v>0</v>
      </c>
      <c r="AD46" s="224">
        <v>0</v>
      </c>
      <c r="AE46" s="224">
        <v>0</v>
      </c>
      <c r="AF46" s="312">
        <v>0</v>
      </c>
      <c r="AG46" s="224">
        <v>0</v>
      </c>
      <c r="AH46" s="224">
        <v>0</v>
      </c>
      <c r="AI46" s="224">
        <v>0</v>
      </c>
      <c r="AJ46" s="224">
        <v>0</v>
      </c>
      <c r="AK46" s="224">
        <v>0</v>
      </c>
      <c r="AL46" s="224">
        <v>0</v>
      </c>
      <c r="AM46" s="224">
        <v>0</v>
      </c>
      <c r="AN46" s="224">
        <v>0</v>
      </c>
      <c r="AO46" s="224">
        <v>0</v>
      </c>
      <c r="AP46" s="224">
        <v>0</v>
      </c>
      <c r="AQ46" s="224">
        <v>0</v>
      </c>
      <c r="AR46" s="312">
        <v>0</v>
      </c>
      <c r="AS46" s="214">
        <v>0</v>
      </c>
      <c r="AT46" s="214">
        <v>0</v>
      </c>
      <c r="AU46" s="214">
        <v>0</v>
      </c>
      <c r="AV46" s="214">
        <v>0</v>
      </c>
      <c r="AW46" s="214">
        <v>0</v>
      </c>
      <c r="AX46" s="214">
        <v>0</v>
      </c>
      <c r="AY46" s="214">
        <v>0</v>
      </c>
      <c r="AZ46" s="214">
        <v>0</v>
      </c>
      <c r="BA46" s="214">
        <v>0</v>
      </c>
      <c r="BB46" s="214">
        <v>0</v>
      </c>
      <c r="BC46" s="214">
        <v>0</v>
      </c>
      <c r="BD46" s="310">
        <v>0</v>
      </c>
      <c r="BE46" s="214">
        <v>0</v>
      </c>
      <c r="BF46" s="214">
        <v>0</v>
      </c>
      <c r="BG46" s="214">
        <v>0</v>
      </c>
      <c r="BH46" s="214">
        <v>0</v>
      </c>
      <c r="BI46" s="214">
        <v>0</v>
      </c>
      <c r="BJ46" s="214">
        <v>0</v>
      </c>
      <c r="BK46" s="214">
        <v>0</v>
      </c>
      <c r="BL46" s="214">
        <v>0</v>
      </c>
      <c r="BM46" s="214">
        <v>0</v>
      </c>
      <c r="BN46" s="214">
        <v>0</v>
      </c>
      <c r="BO46" s="214">
        <v>0</v>
      </c>
      <c r="BP46" s="793">
        <v>0</v>
      </c>
    </row>
    <row r="47" spans="2:68" s="722" customFormat="1" ht="12" customHeight="1" thickBot="1">
      <c r="B47" s="718" t="s">
        <v>428</v>
      </c>
      <c r="C47" s="719"/>
      <c r="D47" s="720"/>
      <c r="E47" s="721"/>
      <c r="F47" s="721"/>
      <c r="G47" s="721">
        <f>SUM(G44:G46)</f>
        <v>15536393.194483917</v>
      </c>
      <c r="H47" s="869">
        <f t="shared" ref="H47:AQ47" si="83">SUM(H43:H46)</f>
        <v>0</v>
      </c>
      <c r="I47" s="870">
        <f t="shared" si="83"/>
        <v>0</v>
      </c>
      <c r="J47" s="870">
        <f t="shared" si="83"/>
        <v>0</v>
      </c>
      <c r="K47" s="870">
        <f t="shared" si="83"/>
        <v>0</v>
      </c>
      <c r="L47" s="870">
        <f t="shared" si="83"/>
        <v>0</v>
      </c>
      <c r="M47" s="870">
        <f t="shared" si="83"/>
        <v>0</v>
      </c>
      <c r="N47" s="870">
        <f t="shared" si="83"/>
        <v>0</v>
      </c>
      <c r="O47" s="870">
        <f t="shared" si="83"/>
        <v>0</v>
      </c>
      <c r="P47" s="870">
        <f t="shared" si="83"/>
        <v>0</v>
      </c>
      <c r="Q47" s="870">
        <f t="shared" si="83"/>
        <v>858023.92857142654</v>
      </c>
      <c r="R47" s="870">
        <f t="shared" si="83"/>
        <v>2113364.9145654463</v>
      </c>
      <c r="S47" s="870">
        <f t="shared" si="83"/>
        <v>3377135.5559346699</v>
      </c>
      <c r="T47" s="871">
        <f t="shared" si="83"/>
        <v>4649422.1690129489</v>
      </c>
      <c r="U47" s="870">
        <f t="shared" si="83"/>
        <v>5929876.4602682181</v>
      </c>
      <c r="V47" s="870">
        <f t="shared" si="83"/>
        <v>7218480.1249702331</v>
      </c>
      <c r="W47" s="870">
        <f t="shared" si="83"/>
        <v>8515271.4255126789</v>
      </c>
      <c r="X47" s="870">
        <f t="shared" si="83"/>
        <v>9820201.6972653866</v>
      </c>
      <c r="Y47" s="870">
        <f t="shared" si="83"/>
        <v>11155039.597846741</v>
      </c>
      <c r="Z47" s="870">
        <f t="shared" si="83"/>
        <v>12498128.009303045</v>
      </c>
      <c r="AA47" s="870">
        <f t="shared" si="83"/>
        <v>13849479.345561501</v>
      </c>
      <c r="AB47" s="870">
        <f t="shared" si="83"/>
        <v>15209081.108473208</v>
      </c>
      <c r="AC47" s="870">
        <f t="shared" si="83"/>
        <v>15338193.2687729</v>
      </c>
      <c r="AD47" s="870">
        <f t="shared" si="83"/>
        <v>15435903.190800272</v>
      </c>
      <c r="AE47" s="870">
        <f t="shared" si="83"/>
        <v>15502029.94342649</v>
      </c>
      <c r="AF47" s="871">
        <f t="shared" si="83"/>
        <v>15536393.194483915</v>
      </c>
      <c r="AG47" s="870">
        <f t="shared" si="83"/>
        <v>15536393.194483915</v>
      </c>
      <c r="AH47" s="870">
        <f t="shared" si="83"/>
        <v>15536393.194483915</v>
      </c>
      <c r="AI47" s="870">
        <f t="shared" si="83"/>
        <v>15536393.194483915</v>
      </c>
      <c r="AJ47" s="870">
        <f t="shared" si="83"/>
        <v>15536393.194483915</v>
      </c>
      <c r="AK47" s="870">
        <f t="shared" si="83"/>
        <v>15536393.194483915</v>
      </c>
      <c r="AL47" s="870">
        <f t="shared" si="83"/>
        <v>15536393.194483915</v>
      </c>
      <c r="AM47" s="870">
        <f t="shared" si="83"/>
        <v>15536393.194483915</v>
      </c>
      <c r="AN47" s="870">
        <f t="shared" si="83"/>
        <v>15536393.194483915</v>
      </c>
      <c r="AO47" s="870">
        <f t="shared" si="83"/>
        <v>15536393.194483915</v>
      </c>
      <c r="AP47" s="870">
        <f t="shared" si="83"/>
        <v>15536393.194483915</v>
      </c>
      <c r="AQ47" s="870">
        <f t="shared" si="83"/>
        <v>15536393.194483915</v>
      </c>
      <c r="AR47" s="871">
        <f t="shared" ref="AR47:BP47" si="84">SUM(AR43:AR46)</f>
        <v>15536393.194483915</v>
      </c>
      <c r="AS47" s="721">
        <f t="shared" si="84"/>
        <v>15536393.194483915</v>
      </c>
      <c r="AT47" s="721">
        <f t="shared" si="84"/>
        <v>15536393.194483915</v>
      </c>
      <c r="AU47" s="721">
        <f t="shared" si="84"/>
        <v>15536393.194483915</v>
      </c>
      <c r="AV47" s="721">
        <f t="shared" si="84"/>
        <v>15536393.194483915</v>
      </c>
      <c r="AW47" s="721">
        <f t="shared" si="84"/>
        <v>15536393.194483915</v>
      </c>
      <c r="AX47" s="721">
        <f t="shared" si="84"/>
        <v>15536393.194483915</v>
      </c>
      <c r="AY47" s="721">
        <f t="shared" si="84"/>
        <v>15536393.194483915</v>
      </c>
      <c r="AZ47" s="721">
        <f t="shared" si="84"/>
        <v>15536393.194483915</v>
      </c>
      <c r="BA47" s="721">
        <f t="shared" si="84"/>
        <v>15536393.194483915</v>
      </c>
      <c r="BB47" s="721">
        <f t="shared" si="84"/>
        <v>15536393.194483915</v>
      </c>
      <c r="BC47" s="721">
        <f t="shared" si="84"/>
        <v>15536393.194483915</v>
      </c>
      <c r="BD47" s="872">
        <f t="shared" si="84"/>
        <v>15536393.194483915</v>
      </c>
      <c r="BE47" s="721">
        <f t="shared" si="84"/>
        <v>15536393.194483915</v>
      </c>
      <c r="BF47" s="721">
        <f t="shared" si="84"/>
        <v>15536393.194483915</v>
      </c>
      <c r="BG47" s="721">
        <f t="shared" si="84"/>
        <v>15536393.194483915</v>
      </c>
      <c r="BH47" s="721">
        <f t="shared" si="84"/>
        <v>15536393.194483915</v>
      </c>
      <c r="BI47" s="721">
        <f t="shared" si="84"/>
        <v>15536393.194483915</v>
      </c>
      <c r="BJ47" s="721">
        <f t="shared" si="84"/>
        <v>15536393.194483915</v>
      </c>
      <c r="BK47" s="721">
        <f t="shared" si="84"/>
        <v>15536393.194483915</v>
      </c>
      <c r="BL47" s="721">
        <f t="shared" si="84"/>
        <v>15536393.194483915</v>
      </c>
      <c r="BM47" s="721">
        <f t="shared" si="84"/>
        <v>15536393.194483915</v>
      </c>
      <c r="BN47" s="721">
        <f t="shared" si="84"/>
        <v>15536393.194483915</v>
      </c>
      <c r="BO47" s="721">
        <f t="shared" si="84"/>
        <v>15536393.194483915</v>
      </c>
      <c r="BP47" s="873">
        <f t="shared" si="84"/>
        <v>15536393.194483915</v>
      </c>
    </row>
    <row r="48" spans="2:68" ht="12" customHeight="1">
      <c r="B48" s="250" t="s">
        <v>483</v>
      </c>
      <c r="C48" s="863"/>
      <c r="D48" s="864"/>
      <c r="E48" s="874"/>
      <c r="F48" s="875"/>
      <c r="G48" s="874"/>
      <c r="H48" s="856"/>
      <c r="I48" s="792"/>
      <c r="J48" s="792"/>
      <c r="K48" s="792"/>
      <c r="L48" s="792"/>
      <c r="M48" s="792"/>
      <c r="N48" s="792"/>
      <c r="O48" s="792"/>
      <c r="P48" s="792"/>
      <c r="Q48" s="792"/>
      <c r="R48" s="792"/>
      <c r="S48" s="792"/>
      <c r="T48" s="496"/>
      <c r="U48" s="792"/>
      <c r="V48" s="792"/>
      <c r="W48" s="792"/>
      <c r="X48" s="792"/>
      <c r="Y48" s="792"/>
      <c r="Z48" s="792"/>
      <c r="AA48" s="792"/>
      <c r="AB48" s="792"/>
      <c r="AC48" s="792"/>
      <c r="AD48" s="792"/>
      <c r="AE48" s="792"/>
      <c r="AF48" s="496"/>
      <c r="AG48" s="792"/>
      <c r="AH48" s="792"/>
      <c r="AI48" s="792"/>
      <c r="AJ48" s="792"/>
      <c r="AK48" s="792"/>
      <c r="AL48" s="792"/>
      <c r="AM48" s="792"/>
      <c r="AN48" s="792"/>
      <c r="AO48" s="1094"/>
      <c r="AP48" s="792"/>
      <c r="AQ48" s="1094"/>
      <c r="AR48" s="728"/>
      <c r="AS48" s="876"/>
      <c r="AT48" s="876"/>
      <c r="AU48" s="876"/>
      <c r="AV48" s="876"/>
      <c r="AW48" s="876"/>
      <c r="AX48" s="876"/>
      <c r="AY48" s="876"/>
      <c r="AZ48" s="876"/>
      <c r="BA48" s="876"/>
      <c r="BB48" s="876"/>
      <c r="BC48" s="876"/>
      <c r="BD48" s="728"/>
      <c r="BE48" s="876"/>
      <c r="BF48" s="876"/>
      <c r="BG48" s="876"/>
      <c r="BH48" s="876"/>
      <c r="BI48" s="876"/>
      <c r="BJ48" s="876"/>
      <c r="BK48" s="876"/>
      <c r="BL48" s="876"/>
      <c r="BM48" s="876"/>
      <c r="BN48" s="876"/>
      <c r="BO48" s="876"/>
      <c r="BP48" s="877"/>
    </row>
    <row r="49" spans="2:68" ht="12" customHeight="1">
      <c r="B49" s="218" t="s">
        <v>429</v>
      </c>
      <c r="D49" s="793"/>
      <c r="E49" s="254"/>
      <c r="F49" s="878"/>
      <c r="G49" s="254"/>
      <c r="H49" s="845">
        <v>0</v>
      </c>
      <c r="I49" s="217">
        <f>H52</f>
        <v>5309435</v>
      </c>
      <c r="J49" s="217">
        <f t="shared" ref="J49:BP49" si="85">I52</f>
        <v>5342768.333333333</v>
      </c>
      <c r="K49" s="217">
        <f t="shared" si="85"/>
        <v>5376101.666666666</v>
      </c>
      <c r="L49" s="217">
        <f t="shared" si="85"/>
        <v>5409434.9999999991</v>
      </c>
      <c r="M49" s="217">
        <f t="shared" si="85"/>
        <v>5442768.3333333321</v>
      </c>
      <c r="N49" s="217">
        <f t="shared" si="85"/>
        <v>5476101.6666666651</v>
      </c>
      <c r="O49" s="217">
        <f t="shared" si="85"/>
        <v>5509434.9999999981</v>
      </c>
      <c r="P49" s="217">
        <f t="shared" si="85"/>
        <v>6758964.6428571409</v>
      </c>
      <c r="Q49" s="217">
        <f t="shared" si="85"/>
        <v>8008494.2857142836</v>
      </c>
      <c r="R49" s="217">
        <f t="shared" si="85"/>
        <v>8400000</v>
      </c>
      <c r="S49" s="217">
        <f t="shared" si="85"/>
        <v>8400000</v>
      </c>
      <c r="T49" s="309">
        <f t="shared" si="85"/>
        <v>8400000</v>
      </c>
      <c r="U49" s="217">
        <f t="shared" si="85"/>
        <v>8400000</v>
      </c>
      <c r="V49" s="217">
        <f t="shared" si="85"/>
        <v>8400000</v>
      </c>
      <c r="W49" s="217">
        <f t="shared" si="85"/>
        <v>8400000</v>
      </c>
      <c r="X49" s="217">
        <f t="shared" si="85"/>
        <v>8400000</v>
      </c>
      <c r="Y49" s="217">
        <f t="shared" si="85"/>
        <v>8400000</v>
      </c>
      <c r="Z49" s="217">
        <f t="shared" si="85"/>
        <v>8400000</v>
      </c>
      <c r="AA49" s="217">
        <f t="shared" si="85"/>
        <v>8400000</v>
      </c>
      <c r="AB49" s="217">
        <f t="shared" si="85"/>
        <v>8400000</v>
      </c>
      <c r="AC49" s="217">
        <f t="shared" si="85"/>
        <v>8400000</v>
      </c>
      <c r="AD49" s="217">
        <f t="shared" si="85"/>
        <v>8400000</v>
      </c>
      <c r="AE49" s="217">
        <f t="shared" si="85"/>
        <v>8400000</v>
      </c>
      <c r="AF49" s="309">
        <f t="shared" si="85"/>
        <v>8400000</v>
      </c>
      <c r="AG49" s="217">
        <f t="shared" si="85"/>
        <v>8400000</v>
      </c>
      <c r="AH49" s="217">
        <f t="shared" si="85"/>
        <v>8400000</v>
      </c>
      <c r="AI49" s="217">
        <f t="shared" si="85"/>
        <v>8400000</v>
      </c>
      <c r="AJ49" s="217">
        <f t="shared" si="85"/>
        <v>8400000</v>
      </c>
      <c r="AK49" s="217">
        <f t="shared" si="85"/>
        <v>8400000</v>
      </c>
      <c r="AL49" s="217">
        <f t="shared" si="85"/>
        <v>8400000</v>
      </c>
      <c r="AM49" s="217">
        <f t="shared" si="85"/>
        <v>8400000</v>
      </c>
      <c r="AN49" s="217">
        <f t="shared" si="85"/>
        <v>8400000</v>
      </c>
      <c r="AO49" s="217">
        <f t="shared" si="85"/>
        <v>8400000</v>
      </c>
      <c r="AP49" s="217">
        <f t="shared" si="85"/>
        <v>8400000</v>
      </c>
      <c r="AQ49" s="217">
        <f t="shared" si="85"/>
        <v>8400000</v>
      </c>
      <c r="AR49" s="310">
        <f t="shared" si="85"/>
        <v>8400000</v>
      </c>
      <c r="AS49" s="214">
        <f t="shared" si="85"/>
        <v>8400000</v>
      </c>
      <c r="AT49" s="214">
        <f t="shared" si="85"/>
        <v>8400000</v>
      </c>
      <c r="AU49" s="214">
        <f t="shared" si="85"/>
        <v>8400000</v>
      </c>
      <c r="AV49" s="214">
        <f t="shared" si="85"/>
        <v>8400000</v>
      </c>
      <c r="AW49" s="214">
        <f t="shared" si="85"/>
        <v>8400000</v>
      </c>
      <c r="AX49" s="214">
        <f t="shared" si="85"/>
        <v>8400000</v>
      </c>
      <c r="AY49" s="214">
        <f t="shared" si="85"/>
        <v>8400000</v>
      </c>
      <c r="AZ49" s="214">
        <f t="shared" si="85"/>
        <v>8400000</v>
      </c>
      <c r="BA49" s="214">
        <f t="shared" si="85"/>
        <v>8400000</v>
      </c>
      <c r="BB49" s="214">
        <f t="shared" si="85"/>
        <v>8400000</v>
      </c>
      <c r="BC49" s="214">
        <f t="shared" si="85"/>
        <v>8400000</v>
      </c>
      <c r="BD49" s="310">
        <f t="shared" si="85"/>
        <v>8400000</v>
      </c>
      <c r="BE49" s="214">
        <f t="shared" si="85"/>
        <v>8400000</v>
      </c>
      <c r="BF49" s="214">
        <f t="shared" si="85"/>
        <v>8400000</v>
      </c>
      <c r="BG49" s="214">
        <f t="shared" si="85"/>
        <v>8400000</v>
      </c>
      <c r="BH49" s="214">
        <f t="shared" si="85"/>
        <v>8400000</v>
      </c>
      <c r="BI49" s="214">
        <f t="shared" si="85"/>
        <v>8400000</v>
      </c>
      <c r="BJ49" s="214">
        <f t="shared" si="85"/>
        <v>8400000</v>
      </c>
      <c r="BK49" s="214">
        <f t="shared" si="85"/>
        <v>8400000</v>
      </c>
      <c r="BL49" s="214">
        <f t="shared" si="85"/>
        <v>8400000</v>
      </c>
      <c r="BM49" s="214">
        <f t="shared" si="85"/>
        <v>8400000</v>
      </c>
      <c r="BN49" s="214">
        <f t="shared" si="85"/>
        <v>8400000</v>
      </c>
      <c r="BO49" s="214">
        <f t="shared" si="85"/>
        <v>8400000</v>
      </c>
      <c r="BP49" s="793">
        <f t="shared" si="85"/>
        <v>8400000</v>
      </c>
    </row>
    <row r="50" spans="2:68" ht="12" customHeight="1">
      <c r="B50" s="218"/>
      <c r="C50" s="246" t="s">
        <v>426</v>
      </c>
      <c r="D50" s="787"/>
      <c r="E50" s="214">
        <f>H50</f>
        <v>5309435</v>
      </c>
      <c r="F50" s="214">
        <f t="shared" ref="F50" si="86">SUM(I50:BP50)</f>
        <v>3090565.0000000023</v>
      </c>
      <c r="G50" s="793">
        <f>SUM(E50:F50)</f>
        <v>8400000.0000000019</v>
      </c>
      <c r="H50" s="845">
        <f>H15</f>
        <v>5309435</v>
      </c>
      <c r="I50" s="217">
        <f>I15</f>
        <v>33333.333333333336</v>
      </c>
      <c r="J50" s="217">
        <f t="shared" ref="J50:BP50" si="87">J15</f>
        <v>33333.333333333336</v>
      </c>
      <c r="K50" s="217">
        <f t="shared" si="87"/>
        <v>33333.333333333336</v>
      </c>
      <c r="L50" s="217">
        <f t="shared" si="87"/>
        <v>33333.333333333336</v>
      </c>
      <c r="M50" s="217">
        <f t="shared" si="87"/>
        <v>33333.333333333336</v>
      </c>
      <c r="N50" s="217">
        <f t="shared" si="87"/>
        <v>33333.333333333336</v>
      </c>
      <c r="O50" s="217">
        <f t="shared" si="87"/>
        <v>1249529.642857143</v>
      </c>
      <c r="P50" s="217">
        <f t="shared" si="87"/>
        <v>1249529.642857143</v>
      </c>
      <c r="Q50" s="217">
        <f t="shared" si="87"/>
        <v>391505.71428571641</v>
      </c>
      <c r="R50" s="217">
        <f t="shared" si="87"/>
        <v>0</v>
      </c>
      <c r="S50" s="217">
        <f t="shared" si="87"/>
        <v>0</v>
      </c>
      <c r="T50" s="309">
        <f t="shared" si="87"/>
        <v>0</v>
      </c>
      <c r="U50" s="217">
        <f t="shared" si="87"/>
        <v>0</v>
      </c>
      <c r="V50" s="217">
        <f t="shared" si="87"/>
        <v>0</v>
      </c>
      <c r="W50" s="217">
        <f t="shared" si="87"/>
        <v>0</v>
      </c>
      <c r="X50" s="217">
        <f t="shared" si="87"/>
        <v>0</v>
      </c>
      <c r="Y50" s="217">
        <f t="shared" si="87"/>
        <v>0</v>
      </c>
      <c r="Z50" s="217">
        <f t="shared" si="87"/>
        <v>0</v>
      </c>
      <c r="AA50" s="217">
        <f t="shared" si="87"/>
        <v>0</v>
      </c>
      <c r="AB50" s="217">
        <f t="shared" si="87"/>
        <v>0</v>
      </c>
      <c r="AC50" s="217">
        <f t="shared" si="87"/>
        <v>0</v>
      </c>
      <c r="AD50" s="217">
        <f t="shared" si="87"/>
        <v>0</v>
      </c>
      <c r="AE50" s="217">
        <f t="shared" si="87"/>
        <v>0</v>
      </c>
      <c r="AF50" s="309">
        <f t="shared" si="87"/>
        <v>0</v>
      </c>
      <c r="AG50" s="217">
        <f t="shared" si="87"/>
        <v>0</v>
      </c>
      <c r="AH50" s="217">
        <f t="shared" si="87"/>
        <v>0</v>
      </c>
      <c r="AI50" s="217">
        <f t="shared" si="87"/>
        <v>0</v>
      </c>
      <c r="AJ50" s="217">
        <f t="shared" si="87"/>
        <v>0</v>
      </c>
      <c r="AK50" s="217">
        <f t="shared" si="87"/>
        <v>0</v>
      </c>
      <c r="AL50" s="217">
        <f t="shared" si="87"/>
        <v>0</v>
      </c>
      <c r="AM50" s="217">
        <f t="shared" si="87"/>
        <v>0</v>
      </c>
      <c r="AN50" s="217">
        <f t="shared" si="87"/>
        <v>0</v>
      </c>
      <c r="AO50" s="217">
        <f t="shared" si="87"/>
        <v>0</v>
      </c>
      <c r="AP50" s="217">
        <f t="shared" si="87"/>
        <v>0</v>
      </c>
      <c r="AQ50" s="217">
        <f t="shared" si="87"/>
        <v>0</v>
      </c>
      <c r="AR50" s="310">
        <f t="shared" si="87"/>
        <v>0</v>
      </c>
      <c r="AS50" s="214">
        <f t="shared" si="87"/>
        <v>0</v>
      </c>
      <c r="AT50" s="214">
        <f t="shared" si="87"/>
        <v>0</v>
      </c>
      <c r="AU50" s="214">
        <f t="shared" si="87"/>
        <v>0</v>
      </c>
      <c r="AV50" s="214">
        <f t="shared" si="87"/>
        <v>0</v>
      </c>
      <c r="AW50" s="214">
        <f t="shared" si="87"/>
        <v>0</v>
      </c>
      <c r="AX50" s="214">
        <f t="shared" si="87"/>
        <v>0</v>
      </c>
      <c r="AY50" s="214">
        <f t="shared" si="87"/>
        <v>0</v>
      </c>
      <c r="AZ50" s="214">
        <f t="shared" si="87"/>
        <v>0</v>
      </c>
      <c r="BA50" s="214">
        <f t="shared" si="87"/>
        <v>0</v>
      </c>
      <c r="BB50" s="214">
        <f t="shared" si="87"/>
        <v>0</v>
      </c>
      <c r="BC50" s="214">
        <f t="shared" si="87"/>
        <v>0</v>
      </c>
      <c r="BD50" s="310">
        <f t="shared" si="87"/>
        <v>0</v>
      </c>
      <c r="BE50" s="214">
        <f t="shared" si="87"/>
        <v>0</v>
      </c>
      <c r="BF50" s="214">
        <f t="shared" si="87"/>
        <v>0</v>
      </c>
      <c r="BG50" s="214">
        <f t="shared" si="87"/>
        <v>0</v>
      </c>
      <c r="BH50" s="214">
        <f t="shared" si="87"/>
        <v>0</v>
      </c>
      <c r="BI50" s="214">
        <f t="shared" si="87"/>
        <v>0</v>
      </c>
      <c r="BJ50" s="214">
        <f t="shared" si="87"/>
        <v>0</v>
      </c>
      <c r="BK50" s="214">
        <f t="shared" si="87"/>
        <v>0</v>
      </c>
      <c r="BL50" s="214">
        <f t="shared" si="87"/>
        <v>0</v>
      </c>
      <c r="BM50" s="214">
        <f t="shared" si="87"/>
        <v>0</v>
      </c>
      <c r="BN50" s="214">
        <f t="shared" si="87"/>
        <v>0</v>
      </c>
      <c r="BO50" s="214">
        <f t="shared" si="87"/>
        <v>0</v>
      </c>
      <c r="BP50" s="793">
        <f t="shared" si="87"/>
        <v>0</v>
      </c>
    </row>
    <row r="51" spans="2:68" ht="12" customHeight="1">
      <c r="B51" s="218"/>
      <c r="C51" s="246" t="s">
        <v>425</v>
      </c>
      <c r="D51" s="787"/>
      <c r="E51" s="254"/>
      <c r="F51" s="878"/>
      <c r="G51" s="254"/>
      <c r="H51" s="845">
        <v>0</v>
      </c>
      <c r="I51" s="217">
        <v>0</v>
      </c>
      <c r="J51" s="217">
        <v>0</v>
      </c>
      <c r="K51" s="217">
        <v>0</v>
      </c>
      <c r="L51" s="217">
        <v>0</v>
      </c>
      <c r="M51" s="217">
        <v>0</v>
      </c>
      <c r="N51" s="217">
        <v>0</v>
      </c>
      <c r="O51" s="217">
        <v>0</v>
      </c>
      <c r="P51" s="217">
        <v>0</v>
      </c>
      <c r="Q51" s="217">
        <v>0</v>
      </c>
      <c r="R51" s="217">
        <v>0</v>
      </c>
      <c r="S51" s="217">
        <v>0</v>
      </c>
      <c r="T51" s="309">
        <v>0</v>
      </c>
      <c r="U51" s="217">
        <v>0</v>
      </c>
      <c r="V51" s="217">
        <v>0</v>
      </c>
      <c r="W51" s="217">
        <v>0</v>
      </c>
      <c r="X51" s="217">
        <v>0</v>
      </c>
      <c r="Y51" s="217">
        <v>0</v>
      </c>
      <c r="Z51" s="217">
        <v>0</v>
      </c>
      <c r="AA51" s="217">
        <v>0</v>
      </c>
      <c r="AB51" s="217">
        <v>0</v>
      </c>
      <c r="AC51" s="217">
        <v>0</v>
      </c>
      <c r="AD51" s="217">
        <v>0</v>
      </c>
      <c r="AE51" s="217">
        <v>0</v>
      </c>
      <c r="AF51" s="309">
        <v>0</v>
      </c>
      <c r="AG51" s="217">
        <v>0</v>
      </c>
      <c r="AH51" s="217">
        <v>0</v>
      </c>
      <c r="AI51" s="217">
        <v>0</v>
      </c>
      <c r="AJ51" s="217">
        <v>0</v>
      </c>
      <c r="AK51" s="217">
        <v>0</v>
      </c>
      <c r="AL51" s="217">
        <v>0</v>
      </c>
      <c r="AM51" s="217">
        <v>0</v>
      </c>
      <c r="AN51" s="217">
        <v>0</v>
      </c>
      <c r="AO51" s="217">
        <v>0</v>
      </c>
      <c r="AP51" s="217">
        <v>0</v>
      </c>
      <c r="AQ51" s="217">
        <v>0</v>
      </c>
      <c r="AR51" s="310">
        <v>0</v>
      </c>
      <c r="AS51" s="214">
        <v>0</v>
      </c>
      <c r="AT51" s="214">
        <v>0</v>
      </c>
      <c r="AU51" s="214">
        <v>0</v>
      </c>
      <c r="AV51" s="214">
        <v>0</v>
      </c>
      <c r="AW51" s="214">
        <v>0</v>
      </c>
      <c r="AX51" s="214">
        <v>0</v>
      </c>
      <c r="AY51" s="214">
        <v>0</v>
      </c>
      <c r="AZ51" s="214">
        <v>0</v>
      </c>
      <c r="BA51" s="214">
        <v>0</v>
      </c>
      <c r="BB51" s="214">
        <v>0</v>
      </c>
      <c r="BC51" s="214">
        <v>0</v>
      </c>
      <c r="BD51" s="310">
        <v>0</v>
      </c>
      <c r="BE51" s="214">
        <v>0</v>
      </c>
      <c r="BF51" s="214">
        <v>0</v>
      </c>
      <c r="BG51" s="214">
        <v>0</v>
      </c>
      <c r="BH51" s="214">
        <v>0</v>
      </c>
      <c r="BI51" s="214">
        <v>0</v>
      </c>
      <c r="BJ51" s="214">
        <v>0</v>
      </c>
      <c r="BK51" s="214">
        <v>0</v>
      </c>
      <c r="BL51" s="214">
        <v>0</v>
      </c>
      <c r="BM51" s="214">
        <v>0</v>
      </c>
      <c r="BN51" s="214">
        <v>0</v>
      </c>
      <c r="BO51" s="214">
        <v>0</v>
      </c>
      <c r="BP51" s="793">
        <v>0</v>
      </c>
    </row>
    <row r="52" spans="2:68" s="722" customFormat="1" ht="12" customHeight="1" thickBot="1">
      <c r="B52" s="718" t="s">
        <v>430</v>
      </c>
      <c r="C52" s="719"/>
      <c r="D52" s="720"/>
      <c r="E52" s="721">
        <f>SUM(E50:E51)</f>
        <v>5309435</v>
      </c>
      <c r="F52" s="879">
        <f>SUM(F50:F51)</f>
        <v>3090565.0000000023</v>
      </c>
      <c r="G52" s="721">
        <f>SUM(G50:G51)</f>
        <v>8400000.0000000019</v>
      </c>
      <c r="H52" s="869">
        <f>SUM(H49:H51)</f>
        <v>5309435</v>
      </c>
      <c r="I52" s="870">
        <f>SUM(I49:I51)</f>
        <v>5342768.333333333</v>
      </c>
      <c r="J52" s="870">
        <f t="shared" ref="J52:BP52" si="88">SUM(J49:J51)</f>
        <v>5376101.666666666</v>
      </c>
      <c r="K52" s="870">
        <f t="shared" si="88"/>
        <v>5409434.9999999991</v>
      </c>
      <c r="L52" s="870">
        <f t="shared" si="88"/>
        <v>5442768.3333333321</v>
      </c>
      <c r="M52" s="870">
        <f t="shared" si="88"/>
        <v>5476101.6666666651</v>
      </c>
      <c r="N52" s="870">
        <f t="shared" si="88"/>
        <v>5509434.9999999981</v>
      </c>
      <c r="O52" s="870">
        <f t="shared" si="88"/>
        <v>6758964.6428571409</v>
      </c>
      <c r="P52" s="870">
        <f t="shared" si="88"/>
        <v>8008494.2857142836</v>
      </c>
      <c r="Q52" s="870">
        <f t="shared" si="88"/>
        <v>8400000</v>
      </c>
      <c r="R52" s="870">
        <f t="shared" si="88"/>
        <v>8400000</v>
      </c>
      <c r="S52" s="870">
        <f t="shared" si="88"/>
        <v>8400000</v>
      </c>
      <c r="T52" s="871">
        <f t="shared" si="88"/>
        <v>8400000</v>
      </c>
      <c r="U52" s="870">
        <f t="shared" si="88"/>
        <v>8400000</v>
      </c>
      <c r="V52" s="870">
        <f t="shared" si="88"/>
        <v>8400000</v>
      </c>
      <c r="W52" s="870">
        <f t="shared" si="88"/>
        <v>8400000</v>
      </c>
      <c r="X52" s="870">
        <f t="shared" si="88"/>
        <v>8400000</v>
      </c>
      <c r="Y52" s="870">
        <f t="shared" si="88"/>
        <v>8400000</v>
      </c>
      <c r="Z52" s="870">
        <f t="shared" si="88"/>
        <v>8400000</v>
      </c>
      <c r="AA52" s="870">
        <f t="shared" si="88"/>
        <v>8400000</v>
      </c>
      <c r="AB52" s="870">
        <f t="shared" si="88"/>
        <v>8400000</v>
      </c>
      <c r="AC52" s="870">
        <f t="shared" si="88"/>
        <v>8400000</v>
      </c>
      <c r="AD52" s="870">
        <f t="shared" si="88"/>
        <v>8400000</v>
      </c>
      <c r="AE52" s="870">
        <f t="shared" si="88"/>
        <v>8400000</v>
      </c>
      <c r="AF52" s="871">
        <f t="shared" si="88"/>
        <v>8400000</v>
      </c>
      <c r="AG52" s="870">
        <f t="shared" si="88"/>
        <v>8400000</v>
      </c>
      <c r="AH52" s="870">
        <f t="shared" si="88"/>
        <v>8400000</v>
      </c>
      <c r="AI52" s="870">
        <f t="shared" si="88"/>
        <v>8400000</v>
      </c>
      <c r="AJ52" s="870">
        <f t="shared" si="88"/>
        <v>8400000</v>
      </c>
      <c r="AK52" s="870">
        <f t="shared" si="88"/>
        <v>8400000</v>
      </c>
      <c r="AL52" s="870">
        <f t="shared" si="88"/>
        <v>8400000</v>
      </c>
      <c r="AM52" s="870">
        <f t="shared" si="88"/>
        <v>8400000</v>
      </c>
      <c r="AN52" s="870">
        <f t="shared" si="88"/>
        <v>8400000</v>
      </c>
      <c r="AO52" s="870">
        <f t="shared" si="88"/>
        <v>8400000</v>
      </c>
      <c r="AP52" s="870">
        <f t="shared" si="88"/>
        <v>8400000</v>
      </c>
      <c r="AQ52" s="870">
        <f t="shared" si="88"/>
        <v>8400000</v>
      </c>
      <c r="AR52" s="872">
        <f t="shared" si="88"/>
        <v>8400000</v>
      </c>
      <c r="AS52" s="721">
        <f t="shared" si="88"/>
        <v>8400000</v>
      </c>
      <c r="AT52" s="721">
        <f t="shared" si="88"/>
        <v>8400000</v>
      </c>
      <c r="AU52" s="721">
        <f t="shared" si="88"/>
        <v>8400000</v>
      </c>
      <c r="AV52" s="721">
        <f t="shared" si="88"/>
        <v>8400000</v>
      </c>
      <c r="AW52" s="721">
        <f t="shared" si="88"/>
        <v>8400000</v>
      </c>
      <c r="AX52" s="721">
        <f t="shared" si="88"/>
        <v>8400000</v>
      </c>
      <c r="AY52" s="721">
        <f t="shared" si="88"/>
        <v>8400000</v>
      </c>
      <c r="AZ52" s="721">
        <f t="shared" si="88"/>
        <v>8400000</v>
      </c>
      <c r="BA52" s="721">
        <f t="shared" si="88"/>
        <v>8400000</v>
      </c>
      <c r="BB52" s="721">
        <f t="shared" si="88"/>
        <v>8400000</v>
      </c>
      <c r="BC52" s="721">
        <f t="shared" si="88"/>
        <v>8400000</v>
      </c>
      <c r="BD52" s="872">
        <f t="shared" si="88"/>
        <v>8400000</v>
      </c>
      <c r="BE52" s="721">
        <f t="shared" si="88"/>
        <v>8400000</v>
      </c>
      <c r="BF52" s="721">
        <f t="shared" si="88"/>
        <v>8400000</v>
      </c>
      <c r="BG52" s="721">
        <f t="shared" si="88"/>
        <v>8400000</v>
      </c>
      <c r="BH52" s="721">
        <f t="shared" si="88"/>
        <v>8400000</v>
      </c>
      <c r="BI52" s="721">
        <f t="shared" si="88"/>
        <v>8400000</v>
      </c>
      <c r="BJ52" s="721">
        <f t="shared" si="88"/>
        <v>8400000</v>
      </c>
      <c r="BK52" s="721">
        <f t="shared" si="88"/>
        <v>8400000</v>
      </c>
      <c r="BL52" s="721">
        <f t="shared" si="88"/>
        <v>8400000</v>
      </c>
      <c r="BM52" s="721">
        <f t="shared" si="88"/>
        <v>8400000</v>
      </c>
      <c r="BN52" s="721">
        <f t="shared" si="88"/>
        <v>8400000</v>
      </c>
      <c r="BO52" s="721">
        <f t="shared" si="88"/>
        <v>8400000</v>
      </c>
      <c r="BP52" s="873">
        <f t="shared" si="88"/>
        <v>8400000</v>
      </c>
    </row>
    <row r="53" spans="2:68" s="244" customFormat="1" ht="12" customHeight="1">
      <c r="B53" s="250"/>
      <c r="C53" s="1220" t="s">
        <v>608</v>
      </c>
      <c r="D53" s="1222"/>
      <c r="E53" s="1225"/>
      <c r="F53" s="1221"/>
      <c r="G53" s="1226"/>
      <c r="H53" s="1247"/>
      <c r="I53" s="1244"/>
      <c r="J53" s="1244"/>
      <c r="K53" s="1244"/>
      <c r="L53" s="1244"/>
      <c r="M53" s="1244"/>
      <c r="N53" s="1244"/>
      <c r="O53" s="1244"/>
      <c r="P53" s="1244"/>
      <c r="Q53" s="1244"/>
      <c r="R53" s="1244"/>
      <c r="S53" s="1244"/>
      <c r="T53" s="1245"/>
      <c r="U53" s="1244"/>
      <c r="V53" s="1244"/>
      <c r="W53" s="1244"/>
      <c r="X53" s="1244"/>
      <c r="Y53" s="1244"/>
      <c r="Z53" s="1244"/>
      <c r="AA53" s="1244"/>
      <c r="AB53" s="1244"/>
      <c r="AC53" s="1244"/>
      <c r="AD53" s="1244"/>
      <c r="AE53" s="1244"/>
      <c r="AF53" s="1245"/>
      <c r="AG53" s="217">
        <f>IF(AG11&gt;$F$9,0,'Lease Up'!AG48)</f>
        <v>86611.365872423572</v>
      </c>
      <c r="AH53" s="217">
        <f>IF(AH11&gt;$F$9,0,'Lease Up'!AH48)</f>
        <v>119448.40420727585</v>
      </c>
      <c r="AI53" s="217">
        <f>IF(AI11&gt;$F$9,0,'Lease Up'!AI48)</f>
        <v>152134.80807631492</v>
      </c>
      <c r="AJ53" s="217">
        <f>IF(AJ11&gt;$F$9,0,'Lease Up'!AJ48)</f>
        <v>155401.77474693203</v>
      </c>
      <c r="AK53" s="217">
        <f>IF(AK11&gt;$F$9,0,'Lease Up'!AK48)</f>
        <v>155401.77474693203</v>
      </c>
      <c r="AL53" s="217">
        <f>IF(AL11&gt;$F$9,0,'Lease Up'!AL48)</f>
        <v>155401.77474693203</v>
      </c>
      <c r="AM53" s="217">
        <f>IF(AM11&gt;$F$9,0,'Lease Up'!AM48)</f>
        <v>155401.77474693203</v>
      </c>
      <c r="AN53" s="217">
        <f>IF(AN11&gt;$F$9,0,'Lease Up'!AN48)</f>
        <v>155401.77474693203</v>
      </c>
      <c r="AO53" s="217">
        <f>IF(AO11&gt;$F$9,0,'Lease Up'!AO48)</f>
        <v>155401.77474693203</v>
      </c>
      <c r="AP53" s="217">
        <f>IF(AP11&gt;$F$9,0,'Lease Up'!AP48)</f>
        <v>155401.77474693203</v>
      </c>
      <c r="AQ53" s="217">
        <f>IF(AQ11&gt;$F$9,0,'Lease Up'!AQ48)</f>
        <v>155401.77474693203</v>
      </c>
      <c r="AR53" s="310">
        <f>IF(AR11&gt;$F$9,0,'Lease Up'!AR48)</f>
        <v>155401.77474693203</v>
      </c>
      <c r="AS53" s="214">
        <f>IF(AS11&gt;$F$9,0,'Lease Up'!AS48)</f>
        <v>0</v>
      </c>
      <c r="AT53" s="214">
        <f>IF(AT11&gt;$F$9,0,'Lease Up'!AT48)</f>
        <v>0</v>
      </c>
      <c r="AU53" s="214">
        <f>IF(AU11&gt;$F$9,0,'Lease Up'!AU48)</f>
        <v>0</v>
      </c>
      <c r="AV53" s="214">
        <f>IF(AV11&gt;$F$9,0,'Lease Up'!AV48)</f>
        <v>0</v>
      </c>
      <c r="AW53" s="214">
        <f>IF(AW11&gt;$F$9,0,'Lease Up'!AW48)</f>
        <v>0</v>
      </c>
      <c r="AX53" s="214">
        <f>IF(AX11&gt;$F$9,0,'Lease Up'!AX48)</f>
        <v>0</v>
      </c>
      <c r="AY53" s="214">
        <f>IF(AY11&gt;$F$9,0,'Lease Up'!AY48)</f>
        <v>0</v>
      </c>
      <c r="AZ53" s="214">
        <f>IF(AZ11&gt;$F$9,0,'Lease Up'!AZ48)</f>
        <v>0</v>
      </c>
      <c r="BA53" s="214">
        <f>IF(BA11&gt;$F$9,0,'Lease Up'!BA48)</f>
        <v>0</v>
      </c>
      <c r="BB53" s="214">
        <f>IF(BB11&gt;$F$9,0,'Lease Up'!BB48)</f>
        <v>0</v>
      </c>
      <c r="BC53" s="214">
        <f>IF(BC11&gt;$F$9,0,'Lease Up'!BC48)</f>
        <v>0</v>
      </c>
      <c r="BD53" s="310">
        <f>IF(BD11&gt;$F$9,0,'Lease Up'!BD48)</f>
        <v>0</v>
      </c>
      <c r="BE53" s="214">
        <f>IF(BE11&gt;$F$9,0,'Lease Up'!BE48)</f>
        <v>0</v>
      </c>
      <c r="BF53" s="214">
        <f>IF(BF11&gt;$F$9,0,'Lease Up'!BF48)</f>
        <v>0</v>
      </c>
      <c r="BG53" s="214">
        <f>IF(BG11&gt;$F$9,0,'Lease Up'!BG48)</f>
        <v>0</v>
      </c>
      <c r="BH53" s="214">
        <f>IF(BH11&gt;$F$9,0,'Lease Up'!BH48)</f>
        <v>0</v>
      </c>
      <c r="BI53" s="214">
        <f>IF(BI11&gt;$F$9,0,'Lease Up'!BI48)</f>
        <v>0</v>
      </c>
      <c r="BJ53" s="214">
        <f>IF(BJ11&gt;$F$9,0,'Lease Up'!BJ48)</f>
        <v>0</v>
      </c>
      <c r="BK53" s="214">
        <f>IF(BK11&gt;$F$9,0,'Lease Up'!BK48)</f>
        <v>0</v>
      </c>
      <c r="BL53" s="214">
        <f>IF(BL11&gt;$F$9,0,'Lease Up'!BL48)</f>
        <v>0</v>
      </c>
      <c r="BM53" s="214">
        <f>IF(BM11&gt;$F$9,0,'Lease Up'!BM48)</f>
        <v>0</v>
      </c>
      <c r="BN53" s="214">
        <f>IF(BN11&gt;$F$9,0,'Lease Up'!BN48)</f>
        <v>0</v>
      </c>
      <c r="BO53" s="214">
        <f>IF(BO11&gt;$F$9,0,'Lease Up'!BO48)</f>
        <v>0</v>
      </c>
      <c r="BP53" s="793">
        <f>IF(BP11&gt;$F$9,0,'Lease Up'!BP48)</f>
        <v>0</v>
      </c>
    </row>
    <row r="54" spans="2:68" s="244" customFormat="1" ht="12" customHeight="1">
      <c r="B54" s="249"/>
      <c r="C54" s="244" t="s">
        <v>609</v>
      </c>
      <c r="D54" s="1224"/>
      <c r="E54" s="1227"/>
      <c r="F54" s="878"/>
      <c r="G54" s="1228"/>
      <c r="H54" s="845">
        <f t="shared" ref="H54" si="89">-H15</f>
        <v>-5309435</v>
      </c>
      <c r="I54" s="217">
        <f>-I15</f>
        <v>-33333.333333333336</v>
      </c>
      <c r="J54" s="217">
        <f t="shared" ref="J54:BP54" si="90">-J15</f>
        <v>-33333.333333333336</v>
      </c>
      <c r="K54" s="217">
        <f t="shared" si="90"/>
        <v>-33333.333333333336</v>
      </c>
      <c r="L54" s="217">
        <f t="shared" si="90"/>
        <v>-33333.333333333336</v>
      </c>
      <c r="M54" s="217">
        <f t="shared" si="90"/>
        <v>-33333.333333333336</v>
      </c>
      <c r="N54" s="217">
        <f t="shared" si="90"/>
        <v>-33333.333333333336</v>
      </c>
      <c r="O54" s="217">
        <f t="shared" si="90"/>
        <v>-1249529.642857143</v>
      </c>
      <c r="P54" s="217">
        <f t="shared" si="90"/>
        <v>-1249529.642857143</v>
      </c>
      <c r="Q54" s="217">
        <f t="shared" si="90"/>
        <v>-391505.71428571641</v>
      </c>
      <c r="R54" s="217">
        <f t="shared" si="90"/>
        <v>0</v>
      </c>
      <c r="S54" s="217">
        <f t="shared" si="90"/>
        <v>0</v>
      </c>
      <c r="T54" s="309">
        <f t="shared" si="90"/>
        <v>0</v>
      </c>
      <c r="U54" s="217">
        <f t="shared" si="90"/>
        <v>0</v>
      </c>
      <c r="V54" s="217">
        <f t="shared" si="90"/>
        <v>0</v>
      </c>
      <c r="W54" s="217">
        <f t="shared" si="90"/>
        <v>0</v>
      </c>
      <c r="X54" s="217">
        <f t="shared" si="90"/>
        <v>0</v>
      </c>
      <c r="Y54" s="217">
        <f t="shared" si="90"/>
        <v>0</v>
      </c>
      <c r="Z54" s="217">
        <f t="shared" si="90"/>
        <v>0</v>
      </c>
      <c r="AA54" s="217">
        <f t="shared" si="90"/>
        <v>0</v>
      </c>
      <c r="AB54" s="217">
        <f t="shared" si="90"/>
        <v>0</v>
      </c>
      <c r="AC54" s="217">
        <f t="shared" si="90"/>
        <v>0</v>
      </c>
      <c r="AD54" s="217">
        <f t="shared" si="90"/>
        <v>0</v>
      </c>
      <c r="AE54" s="217">
        <f t="shared" si="90"/>
        <v>0</v>
      </c>
      <c r="AF54" s="309">
        <f t="shared" si="90"/>
        <v>0</v>
      </c>
      <c r="AG54" s="217">
        <f t="shared" si="90"/>
        <v>0</v>
      </c>
      <c r="AH54" s="217">
        <f t="shared" si="90"/>
        <v>0</v>
      </c>
      <c r="AI54" s="217">
        <f t="shared" si="90"/>
        <v>0</v>
      </c>
      <c r="AJ54" s="217">
        <f t="shared" si="90"/>
        <v>0</v>
      </c>
      <c r="AK54" s="217">
        <f t="shared" si="90"/>
        <v>0</v>
      </c>
      <c r="AL54" s="217">
        <f t="shared" si="90"/>
        <v>0</v>
      </c>
      <c r="AM54" s="217">
        <f t="shared" si="90"/>
        <v>0</v>
      </c>
      <c r="AN54" s="217">
        <f t="shared" si="90"/>
        <v>0</v>
      </c>
      <c r="AO54" s="217">
        <f t="shared" si="90"/>
        <v>0</v>
      </c>
      <c r="AP54" s="217">
        <f t="shared" si="90"/>
        <v>0</v>
      </c>
      <c r="AQ54" s="217">
        <f t="shared" si="90"/>
        <v>0</v>
      </c>
      <c r="AR54" s="310">
        <f t="shared" si="90"/>
        <v>0</v>
      </c>
      <c r="AS54" s="214">
        <f t="shared" si="90"/>
        <v>0</v>
      </c>
      <c r="AT54" s="214">
        <f t="shared" si="90"/>
        <v>0</v>
      </c>
      <c r="AU54" s="214">
        <f t="shared" si="90"/>
        <v>0</v>
      </c>
      <c r="AV54" s="214">
        <f t="shared" si="90"/>
        <v>0</v>
      </c>
      <c r="AW54" s="214">
        <f t="shared" si="90"/>
        <v>0</v>
      </c>
      <c r="AX54" s="214">
        <f t="shared" si="90"/>
        <v>0</v>
      </c>
      <c r="AY54" s="214">
        <f t="shared" si="90"/>
        <v>0</v>
      </c>
      <c r="AZ54" s="214">
        <f t="shared" si="90"/>
        <v>0</v>
      </c>
      <c r="BA54" s="214">
        <f t="shared" si="90"/>
        <v>0</v>
      </c>
      <c r="BB54" s="214">
        <f t="shared" si="90"/>
        <v>0</v>
      </c>
      <c r="BC54" s="214">
        <f t="shared" si="90"/>
        <v>0</v>
      </c>
      <c r="BD54" s="310">
        <f t="shared" si="90"/>
        <v>0</v>
      </c>
      <c r="BE54" s="214">
        <f t="shared" si="90"/>
        <v>0</v>
      </c>
      <c r="BF54" s="214">
        <f t="shared" si="90"/>
        <v>0</v>
      </c>
      <c r="BG54" s="214">
        <f t="shared" si="90"/>
        <v>0</v>
      </c>
      <c r="BH54" s="214">
        <f t="shared" si="90"/>
        <v>0</v>
      </c>
      <c r="BI54" s="214">
        <f t="shared" si="90"/>
        <v>0</v>
      </c>
      <c r="BJ54" s="214">
        <f t="shared" si="90"/>
        <v>0</v>
      </c>
      <c r="BK54" s="214">
        <f t="shared" si="90"/>
        <v>0</v>
      </c>
      <c r="BL54" s="214">
        <f t="shared" si="90"/>
        <v>0</v>
      </c>
      <c r="BM54" s="214">
        <f t="shared" si="90"/>
        <v>0</v>
      </c>
      <c r="BN54" s="214">
        <f t="shared" si="90"/>
        <v>0</v>
      </c>
      <c r="BO54" s="214">
        <f t="shared" si="90"/>
        <v>0</v>
      </c>
      <c r="BP54" s="793">
        <f t="shared" si="90"/>
        <v>0</v>
      </c>
    </row>
    <row r="55" spans="2:68" ht="12" customHeight="1">
      <c r="B55" s="249"/>
      <c r="C55" s="244" t="s">
        <v>598</v>
      </c>
      <c r="D55" s="1224"/>
      <c r="E55" s="1227"/>
      <c r="F55" s="878"/>
      <c r="G55" s="1228"/>
      <c r="H55" s="845">
        <v>0</v>
      </c>
      <c r="I55" s="217">
        <f>'Lease Up'!I52</f>
        <v>0</v>
      </c>
      <c r="J55" s="217">
        <f>'Lease Up'!J52</f>
        <v>0</v>
      </c>
      <c r="K55" s="217">
        <f>'Lease Up'!K52</f>
        <v>0</v>
      </c>
      <c r="L55" s="217">
        <f>'Lease Up'!L52</f>
        <v>0</v>
      </c>
      <c r="M55" s="217">
        <f>'Lease Up'!M52</f>
        <v>0</v>
      </c>
      <c r="N55" s="217">
        <f>'Lease Up'!N52</f>
        <v>0</v>
      </c>
      <c r="O55" s="217">
        <f>'Lease Up'!O52</f>
        <v>0</v>
      </c>
      <c r="P55" s="217">
        <f>'Lease Up'!P52</f>
        <v>0</v>
      </c>
      <c r="Q55" s="217">
        <f>'Lease Up'!Q52</f>
        <v>0</v>
      </c>
      <c r="R55" s="217">
        <f>'Lease Up'!R52</f>
        <v>0</v>
      </c>
      <c r="S55" s="217">
        <f>'Lease Up'!S52</f>
        <v>0</v>
      </c>
      <c r="T55" s="309">
        <f>'Lease Up'!T52</f>
        <v>0</v>
      </c>
      <c r="U55" s="217">
        <f>'Lease Up'!U52</f>
        <v>0</v>
      </c>
      <c r="V55" s="217">
        <f>'Lease Up'!V52</f>
        <v>0</v>
      </c>
      <c r="W55" s="217">
        <f>'Lease Up'!W52</f>
        <v>0</v>
      </c>
      <c r="X55" s="217">
        <f>'Lease Up'!X52</f>
        <v>0</v>
      </c>
      <c r="Y55" s="217">
        <f>'Lease Up'!Y52</f>
        <v>0</v>
      </c>
      <c r="Z55" s="217">
        <f>'Lease Up'!Z52</f>
        <v>0</v>
      </c>
      <c r="AA55" s="217">
        <f>'Lease Up'!AA52</f>
        <v>0</v>
      </c>
      <c r="AB55" s="217">
        <f>'Lease Up'!AB52</f>
        <v>0</v>
      </c>
      <c r="AC55" s="217">
        <f>'Lease Up'!AC52</f>
        <v>0</v>
      </c>
      <c r="AD55" s="217">
        <f>'Lease Up'!AD52</f>
        <v>0</v>
      </c>
      <c r="AE55" s="217">
        <f>'Lease Up'!AE52</f>
        <v>0</v>
      </c>
      <c r="AF55" s="309">
        <f>'Lease Up'!AF52</f>
        <v>0</v>
      </c>
      <c r="AG55" s="217">
        <f>'Lease Up'!AG52</f>
        <v>0</v>
      </c>
      <c r="AH55" s="217">
        <f>'Lease Up'!AH52</f>
        <v>0</v>
      </c>
      <c r="AI55" s="217">
        <f>'Lease Up'!AI52</f>
        <v>0</v>
      </c>
      <c r="AJ55" s="217">
        <f>'Lease Up'!AJ52</f>
        <v>0</v>
      </c>
      <c r="AK55" s="217">
        <f>'Lease Up'!AK52</f>
        <v>0</v>
      </c>
      <c r="AL55" s="217">
        <f>'Lease Up'!AL52</f>
        <v>0</v>
      </c>
      <c r="AM55" s="217">
        <f>'Lease Up'!AM52</f>
        <v>0</v>
      </c>
      <c r="AN55" s="217">
        <f>'Lease Up'!AN52</f>
        <v>0</v>
      </c>
      <c r="AO55" s="217">
        <f>'Lease Up'!AO52</f>
        <v>0</v>
      </c>
      <c r="AP55" s="217">
        <f>'Lease Up'!AP52</f>
        <v>0</v>
      </c>
      <c r="AQ55" s="217">
        <f>'Lease Up'!AQ52</f>
        <v>0</v>
      </c>
      <c r="AR55" s="310">
        <f>'Lease Up'!AR52</f>
        <v>28663737.812244892</v>
      </c>
      <c r="AS55" s="214">
        <f>'Lease Up'!AS52</f>
        <v>0</v>
      </c>
      <c r="AT55" s="214">
        <f>'Lease Up'!AT52</f>
        <v>0</v>
      </c>
      <c r="AU55" s="214">
        <f>'Lease Up'!AU52</f>
        <v>0</v>
      </c>
      <c r="AV55" s="214">
        <f>'Lease Up'!AV52</f>
        <v>0</v>
      </c>
      <c r="AW55" s="214">
        <f>'Lease Up'!AW52</f>
        <v>0</v>
      </c>
      <c r="AX55" s="214">
        <f>'Lease Up'!AX52</f>
        <v>0</v>
      </c>
      <c r="AY55" s="214">
        <f>'Lease Up'!AY52</f>
        <v>0</v>
      </c>
      <c r="AZ55" s="214">
        <f>'Lease Up'!AZ52</f>
        <v>0</v>
      </c>
      <c r="BA55" s="214">
        <f>'Lease Up'!BA52</f>
        <v>0</v>
      </c>
      <c r="BB55" s="214">
        <f>'Lease Up'!BB52</f>
        <v>0</v>
      </c>
      <c r="BC55" s="214">
        <f>'Lease Up'!BC52</f>
        <v>0</v>
      </c>
      <c r="BD55" s="310">
        <f>'Lease Up'!BD52</f>
        <v>0</v>
      </c>
      <c r="BE55" s="214">
        <f>'Lease Up'!BE52</f>
        <v>0</v>
      </c>
      <c r="BF55" s="214">
        <f>'Lease Up'!BF52</f>
        <v>0</v>
      </c>
      <c r="BG55" s="214">
        <f>'Lease Up'!BG52</f>
        <v>0</v>
      </c>
      <c r="BH55" s="214">
        <f>'Lease Up'!BH52</f>
        <v>0</v>
      </c>
      <c r="BI55" s="214">
        <f>'Lease Up'!BI52</f>
        <v>0</v>
      </c>
      <c r="BJ55" s="214">
        <f>'Lease Up'!BJ52</f>
        <v>0</v>
      </c>
      <c r="BK55" s="214">
        <f>'Lease Up'!BK52</f>
        <v>0</v>
      </c>
      <c r="BL55" s="214">
        <f>'Lease Up'!BL52</f>
        <v>0</v>
      </c>
      <c r="BM55" s="214">
        <f>'Lease Up'!BM52</f>
        <v>0</v>
      </c>
      <c r="BN55" s="214">
        <f>'Lease Up'!BN52</f>
        <v>0</v>
      </c>
      <c r="BO55" s="214">
        <f>'Lease Up'!BO52</f>
        <v>0</v>
      </c>
      <c r="BP55" s="793">
        <f>'Lease Up'!BP52</f>
        <v>0</v>
      </c>
    </row>
    <row r="56" spans="2:68" ht="12" customHeight="1">
      <c r="B56" s="249"/>
      <c r="C56" s="244" t="s">
        <v>596</v>
      </c>
      <c r="D56" s="1224"/>
      <c r="E56" s="1227"/>
      <c r="F56" s="878"/>
      <c r="G56" s="1228"/>
      <c r="H56" s="855">
        <v>0</v>
      </c>
      <c r="I56" s="224">
        <f>IF(I11=$F$9,-I47,0)</f>
        <v>0</v>
      </c>
      <c r="J56" s="224">
        <f t="shared" ref="J56:BP56" si="91">IF(J11=$F$9,-J47,0)</f>
        <v>0</v>
      </c>
      <c r="K56" s="224">
        <f t="shared" si="91"/>
        <v>0</v>
      </c>
      <c r="L56" s="224">
        <f t="shared" si="91"/>
        <v>0</v>
      </c>
      <c r="M56" s="224">
        <f t="shared" si="91"/>
        <v>0</v>
      </c>
      <c r="N56" s="224">
        <f t="shared" si="91"/>
        <v>0</v>
      </c>
      <c r="O56" s="224">
        <f t="shared" si="91"/>
        <v>0</v>
      </c>
      <c r="P56" s="224">
        <f t="shared" si="91"/>
        <v>0</v>
      </c>
      <c r="Q56" s="224">
        <f t="shared" si="91"/>
        <v>0</v>
      </c>
      <c r="R56" s="224">
        <f t="shared" si="91"/>
        <v>0</v>
      </c>
      <c r="S56" s="224">
        <f t="shared" si="91"/>
        <v>0</v>
      </c>
      <c r="T56" s="312">
        <f t="shared" si="91"/>
        <v>0</v>
      </c>
      <c r="U56" s="224">
        <f t="shared" si="91"/>
        <v>0</v>
      </c>
      <c r="V56" s="224">
        <f t="shared" si="91"/>
        <v>0</v>
      </c>
      <c r="W56" s="224">
        <f t="shared" si="91"/>
        <v>0</v>
      </c>
      <c r="X56" s="224">
        <f t="shared" si="91"/>
        <v>0</v>
      </c>
      <c r="Y56" s="224">
        <f t="shared" si="91"/>
        <v>0</v>
      </c>
      <c r="Z56" s="224">
        <f t="shared" si="91"/>
        <v>0</v>
      </c>
      <c r="AA56" s="224">
        <f t="shared" si="91"/>
        <v>0</v>
      </c>
      <c r="AB56" s="224">
        <f t="shared" si="91"/>
        <v>0</v>
      </c>
      <c r="AC56" s="224">
        <f t="shared" si="91"/>
        <v>0</v>
      </c>
      <c r="AD56" s="224">
        <f t="shared" si="91"/>
        <v>0</v>
      </c>
      <c r="AE56" s="224">
        <f t="shared" si="91"/>
        <v>0</v>
      </c>
      <c r="AF56" s="312">
        <f t="shared" si="91"/>
        <v>0</v>
      </c>
      <c r="AG56" s="224">
        <f t="shared" si="91"/>
        <v>0</v>
      </c>
      <c r="AH56" s="224">
        <f t="shared" si="91"/>
        <v>0</v>
      </c>
      <c r="AI56" s="224">
        <f t="shared" si="91"/>
        <v>0</v>
      </c>
      <c r="AJ56" s="224">
        <f t="shared" si="91"/>
        <v>0</v>
      </c>
      <c r="AK56" s="224">
        <f t="shared" si="91"/>
        <v>0</v>
      </c>
      <c r="AL56" s="224">
        <f t="shared" si="91"/>
        <v>0</v>
      </c>
      <c r="AM56" s="224">
        <f t="shared" si="91"/>
        <v>0</v>
      </c>
      <c r="AN56" s="224">
        <f t="shared" si="91"/>
        <v>0</v>
      </c>
      <c r="AO56" s="224">
        <f t="shared" si="91"/>
        <v>0</v>
      </c>
      <c r="AP56" s="224">
        <f t="shared" si="91"/>
        <v>0</v>
      </c>
      <c r="AQ56" s="224">
        <f t="shared" si="91"/>
        <v>0</v>
      </c>
      <c r="AR56" s="783">
        <f t="shared" si="91"/>
        <v>-15536393.194483915</v>
      </c>
      <c r="AS56" s="222">
        <f t="shared" si="91"/>
        <v>0</v>
      </c>
      <c r="AT56" s="222">
        <f t="shared" si="91"/>
        <v>0</v>
      </c>
      <c r="AU56" s="222">
        <f t="shared" si="91"/>
        <v>0</v>
      </c>
      <c r="AV56" s="222">
        <f t="shared" si="91"/>
        <v>0</v>
      </c>
      <c r="AW56" s="222">
        <f t="shared" si="91"/>
        <v>0</v>
      </c>
      <c r="AX56" s="222">
        <f t="shared" si="91"/>
        <v>0</v>
      </c>
      <c r="AY56" s="222">
        <f t="shared" si="91"/>
        <v>0</v>
      </c>
      <c r="AZ56" s="222">
        <f t="shared" si="91"/>
        <v>0</v>
      </c>
      <c r="BA56" s="222">
        <f t="shared" si="91"/>
        <v>0</v>
      </c>
      <c r="BB56" s="222">
        <f t="shared" si="91"/>
        <v>0</v>
      </c>
      <c r="BC56" s="222">
        <f t="shared" si="91"/>
        <v>0</v>
      </c>
      <c r="BD56" s="783">
        <f t="shared" si="91"/>
        <v>0</v>
      </c>
      <c r="BE56" s="222">
        <f t="shared" si="91"/>
        <v>0</v>
      </c>
      <c r="BF56" s="222">
        <f t="shared" si="91"/>
        <v>0</v>
      </c>
      <c r="BG56" s="222">
        <f t="shared" si="91"/>
        <v>0</v>
      </c>
      <c r="BH56" s="222">
        <f t="shared" si="91"/>
        <v>0</v>
      </c>
      <c r="BI56" s="222">
        <f t="shared" si="91"/>
        <v>0</v>
      </c>
      <c r="BJ56" s="222">
        <f t="shared" si="91"/>
        <v>0</v>
      </c>
      <c r="BK56" s="222">
        <f t="shared" si="91"/>
        <v>0</v>
      </c>
      <c r="BL56" s="222">
        <f t="shared" si="91"/>
        <v>0</v>
      </c>
      <c r="BM56" s="222">
        <f t="shared" si="91"/>
        <v>0</v>
      </c>
      <c r="BN56" s="222">
        <f t="shared" si="91"/>
        <v>0</v>
      </c>
      <c r="BO56" s="222">
        <f t="shared" si="91"/>
        <v>0</v>
      </c>
      <c r="BP56" s="868">
        <f t="shared" si="91"/>
        <v>0</v>
      </c>
    </row>
    <row r="57" spans="2:68" ht="12" customHeight="1">
      <c r="B57" s="249" t="s">
        <v>607</v>
      </c>
      <c r="C57" s="244"/>
      <c r="D57" s="1224"/>
      <c r="E57" s="1227"/>
      <c r="F57" s="878"/>
      <c r="G57" s="1228"/>
      <c r="H57" s="845">
        <f>SUM(H53:H56)</f>
        <v>-5309435</v>
      </c>
      <c r="I57" s="217">
        <f t="shared" ref="I57:BP57" si="92">SUM(I53:I56)</f>
        <v>-33333.333333333336</v>
      </c>
      <c r="J57" s="217">
        <f t="shared" si="92"/>
        <v>-33333.333333333336</v>
      </c>
      <c r="K57" s="217">
        <f t="shared" si="92"/>
        <v>-33333.333333333336</v>
      </c>
      <c r="L57" s="217">
        <f t="shared" si="92"/>
        <v>-33333.333333333336</v>
      </c>
      <c r="M57" s="217">
        <f t="shared" si="92"/>
        <v>-33333.333333333336</v>
      </c>
      <c r="N57" s="217">
        <f t="shared" si="92"/>
        <v>-33333.333333333336</v>
      </c>
      <c r="O57" s="217">
        <f t="shared" si="92"/>
        <v>-1249529.642857143</v>
      </c>
      <c r="P57" s="217">
        <f t="shared" si="92"/>
        <v>-1249529.642857143</v>
      </c>
      <c r="Q57" s="217">
        <f t="shared" si="92"/>
        <v>-391505.71428571641</v>
      </c>
      <c r="R57" s="217">
        <f t="shared" si="92"/>
        <v>0</v>
      </c>
      <c r="S57" s="217">
        <f t="shared" si="92"/>
        <v>0</v>
      </c>
      <c r="T57" s="309">
        <f t="shared" si="92"/>
        <v>0</v>
      </c>
      <c r="U57" s="217">
        <f t="shared" si="92"/>
        <v>0</v>
      </c>
      <c r="V57" s="217">
        <f t="shared" si="92"/>
        <v>0</v>
      </c>
      <c r="W57" s="217">
        <f t="shared" si="92"/>
        <v>0</v>
      </c>
      <c r="X57" s="217">
        <f t="shared" si="92"/>
        <v>0</v>
      </c>
      <c r="Y57" s="217">
        <f t="shared" si="92"/>
        <v>0</v>
      </c>
      <c r="Z57" s="217">
        <f t="shared" si="92"/>
        <v>0</v>
      </c>
      <c r="AA57" s="217">
        <f t="shared" si="92"/>
        <v>0</v>
      </c>
      <c r="AB57" s="217">
        <f t="shared" si="92"/>
        <v>0</v>
      </c>
      <c r="AC57" s="217">
        <f t="shared" si="92"/>
        <v>0</v>
      </c>
      <c r="AD57" s="217">
        <f t="shared" si="92"/>
        <v>0</v>
      </c>
      <c r="AE57" s="217">
        <f t="shared" si="92"/>
        <v>0</v>
      </c>
      <c r="AF57" s="309">
        <f t="shared" si="92"/>
        <v>0</v>
      </c>
      <c r="AG57" s="217">
        <f t="shared" si="92"/>
        <v>86611.365872423572</v>
      </c>
      <c r="AH57" s="217">
        <f t="shared" si="92"/>
        <v>119448.40420727585</v>
      </c>
      <c r="AI57" s="217">
        <f t="shared" si="92"/>
        <v>152134.80807631492</v>
      </c>
      <c r="AJ57" s="217">
        <f t="shared" si="92"/>
        <v>155401.77474693203</v>
      </c>
      <c r="AK57" s="217">
        <f t="shared" si="92"/>
        <v>155401.77474693203</v>
      </c>
      <c r="AL57" s="217">
        <f t="shared" si="92"/>
        <v>155401.77474693203</v>
      </c>
      <c r="AM57" s="217">
        <f t="shared" si="92"/>
        <v>155401.77474693203</v>
      </c>
      <c r="AN57" s="217">
        <f t="shared" si="92"/>
        <v>155401.77474693203</v>
      </c>
      <c r="AO57" s="217">
        <f t="shared" si="92"/>
        <v>155401.77474693203</v>
      </c>
      <c r="AP57" s="217">
        <f t="shared" si="92"/>
        <v>155401.77474693203</v>
      </c>
      <c r="AQ57" s="217">
        <f t="shared" si="92"/>
        <v>155401.77474693203</v>
      </c>
      <c r="AR57" s="310">
        <f t="shared" si="92"/>
        <v>13282746.392507909</v>
      </c>
      <c r="AS57" s="214">
        <f t="shared" si="92"/>
        <v>0</v>
      </c>
      <c r="AT57" s="214">
        <f t="shared" si="92"/>
        <v>0</v>
      </c>
      <c r="AU57" s="214">
        <f t="shared" si="92"/>
        <v>0</v>
      </c>
      <c r="AV57" s="214">
        <f t="shared" si="92"/>
        <v>0</v>
      </c>
      <c r="AW57" s="214">
        <f t="shared" si="92"/>
        <v>0</v>
      </c>
      <c r="AX57" s="214">
        <f t="shared" si="92"/>
        <v>0</v>
      </c>
      <c r="AY57" s="214">
        <f t="shared" si="92"/>
        <v>0</v>
      </c>
      <c r="AZ57" s="214">
        <f t="shared" si="92"/>
        <v>0</v>
      </c>
      <c r="BA57" s="214">
        <f t="shared" si="92"/>
        <v>0</v>
      </c>
      <c r="BB57" s="214">
        <f t="shared" si="92"/>
        <v>0</v>
      </c>
      <c r="BC57" s="214">
        <f t="shared" si="92"/>
        <v>0</v>
      </c>
      <c r="BD57" s="310">
        <f t="shared" si="92"/>
        <v>0</v>
      </c>
      <c r="BE57" s="214">
        <f t="shared" si="92"/>
        <v>0</v>
      </c>
      <c r="BF57" s="214">
        <f t="shared" si="92"/>
        <v>0</v>
      </c>
      <c r="BG57" s="214">
        <f t="shared" si="92"/>
        <v>0</v>
      </c>
      <c r="BH57" s="214">
        <f t="shared" si="92"/>
        <v>0</v>
      </c>
      <c r="BI57" s="214">
        <f t="shared" si="92"/>
        <v>0</v>
      </c>
      <c r="BJ57" s="214">
        <f t="shared" si="92"/>
        <v>0</v>
      </c>
      <c r="BK57" s="214">
        <f t="shared" si="92"/>
        <v>0</v>
      </c>
      <c r="BL57" s="214">
        <f t="shared" si="92"/>
        <v>0</v>
      </c>
      <c r="BM57" s="214">
        <f t="shared" si="92"/>
        <v>0</v>
      </c>
      <c r="BN57" s="214">
        <f t="shared" si="92"/>
        <v>0</v>
      </c>
      <c r="BO57" s="214">
        <f t="shared" si="92"/>
        <v>0</v>
      </c>
      <c r="BP57" s="793">
        <f t="shared" si="92"/>
        <v>0</v>
      </c>
    </row>
    <row r="58" spans="2:68" ht="12" customHeight="1">
      <c r="B58" s="249" t="s">
        <v>600</v>
      </c>
      <c r="C58" s="244"/>
      <c r="D58" s="1224"/>
      <c r="E58" s="1227"/>
      <c r="F58" s="878"/>
      <c r="G58" s="1228"/>
      <c r="H58" s="1254">
        <v>1</v>
      </c>
      <c r="I58" s="1255">
        <f>1/((1+('Lease Up'!$N$11/12))^Draws!I11)</f>
        <v>0.99296648738105087</v>
      </c>
      <c r="J58" s="1255">
        <f>1/((1+('Lease Up'!$N$11/12))^Draws!J11)</f>
        <v>0.98598244506186261</v>
      </c>
      <c r="K58" s="1255">
        <f>1/((1+('Lease Up'!$N$11/12))^Draws!K11)</f>
        <v>0.97904752509245785</v>
      </c>
      <c r="L58" s="1255">
        <f>1/((1+('Lease Up'!$N$11/12))^Draws!L11)</f>
        <v>0.97216138197016899</v>
      </c>
      <c r="M58" s="1255">
        <f>1/((1+('Lease Up'!$N$11/12))^Draws!M11)</f>
        <v>0.96532367262242691</v>
      </c>
      <c r="N58" s="1255">
        <f>1/((1+('Lease Up'!$N$11/12))^Draws!N11)</f>
        <v>0.95853405638966671</v>
      </c>
      <c r="O58" s="1255">
        <f>1/((1+('Lease Up'!$N$11/12))^Draws!O11)</f>
        <v>0.95179219500835766</v>
      </c>
      <c r="P58" s="1255">
        <f>1/((1+('Lease Up'!$N$11/12))^Draws!P11)</f>
        <v>0.94509775259414885</v>
      </c>
      <c r="Q58" s="1255">
        <f>1/((1+('Lease Up'!$N$11/12))^Draws!Q11)</f>
        <v>0.93845039562513732</v>
      </c>
      <c r="R58" s="1255">
        <f>1/((1+('Lease Up'!$N$11/12))^Draws!R11)</f>
        <v>0.93184979292525028</v>
      </c>
      <c r="S58" s="1255">
        <f>1/((1+('Lease Up'!$N$11/12))^Draws!S11)</f>
        <v>0.92529561564774543</v>
      </c>
      <c r="T58" s="1256">
        <f>1/((1+('Lease Up'!$N$11/12))^Draws!T11)</f>
        <v>0.91878753725882856</v>
      </c>
      <c r="U58" s="1255">
        <f>1/((1+('Lease Up'!$N$11/12))^Draws!U11)</f>
        <v>0.9123252335213855</v>
      </c>
      <c r="V58" s="1255">
        <f>1/((1+('Lease Up'!$N$11/12))^Draws!V11)</f>
        <v>0.9059083824788271</v>
      </c>
      <c r="W58" s="1255">
        <f>1/((1+('Lease Up'!$N$11/12))^Draws!W11)</f>
        <v>0.89953666443905067</v>
      </c>
      <c r="X58" s="1255">
        <f>1/((1+('Lease Up'!$N$11/12))^Draws!X11)</f>
        <v>0.89320976195851098</v>
      </c>
      <c r="Y58" s="1255">
        <f>1/((1+('Lease Up'!$N$11/12))^Draws!Y11)</f>
        <v>0.88692735982640725</v>
      </c>
      <c r="Z58" s="1255">
        <f>1/((1+('Lease Up'!$N$11/12))^Draws!Z11)</f>
        <v>0.880689145048977</v>
      </c>
      <c r="AA58" s="1255">
        <f>1/((1+('Lease Up'!$N$11/12))^Draws!AA11)</f>
        <v>0.87449480683390357</v>
      </c>
      <c r="AB58" s="1255">
        <f>1/((1+('Lease Up'!$N$11/12))^Draws!AB11)</f>
        <v>0.86834403657483172</v>
      </c>
      <c r="AC58" s="1255">
        <f>1/((1+('Lease Up'!$N$11/12))^Draws!AC11)</f>
        <v>0.86223652783599358</v>
      </c>
      <c r="AD58" s="1255">
        <f>1/((1+('Lease Up'!$N$11/12))^Draws!AD11)</f>
        <v>0.85617197633693998</v>
      </c>
      <c r="AE58" s="1255">
        <f>1/((1+('Lease Up'!$N$11/12))^Draws!AE11)</f>
        <v>0.85015007993738367</v>
      </c>
      <c r="AF58" s="1256">
        <f>1/((1+('Lease Up'!$N$11/12))^Draws!AF11)</f>
        <v>0.84417053862214342</v>
      </c>
      <c r="AG58" s="1255">
        <f>1/((1+('Lease Up'!$N$11/12))^Draws!AG11)</f>
        <v>0.83823305448619934</v>
      </c>
      <c r="AH58" s="1255">
        <f>1/((1+('Lease Up'!$N$11/12))^Draws!AH11)</f>
        <v>0.83233733171985058</v>
      </c>
      <c r="AI58" s="1255">
        <f>1/((1+('Lease Up'!$N$11/12))^Draws!AI11)</f>
        <v>0.82648307659397668</v>
      </c>
      <c r="AJ58" s="1255">
        <f>1/((1+('Lease Up'!$N$11/12))^Draws!AJ11)</f>
        <v>0.82066999744540481</v>
      </c>
      <c r="AK58" s="1255">
        <f>1/((1+('Lease Up'!$N$11/12))^Draws!AK11)</f>
        <v>0.81489780466237971</v>
      </c>
      <c r="AL58" s="1255">
        <f>1/((1+('Lease Up'!$N$11/12))^Draws!AL11)</f>
        <v>0.80916621067013295</v>
      </c>
      <c r="AM58" s="1255">
        <f>1/((1+('Lease Up'!$N$11/12))^Draws!AM11)</f>
        <v>0.80347492991655733</v>
      </c>
      <c r="AN58" s="1255">
        <f>1/((1+('Lease Up'!$N$11/12))^Draws!AN11)</f>
        <v>0.79782367885797989</v>
      </c>
      <c r="AO58" s="1255">
        <f>1/((1+('Lease Up'!$N$11/12))^Draws!AO11)</f>
        <v>0.7922121759450359</v>
      </c>
      <c r="AP58" s="1255">
        <f>1/((1+('Lease Up'!$N$11/12))^Draws!AP11)</f>
        <v>0.78664014160864126</v>
      </c>
      <c r="AQ58" s="1255">
        <f>1/((1+('Lease Up'!$N$11/12))^Draws!AQ11)</f>
        <v>0.78110729824606506</v>
      </c>
      <c r="AR58" s="1257">
        <f>1/((1+('Lease Up'!$N$11/12))^Draws!AR11)</f>
        <v>0.77561337020709809</v>
      </c>
      <c r="AS58" s="1258">
        <f>1/((1+('Lease Up'!$N$11/12))^Draws!AS11)</f>
        <v>0.7701580837803208</v>
      </c>
      <c r="AT58" s="1258">
        <f>1/((1+('Lease Up'!$N$11/12))^Draws!AT11)</f>
        <v>0.76474116717946616</v>
      </c>
      <c r="AU58" s="1258">
        <f>1/((1+('Lease Up'!$N$11/12))^Draws!AU11)</f>
        <v>0.75936235052987966</v>
      </c>
      <c r="AV58" s="1258">
        <f>1/((1+('Lease Up'!$N$11/12))^Draws!AV11)</f>
        <v>0.75402136585507273</v>
      </c>
      <c r="AW58" s="1258">
        <f>1/((1+('Lease Up'!$N$11/12))^Draws!AW11)</f>
        <v>0.74871794706337369</v>
      </c>
      <c r="AX58" s="1258">
        <f>1/((1+('Lease Up'!$N$11/12))^Draws!AX11)</f>
        <v>0.74345182993466996</v>
      </c>
      <c r="AY58" s="1258">
        <f>1/((1+('Lease Up'!$N$11/12))^Draws!AY11)</f>
        <v>0.73822275210724353</v>
      </c>
      <c r="AZ58" s="1258">
        <f>1/((1+('Lease Up'!$N$11/12))^Draws!AZ11)</f>
        <v>0.73303045306470171</v>
      </c>
      <c r="BA58" s="1258">
        <f>1/((1+('Lease Up'!$N$11/12))^Draws!BA11)</f>
        <v>0.72787467412299733</v>
      </c>
      <c r="BB58" s="1258">
        <f>1/((1+('Lease Up'!$N$11/12))^Draws!BB11)</f>
        <v>0.72275515841753979</v>
      </c>
      <c r="BC58" s="1258">
        <f>1/((1+('Lease Up'!$N$11/12))^Draws!BC11)</f>
        <v>0.71767165089039953</v>
      </c>
      <c r="BD58" s="1257">
        <f>1/((1+('Lease Up'!$N$11/12))^Draws!BD11)</f>
        <v>0.71262389827759964</v>
      </c>
      <c r="BE58" s="1258">
        <f>1/((1+('Lease Up'!$N$11/12))^Draws!BE11)</f>
        <v>0.70761164909649954</v>
      </c>
      <c r="BF58" s="1258">
        <f>1/((1+('Lease Up'!$N$11/12))^Draws!BF11)</f>
        <v>0.70263465363326383</v>
      </c>
      <c r="BG58" s="1258">
        <f>1/((1+('Lease Up'!$N$11/12))^Draws!BG11)</f>
        <v>0.6976926639304234</v>
      </c>
      <c r="BH58" s="1258">
        <f>1/((1+('Lease Up'!$N$11/12))^Draws!BH11)</f>
        <v>0.69278543377452051</v>
      </c>
      <c r="BI58" s="1258">
        <f>1/((1+('Lease Up'!$N$11/12))^Draws!BI11)</f>
        <v>0.68791271868384329</v>
      </c>
      <c r="BJ58" s="1258">
        <f>1/((1+('Lease Up'!$N$11/12))^Draws!BJ11)</f>
        <v>0.6830742758962447</v>
      </c>
      <c r="BK58" s="1258">
        <f>1/((1+('Lease Up'!$N$11/12))^Draws!BK11)</f>
        <v>0.67826986435704917</v>
      </c>
      <c r="BL58" s="1258">
        <f>1/((1+('Lease Up'!$N$11/12))^Draws!BL11)</f>
        <v>0.67349924470704081</v>
      </c>
      <c r="BM58" s="1258">
        <f>1/((1+('Lease Up'!$N$11/12))^Draws!BM11)</f>
        <v>0.66876217927054105</v>
      </c>
      <c r="BN58" s="1258">
        <f>1/((1+('Lease Up'!$N$11/12))^Draws!BN11)</f>
        <v>0.66405843204356585</v>
      </c>
      <c r="BO58" s="1258">
        <f>1/((1+('Lease Up'!$N$11/12))^Draws!BO11)</f>
        <v>0.65938776868206794</v>
      </c>
      <c r="BP58" s="1259">
        <f>1/((1+('Lease Up'!$N$11/12))^Draws!BP11)</f>
        <v>0.65474995649026169</v>
      </c>
    </row>
    <row r="59" spans="2:68" ht="12" customHeight="1" thickBot="1">
      <c r="B59" s="249" t="s">
        <v>599</v>
      </c>
      <c r="C59" s="244"/>
      <c r="D59" s="1224"/>
      <c r="E59" s="1227"/>
      <c r="F59" s="878"/>
      <c r="G59" s="1228"/>
      <c r="H59" s="845">
        <f>H57*H58</f>
        <v>-5309435</v>
      </c>
      <c r="I59" s="217">
        <f t="shared" ref="I59:BP59" si="93">I57*I58</f>
        <v>-33098.882912701702</v>
      </c>
      <c r="J59" s="217">
        <f t="shared" si="93"/>
        <v>-32866.081502062087</v>
      </c>
      <c r="K59" s="217">
        <f t="shared" si="93"/>
        <v>-32634.917503081931</v>
      </c>
      <c r="L59" s="217">
        <f t="shared" si="93"/>
        <v>-32405.379399005637</v>
      </c>
      <c r="M59" s="217">
        <f t="shared" si="93"/>
        <v>-32177.4557540809</v>
      </c>
      <c r="N59" s="217">
        <f t="shared" si="93"/>
        <v>-31951.135212988891</v>
      </c>
      <c r="O59" s="217">
        <f t="shared" si="93"/>
        <v>-1189292.5615030094</v>
      </c>
      <c r="P59" s="217">
        <f t="shared" si="93"/>
        <v>-1180927.6572640552</v>
      </c>
      <c r="Q59" s="217">
        <f t="shared" si="93"/>
        <v>-367408.69246093254</v>
      </c>
      <c r="R59" s="217">
        <f t="shared" si="93"/>
        <v>0</v>
      </c>
      <c r="S59" s="217">
        <f t="shared" si="93"/>
        <v>0</v>
      </c>
      <c r="T59" s="309">
        <f t="shared" si="93"/>
        <v>0</v>
      </c>
      <c r="U59" s="217">
        <f t="shared" si="93"/>
        <v>0</v>
      </c>
      <c r="V59" s="217">
        <f t="shared" si="93"/>
        <v>0</v>
      </c>
      <c r="W59" s="217">
        <f t="shared" si="93"/>
        <v>0</v>
      </c>
      <c r="X59" s="217">
        <f t="shared" si="93"/>
        <v>0</v>
      </c>
      <c r="Y59" s="217">
        <f t="shared" si="93"/>
        <v>0</v>
      </c>
      <c r="Z59" s="217">
        <f t="shared" si="93"/>
        <v>0</v>
      </c>
      <c r="AA59" s="217">
        <f t="shared" si="93"/>
        <v>0</v>
      </c>
      <c r="AB59" s="217">
        <f t="shared" si="93"/>
        <v>0</v>
      </c>
      <c r="AC59" s="217">
        <f t="shared" si="93"/>
        <v>0</v>
      </c>
      <c r="AD59" s="217">
        <f t="shared" si="93"/>
        <v>0</v>
      </c>
      <c r="AE59" s="217">
        <f t="shared" si="93"/>
        <v>0</v>
      </c>
      <c r="AF59" s="309">
        <f t="shared" si="93"/>
        <v>0</v>
      </c>
      <c r="AG59" s="217">
        <f t="shared" si="93"/>
        <v>72600.50976846338</v>
      </c>
      <c r="AH59" s="217">
        <f t="shared" si="93"/>
        <v>99421.366036078151</v>
      </c>
      <c r="AI59" s="217">
        <f t="shared" si="93"/>
        <v>125736.84423594692</v>
      </c>
      <c r="AJ59" s="217">
        <f t="shared" si="93"/>
        <v>127533.57408457609</v>
      </c>
      <c r="AK59" s="217">
        <f t="shared" si="93"/>
        <v>126636.56508191254</v>
      </c>
      <c r="AL59" s="217">
        <f t="shared" si="93"/>
        <v>125745.86520338854</v>
      </c>
      <c r="AM59" s="217">
        <f t="shared" si="93"/>
        <v>124861.43007369984</v>
      </c>
      <c r="AN59" s="217">
        <f t="shared" si="93"/>
        <v>123983.21562965644</v>
      </c>
      <c r="AO59" s="217">
        <f t="shared" si="93"/>
        <v>123111.17811798735</v>
      </c>
      <c r="AP59" s="217">
        <f t="shared" si="93"/>
        <v>122245.27409316078</v>
      </c>
      <c r="AQ59" s="217">
        <f t="shared" si="93"/>
        <v>121385.46041521966</v>
      </c>
      <c r="AR59" s="310">
        <f t="shared" si="93"/>
        <v>10302275.695099233</v>
      </c>
      <c r="AS59" s="214">
        <f t="shared" si="93"/>
        <v>0</v>
      </c>
      <c r="AT59" s="214">
        <f t="shared" si="93"/>
        <v>0</v>
      </c>
      <c r="AU59" s="214">
        <f t="shared" si="93"/>
        <v>0</v>
      </c>
      <c r="AV59" s="214">
        <f t="shared" si="93"/>
        <v>0</v>
      </c>
      <c r="AW59" s="214">
        <f t="shared" si="93"/>
        <v>0</v>
      </c>
      <c r="AX59" s="214">
        <f t="shared" si="93"/>
        <v>0</v>
      </c>
      <c r="AY59" s="214">
        <f t="shared" si="93"/>
        <v>0</v>
      </c>
      <c r="AZ59" s="214">
        <f t="shared" si="93"/>
        <v>0</v>
      </c>
      <c r="BA59" s="214">
        <f t="shared" si="93"/>
        <v>0</v>
      </c>
      <c r="BB59" s="214">
        <f t="shared" si="93"/>
        <v>0</v>
      </c>
      <c r="BC59" s="214">
        <f t="shared" si="93"/>
        <v>0</v>
      </c>
      <c r="BD59" s="310">
        <f t="shared" si="93"/>
        <v>0</v>
      </c>
      <c r="BE59" s="214">
        <f t="shared" si="93"/>
        <v>0</v>
      </c>
      <c r="BF59" s="214">
        <f t="shared" si="93"/>
        <v>0</v>
      </c>
      <c r="BG59" s="214">
        <f t="shared" si="93"/>
        <v>0</v>
      </c>
      <c r="BH59" s="214">
        <f t="shared" si="93"/>
        <v>0</v>
      </c>
      <c r="BI59" s="214">
        <f t="shared" si="93"/>
        <v>0</v>
      </c>
      <c r="BJ59" s="214">
        <f t="shared" si="93"/>
        <v>0</v>
      </c>
      <c r="BK59" s="214">
        <f t="shared" si="93"/>
        <v>0</v>
      </c>
      <c r="BL59" s="214">
        <f t="shared" si="93"/>
        <v>0</v>
      </c>
      <c r="BM59" s="214">
        <f t="shared" si="93"/>
        <v>0</v>
      </c>
      <c r="BN59" s="214">
        <f t="shared" si="93"/>
        <v>0</v>
      </c>
      <c r="BO59" s="214">
        <f t="shared" si="93"/>
        <v>0</v>
      </c>
      <c r="BP59" s="793">
        <f t="shared" si="93"/>
        <v>0</v>
      </c>
    </row>
    <row r="60" spans="2:68" ht="12" customHeight="1">
      <c r="B60" s="1260" t="s">
        <v>601</v>
      </c>
      <c r="C60" s="1261"/>
      <c r="D60" s="1262"/>
      <c r="E60" s="1263"/>
      <c r="F60" s="1264"/>
      <c r="G60" s="1265"/>
      <c r="H60" s="1272">
        <f>NPV(H59,I59:AR59)*12</f>
        <v>7.480769525920955E-2</v>
      </c>
      <c r="I60" s="216"/>
      <c r="J60" s="217"/>
      <c r="K60" s="217"/>
      <c r="L60" s="217"/>
      <c r="M60" s="217"/>
      <c r="N60" s="217"/>
      <c r="O60" s="217"/>
      <c r="P60" s="217"/>
      <c r="Q60" s="217"/>
      <c r="R60" s="217"/>
      <c r="S60" s="217"/>
      <c r="T60" s="309"/>
      <c r="U60" s="217"/>
      <c r="V60" s="217"/>
      <c r="W60" s="217"/>
      <c r="X60" s="217"/>
      <c r="Y60" s="217"/>
      <c r="Z60" s="217"/>
      <c r="AA60" s="217"/>
      <c r="AB60" s="217"/>
      <c r="AC60" s="217"/>
      <c r="AD60" s="217"/>
      <c r="AE60" s="217"/>
      <c r="AF60" s="309"/>
      <c r="AG60" s="217"/>
      <c r="AH60" s="217"/>
      <c r="AI60" s="217"/>
      <c r="AJ60" s="217"/>
      <c r="AK60" s="217"/>
      <c r="AL60" s="217"/>
      <c r="AM60" s="217"/>
      <c r="AN60" s="217"/>
      <c r="AO60" s="217"/>
      <c r="AP60" s="217"/>
      <c r="AQ60" s="217"/>
      <c r="AR60" s="310"/>
      <c r="AS60" s="214"/>
      <c r="AT60" s="214"/>
      <c r="AU60" s="214"/>
      <c r="AV60" s="214"/>
      <c r="AW60" s="214"/>
      <c r="AX60" s="214"/>
      <c r="AY60" s="214"/>
      <c r="AZ60" s="214"/>
      <c r="BA60" s="214"/>
      <c r="BB60" s="214"/>
      <c r="BC60" s="214"/>
      <c r="BD60" s="310"/>
      <c r="BE60" s="214"/>
      <c r="BF60" s="214"/>
      <c r="BG60" s="214"/>
      <c r="BH60" s="214"/>
      <c r="BI60" s="214"/>
      <c r="BJ60" s="214"/>
      <c r="BK60" s="214"/>
      <c r="BL60" s="214"/>
      <c r="BM60" s="214"/>
      <c r="BN60" s="214"/>
      <c r="BO60" s="214"/>
      <c r="BP60" s="793"/>
    </row>
    <row r="61" spans="2:68" ht="12" customHeight="1" thickBot="1">
      <c r="B61" s="1266" t="s">
        <v>612</v>
      </c>
      <c r="C61" s="1267"/>
      <c r="D61" s="1268"/>
      <c r="E61" s="1269"/>
      <c r="F61" s="1270"/>
      <c r="G61" s="1271"/>
      <c r="H61" s="1273">
        <f>SUM(AG57:AR57)/-SUM(H57:Q57)</f>
        <v>1.771923234361831</v>
      </c>
      <c r="I61" s="1229"/>
      <c r="J61" s="420"/>
      <c r="K61" s="420"/>
      <c r="L61" s="420"/>
      <c r="M61" s="420"/>
      <c r="N61" s="420"/>
      <c r="O61" s="420"/>
      <c r="P61" s="420"/>
      <c r="Q61" s="420"/>
      <c r="R61" s="420"/>
      <c r="S61" s="420"/>
      <c r="T61" s="311"/>
      <c r="U61" s="420"/>
      <c r="V61" s="420"/>
      <c r="W61" s="420"/>
      <c r="X61" s="420"/>
      <c r="Y61" s="420"/>
      <c r="Z61" s="420"/>
      <c r="AA61" s="420"/>
      <c r="AB61" s="420"/>
      <c r="AC61" s="420"/>
      <c r="AD61" s="420"/>
      <c r="AE61" s="420"/>
      <c r="AF61" s="311"/>
      <c r="AG61" s="420"/>
      <c r="AH61" s="420"/>
      <c r="AI61" s="420"/>
      <c r="AJ61" s="420"/>
      <c r="AK61" s="420"/>
      <c r="AL61" s="420"/>
      <c r="AM61" s="420"/>
      <c r="AN61" s="420"/>
      <c r="AO61" s="420"/>
      <c r="AP61" s="420"/>
      <c r="AQ61" s="420"/>
      <c r="AR61" s="906"/>
      <c r="AS61" s="429"/>
      <c r="AT61" s="429"/>
      <c r="AU61" s="429"/>
      <c r="AV61" s="429"/>
      <c r="AW61" s="429"/>
      <c r="AX61" s="429"/>
      <c r="AY61" s="429"/>
      <c r="AZ61" s="429"/>
      <c r="BA61" s="429"/>
      <c r="BB61" s="429"/>
      <c r="BC61" s="429"/>
      <c r="BD61" s="906"/>
      <c r="BE61" s="429"/>
      <c r="BF61" s="429"/>
      <c r="BG61" s="429"/>
      <c r="BH61" s="429"/>
      <c r="BI61" s="429"/>
      <c r="BJ61" s="429"/>
      <c r="BK61" s="429"/>
      <c r="BL61" s="429"/>
      <c r="BM61" s="429"/>
      <c r="BN61" s="429"/>
      <c r="BO61" s="429"/>
      <c r="BP61" s="430"/>
    </row>
    <row r="62" spans="2:68" ht="12" customHeight="1" thickBot="1">
      <c r="B62" s="1223" t="s">
        <v>597</v>
      </c>
      <c r="C62" s="244"/>
      <c r="D62" s="244"/>
      <c r="E62" s="254"/>
      <c r="F62" s="878"/>
      <c r="G62" s="254"/>
      <c r="H62" s="217"/>
      <c r="I62" s="217"/>
      <c r="J62" s="217"/>
      <c r="K62" s="217"/>
      <c r="L62" s="217"/>
      <c r="M62" s="217"/>
      <c r="N62" s="217"/>
      <c r="O62" s="217"/>
      <c r="P62" s="217"/>
      <c r="Q62" s="217"/>
      <c r="R62" s="217"/>
      <c r="S62" s="217"/>
      <c r="T62" s="217"/>
      <c r="U62" s="217"/>
      <c r="V62" s="217"/>
      <c r="W62" s="217"/>
      <c r="X62" s="217"/>
      <c r="Y62" s="217"/>
      <c r="Z62" s="217"/>
      <c r="AA62" s="217"/>
      <c r="AB62" s="217"/>
      <c r="AC62" s="217"/>
      <c r="AD62" s="217"/>
      <c r="AE62" s="217"/>
      <c r="AF62" s="217"/>
      <c r="AG62" s="217"/>
      <c r="AH62" s="217"/>
      <c r="AI62" s="217"/>
      <c r="AJ62" s="217"/>
      <c r="AK62" s="217"/>
      <c r="AL62" s="217"/>
      <c r="AM62" s="217"/>
      <c r="AN62" s="217"/>
      <c r="AO62" s="217"/>
      <c r="AP62" s="217"/>
      <c r="AQ62" s="217"/>
      <c r="AR62" s="214"/>
      <c r="AS62" s="214"/>
      <c r="AT62" s="214"/>
      <c r="AU62" s="214"/>
      <c r="AV62" s="214"/>
      <c r="AW62" s="214"/>
      <c r="AX62" s="214"/>
      <c r="AY62" s="214"/>
      <c r="AZ62" s="214"/>
      <c r="BA62" s="214"/>
      <c r="BB62" s="214"/>
      <c r="BC62" s="214"/>
      <c r="BD62" s="214"/>
      <c r="BE62" s="214"/>
      <c r="BF62" s="214"/>
      <c r="BG62" s="214"/>
      <c r="BH62" s="214"/>
      <c r="BI62" s="214"/>
      <c r="BJ62" s="214"/>
      <c r="BK62" s="214"/>
      <c r="BL62" s="214"/>
      <c r="BM62" s="214"/>
      <c r="BN62" s="214"/>
      <c r="BO62" s="214"/>
      <c r="BP62" s="214"/>
    </row>
    <row r="63" spans="2:68" s="1157" customFormat="1" ht="12" customHeight="1" thickBot="1">
      <c r="B63" s="1248" t="s">
        <v>568</v>
      </c>
      <c r="C63" s="1249"/>
      <c r="D63" s="1249"/>
      <c r="E63" s="1250"/>
      <c r="F63" s="1250"/>
      <c r="G63" s="1250"/>
      <c r="H63" s="1251"/>
      <c r="I63" s="1251"/>
      <c r="J63" s="1251"/>
      <c r="K63" s="1251"/>
      <c r="L63" s="1251"/>
      <c r="M63" s="1251"/>
      <c r="N63" s="1251"/>
      <c r="O63" s="1251"/>
      <c r="P63" s="1251"/>
      <c r="Q63" s="1251"/>
      <c r="R63" s="1251"/>
      <c r="S63" s="1251"/>
      <c r="T63" s="1251"/>
      <c r="U63" s="1251"/>
      <c r="V63" s="1251"/>
      <c r="W63" s="1251"/>
      <c r="X63" s="1251"/>
      <c r="Y63" s="1251"/>
      <c r="Z63" s="1251"/>
      <c r="AA63" s="1251"/>
      <c r="AB63" s="1251"/>
      <c r="AC63" s="1251"/>
      <c r="AD63" s="1251"/>
      <c r="AE63" s="1251"/>
      <c r="AF63" s="1251"/>
      <c r="AG63" s="1251"/>
      <c r="AH63" s="1251"/>
      <c r="AI63" s="1251"/>
      <c r="AJ63" s="1251"/>
      <c r="AK63" s="1251"/>
      <c r="AL63" s="1251"/>
      <c r="AM63" s="1251"/>
      <c r="AN63" s="1251"/>
      <c r="AO63" s="1251"/>
      <c r="AP63" s="1251"/>
      <c r="AQ63" s="1251"/>
      <c r="AR63" s="1252"/>
      <c r="AS63" s="1252"/>
      <c r="AT63" s="1252"/>
      <c r="AU63" s="1252"/>
      <c r="AV63" s="1252"/>
      <c r="AW63" s="1252"/>
      <c r="AX63" s="1252"/>
      <c r="AY63" s="1252"/>
      <c r="AZ63" s="1252"/>
      <c r="BA63" s="1252"/>
      <c r="BB63" s="1252"/>
      <c r="BC63" s="1252"/>
      <c r="BD63" s="1252"/>
      <c r="BE63" s="1252"/>
      <c r="BF63" s="1252"/>
      <c r="BG63" s="1252"/>
      <c r="BH63" s="1252"/>
      <c r="BI63" s="1252"/>
      <c r="BJ63" s="1252"/>
      <c r="BK63" s="1252"/>
      <c r="BL63" s="1252"/>
      <c r="BM63" s="1252"/>
      <c r="BN63" s="1252"/>
      <c r="BO63" s="1252"/>
      <c r="BP63" s="1253"/>
    </row>
    <row r="64" spans="2:68" ht="12" customHeight="1">
      <c r="B64" s="208"/>
      <c r="C64" s="247"/>
      <c r="D64" s="209"/>
      <c r="E64" s="442"/>
      <c r="F64" s="438"/>
      <c r="G64" s="439"/>
      <c r="H64" s="858">
        <f>$G$4</f>
        <v>45597</v>
      </c>
      <c r="I64" s="210">
        <f>EOMONTH(H64,1)</f>
        <v>45657</v>
      </c>
      <c r="J64" s="210">
        <f t="shared" ref="J64" si="94">EOMONTH(I64,1)</f>
        <v>45688</v>
      </c>
      <c r="K64" s="210">
        <f t="shared" ref="K64" si="95">EOMONTH(J64,1)</f>
        <v>45716</v>
      </c>
      <c r="L64" s="210">
        <f t="shared" ref="L64" si="96">EOMONTH(K64,1)</f>
        <v>45747</v>
      </c>
      <c r="M64" s="210">
        <f t="shared" ref="M64" si="97">EOMONTH(L64,1)</f>
        <v>45777</v>
      </c>
      <c r="N64" s="210">
        <f t="shared" ref="N64" si="98">EOMONTH(M64,1)</f>
        <v>45808</v>
      </c>
      <c r="O64" s="210">
        <f t="shared" ref="O64" si="99">EOMONTH(N64,1)</f>
        <v>45838</v>
      </c>
      <c r="P64" s="210">
        <f t="shared" ref="P64" si="100">EOMONTH(O64,1)</f>
        <v>45869</v>
      </c>
      <c r="Q64" s="210">
        <f t="shared" ref="Q64" si="101">EOMONTH(P64,1)</f>
        <v>45900</v>
      </c>
      <c r="R64" s="210">
        <f t="shared" ref="R64" si="102">EOMONTH(Q64,1)</f>
        <v>45930</v>
      </c>
      <c r="S64" s="210">
        <f t="shared" ref="S64" si="103">EOMONTH(R64,1)</f>
        <v>45961</v>
      </c>
      <c r="T64" s="286">
        <f t="shared" ref="T64" si="104">EOMONTH(S64,1)</f>
        <v>45991</v>
      </c>
      <c r="U64" s="446">
        <f t="shared" ref="U64" si="105">EOMONTH(T64,1)</f>
        <v>46022</v>
      </c>
      <c r="V64" s="210">
        <f t="shared" ref="V64" si="106">EOMONTH(U64,1)</f>
        <v>46053</v>
      </c>
      <c r="W64" s="210">
        <f t="shared" ref="W64" si="107">EOMONTH(V64,1)</f>
        <v>46081</v>
      </c>
      <c r="X64" s="210">
        <f t="shared" ref="X64" si="108">EOMONTH(W64,1)</f>
        <v>46112</v>
      </c>
      <c r="Y64" s="210">
        <f t="shared" ref="Y64" si="109">EOMONTH(X64,1)</f>
        <v>46142</v>
      </c>
      <c r="Z64" s="210">
        <f t="shared" ref="Z64" si="110">EOMONTH(Y64,1)</f>
        <v>46173</v>
      </c>
      <c r="AA64" s="210">
        <f t="shared" ref="AA64" si="111">EOMONTH(Z64,1)</f>
        <v>46203</v>
      </c>
      <c r="AB64" s="210">
        <f t="shared" ref="AB64" si="112">EOMONTH(AA64,1)</f>
        <v>46234</v>
      </c>
      <c r="AC64" s="210">
        <f t="shared" ref="AC64" si="113">EOMONTH(AB64,1)</f>
        <v>46265</v>
      </c>
      <c r="AD64" s="210">
        <f t="shared" ref="AD64" si="114">EOMONTH(AC64,1)</f>
        <v>46295</v>
      </c>
      <c r="AE64" s="210">
        <f t="shared" ref="AE64" si="115">EOMONTH(AD64,1)</f>
        <v>46326</v>
      </c>
      <c r="AF64" s="286">
        <f t="shared" ref="AF64" si="116">EOMONTH(AE64,1)</f>
        <v>46356</v>
      </c>
      <c r="AG64" s="446">
        <f t="shared" ref="AG64" si="117">EOMONTH(AF64,1)</f>
        <v>46387</v>
      </c>
      <c r="AH64" s="210">
        <f t="shared" ref="AH64" si="118">EOMONTH(AG64,1)</f>
        <v>46418</v>
      </c>
      <c r="AI64" s="210">
        <f t="shared" ref="AI64" si="119">EOMONTH(AH64,1)</f>
        <v>46446</v>
      </c>
      <c r="AJ64" s="210">
        <f t="shared" ref="AJ64" si="120">EOMONTH(AI64,1)</f>
        <v>46477</v>
      </c>
      <c r="AK64" s="210">
        <f t="shared" ref="AK64" si="121">EOMONTH(AJ64,1)</f>
        <v>46507</v>
      </c>
      <c r="AL64" s="210">
        <f t="shared" ref="AL64" si="122">EOMONTH(AK64,1)</f>
        <v>46538</v>
      </c>
      <c r="AM64" s="210">
        <f t="shared" ref="AM64" si="123">EOMONTH(AL64,1)</f>
        <v>46568</v>
      </c>
      <c r="AN64" s="210">
        <f t="shared" ref="AN64" si="124">EOMONTH(AM64,1)</f>
        <v>46599</v>
      </c>
      <c r="AO64" s="210">
        <f t="shared" ref="AO64" si="125">EOMONTH(AN64,1)</f>
        <v>46630</v>
      </c>
      <c r="AP64" s="789">
        <f t="shared" ref="AP64" si="126">EOMONTH(AO64,1)</f>
        <v>46660</v>
      </c>
      <c r="AQ64" s="210">
        <f t="shared" ref="AQ64" si="127">EOMONTH(AP64,1)</f>
        <v>46691</v>
      </c>
      <c r="AR64" s="286">
        <f t="shared" ref="AR64" si="128">EOMONTH(AQ64,1)</f>
        <v>46721</v>
      </c>
      <c r="AS64" s="446">
        <f t="shared" ref="AS64" si="129">EOMONTH(AR64,1)</f>
        <v>46752</v>
      </c>
      <c r="AT64" s="210">
        <f t="shared" ref="AT64" si="130">EOMONTH(AS64,1)</f>
        <v>46783</v>
      </c>
      <c r="AU64" s="210">
        <f t="shared" ref="AU64" si="131">EOMONTH(AT64,1)</f>
        <v>46812</v>
      </c>
      <c r="AV64" s="210">
        <f t="shared" ref="AV64" si="132">EOMONTH(AU64,1)</f>
        <v>46843</v>
      </c>
      <c r="AW64" s="210">
        <f t="shared" ref="AW64" si="133">EOMONTH(AV64,1)</f>
        <v>46873</v>
      </c>
      <c r="AX64" s="210">
        <f t="shared" ref="AX64" si="134">EOMONTH(AW64,1)</f>
        <v>46904</v>
      </c>
      <c r="AY64" s="210">
        <f t="shared" ref="AY64" si="135">EOMONTH(AX64,1)</f>
        <v>46934</v>
      </c>
      <c r="AZ64" s="210">
        <f t="shared" ref="AZ64" si="136">EOMONTH(AY64,1)</f>
        <v>46965</v>
      </c>
      <c r="BA64" s="210">
        <f t="shared" ref="BA64" si="137">EOMONTH(AZ64,1)</f>
        <v>46996</v>
      </c>
      <c r="BB64" s="210">
        <f t="shared" ref="BB64" si="138">EOMONTH(BA64,1)</f>
        <v>47026</v>
      </c>
      <c r="BC64" s="210">
        <f t="shared" ref="BC64" si="139">EOMONTH(BB64,1)</f>
        <v>47057</v>
      </c>
      <c r="BD64" s="789">
        <f t="shared" ref="BD64" si="140">EOMONTH(BC64,1)</f>
        <v>47087</v>
      </c>
      <c r="BE64" s="446">
        <f t="shared" ref="BE64" si="141">EOMONTH(BD64,1)</f>
        <v>47118</v>
      </c>
      <c r="BF64" s="789">
        <f t="shared" ref="BF64" si="142">EOMONTH(BE64,1)</f>
        <v>47149</v>
      </c>
      <c r="BG64" s="789">
        <f t="shared" ref="BG64" si="143">EOMONTH(BF64,1)</f>
        <v>47177</v>
      </c>
      <c r="BH64" s="789">
        <f t="shared" ref="BH64" si="144">EOMONTH(BG64,1)</f>
        <v>47208</v>
      </c>
      <c r="BI64" s="789">
        <f t="shared" ref="BI64" si="145">EOMONTH(BH64,1)</f>
        <v>47238</v>
      </c>
      <c r="BJ64" s="789">
        <f t="shared" ref="BJ64" si="146">EOMONTH(BI64,1)</f>
        <v>47269</v>
      </c>
      <c r="BK64" s="789">
        <f t="shared" ref="BK64" si="147">EOMONTH(BJ64,1)</f>
        <v>47299</v>
      </c>
      <c r="BL64" s="789">
        <f t="shared" ref="BL64" si="148">EOMONTH(BK64,1)</f>
        <v>47330</v>
      </c>
      <c r="BM64" s="789">
        <f t="shared" ref="BM64" si="149">EOMONTH(BL64,1)</f>
        <v>47361</v>
      </c>
      <c r="BN64" s="789">
        <f t="shared" ref="BN64" si="150">EOMONTH(BM64,1)</f>
        <v>47391</v>
      </c>
      <c r="BO64" s="789">
        <f t="shared" ref="BO64" si="151">EOMONTH(BN64,1)</f>
        <v>47422</v>
      </c>
      <c r="BP64" s="790">
        <f t="shared" ref="BP64" si="152">EOMONTH(BO64,1)</f>
        <v>47452</v>
      </c>
    </row>
    <row r="65" spans="2:68" ht="12" customHeight="1" thickBot="1">
      <c r="B65" s="426"/>
      <c r="C65" s="431"/>
      <c r="D65" s="440" t="s">
        <v>254</v>
      </c>
      <c r="E65" s="443" t="s">
        <v>308</v>
      </c>
      <c r="F65" s="441" t="s">
        <v>309</v>
      </c>
      <c r="G65" s="440" t="s">
        <v>254</v>
      </c>
      <c r="H65" s="844" t="s">
        <v>310</v>
      </c>
      <c r="I65" s="422">
        <v>1</v>
      </c>
      <c r="J65" s="422">
        <f>I65+1</f>
        <v>2</v>
      </c>
      <c r="K65" s="422">
        <f t="shared" ref="K65" si="153">J65+1</f>
        <v>3</v>
      </c>
      <c r="L65" s="422">
        <f t="shared" ref="L65" si="154">K65+1</f>
        <v>4</v>
      </c>
      <c r="M65" s="422">
        <f t="shared" ref="M65" si="155">L65+1</f>
        <v>5</v>
      </c>
      <c r="N65" s="422">
        <f t="shared" ref="N65" si="156">M65+1</f>
        <v>6</v>
      </c>
      <c r="O65" s="422">
        <f t="shared" ref="O65" si="157">N65+1</f>
        <v>7</v>
      </c>
      <c r="P65" s="422">
        <f t="shared" ref="P65" si="158">O65+1</f>
        <v>8</v>
      </c>
      <c r="Q65" s="422">
        <f t="shared" ref="Q65" si="159">P65+1</f>
        <v>9</v>
      </c>
      <c r="R65" s="422">
        <f t="shared" ref="R65" si="160">Q65+1</f>
        <v>10</v>
      </c>
      <c r="S65" s="422">
        <f t="shared" ref="S65" si="161">R65+1</f>
        <v>11</v>
      </c>
      <c r="T65" s="445">
        <f t="shared" ref="T65" si="162">S65+1</f>
        <v>12</v>
      </c>
      <c r="U65" s="444">
        <f t="shared" ref="U65" si="163">T65+1</f>
        <v>13</v>
      </c>
      <c r="V65" s="422">
        <f t="shared" ref="V65" si="164">U65+1</f>
        <v>14</v>
      </c>
      <c r="W65" s="422">
        <f t="shared" ref="W65" si="165">V65+1</f>
        <v>15</v>
      </c>
      <c r="X65" s="422">
        <f t="shared" ref="X65" si="166">W65+1</f>
        <v>16</v>
      </c>
      <c r="Y65" s="422">
        <f t="shared" ref="Y65" si="167">X65+1</f>
        <v>17</v>
      </c>
      <c r="Z65" s="422">
        <f t="shared" ref="Z65" si="168">Y65+1</f>
        <v>18</v>
      </c>
      <c r="AA65" s="422">
        <f t="shared" ref="AA65" si="169">Z65+1</f>
        <v>19</v>
      </c>
      <c r="AB65" s="422">
        <f t="shared" ref="AB65" si="170">AA65+1</f>
        <v>20</v>
      </c>
      <c r="AC65" s="422">
        <f t="shared" ref="AC65" si="171">AB65+1</f>
        <v>21</v>
      </c>
      <c r="AD65" s="422">
        <f t="shared" ref="AD65" si="172">AC65+1</f>
        <v>22</v>
      </c>
      <c r="AE65" s="422">
        <f t="shared" ref="AE65" si="173">AD65+1</f>
        <v>23</v>
      </c>
      <c r="AF65" s="445">
        <f t="shared" ref="AF65" si="174">AE65+1</f>
        <v>24</v>
      </c>
      <c r="AG65" s="444">
        <f t="shared" ref="AG65" si="175">AF65+1</f>
        <v>25</v>
      </c>
      <c r="AH65" s="422">
        <f t="shared" ref="AH65" si="176">AG65+1</f>
        <v>26</v>
      </c>
      <c r="AI65" s="422">
        <f t="shared" ref="AI65" si="177">AH65+1</f>
        <v>27</v>
      </c>
      <c r="AJ65" s="422">
        <f t="shared" ref="AJ65" si="178">AI65+1</f>
        <v>28</v>
      </c>
      <c r="AK65" s="422">
        <f t="shared" ref="AK65" si="179">AJ65+1</f>
        <v>29</v>
      </c>
      <c r="AL65" s="422">
        <f t="shared" ref="AL65" si="180">AK65+1</f>
        <v>30</v>
      </c>
      <c r="AM65" s="422">
        <f t="shared" ref="AM65" si="181">AL65+1</f>
        <v>31</v>
      </c>
      <c r="AN65" s="422">
        <f t="shared" ref="AN65" si="182">AM65+1</f>
        <v>32</v>
      </c>
      <c r="AO65" s="422">
        <f t="shared" ref="AO65" si="183">AN65+1</f>
        <v>33</v>
      </c>
      <c r="AP65" s="422">
        <f t="shared" ref="AP65" si="184">AO65+1</f>
        <v>34</v>
      </c>
      <c r="AQ65" s="422">
        <f t="shared" ref="AQ65" si="185">AP65+1</f>
        <v>35</v>
      </c>
      <c r="AR65" s="445">
        <f t="shared" ref="AR65" si="186">AQ65+1</f>
        <v>36</v>
      </c>
      <c r="AS65" s="444">
        <f t="shared" ref="AS65" si="187">AR65+1</f>
        <v>37</v>
      </c>
      <c r="AT65" s="422">
        <f t="shared" ref="AT65" si="188">AS65+1</f>
        <v>38</v>
      </c>
      <c r="AU65" s="422">
        <f t="shared" ref="AU65" si="189">AT65+1</f>
        <v>39</v>
      </c>
      <c r="AV65" s="422">
        <f t="shared" ref="AV65" si="190">AU65+1</f>
        <v>40</v>
      </c>
      <c r="AW65" s="422">
        <f t="shared" ref="AW65" si="191">AV65+1</f>
        <v>41</v>
      </c>
      <c r="AX65" s="422">
        <f t="shared" ref="AX65" si="192">AW65+1</f>
        <v>42</v>
      </c>
      <c r="AY65" s="422">
        <f t="shared" ref="AY65" si="193">AX65+1</f>
        <v>43</v>
      </c>
      <c r="AZ65" s="422">
        <f t="shared" ref="AZ65" si="194">AY65+1</f>
        <v>44</v>
      </c>
      <c r="BA65" s="422">
        <f t="shared" ref="BA65" si="195">AZ65+1</f>
        <v>45</v>
      </c>
      <c r="BB65" s="422">
        <f t="shared" ref="BB65" si="196">BA65+1</f>
        <v>46</v>
      </c>
      <c r="BC65" s="422">
        <f t="shared" ref="BC65" si="197">BB65+1</f>
        <v>47</v>
      </c>
      <c r="BD65" s="422">
        <f t="shared" ref="BD65" si="198">BC65+1</f>
        <v>48</v>
      </c>
      <c r="BE65" s="444">
        <f t="shared" ref="BE65" si="199">BD65+1</f>
        <v>49</v>
      </c>
      <c r="BF65" s="422">
        <f t="shared" ref="BF65" si="200">BE65+1</f>
        <v>50</v>
      </c>
      <c r="BG65" s="422">
        <f t="shared" ref="BG65" si="201">BF65+1</f>
        <v>51</v>
      </c>
      <c r="BH65" s="422">
        <f t="shared" ref="BH65" si="202">BG65+1</f>
        <v>52</v>
      </c>
      <c r="BI65" s="422">
        <f t="shared" ref="BI65" si="203">BH65+1</f>
        <v>53</v>
      </c>
      <c r="BJ65" s="422">
        <f t="shared" ref="BJ65" si="204">BI65+1</f>
        <v>54</v>
      </c>
      <c r="BK65" s="422">
        <f t="shared" ref="BK65" si="205">BJ65+1</f>
        <v>55</v>
      </c>
      <c r="BL65" s="422">
        <f t="shared" ref="BL65" si="206">BK65+1</f>
        <v>56</v>
      </c>
      <c r="BM65" s="422">
        <f t="shared" ref="BM65" si="207">BL65+1</f>
        <v>57</v>
      </c>
      <c r="BN65" s="422">
        <f t="shared" ref="BN65" si="208">BM65+1</f>
        <v>58</v>
      </c>
      <c r="BO65" s="422">
        <f t="shared" ref="BO65" si="209">BN65+1</f>
        <v>59</v>
      </c>
      <c r="BP65" s="445">
        <f t="shared" ref="BP65" si="210">BO65+1</f>
        <v>60</v>
      </c>
    </row>
    <row r="66" spans="2:68" ht="12" customHeight="1" outlineLevel="1">
      <c r="B66" s="218"/>
      <c r="C66" s="244" t="s">
        <v>484</v>
      </c>
      <c r="D66" s="840"/>
      <c r="E66" s="841"/>
      <c r="F66" s="244"/>
      <c r="G66" s="840"/>
      <c r="H66" s="859"/>
      <c r="T66" s="788"/>
      <c r="U66" s="252"/>
      <c r="AA66" s="207"/>
      <c r="AB66" s="207"/>
      <c r="AC66" s="207"/>
      <c r="AD66" s="207"/>
      <c r="AE66" s="207"/>
      <c r="AF66" s="788"/>
      <c r="AG66" s="252"/>
      <c r="AH66" s="207"/>
      <c r="AI66" s="207"/>
      <c r="AJ66" s="207"/>
      <c r="AK66" s="207"/>
      <c r="AL66" s="207"/>
      <c r="AM66" s="207"/>
      <c r="AN66" s="207"/>
      <c r="AO66" s="207"/>
      <c r="AP66" s="207"/>
      <c r="AQ66" s="207"/>
      <c r="AR66" s="788"/>
      <c r="AS66" s="252"/>
      <c r="AT66" s="207"/>
      <c r="AU66" s="207"/>
      <c r="AV66" s="207"/>
      <c r="AW66" s="207"/>
      <c r="AX66" s="207"/>
      <c r="AY66" s="207"/>
      <c r="AZ66" s="207"/>
      <c r="BA66" s="207"/>
      <c r="BB66" s="207"/>
      <c r="BC66" s="207"/>
      <c r="BD66" s="207"/>
      <c r="BE66" s="252"/>
      <c r="BF66" s="207"/>
      <c r="BG66" s="207"/>
      <c r="BH66" s="207"/>
      <c r="BI66" s="207"/>
      <c r="BJ66" s="207"/>
      <c r="BK66" s="207"/>
      <c r="BL66" s="207"/>
      <c r="BM66" s="207"/>
      <c r="BN66" s="207"/>
      <c r="BO66" s="207"/>
      <c r="BP66" s="788"/>
    </row>
    <row r="67" spans="2:68" ht="12" customHeight="1" outlineLevel="1">
      <c r="B67" s="218"/>
      <c r="C67" s="206" t="s">
        <v>481</v>
      </c>
      <c r="D67" s="842">
        <f>61*40000</f>
        <v>2440000</v>
      </c>
      <c r="E67" s="216">
        <f>H67</f>
        <v>2440000</v>
      </c>
      <c r="F67" s="214">
        <f>SUM(I67:BP67)</f>
        <v>0</v>
      </c>
      <c r="G67" s="861">
        <f>E67+F67</f>
        <v>2440000</v>
      </c>
      <c r="H67" s="845">
        <f>D67</f>
        <v>2440000</v>
      </c>
      <c r="I67" s="217"/>
      <c r="J67" s="217"/>
      <c r="K67" s="217"/>
      <c r="L67" s="217"/>
      <c r="M67" s="217"/>
      <c r="N67" s="217"/>
      <c r="O67" s="217"/>
      <c r="P67" s="217"/>
      <c r="Q67" s="217"/>
      <c r="R67" s="217"/>
      <c r="S67" s="217"/>
      <c r="T67" s="791"/>
      <c r="U67" s="216"/>
      <c r="V67" s="217"/>
      <c r="W67" s="217"/>
      <c r="X67" s="217"/>
      <c r="Y67" s="217"/>
      <c r="Z67" s="217"/>
      <c r="AA67" s="217"/>
      <c r="AB67" s="217"/>
      <c r="AC67" s="217"/>
      <c r="AD67" s="217"/>
      <c r="AE67" s="217"/>
      <c r="AF67" s="791"/>
      <c r="AG67" s="216"/>
      <c r="AH67" s="217"/>
      <c r="AI67" s="217"/>
      <c r="AJ67" s="217"/>
      <c r="AK67" s="217"/>
      <c r="AL67" s="217"/>
      <c r="AM67" s="217"/>
      <c r="AN67" s="217"/>
      <c r="AO67" s="217"/>
      <c r="AP67" s="217"/>
      <c r="AQ67" s="217"/>
      <c r="AR67" s="791"/>
      <c r="AS67" s="216"/>
      <c r="AT67" s="217"/>
      <c r="AU67" s="217"/>
      <c r="AV67" s="217"/>
      <c r="AW67" s="217"/>
      <c r="AX67" s="217"/>
      <c r="AY67" s="217"/>
      <c r="AZ67" s="217"/>
      <c r="BA67" s="217"/>
      <c r="BB67" s="217"/>
      <c r="BC67" s="217"/>
      <c r="BD67" s="217"/>
      <c r="BE67" s="216"/>
      <c r="BF67" s="217"/>
      <c r="BG67" s="217"/>
      <c r="BH67" s="217"/>
      <c r="BI67" s="217"/>
      <c r="BJ67" s="217"/>
      <c r="BK67" s="217"/>
      <c r="BL67" s="217"/>
      <c r="BM67" s="217"/>
      <c r="BN67" s="217"/>
      <c r="BO67" s="217"/>
      <c r="BP67" s="791"/>
    </row>
    <row r="68" spans="2:68" ht="12" customHeight="1" outlineLevel="1">
      <c r="B68" s="218"/>
      <c r="C68" s="206" t="s">
        <v>482</v>
      </c>
      <c r="D68" s="843">
        <f>59*40000</f>
        <v>2360000</v>
      </c>
      <c r="E68" s="223">
        <f>H68</f>
        <v>2360000</v>
      </c>
      <c r="F68" s="222">
        <f>SUM(I68:BP68)</f>
        <v>0</v>
      </c>
      <c r="G68" s="880">
        <f>E68+F68</f>
        <v>2360000</v>
      </c>
      <c r="H68" s="855">
        <f>D68</f>
        <v>2360000</v>
      </c>
      <c r="I68" s="217"/>
      <c r="J68" s="217"/>
      <c r="K68" s="217"/>
      <c r="L68" s="217"/>
      <c r="M68" s="217"/>
      <c r="N68" s="217"/>
      <c r="O68" s="217"/>
      <c r="P68" s="217"/>
      <c r="Q68" s="217"/>
      <c r="R68" s="217"/>
      <c r="S68" s="217"/>
      <c r="T68" s="791"/>
      <c r="U68" s="216"/>
      <c r="V68" s="217"/>
      <c r="W68" s="217"/>
      <c r="X68" s="217"/>
      <c r="Y68" s="217"/>
      <c r="Z68" s="217"/>
      <c r="AA68" s="217"/>
      <c r="AB68" s="217"/>
      <c r="AC68" s="217"/>
      <c r="AD68" s="217"/>
      <c r="AE68" s="217"/>
      <c r="AF68" s="791"/>
      <c r="AG68" s="216"/>
      <c r="AH68" s="217"/>
      <c r="AI68" s="217"/>
      <c r="AJ68" s="217"/>
      <c r="AK68" s="217"/>
      <c r="AL68" s="217"/>
      <c r="AM68" s="217"/>
      <c r="AN68" s="217"/>
      <c r="AO68" s="217"/>
      <c r="AP68" s="217"/>
      <c r="AQ68" s="217"/>
      <c r="AR68" s="791"/>
      <c r="AS68" s="216"/>
      <c r="AT68" s="217"/>
      <c r="AU68" s="217"/>
      <c r="AV68" s="217"/>
      <c r="AW68" s="217"/>
      <c r="AX68" s="217"/>
      <c r="AY68" s="217"/>
      <c r="AZ68" s="217"/>
      <c r="BA68" s="217"/>
      <c r="BB68" s="217"/>
      <c r="BC68" s="217"/>
      <c r="BD68" s="217"/>
      <c r="BE68" s="216"/>
      <c r="BF68" s="217"/>
      <c r="BG68" s="217"/>
      <c r="BH68" s="217"/>
      <c r="BI68" s="217"/>
      <c r="BJ68" s="217"/>
      <c r="BK68" s="217"/>
      <c r="BL68" s="217"/>
      <c r="BM68" s="217"/>
      <c r="BN68" s="217"/>
      <c r="BO68" s="217"/>
      <c r="BP68" s="791"/>
    </row>
    <row r="69" spans="2:68" ht="12" customHeight="1" outlineLevel="1">
      <c r="B69" s="218"/>
      <c r="C69" s="244" t="s">
        <v>490</v>
      </c>
      <c r="D69" s="791">
        <f>SUM(D67:D68)</f>
        <v>4800000</v>
      </c>
      <c r="E69" s="216">
        <f>SUM(E67:E68)</f>
        <v>4800000</v>
      </c>
      <c r="F69" s="214">
        <f>SUM(F67:F68)</f>
        <v>0</v>
      </c>
      <c r="G69" s="861">
        <f>SUM(G67:G68)</f>
        <v>4800000</v>
      </c>
      <c r="H69" s="845">
        <f>SUM(H67:H68)</f>
        <v>4800000</v>
      </c>
      <c r="I69" s="217">
        <f t="shared" ref="I69:BP69" si="211">SUM(I67:I68)</f>
        <v>0</v>
      </c>
      <c r="J69" s="217">
        <f t="shared" si="211"/>
        <v>0</v>
      </c>
      <c r="K69" s="217">
        <f t="shared" si="211"/>
        <v>0</v>
      </c>
      <c r="L69" s="217">
        <f t="shared" si="211"/>
        <v>0</v>
      </c>
      <c r="M69" s="217">
        <f t="shared" si="211"/>
        <v>0</v>
      </c>
      <c r="N69" s="217">
        <f t="shared" si="211"/>
        <v>0</v>
      </c>
      <c r="O69" s="217">
        <f t="shared" si="211"/>
        <v>0</v>
      </c>
      <c r="P69" s="217">
        <f t="shared" si="211"/>
        <v>0</v>
      </c>
      <c r="Q69" s="217">
        <f t="shared" si="211"/>
        <v>0</v>
      </c>
      <c r="R69" s="217">
        <f t="shared" si="211"/>
        <v>0</v>
      </c>
      <c r="S69" s="217">
        <f t="shared" si="211"/>
        <v>0</v>
      </c>
      <c r="T69" s="791">
        <f t="shared" si="211"/>
        <v>0</v>
      </c>
      <c r="U69" s="216">
        <f t="shared" si="211"/>
        <v>0</v>
      </c>
      <c r="V69" s="217">
        <f t="shared" si="211"/>
        <v>0</v>
      </c>
      <c r="W69" s="217">
        <f t="shared" si="211"/>
        <v>0</v>
      </c>
      <c r="X69" s="217">
        <f t="shared" si="211"/>
        <v>0</v>
      </c>
      <c r="Y69" s="217">
        <f t="shared" si="211"/>
        <v>0</v>
      </c>
      <c r="Z69" s="217">
        <f t="shared" si="211"/>
        <v>0</v>
      </c>
      <c r="AA69" s="217">
        <f t="shared" si="211"/>
        <v>0</v>
      </c>
      <c r="AB69" s="217">
        <f t="shared" si="211"/>
        <v>0</v>
      </c>
      <c r="AC69" s="217">
        <f t="shared" si="211"/>
        <v>0</v>
      </c>
      <c r="AD69" s="217">
        <f t="shared" si="211"/>
        <v>0</v>
      </c>
      <c r="AE69" s="217">
        <f t="shared" si="211"/>
        <v>0</v>
      </c>
      <c r="AF69" s="791">
        <f t="shared" si="211"/>
        <v>0</v>
      </c>
      <c r="AG69" s="216">
        <f t="shared" si="211"/>
        <v>0</v>
      </c>
      <c r="AH69" s="217">
        <f t="shared" si="211"/>
        <v>0</v>
      </c>
      <c r="AI69" s="217">
        <f t="shared" si="211"/>
        <v>0</v>
      </c>
      <c r="AJ69" s="217">
        <f t="shared" si="211"/>
        <v>0</v>
      </c>
      <c r="AK69" s="217">
        <f t="shared" si="211"/>
        <v>0</v>
      </c>
      <c r="AL69" s="217">
        <f t="shared" si="211"/>
        <v>0</v>
      </c>
      <c r="AM69" s="217">
        <f t="shared" si="211"/>
        <v>0</v>
      </c>
      <c r="AN69" s="217">
        <f t="shared" si="211"/>
        <v>0</v>
      </c>
      <c r="AO69" s="217">
        <f t="shared" si="211"/>
        <v>0</v>
      </c>
      <c r="AP69" s="217">
        <f t="shared" si="211"/>
        <v>0</v>
      </c>
      <c r="AQ69" s="217">
        <f t="shared" si="211"/>
        <v>0</v>
      </c>
      <c r="AR69" s="791">
        <f t="shared" si="211"/>
        <v>0</v>
      </c>
      <c r="AS69" s="216">
        <f t="shared" si="211"/>
        <v>0</v>
      </c>
      <c r="AT69" s="217">
        <f t="shared" si="211"/>
        <v>0</v>
      </c>
      <c r="AU69" s="217">
        <f t="shared" si="211"/>
        <v>0</v>
      </c>
      <c r="AV69" s="217">
        <f t="shared" si="211"/>
        <v>0</v>
      </c>
      <c r="AW69" s="217">
        <f t="shared" si="211"/>
        <v>0</v>
      </c>
      <c r="AX69" s="217">
        <f t="shared" si="211"/>
        <v>0</v>
      </c>
      <c r="AY69" s="217">
        <f t="shared" si="211"/>
        <v>0</v>
      </c>
      <c r="AZ69" s="217">
        <f t="shared" si="211"/>
        <v>0</v>
      </c>
      <c r="BA69" s="217">
        <f t="shared" si="211"/>
        <v>0</v>
      </c>
      <c r="BB69" s="217">
        <f t="shared" si="211"/>
        <v>0</v>
      </c>
      <c r="BC69" s="217">
        <f t="shared" si="211"/>
        <v>0</v>
      </c>
      <c r="BD69" s="217">
        <f t="shared" si="211"/>
        <v>0</v>
      </c>
      <c r="BE69" s="216">
        <f t="shared" si="211"/>
        <v>0</v>
      </c>
      <c r="BF69" s="217">
        <f t="shared" si="211"/>
        <v>0</v>
      </c>
      <c r="BG69" s="217">
        <f t="shared" si="211"/>
        <v>0</v>
      </c>
      <c r="BH69" s="217">
        <f t="shared" si="211"/>
        <v>0</v>
      </c>
      <c r="BI69" s="217">
        <f t="shared" si="211"/>
        <v>0</v>
      </c>
      <c r="BJ69" s="217">
        <f t="shared" si="211"/>
        <v>0</v>
      </c>
      <c r="BK69" s="217">
        <f t="shared" si="211"/>
        <v>0</v>
      </c>
      <c r="BL69" s="217">
        <f t="shared" si="211"/>
        <v>0</v>
      </c>
      <c r="BM69" s="217">
        <f t="shared" si="211"/>
        <v>0</v>
      </c>
      <c r="BN69" s="217">
        <f t="shared" si="211"/>
        <v>0</v>
      </c>
      <c r="BO69" s="217">
        <f t="shared" si="211"/>
        <v>0</v>
      </c>
      <c r="BP69" s="791">
        <f t="shared" si="211"/>
        <v>0</v>
      </c>
    </row>
    <row r="70" spans="2:68" ht="12" customHeight="1" outlineLevel="1">
      <c r="B70" s="218"/>
      <c r="D70" s="840"/>
      <c r="E70" s="860"/>
      <c r="F70" s="254"/>
      <c r="G70" s="861"/>
      <c r="H70" s="845"/>
      <c r="I70" s="217"/>
      <c r="J70" s="217"/>
      <c r="K70" s="217"/>
      <c r="L70" s="217"/>
      <c r="M70" s="217"/>
      <c r="N70" s="217"/>
      <c r="O70" s="217"/>
      <c r="P70" s="217"/>
      <c r="Q70" s="217"/>
      <c r="R70" s="217"/>
      <c r="S70" s="217"/>
      <c r="T70" s="791"/>
      <c r="U70" s="216"/>
      <c r="V70" s="217"/>
      <c r="W70" s="217"/>
      <c r="X70" s="217"/>
      <c r="Y70" s="217"/>
      <c r="Z70" s="217"/>
      <c r="AA70" s="217"/>
      <c r="AB70" s="217"/>
      <c r="AC70" s="217"/>
      <c r="AD70" s="217"/>
      <c r="AE70" s="217"/>
      <c r="AF70" s="791"/>
      <c r="AG70" s="216"/>
      <c r="AH70" s="217"/>
      <c r="AI70" s="217"/>
      <c r="AJ70" s="217"/>
      <c r="AK70" s="217"/>
      <c r="AL70" s="217"/>
      <c r="AM70" s="217"/>
      <c r="AN70" s="217"/>
      <c r="AO70" s="217"/>
      <c r="AP70" s="217"/>
      <c r="AQ70" s="217"/>
      <c r="AR70" s="791"/>
      <c r="AS70" s="216"/>
      <c r="AT70" s="217"/>
      <c r="AU70" s="217"/>
      <c r="AV70" s="217"/>
      <c r="AW70" s="217"/>
      <c r="AX70" s="217"/>
      <c r="AY70" s="217"/>
      <c r="AZ70" s="217"/>
      <c r="BA70" s="217"/>
      <c r="BB70" s="217"/>
      <c r="BC70" s="217"/>
      <c r="BD70" s="217"/>
      <c r="BE70" s="216"/>
      <c r="BF70" s="217"/>
      <c r="BG70" s="217"/>
      <c r="BH70" s="217"/>
      <c r="BI70" s="217"/>
      <c r="BJ70" s="217"/>
      <c r="BK70" s="217"/>
      <c r="BL70" s="217"/>
      <c r="BM70" s="217"/>
      <c r="BN70" s="217"/>
      <c r="BO70" s="217"/>
      <c r="BP70" s="791"/>
    </row>
    <row r="71" spans="2:68" ht="12" customHeight="1" outlineLevel="1">
      <c r="B71" s="218"/>
      <c r="C71" s="244" t="s">
        <v>579</v>
      </c>
      <c r="D71" s="842">
        <v>200000</v>
      </c>
      <c r="E71" s="216">
        <f t="shared" ref="E71" si="212">H71</f>
        <v>0</v>
      </c>
      <c r="F71" s="214">
        <f>SUM(I71:BP71)</f>
        <v>200000.00000000003</v>
      </c>
      <c r="G71" s="861">
        <f>E71+F71</f>
        <v>200000.00000000003</v>
      </c>
      <c r="H71" s="845">
        <v>0</v>
      </c>
      <c r="I71" s="908">
        <f t="shared" ref="I71:AN71" si="213">IF(AND(I$11&gt;=$D$4,I$11&lt;=$E$4),($D71-$H71)/$F$4,0)</f>
        <v>33333.333333333336</v>
      </c>
      <c r="J71" s="217">
        <f t="shared" si="213"/>
        <v>33333.333333333336</v>
      </c>
      <c r="K71" s="217">
        <f t="shared" si="213"/>
        <v>33333.333333333336</v>
      </c>
      <c r="L71" s="217">
        <f t="shared" si="213"/>
        <v>33333.333333333336</v>
      </c>
      <c r="M71" s="217">
        <f t="shared" si="213"/>
        <v>33333.333333333336</v>
      </c>
      <c r="N71" s="217">
        <f t="shared" si="213"/>
        <v>33333.333333333336</v>
      </c>
      <c r="O71" s="217">
        <f t="shared" si="213"/>
        <v>0</v>
      </c>
      <c r="P71" s="217">
        <f t="shared" si="213"/>
        <v>0</v>
      </c>
      <c r="Q71" s="217">
        <f t="shared" si="213"/>
        <v>0</v>
      </c>
      <c r="R71" s="217">
        <f t="shared" si="213"/>
        <v>0</v>
      </c>
      <c r="S71" s="217">
        <f t="shared" si="213"/>
        <v>0</v>
      </c>
      <c r="T71" s="791">
        <f t="shared" si="213"/>
        <v>0</v>
      </c>
      <c r="U71" s="216">
        <f t="shared" si="213"/>
        <v>0</v>
      </c>
      <c r="V71" s="217">
        <f t="shared" si="213"/>
        <v>0</v>
      </c>
      <c r="W71" s="217">
        <f t="shared" si="213"/>
        <v>0</v>
      </c>
      <c r="X71" s="217">
        <f t="shared" si="213"/>
        <v>0</v>
      </c>
      <c r="Y71" s="217">
        <f t="shared" si="213"/>
        <v>0</v>
      </c>
      <c r="Z71" s="217">
        <f t="shared" si="213"/>
        <v>0</v>
      </c>
      <c r="AA71" s="217">
        <f t="shared" si="213"/>
        <v>0</v>
      </c>
      <c r="AB71" s="217">
        <f t="shared" si="213"/>
        <v>0</v>
      </c>
      <c r="AC71" s="217">
        <f t="shared" si="213"/>
        <v>0</v>
      </c>
      <c r="AD71" s="217">
        <f t="shared" si="213"/>
        <v>0</v>
      </c>
      <c r="AE71" s="217">
        <f t="shared" si="213"/>
        <v>0</v>
      </c>
      <c r="AF71" s="791">
        <f t="shared" si="213"/>
        <v>0</v>
      </c>
      <c r="AG71" s="216">
        <f t="shared" si="213"/>
        <v>0</v>
      </c>
      <c r="AH71" s="217">
        <f t="shared" si="213"/>
        <v>0</v>
      </c>
      <c r="AI71" s="217">
        <f t="shared" si="213"/>
        <v>0</v>
      </c>
      <c r="AJ71" s="217">
        <f t="shared" si="213"/>
        <v>0</v>
      </c>
      <c r="AK71" s="217">
        <f t="shared" si="213"/>
        <v>0</v>
      </c>
      <c r="AL71" s="217">
        <f t="shared" si="213"/>
        <v>0</v>
      </c>
      <c r="AM71" s="217">
        <f t="shared" si="213"/>
        <v>0</v>
      </c>
      <c r="AN71" s="217">
        <f t="shared" si="213"/>
        <v>0</v>
      </c>
      <c r="AO71" s="217">
        <f t="shared" ref="AO71:BP71" si="214">IF(AND(AO$11&gt;=$D$4,AO$11&lt;=$E$4),($D71-$H71)/$F$4,0)</f>
        <v>0</v>
      </c>
      <c r="AP71" s="217">
        <f t="shared" si="214"/>
        <v>0</v>
      </c>
      <c r="AQ71" s="217">
        <f t="shared" si="214"/>
        <v>0</v>
      </c>
      <c r="AR71" s="791">
        <f t="shared" si="214"/>
        <v>0</v>
      </c>
      <c r="AS71" s="216">
        <f t="shared" si="214"/>
        <v>0</v>
      </c>
      <c r="AT71" s="217">
        <f t="shared" si="214"/>
        <v>0</v>
      </c>
      <c r="AU71" s="217">
        <f t="shared" si="214"/>
        <v>0</v>
      </c>
      <c r="AV71" s="217">
        <f t="shared" si="214"/>
        <v>0</v>
      </c>
      <c r="AW71" s="217">
        <f t="shared" si="214"/>
        <v>0</v>
      </c>
      <c r="AX71" s="217">
        <f t="shared" si="214"/>
        <v>0</v>
      </c>
      <c r="AY71" s="217">
        <f t="shared" si="214"/>
        <v>0</v>
      </c>
      <c r="AZ71" s="217">
        <f t="shared" si="214"/>
        <v>0</v>
      </c>
      <c r="BA71" s="217">
        <f t="shared" si="214"/>
        <v>0</v>
      </c>
      <c r="BB71" s="217">
        <f t="shared" si="214"/>
        <v>0</v>
      </c>
      <c r="BC71" s="217">
        <f t="shared" si="214"/>
        <v>0</v>
      </c>
      <c r="BD71" s="217">
        <f t="shared" si="214"/>
        <v>0</v>
      </c>
      <c r="BE71" s="216">
        <f t="shared" si="214"/>
        <v>0</v>
      </c>
      <c r="BF71" s="217">
        <f t="shared" si="214"/>
        <v>0</v>
      </c>
      <c r="BG71" s="217">
        <f t="shared" si="214"/>
        <v>0</v>
      </c>
      <c r="BH71" s="217">
        <f t="shared" si="214"/>
        <v>0</v>
      </c>
      <c r="BI71" s="217">
        <f t="shared" si="214"/>
        <v>0</v>
      </c>
      <c r="BJ71" s="217">
        <f t="shared" si="214"/>
        <v>0</v>
      </c>
      <c r="BK71" s="217">
        <f t="shared" si="214"/>
        <v>0</v>
      </c>
      <c r="BL71" s="217">
        <f t="shared" si="214"/>
        <v>0</v>
      </c>
      <c r="BM71" s="217">
        <f t="shared" si="214"/>
        <v>0</v>
      </c>
      <c r="BN71" s="217">
        <f t="shared" si="214"/>
        <v>0</v>
      </c>
      <c r="BO71" s="217">
        <f t="shared" si="214"/>
        <v>0</v>
      </c>
      <c r="BP71" s="791">
        <f t="shared" si="214"/>
        <v>0</v>
      </c>
    </row>
    <row r="72" spans="2:68" ht="12" customHeight="1" outlineLevel="1">
      <c r="B72" s="218"/>
      <c r="D72" s="840"/>
      <c r="E72" s="860"/>
      <c r="F72" s="254"/>
      <c r="G72" s="861"/>
      <c r="H72" s="845"/>
      <c r="I72" s="217"/>
      <c r="J72" s="217"/>
      <c r="K72" s="217"/>
      <c r="L72" s="217"/>
      <c r="M72" s="217"/>
      <c r="N72" s="217"/>
      <c r="O72" s="217"/>
      <c r="P72" s="217"/>
      <c r="Q72" s="217"/>
      <c r="R72" s="217"/>
      <c r="S72" s="217"/>
      <c r="T72" s="791"/>
      <c r="U72" s="216"/>
      <c r="V72" s="217"/>
      <c r="W72" s="217"/>
      <c r="X72" s="217"/>
      <c r="Y72" s="217"/>
      <c r="Z72" s="217"/>
      <c r="AA72" s="217"/>
      <c r="AB72" s="217"/>
      <c r="AC72" s="217"/>
      <c r="AD72" s="217"/>
      <c r="AE72" s="217"/>
      <c r="AF72" s="791"/>
      <c r="AG72" s="216"/>
      <c r="AH72" s="217"/>
      <c r="AI72" s="217"/>
      <c r="AJ72" s="217"/>
      <c r="AK72" s="217"/>
      <c r="AL72" s="217"/>
      <c r="AM72" s="217"/>
      <c r="AN72" s="217"/>
      <c r="AO72" s="217"/>
      <c r="AP72" s="217"/>
      <c r="AQ72" s="217"/>
      <c r="AR72" s="791"/>
      <c r="AS72" s="216"/>
      <c r="AT72" s="217"/>
      <c r="AU72" s="217"/>
      <c r="AV72" s="217"/>
      <c r="AW72" s="217"/>
      <c r="AX72" s="217"/>
      <c r="AY72" s="217"/>
      <c r="AZ72" s="217"/>
      <c r="BA72" s="217"/>
      <c r="BB72" s="217"/>
      <c r="BC72" s="217"/>
      <c r="BD72" s="217"/>
      <c r="BE72" s="216"/>
      <c r="BF72" s="217"/>
      <c r="BG72" s="217"/>
      <c r="BH72" s="217"/>
      <c r="BI72" s="217"/>
      <c r="BJ72" s="217"/>
      <c r="BK72" s="217"/>
      <c r="BL72" s="217"/>
      <c r="BM72" s="217"/>
      <c r="BN72" s="217"/>
      <c r="BO72" s="217"/>
      <c r="BP72" s="791"/>
    </row>
    <row r="73" spans="2:68" ht="12" customHeight="1" outlineLevel="1">
      <c r="B73" s="218"/>
      <c r="C73" s="244" t="s">
        <v>398</v>
      </c>
      <c r="D73" s="787"/>
      <c r="E73" s="216"/>
      <c r="F73" s="217"/>
      <c r="G73" s="791"/>
      <c r="H73" s="845"/>
      <c r="I73" s="217"/>
      <c r="J73" s="217"/>
      <c r="K73" s="217"/>
      <c r="L73" s="217"/>
      <c r="M73" s="217"/>
      <c r="N73" s="217"/>
      <c r="O73" s="217"/>
      <c r="P73" s="217"/>
      <c r="Q73" s="217"/>
      <c r="R73" s="217"/>
      <c r="S73" s="217"/>
      <c r="T73" s="791"/>
      <c r="U73" s="216"/>
      <c r="V73" s="217"/>
      <c r="W73" s="217"/>
      <c r="X73" s="217"/>
      <c r="Y73" s="217"/>
      <c r="Z73" s="217"/>
      <c r="AA73" s="214"/>
      <c r="AB73" s="214"/>
      <c r="AC73" s="214"/>
      <c r="AD73" s="214"/>
      <c r="AE73" s="214"/>
      <c r="AF73" s="793"/>
      <c r="AG73" s="435"/>
      <c r="AH73" s="214"/>
      <c r="AI73" s="214"/>
      <c r="AJ73" s="214"/>
      <c r="AK73" s="214"/>
      <c r="AL73" s="214"/>
      <c r="AM73" s="214"/>
      <c r="AN73" s="214"/>
      <c r="AO73" s="214"/>
      <c r="AP73" s="214"/>
      <c r="AQ73" s="214"/>
      <c r="AR73" s="793"/>
      <c r="AS73" s="435"/>
      <c r="AT73" s="214"/>
      <c r="AU73" s="214"/>
      <c r="AV73" s="214"/>
      <c r="AW73" s="214"/>
      <c r="AX73" s="214"/>
      <c r="AY73" s="214"/>
      <c r="AZ73" s="214"/>
      <c r="BA73" s="214"/>
      <c r="BB73" s="214"/>
      <c r="BC73" s="214"/>
      <c r="BD73" s="214"/>
      <c r="BE73" s="435"/>
      <c r="BF73" s="214"/>
      <c r="BG73" s="214"/>
      <c r="BH73" s="214"/>
      <c r="BI73" s="214"/>
      <c r="BJ73" s="214"/>
      <c r="BK73" s="214"/>
      <c r="BL73" s="214"/>
      <c r="BM73" s="214"/>
      <c r="BN73" s="214"/>
      <c r="BO73" s="214"/>
      <c r="BP73" s="793"/>
    </row>
    <row r="74" spans="2:68" ht="12" customHeight="1" outlineLevel="1">
      <c r="B74" s="218"/>
      <c r="C74" s="206" t="s">
        <v>302</v>
      </c>
      <c r="D74" s="836">
        <v>16200000</v>
      </c>
      <c r="E74" s="216">
        <f t="shared" ref="E74:E75" si="215">H74</f>
        <v>0</v>
      </c>
      <c r="F74" s="214">
        <f>SUM(I74:BP74)</f>
        <v>16199999.999999994</v>
      </c>
      <c r="G74" s="861">
        <f>E74+F74</f>
        <v>16199999.999999994</v>
      </c>
      <c r="H74" s="914">
        <v>0</v>
      </c>
      <c r="I74" s="908">
        <f t="shared" ref="I74:R75" si="216">IF(AND(I$11&gt;=$D$5,I$11&lt;=$E$5),($D74-$H74)/$F$5,0)</f>
        <v>0</v>
      </c>
      <c r="J74" s="908">
        <f t="shared" si="216"/>
        <v>0</v>
      </c>
      <c r="K74" s="908">
        <f t="shared" si="216"/>
        <v>0</v>
      </c>
      <c r="L74" s="908">
        <f t="shared" si="216"/>
        <v>0</v>
      </c>
      <c r="M74" s="908">
        <f t="shared" si="216"/>
        <v>0</v>
      </c>
      <c r="N74" s="908">
        <f t="shared" si="216"/>
        <v>0</v>
      </c>
      <c r="O74" s="908">
        <f t="shared" si="216"/>
        <v>1157142.857142857</v>
      </c>
      <c r="P74" s="908">
        <f t="shared" si="216"/>
        <v>1157142.857142857</v>
      </c>
      <c r="Q74" s="908">
        <f t="shared" si="216"/>
        <v>1157142.857142857</v>
      </c>
      <c r="R74" s="908">
        <f t="shared" si="216"/>
        <v>1157142.857142857</v>
      </c>
      <c r="S74" s="908">
        <f t="shared" ref="S74:AB75" si="217">IF(AND(S$11&gt;=$D$5,S$11&lt;=$E$5),($D74-$H74)/$F$5,0)</f>
        <v>1157142.857142857</v>
      </c>
      <c r="T74" s="915">
        <f t="shared" si="217"/>
        <v>1157142.857142857</v>
      </c>
      <c r="U74" s="910">
        <f t="shared" si="217"/>
        <v>1157142.857142857</v>
      </c>
      <c r="V74" s="908">
        <f t="shared" si="217"/>
        <v>1157142.857142857</v>
      </c>
      <c r="W74" s="908">
        <f t="shared" si="217"/>
        <v>1157142.857142857</v>
      </c>
      <c r="X74" s="908">
        <f t="shared" si="217"/>
        <v>1157142.857142857</v>
      </c>
      <c r="Y74" s="908">
        <f t="shared" si="217"/>
        <v>1157142.857142857</v>
      </c>
      <c r="Z74" s="217">
        <f t="shared" si="217"/>
        <v>1157142.857142857</v>
      </c>
      <c r="AA74" s="214">
        <f t="shared" si="217"/>
        <v>1157142.857142857</v>
      </c>
      <c r="AB74" s="214">
        <f t="shared" si="217"/>
        <v>1157142.857142857</v>
      </c>
      <c r="AC74" s="214">
        <f t="shared" ref="AC74:AL75" si="218">IF(AND(AC$11&gt;=$D$5,AC$11&lt;=$E$5),($D74-$H74)/$F$5,0)</f>
        <v>0</v>
      </c>
      <c r="AD74" s="214">
        <f t="shared" si="218"/>
        <v>0</v>
      </c>
      <c r="AE74" s="214">
        <f t="shared" si="218"/>
        <v>0</v>
      </c>
      <c r="AF74" s="408">
        <f t="shared" si="218"/>
        <v>0</v>
      </c>
      <c r="AG74" s="435">
        <f t="shared" si="218"/>
        <v>0</v>
      </c>
      <c r="AH74" s="214">
        <f t="shared" si="218"/>
        <v>0</v>
      </c>
      <c r="AI74" s="214">
        <f t="shared" si="218"/>
        <v>0</v>
      </c>
      <c r="AJ74" s="214">
        <f t="shared" si="218"/>
        <v>0</v>
      </c>
      <c r="AK74" s="214">
        <f t="shared" si="218"/>
        <v>0</v>
      </c>
      <c r="AL74" s="214">
        <f t="shared" si="218"/>
        <v>0</v>
      </c>
      <c r="AM74" s="214">
        <f t="shared" ref="AM74:AV75" si="219">IF(AND(AM$11&gt;=$D$5,AM$11&lt;=$E$5),($D74-$H74)/$F$5,0)</f>
        <v>0</v>
      </c>
      <c r="AN74" s="214">
        <f t="shared" si="219"/>
        <v>0</v>
      </c>
      <c r="AO74" s="214">
        <f t="shared" si="219"/>
        <v>0</v>
      </c>
      <c r="AP74" s="214">
        <f t="shared" si="219"/>
        <v>0</v>
      </c>
      <c r="AQ74" s="214">
        <f t="shared" si="219"/>
        <v>0</v>
      </c>
      <c r="AR74" s="408">
        <f t="shared" si="219"/>
        <v>0</v>
      </c>
      <c r="AS74" s="435">
        <f t="shared" si="219"/>
        <v>0</v>
      </c>
      <c r="AT74" s="214">
        <f t="shared" si="219"/>
        <v>0</v>
      </c>
      <c r="AU74" s="214">
        <f t="shared" si="219"/>
        <v>0</v>
      </c>
      <c r="AV74" s="214">
        <f t="shared" si="219"/>
        <v>0</v>
      </c>
      <c r="AW74" s="214">
        <f t="shared" ref="AW74:BF75" si="220">IF(AND(AW$11&gt;=$D$5,AW$11&lt;=$E$5),($D74-$H74)/$F$5,0)</f>
        <v>0</v>
      </c>
      <c r="AX74" s="214">
        <f t="shared" si="220"/>
        <v>0</v>
      </c>
      <c r="AY74" s="214">
        <f t="shared" si="220"/>
        <v>0</v>
      </c>
      <c r="AZ74" s="214">
        <f t="shared" si="220"/>
        <v>0</v>
      </c>
      <c r="BA74" s="214">
        <f t="shared" si="220"/>
        <v>0</v>
      </c>
      <c r="BB74" s="214">
        <f t="shared" si="220"/>
        <v>0</v>
      </c>
      <c r="BC74" s="214">
        <f t="shared" si="220"/>
        <v>0</v>
      </c>
      <c r="BD74" s="214">
        <f t="shared" si="220"/>
        <v>0</v>
      </c>
      <c r="BE74" s="435">
        <f t="shared" si="220"/>
        <v>0</v>
      </c>
      <c r="BF74" s="214">
        <f t="shared" si="220"/>
        <v>0</v>
      </c>
      <c r="BG74" s="214">
        <f t="shared" ref="BG74:BP75" si="221">IF(AND(BG$11&gt;=$D$5,BG$11&lt;=$E$5),($D74-$H74)/$F$5,0)</f>
        <v>0</v>
      </c>
      <c r="BH74" s="214">
        <f t="shared" si="221"/>
        <v>0</v>
      </c>
      <c r="BI74" s="214">
        <f t="shared" si="221"/>
        <v>0</v>
      </c>
      <c r="BJ74" s="214">
        <f t="shared" si="221"/>
        <v>0</v>
      </c>
      <c r="BK74" s="214">
        <f t="shared" si="221"/>
        <v>0</v>
      </c>
      <c r="BL74" s="214">
        <f t="shared" si="221"/>
        <v>0</v>
      </c>
      <c r="BM74" s="214">
        <f t="shared" si="221"/>
        <v>0</v>
      </c>
      <c r="BN74" s="214">
        <f t="shared" si="221"/>
        <v>0</v>
      </c>
      <c r="BO74" s="214">
        <f t="shared" si="221"/>
        <v>0</v>
      </c>
      <c r="BP74" s="793">
        <f t="shared" si="221"/>
        <v>0</v>
      </c>
    </row>
    <row r="75" spans="2:68" ht="12" customHeight="1" outlineLevel="1">
      <c r="B75" s="218"/>
      <c r="C75" s="206" t="s">
        <v>471</v>
      </c>
      <c r="D75" s="837">
        <v>0</v>
      </c>
      <c r="E75" s="862">
        <f t="shared" si="215"/>
        <v>0</v>
      </c>
      <c r="F75" s="222">
        <f>SUM(I75:BP75)</f>
        <v>0</v>
      </c>
      <c r="G75" s="880">
        <f>E75+F75</f>
        <v>0</v>
      </c>
      <c r="H75" s="916">
        <v>0</v>
      </c>
      <c r="I75" s="917">
        <f t="shared" si="216"/>
        <v>0</v>
      </c>
      <c r="J75" s="917">
        <f t="shared" si="216"/>
        <v>0</v>
      </c>
      <c r="K75" s="917">
        <f t="shared" si="216"/>
        <v>0</v>
      </c>
      <c r="L75" s="917">
        <f t="shared" si="216"/>
        <v>0</v>
      </c>
      <c r="M75" s="917">
        <f t="shared" si="216"/>
        <v>0</v>
      </c>
      <c r="N75" s="917">
        <f t="shared" si="216"/>
        <v>0</v>
      </c>
      <c r="O75" s="917">
        <f t="shared" si="216"/>
        <v>0</v>
      </c>
      <c r="P75" s="917">
        <f t="shared" si="216"/>
        <v>0</v>
      </c>
      <c r="Q75" s="917">
        <f t="shared" si="216"/>
        <v>0</v>
      </c>
      <c r="R75" s="917">
        <f t="shared" si="216"/>
        <v>0</v>
      </c>
      <c r="S75" s="917">
        <f t="shared" si="217"/>
        <v>0</v>
      </c>
      <c r="T75" s="918">
        <f t="shared" si="217"/>
        <v>0</v>
      </c>
      <c r="U75" s="919">
        <f t="shared" si="217"/>
        <v>0</v>
      </c>
      <c r="V75" s="917">
        <f t="shared" si="217"/>
        <v>0</v>
      </c>
      <c r="W75" s="917">
        <f t="shared" si="217"/>
        <v>0</v>
      </c>
      <c r="X75" s="917">
        <f t="shared" si="217"/>
        <v>0</v>
      </c>
      <c r="Y75" s="917">
        <f t="shared" si="217"/>
        <v>0</v>
      </c>
      <c r="Z75" s="217">
        <f t="shared" si="217"/>
        <v>0</v>
      </c>
      <c r="AA75" s="214">
        <f t="shared" si="217"/>
        <v>0</v>
      </c>
      <c r="AB75" s="214">
        <f t="shared" si="217"/>
        <v>0</v>
      </c>
      <c r="AC75" s="214">
        <f t="shared" si="218"/>
        <v>0</v>
      </c>
      <c r="AD75" s="214">
        <f t="shared" si="218"/>
        <v>0</v>
      </c>
      <c r="AE75" s="214">
        <f t="shared" si="218"/>
        <v>0</v>
      </c>
      <c r="AF75" s="408">
        <f t="shared" si="218"/>
        <v>0</v>
      </c>
      <c r="AG75" s="435">
        <f t="shared" si="218"/>
        <v>0</v>
      </c>
      <c r="AH75" s="214">
        <f t="shared" si="218"/>
        <v>0</v>
      </c>
      <c r="AI75" s="214">
        <f t="shared" si="218"/>
        <v>0</v>
      </c>
      <c r="AJ75" s="214">
        <f t="shared" si="218"/>
        <v>0</v>
      </c>
      <c r="AK75" s="214">
        <f t="shared" si="218"/>
        <v>0</v>
      </c>
      <c r="AL75" s="214">
        <f t="shared" si="218"/>
        <v>0</v>
      </c>
      <c r="AM75" s="214">
        <f t="shared" si="219"/>
        <v>0</v>
      </c>
      <c r="AN75" s="214">
        <f t="shared" si="219"/>
        <v>0</v>
      </c>
      <c r="AO75" s="214">
        <f t="shared" si="219"/>
        <v>0</v>
      </c>
      <c r="AP75" s="214">
        <f t="shared" si="219"/>
        <v>0</v>
      </c>
      <c r="AQ75" s="214">
        <f t="shared" si="219"/>
        <v>0</v>
      </c>
      <c r="AR75" s="408">
        <f t="shared" si="219"/>
        <v>0</v>
      </c>
      <c r="AS75" s="435">
        <f t="shared" si="219"/>
        <v>0</v>
      </c>
      <c r="AT75" s="214">
        <f t="shared" si="219"/>
        <v>0</v>
      </c>
      <c r="AU75" s="214">
        <f t="shared" si="219"/>
        <v>0</v>
      </c>
      <c r="AV75" s="214">
        <f t="shared" si="219"/>
        <v>0</v>
      </c>
      <c r="AW75" s="214">
        <f t="shared" si="220"/>
        <v>0</v>
      </c>
      <c r="AX75" s="214">
        <f t="shared" si="220"/>
        <v>0</v>
      </c>
      <c r="AY75" s="214">
        <f t="shared" si="220"/>
        <v>0</v>
      </c>
      <c r="AZ75" s="214">
        <f t="shared" si="220"/>
        <v>0</v>
      </c>
      <c r="BA75" s="214">
        <f t="shared" si="220"/>
        <v>0</v>
      </c>
      <c r="BB75" s="214">
        <f t="shared" si="220"/>
        <v>0</v>
      </c>
      <c r="BC75" s="214">
        <f t="shared" si="220"/>
        <v>0</v>
      </c>
      <c r="BD75" s="214">
        <f t="shared" si="220"/>
        <v>0</v>
      </c>
      <c r="BE75" s="435">
        <f t="shared" si="220"/>
        <v>0</v>
      </c>
      <c r="BF75" s="214">
        <f t="shared" si="220"/>
        <v>0</v>
      </c>
      <c r="BG75" s="214">
        <f t="shared" si="221"/>
        <v>0</v>
      </c>
      <c r="BH75" s="214">
        <f t="shared" si="221"/>
        <v>0</v>
      </c>
      <c r="BI75" s="214">
        <f t="shared" si="221"/>
        <v>0</v>
      </c>
      <c r="BJ75" s="214">
        <f t="shared" si="221"/>
        <v>0</v>
      </c>
      <c r="BK75" s="214">
        <f t="shared" si="221"/>
        <v>0</v>
      </c>
      <c r="BL75" s="214">
        <f t="shared" si="221"/>
        <v>0</v>
      </c>
      <c r="BM75" s="214">
        <f t="shared" si="221"/>
        <v>0</v>
      </c>
      <c r="BN75" s="214">
        <f t="shared" si="221"/>
        <v>0</v>
      </c>
      <c r="BO75" s="214">
        <f t="shared" si="221"/>
        <v>0</v>
      </c>
      <c r="BP75" s="793">
        <f t="shared" si="221"/>
        <v>0</v>
      </c>
    </row>
    <row r="76" spans="2:68" ht="12" customHeight="1" outlineLevel="1">
      <c r="B76" s="218"/>
      <c r="C76" s="244" t="s">
        <v>480</v>
      </c>
      <c r="D76" s="408">
        <f>D74+D75</f>
        <v>16200000</v>
      </c>
      <c r="E76" s="216">
        <f>SUM(E74:E75)</f>
        <v>0</v>
      </c>
      <c r="F76" s="217">
        <f>SUM(F74:F75)</f>
        <v>16199999.999999994</v>
      </c>
      <c r="G76" s="436">
        <f>SUM(G74:G75)</f>
        <v>16199999.999999994</v>
      </c>
      <c r="H76" s="845">
        <f>SUM(H74:H75)</f>
        <v>0</v>
      </c>
      <c r="I76" s="217">
        <f t="shared" ref="I76" si="222">I74+I75</f>
        <v>0</v>
      </c>
      <c r="J76" s="217">
        <f t="shared" ref="J76:BP76" si="223">J74+J75</f>
        <v>0</v>
      </c>
      <c r="K76" s="217">
        <f t="shared" si="223"/>
        <v>0</v>
      </c>
      <c r="L76" s="217">
        <f t="shared" si="223"/>
        <v>0</v>
      </c>
      <c r="M76" s="217">
        <f t="shared" si="223"/>
        <v>0</v>
      </c>
      <c r="N76" s="217">
        <f t="shared" si="223"/>
        <v>0</v>
      </c>
      <c r="O76" s="217">
        <f t="shared" si="223"/>
        <v>1157142.857142857</v>
      </c>
      <c r="P76" s="217">
        <f t="shared" si="223"/>
        <v>1157142.857142857</v>
      </c>
      <c r="Q76" s="217">
        <f t="shared" si="223"/>
        <v>1157142.857142857</v>
      </c>
      <c r="R76" s="217">
        <f t="shared" si="223"/>
        <v>1157142.857142857</v>
      </c>
      <c r="S76" s="217">
        <f t="shared" si="223"/>
        <v>1157142.857142857</v>
      </c>
      <c r="T76" s="409">
        <f t="shared" si="223"/>
        <v>1157142.857142857</v>
      </c>
      <c r="U76" s="216">
        <f t="shared" si="223"/>
        <v>1157142.857142857</v>
      </c>
      <c r="V76" s="217">
        <f t="shared" si="223"/>
        <v>1157142.857142857</v>
      </c>
      <c r="W76" s="217">
        <f t="shared" si="223"/>
        <v>1157142.857142857</v>
      </c>
      <c r="X76" s="217">
        <f t="shared" si="223"/>
        <v>1157142.857142857</v>
      </c>
      <c r="Y76" s="217">
        <f t="shared" si="223"/>
        <v>1157142.857142857</v>
      </c>
      <c r="Z76" s="217">
        <f t="shared" si="223"/>
        <v>1157142.857142857</v>
      </c>
      <c r="AA76" s="214">
        <f t="shared" si="223"/>
        <v>1157142.857142857</v>
      </c>
      <c r="AB76" s="214">
        <f t="shared" si="223"/>
        <v>1157142.857142857</v>
      </c>
      <c r="AC76" s="214">
        <f t="shared" si="223"/>
        <v>0</v>
      </c>
      <c r="AD76" s="214">
        <f t="shared" si="223"/>
        <v>0</v>
      </c>
      <c r="AE76" s="214">
        <f t="shared" si="223"/>
        <v>0</v>
      </c>
      <c r="AF76" s="408">
        <f t="shared" si="223"/>
        <v>0</v>
      </c>
      <c r="AG76" s="435">
        <f t="shared" si="223"/>
        <v>0</v>
      </c>
      <c r="AH76" s="214">
        <f t="shared" si="223"/>
        <v>0</v>
      </c>
      <c r="AI76" s="214">
        <f t="shared" si="223"/>
        <v>0</v>
      </c>
      <c r="AJ76" s="214">
        <f t="shared" si="223"/>
        <v>0</v>
      </c>
      <c r="AK76" s="214">
        <f t="shared" si="223"/>
        <v>0</v>
      </c>
      <c r="AL76" s="214">
        <f t="shared" si="223"/>
        <v>0</v>
      </c>
      <c r="AM76" s="214">
        <f t="shared" si="223"/>
        <v>0</v>
      </c>
      <c r="AN76" s="214">
        <f t="shared" si="223"/>
        <v>0</v>
      </c>
      <c r="AO76" s="214">
        <f t="shared" si="223"/>
        <v>0</v>
      </c>
      <c r="AP76" s="214">
        <f t="shared" si="223"/>
        <v>0</v>
      </c>
      <c r="AQ76" s="214">
        <f t="shared" si="223"/>
        <v>0</v>
      </c>
      <c r="AR76" s="408">
        <f t="shared" si="223"/>
        <v>0</v>
      </c>
      <c r="AS76" s="435">
        <f t="shared" si="223"/>
        <v>0</v>
      </c>
      <c r="AT76" s="214">
        <f t="shared" si="223"/>
        <v>0</v>
      </c>
      <c r="AU76" s="214">
        <f t="shared" si="223"/>
        <v>0</v>
      </c>
      <c r="AV76" s="214">
        <f t="shared" si="223"/>
        <v>0</v>
      </c>
      <c r="AW76" s="214">
        <f t="shared" si="223"/>
        <v>0</v>
      </c>
      <c r="AX76" s="214">
        <f t="shared" si="223"/>
        <v>0</v>
      </c>
      <c r="AY76" s="214">
        <f t="shared" si="223"/>
        <v>0</v>
      </c>
      <c r="AZ76" s="214">
        <f t="shared" si="223"/>
        <v>0</v>
      </c>
      <c r="BA76" s="214">
        <f t="shared" si="223"/>
        <v>0</v>
      </c>
      <c r="BB76" s="214">
        <f t="shared" si="223"/>
        <v>0</v>
      </c>
      <c r="BC76" s="214">
        <f t="shared" si="223"/>
        <v>0</v>
      </c>
      <c r="BD76" s="214">
        <f t="shared" si="223"/>
        <v>0</v>
      </c>
      <c r="BE76" s="435">
        <f t="shared" si="223"/>
        <v>0</v>
      </c>
      <c r="BF76" s="214">
        <f t="shared" si="223"/>
        <v>0</v>
      </c>
      <c r="BG76" s="214">
        <f t="shared" si="223"/>
        <v>0</v>
      </c>
      <c r="BH76" s="214">
        <f t="shared" si="223"/>
        <v>0</v>
      </c>
      <c r="BI76" s="214">
        <f t="shared" si="223"/>
        <v>0</v>
      </c>
      <c r="BJ76" s="214">
        <f t="shared" si="223"/>
        <v>0</v>
      </c>
      <c r="BK76" s="214">
        <f t="shared" si="223"/>
        <v>0</v>
      </c>
      <c r="BL76" s="214">
        <f t="shared" si="223"/>
        <v>0</v>
      </c>
      <c r="BM76" s="214">
        <f t="shared" si="223"/>
        <v>0</v>
      </c>
      <c r="BN76" s="214">
        <f t="shared" si="223"/>
        <v>0</v>
      </c>
      <c r="BO76" s="214">
        <f t="shared" si="223"/>
        <v>0</v>
      </c>
      <c r="BP76" s="793">
        <f t="shared" si="223"/>
        <v>0</v>
      </c>
    </row>
    <row r="77" spans="2:68" ht="12" customHeight="1" outlineLevel="1">
      <c r="B77" s="218"/>
      <c r="D77" s="410"/>
      <c r="E77" s="216"/>
      <c r="F77" s="217"/>
      <c r="G77" s="409"/>
      <c r="H77" s="845"/>
      <c r="I77" s="217"/>
      <c r="J77" s="217"/>
      <c r="K77" s="217"/>
      <c r="L77" s="217"/>
      <c r="M77" s="217"/>
      <c r="N77" s="217"/>
      <c r="O77" s="217"/>
      <c r="P77" s="217"/>
      <c r="Q77" s="217"/>
      <c r="R77" s="217"/>
      <c r="S77" s="217"/>
      <c r="T77" s="409"/>
      <c r="U77" s="216"/>
      <c r="V77" s="217"/>
      <c r="W77" s="217"/>
      <c r="X77" s="217"/>
      <c r="Y77" s="217"/>
      <c r="Z77" s="217"/>
      <c r="AA77" s="214"/>
      <c r="AB77" s="214"/>
      <c r="AC77" s="214"/>
      <c r="AD77" s="214"/>
      <c r="AE77" s="214"/>
      <c r="AF77" s="408"/>
      <c r="AG77" s="435"/>
      <c r="AH77" s="214"/>
      <c r="AI77" s="214"/>
      <c r="AJ77" s="214"/>
      <c r="AK77" s="214"/>
      <c r="AL77" s="214"/>
      <c r="AM77" s="214"/>
      <c r="AN77" s="214"/>
      <c r="AO77" s="214"/>
      <c r="AP77" s="214"/>
      <c r="AQ77" s="214"/>
      <c r="AR77" s="408"/>
      <c r="AS77" s="435"/>
      <c r="AT77" s="214"/>
      <c r="AU77" s="214"/>
      <c r="AV77" s="214"/>
      <c r="AW77" s="214"/>
      <c r="AX77" s="214"/>
      <c r="AY77" s="214"/>
      <c r="AZ77" s="214"/>
      <c r="BA77" s="214"/>
      <c r="BB77" s="214"/>
      <c r="BC77" s="214"/>
      <c r="BD77" s="214"/>
      <c r="BE77" s="435"/>
      <c r="BF77" s="214"/>
      <c r="BG77" s="214"/>
      <c r="BH77" s="214"/>
      <c r="BI77" s="214"/>
      <c r="BJ77" s="214"/>
      <c r="BK77" s="214"/>
      <c r="BL77" s="214"/>
      <c r="BM77" s="214"/>
      <c r="BN77" s="214"/>
      <c r="BO77" s="214"/>
      <c r="BP77" s="793"/>
    </row>
    <row r="78" spans="2:68" ht="12" customHeight="1" outlineLevel="1">
      <c r="B78" s="218"/>
      <c r="C78" s="244" t="s">
        <v>399</v>
      </c>
      <c r="D78" s="410"/>
      <c r="E78" s="216"/>
      <c r="F78" s="217"/>
      <c r="G78" s="409"/>
      <c r="H78" s="845"/>
      <c r="I78" s="217"/>
      <c r="J78" s="217"/>
      <c r="K78" s="217"/>
      <c r="L78" s="217"/>
      <c r="M78" s="217"/>
      <c r="N78" s="217"/>
      <c r="O78" s="217"/>
      <c r="P78" s="217"/>
      <c r="Q78" s="217"/>
      <c r="R78" s="217"/>
      <c r="S78" s="217"/>
      <c r="T78" s="409"/>
      <c r="U78" s="216"/>
      <c r="V78" s="217"/>
      <c r="W78" s="217"/>
      <c r="X78" s="217"/>
      <c r="Y78" s="217"/>
      <c r="Z78" s="217"/>
      <c r="AA78" s="214"/>
      <c r="AB78" s="214"/>
      <c r="AC78" s="214"/>
      <c r="AD78" s="214"/>
      <c r="AE78" s="214"/>
      <c r="AF78" s="408"/>
      <c r="AG78" s="435"/>
      <c r="AH78" s="214"/>
      <c r="AI78" s="214"/>
      <c r="AJ78" s="214"/>
      <c r="AK78" s="214"/>
      <c r="AL78" s="214"/>
      <c r="AM78" s="214"/>
      <c r="AN78" s="214"/>
      <c r="AO78" s="214"/>
      <c r="AP78" s="214"/>
      <c r="AQ78" s="214"/>
      <c r="AR78" s="408"/>
      <c r="AS78" s="435"/>
      <c r="AT78" s="214"/>
      <c r="AU78" s="214"/>
      <c r="AV78" s="214"/>
      <c r="AW78" s="214"/>
      <c r="AX78" s="214"/>
      <c r="AY78" s="214"/>
      <c r="AZ78" s="214"/>
      <c r="BA78" s="214"/>
      <c r="BB78" s="214"/>
      <c r="BC78" s="214"/>
      <c r="BD78" s="214"/>
      <c r="BE78" s="435"/>
      <c r="BF78" s="214"/>
      <c r="BG78" s="214"/>
      <c r="BH78" s="214"/>
      <c r="BI78" s="214"/>
      <c r="BJ78" s="214"/>
      <c r="BK78" s="214"/>
      <c r="BL78" s="214"/>
      <c r="BM78" s="214"/>
      <c r="BN78" s="214"/>
      <c r="BO78" s="214"/>
      <c r="BP78" s="793"/>
    </row>
    <row r="79" spans="2:68" ht="12" customHeight="1" outlineLevel="1">
      <c r="B79" s="218" t="s">
        <v>486</v>
      </c>
      <c r="C79" s="206" t="s">
        <v>400</v>
      </c>
      <c r="D79" s="838">
        <v>244000</v>
      </c>
      <c r="E79" s="216">
        <f t="shared" ref="E79:E94" si="224">H79</f>
        <v>0</v>
      </c>
      <c r="F79" s="214">
        <f t="shared" ref="F79:F94" si="225">SUM(I79:BP79)</f>
        <v>243999.99999999991</v>
      </c>
      <c r="G79" s="861">
        <f t="shared" ref="G79:G94" si="226">E79+F79</f>
        <v>243999.99999999991</v>
      </c>
      <c r="H79" s="914"/>
      <c r="I79" s="908">
        <f t="shared" ref="I79:R86" si="227">IF(AND(I$11&gt;=$D$5,I$11&lt;=$E$5),($D79-$H79)/$F$5,0)</f>
        <v>0</v>
      </c>
      <c r="J79" s="908">
        <f t="shared" si="227"/>
        <v>0</v>
      </c>
      <c r="K79" s="908">
        <f t="shared" si="227"/>
        <v>0</v>
      </c>
      <c r="L79" s="908">
        <f t="shared" si="227"/>
        <v>0</v>
      </c>
      <c r="M79" s="908">
        <f t="shared" si="227"/>
        <v>0</v>
      </c>
      <c r="N79" s="908">
        <f t="shared" si="227"/>
        <v>0</v>
      </c>
      <c r="O79" s="908">
        <f t="shared" si="227"/>
        <v>17428.571428571428</v>
      </c>
      <c r="P79" s="908">
        <f t="shared" si="227"/>
        <v>17428.571428571428</v>
      </c>
      <c r="Q79" s="908">
        <f t="shared" si="227"/>
        <v>17428.571428571428</v>
      </c>
      <c r="R79" s="908">
        <f t="shared" si="227"/>
        <v>17428.571428571428</v>
      </c>
      <c r="S79" s="908">
        <f t="shared" ref="S79:AB86" si="228">IF(AND(S$11&gt;=$D$5,S$11&lt;=$E$5),($D79-$H79)/$F$5,0)</f>
        <v>17428.571428571428</v>
      </c>
      <c r="T79" s="915">
        <f t="shared" si="228"/>
        <v>17428.571428571428</v>
      </c>
      <c r="U79" s="910">
        <f t="shared" si="228"/>
        <v>17428.571428571428</v>
      </c>
      <c r="V79" s="908">
        <f t="shared" si="228"/>
        <v>17428.571428571428</v>
      </c>
      <c r="W79" s="908">
        <f t="shared" si="228"/>
        <v>17428.571428571428</v>
      </c>
      <c r="X79" s="908">
        <f t="shared" si="228"/>
        <v>17428.571428571428</v>
      </c>
      <c r="Y79" s="908">
        <f t="shared" si="228"/>
        <v>17428.571428571428</v>
      </c>
      <c r="Z79" s="908">
        <f t="shared" si="228"/>
        <v>17428.571428571428</v>
      </c>
      <c r="AA79" s="908">
        <f t="shared" si="228"/>
        <v>17428.571428571428</v>
      </c>
      <c r="AB79" s="908">
        <f t="shared" si="228"/>
        <v>17428.571428571428</v>
      </c>
      <c r="AC79" s="908">
        <f t="shared" ref="AC79:AL86" si="229">IF(AND(AC$11&gt;=$D$5,AC$11&lt;=$E$5),($D79-$H79)/$F$5,0)</f>
        <v>0</v>
      </c>
      <c r="AD79" s="908">
        <f t="shared" si="229"/>
        <v>0</v>
      </c>
      <c r="AE79" s="908">
        <f t="shared" si="229"/>
        <v>0</v>
      </c>
      <c r="AF79" s="915">
        <f t="shared" si="229"/>
        <v>0</v>
      </c>
      <c r="AG79" s="910">
        <f t="shared" si="229"/>
        <v>0</v>
      </c>
      <c r="AH79" s="908">
        <f t="shared" si="229"/>
        <v>0</v>
      </c>
      <c r="AI79" s="908">
        <f t="shared" si="229"/>
        <v>0</v>
      </c>
      <c r="AJ79" s="908">
        <f t="shared" si="229"/>
        <v>0</v>
      </c>
      <c r="AK79" s="908">
        <f t="shared" si="229"/>
        <v>0</v>
      </c>
      <c r="AL79" s="908">
        <f t="shared" si="229"/>
        <v>0</v>
      </c>
      <c r="AM79" s="908">
        <f t="shared" ref="AM79:AV86" si="230">IF(AND(AM$11&gt;=$D$5,AM$11&lt;=$E$5),($D79-$H79)/$F$5,0)</f>
        <v>0</v>
      </c>
      <c r="AN79" s="908">
        <f t="shared" si="230"/>
        <v>0</v>
      </c>
      <c r="AO79" s="908">
        <f t="shared" si="230"/>
        <v>0</v>
      </c>
      <c r="AP79" s="908">
        <f t="shared" si="230"/>
        <v>0</v>
      </c>
      <c r="AQ79" s="908">
        <f t="shared" si="230"/>
        <v>0</v>
      </c>
      <c r="AR79" s="915">
        <f t="shared" si="230"/>
        <v>0</v>
      </c>
      <c r="AS79" s="910">
        <f t="shared" si="230"/>
        <v>0</v>
      </c>
      <c r="AT79" s="908">
        <f t="shared" si="230"/>
        <v>0</v>
      </c>
      <c r="AU79" s="908">
        <f t="shared" si="230"/>
        <v>0</v>
      </c>
      <c r="AV79" s="908">
        <f t="shared" si="230"/>
        <v>0</v>
      </c>
      <c r="AW79" s="908">
        <f t="shared" ref="AW79:BF86" si="231">IF(AND(AW$11&gt;=$D$5,AW$11&lt;=$E$5),($D79-$H79)/$F$5,0)</f>
        <v>0</v>
      </c>
      <c r="AX79" s="908">
        <f t="shared" si="231"/>
        <v>0</v>
      </c>
      <c r="AY79" s="908">
        <f t="shared" si="231"/>
        <v>0</v>
      </c>
      <c r="AZ79" s="908">
        <f t="shared" si="231"/>
        <v>0</v>
      </c>
      <c r="BA79" s="908">
        <f t="shared" si="231"/>
        <v>0</v>
      </c>
      <c r="BB79" s="908">
        <f t="shared" si="231"/>
        <v>0</v>
      </c>
      <c r="BC79" s="908">
        <f t="shared" si="231"/>
        <v>0</v>
      </c>
      <c r="BD79" s="908">
        <f t="shared" si="231"/>
        <v>0</v>
      </c>
      <c r="BE79" s="435">
        <f t="shared" si="231"/>
        <v>0</v>
      </c>
      <c r="BF79" s="214">
        <f t="shared" si="231"/>
        <v>0</v>
      </c>
      <c r="BG79" s="214">
        <f t="shared" ref="BG79:BP86" si="232">IF(AND(BG$11&gt;=$D$5,BG$11&lt;=$E$5),($D79-$H79)/$F$5,0)</f>
        <v>0</v>
      </c>
      <c r="BH79" s="214">
        <f t="shared" si="232"/>
        <v>0</v>
      </c>
      <c r="BI79" s="214">
        <f t="shared" si="232"/>
        <v>0</v>
      </c>
      <c r="BJ79" s="214">
        <f t="shared" si="232"/>
        <v>0</v>
      </c>
      <c r="BK79" s="214">
        <f t="shared" si="232"/>
        <v>0</v>
      </c>
      <c r="BL79" s="214">
        <f t="shared" si="232"/>
        <v>0</v>
      </c>
      <c r="BM79" s="214">
        <f t="shared" si="232"/>
        <v>0</v>
      </c>
      <c r="BN79" s="214">
        <f t="shared" si="232"/>
        <v>0</v>
      </c>
      <c r="BO79" s="214">
        <f t="shared" si="232"/>
        <v>0</v>
      </c>
      <c r="BP79" s="793">
        <f t="shared" si="232"/>
        <v>0</v>
      </c>
    </row>
    <row r="80" spans="2:68" ht="12" customHeight="1" outlineLevel="1">
      <c r="B80" s="218" t="s">
        <v>486</v>
      </c>
      <c r="C80" s="206" t="s">
        <v>472</v>
      </c>
      <c r="D80" s="838">
        <v>33550</v>
      </c>
      <c r="E80" s="216">
        <f t="shared" si="224"/>
        <v>0</v>
      </c>
      <c r="F80" s="214">
        <f t="shared" si="225"/>
        <v>33550.000000000007</v>
      </c>
      <c r="G80" s="861">
        <f t="shared" si="226"/>
        <v>33550.000000000007</v>
      </c>
      <c r="H80" s="914"/>
      <c r="I80" s="908">
        <f t="shared" si="227"/>
        <v>0</v>
      </c>
      <c r="J80" s="908">
        <f t="shared" si="227"/>
        <v>0</v>
      </c>
      <c r="K80" s="908">
        <f t="shared" si="227"/>
        <v>0</v>
      </c>
      <c r="L80" s="908">
        <f t="shared" si="227"/>
        <v>0</v>
      </c>
      <c r="M80" s="908">
        <f t="shared" si="227"/>
        <v>0</v>
      </c>
      <c r="N80" s="908">
        <f t="shared" si="227"/>
        <v>0</v>
      </c>
      <c r="O80" s="908">
        <f t="shared" si="227"/>
        <v>2396.4285714285716</v>
      </c>
      <c r="P80" s="908">
        <f t="shared" si="227"/>
        <v>2396.4285714285716</v>
      </c>
      <c r="Q80" s="908">
        <f t="shared" si="227"/>
        <v>2396.4285714285716</v>
      </c>
      <c r="R80" s="908">
        <f t="shared" si="227"/>
        <v>2396.4285714285716</v>
      </c>
      <c r="S80" s="908">
        <f t="shared" si="228"/>
        <v>2396.4285714285716</v>
      </c>
      <c r="T80" s="915">
        <f t="shared" si="228"/>
        <v>2396.4285714285716</v>
      </c>
      <c r="U80" s="910">
        <f t="shared" si="228"/>
        <v>2396.4285714285716</v>
      </c>
      <c r="V80" s="908">
        <f t="shared" si="228"/>
        <v>2396.4285714285716</v>
      </c>
      <c r="W80" s="908">
        <f t="shared" si="228"/>
        <v>2396.4285714285716</v>
      </c>
      <c r="X80" s="908">
        <f t="shared" si="228"/>
        <v>2396.4285714285716</v>
      </c>
      <c r="Y80" s="908">
        <f t="shared" si="228"/>
        <v>2396.4285714285716</v>
      </c>
      <c r="Z80" s="908">
        <f t="shared" si="228"/>
        <v>2396.4285714285716</v>
      </c>
      <c r="AA80" s="908">
        <f t="shared" si="228"/>
        <v>2396.4285714285716</v>
      </c>
      <c r="AB80" s="908">
        <f t="shared" si="228"/>
        <v>2396.4285714285716</v>
      </c>
      <c r="AC80" s="908">
        <f t="shared" si="229"/>
        <v>0</v>
      </c>
      <c r="AD80" s="908">
        <f t="shared" si="229"/>
        <v>0</v>
      </c>
      <c r="AE80" s="908">
        <f t="shared" si="229"/>
        <v>0</v>
      </c>
      <c r="AF80" s="915">
        <f t="shared" si="229"/>
        <v>0</v>
      </c>
      <c r="AG80" s="910">
        <f t="shared" si="229"/>
        <v>0</v>
      </c>
      <c r="AH80" s="908">
        <f t="shared" si="229"/>
        <v>0</v>
      </c>
      <c r="AI80" s="908">
        <f t="shared" si="229"/>
        <v>0</v>
      </c>
      <c r="AJ80" s="908">
        <f t="shared" si="229"/>
        <v>0</v>
      </c>
      <c r="AK80" s="908">
        <f t="shared" si="229"/>
        <v>0</v>
      </c>
      <c r="AL80" s="908">
        <f t="shared" si="229"/>
        <v>0</v>
      </c>
      <c r="AM80" s="908">
        <f t="shared" si="230"/>
        <v>0</v>
      </c>
      <c r="AN80" s="908">
        <f t="shared" si="230"/>
        <v>0</v>
      </c>
      <c r="AO80" s="908">
        <f t="shared" si="230"/>
        <v>0</v>
      </c>
      <c r="AP80" s="908">
        <f t="shared" si="230"/>
        <v>0</v>
      </c>
      <c r="AQ80" s="908">
        <f t="shared" si="230"/>
        <v>0</v>
      </c>
      <c r="AR80" s="915">
        <f t="shared" si="230"/>
        <v>0</v>
      </c>
      <c r="AS80" s="910">
        <f t="shared" si="230"/>
        <v>0</v>
      </c>
      <c r="AT80" s="908">
        <f t="shared" si="230"/>
        <v>0</v>
      </c>
      <c r="AU80" s="908">
        <f t="shared" si="230"/>
        <v>0</v>
      </c>
      <c r="AV80" s="908">
        <f t="shared" si="230"/>
        <v>0</v>
      </c>
      <c r="AW80" s="908">
        <f t="shared" si="231"/>
        <v>0</v>
      </c>
      <c r="AX80" s="908">
        <f t="shared" si="231"/>
        <v>0</v>
      </c>
      <c r="AY80" s="908">
        <f t="shared" si="231"/>
        <v>0</v>
      </c>
      <c r="AZ80" s="908">
        <f t="shared" si="231"/>
        <v>0</v>
      </c>
      <c r="BA80" s="908">
        <f t="shared" si="231"/>
        <v>0</v>
      </c>
      <c r="BB80" s="908">
        <f t="shared" si="231"/>
        <v>0</v>
      </c>
      <c r="BC80" s="908">
        <f t="shared" si="231"/>
        <v>0</v>
      </c>
      <c r="BD80" s="908">
        <f t="shared" si="231"/>
        <v>0</v>
      </c>
      <c r="BE80" s="435">
        <f t="shared" si="231"/>
        <v>0</v>
      </c>
      <c r="BF80" s="214">
        <f t="shared" si="231"/>
        <v>0</v>
      </c>
      <c r="BG80" s="214">
        <f t="shared" si="232"/>
        <v>0</v>
      </c>
      <c r="BH80" s="214">
        <f t="shared" si="232"/>
        <v>0</v>
      </c>
      <c r="BI80" s="214">
        <f t="shared" si="232"/>
        <v>0</v>
      </c>
      <c r="BJ80" s="214">
        <f t="shared" si="232"/>
        <v>0</v>
      </c>
      <c r="BK80" s="214">
        <f t="shared" si="232"/>
        <v>0</v>
      </c>
      <c r="BL80" s="214">
        <f t="shared" si="232"/>
        <v>0</v>
      </c>
      <c r="BM80" s="214">
        <f t="shared" si="232"/>
        <v>0</v>
      </c>
      <c r="BN80" s="214">
        <f t="shared" si="232"/>
        <v>0</v>
      </c>
      <c r="BO80" s="214">
        <f t="shared" si="232"/>
        <v>0</v>
      </c>
      <c r="BP80" s="793">
        <f t="shared" si="232"/>
        <v>0</v>
      </c>
    </row>
    <row r="81" spans="2:68" ht="12" customHeight="1" outlineLevel="1">
      <c r="B81" s="218" t="s">
        <v>486</v>
      </c>
      <c r="C81" s="206" t="s">
        <v>473</v>
      </c>
      <c r="D81" s="838">
        <v>549000</v>
      </c>
      <c r="E81" s="216">
        <f t="shared" si="224"/>
        <v>0</v>
      </c>
      <c r="F81" s="214">
        <f t="shared" si="225"/>
        <v>549000.00000000012</v>
      </c>
      <c r="G81" s="861">
        <f t="shared" si="226"/>
        <v>549000.00000000012</v>
      </c>
      <c r="H81" s="914"/>
      <c r="I81" s="908">
        <f t="shared" si="227"/>
        <v>0</v>
      </c>
      <c r="J81" s="908">
        <f t="shared" si="227"/>
        <v>0</v>
      </c>
      <c r="K81" s="908">
        <f t="shared" si="227"/>
        <v>0</v>
      </c>
      <c r="L81" s="908">
        <f t="shared" si="227"/>
        <v>0</v>
      </c>
      <c r="M81" s="908">
        <f t="shared" si="227"/>
        <v>0</v>
      </c>
      <c r="N81" s="908">
        <f t="shared" si="227"/>
        <v>0</v>
      </c>
      <c r="O81" s="908">
        <f t="shared" si="227"/>
        <v>39214.285714285717</v>
      </c>
      <c r="P81" s="908">
        <f t="shared" si="227"/>
        <v>39214.285714285717</v>
      </c>
      <c r="Q81" s="908">
        <f t="shared" si="227"/>
        <v>39214.285714285717</v>
      </c>
      <c r="R81" s="908">
        <f t="shared" si="227"/>
        <v>39214.285714285717</v>
      </c>
      <c r="S81" s="908">
        <f t="shared" si="228"/>
        <v>39214.285714285717</v>
      </c>
      <c r="T81" s="915">
        <f t="shared" si="228"/>
        <v>39214.285714285717</v>
      </c>
      <c r="U81" s="910">
        <f t="shared" si="228"/>
        <v>39214.285714285717</v>
      </c>
      <c r="V81" s="908">
        <f t="shared" si="228"/>
        <v>39214.285714285717</v>
      </c>
      <c r="W81" s="908">
        <f t="shared" si="228"/>
        <v>39214.285714285717</v>
      </c>
      <c r="X81" s="908">
        <f t="shared" si="228"/>
        <v>39214.285714285717</v>
      </c>
      <c r="Y81" s="908">
        <f t="shared" si="228"/>
        <v>39214.285714285717</v>
      </c>
      <c r="Z81" s="908">
        <f t="shared" si="228"/>
        <v>39214.285714285717</v>
      </c>
      <c r="AA81" s="908">
        <f t="shared" si="228"/>
        <v>39214.285714285717</v>
      </c>
      <c r="AB81" s="908">
        <f t="shared" si="228"/>
        <v>39214.285714285717</v>
      </c>
      <c r="AC81" s="908">
        <f t="shared" si="229"/>
        <v>0</v>
      </c>
      <c r="AD81" s="908">
        <f t="shared" si="229"/>
        <v>0</v>
      </c>
      <c r="AE81" s="908">
        <f t="shared" si="229"/>
        <v>0</v>
      </c>
      <c r="AF81" s="915">
        <f t="shared" si="229"/>
        <v>0</v>
      </c>
      <c r="AG81" s="910">
        <f t="shared" si="229"/>
        <v>0</v>
      </c>
      <c r="AH81" s="908">
        <f t="shared" si="229"/>
        <v>0</v>
      </c>
      <c r="AI81" s="908">
        <f t="shared" si="229"/>
        <v>0</v>
      </c>
      <c r="AJ81" s="908">
        <f t="shared" si="229"/>
        <v>0</v>
      </c>
      <c r="AK81" s="908">
        <f t="shared" si="229"/>
        <v>0</v>
      </c>
      <c r="AL81" s="908">
        <f t="shared" si="229"/>
        <v>0</v>
      </c>
      <c r="AM81" s="908">
        <f t="shared" si="230"/>
        <v>0</v>
      </c>
      <c r="AN81" s="908">
        <f t="shared" si="230"/>
        <v>0</v>
      </c>
      <c r="AO81" s="908">
        <f t="shared" si="230"/>
        <v>0</v>
      </c>
      <c r="AP81" s="908">
        <f t="shared" si="230"/>
        <v>0</v>
      </c>
      <c r="AQ81" s="908">
        <f t="shared" si="230"/>
        <v>0</v>
      </c>
      <c r="AR81" s="915">
        <f t="shared" si="230"/>
        <v>0</v>
      </c>
      <c r="AS81" s="910">
        <f t="shared" si="230"/>
        <v>0</v>
      </c>
      <c r="AT81" s="908">
        <f t="shared" si="230"/>
        <v>0</v>
      </c>
      <c r="AU81" s="908">
        <f t="shared" si="230"/>
        <v>0</v>
      </c>
      <c r="AV81" s="908">
        <f t="shared" si="230"/>
        <v>0</v>
      </c>
      <c r="AW81" s="908">
        <f t="shared" si="231"/>
        <v>0</v>
      </c>
      <c r="AX81" s="908">
        <f t="shared" si="231"/>
        <v>0</v>
      </c>
      <c r="AY81" s="908">
        <f t="shared" si="231"/>
        <v>0</v>
      </c>
      <c r="AZ81" s="908">
        <f t="shared" si="231"/>
        <v>0</v>
      </c>
      <c r="BA81" s="908">
        <f t="shared" si="231"/>
        <v>0</v>
      </c>
      <c r="BB81" s="908">
        <f t="shared" si="231"/>
        <v>0</v>
      </c>
      <c r="BC81" s="908">
        <f t="shared" si="231"/>
        <v>0</v>
      </c>
      <c r="BD81" s="908">
        <f t="shared" si="231"/>
        <v>0</v>
      </c>
      <c r="BE81" s="435">
        <f t="shared" si="231"/>
        <v>0</v>
      </c>
      <c r="BF81" s="214">
        <f t="shared" si="231"/>
        <v>0</v>
      </c>
      <c r="BG81" s="214">
        <f t="shared" si="232"/>
        <v>0</v>
      </c>
      <c r="BH81" s="214">
        <f t="shared" si="232"/>
        <v>0</v>
      </c>
      <c r="BI81" s="214">
        <f t="shared" si="232"/>
        <v>0</v>
      </c>
      <c r="BJ81" s="214">
        <f t="shared" si="232"/>
        <v>0</v>
      </c>
      <c r="BK81" s="214">
        <f t="shared" si="232"/>
        <v>0</v>
      </c>
      <c r="BL81" s="214">
        <f t="shared" si="232"/>
        <v>0</v>
      </c>
      <c r="BM81" s="214">
        <f t="shared" si="232"/>
        <v>0</v>
      </c>
      <c r="BN81" s="214">
        <f t="shared" si="232"/>
        <v>0</v>
      </c>
      <c r="BO81" s="214">
        <f t="shared" si="232"/>
        <v>0</v>
      </c>
      <c r="BP81" s="793">
        <f t="shared" si="232"/>
        <v>0</v>
      </c>
    </row>
    <row r="82" spans="2:68" ht="12" customHeight="1" outlineLevel="1">
      <c r="B82" s="218" t="s">
        <v>486</v>
      </c>
      <c r="C82" s="206" t="s">
        <v>474</v>
      </c>
      <c r="D82" s="838">
        <v>24400</v>
      </c>
      <c r="E82" s="216">
        <f t="shared" si="224"/>
        <v>0</v>
      </c>
      <c r="F82" s="214">
        <f t="shared" si="225"/>
        <v>24399.999999999993</v>
      </c>
      <c r="G82" s="861">
        <f t="shared" si="226"/>
        <v>24399.999999999993</v>
      </c>
      <c r="H82" s="914"/>
      <c r="I82" s="908">
        <f t="shared" si="227"/>
        <v>0</v>
      </c>
      <c r="J82" s="908">
        <f t="shared" si="227"/>
        <v>0</v>
      </c>
      <c r="K82" s="908">
        <f t="shared" si="227"/>
        <v>0</v>
      </c>
      <c r="L82" s="908">
        <f t="shared" si="227"/>
        <v>0</v>
      </c>
      <c r="M82" s="908">
        <f t="shared" si="227"/>
        <v>0</v>
      </c>
      <c r="N82" s="908">
        <f t="shared" si="227"/>
        <v>0</v>
      </c>
      <c r="O82" s="908">
        <f t="shared" si="227"/>
        <v>1742.8571428571429</v>
      </c>
      <c r="P82" s="908">
        <f t="shared" si="227"/>
        <v>1742.8571428571429</v>
      </c>
      <c r="Q82" s="908">
        <f t="shared" si="227"/>
        <v>1742.8571428571429</v>
      </c>
      <c r="R82" s="908">
        <f t="shared" si="227"/>
        <v>1742.8571428571429</v>
      </c>
      <c r="S82" s="908">
        <f t="shared" si="228"/>
        <v>1742.8571428571429</v>
      </c>
      <c r="T82" s="915">
        <f t="shared" si="228"/>
        <v>1742.8571428571429</v>
      </c>
      <c r="U82" s="910">
        <f t="shared" si="228"/>
        <v>1742.8571428571429</v>
      </c>
      <c r="V82" s="908">
        <f t="shared" si="228"/>
        <v>1742.8571428571429</v>
      </c>
      <c r="W82" s="908">
        <f t="shared" si="228"/>
        <v>1742.8571428571429</v>
      </c>
      <c r="X82" s="908">
        <f t="shared" si="228"/>
        <v>1742.8571428571429</v>
      </c>
      <c r="Y82" s="908">
        <f t="shared" si="228"/>
        <v>1742.8571428571429</v>
      </c>
      <c r="Z82" s="908">
        <f t="shared" si="228"/>
        <v>1742.8571428571429</v>
      </c>
      <c r="AA82" s="908">
        <f t="shared" si="228"/>
        <v>1742.8571428571429</v>
      </c>
      <c r="AB82" s="908">
        <f t="shared" si="228"/>
        <v>1742.8571428571429</v>
      </c>
      <c r="AC82" s="908">
        <f t="shared" si="229"/>
        <v>0</v>
      </c>
      <c r="AD82" s="908">
        <f t="shared" si="229"/>
        <v>0</v>
      </c>
      <c r="AE82" s="908">
        <f t="shared" si="229"/>
        <v>0</v>
      </c>
      <c r="AF82" s="915">
        <f t="shared" si="229"/>
        <v>0</v>
      </c>
      <c r="AG82" s="910">
        <f t="shared" si="229"/>
        <v>0</v>
      </c>
      <c r="AH82" s="908">
        <f t="shared" si="229"/>
        <v>0</v>
      </c>
      <c r="AI82" s="908">
        <f t="shared" si="229"/>
        <v>0</v>
      </c>
      <c r="AJ82" s="908">
        <f t="shared" si="229"/>
        <v>0</v>
      </c>
      <c r="AK82" s="908">
        <f t="shared" si="229"/>
        <v>0</v>
      </c>
      <c r="AL82" s="908">
        <f t="shared" si="229"/>
        <v>0</v>
      </c>
      <c r="AM82" s="908">
        <f t="shared" si="230"/>
        <v>0</v>
      </c>
      <c r="AN82" s="908">
        <f t="shared" si="230"/>
        <v>0</v>
      </c>
      <c r="AO82" s="908">
        <f t="shared" si="230"/>
        <v>0</v>
      </c>
      <c r="AP82" s="908">
        <f t="shared" si="230"/>
        <v>0</v>
      </c>
      <c r="AQ82" s="908">
        <f t="shared" si="230"/>
        <v>0</v>
      </c>
      <c r="AR82" s="915">
        <f t="shared" si="230"/>
        <v>0</v>
      </c>
      <c r="AS82" s="910">
        <f t="shared" si="230"/>
        <v>0</v>
      </c>
      <c r="AT82" s="908">
        <f t="shared" si="230"/>
        <v>0</v>
      </c>
      <c r="AU82" s="908">
        <f t="shared" si="230"/>
        <v>0</v>
      </c>
      <c r="AV82" s="908">
        <f t="shared" si="230"/>
        <v>0</v>
      </c>
      <c r="AW82" s="908">
        <f t="shared" si="231"/>
        <v>0</v>
      </c>
      <c r="AX82" s="908">
        <f t="shared" si="231"/>
        <v>0</v>
      </c>
      <c r="AY82" s="908">
        <f t="shared" si="231"/>
        <v>0</v>
      </c>
      <c r="AZ82" s="908">
        <f t="shared" si="231"/>
        <v>0</v>
      </c>
      <c r="BA82" s="908">
        <f t="shared" si="231"/>
        <v>0</v>
      </c>
      <c r="BB82" s="908">
        <f t="shared" si="231"/>
        <v>0</v>
      </c>
      <c r="BC82" s="908">
        <f t="shared" si="231"/>
        <v>0</v>
      </c>
      <c r="BD82" s="908">
        <f t="shared" si="231"/>
        <v>0</v>
      </c>
      <c r="BE82" s="435">
        <f t="shared" si="231"/>
        <v>0</v>
      </c>
      <c r="BF82" s="214">
        <f t="shared" si="231"/>
        <v>0</v>
      </c>
      <c r="BG82" s="214">
        <f t="shared" si="232"/>
        <v>0</v>
      </c>
      <c r="BH82" s="214">
        <f t="shared" si="232"/>
        <v>0</v>
      </c>
      <c r="BI82" s="214">
        <f t="shared" si="232"/>
        <v>0</v>
      </c>
      <c r="BJ82" s="214">
        <f t="shared" si="232"/>
        <v>0</v>
      </c>
      <c r="BK82" s="214">
        <f t="shared" si="232"/>
        <v>0</v>
      </c>
      <c r="BL82" s="214">
        <f t="shared" si="232"/>
        <v>0</v>
      </c>
      <c r="BM82" s="214">
        <f t="shared" si="232"/>
        <v>0</v>
      </c>
      <c r="BN82" s="214">
        <f t="shared" si="232"/>
        <v>0</v>
      </c>
      <c r="BO82" s="214">
        <f t="shared" si="232"/>
        <v>0</v>
      </c>
      <c r="BP82" s="793">
        <f t="shared" si="232"/>
        <v>0</v>
      </c>
    </row>
    <row r="83" spans="2:68" ht="12" customHeight="1" outlineLevel="1">
      <c r="B83" s="218" t="s">
        <v>486</v>
      </c>
      <c r="C83" s="206" t="s">
        <v>475</v>
      </c>
      <c r="D83" s="838">
        <v>154635</v>
      </c>
      <c r="E83" s="216">
        <f t="shared" si="224"/>
        <v>154635</v>
      </c>
      <c r="F83" s="214">
        <f t="shared" si="225"/>
        <v>0</v>
      </c>
      <c r="G83" s="861">
        <f t="shared" si="226"/>
        <v>154635</v>
      </c>
      <c r="H83" s="914">
        <f>D83</f>
        <v>154635</v>
      </c>
      <c r="I83" s="908">
        <f t="shared" si="227"/>
        <v>0</v>
      </c>
      <c r="J83" s="908">
        <f t="shared" si="227"/>
        <v>0</v>
      </c>
      <c r="K83" s="908">
        <f t="shared" si="227"/>
        <v>0</v>
      </c>
      <c r="L83" s="908">
        <f t="shared" si="227"/>
        <v>0</v>
      </c>
      <c r="M83" s="908">
        <f t="shared" si="227"/>
        <v>0</v>
      </c>
      <c r="N83" s="908">
        <f t="shared" si="227"/>
        <v>0</v>
      </c>
      <c r="O83" s="908">
        <f t="shared" si="227"/>
        <v>0</v>
      </c>
      <c r="P83" s="908">
        <f t="shared" si="227"/>
        <v>0</v>
      </c>
      <c r="Q83" s="908">
        <f t="shared" si="227"/>
        <v>0</v>
      </c>
      <c r="R83" s="908">
        <f t="shared" si="227"/>
        <v>0</v>
      </c>
      <c r="S83" s="908">
        <f t="shared" si="228"/>
        <v>0</v>
      </c>
      <c r="T83" s="915">
        <f t="shared" si="228"/>
        <v>0</v>
      </c>
      <c r="U83" s="910">
        <f t="shared" si="228"/>
        <v>0</v>
      </c>
      <c r="V83" s="908">
        <f t="shared" si="228"/>
        <v>0</v>
      </c>
      <c r="W83" s="908">
        <f t="shared" si="228"/>
        <v>0</v>
      </c>
      <c r="X83" s="908">
        <f t="shared" si="228"/>
        <v>0</v>
      </c>
      <c r="Y83" s="908">
        <f t="shared" si="228"/>
        <v>0</v>
      </c>
      <c r="Z83" s="908">
        <f t="shared" si="228"/>
        <v>0</v>
      </c>
      <c r="AA83" s="908">
        <f t="shared" si="228"/>
        <v>0</v>
      </c>
      <c r="AB83" s="908">
        <f t="shared" si="228"/>
        <v>0</v>
      </c>
      <c r="AC83" s="908">
        <f t="shared" si="229"/>
        <v>0</v>
      </c>
      <c r="AD83" s="908">
        <f t="shared" si="229"/>
        <v>0</v>
      </c>
      <c r="AE83" s="908">
        <f t="shared" si="229"/>
        <v>0</v>
      </c>
      <c r="AF83" s="915">
        <f t="shared" si="229"/>
        <v>0</v>
      </c>
      <c r="AG83" s="910">
        <f t="shared" si="229"/>
        <v>0</v>
      </c>
      <c r="AH83" s="908">
        <f t="shared" si="229"/>
        <v>0</v>
      </c>
      <c r="AI83" s="908">
        <f t="shared" si="229"/>
        <v>0</v>
      </c>
      <c r="AJ83" s="908">
        <f t="shared" si="229"/>
        <v>0</v>
      </c>
      <c r="AK83" s="908">
        <f t="shared" si="229"/>
        <v>0</v>
      </c>
      <c r="AL83" s="908">
        <f t="shared" si="229"/>
        <v>0</v>
      </c>
      <c r="AM83" s="908">
        <f t="shared" si="230"/>
        <v>0</v>
      </c>
      <c r="AN83" s="908">
        <f t="shared" si="230"/>
        <v>0</v>
      </c>
      <c r="AO83" s="908">
        <f t="shared" si="230"/>
        <v>0</v>
      </c>
      <c r="AP83" s="908">
        <f t="shared" si="230"/>
        <v>0</v>
      </c>
      <c r="AQ83" s="908">
        <f t="shared" si="230"/>
        <v>0</v>
      </c>
      <c r="AR83" s="915">
        <f t="shared" si="230"/>
        <v>0</v>
      </c>
      <c r="AS83" s="910">
        <f t="shared" si="230"/>
        <v>0</v>
      </c>
      <c r="AT83" s="908">
        <f t="shared" si="230"/>
        <v>0</v>
      </c>
      <c r="AU83" s="908">
        <f t="shared" si="230"/>
        <v>0</v>
      </c>
      <c r="AV83" s="908">
        <f t="shared" si="230"/>
        <v>0</v>
      </c>
      <c r="AW83" s="908">
        <f t="shared" si="231"/>
        <v>0</v>
      </c>
      <c r="AX83" s="908">
        <f t="shared" si="231"/>
        <v>0</v>
      </c>
      <c r="AY83" s="908">
        <f t="shared" si="231"/>
        <v>0</v>
      </c>
      <c r="AZ83" s="908">
        <f t="shared" si="231"/>
        <v>0</v>
      </c>
      <c r="BA83" s="908">
        <f t="shared" si="231"/>
        <v>0</v>
      </c>
      <c r="BB83" s="908">
        <f t="shared" si="231"/>
        <v>0</v>
      </c>
      <c r="BC83" s="908">
        <f t="shared" si="231"/>
        <v>0</v>
      </c>
      <c r="BD83" s="908">
        <f t="shared" si="231"/>
        <v>0</v>
      </c>
      <c r="BE83" s="435">
        <f t="shared" si="231"/>
        <v>0</v>
      </c>
      <c r="BF83" s="214">
        <f t="shared" si="231"/>
        <v>0</v>
      </c>
      <c r="BG83" s="214">
        <f t="shared" si="232"/>
        <v>0</v>
      </c>
      <c r="BH83" s="214">
        <f t="shared" si="232"/>
        <v>0</v>
      </c>
      <c r="BI83" s="214">
        <f t="shared" si="232"/>
        <v>0</v>
      </c>
      <c r="BJ83" s="214">
        <f t="shared" si="232"/>
        <v>0</v>
      </c>
      <c r="BK83" s="214">
        <f t="shared" si="232"/>
        <v>0</v>
      </c>
      <c r="BL83" s="214">
        <f t="shared" si="232"/>
        <v>0</v>
      </c>
      <c r="BM83" s="214">
        <f t="shared" si="232"/>
        <v>0</v>
      </c>
      <c r="BN83" s="214">
        <f t="shared" si="232"/>
        <v>0</v>
      </c>
      <c r="BO83" s="214">
        <f t="shared" si="232"/>
        <v>0</v>
      </c>
      <c r="BP83" s="793">
        <f t="shared" si="232"/>
        <v>0</v>
      </c>
    </row>
    <row r="84" spans="2:68" ht="12" customHeight="1" outlineLevel="1">
      <c r="B84" s="218" t="s">
        <v>486</v>
      </c>
      <c r="C84" s="206" t="s">
        <v>476</v>
      </c>
      <c r="D84" s="838">
        <v>48800</v>
      </c>
      <c r="E84" s="216">
        <f t="shared" si="224"/>
        <v>48800</v>
      </c>
      <c r="F84" s="214">
        <f t="shared" si="225"/>
        <v>0</v>
      </c>
      <c r="G84" s="861">
        <f t="shared" si="226"/>
        <v>48800</v>
      </c>
      <c r="H84" s="914">
        <f>D84</f>
        <v>48800</v>
      </c>
      <c r="I84" s="908">
        <f t="shared" si="227"/>
        <v>0</v>
      </c>
      <c r="J84" s="908">
        <f t="shared" si="227"/>
        <v>0</v>
      </c>
      <c r="K84" s="908">
        <f t="shared" si="227"/>
        <v>0</v>
      </c>
      <c r="L84" s="908">
        <f t="shared" si="227"/>
        <v>0</v>
      </c>
      <c r="M84" s="908">
        <f t="shared" si="227"/>
        <v>0</v>
      </c>
      <c r="N84" s="908">
        <f t="shared" si="227"/>
        <v>0</v>
      </c>
      <c r="O84" s="908">
        <f t="shared" si="227"/>
        <v>0</v>
      </c>
      <c r="P84" s="908">
        <f t="shared" si="227"/>
        <v>0</v>
      </c>
      <c r="Q84" s="908">
        <f t="shared" si="227"/>
        <v>0</v>
      </c>
      <c r="R84" s="908">
        <f t="shared" si="227"/>
        <v>0</v>
      </c>
      <c r="S84" s="908">
        <f t="shared" si="228"/>
        <v>0</v>
      </c>
      <c r="T84" s="915">
        <f t="shared" si="228"/>
        <v>0</v>
      </c>
      <c r="U84" s="910">
        <f t="shared" si="228"/>
        <v>0</v>
      </c>
      <c r="V84" s="908">
        <f t="shared" si="228"/>
        <v>0</v>
      </c>
      <c r="W84" s="908">
        <f t="shared" si="228"/>
        <v>0</v>
      </c>
      <c r="X84" s="908">
        <f t="shared" si="228"/>
        <v>0</v>
      </c>
      <c r="Y84" s="908">
        <f t="shared" si="228"/>
        <v>0</v>
      </c>
      <c r="Z84" s="908">
        <f t="shared" si="228"/>
        <v>0</v>
      </c>
      <c r="AA84" s="908">
        <f t="shared" si="228"/>
        <v>0</v>
      </c>
      <c r="AB84" s="908">
        <f t="shared" si="228"/>
        <v>0</v>
      </c>
      <c r="AC84" s="908">
        <f t="shared" si="229"/>
        <v>0</v>
      </c>
      <c r="AD84" s="908">
        <f t="shared" si="229"/>
        <v>0</v>
      </c>
      <c r="AE84" s="908">
        <f t="shared" si="229"/>
        <v>0</v>
      </c>
      <c r="AF84" s="915">
        <f t="shared" si="229"/>
        <v>0</v>
      </c>
      <c r="AG84" s="910">
        <f t="shared" si="229"/>
        <v>0</v>
      </c>
      <c r="AH84" s="908">
        <f t="shared" si="229"/>
        <v>0</v>
      </c>
      <c r="AI84" s="908">
        <f t="shared" si="229"/>
        <v>0</v>
      </c>
      <c r="AJ84" s="908">
        <f t="shared" si="229"/>
        <v>0</v>
      </c>
      <c r="AK84" s="908">
        <f t="shared" si="229"/>
        <v>0</v>
      </c>
      <c r="AL84" s="908">
        <f t="shared" si="229"/>
        <v>0</v>
      </c>
      <c r="AM84" s="908">
        <f t="shared" si="230"/>
        <v>0</v>
      </c>
      <c r="AN84" s="908">
        <f t="shared" si="230"/>
        <v>0</v>
      </c>
      <c r="AO84" s="908">
        <f t="shared" si="230"/>
        <v>0</v>
      </c>
      <c r="AP84" s="908">
        <f t="shared" si="230"/>
        <v>0</v>
      </c>
      <c r="AQ84" s="908">
        <f t="shared" si="230"/>
        <v>0</v>
      </c>
      <c r="AR84" s="915">
        <f t="shared" si="230"/>
        <v>0</v>
      </c>
      <c r="AS84" s="910">
        <f t="shared" si="230"/>
        <v>0</v>
      </c>
      <c r="AT84" s="908">
        <f t="shared" si="230"/>
        <v>0</v>
      </c>
      <c r="AU84" s="908">
        <f t="shared" si="230"/>
        <v>0</v>
      </c>
      <c r="AV84" s="908">
        <f t="shared" si="230"/>
        <v>0</v>
      </c>
      <c r="AW84" s="908">
        <f t="shared" si="231"/>
        <v>0</v>
      </c>
      <c r="AX84" s="908">
        <f t="shared" si="231"/>
        <v>0</v>
      </c>
      <c r="AY84" s="908">
        <f t="shared" si="231"/>
        <v>0</v>
      </c>
      <c r="AZ84" s="908">
        <f t="shared" si="231"/>
        <v>0</v>
      </c>
      <c r="BA84" s="908">
        <f t="shared" si="231"/>
        <v>0</v>
      </c>
      <c r="BB84" s="908">
        <f t="shared" si="231"/>
        <v>0</v>
      </c>
      <c r="BC84" s="908">
        <f t="shared" si="231"/>
        <v>0</v>
      </c>
      <c r="BD84" s="908">
        <f t="shared" si="231"/>
        <v>0</v>
      </c>
      <c r="BE84" s="435">
        <f t="shared" si="231"/>
        <v>0</v>
      </c>
      <c r="BF84" s="214">
        <f t="shared" si="231"/>
        <v>0</v>
      </c>
      <c r="BG84" s="214">
        <f t="shared" si="232"/>
        <v>0</v>
      </c>
      <c r="BH84" s="214">
        <f t="shared" si="232"/>
        <v>0</v>
      </c>
      <c r="BI84" s="214">
        <f t="shared" si="232"/>
        <v>0</v>
      </c>
      <c r="BJ84" s="214">
        <f t="shared" si="232"/>
        <v>0</v>
      </c>
      <c r="BK84" s="214">
        <f t="shared" si="232"/>
        <v>0</v>
      </c>
      <c r="BL84" s="214">
        <f t="shared" si="232"/>
        <v>0</v>
      </c>
      <c r="BM84" s="214">
        <f t="shared" si="232"/>
        <v>0</v>
      </c>
      <c r="BN84" s="214">
        <f t="shared" si="232"/>
        <v>0</v>
      </c>
      <c r="BO84" s="214">
        <f t="shared" si="232"/>
        <v>0</v>
      </c>
      <c r="BP84" s="793">
        <f t="shared" si="232"/>
        <v>0</v>
      </c>
    </row>
    <row r="85" spans="2:68" ht="12" customHeight="1" outlineLevel="1">
      <c r="B85" s="218" t="s">
        <v>486</v>
      </c>
      <c r="C85" s="206" t="s">
        <v>477</v>
      </c>
      <c r="D85" s="838">
        <v>9150</v>
      </c>
      <c r="E85" s="216">
        <f t="shared" si="224"/>
        <v>0</v>
      </c>
      <c r="F85" s="214">
        <f t="shared" si="225"/>
        <v>9150</v>
      </c>
      <c r="G85" s="861">
        <f t="shared" si="226"/>
        <v>9150</v>
      </c>
      <c r="H85" s="914"/>
      <c r="I85" s="908">
        <f t="shared" si="227"/>
        <v>0</v>
      </c>
      <c r="J85" s="908">
        <f t="shared" si="227"/>
        <v>0</v>
      </c>
      <c r="K85" s="908">
        <f t="shared" si="227"/>
        <v>0</v>
      </c>
      <c r="L85" s="908">
        <f t="shared" si="227"/>
        <v>0</v>
      </c>
      <c r="M85" s="908">
        <f t="shared" si="227"/>
        <v>0</v>
      </c>
      <c r="N85" s="908">
        <f t="shared" si="227"/>
        <v>0</v>
      </c>
      <c r="O85" s="908">
        <f t="shared" si="227"/>
        <v>653.57142857142856</v>
      </c>
      <c r="P85" s="908">
        <f t="shared" si="227"/>
        <v>653.57142857142856</v>
      </c>
      <c r="Q85" s="908">
        <f t="shared" si="227"/>
        <v>653.57142857142856</v>
      </c>
      <c r="R85" s="908">
        <f t="shared" si="227"/>
        <v>653.57142857142856</v>
      </c>
      <c r="S85" s="908">
        <f t="shared" si="228"/>
        <v>653.57142857142856</v>
      </c>
      <c r="T85" s="915">
        <f t="shared" si="228"/>
        <v>653.57142857142856</v>
      </c>
      <c r="U85" s="910">
        <f t="shared" si="228"/>
        <v>653.57142857142856</v>
      </c>
      <c r="V85" s="908">
        <f t="shared" si="228"/>
        <v>653.57142857142856</v>
      </c>
      <c r="W85" s="908">
        <f t="shared" si="228"/>
        <v>653.57142857142856</v>
      </c>
      <c r="X85" s="908">
        <f t="shared" si="228"/>
        <v>653.57142857142856</v>
      </c>
      <c r="Y85" s="908">
        <f t="shared" si="228"/>
        <v>653.57142857142856</v>
      </c>
      <c r="Z85" s="908">
        <f t="shared" si="228"/>
        <v>653.57142857142856</v>
      </c>
      <c r="AA85" s="908">
        <f t="shared" si="228"/>
        <v>653.57142857142856</v>
      </c>
      <c r="AB85" s="908">
        <f t="shared" si="228"/>
        <v>653.57142857142856</v>
      </c>
      <c r="AC85" s="908">
        <f t="shared" si="229"/>
        <v>0</v>
      </c>
      <c r="AD85" s="908">
        <f t="shared" si="229"/>
        <v>0</v>
      </c>
      <c r="AE85" s="908">
        <f t="shared" si="229"/>
        <v>0</v>
      </c>
      <c r="AF85" s="915">
        <f t="shared" si="229"/>
        <v>0</v>
      </c>
      <c r="AG85" s="910">
        <f t="shared" si="229"/>
        <v>0</v>
      </c>
      <c r="AH85" s="908">
        <f t="shared" si="229"/>
        <v>0</v>
      </c>
      <c r="AI85" s="908">
        <f t="shared" si="229"/>
        <v>0</v>
      </c>
      <c r="AJ85" s="908">
        <f t="shared" si="229"/>
        <v>0</v>
      </c>
      <c r="AK85" s="908">
        <f t="shared" si="229"/>
        <v>0</v>
      </c>
      <c r="AL85" s="908">
        <f t="shared" si="229"/>
        <v>0</v>
      </c>
      <c r="AM85" s="908">
        <f t="shared" si="230"/>
        <v>0</v>
      </c>
      <c r="AN85" s="908">
        <f t="shared" si="230"/>
        <v>0</v>
      </c>
      <c r="AO85" s="908">
        <f t="shared" si="230"/>
        <v>0</v>
      </c>
      <c r="AP85" s="908">
        <f t="shared" si="230"/>
        <v>0</v>
      </c>
      <c r="AQ85" s="908">
        <f t="shared" si="230"/>
        <v>0</v>
      </c>
      <c r="AR85" s="915">
        <f t="shared" si="230"/>
        <v>0</v>
      </c>
      <c r="AS85" s="910">
        <f t="shared" si="230"/>
        <v>0</v>
      </c>
      <c r="AT85" s="908">
        <f t="shared" si="230"/>
        <v>0</v>
      </c>
      <c r="AU85" s="908">
        <f t="shared" si="230"/>
        <v>0</v>
      </c>
      <c r="AV85" s="908">
        <f t="shared" si="230"/>
        <v>0</v>
      </c>
      <c r="AW85" s="908">
        <f t="shared" si="231"/>
        <v>0</v>
      </c>
      <c r="AX85" s="908">
        <f t="shared" si="231"/>
        <v>0</v>
      </c>
      <c r="AY85" s="908">
        <f t="shared" si="231"/>
        <v>0</v>
      </c>
      <c r="AZ85" s="908">
        <f t="shared" si="231"/>
        <v>0</v>
      </c>
      <c r="BA85" s="908">
        <f t="shared" si="231"/>
        <v>0</v>
      </c>
      <c r="BB85" s="908">
        <f t="shared" si="231"/>
        <v>0</v>
      </c>
      <c r="BC85" s="908">
        <f t="shared" si="231"/>
        <v>0</v>
      </c>
      <c r="BD85" s="908">
        <f t="shared" si="231"/>
        <v>0</v>
      </c>
      <c r="BE85" s="435">
        <f t="shared" si="231"/>
        <v>0</v>
      </c>
      <c r="BF85" s="214">
        <f t="shared" si="231"/>
        <v>0</v>
      </c>
      <c r="BG85" s="214">
        <f t="shared" si="232"/>
        <v>0</v>
      </c>
      <c r="BH85" s="214">
        <f t="shared" si="232"/>
        <v>0</v>
      </c>
      <c r="BI85" s="214">
        <f t="shared" si="232"/>
        <v>0</v>
      </c>
      <c r="BJ85" s="214">
        <f t="shared" si="232"/>
        <v>0</v>
      </c>
      <c r="BK85" s="214">
        <f t="shared" si="232"/>
        <v>0</v>
      </c>
      <c r="BL85" s="214">
        <f t="shared" si="232"/>
        <v>0</v>
      </c>
      <c r="BM85" s="214">
        <f t="shared" si="232"/>
        <v>0</v>
      </c>
      <c r="BN85" s="214">
        <f t="shared" si="232"/>
        <v>0</v>
      </c>
      <c r="BO85" s="214">
        <f t="shared" si="232"/>
        <v>0</v>
      </c>
      <c r="BP85" s="793">
        <f t="shared" si="232"/>
        <v>0</v>
      </c>
    </row>
    <row r="86" spans="2:68" ht="12" customHeight="1" outlineLevel="1">
      <c r="B86" s="218" t="s">
        <v>486</v>
      </c>
      <c r="C86" s="206" t="s">
        <v>478</v>
      </c>
      <c r="D86" s="881">
        <v>92315</v>
      </c>
      <c r="E86" s="862">
        <f t="shared" si="224"/>
        <v>0</v>
      </c>
      <c r="F86" s="882">
        <f t="shared" si="225"/>
        <v>92314.999999999971</v>
      </c>
      <c r="G86" s="883">
        <f t="shared" si="226"/>
        <v>92314.999999999971</v>
      </c>
      <c r="H86" s="916"/>
      <c r="I86" s="1171">
        <f t="shared" si="227"/>
        <v>0</v>
      </c>
      <c r="J86" s="917">
        <f t="shared" si="227"/>
        <v>0</v>
      </c>
      <c r="K86" s="917">
        <f t="shared" si="227"/>
        <v>0</v>
      </c>
      <c r="L86" s="917">
        <f t="shared" si="227"/>
        <v>0</v>
      </c>
      <c r="M86" s="917">
        <f t="shared" si="227"/>
        <v>0</v>
      </c>
      <c r="N86" s="917">
        <f t="shared" si="227"/>
        <v>0</v>
      </c>
      <c r="O86" s="917">
        <f t="shared" si="227"/>
        <v>6593.9285714285716</v>
      </c>
      <c r="P86" s="917">
        <f t="shared" si="227"/>
        <v>6593.9285714285716</v>
      </c>
      <c r="Q86" s="917">
        <f t="shared" si="227"/>
        <v>6593.9285714285716</v>
      </c>
      <c r="R86" s="917">
        <f t="shared" si="227"/>
        <v>6593.9285714285716</v>
      </c>
      <c r="S86" s="917">
        <f t="shared" si="228"/>
        <v>6593.9285714285716</v>
      </c>
      <c r="T86" s="918">
        <f t="shared" si="228"/>
        <v>6593.9285714285716</v>
      </c>
      <c r="U86" s="919">
        <f t="shared" si="228"/>
        <v>6593.9285714285716</v>
      </c>
      <c r="V86" s="917">
        <f t="shared" si="228"/>
        <v>6593.9285714285716</v>
      </c>
      <c r="W86" s="917">
        <f t="shared" si="228"/>
        <v>6593.9285714285716</v>
      </c>
      <c r="X86" s="917">
        <f t="shared" si="228"/>
        <v>6593.9285714285716</v>
      </c>
      <c r="Y86" s="917">
        <f t="shared" si="228"/>
        <v>6593.9285714285716</v>
      </c>
      <c r="Z86" s="917">
        <f t="shared" si="228"/>
        <v>6593.9285714285716</v>
      </c>
      <c r="AA86" s="917">
        <f t="shared" si="228"/>
        <v>6593.9285714285716</v>
      </c>
      <c r="AB86" s="917">
        <f t="shared" si="228"/>
        <v>6593.9285714285716</v>
      </c>
      <c r="AC86" s="917">
        <f t="shared" si="229"/>
        <v>0</v>
      </c>
      <c r="AD86" s="917">
        <f t="shared" si="229"/>
        <v>0</v>
      </c>
      <c r="AE86" s="917">
        <f t="shared" si="229"/>
        <v>0</v>
      </c>
      <c r="AF86" s="918">
        <f t="shared" si="229"/>
        <v>0</v>
      </c>
      <c r="AG86" s="919">
        <f t="shared" si="229"/>
        <v>0</v>
      </c>
      <c r="AH86" s="917">
        <f t="shared" si="229"/>
        <v>0</v>
      </c>
      <c r="AI86" s="917">
        <f t="shared" si="229"/>
        <v>0</v>
      </c>
      <c r="AJ86" s="917">
        <f t="shared" si="229"/>
        <v>0</v>
      </c>
      <c r="AK86" s="917">
        <f t="shared" si="229"/>
        <v>0</v>
      </c>
      <c r="AL86" s="917">
        <f t="shared" si="229"/>
        <v>0</v>
      </c>
      <c r="AM86" s="917">
        <f t="shared" si="230"/>
        <v>0</v>
      </c>
      <c r="AN86" s="917">
        <f t="shared" si="230"/>
        <v>0</v>
      </c>
      <c r="AO86" s="917">
        <f t="shared" si="230"/>
        <v>0</v>
      </c>
      <c r="AP86" s="917">
        <f t="shared" si="230"/>
        <v>0</v>
      </c>
      <c r="AQ86" s="917">
        <f t="shared" si="230"/>
        <v>0</v>
      </c>
      <c r="AR86" s="918">
        <f t="shared" si="230"/>
        <v>0</v>
      </c>
      <c r="AS86" s="919">
        <f t="shared" si="230"/>
        <v>0</v>
      </c>
      <c r="AT86" s="917">
        <f t="shared" si="230"/>
        <v>0</v>
      </c>
      <c r="AU86" s="917">
        <f t="shared" si="230"/>
        <v>0</v>
      </c>
      <c r="AV86" s="917">
        <f t="shared" si="230"/>
        <v>0</v>
      </c>
      <c r="AW86" s="917">
        <f t="shared" si="231"/>
        <v>0</v>
      </c>
      <c r="AX86" s="917">
        <f t="shared" si="231"/>
        <v>0</v>
      </c>
      <c r="AY86" s="917">
        <f t="shared" si="231"/>
        <v>0</v>
      </c>
      <c r="AZ86" s="917">
        <f t="shared" si="231"/>
        <v>0</v>
      </c>
      <c r="BA86" s="917">
        <f t="shared" si="231"/>
        <v>0</v>
      </c>
      <c r="BB86" s="917">
        <f t="shared" si="231"/>
        <v>0</v>
      </c>
      <c r="BC86" s="917">
        <f t="shared" si="231"/>
        <v>0</v>
      </c>
      <c r="BD86" s="917">
        <f t="shared" si="231"/>
        <v>0</v>
      </c>
      <c r="BE86" s="919">
        <f t="shared" si="231"/>
        <v>0</v>
      </c>
      <c r="BF86" s="917">
        <f t="shared" si="231"/>
        <v>0</v>
      </c>
      <c r="BG86" s="917">
        <f t="shared" si="232"/>
        <v>0</v>
      </c>
      <c r="BH86" s="917">
        <f t="shared" si="232"/>
        <v>0</v>
      </c>
      <c r="BI86" s="917">
        <f t="shared" si="232"/>
        <v>0</v>
      </c>
      <c r="BJ86" s="917">
        <f t="shared" si="232"/>
        <v>0</v>
      </c>
      <c r="BK86" s="917">
        <f t="shared" si="232"/>
        <v>0</v>
      </c>
      <c r="BL86" s="917">
        <f t="shared" si="232"/>
        <v>0</v>
      </c>
      <c r="BM86" s="917">
        <f t="shared" si="232"/>
        <v>0</v>
      </c>
      <c r="BN86" s="917">
        <f t="shared" si="232"/>
        <v>0</v>
      </c>
      <c r="BO86" s="917">
        <f t="shared" si="232"/>
        <v>0</v>
      </c>
      <c r="BP86" s="920">
        <f t="shared" si="232"/>
        <v>0</v>
      </c>
    </row>
    <row r="87" spans="2:68" ht="12" customHeight="1" outlineLevel="1">
      <c r="B87" s="218"/>
      <c r="C87" s="244" t="s">
        <v>438</v>
      </c>
      <c r="D87" s="884">
        <f>SUM(D79:D86)</f>
        <v>1155850</v>
      </c>
      <c r="E87" s="216">
        <f t="shared" ref="E87:BP87" si="233">SUM(E79:E86)</f>
        <v>203435</v>
      </c>
      <c r="F87" s="214">
        <f t="shared" si="233"/>
        <v>952415</v>
      </c>
      <c r="G87" s="861">
        <f t="shared" si="233"/>
        <v>1155850</v>
      </c>
      <c r="H87" s="914">
        <f t="shared" si="233"/>
        <v>203435</v>
      </c>
      <c r="I87" s="908">
        <f t="shared" si="233"/>
        <v>0</v>
      </c>
      <c r="J87" s="908">
        <f t="shared" si="233"/>
        <v>0</v>
      </c>
      <c r="K87" s="908">
        <f t="shared" si="233"/>
        <v>0</v>
      </c>
      <c r="L87" s="908">
        <f t="shared" si="233"/>
        <v>0</v>
      </c>
      <c r="M87" s="908">
        <f t="shared" si="233"/>
        <v>0</v>
      </c>
      <c r="N87" s="908">
        <f t="shared" si="233"/>
        <v>0</v>
      </c>
      <c r="O87" s="908">
        <f t="shared" si="233"/>
        <v>68029.642857142855</v>
      </c>
      <c r="P87" s="908">
        <f t="shared" si="233"/>
        <v>68029.642857142855</v>
      </c>
      <c r="Q87" s="908">
        <f t="shared" si="233"/>
        <v>68029.642857142855</v>
      </c>
      <c r="R87" s="908">
        <f t="shared" si="233"/>
        <v>68029.642857142855</v>
      </c>
      <c r="S87" s="908">
        <f t="shared" si="233"/>
        <v>68029.642857142855</v>
      </c>
      <c r="T87" s="911">
        <f t="shared" si="233"/>
        <v>68029.642857142855</v>
      </c>
      <c r="U87" s="910">
        <f t="shared" si="233"/>
        <v>68029.642857142855</v>
      </c>
      <c r="V87" s="908">
        <f t="shared" si="233"/>
        <v>68029.642857142855</v>
      </c>
      <c r="W87" s="908">
        <f t="shared" si="233"/>
        <v>68029.642857142855</v>
      </c>
      <c r="X87" s="908">
        <f t="shared" si="233"/>
        <v>68029.642857142855</v>
      </c>
      <c r="Y87" s="908">
        <f t="shared" si="233"/>
        <v>68029.642857142855</v>
      </c>
      <c r="Z87" s="908">
        <f t="shared" si="233"/>
        <v>68029.642857142855</v>
      </c>
      <c r="AA87" s="908">
        <f t="shared" si="233"/>
        <v>68029.642857142855</v>
      </c>
      <c r="AB87" s="908">
        <f t="shared" si="233"/>
        <v>68029.642857142855</v>
      </c>
      <c r="AC87" s="908">
        <f t="shared" si="233"/>
        <v>0</v>
      </c>
      <c r="AD87" s="908">
        <f t="shared" si="233"/>
        <v>0</v>
      </c>
      <c r="AE87" s="908">
        <f t="shared" si="233"/>
        <v>0</v>
      </c>
      <c r="AF87" s="911">
        <f t="shared" si="233"/>
        <v>0</v>
      </c>
      <c r="AG87" s="910">
        <f t="shared" si="233"/>
        <v>0</v>
      </c>
      <c r="AH87" s="908">
        <f t="shared" si="233"/>
        <v>0</v>
      </c>
      <c r="AI87" s="908">
        <f t="shared" si="233"/>
        <v>0</v>
      </c>
      <c r="AJ87" s="908">
        <f t="shared" si="233"/>
        <v>0</v>
      </c>
      <c r="AK87" s="908">
        <f t="shared" si="233"/>
        <v>0</v>
      </c>
      <c r="AL87" s="908">
        <f t="shared" si="233"/>
        <v>0</v>
      </c>
      <c r="AM87" s="908">
        <f t="shared" si="233"/>
        <v>0</v>
      </c>
      <c r="AN87" s="908">
        <f t="shared" si="233"/>
        <v>0</v>
      </c>
      <c r="AO87" s="908">
        <f t="shared" si="233"/>
        <v>0</v>
      </c>
      <c r="AP87" s="908">
        <f t="shared" si="233"/>
        <v>0</v>
      </c>
      <c r="AQ87" s="908">
        <f t="shared" si="233"/>
        <v>0</v>
      </c>
      <c r="AR87" s="911">
        <f t="shared" si="233"/>
        <v>0</v>
      </c>
      <c r="AS87" s="910">
        <f t="shared" si="233"/>
        <v>0</v>
      </c>
      <c r="AT87" s="908">
        <f t="shared" si="233"/>
        <v>0</v>
      </c>
      <c r="AU87" s="908">
        <f t="shared" si="233"/>
        <v>0</v>
      </c>
      <c r="AV87" s="908">
        <f t="shared" si="233"/>
        <v>0</v>
      </c>
      <c r="AW87" s="908">
        <f t="shared" si="233"/>
        <v>0</v>
      </c>
      <c r="AX87" s="908">
        <f t="shared" si="233"/>
        <v>0</v>
      </c>
      <c r="AY87" s="908">
        <f t="shared" si="233"/>
        <v>0</v>
      </c>
      <c r="AZ87" s="908">
        <f t="shared" si="233"/>
        <v>0</v>
      </c>
      <c r="BA87" s="908">
        <f t="shared" si="233"/>
        <v>0</v>
      </c>
      <c r="BB87" s="908">
        <f t="shared" si="233"/>
        <v>0</v>
      </c>
      <c r="BC87" s="908">
        <f t="shared" si="233"/>
        <v>0</v>
      </c>
      <c r="BD87" s="908">
        <f t="shared" si="233"/>
        <v>0</v>
      </c>
      <c r="BE87" s="435">
        <f t="shared" si="233"/>
        <v>0</v>
      </c>
      <c r="BF87" s="214">
        <f t="shared" si="233"/>
        <v>0</v>
      </c>
      <c r="BG87" s="214">
        <f t="shared" si="233"/>
        <v>0</v>
      </c>
      <c r="BH87" s="214">
        <f t="shared" si="233"/>
        <v>0</v>
      </c>
      <c r="BI87" s="214">
        <f t="shared" si="233"/>
        <v>0</v>
      </c>
      <c r="BJ87" s="214">
        <f t="shared" si="233"/>
        <v>0</v>
      </c>
      <c r="BK87" s="214">
        <f t="shared" si="233"/>
        <v>0</v>
      </c>
      <c r="BL87" s="214">
        <f t="shared" si="233"/>
        <v>0</v>
      </c>
      <c r="BM87" s="214">
        <f t="shared" si="233"/>
        <v>0</v>
      </c>
      <c r="BN87" s="214">
        <f t="shared" si="233"/>
        <v>0</v>
      </c>
      <c r="BO87" s="214">
        <f t="shared" si="233"/>
        <v>0</v>
      </c>
      <c r="BP87" s="793">
        <f t="shared" si="233"/>
        <v>0</v>
      </c>
    </row>
    <row r="88" spans="2:68" ht="12" customHeight="1" outlineLevel="1">
      <c r="B88" s="218"/>
      <c r="C88" s="244"/>
      <c r="D88" s="884"/>
      <c r="E88" s="216"/>
      <c r="F88" s="214"/>
      <c r="G88" s="861"/>
      <c r="H88" s="914"/>
      <c r="I88" s="908"/>
      <c r="J88" s="908"/>
      <c r="K88" s="908"/>
      <c r="L88" s="908"/>
      <c r="M88" s="908"/>
      <c r="N88" s="908"/>
      <c r="O88" s="908"/>
      <c r="P88" s="908"/>
      <c r="Q88" s="908"/>
      <c r="R88" s="908"/>
      <c r="S88" s="908"/>
      <c r="T88" s="911"/>
      <c r="U88" s="910"/>
      <c r="V88" s="908"/>
      <c r="W88" s="908"/>
      <c r="X88" s="908"/>
      <c r="Y88" s="908"/>
      <c r="Z88" s="908"/>
      <c r="AA88" s="908"/>
      <c r="AB88" s="908"/>
      <c r="AC88" s="908"/>
      <c r="AD88" s="908"/>
      <c r="AE88" s="908"/>
      <c r="AF88" s="911"/>
      <c r="AG88" s="910"/>
      <c r="AH88" s="908"/>
      <c r="AI88" s="908"/>
      <c r="AJ88" s="908"/>
      <c r="AK88" s="908"/>
      <c r="AL88" s="908"/>
      <c r="AM88" s="908"/>
      <c r="AN88" s="908"/>
      <c r="AO88" s="908"/>
      <c r="AP88" s="908"/>
      <c r="AQ88" s="908"/>
      <c r="AR88" s="911"/>
      <c r="AS88" s="910"/>
      <c r="AT88" s="908"/>
      <c r="AU88" s="908"/>
      <c r="AV88" s="908"/>
      <c r="AW88" s="908"/>
      <c r="AX88" s="908"/>
      <c r="AY88" s="908"/>
      <c r="AZ88" s="908"/>
      <c r="BA88" s="908"/>
      <c r="BB88" s="908"/>
      <c r="BC88" s="908"/>
      <c r="BD88" s="908"/>
      <c r="BE88" s="435"/>
      <c r="BF88" s="214"/>
      <c r="BG88" s="214"/>
      <c r="BH88" s="214"/>
      <c r="BI88" s="214"/>
      <c r="BJ88" s="214"/>
      <c r="BK88" s="214"/>
      <c r="BL88" s="214"/>
      <c r="BM88" s="214"/>
      <c r="BN88" s="214"/>
      <c r="BO88" s="214"/>
      <c r="BP88" s="793"/>
    </row>
    <row r="89" spans="2:68" ht="12" customHeight="1" outlineLevel="1">
      <c r="B89" s="218"/>
      <c r="C89" s="206" t="s">
        <v>382</v>
      </c>
      <c r="D89" s="838">
        <v>61000</v>
      </c>
      <c r="E89" s="216">
        <f t="shared" si="224"/>
        <v>0</v>
      </c>
      <c r="F89" s="214">
        <f t="shared" si="225"/>
        <v>60999.999999999978</v>
      </c>
      <c r="G89" s="861">
        <f t="shared" si="226"/>
        <v>60999.999999999978</v>
      </c>
      <c r="H89" s="914"/>
      <c r="I89" s="908">
        <f t="shared" ref="I89:R91" si="234">IF(AND(I$11&gt;=$D$5,I$11&lt;=$E$5),($D89-$H89)/$F$5,0)</f>
        <v>0</v>
      </c>
      <c r="J89" s="908">
        <f t="shared" si="234"/>
        <v>0</v>
      </c>
      <c r="K89" s="908">
        <f t="shared" si="234"/>
        <v>0</v>
      </c>
      <c r="L89" s="908">
        <f t="shared" si="234"/>
        <v>0</v>
      </c>
      <c r="M89" s="908">
        <f t="shared" si="234"/>
        <v>0</v>
      </c>
      <c r="N89" s="908">
        <f t="shared" si="234"/>
        <v>0</v>
      </c>
      <c r="O89" s="908">
        <f t="shared" si="234"/>
        <v>4357.1428571428569</v>
      </c>
      <c r="P89" s="908">
        <f t="shared" si="234"/>
        <v>4357.1428571428569</v>
      </c>
      <c r="Q89" s="908">
        <f t="shared" si="234"/>
        <v>4357.1428571428569</v>
      </c>
      <c r="R89" s="908">
        <f t="shared" si="234"/>
        <v>4357.1428571428569</v>
      </c>
      <c r="S89" s="908">
        <f t="shared" ref="S89:AB91" si="235">IF(AND(S$11&gt;=$D$5,S$11&lt;=$E$5),($D89-$H89)/$F$5,0)</f>
        <v>4357.1428571428569</v>
      </c>
      <c r="T89" s="915">
        <f t="shared" si="235"/>
        <v>4357.1428571428569</v>
      </c>
      <c r="U89" s="910">
        <f t="shared" si="235"/>
        <v>4357.1428571428569</v>
      </c>
      <c r="V89" s="908">
        <f t="shared" si="235"/>
        <v>4357.1428571428569</v>
      </c>
      <c r="W89" s="908">
        <f t="shared" si="235"/>
        <v>4357.1428571428569</v>
      </c>
      <c r="X89" s="908">
        <f t="shared" si="235"/>
        <v>4357.1428571428569</v>
      </c>
      <c r="Y89" s="908">
        <f t="shared" si="235"/>
        <v>4357.1428571428569</v>
      </c>
      <c r="Z89" s="908">
        <f t="shared" si="235"/>
        <v>4357.1428571428569</v>
      </c>
      <c r="AA89" s="908">
        <f t="shared" si="235"/>
        <v>4357.1428571428569</v>
      </c>
      <c r="AB89" s="908">
        <f t="shared" si="235"/>
        <v>4357.1428571428569</v>
      </c>
      <c r="AC89" s="908">
        <f t="shared" ref="AC89:AL91" si="236">IF(AND(AC$11&gt;=$D$5,AC$11&lt;=$E$5),($D89-$H89)/$F$5,0)</f>
        <v>0</v>
      </c>
      <c r="AD89" s="908">
        <f t="shared" si="236"/>
        <v>0</v>
      </c>
      <c r="AE89" s="908">
        <f t="shared" si="236"/>
        <v>0</v>
      </c>
      <c r="AF89" s="915">
        <f t="shared" si="236"/>
        <v>0</v>
      </c>
      <c r="AG89" s="910">
        <f t="shared" si="236"/>
        <v>0</v>
      </c>
      <c r="AH89" s="908">
        <f t="shared" si="236"/>
        <v>0</v>
      </c>
      <c r="AI89" s="908">
        <f t="shared" si="236"/>
        <v>0</v>
      </c>
      <c r="AJ89" s="908">
        <f t="shared" si="236"/>
        <v>0</v>
      </c>
      <c r="AK89" s="908">
        <f t="shared" si="236"/>
        <v>0</v>
      </c>
      <c r="AL89" s="908">
        <f t="shared" si="236"/>
        <v>0</v>
      </c>
      <c r="AM89" s="908">
        <f t="shared" ref="AM89:AV91" si="237">IF(AND(AM$11&gt;=$D$5,AM$11&lt;=$E$5),($D89-$H89)/$F$5,0)</f>
        <v>0</v>
      </c>
      <c r="AN89" s="908">
        <f t="shared" si="237"/>
        <v>0</v>
      </c>
      <c r="AO89" s="908">
        <f t="shared" si="237"/>
        <v>0</v>
      </c>
      <c r="AP89" s="908">
        <f t="shared" si="237"/>
        <v>0</v>
      </c>
      <c r="AQ89" s="908">
        <f t="shared" si="237"/>
        <v>0</v>
      </c>
      <c r="AR89" s="915">
        <f t="shared" si="237"/>
        <v>0</v>
      </c>
      <c r="AS89" s="910">
        <f t="shared" si="237"/>
        <v>0</v>
      </c>
      <c r="AT89" s="908">
        <f t="shared" si="237"/>
        <v>0</v>
      </c>
      <c r="AU89" s="908">
        <f t="shared" si="237"/>
        <v>0</v>
      </c>
      <c r="AV89" s="908">
        <f t="shared" si="237"/>
        <v>0</v>
      </c>
      <c r="AW89" s="908">
        <f t="shared" ref="AW89:BF91" si="238">IF(AND(AW$11&gt;=$D$5,AW$11&lt;=$E$5),($D89-$H89)/$F$5,0)</f>
        <v>0</v>
      </c>
      <c r="AX89" s="908">
        <f t="shared" si="238"/>
        <v>0</v>
      </c>
      <c r="AY89" s="908">
        <f t="shared" si="238"/>
        <v>0</v>
      </c>
      <c r="AZ89" s="908">
        <f t="shared" si="238"/>
        <v>0</v>
      </c>
      <c r="BA89" s="908">
        <f t="shared" si="238"/>
        <v>0</v>
      </c>
      <c r="BB89" s="908">
        <f t="shared" si="238"/>
        <v>0</v>
      </c>
      <c r="BC89" s="908">
        <f t="shared" si="238"/>
        <v>0</v>
      </c>
      <c r="BD89" s="908">
        <f t="shared" si="238"/>
        <v>0</v>
      </c>
      <c r="BE89" s="435">
        <f t="shared" si="238"/>
        <v>0</v>
      </c>
      <c r="BF89" s="214">
        <f t="shared" si="238"/>
        <v>0</v>
      </c>
      <c r="BG89" s="214">
        <f t="shared" ref="BG89:BP91" si="239">IF(AND(BG$11&gt;=$D$5,BG$11&lt;=$E$5),($D89-$H89)/$F$5,0)</f>
        <v>0</v>
      </c>
      <c r="BH89" s="214">
        <f t="shared" si="239"/>
        <v>0</v>
      </c>
      <c r="BI89" s="214">
        <f t="shared" si="239"/>
        <v>0</v>
      </c>
      <c r="BJ89" s="214">
        <f t="shared" si="239"/>
        <v>0</v>
      </c>
      <c r="BK89" s="214">
        <f t="shared" si="239"/>
        <v>0</v>
      </c>
      <c r="BL89" s="214">
        <f t="shared" si="239"/>
        <v>0</v>
      </c>
      <c r="BM89" s="214">
        <f t="shared" si="239"/>
        <v>0</v>
      </c>
      <c r="BN89" s="214">
        <f t="shared" si="239"/>
        <v>0</v>
      </c>
      <c r="BO89" s="214">
        <f t="shared" si="239"/>
        <v>0</v>
      </c>
      <c r="BP89" s="793">
        <f t="shared" si="239"/>
        <v>0</v>
      </c>
    </row>
    <row r="90" spans="2:68" ht="12" customHeight="1" outlineLevel="1">
      <c r="B90" s="218"/>
      <c r="C90" s="206" t="s">
        <v>479</v>
      </c>
      <c r="D90" s="838">
        <v>280000</v>
      </c>
      <c r="E90" s="216">
        <f t="shared" si="224"/>
        <v>0</v>
      </c>
      <c r="F90" s="214">
        <f t="shared" si="225"/>
        <v>280000</v>
      </c>
      <c r="G90" s="861">
        <f t="shared" si="226"/>
        <v>280000</v>
      </c>
      <c r="H90" s="914"/>
      <c r="I90" s="908">
        <f t="shared" si="234"/>
        <v>0</v>
      </c>
      <c r="J90" s="908">
        <f t="shared" si="234"/>
        <v>0</v>
      </c>
      <c r="K90" s="908">
        <f t="shared" si="234"/>
        <v>0</v>
      </c>
      <c r="L90" s="908">
        <f t="shared" si="234"/>
        <v>0</v>
      </c>
      <c r="M90" s="908">
        <f t="shared" si="234"/>
        <v>0</v>
      </c>
      <c r="N90" s="908">
        <f t="shared" si="234"/>
        <v>0</v>
      </c>
      <c r="O90" s="908">
        <f t="shared" si="234"/>
        <v>20000</v>
      </c>
      <c r="P90" s="908">
        <f t="shared" si="234"/>
        <v>20000</v>
      </c>
      <c r="Q90" s="908">
        <f t="shared" si="234"/>
        <v>20000</v>
      </c>
      <c r="R90" s="908">
        <f t="shared" si="234"/>
        <v>20000</v>
      </c>
      <c r="S90" s="908">
        <f t="shared" si="235"/>
        <v>20000</v>
      </c>
      <c r="T90" s="915">
        <f t="shared" si="235"/>
        <v>20000</v>
      </c>
      <c r="U90" s="910">
        <f t="shared" si="235"/>
        <v>20000</v>
      </c>
      <c r="V90" s="908">
        <f t="shared" si="235"/>
        <v>20000</v>
      </c>
      <c r="W90" s="908">
        <f t="shared" si="235"/>
        <v>20000</v>
      </c>
      <c r="X90" s="908">
        <f t="shared" si="235"/>
        <v>20000</v>
      </c>
      <c r="Y90" s="908">
        <f t="shared" si="235"/>
        <v>20000</v>
      </c>
      <c r="Z90" s="908">
        <f t="shared" si="235"/>
        <v>20000</v>
      </c>
      <c r="AA90" s="908">
        <f t="shared" si="235"/>
        <v>20000</v>
      </c>
      <c r="AB90" s="908">
        <f t="shared" si="235"/>
        <v>20000</v>
      </c>
      <c r="AC90" s="908">
        <f t="shared" si="236"/>
        <v>0</v>
      </c>
      <c r="AD90" s="908">
        <f t="shared" si="236"/>
        <v>0</v>
      </c>
      <c r="AE90" s="908">
        <f t="shared" si="236"/>
        <v>0</v>
      </c>
      <c r="AF90" s="915">
        <f t="shared" si="236"/>
        <v>0</v>
      </c>
      <c r="AG90" s="910">
        <f t="shared" si="236"/>
        <v>0</v>
      </c>
      <c r="AH90" s="908">
        <f t="shared" si="236"/>
        <v>0</v>
      </c>
      <c r="AI90" s="908">
        <f t="shared" si="236"/>
        <v>0</v>
      </c>
      <c r="AJ90" s="908">
        <f t="shared" si="236"/>
        <v>0</v>
      </c>
      <c r="AK90" s="908">
        <f t="shared" si="236"/>
        <v>0</v>
      </c>
      <c r="AL90" s="908">
        <f t="shared" si="236"/>
        <v>0</v>
      </c>
      <c r="AM90" s="908">
        <f t="shared" si="237"/>
        <v>0</v>
      </c>
      <c r="AN90" s="908">
        <f t="shared" si="237"/>
        <v>0</v>
      </c>
      <c r="AO90" s="908">
        <f t="shared" si="237"/>
        <v>0</v>
      </c>
      <c r="AP90" s="908">
        <f t="shared" si="237"/>
        <v>0</v>
      </c>
      <c r="AQ90" s="908">
        <f t="shared" si="237"/>
        <v>0</v>
      </c>
      <c r="AR90" s="915">
        <f t="shared" si="237"/>
        <v>0</v>
      </c>
      <c r="AS90" s="910">
        <f t="shared" si="237"/>
        <v>0</v>
      </c>
      <c r="AT90" s="908">
        <f t="shared" si="237"/>
        <v>0</v>
      </c>
      <c r="AU90" s="908">
        <f t="shared" si="237"/>
        <v>0</v>
      </c>
      <c r="AV90" s="908">
        <f t="shared" si="237"/>
        <v>0</v>
      </c>
      <c r="AW90" s="908">
        <f t="shared" si="238"/>
        <v>0</v>
      </c>
      <c r="AX90" s="908">
        <f t="shared" si="238"/>
        <v>0</v>
      </c>
      <c r="AY90" s="908">
        <f t="shared" si="238"/>
        <v>0</v>
      </c>
      <c r="AZ90" s="908">
        <f t="shared" si="238"/>
        <v>0</v>
      </c>
      <c r="BA90" s="908">
        <f t="shared" si="238"/>
        <v>0</v>
      </c>
      <c r="BB90" s="908">
        <f t="shared" si="238"/>
        <v>0</v>
      </c>
      <c r="BC90" s="908">
        <f t="shared" si="238"/>
        <v>0</v>
      </c>
      <c r="BD90" s="908">
        <f t="shared" si="238"/>
        <v>0</v>
      </c>
      <c r="BE90" s="435">
        <f t="shared" si="238"/>
        <v>0</v>
      </c>
      <c r="BF90" s="214">
        <f t="shared" si="238"/>
        <v>0</v>
      </c>
      <c r="BG90" s="214">
        <f t="shared" si="239"/>
        <v>0</v>
      </c>
      <c r="BH90" s="214">
        <f t="shared" si="239"/>
        <v>0</v>
      </c>
      <c r="BI90" s="214">
        <f t="shared" si="239"/>
        <v>0</v>
      </c>
      <c r="BJ90" s="214">
        <f t="shared" si="239"/>
        <v>0</v>
      </c>
      <c r="BK90" s="214">
        <f t="shared" si="239"/>
        <v>0</v>
      </c>
      <c r="BL90" s="214">
        <f t="shared" si="239"/>
        <v>0</v>
      </c>
      <c r="BM90" s="214">
        <f t="shared" si="239"/>
        <v>0</v>
      </c>
      <c r="BN90" s="214">
        <f t="shared" si="239"/>
        <v>0</v>
      </c>
      <c r="BO90" s="214">
        <f t="shared" si="239"/>
        <v>0</v>
      </c>
      <c r="BP90" s="793">
        <f t="shared" si="239"/>
        <v>0</v>
      </c>
    </row>
    <row r="91" spans="2:68" ht="12" customHeight="1" outlineLevel="1">
      <c r="B91" s="218"/>
      <c r="C91" s="206" t="s">
        <v>470</v>
      </c>
      <c r="D91" s="839">
        <v>150000</v>
      </c>
      <c r="E91" s="216">
        <f t="shared" si="224"/>
        <v>150000</v>
      </c>
      <c r="F91" s="214">
        <f t="shared" si="225"/>
        <v>0</v>
      </c>
      <c r="G91" s="861">
        <f t="shared" si="226"/>
        <v>150000</v>
      </c>
      <c r="H91" s="914">
        <f>D91</f>
        <v>150000</v>
      </c>
      <c r="I91" s="908">
        <f t="shared" si="234"/>
        <v>0</v>
      </c>
      <c r="J91" s="908">
        <f t="shared" si="234"/>
        <v>0</v>
      </c>
      <c r="K91" s="908">
        <f t="shared" si="234"/>
        <v>0</v>
      </c>
      <c r="L91" s="908">
        <f t="shared" si="234"/>
        <v>0</v>
      </c>
      <c r="M91" s="908">
        <f t="shared" si="234"/>
        <v>0</v>
      </c>
      <c r="N91" s="908">
        <f t="shared" si="234"/>
        <v>0</v>
      </c>
      <c r="O91" s="908">
        <f t="shared" si="234"/>
        <v>0</v>
      </c>
      <c r="P91" s="908">
        <f t="shared" si="234"/>
        <v>0</v>
      </c>
      <c r="Q91" s="908">
        <f t="shared" si="234"/>
        <v>0</v>
      </c>
      <c r="R91" s="908">
        <f t="shared" si="234"/>
        <v>0</v>
      </c>
      <c r="S91" s="908">
        <f t="shared" si="235"/>
        <v>0</v>
      </c>
      <c r="T91" s="911">
        <f t="shared" si="235"/>
        <v>0</v>
      </c>
      <c r="U91" s="910">
        <f t="shared" si="235"/>
        <v>0</v>
      </c>
      <c r="V91" s="908">
        <f t="shared" si="235"/>
        <v>0</v>
      </c>
      <c r="W91" s="908">
        <f t="shared" si="235"/>
        <v>0</v>
      </c>
      <c r="X91" s="908">
        <f t="shared" si="235"/>
        <v>0</v>
      </c>
      <c r="Y91" s="908">
        <f t="shared" si="235"/>
        <v>0</v>
      </c>
      <c r="Z91" s="908">
        <f t="shared" si="235"/>
        <v>0</v>
      </c>
      <c r="AA91" s="908">
        <f t="shared" si="235"/>
        <v>0</v>
      </c>
      <c r="AB91" s="908">
        <f t="shared" si="235"/>
        <v>0</v>
      </c>
      <c r="AC91" s="908">
        <f t="shared" si="236"/>
        <v>0</v>
      </c>
      <c r="AD91" s="908">
        <f t="shared" si="236"/>
        <v>0</v>
      </c>
      <c r="AE91" s="908">
        <f t="shared" si="236"/>
        <v>0</v>
      </c>
      <c r="AF91" s="911">
        <f t="shared" si="236"/>
        <v>0</v>
      </c>
      <c r="AG91" s="910">
        <f t="shared" si="236"/>
        <v>0</v>
      </c>
      <c r="AH91" s="908">
        <f t="shared" si="236"/>
        <v>0</v>
      </c>
      <c r="AI91" s="908">
        <f t="shared" si="236"/>
        <v>0</v>
      </c>
      <c r="AJ91" s="908">
        <f t="shared" si="236"/>
        <v>0</v>
      </c>
      <c r="AK91" s="908">
        <f t="shared" si="236"/>
        <v>0</v>
      </c>
      <c r="AL91" s="908">
        <f t="shared" si="236"/>
        <v>0</v>
      </c>
      <c r="AM91" s="908">
        <f t="shared" si="237"/>
        <v>0</v>
      </c>
      <c r="AN91" s="908">
        <f t="shared" si="237"/>
        <v>0</v>
      </c>
      <c r="AO91" s="908">
        <f t="shared" si="237"/>
        <v>0</v>
      </c>
      <c r="AP91" s="908">
        <f t="shared" si="237"/>
        <v>0</v>
      </c>
      <c r="AQ91" s="908">
        <f t="shared" si="237"/>
        <v>0</v>
      </c>
      <c r="AR91" s="911">
        <f t="shared" si="237"/>
        <v>0</v>
      </c>
      <c r="AS91" s="910">
        <f t="shared" si="237"/>
        <v>0</v>
      </c>
      <c r="AT91" s="908">
        <f t="shared" si="237"/>
        <v>0</v>
      </c>
      <c r="AU91" s="908">
        <f t="shared" si="237"/>
        <v>0</v>
      </c>
      <c r="AV91" s="908">
        <f t="shared" si="237"/>
        <v>0</v>
      </c>
      <c r="AW91" s="908">
        <f t="shared" si="238"/>
        <v>0</v>
      </c>
      <c r="AX91" s="908">
        <f t="shared" si="238"/>
        <v>0</v>
      </c>
      <c r="AY91" s="908">
        <f t="shared" si="238"/>
        <v>0</v>
      </c>
      <c r="AZ91" s="908">
        <f t="shared" si="238"/>
        <v>0</v>
      </c>
      <c r="BA91" s="908">
        <f t="shared" si="238"/>
        <v>0</v>
      </c>
      <c r="BB91" s="908">
        <f t="shared" si="238"/>
        <v>0</v>
      </c>
      <c r="BC91" s="908">
        <f t="shared" si="238"/>
        <v>0</v>
      </c>
      <c r="BD91" s="908">
        <f t="shared" si="238"/>
        <v>0</v>
      </c>
      <c r="BE91" s="435">
        <f t="shared" si="238"/>
        <v>0</v>
      </c>
      <c r="BF91" s="214">
        <f t="shared" si="238"/>
        <v>0</v>
      </c>
      <c r="BG91" s="214">
        <f t="shared" si="239"/>
        <v>0</v>
      </c>
      <c r="BH91" s="214">
        <f t="shared" si="239"/>
        <v>0</v>
      </c>
      <c r="BI91" s="214">
        <f t="shared" si="239"/>
        <v>0</v>
      </c>
      <c r="BJ91" s="214">
        <f t="shared" si="239"/>
        <v>0</v>
      </c>
      <c r="BK91" s="214">
        <f t="shared" si="239"/>
        <v>0</v>
      </c>
      <c r="BL91" s="214">
        <f t="shared" si="239"/>
        <v>0</v>
      </c>
      <c r="BM91" s="214">
        <f t="shared" si="239"/>
        <v>0</v>
      </c>
      <c r="BN91" s="214">
        <f t="shared" si="239"/>
        <v>0</v>
      </c>
      <c r="BO91" s="214">
        <f t="shared" si="239"/>
        <v>0</v>
      </c>
      <c r="BP91" s="793">
        <f t="shared" si="239"/>
        <v>0</v>
      </c>
    </row>
    <row r="92" spans="2:68" s="1173" customFormat="1" ht="12" customHeight="1" outlineLevel="1">
      <c r="B92" s="1172"/>
      <c r="C92" s="1173" t="s">
        <v>384</v>
      </c>
      <c r="D92" s="1174">
        <f>109800</f>
        <v>109800</v>
      </c>
      <c r="E92" s="1175">
        <f t="shared" si="224"/>
        <v>0</v>
      </c>
      <c r="F92" s="1176">
        <f t="shared" si="225"/>
        <v>120381.33518700834</v>
      </c>
      <c r="G92" s="1177">
        <f t="shared" si="226"/>
        <v>120381.33518700834</v>
      </c>
      <c r="H92" s="1178"/>
      <c r="I92" s="1179">
        <f>IF('Lease Up'!I46&lt;0,-'Lease Up'!I46,0)</f>
        <v>0</v>
      </c>
      <c r="J92" s="1179">
        <f>IF('Lease Up'!J46&lt;0,-'Lease Up'!J46,0)</f>
        <v>0</v>
      </c>
      <c r="K92" s="1179">
        <f>IF('Lease Up'!K46&lt;0,-'Lease Up'!K46,0)</f>
        <v>0</v>
      </c>
      <c r="L92" s="1179">
        <f>IF('Lease Up'!L46&lt;0,-'Lease Up'!L46,0)</f>
        <v>0</v>
      </c>
      <c r="M92" s="1179">
        <f>IF('Lease Up'!M46&lt;0,-'Lease Up'!M46,0)</f>
        <v>0</v>
      </c>
      <c r="N92" s="1179">
        <f>IF('Lease Up'!N46&lt;0,-'Lease Up'!N46,0)</f>
        <v>0</v>
      </c>
      <c r="O92" s="1179">
        <f>IF('Lease Up'!O46&lt;0,-'Lease Up'!O46,0)</f>
        <v>0</v>
      </c>
      <c r="P92" s="1179">
        <f>IF('Lease Up'!P46&lt;0,-'Lease Up'!P46,0)</f>
        <v>0</v>
      </c>
      <c r="Q92" s="1179">
        <f>IF('Lease Up'!Q46&lt;0,-'Lease Up'!Q46,0)</f>
        <v>0</v>
      </c>
      <c r="R92" s="1179">
        <f>IF('Lease Up'!R46&lt;0,-'Lease Up'!R46,0)</f>
        <v>0</v>
      </c>
      <c r="S92" s="1179">
        <f>IF('Lease Up'!S46&lt;0,-'Lease Up'!S46,0)</f>
        <v>0</v>
      </c>
      <c r="T92" s="1180">
        <f>IF('Lease Up'!T46&lt;0,-'Lease Up'!T46,0)</f>
        <v>0</v>
      </c>
      <c r="U92" s="1181">
        <f>IF('Lease Up'!U46&lt;0,-'Lease Up'!U46,0)</f>
        <v>0</v>
      </c>
      <c r="V92" s="1179">
        <f>IF('Lease Up'!V46&lt;0,-'Lease Up'!V46,0)</f>
        <v>0</v>
      </c>
      <c r="W92" s="1179">
        <f>IF('Lease Up'!W46&lt;0,-'Lease Up'!W46,0)</f>
        <v>0</v>
      </c>
      <c r="X92" s="1179">
        <f>IF('Lease Up'!X46&lt;0,-'Lease Up'!X46,0)</f>
        <v>0</v>
      </c>
      <c r="Y92" s="1179">
        <f>IF('Lease Up'!Y46&lt;0,-'Lease Up'!Y46,0)</f>
        <v>21798.135483333332</v>
      </c>
      <c r="Z92" s="1179">
        <f>IF('Lease Up'!Z46&lt;0,-'Lease Up'!Z46,0)</f>
        <v>21798.135483333332</v>
      </c>
      <c r="AA92" s="1179">
        <f>IF('Lease Up'!AA46&lt;0,-'Lease Up'!AA46,0)</f>
        <v>21798.135483333332</v>
      </c>
      <c r="AB92" s="1179">
        <f>IF('Lease Up'!AB46&lt;0,-'Lease Up'!AB46,0)</f>
        <v>21798.135483333332</v>
      </c>
      <c r="AC92" s="1179">
        <f>IF('Lease Up'!AC46&lt;0,-'Lease Up'!AC46,0)</f>
        <v>32534.706498125001</v>
      </c>
      <c r="AD92" s="1179">
        <f>IF('Lease Up'!AD46&lt;0,-'Lease Up'!AD46,0)</f>
        <v>654.08675555000923</v>
      </c>
      <c r="AE92" s="1179">
        <f>IF('Lease Up'!AE46&lt;0,-'Lease Up'!AE46,0)</f>
        <v>0</v>
      </c>
      <c r="AF92" s="1180">
        <f>IF('Lease Up'!AF46&lt;0,-'Lease Up'!AF46,0)</f>
        <v>0</v>
      </c>
      <c r="AG92" s="1181">
        <f>IF('Lease Up'!AG46&lt;0,-'Lease Up'!AG46,0)</f>
        <v>0</v>
      </c>
      <c r="AH92" s="1179">
        <f>IF('Lease Up'!AH46&lt;0,-'Lease Up'!AH46,0)</f>
        <v>0</v>
      </c>
      <c r="AI92" s="1179">
        <f>IF('Lease Up'!AI46&lt;0,-'Lease Up'!AI46,0)</f>
        <v>0</v>
      </c>
      <c r="AJ92" s="1179">
        <f>IF('Lease Up'!AJ46&lt;0,-'Lease Up'!AJ46,0)</f>
        <v>0</v>
      </c>
      <c r="AK92" s="1179">
        <f>IF('Lease Up'!AK46&lt;0,-'Lease Up'!AK46,0)</f>
        <v>0</v>
      </c>
      <c r="AL92" s="1179">
        <f>IF('Lease Up'!AL46&lt;0,-'Lease Up'!AL46,0)</f>
        <v>0</v>
      </c>
      <c r="AM92" s="1179">
        <f>IF('Lease Up'!AM46&lt;0,-'Lease Up'!AM46,0)</f>
        <v>0</v>
      </c>
      <c r="AN92" s="1179">
        <f>IF('Lease Up'!AN46&lt;0,-'Lease Up'!AN46,0)</f>
        <v>0</v>
      </c>
      <c r="AO92" s="1179">
        <f>IF('Lease Up'!AO46&lt;0,-'Lease Up'!AO46,0)</f>
        <v>0</v>
      </c>
      <c r="AP92" s="1179">
        <f>IF('Lease Up'!AP46&lt;0,-'Lease Up'!AP46,0)</f>
        <v>0</v>
      </c>
      <c r="AQ92" s="1179">
        <f>IF('Lease Up'!AQ46&lt;0,-'Lease Up'!AQ46,0)</f>
        <v>0</v>
      </c>
      <c r="AR92" s="1180">
        <f>IF('Lease Up'!AR46&lt;0,-'Lease Up'!AR46,0)</f>
        <v>0</v>
      </c>
      <c r="AS92" s="1181">
        <f>IF('Lease Up'!AS46&lt;0,-'Lease Up'!AS46,0)</f>
        <v>0</v>
      </c>
      <c r="AT92" s="1179">
        <f>IF('Lease Up'!AT46&lt;0,-'Lease Up'!AT46,0)</f>
        <v>0</v>
      </c>
      <c r="AU92" s="1179">
        <f>IF('Lease Up'!AU46&lt;0,-'Lease Up'!AU46,0)</f>
        <v>0</v>
      </c>
      <c r="AV92" s="1179">
        <f>IF('Lease Up'!AV46&lt;0,-'Lease Up'!AV46,0)</f>
        <v>0</v>
      </c>
      <c r="AW92" s="1179">
        <f>IF('Lease Up'!AW46&lt;0,-'Lease Up'!AW46,0)</f>
        <v>0</v>
      </c>
      <c r="AX92" s="1179">
        <f>IF('Lease Up'!AX46&lt;0,-'Lease Up'!AX46,0)</f>
        <v>0</v>
      </c>
      <c r="AY92" s="1179">
        <f>IF('Lease Up'!AY46&lt;0,-'Lease Up'!AY46,0)</f>
        <v>0</v>
      </c>
      <c r="AZ92" s="1179">
        <f>IF('Lease Up'!AZ46&lt;0,-'Lease Up'!AZ46,0)</f>
        <v>0</v>
      </c>
      <c r="BA92" s="1179">
        <f>IF('Lease Up'!BA46&lt;0,-'Lease Up'!BA46,0)</f>
        <v>0</v>
      </c>
      <c r="BB92" s="1179">
        <f>IF('Lease Up'!BB46&lt;0,-'Lease Up'!BB46,0)</f>
        <v>0</v>
      </c>
      <c r="BC92" s="1179">
        <f>IF('Lease Up'!BC46&lt;0,-'Lease Up'!BC46,0)</f>
        <v>0</v>
      </c>
      <c r="BD92" s="1179">
        <f>IF('Lease Up'!BD46&lt;0,-'Lease Up'!BD46,0)</f>
        <v>0</v>
      </c>
      <c r="BE92" s="1182">
        <f>IF('Lease Up'!BE46&lt;0,-'Lease Up'!BE46,0)</f>
        <v>0</v>
      </c>
      <c r="BF92" s="1176">
        <f>IF('Lease Up'!BF46&lt;0,-'Lease Up'!BF46,0)</f>
        <v>0</v>
      </c>
      <c r="BG92" s="1176">
        <f>IF('Lease Up'!BG46&lt;0,-'Lease Up'!BG46,0)</f>
        <v>0</v>
      </c>
      <c r="BH92" s="1176">
        <f>IF('Lease Up'!BH46&lt;0,-'Lease Up'!BH46,0)</f>
        <v>0</v>
      </c>
      <c r="BI92" s="1176">
        <f>IF('Lease Up'!BI46&lt;0,-'Lease Up'!BI46,0)</f>
        <v>0</v>
      </c>
      <c r="BJ92" s="1176">
        <f>IF('Lease Up'!BJ46&lt;0,-'Lease Up'!BJ46,0)</f>
        <v>0</v>
      </c>
      <c r="BK92" s="1176">
        <f>IF('Lease Up'!BK46&lt;0,-'Lease Up'!BK46,0)</f>
        <v>0</v>
      </c>
      <c r="BL92" s="1176">
        <f>IF('Lease Up'!BL46&lt;0,-'Lease Up'!BL46,0)</f>
        <v>0</v>
      </c>
      <c r="BM92" s="1176">
        <f>IF('Lease Up'!BM46&lt;0,-'Lease Up'!BM46,0)</f>
        <v>0</v>
      </c>
      <c r="BN92" s="1176">
        <f>IF('Lease Up'!BN46&lt;0,-'Lease Up'!BN46,0)</f>
        <v>0</v>
      </c>
      <c r="BO92" s="1176">
        <f>IF('Lease Up'!BO46&lt;0,-'Lease Up'!BO46,0)</f>
        <v>0</v>
      </c>
      <c r="BP92" s="1183">
        <f>IF('Lease Up'!BP46&lt;0,-'Lease Up'!BP46,0)</f>
        <v>0</v>
      </c>
    </row>
    <row r="93" spans="2:68" ht="12" customHeight="1" outlineLevel="1">
      <c r="B93" s="218"/>
      <c r="C93" s="206" t="s">
        <v>569</v>
      </c>
      <c r="D93" s="839">
        <f>15600000*1%</f>
        <v>156000</v>
      </c>
      <c r="E93" s="216">
        <f t="shared" si="224"/>
        <v>156000</v>
      </c>
      <c r="F93" s="214">
        <f t="shared" si="225"/>
        <v>0</v>
      </c>
      <c r="G93" s="861">
        <f t="shared" si="226"/>
        <v>156000</v>
      </c>
      <c r="H93" s="914">
        <f>D93</f>
        <v>156000</v>
      </c>
      <c r="I93" s="908">
        <f t="shared" ref="I93:AN93" si="240">IF(AND(I$11&gt;=$D$5,I$11&lt;=$E$5),($D93-$H93)/$F$5,0)</f>
        <v>0</v>
      </c>
      <c r="J93" s="908">
        <f t="shared" si="240"/>
        <v>0</v>
      </c>
      <c r="K93" s="908">
        <f t="shared" si="240"/>
        <v>0</v>
      </c>
      <c r="L93" s="908">
        <f t="shared" si="240"/>
        <v>0</v>
      </c>
      <c r="M93" s="908">
        <f t="shared" si="240"/>
        <v>0</v>
      </c>
      <c r="N93" s="908">
        <f t="shared" si="240"/>
        <v>0</v>
      </c>
      <c r="O93" s="908">
        <f t="shared" si="240"/>
        <v>0</v>
      </c>
      <c r="P93" s="908">
        <f t="shared" si="240"/>
        <v>0</v>
      </c>
      <c r="Q93" s="908">
        <f t="shared" si="240"/>
        <v>0</v>
      </c>
      <c r="R93" s="908">
        <f t="shared" si="240"/>
        <v>0</v>
      </c>
      <c r="S93" s="908">
        <f t="shared" si="240"/>
        <v>0</v>
      </c>
      <c r="T93" s="911">
        <f t="shared" si="240"/>
        <v>0</v>
      </c>
      <c r="U93" s="910">
        <f t="shared" si="240"/>
        <v>0</v>
      </c>
      <c r="V93" s="908">
        <f t="shared" si="240"/>
        <v>0</v>
      </c>
      <c r="W93" s="908">
        <f t="shared" si="240"/>
        <v>0</v>
      </c>
      <c r="X93" s="908">
        <f t="shared" si="240"/>
        <v>0</v>
      </c>
      <c r="Y93" s="908">
        <f t="shared" si="240"/>
        <v>0</v>
      </c>
      <c r="Z93" s="908">
        <f t="shared" si="240"/>
        <v>0</v>
      </c>
      <c r="AA93" s="908">
        <f t="shared" si="240"/>
        <v>0</v>
      </c>
      <c r="AB93" s="908">
        <f t="shared" si="240"/>
        <v>0</v>
      </c>
      <c r="AC93" s="908">
        <f t="shared" si="240"/>
        <v>0</v>
      </c>
      <c r="AD93" s="908">
        <f t="shared" si="240"/>
        <v>0</v>
      </c>
      <c r="AE93" s="908">
        <f t="shared" si="240"/>
        <v>0</v>
      </c>
      <c r="AF93" s="911">
        <f t="shared" si="240"/>
        <v>0</v>
      </c>
      <c r="AG93" s="910">
        <f t="shared" si="240"/>
        <v>0</v>
      </c>
      <c r="AH93" s="908">
        <f t="shared" si="240"/>
        <v>0</v>
      </c>
      <c r="AI93" s="908">
        <f t="shared" si="240"/>
        <v>0</v>
      </c>
      <c r="AJ93" s="908">
        <f t="shared" si="240"/>
        <v>0</v>
      </c>
      <c r="AK93" s="908">
        <f t="shared" si="240"/>
        <v>0</v>
      </c>
      <c r="AL93" s="908">
        <f t="shared" si="240"/>
        <v>0</v>
      </c>
      <c r="AM93" s="908">
        <f t="shared" si="240"/>
        <v>0</v>
      </c>
      <c r="AN93" s="908">
        <f t="shared" si="240"/>
        <v>0</v>
      </c>
      <c r="AO93" s="908">
        <f t="shared" ref="AO93:BP93" si="241">IF(AND(AO$11&gt;=$D$5,AO$11&lt;=$E$5),($D93-$H93)/$F$5,0)</f>
        <v>0</v>
      </c>
      <c r="AP93" s="908">
        <f t="shared" si="241"/>
        <v>0</v>
      </c>
      <c r="AQ93" s="908">
        <f t="shared" si="241"/>
        <v>0</v>
      </c>
      <c r="AR93" s="911">
        <f t="shared" si="241"/>
        <v>0</v>
      </c>
      <c r="AS93" s="910">
        <f t="shared" si="241"/>
        <v>0</v>
      </c>
      <c r="AT93" s="908">
        <f t="shared" si="241"/>
        <v>0</v>
      </c>
      <c r="AU93" s="908">
        <f t="shared" si="241"/>
        <v>0</v>
      </c>
      <c r="AV93" s="908">
        <f t="shared" si="241"/>
        <v>0</v>
      </c>
      <c r="AW93" s="908">
        <f t="shared" si="241"/>
        <v>0</v>
      </c>
      <c r="AX93" s="908">
        <f t="shared" si="241"/>
        <v>0</v>
      </c>
      <c r="AY93" s="908">
        <f t="shared" si="241"/>
        <v>0</v>
      </c>
      <c r="AZ93" s="908">
        <f t="shared" si="241"/>
        <v>0</v>
      </c>
      <c r="BA93" s="908">
        <f t="shared" si="241"/>
        <v>0</v>
      </c>
      <c r="BB93" s="908">
        <f t="shared" si="241"/>
        <v>0</v>
      </c>
      <c r="BC93" s="908">
        <f t="shared" si="241"/>
        <v>0</v>
      </c>
      <c r="BD93" s="908">
        <f t="shared" si="241"/>
        <v>0</v>
      </c>
      <c r="BE93" s="435">
        <f t="shared" si="241"/>
        <v>0</v>
      </c>
      <c r="BF93" s="214">
        <f t="shared" si="241"/>
        <v>0</v>
      </c>
      <c r="BG93" s="214">
        <f t="shared" si="241"/>
        <v>0</v>
      </c>
      <c r="BH93" s="214">
        <f t="shared" si="241"/>
        <v>0</v>
      </c>
      <c r="BI93" s="214">
        <f t="shared" si="241"/>
        <v>0</v>
      </c>
      <c r="BJ93" s="214">
        <f t="shared" si="241"/>
        <v>0</v>
      </c>
      <c r="BK93" s="214">
        <f t="shared" si="241"/>
        <v>0</v>
      </c>
      <c r="BL93" s="214">
        <f t="shared" si="241"/>
        <v>0</v>
      </c>
      <c r="BM93" s="214">
        <f t="shared" si="241"/>
        <v>0</v>
      </c>
      <c r="BN93" s="214">
        <f t="shared" si="241"/>
        <v>0</v>
      </c>
      <c r="BO93" s="214">
        <f t="shared" si="241"/>
        <v>0</v>
      </c>
      <c r="BP93" s="793">
        <f t="shared" si="241"/>
        <v>0</v>
      </c>
    </row>
    <row r="94" spans="2:68" s="1173" customFormat="1" ht="12" customHeight="1" outlineLevel="1">
      <c r="B94" s="1172"/>
      <c r="C94" s="1173" t="s">
        <v>488</v>
      </c>
      <c r="D94" s="1184">
        <v>0</v>
      </c>
      <c r="E94" s="1175">
        <f t="shared" si="224"/>
        <v>0</v>
      </c>
      <c r="F94" s="1176">
        <f t="shared" si="225"/>
        <v>907495.54501353716</v>
      </c>
      <c r="G94" s="1177">
        <f t="shared" si="226"/>
        <v>907495.54501353716</v>
      </c>
      <c r="H94" s="1178">
        <f t="shared" ref="H94:AM94" si="242">H41</f>
        <v>0</v>
      </c>
      <c r="I94" s="1179">
        <f t="shared" si="242"/>
        <v>0</v>
      </c>
      <c r="J94" s="1179">
        <f t="shared" si="242"/>
        <v>0</v>
      </c>
      <c r="K94" s="1179">
        <f t="shared" si="242"/>
        <v>0</v>
      </c>
      <c r="L94" s="1179">
        <f t="shared" si="242"/>
        <v>0</v>
      </c>
      <c r="M94" s="1179">
        <f t="shared" si="242"/>
        <v>0</v>
      </c>
      <c r="N94" s="1179">
        <f t="shared" si="242"/>
        <v>0</v>
      </c>
      <c r="O94" s="1179">
        <f t="shared" si="242"/>
        <v>0</v>
      </c>
      <c r="P94" s="1179">
        <f t="shared" si="242"/>
        <v>0</v>
      </c>
      <c r="Q94" s="1179">
        <f t="shared" si="242"/>
        <v>0</v>
      </c>
      <c r="R94" s="1179">
        <f t="shared" si="242"/>
        <v>5811.3431368770125</v>
      </c>
      <c r="S94" s="1179">
        <f t="shared" si="242"/>
        <v>14240.998512080385</v>
      </c>
      <c r="T94" s="1180">
        <f t="shared" si="242"/>
        <v>22756.970221135954</v>
      </c>
      <c r="U94" s="1181">
        <f t="shared" si="242"/>
        <v>30924.648398126807</v>
      </c>
      <c r="V94" s="1179">
        <f t="shared" si="242"/>
        <v>39074.021844872266</v>
      </c>
      <c r="W94" s="1179">
        <f t="shared" si="242"/>
        <v>47261.657685302729</v>
      </c>
      <c r="X94" s="1179">
        <f t="shared" si="242"/>
        <v>55400.628895564296</v>
      </c>
      <c r="Y94" s="1179">
        <f t="shared" si="242"/>
        <v>63510.122240879326</v>
      </c>
      <c r="Z94" s="1179">
        <f t="shared" si="242"/>
        <v>71760.633115827484</v>
      </c>
      <c r="AA94" s="1179">
        <f t="shared" si="242"/>
        <v>80023.557917980754</v>
      </c>
      <c r="AB94" s="1179">
        <f t="shared" si="242"/>
        <v>88273.984571231733</v>
      </c>
      <c r="AC94" s="1179">
        <f t="shared" si="242"/>
        <v>96577.453801567259</v>
      </c>
      <c r="AD94" s="1179">
        <f t="shared" si="242"/>
        <v>97055.835271822842</v>
      </c>
      <c r="AE94" s="1179">
        <f t="shared" si="242"/>
        <v>97353.285613242246</v>
      </c>
      <c r="AF94" s="1180">
        <f t="shared" si="242"/>
        <v>97470.40378702624</v>
      </c>
      <c r="AG94" s="1181">
        <f t="shared" si="242"/>
        <v>0</v>
      </c>
      <c r="AH94" s="1179">
        <f t="shared" si="242"/>
        <v>0</v>
      </c>
      <c r="AI94" s="1179">
        <f t="shared" si="242"/>
        <v>0</v>
      </c>
      <c r="AJ94" s="1179">
        <f t="shared" si="242"/>
        <v>0</v>
      </c>
      <c r="AK94" s="1179">
        <f t="shared" si="242"/>
        <v>0</v>
      </c>
      <c r="AL94" s="1179">
        <f t="shared" si="242"/>
        <v>0</v>
      </c>
      <c r="AM94" s="1179">
        <f t="shared" si="242"/>
        <v>0</v>
      </c>
      <c r="AN94" s="1179">
        <f t="shared" ref="AN94:BP94" si="243">AN41</f>
        <v>0</v>
      </c>
      <c r="AO94" s="1179">
        <f t="shared" si="243"/>
        <v>0</v>
      </c>
      <c r="AP94" s="1179">
        <f t="shared" si="243"/>
        <v>0</v>
      </c>
      <c r="AQ94" s="1179">
        <f t="shared" si="243"/>
        <v>0</v>
      </c>
      <c r="AR94" s="1180">
        <f t="shared" si="243"/>
        <v>0</v>
      </c>
      <c r="AS94" s="1181">
        <f t="shared" si="243"/>
        <v>0</v>
      </c>
      <c r="AT94" s="1179">
        <f t="shared" si="243"/>
        <v>0</v>
      </c>
      <c r="AU94" s="1179">
        <f t="shared" si="243"/>
        <v>0</v>
      </c>
      <c r="AV94" s="1179">
        <f t="shared" si="243"/>
        <v>0</v>
      </c>
      <c r="AW94" s="1179">
        <f t="shared" si="243"/>
        <v>0</v>
      </c>
      <c r="AX94" s="1179">
        <f t="shared" si="243"/>
        <v>0</v>
      </c>
      <c r="AY94" s="1179">
        <f t="shared" si="243"/>
        <v>0</v>
      </c>
      <c r="AZ94" s="1179">
        <f t="shared" si="243"/>
        <v>0</v>
      </c>
      <c r="BA94" s="1179">
        <f t="shared" si="243"/>
        <v>0</v>
      </c>
      <c r="BB94" s="1179">
        <f t="shared" si="243"/>
        <v>0</v>
      </c>
      <c r="BC94" s="1179">
        <f t="shared" si="243"/>
        <v>0</v>
      </c>
      <c r="BD94" s="1179">
        <f t="shared" si="243"/>
        <v>0</v>
      </c>
      <c r="BE94" s="1182">
        <f t="shared" si="243"/>
        <v>0</v>
      </c>
      <c r="BF94" s="1176">
        <f t="shared" si="243"/>
        <v>0</v>
      </c>
      <c r="BG94" s="1176">
        <f t="shared" si="243"/>
        <v>0</v>
      </c>
      <c r="BH94" s="1176">
        <f t="shared" si="243"/>
        <v>0</v>
      </c>
      <c r="BI94" s="1176">
        <f t="shared" si="243"/>
        <v>0</v>
      </c>
      <c r="BJ94" s="1176">
        <f t="shared" si="243"/>
        <v>0</v>
      </c>
      <c r="BK94" s="1176">
        <f t="shared" si="243"/>
        <v>0</v>
      </c>
      <c r="BL94" s="1176">
        <f t="shared" si="243"/>
        <v>0</v>
      </c>
      <c r="BM94" s="1176">
        <f t="shared" si="243"/>
        <v>0</v>
      </c>
      <c r="BN94" s="1176">
        <f t="shared" si="243"/>
        <v>0</v>
      </c>
      <c r="BO94" s="1176">
        <f t="shared" si="243"/>
        <v>0</v>
      </c>
      <c r="BP94" s="1183">
        <f t="shared" si="243"/>
        <v>0</v>
      </c>
    </row>
    <row r="95" spans="2:68" ht="12" customHeight="1" outlineLevel="1" thickBot="1">
      <c r="B95" s="218"/>
      <c r="D95" s="410"/>
      <c r="E95" s="216"/>
      <c r="F95" s="217"/>
      <c r="G95" s="409"/>
      <c r="H95" s="845"/>
      <c r="I95" s="217"/>
      <c r="J95" s="217"/>
      <c r="K95" s="217"/>
      <c r="L95" s="217"/>
      <c r="M95" s="217"/>
      <c r="N95" s="217"/>
      <c r="O95" s="217"/>
      <c r="P95" s="217"/>
      <c r="Q95" s="217"/>
      <c r="R95" s="217"/>
      <c r="S95" s="217"/>
      <c r="T95" s="409"/>
      <c r="U95" s="216"/>
      <c r="V95" s="217"/>
      <c r="W95" s="217"/>
      <c r="X95" s="217"/>
      <c r="Y95" s="217"/>
      <c r="Z95" s="217"/>
      <c r="AA95" s="214"/>
      <c r="AB95" s="214"/>
      <c r="AC95" s="214"/>
      <c r="AD95" s="214"/>
      <c r="AE95" s="214"/>
      <c r="AF95" s="408"/>
      <c r="AG95" s="435"/>
      <c r="AH95" s="214"/>
      <c r="AI95" s="214"/>
      <c r="AJ95" s="214"/>
      <c r="AK95" s="214"/>
      <c r="AL95" s="214"/>
      <c r="AM95" s="214"/>
      <c r="AN95" s="214"/>
      <c r="AO95" s="214"/>
      <c r="AP95" s="214"/>
      <c r="AQ95" s="214"/>
      <c r="AR95" s="408"/>
      <c r="AS95" s="435"/>
      <c r="AT95" s="214"/>
      <c r="AU95" s="214"/>
      <c r="AV95" s="214"/>
      <c r="AW95" s="214"/>
      <c r="AX95" s="214"/>
      <c r="AY95" s="214"/>
      <c r="AZ95" s="214"/>
      <c r="BA95" s="214"/>
      <c r="BB95" s="214"/>
      <c r="BC95" s="214"/>
      <c r="BD95" s="214"/>
      <c r="BE95" s="435"/>
      <c r="BF95" s="214"/>
      <c r="BG95" s="214"/>
      <c r="BH95" s="214"/>
      <c r="BI95" s="214"/>
      <c r="BJ95" s="214"/>
      <c r="BK95" s="214"/>
      <c r="BL95" s="214"/>
      <c r="BM95" s="214"/>
      <c r="BN95" s="214"/>
      <c r="BO95" s="214"/>
      <c r="BP95" s="793"/>
    </row>
    <row r="96" spans="2:68" s="244" customFormat="1" ht="12" customHeight="1" thickBot="1">
      <c r="B96" s="219"/>
      <c r="C96" s="245" t="s">
        <v>491</v>
      </c>
      <c r="D96" s="885">
        <f>D69+D76+D87+SUM(D89:D94)</f>
        <v>22912650</v>
      </c>
      <c r="E96" s="886">
        <f t="shared" ref="E96:BP96" si="244">E69+E76+E87+SUM(E89:E94)</f>
        <v>5309435</v>
      </c>
      <c r="F96" s="887">
        <f t="shared" si="244"/>
        <v>18521291.880200539</v>
      </c>
      <c r="G96" s="888">
        <f t="shared" si="244"/>
        <v>23830726.880200539</v>
      </c>
      <c r="H96" s="889">
        <f t="shared" si="244"/>
        <v>5309435</v>
      </c>
      <c r="I96" s="887">
        <f t="shared" si="244"/>
        <v>0</v>
      </c>
      <c r="J96" s="887">
        <f t="shared" si="244"/>
        <v>0</v>
      </c>
      <c r="K96" s="887">
        <f t="shared" si="244"/>
        <v>0</v>
      </c>
      <c r="L96" s="887">
        <f t="shared" si="244"/>
        <v>0</v>
      </c>
      <c r="M96" s="887">
        <f t="shared" si="244"/>
        <v>0</v>
      </c>
      <c r="N96" s="887">
        <f t="shared" si="244"/>
        <v>0</v>
      </c>
      <c r="O96" s="887">
        <f t="shared" si="244"/>
        <v>1249529.642857143</v>
      </c>
      <c r="P96" s="887">
        <f t="shared" si="244"/>
        <v>1249529.642857143</v>
      </c>
      <c r="Q96" s="887">
        <f t="shared" si="244"/>
        <v>1249529.642857143</v>
      </c>
      <c r="R96" s="887">
        <f t="shared" si="244"/>
        <v>1255340.9859940198</v>
      </c>
      <c r="S96" s="887">
        <f t="shared" si="244"/>
        <v>1263770.6413692231</v>
      </c>
      <c r="T96" s="888">
        <f t="shared" si="244"/>
        <v>1272286.6130782787</v>
      </c>
      <c r="U96" s="886">
        <f t="shared" si="244"/>
        <v>1280454.2912552697</v>
      </c>
      <c r="V96" s="887">
        <f t="shared" si="244"/>
        <v>1288603.6647020152</v>
      </c>
      <c r="W96" s="887">
        <f t="shared" si="244"/>
        <v>1296791.3005424456</v>
      </c>
      <c r="X96" s="887">
        <f t="shared" si="244"/>
        <v>1304930.2717527072</v>
      </c>
      <c r="Y96" s="887">
        <f t="shared" si="244"/>
        <v>1334837.9005813554</v>
      </c>
      <c r="Z96" s="887">
        <f t="shared" si="244"/>
        <v>1343088.4114563037</v>
      </c>
      <c r="AA96" s="220">
        <f t="shared" si="244"/>
        <v>1351351.336258457</v>
      </c>
      <c r="AB96" s="220">
        <f t="shared" si="244"/>
        <v>1359601.7629117079</v>
      </c>
      <c r="AC96" s="220">
        <f t="shared" si="244"/>
        <v>129112.16029969226</v>
      </c>
      <c r="AD96" s="220">
        <f t="shared" si="244"/>
        <v>97709.922027372857</v>
      </c>
      <c r="AE96" s="220">
        <f t="shared" si="244"/>
        <v>97353.285613242246</v>
      </c>
      <c r="AF96" s="221">
        <f t="shared" si="244"/>
        <v>97470.40378702624</v>
      </c>
      <c r="AG96" s="890">
        <f t="shared" si="244"/>
        <v>0</v>
      </c>
      <c r="AH96" s="220">
        <f t="shared" si="244"/>
        <v>0</v>
      </c>
      <c r="AI96" s="220">
        <f t="shared" si="244"/>
        <v>0</v>
      </c>
      <c r="AJ96" s="220">
        <f t="shared" si="244"/>
        <v>0</v>
      </c>
      <c r="AK96" s="220">
        <f t="shared" si="244"/>
        <v>0</v>
      </c>
      <c r="AL96" s="220">
        <f t="shared" si="244"/>
        <v>0</v>
      </c>
      <c r="AM96" s="220">
        <f t="shared" si="244"/>
        <v>0</v>
      </c>
      <c r="AN96" s="220">
        <f t="shared" si="244"/>
        <v>0</v>
      </c>
      <c r="AO96" s="220">
        <f t="shared" si="244"/>
        <v>0</v>
      </c>
      <c r="AP96" s="220">
        <f t="shared" si="244"/>
        <v>0</v>
      </c>
      <c r="AQ96" s="220">
        <f t="shared" si="244"/>
        <v>0</v>
      </c>
      <c r="AR96" s="221">
        <f t="shared" si="244"/>
        <v>0</v>
      </c>
      <c r="AS96" s="890">
        <f t="shared" si="244"/>
        <v>0</v>
      </c>
      <c r="AT96" s="220">
        <f t="shared" si="244"/>
        <v>0</v>
      </c>
      <c r="AU96" s="220">
        <f t="shared" si="244"/>
        <v>0</v>
      </c>
      <c r="AV96" s="220">
        <f t="shared" si="244"/>
        <v>0</v>
      </c>
      <c r="AW96" s="220">
        <f t="shared" si="244"/>
        <v>0</v>
      </c>
      <c r="AX96" s="220">
        <f t="shared" si="244"/>
        <v>0</v>
      </c>
      <c r="AY96" s="220">
        <f t="shared" si="244"/>
        <v>0</v>
      </c>
      <c r="AZ96" s="220">
        <f t="shared" si="244"/>
        <v>0</v>
      </c>
      <c r="BA96" s="220">
        <f t="shared" si="244"/>
        <v>0</v>
      </c>
      <c r="BB96" s="220">
        <f t="shared" si="244"/>
        <v>0</v>
      </c>
      <c r="BC96" s="220">
        <f t="shared" si="244"/>
        <v>0</v>
      </c>
      <c r="BD96" s="220">
        <f t="shared" si="244"/>
        <v>0</v>
      </c>
      <c r="BE96" s="890">
        <f t="shared" si="244"/>
        <v>0</v>
      </c>
      <c r="BF96" s="220">
        <f t="shared" si="244"/>
        <v>0</v>
      </c>
      <c r="BG96" s="220">
        <f t="shared" si="244"/>
        <v>0</v>
      </c>
      <c r="BH96" s="220">
        <f t="shared" si="244"/>
        <v>0</v>
      </c>
      <c r="BI96" s="220">
        <f t="shared" si="244"/>
        <v>0</v>
      </c>
      <c r="BJ96" s="220">
        <f t="shared" si="244"/>
        <v>0</v>
      </c>
      <c r="BK96" s="220">
        <f t="shared" si="244"/>
        <v>0</v>
      </c>
      <c r="BL96" s="220">
        <f t="shared" si="244"/>
        <v>0</v>
      </c>
      <c r="BM96" s="220">
        <f t="shared" si="244"/>
        <v>0</v>
      </c>
      <c r="BN96" s="220">
        <f t="shared" si="244"/>
        <v>0</v>
      </c>
      <c r="BO96" s="220">
        <f t="shared" si="244"/>
        <v>0</v>
      </c>
      <c r="BP96" s="221">
        <f t="shared" si="244"/>
        <v>0</v>
      </c>
    </row>
    <row r="97" spans="5:7" ht="12" customHeight="1">
      <c r="E97" s="207"/>
      <c r="F97" s="207"/>
      <c r="G97" s="207"/>
    </row>
    <row r="98" spans="5:7" ht="12" customHeight="1">
      <c r="E98" s="207"/>
      <c r="F98" s="207"/>
      <c r="G98" s="207"/>
    </row>
    <row r="99" spans="5:7" ht="12" customHeight="1">
      <c r="E99" s="207"/>
      <c r="F99" s="207"/>
      <c r="G99" s="207"/>
    </row>
    <row r="100" spans="5:7" ht="12" customHeight="1">
      <c r="E100" s="207"/>
      <c r="F100" s="207"/>
      <c r="G100" s="207"/>
    </row>
    <row r="101" spans="5:7" ht="12" customHeight="1">
      <c r="E101" s="207"/>
      <c r="F101" s="207"/>
      <c r="G101" s="207"/>
    </row>
    <row r="102" spans="5:7" ht="12" customHeight="1">
      <c r="E102" s="207"/>
      <c r="F102" s="207"/>
      <c r="G102" s="207"/>
    </row>
    <row r="103" spans="5:7" ht="12" customHeight="1">
      <c r="E103" s="207"/>
      <c r="F103" s="207"/>
      <c r="G103" s="207"/>
    </row>
    <row r="104" spans="5:7" ht="12" customHeight="1">
      <c r="E104" s="207"/>
      <c r="F104" s="207"/>
      <c r="G104" s="207"/>
    </row>
    <row r="105" spans="5:7" ht="12" customHeight="1">
      <c r="E105" s="207"/>
      <c r="F105" s="207"/>
      <c r="G105" s="207"/>
    </row>
    <row r="106" spans="5:7" ht="12" customHeight="1">
      <c r="E106" s="207"/>
      <c r="F106" s="207"/>
      <c r="G106" s="207"/>
    </row>
    <row r="107" spans="5:7" ht="12" customHeight="1">
      <c r="E107" s="207"/>
      <c r="F107" s="207"/>
      <c r="G107" s="207"/>
    </row>
    <row r="108" spans="5:7" ht="12" customHeight="1">
      <c r="E108" s="207"/>
      <c r="F108" s="207"/>
      <c r="G108" s="207"/>
    </row>
    <row r="109" spans="5:7" ht="12" customHeight="1">
      <c r="E109" s="207"/>
      <c r="F109" s="207"/>
      <c r="G109" s="207"/>
    </row>
    <row r="110" spans="5:7" ht="12" customHeight="1">
      <c r="E110" s="207"/>
      <c r="F110" s="207"/>
      <c r="G110" s="207"/>
    </row>
    <row r="111" spans="5:7" ht="12" customHeight="1">
      <c r="E111" s="207"/>
      <c r="F111" s="207"/>
      <c r="G111" s="207"/>
    </row>
    <row r="112" spans="5:7" ht="12" customHeight="1">
      <c r="E112" s="207"/>
      <c r="F112" s="207"/>
      <c r="G112" s="207"/>
    </row>
    <row r="113" spans="5:7" ht="12" customHeight="1">
      <c r="E113" s="207"/>
      <c r="F113" s="207"/>
      <c r="G113" s="207"/>
    </row>
    <row r="114" spans="5:7" ht="12" customHeight="1">
      <c r="E114" s="207"/>
      <c r="F114" s="207"/>
      <c r="G114" s="207"/>
    </row>
    <row r="115" spans="5:7" ht="12" customHeight="1">
      <c r="E115" s="207"/>
      <c r="F115" s="207"/>
      <c r="G115" s="207"/>
    </row>
    <row r="116" spans="5:7" ht="12" customHeight="1">
      <c r="E116" s="207"/>
      <c r="F116" s="207"/>
      <c r="G116" s="207"/>
    </row>
    <row r="117" spans="5:7" ht="12" customHeight="1">
      <c r="E117" s="207"/>
      <c r="F117" s="207"/>
      <c r="G117" s="207"/>
    </row>
    <row r="118" spans="5:7" ht="12" customHeight="1">
      <c r="E118" s="207"/>
      <c r="F118" s="207"/>
      <c r="G118" s="207"/>
    </row>
    <row r="119" spans="5:7" ht="12" customHeight="1">
      <c r="E119" s="207"/>
      <c r="F119" s="207"/>
      <c r="G119" s="207"/>
    </row>
    <row r="120" spans="5:7" ht="12" customHeight="1">
      <c r="E120" s="207"/>
      <c r="F120" s="207"/>
      <c r="G120" s="207"/>
    </row>
    <row r="121" spans="5:7" ht="12" customHeight="1">
      <c r="E121" s="207"/>
      <c r="F121" s="207"/>
      <c r="G121" s="207"/>
    </row>
    <row r="122" spans="5:7" ht="12" customHeight="1">
      <c r="E122" s="207"/>
      <c r="F122" s="207"/>
      <c r="G122" s="207"/>
    </row>
    <row r="123" spans="5:7" ht="12" customHeight="1">
      <c r="E123" s="207"/>
      <c r="F123" s="207"/>
      <c r="G123" s="207"/>
    </row>
    <row r="124" spans="5:7" ht="12" customHeight="1">
      <c r="E124" s="207"/>
      <c r="F124" s="207"/>
      <c r="G124" s="207"/>
    </row>
    <row r="125" spans="5:7" ht="12" customHeight="1">
      <c r="E125" s="207"/>
      <c r="F125" s="207"/>
      <c r="G125" s="207"/>
    </row>
    <row r="126" spans="5:7" ht="12" customHeight="1">
      <c r="E126" s="207"/>
      <c r="F126" s="207"/>
      <c r="G126" s="207"/>
    </row>
    <row r="127" spans="5:7" ht="12" customHeight="1">
      <c r="E127" s="207"/>
      <c r="F127" s="207"/>
      <c r="G127" s="207"/>
    </row>
    <row r="128" spans="5:7" ht="12" customHeight="1">
      <c r="E128" s="207"/>
      <c r="F128" s="207"/>
      <c r="G128" s="207"/>
    </row>
    <row r="129" spans="5:7" ht="12" customHeight="1">
      <c r="E129" s="207"/>
      <c r="F129" s="207"/>
      <c r="G129" s="207"/>
    </row>
    <row r="130" spans="5:7" ht="12" customHeight="1">
      <c r="E130" s="207"/>
      <c r="F130" s="207"/>
      <c r="G130" s="207"/>
    </row>
    <row r="131" spans="5:7" ht="12" customHeight="1">
      <c r="E131" s="207"/>
      <c r="F131" s="207"/>
      <c r="G131" s="207"/>
    </row>
    <row r="132" spans="5:7" ht="12" customHeight="1">
      <c r="E132" s="207"/>
      <c r="F132" s="207"/>
      <c r="G132" s="207"/>
    </row>
    <row r="133" spans="5:7" ht="12" customHeight="1">
      <c r="E133" s="207"/>
      <c r="F133" s="207"/>
      <c r="G133" s="207"/>
    </row>
    <row r="134" spans="5:7" ht="12" customHeight="1">
      <c r="E134" s="207"/>
      <c r="F134" s="207"/>
      <c r="G134" s="207"/>
    </row>
    <row r="135" spans="5:7" ht="12" customHeight="1">
      <c r="E135" s="207"/>
      <c r="F135" s="207"/>
      <c r="G135" s="207"/>
    </row>
    <row r="136" spans="5:7" ht="12" customHeight="1">
      <c r="E136" s="207"/>
      <c r="F136" s="207"/>
      <c r="G136" s="207"/>
    </row>
    <row r="137" spans="5:7" ht="12" customHeight="1">
      <c r="E137" s="207"/>
      <c r="F137" s="207"/>
      <c r="G137" s="207"/>
    </row>
    <row r="138" spans="5:7" ht="12" customHeight="1">
      <c r="E138" s="207"/>
      <c r="F138" s="207"/>
      <c r="G138" s="207"/>
    </row>
    <row r="139" spans="5:7" ht="12" customHeight="1">
      <c r="E139" s="207"/>
      <c r="F139" s="207"/>
      <c r="G139" s="207"/>
    </row>
    <row r="140" spans="5:7" ht="12" customHeight="1">
      <c r="E140" s="207"/>
      <c r="F140" s="207"/>
      <c r="G140" s="207"/>
    </row>
    <row r="141" spans="5:7" ht="12" customHeight="1">
      <c r="E141" s="207"/>
      <c r="F141" s="207"/>
      <c r="G141" s="207"/>
    </row>
    <row r="142" spans="5:7" ht="12" customHeight="1">
      <c r="E142" s="207"/>
      <c r="F142" s="207"/>
      <c r="G142" s="207"/>
    </row>
    <row r="143" spans="5:7" ht="12" customHeight="1">
      <c r="E143" s="207"/>
      <c r="F143" s="207"/>
      <c r="G143" s="207"/>
    </row>
    <row r="144" spans="5:7" ht="12" customHeight="1">
      <c r="E144" s="207"/>
      <c r="F144" s="207"/>
      <c r="G144" s="207"/>
    </row>
    <row r="145" spans="5:7" ht="12" customHeight="1">
      <c r="E145" s="207"/>
      <c r="F145" s="207"/>
      <c r="G145" s="207"/>
    </row>
    <row r="146" spans="5:7" ht="12" customHeight="1">
      <c r="E146" s="207"/>
      <c r="F146" s="207"/>
      <c r="G146" s="207"/>
    </row>
    <row r="147" spans="5:7" ht="12" customHeight="1">
      <c r="E147" s="207"/>
      <c r="F147" s="207"/>
      <c r="G147" s="207"/>
    </row>
    <row r="148" spans="5:7" ht="12" customHeight="1">
      <c r="E148" s="207"/>
      <c r="F148" s="207"/>
      <c r="G148" s="207"/>
    </row>
    <row r="149" spans="5:7" ht="12" customHeight="1">
      <c r="E149" s="207"/>
      <c r="F149" s="207"/>
      <c r="G149" s="207"/>
    </row>
    <row r="150" spans="5:7" ht="12" customHeight="1">
      <c r="E150" s="207"/>
      <c r="F150" s="207"/>
      <c r="G150" s="207"/>
    </row>
    <row r="151" spans="5:7" ht="12" customHeight="1">
      <c r="E151" s="207"/>
      <c r="F151" s="207"/>
      <c r="G151" s="207"/>
    </row>
    <row r="152" spans="5:7" ht="12" customHeight="1">
      <c r="E152" s="207"/>
      <c r="F152" s="207"/>
      <c r="G152" s="207"/>
    </row>
    <row r="153" spans="5:7" ht="12" customHeight="1">
      <c r="E153" s="207"/>
      <c r="F153" s="207"/>
      <c r="G153" s="207"/>
    </row>
    <row r="154" spans="5:7" ht="12" customHeight="1">
      <c r="E154" s="207"/>
      <c r="F154" s="207"/>
      <c r="G154" s="207"/>
    </row>
    <row r="155" spans="5:7" ht="12" customHeight="1">
      <c r="E155" s="207"/>
      <c r="F155" s="207"/>
      <c r="G155" s="207"/>
    </row>
    <row r="156" spans="5:7" ht="12" customHeight="1">
      <c r="E156" s="207"/>
      <c r="F156" s="207"/>
      <c r="G156" s="207"/>
    </row>
    <row r="157" spans="5:7" ht="12" customHeight="1">
      <c r="E157" s="207"/>
      <c r="F157" s="207"/>
      <c r="G157" s="207"/>
    </row>
    <row r="158" spans="5:7" ht="12" customHeight="1">
      <c r="E158" s="207"/>
      <c r="F158" s="207"/>
      <c r="G158" s="207"/>
    </row>
    <row r="159" spans="5:7" ht="12" customHeight="1">
      <c r="E159" s="207"/>
      <c r="F159" s="207"/>
      <c r="G159" s="207"/>
    </row>
    <row r="160" spans="5:7" ht="12" customHeight="1">
      <c r="E160" s="207"/>
      <c r="F160" s="207"/>
      <c r="G160" s="207"/>
    </row>
    <row r="161" spans="5:7" ht="12" customHeight="1">
      <c r="E161" s="207"/>
      <c r="F161" s="207"/>
      <c r="G161" s="207"/>
    </row>
    <row r="162" spans="5:7" ht="12" customHeight="1">
      <c r="E162" s="207"/>
      <c r="F162" s="207"/>
      <c r="G162" s="207"/>
    </row>
    <row r="163" spans="5:7" ht="12" customHeight="1">
      <c r="E163" s="207"/>
      <c r="F163" s="207"/>
      <c r="G163" s="207"/>
    </row>
    <row r="164" spans="5:7" ht="12" customHeight="1">
      <c r="E164" s="207"/>
      <c r="F164" s="207"/>
      <c r="G164" s="207"/>
    </row>
    <row r="165" spans="5:7" ht="12" customHeight="1">
      <c r="E165" s="207"/>
      <c r="F165" s="207"/>
      <c r="G165" s="207"/>
    </row>
    <row r="166" spans="5:7" ht="12" customHeight="1">
      <c r="E166" s="207"/>
      <c r="F166" s="207"/>
      <c r="G166" s="207"/>
    </row>
    <row r="167" spans="5:7" ht="12" customHeight="1">
      <c r="E167" s="207"/>
      <c r="F167" s="207"/>
      <c r="G167" s="207"/>
    </row>
    <row r="168" spans="5:7" ht="12" customHeight="1">
      <c r="E168" s="207"/>
      <c r="F168" s="207"/>
      <c r="G168" s="207"/>
    </row>
    <row r="169" spans="5:7" ht="12" customHeight="1">
      <c r="E169" s="207"/>
      <c r="F169" s="207"/>
      <c r="G169" s="207"/>
    </row>
    <row r="170" spans="5:7" ht="12" customHeight="1">
      <c r="E170" s="207"/>
      <c r="F170" s="207"/>
      <c r="G170" s="207"/>
    </row>
    <row r="171" spans="5:7" ht="12" customHeight="1">
      <c r="E171" s="207"/>
      <c r="F171" s="207"/>
      <c r="G171" s="207"/>
    </row>
    <row r="172" spans="5:7" ht="12" customHeight="1">
      <c r="E172" s="207"/>
      <c r="F172" s="207"/>
      <c r="G172" s="207"/>
    </row>
    <row r="173" spans="5:7" ht="12" customHeight="1">
      <c r="E173" s="207"/>
      <c r="F173" s="207"/>
      <c r="G173" s="207"/>
    </row>
    <row r="174" spans="5:7" ht="12" customHeight="1">
      <c r="E174" s="207"/>
      <c r="F174" s="207"/>
      <c r="G174" s="207"/>
    </row>
    <row r="175" spans="5:7" ht="12" customHeight="1">
      <c r="E175" s="207"/>
      <c r="F175" s="207"/>
      <c r="G175" s="207"/>
    </row>
    <row r="176" spans="5:7" ht="12" customHeight="1">
      <c r="E176" s="207"/>
      <c r="F176" s="207"/>
      <c r="G176" s="207"/>
    </row>
    <row r="177" spans="5:7" ht="12" customHeight="1">
      <c r="E177" s="207"/>
      <c r="F177" s="207"/>
      <c r="G177" s="207"/>
    </row>
    <row r="178" spans="5:7" ht="12" customHeight="1">
      <c r="E178" s="207"/>
      <c r="F178" s="207"/>
      <c r="G178" s="207"/>
    </row>
    <row r="179" spans="5:7" ht="12" customHeight="1">
      <c r="E179" s="207"/>
      <c r="F179" s="207"/>
      <c r="G179" s="207"/>
    </row>
    <row r="180" spans="5:7" ht="12" customHeight="1">
      <c r="E180" s="207"/>
      <c r="F180" s="207"/>
      <c r="G180" s="207"/>
    </row>
    <row r="181" spans="5:7" ht="12" customHeight="1">
      <c r="E181" s="207"/>
      <c r="F181" s="207"/>
      <c r="G181" s="207"/>
    </row>
    <row r="182" spans="5:7" ht="12" customHeight="1">
      <c r="E182" s="207"/>
      <c r="F182" s="207"/>
      <c r="G182" s="207"/>
    </row>
    <row r="183" spans="5:7" ht="12" customHeight="1">
      <c r="E183" s="207"/>
      <c r="F183" s="207"/>
      <c r="G183" s="207"/>
    </row>
    <row r="184" spans="5:7" ht="12" customHeight="1">
      <c r="E184" s="207"/>
      <c r="F184" s="207"/>
      <c r="G184" s="207"/>
    </row>
    <row r="185" spans="5:7" ht="12" customHeight="1">
      <c r="E185" s="207"/>
      <c r="F185" s="207"/>
      <c r="G185" s="207"/>
    </row>
    <row r="186" spans="5:7" ht="12" customHeight="1">
      <c r="E186" s="207"/>
      <c r="F186" s="207"/>
      <c r="G186" s="207"/>
    </row>
    <row r="187" spans="5:7" ht="12" customHeight="1">
      <c r="E187" s="207"/>
      <c r="F187" s="207"/>
      <c r="G187" s="207"/>
    </row>
    <row r="188" spans="5:7" ht="12" customHeight="1">
      <c r="E188" s="207"/>
      <c r="F188" s="207"/>
      <c r="G188" s="207"/>
    </row>
    <row r="189" spans="5:7" ht="12" customHeight="1">
      <c r="E189" s="207"/>
      <c r="F189" s="207"/>
      <c r="G189" s="207"/>
    </row>
    <row r="190" spans="5:7" ht="12" customHeight="1">
      <c r="E190" s="207"/>
      <c r="F190" s="207"/>
      <c r="G190" s="207"/>
    </row>
    <row r="191" spans="5:7" ht="12" customHeight="1">
      <c r="E191" s="207"/>
      <c r="F191" s="207"/>
      <c r="G191" s="207"/>
    </row>
    <row r="192" spans="5:7" ht="12" customHeight="1">
      <c r="E192" s="207"/>
      <c r="F192" s="207"/>
      <c r="G192" s="207"/>
    </row>
    <row r="193" spans="5:7" ht="12" customHeight="1">
      <c r="E193" s="207"/>
      <c r="F193" s="207"/>
      <c r="G193" s="207"/>
    </row>
    <row r="194" spans="5:7" ht="12" customHeight="1">
      <c r="E194" s="207"/>
      <c r="F194" s="207"/>
      <c r="G194" s="207"/>
    </row>
    <row r="195" spans="5:7" ht="12" customHeight="1">
      <c r="E195" s="207"/>
      <c r="F195" s="207"/>
      <c r="G195" s="207"/>
    </row>
    <row r="196" spans="5:7" ht="12" customHeight="1">
      <c r="E196" s="207"/>
      <c r="F196" s="207"/>
      <c r="G196" s="207"/>
    </row>
    <row r="197" spans="5:7" ht="12" customHeight="1">
      <c r="E197" s="207"/>
      <c r="F197" s="207"/>
      <c r="G197" s="207"/>
    </row>
    <row r="198" spans="5:7" ht="12" customHeight="1">
      <c r="E198" s="207"/>
      <c r="F198" s="207"/>
      <c r="G198" s="207"/>
    </row>
    <row r="199" spans="5:7" ht="12" customHeight="1">
      <c r="E199" s="207"/>
      <c r="F199" s="207"/>
      <c r="G199" s="207"/>
    </row>
    <row r="200" spans="5:7" ht="12" customHeight="1">
      <c r="E200" s="207"/>
      <c r="F200" s="207"/>
      <c r="G200" s="207"/>
    </row>
    <row r="201" spans="5:7" ht="12" customHeight="1">
      <c r="E201" s="207"/>
      <c r="F201" s="207"/>
      <c r="G201" s="207"/>
    </row>
    <row r="202" spans="5:7" ht="12" customHeight="1">
      <c r="E202" s="207"/>
      <c r="F202" s="207"/>
      <c r="G202" s="207"/>
    </row>
    <row r="203" spans="5:7" ht="12" customHeight="1">
      <c r="E203" s="207"/>
      <c r="F203" s="207"/>
      <c r="G203" s="207"/>
    </row>
    <row r="204" spans="5:7" ht="12" customHeight="1">
      <c r="E204" s="207"/>
      <c r="F204" s="207"/>
      <c r="G204" s="207"/>
    </row>
    <row r="205" spans="5:7" ht="12" customHeight="1">
      <c r="E205" s="207"/>
      <c r="F205" s="207"/>
      <c r="G205" s="207"/>
    </row>
    <row r="206" spans="5:7" ht="12" customHeight="1">
      <c r="E206" s="207"/>
      <c r="F206" s="207"/>
      <c r="G206" s="207"/>
    </row>
    <row r="207" spans="5:7" ht="12" customHeight="1">
      <c r="E207" s="207"/>
      <c r="F207" s="207"/>
      <c r="G207" s="207"/>
    </row>
    <row r="208" spans="5:7" ht="12" customHeight="1">
      <c r="E208" s="207"/>
      <c r="F208" s="207"/>
      <c r="G208" s="207"/>
    </row>
    <row r="209" spans="5:7" ht="12" customHeight="1">
      <c r="E209" s="207"/>
      <c r="F209" s="207"/>
      <c r="G209" s="207"/>
    </row>
    <row r="210" spans="5:7" ht="12" customHeight="1">
      <c r="E210" s="207"/>
      <c r="F210" s="207"/>
      <c r="G210" s="207"/>
    </row>
    <row r="211" spans="5:7" ht="12" customHeight="1">
      <c r="E211" s="207"/>
      <c r="F211" s="207"/>
      <c r="G211" s="207"/>
    </row>
    <row r="212" spans="5:7" ht="12" customHeight="1">
      <c r="E212" s="207"/>
      <c r="F212" s="207"/>
      <c r="G212" s="207"/>
    </row>
    <row r="213" spans="5:7" ht="12" customHeight="1">
      <c r="E213" s="207"/>
      <c r="F213" s="207"/>
      <c r="G213" s="207"/>
    </row>
    <row r="214" spans="5:7" ht="12" customHeight="1">
      <c r="E214" s="207"/>
      <c r="F214" s="207"/>
      <c r="G214" s="207"/>
    </row>
    <row r="215" spans="5:7" ht="12" customHeight="1">
      <c r="E215" s="207"/>
      <c r="F215" s="207"/>
      <c r="G215" s="207"/>
    </row>
    <row r="216" spans="5:7" ht="12" customHeight="1">
      <c r="E216" s="207"/>
      <c r="F216" s="207"/>
      <c r="G216" s="207"/>
    </row>
    <row r="217" spans="5:7" ht="12" customHeight="1">
      <c r="E217" s="207"/>
      <c r="F217" s="207"/>
      <c r="G217" s="207"/>
    </row>
    <row r="218" spans="5:7" ht="12" customHeight="1">
      <c r="E218" s="207"/>
      <c r="F218" s="207"/>
      <c r="G218" s="207"/>
    </row>
    <row r="219" spans="5:7" ht="12" customHeight="1">
      <c r="E219" s="207"/>
      <c r="F219" s="207"/>
      <c r="G219" s="207"/>
    </row>
    <row r="220" spans="5:7" ht="12" customHeight="1">
      <c r="E220" s="207"/>
      <c r="F220" s="207"/>
      <c r="G220" s="207"/>
    </row>
    <row r="221" spans="5:7" ht="12" customHeight="1">
      <c r="E221" s="207"/>
      <c r="F221" s="207"/>
      <c r="G221" s="207"/>
    </row>
    <row r="222" spans="5:7" ht="12" customHeight="1">
      <c r="E222" s="207"/>
      <c r="F222" s="207"/>
      <c r="G222" s="207"/>
    </row>
    <row r="223" spans="5:7" ht="12" customHeight="1">
      <c r="E223" s="207"/>
      <c r="F223" s="207"/>
      <c r="G223" s="207"/>
    </row>
    <row r="224" spans="5:7" ht="12" customHeight="1">
      <c r="E224" s="207"/>
      <c r="F224" s="207"/>
      <c r="G224" s="207"/>
    </row>
    <row r="225" spans="5:7" ht="12" customHeight="1">
      <c r="E225" s="207"/>
      <c r="F225" s="207"/>
      <c r="G225" s="207"/>
    </row>
    <row r="226" spans="5:7" ht="12" customHeight="1">
      <c r="E226" s="207"/>
      <c r="F226" s="207"/>
      <c r="G226" s="207"/>
    </row>
    <row r="227" spans="5:7" ht="12" customHeight="1">
      <c r="E227" s="207"/>
      <c r="F227" s="207"/>
      <c r="G227" s="207"/>
    </row>
    <row r="228" spans="5:7" ht="12" customHeight="1">
      <c r="E228" s="207"/>
      <c r="F228" s="207"/>
      <c r="G228" s="207"/>
    </row>
    <row r="229" spans="5:7" ht="12" customHeight="1">
      <c r="E229" s="207"/>
      <c r="F229" s="207"/>
      <c r="G229" s="207"/>
    </row>
    <row r="230" spans="5:7" ht="12" customHeight="1">
      <c r="E230" s="207"/>
      <c r="F230" s="207"/>
      <c r="G230" s="207"/>
    </row>
    <row r="231" spans="5:7" ht="12" customHeight="1">
      <c r="E231" s="207"/>
      <c r="F231" s="207"/>
      <c r="G231" s="207"/>
    </row>
    <row r="232" spans="5:7" ht="12" customHeight="1">
      <c r="E232" s="207"/>
      <c r="F232" s="207"/>
      <c r="G232" s="207"/>
    </row>
    <row r="233" spans="5:7" ht="12" customHeight="1">
      <c r="E233" s="207"/>
      <c r="F233" s="207"/>
      <c r="G233" s="207"/>
    </row>
    <row r="234" spans="5:7" ht="12" customHeight="1">
      <c r="E234" s="207"/>
      <c r="F234" s="207"/>
      <c r="G234" s="207"/>
    </row>
    <row r="235" spans="5:7" ht="12" customHeight="1">
      <c r="E235" s="207"/>
      <c r="F235" s="207"/>
      <c r="G235" s="207"/>
    </row>
    <row r="236" spans="5:7" ht="12" customHeight="1">
      <c r="E236" s="207"/>
      <c r="F236" s="207"/>
      <c r="G236" s="207"/>
    </row>
    <row r="237" spans="5:7" ht="12" customHeight="1">
      <c r="E237" s="207"/>
      <c r="F237" s="207"/>
      <c r="G237" s="207"/>
    </row>
    <row r="238" spans="5:7" ht="12" customHeight="1">
      <c r="E238" s="207"/>
      <c r="F238" s="207"/>
      <c r="G238" s="207"/>
    </row>
    <row r="239" spans="5:7" ht="12" customHeight="1">
      <c r="E239" s="207"/>
      <c r="F239" s="207"/>
      <c r="G239" s="207"/>
    </row>
    <row r="240" spans="5:7" ht="12" customHeight="1">
      <c r="E240" s="207"/>
      <c r="F240" s="207"/>
      <c r="G240" s="207"/>
    </row>
    <row r="241" spans="5:7" ht="12" customHeight="1">
      <c r="E241" s="207"/>
      <c r="F241" s="207"/>
      <c r="G241" s="207"/>
    </row>
    <row r="242" spans="5:7" ht="12" customHeight="1">
      <c r="E242" s="207"/>
      <c r="F242" s="207"/>
      <c r="G242" s="207"/>
    </row>
    <row r="243" spans="5:7" ht="12" customHeight="1">
      <c r="E243" s="207"/>
      <c r="F243" s="207"/>
      <c r="G243" s="207"/>
    </row>
    <row r="244" spans="5:7" ht="12" customHeight="1">
      <c r="E244" s="207"/>
      <c r="F244" s="207"/>
      <c r="G244" s="207"/>
    </row>
    <row r="245" spans="5:7" ht="12" customHeight="1">
      <c r="E245" s="207"/>
      <c r="F245" s="207"/>
      <c r="G245" s="207"/>
    </row>
    <row r="246" spans="5:7" ht="12" customHeight="1">
      <c r="E246" s="207"/>
      <c r="F246" s="207"/>
      <c r="G246" s="207"/>
    </row>
    <row r="247" spans="5:7" ht="12" customHeight="1">
      <c r="E247" s="207"/>
      <c r="F247" s="207"/>
      <c r="G247" s="207"/>
    </row>
    <row r="248" spans="5:7" ht="12" customHeight="1">
      <c r="E248" s="207"/>
      <c r="F248" s="207"/>
      <c r="G248" s="207"/>
    </row>
    <row r="249" spans="5:7" ht="12" customHeight="1">
      <c r="E249" s="207"/>
      <c r="F249" s="207"/>
      <c r="G249" s="207"/>
    </row>
    <row r="250" spans="5:7" ht="12" customHeight="1">
      <c r="E250" s="207"/>
      <c r="F250" s="207"/>
      <c r="G250" s="207"/>
    </row>
    <row r="251" spans="5:7" ht="12" customHeight="1">
      <c r="E251" s="207"/>
      <c r="F251" s="207"/>
      <c r="G251" s="207"/>
    </row>
    <row r="252" spans="5:7" ht="12" customHeight="1">
      <c r="E252" s="207"/>
      <c r="F252" s="207"/>
      <c r="G252" s="207"/>
    </row>
    <row r="253" spans="5:7" ht="12" customHeight="1">
      <c r="E253" s="207"/>
      <c r="F253" s="207"/>
      <c r="G253" s="207"/>
    </row>
    <row r="254" spans="5:7" ht="12" customHeight="1">
      <c r="E254" s="207"/>
      <c r="F254" s="207"/>
      <c r="G254" s="207"/>
    </row>
    <row r="255" spans="5:7" ht="12" customHeight="1">
      <c r="E255" s="207"/>
      <c r="F255" s="207"/>
      <c r="G255" s="207"/>
    </row>
    <row r="256" spans="5:7" ht="12" customHeight="1">
      <c r="E256" s="207"/>
      <c r="F256" s="207"/>
      <c r="G256" s="207"/>
    </row>
    <row r="257" spans="5:7" ht="12" customHeight="1">
      <c r="E257" s="207"/>
      <c r="F257" s="207"/>
      <c r="G257" s="207"/>
    </row>
    <row r="258" spans="5:7" ht="12" customHeight="1">
      <c r="E258" s="207"/>
      <c r="F258" s="207"/>
      <c r="G258" s="207"/>
    </row>
    <row r="259" spans="5:7" ht="12" customHeight="1">
      <c r="E259" s="207"/>
      <c r="F259" s="207"/>
      <c r="G259" s="207"/>
    </row>
    <row r="260" spans="5:7" ht="12" customHeight="1">
      <c r="E260" s="207"/>
      <c r="F260" s="207"/>
      <c r="G260" s="207"/>
    </row>
    <row r="261" spans="5:7" ht="12" customHeight="1">
      <c r="E261" s="207"/>
      <c r="F261" s="207"/>
      <c r="G261" s="207"/>
    </row>
    <row r="262" spans="5:7" ht="12" customHeight="1">
      <c r="E262" s="207"/>
      <c r="F262" s="207"/>
      <c r="G262" s="207"/>
    </row>
    <row r="263" spans="5:7" ht="12" customHeight="1">
      <c r="E263" s="207"/>
      <c r="F263" s="207"/>
      <c r="G263" s="207"/>
    </row>
    <row r="264" spans="5:7" ht="12" customHeight="1">
      <c r="E264" s="207"/>
      <c r="F264" s="207"/>
      <c r="G264" s="207"/>
    </row>
    <row r="265" spans="5:7" ht="12" customHeight="1">
      <c r="E265" s="207"/>
      <c r="F265" s="207"/>
      <c r="G265" s="207"/>
    </row>
    <row r="266" spans="5:7" ht="12" customHeight="1">
      <c r="E266" s="207"/>
      <c r="F266" s="207"/>
      <c r="G266" s="207"/>
    </row>
    <row r="267" spans="5:7" ht="12" customHeight="1">
      <c r="E267" s="207"/>
      <c r="F267" s="207"/>
      <c r="G267" s="207"/>
    </row>
    <row r="268" spans="5:7" ht="12" customHeight="1">
      <c r="E268" s="207"/>
      <c r="F268" s="207"/>
      <c r="G268" s="207"/>
    </row>
    <row r="269" spans="5:7" ht="12" customHeight="1">
      <c r="E269" s="207"/>
      <c r="F269" s="207"/>
      <c r="G269" s="207"/>
    </row>
    <row r="270" spans="5:7" ht="12" customHeight="1">
      <c r="E270" s="207"/>
      <c r="F270" s="207"/>
      <c r="G270" s="207"/>
    </row>
    <row r="271" spans="5:7" ht="12" customHeight="1">
      <c r="E271" s="207"/>
      <c r="F271" s="207"/>
      <c r="G271" s="207"/>
    </row>
    <row r="272" spans="5:7" ht="12" customHeight="1">
      <c r="E272" s="207"/>
      <c r="F272" s="207"/>
      <c r="G272" s="207"/>
    </row>
    <row r="273" spans="5:7" ht="12" customHeight="1">
      <c r="E273" s="207"/>
      <c r="F273" s="207"/>
      <c r="G273" s="207"/>
    </row>
    <row r="274" spans="5:7" ht="12" customHeight="1">
      <c r="E274" s="207"/>
      <c r="F274" s="207"/>
      <c r="G274" s="207"/>
    </row>
    <row r="275" spans="5:7" ht="12" customHeight="1">
      <c r="E275" s="207"/>
      <c r="F275" s="207"/>
      <c r="G275" s="207"/>
    </row>
    <row r="276" spans="5:7" ht="12" customHeight="1">
      <c r="E276" s="207"/>
      <c r="F276" s="207"/>
      <c r="G276" s="207"/>
    </row>
    <row r="277" spans="5:7" ht="12" customHeight="1">
      <c r="E277" s="207"/>
      <c r="F277" s="207"/>
      <c r="G277" s="207"/>
    </row>
    <row r="278" spans="5:7" ht="12" customHeight="1">
      <c r="E278" s="207"/>
      <c r="F278" s="207"/>
      <c r="G278" s="207"/>
    </row>
    <row r="279" spans="5:7" ht="12" customHeight="1">
      <c r="E279" s="207"/>
      <c r="F279" s="207"/>
      <c r="G279" s="207"/>
    </row>
    <row r="280" spans="5:7" ht="12" customHeight="1">
      <c r="E280" s="207"/>
      <c r="F280" s="207"/>
      <c r="G280" s="207"/>
    </row>
    <row r="281" spans="5:7" ht="12" customHeight="1">
      <c r="E281" s="207"/>
      <c r="F281" s="207"/>
      <c r="G281" s="207"/>
    </row>
    <row r="282" spans="5:7" ht="12" customHeight="1">
      <c r="E282" s="207"/>
      <c r="F282" s="207"/>
      <c r="G282" s="207"/>
    </row>
    <row r="283" spans="5:7" ht="12" customHeight="1">
      <c r="E283" s="207"/>
      <c r="F283" s="207"/>
      <c r="G283" s="207"/>
    </row>
    <row r="284" spans="5:7" ht="12" customHeight="1">
      <c r="E284" s="207"/>
      <c r="F284" s="207"/>
      <c r="G284" s="207"/>
    </row>
    <row r="285" spans="5:7" ht="12" customHeight="1">
      <c r="E285" s="207"/>
      <c r="F285" s="207"/>
      <c r="G285" s="207"/>
    </row>
    <row r="286" spans="5:7" ht="12" customHeight="1">
      <c r="E286" s="207"/>
      <c r="F286" s="207"/>
      <c r="G286" s="207"/>
    </row>
    <row r="287" spans="5:7" ht="12" customHeight="1">
      <c r="E287" s="207"/>
      <c r="F287" s="207"/>
      <c r="G287" s="207"/>
    </row>
    <row r="288" spans="5:7" ht="12" customHeight="1">
      <c r="E288" s="207"/>
      <c r="F288" s="207"/>
      <c r="G288" s="207"/>
    </row>
    <row r="289" spans="5:7" ht="12" customHeight="1">
      <c r="E289" s="207"/>
      <c r="F289" s="207"/>
      <c r="G289" s="207"/>
    </row>
    <row r="290" spans="5:7" ht="12" customHeight="1">
      <c r="E290" s="207"/>
      <c r="F290" s="207"/>
      <c r="G290" s="207"/>
    </row>
    <row r="291" spans="5:7" ht="12" customHeight="1">
      <c r="E291" s="207"/>
      <c r="F291" s="207"/>
      <c r="G291" s="207"/>
    </row>
    <row r="292" spans="5:7" ht="12" customHeight="1">
      <c r="E292" s="207"/>
      <c r="F292" s="207"/>
      <c r="G292" s="207"/>
    </row>
    <row r="293" spans="5:7" ht="12" customHeight="1">
      <c r="E293" s="207"/>
      <c r="F293" s="207"/>
      <c r="G293" s="207"/>
    </row>
    <row r="294" spans="5:7" ht="12" customHeight="1">
      <c r="E294" s="207"/>
      <c r="F294" s="207"/>
      <c r="G294" s="207"/>
    </row>
    <row r="295" spans="5:7" ht="12" customHeight="1">
      <c r="E295" s="207"/>
      <c r="F295" s="207"/>
      <c r="G295" s="207"/>
    </row>
    <row r="296" spans="5:7" ht="12" customHeight="1">
      <c r="E296" s="207"/>
      <c r="F296" s="207"/>
      <c r="G296" s="207"/>
    </row>
    <row r="297" spans="5:7" ht="12" customHeight="1">
      <c r="E297" s="207"/>
      <c r="F297" s="207"/>
      <c r="G297" s="207"/>
    </row>
    <row r="298" spans="5:7" ht="12" customHeight="1">
      <c r="E298" s="207"/>
      <c r="F298" s="207"/>
      <c r="G298" s="207"/>
    </row>
    <row r="299" spans="5:7" ht="12" customHeight="1">
      <c r="E299" s="207"/>
      <c r="F299" s="207"/>
      <c r="G299" s="207"/>
    </row>
    <row r="300" spans="5:7" ht="12" customHeight="1">
      <c r="E300" s="207"/>
      <c r="F300" s="207"/>
      <c r="G300" s="207"/>
    </row>
    <row r="301" spans="5:7" ht="12" customHeight="1">
      <c r="E301" s="207"/>
      <c r="F301" s="207"/>
      <c r="G301" s="207"/>
    </row>
    <row r="302" spans="5:7" ht="12" customHeight="1">
      <c r="E302" s="207"/>
      <c r="F302" s="207"/>
      <c r="G302" s="207"/>
    </row>
    <row r="303" spans="5:7" ht="12" customHeight="1">
      <c r="E303" s="207"/>
      <c r="F303" s="207"/>
      <c r="G303" s="207"/>
    </row>
    <row r="304" spans="5:7" ht="12" customHeight="1">
      <c r="E304" s="207"/>
      <c r="F304" s="207"/>
      <c r="G304" s="207"/>
    </row>
    <row r="305" spans="5:7" ht="12" customHeight="1">
      <c r="E305" s="207"/>
      <c r="F305" s="207"/>
      <c r="G305" s="207"/>
    </row>
    <row r="306" spans="5:7" ht="12" customHeight="1">
      <c r="E306" s="207"/>
      <c r="F306" s="207"/>
      <c r="G306" s="207"/>
    </row>
    <row r="307" spans="5:7" ht="12" customHeight="1">
      <c r="E307" s="207"/>
      <c r="F307" s="207"/>
      <c r="G307" s="207"/>
    </row>
    <row r="308" spans="5:7" ht="12" customHeight="1">
      <c r="E308" s="207"/>
      <c r="F308" s="207"/>
      <c r="G308" s="207"/>
    </row>
    <row r="309" spans="5:7" ht="12" customHeight="1">
      <c r="E309" s="207"/>
      <c r="F309" s="207"/>
      <c r="G309" s="207"/>
    </row>
    <row r="310" spans="5:7" ht="12" customHeight="1">
      <c r="E310" s="207"/>
      <c r="F310" s="207"/>
      <c r="G310" s="207"/>
    </row>
    <row r="311" spans="5:7" ht="12" customHeight="1">
      <c r="E311" s="207"/>
      <c r="F311" s="207"/>
      <c r="G311" s="207"/>
    </row>
    <row r="312" spans="5:7" ht="12" customHeight="1">
      <c r="E312" s="207"/>
      <c r="F312" s="207"/>
      <c r="G312" s="207"/>
    </row>
    <row r="313" spans="5:7" ht="12" customHeight="1">
      <c r="E313" s="207"/>
      <c r="F313" s="207"/>
      <c r="G313" s="207"/>
    </row>
    <row r="314" spans="5:7" ht="12" customHeight="1">
      <c r="E314" s="207"/>
      <c r="F314" s="207"/>
      <c r="G314" s="207"/>
    </row>
    <row r="315" spans="5:7" ht="12" customHeight="1">
      <c r="E315" s="207"/>
      <c r="F315" s="207"/>
      <c r="G315" s="207"/>
    </row>
    <row r="316" spans="5:7" ht="12" customHeight="1">
      <c r="E316" s="207"/>
      <c r="F316" s="207"/>
      <c r="G316" s="207"/>
    </row>
    <row r="317" spans="5:7" ht="12" customHeight="1">
      <c r="E317" s="207"/>
      <c r="F317" s="207"/>
      <c r="G317" s="207"/>
    </row>
    <row r="318" spans="5:7" ht="12" customHeight="1">
      <c r="E318" s="207"/>
      <c r="F318" s="207"/>
      <c r="G318" s="207"/>
    </row>
    <row r="319" spans="5:7" ht="12" customHeight="1">
      <c r="E319" s="207"/>
      <c r="F319" s="207"/>
      <c r="G319" s="207"/>
    </row>
    <row r="320" spans="5:7" ht="12" customHeight="1">
      <c r="E320" s="207"/>
      <c r="F320" s="207"/>
      <c r="G320" s="207"/>
    </row>
    <row r="321" spans="5:7" ht="12" customHeight="1">
      <c r="E321" s="207"/>
      <c r="F321" s="207"/>
      <c r="G321" s="207"/>
    </row>
    <row r="322" spans="5:7" ht="12" customHeight="1">
      <c r="E322" s="207"/>
      <c r="F322" s="207"/>
      <c r="G322" s="207"/>
    </row>
    <row r="323" spans="5:7" ht="12" customHeight="1">
      <c r="E323" s="207"/>
      <c r="F323" s="207"/>
      <c r="G323" s="207"/>
    </row>
    <row r="324" spans="5:7" ht="12" customHeight="1">
      <c r="E324" s="207"/>
      <c r="F324" s="207"/>
      <c r="G324" s="207"/>
    </row>
    <row r="325" spans="5:7" ht="12" customHeight="1">
      <c r="E325" s="207"/>
      <c r="F325" s="207"/>
      <c r="G325" s="207"/>
    </row>
    <row r="326" spans="5:7" ht="12" customHeight="1">
      <c r="E326" s="207"/>
      <c r="F326" s="207"/>
      <c r="G326" s="207"/>
    </row>
    <row r="327" spans="5:7" ht="12" customHeight="1">
      <c r="E327" s="207"/>
      <c r="F327" s="207"/>
      <c r="G327" s="207"/>
    </row>
    <row r="328" spans="5:7" ht="12" customHeight="1">
      <c r="E328" s="207"/>
      <c r="F328" s="207"/>
      <c r="G328" s="207"/>
    </row>
    <row r="329" spans="5:7" ht="12" customHeight="1">
      <c r="E329" s="207"/>
      <c r="F329" s="207"/>
      <c r="G329" s="207"/>
    </row>
    <row r="330" spans="5:7" ht="12" customHeight="1">
      <c r="E330" s="207"/>
      <c r="F330" s="207"/>
      <c r="G330" s="207"/>
    </row>
    <row r="331" spans="5:7" ht="12" customHeight="1">
      <c r="E331" s="207"/>
      <c r="F331" s="207"/>
      <c r="G331" s="207"/>
    </row>
    <row r="332" spans="5:7" ht="12" customHeight="1">
      <c r="E332" s="207"/>
      <c r="F332" s="207"/>
      <c r="G332" s="207"/>
    </row>
    <row r="333" spans="5:7" ht="12" customHeight="1">
      <c r="E333" s="207"/>
      <c r="F333" s="207"/>
      <c r="G333" s="207"/>
    </row>
    <row r="334" spans="5:7" ht="12" customHeight="1">
      <c r="E334" s="207"/>
      <c r="F334" s="207"/>
      <c r="G334" s="207"/>
    </row>
    <row r="335" spans="5:7" ht="12" customHeight="1">
      <c r="E335" s="207"/>
      <c r="F335" s="207"/>
      <c r="G335" s="207"/>
    </row>
    <row r="336" spans="5:7" ht="12" customHeight="1">
      <c r="E336" s="207"/>
      <c r="F336" s="207"/>
      <c r="G336" s="207"/>
    </row>
    <row r="337" spans="5:7" ht="12" customHeight="1">
      <c r="E337" s="207"/>
      <c r="F337" s="207"/>
      <c r="G337" s="207"/>
    </row>
    <row r="338" spans="5:7" ht="12" customHeight="1">
      <c r="E338" s="207"/>
      <c r="F338" s="207"/>
      <c r="G338" s="207"/>
    </row>
    <row r="339" spans="5:7" ht="12" customHeight="1">
      <c r="E339" s="207"/>
      <c r="F339" s="207"/>
      <c r="G339" s="207"/>
    </row>
    <row r="340" spans="5:7" ht="12" customHeight="1">
      <c r="E340" s="207"/>
      <c r="F340" s="207"/>
      <c r="G340" s="207"/>
    </row>
    <row r="341" spans="5:7" ht="12" customHeight="1">
      <c r="E341" s="207"/>
      <c r="F341" s="207"/>
      <c r="G341" s="207"/>
    </row>
    <row r="342" spans="5:7" ht="12" customHeight="1">
      <c r="E342" s="207"/>
      <c r="F342" s="207"/>
      <c r="G342" s="207"/>
    </row>
    <row r="343" spans="5:7" ht="12" customHeight="1">
      <c r="E343" s="207"/>
      <c r="F343" s="207"/>
      <c r="G343" s="207"/>
    </row>
    <row r="344" spans="5:7" ht="12" customHeight="1">
      <c r="E344" s="207"/>
      <c r="F344" s="207"/>
      <c r="G344" s="207"/>
    </row>
  </sheetData>
  <pageMargins left="0.25" right="0.25" top="0.25" bottom="0.25" header="0.3" footer="0.3"/>
  <pageSetup paperSize="5" scale="83" orientation="landscape" r:id="rId1"/>
  <rowBreaks count="1" manualBreakCount="1">
    <brk id="62" max="16383" man="1"/>
  </rowBreaks>
  <colBreaks count="4" manualBreakCount="4">
    <brk id="20" max="1048575" man="1"/>
    <brk id="32" max="1048575" man="1"/>
    <brk id="44" max="1048575" man="1"/>
    <brk id="5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7">
    <tabColor rgb="FFFFFF00"/>
  </sheetPr>
  <dimension ref="F1:BP62"/>
  <sheetViews>
    <sheetView zoomScale="109" zoomScaleNormal="100" workbookViewId="0">
      <pane xSplit="8" ySplit="16" topLeftCell="I35" activePane="bottomRight" state="frozen"/>
      <selection pane="topRight" activeCell="I1" sqref="I1"/>
      <selection pane="bottomLeft" activeCell="A17" sqref="A17"/>
      <selection pane="bottomRight" activeCell="AF47" sqref="AF47"/>
    </sheetView>
  </sheetViews>
  <sheetFormatPr baseColWidth="10" defaultColWidth="9.1640625" defaultRowHeight="12" customHeight="1"/>
  <cols>
    <col min="1" max="4" width="1.5" style="197" customWidth="1"/>
    <col min="5" max="5" width="1.33203125" style="197" customWidth="1"/>
    <col min="6" max="6" width="13.83203125" style="197" customWidth="1"/>
    <col min="7" max="7" width="8.5" style="197" customWidth="1"/>
    <col min="8" max="8" width="9.5" style="197" customWidth="1"/>
    <col min="9" max="19" width="10" style="197" customWidth="1"/>
    <col min="20" max="20" width="10" style="239" customWidth="1"/>
    <col min="21" max="22" width="10" style="197" customWidth="1"/>
    <col min="23" max="24" width="10" style="105" customWidth="1"/>
    <col min="25" max="31" width="10" style="197" customWidth="1"/>
    <col min="32" max="32" width="10" style="239" customWidth="1"/>
    <col min="33" max="43" width="10" style="197" customWidth="1"/>
    <col min="44" max="44" width="11.83203125" style="239" customWidth="1"/>
    <col min="45" max="55" width="10" style="197" customWidth="1"/>
    <col min="56" max="56" width="10" style="239" customWidth="1"/>
    <col min="57" max="67" width="10" style="197" customWidth="1"/>
    <col min="68" max="68" width="10" style="239" customWidth="1"/>
    <col min="69" max="16384" width="9.1640625" style="197"/>
  </cols>
  <sheetData>
    <row r="1" spans="6:68" ht="12" customHeight="1" thickBot="1">
      <c r="P1" s="1197"/>
      <c r="Q1" s="448" t="s">
        <v>329</v>
      </c>
      <c r="R1" s="448" t="s">
        <v>330</v>
      </c>
      <c r="S1" s="448" t="s">
        <v>331</v>
      </c>
      <c r="T1" s="449" t="s">
        <v>440</v>
      </c>
      <c r="V1" s="105"/>
      <c r="Y1" s="105"/>
      <c r="Z1" s="105"/>
      <c r="AF1" s="197"/>
    </row>
    <row r="2" spans="6:68" ht="12" customHeight="1">
      <c r="I2" s="229"/>
      <c r="J2" s="1048"/>
      <c r="K2" s="1236" t="s">
        <v>328</v>
      </c>
      <c r="L2" s="1236" t="s">
        <v>570</v>
      </c>
      <c r="M2" s="1236" t="s">
        <v>333</v>
      </c>
      <c r="N2" s="1237" t="s">
        <v>573</v>
      </c>
      <c r="O2" s="1159"/>
      <c r="P2" s="218" t="str">
        <f>Draws!B4</f>
        <v>Pre-Development</v>
      </c>
      <c r="Q2" s="834">
        <f>Draws!D4</f>
        <v>1</v>
      </c>
      <c r="R2" s="834">
        <f>Draws!E4</f>
        <v>6</v>
      </c>
      <c r="S2" s="1234">
        <f>Draws!F4</f>
        <v>6</v>
      </c>
      <c r="T2" s="1233">
        <f>Draws!G4</f>
        <v>45597</v>
      </c>
      <c r="V2" s="105"/>
      <c r="Y2" s="105"/>
      <c r="Z2" s="105"/>
      <c r="AF2" s="197"/>
    </row>
    <row r="3" spans="6:68" ht="12" customHeight="1">
      <c r="G3" s="228"/>
      <c r="I3" s="234" t="s">
        <v>571</v>
      </c>
      <c r="K3" s="197">
        <f>'Unit Mix'!C7</f>
        <v>61</v>
      </c>
      <c r="L3" s="205">
        <f>'Unit Mix'!E7</f>
        <v>3288</v>
      </c>
      <c r="M3" s="256">
        <v>1</v>
      </c>
      <c r="N3" s="1238">
        <f>K3*L3</f>
        <v>200568</v>
      </c>
      <c r="P3" s="218" t="str">
        <f>Draws!B5</f>
        <v>Construction</v>
      </c>
      <c r="Q3" s="1209">
        <f>Draws!D5</f>
        <v>7</v>
      </c>
      <c r="R3" s="1209">
        <f>Draws!E5</f>
        <v>20</v>
      </c>
      <c r="S3" s="1211">
        <f>Draws!F5</f>
        <v>14</v>
      </c>
      <c r="T3" s="1232">
        <f>Draws!G5</f>
        <v>45778</v>
      </c>
      <c r="W3" s="197"/>
      <c r="X3" s="197"/>
    </row>
    <row r="4" spans="6:68" ht="12" customHeight="1">
      <c r="G4" s="228"/>
      <c r="I4" s="234" t="s">
        <v>572</v>
      </c>
      <c r="K4" s="1160"/>
      <c r="L4" s="1235">
        <f>'Unit Mix'!F7</f>
        <v>2.7500685570120109</v>
      </c>
      <c r="M4" s="197" t="s">
        <v>582</v>
      </c>
      <c r="N4" s="1050"/>
      <c r="P4" s="218" t="str">
        <f>Draws!B6</f>
        <v xml:space="preserve">Lease-Up </v>
      </c>
      <c r="Q4" s="1211">
        <f>Draws!D6</f>
        <v>21</v>
      </c>
      <c r="R4" s="1211">
        <f>Draws!E6</f>
        <v>22</v>
      </c>
      <c r="S4" s="1211">
        <f>Draws!F6</f>
        <v>2</v>
      </c>
      <c r="T4" s="1232">
        <f>Draws!G6</f>
        <v>46204</v>
      </c>
      <c r="W4" s="197"/>
      <c r="X4" s="197"/>
    </row>
    <row r="5" spans="6:68" ht="12" customHeight="1">
      <c r="G5" s="228"/>
      <c r="I5" s="234" t="s">
        <v>587</v>
      </c>
      <c r="K5" s="197">
        <v>10</v>
      </c>
      <c r="L5" s="338" t="s">
        <v>588</v>
      </c>
      <c r="M5" s="1160">
        <f>K3/K5</f>
        <v>6.1</v>
      </c>
      <c r="N5" s="1050"/>
      <c r="P5" s="218" t="str">
        <f>Draws!B7</f>
        <v>NOI+</v>
      </c>
      <c r="Q5" s="206">
        <f>Draws!D7</f>
        <v>23</v>
      </c>
      <c r="R5" s="206">
        <f>Draws!E7</f>
        <v>24</v>
      </c>
      <c r="S5" s="1211">
        <f>Draws!F7</f>
        <v>2</v>
      </c>
      <c r="T5" s="1232">
        <f>Draws!G7</f>
        <v>46266</v>
      </c>
      <c r="W5" s="197"/>
      <c r="X5" s="197"/>
    </row>
    <row r="6" spans="6:68" ht="12" customHeight="1">
      <c r="G6" s="228"/>
      <c r="I6" s="234" t="s">
        <v>412</v>
      </c>
      <c r="M6" s="256">
        <v>0.05</v>
      </c>
      <c r="N6" s="1050"/>
      <c r="P6" s="218" t="str">
        <f>Draws!B8</f>
        <v>Brk Even CF</v>
      </c>
      <c r="Q6" s="1211">
        <f>Draws!D8</f>
        <v>25</v>
      </c>
      <c r="R6" s="1211">
        <f>Draws!E8</f>
        <v>29</v>
      </c>
      <c r="S6" s="1211">
        <f>Draws!F8</f>
        <v>5</v>
      </c>
      <c r="T6" s="1232">
        <f>Draws!G8</f>
        <v>46327</v>
      </c>
      <c r="W6" s="197"/>
      <c r="X6" s="197"/>
    </row>
    <row r="7" spans="6:68" ht="12" customHeight="1" thickBot="1">
      <c r="G7" s="228"/>
      <c r="I7" s="234" t="s">
        <v>335</v>
      </c>
      <c r="K7" s="1275">
        <f>ROUNDUP(161/2,0)</f>
        <v>81</v>
      </c>
      <c r="L7" s="205">
        <v>150</v>
      </c>
      <c r="M7" s="256">
        <v>0.8</v>
      </c>
      <c r="N7" s="1238">
        <f>K7*L7*M7</f>
        <v>9720</v>
      </c>
      <c r="P7" s="426" t="str">
        <f>Draws!B9</f>
        <v>Sale Date</v>
      </c>
      <c r="Q7" s="1200">
        <f>Draws!D9</f>
        <v>0</v>
      </c>
      <c r="R7" s="1200">
        <f>Draws!E9</f>
        <v>0</v>
      </c>
      <c r="S7" s="1200">
        <f>Draws!F9</f>
        <v>36</v>
      </c>
      <c r="T7" s="1231">
        <f>Draws!G9</f>
        <v>46661</v>
      </c>
      <c r="V7" s="1207" t="s">
        <v>605</v>
      </c>
      <c r="W7" s="1242">
        <f>60-12</f>
        <v>48</v>
      </c>
      <c r="X7" s="1207" t="s">
        <v>606</v>
      </c>
      <c r="Y7" s="1207"/>
    </row>
    <row r="8" spans="6:68" ht="12" customHeight="1">
      <c r="G8" s="228"/>
      <c r="I8" s="234" t="s">
        <v>552</v>
      </c>
      <c r="K8" s="197">
        <f>$K$3</f>
        <v>61</v>
      </c>
      <c r="L8" s="205">
        <v>100</v>
      </c>
      <c r="M8" s="256">
        <v>0.8</v>
      </c>
      <c r="N8" s="1238">
        <f>K8*L8*M8</f>
        <v>4880</v>
      </c>
      <c r="P8" s="1197"/>
      <c r="Q8" s="448" t="s">
        <v>329</v>
      </c>
      <c r="R8" s="448" t="s">
        <v>330</v>
      </c>
      <c r="S8" s="448" t="s">
        <v>585</v>
      </c>
      <c r="T8" s="449" t="s">
        <v>278</v>
      </c>
      <c r="W8" s="197"/>
      <c r="X8" s="197"/>
      <c r="AI8" s="1160">
        <f>AH19+K5</f>
        <v>70</v>
      </c>
    </row>
    <row r="9" spans="6:68" ht="12" customHeight="1">
      <c r="G9" s="228"/>
      <c r="I9" s="234" t="s">
        <v>304</v>
      </c>
      <c r="K9" s="197">
        <f>$K$3</f>
        <v>61</v>
      </c>
      <c r="L9" s="205">
        <v>0</v>
      </c>
      <c r="M9" s="256">
        <v>1</v>
      </c>
      <c r="N9" s="1238">
        <f>K9*L9*M9</f>
        <v>0</v>
      </c>
      <c r="P9" s="232" t="s">
        <v>584</v>
      </c>
      <c r="Q9" s="1208">
        <f>Q4-4</f>
        <v>17</v>
      </c>
      <c r="R9" s="197">
        <f>Q9+S9-1</f>
        <v>20</v>
      </c>
      <c r="S9" s="1210">
        <v>4</v>
      </c>
      <c r="T9" s="1198">
        <v>0.5</v>
      </c>
      <c r="W9" s="197"/>
      <c r="X9" s="197"/>
    </row>
    <row r="10" spans="6:68" ht="12" customHeight="1" thickBot="1">
      <c r="I10" s="234" t="s">
        <v>549</v>
      </c>
      <c r="K10" s="256">
        <v>0.01</v>
      </c>
      <c r="L10" s="1235"/>
      <c r="N10" s="1050"/>
      <c r="P10" s="1199" t="s">
        <v>586</v>
      </c>
      <c r="Q10" s="1200">
        <f>R9+1</f>
        <v>21</v>
      </c>
      <c r="R10" s="1200">
        <f>Q10+S10-1</f>
        <v>24</v>
      </c>
      <c r="S10" s="1201">
        <f>ROUNDUP(M5*50%,0)</f>
        <v>4</v>
      </c>
      <c r="T10" s="1202">
        <v>0.75</v>
      </c>
      <c r="W10" s="197"/>
      <c r="X10" s="197"/>
      <c r="AF10" s="1212"/>
      <c r="AG10" s="305"/>
    </row>
    <row r="11" spans="6:68" ht="25" customHeight="1" thickBot="1">
      <c r="I11" s="1371" t="s">
        <v>610</v>
      </c>
      <c r="J11" s="1373">
        <v>6.5000000000000002E-2</v>
      </c>
      <c r="K11" s="1372" t="s">
        <v>604</v>
      </c>
      <c r="L11" s="1373">
        <v>0.03</v>
      </c>
      <c r="M11" s="228" t="s">
        <v>611</v>
      </c>
      <c r="N11" s="1246">
        <f>J11+2%</f>
        <v>8.5000000000000006E-2</v>
      </c>
      <c r="S11" s="105" t="s">
        <v>558</v>
      </c>
      <c r="Y11" s="305"/>
      <c r="Z11" s="305"/>
      <c r="AA11" s="305"/>
      <c r="AB11" s="305"/>
      <c r="AC11" s="305" t="s">
        <v>592</v>
      </c>
      <c r="AD11" s="305" t="s">
        <v>592</v>
      </c>
      <c r="AE11" s="305" t="s">
        <v>556</v>
      </c>
      <c r="AF11" s="1212" t="s">
        <v>556</v>
      </c>
      <c r="AG11" s="305" t="s">
        <v>557</v>
      </c>
    </row>
    <row r="12" spans="6:68" ht="12" customHeight="1" thickBot="1">
      <c r="F12" s="229"/>
      <c r="G12" s="1048"/>
      <c r="H12" s="732"/>
      <c r="I12" s="1025" t="str">
        <f>Draws!I9</f>
        <v>Pre-Dvlp</v>
      </c>
      <c r="J12" s="1026" t="str">
        <f>Draws!J9</f>
        <v>Pre-Dvlp</v>
      </c>
      <c r="K12" s="1026" t="str">
        <f>Draws!K9</f>
        <v>Pre-Dvlp</v>
      </c>
      <c r="L12" s="1026" t="str">
        <f>Draws!L9</f>
        <v>Pre-Dvlp</v>
      </c>
      <c r="M12" s="1026" t="str">
        <f>Draws!M9</f>
        <v>Pre-Dvlp</v>
      </c>
      <c r="N12" s="1026" t="str">
        <f>Draws!N9</f>
        <v>Pre-Dvlp</v>
      </c>
      <c r="O12" s="1026" t="str">
        <f>Draws!O9</f>
        <v>Constr</v>
      </c>
      <c r="P12" s="1026" t="str">
        <f>Draws!P9</f>
        <v>Constr</v>
      </c>
      <c r="Q12" s="1026" t="str">
        <f>Draws!Q9</f>
        <v>Constr</v>
      </c>
      <c r="R12" s="1026" t="str">
        <f>Draws!R9</f>
        <v>Constr</v>
      </c>
      <c r="S12" s="1026" t="str">
        <f>Draws!S9</f>
        <v>Constr</v>
      </c>
      <c r="T12" s="1030" t="str">
        <f>Draws!T9</f>
        <v>Constr</v>
      </c>
      <c r="U12" s="1026" t="str">
        <f>Draws!U9</f>
        <v>Constr</v>
      </c>
      <c r="V12" s="1026" t="str">
        <f>Draws!V9</f>
        <v>Constr</v>
      </c>
      <c r="W12" s="1026" t="str">
        <f>Draws!W9</f>
        <v>Constr</v>
      </c>
      <c r="X12" s="1026" t="str">
        <f>Draws!X9</f>
        <v>Constr</v>
      </c>
      <c r="Y12" s="1026" t="str">
        <f>Draws!Y9</f>
        <v>Constr</v>
      </c>
      <c r="Z12" s="1026" t="str">
        <f>Draws!Z9</f>
        <v>Constr</v>
      </c>
      <c r="AA12" s="1026" t="str">
        <f>Draws!AA9</f>
        <v>Constr</v>
      </c>
      <c r="AB12" s="1026" t="str">
        <f>Draws!AB9</f>
        <v>Constr</v>
      </c>
      <c r="AC12" s="1026" t="str">
        <f>Draws!AC9</f>
        <v>Lease-Up</v>
      </c>
      <c r="AD12" s="1026" t="str">
        <f>Draws!AD9</f>
        <v>Lease-Up</v>
      </c>
      <c r="AE12" s="1026" t="str">
        <f>Draws!AE9</f>
        <v>NOI+</v>
      </c>
      <c r="AF12" s="1030" t="str">
        <f>Draws!AF9</f>
        <v>NOI+</v>
      </c>
      <c r="AG12" s="1026" t="str">
        <f>Draws!AG9</f>
        <v>B/E</v>
      </c>
      <c r="AH12" s="1026" t="str">
        <f>Draws!AH9</f>
        <v>B/E</v>
      </c>
      <c r="AI12" s="1026" t="str">
        <f>Draws!AI9</f>
        <v>B/E</v>
      </c>
      <c r="AJ12" s="1026" t="str">
        <f>Draws!AJ9</f>
        <v>B/E</v>
      </c>
      <c r="AK12" s="1026" t="str">
        <f>Draws!AK9</f>
        <v>B/E</v>
      </c>
      <c r="AL12" s="1026" t="str">
        <f>Draws!AL9</f>
        <v>B/E</v>
      </c>
      <c r="AM12" s="1026" t="str">
        <f>Draws!AM9</f>
        <v>B/E</v>
      </c>
      <c r="AN12" s="1026" t="str">
        <f>Draws!AN9</f>
        <v>B/E</v>
      </c>
      <c r="AO12" s="1026" t="str">
        <f>Draws!AO9</f>
        <v>B/E</v>
      </c>
      <c r="AP12" s="1026" t="str">
        <f>Draws!AP9</f>
        <v>B/E</v>
      </c>
      <c r="AQ12" s="1026" t="str">
        <f>Draws!AQ9</f>
        <v>B/E</v>
      </c>
      <c r="AR12" s="1030" t="str">
        <f>Draws!AR9</f>
        <v>B/E</v>
      </c>
      <c r="AS12" s="1026" t="str">
        <f>Draws!AS9</f>
        <v>B/E</v>
      </c>
      <c r="AT12" s="1026" t="str">
        <f>Draws!AT9</f>
        <v>B/E</v>
      </c>
      <c r="AU12" s="1026" t="str">
        <f>Draws!AU9</f>
        <v>B/E</v>
      </c>
      <c r="AV12" s="1026" t="str">
        <f>Draws!AV9</f>
        <v>B/E</v>
      </c>
      <c r="AW12" s="1026" t="str">
        <f>Draws!AW9</f>
        <v>B/E</v>
      </c>
      <c r="AX12" s="1026" t="str">
        <f>Draws!AX9</f>
        <v>B/E</v>
      </c>
      <c r="AY12" s="1026" t="str">
        <f>Draws!AY9</f>
        <v>B/E</v>
      </c>
      <c r="AZ12" s="1026" t="str">
        <f>Draws!AZ9</f>
        <v>B/E</v>
      </c>
      <c r="BA12" s="1026" t="str">
        <f>Draws!BA9</f>
        <v>B/E</v>
      </c>
      <c r="BB12" s="1026" t="str">
        <f>Draws!BB9</f>
        <v>B/E</v>
      </c>
      <c r="BC12" s="1026" t="str">
        <f>Draws!BC9</f>
        <v>B/E</v>
      </c>
      <c r="BD12" s="1030" t="str">
        <f>Draws!BD9</f>
        <v>B/E</v>
      </c>
      <c r="BE12" s="1026" t="str">
        <f>Draws!BE9</f>
        <v>B/E</v>
      </c>
      <c r="BF12" s="1026" t="str">
        <f>Draws!BF9</f>
        <v>B/E</v>
      </c>
      <c r="BG12" s="1026" t="str">
        <f>Draws!BG9</f>
        <v>B/E</v>
      </c>
      <c r="BH12" s="1026" t="str">
        <f>Draws!BH9</f>
        <v>B/E</v>
      </c>
      <c r="BI12" s="1026" t="str">
        <f>Draws!BI9</f>
        <v>B/E</v>
      </c>
      <c r="BJ12" s="1026" t="str">
        <f>Draws!BJ9</f>
        <v>B/E</v>
      </c>
      <c r="BK12" s="1026" t="str">
        <f>Draws!BK9</f>
        <v>B/E</v>
      </c>
      <c r="BL12" s="1026" t="str">
        <f>Draws!BL9</f>
        <v>B/E</v>
      </c>
      <c r="BM12" s="1026" t="str">
        <f>Draws!BM9</f>
        <v>B/E</v>
      </c>
      <c r="BN12" s="1026" t="str">
        <f>Draws!BN9</f>
        <v>B/E</v>
      </c>
      <c r="BO12" s="1026" t="str">
        <f>Draws!BO9</f>
        <v>B/E</v>
      </c>
      <c r="BP12" s="1049" t="str">
        <f>Draws!BP9</f>
        <v>B/E</v>
      </c>
    </row>
    <row r="13" spans="6:68" ht="12" customHeight="1">
      <c r="F13" s="232"/>
      <c r="H13" s="1050"/>
      <c r="I13" s="921">
        <f>Draws!G4</f>
        <v>45597</v>
      </c>
      <c r="J13" s="1051">
        <f>EDATE(I13,1)</f>
        <v>45627</v>
      </c>
      <c r="K13" s="1051">
        <f t="shared" ref="K13:V13" si="0">EDATE(J13,1)</f>
        <v>45658</v>
      </c>
      <c r="L13" s="1051">
        <f t="shared" si="0"/>
        <v>45689</v>
      </c>
      <c r="M13" s="1051">
        <f t="shared" si="0"/>
        <v>45717</v>
      </c>
      <c r="N13" s="1051">
        <f t="shared" si="0"/>
        <v>45748</v>
      </c>
      <c r="O13" s="1051">
        <f t="shared" si="0"/>
        <v>45778</v>
      </c>
      <c r="P13" s="1051">
        <f t="shared" si="0"/>
        <v>45809</v>
      </c>
      <c r="Q13" s="1051">
        <f t="shared" si="0"/>
        <v>45839</v>
      </c>
      <c r="R13" s="1051">
        <f t="shared" si="0"/>
        <v>45870</v>
      </c>
      <c r="S13" s="1051">
        <f t="shared" si="0"/>
        <v>45901</v>
      </c>
      <c r="T13" s="1031">
        <f t="shared" si="0"/>
        <v>45931</v>
      </c>
      <c r="U13" s="1051">
        <f t="shared" si="0"/>
        <v>45962</v>
      </c>
      <c r="V13" s="1051">
        <f t="shared" si="0"/>
        <v>45992</v>
      </c>
      <c r="W13" s="1051">
        <f t="shared" ref="W13" si="1">EDATE(V13,1)</f>
        <v>46023</v>
      </c>
      <c r="X13" s="1051">
        <f t="shared" ref="X13" si="2">EDATE(W13,1)</f>
        <v>46054</v>
      </c>
      <c r="Y13" s="1051">
        <f t="shared" ref="Y13" si="3">EDATE(X13,1)</f>
        <v>46082</v>
      </c>
      <c r="Z13" s="1051">
        <f t="shared" ref="Z13" si="4">EDATE(Y13,1)</f>
        <v>46113</v>
      </c>
      <c r="AA13" s="1051">
        <f t="shared" ref="AA13" si="5">EDATE(Z13,1)</f>
        <v>46143</v>
      </c>
      <c r="AB13" s="1051">
        <f t="shared" ref="AB13" si="6">EDATE(AA13,1)</f>
        <v>46174</v>
      </c>
      <c r="AC13" s="1051">
        <f t="shared" ref="AC13:AD13" si="7">EDATE(AB13,1)</f>
        <v>46204</v>
      </c>
      <c r="AD13" s="1051">
        <f t="shared" si="7"/>
        <v>46235</v>
      </c>
      <c r="AE13" s="1051">
        <f t="shared" ref="AE13" si="8">EDATE(AD13,1)</f>
        <v>46266</v>
      </c>
      <c r="AF13" s="1031">
        <f t="shared" ref="AF13" si="9">EDATE(AE13,1)</f>
        <v>46296</v>
      </c>
      <c r="AG13" s="1051">
        <f t="shared" ref="AG13" si="10">EDATE(AF13,1)</f>
        <v>46327</v>
      </c>
      <c r="AH13" s="1051">
        <f t="shared" ref="AH13" si="11">EDATE(AG13,1)</f>
        <v>46357</v>
      </c>
      <c r="AI13" s="1051">
        <f t="shared" ref="AI13" si="12">EDATE(AH13,1)</f>
        <v>46388</v>
      </c>
      <c r="AJ13" s="1051">
        <f t="shared" ref="AJ13" si="13">EDATE(AI13,1)</f>
        <v>46419</v>
      </c>
      <c r="AK13" s="1051">
        <f t="shared" ref="AK13" si="14">EDATE(AJ13,1)</f>
        <v>46447</v>
      </c>
      <c r="AL13" s="1051">
        <f t="shared" ref="AL13" si="15">EDATE(AK13,1)</f>
        <v>46478</v>
      </c>
      <c r="AM13" s="1051">
        <f t="shared" ref="AM13" si="16">EDATE(AL13,1)</f>
        <v>46508</v>
      </c>
      <c r="AN13" s="1051">
        <f t="shared" ref="AN13" si="17">EDATE(AM13,1)</f>
        <v>46539</v>
      </c>
      <c r="AO13" s="1051">
        <f t="shared" ref="AO13" si="18">EDATE(AN13,1)</f>
        <v>46569</v>
      </c>
      <c r="AP13" s="1051">
        <f t="shared" ref="AP13" si="19">EDATE(AO13,1)</f>
        <v>46600</v>
      </c>
      <c r="AQ13" s="1051">
        <f t="shared" ref="AQ13:AR13" si="20">EDATE(AP13,1)</f>
        <v>46631</v>
      </c>
      <c r="AR13" s="1031">
        <f t="shared" si="20"/>
        <v>46661</v>
      </c>
      <c r="AS13" s="1051">
        <f t="shared" ref="AS13" si="21">EDATE(AR13,1)</f>
        <v>46692</v>
      </c>
      <c r="AT13" s="1051">
        <f t="shared" ref="AT13" si="22">EDATE(AS13,1)</f>
        <v>46722</v>
      </c>
      <c r="AU13" s="1051">
        <f t="shared" ref="AU13" si="23">EDATE(AT13,1)</f>
        <v>46753</v>
      </c>
      <c r="AV13" s="1051">
        <f t="shared" ref="AV13" si="24">EDATE(AU13,1)</f>
        <v>46784</v>
      </c>
      <c r="AW13" s="1051">
        <f t="shared" ref="AW13" si="25">EDATE(AV13,1)</f>
        <v>46813</v>
      </c>
      <c r="AX13" s="1051">
        <f t="shared" ref="AX13" si="26">EDATE(AW13,1)</f>
        <v>46844</v>
      </c>
      <c r="AY13" s="1051">
        <f t="shared" ref="AY13" si="27">EDATE(AX13,1)</f>
        <v>46874</v>
      </c>
      <c r="AZ13" s="1051">
        <f t="shared" ref="AZ13" si="28">EDATE(AY13,1)</f>
        <v>46905</v>
      </c>
      <c r="BA13" s="1051">
        <f t="shared" ref="BA13" si="29">EDATE(AZ13,1)</f>
        <v>46935</v>
      </c>
      <c r="BB13" s="1051">
        <f t="shared" ref="BB13" si="30">EDATE(BA13,1)</f>
        <v>46966</v>
      </c>
      <c r="BC13" s="1051">
        <f t="shared" ref="BC13" si="31">EDATE(BB13,1)</f>
        <v>46997</v>
      </c>
      <c r="BD13" s="1031">
        <f t="shared" ref="BD13" si="32">EDATE(BC13,1)</f>
        <v>47027</v>
      </c>
      <c r="BE13" s="1051">
        <f t="shared" ref="BE13" si="33">EDATE(BD13,1)</f>
        <v>47058</v>
      </c>
      <c r="BF13" s="1051">
        <f t="shared" ref="BF13" si="34">EDATE(BE13,1)</f>
        <v>47088</v>
      </c>
      <c r="BG13" s="1051">
        <f t="shared" ref="BG13" si="35">EDATE(BF13,1)</f>
        <v>47119</v>
      </c>
      <c r="BH13" s="1051">
        <f t="shared" ref="BH13" si="36">EDATE(BG13,1)</f>
        <v>47150</v>
      </c>
      <c r="BI13" s="1051">
        <f t="shared" ref="BI13" si="37">EDATE(BH13,1)</f>
        <v>47178</v>
      </c>
      <c r="BJ13" s="1051">
        <f t="shared" ref="BJ13" si="38">EDATE(BI13,1)</f>
        <v>47209</v>
      </c>
      <c r="BK13" s="1051">
        <f t="shared" ref="BK13" si="39">EDATE(BJ13,1)</f>
        <v>47239</v>
      </c>
      <c r="BL13" s="1051">
        <f t="shared" ref="BL13" si="40">EDATE(BK13,1)</f>
        <v>47270</v>
      </c>
      <c r="BM13" s="1051">
        <f t="shared" ref="BM13" si="41">EDATE(BL13,1)</f>
        <v>47300</v>
      </c>
      <c r="BN13" s="1051">
        <f t="shared" ref="BN13" si="42">EDATE(BM13,1)</f>
        <v>47331</v>
      </c>
      <c r="BO13" s="1051">
        <f t="shared" ref="BO13" si="43">EDATE(BN13,1)</f>
        <v>47362</v>
      </c>
      <c r="BP13" s="1052">
        <f t="shared" ref="BP13" si="44">EDATE(BO13,1)</f>
        <v>47392</v>
      </c>
    </row>
    <row r="14" spans="6:68" ht="12" customHeight="1">
      <c r="F14" s="234" t="s">
        <v>442</v>
      </c>
      <c r="G14" s="228"/>
      <c r="H14" s="1050"/>
      <c r="I14" s="1185">
        <v>1</v>
      </c>
      <c r="J14" s="1186">
        <v>1</v>
      </c>
      <c r="K14" s="1186">
        <v>1</v>
      </c>
      <c r="L14" s="1186">
        <v>1</v>
      </c>
      <c r="M14" s="1186">
        <v>1</v>
      </c>
      <c r="N14" s="1186">
        <v>1</v>
      </c>
      <c r="O14" s="1186">
        <v>1</v>
      </c>
      <c r="P14" s="1186">
        <v>1</v>
      </c>
      <c r="Q14" s="1186">
        <v>1</v>
      </c>
      <c r="R14" s="1186">
        <v>1</v>
      </c>
      <c r="S14" s="1186">
        <v>1</v>
      </c>
      <c r="T14" s="1187">
        <v>1</v>
      </c>
      <c r="U14" s="1186">
        <v>2</v>
      </c>
      <c r="V14" s="1186">
        <v>2</v>
      </c>
      <c r="W14" s="1186">
        <v>2</v>
      </c>
      <c r="X14" s="1186">
        <v>2</v>
      </c>
      <c r="Y14" s="1186">
        <v>2</v>
      </c>
      <c r="Z14" s="1186">
        <v>2</v>
      </c>
      <c r="AA14" s="1186">
        <v>2</v>
      </c>
      <c r="AB14" s="1186">
        <v>2</v>
      </c>
      <c r="AC14" s="1186">
        <v>2</v>
      </c>
      <c r="AD14" s="1186">
        <v>2</v>
      </c>
      <c r="AE14" s="1186">
        <v>2</v>
      </c>
      <c r="AF14" s="1187">
        <v>2</v>
      </c>
      <c r="AG14" s="1186">
        <v>3</v>
      </c>
      <c r="AH14" s="1186">
        <v>3</v>
      </c>
      <c r="AI14" s="1186">
        <v>3</v>
      </c>
      <c r="AJ14" s="1186">
        <v>3</v>
      </c>
      <c r="AK14" s="1186">
        <v>3</v>
      </c>
      <c r="AL14" s="1186">
        <v>3</v>
      </c>
      <c r="AM14" s="1186">
        <v>3</v>
      </c>
      <c r="AN14" s="1186">
        <v>3</v>
      </c>
      <c r="AO14" s="1186">
        <v>3</v>
      </c>
      <c r="AP14" s="1186">
        <v>3</v>
      </c>
      <c r="AQ14" s="1186">
        <v>3</v>
      </c>
      <c r="AR14" s="1187">
        <v>3</v>
      </c>
      <c r="AS14" s="1186">
        <v>4</v>
      </c>
      <c r="AT14" s="1186">
        <v>4</v>
      </c>
      <c r="AU14" s="1186">
        <v>4</v>
      </c>
      <c r="AV14" s="1186">
        <v>4</v>
      </c>
      <c r="AW14" s="1186">
        <v>4</v>
      </c>
      <c r="AX14" s="1186">
        <v>4</v>
      </c>
      <c r="AY14" s="1186">
        <v>4</v>
      </c>
      <c r="AZ14" s="1186">
        <v>4</v>
      </c>
      <c r="BA14" s="1186">
        <v>4</v>
      </c>
      <c r="BB14" s="1186">
        <v>4</v>
      </c>
      <c r="BC14" s="1186">
        <v>4</v>
      </c>
      <c r="BD14" s="1187">
        <v>4</v>
      </c>
      <c r="BE14" s="1186">
        <v>5</v>
      </c>
      <c r="BF14" s="1186">
        <v>5</v>
      </c>
      <c r="BG14" s="1186">
        <v>5</v>
      </c>
      <c r="BH14" s="1186">
        <v>5</v>
      </c>
      <c r="BI14" s="1186">
        <v>5</v>
      </c>
      <c r="BJ14" s="1186">
        <v>5</v>
      </c>
      <c r="BK14" s="1186">
        <v>5</v>
      </c>
      <c r="BL14" s="1186">
        <v>5</v>
      </c>
      <c r="BM14" s="1186">
        <v>5</v>
      </c>
      <c r="BN14" s="1186">
        <v>5</v>
      </c>
      <c r="BO14" s="1186">
        <v>5</v>
      </c>
      <c r="BP14" s="1188">
        <v>5</v>
      </c>
    </row>
    <row r="15" spans="6:68" ht="12" customHeight="1">
      <c r="F15" s="234" t="s">
        <v>441</v>
      </c>
      <c r="G15" s="228"/>
      <c r="H15" s="1050"/>
      <c r="I15" s="735">
        <v>1</v>
      </c>
      <c r="J15" s="1053">
        <f>I15+1</f>
        <v>2</v>
      </c>
      <c r="K15" s="1053">
        <f t="shared" ref="K15:V15" si="45">J15+1</f>
        <v>3</v>
      </c>
      <c r="L15" s="1053">
        <f t="shared" si="45"/>
        <v>4</v>
      </c>
      <c r="M15" s="1053">
        <f t="shared" si="45"/>
        <v>5</v>
      </c>
      <c r="N15" s="1053">
        <f t="shared" si="45"/>
        <v>6</v>
      </c>
      <c r="O15" s="1053">
        <f t="shared" si="45"/>
        <v>7</v>
      </c>
      <c r="P15" s="1053">
        <f t="shared" si="45"/>
        <v>8</v>
      </c>
      <c r="Q15" s="1053">
        <f t="shared" si="45"/>
        <v>9</v>
      </c>
      <c r="R15" s="1053">
        <f t="shared" si="45"/>
        <v>10</v>
      </c>
      <c r="S15" s="1053">
        <f t="shared" si="45"/>
        <v>11</v>
      </c>
      <c r="T15" s="1032">
        <f t="shared" si="45"/>
        <v>12</v>
      </c>
      <c r="U15" s="1053">
        <f t="shared" si="45"/>
        <v>13</v>
      </c>
      <c r="V15" s="1053">
        <f t="shared" si="45"/>
        <v>14</v>
      </c>
      <c r="W15" s="1053">
        <f t="shared" ref="W15" si="46">V15+1</f>
        <v>15</v>
      </c>
      <c r="X15" s="1053">
        <f t="shared" ref="X15" si="47">W15+1</f>
        <v>16</v>
      </c>
      <c r="Y15" s="1053">
        <f t="shared" ref="Y15" si="48">X15+1</f>
        <v>17</v>
      </c>
      <c r="Z15" s="1053">
        <f t="shared" ref="Z15" si="49">Y15+1</f>
        <v>18</v>
      </c>
      <c r="AA15" s="1053">
        <f t="shared" ref="AA15" si="50">Z15+1</f>
        <v>19</v>
      </c>
      <c r="AB15" s="1053">
        <f t="shared" ref="AB15" si="51">AA15+1</f>
        <v>20</v>
      </c>
      <c r="AC15" s="1053">
        <f t="shared" ref="AC15:AD15" si="52">AB15+1</f>
        <v>21</v>
      </c>
      <c r="AD15" s="1053">
        <f t="shared" si="52"/>
        <v>22</v>
      </c>
      <c r="AE15" s="1053">
        <f t="shared" ref="AE15" si="53">AD15+1</f>
        <v>23</v>
      </c>
      <c r="AF15" s="1032">
        <f t="shared" ref="AF15" si="54">AE15+1</f>
        <v>24</v>
      </c>
      <c r="AG15" s="1053">
        <f t="shared" ref="AG15" si="55">AF15+1</f>
        <v>25</v>
      </c>
      <c r="AH15" s="1053">
        <f t="shared" ref="AH15" si="56">AG15+1</f>
        <v>26</v>
      </c>
      <c r="AI15" s="1053">
        <f t="shared" ref="AI15" si="57">AH15+1</f>
        <v>27</v>
      </c>
      <c r="AJ15" s="1053">
        <f t="shared" ref="AJ15" si="58">AI15+1</f>
        <v>28</v>
      </c>
      <c r="AK15" s="1053">
        <f t="shared" ref="AK15" si="59">AJ15+1</f>
        <v>29</v>
      </c>
      <c r="AL15" s="1053">
        <f t="shared" ref="AL15" si="60">AK15+1</f>
        <v>30</v>
      </c>
      <c r="AM15" s="1053">
        <f t="shared" ref="AM15" si="61">AL15+1</f>
        <v>31</v>
      </c>
      <c r="AN15" s="1053">
        <f t="shared" ref="AN15" si="62">AM15+1</f>
        <v>32</v>
      </c>
      <c r="AO15" s="1053">
        <f t="shared" ref="AO15" si="63">AN15+1</f>
        <v>33</v>
      </c>
      <c r="AP15" s="1053">
        <f t="shared" ref="AP15" si="64">AO15+1</f>
        <v>34</v>
      </c>
      <c r="AQ15" s="1053">
        <f t="shared" ref="AQ15:AR15" si="65">AP15+1</f>
        <v>35</v>
      </c>
      <c r="AR15" s="1032">
        <f t="shared" si="65"/>
        <v>36</v>
      </c>
      <c r="AS15" s="1053">
        <f t="shared" ref="AS15" si="66">AR15+1</f>
        <v>37</v>
      </c>
      <c r="AT15" s="1053">
        <f t="shared" ref="AT15" si="67">AS15+1</f>
        <v>38</v>
      </c>
      <c r="AU15" s="1053">
        <f t="shared" ref="AU15" si="68">AT15+1</f>
        <v>39</v>
      </c>
      <c r="AV15" s="1053">
        <f t="shared" ref="AV15" si="69">AU15+1</f>
        <v>40</v>
      </c>
      <c r="AW15" s="1053">
        <f t="shared" ref="AW15" si="70">AV15+1</f>
        <v>41</v>
      </c>
      <c r="AX15" s="1053">
        <f t="shared" ref="AX15" si="71">AW15+1</f>
        <v>42</v>
      </c>
      <c r="AY15" s="1053">
        <f t="shared" ref="AY15" si="72">AX15+1</f>
        <v>43</v>
      </c>
      <c r="AZ15" s="1053">
        <f t="shared" ref="AZ15" si="73">AY15+1</f>
        <v>44</v>
      </c>
      <c r="BA15" s="1053">
        <f t="shared" ref="BA15" si="74">AZ15+1</f>
        <v>45</v>
      </c>
      <c r="BB15" s="1053">
        <f t="shared" ref="BB15" si="75">BA15+1</f>
        <v>46</v>
      </c>
      <c r="BC15" s="1053">
        <f t="shared" ref="BC15" si="76">BB15+1</f>
        <v>47</v>
      </c>
      <c r="BD15" s="1032">
        <f t="shared" ref="BD15" si="77">BC15+1</f>
        <v>48</v>
      </c>
      <c r="BE15" s="1053">
        <f t="shared" ref="BE15" si="78">BD15+1</f>
        <v>49</v>
      </c>
      <c r="BF15" s="1053">
        <f t="shared" ref="BF15" si="79">BE15+1</f>
        <v>50</v>
      </c>
      <c r="BG15" s="1053">
        <f t="shared" ref="BG15" si="80">BF15+1</f>
        <v>51</v>
      </c>
      <c r="BH15" s="1053">
        <f t="shared" ref="BH15" si="81">BG15+1</f>
        <v>52</v>
      </c>
      <c r="BI15" s="1053">
        <f t="shared" ref="BI15" si="82">BH15+1</f>
        <v>53</v>
      </c>
      <c r="BJ15" s="1053">
        <f t="shared" ref="BJ15" si="83">BI15+1</f>
        <v>54</v>
      </c>
      <c r="BK15" s="1053">
        <f t="shared" ref="BK15" si="84">BJ15+1</f>
        <v>55</v>
      </c>
      <c r="BL15" s="1053">
        <f t="shared" ref="BL15" si="85">BK15+1</f>
        <v>56</v>
      </c>
      <c r="BM15" s="1053">
        <f t="shared" ref="BM15" si="86">BL15+1</f>
        <v>57</v>
      </c>
      <c r="BN15" s="1053">
        <f t="shared" ref="BN15" si="87">BM15+1</f>
        <v>58</v>
      </c>
      <c r="BO15" s="1053">
        <f t="shared" ref="BO15" si="88">BN15+1</f>
        <v>59</v>
      </c>
      <c r="BP15" s="1054">
        <f t="shared" ref="BP15" si="89">BO15+1</f>
        <v>60</v>
      </c>
    </row>
    <row r="16" spans="6:68" ht="12" customHeight="1" thickBot="1">
      <c r="F16" s="733"/>
      <c r="G16" s="738"/>
      <c r="H16" s="734"/>
      <c r="I16" s="736"/>
      <c r="J16" s="737"/>
      <c r="K16" s="737"/>
      <c r="L16" s="737"/>
      <c r="M16" s="737"/>
      <c r="N16" s="737"/>
      <c r="O16" s="737"/>
      <c r="P16" s="737"/>
      <c r="Q16" s="737"/>
      <c r="R16" s="737"/>
      <c r="S16" s="737"/>
      <c r="T16" s="1033"/>
      <c r="U16" s="737"/>
      <c r="V16" s="737"/>
      <c r="W16" s="737"/>
      <c r="X16" s="737"/>
      <c r="Y16" s="737"/>
      <c r="Z16" s="737"/>
      <c r="AA16" s="737"/>
      <c r="AB16" s="737"/>
      <c r="AC16" s="737"/>
      <c r="AD16" s="737"/>
      <c r="AE16" s="737"/>
      <c r="AF16" s="1033"/>
      <c r="AG16" s="737"/>
      <c r="AH16" s="737"/>
      <c r="AI16" s="737"/>
      <c r="AJ16" s="737"/>
      <c r="AK16" s="737"/>
      <c r="AL16" s="737"/>
      <c r="AM16" s="737"/>
      <c r="AN16" s="737"/>
      <c r="AO16" s="737"/>
      <c r="AP16" s="737"/>
      <c r="AQ16" s="737"/>
      <c r="AR16" s="1033"/>
      <c r="AS16" s="737"/>
      <c r="AT16" s="737"/>
      <c r="AU16" s="737"/>
      <c r="AV16" s="737"/>
      <c r="AW16" s="737"/>
      <c r="AX16" s="737"/>
      <c r="AY16" s="737"/>
      <c r="AZ16" s="737"/>
      <c r="BA16" s="737"/>
      <c r="BB16" s="737"/>
      <c r="BC16" s="737"/>
      <c r="BD16" s="1033"/>
      <c r="BE16" s="737"/>
      <c r="BF16" s="737"/>
      <c r="BG16" s="737"/>
      <c r="BH16" s="737"/>
      <c r="BI16" s="737"/>
      <c r="BJ16" s="737"/>
      <c r="BK16" s="737"/>
      <c r="BL16" s="737"/>
      <c r="BM16" s="737"/>
      <c r="BN16" s="737"/>
      <c r="BO16" s="737"/>
      <c r="BP16" s="1055"/>
    </row>
    <row r="17" spans="6:68" ht="12" customHeight="1">
      <c r="F17" s="230" t="s">
        <v>318</v>
      </c>
      <c r="G17" s="1056"/>
      <c r="H17" s="231"/>
      <c r="I17" s="258"/>
      <c r="J17" s="1057"/>
      <c r="K17" s="1057"/>
      <c r="L17" s="1057"/>
      <c r="M17" s="1057"/>
      <c r="N17" s="1057"/>
      <c r="O17" s="1057"/>
      <c r="P17" s="1057"/>
      <c r="Q17" s="1057"/>
      <c r="R17" s="1057"/>
      <c r="S17" s="1057"/>
      <c r="T17" s="1034"/>
      <c r="U17" s="1057"/>
      <c r="V17" s="1057"/>
      <c r="W17" s="1057"/>
      <c r="X17" s="1057"/>
      <c r="Y17" s="1057"/>
      <c r="Z17" s="1057"/>
      <c r="AA17" s="1057"/>
      <c r="AB17" s="1057"/>
      <c r="AC17" s="1057"/>
      <c r="AD17" s="1057"/>
      <c r="AE17" s="1057"/>
      <c r="AF17" s="1034"/>
      <c r="AG17" s="1057"/>
      <c r="AH17" s="1057"/>
      <c r="AI17" s="1057"/>
      <c r="AJ17" s="1057"/>
      <c r="AK17" s="1057"/>
      <c r="AL17" s="1057"/>
      <c r="AM17" s="1057"/>
      <c r="AN17" s="1057"/>
      <c r="AO17" s="1057"/>
      <c r="AP17" s="1057"/>
      <c r="AQ17" s="1057"/>
      <c r="AR17" s="1034"/>
      <c r="AS17" s="1057"/>
      <c r="AT17" s="1057"/>
      <c r="AU17" s="1057"/>
      <c r="AV17" s="1057"/>
      <c r="AW17" s="1057"/>
      <c r="AX17" s="1057"/>
      <c r="AY17" s="1057"/>
      <c r="AZ17" s="1057"/>
      <c r="BA17" s="1057"/>
      <c r="BB17" s="1057"/>
      <c r="BC17" s="1057"/>
      <c r="BD17" s="1034"/>
      <c r="BE17" s="1057"/>
      <c r="BF17" s="1057"/>
      <c r="BG17" s="1057"/>
      <c r="BH17" s="1057"/>
      <c r="BI17" s="1057"/>
      <c r="BJ17" s="1057"/>
      <c r="BK17" s="1057"/>
      <c r="BL17" s="1057"/>
      <c r="BM17" s="1057"/>
      <c r="BN17" s="1057"/>
      <c r="BO17" s="1057"/>
      <c r="BP17" s="1058"/>
    </row>
    <row r="18" spans="6:68" ht="12" customHeight="1">
      <c r="F18" s="232" t="s">
        <v>497</v>
      </c>
      <c r="I18" s="259">
        <f t="shared" ref="I18:AH18" si="90">IF(OR(I12="Constr",I12="Pre-Dvlp"),0,IF(H19=$K$3,0,IF((H19+$K$5)&gt;$K$3,($K$3-H$19),$K$5)))</f>
        <v>0</v>
      </c>
      <c r="J18" s="1053">
        <f t="shared" si="90"/>
        <v>0</v>
      </c>
      <c r="K18" s="1053">
        <f t="shared" si="90"/>
        <v>0</v>
      </c>
      <c r="L18" s="1053">
        <f t="shared" si="90"/>
        <v>0</v>
      </c>
      <c r="M18" s="1053">
        <f t="shared" si="90"/>
        <v>0</v>
      </c>
      <c r="N18" s="1053">
        <f t="shared" si="90"/>
        <v>0</v>
      </c>
      <c r="O18" s="1053">
        <f t="shared" si="90"/>
        <v>0</v>
      </c>
      <c r="P18" s="1053">
        <f t="shared" si="90"/>
        <v>0</v>
      </c>
      <c r="Q18" s="1053">
        <f t="shared" si="90"/>
        <v>0</v>
      </c>
      <c r="R18" s="1053">
        <f t="shared" si="90"/>
        <v>0</v>
      </c>
      <c r="S18" s="1053">
        <f t="shared" si="90"/>
        <v>0</v>
      </c>
      <c r="T18" s="1032">
        <f t="shared" si="90"/>
        <v>0</v>
      </c>
      <c r="U18" s="1053">
        <f t="shared" si="90"/>
        <v>0</v>
      </c>
      <c r="V18" s="1053">
        <f t="shared" si="90"/>
        <v>0</v>
      </c>
      <c r="W18" s="1053">
        <f t="shared" si="90"/>
        <v>0</v>
      </c>
      <c r="X18" s="1053">
        <f t="shared" si="90"/>
        <v>0</v>
      </c>
      <c r="Y18" s="1053">
        <f t="shared" si="90"/>
        <v>0</v>
      </c>
      <c r="Z18" s="1053">
        <f t="shared" si="90"/>
        <v>0</v>
      </c>
      <c r="AA18" s="1053">
        <f t="shared" si="90"/>
        <v>0</v>
      </c>
      <c r="AB18" s="1053">
        <f t="shared" si="90"/>
        <v>0</v>
      </c>
      <c r="AC18" s="1053">
        <f t="shared" si="90"/>
        <v>10</v>
      </c>
      <c r="AD18" s="1053">
        <f t="shared" si="90"/>
        <v>10</v>
      </c>
      <c r="AE18" s="1053">
        <f t="shared" si="90"/>
        <v>10</v>
      </c>
      <c r="AF18" s="1032">
        <f t="shared" si="90"/>
        <v>10</v>
      </c>
      <c r="AG18" s="1053">
        <f t="shared" si="90"/>
        <v>10</v>
      </c>
      <c r="AH18" s="1053">
        <f t="shared" si="90"/>
        <v>10</v>
      </c>
      <c r="AI18" s="1053">
        <f>IF(OR(AI12="Constr",AI12="Pre-Dvlp"),0,IF(AH19=$K$3,0,IF((AH19+$K$5)&gt;$K$3,($K$3-AH$19),$K$5)))</f>
        <v>1</v>
      </c>
      <c r="AJ18" s="1053">
        <f t="shared" ref="AJ18:BP18" si="91">IF(OR(AJ12="Constr",AJ12="Pre-Dvlp"),0,IF(AI19=$K$3,0,IF((AI19+$K$5)&gt;$K$3,($K$3-AI$19),$K$5)))</f>
        <v>0</v>
      </c>
      <c r="AK18" s="1053">
        <f t="shared" si="91"/>
        <v>0</v>
      </c>
      <c r="AL18" s="1053">
        <f t="shared" si="91"/>
        <v>0</v>
      </c>
      <c r="AM18" s="1053">
        <f t="shared" si="91"/>
        <v>0</v>
      </c>
      <c r="AN18" s="1053">
        <f t="shared" si="91"/>
        <v>0</v>
      </c>
      <c r="AO18" s="1053">
        <f t="shared" si="91"/>
        <v>0</v>
      </c>
      <c r="AP18" s="1053">
        <f t="shared" si="91"/>
        <v>0</v>
      </c>
      <c r="AQ18" s="1053">
        <f t="shared" si="91"/>
        <v>0</v>
      </c>
      <c r="AR18" s="1032">
        <f t="shared" si="91"/>
        <v>0</v>
      </c>
      <c r="AS18" s="1053">
        <f t="shared" si="91"/>
        <v>0</v>
      </c>
      <c r="AT18" s="1053">
        <f t="shared" si="91"/>
        <v>0</v>
      </c>
      <c r="AU18" s="1053">
        <f t="shared" si="91"/>
        <v>0</v>
      </c>
      <c r="AV18" s="1053">
        <f t="shared" si="91"/>
        <v>0</v>
      </c>
      <c r="AW18" s="1053">
        <f t="shared" si="91"/>
        <v>0</v>
      </c>
      <c r="AX18" s="1053">
        <f t="shared" si="91"/>
        <v>0</v>
      </c>
      <c r="AY18" s="1053">
        <f t="shared" si="91"/>
        <v>0</v>
      </c>
      <c r="AZ18" s="1053">
        <f t="shared" si="91"/>
        <v>0</v>
      </c>
      <c r="BA18" s="1053">
        <f t="shared" si="91"/>
        <v>0</v>
      </c>
      <c r="BB18" s="1053">
        <f t="shared" si="91"/>
        <v>0</v>
      </c>
      <c r="BC18" s="1053">
        <f t="shared" si="91"/>
        <v>0</v>
      </c>
      <c r="BD18" s="1032">
        <f t="shared" si="91"/>
        <v>0</v>
      </c>
      <c r="BE18" s="1053">
        <f t="shared" si="91"/>
        <v>0</v>
      </c>
      <c r="BF18" s="1053">
        <f t="shared" si="91"/>
        <v>0</v>
      </c>
      <c r="BG18" s="1053">
        <f t="shared" si="91"/>
        <v>0</v>
      </c>
      <c r="BH18" s="1053">
        <f t="shared" si="91"/>
        <v>0</v>
      </c>
      <c r="BI18" s="1053">
        <f t="shared" si="91"/>
        <v>0</v>
      </c>
      <c r="BJ18" s="1053">
        <f t="shared" si="91"/>
        <v>0</v>
      </c>
      <c r="BK18" s="1053">
        <f t="shared" si="91"/>
        <v>0</v>
      </c>
      <c r="BL18" s="1053">
        <f t="shared" si="91"/>
        <v>0</v>
      </c>
      <c r="BM18" s="1053">
        <f t="shared" si="91"/>
        <v>0</v>
      </c>
      <c r="BN18" s="1053">
        <f t="shared" si="91"/>
        <v>0</v>
      </c>
      <c r="BO18" s="1053">
        <f t="shared" si="91"/>
        <v>0</v>
      </c>
      <c r="BP18" s="1054">
        <f t="shared" si="91"/>
        <v>0</v>
      </c>
    </row>
    <row r="19" spans="6:68" ht="12" customHeight="1">
      <c r="F19" s="232" t="s">
        <v>498</v>
      </c>
      <c r="I19" s="259">
        <f>I18+H19</f>
        <v>0</v>
      </c>
      <c r="J19" s="1053">
        <f t="shared" ref="J19:AR19" si="92">J18+I19</f>
        <v>0</v>
      </c>
      <c r="K19" s="1053">
        <f t="shared" si="92"/>
        <v>0</v>
      </c>
      <c r="L19" s="1053">
        <f t="shared" si="92"/>
        <v>0</v>
      </c>
      <c r="M19" s="1053">
        <f t="shared" si="92"/>
        <v>0</v>
      </c>
      <c r="N19" s="1053">
        <f t="shared" si="92"/>
        <v>0</v>
      </c>
      <c r="O19" s="1053">
        <f t="shared" si="92"/>
        <v>0</v>
      </c>
      <c r="P19" s="1053">
        <f t="shared" si="92"/>
        <v>0</v>
      </c>
      <c r="Q19" s="1053">
        <f t="shared" si="92"/>
        <v>0</v>
      </c>
      <c r="R19" s="1053">
        <f t="shared" si="92"/>
        <v>0</v>
      </c>
      <c r="S19" s="1053">
        <f t="shared" si="92"/>
        <v>0</v>
      </c>
      <c r="T19" s="1032">
        <f t="shared" si="92"/>
        <v>0</v>
      </c>
      <c r="U19" s="1053">
        <f t="shared" si="92"/>
        <v>0</v>
      </c>
      <c r="V19" s="1053">
        <f t="shared" si="92"/>
        <v>0</v>
      </c>
      <c r="W19" s="1053">
        <f t="shared" si="92"/>
        <v>0</v>
      </c>
      <c r="X19" s="1053">
        <f t="shared" si="92"/>
        <v>0</v>
      </c>
      <c r="Y19" s="1053">
        <f t="shared" si="92"/>
        <v>0</v>
      </c>
      <c r="Z19" s="1053">
        <f t="shared" si="92"/>
        <v>0</v>
      </c>
      <c r="AA19" s="1053">
        <f t="shared" si="92"/>
        <v>0</v>
      </c>
      <c r="AB19" s="1053">
        <f t="shared" si="92"/>
        <v>0</v>
      </c>
      <c r="AC19" s="1053">
        <f t="shared" si="92"/>
        <v>10</v>
      </c>
      <c r="AD19" s="1053">
        <f t="shared" si="92"/>
        <v>20</v>
      </c>
      <c r="AE19" s="1053">
        <f t="shared" si="92"/>
        <v>30</v>
      </c>
      <c r="AF19" s="1032">
        <f t="shared" si="92"/>
        <v>40</v>
      </c>
      <c r="AG19" s="1053">
        <f t="shared" si="92"/>
        <v>50</v>
      </c>
      <c r="AH19" s="1053">
        <f t="shared" si="92"/>
        <v>60</v>
      </c>
      <c r="AI19" s="1053">
        <f t="shared" si="92"/>
        <v>61</v>
      </c>
      <c r="AJ19" s="1053">
        <f t="shared" si="92"/>
        <v>61</v>
      </c>
      <c r="AK19" s="1053">
        <f t="shared" si="92"/>
        <v>61</v>
      </c>
      <c r="AL19" s="1053">
        <f t="shared" si="92"/>
        <v>61</v>
      </c>
      <c r="AM19" s="1053">
        <f t="shared" si="92"/>
        <v>61</v>
      </c>
      <c r="AN19" s="1053">
        <f t="shared" si="92"/>
        <v>61</v>
      </c>
      <c r="AO19" s="1053">
        <f t="shared" si="92"/>
        <v>61</v>
      </c>
      <c r="AP19" s="1053">
        <f t="shared" si="92"/>
        <v>61</v>
      </c>
      <c r="AQ19" s="1053">
        <f t="shared" si="92"/>
        <v>61</v>
      </c>
      <c r="AR19" s="1032">
        <f t="shared" si="92"/>
        <v>61</v>
      </c>
      <c r="AS19" s="1053">
        <f t="shared" ref="AS19" si="93">AS18+AR19</f>
        <v>61</v>
      </c>
      <c r="AT19" s="1053">
        <f t="shared" ref="AT19" si="94">AT18+AS19</f>
        <v>61</v>
      </c>
      <c r="AU19" s="1053">
        <f t="shared" ref="AU19" si="95">AU18+AT19</f>
        <v>61</v>
      </c>
      <c r="AV19" s="1053">
        <f t="shared" ref="AV19" si="96">AV18+AU19</f>
        <v>61</v>
      </c>
      <c r="AW19" s="1053">
        <f t="shared" ref="AW19" si="97">AW18+AV19</f>
        <v>61</v>
      </c>
      <c r="AX19" s="1053">
        <f t="shared" ref="AX19" si="98">AX18+AW19</f>
        <v>61</v>
      </c>
      <c r="AY19" s="1053">
        <f t="shared" ref="AY19" si="99">AY18+AX19</f>
        <v>61</v>
      </c>
      <c r="AZ19" s="1053">
        <f t="shared" ref="AZ19" si="100">AZ18+AY19</f>
        <v>61</v>
      </c>
      <c r="BA19" s="1053">
        <f t="shared" ref="BA19" si="101">BA18+AZ19</f>
        <v>61</v>
      </c>
      <c r="BB19" s="1053">
        <f t="shared" ref="BB19" si="102">BB18+BA19</f>
        <v>61</v>
      </c>
      <c r="BC19" s="1053">
        <f t="shared" ref="BC19" si="103">BC18+BB19</f>
        <v>61</v>
      </c>
      <c r="BD19" s="1032">
        <f t="shared" ref="BD19" si="104">BD18+BC19</f>
        <v>61</v>
      </c>
      <c r="BE19" s="1053">
        <f t="shared" ref="BE19" si="105">BE18+BD19</f>
        <v>61</v>
      </c>
      <c r="BF19" s="1053">
        <f t="shared" ref="BF19" si="106">BF18+BE19</f>
        <v>61</v>
      </c>
      <c r="BG19" s="1053">
        <f t="shared" ref="BG19" si="107">BG18+BF19</f>
        <v>61</v>
      </c>
      <c r="BH19" s="1053">
        <f t="shared" ref="BH19" si="108">BH18+BG19</f>
        <v>61</v>
      </c>
      <c r="BI19" s="1053">
        <f t="shared" ref="BI19" si="109">BI18+BH19</f>
        <v>61</v>
      </c>
      <c r="BJ19" s="1053">
        <f t="shared" ref="BJ19" si="110">BJ18+BI19</f>
        <v>61</v>
      </c>
      <c r="BK19" s="1053">
        <f t="shared" ref="BK19" si="111">BK18+BJ19</f>
        <v>61</v>
      </c>
      <c r="BL19" s="1053">
        <f t="shared" ref="BL19" si="112">BL18+BK19</f>
        <v>61</v>
      </c>
      <c r="BM19" s="1053">
        <f t="shared" ref="BM19" si="113">BM18+BL19</f>
        <v>61</v>
      </c>
      <c r="BN19" s="1053">
        <f t="shared" ref="BN19" si="114">BN18+BM19</f>
        <v>61</v>
      </c>
      <c r="BO19" s="1053">
        <f t="shared" ref="BO19" si="115">BO18+BN19</f>
        <v>61</v>
      </c>
      <c r="BP19" s="1054">
        <f t="shared" ref="BP19" si="116">BP18+BO19</f>
        <v>61</v>
      </c>
    </row>
    <row r="20" spans="6:68" ht="13.5" customHeight="1">
      <c r="F20" s="232" t="s">
        <v>334</v>
      </c>
      <c r="I20" s="260">
        <f t="shared" ref="I20:AN20" si="117">I19/$K$3</f>
        <v>0</v>
      </c>
      <c r="J20" s="261">
        <f t="shared" si="117"/>
        <v>0</v>
      </c>
      <c r="K20" s="261">
        <f t="shared" si="117"/>
        <v>0</v>
      </c>
      <c r="L20" s="261">
        <f t="shared" si="117"/>
        <v>0</v>
      </c>
      <c r="M20" s="261">
        <f t="shared" si="117"/>
        <v>0</v>
      </c>
      <c r="N20" s="261">
        <f t="shared" si="117"/>
        <v>0</v>
      </c>
      <c r="O20" s="261">
        <f t="shared" si="117"/>
        <v>0</v>
      </c>
      <c r="P20" s="261">
        <f t="shared" si="117"/>
        <v>0</v>
      </c>
      <c r="Q20" s="261">
        <f t="shared" si="117"/>
        <v>0</v>
      </c>
      <c r="R20" s="261">
        <f t="shared" si="117"/>
        <v>0</v>
      </c>
      <c r="S20" s="261">
        <f t="shared" si="117"/>
        <v>0</v>
      </c>
      <c r="T20" s="1035">
        <f t="shared" si="117"/>
        <v>0</v>
      </c>
      <c r="U20" s="261">
        <f t="shared" si="117"/>
        <v>0</v>
      </c>
      <c r="V20" s="261">
        <f t="shared" si="117"/>
        <v>0</v>
      </c>
      <c r="W20" s="261">
        <f t="shared" si="117"/>
        <v>0</v>
      </c>
      <c r="X20" s="261">
        <f t="shared" si="117"/>
        <v>0</v>
      </c>
      <c r="Y20" s="261">
        <f t="shared" si="117"/>
        <v>0</v>
      </c>
      <c r="Z20" s="261">
        <f t="shared" si="117"/>
        <v>0</v>
      </c>
      <c r="AA20" s="261">
        <f t="shared" si="117"/>
        <v>0</v>
      </c>
      <c r="AB20" s="261">
        <f t="shared" si="117"/>
        <v>0</v>
      </c>
      <c r="AC20" s="261">
        <f t="shared" si="117"/>
        <v>0.16393442622950818</v>
      </c>
      <c r="AD20" s="261">
        <f t="shared" si="117"/>
        <v>0.32786885245901637</v>
      </c>
      <c r="AE20" s="261">
        <f t="shared" si="117"/>
        <v>0.49180327868852458</v>
      </c>
      <c r="AF20" s="1035">
        <f t="shared" si="117"/>
        <v>0.65573770491803274</v>
      </c>
      <c r="AG20" s="261">
        <f t="shared" si="117"/>
        <v>0.81967213114754101</v>
      </c>
      <c r="AH20" s="261">
        <f t="shared" si="117"/>
        <v>0.98360655737704916</v>
      </c>
      <c r="AI20" s="261">
        <f t="shared" si="117"/>
        <v>1</v>
      </c>
      <c r="AJ20" s="261">
        <f t="shared" si="117"/>
        <v>1</v>
      </c>
      <c r="AK20" s="261">
        <f t="shared" si="117"/>
        <v>1</v>
      </c>
      <c r="AL20" s="261">
        <f t="shared" si="117"/>
        <v>1</v>
      </c>
      <c r="AM20" s="261">
        <f t="shared" si="117"/>
        <v>1</v>
      </c>
      <c r="AN20" s="261">
        <f t="shared" si="117"/>
        <v>1</v>
      </c>
      <c r="AO20" s="261">
        <f t="shared" ref="AO20:BP20" si="118">AO19/$K$3</f>
        <v>1</v>
      </c>
      <c r="AP20" s="261">
        <f t="shared" si="118"/>
        <v>1</v>
      </c>
      <c r="AQ20" s="261">
        <f t="shared" si="118"/>
        <v>1</v>
      </c>
      <c r="AR20" s="1035">
        <f t="shared" si="118"/>
        <v>1</v>
      </c>
      <c r="AS20" s="261">
        <f t="shared" si="118"/>
        <v>1</v>
      </c>
      <c r="AT20" s="261">
        <f t="shared" si="118"/>
        <v>1</v>
      </c>
      <c r="AU20" s="261">
        <f t="shared" si="118"/>
        <v>1</v>
      </c>
      <c r="AV20" s="261">
        <f t="shared" si="118"/>
        <v>1</v>
      </c>
      <c r="AW20" s="261">
        <f t="shared" si="118"/>
        <v>1</v>
      </c>
      <c r="AX20" s="261">
        <f t="shared" si="118"/>
        <v>1</v>
      </c>
      <c r="AY20" s="261">
        <f t="shared" si="118"/>
        <v>1</v>
      </c>
      <c r="AZ20" s="261">
        <f t="shared" si="118"/>
        <v>1</v>
      </c>
      <c r="BA20" s="261">
        <f t="shared" si="118"/>
        <v>1</v>
      </c>
      <c r="BB20" s="261">
        <f t="shared" si="118"/>
        <v>1</v>
      </c>
      <c r="BC20" s="261">
        <f t="shared" si="118"/>
        <v>1</v>
      </c>
      <c r="BD20" s="1035">
        <f t="shared" si="118"/>
        <v>1</v>
      </c>
      <c r="BE20" s="261">
        <f t="shared" si="118"/>
        <v>1</v>
      </c>
      <c r="BF20" s="261">
        <f t="shared" si="118"/>
        <v>1</v>
      </c>
      <c r="BG20" s="261">
        <f t="shared" si="118"/>
        <v>1</v>
      </c>
      <c r="BH20" s="261">
        <f t="shared" si="118"/>
        <v>1</v>
      </c>
      <c r="BI20" s="261">
        <f t="shared" si="118"/>
        <v>1</v>
      </c>
      <c r="BJ20" s="261">
        <f t="shared" si="118"/>
        <v>1</v>
      </c>
      <c r="BK20" s="261">
        <f t="shared" si="118"/>
        <v>1</v>
      </c>
      <c r="BL20" s="261">
        <f t="shared" si="118"/>
        <v>1</v>
      </c>
      <c r="BM20" s="261">
        <f t="shared" si="118"/>
        <v>1</v>
      </c>
      <c r="BN20" s="261">
        <f t="shared" si="118"/>
        <v>1</v>
      </c>
      <c r="BO20" s="261">
        <f t="shared" si="118"/>
        <v>1</v>
      </c>
      <c r="BP20" s="1059">
        <f t="shared" si="118"/>
        <v>1</v>
      </c>
    </row>
    <row r="21" spans="6:68" s="1206" customFormat="1" ht="12" customHeight="1">
      <c r="F21" s="1203" t="s">
        <v>450</v>
      </c>
      <c r="G21" s="1204"/>
      <c r="H21" s="1204"/>
      <c r="I21" s="1205">
        <f t="shared" ref="I21:AN21" si="119">IF(I15&lt;$Q$9,0,IF(I15&lt;=$R$9,$T$9,IF(I15&lt;=$R$10,$T$10,100%)))</f>
        <v>0</v>
      </c>
      <c r="J21" s="1060">
        <f t="shared" si="119"/>
        <v>0</v>
      </c>
      <c r="K21" s="1060">
        <f t="shared" si="119"/>
        <v>0</v>
      </c>
      <c r="L21" s="1060">
        <f t="shared" si="119"/>
        <v>0</v>
      </c>
      <c r="M21" s="1060">
        <f t="shared" si="119"/>
        <v>0</v>
      </c>
      <c r="N21" s="1060">
        <f t="shared" si="119"/>
        <v>0</v>
      </c>
      <c r="O21" s="1060">
        <f t="shared" si="119"/>
        <v>0</v>
      </c>
      <c r="P21" s="1060">
        <f t="shared" si="119"/>
        <v>0</v>
      </c>
      <c r="Q21" s="1060">
        <f t="shared" si="119"/>
        <v>0</v>
      </c>
      <c r="R21" s="1060">
        <f t="shared" si="119"/>
        <v>0</v>
      </c>
      <c r="S21" s="1060">
        <f t="shared" si="119"/>
        <v>0</v>
      </c>
      <c r="T21" s="1047">
        <f t="shared" si="119"/>
        <v>0</v>
      </c>
      <c r="U21" s="1060">
        <f t="shared" si="119"/>
        <v>0</v>
      </c>
      <c r="V21" s="1060">
        <f t="shared" si="119"/>
        <v>0</v>
      </c>
      <c r="W21" s="1060">
        <f t="shared" si="119"/>
        <v>0</v>
      </c>
      <c r="X21" s="1060">
        <f t="shared" si="119"/>
        <v>0</v>
      </c>
      <c r="Y21" s="1060">
        <f t="shared" si="119"/>
        <v>0.5</v>
      </c>
      <c r="Z21" s="1060">
        <f t="shared" si="119"/>
        <v>0.5</v>
      </c>
      <c r="AA21" s="1060">
        <f t="shared" si="119"/>
        <v>0.5</v>
      </c>
      <c r="AB21" s="1060">
        <f t="shared" si="119"/>
        <v>0.5</v>
      </c>
      <c r="AC21" s="1060">
        <f t="shared" si="119"/>
        <v>0.75</v>
      </c>
      <c r="AD21" s="1060">
        <f t="shared" si="119"/>
        <v>0.75</v>
      </c>
      <c r="AE21" s="1060">
        <f t="shared" si="119"/>
        <v>0.75</v>
      </c>
      <c r="AF21" s="1047">
        <f t="shared" si="119"/>
        <v>0.75</v>
      </c>
      <c r="AG21" s="1060">
        <f t="shared" si="119"/>
        <v>1</v>
      </c>
      <c r="AH21" s="1060">
        <f t="shared" si="119"/>
        <v>1</v>
      </c>
      <c r="AI21" s="1060">
        <f t="shared" si="119"/>
        <v>1</v>
      </c>
      <c r="AJ21" s="1060">
        <f t="shared" si="119"/>
        <v>1</v>
      </c>
      <c r="AK21" s="1060">
        <f t="shared" si="119"/>
        <v>1</v>
      </c>
      <c r="AL21" s="1060">
        <f t="shared" si="119"/>
        <v>1</v>
      </c>
      <c r="AM21" s="1060">
        <f t="shared" si="119"/>
        <v>1</v>
      </c>
      <c r="AN21" s="1060">
        <f t="shared" si="119"/>
        <v>1</v>
      </c>
      <c r="AO21" s="1060">
        <f t="shared" ref="AO21:BP21" si="120">IF(AO15&lt;$Q$9,0,IF(AO15&lt;=$R$9,$T$9,IF(AO15&lt;=$R$10,$T$10,100%)))</f>
        <v>1</v>
      </c>
      <c r="AP21" s="1060">
        <f t="shared" si="120"/>
        <v>1</v>
      </c>
      <c r="AQ21" s="1060">
        <f t="shared" si="120"/>
        <v>1</v>
      </c>
      <c r="AR21" s="1047">
        <f t="shared" si="120"/>
        <v>1</v>
      </c>
      <c r="AS21" s="1060">
        <f t="shared" si="120"/>
        <v>1</v>
      </c>
      <c r="AT21" s="1060">
        <f t="shared" si="120"/>
        <v>1</v>
      </c>
      <c r="AU21" s="1060">
        <f t="shared" si="120"/>
        <v>1</v>
      </c>
      <c r="AV21" s="1060">
        <f t="shared" si="120"/>
        <v>1</v>
      </c>
      <c r="AW21" s="1060">
        <f t="shared" si="120"/>
        <v>1</v>
      </c>
      <c r="AX21" s="1060">
        <f t="shared" si="120"/>
        <v>1</v>
      </c>
      <c r="AY21" s="1060">
        <f t="shared" si="120"/>
        <v>1</v>
      </c>
      <c r="AZ21" s="1060">
        <f t="shared" si="120"/>
        <v>1</v>
      </c>
      <c r="BA21" s="1060">
        <f t="shared" si="120"/>
        <v>1</v>
      </c>
      <c r="BB21" s="1060">
        <f t="shared" si="120"/>
        <v>1</v>
      </c>
      <c r="BC21" s="1060">
        <f t="shared" si="120"/>
        <v>1</v>
      </c>
      <c r="BD21" s="1047">
        <f t="shared" si="120"/>
        <v>1</v>
      </c>
      <c r="BE21" s="1060">
        <f t="shared" si="120"/>
        <v>1</v>
      </c>
      <c r="BF21" s="1060">
        <f t="shared" si="120"/>
        <v>1</v>
      </c>
      <c r="BG21" s="1060">
        <f t="shared" si="120"/>
        <v>1</v>
      </c>
      <c r="BH21" s="1060">
        <f t="shared" si="120"/>
        <v>1</v>
      </c>
      <c r="BI21" s="1060">
        <f t="shared" si="120"/>
        <v>1</v>
      </c>
      <c r="BJ21" s="1060">
        <f t="shared" si="120"/>
        <v>1</v>
      </c>
      <c r="BK21" s="1060">
        <f t="shared" si="120"/>
        <v>1</v>
      </c>
      <c r="BL21" s="1060">
        <f t="shared" si="120"/>
        <v>1</v>
      </c>
      <c r="BM21" s="1060">
        <f t="shared" si="120"/>
        <v>1</v>
      </c>
      <c r="BN21" s="1060">
        <f t="shared" si="120"/>
        <v>1</v>
      </c>
      <c r="BO21" s="1060">
        <f t="shared" si="120"/>
        <v>1</v>
      </c>
      <c r="BP21" s="1061">
        <f t="shared" si="120"/>
        <v>1</v>
      </c>
    </row>
    <row r="22" spans="6:68" ht="12" customHeight="1">
      <c r="F22" s="233" t="s">
        <v>319</v>
      </c>
      <c r="G22" s="1062" t="s">
        <v>553</v>
      </c>
      <c r="H22" s="1062" t="s">
        <v>321</v>
      </c>
      <c r="I22" s="262"/>
      <c r="J22" s="1063"/>
      <c r="K22" s="1063"/>
      <c r="L22" s="1063"/>
      <c r="M22" s="1063"/>
      <c r="N22" s="1063"/>
      <c r="O22" s="1063"/>
      <c r="P22" s="1063"/>
      <c r="Q22" s="1063"/>
      <c r="R22" s="1063"/>
      <c r="S22" s="1063"/>
      <c r="T22" s="1036"/>
      <c r="U22" s="1063"/>
      <c r="V22" s="1063"/>
      <c r="W22" s="1063"/>
      <c r="X22" s="1063"/>
      <c r="Y22" s="1063"/>
      <c r="Z22" s="1063"/>
      <c r="AA22" s="1063"/>
      <c r="AB22" s="1063"/>
      <c r="AC22" s="1063"/>
      <c r="AD22" s="1063"/>
      <c r="AE22" s="1063"/>
      <c r="AF22" s="1036"/>
      <c r="AG22" s="1063"/>
      <c r="AH22" s="1063"/>
      <c r="AI22" s="1063"/>
      <c r="AJ22" s="1063"/>
      <c r="AK22" s="1063"/>
      <c r="AL22" s="1063"/>
      <c r="AM22" s="1063"/>
      <c r="AN22" s="1063"/>
      <c r="AO22" s="1063"/>
      <c r="AP22" s="1063"/>
      <c r="AQ22" s="1063"/>
      <c r="AR22" s="1036"/>
      <c r="AS22" s="1063"/>
      <c r="AT22" s="1063"/>
      <c r="AU22" s="1063"/>
      <c r="AV22" s="1063"/>
      <c r="AW22" s="1063"/>
      <c r="AX22" s="1063"/>
      <c r="AY22" s="1063"/>
      <c r="AZ22" s="1063"/>
      <c r="BA22" s="1063"/>
      <c r="BB22" s="1063"/>
      <c r="BC22" s="1063"/>
      <c r="BD22" s="1036"/>
      <c r="BE22" s="1063"/>
      <c r="BF22" s="1063"/>
      <c r="BG22" s="1063"/>
      <c r="BH22" s="1063"/>
      <c r="BI22" s="1063"/>
      <c r="BJ22" s="1063"/>
      <c r="BK22" s="1063"/>
      <c r="BL22" s="1063"/>
      <c r="BM22" s="1063"/>
      <c r="BN22" s="1063"/>
      <c r="BO22" s="1063"/>
      <c r="BP22" s="1064"/>
    </row>
    <row r="23" spans="6:68" ht="12" customHeight="1">
      <c r="F23" s="232" t="s">
        <v>551</v>
      </c>
      <c r="G23" s="1065">
        <v>0.03</v>
      </c>
      <c r="H23" s="257">
        <f>L3</f>
        <v>3288</v>
      </c>
      <c r="I23" s="235">
        <f t="shared" ref="I23" si="121">(H$19*$H23)*((1+$G23)^I$14)</f>
        <v>0</v>
      </c>
      <c r="J23" s="257">
        <f t="shared" ref="J23" si="122">(I$19*$H23)*((1+$G23)^J$14)</f>
        <v>0</v>
      </c>
      <c r="K23" s="257">
        <f t="shared" ref="K23" si="123">(J$19*$H23)*((1+$G23)^K$14)</f>
        <v>0</v>
      </c>
      <c r="L23" s="1066">
        <f t="shared" ref="L23" si="124">(K$19*$H23)*((1+$G23)^L$14)</f>
        <v>0</v>
      </c>
      <c r="M23" s="1066">
        <f t="shared" ref="M23" si="125">(L$19*$H23)*((1+$G23)^M$14)</f>
        <v>0</v>
      </c>
      <c r="N23" s="1066">
        <f t="shared" ref="N23" si="126">(M$19*$H23)*((1+$G23)^N$14)</f>
        <v>0</v>
      </c>
      <c r="O23" s="1066">
        <f t="shared" ref="O23" si="127">(N$19*$H23)*((1+$G23)^O$14)</f>
        <v>0</v>
      </c>
      <c r="P23" s="1066">
        <f t="shared" ref="P23" si="128">(O$19*$H23)*((1+$G23)^P$14)</f>
        <v>0</v>
      </c>
      <c r="Q23" s="1066">
        <f t="shared" ref="Q23" si="129">(P$19*$H23)*((1+$G23)^Q$14)</f>
        <v>0</v>
      </c>
      <c r="R23" s="1066">
        <f t="shared" ref="R23" si="130">(Q$19*$H23)*((1+$G23)^R$14)</f>
        <v>0</v>
      </c>
      <c r="S23" s="1066">
        <f t="shared" ref="S23" si="131">(R$19*$H23)*((1+$G23)^S$14)</f>
        <v>0</v>
      </c>
      <c r="T23" s="1037">
        <f t="shared" ref="T23" si="132">(S$19*$H23)*((1+$G23)^T$14)</f>
        <v>0</v>
      </c>
      <c r="U23" s="1066">
        <f t="shared" ref="U23" si="133">(T$19*$H23)*((1+$G23)^U$14)</f>
        <v>0</v>
      </c>
      <c r="V23" s="1066">
        <f t="shared" ref="V23" si="134">(U$19*$H23)*((1+$G23)^V$14)</f>
        <v>0</v>
      </c>
      <c r="W23" s="1066">
        <f t="shared" ref="W23" si="135">(V$19*$H23)*((1+$G23)^W$14)</f>
        <v>0</v>
      </c>
      <c r="X23" s="1066">
        <f t="shared" ref="X23" si="136">(W$19*$H23)*((1+$G23)^X$14)</f>
        <v>0</v>
      </c>
      <c r="Y23" s="1066">
        <f t="shared" ref="Y23" si="137">(X$19*$H23)*((1+$G23)^Y$14)</f>
        <v>0</v>
      </c>
      <c r="Z23" s="1066">
        <f>(Y$19*$H23)*((1+$G23)^Z$14)</f>
        <v>0</v>
      </c>
      <c r="AA23" s="1066">
        <f>(Z$19*$H23)*((1+$G23)^AA$14)</f>
        <v>0</v>
      </c>
      <c r="AB23" s="1066">
        <f>(AA$19*$H23)*((1+$G23)^AB$14)</f>
        <v>0</v>
      </c>
      <c r="AC23" s="1066">
        <f>(AB$19*$H23)*((1+$G23)^AC$14)</f>
        <v>0</v>
      </c>
      <c r="AD23" s="1066">
        <f>(AC$19*$H23)*((1+$G23)^AD$14)</f>
        <v>34882.392</v>
      </c>
      <c r="AE23" s="1066">
        <f t="shared" ref="AE23" si="138">(AD$19*$H23)*((1+$G23)^AE$14)</f>
        <v>69764.784</v>
      </c>
      <c r="AF23" s="1037">
        <f t="shared" ref="AF23" si="139">(AE$19*$H23)*((1+$G23)^AF$14)</f>
        <v>104647.17599999999</v>
      </c>
      <c r="AG23" s="1066">
        <f t="shared" ref="AG23" si="140">(AF$19*$H23)*((1+$G23)^AG$14)</f>
        <v>143715.45504</v>
      </c>
      <c r="AH23" s="1066">
        <f t="shared" ref="AH23" si="141">(AG$19*$H23)*((1+$G23)^AH$14)</f>
        <v>179644.31880000001</v>
      </c>
      <c r="AI23" s="1066">
        <f t="shared" ref="AI23" si="142">(AH$19*$H23)*((1+$G23)^AI$14)</f>
        <v>215573.18255999999</v>
      </c>
      <c r="AJ23" s="1066">
        <f t="shared" ref="AJ23" si="143">(AI$19*$H23)*((1+$G23)^AJ$14)</f>
        <v>219166.068936</v>
      </c>
      <c r="AK23" s="1066">
        <f t="shared" ref="AK23" si="144">(AJ$19*$H23)*((1+$G23)^AK$14)</f>
        <v>219166.068936</v>
      </c>
      <c r="AL23" s="1066">
        <f t="shared" ref="AL23" si="145">(AK$19*$H23)*((1+$G23)^AL$14)</f>
        <v>219166.068936</v>
      </c>
      <c r="AM23" s="1066">
        <f t="shared" ref="AM23" si="146">(AL$19*$H23)*((1+$G23)^AM$14)</f>
        <v>219166.068936</v>
      </c>
      <c r="AN23" s="1066">
        <f t="shared" ref="AN23" si="147">(AM$19*$H23)*((1+$G23)^AN$14)</f>
        <v>219166.068936</v>
      </c>
      <c r="AO23" s="1066">
        <f t="shared" ref="AO23" si="148">(AN$19*$H23)*((1+$G23)^AO$14)</f>
        <v>219166.068936</v>
      </c>
      <c r="AP23" s="1066">
        <f t="shared" ref="AP23" si="149">(AO$19*$H23)*((1+$G23)^AP$14)</f>
        <v>219166.068936</v>
      </c>
      <c r="AQ23" s="1066">
        <f t="shared" ref="AQ23:AR23" si="150">(AP$19*$H23)*((1+$G23)^AQ$14)</f>
        <v>219166.068936</v>
      </c>
      <c r="AR23" s="1037">
        <f t="shared" si="150"/>
        <v>219166.068936</v>
      </c>
      <c r="AS23" s="1066">
        <f t="shared" ref="AS23" si="151">(AR$19*$H23)*((1+$G23)^AS$14)</f>
        <v>225741.05100407999</v>
      </c>
      <c r="AT23" s="1066">
        <f t="shared" ref="AT23" si="152">(AS$19*$H23)*((1+$G23)^AT$14)</f>
        <v>225741.05100407999</v>
      </c>
      <c r="AU23" s="1066">
        <f t="shared" ref="AU23" si="153">(AT$19*$H23)*((1+$G23)^AU$14)</f>
        <v>225741.05100407999</v>
      </c>
      <c r="AV23" s="1066">
        <f t="shared" ref="AV23" si="154">(AU$19*$H23)*((1+$G23)^AV$14)</f>
        <v>225741.05100407999</v>
      </c>
      <c r="AW23" s="1066">
        <f t="shared" ref="AW23" si="155">(AV$19*$H23)*((1+$G23)^AW$14)</f>
        <v>225741.05100407999</v>
      </c>
      <c r="AX23" s="1066">
        <f t="shared" ref="AX23" si="156">(AW$19*$H23)*((1+$G23)^AX$14)</f>
        <v>225741.05100407999</v>
      </c>
      <c r="AY23" s="1066">
        <f t="shared" ref="AY23" si="157">(AX$19*$H23)*((1+$G23)^AY$14)</f>
        <v>225741.05100407999</v>
      </c>
      <c r="AZ23" s="1066">
        <f t="shared" ref="AZ23" si="158">(AY$19*$H23)*((1+$G23)^AZ$14)</f>
        <v>225741.05100407999</v>
      </c>
      <c r="BA23" s="1066">
        <f t="shared" ref="BA23" si="159">(AZ$19*$H23)*((1+$G23)^BA$14)</f>
        <v>225741.05100407999</v>
      </c>
      <c r="BB23" s="1066">
        <f t="shared" ref="BB23" si="160">(BA$19*$H23)*((1+$G23)^BB$14)</f>
        <v>225741.05100407999</v>
      </c>
      <c r="BC23" s="1066">
        <f t="shared" ref="BC23" si="161">(BB$19*$H23)*((1+$G23)^BC$14)</f>
        <v>225741.05100407999</v>
      </c>
      <c r="BD23" s="1037">
        <f t="shared" ref="BD23" si="162">(BC$19*$H23)*((1+$G23)^BD$14)</f>
        <v>225741.05100407999</v>
      </c>
      <c r="BE23" s="1066">
        <f t="shared" ref="BE23" si="163">(BD$19*$H23)*((1+$G23)^BE$14)</f>
        <v>232513.28253420236</v>
      </c>
      <c r="BF23" s="1066">
        <f t="shared" ref="BF23" si="164">(BE$19*$H23)*((1+$G23)^BF$14)</f>
        <v>232513.28253420236</v>
      </c>
      <c r="BG23" s="1066">
        <f t="shared" ref="BG23" si="165">(BF$19*$H23)*((1+$G23)^BG$14)</f>
        <v>232513.28253420236</v>
      </c>
      <c r="BH23" s="1066">
        <f t="shared" ref="BH23" si="166">(BG$19*$H23)*((1+$G23)^BH$14)</f>
        <v>232513.28253420236</v>
      </c>
      <c r="BI23" s="1066">
        <f t="shared" ref="BI23" si="167">(BH$19*$H23)*((1+$G23)^BI$14)</f>
        <v>232513.28253420236</v>
      </c>
      <c r="BJ23" s="1066">
        <f t="shared" ref="BJ23" si="168">(BI$19*$H23)*((1+$G23)^BJ$14)</f>
        <v>232513.28253420236</v>
      </c>
      <c r="BK23" s="1066">
        <f t="shared" ref="BK23" si="169">(BJ$19*$H23)*((1+$G23)^BK$14)</f>
        <v>232513.28253420236</v>
      </c>
      <c r="BL23" s="1066">
        <f t="shared" ref="BL23" si="170">(BK$19*$H23)*((1+$G23)^BL$14)</f>
        <v>232513.28253420236</v>
      </c>
      <c r="BM23" s="1066">
        <f t="shared" ref="BM23" si="171">(BL$19*$H23)*((1+$G23)^BM$14)</f>
        <v>232513.28253420236</v>
      </c>
      <c r="BN23" s="1066">
        <f t="shared" ref="BN23" si="172">(BM$19*$H23)*((1+$G23)^BN$14)</f>
        <v>232513.28253420236</v>
      </c>
      <c r="BO23" s="1066">
        <f t="shared" ref="BO23" si="173">(BN$19*$H23)*((1+$G23)^BO$14)</f>
        <v>232513.28253420236</v>
      </c>
      <c r="BP23" s="1067">
        <f t="shared" ref="BP23" si="174">(BO$19*$H23)*((1+$G23)^BP$14)</f>
        <v>232513.28253420236</v>
      </c>
    </row>
    <row r="24" spans="6:68" ht="12" customHeight="1">
      <c r="F24" s="232" t="s">
        <v>335</v>
      </c>
      <c r="G24" s="1065">
        <v>0.03</v>
      </c>
      <c r="H24" s="257">
        <f>N7/K7</f>
        <v>120</v>
      </c>
      <c r="I24" s="235">
        <f t="shared" ref="I24:R26" si="175">(($H24/12)*I$20)*((1+$G24)^I$14)*$K$3</f>
        <v>0</v>
      </c>
      <c r="J24" s="257">
        <f t="shared" si="175"/>
        <v>0</v>
      </c>
      <c r="K24" s="257">
        <f t="shared" si="175"/>
        <v>0</v>
      </c>
      <c r="L24" s="1066">
        <f t="shared" si="175"/>
        <v>0</v>
      </c>
      <c r="M24" s="257">
        <f t="shared" si="175"/>
        <v>0</v>
      </c>
      <c r="N24" s="257">
        <f t="shared" si="175"/>
        <v>0</v>
      </c>
      <c r="O24" s="257">
        <f t="shared" si="175"/>
        <v>0</v>
      </c>
      <c r="P24" s="257">
        <f t="shared" si="175"/>
        <v>0</v>
      </c>
      <c r="Q24" s="257">
        <f t="shared" si="175"/>
        <v>0</v>
      </c>
      <c r="R24" s="257">
        <f t="shared" si="175"/>
        <v>0</v>
      </c>
      <c r="S24" s="257">
        <f t="shared" ref="S24:AB26" si="176">(($H24/12)*S$20)*((1+$G24)^S$14)*$K$3</f>
        <v>0</v>
      </c>
      <c r="T24" s="1038">
        <f t="shared" si="176"/>
        <v>0</v>
      </c>
      <c r="U24" s="257">
        <f t="shared" si="176"/>
        <v>0</v>
      </c>
      <c r="V24" s="257">
        <f t="shared" si="176"/>
        <v>0</v>
      </c>
      <c r="W24" s="257">
        <f t="shared" si="176"/>
        <v>0</v>
      </c>
      <c r="X24" s="257">
        <f t="shared" si="176"/>
        <v>0</v>
      </c>
      <c r="Y24" s="257">
        <f t="shared" si="176"/>
        <v>0</v>
      </c>
      <c r="Z24" s="257">
        <f t="shared" si="176"/>
        <v>0</v>
      </c>
      <c r="AA24" s="257">
        <f t="shared" si="176"/>
        <v>0</v>
      </c>
      <c r="AB24" s="257">
        <f t="shared" si="176"/>
        <v>0</v>
      </c>
      <c r="AC24" s="257">
        <f t="shared" ref="AC24:AL26" si="177">(($H24/12)*AC$20)*((1+$G24)^AC$14)*$K$3</f>
        <v>106.08999999999999</v>
      </c>
      <c r="AD24" s="257">
        <f t="shared" si="177"/>
        <v>212.17999999999998</v>
      </c>
      <c r="AE24" s="257">
        <f t="shared" si="177"/>
        <v>318.27000000000004</v>
      </c>
      <c r="AF24" s="1038">
        <f t="shared" si="177"/>
        <v>424.35999999999996</v>
      </c>
      <c r="AG24" s="257">
        <f t="shared" si="177"/>
        <v>546.36350000000016</v>
      </c>
      <c r="AH24" s="257">
        <f t="shared" si="177"/>
        <v>655.63620000000003</v>
      </c>
      <c r="AI24" s="257">
        <f t="shared" si="177"/>
        <v>666.56347000000005</v>
      </c>
      <c r="AJ24" s="257">
        <f t="shared" si="177"/>
        <v>666.56347000000005</v>
      </c>
      <c r="AK24" s="257">
        <f t="shared" si="177"/>
        <v>666.56347000000005</v>
      </c>
      <c r="AL24" s="257">
        <f t="shared" si="177"/>
        <v>666.56347000000005</v>
      </c>
      <c r="AM24" s="257">
        <f t="shared" ref="AM24:AV26" si="178">(($H24/12)*AM$20)*((1+$G24)^AM$14)*$K$3</f>
        <v>666.56347000000005</v>
      </c>
      <c r="AN24" s="257">
        <f t="shared" si="178"/>
        <v>666.56347000000005</v>
      </c>
      <c r="AO24" s="257">
        <f t="shared" si="178"/>
        <v>666.56347000000005</v>
      </c>
      <c r="AP24" s="257">
        <f t="shared" si="178"/>
        <v>666.56347000000005</v>
      </c>
      <c r="AQ24" s="257">
        <f t="shared" si="178"/>
        <v>666.56347000000005</v>
      </c>
      <c r="AR24" s="1038">
        <f t="shared" si="178"/>
        <v>666.56347000000005</v>
      </c>
      <c r="AS24" s="257">
        <f t="shared" si="178"/>
        <v>686.56037409999988</v>
      </c>
      <c r="AT24" s="257">
        <f t="shared" si="178"/>
        <v>686.56037409999988</v>
      </c>
      <c r="AU24" s="257">
        <f t="shared" si="178"/>
        <v>686.56037409999988</v>
      </c>
      <c r="AV24" s="257">
        <f t="shared" si="178"/>
        <v>686.56037409999988</v>
      </c>
      <c r="AW24" s="257">
        <f t="shared" ref="AW24:BF26" si="179">(($H24/12)*AW$20)*((1+$G24)^AW$14)*$K$3</f>
        <v>686.56037409999988</v>
      </c>
      <c r="AX24" s="257">
        <f t="shared" si="179"/>
        <v>686.56037409999988</v>
      </c>
      <c r="AY24" s="257">
        <f t="shared" si="179"/>
        <v>686.56037409999988</v>
      </c>
      <c r="AZ24" s="257">
        <f t="shared" si="179"/>
        <v>686.56037409999988</v>
      </c>
      <c r="BA24" s="257">
        <f t="shared" si="179"/>
        <v>686.56037409999988</v>
      </c>
      <c r="BB24" s="257">
        <f t="shared" si="179"/>
        <v>686.56037409999988</v>
      </c>
      <c r="BC24" s="257">
        <f t="shared" si="179"/>
        <v>686.56037409999988</v>
      </c>
      <c r="BD24" s="1038">
        <f t="shared" si="179"/>
        <v>686.56037409999988</v>
      </c>
      <c r="BE24" s="257">
        <f t="shared" si="179"/>
        <v>707.15718532299991</v>
      </c>
      <c r="BF24" s="257">
        <f t="shared" si="179"/>
        <v>707.15718532299991</v>
      </c>
      <c r="BG24" s="257">
        <f t="shared" ref="BG24:BP26" si="180">(($H24/12)*BG$20)*((1+$G24)^BG$14)*$K$3</f>
        <v>707.15718532299991</v>
      </c>
      <c r="BH24" s="257">
        <f t="shared" si="180"/>
        <v>707.15718532299991</v>
      </c>
      <c r="BI24" s="257">
        <f t="shared" si="180"/>
        <v>707.15718532299991</v>
      </c>
      <c r="BJ24" s="257">
        <f t="shared" si="180"/>
        <v>707.15718532299991</v>
      </c>
      <c r="BK24" s="257">
        <f t="shared" si="180"/>
        <v>707.15718532299991</v>
      </c>
      <c r="BL24" s="257">
        <f t="shared" si="180"/>
        <v>707.15718532299991</v>
      </c>
      <c r="BM24" s="257">
        <f t="shared" si="180"/>
        <v>707.15718532299991</v>
      </c>
      <c r="BN24" s="257">
        <f t="shared" si="180"/>
        <v>707.15718532299991</v>
      </c>
      <c r="BO24" s="257">
        <f t="shared" si="180"/>
        <v>707.15718532299991</v>
      </c>
      <c r="BP24" s="1068">
        <f t="shared" si="180"/>
        <v>707.15718532299991</v>
      </c>
    </row>
    <row r="25" spans="6:68" ht="12" customHeight="1">
      <c r="F25" s="232" t="s">
        <v>552</v>
      </c>
      <c r="G25" s="1065">
        <v>0.03</v>
      </c>
      <c r="H25" s="257">
        <f>N8/K8</f>
        <v>80</v>
      </c>
      <c r="I25" s="235">
        <f t="shared" si="175"/>
        <v>0</v>
      </c>
      <c r="J25" s="257">
        <f t="shared" si="175"/>
        <v>0</v>
      </c>
      <c r="K25" s="257">
        <f t="shared" si="175"/>
        <v>0</v>
      </c>
      <c r="L25" s="1066">
        <f t="shared" si="175"/>
        <v>0</v>
      </c>
      <c r="M25" s="257">
        <f t="shared" si="175"/>
        <v>0</v>
      </c>
      <c r="N25" s="257">
        <f t="shared" si="175"/>
        <v>0</v>
      </c>
      <c r="O25" s="257">
        <f t="shared" si="175"/>
        <v>0</v>
      </c>
      <c r="P25" s="257">
        <f t="shared" si="175"/>
        <v>0</v>
      </c>
      <c r="Q25" s="257">
        <f t="shared" si="175"/>
        <v>0</v>
      </c>
      <c r="R25" s="257">
        <f t="shared" si="175"/>
        <v>0</v>
      </c>
      <c r="S25" s="257">
        <f t="shared" si="176"/>
        <v>0</v>
      </c>
      <c r="T25" s="1038">
        <f t="shared" si="176"/>
        <v>0</v>
      </c>
      <c r="U25" s="257">
        <f t="shared" si="176"/>
        <v>0</v>
      </c>
      <c r="V25" s="257">
        <f t="shared" si="176"/>
        <v>0</v>
      </c>
      <c r="W25" s="257">
        <f t="shared" si="176"/>
        <v>0</v>
      </c>
      <c r="X25" s="257">
        <f t="shared" si="176"/>
        <v>0</v>
      </c>
      <c r="Y25" s="257">
        <f t="shared" si="176"/>
        <v>0</v>
      </c>
      <c r="Z25" s="257">
        <f t="shared" si="176"/>
        <v>0</v>
      </c>
      <c r="AA25" s="257">
        <f t="shared" si="176"/>
        <v>0</v>
      </c>
      <c r="AB25" s="257">
        <f t="shared" si="176"/>
        <v>0</v>
      </c>
      <c r="AC25" s="257">
        <f t="shared" si="177"/>
        <v>70.726666666666659</v>
      </c>
      <c r="AD25" s="257">
        <f t="shared" si="177"/>
        <v>141.45333333333332</v>
      </c>
      <c r="AE25" s="257">
        <f t="shared" si="177"/>
        <v>212.18</v>
      </c>
      <c r="AF25" s="1038">
        <f t="shared" si="177"/>
        <v>282.90666666666664</v>
      </c>
      <c r="AG25" s="257">
        <f t="shared" si="177"/>
        <v>364.24233333333336</v>
      </c>
      <c r="AH25" s="257">
        <f t="shared" si="177"/>
        <v>437.0908</v>
      </c>
      <c r="AI25" s="257">
        <f t="shared" si="177"/>
        <v>444.37564666666668</v>
      </c>
      <c r="AJ25" s="257">
        <f t="shared" si="177"/>
        <v>444.37564666666668</v>
      </c>
      <c r="AK25" s="257">
        <f t="shared" si="177"/>
        <v>444.37564666666668</v>
      </c>
      <c r="AL25" s="257">
        <f t="shared" si="177"/>
        <v>444.37564666666668</v>
      </c>
      <c r="AM25" s="257">
        <f t="shared" si="178"/>
        <v>444.37564666666668</v>
      </c>
      <c r="AN25" s="257">
        <f t="shared" si="178"/>
        <v>444.37564666666668</v>
      </c>
      <c r="AO25" s="257">
        <f t="shared" si="178"/>
        <v>444.37564666666668</v>
      </c>
      <c r="AP25" s="257">
        <f t="shared" si="178"/>
        <v>444.37564666666668</v>
      </c>
      <c r="AQ25" s="257">
        <f t="shared" si="178"/>
        <v>444.37564666666668</v>
      </c>
      <c r="AR25" s="1038">
        <f t="shared" si="178"/>
        <v>444.37564666666668</v>
      </c>
      <c r="AS25" s="257">
        <f t="shared" si="178"/>
        <v>457.70691606666668</v>
      </c>
      <c r="AT25" s="257">
        <f t="shared" si="178"/>
        <v>457.70691606666668</v>
      </c>
      <c r="AU25" s="257">
        <f t="shared" si="178"/>
        <v>457.70691606666668</v>
      </c>
      <c r="AV25" s="257">
        <f t="shared" si="178"/>
        <v>457.70691606666668</v>
      </c>
      <c r="AW25" s="257">
        <f t="shared" si="179"/>
        <v>457.70691606666668</v>
      </c>
      <c r="AX25" s="257">
        <f t="shared" si="179"/>
        <v>457.70691606666668</v>
      </c>
      <c r="AY25" s="257">
        <f t="shared" si="179"/>
        <v>457.70691606666668</v>
      </c>
      <c r="AZ25" s="257">
        <f t="shared" si="179"/>
        <v>457.70691606666668</v>
      </c>
      <c r="BA25" s="257">
        <f t="shared" si="179"/>
        <v>457.70691606666668</v>
      </c>
      <c r="BB25" s="257">
        <f t="shared" si="179"/>
        <v>457.70691606666668</v>
      </c>
      <c r="BC25" s="257">
        <f t="shared" si="179"/>
        <v>457.70691606666668</v>
      </c>
      <c r="BD25" s="1038">
        <f t="shared" si="179"/>
        <v>457.70691606666668</v>
      </c>
      <c r="BE25" s="257">
        <f t="shared" si="179"/>
        <v>471.43812354866662</v>
      </c>
      <c r="BF25" s="257">
        <f t="shared" si="179"/>
        <v>471.43812354866662</v>
      </c>
      <c r="BG25" s="257">
        <f t="shared" si="180"/>
        <v>471.43812354866662</v>
      </c>
      <c r="BH25" s="257">
        <f t="shared" si="180"/>
        <v>471.43812354866662</v>
      </c>
      <c r="BI25" s="257">
        <f t="shared" si="180"/>
        <v>471.43812354866662</v>
      </c>
      <c r="BJ25" s="257">
        <f t="shared" si="180"/>
        <v>471.43812354866662</v>
      </c>
      <c r="BK25" s="257">
        <f t="shared" si="180"/>
        <v>471.43812354866662</v>
      </c>
      <c r="BL25" s="257">
        <f t="shared" si="180"/>
        <v>471.43812354866662</v>
      </c>
      <c r="BM25" s="257">
        <f t="shared" si="180"/>
        <v>471.43812354866662</v>
      </c>
      <c r="BN25" s="257">
        <f t="shared" si="180"/>
        <v>471.43812354866662</v>
      </c>
      <c r="BO25" s="257">
        <f t="shared" si="180"/>
        <v>471.43812354866662</v>
      </c>
      <c r="BP25" s="1068">
        <f t="shared" si="180"/>
        <v>471.43812354866662</v>
      </c>
    </row>
    <row r="26" spans="6:68" ht="12" customHeight="1">
      <c r="F26" s="232" t="s">
        <v>304</v>
      </c>
      <c r="G26" s="1065">
        <v>0.03</v>
      </c>
      <c r="H26" s="257">
        <f>N9/K9</f>
        <v>0</v>
      </c>
      <c r="I26" s="263">
        <f t="shared" si="175"/>
        <v>0</v>
      </c>
      <c r="J26" s="1069">
        <f t="shared" si="175"/>
        <v>0</v>
      </c>
      <c r="K26" s="1069">
        <f t="shared" si="175"/>
        <v>0</v>
      </c>
      <c r="L26" s="1070">
        <f t="shared" si="175"/>
        <v>0</v>
      </c>
      <c r="M26" s="1069">
        <f t="shared" si="175"/>
        <v>0</v>
      </c>
      <c r="N26" s="1069">
        <f t="shared" si="175"/>
        <v>0</v>
      </c>
      <c r="O26" s="1069">
        <f t="shared" si="175"/>
        <v>0</v>
      </c>
      <c r="P26" s="1069">
        <f t="shared" si="175"/>
        <v>0</v>
      </c>
      <c r="Q26" s="1069">
        <f t="shared" si="175"/>
        <v>0</v>
      </c>
      <c r="R26" s="1069">
        <f t="shared" si="175"/>
        <v>0</v>
      </c>
      <c r="S26" s="1069">
        <f t="shared" si="176"/>
        <v>0</v>
      </c>
      <c r="T26" s="1039">
        <f t="shared" si="176"/>
        <v>0</v>
      </c>
      <c r="U26" s="1069">
        <f t="shared" si="176"/>
        <v>0</v>
      </c>
      <c r="V26" s="1069">
        <f t="shared" si="176"/>
        <v>0</v>
      </c>
      <c r="W26" s="1069">
        <f t="shared" si="176"/>
        <v>0</v>
      </c>
      <c r="X26" s="1069">
        <f t="shared" si="176"/>
        <v>0</v>
      </c>
      <c r="Y26" s="1069">
        <f t="shared" si="176"/>
        <v>0</v>
      </c>
      <c r="Z26" s="1069">
        <f t="shared" si="176"/>
        <v>0</v>
      </c>
      <c r="AA26" s="1069">
        <f t="shared" si="176"/>
        <v>0</v>
      </c>
      <c r="AB26" s="1069">
        <f t="shared" si="176"/>
        <v>0</v>
      </c>
      <c r="AC26" s="1069">
        <f t="shared" si="177"/>
        <v>0</v>
      </c>
      <c r="AD26" s="1069">
        <f t="shared" si="177"/>
        <v>0</v>
      </c>
      <c r="AE26" s="1069">
        <f t="shared" si="177"/>
        <v>0</v>
      </c>
      <c r="AF26" s="1039">
        <f t="shared" si="177"/>
        <v>0</v>
      </c>
      <c r="AG26" s="1069">
        <f t="shared" si="177"/>
        <v>0</v>
      </c>
      <c r="AH26" s="1069">
        <f t="shared" si="177"/>
        <v>0</v>
      </c>
      <c r="AI26" s="1069">
        <f t="shared" si="177"/>
        <v>0</v>
      </c>
      <c r="AJ26" s="1069">
        <f t="shared" si="177"/>
        <v>0</v>
      </c>
      <c r="AK26" s="1069">
        <f t="shared" si="177"/>
        <v>0</v>
      </c>
      <c r="AL26" s="1069">
        <f t="shared" si="177"/>
        <v>0</v>
      </c>
      <c r="AM26" s="1069">
        <f t="shared" si="178"/>
        <v>0</v>
      </c>
      <c r="AN26" s="1069">
        <f t="shared" si="178"/>
        <v>0</v>
      </c>
      <c r="AO26" s="1069">
        <f t="shared" si="178"/>
        <v>0</v>
      </c>
      <c r="AP26" s="1069">
        <f t="shared" si="178"/>
        <v>0</v>
      </c>
      <c r="AQ26" s="1069">
        <f t="shared" si="178"/>
        <v>0</v>
      </c>
      <c r="AR26" s="1039">
        <f t="shared" si="178"/>
        <v>0</v>
      </c>
      <c r="AS26" s="1069">
        <f t="shared" si="178"/>
        <v>0</v>
      </c>
      <c r="AT26" s="1069">
        <f t="shared" si="178"/>
        <v>0</v>
      </c>
      <c r="AU26" s="1069">
        <f t="shared" si="178"/>
        <v>0</v>
      </c>
      <c r="AV26" s="1069">
        <f t="shared" si="178"/>
        <v>0</v>
      </c>
      <c r="AW26" s="1069">
        <f t="shared" si="179"/>
        <v>0</v>
      </c>
      <c r="AX26" s="1069">
        <f t="shared" si="179"/>
        <v>0</v>
      </c>
      <c r="AY26" s="1069">
        <f t="shared" si="179"/>
        <v>0</v>
      </c>
      <c r="AZ26" s="1069">
        <f t="shared" si="179"/>
        <v>0</v>
      </c>
      <c r="BA26" s="1069">
        <f t="shared" si="179"/>
        <v>0</v>
      </c>
      <c r="BB26" s="1069">
        <f t="shared" si="179"/>
        <v>0</v>
      </c>
      <c r="BC26" s="1069">
        <f t="shared" si="179"/>
        <v>0</v>
      </c>
      <c r="BD26" s="1039">
        <f t="shared" si="179"/>
        <v>0</v>
      </c>
      <c r="BE26" s="1069">
        <f t="shared" si="179"/>
        <v>0</v>
      </c>
      <c r="BF26" s="1069">
        <f t="shared" si="179"/>
        <v>0</v>
      </c>
      <c r="BG26" s="1069">
        <f t="shared" si="180"/>
        <v>0</v>
      </c>
      <c r="BH26" s="1069">
        <f t="shared" si="180"/>
        <v>0</v>
      </c>
      <c r="BI26" s="1069">
        <f t="shared" si="180"/>
        <v>0</v>
      </c>
      <c r="BJ26" s="1069">
        <f t="shared" si="180"/>
        <v>0</v>
      </c>
      <c r="BK26" s="1069">
        <f t="shared" si="180"/>
        <v>0</v>
      </c>
      <c r="BL26" s="1069">
        <f t="shared" si="180"/>
        <v>0</v>
      </c>
      <c r="BM26" s="1069">
        <f t="shared" si="180"/>
        <v>0</v>
      </c>
      <c r="BN26" s="1069">
        <f t="shared" si="180"/>
        <v>0</v>
      </c>
      <c r="BO26" s="1069">
        <f t="shared" si="180"/>
        <v>0</v>
      </c>
      <c r="BP26" s="1071">
        <f t="shared" si="180"/>
        <v>0</v>
      </c>
    </row>
    <row r="27" spans="6:68" ht="12" customHeight="1">
      <c r="F27" s="232" t="s">
        <v>445</v>
      </c>
      <c r="G27" s="1065"/>
      <c r="H27" s="257"/>
      <c r="I27" s="235">
        <f>SUM(I23:I26)</f>
        <v>0</v>
      </c>
      <c r="J27" s="257">
        <f t="shared" ref="J27:AD27" si="181">SUM(J23:J26)</f>
        <v>0</v>
      </c>
      <c r="K27" s="257">
        <f t="shared" si="181"/>
        <v>0</v>
      </c>
      <c r="L27" s="1066">
        <f t="shared" si="181"/>
        <v>0</v>
      </c>
      <c r="M27" s="257">
        <f t="shared" si="181"/>
        <v>0</v>
      </c>
      <c r="N27" s="257">
        <f t="shared" si="181"/>
        <v>0</v>
      </c>
      <c r="O27" s="257">
        <f t="shared" si="181"/>
        <v>0</v>
      </c>
      <c r="P27" s="257">
        <f t="shared" si="181"/>
        <v>0</v>
      </c>
      <c r="Q27" s="257">
        <f t="shared" si="181"/>
        <v>0</v>
      </c>
      <c r="R27" s="257">
        <f t="shared" si="181"/>
        <v>0</v>
      </c>
      <c r="S27" s="257">
        <f t="shared" si="181"/>
        <v>0</v>
      </c>
      <c r="T27" s="1038">
        <f t="shared" si="181"/>
        <v>0</v>
      </c>
      <c r="U27" s="257">
        <f t="shared" si="181"/>
        <v>0</v>
      </c>
      <c r="V27" s="257">
        <f t="shared" si="181"/>
        <v>0</v>
      </c>
      <c r="W27" s="257">
        <f t="shared" si="181"/>
        <v>0</v>
      </c>
      <c r="X27" s="257">
        <f t="shared" si="181"/>
        <v>0</v>
      </c>
      <c r="Y27" s="257">
        <f t="shared" si="181"/>
        <v>0</v>
      </c>
      <c r="Z27" s="257">
        <f t="shared" si="181"/>
        <v>0</v>
      </c>
      <c r="AA27" s="257">
        <f t="shared" si="181"/>
        <v>0</v>
      </c>
      <c r="AB27" s="257">
        <f t="shared" si="181"/>
        <v>0</v>
      </c>
      <c r="AC27" s="257">
        <f t="shared" si="181"/>
        <v>176.81666666666666</v>
      </c>
      <c r="AD27" s="257">
        <f t="shared" si="181"/>
        <v>35236.025333333331</v>
      </c>
      <c r="AE27" s="257">
        <f t="shared" ref="AE27:AQ27" si="182">SUM(AE23:AE26)</f>
        <v>70295.233999999997</v>
      </c>
      <c r="AF27" s="1038">
        <f t="shared" si="182"/>
        <v>105354.44266666665</v>
      </c>
      <c r="AG27" s="257">
        <f t="shared" si="182"/>
        <v>144626.06087333334</v>
      </c>
      <c r="AH27" s="257">
        <f t="shared" si="182"/>
        <v>180737.04580000002</v>
      </c>
      <c r="AI27" s="257">
        <f t="shared" si="182"/>
        <v>216684.12167666663</v>
      </c>
      <c r="AJ27" s="257">
        <f t="shared" si="182"/>
        <v>220277.00805266664</v>
      </c>
      <c r="AK27" s="257">
        <f t="shared" si="182"/>
        <v>220277.00805266664</v>
      </c>
      <c r="AL27" s="257">
        <f t="shared" si="182"/>
        <v>220277.00805266664</v>
      </c>
      <c r="AM27" s="257">
        <f t="shared" si="182"/>
        <v>220277.00805266664</v>
      </c>
      <c r="AN27" s="257">
        <f t="shared" si="182"/>
        <v>220277.00805266664</v>
      </c>
      <c r="AO27" s="257">
        <f t="shared" si="182"/>
        <v>220277.00805266664</v>
      </c>
      <c r="AP27" s="257">
        <f t="shared" si="182"/>
        <v>220277.00805266664</v>
      </c>
      <c r="AQ27" s="257">
        <f t="shared" si="182"/>
        <v>220277.00805266664</v>
      </c>
      <c r="AR27" s="1038">
        <f t="shared" ref="AR27:AT27" si="183">SUM(AR23:AR26)</f>
        <v>220277.00805266664</v>
      </c>
      <c r="AS27" s="257">
        <f t="shared" si="183"/>
        <v>226885.31829424665</v>
      </c>
      <c r="AT27" s="257">
        <f t="shared" si="183"/>
        <v>226885.31829424665</v>
      </c>
      <c r="AU27" s="257">
        <f t="shared" ref="AU27:BH27" si="184">SUM(AU23:AU26)</f>
        <v>226885.31829424665</v>
      </c>
      <c r="AV27" s="257">
        <f t="shared" si="184"/>
        <v>226885.31829424665</v>
      </c>
      <c r="AW27" s="257">
        <f t="shared" si="184"/>
        <v>226885.31829424665</v>
      </c>
      <c r="AX27" s="257">
        <f t="shared" si="184"/>
        <v>226885.31829424665</v>
      </c>
      <c r="AY27" s="257">
        <f t="shared" si="184"/>
        <v>226885.31829424665</v>
      </c>
      <c r="AZ27" s="257">
        <f t="shared" si="184"/>
        <v>226885.31829424665</v>
      </c>
      <c r="BA27" s="257">
        <f t="shared" si="184"/>
        <v>226885.31829424665</v>
      </c>
      <c r="BB27" s="257">
        <f t="shared" si="184"/>
        <v>226885.31829424665</v>
      </c>
      <c r="BC27" s="257">
        <f t="shared" si="184"/>
        <v>226885.31829424665</v>
      </c>
      <c r="BD27" s="1038">
        <f t="shared" si="184"/>
        <v>226885.31829424665</v>
      </c>
      <c r="BE27" s="257">
        <f t="shared" si="184"/>
        <v>233691.87784307403</v>
      </c>
      <c r="BF27" s="257">
        <f t="shared" si="184"/>
        <v>233691.87784307403</v>
      </c>
      <c r="BG27" s="257">
        <f t="shared" si="184"/>
        <v>233691.87784307403</v>
      </c>
      <c r="BH27" s="257">
        <f t="shared" si="184"/>
        <v>233691.87784307403</v>
      </c>
      <c r="BI27" s="257">
        <f t="shared" ref="BI27:BP27" si="185">SUM(BI23:BI26)</f>
        <v>233691.87784307403</v>
      </c>
      <c r="BJ27" s="257">
        <f t="shared" si="185"/>
        <v>233691.87784307403</v>
      </c>
      <c r="BK27" s="257">
        <f t="shared" si="185"/>
        <v>233691.87784307403</v>
      </c>
      <c r="BL27" s="257">
        <f t="shared" si="185"/>
        <v>233691.87784307403</v>
      </c>
      <c r="BM27" s="257">
        <f t="shared" si="185"/>
        <v>233691.87784307403</v>
      </c>
      <c r="BN27" s="257">
        <f t="shared" si="185"/>
        <v>233691.87784307403</v>
      </c>
      <c r="BO27" s="257">
        <f t="shared" si="185"/>
        <v>233691.87784307403</v>
      </c>
      <c r="BP27" s="1068">
        <f t="shared" si="185"/>
        <v>233691.87784307403</v>
      </c>
    </row>
    <row r="28" spans="6:68" ht="12" customHeight="1">
      <c r="F28" s="232" t="s">
        <v>446</v>
      </c>
      <c r="G28" s="305"/>
      <c r="H28" s="1065">
        <f>-K10</f>
        <v>-0.01</v>
      </c>
      <c r="I28" s="235">
        <f>I23*$H$28</f>
        <v>0</v>
      </c>
      <c r="J28" s="257">
        <f t="shared" ref="J28:AR28" si="186">J23*$H$28</f>
        <v>0</v>
      </c>
      <c r="K28" s="257">
        <f t="shared" si="186"/>
        <v>0</v>
      </c>
      <c r="L28" s="257">
        <f t="shared" si="186"/>
        <v>0</v>
      </c>
      <c r="M28" s="257">
        <f t="shared" si="186"/>
        <v>0</v>
      </c>
      <c r="N28" s="257">
        <f t="shared" si="186"/>
        <v>0</v>
      </c>
      <c r="O28" s="257">
        <f t="shared" si="186"/>
        <v>0</v>
      </c>
      <c r="P28" s="257">
        <f t="shared" si="186"/>
        <v>0</v>
      </c>
      <c r="Q28" s="257">
        <f t="shared" si="186"/>
        <v>0</v>
      </c>
      <c r="R28" s="257">
        <f t="shared" si="186"/>
        <v>0</v>
      </c>
      <c r="S28" s="257">
        <f t="shared" si="186"/>
        <v>0</v>
      </c>
      <c r="T28" s="1038">
        <f t="shared" si="186"/>
        <v>0</v>
      </c>
      <c r="U28" s="257">
        <f t="shared" si="186"/>
        <v>0</v>
      </c>
      <c r="V28" s="257">
        <f t="shared" si="186"/>
        <v>0</v>
      </c>
      <c r="W28" s="257">
        <f t="shared" si="186"/>
        <v>0</v>
      </c>
      <c r="X28" s="257">
        <f t="shared" si="186"/>
        <v>0</v>
      </c>
      <c r="Y28" s="257">
        <f t="shared" si="186"/>
        <v>0</v>
      </c>
      <c r="Z28" s="257">
        <f t="shared" si="186"/>
        <v>0</v>
      </c>
      <c r="AA28" s="257">
        <f t="shared" si="186"/>
        <v>0</v>
      </c>
      <c r="AB28" s="257">
        <f t="shared" si="186"/>
        <v>0</v>
      </c>
      <c r="AC28" s="257">
        <f t="shared" si="186"/>
        <v>0</v>
      </c>
      <c r="AD28" s="257">
        <f t="shared" si="186"/>
        <v>-348.82391999999999</v>
      </c>
      <c r="AE28" s="257">
        <f t="shared" si="186"/>
        <v>-697.64783999999997</v>
      </c>
      <c r="AF28" s="1038">
        <f t="shared" si="186"/>
        <v>-1046.4717599999999</v>
      </c>
      <c r="AG28" s="257">
        <f t="shared" si="186"/>
        <v>-1437.1545504000001</v>
      </c>
      <c r="AH28" s="257">
        <f t="shared" si="186"/>
        <v>-1796.4431880000002</v>
      </c>
      <c r="AI28" s="257">
        <f t="shared" si="186"/>
        <v>-2155.7318255999999</v>
      </c>
      <c r="AJ28" s="257">
        <f t="shared" si="186"/>
        <v>-2191.6606893600001</v>
      </c>
      <c r="AK28" s="257">
        <f t="shared" si="186"/>
        <v>-2191.6606893600001</v>
      </c>
      <c r="AL28" s="257">
        <f t="shared" si="186"/>
        <v>-2191.6606893600001</v>
      </c>
      <c r="AM28" s="257">
        <f t="shared" si="186"/>
        <v>-2191.6606893600001</v>
      </c>
      <c r="AN28" s="257">
        <f t="shared" si="186"/>
        <v>-2191.6606893600001</v>
      </c>
      <c r="AO28" s="257">
        <f t="shared" si="186"/>
        <v>-2191.6606893600001</v>
      </c>
      <c r="AP28" s="257">
        <f t="shared" si="186"/>
        <v>-2191.6606893600001</v>
      </c>
      <c r="AQ28" s="257">
        <f t="shared" si="186"/>
        <v>-2191.6606893600001</v>
      </c>
      <c r="AR28" s="1038">
        <f t="shared" si="186"/>
        <v>-2191.6606893600001</v>
      </c>
      <c r="AS28" s="257">
        <f t="shared" ref="AS28:BF28" si="187">AS23*$H$28</f>
        <v>-2257.4105100408001</v>
      </c>
      <c r="AT28" s="257">
        <f t="shared" si="187"/>
        <v>-2257.4105100408001</v>
      </c>
      <c r="AU28" s="257">
        <f t="shared" si="187"/>
        <v>-2257.4105100408001</v>
      </c>
      <c r="AV28" s="257">
        <f t="shared" si="187"/>
        <v>-2257.4105100408001</v>
      </c>
      <c r="AW28" s="257">
        <f t="shared" si="187"/>
        <v>-2257.4105100408001</v>
      </c>
      <c r="AX28" s="257">
        <f t="shared" si="187"/>
        <v>-2257.4105100408001</v>
      </c>
      <c r="AY28" s="257">
        <f t="shared" si="187"/>
        <v>-2257.4105100408001</v>
      </c>
      <c r="AZ28" s="257">
        <f t="shared" si="187"/>
        <v>-2257.4105100408001</v>
      </c>
      <c r="BA28" s="257">
        <f t="shared" si="187"/>
        <v>-2257.4105100408001</v>
      </c>
      <c r="BB28" s="257">
        <f t="shared" si="187"/>
        <v>-2257.4105100408001</v>
      </c>
      <c r="BC28" s="257">
        <f t="shared" si="187"/>
        <v>-2257.4105100408001</v>
      </c>
      <c r="BD28" s="1038">
        <f t="shared" si="187"/>
        <v>-2257.4105100408001</v>
      </c>
      <c r="BE28" s="257">
        <f t="shared" si="187"/>
        <v>-2325.1328253420238</v>
      </c>
      <c r="BF28" s="257">
        <f t="shared" si="187"/>
        <v>-2325.1328253420238</v>
      </c>
      <c r="BG28" s="257">
        <f t="shared" ref="BG28:BP28" si="188">BG23*$H$28</f>
        <v>-2325.1328253420238</v>
      </c>
      <c r="BH28" s="257">
        <f t="shared" si="188"/>
        <v>-2325.1328253420238</v>
      </c>
      <c r="BI28" s="257">
        <f t="shared" si="188"/>
        <v>-2325.1328253420238</v>
      </c>
      <c r="BJ28" s="257">
        <f t="shared" si="188"/>
        <v>-2325.1328253420238</v>
      </c>
      <c r="BK28" s="257">
        <f t="shared" si="188"/>
        <v>-2325.1328253420238</v>
      </c>
      <c r="BL28" s="257">
        <f t="shared" si="188"/>
        <v>-2325.1328253420238</v>
      </c>
      <c r="BM28" s="257">
        <f t="shared" si="188"/>
        <v>-2325.1328253420238</v>
      </c>
      <c r="BN28" s="257">
        <f t="shared" si="188"/>
        <v>-2325.1328253420238</v>
      </c>
      <c r="BO28" s="257">
        <f t="shared" si="188"/>
        <v>-2325.1328253420238</v>
      </c>
      <c r="BP28" s="1068">
        <f t="shared" si="188"/>
        <v>-2325.1328253420238</v>
      </c>
    </row>
    <row r="29" spans="6:68" ht="12" customHeight="1">
      <c r="F29" s="232" t="s">
        <v>407</v>
      </c>
      <c r="G29" s="305"/>
      <c r="H29" s="1065">
        <v>-5.0000000000000001E-3</v>
      </c>
      <c r="I29" s="235">
        <f>I$27*$H29</f>
        <v>0</v>
      </c>
      <c r="J29" s="257">
        <f t="shared" ref="J29:AS30" si="189">J$27*$H29</f>
        <v>0</v>
      </c>
      <c r="K29" s="257">
        <f t="shared" si="189"/>
        <v>0</v>
      </c>
      <c r="L29" s="257">
        <f t="shared" si="189"/>
        <v>0</v>
      </c>
      <c r="M29" s="257">
        <f t="shared" si="189"/>
        <v>0</v>
      </c>
      <c r="N29" s="257">
        <f t="shared" si="189"/>
        <v>0</v>
      </c>
      <c r="O29" s="257">
        <f t="shared" si="189"/>
        <v>0</v>
      </c>
      <c r="P29" s="257">
        <f t="shared" si="189"/>
        <v>0</v>
      </c>
      <c r="Q29" s="257">
        <f t="shared" si="189"/>
        <v>0</v>
      </c>
      <c r="R29" s="257">
        <f t="shared" si="189"/>
        <v>0</v>
      </c>
      <c r="S29" s="257">
        <f t="shared" si="189"/>
        <v>0</v>
      </c>
      <c r="T29" s="1038">
        <f t="shared" si="189"/>
        <v>0</v>
      </c>
      <c r="U29" s="257">
        <f t="shared" si="189"/>
        <v>0</v>
      </c>
      <c r="V29" s="257">
        <f t="shared" si="189"/>
        <v>0</v>
      </c>
      <c r="W29" s="257">
        <f t="shared" si="189"/>
        <v>0</v>
      </c>
      <c r="X29" s="257">
        <f t="shared" si="189"/>
        <v>0</v>
      </c>
      <c r="Y29" s="257">
        <f t="shared" si="189"/>
        <v>0</v>
      </c>
      <c r="Z29" s="257">
        <f t="shared" si="189"/>
        <v>0</v>
      </c>
      <c r="AA29" s="257">
        <f t="shared" si="189"/>
        <v>0</v>
      </c>
      <c r="AB29" s="257">
        <f t="shared" si="189"/>
        <v>0</v>
      </c>
      <c r="AC29" s="257">
        <f t="shared" si="189"/>
        <v>-0.88408333333333333</v>
      </c>
      <c r="AD29" s="257">
        <f t="shared" si="189"/>
        <v>-176.18012666666667</v>
      </c>
      <c r="AE29" s="257">
        <f t="shared" si="189"/>
        <v>-351.47616999999997</v>
      </c>
      <c r="AF29" s="1038">
        <f t="shared" si="189"/>
        <v>-526.7722133333333</v>
      </c>
      <c r="AG29" s="257">
        <f t="shared" si="189"/>
        <v>-723.13030436666668</v>
      </c>
      <c r="AH29" s="257">
        <f t="shared" si="189"/>
        <v>-903.68522900000016</v>
      </c>
      <c r="AI29" s="257">
        <f t="shared" si="189"/>
        <v>-1083.4206083833333</v>
      </c>
      <c r="AJ29" s="257">
        <f t="shared" si="189"/>
        <v>-1101.3850402633332</v>
      </c>
      <c r="AK29" s="257">
        <f t="shared" si="189"/>
        <v>-1101.3850402633332</v>
      </c>
      <c r="AL29" s="257">
        <f t="shared" si="189"/>
        <v>-1101.3850402633332</v>
      </c>
      <c r="AM29" s="257">
        <f t="shared" si="189"/>
        <v>-1101.3850402633332</v>
      </c>
      <c r="AN29" s="257">
        <f t="shared" si="189"/>
        <v>-1101.3850402633332</v>
      </c>
      <c r="AO29" s="257">
        <f t="shared" si="189"/>
        <v>-1101.3850402633332</v>
      </c>
      <c r="AP29" s="257">
        <f t="shared" si="189"/>
        <v>-1101.3850402633332</v>
      </c>
      <c r="AQ29" s="257">
        <f t="shared" si="189"/>
        <v>-1101.3850402633332</v>
      </c>
      <c r="AR29" s="1038">
        <f t="shared" si="189"/>
        <v>-1101.3850402633332</v>
      </c>
      <c r="AS29" s="257">
        <f t="shared" si="189"/>
        <v>-1134.4265914712332</v>
      </c>
      <c r="AT29" s="257">
        <f t="shared" ref="AS29:BH30" si="190">AT$27*$H29</f>
        <v>-1134.4265914712332</v>
      </c>
      <c r="AU29" s="257">
        <f t="shared" si="190"/>
        <v>-1134.4265914712332</v>
      </c>
      <c r="AV29" s="257">
        <f t="shared" si="190"/>
        <v>-1134.4265914712332</v>
      </c>
      <c r="AW29" s="257">
        <f t="shared" si="190"/>
        <v>-1134.4265914712332</v>
      </c>
      <c r="AX29" s="257">
        <f t="shared" si="190"/>
        <v>-1134.4265914712332</v>
      </c>
      <c r="AY29" s="257">
        <f t="shared" si="190"/>
        <v>-1134.4265914712332</v>
      </c>
      <c r="AZ29" s="257">
        <f t="shared" si="190"/>
        <v>-1134.4265914712332</v>
      </c>
      <c r="BA29" s="257">
        <f t="shared" si="190"/>
        <v>-1134.4265914712332</v>
      </c>
      <c r="BB29" s="257">
        <f t="shared" si="190"/>
        <v>-1134.4265914712332</v>
      </c>
      <c r="BC29" s="257">
        <f t="shared" si="190"/>
        <v>-1134.4265914712332</v>
      </c>
      <c r="BD29" s="1038">
        <f t="shared" si="190"/>
        <v>-1134.4265914712332</v>
      </c>
      <c r="BE29" s="257">
        <f t="shared" si="190"/>
        <v>-1168.4593892153703</v>
      </c>
      <c r="BF29" s="257">
        <f t="shared" si="190"/>
        <v>-1168.4593892153703</v>
      </c>
      <c r="BG29" s="257">
        <f t="shared" si="190"/>
        <v>-1168.4593892153703</v>
      </c>
      <c r="BH29" s="257">
        <f t="shared" si="190"/>
        <v>-1168.4593892153703</v>
      </c>
      <c r="BI29" s="257">
        <f t="shared" ref="BD29:BP30" si="191">BI$27*$H29</f>
        <v>-1168.4593892153703</v>
      </c>
      <c r="BJ29" s="257">
        <f t="shared" si="191"/>
        <v>-1168.4593892153703</v>
      </c>
      <c r="BK29" s="257">
        <f t="shared" si="191"/>
        <v>-1168.4593892153703</v>
      </c>
      <c r="BL29" s="257">
        <f t="shared" si="191"/>
        <v>-1168.4593892153703</v>
      </c>
      <c r="BM29" s="257">
        <f t="shared" si="191"/>
        <v>-1168.4593892153703</v>
      </c>
      <c r="BN29" s="257">
        <f t="shared" si="191"/>
        <v>-1168.4593892153703</v>
      </c>
      <c r="BO29" s="257">
        <f t="shared" si="191"/>
        <v>-1168.4593892153703</v>
      </c>
      <c r="BP29" s="1068">
        <f t="shared" si="191"/>
        <v>-1168.4593892153703</v>
      </c>
    </row>
    <row r="30" spans="6:68" ht="12" customHeight="1">
      <c r="F30" s="232" t="s">
        <v>447</v>
      </c>
      <c r="G30" s="305"/>
      <c r="H30" s="1065">
        <v>-0.05</v>
      </c>
      <c r="I30" s="263">
        <f>I$27*$H30</f>
        <v>0</v>
      </c>
      <c r="J30" s="1069">
        <f t="shared" si="189"/>
        <v>0</v>
      </c>
      <c r="K30" s="1069">
        <f t="shared" si="189"/>
        <v>0</v>
      </c>
      <c r="L30" s="1069">
        <f t="shared" si="189"/>
        <v>0</v>
      </c>
      <c r="M30" s="1069">
        <f t="shared" si="189"/>
        <v>0</v>
      </c>
      <c r="N30" s="1069">
        <f t="shared" si="189"/>
        <v>0</v>
      </c>
      <c r="O30" s="1069">
        <f t="shared" si="189"/>
        <v>0</v>
      </c>
      <c r="P30" s="1069">
        <f t="shared" si="189"/>
        <v>0</v>
      </c>
      <c r="Q30" s="1069">
        <f t="shared" si="189"/>
        <v>0</v>
      </c>
      <c r="R30" s="1069">
        <f t="shared" si="189"/>
        <v>0</v>
      </c>
      <c r="S30" s="1069">
        <f t="shared" si="189"/>
        <v>0</v>
      </c>
      <c r="T30" s="1039">
        <f t="shared" si="189"/>
        <v>0</v>
      </c>
      <c r="U30" s="1069">
        <f t="shared" si="189"/>
        <v>0</v>
      </c>
      <c r="V30" s="1069">
        <f t="shared" si="189"/>
        <v>0</v>
      </c>
      <c r="W30" s="1069">
        <f t="shared" si="189"/>
        <v>0</v>
      </c>
      <c r="X30" s="1069">
        <f t="shared" si="189"/>
        <v>0</v>
      </c>
      <c r="Y30" s="1069">
        <f t="shared" si="189"/>
        <v>0</v>
      </c>
      <c r="Z30" s="1069">
        <f t="shared" si="189"/>
        <v>0</v>
      </c>
      <c r="AA30" s="1069">
        <f t="shared" si="189"/>
        <v>0</v>
      </c>
      <c r="AB30" s="1069">
        <f t="shared" si="189"/>
        <v>0</v>
      </c>
      <c r="AC30" s="1069">
        <f t="shared" si="189"/>
        <v>-8.8408333333333342</v>
      </c>
      <c r="AD30" s="1069">
        <f t="shared" si="189"/>
        <v>-1761.8012666666666</v>
      </c>
      <c r="AE30" s="1069">
        <f t="shared" si="189"/>
        <v>-3514.7617</v>
      </c>
      <c r="AF30" s="1039">
        <f t="shared" si="189"/>
        <v>-5267.7221333333327</v>
      </c>
      <c r="AG30" s="1069">
        <f t="shared" si="189"/>
        <v>-7231.3030436666668</v>
      </c>
      <c r="AH30" s="1069">
        <f t="shared" si="189"/>
        <v>-9036.8522900000007</v>
      </c>
      <c r="AI30" s="1069">
        <f t="shared" si="189"/>
        <v>-10834.206083833333</v>
      </c>
      <c r="AJ30" s="1069">
        <f t="shared" si="189"/>
        <v>-11013.850402633332</v>
      </c>
      <c r="AK30" s="1069">
        <f t="shared" si="189"/>
        <v>-11013.850402633332</v>
      </c>
      <c r="AL30" s="1069">
        <f t="shared" si="189"/>
        <v>-11013.850402633332</v>
      </c>
      <c r="AM30" s="1069">
        <f t="shared" si="189"/>
        <v>-11013.850402633332</v>
      </c>
      <c r="AN30" s="1069">
        <f t="shared" si="189"/>
        <v>-11013.850402633332</v>
      </c>
      <c r="AO30" s="1069">
        <f t="shared" si="189"/>
        <v>-11013.850402633332</v>
      </c>
      <c r="AP30" s="1069">
        <f t="shared" si="189"/>
        <v>-11013.850402633332</v>
      </c>
      <c r="AQ30" s="1069">
        <f t="shared" si="189"/>
        <v>-11013.850402633332</v>
      </c>
      <c r="AR30" s="1039">
        <f t="shared" si="189"/>
        <v>-11013.850402633332</v>
      </c>
      <c r="AS30" s="1069">
        <f t="shared" si="190"/>
        <v>-11344.265914712334</v>
      </c>
      <c r="AT30" s="1069">
        <f t="shared" si="190"/>
        <v>-11344.265914712334</v>
      </c>
      <c r="AU30" s="1069">
        <f t="shared" si="190"/>
        <v>-11344.265914712334</v>
      </c>
      <c r="AV30" s="1069">
        <f t="shared" si="190"/>
        <v>-11344.265914712334</v>
      </c>
      <c r="AW30" s="1069">
        <f t="shared" si="190"/>
        <v>-11344.265914712334</v>
      </c>
      <c r="AX30" s="1069">
        <f t="shared" si="190"/>
        <v>-11344.265914712334</v>
      </c>
      <c r="AY30" s="1069">
        <f t="shared" si="190"/>
        <v>-11344.265914712334</v>
      </c>
      <c r="AZ30" s="1069">
        <f t="shared" si="190"/>
        <v>-11344.265914712334</v>
      </c>
      <c r="BA30" s="1069">
        <f t="shared" si="190"/>
        <v>-11344.265914712334</v>
      </c>
      <c r="BB30" s="1069">
        <f t="shared" si="190"/>
        <v>-11344.265914712334</v>
      </c>
      <c r="BC30" s="1069">
        <f t="shared" si="190"/>
        <v>-11344.265914712334</v>
      </c>
      <c r="BD30" s="1039">
        <f t="shared" si="191"/>
        <v>-11344.265914712334</v>
      </c>
      <c r="BE30" s="1069">
        <f t="shared" si="191"/>
        <v>-11684.593892153702</v>
      </c>
      <c r="BF30" s="1069">
        <f t="shared" si="191"/>
        <v>-11684.593892153702</v>
      </c>
      <c r="BG30" s="1069">
        <f t="shared" si="191"/>
        <v>-11684.593892153702</v>
      </c>
      <c r="BH30" s="1069">
        <f t="shared" si="191"/>
        <v>-11684.593892153702</v>
      </c>
      <c r="BI30" s="1069">
        <f t="shared" si="191"/>
        <v>-11684.593892153702</v>
      </c>
      <c r="BJ30" s="1069">
        <f t="shared" si="191"/>
        <v>-11684.593892153702</v>
      </c>
      <c r="BK30" s="1069">
        <f t="shared" si="191"/>
        <v>-11684.593892153702</v>
      </c>
      <c r="BL30" s="1069">
        <f t="shared" si="191"/>
        <v>-11684.593892153702</v>
      </c>
      <c r="BM30" s="1069">
        <f t="shared" si="191"/>
        <v>-11684.593892153702</v>
      </c>
      <c r="BN30" s="1069">
        <f t="shared" si="191"/>
        <v>-11684.593892153702</v>
      </c>
      <c r="BO30" s="1069">
        <f t="shared" si="191"/>
        <v>-11684.593892153702</v>
      </c>
      <c r="BP30" s="1071">
        <f t="shared" si="191"/>
        <v>-11684.593892153702</v>
      </c>
    </row>
    <row r="31" spans="6:68" s="228" customFormat="1" ht="12" customHeight="1">
      <c r="F31" s="234" t="s">
        <v>448</v>
      </c>
      <c r="G31" s="1072"/>
      <c r="H31" s="1073"/>
      <c r="I31" s="236">
        <f>SUM(I27:I30)</f>
        <v>0</v>
      </c>
      <c r="J31" s="1073">
        <f t="shared" ref="J31:AR31" si="192">SUM(J27:J30)</f>
        <v>0</v>
      </c>
      <c r="K31" s="1073">
        <f t="shared" si="192"/>
        <v>0</v>
      </c>
      <c r="L31" s="1073">
        <f t="shared" si="192"/>
        <v>0</v>
      </c>
      <c r="M31" s="1073">
        <f t="shared" si="192"/>
        <v>0</v>
      </c>
      <c r="N31" s="1073">
        <f t="shared" si="192"/>
        <v>0</v>
      </c>
      <c r="O31" s="1073">
        <f t="shared" si="192"/>
        <v>0</v>
      </c>
      <c r="P31" s="1073">
        <f t="shared" si="192"/>
        <v>0</v>
      </c>
      <c r="Q31" s="1073">
        <f t="shared" si="192"/>
        <v>0</v>
      </c>
      <c r="R31" s="1073">
        <f t="shared" si="192"/>
        <v>0</v>
      </c>
      <c r="S31" s="1073">
        <f t="shared" si="192"/>
        <v>0</v>
      </c>
      <c r="T31" s="1040">
        <f t="shared" si="192"/>
        <v>0</v>
      </c>
      <c r="U31" s="1073">
        <f t="shared" si="192"/>
        <v>0</v>
      </c>
      <c r="V31" s="1073">
        <f t="shared" si="192"/>
        <v>0</v>
      </c>
      <c r="W31" s="1073">
        <f t="shared" si="192"/>
        <v>0</v>
      </c>
      <c r="X31" s="1073">
        <f t="shared" si="192"/>
        <v>0</v>
      </c>
      <c r="Y31" s="1073">
        <f t="shared" si="192"/>
        <v>0</v>
      </c>
      <c r="Z31" s="1073">
        <f t="shared" si="192"/>
        <v>0</v>
      </c>
      <c r="AA31" s="1073">
        <f t="shared" si="192"/>
        <v>0</v>
      </c>
      <c r="AB31" s="1073">
        <f t="shared" si="192"/>
        <v>0</v>
      </c>
      <c r="AC31" s="1073">
        <f t="shared" si="192"/>
        <v>167.09174999999999</v>
      </c>
      <c r="AD31" s="1073">
        <f t="shared" si="192"/>
        <v>32949.220019999993</v>
      </c>
      <c r="AE31" s="1073">
        <f t="shared" si="192"/>
        <v>65731.348289999994</v>
      </c>
      <c r="AF31" s="1040">
        <f t="shared" si="192"/>
        <v>98513.476559999996</v>
      </c>
      <c r="AG31" s="1073">
        <f t="shared" si="192"/>
        <v>135234.47297489998</v>
      </c>
      <c r="AH31" s="1073">
        <f t="shared" si="192"/>
        <v>169000.06509300001</v>
      </c>
      <c r="AI31" s="1073">
        <f t="shared" si="192"/>
        <v>202610.76315884996</v>
      </c>
      <c r="AJ31" s="1073">
        <f t="shared" si="192"/>
        <v>205970.11192040998</v>
      </c>
      <c r="AK31" s="1073">
        <f t="shared" si="192"/>
        <v>205970.11192040998</v>
      </c>
      <c r="AL31" s="1073">
        <f t="shared" si="192"/>
        <v>205970.11192040998</v>
      </c>
      <c r="AM31" s="1073">
        <f t="shared" si="192"/>
        <v>205970.11192040998</v>
      </c>
      <c r="AN31" s="1073">
        <f t="shared" si="192"/>
        <v>205970.11192040998</v>
      </c>
      <c r="AO31" s="1073">
        <f t="shared" si="192"/>
        <v>205970.11192040998</v>
      </c>
      <c r="AP31" s="1073">
        <f t="shared" si="192"/>
        <v>205970.11192040998</v>
      </c>
      <c r="AQ31" s="1073">
        <f t="shared" si="192"/>
        <v>205970.11192040998</v>
      </c>
      <c r="AR31" s="1040">
        <f t="shared" si="192"/>
        <v>205970.11192040998</v>
      </c>
      <c r="AS31" s="1073">
        <f t="shared" ref="AS31" si="193">SUM(AS27:AS30)</f>
        <v>212149.21527802228</v>
      </c>
      <c r="AT31" s="1073">
        <f t="shared" ref="AT31" si="194">SUM(AT27:AT30)</f>
        <v>212149.21527802228</v>
      </c>
      <c r="AU31" s="1073">
        <f t="shared" ref="AU31" si="195">SUM(AU27:AU30)</f>
        <v>212149.21527802228</v>
      </c>
      <c r="AV31" s="1073">
        <f t="shared" ref="AV31" si="196">SUM(AV27:AV30)</f>
        <v>212149.21527802228</v>
      </c>
      <c r="AW31" s="1073">
        <f t="shared" ref="AW31" si="197">SUM(AW27:AW30)</f>
        <v>212149.21527802228</v>
      </c>
      <c r="AX31" s="1073">
        <f t="shared" ref="AX31" si="198">SUM(AX27:AX30)</f>
        <v>212149.21527802228</v>
      </c>
      <c r="AY31" s="1073">
        <f t="shared" ref="AY31" si="199">SUM(AY27:AY30)</f>
        <v>212149.21527802228</v>
      </c>
      <c r="AZ31" s="1073">
        <f t="shared" ref="AZ31" si="200">SUM(AZ27:AZ30)</f>
        <v>212149.21527802228</v>
      </c>
      <c r="BA31" s="1073">
        <f t="shared" ref="BA31" si="201">SUM(BA27:BA30)</f>
        <v>212149.21527802228</v>
      </c>
      <c r="BB31" s="1073">
        <f t="shared" ref="BB31" si="202">SUM(BB27:BB30)</f>
        <v>212149.21527802228</v>
      </c>
      <c r="BC31" s="1073">
        <f t="shared" ref="BC31" si="203">SUM(BC27:BC30)</f>
        <v>212149.21527802228</v>
      </c>
      <c r="BD31" s="1040">
        <f t="shared" ref="BD31" si="204">SUM(BD27:BD30)</f>
        <v>212149.21527802228</v>
      </c>
      <c r="BE31" s="1073">
        <f t="shared" ref="BE31" si="205">SUM(BE27:BE30)</f>
        <v>218513.69173636293</v>
      </c>
      <c r="BF31" s="1073">
        <f t="shared" ref="BF31" si="206">SUM(BF27:BF30)</f>
        <v>218513.69173636293</v>
      </c>
      <c r="BG31" s="1073">
        <f t="shared" ref="BG31" si="207">SUM(BG27:BG30)</f>
        <v>218513.69173636293</v>
      </c>
      <c r="BH31" s="1073">
        <f t="shared" ref="BH31" si="208">SUM(BH27:BH30)</f>
        <v>218513.69173636293</v>
      </c>
      <c r="BI31" s="1073">
        <f t="shared" ref="BI31" si="209">SUM(BI27:BI30)</f>
        <v>218513.69173636293</v>
      </c>
      <c r="BJ31" s="1073">
        <f t="shared" ref="BJ31" si="210">SUM(BJ27:BJ30)</f>
        <v>218513.69173636293</v>
      </c>
      <c r="BK31" s="1073">
        <f t="shared" ref="BK31" si="211">SUM(BK27:BK30)</f>
        <v>218513.69173636293</v>
      </c>
      <c r="BL31" s="1073">
        <f t="shared" ref="BL31" si="212">SUM(BL27:BL30)</f>
        <v>218513.69173636293</v>
      </c>
      <c r="BM31" s="1073">
        <f t="shared" ref="BM31" si="213">SUM(BM27:BM30)</f>
        <v>218513.69173636293</v>
      </c>
      <c r="BN31" s="1073">
        <f t="shared" ref="BN31" si="214">SUM(BN27:BN30)</f>
        <v>218513.69173636293</v>
      </c>
      <c r="BO31" s="1073">
        <f t="shared" ref="BO31" si="215">SUM(BO27:BO30)</f>
        <v>218513.69173636293</v>
      </c>
      <c r="BP31" s="1074">
        <f t="shared" ref="BP31" si="216">SUM(BP27:BP30)</f>
        <v>218513.69173636293</v>
      </c>
    </row>
    <row r="32" spans="6:68" ht="12" customHeight="1">
      <c r="F32" s="233" t="s">
        <v>320</v>
      </c>
      <c r="G32" s="1062" t="s">
        <v>553</v>
      </c>
      <c r="H32" s="1062" t="s">
        <v>321</v>
      </c>
      <c r="I32" s="262"/>
      <c r="J32" s="1063"/>
      <c r="K32" s="1063"/>
      <c r="L32" s="1063"/>
      <c r="M32" s="1063"/>
      <c r="N32" s="1063"/>
      <c r="O32" s="1063"/>
      <c r="P32" s="1063"/>
      <c r="Q32" s="1063"/>
      <c r="R32" s="1063"/>
      <c r="S32" s="1063"/>
      <c r="T32" s="1036"/>
      <c r="U32" s="1063"/>
      <c r="V32" s="1063"/>
      <c r="W32" s="1063"/>
      <c r="X32" s="1063"/>
      <c r="Y32" s="1063"/>
      <c r="Z32" s="1063"/>
      <c r="AA32" s="1063"/>
      <c r="AB32" s="1063"/>
      <c r="AC32" s="1063"/>
      <c r="AD32" s="1063"/>
      <c r="AE32" s="1063"/>
      <c r="AF32" s="1036"/>
      <c r="AG32" s="1063"/>
      <c r="AH32" s="1063"/>
      <c r="AI32" s="1063"/>
      <c r="AJ32" s="1063"/>
      <c r="AK32" s="1063"/>
      <c r="AL32" s="1063"/>
      <c r="AM32" s="1063"/>
      <c r="AN32" s="1063"/>
      <c r="AO32" s="1063"/>
      <c r="AP32" s="1063"/>
      <c r="AQ32" s="1063"/>
      <c r="AR32" s="1036"/>
      <c r="AS32" s="1063"/>
      <c r="AT32" s="1063"/>
      <c r="AU32" s="1063"/>
      <c r="AV32" s="1063"/>
      <c r="AW32" s="1063"/>
      <c r="AX32" s="1063"/>
      <c r="AY32" s="1063"/>
      <c r="AZ32" s="1063"/>
      <c r="BA32" s="1063"/>
      <c r="BB32" s="1063"/>
      <c r="BC32" s="1063"/>
      <c r="BD32" s="1036"/>
      <c r="BE32" s="1063"/>
      <c r="BF32" s="1063"/>
      <c r="BG32" s="1063"/>
      <c r="BH32" s="1063"/>
      <c r="BI32" s="1063"/>
      <c r="BJ32" s="1063"/>
      <c r="BK32" s="1063"/>
      <c r="BL32" s="1063"/>
      <c r="BM32" s="1063"/>
      <c r="BN32" s="1063"/>
      <c r="BO32" s="1063"/>
      <c r="BP32" s="1064"/>
    </row>
    <row r="33" spans="6:68" ht="12" customHeight="1">
      <c r="F33" s="232" t="s">
        <v>36</v>
      </c>
      <c r="G33" s="1065">
        <v>0.03</v>
      </c>
      <c r="H33" s="1075">
        <v>2995</v>
      </c>
      <c r="I33" s="235">
        <f t="shared" ref="I33:R36" si="217">(($H33/12)*I$21)*((1+$G33)^I$14)*$K$3</f>
        <v>0</v>
      </c>
      <c r="J33" s="257">
        <f t="shared" si="217"/>
        <v>0</v>
      </c>
      <c r="K33" s="257">
        <f t="shared" si="217"/>
        <v>0</v>
      </c>
      <c r="L33" s="257">
        <f t="shared" si="217"/>
        <v>0</v>
      </c>
      <c r="M33" s="257">
        <f t="shared" si="217"/>
        <v>0</v>
      </c>
      <c r="N33" s="257">
        <f t="shared" si="217"/>
        <v>0</v>
      </c>
      <c r="O33" s="257">
        <f t="shared" si="217"/>
        <v>0</v>
      </c>
      <c r="P33" s="257">
        <f t="shared" si="217"/>
        <v>0</v>
      </c>
      <c r="Q33" s="257">
        <f t="shared" si="217"/>
        <v>0</v>
      </c>
      <c r="R33" s="257">
        <f t="shared" si="217"/>
        <v>0</v>
      </c>
      <c r="S33" s="257">
        <f t="shared" ref="S33:AB36" si="218">(($H33/12)*S$21)*((1+$G33)^S$14)*$K$3</f>
        <v>0</v>
      </c>
      <c r="T33" s="1038">
        <f t="shared" si="218"/>
        <v>0</v>
      </c>
      <c r="U33" s="257">
        <f t="shared" si="218"/>
        <v>0</v>
      </c>
      <c r="V33" s="257">
        <f t="shared" si="218"/>
        <v>0</v>
      </c>
      <c r="W33" s="257">
        <f t="shared" si="218"/>
        <v>0</v>
      </c>
      <c r="X33" s="257">
        <f t="shared" si="218"/>
        <v>0</v>
      </c>
      <c r="Y33" s="257">
        <f t="shared" si="218"/>
        <v>8075.880229166667</v>
      </c>
      <c r="Z33" s="257">
        <f t="shared" si="218"/>
        <v>8075.880229166667</v>
      </c>
      <c r="AA33" s="257">
        <f t="shared" si="218"/>
        <v>8075.880229166667</v>
      </c>
      <c r="AB33" s="257">
        <f t="shared" si="218"/>
        <v>8075.880229166667</v>
      </c>
      <c r="AC33" s="257">
        <f t="shared" ref="AC33:AL36" si="219">(($H33/12)*AC$21)*((1+$G33)^AC$14)*$K$3</f>
        <v>12113.82034375</v>
      </c>
      <c r="AD33" s="257">
        <f t="shared" si="219"/>
        <v>12113.82034375</v>
      </c>
      <c r="AE33" s="257">
        <f t="shared" si="219"/>
        <v>12113.82034375</v>
      </c>
      <c r="AF33" s="1038">
        <f t="shared" si="219"/>
        <v>12113.82034375</v>
      </c>
      <c r="AG33" s="257">
        <f t="shared" si="219"/>
        <v>16636.313272083335</v>
      </c>
      <c r="AH33" s="257">
        <f t="shared" si="219"/>
        <v>16636.313272083335</v>
      </c>
      <c r="AI33" s="257">
        <f t="shared" si="219"/>
        <v>16636.313272083335</v>
      </c>
      <c r="AJ33" s="257">
        <f t="shared" si="219"/>
        <v>16636.313272083335</v>
      </c>
      <c r="AK33" s="257">
        <f t="shared" si="219"/>
        <v>16636.313272083335</v>
      </c>
      <c r="AL33" s="257">
        <f t="shared" si="219"/>
        <v>16636.313272083335</v>
      </c>
      <c r="AM33" s="257">
        <f t="shared" ref="AM33:AV36" si="220">(($H33/12)*AM$21)*((1+$G33)^AM$14)*$K$3</f>
        <v>16636.313272083335</v>
      </c>
      <c r="AN33" s="257">
        <f t="shared" si="220"/>
        <v>16636.313272083335</v>
      </c>
      <c r="AO33" s="257">
        <f t="shared" si="220"/>
        <v>16636.313272083335</v>
      </c>
      <c r="AP33" s="257">
        <f t="shared" si="220"/>
        <v>16636.313272083335</v>
      </c>
      <c r="AQ33" s="257">
        <f t="shared" si="220"/>
        <v>16636.313272083335</v>
      </c>
      <c r="AR33" s="1038">
        <f t="shared" si="220"/>
        <v>16636.313272083335</v>
      </c>
      <c r="AS33" s="257">
        <f t="shared" si="220"/>
        <v>17135.402670245832</v>
      </c>
      <c r="AT33" s="257">
        <f t="shared" si="220"/>
        <v>17135.402670245832</v>
      </c>
      <c r="AU33" s="257">
        <f t="shared" si="220"/>
        <v>17135.402670245832</v>
      </c>
      <c r="AV33" s="257">
        <f t="shared" si="220"/>
        <v>17135.402670245832</v>
      </c>
      <c r="AW33" s="257">
        <f t="shared" ref="AW33:BF36" si="221">(($H33/12)*AW$21)*((1+$G33)^AW$14)*$K$3</f>
        <v>17135.402670245832</v>
      </c>
      <c r="AX33" s="257">
        <f t="shared" si="221"/>
        <v>17135.402670245832</v>
      </c>
      <c r="AY33" s="257">
        <f t="shared" si="221"/>
        <v>17135.402670245832</v>
      </c>
      <c r="AZ33" s="257">
        <f t="shared" si="221"/>
        <v>17135.402670245832</v>
      </c>
      <c r="BA33" s="257">
        <f t="shared" si="221"/>
        <v>17135.402670245832</v>
      </c>
      <c r="BB33" s="257">
        <f t="shared" si="221"/>
        <v>17135.402670245832</v>
      </c>
      <c r="BC33" s="257">
        <f t="shared" si="221"/>
        <v>17135.402670245832</v>
      </c>
      <c r="BD33" s="1038">
        <f t="shared" si="221"/>
        <v>17135.402670245832</v>
      </c>
      <c r="BE33" s="257">
        <f t="shared" si="221"/>
        <v>17649.464750353207</v>
      </c>
      <c r="BF33" s="257">
        <f t="shared" si="221"/>
        <v>17649.464750353207</v>
      </c>
      <c r="BG33" s="257">
        <f t="shared" ref="BG33:BP36" si="222">(($H33/12)*BG$21)*((1+$G33)^BG$14)*$K$3</f>
        <v>17649.464750353207</v>
      </c>
      <c r="BH33" s="257">
        <f t="shared" si="222"/>
        <v>17649.464750353207</v>
      </c>
      <c r="BI33" s="257">
        <f t="shared" si="222"/>
        <v>17649.464750353207</v>
      </c>
      <c r="BJ33" s="257">
        <f t="shared" si="222"/>
        <v>17649.464750353207</v>
      </c>
      <c r="BK33" s="257">
        <f t="shared" si="222"/>
        <v>17649.464750353207</v>
      </c>
      <c r="BL33" s="257">
        <f t="shared" si="222"/>
        <v>17649.464750353207</v>
      </c>
      <c r="BM33" s="257">
        <f t="shared" si="222"/>
        <v>17649.464750353207</v>
      </c>
      <c r="BN33" s="257">
        <f t="shared" si="222"/>
        <v>17649.464750353207</v>
      </c>
      <c r="BO33" s="257">
        <f t="shared" si="222"/>
        <v>17649.464750353207</v>
      </c>
      <c r="BP33" s="1068">
        <f t="shared" si="222"/>
        <v>17649.464750353207</v>
      </c>
    </row>
    <row r="34" spans="6:68" ht="12" customHeight="1">
      <c r="F34" s="232" t="s">
        <v>324</v>
      </c>
      <c r="G34" s="1065">
        <v>0.03</v>
      </c>
      <c r="H34" s="205">
        <v>900</v>
      </c>
      <c r="I34" s="235">
        <f t="shared" si="217"/>
        <v>0</v>
      </c>
      <c r="J34" s="257">
        <f t="shared" si="217"/>
        <v>0</v>
      </c>
      <c r="K34" s="257">
        <f t="shared" si="217"/>
        <v>0</v>
      </c>
      <c r="L34" s="257">
        <f t="shared" si="217"/>
        <v>0</v>
      </c>
      <c r="M34" s="257">
        <f t="shared" si="217"/>
        <v>0</v>
      </c>
      <c r="N34" s="257">
        <f t="shared" si="217"/>
        <v>0</v>
      </c>
      <c r="O34" s="257">
        <f t="shared" si="217"/>
        <v>0</v>
      </c>
      <c r="P34" s="257">
        <f t="shared" si="217"/>
        <v>0</v>
      </c>
      <c r="Q34" s="257">
        <f t="shared" si="217"/>
        <v>0</v>
      </c>
      <c r="R34" s="257">
        <f t="shared" si="217"/>
        <v>0</v>
      </c>
      <c r="S34" s="257">
        <f t="shared" si="218"/>
        <v>0</v>
      </c>
      <c r="T34" s="1038">
        <f t="shared" si="218"/>
        <v>0</v>
      </c>
      <c r="U34" s="257">
        <f t="shared" si="218"/>
        <v>0</v>
      </c>
      <c r="V34" s="257">
        <f t="shared" si="218"/>
        <v>0</v>
      </c>
      <c r="W34" s="257">
        <f t="shared" si="218"/>
        <v>0</v>
      </c>
      <c r="X34" s="257">
        <f t="shared" si="218"/>
        <v>0</v>
      </c>
      <c r="Y34" s="257">
        <f t="shared" si="218"/>
        <v>2426.8087499999997</v>
      </c>
      <c r="Z34" s="257">
        <f t="shared" si="218"/>
        <v>2426.8087499999997</v>
      </c>
      <c r="AA34" s="257">
        <f t="shared" si="218"/>
        <v>2426.8087499999997</v>
      </c>
      <c r="AB34" s="257">
        <f t="shared" si="218"/>
        <v>2426.8087499999997</v>
      </c>
      <c r="AC34" s="257">
        <f t="shared" si="219"/>
        <v>3640.2131249999998</v>
      </c>
      <c r="AD34" s="257">
        <f t="shared" si="219"/>
        <v>3640.2131249999998</v>
      </c>
      <c r="AE34" s="257">
        <f t="shared" si="219"/>
        <v>3640.2131249999998</v>
      </c>
      <c r="AF34" s="1038">
        <f t="shared" si="219"/>
        <v>3640.2131249999998</v>
      </c>
      <c r="AG34" s="257">
        <f t="shared" si="219"/>
        <v>4999.2260249999999</v>
      </c>
      <c r="AH34" s="257">
        <f t="shared" si="219"/>
        <v>4999.2260249999999</v>
      </c>
      <c r="AI34" s="257">
        <f t="shared" si="219"/>
        <v>4999.2260249999999</v>
      </c>
      <c r="AJ34" s="257">
        <f t="shared" si="219"/>
        <v>4999.2260249999999</v>
      </c>
      <c r="AK34" s="257">
        <f t="shared" si="219"/>
        <v>4999.2260249999999</v>
      </c>
      <c r="AL34" s="257">
        <f t="shared" si="219"/>
        <v>4999.2260249999999</v>
      </c>
      <c r="AM34" s="257">
        <f t="shared" si="220"/>
        <v>4999.2260249999999</v>
      </c>
      <c r="AN34" s="257">
        <f t="shared" si="220"/>
        <v>4999.2260249999999</v>
      </c>
      <c r="AO34" s="257">
        <f t="shared" si="220"/>
        <v>4999.2260249999999</v>
      </c>
      <c r="AP34" s="257">
        <f t="shared" si="220"/>
        <v>4999.2260249999999</v>
      </c>
      <c r="AQ34" s="257">
        <f t="shared" si="220"/>
        <v>4999.2260249999999</v>
      </c>
      <c r="AR34" s="1038">
        <f t="shared" si="220"/>
        <v>4999.2260249999999</v>
      </c>
      <c r="AS34" s="257">
        <f t="shared" si="220"/>
        <v>5149.2028057499992</v>
      </c>
      <c r="AT34" s="257">
        <f t="shared" si="220"/>
        <v>5149.2028057499992</v>
      </c>
      <c r="AU34" s="257">
        <f t="shared" si="220"/>
        <v>5149.2028057499992</v>
      </c>
      <c r="AV34" s="257">
        <f t="shared" si="220"/>
        <v>5149.2028057499992</v>
      </c>
      <c r="AW34" s="257">
        <f t="shared" si="221"/>
        <v>5149.2028057499992</v>
      </c>
      <c r="AX34" s="257">
        <f t="shared" si="221"/>
        <v>5149.2028057499992</v>
      </c>
      <c r="AY34" s="257">
        <f t="shared" si="221"/>
        <v>5149.2028057499992</v>
      </c>
      <c r="AZ34" s="257">
        <f t="shared" si="221"/>
        <v>5149.2028057499992</v>
      </c>
      <c r="BA34" s="257">
        <f t="shared" si="221"/>
        <v>5149.2028057499992</v>
      </c>
      <c r="BB34" s="257">
        <f t="shared" si="221"/>
        <v>5149.2028057499992</v>
      </c>
      <c r="BC34" s="257">
        <f t="shared" si="221"/>
        <v>5149.2028057499992</v>
      </c>
      <c r="BD34" s="1038">
        <f t="shared" si="221"/>
        <v>5149.2028057499992</v>
      </c>
      <c r="BE34" s="257">
        <f t="shared" si="221"/>
        <v>5303.6788899224994</v>
      </c>
      <c r="BF34" s="257">
        <f t="shared" si="221"/>
        <v>5303.6788899224994</v>
      </c>
      <c r="BG34" s="257">
        <f t="shared" si="222"/>
        <v>5303.6788899224994</v>
      </c>
      <c r="BH34" s="257">
        <f t="shared" si="222"/>
        <v>5303.6788899224994</v>
      </c>
      <c r="BI34" s="257">
        <f t="shared" si="222"/>
        <v>5303.6788899224994</v>
      </c>
      <c r="BJ34" s="257">
        <f t="shared" si="222"/>
        <v>5303.6788899224994</v>
      </c>
      <c r="BK34" s="257">
        <f t="shared" si="222"/>
        <v>5303.6788899224994</v>
      </c>
      <c r="BL34" s="257">
        <f t="shared" si="222"/>
        <v>5303.6788899224994</v>
      </c>
      <c r="BM34" s="257">
        <f t="shared" si="222"/>
        <v>5303.6788899224994</v>
      </c>
      <c r="BN34" s="257">
        <f t="shared" si="222"/>
        <v>5303.6788899224994</v>
      </c>
      <c r="BO34" s="257">
        <f t="shared" si="222"/>
        <v>5303.6788899224994</v>
      </c>
      <c r="BP34" s="1068">
        <f t="shared" si="222"/>
        <v>5303.6788899224994</v>
      </c>
    </row>
    <row r="35" spans="6:68" ht="12" customHeight="1">
      <c r="F35" s="232" t="s">
        <v>23</v>
      </c>
      <c r="G35" s="1065">
        <v>0.03</v>
      </c>
      <c r="H35" s="257">
        <v>668</v>
      </c>
      <c r="I35" s="235">
        <f t="shared" si="217"/>
        <v>0</v>
      </c>
      <c r="J35" s="257">
        <f t="shared" si="217"/>
        <v>0</v>
      </c>
      <c r="K35" s="257">
        <f t="shared" si="217"/>
        <v>0</v>
      </c>
      <c r="L35" s="257">
        <f t="shared" si="217"/>
        <v>0</v>
      </c>
      <c r="M35" s="257">
        <f t="shared" si="217"/>
        <v>0</v>
      </c>
      <c r="N35" s="257">
        <f t="shared" si="217"/>
        <v>0</v>
      </c>
      <c r="O35" s="257">
        <f t="shared" si="217"/>
        <v>0</v>
      </c>
      <c r="P35" s="257">
        <f t="shared" si="217"/>
        <v>0</v>
      </c>
      <c r="Q35" s="257">
        <f t="shared" si="217"/>
        <v>0</v>
      </c>
      <c r="R35" s="257">
        <f t="shared" si="217"/>
        <v>0</v>
      </c>
      <c r="S35" s="257">
        <f t="shared" si="218"/>
        <v>0</v>
      </c>
      <c r="T35" s="1038">
        <f t="shared" si="218"/>
        <v>0</v>
      </c>
      <c r="U35" s="257">
        <f t="shared" si="218"/>
        <v>0</v>
      </c>
      <c r="V35" s="257">
        <f t="shared" si="218"/>
        <v>0</v>
      </c>
      <c r="W35" s="257">
        <f t="shared" si="218"/>
        <v>0</v>
      </c>
      <c r="X35" s="257">
        <f t="shared" si="218"/>
        <v>0</v>
      </c>
      <c r="Y35" s="257">
        <f t="shared" si="218"/>
        <v>1801.2313833333333</v>
      </c>
      <c r="Z35" s="257">
        <f t="shared" si="218"/>
        <v>1801.2313833333333</v>
      </c>
      <c r="AA35" s="257">
        <f t="shared" si="218"/>
        <v>1801.2313833333333</v>
      </c>
      <c r="AB35" s="257">
        <f t="shared" si="218"/>
        <v>1801.2313833333333</v>
      </c>
      <c r="AC35" s="257">
        <f t="shared" si="219"/>
        <v>2701.8470750000001</v>
      </c>
      <c r="AD35" s="257">
        <f t="shared" si="219"/>
        <v>2701.8470750000001</v>
      </c>
      <c r="AE35" s="257">
        <f t="shared" si="219"/>
        <v>2701.8470750000001</v>
      </c>
      <c r="AF35" s="1038">
        <f t="shared" si="219"/>
        <v>2701.8470750000001</v>
      </c>
      <c r="AG35" s="257">
        <f t="shared" si="219"/>
        <v>3710.5366496666666</v>
      </c>
      <c r="AH35" s="257">
        <f t="shared" si="219"/>
        <v>3710.5366496666666</v>
      </c>
      <c r="AI35" s="257">
        <f t="shared" si="219"/>
        <v>3710.5366496666666</v>
      </c>
      <c r="AJ35" s="257">
        <f t="shared" si="219"/>
        <v>3710.5366496666666</v>
      </c>
      <c r="AK35" s="257">
        <f t="shared" si="219"/>
        <v>3710.5366496666666</v>
      </c>
      <c r="AL35" s="257">
        <f t="shared" si="219"/>
        <v>3710.5366496666666</v>
      </c>
      <c r="AM35" s="257">
        <f t="shared" si="220"/>
        <v>3710.5366496666666</v>
      </c>
      <c r="AN35" s="257">
        <f t="shared" si="220"/>
        <v>3710.5366496666666</v>
      </c>
      <c r="AO35" s="257">
        <f t="shared" si="220"/>
        <v>3710.5366496666666</v>
      </c>
      <c r="AP35" s="257">
        <f t="shared" si="220"/>
        <v>3710.5366496666666</v>
      </c>
      <c r="AQ35" s="257">
        <f t="shared" si="220"/>
        <v>3710.5366496666666</v>
      </c>
      <c r="AR35" s="1038">
        <f t="shared" si="220"/>
        <v>3710.5366496666666</v>
      </c>
      <c r="AS35" s="257">
        <f t="shared" si="220"/>
        <v>3821.8527491566661</v>
      </c>
      <c r="AT35" s="257">
        <f t="shared" si="220"/>
        <v>3821.8527491566661</v>
      </c>
      <c r="AU35" s="257">
        <f t="shared" si="220"/>
        <v>3821.8527491566661</v>
      </c>
      <c r="AV35" s="257">
        <f t="shared" si="220"/>
        <v>3821.8527491566661</v>
      </c>
      <c r="AW35" s="257">
        <f t="shared" si="221"/>
        <v>3821.8527491566661</v>
      </c>
      <c r="AX35" s="257">
        <f t="shared" si="221"/>
        <v>3821.8527491566661</v>
      </c>
      <c r="AY35" s="257">
        <f t="shared" si="221"/>
        <v>3821.8527491566661</v>
      </c>
      <c r="AZ35" s="257">
        <f t="shared" si="221"/>
        <v>3821.8527491566661</v>
      </c>
      <c r="BA35" s="257">
        <f t="shared" si="221"/>
        <v>3821.8527491566661</v>
      </c>
      <c r="BB35" s="257">
        <f t="shared" si="221"/>
        <v>3821.8527491566661</v>
      </c>
      <c r="BC35" s="257">
        <f t="shared" si="221"/>
        <v>3821.8527491566661</v>
      </c>
      <c r="BD35" s="1038">
        <f t="shared" si="221"/>
        <v>3821.8527491566661</v>
      </c>
      <c r="BE35" s="257">
        <f t="shared" si="221"/>
        <v>3936.5083316313658</v>
      </c>
      <c r="BF35" s="257">
        <f t="shared" si="221"/>
        <v>3936.5083316313658</v>
      </c>
      <c r="BG35" s="257">
        <f t="shared" si="222"/>
        <v>3936.5083316313658</v>
      </c>
      <c r="BH35" s="257">
        <f t="shared" si="222"/>
        <v>3936.5083316313658</v>
      </c>
      <c r="BI35" s="257">
        <f t="shared" si="222"/>
        <v>3936.5083316313658</v>
      </c>
      <c r="BJ35" s="257">
        <f t="shared" si="222"/>
        <v>3936.5083316313658</v>
      </c>
      <c r="BK35" s="257">
        <f t="shared" si="222"/>
        <v>3936.5083316313658</v>
      </c>
      <c r="BL35" s="257">
        <f t="shared" si="222"/>
        <v>3936.5083316313658</v>
      </c>
      <c r="BM35" s="257">
        <f t="shared" si="222"/>
        <v>3936.5083316313658</v>
      </c>
      <c r="BN35" s="257">
        <f t="shared" si="222"/>
        <v>3936.5083316313658</v>
      </c>
      <c r="BO35" s="257">
        <f t="shared" si="222"/>
        <v>3936.5083316313658</v>
      </c>
      <c r="BP35" s="1068">
        <f t="shared" si="222"/>
        <v>3936.5083316313658</v>
      </c>
    </row>
    <row r="36" spans="6:68" ht="12" customHeight="1">
      <c r="F36" s="232" t="s">
        <v>449</v>
      </c>
      <c r="G36" s="1065">
        <v>0.03</v>
      </c>
      <c r="H36" s="1066">
        <v>829</v>
      </c>
      <c r="I36" s="235">
        <f t="shared" si="217"/>
        <v>0</v>
      </c>
      <c r="J36" s="257">
        <f t="shared" si="217"/>
        <v>0</v>
      </c>
      <c r="K36" s="257">
        <f t="shared" si="217"/>
        <v>0</v>
      </c>
      <c r="L36" s="257">
        <f t="shared" si="217"/>
        <v>0</v>
      </c>
      <c r="M36" s="257">
        <f t="shared" si="217"/>
        <v>0</v>
      </c>
      <c r="N36" s="257">
        <f t="shared" si="217"/>
        <v>0</v>
      </c>
      <c r="O36" s="257">
        <f t="shared" si="217"/>
        <v>0</v>
      </c>
      <c r="P36" s="257">
        <f t="shared" si="217"/>
        <v>0</v>
      </c>
      <c r="Q36" s="257">
        <f t="shared" si="217"/>
        <v>0</v>
      </c>
      <c r="R36" s="257">
        <f t="shared" si="217"/>
        <v>0</v>
      </c>
      <c r="S36" s="257">
        <f t="shared" si="218"/>
        <v>0</v>
      </c>
      <c r="T36" s="1038">
        <f t="shared" si="218"/>
        <v>0</v>
      </c>
      <c r="U36" s="257">
        <f t="shared" si="218"/>
        <v>0</v>
      </c>
      <c r="V36" s="257">
        <f t="shared" si="218"/>
        <v>0</v>
      </c>
      <c r="W36" s="257">
        <f t="shared" si="218"/>
        <v>0</v>
      </c>
      <c r="X36" s="257">
        <f t="shared" si="218"/>
        <v>0</v>
      </c>
      <c r="Y36" s="257">
        <f t="shared" si="218"/>
        <v>2235.3605041666665</v>
      </c>
      <c r="Z36" s="257">
        <f t="shared" si="218"/>
        <v>2235.3605041666665</v>
      </c>
      <c r="AA36" s="257">
        <f t="shared" si="218"/>
        <v>2235.3605041666665</v>
      </c>
      <c r="AB36" s="257">
        <f t="shared" si="218"/>
        <v>2235.3605041666665</v>
      </c>
      <c r="AC36" s="257">
        <f t="shared" si="219"/>
        <v>3353.04075625</v>
      </c>
      <c r="AD36" s="257">
        <f t="shared" si="219"/>
        <v>3353.04075625</v>
      </c>
      <c r="AE36" s="257">
        <f t="shared" si="219"/>
        <v>3353.04075625</v>
      </c>
      <c r="AF36" s="1038">
        <f t="shared" si="219"/>
        <v>3353.04075625</v>
      </c>
      <c r="AG36" s="257">
        <f t="shared" si="219"/>
        <v>4604.8426385833327</v>
      </c>
      <c r="AH36" s="257">
        <f t="shared" si="219"/>
        <v>4604.8426385833327</v>
      </c>
      <c r="AI36" s="257">
        <f t="shared" si="219"/>
        <v>4604.8426385833327</v>
      </c>
      <c r="AJ36" s="257">
        <f t="shared" si="219"/>
        <v>4604.8426385833327</v>
      </c>
      <c r="AK36" s="257">
        <f t="shared" si="219"/>
        <v>4604.8426385833327</v>
      </c>
      <c r="AL36" s="257">
        <f t="shared" si="219"/>
        <v>4604.8426385833327</v>
      </c>
      <c r="AM36" s="257">
        <f t="shared" si="220"/>
        <v>4604.8426385833327</v>
      </c>
      <c r="AN36" s="257">
        <f t="shared" si="220"/>
        <v>4604.8426385833327</v>
      </c>
      <c r="AO36" s="257">
        <f t="shared" si="220"/>
        <v>4604.8426385833327</v>
      </c>
      <c r="AP36" s="257">
        <f t="shared" si="220"/>
        <v>4604.8426385833327</v>
      </c>
      <c r="AQ36" s="257">
        <f t="shared" si="220"/>
        <v>4604.8426385833327</v>
      </c>
      <c r="AR36" s="1038">
        <f t="shared" si="220"/>
        <v>4604.8426385833327</v>
      </c>
      <c r="AS36" s="257">
        <f t="shared" si="220"/>
        <v>4742.9879177408329</v>
      </c>
      <c r="AT36" s="257">
        <f t="shared" si="220"/>
        <v>4742.9879177408329</v>
      </c>
      <c r="AU36" s="257">
        <f t="shared" si="220"/>
        <v>4742.9879177408329</v>
      </c>
      <c r="AV36" s="257">
        <f t="shared" si="220"/>
        <v>4742.9879177408329</v>
      </c>
      <c r="AW36" s="257">
        <f t="shared" si="221"/>
        <v>4742.9879177408329</v>
      </c>
      <c r="AX36" s="257">
        <f t="shared" si="221"/>
        <v>4742.9879177408329</v>
      </c>
      <c r="AY36" s="257">
        <f t="shared" si="221"/>
        <v>4742.9879177408329</v>
      </c>
      <c r="AZ36" s="257">
        <f t="shared" si="221"/>
        <v>4742.9879177408329</v>
      </c>
      <c r="BA36" s="257">
        <f t="shared" si="221"/>
        <v>4742.9879177408329</v>
      </c>
      <c r="BB36" s="257">
        <f t="shared" si="221"/>
        <v>4742.9879177408329</v>
      </c>
      <c r="BC36" s="257">
        <f t="shared" si="221"/>
        <v>4742.9879177408329</v>
      </c>
      <c r="BD36" s="1038">
        <f t="shared" si="221"/>
        <v>4742.9879177408329</v>
      </c>
      <c r="BE36" s="257">
        <f t="shared" si="221"/>
        <v>4885.2775552730582</v>
      </c>
      <c r="BF36" s="257">
        <f t="shared" si="221"/>
        <v>4885.2775552730582</v>
      </c>
      <c r="BG36" s="257">
        <f t="shared" si="222"/>
        <v>4885.2775552730582</v>
      </c>
      <c r="BH36" s="257">
        <f t="shared" si="222"/>
        <v>4885.2775552730582</v>
      </c>
      <c r="BI36" s="257">
        <f t="shared" si="222"/>
        <v>4885.2775552730582</v>
      </c>
      <c r="BJ36" s="257">
        <f t="shared" si="222"/>
        <v>4885.2775552730582</v>
      </c>
      <c r="BK36" s="257">
        <f t="shared" si="222"/>
        <v>4885.2775552730582</v>
      </c>
      <c r="BL36" s="257">
        <f t="shared" si="222"/>
        <v>4885.2775552730582</v>
      </c>
      <c r="BM36" s="257">
        <f t="shared" si="222"/>
        <v>4885.2775552730582</v>
      </c>
      <c r="BN36" s="257">
        <f t="shared" si="222"/>
        <v>4885.2775552730582</v>
      </c>
      <c r="BO36" s="257">
        <f t="shared" si="222"/>
        <v>4885.2775552730582</v>
      </c>
      <c r="BP36" s="1068">
        <f t="shared" si="222"/>
        <v>4885.2775552730582</v>
      </c>
    </row>
    <row r="37" spans="6:68" s="1196" customFormat="1" ht="12" customHeight="1">
      <c r="F37" s="1189" t="s">
        <v>323</v>
      </c>
      <c r="G37" s="1190"/>
      <c r="H37" s="1191">
        <v>2.75E-2</v>
      </c>
      <c r="I37" s="1192">
        <f>$H37*I31</f>
        <v>0</v>
      </c>
      <c r="J37" s="1193">
        <f t="shared" ref="J37:AR37" si="223">$H37*J31</f>
        <v>0</v>
      </c>
      <c r="K37" s="1193">
        <f t="shared" si="223"/>
        <v>0</v>
      </c>
      <c r="L37" s="1193">
        <f t="shared" si="223"/>
        <v>0</v>
      </c>
      <c r="M37" s="1193">
        <f t="shared" si="223"/>
        <v>0</v>
      </c>
      <c r="N37" s="1193">
        <f t="shared" si="223"/>
        <v>0</v>
      </c>
      <c r="O37" s="1193">
        <f t="shared" si="223"/>
        <v>0</v>
      </c>
      <c r="P37" s="1193">
        <f t="shared" si="223"/>
        <v>0</v>
      </c>
      <c r="Q37" s="1193">
        <f t="shared" si="223"/>
        <v>0</v>
      </c>
      <c r="R37" s="1193">
        <f t="shared" si="223"/>
        <v>0</v>
      </c>
      <c r="S37" s="1193">
        <f t="shared" si="223"/>
        <v>0</v>
      </c>
      <c r="T37" s="1194">
        <f t="shared" si="223"/>
        <v>0</v>
      </c>
      <c r="U37" s="1193">
        <f t="shared" si="223"/>
        <v>0</v>
      </c>
      <c r="V37" s="1193">
        <f t="shared" si="223"/>
        <v>0</v>
      </c>
      <c r="W37" s="1193">
        <f t="shared" si="223"/>
        <v>0</v>
      </c>
      <c r="X37" s="1193">
        <f t="shared" si="223"/>
        <v>0</v>
      </c>
      <c r="Y37" s="1193">
        <f t="shared" si="223"/>
        <v>0</v>
      </c>
      <c r="Z37" s="1193">
        <f t="shared" si="223"/>
        <v>0</v>
      </c>
      <c r="AA37" s="1193">
        <f t="shared" si="223"/>
        <v>0</v>
      </c>
      <c r="AB37" s="1193">
        <f t="shared" si="223"/>
        <v>0</v>
      </c>
      <c r="AC37" s="1193">
        <f t="shared" si="223"/>
        <v>4.595023125</v>
      </c>
      <c r="AD37" s="1193">
        <f t="shared" si="223"/>
        <v>906.1035505499998</v>
      </c>
      <c r="AE37" s="1193">
        <f t="shared" si="223"/>
        <v>1807.6120779749999</v>
      </c>
      <c r="AF37" s="1194">
        <f t="shared" si="223"/>
        <v>2709.1206053999999</v>
      </c>
      <c r="AG37" s="1193">
        <f t="shared" si="223"/>
        <v>3718.9480068097496</v>
      </c>
      <c r="AH37" s="1193">
        <f t="shared" si="223"/>
        <v>4647.5017900575003</v>
      </c>
      <c r="AI37" s="1193">
        <f t="shared" si="223"/>
        <v>5571.7959868683738</v>
      </c>
      <c r="AJ37" s="1193">
        <f t="shared" si="223"/>
        <v>5664.1780778112743</v>
      </c>
      <c r="AK37" s="1193">
        <f t="shared" si="223"/>
        <v>5664.1780778112743</v>
      </c>
      <c r="AL37" s="1193">
        <f t="shared" si="223"/>
        <v>5664.1780778112743</v>
      </c>
      <c r="AM37" s="1193">
        <f t="shared" si="223"/>
        <v>5664.1780778112743</v>
      </c>
      <c r="AN37" s="1193">
        <f t="shared" si="223"/>
        <v>5664.1780778112743</v>
      </c>
      <c r="AO37" s="1193">
        <f t="shared" si="223"/>
        <v>5664.1780778112743</v>
      </c>
      <c r="AP37" s="1193">
        <f t="shared" si="223"/>
        <v>5664.1780778112743</v>
      </c>
      <c r="AQ37" s="1193">
        <f t="shared" si="223"/>
        <v>5664.1780778112743</v>
      </c>
      <c r="AR37" s="1194">
        <f t="shared" si="223"/>
        <v>5664.1780778112743</v>
      </c>
      <c r="AS37" s="1193">
        <f t="shared" ref="AS37:BF37" si="224">$H37*AS31</f>
        <v>5834.1034201456132</v>
      </c>
      <c r="AT37" s="1193">
        <f t="shared" si="224"/>
        <v>5834.1034201456132</v>
      </c>
      <c r="AU37" s="1193">
        <f t="shared" si="224"/>
        <v>5834.1034201456132</v>
      </c>
      <c r="AV37" s="1193">
        <f t="shared" si="224"/>
        <v>5834.1034201456132</v>
      </c>
      <c r="AW37" s="1193">
        <f t="shared" si="224"/>
        <v>5834.1034201456132</v>
      </c>
      <c r="AX37" s="1193">
        <f t="shared" si="224"/>
        <v>5834.1034201456132</v>
      </c>
      <c r="AY37" s="1193">
        <f t="shared" si="224"/>
        <v>5834.1034201456132</v>
      </c>
      <c r="AZ37" s="1193">
        <f t="shared" si="224"/>
        <v>5834.1034201456132</v>
      </c>
      <c r="BA37" s="1193">
        <f t="shared" si="224"/>
        <v>5834.1034201456132</v>
      </c>
      <c r="BB37" s="1193">
        <f t="shared" si="224"/>
        <v>5834.1034201456132</v>
      </c>
      <c r="BC37" s="1193">
        <f t="shared" si="224"/>
        <v>5834.1034201456132</v>
      </c>
      <c r="BD37" s="1194">
        <f t="shared" si="224"/>
        <v>5834.1034201456132</v>
      </c>
      <c r="BE37" s="1193">
        <f t="shared" si="224"/>
        <v>6009.1265227499807</v>
      </c>
      <c r="BF37" s="1193">
        <f t="shared" si="224"/>
        <v>6009.1265227499807</v>
      </c>
      <c r="BG37" s="1193">
        <f t="shared" ref="BG37:BP37" si="225">$H37*BG31</f>
        <v>6009.1265227499807</v>
      </c>
      <c r="BH37" s="1193">
        <f t="shared" si="225"/>
        <v>6009.1265227499807</v>
      </c>
      <c r="BI37" s="1193">
        <f t="shared" si="225"/>
        <v>6009.1265227499807</v>
      </c>
      <c r="BJ37" s="1193">
        <f t="shared" si="225"/>
        <v>6009.1265227499807</v>
      </c>
      <c r="BK37" s="1193">
        <f t="shared" si="225"/>
        <v>6009.1265227499807</v>
      </c>
      <c r="BL37" s="1193">
        <f t="shared" si="225"/>
        <v>6009.1265227499807</v>
      </c>
      <c r="BM37" s="1193">
        <f t="shared" si="225"/>
        <v>6009.1265227499807</v>
      </c>
      <c r="BN37" s="1193">
        <f t="shared" si="225"/>
        <v>6009.1265227499807</v>
      </c>
      <c r="BO37" s="1193">
        <f t="shared" si="225"/>
        <v>6009.1265227499807</v>
      </c>
      <c r="BP37" s="1195">
        <f t="shared" si="225"/>
        <v>6009.1265227499807</v>
      </c>
    </row>
    <row r="38" spans="6:68" ht="12" customHeight="1">
      <c r="F38" s="232" t="s">
        <v>38</v>
      </c>
      <c r="G38" s="1065">
        <v>0.03</v>
      </c>
      <c r="H38" s="1066">
        <v>1800</v>
      </c>
      <c r="I38" s="235">
        <f t="shared" ref="I38:R42" si="226">(($H38/12)*I$21)*((1+$G38)^I$14)*$K$3</f>
        <v>0</v>
      </c>
      <c r="J38" s="257">
        <f t="shared" si="226"/>
        <v>0</v>
      </c>
      <c r="K38" s="257">
        <f t="shared" si="226"/>
        <v>0</v>
      </c>
      <c r="L38" s="257">
        <f t="shared" si="226"/>
        <v>0</v>
      </c>
      <c r="M38" s="257">
        <f t="shared" si="226"/>
        <v>0</v>
      </c>
      <c r="N38" s="257">
        <f t="shared" si="226"/>
        <v>0</v>
      </c>
      <c r="O38" s="257">
        <f t="shared" si="226"/>
        <v>0</v>
      </c>
      <c r="P38" s="257">
        <f t="shared" si="226"/>
        <v>0</v>
      </c>
      <c r="Q38" s="257">
        <f t="shared" si="226"/>
        <v>0</v>
      </c>
      <c r="R38" s="257">
        <f t="shared" si="226"/>
        <v>0</v>
      </c>
      <c r="S38" s="257">
        <f t="shared" ref="S38:AB42" si="227">(($H38/12)*S$21)*((1+$G38)^S$14)*$K$3</f>
        <v>0</v>
      </c>
      <c r="T38" s="1038">
        <f t="shared" si="227"/>
        <v>0</v>
      </c>
      <c r="U38" s="257">
        <f t="shared" si="227"/>
        <v>0</v>
      </c>
      <c r="V38" s="257">
        <f t="shared" si="227"/>
        <v>0</v>
      </c>
      <c r="W38" s="257">
        <f t="shared" si="227"/>
        <v>0</v>
      </c>
      <c r="X38" s="257">
        <f t="shared" si="227"/>
        <v>0</v>
      </c>
      <c r="Y38" s="257">
        <f t="shared" si="227"/>
        <v>4853.6174999999994</v>
      </c>
      <c r="Z38" s="257">
        <f t="shared" si="227"/>
        <v>4853.6174999999994</v>
      </c>
      <c r="AA38" s="257">
        <f t="shared" si="227"/>
        <v>4853.6174999999994</v>
      </c>
      <c r="AB38" s="257">
        <f t="shared" si="227"/>
        <v>4853.6174999999994</v>
      </c>
      <c r="AC38" s="257">
        <f t="shared" ref="AC38:AL42" si="228">(($H38/12)*AC$21)*((1+$G38)^AC$14)*$K$3</f>
        <v>7280.4262499999995</v>
      </c>
      <c r="AD38" s="257">
        <f t="shared" si="228"/>
        <v>7280.4262499999995</v>
      </c>
      <c r="AE38" s="257">
        <f t="shared" si="228"/>
        <v>7280.4262499999995</v>
      </c>
      <c r="AF38" s="1038">
        <f t="shared" si="228"/>
        <v>7280.4262499999995</v>
      </c>
      <c r="AG38" s="257">
        <f t="shared" si="228"/>
        <v>9998.4520499999999</v>
      </c>
      <c r="AH38" s="257">
        <f t="shared" si="228"/>
        <v>9998.4520499999999</v>
      </c>
      <c r="AI38" s="257">
        <f t="shared" si="228"/>
        <v>9998.4520499999999</v>
      </c>
      <c r="AJ38" s="257">
        <f t="shared" si="228"/>
        <v>9998.4520499999999</v>
      </c>
      <c r="AK38" s="257">
        <f t="shared" si="228"/>
        <v>9998.4520499999999</v>
      </c>
      <c r="AL38" s="257">
        <f t="shared" si="228"/>
        <v>9998.4520499999999</v>
      </c>
      <c r="AM38" s="257">
        <f t="shared" ref="AM38:AV42" si="229">(($H38/12)*AM$21)*((1+$G38)^AM$14)*$K$3</f>
        <v>9998.4520499999999</v>
      </c>
      <c r="AN38" s="257">
        <f t="shared" si="229"/>
        <v>9998.4520499999999</v>
      </c>
      <c r="AO38" s="257">
        <f t="shared" si="229"/>
        <v>9998.4520499999999</v>
      </c>
      <c r="AP38" s="257">
        <f t="shared" si="229"/>
        <v>9998.4520499999999</v>
      </c>
      <c r="AQ38" s="257">
        <f t="shared" si="229"/>
        <v>9998.4520499999999</v>
      </c>
      <c r="AR38" s="1038">
        <f t="shared" si="229"/>
        <v>9998.4520499999999</v>
      </c>
      <c r="AS38" s="257">
        <f t="shared" si="229"/>
        <v>10298.405611499998</v>
      </c>
      <c r="AT38" s="257">
        <f t="shared" si="229"/>
        <v>10298.405611499998</v>
      </c>
      <c r="AU38" s="257">
        <f t="shared" si="229"/>
        <v>10298.405611499998</v>
      </c>
      <c r="AV38" s="257">
        <f t="shared" si="229"/>
        <v>10298.405611499998</v>
      </c>
      <c r="AW38" s="257">
        <f t="shared" ref="AW38:BF42" si="230">(($H38/12)*AW$21)*((1+$G38)^AW$14)*$K$3</f>
        <v>10298.405611499998</v>
      </c>
      <c r="AX38" s="257">
        <f t="shared" si="230"/>
        <v>10298.405611499998</v>
      </c>
      <c r="AY38" s="257">
        <f t="shared" si="230"/>
        <v>10298.405611499998</v>
      </c>
      <c r="AZ38" s="257">
        <f t="shared" si="230"/>
        <v>10298.405611499998</v>
      </c>
      <c r="BA38" s="257">
        <f t="shared" si="230"/>
        <v>10298.405611499998</v>
      </c>
      <c r="BB38" s="257">
        <f t="shared" si="230"/>
        <v>10298.405611499998</v>
      </c>
      <c r="BC38" s="257">
        <f t="shared" si="230"/>
        <v>10298.405611499998</v>
      </c>
      <c r="BD38" s="1038">
        <f t="shared" si="230"/>
        <v>10298.405611499998</v>
      </c>
      <c r="BE38" s="257">
        <f t="shared" si="230"/>
        <v>10607.357779844999</v>
      </c>
      <c r="BF38" s="257">
        <f t="shared" si="230"/>
        <v>10607.357779844999</v>
      </c>
      <c r="BG38" s="257">
        <f t="shared" ref="BG38:BP42" si="231">(($H38/12)*BG$21)*((1+$G38)^BG$14)*$K$3</f>
        <v>10607.357779844999</v>
      </c>
      <c r="BH38" s="257">
        <f t="shared" si="231"/>
        <v>10607.357779844999</v>
      </c>
      <c r="BI38" s="257">
        <f t="shared" si="231"/>
        <v>10607.357779844999</v>
      </c>
      <c r="BJ38" s="257">
        <f t="shared" si="231"/>
        <v>10607.357779844999</v>
      </c>
      <c r="BK38" s="257">
        <f t="shared" si="231"/>
        <v>10607.357779844999</v>
      </c>
      <c r="BL38" s="257">
        <f t="shared" si="231"/>
        <v>10607.357779844999</v>
      </c>
      <c r="BM38" s="257">
        <f t="shared" si="231"/>
        <v>10607.357779844999</v>
      </c>
      <c r="BN38" s="257">
        <f t="shared" si="231"/>
        <v>10607.357779844999</v>
      </c>
      <c r="BO38" s="257">
        <f t="shared" si="231"/>
        <v>10607.357779844999</v>
      </c>
      <c r="BP38" s="1068">
        <f t="shared" si="231"/>
        <v>10607.357779844999</v>
      </c>
    </row>
    <row r="39" spans="6:68" ht="12" customHeight="1">
      <c r="F39" s="232" t="s">
        <v>547</v>
      </c>
      <c r="G39" s="1065">
        <v>0.03</v>
      </c>
      <c r="H39" s="257">
        <v>346</v>
      </c>
      <c r="I39" s="235">
        <f t="shared" si="226"/>
        <v>0</v>
      </c>
      <c r="J39" s="257">
        <f t="shared" si="226"/>
        <v>0</v>
      </c>
      <c r="K39" s="257">
        <f t="shared" si="226"/>
        <v>0</v>
      </c>
      <c r="L39" s="257">
        <f t="shared" si="226"/>
        <v>0</v>
      </c>
      <c r="M39" s="257">
        <f t="shared" si="226"/>
        <v>0</v>
      </c>
      <c r="N39" s="257">
        <f t="shared" si="226"/>
        <v>0</v>
      </c>
      <c r="O39" s="257">
        <f t="shared" si="226"/>
        <v>0</v>
      </c>
      <c r="P39" s="257">
        <f t="shared" si="226"/>
        <v>0</v>
      </c>
      <c r="Q39" s="257">
        <f t="shared" si="226"/>
        <v>0</v>
      </c>
      <c r="R39" s="257">
        <f t="shared" si="226"/>
        <v>0</v>
      </c>
      <c r="S39" s="257">
        <f t="shared" si="227"/>
        <v>0</v>
      </c>
      <c r="T39" s="1038">
        <f t="shared" si="227"/>
        <v>0</v>
      </c>
      <c r="U39" s="257">
        <f t="shared" si="227"/>
        <v>0</v>
      </c>
      <c r="V39" s="257">
        <f t="shared" si="227"/>
        <v>0</v>
      </c>
      <c r="W39" s="257">
        <f t="shared" si="227"/>
        <v>0</v>
      </c>
      <c r="X39" s="257">
        <f t="shared" si="227"/>
        <v>0</v>
      </c>
      <c r="Y39" s="257">
        <f t="shared" si="227"/>
        <v>932.97314166666661</v>
      </c>
      <c r="Z39" s="257">
        <f t="shared" si="227"/>
        <v>932.97314166666661</v>
      </c>
      <c r="AA39" s="257">
        <f t="shared" si="227"/>
        <v>932.97314166666661</v>
      </c>
      <c r="AB39" s="257">
        <f t="shared" si="227"/>
        <v>932.97314166666661</v>
      </c>
      <c r="AC39" s="257">
        <f t="shared" si="228"/>
        <v>1399.4597125</v>
      </c>
      <c r="AD39" s="257">
        <f t="shared" si="228"/>
        <v>1399.4597125</v>
      </c>
      <c r="AE39" s="257">
        <f t="shared" si="228"/>
        <v>1399.4597125</v>
      </c>
      <c r="AF39" s="1038">
        <f t="shared" si="228"/>
        <v>1399.4597125</v>
      </c>
      <c r="AG39" s="257">
        <f t="shared" si="228"/>
        <v>1921.9246718333332</v>
      </c>
      <c r="AH39" s="257">
        <f t="shared" si="228"/>
        <v>1921.9246718333332</v>
      </c>
      <c r="AI39" s="257">
        <f t="shared" si="228"/>
        <v>1921.9246718333332</v>
      </c>
      <c r="AJ39" s="257">
        <f t="shared" si="228"/>
        <v>1921.9246718333332</v>
      </c>
      <c r="AK39" s="257">
        <f t="shared" si="228"/>
        <v>1921.9246718333332</v>
      </c>
      <c r="AL39" s="257">
        <f t="shared" si="228"/>
        <v>1921.9246718333332</v>
      </c>
      <c r="AM39" s="257">
        <f t="shared" si="229"/>
        <v>1921.9246718333332</v>
      </c>
      <c r="AN39" s="257">
        <f t="shared" si="229"/>
        <v>1921.9246718333332</v>
      </c>
      <c r="AO39" s="257">
        <f t="shared" si="229"/>
        <v>1921.9246718333332</v>
      </c>
      <c r="AP39" s="257">
        <f t="shared" si="229"/>
        <v>1921.9246718333332</v>
      </c>
      <c r="AQ39" s="257">
        <f t="shared" si="229"/>
        <v>1921.9246718333332</v>
      </c>
      <c r="AR39" s="1038">
        <f t="shared" si="229"/>
        <v>1921.9246718333332</v>
      </c>
      <c r="AS39" s="257">
        <f t="shared" si="229"/>
        <v>1979.5824119883332</v>
      </c>
      <c r="AT39" s="257">
        <f t="shared" si="229"/>
        <v>1979.5824119883332</v>
      </c>
      <c r="AU39" s="257">
        <f t="shared" si="229"/>
        <v>1979.5824119883332</v>
      </c>
      <c r="AV39" s="257">
        <f t="shared" si="229"/>
        <v>1979.5824119883332</v>
      </c>
      <c r="AW39" s="257">
        <f t="shared" si="230"/>
        <v>1979.5824119883332</v>
      </c>
      <c r="AX39" s="257">
        <f t="shared" si="230"/>
        <v>1979.5824119883332</v>
      </c>
      <c r="AY39" s="257">
        <f t="shared" si="230"/>
        <v>1979.5824119883332</v>
      </c>
      <c r="AZ39" s="257">
        <f t="shared" si="230"/>
        <v>1979.5824119883332</v>
      </c>
      <c r="BA39" s="257">
        <f t="shared" si="230"/>
        <v>1979.5824119883332</v>
      </c>
      <c r="BB39" s="257">
        <f t="shared" si="230"/>
        <v>1979.5824119883332</v>
      </c>
      <c r="BC39" s="257">
        <f t="shared" si="230"/>
        <v>1979.5824119883332</v>
      </c>
      <c r="BD39" s="1038">
        <f t="shared" si="230"/>
        <v>1979.5824119883332</v>
      </c>
      <c r="BE39" s="257">
        <f t="shared" si="230"/>
        <v>2038.969884347983</v>
      </c>
      <c r="BF39" s="257">
        <f t="shared" si="230"/>
        <v>2038.969884347983</v>
      </c>
      <c r="BG39" s="257">
        <f t="shared" si="231"/>
        <v>2038.969884347983</v>
      </c>
      <c r="BH39" s="257">
        <f t="shared" si="231"/>
        <v>2038.969884347983</v>
      </c>
      <c r="BI39" s="257">
        <f t="shared" si="231"/>
        <v>2038.969884347983</v>
      </c>
      <c r="BJ39" s="257">
        <f t="shared" si="231"/>
        <v>2038.969884347983</v>
      </c>
      <c r="BK39" s="257">
        <f t="shared" si="231"/>
        <v>2038.969884347983</v>
      </c>
      <c r="BL39" s="257">
        <f t="shared" si="231"/>
        <v>2038.969884347983</v>
      </c>
      <c r="BM39" s="257">
        <f t="shared" si="231"/>
        <v>2038.969884347983</v>
      </c>
      <c r="BN39" s="257">
        <f t="shared" si="231"/>
        <v>2038.969884347983</v>
      </c>
      <c r="BO39" s="257">
        <f t="shared" si="231"/>
        <v>2038.969884347983</v>
      </c>
      <c r="BP39" s="1068">
        <f t="shared" si="231"/>
        <v>2038.969884347983</v>
      </c>
    </row>
    <row r="40" spans="6:68" ht="12" customHeight="1">
      <c r="F40" s="232" t="s">
        <v>389</v>
      </c>
      <c r="G40" s="1065">
        <v>0.03</v>
      </c>
      <c r="H40" s="257">
        <v>0</v>
      </c>
      <c r="I40" s="235">
        <f t="shared" si="226"/>
        <v>0</v>
      </c>
      <c r="J40" s="257">
        <f t="shared" si="226"/>
        <v>0</v>
      </c>
      <c r="K40" s="257">
        <f t="shared" si="226"/>
        <v>0</v>
      </c>
      <c r="L40" s="257">
        <f t="shared" si="226"/>
        <v>0</v>
      </c>
      <c r="M40" s="257">
        <f t="shared" si="226"/>
        <v>0</v>
      </c>
      <c r="N40" s="257">
        <f t="shared" si="226"/>
        <v>0</v>
      </c>
      <c r="O40" s="257">
        <f t="shared" si="226"/>
        <v>0</v>
      </c>
      <c r="P40" s="257">
        <f t="shared" si="226"/>
        <v>0</v>
      </c>
      <c r="Q40" s="257">
        <f t="shared" si="226"/>
        <v>0</v>
      </c>
      <c r="R40" s="257">
        <f t="shared" si="226"/>
        <v>0</v>
      </c>
      <c r="S40" s="257">
        <f t="shared" si="227"/>
        <v>0</v>
      </c>
      <c r="T40" s="1038">
        <f t="shared" si="227"/>
        <v>0</v>
      </c>
      <c r="U40" s="257">
        <f t="shared" si="227"/>
        <v>0</v>
      </c>
      <c r="V40" s="257">
        <f t="shared" si="227"/>
        <v>0</v>
      </c>
      <c r="W40" s="257">
        <f t="shared" si="227"/>
        <v>0</v>
      </c>
      <c r="X40" s="257">
        <f t="shared" si="227"/>
        <v>0</v>
      </c>
      <c r="Y40" s="257">
        <f t="shared" si="227"/>
        <v>0</v>
      </c>
      <c r="Z40" s="257">
        <f t="shared" si="227"/>
        <v>0</v>
      </c>
      <c r="AA40" s="257">
        <f t="shared" si="227"/>
        <v>0</v>
      </c>
      <c r="AB40" s="257">
        <f t="shared" si="227"/>
        <v>0</v>
      </c>
      <c r="AC40" s="257">
        <f t="shared" si="228"/>
        <v>0</v>
      </c>
      <c r="AD40" s="257">
        <f t="shared" si="228"/>
        <v>0</v>
      </c>
      <c r="AE40" s="257">
        <f t="shared" si="228"/>
        <v>0</v>
      </c>
      <c r="AF40" s="1038">
        <f t="shared" si="228"/>
        <v>0</v>
      </c>
      <c r="AG40" s="257">
        <f t="shared" si="228"/>
        <v>0</v>
      </c>
      <c r="AH40" s="257">
        <f t="shared" si="228"/>
        <v>0</v>
      </c>
      <c r="AI40" s="257">
        <f t="shared" si="228"/>
        <v>0</v>
      </c>
      <c r="AJ40" s="257">
        <f t="shared" si="228"/>
        <v>0</v>
      </c>
      <c r="AK40" s="257">
        <f t="shared" si="228"/>
        <v>0</v>
      </c>
      <c r="AL40" s="257">
        <f t="shared" si="228"/>
        <v>0</v>
      </c>
      <c r="AM40" s="257">
        <f t="shared" si="229"/>
        <v>0</v>
      </c>
      <c r="AN40" s="257">
        <f t="shared" si="229"/>
        <v>0</v>
      </c>
      <c r="AO40" s="257">
        <f t="shared" si="229"/>
        <v>0</v>
      </c>
      <c r="AP40" s="257">
        <f t="shared" si="229"/>
        <v>0</v>
      </c>
      <c r="AQ40" s="257">
        <f t="shared" si="229"/>
        <v>0</v>
      </c>
      <c r="AR40" s="1038">
        <f t="shared" si="229"/>
        <v>0</v>
      </c>
      <c r="AS40" s="257">
        <f t="shared" si="229"/>
        <v>0</v>
      </c>
      <c r="AT40" s="257">
        <f t="shared" si="229"/>
        <v>0</v>
      </c>
      <c r="AU40" s="257">
        <f t="shared" si="229"/>
        <v>0</v>
      </c>
      <c r="AV40" s="257">
        <f t="shared" si="229"/>
        <v>0</v>
      </c>
      <c r="AW40" s="257">
        <f t="shared" si="230"/>
        <v>0</v>
      </c>
      <c r="AX40" s="257">
        <f t="shared" si="230"/>
        <v>0</v>
      </c>
      <c r="AY40" s="257">
        <f t="shared" si="230"/>
        <v>0</v>
      </c>
      <c r="AZ40" s="257">
        <f t="shared" si="230"/>
        <v>0</v>
      </c>
      <c r="BA40" s="257">
        <f t="shared" si="230"/>
        <v>0</v>
      </c>
      <c r="BB40" s="257">
        <f t="shared" si="230"/>
        <v>0</v>
      </c>
      <c r="BC40" s="257">
        <f t="shared" si="230"/>
        <v>0</v>
      </c>
      <c r="BD40" s="1038">
        <f t="shared" si="230"/>
        <v>0</v>
      </c>
      <c r="BE40" s="257">
        <f t="shared" si="230"/>
        <v>0</v>
      </c>
      <c r="BF40" s="257">
        <f t="shared" si="230"/>
        <v>0</v>
      </c>
      <c r="BG40" s="257">
        <f t="shared" si="231"/>
        <v>0</v>
      </c>
      <c r="BH40" s="257">
        <f t="shared" si="231"/>
        <v>0</v>
      </c>
      <c r="BI40" s="257">
        <f t="shared" si="231"/>
        <v>0</v>
      </c>
      <c r="BJ40" s="257">
        <f t="shared" si="231"/>
        <v>0</v>
      </c>
      <c r="BK40" s="257">
        <f t="shared" si="231"/>
        <v>0</v>
      </c>
      <c r="BL40" s="257">
        <f t="shared" si="231"/>
        <v>0</v>
      </c>
      <c r="BM40" s="257">
        <f t="shared" si="231"/>
        <v>0</v>
      </c>
      <c r="BN40" s="257">
        <f t="shared" si="231"/>
        <v>0</v>
      </c>
      <c r="BO40" s="257">
        <f t="shared" si="231"/>
        <v>0</v>
      </c>
      <c r="BP40" s="1068">
        <f t="shared" si="231"/>
        <v>0</v>
      </c>
    </row>
    <row r="41" spans="6:68" ht="12" customHeight="1">
      <c r="F41" s="232" t="s">
        <v>322</v>
      </c>
      <c r="G41" s="1065">
        <v>0.03</v>
      </c>
      <c r="H41" s="257">
        <v>346</v>
      </c>
      <c r="I41" s="235">
        <f t="shared" si="226"/>
        <v>0</v>
      </c>
      <c r="J41" s="257">
        <f t="shared" si="226"/>
        <v>0</v>
      </c>
      <c r="K41" s="257">
        <f t="shared" si="226"/>
        <v>0</v>
      </c>
      <c r="L41" s="257">
        <f t="shared" si="226"/>
        <v>0</v>
      </c>
      <c r="M41" s="257">
        <f t="shared" si="226"/>
        <v>0</v>
      </c>
      <c r="N41" s="257">
        <f t="shared" si="226"/>
        <v>0</v>
      </c>
      <c r="O41" s="257">
        <f t="shared" si="226"/>
        <v>0</v>
      </c>
      <c r="P41" s="257">
        <f t="shared" si="226"/>
        <v>0</v>
      </c>
      <c r="Q41" s="257">
        <f t="shared" si="226"/>
        <v>0</v>
      </c>
      <c r="R41" s="257">
        <f t="shared" si="226"/>
        <v>0</v>
      </c>
      <c r="S41" s="257">
        <f t="shared" si="227"/>
        <v>0</v>
      </c>
      <c r="T41" s="1038">
        <f t="shared" si="227"/>
        <v>0</v>
      </c>
      <c r="U41" s="257">
        <f t="shared" si="227"/>
        <v>0</v>
      </c>
      <c r="V41" s="257">
        <f t="shared" si="227"/>
        <v>0</v>
      </c>
      <c r="W41" s="257">
        <f t="shared" si="227"/>
        <v>0</v>
      </c>
      <c r="X41" s="257">
        <f t="shared" si="227"/>
        <v>0</v>
      </c>
      <c r="Y41" s="257">
        <f t="shared" si="227"/>
        <v>932.97314166666661</v>
      </c>
      <c r="Z41" s="257">
        <f t="shared" si="227"/>
        <v>932.97314166666661</v>
      </c>
      <c r="AA41" s="257">
        <f t="shared" si="227"/>
        <v>932.97314166666661</v>
      </c>
      <c r="AB41" s="257">
        <f t="shared" si="227"/>
        <v>932.97314166666661</v>
      </c>
      <c r="AC41" s="257">
        <f t="shared" si="228"/>
        <v>1399.4597125</v>
      </c>
      <c r="AD41" s="257">
        <f t="shared" si="228"/>
        <v>1399.4597125</v>
      </c>
      <c r="AE41" s="257">
        <f t="shared" si="228"/>
        <v>1399.4597125</v>
      </c>
      <c r="AF41" s="1038">
        <f t="shared" si="228"/>
        <v>1399.4597125</v>
      </c>
      <c r="AG41" s="257">
        <f t="shared" si="228"/>
        <v>1921.9246718333332</v>
      </c>
      <c r="AH41" s="257">
        <f t="shared" si="228"/>
        <v>1921.9246718333332</v>
      </c>
      <c r="AI41" s="257">
        <f t="shared" si="228"/>
        <v>1921.9246718333332</v>
      </c>
      <c r="AJ41" s="257">
        <f t="shared" si="228"/>
        <v>1921.9246718333332</v>
      </c>
      <c r="AK41" s="257">
        <f t="shared" si="228"/>
        <v>1921.9246718333332</v>
      </c>
      <c r="AL41" s="257">
        <f t="shared" si="228"/>
        <v>1921.9246718333332</v>
      </c>
      <c r="AM41" s="257">
        <f t="shared" si="229"/>
        <v>1921.9246718333332</v>
      </c>
      <c r="AN41" s="257">
        <f t="shared" si="229"/>
        <v>1921.9246718333332</v>
      </c>
      <c r="AO41" s="257">
        <f t="shared" si="229"/>
        <v>1921.9246718333332</v>
      </c>
      <c r="AP41" s="257">
        <f t="shared" si="229"/>
        <v>1921.9246718333332</v>
      </c>
      <c r="AQ41" s="257">
        <f t="shared" si="229"/>
        <v>1921.9246718333332</v>
      </c>
      <c r="AR41" s="1038">
        <f t="shared" si="229"/>
        <v>1921.9246718333332</v>
      </c>
      <c r="AS41" s="257">
        <f t="shared" si="229"/>
        <v>1979.5824119883332</v>
      </c>
      <c r="AT41" s="257">
        <f t="shared" si="229"/>
        <v>1979.5824119883332</v>
      </c>
      <c r="AU41" s="257">
        <f t="shared" si="229"/>
        <v>1979.5824119883332</v>
      </c>
      <c r="AV41" s="257">
        <f t="shared" si="229"/>
        <v>1979.5824119883332</v>
      </c>
      <c r="AW41" s="257">
        <f t="shared" si="230"/>
        <v>1979.5824119883332</v>
      </c>
      <c r="AX41" s="257">
        <f t="shared" si="230"/>
        <v>1979.5824119883332</v>
      </c>
      <c r="AY41" s="257">
        <f t="shared" si="230"/>
        <v>1979.5824119883332</v>
      </c>
      <c r="AZ41" s="257">
        <f t="shared" si="230"/>
        <v>1979.5824119883332</v>
      </c>
      <c r="BA41" s="257">
        <f t="shared" si="230"/>
        <v>1979.5824119883332</v>
      </c>
      <c r="BB41" s="257">
        <f t="shared" si="230"/>
        <v>1979.5824119883332</v>
      </c>
      <c r="BC41" s="257">
        <f t="shared" si="230"/>
        <v>1979.5824119883332</v>
      </c>
      <c r="BD41" s="1038">
        <f t="shared" si="230"/>
        <v>1979.5824119883332</v>
      </c>
      <c r="BE41" s="257">
        <f t="shared" si="230"/>
        <v>2038.969884347983</v>
      </c>
      <c r="BF41" s="257">
        <f t="shared" si="230"/>
        <v>2038.969884347983</v>
      </c>
      <c r="BG41" s="257">
        <f t="shared" si="231"/>
        <v>2038.969884347983</v>
      </c>
      <c r="BH41" s="257">
        <f t="shared" si="231"/>
        <v>2038.969884347983</v>
      </c>
      <c r="BI41" s="257">
        <f t="shared" si="231"/>
        <v>2038.969884347983</v>
      </c>
      <c r="BJ41" s="257">
        <f t="shared" si="231"/>
        <v>2038.969884347983</v>
      </c>
      <c r="BK41" s="257">
        <f t="shared" si="231"/>
        <v>2038.969884347983</v>
      </c>
      <c r="BL41" s="257">
        <f t="shared" si="231"/>
        <v>2038.969884347983</v>
      </c>
      <c r="BM41" s="257">
        <f t="shared" si="231"/>
        <v>2038.969884347983</v>
      </c>
      <c r="BN41" s="257">
        <f t="shared" si="231"/>
        <v>2038.969884347983</v>
      </c>
      <c r="BO41" s="257">
        <f t="shared" si="231"/>
        <v>2038.969884347983</v>
      </c>
      <c r="BP41" s="1068">
        <f t="shared" si="231"/>
        <v>2038.969884347983</v>
      </c>
    </row>
    <row r="42" spans="6:68" ht="12" customHeight="1">
      <c r="F42" s="232" t="s">
        <v>548</v>
      </c>
      <c r="G42" s="1065">
        <v>0.03</v>
      </c>
      <c r="H42" s="1069">
        <v>0</v>
      </c>
      <c r="I42" s="263">
        <f t="shared" si="226"/>
        <v>0</v>
      </c>
      <c r="J42" s="1069">
        <f t="shared" si="226"/>
        <v>0</v>
      </c>
      <c r="K42" s="1069">
        <f t="shared" si="226"/>
        <v>0</v>
      </c>
      <c r="L42" s="1069">
        <f t="shared" si="226"/>
        <v>0</v>
      </c>
      <c r="M42" s="1069">
        <f t="shared" si="226"/>
        <v>0</v>
      </c>
      <c r="N42" s="1069">
        <f t="shared" si="226"/>
        <v>0</v>
      </c>
      <c r="O42" s="1069">
        <f t="shared" si="226"/>
        <v>0</v>
      </c>
      <c r="P42" s="1069">
        <f t="shared" si="226"/>
        <v>0</v>
      </c>
      <c r="Q42" s="1069">
        <f t="shared" si="226"/>
        <v>0</v>
      </c>
      <c r="R42" s="1069">
        <f t="shared" si="226"/>
        <v>0</v>
      </c>
      <c r="S42" s="1069">
        <f t="shared" si="227"/>
        <v>0</v>
      </c>
      <c r="T42" s="1039">
        <f t="shared" si="227"/>
        <v>0</v>
      </c>
      <c r="U42" s="1069">
        <f t="shared" si="227"/>
        <v>0</v>
      </c>
      <c r="V42" s="1069">
        <f t="shared" si="227"/>
        <v>0</v>
      </c>
      <c r="W42" s="1069">
        <f t="shared" si="227"/>
        <v>0</v>
      </c>
      <c r="X42" s="1069">
        <f t="shared" si="227"/>
        <v>0</v>
      </c>
      <c r="Y42" s="1069">
        <f t="shared" si="227"/>
        <v>0</v>
      </c>
      <c r="Z42" s="1069">
        <f t="shared" si="227"/>
        <v>0</v>
      </c>
      <c r="AA42" s="1069">
        <f t="shared" si="227"/>
        <v>0</v>
      </c>
      <c r="AB42" s="1069">
        <f t="shared" si="227"/>
        <v>0</v>
      </c>
      <c r="AC42" s="1069">
        <f t="shared" si="228"/>
        <v>0</v>
      </c>
      <c r="AD42" s="1069">
        <f t="shared" si="228"/>
        <v>0</v>
      </c>
      <c r="AE42" s="1069">
        <f t="shared" si="228"/>
        <v>0</v>
      </c>
      <c r="AF42" s="1039">
        <f t="shared" si="228"/>
        <v>0</v>
      </c>
      <c r="AG42" s="1069">
        <f t="shared" si="228"/>
        <v>0</v>
      </c>
      <c r="AH42" s="1069">
        <f t="shared" si="228"/>
        <v>0</v>
      </c>
      <c r="AI42" s="1069">
        <f t="shared" si="228"/>
        <v>0</v>
      </c>
      <c r="AJ42" s="1069">
        <f t="shared" si="228"/>
        <v>0</v>
      </c>
      <c r="AK42" s="1069">
        <f t="shared" si="228"/>
        <v>0</v>
      </c>
      <c r="AL42" s="1069">
        <f t="shared" si="228"/>
        <v>0</v>
      </c>
      <c r="AM42" s="1069">
        <f t="shared" si="229"/>
        <v>0</v>
      </c>
      <c r="AN42" s="1069">
        <f t="shared" si="229"/>
        <v>0</v>
      </c>
      <c r="AO42" s="1069">
        <f t="shared" si="229"/>
        <v>0</v>
      </c>
      <c r="AP42" s="1069">
        <f t="shared" si="229"/>
        <v>0</v>
      </c>
      <c r="AQ42" s="1069">
        <f t="shared" si="229"/>
        <v>0</v>
      </c>
      <c r="AR42" s="1039">
        <f t="shared" si="229"/>
        <v>0</v>
      </c>
      <c r="AS42" s="1069">
        <f t="shared" si="229"/>
        <v>0</v>
      </c>
      <c r="AT42" s="1069">
        <f t="shared" si="229"/>
        <v>0</v>
      </c>
      <c r="AU42" s="1069">
        <f t="shared" si="229"/>
        <v>0</v>
      </c>
      <c r="AV42" s="1069">
        <f t="shared" si="229"/>
        <v>0</v>
      </c>
      <c r="AW42" s="1069">
        <f t="shared" si="230"/>
        <v>0</v>
      </c>
      <c r="AX42" s="1069">
        <f t="shared" si="230"/>
        <v>0</v>
      </c>
      <c r="AY42" s="1069">
        <f t="shared" si="230"/>
        <v>0</v>
      </c>
      <c r="AZ42" s="1069">
        <f t="shared" si="230"/>
        <v>0</v>
      </c>
      <c r="BA42" s="1069">
        <f t="shared" si="230"/>
        <v>0</v>
      </c>
      <c r="BB42" s="1069">
        <f t="shared" si="230"/>
        <v>0</v>
      </c>
      <c r="BC42" s="1069">
        <f t="shared" si="230"/>
        <v>0</v>
      </c>
      <c r="BD42" s="1039">
        <f t="shared" si="230"/>
        <v>0</v>
      </c>
      <c r="BE42" s="1069">
        <f t="shared" si="230"/>
        <v>0</v>
      </c>
      <c r="BF42" s="1069">
        <f t="shared" si="230"/>
        <v>0</v>
      </c>
      <c r="BG42" s="1069">
        <f t="shared" si="231"/>
        <v>0</v>
      </c>
      <c r="BH42" s="1069">
        <f t="shared" si="231"/>
        <v>0</v>
      </c>
      <c r="BI42" s="1069">
        <f t="shared" si="231"/>
        <v>0</v>
      </c>
      <c r="BJ42" s="1069">
        <f t="shared" si="231"/>
        <v>0</v>
      </c>
      <c r="BK42" s="1069">
        <f t="shared" si="231"/>
        <v>0</v>
      </c>
      <c r="BL42" s="1069">
        <f t="shared" si="231"/>
        <v>0</v>
      </c>
      <c r="BM42" s="1069">
        <f t="shared" si="231"/>
        <v>0</v>
      </c>
      <c r="BN42" s="1069">
        <f t="shared" si="231"/>
        <v>0</v>
      </c>
      <c r="BO42" s="1069">
        <f t="shared" si="231"/>
        <v>0</v>
      </c>
      <c r="BP42" s="1071">
        <f t="shared" si="231"/>
        <v>0</v>
      </c>
    </row>
    <row r="43" spans="6:68" ht="12" customHeight="1">
      <c r="F43" s="234" t="s">
        <v>325</v>
      </c>
      <c r="G43" s="1072"/>
      <c r="H43" s="205">
        <f>SUM(H33:H36)+SUM(H38:H42)+(H37*H23)</f>
        <v>7974.42</v>
      </c>
      <c r="I43" s="236">
        <f>SUM(I33:I42)</f>
        <v>0</v>
      </c>
      <c r="J43" s="1073">
        <f t="shared" ref="J43:AR43" si="232">SUM(J33:J42)</f>
        <v>0</v>
      </c>
      <c r="K43" s="1073">
        <f t="shared" si="232"/>
        <v>0</v>
      </c>
      <c r="L43" s="1073">
        <f t="shared" si="232"/>
        <v>0</v>
      </c>
      <c r="M43" s="1073">
        <f t="shared" si="232"/>
        <v>0</v>
      </c>
      <c r="N43" s="1073">
        <f t="shared" si="232"/>
        <v>0</v>
      </c>
      <c r="O43" s="1073">
        <f t="shared" si="232"/>
        <v>0</v>
      </c>
      <c r="P43" s="1073">
        <f t="shared" si="232"/>
        <v>0</v>
      </c>
      <c r="Q43" s="1073">
        <f t="shared" si="232"/>
        <v>0</v>
      </c>
      <c r="R43" s="1073">
        <f t="shared" si="232"/>
        <v>0</v>
      </c>
      <c r="S43" s="1073">
        <f t="shared" si="232"/>
        <v>0</v>
      </c>
      <c r="T43" s="1040">
        <f t="shared" si="232"/>
        <v>0</v>
      </c>
      <c r="U43" s="1073">
        <f t="shared" si="232"/>
        <v>0</v>
      </c>
      <c r="V43" s="1073">
        <f t="shared" si="232"/>
        <v>0</v>
      </c>
      <c r="W43" s="1073">
        <f t="shared" si="232"/>
        <v>0</v>
      </c>
      <c r="X43" s="1073">
        <f t="shared" si="232"/>
        <v>0</v>
      </c>
      <c r="Y43" s="1073">
        <f t="shared" si="232"/>
        <v>21258.844649999999</v>
      </c>
      <c r="Z43" s="1073">
        <f t="shared" si="232"/>
        <v>21258.844649999999</v>
      </c>
      <c r="AA43" s="1073">
        <f t="shared" si="232"/>
        <v>21258.844649999999</v>
      </c>
      <c r="AB43" s="1073">
        <f t="shared" si="232"/>
        <v>21258.844649999999</v>
      </c>
      <c r="AC43" s="1073">
        <f t="shared" si="232"/>
        <v>31892.861998125001</v>
      </c>
      <c r="AD43" s="1073">
        <f t="shared" si="232"/>
        <v>32794.370525550003</v>
      </c>
      <c r="AE43" s="1073">
        <f t="shared" si="232"/>
        <v>33695.879052974997</v>
      </c>
      <c r="AF43" s="1040">
        <f t="shared" si="232"/>
        <v>34597.387580399998</v>
      </c>
      <c r="AG43" s="1073">
        <f t="shared" si="232"/>
        <v>47512.167985809749</v>
      </c>
      <c r="AH43" s="1073">
        <f t="shared" si="232"/>
        <v>48440.721769057498</v>
      </c>
      <c r="AI43" s="1073">
        <f t="shared" si="232"/>
        <v>49365.01596586837</v>
      </c>
      <c r="AJ43" s="1073">
        <f t="shared" si="232"/>
        <v>49457.398056811275</v>
      </c>
      <c r="AK43" s="1073">
        <f t="shared" si="232"/>
        <v>49457.398056811275</v>
      </c>
      <c r="AL43" s="1073">
        <f t="shared" si="232"/>
        <v>49457.398056811275</v>
      </c>
      <c r="AM43" s="1073">
        <f t="shared" si="232"/>
        <v>49457.398056811275</v>
      </c>
      <c r="AN43" s="1073">
        <f t="shared" si="232"/>
        <v>49457.398056811275</v>
      </c>
      <c r="AO43" s="1073">
        <f t="shared" si="232"/>
        <v>49457.398056811275</v>
      </c>
      <c r="AP43" s="1073">
        <f t="shared" si="232"/>
        <v>49457.398056811275</v>
      </c>
      <c r="AQ43" s="1073">
        <f t="shared" si="232"/>
        <v>49457.398056811275</v>
      </c>
      <c r="AR43" s="1040">
        <f t="shared" si="232"/>
        <v>49457.398056811275</v>
      </c>
      <c r="AS43" s="1073">
        <f t="shared" ref="AS43:BF43" si="233">SUM(AS33:AS42)</f>
        <v>50941.119998515613</v>
      </c>
      <c r="AT43" s="1073">
        <f t="shared" si="233"/>
        <v>50941.119998515613</v>
      </c>
      <c r="AU43" s="1073">
        <f t="shared" si="233"/>
        <v>50941.119998515613</v>
      </c>
      <c r="AV43" s="1073">
        <f t="shared" si="233"/>
        <v>50941.119998515613</v>
      </c>
      <c r="AW43" s="1073">
        <f t="shared" si="233"/>
        <v>50941.119998515613</v>
      </c>
      <c r="AX43" s="1073">
        <f t="shared" si="233"/>
        <v>50941.119998515613</v>
      </c>
      <c r="AY43" s="1073">
        <f t="shared" si="233"/>
        <v>50941.119998515613</v>
      </c>
      <c r="AZ43" s="1073">
        <f t="shared" si="233"/>
        <v>50941.119998515613</v>
      </c>
      <c r="BA43" s="1073">
        <f t="shared" si="233"/>
        <v>50941.119998515613</v>
      </c>
      <c r="BB43" s="1073">
        <f t="shared" si="233"/>
        <v>50941.119998515613</v>
      </c>
      <c r="BC43" s="1073">
        <f t="shared" si="233"/>
        <v>50941.119998515613</v>
      </c>
      <c r="BD43" s="1040">
        <f t="shared" si="233"/>
        <v>50941.119998515613</v>
      </c>
      <c r="BE43" s="1073">
        <f t="shared" si="233"/>
        <v>52469.353598471083</v>
      </c>
      <c r="BF43" s="1073">
        <f t="shared" si="233"/>
        <v>52469.353598471083</v>
      </c>
      <c r="BG43" s="1073">
        <f t="shared" ref="BG43:BP43" si="234">SUM(BG33:BG42)</f>
        <v>52469.353598471083</v>
      </c>
      <c r="BH43" s="1073">
        <f t="shared" si="234"/>
        <v>52469.353598471083</v>
      </c>
      <c r="BI43" s="1073">
        <f t="shared" si="234"/>
        <v>52469.353598471083</v>
      </c>
      <c r="BJ43" s="1073">
        <f t="shared" si="234"/>
        <v>52469.353598471083</v>
      </c>
      <c r="BK43" s="1073">
        <f t="shared" si="234"/>
        <v>52469.353598471083</v>
      </c>
      <c r="BL43" s="1073">
        <f t="shared" si="234"/>
        <v>52469.353598471083</v>
      </c>
      <c r="BM43" s="1073">
        <f t="shared" si="234"/>
        <v>52469.353598471083</v>
      </c>
      <c r="BN43" s="1073">
        <f t="shared" si="234"/>
        <v>52469.353598471083</v>
      </c>
      <c r="BO43" s="1073">
        <f t="shared" si="234"/>
        <v>52469.353598471083</v>
      </c>
      <c r="BP43" s="1074">
        <f t="shared" si="234"/>
        <v>52469.353598471083</v>
      </c>
    </row>
    <row r="44" spans="6:68" ht="12" customHeight="1">
      <c r="F44" s="233" t="s">
        <v>326</v>
      </c>
      <c r="G44" s="1076"/>
      <c r="H44" s="1077"/>
      <c r="I44" s="264">
        <f>I31-I43</f>
        <v>0</v>
      </c>
      <c r="J44" s="1078">
        <f t="shared" ref="J44:AR44" si="235">J31-J43</f>
        <v>0</v>
      </c>
      <c r="K44" s="1078">
        <f t="shared" si="235"/>
        <v>0</v>
      </c>
      <c r="L44" s="1078">
        <f t="shared" si="235"/>
        <v>0</v>
      </c>
      <c r="M44" s="1078">
        <f t="shared" si="235"/>
        <v>0</v>
      </c>
      <c r="N44" s="1078">
        <f t="shared" si="235"/>
        <v>0</v>
      </c>
      <c r="O44" s="1078">
        <f t="shared" si="235"/>
        <v>0</v>
      </c>
      <c r="P44" s="1078">
        <f t="shared" si="235"/>
        <v>0</v>
      </c>
      <c r="Q44" s="1078">
        <f t="shared" si="235"/>
        <v>0</v>
      </c>
      <c r="R44" s="1078">
        <f t="shared" si="235"/>
        <v>0</v>
      </c>
      <c r="S44" s="1078">
        <f t="shared" si="235"/>
        <v>0</v>
      </c>
      <c r="T44" s="1041">
        <f t="shared" si="235"/>
        <v>0</v>
      </c>
      <c r="U44" s="1078">
        <f t="shared" si="235"/>
        <v>0</v>
      </c>
      <c r="V44" s="1078">
        <f t="shared" si="235"/>
        <v>0</v>
      </c>
      <c r="W44" s="1078">
        <f t="shared" si="235"/>
        <v>0</v>
      </c>
      <c r="X44" s="1078">
        <f t="shared" si="235"/>
        <v>0</v>
      </c>
      <c r="Y44" s="1078">
        <f t="shared" si="235"/>
        <v>-21258.844649999999</v>
      </c>
      <c r="Z44" s="1078">
        <f t="shared" si="235"/>
        <v>-21258.844649999999</v>
      </c>
      <c r="AA44" s="1078">
        <f t="shared" si="235"/>
        <v>-21258.844649999999</v>
      </c>
      <c r="AB44" s="1078">
        <f t="shared" si="235"/>
        <v>-21258.844649999999</v>
      </c>
      <c r="AC44" s="1078">
        <f t="shared" si="235"/>
        <v>-31725.770248125002</v>
      </c>
      <c r="AD44" s="1078">
        <f t="shared" si="235"/>
        <v>154.84949444999074</v>
      </c>
      <c r="AE44" s="1078">
        <f t="shared" si="235"/>
        <v>32035.469237024998</v>
      </c>
      <c r="AF44" s="1041">
        <f t="shared" si="235"/>
        <v>63916.088979599997</v>
      </c>
      <c r="AG44" s="1078">
        <f t="shared" si="235"/>
        <v>87722.304989090233</v>
      </c>
      <c r="AH44" s="1078">
        <f t="shared" si="235"/>
        <v>120559.34332394251</v>
      </c>
      <c r="AI44" s="1078">
        <f t="shared" si="235"/>
        <v>153245.74719298159</v>
      </c>
      <c r="AJ44" s="1078">
        <f t="shared" si="235"/>
        <v>156512.71386359871</v>
      </c>
      <c r="AK44" s="1078">
        <f t="shared" si="235"/>
        <v>156512.71386359871</v>
      </c>
      <c r="AL44" s="1078">
        <f t="shared" si="235"/>
        <v>156512.71386359871</v>
      </c>
      <c r="AM44" s="1078">
        <f t="shared" si="235"/>
        <v>156512.71386359871</v>
      </c>
      <c r="AN44" s="1078">
        <f t="shared" si="235"/>
        <v>156512.71386359871</v>
      </c>
      <c r="AO44" s="1078">
        <f t="shared" si="235"/>
        <v>156512.71386359871</v>
      </c>
      <c r="AP44" s="1078">
        <f t="shared" si="235"/>
        <v>156512.71386359871</v>
      </c>
      <c r="AQ44" s="1078">
        <f t="shared" si="235"/>
        <v>156512.71386359871</v>
      </c>
      <c r="AR44" s="1041">
        <f t="shared" si="235"/>
        <v>156512.71386359871</v>
      </c>
      <c r="AS44" s="1078">
        <f t="shared" ref="AS44" si="236">AS31-AS43</f>
        <v>161208.09527950667</v>
      </c>
      <c r="AT44" s="1078">
        <f t="shared" ref="AT44" si="237">AT31-AT43</f>
        <v>161208.09527950667</v>
      </c>
      <c r="AU44" s="1078">
        <f t="shared" ref="AU44" si="238">AU31-AU43</f>
        <v>161208.09527950667</v>
      </c>
      <c r="AV44" s="1078">
        <f t="shared" ref="AV44" si="239">AV31-AV43</f>
        <v>161208.09527950667</v>
      </c>
      <c r="AW44" s="1078">
        <f t="shared" ref="AW44" si="240">AW31-AW43</f>
        <v>161208.09527950667</v>
      </c>
      <c r="AX44" s="1078">
        <f t="shared" ref="AX44" si="241">AX31-AX43</f>
        <v>161208.09527950667</v>
      </c>
      <c r="AY44" s="1078">
        <f t="shared" ref="AY44" si="242">AY31-AY43</f>
        <v>161208.09527950667</v>
      </c>
      <c r="AZ44" s="1078">
        <f t="shared" ref="AZ44" si="243">AZ31-AZ43</f>
        <v>161208.09527950667</v>
      </c>
      <c r="BA44" s="1078">
        <f t="shared" ref="BA44" si="244">BA31-BA43</f>
        <v>161208.09527950667</v>
      </c>
      <c r="BB44" s="1078">
        <f t="shared" ref="BB44" si="245">BB31-BB43</f>
        <v>161208.09527950667</v>
      </c>
      <c r="BC44" s="1078">
        <f t="shared" ref="BC44" si="246">BC31-BC43</f>
        <v>161208.09527950667</v>
      </c>
      <c r="BD44" s="1041">
        <f t="shared" ref="BD44" si="247">BD31-BD43</f>
        <v>161208.09527950667</v>
      </c>
      <c r="BE44" s="1078">
        <f t="shared" ref="BE44" si="248">BE31-BE43</f>
        <v>166044.33813789184</v>
      </c>
      <c r="BF44" s="1078">
        <f t="shared" ref="BF44" si="249">BF31-BF43</f>
        <v>166044.33813789184</v>
      </c>
      <c r="BG44" s="1078">
        <f t="shared" ref="BG44" si="250">BG31-BG43</f>
        <v>166044.33813789184</v>
      </c>
      <c r="BH44" s="1078">
        <f t="shared" ref="BH44" si="251">BH31-BH43</f>
        <v>166044.33813789184</v>
      </c>
      <c r="BI44" s="1078">
        <f t="shared" ref="BI44" si="252">BI31-BI43</f>
        <v>166044.33813789184</v>
      </c>
      <c r="BJ44" s="1078">
        <f t="shared" ref="BJ44" si="253">BJ31-BJ43</f>
        <v>166044.33813789184</v>
      </c>
      <c r="BK44" s="1078">
        <f t="shared" ref="BK44" si="254">BK31-BK43</f>
        <v>166044.33813789184</v>
      </c>
      <c r="BL44" s="1078">
        <f t="shared" ref="BL44" si="255">BL31-BL43</f>
        <v>166044.33813789184</v>
      </c>
      <c r="BM44" s="1078">
        <f t="shared" ref="BM44" si="256">BM31-BM43</f>
        <v>166044.33813789184</v>
      </c>
      <c r="BN44" s="1078">
        <f t="shared" ref="BN44" si="257">BN31-BN43</f>
        <v>166044.33813789184</v>
      </c>
      <c r="BO44" s="1078">
        <f t="shared" ref="BO44" si="258">BO31-BO43</f>
        <v>166044.33813789184</v>
      </c>
      <c r="BP44" s="1079">
        <f t="shared" ref="BP44" si="259">BP31-BP43</f>
        <v>166044.33813789184</v>
      </c>
    </row>
    <row r="45" spans="6:68" ht="12" customHeight="1">
      <c r="F45" s="232" t="s">
        <v>336</v>
      </c>
      <c r="G45" s="1065">
        <v>0.03</v>
      </c>
      <c r="H45" s="205">
        <v>200</v>
      </c>
      <c r="I45" s="235">
        <f t="shared" ref="I45:AN45" si="260">(($H45/12)*I$21)*((1+$G45)^I$14)*$K$3</f>
        <v>0</v>
      </c>
      <c r="J45" s="257">
        <f t="shared" si="260"/>
        <v>0</v>
      </c>
      <c r="K45" s="257">
        <f t="shared" si="260"/>
        <v>0</v>
      </c>
      <c r="L45" s="257">
        <f t="shared" si="260"/>
        <v>0</v>
      </c>
      <c r="M45" s="257">
        <f t="shared" si="260"/>
        <v>0</v>
      </c>
      <c r="N45" s="257">
        <f t="shared" si="260"/>
        <v>0</v>
      </c>
      <c r="O45" s="257">
        <f t="shared" si="260"/>
        <v>0</v>
      </c>
      <c r="P45" s="257">
        <f t="shared" si="260"/>
        <v>0</v>
      </c>
      <c r="Q45" s="257">
        <f t="shared" si="260"/>
        <v>0</v>
      </c>
      <c r="R45" s="257">
        <f t="shared" si="260"/>
        <v>0</v>
      </c>
      <c r="S45" s="257">
        <f t="shared" si="260"/>
        <v>0</v>
      </c>
      <c r="T45" s="1038">
        <f t="shared" si="260"/>
        <v>0</v>
      </c>
      <c r="U45" s="257">
        <f t="shared" si="260"/>
        <v>0</v>
      </c>
      <c r="V45" s="257">
        <f t="shared" si="260"/>
        <v>0</v>
      </c>
      <c r="W45" s="257">
        <f t="shared" si="260"/>
        <v>0</v>
      </c>
      <c r="X45" s="257">
        <f t="shared" si="260"/>
        <v>0</v>
      </c>
      <c r="Y45" s="257">
        <f t="shared" si="260"/>
        <v>539.29083333333335</v>
      </c>
      <c r="Z45" s="257">
        <f t="shared" si="260"/>
        <v>539.29083333333335</v>
      </c>
      <c r="AA45" s="257">
        <f t="shared" si="260"/>
        <v>539.29083333333335</v>
      </c>
      <c r="AB45" s="257">
        <f t="shared" si="260"/>
        <v>539.29083333333335</v>
      </c>
      <c r="AC45" s="257">
        <f t="shared" si="260"/>
        <v>808.93624999999997</v>
      </c>
      <c r="AD45" s="257">
        <f t="shared" si="260"/>
        <v>808.93624999999997</v>
      </c>
      <c r="AE45" s="257">
        <f t="shared" si="260"/>
        <v>808.93624999999997</v>
      </c>
      <c r="AF45" s="1038">
        <f t="shared" si="260"/>
        <v>808.93624999999997</v>
      </c>
      <c r="AG45" s="257">
        <f t="shared" si="260"/>
        <v>1110.9391166666667</v>
      </c>
      <c r="AH45" s="257">
        <f t="shared" si="260"/>
        <v>1110.9391166666667</v>
      </c>
      <c r="AI45" s="257">
        <f t="shared" si="260"/>
        <v>1110.9391166666667</v>
      </c>
      <c r="AJ45" s="257">
        <f t="shared" si="260"/>
        <v>1110.9391166666667</v>
      </c>
      <c r="AK45" s="257">
        <f t="shared" si="260"/>
        <v>1110.9391166666667</v>
      </c>
      <c r="AL45" s="257">
        <f t="shared" si="260"/>
        <v>1110.9391166666667</v>
      </c>
      <c r="AM45" s="257">
        <f t="shared" si="260"/>
        <v>1110.9391166666667</v>
      </c>
      <c r="AN45" s="257">
        <f t="shared" si="260"/>
        <v>1110.9391166666667</v>
      </c>
      <c r="AO45" s="257">
        <f t="shared" ref="AO45:BP45" si="261">(($H45/12)*AO$21)*((1+$G45)^AO$14)*$K$3</f>
        <v>1110.9391166666667</v>
      </c>
      <c r="AP45" s="257">
        <f t="shared" si="261"/>
        <v>1110.9391166666667</v>
      </c>
      <c r="AQ45" s="257">
        <f t="shared" si="261"/>
        <v>1110.9391166666667</v>
      </c>
      <c r="AR45" s="1038">
        <f t="shared" si="261"/>
        <v>1110.9391166666667</v>
      </c>
      <c r="AS45" s="257">
        <f t="shared" si="261"/>
        <v>1144.2672901666665</v>
      </c>
      <c r="AT45" s="257">
        <f t="shared" si="261"/>
        <v>1144.2672901666665</v>
      </c>
      <c r="AU45" s="257">
        <f t="shared" si="261"/>
        <v>1144.2672901666665</v>
      </c>
      <c r="AV45" s="257">
        <f t="shared" si="261"/>
        <v>1144.2672901666665</v>
      </c>
      <c r="AW45" s="257">
        <f t="shared" si="261"/>
        <v>1144.2672901666665</v>
      </c>
      <c r="AX45" s="257">
        <f t="shared" si="261"/>
        <v>1144.2672901666665</v>
      </c>
      <c r="AY45" s="257">
        <f t="shared" si="261"/>
        <v>1144.2672901666665</v>
      </c>
      <c r="AZ45" s="257">
        <f t="shared" si="261"/>
        <v>1144.2672901666665</v>
      </c>
      <c r="BA45" s="257">
        <f t="shared" si="261"/>
        <v>1144.2672901666665</v>
      </c>
      <c r="BB45" s="257">
        <f t="shared" si="261"/>
        <v>1144.2672901666665</v>
      </c>
      <c r="BC45" s="257">
        <f t="shared" si="261"/>
        <v>1144.2672901666665</v>
      </c>
      <c r="BD45" s="1038">
        <f t="shared" si="261"/>
        <v>1144.2672901666665</v>
      </c>
      <c r="BE45" s="257">
        <f t="shared" si="261"/>
        <v>1178.5953088716665</v>
      </c>
      <c r="BF45" s="257">
        <f t="shared" si="261"/>
        <v>1178.5953088716665</v>
      </c>
      <c r="BG45" s="257">
        <f t="shared" si="261"/>
        <v>1178.5953088716665</v>
      </c>
      <c r="BH45" s="257">
        <f t="shared" si="261"/>
        <v>1178.5953088716665</v>
      </c>
      <c r="BI45" s="257">
        <f t="shared" si="261"/>
        <v>1178.5953088716665</v>
      </c>
      <c r="BJ45" s="257">
        <f t="shared" si="261"/>
        <v>1178.5953088716665</v>
      </c>
      <c r="BK45" s="257">
        <f t="shared" si="261"/>
        <v>1178.5953088716665</v>
      </c>
      <c r="BL45" s="257">
        <f t="shared" si="261"/>
        <v>1178.5953088716665</v>
      </c>
      <c r="BM45" s="257">
        <f t="shared" si="261"/>
        <v>1178.5953088716665</v>
      </c>
      <c r="BN45" s="257">
        <f t="shared" si="261"/>
        <v>1178.5953088716665</v>
      </c>
      <c r="BO45" s="257">
        <f t="shared" si="261"/>
        <v>1178.5953088716665</v>
      </c>
      <c r="BP45" s="1068">
        <f t="shared" si="261"/>
        <v>1178.5953088716665</v>
      </c>
    </row>
    <row r="46" spans="6:68" ht="12" customHeight="1">
      <c r="F46" s="265" t="s">
        <v>550</v>
      </c>
      <c r="G46" s="1080"/>
      <c r="H46" s="1081"/>
      <c r="I46" s="266">
        <f>I44-I45</f>
        <v>0</v>
      </c>
      <c r="J46" s="1082">
        <f t="shared" ref="J46:AR46" si="262">J44-J45</f>
        <v>0</v>
      </c>
      <c r="K46" s="1082">
        <f t="shared" si="262"/>
        <v>0</v>
      </c>
      <c r="L46" s="1082">
        <f t="shared" si="262"/>
        <v>0</v>
      </c>
      <c r="M46" s="1082">
        <f t="shared" si="262"/>
        <v>0</v>
      </c>
      <c r="N46" s="1082">
        <f t="shared" si="262"/>
        <v>0</v>
      </c>
      <c r="O46" s="1082">
        <f t="shared" si="262"/>
        <v>0</v>
      </c>
      <c r="P46" s="1082">
        <f t="shared" si="262"/>
        <v>0</v>
      </c>
      <c r="Q46" s="1082">
        <f t="shared" si="262"/>
        <v>0</v>
      </c>
      <c r="R46" s="1082">
        <f t="shared" si="262"/>
        <v>0</v>
      </c>
      <c r="S46" s="1082">
        <f t="shared" si="262"/>
        <v>0</v>
      </c>
      <c r="T46" s="1042">
        <f t="shared" si="262"/>
        <v>0</v>
      </c>
      <c r="U46" s="1082">
        <f t="shared" si="262"/>
        <v>0</v>
      </c>
      <c r="V46" s="1082">
        <f t="shared" si="262"/>
        <v>0</v>
      </c>
      <c r="W46" s="1082">
        <f t="shared" si="262"/>
        <v>0</v>
      </c>
      <c r="X46" s="1082">
        <f t="shared" si="262"/>
        <v>0</v>
      </c>
      <c r="Y46" s="1082">
        <f t="shared" si="262"/>
        <v>-21798.135483333332</v>
      </c>
      <c r="Z46" s="1082">
        <f t="shared" si="262"/>
        <v>-21798.135483333332</v>
      </c>
      <c r="AA46" s="1082">
        <f t="shared" si="262"/>
        <v>-21798.135483333332</v>
      </c>
      <c r="AB46" s="1082">
        <f t="shared" si="262"/>
        <v>-21798.135483333332</v>
      </c>
      <c r="AC46" s="1082">
        <f t="shared" si="262"/>
        <v>-32534.706498125001</v>
      </c>
      <c r="AD46" s="1082">
        <f t="shared" si="262"/>
        <v>-654.08675555000923</v>
      </c>
      <c r="AE46" s="1082">
        <f t="shared" si="262"/>
        <v>31226.532987024999</v>
      </c>
      <c r="AF46" s="1042">
        <f t="shared" si="262"/>
        <v>63107.152729599999</v>
      </c>
      <c r="AG46" s="1082">
        <f t="shared" si="262"/>
        <v>86611.365872423572</v>
      </c>
      <c r="AH46" s="1082">
        <f t="shared" si="262"/>
        <v>119448.40420727585</v>
      </c>
      <c r="AI46" s="1082">
        <f t="shared" si="262"/>
        <v>152134.80807631492</v>
      </c>
      <c r="AJ46" s="1082">
        <f t="shared" si="262"/>
        <v>155401.77474693203</v>
      </c>
      <c r="AK46" s="1082">
        <f t="shared" si="262"/>
        <v>155401.77474693203</v>
      </c>
      <c r="AL46" s="1082">
        <f t="shared" si="262"/>
        <v>155401.77474693203</v>
      </c>
      <c r="AM46" s="1082">
        <f t="shared" si="262"/>
        <v>155401.77474693203</v>
      </c>
      <c r="AN46" s="1082">
        <f t="shared" si="262"/>
        <v>155401.77474693203</v>
      </c>
      <c r="AO46" s="1082">
        <f t="shared" si="262"/>
        <v>155401.77474693203</v>
      </c>
      <c r="AP46" s="1082">
        <f t="shared" si="262"/>
        <v>155401.77474693203</v>
      </c>
      <c r="AQ46" s="1082">
        <f t="shared" si="262"/>
        <v>155401.77474693203</v>
      </c>
      <c r="AR46" s="1042">
        <f t="shared" si="262"/>
        <v>155401.77474693203</v>
      </c>
      <c r="AS46" s="1082">
        <f t="shared" ref="AS46" si="263">AS44-AS45</f>
        <v>160063.82798934</v>
      </c>
      <c r="AT46" s="1082">
        <f t="shared" ref="AT46" si="264">AT44-AT45</f>
        <v>160063.82798934</v>
      </c>
      <c r="AU46" s="1082">
        <f t="shared" ref="AU46" si="265">AU44-AU45</f>
        <v>160063.82798934</v>
      </c>
      <c r="AV46" s="1082">
        <f t="shared" ref="AV46" si="266">AV44-AV45</f>
        <v>160063.82798934</v>
      </c>
      <c r="AW46" s="1082">
        <f t="shared" ref="AW46" si="267">AW44-AW45</f>
        <v>160063.82798934</v>
      </c>
      <c r="AX46" s="1082">
        <f t="shared" ref="AX46" si="268">AX44-AX45</f>
        <v>160063.82798934</v>
      </c>
      <c r="AY46" s="1082">
        <f t="shared" ref="AY46" si="269">AY44-AY45</f>
        <v>160063.82798934</v>
      </c>
      <c r="AZ46" s="1082">
        <f t="shared" ref="AZ46" si="270">AZ44-AZ45</f>
        <v>160063.82798934</v>
      </c>
      <c r="BA46" s="1082">
        <f t="shared" ref="BA46" si="271">BA44-BA45</f>
        <v>160063.82798934</v>
      </c>
      <c r="BB46" s="1082">
        <f t="shared" ref="BB46" si="272">BB44-BB45</f>
        <v>160063.82798934</v>
      </c>
      <c r="BC46" s="1082">
        <f t="shared" ref="BC46" si="273">BC44-BC45</f>
        <v>160063.82798934</v>
      </c>
      <c r="BD46" s="1042">
        <f t="shared" ref="BD46" si="274">BD44-BD45</f>
        <v>160063.82798934</v>
      </c>
      <c r="BE46" s="1082">
        <f t="shared" ref="BE46" si="275">BE44-BE45</f>
        <v>164865.74282902016</v>
      </c>
      <c r="BF46" s="1082">
        <f t="shared" ref="BF46" si="276">BF44-BF45</f>
        <v>164865.74282902016</v>
      </c>
      <c r="BG46" s="1082">
        <f t="shared" ref="BG46" si="277">BG44-BG45</f>
        <v>164865.74282902016</v>
      </c>
      <c r="BH46" s="1082">
        <f t="shared" ref="BH46" si="278">BH44-BH45</f>
        <v>164865.74282902016</v>
      </c>
      <c r="BI46" s="1082">
        <f t="shared" ref="BI46" si="279">BI44-BI45</f>
        <v>164865.74282902016</v>
      </c>
      <c r="BJ46" s="1082">
        <f t="shared" ref="BJ46" si="280">BJ44-BJ45</f>
        <v>164865.74282902016</v>
      </c>
      <c r="BK46" s="1082">
        <f t="shared" ref="BK46" si="281">BK44-BK45</f>
        <v>164865.74282902016</v>
      </c>
      <c r="BL46" s="1082">
        <f t="shared" ref="BL46" si="282">BL44-BL45</f>
        <v>164865.74282902016</v>
      </c>
      <c r="BM46" s="1082">
        <f t="shared" ref="BM46" si="283">BM44-BM45</f>
        <v>164865.74282902016</v>
      </c>
      <c r="BN46" s="1082">
        <f t="shared" ref="BN46" si="284">BN44-BN45</f>
        <v>164865.74282902016</v>
      </c>
      <c r="BO46" s="1082">
        <f t="shared" ref="BO46" si="285">BO44-BO45</f>
        <v>164865.74282902016</v>
      </c>
      <c r="BP46" s="1083">
        <f t="shared" ref="BP46" si="286">BP44-BP45</f>
        <v>164865.74282902016</v>
      </c>
    </row>
    <row r="47" spans="6:68" ht="12" customHeight="1">
      <c r="F47" s="237" t="s">
        <v>13</v>
      </c>
      <c r="G47" s="1084"/>
      <c r="I47" s="235">
        <f>Draws!I94</f>
        <v>0</v>
      </c>
      <c r="J47" s="257">
        <f>Draws!J94</f>
        <v>0</v>
      </c>
      <c r="K47" s="257">
        <f>Draws!K94</f>
        <v>0</v>
      </c>
      <c r="L47" s="257">
        <f>Draws!L94</f>
        <v>0</v>
      </c>
      <c r="M47" s="257">
        <f>Draws!M94</f>
        <v>0</v>
      </c>
      <c r="N47" s="257">
        <f>Draws!N94</f>
        <v>0</v>
      </c>
      <c r="O47" s="257">
        <f>Draws!O94</f>
        <v>0</v>
      </c>
      <c r="P47" s="257">
        <f>Draws!P94</f>
        <v>0</v>
      </c>
      <c r="Q47" s="257">
        <f>Draws!Q94</f>
        <v>0</v>
      </c>
      <c r="R47" s="257">
        <f>Draws!R94</f>
        <v>5811.3431368770125</v>
      </c>
      <c r="S47" s="257">
        <f>Draws!S94</f>
        <v>14240.998512080385</v>
      </c>
      <c r="T47" s="1038">
        <f>Draws!T94</f>
        <v>22756.970221135954</v>
      </c>
      <c r="U47" s="257">
        <f>Draws!U94</f>
        <v>30924.648398126807</v>
      </c>
      <c r="V47" s="257">
        <f>Draws!V94</f>
        <v>39074.021844872266</v>
      </c>
      <c r="W47" s="257">
        <f>Draws!W94</f>
        <v>47261.657685302729</v>
      </c>
      <c r="X47" s="257">
        <f>Draws!X94</f>
        <v>55400.628895564296</v>
      </c>
      <c r="Y47" s="257">
        <f>Draws!Y94</f>
        <v>63510.122240879326</v>
      </c>
      <c r="Z47" s="257">
        <f>Draws!Z94</f>
        <v>71760.633115827484</v>
      </c>
      <c r="AA47" s="257">
        <f>Draws!AA94</f>
        <v>80023.557917980754</v>
      </c>
      <c r="AB47" s="257">
        <f>Draws!AB94</f>
        <v>88273.984571231733</v>
      </c>
      <c r="AC47" s="257">
        <f>Draws!AC94</f>
        <v>96577.453801567259</v>
      </c>
      <c r="AD47" s="257">
        <f>Draws!AD94</f>
        <v>97055.835271822842</v>
      </c>
      <c r="AE47" s="257">
        <f>Draws!AE94</f>
        <v>97353.285613242246</v>
      </c>
      <c r="AF47" s="1038">
        <f>Draws!AF94</f>
        <v>97470.40378702624</v>
      </c>
      <c r="AG47" s="257">
        <f>Draws!AG94</f>
        <v>0</v>
      </c>
      <c r="AH47" s="257">
        <f>Draws!AH94</f>
        <v>0</v>
      </c>
      <c r="AI47" s="257">
        <f>Draws!AI94</f>
        <v>0</v>
      </c>
      <c r="AJ47" s="257">
        <f>Draws!AJ94</f>
        <v>0</v>
      </c>
      <c r="AK47" s="257">
        <f>Draws!AK94</f>
        <v>0</v>
      </c>
      <c r="AL47" s="257">
        <f>Draws!AL94</f>
        <v>0</v>
      </c>
      <c r="AM47" s="257">
        <f>Draws!AM94</f>
        <v>0</v>
      </c>
      <c r="AN47" s="257">
        <f>Draws!AN94</f>
        <v>0</v>
      </c>
      <c r="AO47" s="257">
        <f>Draws!AO94</f>
        <v>0</v>
      </c>
      <c r="AP47" s="257">
        <f>Draws!AP94</f>
        <v>0</v>
      </c>
      <c r="AQ47" s="257">
        <f>Draws!AQ94</f>
        <v>0</v>
      </c>
      <c r="AR47" s="1038">
        <f>Draws!AR94</f>
        <v>0</v>
      </c>
      <c r="AS47" s="257">
        <f>Draws!AS94</f>
        <v>0</v>
      </c>
      <c r="AT47" s="257">
        <f>Draws!AT94</f>
        <v>0</v>
      </c>
      <c r="AU47" s="257">
        <f>Draws!AU94</f>
        <v>0</v>
      </c>
      <c r="AV47" s="257">
        <f>Draws!AV94</f>
        <v>0</v>
      </c>
      <c r="AW47" s="257">
        <f>Draws!AW94</f>
        <v>0</v>
      </c>
      <c r="AX47" s="257">
        <f>Draws!AX94</f>
        <v>0</v>
      </c>
      <c r="AY47" s="257">
        <f>Draws!AY94</f>
        <v>0</v>
      </c>
      <c r="AZ47" s="257">
        <f>Draws!AZ94</f>
        <v>0</v>
      </c>
      <c r="BA47" s="257">
        <f>Draws!BA94</f>
        <v>0</v>
      </c>
      <c r="BB47" s="257">
        <f>Draws!BB94</f>
        <v>0</v>
      </c>
      <c r="BC47" s="257">
        <f>Draws!BC94</f>
        <v>0</v>
      </c>
      <c r="BD47" s="1038">
        <f>Draws!BD94</f>
        <v>0</v>
      </c>
      <c r="BE47" s="257">
        <f>Draws!BE94</f>
        <v>0</v>
      </c>
      <c r="BF47" s="257">
        <f>Draws!BF94</f>
        <v>0</v>
      </c>
      <c r="BG47" s="257">
        <f>Draws!BG94</f>
        <v>0</v>
      </c>
      <c r="BH47" s="257">
        <f>Draws!BH94</f>
        <v>0</v>
      </c>
      <c r="BI47" s="257">
        <f>Draws!BI94</f>
        <v>0</v>
      </c>
      <c r="BJ47" s="257">
        <f>Draws!BJ94</f>
        <v>0</v>
      </c>
      <c r="BK47" s="257">
        <f>Draws!BK94</f>
        <v>0</v>
      </c>
      <c r="BL47" s="257">
        <f>Draws!BL94</f>
        <v>0</v>
      </c>
      <c r="BM47" s="257">
        <f>Draws!BM94</f>
        <v>0</v>
      </c>
      <c r="BN47" s="257">
        <f>Draws!BN94</f>
        <v>0</v>
      </c>
      <c r="BO47" s="257">
        <f>Draws!BO94</f>
        <v>0</v>
      </c>
      <c r="BP47" s="1068">
        <f>Draws!BP94</f>
        <v>0</v>
      </c>
    </row>
    <row r="48" spans="6:68" ht="12" customHeight="1" thickBot="1">
      <c r="F48" s="1085" t="s">
        <v>327</v>
      </c>
      <c r="G48" s="739"/>
      <c r="H48" s="1086"/>
      <c r="I48" s="433">
        <f>I46-I47</f>
        <v>0</v>
      </c>
      <c r="J48" s="432">
        <f t="shared" ref="J48:AR48" si="287">J46-J47</f>
        <v>0</v>
      </c>
      <c r="K48" s="432">
        <f t="shared" si="287"/>
        <v>0</v>
      </c>
      <c r="L48" s="432">
        <f t="shared" si="287"/>
        <v>0</v>
      </c>
      <c r="M48" s="432">
        <f t="shared" si="287"/>
        <v>0</v>
      </c>
      <c r="N48" s="432">
        <f t="shared" si="287"/>
        <v>0</v>
      </c>
      <c r="O48" s="432">
        <f t="shared" si="287"/>
        <v>0</v>
      </c>
      <c r="P48" s="432">
        <f t="shared" si="287"/>
        <v>0</v>
      </c>
      <c r="Q48" s="432">
        <f t="shared" si="287"/>
        <v>0</v>
      </c>
      <c r="R48" s="432">
        <f t="shared" si="287"/>
        <v>-5811.3431368770125</v>
      </c>
      <c r="S48" s="432">
        <f t="shared" si="287"/>
        <v>-14240.998512080385</v>
      </c>
      <c r="T48" s="1043">
        <f t="shared" si="287"/>
        <v>-22756.970221135954</v>
      </c>
      <c r="U48" s="432">
        <f t="shared" si="287"/>
        <v>-30924.648398126807</v>
      </c>
      <c r="V48" s="432">
        <f t="shared" si="287"/>
        <v>-39074.021844872266</v>
      </c>
      <c r="W48" s="432">
        <f t="shared" si="287"/>
        <v>-47261.657685302729</v>
      </c>
      <c r="X48" s="432">
        <f t="shared" si="287"/>
        <v>-55400.628895564296</v>
      </c>
      <c r="Y48" s="432">
        <f t="shared" si="287"/>
        <v>-85308.257724212657</v>
      </c>
      <c r="Z48" s="432">
        <f t="shared" si="287"/>
        <v>-93558.768599160816</v>
      </c>
      <c r="AA48" s="432">
        <f t="shared" si="287"/>
        <v>-101821.69340131409</v>
      </c>
      <c r="AB48" s="432">
        <f t="shared" si="287"/>
        <v>-110072.12005456506</v>
      </c>
      <c r="AC48" s="432">
        <f t="shared" si="287"/>
        <v>-129112.16029969226</v>
      </c>
      <c r="AD48" s="432">
        <f t="shared" si="287"/>
        <v>-97709.922027372857</v>
      </c>
      <c r="AE48" s="432">
        <f t="shared" si="287"/>
        <v>-66126.752626217247</v>
      </c>
      <c r="AF48" s="1043">
        <f t="shared" si="287"/>
        <v>-34363.251057426241</v>
      </c>
      <c r="AG48" s="432">
        <f t="shared" si="287"/>
        <v>86611.365872423572</v>
      </c>
      <c r="AH48" s="432">
        <f t="shared" si="287"/>
        <v>119448.40420727585</v>
      </c>
      <c r="AI48" s="432">
        <f t="shared" si="287"/>
        <v>152134.80807631492</v>
      </c>
      <c r="AJ48" s="432">
        <f t="shared" si="287"/>
        <v>155401.77474693203</v>
      </c>
      <c r="AK48" s="432">
        <f t="shared" si="287"/>
        <v>155401.77474693203</v>
      </c>
      <c r="AL48" s="432">
        <f t="shared" si="287"/>
        <v>155401.77474693203</v>
      </c>
      <c r="AM48" s="432">
        <f t="shared" si="287"/>
        <v>155401.77474693203</v>
      </c>
      <c r="AN48" s="432">
        <f t="shared" si="287"/>
        <v>155401.77474693203</v>
      </c>
      <c r="AO48" s="432">
        <f t="shared" si="287"/>
        <v>155401.77474693203</v>
      </c>
      <c r="AP48" s="432">
        <f t="shared" si="287"/>
        <v>155401.77474693203</v>
      </c>
      <c r="AQ48" s="432">
        <f t="shared" si="287"/>
        <v>155401.77474693203</v>
      </c>
      <c r="AR48" s="1043">
        <f t="shared" si="287"/>
        <v>155401.77474693203</v>
      </c>
      <c r="AS48" s="432">
        <f t="shared" ref="AS48" si="288">AS46-AS47</f>
        <v>160063.82798934</v>
      </c>
      <c r="AT48" s="432">
        <f t="shared" ref="AT48" si="289">AT46-AT47</f>
        <v>160063.82798934</v>
      </c>
      <c r="AU48" s="432">
        <f t="shared" ref="AU48" si="290">AU46-AU47</f>
        <v>160063.82798934</v>
      </c>
      <c r="AV48" s="432">
        <f t="shared" ref="AV48" si="291">AV46-AV47</f>
        <v>160063.82798934</v>
      </c>
      <c r="AW48" s="432">
        <f t="shared" ref="AW48" si="292">AW46-AW47</f>
        <v>160063.82798934</v>
      </c>
      <c r="AX48" s="432">
        <f t="shared" ref="AX48" si="293">AX46-AX47</f>
        <v>160063.82798934</v>
      </c>
      <c r="AY48" s="432">
        <f t="shared" ref="AY48" si="294">AY46-AY47</f>
        <v>160063.82798934</v>
      </c>
      <c r="AZ48" s="432">
        <f t="shared" ref="AZ48" si="295">AZ46-AZ47</f>
        <v>160063.82798934</v>
      </c>
      <c r="BA48" s="432">
        <f t="shared" ref="BA48" si="296">BA46-BA47</f>
        <v>160063.82798934</v>
      </c>
      <c r="BB48" s="432">
        <f t="shared" ref="BB48" si="297">BB46-BB47</f>
        <v>160063.82798934</v>
      </c>
      <c r="BC48" s="432">
        <f t="shared" ref="BC48" si="298">BC46-BC47</f>
        <v>160063.82798934</v>
      </c>
      <c r="BD48" s="1043">
        <f t="shared" ref="BD48" si="299">BD46-BD47</f>
        <v>160063.82798934</v>
      </c>
      <c r="BE48" s="432">
        <f t="shared" ref="BE48" si="300">BE46-BE47</f>
        <v>164865.74282902016</v>
      </c>
      <c r="BF48" s="432">
        <f t="shared" ref="BF48" si="301">BF46-BF47</f>
        <v>164865.74282902016</v>
      </c>
      <c r="BG48" s="432">
        <f t="shared" ref="BG48" si="302">BG46-BG47</f>
        <v>164865.74282902016</v>
      </c>
      <c r="BH48" s="432">
        <f t="shared" ref="BH48" si="303">BH46-BH47</f>
        <v>164865.74282902016</v>
      </c>
      <c r="BI48" s="432">
        <f t="shared" ref="BI48" si="304">BI46-BI47</f>
        <v>164865.74282902016</v>
      </c>
      <c r="BJ48" s="432">
        <f t="shared" ref="BJ48" si="305">BJ46-BJ47</f>
        <v>164865.74282902016</v>
      </c>
      <c r="BK48" s="432">
        <f t="shared" ref="BK48" si="306">BK46-BK47</f>
        <v>164865.74282902016</v>
      </c>
      <c r="BL48" s="432">
        <f t="shared" ref="BL48" si="307">BL46-BL47</f>
        <v>164865.74282902016</v>
      </c>
      <c r="BM48" s="432">
        <f t="shared" ref="BM48" si="308">BM46-BM47</f>
        <v>164865.74282902016</v>
      </c>
      <c r="BN48" s="432">
        <f t="shared" ref="BN48" si="309">BN46-BN47</f>
        <v>164865.74282902016</v>
      </c>
      <c r="BO48" s="432">
        <f t="shared" ref="BO48" si="310">BO46-BO47</f>
        <v>164865.74282902016</v>
      </c>
      <c r="BP48" s="1087">
        <f t="shared" ref="BP48" si="311">BP46-BP47</f>
        <v>164865.74282902016</v>
      </c>
    </row>
    <row r="49" spans="6:68" ht="12" customHeight="1">
      <c r="F49" s="229" t="s">
        <v>554</v>
      </c>
      <c r="G49" s="1048" t="s">
        <v>443</v>
      </c>
      <c r="H49" s="1048"/>
      <c r="I49" s="1088" t="str">
        <f>IF(I46&gt;0,"YES","NO")</f>
        <v>NO</v>
      </c>
      <c r="J49" s="1088" t="str">
        <f t="shared" ref="J49:AR49" si="312">IF(J46&gt;0,"YES","NO")</f>
        <v>NO</v>
      </c>
      <c r="K49" s="1088" t="str">
        <f t="shared" si="312"/>
        <v>NO</v>
      </c>
      <c r="L49" s="1088" t="str">
        <f t="shared" si="312"/>
        <v>NO</v>
      </c>
      <c r="M49" s="1088" t="str">
        <f t="shared" si="312"/>
        <v>NO</v>
      </c>
      <c r="N49" s="1088" t="str">
        <f t="shared" si="312"/>
        <v>NO</v>
      </c>
      <c r="O49" s="1088" t="str">
        <f t="shared" si="312"/>
        <v>NO</v>
      </c>
      <c r="P49" s="1088" t="str">
        <f t="shared" si="312"/>
        <v>NO</v>
      </c>
      <c r="Q49" s="1088" t="str">
        <f t="shared" si="312"/>
        <v>NO</v>
      </c>
      <c r="R49" s="1088" t="str">
        <f t="shared" si="312"/>
        <v>NO</v>
      </c>
      <c r="S49" s="1088" t="str">
        <f t="shared" si="312"/>
        <v>NO</v>
      </c>
      <c r="T49" s="1044" t="str">
        <f t="shared" si="312"/>
        <v>NO</v>
      </c>
      <c r="U49" s="1088" t="str">
        <f t="shared" si="312"/>
        <v>NO</v>
      </c>
      <c r="V49" s="1088" t="str">
        <f t="shared" si="312"/>
        <v>NO</v>
      </c>
      <c r="W49" s="1088" t="str">
        <f t="shared" si="312"/>
        <v>NO</v>
      </c>
      <c r="X49" s="1088" t="str">
        <f t="shared" si="312"/>
        <v>NO</v>
      </c>
      <c r="Y49" s="1088" t="str">
        <f t="shared" si="312"/>
        <v>NO</v>
      </c>
      <c r="Z49" s="1088" t="str">
        <f t="shared" si="312"/>
        <v>NO</v>
      </c>
      <c r="AA49" s="1088" t="str">
        <f t="shared" si="312"/>
        <v>NO</v>
      </c>
      <c r="AB49" s="1088" t="str">
        <f t="shared" si="312"/>
        <v>NO</v>
      </c>
      <c r="AC49" s="1088" t="str">
        <f t="shared" si="312"/>
        <v>NO</v>
      </c>
      <c r="AD49" s="1088" t="str">
        <f t="shared" si="312"/>
        <v>NO</v>
      </c>
      <c r="AE49" s="1088" t="str">
        <f t="shared" si="312"/>
        <v>YES</v>
      </c>
      <c r="AF49" s="1044" t="str">
        <f t="shared" si="312"/>
        <v>YES</v>
      </c>
      <c r="AG49" s="1088" t="str">
        <f t="shared" si="312"/>
        <v>YES</v>
      </c>
      <c r="AH49" s="1088" t="str">
        <f t="shared" si="312"/>
        <v>YES</v>
      </c>
      <c r="AI49" s="1088" t="str">
        <f t="shared" si="312"/>
        <v>YES</v>
      </c>
      <c r="AJ49" s="1088" t="str">
        <f t="shared" si="312"/>
        <v>YES</v>
      </c>
      <c r="AK49" s="1088" t="str">
        <f t="shared" si="312"/>
        <v>YES</v>
      </c>
      <c r="AL49" s="1088" t="str">
        <f t="shared" si="312"/>
        <v>YES</v>
      </c>
      <c r="AM49" s="1088" t="str">
        <f t="shared" si="312"/>
        <v>YES</v>
      </c>
      <c r="AN49" s="1088" t="str">
        <f t="shared" si="312"/>
        <v>YES</v>
      </c>
      <c r="AO49" s="1088" t="str">
        <f t="shared" si="312"/>
        <v>YES</v>
      </c>
      <c r="AP49" s="1088" t="str">
        <f t="shared" si="312"/>
        <v>YES</v>
      </c>
      <c r="AQ49" s="1088" t="str">
        <f t="shared" si="312"/>
        <v>YES</v>
      </c>
      <c r="AR49" s="1044" t="str">
        <f t="shared" si="312"/>
        <v>YES</v>
      </c>
      <c r="AS49" s="1088" t="str">
        <f t="shared" ref="AS49:BF49" si="313">IF(AS46&gt;0,"YES","NO")</f>
        <v>YES</v>
      </c>
      <c r="AT49" s="1088" t="str">
        <f t="shared" si="313"/>
        <v>YES</v>
      </c>
      <c r="AU49" s="1088" t="str">
        <f t="shared" si="313"/>
        <v>YES</v>
      </c>
      <c r="AV49" s="1088" t="str">
        <f t="shared" si="313"/>
        <v>YES</v>
      </c>
      <c r="AW49" s="1088" t="str">
        <f t="shared" si="313"/>
        <v>YES</v>
      </c>
      <c r="AX49" s="1088" t="str">
        <f t="shared" si="313"/>
        <v>YES</v>
      </c>
      <c r="AY49" s="1088" t="str">
        <f t="shared" si="313"/>
        <v>YES</v>
      </c>
      <c r="AZ49" s="1088" t="str">
        <f t="shared" si="313"/>
        <v>YES</v>
      </c>
      <c r="BA49" s="1088" t="str">
        <f t="shared" si="313"/>
        <v>YES</v>
      </c>
      <c r="BB49" s="1088" t="str">
        <f t="shared" si="313"/>
        <v>YES</v>
      </c>
      <c r="BC49" s="1088" t="str">
        <f t="shared" si="313"/>
        <v>YES</v>
      </c>
      <c r="BD49" s="1044" t="str">
        <f t="shared" si="313"/>
        <v>YES</v>
      </c>
      <c r="BE49" s="1088" t="str">
        <f t="shared" si="313"/>
        <v>YES</v>
      </c>
      <c r="BF49" s="1088" t="str">
        <f t="shared" si="313"/>
        <v>YES</v>
      </c>
      <c r="BG49" s="1088" t="str">
        <f t="shared" ref="BG49:BP49" si="314">IF(BG46&gt;0,"YES","NO")</f>
        <v>YES</v>
      </c>
      <c r="BH49" s="1088" t="str">
        <f t="shared" si="314"/>
        <v>YES</v>
      </c>
      <c r="BI49" s="1088" t="str">
        <f t="shared" si="314"/>
        <v>YES</v>
      </c>
      <c r="BJ49" s="1088" t="str">
        <f t="shared" si="314"/>
        <v>YES</v>
      </c>
      <c r="BK49" s="1088" t="str">
        <f t="shared" si="314"/>
        <v>YES</v>
      </c>
      <c r="BL49" s="1088" t="str">
        <f t="shared" si="314"/>
        <v>YES</v>
      </c>
      <c r="BM49" s="1088" t="str">
        <f t="shared" si="314"/>
        <v>YES</v>
      </c>
      <c r="BN49" s="1088" t="str">
        <f t="shared" si="314"/>
        <v>YES</v>
      </c>
      <c r="BO49" s="1088" t="str">
        <f t="shared" si="314"/>
        <v>YES</v>
      </c>
      <c r="BP49" s="1089" t="str">
        <f t="shared" si="314"/>
        <v>YES</v>
      </c>
    </row>
    <row r="50" spans="6:68" ht="12" customHeight="1">
      <c r="F50" s="232" t="s">
        <v>555</v>
      </c>
      <c r="G50" s="197" t="s">
        <v>444</v>
      </c>
      <c r="I50" s="267" t="str">
        <f t="shared" ref="I50:AD50" si="315">IF(I48&gt;0,"YES", "NO")</f>
        <v>NO</v>
      </c>
      <c r="J50" s="267" t="str">
        <f t="shared" si="315"/>
        <v>NO</v>
      </c>
      <c r="K50" s="267" t="str">
        <f t="shared" si="315"/>
        <v>NO</v>
      </c>
      <c r="L50" s="267" t="str">
        <f t="shared" si="315"/>
        <v>NO</v>
      </c>
      <c r="M50" s="267" t="str">
        <f t="shared" si="315"/>
        <v>NO</v>
      </c>
      <c r="N50" s="267" t="str">
        <f t="shared" si="315"/>
        <v>NO</v>
      </c>
      <c r="O50" s="267" t="str">
        <f t="shared" si="315"/>
        <v>NO</v>
      </c>
      <c r="P50" s="267" t="str">
        <f t="shared" si="315"/>
        <v>NO</v>
      </c>
      <c r="Q50" s="267" t="str">
        <f t="shared" si="315"/>
        <v>NO</v>
      </c>
      <c r="R50" s="267" t="str">
        <f t="shared" si="315"/>
        <v>NO</v>
      </c>
      <c r="S50" s="267" t="str">
        <f t="shared" si="315"/>
        <v>NO</v>
      </c>
      <c r="T50" s="1045" t="str">
        <f t="shared" si="315"/>
        <v>NO</v>
      </c>
      <c r="U50" s="267" t="str">
        <f t="shared" si="315"/>
        <v>NO</v>
      </c>
      <c r="V50" s="267" t="str">
        <f t="shared" si="315"/>
        <v>NO</v>
      </c>
      <c r="W50" s="267" t="str">
        <f t="shared" si="315"/>
        <v>NO</v>
      </c>
      <c r="X50" s="267" t="str">
        <f t="shared" si="315"/>
        <v>NO</v>
      </c>
      <c r="Y50" s="267" t="str">
        <f t="shared" si="315"/>
        <v>NO</v>
      </c>
      <c r="Z50" s="267" t="str">
        <f t="shared" si="315"/>
        <v>NO</v>
      </c>
      <c r="AA50" s="267" t="str">
        <f t="shared" si="315"/>
        <v>NO</v>
      </c>
      <c r="AB50" s="267" t="str">
        <f t="shared" si="315"/>
        <v>NO</v>
      </c>
      <c r="AC50" s="267" t="str">
        <f t="shared" si="315"/>
        <v>NO</v>
      </c>
      <c r="AD50" s="267" t="str">
        <f t="shared" si="315"/>
        <v>NO</v>
      </c>
      <c r="AE50" s="267" t="str">
        <f t="shared" ref="AE50:AQ50" si="316">IF(AE48&gt;0,"YES", "NO")</f>
        <v>NO</v>
      </c>
      <c r="AF50" s="1045" t="str">
        <f t="shared" si="316"/>
        <v>NO</v>
      </c>
      <c r="AG50" s="267" t="str">
        <f t="shared" si="316"/>
        <v>YES</v>
      </c>
      <c r="AH50" s="267" t="str">
        <f t="shared" si="316"/>
        <v>YES</v>
      </c>
      <c r="AI50" s="267" t="str">
        <f t="shared" si="316"/>
        <v>YES</v>
      </c>
      <c r="AJ50" s="267" t="str">
        <f t="shared" si="316"/>
        <v>YES</v>
      </c>
      <c r="AK50" s="267" t="str">
        <f t="shared" si="316"/>
        <v>YES</v>
      </c>
      <c r="AL50" s="267" t="str">
        <f t="shared" si="316"/>
        <v>YES</v>
      </c>
      <c r="AM50" s="267" t="str">
        <f t="shared" si="316"/>
        <v>YES</v>
      </c>
      <c r="AN50" s="267" t="str">
        <f t="shared" si="316"/>
        <v>YES</v>
      </c>
      <c r="AO50" s="267" t="str">
        <f t="shared" si="316"/>
        <v>YES</v>
      </c>
      <c r="AP50" s="267" t="str">
        <f t="shared" si="316"/>
        <v>YES</v>
      </c>
      <c r="AQ50" s="267" t="str">
        <f t="shared" si="316"/>
        <v>YES</v>
      </c>
      <c r="AR50" s="1045" t="str">
        <f t="shared" ref="AR50:AT50" si="317">IF(AR48&gt;0,"YES", "NO")</f>
        <v>YES</v>
      </c>
      <c r="AS50" s="267" t="str">
        <f t="shared" si="317"/>
        <v>YES</v>
      </c>
      <c r="AT50" s="267" t="str">
        <f t="shared" si="317"/>
        <v>YES</v>
      </c>
      <c r="AU50" s="267" t="str">
        <f t="shared" ref="AU50:BH50" si="318">IF(AU48&gt;0,"YES", "NO")</f>
        <v>YES</v>
      </c>
      <c r="AV50" s="267" t="str">
        <f t="shared" si="318"/>
        <v>YES</v>
      </c>
      <c r="AW50" s="267" t="str">
        <f t="shared" si="318"/>
        <v>YES</v>
      </c>
      <c r="AX50" s="267" t="str">
        <f t="shared" si="318"/>
        <v>YES</v>
      </c>
      <c r="AY50" s="267" t="str">
        <f t="shared" si="318"/>
        <v>YES</v>
      </c>
      <c r="AZ50" s="267" t="str">
        <f t="shared" si="318"/>
        <v>YES</v>
      </c>
      <c r="BA50" s="267" t="str">
        <f t="shared" si="318"/>
        <v>YES</v>
      </c>
      <c r="BB50" s="267" t="str">
        <f t="shared" si="318"/>
        <v>YES</v>
      </c>
      <c r="BC50" s="267" t="str">
        <f t="shared" si="318"/>
        <v>YES</v>
      </c>
      <c r="BD50" s="1045" t="str">
        <f t="shared" si="318"/>
        <v>YES</v>
      </c>
      <c r="BE50" s="267" t="str">
        <f t="shared" si="318"/>
        <v>YES</v>
      </c>
      <c r="BF50" s="267" t="str">
        <f t="shared" si="318"/>
        <v>YES</v>
      </c>
      <c r="BG50" s="267" t="str">
        <f t="shared" si="318"/>
        <v>YES</v>
      </c>
      <c r="BH50" s="267" t="str">
        <f t="shared" si="318"/>
        <v>YES</v>
      </c>
      <c r="BI50" s="267" t="str">
        <f t="shared" ref="BI50:BP50" si="319">IF(BI48&gt;0,"YES", "NO")</f>
        <v>YES</v>
      </c>
      <c r="BJ50" s="267" t="str">
        <f t="shared" si="319"/>
        <v>YES</v>
      </c>
      <c r="BK50" s="267" t="str">
        <f t="shared" si="319"/>
        <v>YES</v>
      </c>
      <c r="BL50" s="267" t="str">
        <f t="shared" si="319"/>
        <v>YES</v>
      </c>
      <c r="BM50" s="267" t="str">
        <f t="shared" si="319"/>
        <v>YES</v>
      </c>
      <c r="BN50" s="267" t="str">
        <f t="shared" si="319"/>
        <v>YES</v>
      </c>
      <c r="BO50" s="267" t="str">
        <f t="shared" si="319"/>
        <v>YES</v>
      </c>
      <c r="BP50" s="1090" t="str">
        <f t="shared" si="319"/>
        <v>YES</v>
      </c>
    </row>
    <row r="51" spans="6:68" s="228" customFormat="1" ht="12" customHeight="1" thickBot="1">
      <c r="F51" s="733" t="s">
        <v>454</v>
      </c>
      <c r="G51" s="738"/>
      <c r="H51" s="1027">
        <f>SUM(I51:AD51)</f>
        <v>-120381.33518700834</v>
      </c>
      <c r="I51" s="1023">
        <f>IF(I46=0,0,IF(I48&lt;0,I46,0))</f>
        <v>0</v>
      </c>
      <c r="J51" s="1023">
        <f t="shared" ref="J51:AR51" si="320">IF(J46=0,0,IF(J48&lt;0,J46,0))</f>
        <v>0</v>
      </c>
      <c r="K51" s="1023">
        <f t="shared" si="320"/>
        <v>0</v>
      </c>
      <c r="L51" s="1023">
        <f t="shared" si="320"/>
        <v>0</v>
      </c>
      <c r="M51" s="1023">
        <f t="shared" si="320"/>
        <v>0</v>
      </c>
      <c r="N51" s="1023">
        <f t="shared" si="320"/>
        <v>0</v>
      </c>
      <c r="O51" s="1023">
        <f t="shared" si="320"/>
        <v>0</v>
      </c>
      <c r="P51" s="1023">
        <f t="shared" si="320"/>
        <v>0</v>
      </c>
      <c r="Q51" s="1023">
        <f t="shared" si="320"/>
        <v>0</v>
      </c>
      <c r="R51" s="1023">
        <f t="shared" si="320"/>
        <v>0</v>
      </c>
      <c r="S51" s="1023">
        <f t="shared" si="320"/>
        <v>0</v>
      </c>
      <c r="T51" s="1046">
        <f t="shared" si="320"/>
        <v>0</v>
      </c>
      <c r="U51" s="1023">
        <f t="shared" si="320"/>
        <v>0</v>
      </c>
      <c r="V51" s="1023">
        <f t="shared" si="320"/>
        <v>0</v>
      </c>
      <c r="W51" s="1023">
        <f t="shared" si="320"/>
        <v>0</v>
      </c>
      <c r="X51" s="1023">
        <f t="shared" si="320"/>
        <v>0</v>
      </c>
      <c r="Y51" s="1023">
        <f t="shared" si="320"/>
        <v>-21798.135483333332</v>
      </c>
      <c r="Z51" s="1023">
        <f t="shared" si="320"/>
        <v>-21798.135483333332</v>
      </c>
      <c r="AA51" s="1023">
        <f t="shared" si="320"/>
        <v>-21798.135483333332</v>
      </c>
      <c r="AB51" s="1023">
        <f t="shared" si="320"/>
        <v>-21798.135483333332</v>
      </c>
      <c r="AC51" s="1023">
        <f t="shared" si="320"/>
        <v>-32534.706498125001</v>
      </c>
      <c r="AD51" s="1023">
        <f t="shared" si="320"/>
        <v>-654.08675555000923</v>
      </c>
      <c r="AE51" s="1023">
        <f t="shared" si="320"/>
        <v>31226.532987024999</v>
      </c>
      <c r="AF51" s="1046">
        <f t="shared" si="320"/>
        <v>63107.152729599999</v>
      </c>
      <c r="AG51" s="1023">
        <f t="shared" si="320"/>
        <v>0</v>
      </c>
      <c r="AH51" s="1023">
        <f t="shared" si="320"/>
        <v>0</v>
      </c>
      <c r="AI51" s="1023">
        <f t="shared" si="320"/>
        <v>0</v>
      </c>
      <c r="AJ51" s="1023">
        <f t="shared" si="320"/>
        <v>0</v>
      </c>
      <c r="AK51" s="1023">
        <f t="shared" si="320"/>
        <v>0</v>
      </c>
      <c r="AL51" s="1023">
        <f t="shared" si="320"/>
        <v>0</v>
      </c>
      <c r="AM51" s="1023">
        <f t="shared" si="320"/>
        <v>0</v>
      </c>
      <c r="AN51" s="1023">
        <f t="shared" si="320"/>
        <v>0</v>
      </c>
      <c r="AO51" s="1023">
        <f t="shared" si="320"/>
        <v>0</v>
      </c>
      <c r="AP51" s="1023">
        <f t="shared" si="320"/>
        <v>0</v>
      </c>
      <c r="AQ51" s="1023">
        <f t="shared" si="320"/>
        <v>0</v>
      </c>
      <c r="AR51" s="1046">
        <f t="shared" si="320"/>
        <v>0</v>
      </c>
      <c r="AS51" s="1023">
        <f t="shared" ref="AS51:BF51" si="321">IF(AS46=0,0,IF(AS48&lt;0,AS46,0))</f>
        <v>0</v>
      </c>
      <c r="AT51" s="1023">
        <f t="shared" si="321"/>
        <v>0</v>
      </c>
      <c r="AU51" s="1023">
        <f t="shared" si="321"/>
        <v>0</v>
      </c>
      <c r="AV51" s="1023">
        <f t="shared" si="321"/>
        <v>0</v>
      </c>
      <c r="AW51" s="1023">
        <f t="shared" si="321"/>
        <v>0</v>
      </c>
      <c r="AX51" s="1023">
        <f t="shared" si="321"/>
        <v>0</v>
      </c>
      <c r="AY51" s="1023">
        <f t="shared" si="321"/>
        <v>0</v>
      </c>
      <c r="AZ51" s="1023">
        <f t="shared" si="321"/>
        <v>0</v>
      </c>
      <c r="BA51" s="1023">
        <f t="shared" si="321"/>
        <v>0</v>
      </c>
      <c r="BB51" s="1023">
        <f t="shared" si="321"/>
        <v>0</v>
      </c>
      <c r="BC51" s="1023">
        <f t="shared" si="321"/>
        <v>0</v>
      </c>
      <c r="BD51" s="1046">
        <f t="shared" si="321"/>
        <v>0</v>
      </c>
      <c r="BE51" s="1023">
        <f t="shared" si="321"/>
        <v>0</v>
      </c>
      <c r="BF51" s="1023">
        <f t="shared" si="321"/>
        <v>0</v>
      </c>
      <c r="BG51" s="1023">
        <f t="shared" ref="BG51:BP51" si="322">IF(BG46=0,0,IF(BG48&lt;0,BG46,0))</f>
        <v>0</v>
      </c>
      <c r="BH51" s="1023">
        <f t="shared" si="322"/>
        <v>0</v>
      </c>
      <c r="BI51" s="1023">
        <f t="shared" si="322"/>
        <v>0</v>
      </c>
      <c r="BJ51" s="1023">
        <f t="shared" si="322"/>
        <v>0</v>
      </c>
      <c r="BK51" s="1023">
        <f t="shared" si="322"/>
        <v>0</v>
      </c>
      <c r="BL51" s="1023">
        <f t="shared" si="322"/>
        <v>0</v>
      </c>
      <c r="BM51" s="1023">
        <f t="shared" si="322"/>
        <v>0</v>
      </c>
      <c r="BN51" s="1023">
        <f t="shared" si="322"/>
        <v>0</v>
      </c>
      <c r="BO51" s="1023">
        <f t="shared" si="322"/>
        <v>0</v>
      </c>
      <c r="BP51" s="1091">
        <f t="shared" si="322"/>
        <v>0</v>
      </c>
    </row>
    <row r="52" spans="6:68" ht="12" customHeight="1">
      <c r="F52" s="228" t="s">
        <v>603</v>
      </c>
      <c r="I52" s="1239">
        <f t="shared" ref="I52:AN52" si="323">IF(I15=$S$7,(SUM(J46:U46)/$J$11)*(1-$L$11),0)</f>
        <v>0</v>
      </c>
      <c r="J52" s="1240">
        <f t="shared" si="323"/>
        <v>0</v>
      </c>
      <c r="K52" s="1240">
        <f t="shared" si="323"/>
        <v>0</v>
      </c>
      <c r="L52" s="1240">
        <f t="shared" si="323"/>
        <v>0</v>
      </c>
      <c r="M52" s="1240">
        <f t="shared" si="323"/>
        <v>0</v>
      </c>
      <c r="N52" s="1240">
        <f t="shared" si="323"/>
        <v>0</v>
      </c>
      <c r="O52" s="1240">
        <f t="shared" si="323"/>
        <v>0</v>
      </c>
      <c r="P52" s="1240">
        <f t="shared" si="323"/>
        <v>0</v>
      </c>
      <c r="Q52" s="1240">
        <f t="shared" si="323"/>
        <v>0</v>
      </c>
      <c r="R52" s="1240">
        <f t="shared" si="323"/>
        <v>0</v>
      </c>
      <c r="S52" s="1240">
        <f t="shared" si="323"/>
        <v>0</v>
      </c>
      <c r="T52" s="1241">
        <f t="shared" si="323"/>
        <v>0</v>
      </c>
      <c r="U52" s="1240">
        <f t="shared" si="323"/>
        <v>0</v>
      </c>
      <c r="V52" s="1240">
        <f t="shared" si="323"/>
        <v>0</v>
      </c>
      <c r="W52" s="1240">
        <f t="shared" si="323"/>
        <v>0</v>
      </c>
      <c r="X52" s="1240">
        <f t="shared" si="323"/>
        <v>0</v>
      </c>
      <c r="Y52" s="1240">
        <f t="shared" si="323"/>
        <v>0</v>
      </c>
      <c r="Z52" s="1240">
        <f t="shared" si="323"/>
        <v>0</v>
      </c>
      <c r="AA52" s="1240">
        <f t="shared" si="323"/>
        <v>0</v>
      </c>
      <c r="AB52" s="1240">
        <f t="shared" si="323"/>
        <v>0</v>
      </c>
      <c r="AC52" s="1240">
        <f t="shared" si="323"/>
        <v>0</v>
      </c>
      <c r="AD52" s="1240">
        <f t="shared" si="323"/>
        <v>0</v>
      </c>
      <c r="AE52" s="1240">
        <f t="shared" si="323"/>
        <v>0</v>
      </c>
      <c r="AF52" s="1241">
        <f t="shared" si="323"/>
        <v>0</v>
      </c>
      <c r="AG52" s="1240">
        <f t="shared" si="323"/>
        <v>0</v>
      </c>
      <c r="AH52" s="1240">
        <f t="shared" si="323"/>
        <v>0</v>
      </c>
      <c r="AI52" s="1240">
        <f t="shared" si="323"/>
        <v>0</v>
      </c>
      <c r="AJ52" s="1240">
        <f t="shared" si="323"/>
        <v>0</v>
      </c>
      <c r="AK52" s="1240">
        <f t="shared" si="323"/>
        <v>0</v>
      </c>
      <c r="AL52" s="1240">
        <f t="shared" si="323"/>
        <v>0</v>
      </c>
      <c r="AM52" s="1240">
        <f t="shared" si="323"/>
        <v>0</v>
      </c>
      <c r="AN52" s="1240">
        <f t="shared" si="323"/>
        <v>0</v>
      </c>
      <c r="AO52" s="1240">
        <f t="shared" ref="AO52:BP52" si="324">IF(AO15=$S$7,(SUM(AP46:BA46)/$J$11)*(1-$L$11),0)</f>
        <v>0</v>
      </c>
      <c r="AP52" s="1240">
        <f t="shared" si="324"/>
        <v>0</v>
      </c>
      <c r="AQ52" s="1240">
        <f t="shared" si="324"/>
        <v>0</v>
      </c>
      <c r="AR52" s="1241">
        <f>IF(AR15=$S$7,(SUM(AS46:BD46)/$J$11)*(1-$L$11),0)</f>
        <v>28663737.812244892</v>
      </c>
      <c r="AS52" s="205">
        <f t="shared" si="324"/>
        <v>0</v>
      </c>
      <c r="AT52" s="205">
        <f t="shared" si="324"/>
        <v>0</v>
      </c>
      <c r="AU52" s="205">
        <f t="shared" si="324"/>
        <v>0</v>
      </c>
      <c r="AV52" s="205">
        <f t="shared" si="324"/>
        <v>0</v>
      </c>
      <c r="AW52" s="205">
        <f t="shared" si="324"/>
        <v>0</v>
      </c>
      <c r="AX52" s="205">
        <f t="shared" si="324"/>
        <v>0</v>
      </c>
      <c r="AY52" s="205">
        <f t="shared" si="324"/>
        <v>0</v>
      </c>
      <c r="AZ52" s="205">
        <f t="shared" si="324"/>
        <v>0</v>
      </c>
      <c r="BA52" s="205">
        <f t="shared" si="324"/>
        <v>0</v>
      </c>
      <c r="BB52" s="205">
        <f t="shared" si="324"/>
        <v>0</v>
      </c>
      <c r="BC52" s="205">
        <f t="shared" si="324"/>
        <v>0</v>
      </c>
      <c r="BD52" s="241">
        <f t="shared" si="324"/>
        <v>0</v>
      </c>
      <c r="BE52" s="205">
        <f t="shared" si="324"/>
        <v>0</v>
      </c>
      <c r="BF52" s="205">
        <f t="shared" si="324"/>
        <v>0</v>
      </c>
      <c r="BG52" s="205">
        <f t="shared" si="324"/>
        <v>0</v>
      </c>
      <c r="BH52" s="205">
        <f t="shared" si="324"/>
        <v>0</v>
      </c>
      <c r="BI52" s="205">
        <f t="shared" si="324"/>
        <v>0</v>
      </c>
      <c r="BJ52" s="205">
        <f t="shared" si="324"/>
        <v>0</v>
      </c>
      <c r="BK52" s="205">
        <f t="shared" si="324"/>
        <v>0</v>
      </c>
      <c r="BL52" s="205">
        <f t="shared" si="324"/>
        <v>0</v>
      </c>
      <c r="BM52" s="205">
        <f t="shared" si="324"/>
        <v>0</v>
      </c>
      <c r="BN52" s="205">
        <f t="shared" si="324"/>
        <v>0</v>
      </c>
      <c r="BO52" s="205">
        <f t="shared" si="324"/>
        <v>0</v>
      </c>
      <c r="BP52" s="241">
        <f t="shared" si="324"/>
        <v>0</v>
      </c>
    </row>
    <row r="53" spans="6:68" ht="12" customHeight="1">
      <c r="F53" s="228"/>
      <c r="G53" s="228"/>
      <c r="J53" s="205"/>
      <c r="K53" s="256"/>
      <c r="L53" s="205"/>
    </row>
    <row r="54" spans="6:68" ht="12" customHeight="1">
      <c r="F54" s="228"/>
      <c r="G54" s="228"/>
      <c r="J54" s="205"/>
      <c r="K54" s="256"/>
      <c r="L54" s="205"/>
    </row>
    <row r="57" spans="6:68" ht="12" customHeight="1">
      <c r="H57" s="105"/>
      <c r="K57" s="228"/>
    </row>
    <row r="58" spans="6:68" ht="12" customHeight="1">
      <c r="G58" s="256"/>
      <c r="H58" s="105"/>
      <c r="K58" s="228"/>
      <c r="L58" s="256"/>
    </row>
    <row r="59" spans="6:68" ht="12" customHeight="1">
      <c r="G59" s="1019"/>
      <c r="H59" s="105"/>
      <c r="K59" s="1020"/>
      <c r="L59" s="1019"/>
    </row>
    <row r="60" spans="6:68" ht="12" customHeight="1">
      <c r="G60" s="1021"/>
      <c r="H60" s="105"/>
      <c r="I60" s="205"/>
      <c r="K60" s="228"/>
      <c r="L60" s="1021"/>
    </row>
    <row r="61" spans="6:68" ht="12" customHeight="1">
      <c r="G61" s="1022"/>
      <c r="H61" s="105"/>
      <c r="K61" s="228"/>
      <c r="L61" s="1022"/>
    </row>
    <row r="62" spans="6:68" ht="12" customHeight="1">
      <c r="H62" s="105"/>
    </row>
  </sheetData>
  <pageMargins left="0.25" right="0.25" top="0.25" bottom="0.25" header="0.3" footer="0.3"/>
  <pageSetup paperSize="17" scale="90" orientation="landscape" r:id="rId1"/>
  <colBreaks count="2" manualBreakCount="2">
    <brk id="20" max="1048575" man="1"/>
    <brk id="32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3F6CE-F064-D34E-BACB-6240F35AE5A0}">
  <dimension ref="A1:BK122"/>
  <sheetViews>
    <sheetView tabSelected="1" zoomScale="110" zoomScaleNormal="100" workbookViewId="0">
      <pane xSplit="1" topLeftCell="B1" activePane="topRight" state="frozen"/>
      <selection activeCell="A27" sqref="A27"/>
      <selection pane="topRight" activeCell="C14" sqref="C14"/>
    </sheetView>
  </sheetViews>
  <sheetFormatPr baseColWidth="10" defaultColWidth="8.83203125" defaultRowHeight="13"/>
  <cols>
    <col min="1" max="1" width="8.33203125" style="1276" customWidth="1"/>
    <col min="2" max="2" width="28.33203125" style="1351" customWidth="1"/>
    <col min="3" max="3" width="13.5" style="1276" bestFit="1" customWidth="1"/>
    <col min="4" max="5" width="11.1640625" style="1276" bestFit="1" customWidth="1"/>
    <col min="6" max="6" width="10.6640625" style="1276" bestFit="1" customWidth="1"/>
    <col min="7" max="7" width="10.1640625" style="1276" bestFit="1" customWidth="1"/>
    <col min="8" max="8" width="13.33203125" style="1276" bestFit="1" customWidth="1"/>
    <col min="9" max="14" width="10.33203125" style="1276" bestFit="1" customWidth="1"/>
    <col min="15" max="17" width="11.1640625" style="1276" bestFit="1" customWidth="1"/>
    <col min="18" max="26" width="10.6640625" style="1276" bestFit="1" customWidth="1"/>
    <col min="27" max="29" width="11.1640625" style="1276" bestFit="1" customWidth="1"/>
    <col min="30" max="38" width="10.6640625" style="1276" bestFit="1" customWidth="1"/>
    <col min="39" max="39" width="15.6640625" style="1276" customWidth="1"/>
    <col min="40" max="41" width="11.1640625" style="1276" bestFit="1" customWidth="1"/>
    <col min="42" max="42" width="10.83203125" style="1276" bestFit="1" customWidth="1"/>
    <col min="43" max="50" width="10.1640625" style="1276" bestFit="1" customWidth="1"/>
    <col min="51" max="53" width="11.1640625" style="1276" bestFit="1" customWidth="1"/>
    <col min="54" max="62" width="10.1640625" style="1276" bestFit="1" customWidth="1"/>
    <col min="63" max="63" width="11.1640625" style="1276" bestFit="1" customWidth="1"/>
    <col min="64" max="16384" width="8.83203125" style="1276"/>
  </cols>
  <sheetData>
    <row r="1" spans="2:63">
      <c r="B1" s="1347" t="s">
        <v>613</v>
      </c>
      <c r="C1" s="1277" t="s">
        <v>614</v>
      </c>
      <c r="D1" s="1277" t="s">
        <v>615</v>
      </c>
      <c r="E1" s="1277" t="s">
        <v>616</v>
      </c>
      <c r="F1" s="1278" t="s">
        <v>617</v>
      </c>
      <c r="H1" s="1279" t="s">
        <v>618</v>
      </c>
      <c r="I1" s="1279"/>
      <c r="K1" s="1295" t="s">
        <v>602</v>
      </c>
      <c r="L1" s="1341">
        <f>EDATE(Draws!G9,1)</f>
        <v>46692</v>
      </c>
    </row>
    <row r="2" spans="2:63">
      <c r="B2" s="1348" t="s">
        <v>619</v>
      </c>
      <c r="C2" s="1374">
        <v>0.1</v>
      </c>
      <c r="D2" s="1375"/>
      <c r="E2" s="1280">
        <f>+GPEQUITY</f>
        <v>0.1</v>
      </c>
      <c r="F2" s="1281">
        <f>+LPEQUITY</f>
        <v>0.9</v>
      </c>
      <c r="H2" s="1282" t="s">
        <v>620</v>
      </c>
      <c r="I2" s="1283">
        <f>IFERROR(XIRR(C34:BK34,C12:BK12),0)</f>
        <v>0.19440212845802304</v>
      </c>
      <c r="K2" s="1296"/>
      <c r="L2" s="1297"/>
    </row>
    <row r="3" spans="2:63">
      <c r="B3" s="1349" t="s">
        <v>621</v>
      </c>
      <c r="C3" s="1376">
        <v>0.15</v>
      </c>
      <c r="D3" s="1377">
        <v>0.2</v>
      </c>
      <c r="E3" s="1285">
        <f>$C$8+D3*$C$9</f>
        <v>0.28000000000000003</v>
      </c>
      <c r="F3" s="1286">
        <f t="shared" ref="F3:F5" si="0">1-E3</f>
        <v>0.72</v>
      </c>
      <c r="H3" s="1287" t="s">
        <v>622</v>
      </c>
      <c r="I3" s="1288">
        <f>IFERROR(SUMIF(C34:BK34,"&gt;"&amp;0,C34:BK34)/-SUMIF(C34:BK34,"&lt;"&amp;0,C34:BK34),0)</f>
        <v>1.6338191739521482</v>
      </c>
      <c r="K3" s="1296"/>
      <c r="L3" s="1297"/>
      <c r="N3" s="1296"/>
      <c r="O3" s="1298"/>
    </row>
    <row r="4" spans="2:63">
      <c r="B4" s="1349" t="s">
        <v>623</v>
      </c>
      <c r="C4" s="1376">
        <v>0.18</v>
      </c>
      <c r="D4" s="1377">
        <v>0.3</v>
      </c>
      <c r="E4" s="1285">
        <f>$C$8+D4*$C$9</f>
        <v>0.37</v>
      </c>
      <c r="F4" s="1286">
        <f t="shared" si="0"/>
        <v>0.63</v>
      </c>
      <c r="H4" s="1287" t="s">
        <v>624</v>
      </c>
      <c r="I4" s="1289">
        <f>C96</f>
        <v>0.17335181832313543</v>
      </c>
    </row>
    <row r="5" spans="2:63">
      <c r="B5" s="1350" t="s">
        <v>625</v>
      </c>
      <c r="C5" s="1378"/>
      <c r="D5" s="1379">
        <v>0.4</v>
      </c>
      <c r="E5" s="1290">
        <f>$C$8+D5*$C$9</f>
        <v>0.46000000000000008</v>
      </c>
      <c r="F5" s="1291">
        <f t="shared" si="0"/>
        <v>0.53999999999999992</v>
      </c>
      <c r="H5" s="1287" t="s">
        <v>626</v>
      </c>
      <c r="I5" s="1288">
        <f>C97</f>
        <v>1.5550745570759501</v>
      </c>
      <c r="K5" s="1296"/>
      <c r="L5" s="1297"/>
      <c r="N5" s="1296"/>
      <c r="O5" s="1299"/>
    </row>
    <row r="6" spans="2:63">
      <c r="H6" s="1287" t="s">
        <v>627</v>
      </c>
      <c r="I6" s="1289">
        <f>C103</f>
        <v>0.3591184794902802</v>
      </c>
    </row>
    <row r="7" spans="2:63">
      <c r="B7" s="1352" t="s">
        <v>628</v>
      </c>
      <c r="C7" s="1279"/>
      <c r="D7" s="1279"/>
      <c r="H7" s="1287" t="s">
        <v>629</v>
      </c>
      <c r="I7" s="1288">
        <f>C104</f>
        <v>2.3425207258379239</v>
      </c>
    </row>
    <row r="8" spans="2:63">
      <c r="B8" s="1353" t="s">
        <v>630</v>
      </c>
      <c r="C8" s="1380">
        <v>0.1</v>
      </c>
      <c r="D8" s="1317">
        <f>GPEQUITY*SUM($C$14:$BK$14)</f>
        <v>840000</v>
      </c>
      <c r="H8" s="1292" t="s">
        <v>615</v>
      </c>
      <c r="I8" s="1293">
        <f>C110</f>
        <v>661454.7817600586</v>
      </c>
    </row>
    <row r="9" spans="2:63">
      <c r="B9" s="1354" t="s">
        <v>631</v>
      </c>
      <c r="C9" s="1335">
        <f>1-C8</f>
        <v>0.9</v>
      </c>
      <c r="D9" s="1334">
        <f>LPEQUITY*SUM($C$14:$BK$14)</f>
        <v>7560000</v>
      </c>
      <c r="H9" s="1294"/>
      <c r="I9" s="1300"/>
    </row>
    <row r="10" spans="2:63">
      <c r="B10" s="1355"/>
      <c r="C10" s="1301"/>
      <c r="D10" s="1301"/>
      <c r="E10" s="1301"/>
      <c r="F10" s="1301"/>
      <c r="G10" s="1301"/>
      <c r="H10" s="1301"/>
      <c r="I10" s="1301"/>
      <c r="J10" s="1301"/>
      <c r="K10" s="1301"/>
      <c r="L10" s="1301"/>
      <c r="M10" s="1301"/>
      <c r="N10" s="1301"/>
      <c r="O10" s="1301"/>
      <c r="P10" s="1301"/>
      <c r="Q10" s="1301"/>
      <c r="R10" s="1301"/>
      <c r="S10" s="1301"/>
      <c r="T10" s="1301"/>
      <c r="U10" s="1301"/>
      <c r="V10" s="1301"/>
      <c r="W10" s="1301"/>
      <c r="X10" s="1301"/>
      <c r="Y10" s="1301"/>
      <c r="Z10" s="1301"/>
      <c r="AA10" s="1301"/>
      <c r="AB10" s="1301"/>
      <c r="AC10" s="1301"/>
      <c r="AD10" s="1301"/>
      <c r="AE10" s="1301"/>
      <c r="AF10" s="1301"/>
      <c r="AG10" s="1301"/>
      <c r="AH10" s="1301"/>
      <c r="AI10" s="1301"/>
      <c r="AJ10" s="1301"/>
      <c r="AK10" s="1301"/>
      <c r="AL10" s="1301"/>
      <c r="AM10" s="1301"/>
      <c r="AN10" s="1301"/>
      <c r="AO10" s="1301"/>
      <c r="AP10" s="1301"/>
      <c r="AQ10" s="1301"/>
      <c r="AR10" s="1301"/>
      <c r="AS10" s="1301"/>
      <c r="AT10" s="1301"/>
      <c r="AU10" s="1301"/>
      <c r="AV10" s="1301"/>
      <c r="AW10" s="1301"/>
      <c r="AX10" s="1301"/>
      <c r="AY10" s="1301"/>
      <c r="AZ10" s="1301"/>
      <c r="BA10" s="1301"/>
      <c r="BB10" s="1301"/>
      <c r="BC10" s="1301"/>
      <c r="BD10" s="1301"/>
      <c r="BE10" s="1301"/>
      <c r="BF10" s="1301"/>
      <c r="BG10" s="1301"/>
      <c r="BH10" s="1301"/>
      <c r="BI10" s="1301"/>
      <c r="BJ10" s="1301"/>
      <c r="BK10" s="1301"/>
    </row>
    <row r="11" spans="2:63" s="1322" customFormat="1" ht="12">
      <c r="B11" s="1356"/>
      <c r="C11" s="1323">
        <v>0</v>
      </c>
      <c r="D11" s="1323">
        <f>C11+1</f>
        <v>1</v>
      </c>
      <c r="E11" s="1323">
        <f t="shared" ref="E11:BK11" si="1">D11+1</f>
        <v>2</v>
      </c>
      <c r="F11" s="1323">
        <f t="shared" si="1"/>
        <v>3</v>
      </c>
      <c r="G11" s="1323">
        <f t="shared" si="1"/>
        <v>4</v>
      </c>
      <c r="H11" s="1323">
        <f t="shared" si="1"/>
        <v>5</v>
      </c>
      <c r="I11" s="1323">
        <f t="shared" si="1"/>
        <v>6</v>
      </c>
      <c r="J11" s="1323">
        <f t="shared" si="1"/>
        <v>7</v>
      </c>
      <c r="K11" s="1323">
        <f t="shared" si="1"/>
        <v>8</v>
      </c>
      <c r="L11" s="1323">
        <f t="shared" si="1"/>
        <v>9</v>
      </c>
      <c r="M11" s="1323">
        <f t="shared" si="1"/>
        <v>10</v>
      </c>
      <c r="N11" s="1323">
        <f t="shared" si="1"/>
        <v>11</v>
      </c>
      <c r="O11" s="1323">
        <f t="shared" si="1"/>
        <v>12</v>
      </c>
      <c r="P11" s="1323">
        <f t="shared" si="1"/>
        <v>13</v>
      </c>
      <c r="Q11" s="1323">
        <f t="shared" si="1"/>
        <v>14</v>
      </c>
      <c r="R11" s="1323">
        <f t="shared" si="1"/>
        <v>15</v>
      </c>
      <c r="S11" s="1323">
        <f t="shared" si="1"/>
        <v>16</v>
      </c>
      <c r="T11" s="1323">
        <f t="shared" si="1"/>
        <v>17</v>
      </c>
      <c r="U11" s="1323">
        <f t="shared" si="1"/>
        <v>18</v>
      </c>
      <c r="V11" s="1323">
        <f t="shared" si="1"/>
        <v>19</v>
      </c>
      <c r="W11" s="1323">
        <f t="shared" si="1"/>
        <v>20</v>
      </c>
      <c r="X11" s="1323">
        <f t="shared" si="1"/>
        <v>21</v>
      </c>
      <c r="Y11" s="1323">
        <f t="shared" si="1"/>
        <v>22</v>
      </c>
      <c r="Z11" s="1323">
        <f t="shared" si="1"/>
        <v>23</v>
      </c>
      <c r="AA11" s="1323">
        <f t="shared" si="1"/>
        <v>24</v>
      </c>
      <c r="AB11" s="1323">
        <f t="shared" si="1"/>
        <v>25</v>
      </c>
      <c r="AC11" s="1323">
        <f t="shared" si="1"/>
        <v>26</v>
      </c>
      <c r="AD11" s="1323">
        <f t="shared" si="1"/>
        <v>27</v>
      </c>
      <c r="AE11" s="1323">
        <f t="shared" si="1"/>
        <v>28</v>
      </c>
      <c r="AF11" s="1323">
        <f t="shared" si="1"/>
        <v>29</v>
      </c>
      <c r="AG11" s="1323">
        <f t="shared" si="1"/>
        <v>30</v>
      </c>
      <c r="AH11" s="1323">
        <f t="shared" si="1"/>
        <v>31</v>
      </c>
      <c r="AI11" s="1323">
        <f t="shared" si="1"/>
        <v>32</v>
      </c>
      <c r="AJ11" s="1323">
        <f t="shared" si="1"/>
        <v>33</v>
      </c>
      <c r="AK11" s="1323">
        <f t="shared" si="1"/>
        <v>34</v>
      </c>
      <c r="AL11" s="1323">
        <f t="shared" si="1"/>
        <v>35</v>
      </c>
      <c r="AM11" s="1323">
        <f t="shared" si="1"/>
        <v>36</v>
      </c>
      <c r="AN11" s="1323">
        <f t="shared" si="1"/>
        <v>37</v>
      </c>
      <c r="AO11" s="1323">
        <f t="shared" si="1"/>
        <v>38</v>
      </c>
      <c r="AP11" s="1323">
        <f t="shared" si="1"/>
        <v>39</v>
      </c>
      <c r="AQ11" s="1323">
        <f t="shared" si="1"/>
        <v>40</v>
      </c>
      <c r="AR11" s="1323">
        <f t="shared" si="1"/>
        <v>41</v>
      </c>
      <c r="AS11" s="1323">
        <f t="shared" si="1"/>
        <v>42</v>
      </c>
      <c r="AT11" s="1323">
        <f t="shared" si="1"/>
        <v>43</v>
      </c>
      <c r="AU11" s="1323">
        <f t="shared" si="1"/>
        <v>44</v>
      </c>
      <c r="AV11" s="1323">
        <f t="shared" si="1"/>
        <v>45</v>
      </c>
      <c r="AW11" s="1323">
        <f t="shared" si="1"/>
        <v>46</v>
      </c>
      <c r="AX11" s="1323">
        <f t="shared" si="1"/>
        <v>47</v>
      </c>
      <c r="AY11" s="1323">
        <f t="shared" si="1"/>
        <v>48</v>
      </c>
      <c r="AZ11" s="1323">
        <f t="shared" si="1"/>
        <v>49</v>
      </c>
      <c r="BA11" s="1323">
        <f t="shared" si="1"/>
        <v>50</v>
      </c>
      <c r="BB11" s="1323">
        <f t="shared" si="1"/>
        <v>51</v>
      </c>
      <c r="BC11" s="1323">
        <f t="shared" si="1"/>
        <v>52</v>
      </c>
      <c r="BD11" s="1323">
        <f t="shared" si="1"/>
        <v>53</v>
      </c>
      <c r="BE11" s="1323">
        <f t="shared" si="1"/>
        <v>54</v>
      </c>
      <c r="BF11" s="1323">
        <f t="shared" si="1"/>
        <v>55</v>
      </c>
      <c r="BG11" s="1323">
        <f t="shared" si="1"/>
        <v>56</v>
      </c>
      <c r="BH11" s="1323">
        <f t="shared" si="1"/>
        <v>57</v>
      </c>
      <c r="BI11" s="1323">
        <f t="shared" si="1"/>
        <v>58</v>
      </c>
      <c r="BJ11" s="1323">
        <f t="shared" si="1"/>
        <v>59</v>
      </c>
      <c r="BK11" s="1326">
        <f t="shared" si="1"/>
        <v>60</v>
      </c>
    </row>
    <row r="12" spans="2:63" s="1322" customFormat="1" ht="12">
      <c r="B12" s="1356" t="s">
        <v>651</v>
      </c>
      <c r="C12" s="1321">
        <f>EOMONTH(Draws!H10,0)</f>
        <v>45596</v>
      </c>
      <c r="D12" s="1321">
        <f>EOMONTH(C12,1)</f>
        <v>45626</v>
      </c>
      <c r="E12" s="1321">
        <f t="shared" ref="E12:BK12" si="2">EOMONTH(D12,1)</f>
        <v>45657</v>
      </c>
      <c r="F12" s="1321">
        <f t="shared" si="2"/>
        <v>45688</v>
      </c>
      <c r="G12" s="1321">
        <f t="shared" si="2"/>
        <v>45716</v>
      </c>
      <c r="H12" s="1321">
        <f t="shared" si="2"/>
        <v>45747</v>
      </c>
      <c r="I12" s="1321">
        <f t="shared" si="2"/>
        <v>45777</v>
      </c>
      <c r="J12" s="1321">
        <f t="shared" si="2"/>
        <v>45808</v>
      </c>
      <c r="K12" s="1321">
        <f t="shared" si="2"/>
        <v>45838</v>
      </c>
      <c r="L12" s="1321">
        <f t="shared" si="2"/>
        <v>45869</v>
      </c>
      <c r="M12" s="1321">
        <f t="shared" si="2"/>
        <v>45900</v>
      </c>
      <c r="N12" s="1321">
        <f t="shared" si="2"/>
        <v>45930</v>
      </c>
      <c r="O12" s="1321">
        <f t="shared" si="2"/>
        <v>45961</v>
      </c>
      <c r="P12" s="1321">
        <f t="shared" si="2"/>
        <v>45991</v>
      </c>
      <c r="Q12" s="1321">
        <f t="shared" si="2"/>
        <v>46022</v>
      </c>
      <c r="R12" s="1321">
        <f t="shared" si="2"/>
        <v>46053</v>
      </c>
      <c r="S12" s="1321">
        <f t="shared" si="2"/>
        <v>46081</v>
      </c>
      <c r="T12" s="1321">
        <f t="shared" si="2"/>
        <v>46112</v>
      </c>
      <c r="U12" s="1321">
        <f t="shared" si="2"/>
        <v>46142</v>
      </c>
      <c r="V12" s="1321">
        <f t="shared" si="2"/>
        <v>46173</v>
      </c>
      <c r="W12" s="1321">
        <f t="shared" si="2"/>
        <v>46203</v>
      </c>
      <c r="X12" s="1321">
        <f t="shared" si="2"/>
        <v>46234</v>
      </c>
      <c r="Y12" s="1321">
        <f t="shared" si="2"/>
        <v>46265</v>
      </c>
      <c r="Z12" s="1321">
        <f t="shared" si="2"/>
        <v>46295</v>
      </c>
      <c r="AA12" s="1321">
        <f t="shared" si="2"/>
        <v>46326</v>
      </c>
      <c r="AB12" s="1321">
        <f t="shared" si="2"/>
        <v>46356</v>
      </c>
      <c r="AC12" s="1321">
        <f t="shared" si="2"/>
        <v>46387</v>
      </c>
      <c r="AD12" s="1321">
        <f t="shared" si="2"/>
        <v>46418</v>
      </c>
      <c r="AE12" s="1321">
        <f t="shared" si="2"/>
        <v>46446</v>
      </c>
      <c r="AF12" s="1321">
        <f t="shared" si="2"/>
        <v>46477</v>
      </c>
      <c r="AG12" s="1321">
        <f t="shared" si="2"/>
        <v>46507</v>
      </c>
      <c r="AH12" s="1321">
        <f t="shared" si="2"/>
        <v>46538</v>
      </c>
      <c r="AI12" s="1321">
        <f t="shared" si="2"/>
        <v>46568</v>
      </c>
      <c r="AJ12" s="1321">
        <f t="shared" si="2"/>
        <v>46599</v>
      </c>
      <c r="AK12" s="1321">
        <f t="shared" si="2"/>
        <v>46630</v>
      </c>
      <c r="AL12" s="1321">
        <f t="shared" si="2"/>
        <v>46660</v>
      </c>
      <c r="AM12" s="1321">
        <f t="shared" si="2"/>
        <v>46691</v>
      </c>
      <c r="AN12" s="1321">
        <f t="shared" si="2"/>
        <v>46721</v>
      </c>
      <c r="AO12" s="1321">
        <f t="shared" si="2"/>
        <v>46752</v>
      </c>
      <c r="AP12" s="1321">
        <f t="shared" si="2"/>
        <v>46783</v>
      </c>
      <c r="AQ12" s="1321">
        <f t="shared" si="2"/>
        <v>46812</v>
      </c>
      <c r="AR12" s="1321">
        <f t="shared" si="2"/>
        <v>46843</v>
      </c>
      <c r="AS12" s="1321">
        <f t="shared" si="2"/>
        <v>46873</v>
      </c>
      <c r="AT12" s="1321">
        <f t="shared" si="2"/>
        <v>46904</v>
      </c>
      <c r="AU12" s="1321">
        <f t="shared" si="2"/>
        <v>46934</v>
      </c>
      <c r="AV12" s="1321">
        <f t="shared" si="2"/>
        <v>46965</v>
      </c>
      <c r="AW12" s="1321">
        <f t="shared" si="2"/>
        <v>46996</v>
      </c>
      <c r="AX12" s="1321">
        <f t="shared" si="2"/>
        <v>47026</v>
      </c>
      <c r="AY12" s="1321">
        <f t="shared" si="2"/>
        <v>47057</v>
      </c>
      <c r="AZ12" s="1321">
        <f t="shared" si="2"/>
        <v>47087</v>
      </c>
      <c r="BA12" s="1321">
        <f t="shared" si="2"/>
        <v>47118</v>
      </c>
      <c r="BB12" s="1321">
        <f t="shared" si="2"/>
        <v>47149</v>
      </c>
      <c r="BC12" s="1321">
        <f t="shared" si="2"/>
        <v>47177</v>
      </c>
      <c r="BD12" s="1321">
        <f t="shared" si="2"/>
        <v>47208</v>
      </c>
      <c r="BE12" s="1321">
        <f t="shared" si="2"/>
        <v>47238</v>
      </c>
      <c r="BF12" s="1321">
        <f t="shared" si="2"/>
        <v>47269</v>
      </c>
      <c r="BG12" s="1321">
        <f t="shared" si="2"/>
        <v>47299</v>
      </c>
      <c r="BH12" s="1321">
        <f t="shared" si="2"/>
        <v>47330</v>
      </c>
      <c r="BI12" s="1321">
        <f t="shared" si="2"/>
        <v>47361</v>
      </c>
      <c r="BJ12" s="1321">
        <f t="shared" si="2"/>
        <v>47391</v>
      </c>
      <c r="BK12" s="1327">
        <f t="shared" si="2"/>
        <v>47422</v>
      </c>
    </row>
    <row r="13" spans="2:63">
      <c r="B13" s="1349"/>
      <c r="C13" s="1309"/>
      <c r="D13" s="1284"/>
      <c r="E13" s="1284"/>
      <c r="F13" s="1284"/>
      <c r="G13" s="1284"/>
      <c r="H13" s="1284"/>
      <c r="I13" s="1284"/>
      <c r="J13" s="1284"/>
      <c r="K13" s="1284"/>
      <c r="L13" s="1284"/>
      <c r="M13" s="1284"/>
      <c r="N13" s="1284"/>
      <c r="O13" s="1284"/>
      <c r="P13" s="1284"/>
      <c r="Q13" s="1284"/>
      <c r="R13" s="1284"/>
      <c r="S13" s="1284"/>
      <c r="T13" s="1284"/>
      <c r="U13" s="1284"/>
      <c r="V13" s="1284"/>
      <c r="W13" s="1284"/>
      <c r="X13" s="1284"/>
      <c r="Y13" s="1284"/>
      <c r="Z13" s="1284"/>
      <c r="AA13" s="1284"/>
      <c r="AB13" s="1284"/>
      <c r="AC13" s="1284"/>
      <c r="AD13" s="1284"/>
      <c r="AE13" s="1284"/>
      <c r="AF13" s="1284"/>
      <c r="AG13" s="1284"/>
      <c r="AH13" s="1284"/>
      <c r="AI13" s="1284"/>
      <c r="AJ13" s="1284"/>
      <c r="AK13" s="1284"/>
      <c r="AL13" s="1284"/>
      <c r="AM13" s="1284"/>
      <c r="AN13" s="1284"/>
      <c r="AO13" s="1284"/>
      <c r="AP13" s="1284"/>
      <c r="AQ13" s="1284"/>
      <c r="AR13" s="1284"/>
      <c r="AS13" s="1284"/>
      <c r="AT13" s="1284"/>
      <c r="AU13" s="1284"/>
      <c r="AV13" s="1284"/>
      <c r="AW13" s="1284"/>
      <c r="AX13" s="1284"/>
      <c r="AY13" s="1284"/>
      <c r="AZ13" s="1284"/>
      <c r="BA13" s="1284"/>
      <c r="BB13" s="1284"/>
      <c r="BC13" s="1284"/>
      <c r="BD13" s="1284"/>
      <c r="BE13" s="1284"/>
      <c r="BF13" s="1284"/>
      <c r="BG13" s="1284"/>
      <c r="BH13" s="1284"/>
      <c r="BI13" s="1284"/>
      <c r="BJ13" s="1284"/>
      <c r="BK13" s="1310"/>
    </row>
    <row r="14" spans="2:63">
      <c r="B14" s="1349" t="str">
        <f>Draws!C15</f>
        <v>Equity</v>
      </c>
      <c r="C14" s="1284">
        <f>IF(C$11&gt;Draws!$F$9,0,Draws!H15)</f>
        <v>5309435</v>
      </c>
      <c r="D14" s="1284">
        <f>IF(D$11&gt;Draws!$F$9,0,Draws!I15)</f>
        <v>33333.333333333336</v>
      </c>
      <c r="E14" s="1284">
        <f>IF(E$11&gt;Draws!$F$9,0,Draws!J15)</f>
        <v>33333.333333333336</v>
      </c>
      <c r="F14" s="1284">
        <f>IF(F$11&gt;Draws!$F$9,0,Draws!K15)</f>
        <v>33333.333333333336</v>
      </c>
      <c r="G14" s="1284">
        <f>IF(G$11&gt;Draws!$F$9,0,Draws!L15)</f>
        <v>33333.333333333336</v>
      </c>
      <c r="H14" s="1284">
        <f>IF(H$11&gt;Draws!$F$9,0,Draws!M15)</f>
        <v>33333.333333333336</v>
      </c>
      <c r="I14" s="1284">
        <f>IF(I$11&gt;Draws!$F$9,0,Draws!N15)</f>
        <v>33333.333333333336</v>
      </c>
      <c r="J14" s="1284">
        <f>IF(J$11&gt;Draws!$F$9,0,Draws!O15)</f>
        <v>1249529.642857143</v>
      </c>
      <c r="K14" s="1284">
        <f>IF(K$11&gt;Draws!$F$9,0,Draws!P15)</f>
        <v>1249529.642857143</v>
      </c>
      <c r="L14" s="1284">
        <f>IF(L$11&gt;Draws!$F$9,0,Draws!Q15)</f>
        <v>391505.71428571641</v>
      </c>
      <c r="M14" s="1284">
        <f>IF(M$11&gt;Draws!$F$9,0,Draws!R15)</f>
        <v>0</v>
      </c>
      <c r="N14" s="1284">
        <f>IF(N$11&gt;Draws!$F$9,0,Draws!S15)</f>
        <v>0</v>
      </c>
      <c r="O14" s="1284">
        <f>IF(O$11&gt;Draws!$F$9,0,Draws!T15)</f>
        <v>0</v>
      </c>
      <c r="P14" s="1284">
        <f>IF(P$11&gt;Draws!$F$9,0,Draws!U15)</f>
        <v>0</v>
      </c>
      <c r="Q14" s="1284">
        <f>IF(Q$11&gt;Draws!$F$9,0,Draws!V15)</f>
        <v>0</v>
      </c>
      <c r="R14" s="1284">
        <f>IF(R$11&gt;Draws!$F$9,0,Draws!W15)</f>
        <v>0</v>
      </c>
      <c r="S14" s="1284">
        <f>IF(S$11&gt;Draws!$F$9,0,Draws!X15)</f>
        <v>0</v>
      </c>
      <c r="T14" s="1284">
        <f>IF(T$11&gt;Draws!$F$9,0,Draws!Y15)</f>
        <v>0</v>
      </c>
      <c r="U14" s="1284">
        <f>IF(U$11&gt;Draws!$F$9,0,Draws!Z15)</f>
        <v>0</v>
      </c>
      <c r="V14" s="1284">
        <f>IF(V$11&gt;Draws!$F$9,0,Draws!AA15)</f>
        <v>0</v>
      </c>
      <c r="W14" s="1284">
        <f>IF(W$11&gt;Draws!$F$9,0,Draws!AB15)</f>
        <v>0</v>
      </c>
      <c r="X14" s="1284">
        <f>IF(X$11&gt;Draws!$F$9,0,Draws!AC15)</f>
        <v>0</v>
      </c>
      <c r="Y14" s="1284">
        <f>IF(Y$11&gt;Draws!$F$9,0,Draws!AD15)</f>
        <v>0</v>
      </c>
      <c r="Z14" s="1284">
        <f>IF(Z$11&gt;Draws!$F$9,0,Draws!AE15)</f>
        <v>0</v>
      </c>
      <c r="AA14" s="1284">
        <f>IF(AA$11&gt;Draws!$F$9,0,Draws!AF15)</f>
        <v>0</v>
      </c>
      <c r="AB14" s="1284">
        <f>IF(AB$11&gt;Draws!$F$9,0,Draws!AG15)</f>
        <v>0</v>
      </c>
      <c r="AC14" s="1284">
        <f>IF(AC$11&gt;Draws!$F$9,0,Draws!AH15)</f>
        <v>0</v>
      </c>
      <c r="AD14" s="1284">
        <f>IF(AD$11&gt;Draws!$F$9,0,Draws!AI15)</f>
        <v>0</v>
      </c>
      <c r="AE14" s="1284">
        <f>IF(AE$11&gt;Draws!$F$9,0,Draws!AJ15)</f>
        <v>0</v>
      </c>
      <c r="AF14" s="1284">
        <f>IF(AF$11&gt;Draws!$F$9,0,Draws!AK15)</f>
        <v>0</v>
      </c>
      <c r="AG14" s="1284">
        <f>IF(AG$11&gt;Draws!$F$9,0,Draws!AL15)</f>
        <v>0</v>
      </c>
      <c r="AH14" s="1284">
        <f>IF(AH$11&gt;Draws!$F$9,0,Draws!AM15)</f>
        <v>0</v>
      </c>
      <c r="AI14" s="1284">
        <f>IF(AI$11&gt;Draws!$F$9,0,Draws!AN15)</f>
        <v>0</v>
      </c>
      <c r="AJ14" s="1284">
        <f>IF(AJ$11&gt;Draws!$F$9,0,Draws!AO15)</f>
        <v>0</v>
      </c>
      <c r="AK14" s="1284">
        <f>IF(AK$11&gt;Draws!$F$9,0,Draws!AP15)</f>
        <v>0</v>
      </c>
      <c r="AL14" s="1284">
        <f>IF(AL$11&gt;Draws!$F$9,0,Draws!AQ15)</f>
        <v>0</v>
      </c>
      <c r="AM14" s="1284">
        <f>IF(AM$11&gt;Draws!$F$9,0,Draws!AR15)</f>
        <v>0</v>
      </c>
      <c r="AN14" s="1284">
        <f>IF(AN$11&gt;Draws!$F$9,0,Draws!AS15)</f>
        <v>0</v>
      </c>
      <c r="AO14" s="1284">
        <f>IF(AO$11&gt;Draws!$F$9,0,Draws!AT15)</f>
        <v>0</v>
      </c>
      <c r="AP14" s="1284">
        <f>IF(AP$11&gt;Draws!$F$9,0,Draws!AU15)</f>
        <v>0</v>
      </c>
      <c r="AQ14" s="1284">
        <f>IF(AQ$11&gt;Draws!$F$9,0,Draws!AV15)</f>
        <v>0</v>
      </c>
      <c r="AR14" s="1284">
        <f>IF(AR$11&gt;Draws!$F$9,0,Draws!AW15)</f>
        <v>0</v>
      </c>
      <c r="AS14" s="1284">
        <f>IF(AS$11&gt;Draws!$F$9,0,Draws!AX15)</f>
        <v>0</v>
      </c>
      <c r="AT14" s="1284">
        <f>IF(AT$11&gt;Draws!$F$9,0,Draws!AY15)</f>
        <v>0</v>
      </c>
      <c r="AU14" s="1284">
        <f>IF(AU$11&gt;Draws!$F$9,0,Draws!AZ15)</f>
        <v>0</v>
      </c>
      <c r="AV14" s="1284">
        <f>IF(AV$11&gt;Draws!$F$9,0,Draws!BA15)</f>
        <v>0</v>
      </c>
      <c r="AW14" s="1284">
        <f>IF(AW$11&gt;Draws!$F$9,0,Draws!BB15)</f>
        <v>0</v>
      </c>
      <c r="AX14" s="1284">
        <f>IF(AX$11&gt;Draws!$F$9,0,Draws!BC15)</f>
        <v>0</v>
      </c>
      <c r="AY14" s="1284">
        <f>IF(AY$11&gt;Draws!$F$9,0,Draws!BD15)</f>
        <v>0</v>
      </c>
      <c r="AZ14" s="1284">
        <f>IF(AZ$11&gt;Draws!$F$9,0,Draws!BE15)</f>
        <v>0</v>
      </c>
      <c r="BA14" s="1284">
        <f>IF(BA$11&gt;Draws!$F$9,0,Draws!BF15)</f>
        <v>0</v>
      </c>
      <c r="BB14" s="1284">
        <f>IF(BB$11&gt;Draws!$F$9,0,Draws!BG15)</f>
        <v>0</v>
      </c>
      <c r="BC14" s="1284">
        <f>IF(BC$11&gt;Draws!$F$9,0,Draws!BH15)</f>
        <v>0</v>
      </c>
      <c r="BD14" s="1284">
        <f>IF(BD$11&gt;Draws!$F$9,0,Draws!BI15)</f>
        <v>0</v>
      </c>
      <c r="BE14" s="1284">
        <f>IF(BE$11&gt;Draws!$F$9,0,Draws!BJ15)</f>
        <v>0</v>
      </c>
      <c r="BF14" s="1284">
        <f>IF(BF$11&gt;Draws!$F$9,0,Draws!BK15)</f>
        <v>0</v>
      </c>
      <c r="BG14" s="1284">
        <f>IF(BG$11&gt;Draws!$F$9,0,Draws!BL15)</f>
        <v>0</v>
      </c>
      <c r="BH14" s="1284">
        <f>IF(BH$11&gt;Draws!$F$9,0,Draws!BM15)</f>
        <v>0</v>
      </c>
      <c r="BI14" s="1284">
        <f>IF(BI$11&gt;Draws!$F$9,0,Draws!BN15)</f>
        <v>0</v>
      </c>
      <c r="BJ14" s="1284">
        <f>IF(BJ$11&gt;Draws!$F$9,0,Draws!BO15)</f>
        <v>0</v>
      </c>
      <c r="BK14" s="1310">
        <f>IF(BK$11&gt;Draws!$F$9,0,Draws!BP15)</f>
        <v>0</v>
      </c>
    </row>
    <row r="15" spans="2:63">
      <c r="B15" s="1349" t="str">
        <f>Draws!C14</f>
        <v>Senior Debt</v>
      </c>
      <c r="C15" s="1309">
        <f>IF(C$11&gt;Draws!$F$9,0,Draws!H14)</f>
        <v>0</v>
      </c>
      <c r="D15" s="1284">
        <f>IF(D$11&gt;Draws!$F$9,0,Draws!I14)</f>
        <v>0</v>
      </c>
      <c r="E15" s="1284">
        <f>IF(E$11&gt;Draws!$F$9,0,Draws!J14)</f>
        <v>0</v>
      </c>
      <c r="F15" s="1284">
        <f>IF(F$11&gt;Draws!$F$9,0,Draws!K14)</f>
        <v>0</v>
      </c>
      <c r="G15" s="1284">
        <f>IF(G$11&gt;Draws!$F$9,0,Draws!L14)</f>
        <v>0</v>
      </c>
      <c r="H15" s="1284">
        <f>IF(H$11&gt;Draws!$F$9,0,Draws!M14)</f>
        <v>0</v>
      </c>
      <c r="I15" s="1284">
        <f>IF(I$11&gt;Draws!$F$9,0,Draws!N14)</f>
        <v>0</v>
      </c>
      <c r="J15" s="1284">
        <f>IF(J$11&gt;Draws!$F$9,0,Draws!O14)</f>
        <v>0</v>
      </c>
      <c r="K15" s="1284">
        <f>IF(K$11&gt;Draws!$F$9,0,Draws!P14)</f>
        <v>0</v>
      </c>
      <c r="L15" s="1284">
        <f>IF(L$11&gt;Draws!$F$9,0,Draws!Q14)</f>
        <v>858023.92857142654</v>
      </c>
      <c r="M15" s="1284">
        <f>IF(M$11&gt;Draws!$F$9,0,Draws!R14)</f>
        <v>1255340.98599402</v>
      </c>
      <c r="N15" s="1284">
        <f>IF(N$11&gt;Draws!$F$9,0,Draws!S14)</f>
        <v>1263770.6413692234</v>
      </c>
      <c r="O15" s="1284">
        <f>IF(O$11&gt;Draws!$F$9,0,Draws!T14)</f>
        <v>1272286.613078279</v>
      </c>
      <c r="P15" s="1284">
        <f>IF(P$11&gt;Draws!$F$9,0,Draws!U14)</f>
        <v>1280454.2912552697</v>
      </c>
      <c r="Q15" s="1284">
        <f>IF(Q$11&gt;Draws!$F$9,0,Draws!V14)</f>
        <v>1288603.6647020152</v>
      </c>
      <c r="R15" s="1284">
        <f>IF(R$11&gt;Draws!$F$9,0,Draws!W14)</f>
        <v>1296791.3005424456</v>
      </c>
      <c r="S15" s="1284">
        <f>IF(S$11&gt;Draws!$F$9,0,Draws!X14)</f>
        <v>1304930.2717527072</v>
      </c>
      <c r="T15" s="1284">
        <f>IF(T$11&gt;Draws!$F$9,0,Draws!Y14)</f>
        <v>1334837.9005813557</v>
      </c>
      <c r="U15" s="1284">
        <f>IF(U$11&gt;Draws!$F$9,0,Draws!Z14)</f>
        <v>1343088.4114563039</v>
      </c>
      <c r="V15" s="1284">
        <f>IF(V$11&gt;Draws!$F$9,0,Draws!AA14)</f>
        <v>1351351.336258457</v>
      </c>
      <c r="W15" s="1284">
        <f>IF(W$11&gt;Draws!$F$9,0,Draws!AB14)</f>
        <v>1359601.7629117081</v>
      </c>
      <c r="X15" s="1284">
        <f>IF(X$11&gt;Draws!$F$9,0,Draws!AC14)</f>
        <v>129112.16029969226</v>
      </c>
      <c r="Y15" s="1284">
        <f>IF(Y$11&gt;Draws!$F$9,0,Draws!AD14)</f>
        <v>97709.922027372857</v>
      </c>
      <c r="Z15" s="1284">
        <f>IF(Z$11&gt;Draws!$F$9,0,Draws!AE14)</f>
        <v>66126.752626217247</v>
      </c>
      <c r="AA15" s="1284">
        <f>IF(AA$11&gt;Draws!$F$9,0,Draws!AF14)</f>
        <v>34363.251057426241</v>
      </c>
      <c r="AB15" s="1284">
        <f>IF(AB$11&gt;Draws!$F$9,0,Draws!AG14)</f>
        <v>0</v>
      </c>
      <c r="AC15" s="1284">
        <f>IF(AC$11&gt;Draws!$F$9,0,Draws!AH14)</f>
        <v>0</v>
      </c>
      <c r="AD15" s="1284">
        <f>IF(AD$11&gt;Draws!$F$9,0,Draws!AI14)</f>
        <v>0</v>
      </c>
      <c r="AE15" s="1284">
        <f>IF(AE$11&gt;Draws!$F$9,0,Draws!AJ14)</f>
        <v>0</v>
      </c>
      <c r="AF15" s="1284">
        <f>IF(AF$11&gt;Draws!$F$9,0,Draws!AK14)</f>
        <v>0</v>
      </c>
      <c r="AG15" s="1284">
        <f>IF(AG$11&gt;Draws!$F$9,0,Draws!AL14)</f>
        <v>0</v>
      </c>
      <c r="AH15" s="1284">
        <f>IF(AH$11&gt;Draws!$F$9,0,Draws!AM14)</f>
        <v>0</v>
      </c>
      <c r="AI15" s="1284">
        <f>IF(AI$11&gt;Draws!$F$9,0,Draws!AN14)</f>
        <v>0</v>
      </c>
      <c r="AJ15" s="1284">
        <f>IF(AJ$11&gt;Draws!$F$9,0,Draws!AO14)</f>
        <v>0</v>
      </c>
      <c r="AK15" s="1284">
        <f>IF(AK$11&gt;Draws!$F$9,0,Draws!AP14)</f>
        <v>0</v>
      </c>
      <c r="AL15" s="1284">
        <f>IF(AL$11&gt;Draws!$F$9,0,Draws!AQ14)</f>
        <v>0</v>
      </c>
      <c r="AM15" s="1284">
        <f>IF(AM$11&gt;Draws!$F$9,0,Draws!AR14)</f>
        <v>0</v>
      </c>
      <c r="AN15" s="1284">
        <f>IF(AN$11&gt;Draws!$F$9,0,Draws!AS14)</f>
        <v>0</v>
      </c>
      <c r="AO15" s="1284">
        <f>IF(AO$11&gt;Draws!$F$9,0,Draws!AT14)</f>
        <v>0</v>
      </c>
      <c r="AP15" s="1284">
        <f>IF(AP$11&gt;Draws!$F$9,0,Draws!AU14)</f>
        <v>0</v>
      </c>
      <c r="AQ15" s="1284">
        <f>IF(AQ$11&gt;Draws!$F$9,0,Draws!AV14)</f>
        <v>0</v>
      </c>
      <c r="AR15" s="1284">
        <f>IF(AR$11&gt;Draws!$F$9,0,Draws!AW14)</f>
        <v>0</v>
      </c>
      <c r="AS15" s="1284">
        <f>IF(AS$11&gt;Draws!$F$9,0,Draws!AX14)</f>
        <v>0</v>
      </c>
      <c r="AT15" s="1284">
        <f>IF(AT$11&gt;Draws!$F$9,0,Draws!AY14)</f>
        <v>0</v>
      </c>
      <c r="AU15" s="1284">
        <f>IF(AU$11&gt;Draws!$F$9,0,Draws!AZ14)</f>
        <v>0</v>
      </c>
      <c r="AV15" s="1284">
        <f>IF(AV$11&gt;Draws!$F$9,0,Draws!BA14)</f>
        <v>0</v>
      </c>
      <c r="AW15" s="1284">
        <f>IF(AW$11&gt;Draws!$F$9,0,Draws!BB14)</f>
        <v>0</v>
      </c>
      <c r="AX15" s="1284">
        <f>IF(AX$11&gt;Draws!$F$9,0,Draws!BC14)</f>
        <v>0</v>
      </c>
      <c r="AY15" s="1284">
        <f>IF(AY$11&gt;Draws!$F$9,0,Draws!BD14)</f>
        <v>0</v>
      </c>
      <c r="AZ15" s="1284">
        <f>IF(AZ$11&gt;Draws!$F$9,0,Draws!BE14)</f>
        <v>0</v>
      </c>
      <c r="BA15" s="1284">
        <f>IF(BA$11&gt;Draws!$F$9,0,Draws!BF14)</f>
        <v>0</v>
      </c>
      <c r="BB15" s="1284">
        <f>IF(BB$11&gt;Draws!$F$9,0,Draws!BG14)</f>
        <v>0</v>
      </c>
      <c r="BC15" s="1284">
        <f>IF(BC$11&gt;Draws!$F$9,0,Draws!BH14)</f>
        <v>0</v>
      </c>
      <c r="BD15" s="1284">
        <f>IF(BD$11&gt;Draws!$F$9,0,Draws!BI14)</f>
        <v>0</v>
      </c>
      <c r="BE15" s="1284">
        <f>IF(BE$11&gt;Draws!$F$9,0,Draws!BJ14)</f>
        <v>0</v>
      </c>
      <c r="BF15" s="1284">
        <f>IF(BF$11&gt;Draws!$F$9,0,Draws!BK14)</f>
        <v>0</v>
      </c>
      <c r="BG15" s="1284">
        <f>IF(BG$11&gt;Draws!$F$9,0,Draws!BL14)</f>
        <v>0</v>
      </c>
      <c r="BH15" s="1284">
        <f>IF(BH$11&gt;Draws!$F$9,0,Draws!BM14)</f>
        <v>0</v>
      </c>
      <c r="BI15" s="1284">
        <f>IF(BI$11&gt;Draws!$F$9,0,Draws!BN14)</f>
        <v>0</v>
      </c>
      <c r="BJ15" s="1284">
        <f>IF(BJ$11&gt;Draws!$F$9,0,Draws!BO14)</f>
        <v>0</v>
      </c>
      <c r="BK15" s="1310">
        <f>IF(BK$11&gt;Draws!$F$9,0,Draws!BP14)</f>
        <v>0</v>
      </c>
    </row>
    <row r="16" spans="2:63">
      <c r="B16" s="1349"/>
      <c r="C16" s="1309"/>
      <c r="D16" s="1284"/>
      <c r="E16" s="1284"/>
      <c r="F16" s="1284"/>
      <c r="G16" s="1284"/>
      <c r="H16" s="1284"/>
      <c r="I16" s="1284"/>
      <c r="J16" s="1284"/>
      <c r="K16" s="1284"/>
      <c r="L16" s="1284"/>
      <c r="M16" s="1284"/>
      <c r="N16" s="1284"/>
      <c r="O16" s="1284"/>
      <c r="P16" s="1284"/>
      <c r="Q16" s="1284"/>
      <c r="R16" s="1284"/>
      <c r="S16" s="1284"/>
      <c r="T16" s="1284"/>
      <c r="U16" s="1284"/>
      <c r="V16" s="1284"/>
      <c r="W16" s="1284"/>
      <c r="X16" s="1284"/>
      <c r="Y16" s="1284"/>
      <c r="Z16" s="1284"/>
      <c r="AA16" s="1284"/>
      <c r="AB16" s="1284"/>
      <c r="AC16" s="1284"/>
      <c r="AD16" s="1284"/>
      <c r="AE16" s="1284"/>
      <c r="AF16" s="1284"/>
      <c r="AG16" s="1284"/>
      <c r="AH16" s="1284"/>
      <c r="AI16" s="1284"/>
      <c r="AJ16" s="1284"/>
      <c r="AK16" s="1284"/>
      <c r="AL16" s="1284"/>
      <c r="AM16" s="1284"/>
      <c r="AN16" s="1284"/>
      <c r="AO16" s="1284"/>
      <c r="AP16" s="1284"/>
      <c r="AQ16" s="1284"/>
      <c r="AR16" s="1284"/>
      <c r="AS16" s="1284"/>
      <c r="AT16" s="1284"/>
      <c r="AU16" s="1284"/>
      <c r="AV16" s="1284"/>
      <c r="AW16" s="1284"/>
      <c r="AX16" s="1284"/>
      <c r="AY16" s="1284"/>
      <c r="AZ16" s="1284"/>
      <c r="BA16" s="1284"/>
      <c r="BB16" s="1284"/>
      <c r="BC16" s="1284"/>
      <c r="BD16" s="1284"/>
      <c r="BE16" s="1284"/>
      <c r="BF16" s="1284"/>
      <c r="BG16" s="1284"/>
      <c r="BH16" s="1284"/>
      <c r="BI16" s="1284"/>
      <c r="BJ16" s="1284"/>
      <c r="BK16" s="1310"/>
    </row>
    <row r="17" spans="1:63">
      <c r="A17" s="1284"/>
      <c r="B17" s="1349" t="str">
        <f>'Lease Up'!F31</f>
        <v>Eff. Gross Income</v>
      </c>
      <c r="C17" s="1309"/>
      <c r="D17" s="1284">
        <f>IF(D$11&gt;Draws!$F$9,0,'Lease Up'!I31)</f>
        <v>0</v>
      </c>
      <c r="E17" s="1284">
        <f>IF(E$11&gt;Draws!$F$9,0,'Lease Up'!J31)</f>
        <v>0</v>
      </c>
      <c r="F17" s="1284">
        <f>IF(F$11&gt;Draws!$F$9,0,'Lease Up'!K31)</f>
        <v>0</v>
      </c>
      <c r="G17" s="1284">
        <f>IF(G$11&gt;Draws!$F$9,0,'Lease Up'!L31)</f>
        <v>0</v>
      </c>
      <c r="H17" s="1284">
        <f>IF(H$11&gt;Draws!$F$9,0,'Lease Up'!M31)</f>
        <v>0</v>
      </c>
      <c r="I17" s="1284">
        <f>IF(I$11&gt;Draws!$F$9,0,'Lease Up'!N31)</f>
        <v>0</v>
      </c>
      <c r="J17" s="1284">
        <f>IF(J$11&gt;Draws!$F$9,0,'Lease Up'!O31)</f>
        <v>0</v>
      </c>
      <c r="K17" s="1284">
        <f>IF(K$11&gt;Draws!$F$9,0,'Lease Up'!P31)</f>
        <v>0</v>
      </c>
      <c r="L17" s="1284">
        <f>IF(L$11&gt;Draws!$F$9,0,'Lease Up'!Q31)</f>
        <v>0</v>
      </c>
      <c r="M17" s="1284">
        <f>IF(M$11&gt;Draws!$F$9,0,'Lease Up'!R31)</f>
        <v>0</v>
      </c>
      <c r="N17" s="1284">
        <f>IF(N$11&gt;Draws!$F$9,0,'Lease Up'!S31)</f>
        <v>0</v>
      </c>
      <c r="O17" s="1284">
        <f>IF(O$11&gt;Draws!$F$9,0,'Lease Up'!T31)</f>
        <v>0</v>
      </c>
      <c r="P17" s="1284">
        <f>IF(P$11&gt;Draws!$F$9,0,'Lease Up'!U31)</f>
        <v>0</v>
      </c>
      <c r="Q17" s="1284">
        <f>IF(Q$11&gt;Draws!$F$9,0,'Lease Up'!V31)</f>
        <v>0</v>
      </c>
      <c r="R17" s="1284">
        <f>IF(R$11&gt;Draws!$F$9,0,'Lease Up'!W31)</f>
        <v>0</v>
      </c>
      <c r="S17" s="1284">
        <f>IF(S$11&gt;Draws!$F$9,0,'Lease Up'!X31)</f>
        <v>0</v>
      </c>
      <c r="T17" s="1284">
        <f>IF(T$11&gt;Draws!$F$9,0,'Lease Up'!Y31)</f>
        <v>0</v>
      </c>
      <c r="U17" s="1284">
        <f>IF(U$11&gt;Draws!$F$9,0,'Lease Up'!Z31)</f>
        <v>0</v>
      </c>
      <c r="V17" s="1284">
        <f>IF(V$11&gt;Draws!$F$9,0,'Lease Up'!AA31)</f>
        <v>0</v>
      </c>
      <c r="W17" s="1284">
        <f>IF(W$11&gt;Draws!$F$9,0,'Lease Up'!AB31)</f>
        <v>0</v>
      </c>
      <c r="X17" s="1284">
        <f>IF(X$11&gt;Draws!$F$9,0,'Lease Up'!AC31)</f>
        <v>167.09174999999999</v>
      </c>
      <c r="Y17" s="1284">
        <f>IF(Y$11&gt;Draws!$F$9,0,'Lease Up'!AD31)</f>
        <v>32949.220019999993</v>
      </c>
      <c r="Z17" s="1284">
        <f>IF(Z$11&gt;Draws!$F$9,0,'Lease Up'!AE31)</f>
        <v>65731.348289999994</v>
      </c>
      <c r="AA17" s="1284">
        <f>IF(AA$11&gt;Draws!$F$9,0,'Lease Up'!AF31)</f>
        <v>98513.476559999996</v>
      </c>
      <c r="AB17" s="1284">
        <f>IF(AB$11&gt;Draws!$F$9,0,'Lease Up'!AG31)</f>
        <v>135234.47297489998</v>
      </c>
      <c r="AC17" s="1284">
        <f>IF(AC$11&gt;Draws!$F$9,0,'Lease Up'!AH31)</f>
        <v>169000.06509300001</v>
      </c>
      <c r="AD17" s="1284">
        <f>IF(AD$11&gt;Draws!$F$9,0,'Lease Up'!AI31)</f>
        <v>202610.76315884996</v>
      </c>
      <c r="AE17" s="1284">
        <f>IF(AE$11&gt;Draws!$F$9,0,'Lease Up'!AJ31)</f>
        <v>205970.11192040998</v>
      </c>
      <c r="AF17" s="1284">
        <f>IF(AF$11&gt;Draws!$F$9,0,'Lease Up'!AK31)</f>
        <v>205970.11192040998</v>
      </c>
      <c r="AG17" s="1284">
        <f>IF(AG$11&gt;Draws!$F$9,0,'Lease Up'!AL31)</f>
        <v>205970.11192040998</v>
      </c>
      <c r="AH17" s="1284">
        <f>IF(AH$11&gt;Draws!$F$9,0,'Lease Up'!AM31)</f>
        <v>205970.11192040998</v>
      </c>
      <c r="AI17" s="1284">
        <f>IF(AI$11&gt;Draws!$F$9,0,'Lease Up'!AN31)</f>
        <v>205970.11192040998</v>
      </c>
      <c r="AJ17" s="1284">
        <f>IF(AJ$11&gt;Draws!$F$9,0,'Lease Up'!AO31)</f>
        <v>205970.11192040998</v>
      </c>
      <c r="AK17" s="1284">
        <f>IF(AK$11&gt;Draws!$F$9,0,'Lease Up'!AP31)</f>
        <v>205970.11192040998</v>
      </c>
      <c r="AL17" s="1284">
        <f>IF(AL$11&gt;Draws!$F$9,0,'Lease Up'!AQ31)</f>
        <v>205970.11192040998</v>
      </c>
      <c r="AM17" s="1284">
        <f>IF(AM$11&gt;Draws!$F$9,0,'Lease Up'!AR31)</f>
        <v>205970.11192040998</v>
      </c>
      <c r="AN17" s="1284">
        <f>IF(AN$11&gt;Draws!$F$9,0,'Lease Up'!AS31)</f>
        <v>0</v>
      </c>
      <c r="AO17" s="1284">
        <f>IF(AO$11&gt;Draws!$F$9,0,'Lease Up'!AT31)</f>
        <v>0</v>
      </c>
      <c r="AP17" s="1284">
        <f>IF(AP$11&gt;Draws!$F$9,0,'Lease Up'!AU31)</f>
        <v>0</v>
      </c>
      <c r="AQ17" s="1284">
        <f>IF(AQ$11&gt;Draws!$F$9,0,'Lease Up'!AV31)</f>
        <v>0</v>
      </c>
      <c r="AR17" s="1284">
        <f>IF(AR$11&gt;Draws!$F$9,0,'Lease Up'!AW31)</f>
        <v>0</v>
      </c>
      <c r="AS17" s="1284">
        <f>IF(AS$11&gt;Draws!$F$9,0,'Lease Up'!AX31)</f>
        <v>0</v>
      </c>
      <c r="AT17" s="1284">
        <f>IF(AT$11&gt;Draws!$F$9,0,'Lease Up'!AY31)</f>
        <v>0</v>
      </c>
      <c r="AU17" s="1284">
        <f>IF(AU$11&gt;Draws!$F$9,0,'Lease Up'!AZ31)</f>
        <v>0</v>
      </c>
      <c r="AV17" s="1284">
        <f>IF(AV$11&gt;Draws!$F$9,0,'Lease Up'!BA31)</f>
        <v>0</v>
      </c>
      <c r="AW17" s="1284">
        <f>IF(AW$11&gt;Draws!$F$9,0,'Lease Up'!BB31)</f>
        <v>0</v>
      </c>
      <c r="AX17" s="1284">
        <f>IF(AX$11&gt;Draws!$F$9,0,'Lease Up'!BC31)</f>
        <v>0</v>
      </c>
      <c r="AY17" s="1284">
        <f>IF(AY$11&gt;Draws!$F$9,0,'Lease Up'!BD31)</f>
        <v>0</v>
      </c>
      <c r="AZ17" s="1284">
        <f>IF(AZ$11&gt;Draws!$F$9,0,'Lease Up'!BE31)</f>
        <v>0</v>
      </c>
      <c r="BA17" s="1284">
        <f>IF(BA$11&gt;Draws!$F$9,0,'Lease Up'!BF31)</f>
        <v>0</v>
      </c>
      <c r="BB17" s="1284">
        <f>IF(BB$11&gt;Draws!$F$9,0,'Lease Up'!BG31)</f>
        <v>0</v>
      </c>
      <c r="BC17" s="1284">
        <f>IF(BC$11&gt;Draws!$F$9,0,'Lease Up'!BH31)</f>
        <v>0</v>
      </c>
      <c r="BD17" s="1284">
        <f>IF(BD$11&gt;Draws!$F$9,0,'Lease Up'!BI31)</f>
        <v>0</v>
      </c>
      <c r="BE17" s="1284">
        <f>IF(BE$11&gt;Draws!$F$9,0,'Lease Up'!BJ31)</f>
        <v>0</v>
      </c>
      <c r="BF17" s="1284">
        <f>IF(BF$11&gt;Draws!$F$9,0,'Lease Up'!BK31)</f>
        <v>0</v>
      </c>
      <c r="BG17" s="1284">
        <f>IF(BG$11&gt;Draws!$F$9,0,'Lease Up'!BL31)</f>
        <v>0</v>
      </c>
      <c r="BH17" s="1284">
        <f>IF(BH$11&gt;Draws!$F$9,0,'Lease Up'!BM31)</f>
        <v>0</v>
      </c>
      <c r="BI17" s="1284">
        <f>IF(BI$11&gt;Draws!$F$9,0,'Lease Up'!BN31)</f>
        <v>0</v>
      </c>
      <c r="BJ17" s="1284">
        <f>IF(BJ$11&gt;Draws!$F$9,0,'Lease Up'!BO31)</f>
        <v>0</v>
      </c>
      <c r="BK17" s="1310">
        <f>IF(BK$11&gt;Draws!$F$9,0,'Lease Up'!BP31)</f>
        <v>0</v>
      </c>
    </row>
    <row r="18" spans="1:63">
      <c r="B18" s="1349" t="str">
        <f>'Lease Up'!F43</f>
        <v>Total Expenses</v>
      </c>
      <c r="C18" s="1309"/>
      <c r="D18" s="1284">
        <f>IF(D$11&gt;Draws!$F$9,0,'Lease Up'!I43)</f>
        <v>0</v>
      </c>
      <c r="E18" s="1284">
        <f>IF(E$11&gt;Draws!$F$9,0,'Lease Up'!J43)</f>
        <v>0</v>
      </c>
      <c r="F18" s="1284">
        <f>IF(F$11&gt;Draws!$F$9,0,'Lease Up'!K43)</f>
        <v>0</v>
      </c>
      <c r="G18" s="1284">
        <f>IF(G$11&gt;Draws!$F$9,0,'Lease Up'!L43)</f>
        <v>0</v>
      </c>
      <c r="H18" s="1284">
        <f>IF(H$11&gt;Draws!$F$9,0,'Lease Up'!M43)</f>
        <v>0</v>
      </c>
      <c r="I18" s="1284">
        <f>IF(I$11&gt;Draws!$F$9,0,'Lease Up'!N43)</f>
        <v>0</v>
      </c>
      <c r="J18" s="1284">
        <f>IF(J$11&gt;Draws!$F$9,0,'Lease Up'!O43)</f>
        <v>0</v>
      </c>
      <c r="K18" s="1284">
        <f>IF(K$11&gt;Draws!$F$9,0,'Lease Up'!P43)</f>
        <v>0</v>
      </c>
      <c r="L18" s="1284">
        <f>IF(L$11&gt;Draws!$F$9,0,'Lease Up'!Q43)</f>
        <v>0</v>
      </c>
      <c r="M18" s="1284">
        <f>IF(M$11&gt;Draws!$F$9,0,'Lease Up'!R43)</f>
        <v>0</v>
      </c>
      <c r="N18" s="1284">
        <f>IF(N$11&gt;Draws!$F$9,0,'Lease Up'!S43)</f>
        <v>0</v>
      </c>
      <c r="O18" s="1284">
        <f>IF(O$11&gt;Draws!$F$9,0,'Lease Up'!T43)</f>
        <v>0</v>
      </c>
      <c r="P18" s="1284">
        <f>IF(P$11&gt;Draws!$F$9,0,'Lease Up'!U43)</f>
        <v>0</v>
      </c>
      <c r="Q18" s="1284">
        <f>IF(Q$11&gt;Draws!$F$9,0,'Lease Up'!V43)</f>
        <v>0</v>
      </c>
      <c r="R18" s="1284">
        <f>IF(R$11&gt;Draws!$F$9,0,'Lease Up'!W43)</f>
        <v>0</v>
      </c>
      <c r="S18" s="1284">
        <f>IF(S$11&gt;Draws!$F$9,0,'Lease Up'!X43)</f>
        <v>0</v>
      </c>
      <c r="T18" s="1284">
        <f>IF(T$11&gt;Draws!$F$9,0,'Lease Up'!Y43)</f>
        <v>21258.844649999999</v>
      </c>
      <c r="U18" s="1284">
        <f>IF(U$11&gt;Draws!$F$9,0,'Lease Up'!Z43)</f>
        <v>21258.844649999999</v>
      </c>
      <c r="V18" s="1284">
        <f>IF(V$11&gt;Draws!$F$9,0,'Lease Up'!AA43)</f>
        <v>21258.844649999999</v>
      </c>
      <c r="W18" s="1284">
        <f>IF(W$11&gt;Draws!$F$9,0,'Lease Up'!AB43)</f>
        <v>21258.844649999999</v>
      </c>
      <c r="X18" s="1284">
        <f>IF(X$11&gt;Draws!$F$9,0,'Lease Up'!AC43)</f>
        <v>31892.861998125001</v>
      </c>
      <c r="Y18" s="1284">
        <f>IF(Y$11&gt;Draws!$F$9,0,'Lease Up'!AD43)</f>
        <v>32794.370525550003</v>
      </c>
      <c r="Z18" s="1284">
        <f>IF(Z$11&gt;Draws!$F$9,0,'Lease Up'!AE43)</f>
        <v>33695.879052974997</v>
      </c>
      <c r="AA18" s="1284">
        <f>IF(AA$11&gt;Draws!$F$9,0,'Lease Up'!AF43)</f>
        <v>34597.387580399998</v>
      </c>
      <c r="AB18" s="1284">
        <f>IF(AB$11&gt;Draws!$F$9,0,'Lease Up'!AG43)</f>
        <v>47512.167985809749</v>
      </c>
      <c r="AC18" s="1284">
        <f>IF(AC$11&gt;Draws!$F$9,0,'Lease Up'!AH43)</f>
        <v>48440.721769057498</v>
      </c>
      <c r="AD18" s="1284">
        <f>IF(AD$11&gt;Draws!$F$9,0,'Lease Up'!AI43)</f>
        <v>49365.01596586837</v>
      </c>
      <c r="AE18" s="1284">
        <f>IF(AE$11&gt;Draws!$F$9,0,'Lease Up'!AJ43)</f>
        <v>49457.398056811275</v>
      </c>
      <c r="AF18" s="1284">
        <f>IF(AF$11&gt;Draws!$F$9,0,'Lease Up'!AK43)</f>
        <v>49457.398056811275</v>
      </c>
      <c r="AG18" s="1284">
        <f>IF(AG$11&gt;Draws!$F$9,0,'Lease Up'!AL43)</f>
        <v>49457.398056811275</v>
      </c>
      <c r="AH18" s="1284">
        <f>IF(AH$11&gt;Draws!$F$9,0,'Lease Up'!AM43)</f>
        <v>49457.398056811275</v>
      </c>
      <c r="AI18" s="1284">
        <f>IF(AI$11&gt;Draws!$F$9,0,'Lease Up'!AN43)</f>
        <v>49457.398056811275</v>
      </c>
      <c r="AJ18" s="1284">
        <f>IF(AJ$11&gt;Draws!$F$9,0,'Lease Up'!AO43)</f>
        <v>49457.398056811275</v>
      </c>
      <c r="AK18" s="1284">
        <f>IF(AK$11&gt;Draws!$F$9,0,'Lease Up'!AP43)</f>
        <v>49457.398056811275</v>
      </c>
      <c r="AL18" s="1284">
        <f>IF(AL$11&gt;Draws!$F$9,0,'Lease Up'!AQ43)</f>
        <v>49457.398056811275</v>
      </c>
      <c r="AM18" s="1284">
        <f>IF(AM$11&gt;Draws!$F$9,0,'Lease Up'!AR43)</f>
        <v>49457.398056811275</v>
      </c>
      <c r="AN18" s="1284">
        <f>IF(AN$11&gt;Draws!$F$9,0,'Lease Up'!AS43)</f>
        <v>0</v>
      </c>
      <c r="AO18" s="1284">
        <f>IF(AO$11&gt;Draws!$F$9,0,'Lease Up'!AT43)</f>
        <v>0</v>
      </c>
      <c r="AP18" s="1284">
        <f>IF(AP$11&gt;Draws!$F$9,0,'Lease Up'!AU43)</f>
        <v>0</v>
      </c>
      <c r="AQ18" s="1284">
        <f>IF(AQ$11&gt;Draws!$F$9,0,'Lease Up'!AV43)</f>
        <v>0</v>
      </c>
      <c r="AR18" s="1284">
        <f>IF(AR$11&gt;Draws!$F$9,0,'Lease Up'!AW43)</f>
        <v>0</v>
      </c>
      <c r="AS18" s="1284">
        <f>IF(AS$11&gt;Draws!$F$9,0,'Lease Up'!AX43)</f>
        <v>0</v>
      </c>
      <c r="AT18" s="1284">
        <f>IF(AT$11&gt;Draws!$F$9,0,'Lease Up'!AY43)</f>
        <v>0</v>
      </c>
      <c r="AU18" s="1284">
        <f>IF(AU$11&gt;Draws!$F$9,0,'Lease Up'!AZ43)</f>
        <v>0</v>
      </c>
      <c r="AV18" s="1284">
        <f>IF(AV$11&gt;Draws!$F$9,0,'Lease Up'!BA43)</f>
        <v>0</v>
      </c>
      <c r="AW18" s="1284">
        <f>IF(AW$11&gt;Draws!$F$9,0,'Lease Up'!BB43)</f>
        <v>0</v>
      </c>
      <c r="AX18" s="1284">
        <f>IF(AX$11&gt;Draws!$F$9,0,'Lease Up'!BC43)</f>
        <v>0</v>
      </c>
      <c r="AY18" s="1284">
        <f>IF(AY$11&gt;Draws!$F$9,0,'Lease Up'!BD43)</f>
        <v>0</v>
      </c>
      <c r="AZ18" s="1284">
        <f>IF(AZ$11&gt;Draws!$F$9,0,'Lease Up'!BE43)</f>
        <v>0</v>
      </c>
      <c r="BA18" s="1284">
        <f>IF(BA$11&gt;Draws!$F$9,0,'Lease Up'!BF43)</f>
        <v>0</v>
      </c>
      <c r="BB18" s="1284">
        <f>IF(BB$11&gt;Draws!$F$9,0,'Lease Up'!BG43)</f>
        <v>0</v>
      </c>
      <c r="BC18" s="1284">
        <f>IF(BC$11&gt;Draws!$F$9,0,'Lease Up'!BH43)</f>
        <v>0</v>
      </c>
      <c r="BD18" s="1284">
        <f>IF(BD$11&gt;Draws!$F$9,0,'Lease Up'!BI43)</f>
        <v>0</v>
      </c>
      <c r="BE18" s="1284">
        <f>IF(BE$11&gt;Draws!$F$9,0,'Lease Up'!BJ43)</f>
        <v>0</v>
      </c>
      <c r="BF18" s="1284">
        <f>IF(BF$11&gt;Draws!$F$9,0,'Lease Up'!BK43)</f>
        <v>0</v>
      </c>
      <c r="BG18" s="1284">
        <f>IF(BG$11&gt;Draws!$F$9,0,'Lease Up'!BL43)</f>
        <v>0</v>
      </c>
      <c r="BH18" s="1284">
        <f>IF(BH$11&gt;Draws!$F$9,0,'Lease Up'!BM43)</f>
        <v>0</v>
      </c>
      <c r="BI18" s="1284">
        <f>IF(BI$11&gt;Draws!$F$9,0,'Lease Up'!BN43)</f>
        <v>0</v>
      </c>
      <c r="BJ18" s="1284">
        <f>IF(BJ$11&gt;Draws!$F$9,0,'Lease Up'!BO43)</f>
        <v>0</v>
      </c>
      <c r="BK18" s="1310">
        <f>IF(BK$11&gt;Draws!$F$9,0,'Lease Up'!BP43)</f>
        <v>0</v>
      </c>
    </row>
    <row r="19" spans="1:63">
      <c r="B19" s="1357" t="s">
        <v>326</v>
      </c>
      <c r="C19" s="1328">
        <f>C17-C18</f>
        <v>0</v>
      </c>
      <c r="D19" s="1328">
        <f>D17-D18</f>
        <v>0</v>
      </c>
      <c r="E19" s="1328">
        <f t="shared" ref="E19:BK19" si="3">E17-E18</f>
        <v>0</v>
      </c>
      <c r="F19" s="1328">
        <f t="shared" si="3"/>
        <v>0</v>
      </c>
      <c r="G19" s="1328">
        <f t="shared" si="3"/>
        <v>0</v>
      </c>
      <c r="H19" s="1328">
        <f t="shared" si="3"/>
        <v>0</v>
      </c>
      <c r="I19" s="1328">
        <f t="shared" si="3"/>
        <v>0</v>
      </c>
      <c r="J19" s="1328">
        <f t="shared" si="3"/>
        <v>0</v>
      </c>
      <c r="K19" s="1328">
        <f t="shared" si="3"/>
        <v>0</v>
      </c>
      <c r="L19" s="1328">
        <f t="shared" si="3"/>
        <v>0</v>
      </c>
      <c r="M19" s="1328">
        <f t="shared" si="3"/>
        <v>0</v>
      </c>
      <c r="N19" s="1328">
        <f t="shared" si="3"/>
        <v>0</v>
      </c>
      <c r="O19" s="1328">
        <f t="shared" si="3"/>
        <v>0</v>
      </c>
      <c r="P19" s="1328">
        <f t="shared" si="3"/>
        <v>0</v>
      </c>
      <c r="Q19" s="1328">
        <f t="shared" si="3"/>
        <v>0</v>
      </c>
      <c r="R19" s="1328">
        <f t="shared" si="3"/>
        <v>0</v>
      </c>
      <c r="S19" s="1328">
        <f t="shared" si="3"/>
        <v>0</v>
      </c>
      <c r="T19" s="1328">
        <f t="shared" si="3"/>
        <v>-21258.844649999999</v>
      </c>
      <c r="U19" s="1328">
        <f t="shared" si="3"/>
        <v>-21258.844649999999</v>
      </c>
      <c r="V19" s="1328">
        <f t="shared" si="3"/>
        <v>-21258.844649999999</v>
      </c>
      <c r="W19" s="1328">
        <f t="shared" si="3"/>
        <v>-21258.844649999999</v>
      </c>
      <c r="X19" s="1328">
        <f t="shared" si="3"/>
        <v>-31725.770248125002</v>
      </c>
      <c r="Y19" s="1328">
        <f t="shared" si="3"/>
        <v>154.84949444999074</v>
      </c>
      <c r="Z19" s="1328">
        <f t="shared" si="3"/>
        <v>32035.469237024998</v>
      </c>
      <c r="AA19" s="1328">
        <f t="shared" si="3"/>
        <v>63916.088979599997</v>
      </c>
      <c r="AB19" s="1328">
        <f t="shared" si="3"/>
        <v>87722.304989090233</v>
      </c>
      <c r="AC19" s="1328">
        <f t="shared" si="3"/>
        <v>120559.34332394251</v>
      </c>
      <c r="AD19" s="1328">
        <f t="shared" si="3"/>
        <v>153245.74719298159</v>
      </c>
      <c r="AE19" s="1328">
        <f t="shared" si="3"/>
        <v>156512.71386359871</v>
      </c>
      <c r="AF19" s="1328">
        <f t="shared" si="3"/>
        <v>156512.71386359871</v>
      </c>
      <c r="AG19" s="1328">
        <f t="shared" si="3"/>
        <v>156512.71386359871</v>
      </c>
      <c r="AH19" s="1328">
        <f t="shared" si="3"/>
        <v>156512.71386359871</v>
      </c>
      <c r="AI19" s="1328">
        <f t="shared" si="3"/>
        <v>156512.71386359871</v>
      </c>
      <c r="AJ19" s="1328">
        <f t="shared" si="3"/>
        <v>156512.71386359871</v>
      </c>
      <c r="AK19" s="1328">
        <f t="shared" si="3"/>
        <v>156512.71386359871</v>
      </c>
      <c r="AL19" s="1328">
        <f t="shared" si="3"/>
        <v>156512.71386359871</v>
      </c>
      <c r="AM19" s="1328">
        <f t="shared" si="3"/>
        <v>156512.71386359871</v>
      </c>
      <c r="AN19" s="1328">
        <f t="shared" si="3"/>
        <v>0</v>
      </c>
      <c r="AO19" s="1328">
        <f t="shared" si="3"/>
        <v>0</v>
      </c>
      <c r="AP19" s="1328">
        <f t="shared" si="3"/>
        <v>0</v>
      </c>
      <c r="AQ19" s="1328">
        <f t="shared" si="3"/>
        <v>0</v>
      </c>
      <c r="AR19" s="1328">
        <f t="shared" si="3"/>
        <v>0</v>
      </c>
      <c r="AS19" s="1328">
        <f t="shared" si="3"/>
        <v>0</v>
      </c>
      <c r="AT19" s="1328">
        <f t="shared" si="3"/>
        <v>0</v>
      </c>
      <c r="AU19" s="1328">
        <f t="shared" si="3"/>
        <v>0</v>
      </c>
      <c r="AV19" s="1328">
        <f t="shared" si="3"/>
        <v>0</v>
      </c>
      <c r="AW19" s="1328">
        <f t="shared" si="3"/>
        <v>0</v>
      </c>
      <c r="AX19" s="1328">
        <f t="shared" si="3"/>
        <v>0</v>
      </c>
      <c r="AY19" s="1328">
        <f t="shared" si="3"/>
        <v>0</v>
      </c>
      <c r="AZ19" s="1328">
        <f t="shared" si="3"/>
        <v>0</v>
      </c>
      <c r="BA19" s="1328">
        <f t="shared" si="3"/>
        <v>0</v>
      </c>
      <c r="BB19" s="1328">
        <f t="shared" si="3"/>
        <v>0</v>
      </c>
      <c r="BC19" s="1328">
        <f t="shared" si="3"/>
        <v>0</v>
      </c>
      <c r="BD19" s="1328">
        <f t="shared" si="3"/>
        <v>0</v>
      </c>
      <c r="BE19" s="1328">
        <f t="shared" si="3"/>
        <v>0</v>
      </c>
      <c r="BF19" s="1328">
        <f t="shared" si="3"/>
        <v>0</v>
      </c>
      <c r="BG19" s="1328">
        <f t="shared" si="3"/>
        <v>0</v>
      </c>
      <c r="BH19" s="1328">
        <f t="shared" si="3"/>
        <v>0</v>
      </c>
      <c r="BI19" s="1328">
        <f t="shared" si="3"/>
        <v>0</v>
      </c>
      <c r="BJ19" s="1328">
        <f t="shared" si="3"/>
        <v>0</v>
      </c>
      <c r="BK19" s="1329">
        <f t="shared" si="3"/>
        <v>0</v>
      </c>
    </row>
    <row r="20" spans="1:63">
      <c r="B20" s="1358" t="s">
        <v>658</v>
      </c>
      <c r="C20" s="1324" t="str">
        <f>IFERROR(C18/C17," ")</f>
        <v xml:space="preserve"> </v>
      </c>
      <c r="D20" s="1325" t="str">
        <f>IFERROR(D18/D17," ")</f>
        <v xml:space="preserve"> </v>
      </c>
      <c r="E20" s="1325" t="str">
        <f t="shared" ref="E20:BK20" si="4">IFERROR(E18/E17," ")</f>
        <v xml:space="preserve"> </v>
      </c>
      <c r="F20" s="1325" t="str">
        <f t="shared" si="4"/>
        <v xml:space="preserve"> </v>
      </c>
      <c r="G20" s="1325" t="str">
        <f t="shared" si="4"/>
        <v xml:space="preserve"> </v>
      </c>
      <c r="H20" s="1325" t="str">
        <f t="shared" si="4"/>
        <v xml:space="preserve"> </v>
      </c>
      <c r="I20" s="1325" t="str">
        <f t="shared" si="4"/>
        <v xml:space="preserve"> </v>
      </c>
      <c r="J20" s="1325" t="str">
        <f t="shared" si="4"/>
        <v xml:space="preserve"> </v>
      </c>
      <c r="K20" s="1325" t="str">
        <f t="shared" si="4"/>
        <v xml:space="preserve"> </v>
      </c>
      <c r="L20" s="1325" t="str">
        <f t="shared" si="4"/>
        <v xml:space="preserve"> </v>
      </c>
      <c r="M20" s="1325" t="str">
        <f t="shared" si="4"/>
        <v xml:space="preserve"> </v>
      </c>
      <c r="N20" s="1325" t="str">
        <f t="shared" si="4"/>
        <v xml:space="preserve"> </v>
      </c>
      <c r="O20" s="1325" t="str">
        <f t="shared" si="4"/>
        <v xml:space="preserve"> </v>
      </c>
      <c r="P20" s="1325" t="str">
        <f t="shared" si="4"/>
        <v xml:space="preserve"> </v>
      </c>
      <c r="Q20" s="1325" t="str">
        <f t="shared" si="4"/>
        <v xml:space="preserve"> </v>
      </c>
      <c r="R20" s="1325" t="str">
        <f t="shared" si="4"/>
        <v xml:space="preserve"> </v>
      </c>
      <c r="S20" s="1325" t="str">
        <f t="shared" si="4"/>
        <v xml:space="preserve"> </v>
      </c>
      <c r="T20" s="1325" t="str">
        <f t="shared" si="4"/>
        <v xml:space="preserve"> </v>
      </c>
      <c r="U20" s="1325" t="str">
        <f t="shared" si="4"/>
        <v xml:space="preserve"> </v>
      </c>
      <c r="V20" s="1325" t="str">
        <f t="shared" si="4"/>
        <v xml:space="preserve"> </v>
      </c>
      <c r="W20" s="1325" t="str">
        <f t="shared" si="4"/>
        <v xml:space="preserve"> </v>
      </c>
      <c r="X20" s="1325">
        <f t="shared" si="4"/>
        <v>190.87035714285716</v>
      </c>
      <c r="Y20" s="1325">
        <f t="shared" si="4"/>
        <v>0.9953003593300237</v>
      </c>
      <c r="Z20" s="1325">
        <f t="shared" si="4"/>
        <v>0.51263027352355861</v>
      </c>
      <c r="AA20" s="1325">
        <f t="shared" si="4"/>
        <v>0.35119446382879738</v>
      </c>
      <c r="AB20" s="1325">
        <f t="shared" si="4"/>
        <v>0.35133177909916641</v>
      </c>
      <c r="AC20" s="1325">
        <f t="shared" si="4"/>
        <v>0.28663137935716637</v>
      </c>
      <c r="AD20" s="1325">
        <f t="shared" si="4"/>
        <v>0.2436445882549953</v>
      </c>
      <c r="AE20" s="1325">
        <f t="shared" si="4"/>
        <v>0.24011929495830139</v>
      </c>
      <c r="AF20" s="1325">
        <f t="shared" si="4"/>
        <v>0.24011929495830139</v>
      </c>
      <c r="AG20" s="1325">
        <f t="shared" si="4"/>
        <v>0.24011929495830139</v>
      </c>
      <c r="AH20" s="1325">
        <f t="shared" si="4"/>
        <v>0.24011929495830139</v>
      </c>
      <c r="AI20" s="1325">
        <f t="shared" si="4"/>
        <v>0.24011929495830139</v>
      </c>
      <c r="AJ20" s="1325">
        <f t="shared" si="4"/>
        <v>0.24011929495830139</v>
      </c>
      <c r="AK20" s="1325">
        <f t="shared" si="4"/>
        <v>0.24011929495830139</v>
      </c>
      <c r="AL20" s="1325">
        <f t="shared" si="4"/>
        <v>0.24011929495830139</v>
      </c>
      <c r="AM20" s="1325">
        <f t="shared" si="4"/>
        <v>0.24011929495830139</v>
      </c>
      <c r="AN20" s="1325" t="str">
        <f t="shared" si="4"/>
        <v xml:space="preserve"> </v>
      </c>
      <c r="AO20" s="1325" t="str">
        <f t="shared" si="4"/>
        <v xml:space="preserve"> </v>
      </c>
      <c r="AP20" s="1325" t="str">
        <f t="shared" si="4"/>
        <v xml:space="preserve"> </v>
      </c>
      <c r="AQ20" s="1325" t="str">
        <f t="shared" si="4"/>
        <v xml:space="preserve"> </v>
      </c>
      <c r="AR20" s="1325" t="str">
        <f t="shared" si="4"/>
        <v xml:space="preserve"> </v>
      </c>
      <c r="AS20" s="1325" t="str">
        <f t="shared" si="4"/>
        <v xml:space="preserve"> </v>
      </c>
      <c r="AT20" s="1325" t="str">
        <f t="shared" si="4"/>
        <v xml:space="preserve"> </v>
      </c>
      <c r="AU20" s="1325" t="str">
        <f t="shared" si="4"/>
        <v xml:space="preserve"> </v>
      </c>
      <c r="AV20" s="1325" t="str">
        <f t="shared" si="4"/>
        <v xml:space="preserve"> </v>
      </c>
      <c r="AW20" s="1325" t="str">
        <f t="shared" si="4"/>
        <v xml:space="preserve"> </v>
      </c>
      <c r="AX20" s="1325" t="str">
        <f t="shared" si="4"/>
        <v xml:space="preserve"> </v>
      </c>
      <c r="AY20" s="1325" t="str">
        <f t="shared" si="4"/>
        <v xml:space="preserve"> </v>
      </c>
      <c r="AZ20" s="1325" t="str">
        <f t="shared" si="4"/>
        <v xml:space="preserve"> </v>
      </c>
      <c r="BA20" s="1325" t="str">
        <f t="shared" si="4"/>
        <v xml:space="preserve"> </v>
      </c>
      <c r="BB20" s="1325" t="str">
        <f t="shared" si="4"/>
        <v xml:space="preserve"> </v>
      </c>
      <c r="BC20" s="1325" t="str">
        <f t="shared" si="4"/>
        <v xml:space="preserve"> </v>
      </c>
      <c r="BD20" s="1325" t="str">
        <f t="shared" si="4"/>
        <v xml:space="preserve"> </v>
      </c>
      <c r="BE20" s="1325" t="str">
        <f t="shared" si="4"/>
        <v xml:space="preserve"> </v>
      </c>
      <c r="BF20" s="1325" t="str">
        <f t="shared" si="4"/>
        <v xml:space="preserve"> </v>
      </c>
      <c r="BG20" s="1325" t="str">
        <f t="shared" si="4"/>
        <v xml:space="preserve"> </v>
      </c>
      <c r="BH20" s="1325" t="str">
        <f t="shared" si="4"/>
        <v xml:space="preserve"> </v>
      </c>
      <c r="BI20" s="1325" t="str">
        <f t="shared" si="4"/>
        <v xml:space="preserve"> </v>
      </c>
      <c r="BJ20" s="1325" t="str">
        <f t="shared" si="4"/>
        <v xml:space="preserve"> </v>
      </c>
      <c r="BK20" s="1330" t="str">
        <f t="shared" si="4"/>
        <v xml:space="preserve"> </v>
      </c>
    </row>
    <row r="21" spans="1:63">
      <c r="B21" s="1349"/>
      <c r="C21" s="1309"/>
      <c r="D21" s="1284"/>
      <c r="E21" s="1284"/>
      <c r="F21" s="1284"/>
      <c r="G21" s="1284"/>
      <c r="H21" s="1284"/>
      <c r="I21" s="1284"/>
      <c r="J21" s="1284"/>
      <c r="K21" s="1284"/>
      <c r="L21" s="1284"/>
      <c r="M21" s="1284"/>
      <c r="N21" s="1284"/>
      <c r="O21" s="1284"/>
      <c r="P21" s="1284"/>
      <c r="Q21" s="1284"/>
      <c r="R21" s="1284"/>
      <c r="S21" s="1284"/>
      <c r="T21" s="1284"/>
      <c r="U21" s="1284"/>
      <c r="V21" s="1284"/>
      <c r="W21" s="1284"/>
      <c r="X21" s="1284"/>
      <c r="Y21" s="1284"/>
      <c r="Z21" s="1284"/>
      <c r="AA21" s="1284">
        <f>AA22-Z22</f>
        <v>117.11817378399428</v>
      </c>
      <c r="AB21" s="1284"/>
      <c r="AC21" s="1284"/>
      <c r="AD21" s="1284"/>
      <c r="AE21" s="1284"/>
      <c r="AF21" s="1284"/>
      <c r="AG21" s="1284"/>
      <c r="AH21" s="1284"/>
      <c r="AI21" s="1284"/>
      <c r="AJ21" s="1284"/>
      <c r="AK21" s="1284"/>
      <c r="AL21" s="1284"/>
      <c r="AM21" s="1284"/>
      <c r="AN21" s="1284"/>
      <c r="AO21" s="1284"/>
      <c r="AP21" s="1284"/>
      <c r="AQ21" s="1284"/>
      <c r="AR21" s="1284"/>
      <c r="AS21" s="1284"/>
      <c r="AT21" s="1284"/>
      <c r="AU21" s="1284"/>
      <c r="AV21" s="1284"/>
      <c r="AW21" s="1284"/>
      <c r="AX21" s="1284"/>
      <c r="AY21" s="1284"/>
      <c r="AZ21" s="1284"/>
      <c r="BA21" s="1284"/>
      <c r="BB21" s="1284"/>
      <c r="BC21" s="1284"/>
      <c r="BD21" s="1284"/>
      <c r="BE21" s="1284"/>
      <c r="BF21" s="1284"/>
      <c r="BG21" s="1284"/>
      <c r="BH21" s="1284"/>
      <c r="BI21" s="1284"/>
      <c r="BJ21" s="1284"/>
      <c r="BK21" s="1310"/>
    </row>
    <row r="22" spans="1:63">
      <c r="B22" s="1349" t="str">
        <f>'Lease Up'!F47</f>
        <v>Debt Service</v>
      </c>
      <c r="C22" s="1309"/>
      <c r="D22" s="1284">
        <f>'Lease Up'!I47</f>
        <v>0</v>
      </c>
      <c r="E22" s="1284">
        <f>'Lease Up'!J47</f>
        <v>0</v>
      </c>
      <c r="F22" s="1284">
        <f>'Lease Up'!K47</f>
        <v>0</v>
      </c>
      <c r="G22" s="1284">
        <f>'Lease Up'!L47</f>
        <v>0</v>
      </c>
      <c r="H22" s="1284">
        <f>'Lease Up'!M47</f>
        <v>0</v>
      </c>
      <c r="I22" s="1284">
        <f>'Lease Up'!N47</f>
        <v>0</v>
      </c>
      <c r="J22" s="1284">
        <f>'Lease Up'!O47</f>
        <v>0</v>
      </c>
      <c r="K22" s="1284">
        <f>'Lease Up'!P47</f>
        <v>0</v>
      </c>
      <c r="L22" s="1284">
        <f>'Lease Up'!Q47</f>
        <v>0</v>
      </c>
      <c r="M22" s="1284">
        <f>'Lease Up'!R47</f>
        <v>5811.3431368770125</v>
      </c>
      <c r="N22" s="1284">
        <f>'Lease Up'!S47</f>
        <v>14240.998512080385</v>
      </c>
      <c r="O22" s="1284">
        <f>'Lease Up'!T47</f>
        <v>22756.970221135954</v>
      </c>
      <c r="P22" s="1284">
        <f>'Lease Up'!U47</f>
        <v>30924.648398126807</v>
      </c>
      <c r="Q22" s="1284">
        <f>'Lease Up'!V47</f>
        <v>39074.021844872266</v>
      </c>
      <c r="R22" s="1284">
        <f>'Lease Up'!W47</f>
        <v>47261.657685302729</v>
      </c>
      <c r="S22" s="1284">
        <f>'Lease Up'!X47</f>
        <v>55400.628895564296</v>
      </c>
      <c r="T22" s="1284">
        <f>'Lease Up'!Y47</f>
        <v>63510.122240879326</v>
      </c>
      <c r="U22" s="1284">
        <f>'Lease Up'!Z47</f>
        <v>71760.633115827484</v>
      </c>
      <c r="V22" s="1284">
        <f>'Lease Up'!AA47</f>
        <v>80023.557917980754</v>
      </c>
      <c r="W22" s="1284">
        <f>'Lease Up'!AB47</f>
        <v>88273.984571231733</v>
      </c>
      <c r="X22" s="1284">
        <f>'Lease Up'!AC47</f>
        <v>96577.453801567259</v>
      </c>
      <c r="Y22" s="1284">
        <f>'Lease Up'!AD47</f>
        <v>97055.835271822842</v>
      </c>
      <c r="Z22" s="1284">
        <f>'Lease Up'!AE47</f>
        <v>97353.285613242246</v>
      </c>
      <c r="AA22" s="1284">
        <f>'Lease Up'!AF47</f>
        <v>97470.40378702624</v>
      </c>
      <c r="AB22" s="1331">
        <f>AA22+AA21</f>
        <v>97587.521960810234</v>
      </c>
      <c r="AC22" s="1331">
        <f>AB22</f>
        <v>97587.521960810234</v>
      </c>
      <c r="AD22" s="1331">
        <f t="shared" ref="AD22:AM22" si="5">AC22</f>
        <v>97587.521960810234</v>
      </c>
      <c r="AE22" s="1331">
        <f t="shared" si="5"/>
        <v>97587.521960810234</v>
      </c>
      <c r="AF22" s="1331">
        <f t="shared" si="5"/>
        <v>97587.521960810234</v>
      </c>
      <c r="AG22" s="1331">
        <f t="shared" si="5"/>
        <v>97587.521960810234</v>
      </c>
      <c r="AH22" s="1331">
        <f t="shared" si="5"/>
        <v>97587.521960810234</v>
      </c>
      <c r="AI22" s="1331">
        <f t="shared" si="5"/>
        <v>97587.521960810234</v>
      </c>
      <c r="AJ22" s="1331">
        <f t="shared" si="5"/>
        <v>97587.521960810234</v>
      </c>
      <c r="AK22" s="1331">
        <f t="shared" si="5"/>
        <v>97587.521960810234</v>
      </c>
      <c r="AL22" s="1331">
        <f t="shared" si="5"/>
        <v>97587.521960810234</v>
      </c>
      <c r="AM22" s="1331">
        <f t="shared" si="5"/>
        <v>97587.521960810234</v>
      </c>
      <c r="AN22" s="1284">
        <f>'Lease Up'!AS47</f>
        <v>0</v>
      </c>
      <c r="AO22" s="1284">
        <f>'Lease Up'!AT47</f>
        <v>0</v>
      </c>
      <c r="AP22" s="1284">
        <f>'Lease Up'!AU47</f>
        <v>0</v>
      </c>
      <c r="AQ22" s="1284">
        <f>'Lease Up'!AV47</f>
        <v>0</v>
      </c>
      <c r="AR22" s="1284">
        <f>'Lease Up'!AW47</f>
        <v>0</v>
      </c>
      <c r="AS22" s="1284">
        <f>'Lease Up'!AX47</f>
        <v>0</v>
      </c>
      <c r="AT22" s="1284">
        <f>'Lease Up'!AY47</f>
        <v>0</v>
      </c>
      <c r="AU22" s="1284">
        <f>'Lease Up'!AZ47</f>
        <v>0</v>
      </c>
      <c r="AV22" s="1284">
        <f>'Lease Up'!BA47</f>
        <v>0</v>
      </c>
      <c r="AW22" s="1284">
        <f>'Lease Up'!BB47</f>
        <v>0</v>
      </c>
      <c r="AX22" s="1284">
        <f>'Lease Up'!BC47</f>
        <v>0</v>
      </c>
      <c r="AY22" s="1284">
        <f>'Lease Up'!BD47</f>
        <v>0</v>
      </c>
      <c r="AZ22" s="1284">
        <f>'Lease Up'!BE47</f>
        <v>0</v>
      </c>
      <c r="BA22" s="1284">
        <f>'Lease Up'!BF47</f>
        <v>0</v>
      </c>
      <c r="BB22" s="1284">
        <f>'Lease Up'!BG47</f>
        <v>0</v>
      </c>
      <c r="BC22" s="1284">
        <f>'Lease Up'!BH47</f>
        <v>0</v>
      </c>
      <c r="BD22" s="1284">
        <f>'Lease Up'!BI47</f>
        <v>0</v>
      </c>
      <c r="BE22" s="1284">
        <f>'Lease Up'!BJ47</f>
        <v>0</v>
      </c>
      <c r="BF22" s="1284">
        <f>'Lease Up'!BK47</f>
        <v>0</v>
      </c>
      <c r="BG22" s="1284">
        <f>'Lease Up'!BL47</f>
        <v>0</v>
      </c>
      <c r="BH22" s="1284">
        <f>'Lease Up'!BM47</f>
        <v>0</v>
      </c>
      <c r="BI22" s="1284">
        <f>'Lease Up'!BN47</f>
        <v>0</v>
      </c>
      <c r="BJ22" s="1284">
        <f>'Lease Up'!BO47</f>
        <v>0</v>
      </c>
      <c r="BK22" s="1310">
        <f>'Lease Up'!BP47</f>
        <v>0</v>
      </c>
    </row>
    <row r="23" spans="1:63">
      <c r="B23" s="1349" t="s">
        <v>659</v>
      </c>
      <c r="C23" s="1309"/>
      <c r="D23" s="1332" t="str">
        <f t="shared" ref="D23:M23" si="6">IFERROR(MAX(D19,0)/D22," ")</f>
        <v xml:space="preserve"> </v>
      </c>
      <c r="E23" s="1332" t="str">
        <f t="shared" si="6"/>
        <v xml:space="preserve"> </v>
      </c>
      <c r="F23" s="1332" t="str">
        <f t="shared" si="6"/>
        <v xml:space="preserve"> </v>
      </c>
      <c r="G23" s="1332" t="str">
        <f t="shared" si="6"/>
        <v xml:space="preserve"> </v>
      </c>
      <c r="H23" s="1332" t="str">
        <f t="shared" si="6"/>
        <v xml:space="preserve"> </v>
      </c>
      <c r="I23" s="1332" t="str">
        <f t="shared" si="6"/>
        <v xml:space="preserve"> </v>
      </c>
      <c r="J23" s="1332" t="str">
        <f t="shared" si="6"/>
        <v xml:space="preserve"> </v>
      </c>
      <c r="K23" s="1332" t="str">
        <f t="shared" si="6"/>
        <v xml:space="preserve"> </v>
      </c>
      <c r="L23" s="1332" t="str">
        <f t="shared" si="6"/>
        <v xml:space="preserve"> </v>
      </c>
      <c r="M23" s="1332">
        <f t="shared" si="6"/>
        <v>0</v>
      </c>
      <c r="N23" s="1332">
        <f>IFERROR(MAX(N19,0)/N22," ")</f>
        <v>0</v>
      </c>
      <c r="O23" s="1332">
        <f t="shared" ref="O23:BK23" si="7">IFERROR(MAX(O19,0)/O22," ")</f>
        <v>0</v>
      </c>
      <c r="P23" s="1332">
        <f t="shared" si="7"/>
        <v>0</v>
      </c>
      <c r="Q23" s="1332">
        <f t="shared" si="7"/>
        <v>0</v>
      </c>
      <c r="R23" s="1332">
        <f t="shared" si="7"/>
        <v>0</v>
      </c>
      <c r="S23" s="1332">
        <f t="shared" si="7"/>
        <v>0</v>
      </c>
      <c r="T23" s="1332">
        <f t="shared" si="7"/>
        <v>0</v>
      </c>
      <c r="U23" s="1332">
        <f t="shared" si="7"/>
        <v>0</v>
      </c>
      <c r="V23" s="1332">
        <f t="shared" si="7"/>
        <v>0</v>
      </c>
      <c r="W23" s="1332">
        <f t="shared" si="7"/>
        <v>0</v>
      </c>
      <c r="X23" s="1332">
        <f t="shared" si="7"/>
        <v>0</v>
      </c>
      <c r="Y23" s="1332">
        <f t="shared" si="7"/>
        <v>1.5954681551738343E-3</v>
      </c>
      <c r="Z23" s="1332">
        <f t="shared" si="7"/>
        <v>0.32906407868238863</v>
      </c>
      <c r="AA23" s="1332">
        <f t="shared" si="7"/>
        <v>0.65574868366460515</v>
      </c>
      <c r="AB23" s="1332">
        <f t="shared" si="7"/>
        <v>0.89890903290195512</v>
      </c>
      <c r="AC23" s="1332">
        <f t="shared" si="7"/>
        <v>1.2353971173933225</v>
      </c>
      <c r="AD23" s="1332">
        <f t="shared" si="7"/>
        <v>1.5703416186192627</v>
      </c>
      <c r="AE23" s="1332">
        <f t="shared" si="7"/>
        <v>1.6038189178166855</v>
      </c>
      <c r="AF23" s="1332">
        <f t="shared" si="7"/>
        <v>1.6038189178166855</v>
      </c>
      <c r="AG23" s="1332">
        <f t="shared" si="7"/>
        <v>1.6038189178166855</v>
      </c>
      <c r="AH23" s="1332">
        <f t="shared" si="7"/>
        <v>1.6038189178166855</v>
      </c>
      <c r="AI23" s="1332">
        <f t="shared" si="7"/>
        <v>1.6038189178166855</v>
      </c>
      <c r="AJ23" s="1332">
        <f t="shared" si="7"/>
        <v>1.6038189178166855</v>
      </c>
      <c r="AK23" s="1332">
        <f t="shared" si="7"/>
        <v>1.6038189178166855</v>
      </c>
      <c r="AL23" s="1332">
        <f t="shared" si="7"/>
        <v>1.6038189178166855</v>
      </c>
      <c r="AM23" s="1332">
        <f t="shared" si="7"/>
        <v>1.6038189178166855</v>
      </c>
      <c r="AN23" s="1332" t="str">
        <f t="shared" si="7"/>
        <v xml:space="preserve"> </v>
      </c>
      <c r="AO23" s="1332" t="str">
        <f t="shared" si="7"/>
        <v xml:space="preserve"> </v>
      </c>
      <c r="AP23" s="1332" t="str">
        <f t="shared" si="7"/>
        <v xml:space="preserve"> </v>
      </c>
      <c r="AQ23" s="1332" t="str">
        <f t="shared" si="7"/>
        <v xml:space="preserve"> </v>
      </c>
      <c r="AR23" s="1332" t="str">
        <f t="shared" si="7"/>
        <v xml:space="preserve"> </v>
      </c>
      <c r="AS23" s="1332" t="str">
        <f t="shared" si="7"/>
        <v xml:space="preserve"> </v>
      </c>
      <c r="AT23" s="1332" t="str">
        <f t="shared" si="7"/>
        <v xml:space="preserve"> </v>
      </c>
      <c r="AU23" s="1332" t="str">
        <f t="shared" si="7"/>
        <v xml:space="preserve"> </v>
      </c>
      <c r="AV23" s="1332" t="str">
        <f t="shared" si="7"/>
        <v xml:space="preserve"> </v>
      </c>
      <c r="AW23" s="1332" t="str">
        <f t="shared" si="7"/>
        <v xml:space="preserve"> </v>
      </c>
      <c r="AX23" s="1332" t="str">
        <f t="shared" si="7"/>
        <v xml:space="preserve"> </v>
      </c>
      <c r="AY23" s="1332" t="str">
        <f t="shared" si="7"/>
        <v xml:space="preserve"> </v>
      </c>
      <c r="AZ23" s="1332" t="str">
        <f t="shared" si="7"/>
        <v xml:space="preserve"> </v>
      </c>
      <c r="BA23" s="1332" t="str">
        <f t="shared" si="7"/>
        <v xml:space="preserve"> </v>
      </c>
      <c r="BB23" s="1332" t="str">
        <f t="shared" si="7"/>
        <v xml:space="preserve"> </v>
      </c>
      <c r="BC23" s="1332" t="str">
        <f t="shared" si="7"/>
        <v xml:space="preserve"> </v>
      </c>
      <c r="BD23" s="1332" t="str">
        <f t="shared" si="7"/>
        <v xml:space="preserve"> </v>
      </c>
      <c r="BE23" s="1332" t="str">
        <f t="shared" si="7"/>
        <v xml:space="preserve"> </v>
      </c>
      <c r="BF23" s="1332" t="str">
        <f t="shared" si="7"/>
        <v xml:space="preserve"> </v>
      </c>
      <c r="BG23" s="1332" t="str">
        <f t="shared" si="7"/>
        <v xml:space="preserve"> </v>
      </c>
      <c r="BH23" s="1332" t="str">
        <f t="shared" si="7"/>
        <v xml:space="preserve"> </v>
      </c>
      <c r="BI23" s="1332" t="str">
        <f t="shared" si="7"/>
        <v xml:space="preserve"> </v>
      </c>
      <c r="BJ23" s="1332" t="str">
        <f t="shared" si="7"/>
        <v xml:space="preserve"> </v>
      </c>
      <c r="BK23" s="1333" t="str">
        <f t="shared" si="7"/>
        <v xml:space="preserve"> </v>
      </c>
    </row>
    <row r="24" spans="1:63">
      <c r="B24" s="1349"/>
      <c r="C24" s="1309"/>
      <c r="D24" s="1284"/>
      <c r="E24" s="1284"/>
      <c r="F24" s="1284"/>
      <c r="G24" s="1284"/>
      <c r="H24" s="1284"/>
      <c r="I24" s="1284"/>
      <c r="J24" s="1284"/>
      <c r="K24" s="1284"/>
      <c r="L24" s="1284"/>
      <c r="M24" s="1284"/>
      <c r="N24" s="1284"/>
      <c r="O24" s="1284"/>
      <c r="P24" s="1284"/>
      <c r="Q24" s="1284"/>
      <c r="R24" s="1284"/>
      <c r="S24" s="1284"/>
      <c r="T24" s="1284"/>
      <c r="U24" s="1284"/>
      <c r="V24" s="1284"/>
      <c r="W24" s="1284"/>
      <c r="X24" s="1284"/>
      <c r="Y24" s="1284"/>
      <c r="Z24" s="1284"/>
      <c r="AA24" s="1284"/>
      <c r="AB24" s="1284"/>
      <c r="AC24" s="1284"/>
      <c r="AD24" s="1284"/>
      <c r="AE24" s="1284"/>
      <c r="AF24" s="1284"/>
      <c r="AG24" s="1284"/>
      <c r="AH24" s="1284"/>
      <c r="AI24" s="1284"/>
      <c r="AJ24" s="1284"/>
      <c r="AK24" s="1284"/>
      <c r="AL24" s="1284"/>
      <c r="AM24" s="1284"/>
      <c r="AN24" s="1284"/>
      <c r="AO24" s="1284"/>
      <c r="AP24" s="1284"/>
      <c r="AQ24" s="1284"/>
      <c r="AR24" s="1284"/>
      <c r="AS24" s="1284"/>
      <c r="AT24" s="1284"/>
      <c r="AU24" s="1284"/>
      <c r="AV24" s="1284"/>
      <c r="AW24" s="1284"/>
      <c r="AX24" s="1284"/>
      <c r="AY24" s="1284"/>
      <c r="AZ24" s="1284"/>
      <c r="BA24" s="1284"/>
      <c r="BB24" s="1284"/>
      <c r="BC24" s="1284"/>
      <c r="BD24" s="1284"/>
      <c r="BE24" s="1284"/>
      <c r="BF24" s="1284"/>
      <c r="BG24" s="1284"/>
      <c r="BH24" s="1284"/>
      <c r="BI24" s="1284"/>
      <c r="BJ24" s="1284"/>
      <c r="BK24" s="1310"/>
    </row>
    <row r="25" spans="1:63">
      <c r="B25" s="1349" t="s">
        <v>660</v>
      </c>
      <c r="C25" s="1284">
        <f t="shared" ref="C25:W25" si="8">C19-C22</f>
        <v>0</v>
      </c>
      <c r="D25" s="1284">
        <f t="shared" si="8"/>
        <v>0</v>
      </c>
      <c r="E25" s="1284">
        <f t="shared" si="8"/>
        <v>0</v>
      </c>
      <c r="F25" s="1284">
        <f t="shared" si="8"/>
        <v>0</v>
      </c>
      <c r="G25" s="1284">
        <f t="shared" si="8"/>
        <v>0</v>
      </c>
      <c r="H25" s="1284">
        <f t="shared" si="8"/>
        <v>0</v>
      </c>
      <c r="I25" s="1284">
        <f t="shared" si="8"/>
        <v>0</v>
      </c>
      <c r="J25" s="1284">
        <f t="shared" si="8"/>
        <v>0</v>
      </c>
      <c r="K25" s="1284">
        <f t="shared" si="8"/>
        <v>0</v>
      </c>
      <c r="L25" s="1284">
        <f t="shared" si="8"/>
        <v>0</v>
      </c>
      <c r="M25" s="1284">
        <f t="shared" si="8"/>
        <v>-5811.3431368770125</v>
      </c>
      <c r="N25" s="1284">
        <f t="shared" si="8"/>
        <v>-14240.998512080385</v>
      </c>
      <c r="O25" s="1284">
        <f t="shared" si="8"/>
        <v>-22756.970221135954</v>
      </c>
      <c r="P25" s="1284">
        <f t="shared" si="8"/>
        <v>-30924.648398126807</v>
      </c>
      <c r="Q25" s="1284">
        <f t="shared" si="8"/>
        <v>-39074.021844872266</v>
      </c>
      <c r="R25" s="1284">
        <f t="shared" si="8"/>
        <v>-47261.657685302729</v>
      </c>
      <c r="S25" s="1284">
        <f t="shared" si="8"/>
        <v>-55400.628895564296</v>
      </c>
      <c r="T25" s="1284">
        <f t="shared" si="8"/>
        <v>-84768.966890879325</v>
      </c>
      <c r="U25" s="1284">
        <f t="shared" si="8"/>
        <v>-93019.477765827483</v>
      </c>
      <c r="V25" s="1284">
        <f t="shared" si="8"/>
        <v>-101282.40256798075</v>
      </c>
      <c r="W25" s="1284">
        <f t="shared" si="8"/>
        <v>-109532.82922123173</v>
      </c>
      <c r="X25" s="1284">
        <f>X19-X22</f>
        <v>-128303.22404969226</v>
      </c>
      <c r="Y25" s="1284">
        <f t="shared" ref="Y25:BK25" si="9">Y19-Y22</f>
        <v>-96900.985777372844</v>
      </c>
      <c r="Z25" s="1284">
        <f t="shared" si="9"/>
        <v>-65317.816376217248</v>
      </c>
      <c r="AA25" s="1284">
        <f t="shared" si="9"/>
        <v>-33554.314807426243</v>
      </c>
      <c r="AB25" s="1284">
        <f t="shared" si="9"/>
        <v>-9865.2169717200013</v>
      </c>
      <c r="AC25" s="1284">
        <f t="shared" si="9"/>
        <v>22971.821363132272</v>
      </c>
      <c r="AD25" s="1284">
        <f t="shared" si="9"/>
        <v>55658.22523217136</v>
      </c>
      <c r="AE25" s="1284">
        <f t="shared" si="9"/>
        <v>58925.191902788472</v>
      </c>
      <c r="AF25" s="1284">
        <f t="shared" si="9"/>
        <v>58925.191902788472</v>
      </c>
      <c r="AG25" s="1284">
        <f t="shared" si="9"/>
        <v>58925.191902788472</v>
      </c>
      <c r="AH25" s="1284">
        <f t="shared" si="9"/>
        <v>58925.191902788472</v>
      </c>
      <c r="AI25" s="1284">
        <f t="shared" si="9"/>
        <v>58925.191902788472</v>
      </c>
      <c r="AJ25" s="1284">
        <f t="shared" si="9"/>
        <v>58925.191902788472</v>
      </c>
      <c r="AK25" s="1284">
        <f t="shared" si="9"/>
        <v>58925.191902788472</v>
      </c>
      <c r="AL25" s="1284">
        <f t="shared" si="9"/>
        <v>58925.191902788472</v>
      </c>
      <c r="AM25" s="1284">
        <f t="shared" si="9"/>
        <v>58925.191902788472</v>
      </c>
      <c r="AN25" s="1284">
        <f t="shared" si="9"/>
        <v>0</v>
      </c>
      <c r="AO25" s="1284">
        <f t="shared" si="9"/>
        <v>0</v>
      </c>
      <c r="AP25" s="1284">
        <f t="shared" si="9"/>
        <v>0</v>
      </c>
      <c r="AQ25" s="1284">
        <f t="shared" si="9"/>
        <v>0</v>
      </c>
      <c r="AR25" s="1284">
        <f t="shared" si="9"/>
        <v>0</v>
      </c>
      <c r="AS25" s="1284">
        <f t="shared" si="9"/>
        <v>0</v>
      </c>
      <c r="AT25" s="1284">
        <f t="shared" si="9"/>
        <v>0</v>
      </c>
      <c r="AU25" s="1284">
        <f t="shared" si="9"/>
        <v>0</v>
      </c>
      <c r="AV25" s="1284">
        <f t="shared" si="9"/>
        <v>0</v>
      </c>
      <c r="AW25" s="1284">
        <f t="shared" si="9"/>
        <v>0</v>
      </c>
      <c r="AX25" s="1284">
        <f t="shared" si="9"/>
        <v>0</v>
      </c>
      <c r="AY25" s="1284">
        <f t="shared" si="9"/>
        <v>0</v>
      </c>
      <c r="AZ25" s="1284">
        <f t="shared" si="9"/>
        <v>0</v>
      </c>
      <c r="BA25" s="1284">
        <f t="shared" si="9"/>
        <v>0</v>
      </c>
      <c r="BB25" s="1284">
        <f t="shared" si="9"/>
        <v>0</v>
      </c>
      <c r="BC25" s="1284">
        <f t="shared" si="9"/>
        <v>0</v>
      </c>
      <c r="BD25" s="1284">
        <f t="shared" si="9"/>
        <v>0</v>
      </c>
      <c r="BE25" s="1284">
        <f t="shared" si="9"/>
        <v>0</v>
      </c>
      <c r="BF25" s="1284">
        <f t="shared" si="9"/>
        <v>0</v>
      </c>
      <c r="BG25" s="1284">
        <f t="shared" si="9"/>
        <v>0</v>
      </c>
      <c r="BH25" s="1284">
        <f t="shared" si="9"/>
        <v>0</v>
      </c>
      <c r="BI25" s="1284">
        <f t="shared" si="9"/>
        <v>0</v>
      </c>
      <c r="BJ25" s="1284">
        <f t="shared" si="9"/>
        <v>0</v>
      </c>
      <c r="BK25" s="1310">
        <f t="shared" si="9"/>
        <v>0</v>
      </c>
    </row>
    <row r="26" spans="1:63">
      <c r="B26" s="1349"/>
      <c r="C26" s="1309"/>
      <c r="D26" s="1284"/>
      <c r="E26" s="1284"/>
      <c r="F26" s="1284"/>
      <c r="G26" s="1284"/>
      <c r="H26" s="1284"/>
      <c r="I26" s="1284"/>
      <c r="J26" s="1284"/>
      <c r="K26" s="1284"/>
      <c r="L26" s="1284"/>
      <c r="M26" s="1284"/>
      <c r="N26" s="1284"/>
      <c r="O26" s="1284"/>
      <c r="P26" s="1284"/>
      <c r="Q26" s="1284"/>
      <c r="R26" s="1284"/>
      <c r="S26" s="1284"/>
      <c r="T26" s="1284"/>
      <c r="U26" s="1284"/>
      <c r="V26" s="1284"/>
      <c r="W26" s="1284"/>
      <c r="X26" s="1284"/>
      <c r="Y26" s="1284"/>
      <c r="Z26" s="1284"/>
      <c r="AA26" s="1284"/>
      <c r="AB26" s="1284"/>
      <c r="AC26" s="1284"/>
      <c r="AD26" s="1284"/>
      <c r="AE26" s="1284"/>
      <c r="AF26" s="1284"/>
      <c r="AG26" s="1284"/>
      <c r="AH26" s="1284"/>
      <c r="AI26" s="1284"/>
      <c r="AJ26" s="1284"/>
      <c r="AK26" s="1284"/>
      <c r="AL26" s="1284"/>
      <c r="AM26" s="1284"/>
      <c r="AN26" s="1284"/>
      <c r="AO26" s="1284"/>
      <c r="AP26" s="1284"/>
      <c r="AQ26" s="1284"/>
      <c r="AR26" s="1284"/>
      <c r="AS26" s="1284"/>
      <c r="AT26" s="1284"/>
      <c r="AU26" s="1284"/>
      <c r="AV26" s="1284"/>
      <c r="AW26" s="1284"/>
      <c r="AX26" s="1284"/>
      <c r="AY26" s="1284"/>
      <c r="AZ26" s="1284"/>
      <c r="BA26" s="1284"/>
      <c r="BB26" s="1284"/>
      <c r="BC26" s="1284"/>
      <c r="BD26" s="1284"/>
      <c r="BE26" s="1284"/>
      <c r="BF26" s="1284"/>
      <c r="BG26" s="1284"/>
      <c r="BH26" s="1284"/>
      <c r="BI26" s="1284"/>
      <c r="BJ26" s="1284"/>
      <c r="BK26" s="1310"/>
    </row>
    <row r="27" spans="1:63">
      <c r="B27" s="1349" t="str">
        <f>'Lease Up'!F45</f>
        <v>Replacement Rsv</v>
      </c>
      <c r="C27" s="1309"/>
      <c r="D27" s="1284">
        <f>IF(D$11&gt;Draws!$F$9,0,'Lease Up'!I45)</f>
        <v>0</v>
      </c>
      <c r="E27" s="1284">
        <f>IF(E$11&gt;Draws!$F$9,0,'Lease Up'!J45)</f>
        <v>0</v>
      </c>
      <c r="F27" s="1284">
        <f>IF(F$11&gt;Draws!$F$9,0,'Lease Up'!K45)</f>
        <v>0</v>
      </c>
      <c r="G27" s="1284">
        <f>IF(G$11&gt;Draws!$F$9,0,'Lease Up'!L45)</f>
        <v>0</v>
      </c>
      <c r="H27" s="1284">
        <f>IF(H$11&gt;Draws!$F$9,0,'Lease Up'!M45)</f>
        <v>0</v>
      </c>
      <c r="I27" s="1284">
        <f>IF(I$11&gt;Draws!$F$9,0,'Lease Up'!N45)</f>
        <v>0</v>
      </c>
      <c r="J27" s="1284">
        <f>IF(J$11&gt;Draws!$F$9,0,'Lease Up'!O45)</f>
        <v>0</v>
      </c>
      <c r="K27" s="1284">
        <f>IF(K$11&gt;Draws!$F$9,0,'Lease Up'!P45)</f>
        <v>0</v>
      </c>
      <c r="L27" s="1284">
        <f>IF(L$11&gt;Draws!$F$9,0,'Lease Up'!Q45)</f>
        <v>0</v>
      </c>
      <c r="M27" s="1284">
        <f>IF(M$11&gt;Draws!$F$9,0,'Lease Up'!R45)</f>
        <v>0</v>
      </c>
      <c r="N27" s="1284">
        <f>IF(N$11&gt;Draws!$F$9,0,'Lease Up'!S45)</f>
        <v>0</v>
      </c>
      <c r="O27" s="1284">
        <f>IF(O$11&gt;Draws!$F$9,0,'Lease Up'!T45)</f>
        <v>0</v>
      </c>
      <c r="P27" s="1284">
        <f>IF(P$11&gt;Draws!$F$9,0,'Lease Up'!U45)</f>
        <v>0</v>
      </c>
      <c r="Q27" s="1284">
        <f>IF(Q$11&gt;Draws!$F$9,0,'Lease Up'!V45)</f>
        <v>0</v>
      </c>
      <c r="R27" s="1284">
        <f>IF(R$11&gt;Draws!$F$9,0,'Lease Up'!W45)</f>
        <v>0</v>
      </c>
      <c r="S27" s="1284">
        <f>IF(S$11&gt;Draws!$F$9,0,'Lease Up'!X45)</f>
        <v>0</v>
      </c>
      <c r="T27" s="1284">
        <f>IF(T$11&gt;Draws!$F$9,0,'Lease Up'!Y45)</f>
        <v>539.29083333333335</v>
      </c>
      <c r="U27" s="1284">
        <f>IF(U$11&gt;Draws!$F$9,0,'Lease Up'!Z45)</f>
        <v>539.29083333333335</v>
      </c>
      <c r="V27" s="1284">
        <f>IF(V$11&gt;Draws!$F$9,0,'Lease Up'!AA45)</f>
        <v>539.29083333333335</v>
      </c>
      <c r="W27" s="1284">
        <f>IF(W$11&gt;Draws!$F$9,0,'Lease Up'!AB45)</f>
        <v>539.29083333333335</v>
      </c>
      <c r="X27" s="1284">
        <f>IF(X$11&gt;Draws!$F$9,0,'Lease Up'!AC45)</f>
        <v>808.93624999999997</v>
      </c>
      <c r="Y27" s="1284">
        <f>IF(Y$11&gt;Draws!$F$9,0,'Lease Up'!AD45)</f>
        <v>808.93624999999997</v>
      </c>
      <c r="Z27" s="1284">
        <f>IF(Z$11&gt;Draws!$F$9,0,'Lease Up'!AE45)</f>
        <v>808.93624999999997</v>
      </c>
      <c r="AA27" s="1284">
        <f>IF(AA$11&gt;Draws!$F$9,0,'Lease Up'!AF45)</f>
        <v>808.93624999999997</v>
      </c>
      <c r="AB27" s="1284">
        <f>IF(AB$11&gt;Draws!$F$9,0,'Lease Up'!AG45)</f>
        <v>1110.9391166666667</v>
      </c>
      <c r="AC27" s="1284">
        <f>IF(AC$11&gt;Draws!$F$9,0,'Lease Up'!AH45)</f>
        <v>1110.9391166666667</v>
      </c>
      <c r="AD27" s="1284">
        <f>IF(AD$11&gt;Draws!$F$9,0,'Lease Up'!AI45)</f>
        <v>1110.9391166666667</v>
      </c>
      <c r="AE27" s="1284">
        <f>IF(AE$11&gt;Draws!$F$9,0,'Lease Up'!AJ45)</f>
        <v>1110.9391166666667</v>
      </c>
      <c r="AF27" s="1284">
        <f>IF(AF$11&gt;Draws!$F$9,0,'Lease Up'!AK45)</f>
        <v>1110.9391166666667</v>
      </c>
      <c r="AG27" s="1284">
        <f>IF(AG$11&gt;Draws!$F$9,0,'Lease Up'!AL45)</f>
        <v>1110.9391166666667</v>
      </c>
      <c r="AH27" s="1284">
        <f>IF(AH$11&gt;Draws!$F$9,0,'Lease Up'!AM45)</f>
        <v>1110.9391166666667</v>
      </c>
      <c r="AI27" s="1284">
        <f>IF(AI$11&gt;Draws!$F$9,0,'Lease Up'!AN45)</f>
        <v>1110.9391166666667</v>
      </c>
      <c r="AJ27" s="1284">
        <f>IF(AJ$11&gt;Draws!$F$9,0,'Lease Up'!AO45)</f>
        <v>1110.9391166666667</v>
      </c>
      <c r="AK27" s="1284">
        <f>IF(AK$11&gt;Draws!$F$9,0,'Lease Up'!AP45)</f>
        <v>1110.9391166666667</v>
      </c>
      <c r="AL27" s="1284">
        <f>IF(AL$11&gt;Draws!$F$9,0,'Lease Up'!AQ45)</f>
        <v>1110.9391166666667</v>
      </c>
      <c r="AM27" s="1284">
        <f>IF(AM$11&gt;Draws!$F$9,0,'Lease Up'!AR45)</f>
        <v>1110.9391166666667</v>
      </c>
      <c r="AN27" s="1284">
        <f>IF(AN$11&gt;Draws!$F$9,0,'Lease Up'!AS45)</f>
        <v>0</v>
      </c>
      <c r="AO27" s="1284">
        <f>IF(AO$11&gt;Draws!$F$9,0,'Lease Up'!AT45)</f>
        <v>0</v>
      </c>
      <c r="AP27" s="1284">
        <f>IF(AP$11&gt;Draws!$F$9,0,'Lease Up'!AU45)</f>
        <v>0</v>
      </c>
      <c r="AQ27" s="1284">
        <f>IF(AQ$11&gt;Draws!$F$9,0,'Lease Up'!AV45)</f>
        <v>0</v>
      </c>
      <c r="AR27" s="1284">
        <f>IF(AR$11&gt;Draws!$F$9,0,'Lease Up'!AW45)</f>
        <v>0</v>
      </c>
      <c r="AS27" s="1284">
        <f>IF(AS$11&gt;Draws!$F$9,0,'Lease Up'!AX45)</f>
        <v>0</v>
      </c>
      <c r="AT27" s="1284">
        <f>IF(AT$11&gt;Draws!$F$9,0,'Lease Up'!AY45)</f>
        <v>0</v>
      </c>
      <c r="AU27" s="1284">
        <f>IF(AU$11&gt;Draws!$F$9,0,'Lease Up'!AZ45)</f>
        <v>0</v>
      </c>
      <c r="AV27" s="1284">
        <f>IF(AV$11&gt;Draws!$F$9,0,'Lease Up'!BA45)</f>
        <v>0</v>
      </c>
      <c r="AW27" s="1284">
        <f>IF(AW$11&gt;Draws!$F$9,0,'Lease Up'!BB45)</f>
        <v>0</v>
      </c>
      <c r="AX27" s="1284">
        <f>IF(AX$11&gt;Draws!$F$9,0,'Lease Up'!BC45)</f>
        <v>0</v>
      </c>
      <c r="AY27" s="1284">
        <f>IF(AY$11&gt;Draws!$F$9,0,'Lease Up'!BD45)</f>
        <v>0</v>
      </c>
      <c r="AZ27" s="1284">
        <f>IF(AZ$11&gt;Draws!$F$9,0,'Lease Up'!BE45)</f>
        <v>0</v>
      </c>
      <c r="BA27" s="1284">
        <f>IF(BA$11&gt;Draws!$F$9,0,'Lease Up'!BF45)</f>
        <v>0</v>
      </c>
      <c r="BB27" s="1284">
        <f>IF(BB$11&gt;Draws!$F$9,0,'Lease Up'!BG45)</f>
        <v>0</v>
      </c>
      <c r="BC27" s="1284">
        <f>IF(BC$11&gt;Draws!$F$9,0,'Lease Up'!BH45)</f>
        <v>0</v>
      </c>
      <c r="BD27" s="1284">
        <f>IF(BD$11&gt;Draws!$F$9,0,'Lease Up'!BI45)</f>
        <v>0</v>
      </c>
      <c r="BE27" s="1284">
        <f>IF(BE$11&gt;Draws!$F$9,0,'Lease Up'!BJ45)</f>
        <v>0</v>
      </c>
      <c r="BF27" s="1284">
        <f>IF(BF$11&gt;Draws!$F$9,0,'Lease Up'!BK45)</f>
        <v>0</v>
      </c>
      <c r="BG27" s="1284">
        <f>IF(BG$11&gt;Draws!$F$9,0,'Lease Up'!BL45)</f>
        <v>0</v>
      </c>
      <c r="BH27" s="1284">
        <f>IF(BH$11&gt;Draws!$F$9,0,'Lease Up'!BM45)</f>
        <v>0</v>
      </c>
      <c r="BI27" s="1284">
        <f>IF(BI$11&gt;Draws!$F$9,0,'Lease Up'!BN45)</f>
        <v>0</v>
      </c>
      <c r="BJ27" s="1284">
        <f>IF(BJ$11&gt;Draws!$F$9,0,'Lease Up'!BO45)</f>
        <v>0</v>
      </c>
      <c r="BK27" s="1310">
        <f>IF(BK$11&gt;Draws!$F$9,0,'Lease Up'!BP45)</f>
        <v>0</v>
      </c>
    </row>
    <row r="28" spans="1:63">
      <c r="B28" s="1349"/>
      <c r="C28" s="1309"/>
      <c r="D28" s="1284"/>
      <c r="E28" s="1284"/>
      <c r="F28" s="1284"/>
      <c r="G28" s="1284"/>
      <c r="H28" s="1284"/>
      <c r="I28" s="1284"/>
      <c r="J28" s="1284"/>
      <c r="K28" s="1284"/>
      <c r="L28" s="1284"/>
      <c r="M28" s="1284"/>
      <c r="N28" s="1284"/>
      <c r="O28" s="1284"/>
      <c r="P28" s="1284"/>
      <c r="Q28" s="1284"/>
      <c r="R28" s="1284"/>
      <c r="S28" s="1284"/>
      <c r="T28" s="1284"/>
      <c r="U28" s="1284"/>
      <c r="V28" s="1284"/>
      <c r="W28" s="1284"/>
      <c r="X28" s="1284"/>
      <c r="Y28" s="1284"/>
      <c r="Z28" s="1284"/>
      <c r="AA28" s="1284"/>
      <c r="AB28" s="1284"/>
      <c r="AC28" s="1284"/>
      <c r="AD28" s="1284"/>
      <c r="AE28" s="1284"/>
      <c r="AF28" s="1284"/>
      <c r="AG28" s="1284"/>
      <c r="AH28" s="1284"/>
      <c r="AI28" s="1284"/>
      <c r="AJ28" s="1284"/>
      <c r="AK28" s="1284"/>
      <c r="AL28" s="1284"/>
      <c r="AM28" s="1284"/>
      <c r="AN28" s="1284"/>
      <c r="AO28" s="1284"/>
      <c r="AP28" s="1284"/>
      <c r="AQ28" s="1284"/>
      <c r="AR28" s="1284"/>
      <c r="AS28" s="1284"/>
      <c r="AT28" s="1284"/>
      <c r="AU28" s="1284"/>
      <c r="AV28" s="1284"/>
      <c r="AW28" s="1284"/>
      <c r="AX28" s="1284"/>
      <c r="AY28" s="1284"/>
      <c r="AZ28" s="1284"/>
      <c r="BA28" s="1284"/>
      <c r="BB28" s="1284"/>
      <c r="BC28" s="1284"/>
      <c r="BD28" s="1284"/>
      <c r="BE28" s="1284"/>
      <c r="BF28" s="1284"/>
      <c r="BG28" s="1284"/>
      <c r="BH28" s="1284"/>
      <c r="BI28" s="1284"/>
      <c r="BJ28" s="1284"/>
      <c r="BK28" s="1310"/>
    </row>
    <row r="29" spans="1:63">
      <c r="B29" s="1349" t="s">
        <v>661</v>
      </c>
      <c r="C29" s="1284">
        <f t="shared" ref="C29:Z29" si="10">C25-C27</f>
        <v>0</v>
      </c>
      <c r="D29" s="1284">
        <f t="shared" si="10"/>
        <v>0</v>
      </c>
      <c r="E29" s="1284">
        <f t="shared" si="10"/>
        <v>0</v>
      </c>
      <c r="F29" s="1284">
        <f t="shared" si="10"/>
        <v>0</v>
      </c>
      <c r="G29" s="1284">
        <f t="shared" si="10"/>
        <v>0</v>
      </c>
      <c r="H29" s="1284">
        <f t="shared" si="10"/>
        <v>0</v>
      </c>
      <c r="I29" s="1284">
        <f t="shared" si="10"/>
        <v>0</v>
      </c>
      <c r="J29" s="1284">
        <f t="shared" si="10"/>
        <v>0</v>
      </c>
      <c r="K29" s="1284">
        <f t="shared" si="10"/>
        <v>0</v>
      </c>
      <c r="L29" s="1284">
        <f t="shared" si="10"/>
        <v>0</v>
      </c>
      <c r="M29" s="1284">
        <f t="shared" si="10"/>
        <v>-5811.3431368770125</v>
      </c>
      <c r="N29" s="1284">
        <f t="shared" si="10"/>
        <v>-14240.998512080385</v>
      </c>
      <c r="O29" s="1284">
        <f t="shared" si="10"/>
        <v>-22756.970221135954</v>
      </c>
      <c r="P29" s="1284">
        <f t="shared" si="10"/>
        <v>-30924.648398126807</v>
      </c>
      <c r="Q29" s="1284">
        <f t="shared" si="10"/>
        <v>-39074.021844872266</v>
      </c>
      <c r="R29" s="1284">
        <f t="shared" si="10"/>
        <v>-47261.657685302729</v>
      </c>
      <c r="S29" s="1284">
        <f t="shared" si="10"/>
        <v>-55400.628895564296</v>
      </c>
      <c r="T29" s="1284">
        <f t="shared" si="10"/>
        <v>-85308.257724212657</v>
      </c>
      <c r="U29" s="1284">
        <f t="shared" si="10"/>
        <v>-93558.768599160816</v>
      </c>
      <c r="V29" s="1284">
        <f t="shared" si="10"/>
        <v>-101821.69340131409</v>
      </c>
      <c r="W29" s="1284">
        <f t="shared" si="10"/>
        <v>-110072.12005456506</v>
      </c>
      <c r="X29" s="1284">
        <f t="shared" si="10"/>
        <v>-129112.16029969226</v>
      </c>
      <c r="Y29" s="1284">
        <f t="shared" si="10"/>
        <v>-97709.922027372842</v>
      </c>
      <c r="Z29" s="1284">
        <f t="shared" si="10"/>
        <v>-66126.752626217247</v>
      </c>
      <c r="AA29" s="1284">
        <f>AA25-AA27</f>
        <v>-34363.251057426241</v>
      </c>
      <c r="AB29" s="1284">
        <f t="shared" ref="AB29:BK29" si="11">AB25-AB27</f>
        <v>-10976.156088386668</v>
      </c>
      <c r="AC29" s="1284">
        <f t="shared" si="11"/>
        <v>21860.882246465604</v>
      </c>
      <c r="AD29" s="1284">
        <f t="shared" si="11"/>
        <v>54547.286115504692</v>
      </c>
      <c r="AE29" s="1284">
        <f t="shared" si="11"/>
        <v>57814.252786121804</v>
      </c>
      <c r="AF29" s="1284">
        <f t="shared" si="11"/>
        <v>57814.252786121804</v>
      </c>
      <c r="AG29" s="1284">
        <f t="shared" si="11"/>
        <v>57814.252786121804</v>
      </c>
      <c r="AH29" s="1284">
        <f t="shared" si="11"/>
        <v>57814.252786121804</v>
      </c>
      <c r="AI29" s="1284">
        <f t="shared" si="11"/>
        <v>57814.252786121804</v>
      </c>
      <c r="AJ29" s="1284">
        <f t="shared" si="11"/>
        <v>57814.252786121804</v>
      </c>
      <c r="AK29" s="1284">
        <f t="shared" si="11"/>
        <v>57814.252786121804</v>
      </c>
      <c r="AL29" s="1284">
        <f t="shared" si="11"/>
        <v>57814.252786121804</v>
      </c>
      <c r="AM29" s="1284">
        <f t="shared" si="11"/>
        <v>57814.252786121804</v>
      </c>
      <c r="AN29" s="1284">
        <f t="shared" si="11"/>
        <v>0</v>
      </c>
      <c r="AO29" s="1284">
        <f t="shared" si="11"/>
        <v>0</v>
      </c>
      <c r="AP29" s="1284">
        <f t="shared" si="11"/>
        <v>0</v>
      </c>
      <c r="AQ29" s="1284">
        <f t="shared" si="11"/>
        <v>0</v>
      </c>
      <c r="AR29" s="1284">
        <f t="shared" si="11"/>
        <v>0</v>
      </c>
      <c r="AS29" s="1284">
        <f t="shared" si="11"/>
        <v>0</v>
      </c>
      <c r="AT29" s="1284">
        <f t="shared" si="11"/>
        <v>0</v>
      </c>
      <c r="AU29" s="1284">
        <f t="shared" si="11"/>
        <v>0</v>
      </c>
      <c r="AV29" s="1284">
        <f t="shared" si="11"/>
        <v>0</v>
      </c>
      <c r="AW29" s="1284">
        <f t="shared" si="11"/>
        <v>0</v>
      </c>
      <c r="AX29" s="1284">
        <f t="shared" si="11"/>
        <v>0</v>
      </c>
      <c r="AY29" s="1284">
        <f t="shared" si="11"/>
        <v>0</v>
      </c>
      <c r="AZ29" s="1284">
        <f t="shared" si="11"/>
        <v>0</v>
      </c>
      <c r="BA29" s="1284">
        <f t="shared" si="11"/>
        <v>0</v>
      </c>
      <c r="BB29" s="1284">
        <f t="shared" si="11"/>
        <v>0</v>
      </c>
      <c r="BC29" s="1284">
        <f t="shared" si="11"/>
        <v>0</v>
      </c>
      <c r="BD29" s="1284">
        <f t="shared" si="11"/>
        <v>0</v>
      </c>
      <c r="BE29" s="1284">
        <f t="shared" si="11"/>
        <v>0</v>
      </c>
      <c r="BF29" s="1284">
        <f t="shared" si="11"/>
        <v>0</v>
      </c>
      <c r="BG29" s="1284">
        <f t="shared" si="11"/>
        <v>0</v>
      </c>
      <c r="BH29" s="1284">
        <f t="shared" si="11"/>
        <v>0</v>
      </c>
      <c r="BI29" s="1284">
        <f t="shared" si="11"/>
        <v>0</v>
      </c>
      <c r="BJ29" s="1284">
        <f t="shared" si="11"/>
        <v>0</v>
      </c>
      <c r="BK29" s="1310">
        <f t="shared" si="11"/>
        <v>0</v>
      </c>
    </row>
    <row r="30" spans="1:63">
      <c r="B30" s="1349"/>
      <c r="C30" s="1309"/>
      <c r="D30" s="1284"/>
      <c r="E30" s="1284"/>
      <c r="F30" s="1284"/>
      <c r="G30" s="1284"/>
      <c r="H30" s="1284"/>
      <c r="I30" s="1284"/>
      <c r="J30" s="1284"/>
      <c r="K30" s="1284"/>
      <c r="L30" s="1284"/>
      <c r="M30" s="1284"/>
      <c r="N30" s="1284"/>
      <c r="O30" s="1284"/>
      <c r="P30" s="1284"/>
      <c r="Q30" s="1284"/>
      <c r="R30" s="1284"/>
      <c r="S30" s="1284"/>
      <c r="T30" s="1284"/>
      <c r="U30" s="1284"/>
      <c r="V30" s="1284"/>
      <c r="W30" s="1284"/>
      <c r="X30" s="1284"/>
      <c r="Y30" s="1284"/>
      <c r="Z30" s="1284"/>
      <c r="AA30" s="1284"/>
      <c r="AB30" s="1284"/>
      <c r="AC30" s="1284"/>
      <c r="AD30" s="1284"/>
      <c r="AE30" s="1284"/>
      <c r="AF30" s="1284"/>
      <c r="AG30" s="1284"/>
      <c r="AH30" s="1284"/>
      <c r="AI30" s="1284"/>
      <c r="AJ30" s="1284"/>
      <c r="AK30" s="1284"/>
      <c r="AL30" s="1284"/>
      <c r="AM30" s="1284"/>
      <c r="AN30" s="1284"/>
      <c r="AO30" s="1284"/>
      <c r="AP30" s="1284"/>
      <c r="AQ30" s="1284"/>
      <c r="AR30" s="1284"/>
      <c r="AS30" s="1284"/>
      <c r="AT30" s="1284"/>
      <c r="AU30" s="1284"/>
      <c r="AV30" s="1284"/>
      <c r="AW30" s="1284"/>
      <c r="AX30" s="1284"/>
      <c r="AY30" s="1284"/>
      <c r="AZ30" s="1284"/>
      <c r="BA30" s="1284"/>
      <c r="BB30" s="1284"/>
      <c r="BC30" s="1284"/>
      <c r="BD30" s="1284"/>
      <c r="BE30" s="1284"/>
      <c r="BF30" s="1284"/>
      <c r="BG30" s="1284"/>
      <c r="BH30" s="1284"/>
      <c r="BI30" s="1284"/>
      <c r="BJ30" s="1284"/>
      <c r="BK30" s="1310"/>
    </row>
    <row r="31" spans="1:63">
      <c r="B31" s="1349" t="str">
        <f>Draws!C55</f>
        <v>Sale Price</v>
      </c>
      <c r="C31" s="1309">
        <f>Draws!H55</f>
        <v>0</v>
      </c>
      <c r="D31" s="1284">
        <f>Draws!I55</f>
        <v>0</v>
      </c>
      <c r="E31" s="1284">
        <f>Draws!J55</f>
        <v>0</v>
      </c>
      <c r="F31" s="1284">
        <f>Draws!K55</f>
        <v>0</v>
      </c>
      <c r="G31" s="1284">
        <f>Draws!L55</f>
        <v>0</v>
      </c>
      <c r="H31" s="1284">
        <f>Draws!M55</f>
        <v>0</v>
      </c>
      <c r="I31" s="1284">
        <f>Draws!N55</f>
        <v>0</v>
      </c>
      <c r="J31" s="1284">
        <f>Draws!O55</f>
        <v>0</v>
      </c>
      <c r="K31" s="1284">
        <f>Draws!P55</f>
        <v>0</v>
      </c>
      <c r="L31" s="1284">
        <f>Draws!Q55</f>
        <v>0</v>
      </c>
      <c r="M31" s="1284">
        <f>Draws!R55</f>
        <v>0</v>
      </c>
      <c r="N31" s="1284">
        <f>Draws!S55</f>
        <v>0</v>
      </c>
      <c r="O31" s="1284">
        <f>Draws!T55</f>
        <v>0</v>
      </c>
      <c r="P31" s="1284">
        <f>Draws!U55</f>
        <v>0</v>
      </c>
      <c r="Q31" s="1284">
        <f>Draws!V55</f>
        <v>0</v>
      </c>
      <c r="R31" s="1284">
        <f>Draws!W55</f>
        <v>0</v>
      </c>
      <c r="S31" s="1284">
        <f>Draws!X55</f>
        <v>0</v>
      </c>
      <c r="T31" s="1284">
        <f>Draws!Y55</f>
        <v>0</v>
      </c>
      <c r="U31" s="1284">
        <f>Draws!Z55</f>
        <v>0</v>
      </c>
      <c r="V31" s="1284">
        <f>Draws!AA55</f>
        <v>0</v>
      </c>
      <c r="W31" s="1284">
        <f>Draws!AB55</f>
        <v>0</v>
      </c>
      <c r="X31" s="1284">
        <f>Draws!AC55</f>
        <v>0</v>
      </c>
      <c r="Y31" s="1284">
        <f>Draws!AD55</f>
        <v>0</v>
      </c>
      <c r="Z31" s="1284">
        <f>Draws!AE55</f>
        <v>0</v>
      </c>
      <c r="AA31" s="1284">
        <f>Draws!AF55</f>
        <v>0</v>
      </c>
      <c r="AB31" s="1284">
        <f>Draws!AG55</f>
        <v>0</v>
      </c>
      <c r="AC31" s="1284">
        <f>Draws!AH55</f>
        <v>0</v>
      </c>
      <c r="AD31" s="1284">
        <f>Draws!AI55</f>
        <v>0</v>
      </c>
      <c r="AE31" s="1284">
        <f>Draws!AJ55</f>
        <v>0</v>
      </c>
      <c r="AF31" s="1284">
        <f>Draws!AK55</f>
        <v>0</v>
      </c>
      <c r="AG31" s="1284">
        <f>Draws!AL55</f>
        <v>0</v>
      </c>
      <c r="AH31" s="1284">
        <f>Draws!AM55</f>
        <v>0</v>
      </c>
      <c r="AI31" s="1284">
        <f>Draws!AN55</f>
        <v>0</v>
      </c>
      <c r="AJ31" s="1284">
        <f>Draws!AO55</f>
        <v>0</v>
      </c>
      <c r="AK31" s="1284">
        <f>Draws!AP55</f>
        <v>0</v>
      </c>
      <c r="AL31" s="1284">
        <f>Draws!AQ55</f>
        <v>0</v>
      </c>
      <c r="AM31" s="1284">
        <f>Draws!AR55</f>
        <v>28663737.812244892</v>
      </c>
      <c r="AN31" s="1284">
        <f>Draws!AS55</f>
        <v>0</v>
      </c>
      <c r="AO31" s="1284">
        <f>Draws!AT55</f>
        <v>0</v>
      </c>
      <c r="AP31" s="1284">
        <f>Draws!AU55</f>
        <v>0</v>
      </c>
      <c r="AQ31" s="1284">
        <f>Draws!AV55</f>
        <v>0</v>
      </c>
      <c r="AR31" s="1284">
        <f>Draws!AW55</f>
        <v>0</v>
      </c>
      <c r="AS31" s="1284">
        <f>Draws!AX55</f>
        <v>0</v>
      </c>
      <c r="AT31" s="1284">
        <f>Draws!AY55</f>
        <v>0</v>
      </c>
      <c r="AU31" s="1284">
        <f>Draws!AZ55</f>
        <v>0</v>
      </c>
      <c r="AV31" s="1284">
        <f>Draws!BA55</f>
        <v>0</v>
      </c>
      <c r="AW31" s="1284">
        <f>Draws!BB55</f>
        <v>0</v>
      </c>
      <c r="AX31" s="1284">
        <f>Draws!BC55</f>
        <v>0</v>
      </c>
      <c r="AY31" s="1284">
        <f>Draws!BD55</f>
        <v>0</v>
      </c>
      <c r="AZ31" s="1284">
        <f>Draws!BE55</f>
        <v>0</v>
      </c>
      <c r="BA31" s="1284">
        <f>Draws!BF55</f>
        <v>0</v>
      </c>
      <c r="BB31" s="1284">
        <f>Draws!BG55</f>
        <v>0</v>
      </c>
      <c r="BC31" s="1284">
        <f>Draws!BH55</f>
        <v>0</v>
      </c>
      <c r="BD31" s="1284">
        <f>Draws!BI55</f>
        <v>0</v>
      </c>
      <c r="BE31" s="1284">
        <f>Draws!BJ55</f>
        <v>0</v>
      </c>
      <c r="BF31" s="1284">
        <f>Draws!BK55</f>
        <v>0</v>
      </c>
      <c r="BG31" s="1284">
        <f>Draws!BL55</f>
        <v>0</v>
      </c>
      <c r="BH31" s="1284">
        <f>Draws!BM55</f>
        <v>0</v>
      </c>
      <c r="BI31" s="1284">
        <f>Draws!BN55</f>
        <v>0</v>
      </c>
      <c r="BJ31" s="1284">
        <f>Draws!BO55</f>
        <v>0</v>
      </c>
      <c r="BK31" s="1310">
        <f>Draws!BP55</f>
        <v>0</v>
      </c>
    </row>
    <row r="32" spans="1:63">
      <c r="B32" s="1349" t="str">
        <f>Draws!C56</f>
        <v>Less:  Debt</v>
      </c>
      <c r="C32" s="1309">
        <f>Draws!H56</f>
        <v>0</v>
      </c>
      <c r="D32" s="1284">
        <f>Draws!I56</f>
        <v>0</v>
      </c>
      <c r="E32" s="1284">
        <f>Draws!J56</f>
        <v>0</v>
      </c>
      <c r="F32" s="1284">
        <f>Draws!K56</f>
        <v>0</v>
      </c>
      <c r="G32" s="1284">
        <f>Draws!L56</f>
        <v>0</v>
      </c>
      <c r="H32" s="1284">
        <f>Draws!M56</f>
        <v>0</v>
      </c>
      <c r="I32" s="1284">
        <f>Draws!N56</f>
        <v>0</v>
      </c>
      <c r="J32" s="1284">
        <f>Draws!O56</f>
        <v>0</v>
      </c>
      <c r="K32" s="1284">
        <f>Draws!P56</f>
        <v>0</v>
      </c>
      <c r="L32" s="1284">
        <f>Draws!Q56</f>
        <v>0</v>
      </c>
      <c r="M32" s="1284">
        <f>Draws!R56</f>
        <v>0</v>
      </c>
      <c r="N32" s="1284">
        <f>Draws!S56</f>
        <v>0</v>
      </c>
      <c r="O32" s="1284">
        <f>Draws!T56</f>
        <v>0</v>
      </c>
      <c r="P32" s="1284">
        <f>Draws!U56</f>
        <v>0</v>
      </c>
      <c r="Q32" s="1284">
        <f>Draws!V56</f>
        <v>0</v>
      </c>
      <c r="R32" s="1284">
        <f>Draws!W56</f>
        <v>0</v>
      </c>
      <c r="S32" s="1284">
        <f>Draws!X56</f>
        <v>0</v>
      </c>
      <c r="T32" s="1284">
        <f>Draws!Y56</f>
        <v>0</v>
      </c>
      <c r="U32" s="1284">
        <f>Draws!Z56</f>
        <v>0</v>
      </c>
      <c r="V32" s="1284">
        <f>Draws!AA56</f>
        <v>0</v>
      </c>
      <c r="W32" s="1284">
        <f>Draws!AB56</f>
        <v>0</v>
      </c>
      <c r="X32" s="1284">
        <f>Draws!AC56</f>
        <v>0</v>
      </c>
      <c r="Y32" s="1284">
        <f>Draws!AD56</f>
        <v>0</v>
      </c>
      <c r="Z32" s="1284">
        <f>Draws!AE56</f>
        <v>0</v>
      </c>
      <c r="AA32" s="1284">
        <f>Draws!AF56</f>
        <v>0</v>
      </c>
      <c r="AB32" s="1284">
        <f>Draws!AG56</f>
        <v>0</v>
      </c>
      <c r="AC32" s="1284">
        <f>Draws!AH56</f>
        <v>0</v>
      </c>
      <c r="AD32" s="1284">
        <f>Draws!AI56</f>
        <v>0</v>
      </c>
      <c r="AE32" s="1284">
        <f>Draws!AJ56</f>
        <v>0</v>
      </c>
      <c r="AF32" s="1284">
        <f>Draws!AK56</f>
        <v>0</v>
      </c>
      <c r="AG32" s="1284">
        <f>Draws!AL56</f>
        <v>0</v>
      </c>
      <c r="AH32" s="1284">
        <f>Draws!AM56</f>
        <v>0</v>
      </c>
      <c r="AI32" s="1284">
        <f>Draws!AN56</f>
        <v>0</v>
      </c>
      <c r="AJ32" s="1284">
        <f>Draws!AO56</f>
        <v>0</v>
      </c>
      <c r="AK32" s="1284">
        <f>Draws!AP56</f>
        <v>0</v>
      </c>
      <c r="AL32" s="1284">
        <f>Draws!AQ56</f>
        <v>0</v>
      </c>
      <c r="AM32" s="1284">
        <f>Draws!AR56</f>
        <v>-15536393.194483915</v>
      </c>
      <c r="AN32" s="1284">
        <f>Draws!AS56</f>
        <v>0</v>
      </c>
      <c r="AO32" s="1284">
        <f>Draws!AT56</f>
        <v>0</v>
      </c>
      <c r="AP32" s="1284">
        <f>Draws!AU56</f>
        <v>0</v>
      </c>
      <c r="AQ32" s="1284">
        <f>Draws!AV56</f>
        <v>0</v>
      </c>
      <c r="AR32" s="1284">
        <f>Draws!AW56</f>
        <v>0</v>
      </c>
      <c r="AS32" s="1284">
        <f>Draws!AX56</f>
        <v>0</v>
      </c>
      <c r="AT32" s="1284">
        <f>Draws!AY56</f>
        <v>0</v>
      </c>
      <c r="AU32" s="1284">
        <f>Draws!AZ56</f>
        <v>0</v>
      </c>
      <c r="AV32" s="1284">
        <f>Draws!BA56</f>
        <v>0</v>
      </c>
      <c r="AW32" s="1284">
        <f>Draws!BB56</f>
        <v>0</v>
      </c>
      <c r="AX32" s="1284">
        <f>Draws!BC56</f>
        <v>0</v>
      </c>
      <c r="AY32" s="1284">
        <f>Draws!BD56</f>
        <v>0</v>
      </c>
      <c r="AZ32" s="1284">
        <f>Draws!BE56</f>
        <v>0</v>
      </c>
      <c r="BA32" s="1284">
        <f>Draws!BF56</f>
        <v>0</v>
      </c>
      <c r="BB32" s="1284">
        <f>Draws!BG56</f>
        <v>0</v>
      </c>
      <c r="BC32" s="1284">
        <f>Draws!BH56</f>
        <v>0</v>
      </c>
      <c r="BD32" s="1284">
        <f>Draws!BI56</f>
        <v>0</v>
      </c>
      <c r="BE32" s="1284">
        <f>Draws!BJ56</f>
        <v>0</v>
      </c>
      <c r="BF32" s="1284">
        <f>Draws!BK56</f>
        <v>0</v>
      </c>
      <c r="BG32" s="1284">
        <f>Draws!BL56</f>
        <v>0</v>
      </c>
      <c r="BH32" s="1284">
        <f>Draws!BM56</f>
        <v>0</v>
      </c>
      <c r="BI32" s="1284">
        <f>Draws!BN56</f>
        <v>0</v>
      </c>
      <c r="BJ32" s="1284">
        <f>Draws!BO56</f>
        <v>0</v>
      </c>
      <c r="BK32" s="1310">
        <f>Draws!BP56</f>
        <v>0</v>
      </c>
    </row>
    <row r="33" spans="2:63">
      <c r="B33" s="1349"/>
      <c r="C33" s="1309"/>
      <c r="D33" s="1284"/>
      <c r="E33" s="1284"/>
      <c r="F33" s="1284"/>
      <c r="G33" s="1284"/>
      <c r="H33" s="1284"/>
      <c r="I33" s="1284"/>
      <c r="J33" s="1284"/>
      <c r="K33" s="1284"/>
      <c r="L33" s="1284"/>
      <c r="M33" s="1284"/>
      <c r="N33" s="1284"/>
      <c r="O33" s="1284"/>
      <c r="P33" s="1284"/>
      <c r="Q33" s="1284"/>
      <c r="R33" s="1284"/>
      <c r="S33" s="1284"/>
      <c r="T33" s="1284"/>
      <c r="U33" s="1284"/>
      <c r="V33" s="1284"/>
      <c r="W33" s="1284"/>
      <c r="X33" s="1284"/>
      <c r="Y33" s="1284"/>
      <c r="Z33" s="1284"/>
      <c r="AA33" s="1284"/>
      <c r="AB33" s="1284"/>
      <c r="AC33" s="1284"/>
      <c r="AD33" s="1284"/>
      <c r="AE33" s="1284"/>
      <c r="AF33" s="1284"/>
      <c r="AG33" s="1284"/>
      <c r="AH33" s="1284"/>
      <c r="AI33" s="1284"/>
      <c r="AJ33" s="1284"/>
      <c r="AK33" s="1284"/>
      <c r="AL33" s="1284"/>
      <c r="AM33" s="1284"/>
      <c r="AN33" s="1284"/>
      <c r="AO33" s="1284"/>
      <c r="AP33" s="1284"/>
      <c r="AQ33" s="1284"/>
      <c r="AR33" s="1284"/>
      <c r="AS33" s="1284"/>
      <c r="AT33" s="1284"/>
      <c r="AU33" s="1284"/>
      <c r="AV33" s="1284"/>
      <c r="AW33" s="1284"/>
      <c r="AX33" s="1284"/>
      <c r="AY33" s="1284"/>
      <c r="AZ33" s="1284"/>
      <c r="BA33" s="1284"/>
      <c r="BB33" s="1284"/>
      <c r="BC33" s="1284"/>
      <c r="BD33" s="1284"/>
      <c r="BE33" s="1284"/>
      <c r="BF33" s="1284"/>
      <c r="BG33" s="1284"/>
      <c r="BH33" s="1284"/>
      <c r="BI33" s="1284"/>
      <c r="BJ33" s="1284"/>
      <c r="BK33" s="1310"/>
    </row>
    <row r="34" spans="2:63">
      <c r="B34" s="1349" t="s">
        <v>662</v>
      </c>
      <c r="C34" s="1284">
        <f t="shared" ref="C34:AH34" si="12">MAX(C29+C31+C32,0)-C14</f>
        <v>-5309435</v>
      </c>
      <c r="D34" s="1284">
        <f t="shared" si="12"/>
        <v>-33333.333333333336</v>
      </c>
      <c r="E34" s="1284">
        <f t="shared" si="12"/>
        <v>-33333.333333333336</v>
      </c>
      <c r="F34" s="1284">
        <f t="shared" si="12"/>
        <v>-33333.333333333336</v>
      </c>
      <c r="G34" s="1284">
        <f t="shared" si="12"/>
        <v>-33333.333333333336</v>
      </c>
      <c r="H34" s="1284">
        <f t="shared" si="12"/>
        <v>-33333.333333333336</v>
      </c>
      <c r="I34" s="1284">
        <f t="shared" si="12"/>
        <v>-33333.333333333336</v>
      </c>
      <c r="J34" s="1284">
        <f t="shared" si="12"/>
        <v>-1249529.642857143</v>
      </c>
      <c r="K34" s="1284">
        <f t="shared" si="12"/>
        <v>-1249529.642857143</v>
      </c>
      <c r="L34" s="1284">
        <f t="shared" si="12"/>
        <v>-391505.71428571641</v>
      </c>
      <c r="M34" s="1284">
        <f t="shared" si="12"/>
        <v>0</v>
      </c>
      <c r="N34" s="1284">
        <f t="shared" si="12"/>
        <v>0</v>
      </c>
      <c r="O34" s="1284">
        <f t="shared" si="12"/>
        <v>0</v>
      </c>
      <c r="P34" s="1284">
        <f t="shared" si="12"/>
        <v>0</v>
      </c>
      <c r="Q34" s="1284">
        <f t="shared" si="12"/>
        <v>0</v>
      </c>
      <c r="R34" s="1284">
        <f t="shared" si="12"/>
        <v>0</v>
      </c>
      <c r="S34" s="1284">
        <f t="shared" si="12"/>
        <v>0</v>
      </c>
      <c r="T34" s="1284">
        <f t="shared" si="12"/>
        <v>0</v>
      </c>
      <c r="U34" s="1284">
        <f t="shared" si="12"/>
        <v>0</v>
      </c>
      <c r="V34" s="1284">
        <f t="shared" si="12"/>
        <v>0</v>
      </c>
      <c r="W34" s="1284">
        <f t="shared" si="12"/>
        <v>0</v>
      </c>
      <c r="X34" s="1284">
        <f t="shared" si="12"/>
        <v>0</v>
      </c>
      <c r="Y34" s="1284">
        <f t="shared" si="12"/>
        <v>0</v>
      </c>
      <c r="Z34" s="1284">
        <f t="shared" si="12"/>
        <v>0</v>
      </c>
      <c r="AA34" s="1284">
        <f t="shared" si="12"/>
        <v>0</v>
      </c>
      <c r="AB34" s="1284">
        <f t="shared" si="12"/>
        <v>0</v>
      </c>
      <c r="AC34" s="1284">
        <f t="shared" si="12"/>
        <v>21860.882246465604</v>
      </c>
      <c r="AD34" s="1284">
        <f t="shared" si="12"/>
        <v>54547.286115504692</v>
      </c>
      <c r="AE34" s="1284">
        <f t="shared" si="12"/>
        <v>57814.252786121804</v>
      </c>
      <c r="AF34" s="1284">
        <f t="shared" si="12"/>
        <v>57814.252786121804</v>
      </c>
      <c r="AG34" s="1284">
        <f t="shared" si="12"/>
        <v>57814.252786121804</v>
      </c>
      <c r="AH34" s="1284">
        <f t="shared" si="12"/>
        <v>57814.252786121804</v>
      </c>
      <c r="AI34" s="1284">
        <f t="shared" ref="AI34:BK34" si="13">MAX(AI29+AI31+AI32,0)-AI14</f>
        <v>57814.252786121804</v>
      </c>
      <c r="AJ34" s="1284">
        <f t="shared" si="13"/>
        <v>57814.252786121804</v>
      </c>
      <c r="AK34" s="1284">
        <f t="shared" si="13"/>
        <v>57814.252786121804</v>
      </c>
      <c r="AL34" s="1284">
        <f t="shared" si="13"/>
        <v>57814.252786121804</v>
      </c>
      <c r="AM34" s="1284">
        <f t="shared" si="13"/>
        <v>13185158.870547099</v>
      </c>
      <c r="AN34" s="1284">
        <f t="shared" si="13"/>
        <v>0</v>
      </c>
      <c r="AO34" s="1284">
        <f t="shared" si="13"/>
        <v>0</v>
      </c>
      <c r="AP34" s="1284">
        <f t="shared" si="13"/>
        <v>0</v>
      </c>
      <c r="AQ34" s="1284">
        <f t="shared" si="13"/>
        <v>0</v>
      </c>
      <c r="AR34" s="1284">
        <f t="shared" si="13"/>
        <v>0</v>
      </c>
      <c r="AS34" s="1284">
        <f t="shared" si="13"/>
        <v>0</v>
      </c>
      <c r="AT34" s="1284">
        <f t="shared" si="13"/>
        <v>0</v>
      </c>
      <c r="AU34" s="1284">
        <f t="shared" si="13"/>
        <v>0</v>
      </c>
      <c r="AV34" s="1284">
        <f t="shared" si="13"/>
        <v>0</v>
      </c>
      <c r="AW34" s="1284">
        <f t="shared" si="13"/>
        <v>0</v>
      </c>
      <c r="AX34" s="1284">
        <f t="shared" si="13"/>
        <v>0</v>
      </c>
      <c r="AY34" s="1284">
        <f t="shared" si="13"/>
        <v>0</v>
      </c>
      <c r="AZ34" s="1284">
        <f t="shared" si="13"/>
        <v>0</v>
      </c>
      <c r="BA34" s="1284">
        <f t="shared" si="13"/>
        <v>0</v>
      </c>
      <c r="BB34" s="1284">
        <f t="shared" si="13"/>
        <v>0</v>
      </c>
      <c r="BC34" s="1284">
        <f t="shared" si="13"/>
        <v>0</v>
      </c>
      <c r="BD34" s="1284">
        <f t="shared" si="13"/>
        <v>0</v>
      </c>
      <c r="BE34" s="1284">
        <f t="shared" si="13"/>
        <v>0</v>
      </c>
      <c r="BF34" s="1284">
        <f t="shared" si="13"/>
        <v>0</v>
      </c>
      <c r="BG34" s="1284">
        <f t="shared" si="13"/>
        <v>0</v>
      </c>
      <c r="BH34" s="1284">
        <f t="shared" si="13"/>
        <v>0</v>
      </c>
      <c r="BI34" s="1284">
        <f t="shared" si="13"/>
        <v>0</v>
      </c>
      <c r="BJ34" s="1284">
        <f t="shared" si="13"/>
        <v>0</v>
      </c>
      <c r="BK34" s="1310">
        <f t="shared" si="13"/>
        <v>0</v>
      </c>
    </row>
    <row r="35" spans="2:63" s="1322" customFormat="1" ht="12">
      <c r="B35" s="1359" t="s">
        <v>663</v>
      </c>
      <c r="C35" s="1338">
        <f>XIRR(C34:BK34,C12:BK12)</f>
        <v>0.19440212845802304</v>
      </c>
      <c r="D35" s="1336"/>
      <c r="E35" s="1336"/>
      <c r="F35" s="1336"/>
      <c r="G35" s="1336"/>
      <c r="H35" s="1336"/>
      <c r="I35" s="1336"/>
      <c r="J35" s="1336"/>
      <c r="K35" s="1336"/>
      <c r="L35" s="1336"/>
      <c r="M35" s="1336"/>
      <c r="N35" s="1336"/>
      <c r="O35" s="1336"/>
      <c r="P35" s="1336"/>
      <c r="Q35" s="1336"/>
      <c r="R35" s="1336"/>
      <c r="S35" s="1336"/>
      <c r="T35" s="1336"/>
      <c r="U35" s="1336"/>
      <c r="V35" s="1336"/>
      <c r="W35" s="1336"/>
      <c r="X35" s="1336"/>
      <c r="Y35" s="1336"/>
      <c r="Z35" s="1336"/>
      <c r="AA35" s="1336"/>
      <c r="AB35" s="1336"/>
      <c r="AC35" s="1336"/>
      <c r="AD35" s="1336"/>
      <c r="AE35" s="1336"/>
      <c r="AF35" s="1336"/>
      <c r="AG35" s="1336"/>
      <c r="AH35" s="1336"/>
      <c r="AI35" s="1336"/>
      <c r="AJ35" s="1336"/>
      <c r="AK35" s="1336"/>
      <c r="AL35" s="1336"/>
      <c r="AM35" s="1336"/>
      <c r="AN35" s="1336"/>
      <c r="AO35" s="1336"/>
      <c r="AP35" s="1336"/>
      <c r="AQ35" s="1336"/>
      <c r="AR35" s="1336"/>
      <c r="AS35" s="1336"/>
      <c r="AT35" s="1336"/>
      <c r="AU35" s="1336"/>
      <c r="AV35" s="1336"/>
      <c r="AW35" s="1336"/>
      <c r="AX35" s="1336"/>
      <c r="AY35" s="1336"/>
      <c r="AZ35" s="1336"/>
      <c r="BA35" s="1336"/>
      <c r="BB35" s="1336"/>
      <c r="BC35" s="1336"/>
      <c r="BD35" s="1336"/>
      <c r="BE35" s="1336"/>
      <c r="BF35" s="1336"/>
      <c r="BG35" s="1336"/>
      <c r="BH35" s="1336"/>
      <c r="BI35" s="1336"/>
      <c r="BJ35" s="1336"/>
      <c r="BK35" s="1336"/>
    </row>
    <row r="36" spans="2:63" s="1322" customFormat="1" ht="12">
      <c r="B36" s="1359" t="s">
        <v>664</v>
      </c>
      <c r="C36" s="1339">
        <f>(SUM(C34:BK34)+D8+D9)/(D8+D9)</f>
        <v>1.6338191739521486</v>
      </c>
      <c r="D36" s="1336"/>
      <c r="E36" s="1336"/>
      <c r="F36" s="1336"/>
      <c r="G36" s="1336"/>
      <c r="H36" s="1336"/>
      <c r="I36" s="1336"/>
      <c r="J36" s="1336"/>
      <c r="K36" s="1336"/>
      <c r="L36" s="1336"/>
      <c r="M36" s="1336"/>
      <c r="N36" s="1336"/>
      <c r="O36" s="1336"/>
      <c r="P36" s="1336"/>
      <c r="Q36" s="1336"/>
      <c r="R36" s="1336"/>
      <c r="S36" s="1336"/>
      <c r="T36" s="1336"/>
      <c r="U36" s="1336"/>
      <c r="V36" s="1336"/>
      <c r="W36" s="1336"/>
      <c r="X36" s="1336"/>
      <c r="Y36" s="1336"/>
      <c r="Z36" s="1336"/>
      <c r="AA36" s="1336"/>
      <c r="AB36" s="1336"/>
      <c r="AC36" s="1336"/>
      <c r="AD36" s="1336"/>
      <c r="AE36" s="1336"/>
      <c r="AF36" s="1336"/>
      <c r="AG36" s="1336"/>
      <c r="AH36" s="1336"/>
      <c r="AI36" s="1336"/>
      <c r="AJ36" s="1336"/>
      <c r="AK36" s="1336"/>
      <c r="AL36" s="1336"/>
      <c r="AM36" s="1336"/>
      <c r="AN36" s="1336"/>
      <c r="AO36" s="1336"/>
      <c r="AP36" s="1336"/>
      <c r="AQ36" s="1336"/>
      <c r="AR36" s="1336"/>
      <c r="AS36" s="1336"/>
      <c r="AT36" s="1336"/>
      <c r="AU36" s="1336"/>
      <c r="AV36" s="1336"/>
      <c r="AW36" s="1336"/>
      <c r="AX36" s="1336"/>
      <c r="AY36" s="1336"/>
      <c r="AZ36" s="1336"/>
      <c r="BA36" s="1336"/>
      <c r="BB36" s="1336"/>
      <c r="BC36" s="1336"/>
      <c r="BD36" s="1336"/>
      <c r="BE36" s="1336"/>
      <c r="BF36" s="1336"/>
      <c r="BG36" s="1336"/>
      <c r="BH36" s="1336"/>
      <c r="BI36" s="1336"/>
      <c r="BJ36" s="1336"/>
      <c r="BK36" s="1336"/>
    </row>
    <row r="37" spans="2:63" s="1322" customFormat="1" ht="12">
      <c r="B37" s="1359" t="s">
        <v>665</v>
      </c>
      <c r="C37" s="1337">
        <f>(SUM(D37:BK37)/Draws!F9)</f>
        <v>4.5383865943115227E-2</v>
      </c>
      <c r="D37" s="1337">
        <f t="shared" ref="D37:AI37" si="14">MAX(D34,0)/($D$8+$D$9)</f>
        <v>0</v>
      </c>
      <c r="E37" s="1337">
        <f t="shared" si="14"/>
        <v>0</v>
      </c>
      <c r="F37" s="1337">
        <f t="shared" si="14"/>
        <v>0</v>
      </c>
      <c r="G37" s="1337">
        <f t="shared" si="14"/>
        <v>0</v>
      </c>
      <c r="H37" s="1337">
        <f t="shared" si="14"/>
        <v>0</v>
      </c>
      <c r="I37" s="1337">
        <f t="shared" si="14"/>
        <v>0</v>
      </c>
      <c r="J37" s="1337">
        <f t="shared" si="14"/>
        <v>0</v>
      </c>
      <c r="K37" s="1337">
        <f t="shared" si="14"/>
        <v>0</v>
      </c>
      <c r="L37" s="1337">
        <f t="shared" si="14"/>
        <v>0</v>
      </c>
      <c r="M37" s="1337">
        <f t="shared" si="14"/>
        <v>0</v>
      </c>
      <c r="N37" s="1337">
        <f t="shared" si="14"/>
        <v>0</v>
      </c>
      <c r="O37" s="1337">
        <f t="shared" si="14"/>
        <v>0</v>
      </c>
      <c r="P37" s="1337">
        <f t="shared" si="14"/>
        <v>0</v>
      </c>
      <c r="Q37" s="1337">
        <f t="shared" si="14"/>
        <v>0</v>
      </c>
      <c r="R37" s="1337">
        <f t="shared" si="14"/>
        <v>0</v>
      </c>
      <c r="S37" s="1337">
        <f t="shared" si="14"/>
        <v>0</v>
      </c>
      <c r="T37" s="1337">
        <f t="shared" si="14"/>
        <v>0</v>
      </c>
      <c r="U37" s="1337">
        <f t="shared" si="14"/>
        <v>0</v>
      </c>
      <c r="V37" s="1337">
        <f t="shared" si="14"/>
        <v>0</v>
      </c>
      <c r="W37" s="1337">
        <f t="shared" si="14"/>
        <v>0</v>
      </c>
      <c r="X37" s="1337">
        <f t="shared" si="14"/>
        <v>0</v>
      </c>
      <c r="Y37" s="1337">
        <f t="shared" si="14"/>
        <v>0</v>
      </c>
      <c r="Z37" s="1337">
        <f t="shared" si="14"/>
        <v>0</v>
      </c>
      <c r="AA37" s="1337">
        <f t="shared" si="14"/>
        <v>0</v>
      </c>
      <c r="AB37" s="1337">
        <f t="shared" si="14"/>
        <v>0</v>
      </c>
      <c r="AC37" s="1337">
        <f t="shared" si="14"/>
        <v>2.6024859817220958E-3</v>
      </c>
      <c r="AD37" s="1337">
        <f t="shared" si="14"/>
        <v>6.4937245375600826E-3</v>
      </c>
      <c r="AE37" s="1337">
        <f t="shared" si="14"/>
        <v>6.8826491412049768E-3</v>
      </c>
      <c r="AF37" s="1337">
        <f t="shared" si="14"/>
        <v>6.8826491412049768E-3</v>
      </c>
      <c r="AG37" s="1337">
        <f t="shared" si="14"/>
        <v>6.8826491412049768E-3</v>
      </c>
      <c r="AH37" s="1337">
        <f t="shared" si="14"/>
        <v>6.8826491412049768E-3</v>
      </c>
      <c r="AI37" s="1337">
        <f t="shared" si="14"/>
        <v>6.8826491412049768E-3</v>
      </c>
      <c r="AJ37" s="1337">
        <f t="shared" ref="AJ37:BK37" si="15">MAX(AJ34,0)/($D$8+$D$9)</f>
        <v>6.8826491412049768E-3</v>
      </c>
      <c r="AK37" s="1337">
        <f t="shared" si="15"/>
        <v>6.8826491412049768E-3</v>
      </c>
      <c r="AL37" s="1337">
        <f t="shared" si="15"/>
        <v>6.8826491412049768E-3</v>
      </c>
      <c r="AM37" s="1337">
        <f t="shared" si="15"/>
        <v>1.5696617703032261</v>
      </c>
      <c r="AN37" s="1337">
        <f t="shared" si="15"/>
        <v>0</v>
      </c>
      <c r="AO37" s="1337">
        <f t="shared" si="15"/>
        <v>0</v>
      </c>
      <c r="AP37" s="1337">
        <f t="shared" si="15"/>
        <v>0</v>
      </c>
      <c r="AQ37" s="1337">
        <f t="shared" si="15"/>
        <v>0</v>
      </c>
      <c r="AR37" s="1337">
        <f t="shared" si="15"/>
        <v>0</v>
      </c>
      <c r="AS37" s="1337">
        <f t="shared" si="15"/>
        <v>0</v>
      </c>
      <c r="AT37" s="1337">
        <f t="shared" si="15"/>
        <v>0</v>
      </c>
      <c r="AU37" s="1337">
        <f t="shared" si="15"/>
        <v>0</v>
      </c>
      <c r="AV37" s="1337">
        <f t="shared" si="15"/>
        <v>0</v>
      </c>
      <c r="AW37" s="1337">
        <f t="shared" si="15"/>
        <v>0</v>
      </c>
      <c r="AX37" s="1337">
        <f t="shared" si="15"/>
        <v>0</v>
      </c>
      <c r="AY37" s="1337">
        <f t="shared" si="15"/>
        <v>0</v>
      </c>
      <c r="AZ37" s="1337">
        <f t="shared" si="15"/>
        <v>0</v>
      </c>
      <c r="BA37" s="1337">
        <f t="shared" si="15"/>
        <v>0</v>
      </c>
      <c r="BB37" s="1337">
        <f t="shared" si="15"/>
        <v>0</v>
      </c>
      <c r="BC37" s="1337">
        <f t="shared" si="15"/>
        <v>0</v>
      </c>
      <c r="BD37" s="1337">
        <f t="shared" si="15"/>
        <v>0</v>
      </c>
      <c r="BE37" s="1337">
        <f t="shared" si="15"/>
        <v>0</v>
      </c>
      <c r="BF37" s="1337">
        <f t="shared" si="15"/>
        <v>0</v>
      </c>
      <c r="BG37" s="1337">
        <f t="shared" si="15"/>
        <v>0</v>
      </c>
      <c r="BH37" s="1337">
        <f t="shared" si="15"/>
        <v>0</v>
      </c>
      <c r="BI37" s="1337">
        <f t="shared" si="15"/>
        <v>0</v>
      </c>
      <c r="BJ37" s="1337">
        <f t="shared" si="15"/>
        <v>0</v>
      </c>
      <c r="BK37" s="1337">
        <f t="shared" si="15"/>
        <v>0</v>
      </c>
    </row>
    <row r="38" spans="2:63" s="1322" customFormat="1" ht="12">
      <c r="B38" s="1359" t="s">
        <v>666</v>
      </c>
      <c r="C38" s="1340">
        <f>SUM(C34:BK34)</f>
        <v>5324081.0611980474</v>
      </c>
      <c r="D38" s="1336"/>
      <c r="E38" s="1336"/>
      <c r="F38" s="1336"/>
      <c r="G38" s="1336"/>
      <c r="H38" s="1336"/>
      <c r="I38" s="1336"/>
      <c r="J38" s="1336"/>
      <c r="K38" s="1336"/>
      <c r="L38" s="1336"/>
      <c r="M38" s="1336"/>
      <c r="N38" s="1336"/>
      <c r="O38" s="1336"/>
      <c r="P38" s="1336"/>
      <c r="Q38" s="1336"/>
      <c r="R38" s="1336"/>
      <c r="S38" s="1336"/>
      <c r="T38" s="1336"/>
      <c r="U38" s="1336"/>
      <c r="V38" s="1336"/>
      <c r="W38" s="1336"/>
      <c r="X38" s="1336"/>
      <c r="Y38" s="1336"/>
      <c r="Z38" s="1336"/>
      <c r="AA38" s="1336"/>
      <c r="AB38" s="1336"/>
      <c r="AC38" s="1336"/>
      <c r="AD38" s="1336"/>
      <c r="AE38" s="1336"/>
      <c r="AF38" s="1336"/>
      <c r="AG38" s="1336"/>
      <c r="AH38" s="1336"/>
      <c r="AI38" s="1336"/>
      <c r="AJ38" s="1336"/>
      <c r="AK38" s="1336"/>
      <c r="AL38" s="1336"/>
      <c r="AM38" s="1336"/>
      <c r="AN38" s="1336"/>
      <c r="AO38" s="1336"/>
      <c r="AP38" s="1336"/>
      <c r="AQ38" s="1336"/>
      <c r="AR38" s="1336"/>
      <c r="AS38" s="1336"/>
      <c r="AT38" s="1336"/>
      <c r="AU38" s="1336"/>
      <c r="AV38" s="1336"/>
      <c r="AW38" s="1336"/>
      <c r="AX38" s="1336"/>
      <c r="AY38" s="1336"/>
      <c r="AZ38" s="1336"/>
      <c r="BA38" s="1336"/>
      <c r="BB38" s="1336"/>
      <c r="BC38" s="1336"/>
      <c r="BD38" s="1336"/>
      <c r="BE38" s="1336"/>
      <c r="BF38" s="1336"/>
      <c r="BG38" s="1336"/>
      <c r="BH38" s="1336"/>
      <c r="BI38" s="1336"/>
      <c r="BJ38" s="1336"/>
      <c r="BK38" s="1336"/>
    </row>
    <row r="39" spans="2:63">
      <c r="B39" s="1355"/>
      <c r="C39" s="1301"/>
      <c r="D39" s="1301"/>
      <c r="E39" s="1301"/>
      <c r="F39" s="1301"/>
      <c r="G39" s="1301"/>
      <c r="H39" s="1301"/>
      <c r="I39" s="1301"/>
      <c r="J39" s="1301"/>
      <c r="K39" s="1301"/>
      <c r="L39" s="1301"/>
      <c r="M39" s="1301"/>
      <c r="N39" s="1301"/>
      <c r="O39" s="1301"/>
      <c r="P39" s="1301"/>
      <c r="Q39" s="1301"/>
      <c r="R39" s="1301"/>
      <c r="S39" s="1301"/>
      <c r="T39" s="1301"/>
      <c r="U39" s="1301"/>
      <c r="V39" s="1301"/>
      <c r="W39" s="1301"/>
      <c r="X39" s="1301"/>
      <c r="Y39" s="1301"/>
      <c r="Z39" s="1301"/>
      <c r="AA39" s="1301"/>
      <c r="AB39" s="1301"/>
      <c r="AC39" s="1301"/>
      <c r="AD39" s="1301"/>
      <c r="AE39" s="1301"/>
      <c r="AF39" s="1301"/>
      <c r="AG39" s="1301"/>
      <c r="AH39" s="1301"/>
      <c r="AI39" s="1301"/>
      <c r="AJ39" s="1301"/>
      <c r="AK39" s="1301"/>
      <c r="AL39" s="1301"/>
      <c r="AM39" s="1301"/>
      <c r="AN39" s="1301"/>
      <c r="AO39" s="1301"/>
      <c r="AP39" s="1301"/>
      <c r="AQ39" s="1301"/>
      <c r="AR39" s="1301"/>
      <c r="AS39" s="1301"/>
      <c r="AT39" s="1301"/>
      <c r="AU39" s="1301"/>
      <c r="AV39" s="1301"/>
      <c r="AW39" s="1301"/>
      <c r="AX39" s="1301"/>
      <c r="AY39" s="1301"/>
      <c r="AZ39" s="1301"/>
      <c r="BA39" s="1301"/>
      <c r="BB39" s="1301"/>
      <c r="BC39" s="1301"/>
      <c r="BD39" s="1301"/>
      <c r="BE39" s="1301"/>
      <c r="BF39" s="1301"/>
      <c r="BG39" s="1301"/>
      <c r="BH39" s="1301"/>
      <c r="BI39" s="1301"/>
      <c r="BJ39" s="1301"/>
      <c r="BK39" s="1301"/>
    </row>
    <row r="40" spans="2:63">
      <c r="B40" s="1360" t="s">
        <v>652</v>
      </c>
      <c r="C40" s="1302"/>
      <c r="D40" s="1302"/>
      <c r="E40" s="1302"/>
      <c r="F40" s="1302"/>
      <c r="G40" s="1302"/>
      <c r="H40" s="1302"/>
      <c r="I40" s="1302"/>
      <c r="J40" s="1302"/>
      <c r="K40" s="1302"/>
      <c r="L40" s="1302"/>
      <c r="M40" s="1302"/>
      <c r="N40" s="1302"/>
      <c r="O40" s="1302"/>
      <c r="P40" s="1302"/>
      <c r="Q40" s="1302"/>
      <c r="R40" s="1302"/>
      <c r="S40" s="1302"/>
      <c r="T40" s="1302"/>
      <c r="U40" s="1302"/>
      <c r="V40" s="1302"/>
      <c r="W40" s="1302"/>
      <c r="X40" s="1302"/>
      <c r="Y40" s="1302"/>
      <c r="Z40" s="1302"/>
      <c r="AA40" s="1302"/>
      <c r="AB40" s="1302"/>
      <c r="AC40" s="1302"/>
      <c r="AD40" s="1302"/>
      <c r="AE40" s="1302"/>
      <c r="AF40" s="1302"/>
      <c r="AG40" s="1302"/>
      <c r="AH40" s="1302"/>
      <c r="AI40" s="1302"/>
      <c r="AJ40" s="1302"/>
      <c r="AK40" s="1302"/>
      <c r="AL40" s="1302"/>
      <c r="AM40" s="1302"/>
      <c r="AN40" s="1302"/>
      <c r="AO40" s="1302"/>
      <c r="AP40" s="1302"/>
      <c r="AQ40" s="1302"/>
      <c r="AR40" s="1302"/>
      <c r="AS40" s="1302"/>
      <c r="AT40" s="1302"/>
      <c r="AU40" s="1302"/>
      <c r="AV40" s="1302"/>
      <c r="AW40" s="1302"/>
      <c r="AX40" s="1302"/>
      <c r="AY40" s="1302"/>
      <c r="AZ40" s="1302"/>
      <c r="BA40" s="1302"/>
      <c r="BB40" s="1302"/>
      <c r="BC40" s="1302"/>
      <c r="BD40" s="1302"/>
      <c r="BE40" s="1302"/>
      <c r="BF40" s="1302"/>
      <c r="BG40" s="1302"/>
      <c r="BH40" s="1302"/>
      <c r="BI40" s="1302"/>
      <c r="BJ40" s="1302"/>
      <c r="BK40" s="1302"/>
    </row>
    <row r="41" spans="2:63">
      <c r="B41" s="1348" t="s">
        <v>638</v>
      </c>
      <c r="C41" s="1304">
        <f>C34*GPEQUITY</f>
        <v>-530943.5</v>
      </c>
      <c r="D41" s="1305">
        <f t="shared" ref="D41:AI41" si="16">IF(D34&lt;0,D34*GPEQUITY,0)</f>
        <v>-3333.3333333333339</v>
      </c>
      <c r="E41" s="1305">
        <f t="shared" si="16"/>
        <v>-3333.3333333333339</v>
      </c>
      <c r="F41" s="1305">
        <f t="shared" si="16"/>
        <v>-3333.3333333333339</v>
      </c>
      <c r="G41" s="1305">
        <f t="shared" si="16"/>
        <v>-3333.3333333333339</v>
      </c>
      <c r="H41" s="1305">
        <f t="shared" si="16"/>
        <v>-3333.3333333333339</v>
      </c>
      <c r="I41" s="1305">
        <f t="shared" si="16"/>
        <v>-3333.3333333333339</v>
      </c>
      <c r="J41" s="1305">
        <f t="shared" si="16"/>
        <v>-124952.9642857143</v>
      </c>
      <c r="K41" s="1305">
        <f t="shared" si="16"/>
        <v>-124952.9642857143</v>
      </c>
      <c r="L41" s="1305">
        <f t="shared" si="16"/>
        <v>-39150.571428571646</v>
      </c>
      <c r="M41" s="1305">
        <f t="shared" si="16"/>
        <v>0</v>
      </c>
      <c r="N41" s="1305">
        <f t="shared" si="16"/>
        <v>0</v>
      </c>
      <c r="O41" s="1305">
        <f t="shared" si="16"/>
        <v>0</v>
      </c>
      <c r="P41" s="1305">
        <f t="shared" si="16"/>
        <v>0</v>
      </c>
      <c r="Q41" s="1305">
        <f t="shared" si="16"/>
        <v>0</v>
      </c>
      <c r="R41" s="1305">
        <f t="shared" si="16"/>
        <v>0</v>
      </c>
      <c r="S41" s="1305">
        <f t="shared" si="16"/>
        <v>0</v>
      </c>
      <c r="T41" s="1305">
        <f t="shared" si="16"/>
        <v>0</v>
      </c>
      <c r="U41" s="1305">
        <f t="shared" si="16"/>
        <v>0</v>
      </c>
      <c r="V41" s="1305">
        <f t="shared" si="16"/>
        <v>0</v>
      </c>
      <c r="W41" s="1305">
        <f t="shared" si="16"/>
        <v>0</v>
      </c>
      <c r="X41" s="1305">
        <f t="shared" si="16"/>
        <v>0</v>
      </c>
      <c r="Y41" s="1305">
        <f t="shared" si="16"/>
        <v>0</v>
      </c>
      <c r="Z41" s="1305">
        <f t="shared" si="16"/>
        <v>0</v>
      </c>
      <c r="AA41" s="1305">
        <f t="shared" si="16"/>
        <v>0</v>
      </c>
      <c r="AB41" s="1305">
        <f t="shared" si="16"/>
        <v>0</v>
      </c>
      <c r="AC41" s="1305">
        <f t="shared" si="16"/>
        <v>0</v>
      </c>
      <c r="AD41" s="1305">
        <f t="shared" si="16"/>
        <v>0</v>
      </c>
      <c r="AE41" s="1305">
        <f t="shared" si="16"/>
        <v>0</v>
      </c>
      <c r="AF41" s="1305">
        <f t="shared" si="16"/>
        <v>0</v>
      </c>
      <c r="AG41" s="1305">
        <f t="shared" si="16"/>
        <v>0</v>
      </c>
      <c r="AH41" s="1305">
        <f t="shared" si="16"/>
        <v>0</v>
      </c>
      <c r="AI41" s="1305">
        <f t="shared" si="16"/>
        <v>0</v>
      </c>
      <c r="AJ41" s="1305">
        <f t="shared" ref="AJ41:BK41" si="17">IF(AJ34&lt;0,AJ34*GPEQUITY,0)</f>
        <v>0</v>
      </c>
      <c r="AK41" s="1305">
        <f t="shared" si="17"/>
        <v>0</v>
      </c>
      <c r="AL41" s="1305">
        <f t="shared" si="17"/>
        <v>0</v>
      </c>
      <c r="AM41" s="1305">
        <f t="shared" si="17"/>
        <v>0</v>
      </c>
      <c r="AN41" s="1305">
        <f t="shared" si="17"/>
        <v>0</v>
      </c>
      <c r="AO41" s="1305">
        <f t="shared" si="17"/>
        <v>0</v>
      </c>
      <c r="AP41" s="1305">
        <f t="shared" si="17"/>
        <v>0</v>
      </c>
      <c r="AQ41" s="1305">
        <f t="shared" si="17"/>
        <v>0</v>
      </c>
      <c r="AR41" s="1305">
        <f t="shared" si="17"/>
        <v>0</v>
      </c>
      <c r="AS41" s="1305">
        <f t="shared" si="17"/>
        <v>0</v>
      </c>
      <c r="AT41" s="1305">
        <f t="shared" si="17"/>
        <v>0</v>
      </c>
      <c r="AU41" s="1305">
        <f t="shared" si="17"/>
        <v>0</v>
      </c>
      <c r="AV41" s="1305">
        <f t="shared" si="17"/>
        <v>0</v>
      </c>
      <c r="AW41" s="1305">
        <f t="shared" si="17"/>
        <v>0</v>
      </c>
      <c r="AX41" s="1305">
        <f t="shared" si="17"/>
        <v>0</v>
      </c>
      <c r="AY41" s="1305">
        <f t="shared" si="17"/>
        <v>0</v>
      </c>
      <c r="AZ41" s="1305">
        <f t="shared" si="17"/>
        <v>0</v>
      </c>
      <c r="BA41" s="1305">
        <f t="shared" si="17"/>
        <v>0</v>
      </c>
      <c r="BB41" s="1305">
        <f t="shared" si="17"/>
        <v>0</v>
      </c>
      <c r="BC41" s="1305">
        <f t="shared" si="17"/>
        <v>0</v>
      </c>
      <c r="BD41" s="1305">
        <f t="shared" si="17"/>
        <v>0</v>
      </c>
      <c r="BE41" s="1305">
        <f t="shared" si="17"/>
        <v>0</v>
      </c>
      <c r="BF41" s="1305">
        <f t="shared" si="17"/>
        <v>0</v>
      </c>
      <c r="BG41" s="1305">
        <f t="shared" si="17"/>
        <v>0</v>
      </c>
      <c r="BH41" s="1305">
        <f t="shared" si="17"/>
        <v>0</v>
      </c>
      <c r="BI41" s="1305">
        <f t="shared" si="17"/>
        <v>0</v>
      </c>
      <c r="BJ41" s="1305">
        <f t="shared" si="17"/>
        <v>0</v>
      </c>
      <c r="BK41" s="1305">
        <f t="shared" si="17"/>
        <v>0</v>
      </c>
    </row>
    <row r="42" spans="2:63">
      <c r="B42" s="1350" t="s">
        <v>634</v>
      </c>
      <c r="C42" s="1306">
        <f>C34*LPEQUITY</f>
        <v>-4778491.5</v>
      </c>
      <c r="D42" s="1307">
        <f t="shared" ref="D42:AI42" si="18">IF(D34&lt;0,D34*LPEQUITY,0)</f>
        <v>-30000.000000000004</v>
      </c>
      <c r="E42" s="1307">
        <f t="shared" si="18"/>
        <v>-30000.000000000004</v>
      </c>
      <c r="F42" s="1307">
        <f t="shared" si="18"/>
        <v>-30000.000000000004</v>
      </c>
      <c r="G42" s="1307">
        <f t="shared" si="18"/>
        <v>-30000.000000000004</v>
      </c>
      <c r="H42" s="1307">
        <f t="shared" si="18"/>
        <v>-30000.000000000004</v>
      </c>
      <c r="I42" s="1307">
        <f t="shared" si="18"/>
        <v>-30000.000000000004</v>
      </c>
      <c r="J42" s="1307">
        <f t="shared" si="18"/>
        <v>-1124576.6785714286</v>
      </c>
      <c r="K42" s="1307">
        <f t="shared" si="18"/>
        <v>-1124576.6785714286</v>
      </c>
      <c r="L42" s="1307">
        <f t="shared" si="18"/>
        <v>-352355.14285714476</v>
      </c>
      <c r="M42" s="1307">
        <f t="shared" si="18"/>
        <v>0</v>
      </c>
      <c r="N42" s="1307">
        <f t="shared" si="18"/>
        <v>0</v>
      </c>
      <c r="O42" s="1307">
        <f t="shared" si="18"/>
        <v>0</v>
      </c>
      <c r="P42" s="1307">
        <f t="shared" si="18"/>
        <v>0</v>
      </c>
      <c r="Q42" s="1307">
        <f t="shared" si="18"/>
        <v>0</v>
      </c>
      <c r="R42" s="1307">
        <f t="shared" si="18"/>
        <v>0</v>
      </c>
      <c r="S42" s="1307">
        <f t="shared" si="18"/>
        <v>0</v>
      </c>
      <c r="T42" s="1307">
        <f t="shared" si="18"/>
        <v>0</v>
      </c>
      <c r="U42" s="1307">
        <f t="shared" si="18"/>
        <v>0</v>
      </c>
      <c r="V42" s="1307">
        <f t="shared" si="18"/>
        <v>0</v>
      </c>
      <c r="W42" s="1307">
        <f t="shared" si="18"/>
        <v>0</v>
      </c>
      <c r="X42" s="1307">
        <f t="shared" si="18"/>
        <v>0</v>
      </c>
      <c r="Y42" s="1307">
        <f t="shared" si="18"/>
        <v>0</v>
      </c>
      <c r="Z42" s="1307">
        <f t="shared" si="18"/>
        <v>0</v>
      </c>
      <c r="AA42" s="1307">
        <f t="shared" si="18"/>
        <v>0</v>
      </c>
      <c r="AB42" s="1307">
        <f t="shared" si="18"/>
        <v>0</v>
      </c>
      <c r="AC42" s="1307">
        <f t="shared" si="18"/>
        <v>0</v>
      </c>
      <c r="AD42" s="1307">
        <f t="shared" si="18"/>
        <v>0</v>
      </c>
      <c r="AE42" s="1307">
        <f t="shared" si="18"/>
        <v>0</v>
      </c>
      <c r="AF42" s="1307">
        <f t="shared" si="18"/>
        <v>0</v>
      </c>
      <c r="AG42" s="1307">
        <f t="shared" si="18"/>
        <v>0</v>
      </c>
      <c r="AH42" s="1307">
        <f t="shared" si="18"/>
        <v>0</v>
      </c>
      <c r="AI42" s="1307">
        <f t="shared" si="18"/>
        <v>0</v>
      </c>
      <c r="AJ42" s="1307">
        <f t="shared" ref="AJ42:BK42" si="19">IF(AJ34&lt;0,AJ34*LPEQUITY,0)</f>
        <v>0</v>
      </c>
      <c r="AK42" s="1307">
        <f t="shared" si="19"/>
        <v>0</v>
      </c>
      <c r="AL42" s="1307">
        <f t="shared" si="19"/>
        <v>0</v>
      </c>
      <c r="AM42" s="1307">
        <f t="shared" si="19"/>
        <v>0</v>
      </c>
      <c r="AN42" s="1307">
        <f t="shared" si="19"/>
        <v>0</v>
      </c>
      <c r="AO42" s="1307">
        <f t="shared" si="19"/>
        <v>0</v>
      </c>
      <c r="AP42" s="1307">
        <f t="shared" si="19"/>
        <v>0</v>
      </c>
      <c r="AQ42" s="1307">
        <f t="shared" si="19"/>
        <v>0</v>
      </c>
      <c r="AR42" s="1307">
        <f t="shared" si="19"/>
        <v>0</v>
      </c>
      <c r="AS42" s="1307">
        <f t="shared" si="19"/>
        <v>0</v>
      </c>
      <c r="AT42" s="1307">
        <f t="shared" si="19"/>
        <v>0</v>
      </c>
      <c r="AU42" s="1307">
        <f t="shared" si="19"/>
        <v>0</v>
      </c>
      <c r="AV42" s="1307">
        <f t="shared" si="19"/>
        <v>0</v>
      </c>
      <c r="AW42" s="1307">
        <f t="shared" si="19"/>
        <v>0</v>
      </c>
      <c r="AX42" s="1307">
        <f t="shared" si="19"/>
        <v>0</v>
      </c>
      <c r="AY42" s="1307">
        <f t="shared" si="19"/>
        <v>0</v>
      </c>
      <c r="AZ42" s="1307">
        <f t="shared" si="19"/>
        <v>0</v>
      </c>
      <c r="BA42" s="1307">
        <f t="shared" si="19"/>
        <v>0</v>
      </c>
      <c r="BB42" s="1307">
        <f t="shared" si="19"/>
        <v>0</v>
      </c>
      <c r="BC42" s="1307">
        <f t="shared" si="19"/>
        <v>0</v>
      </c>
      <c r="BD42" s="1307">
        <f t="shared" si="19"/>
        <v>0</v>
      </c>
      <c r="BE42" s="1307">
        <f t="shared" si="19"/>
        <v>0</v>
      </c>
      <c r="BF42" s="1307">
        <f t="shared" si="19"/>
        <v>0</v>
      </c>
      <c r="BG42" s="1307">
        <f t="shared" si="19"/>
        <v>0</v>
      </c>
      <c r="BH42" s="1307">
        <f t="shared" si="19"/>
        <v>0</v>
      </c>
      <c r="BI42" s="1307">
        <f t="shared" si="19"/>
        <v>0</v>
      </c>
      <c r="BJ42" s="1307">
        <f t="shared" si="19"/>
        <v>0</v>
      </c>
      <c r="BK42" s="1307">
        <f t="shared" si="19"/>
        <v>0</v>
      </c>
    </row>
    <row r="43" spans="2:63">
      <c r="B43" s="1355"/>
      <c r="C43" s="1284"/>
      <c r="D43" s="1284"/>
      <c r="E43" s="1284"/>
      <c r="F43" s="1284"/>
      <c r="G43" s="1284"/>
      <c r="H43" s="1284"/>
      <c r="I43" s="1284"/>
      <c r="J43" s="1284"/>
      <c r="K43" s="1284"/>
      <c r="L43" s="1284"/>
      <c r="M43" s="1284"/>
      <c r="N43" s="1284"/>
      <c r="O43" s="1284"/>
      <c r="P43" s="1284"/>
      <c r="Q43" s="1284"/>
      <c r="R43" s="1284"/>
      <c r="S43" s="1284"/>
      <c r="T43" s="1284"/>
      <c r="U43" s="1284"/>
      <c r="V43" s="1284"/>
      <c r="W43" s="1284"/>
      <c r="X43" s="1284"/>
      <c r="Y43" s="1284"/>
      <c r="Z43" s="1284"/>
      <c r="AA43" s="1284"/>
      <c r="AB43" s="1284"/>
      <c r="AC43" s="1284"/>
      <c r="AD43" s="1284"/>
      <c r="AE43" s="1284"/>
      <c r="AF43" s="1284"/>
      <c r="AG43" s="1284"/>
      <c r="AH43" s="1284"/>
      <c r="AI43" s="1284"/>
      <c r="AJ43" s="1284"/>
      <c r="AK43" s="1284"/>
      <c r="AL43" s="1284"/>
      <c r="AM43" s="1284"/>
      <c r="AN43" s="1284"/>
      <c r="AO43" s="1284"/>
      <c r="AP43" s="1284"/>
      <c r="AQ43" s="1284"/>
      <c r="AR43" s="1284"/>
      <c r="AS43" s="1284"/>
      <c r="AT43" s="1284"/>
      <c r="AU43" s="1284"/>
      <c r="AV43" s="1284"/>
      <c r="AW43" s="1284"/>
      <c r="AX43" s="1284"/>
      <c r="AY43" s="1284"/>
      <c r="AZ43" s="1284"/>
      <c r="BA43" s="1284"/>
      <c r="BB43" s="1284"/>
      <c r="BC43" s="1284"/>
      <c r="BD43" s="1284"/>
      <c r="BE43" s="1284"/>
      <c r="BF43" s="1284"/>
      <c r="BG43" s="1284"/>
      <c r="BH43" s="1284"/>
      <c r="BI43" s="1284"/>
      <c r="BJ43" s="1284"/>
      <c r="BK43" s="1284"/>
    </row>
    <row r="44" spans="2:63">
      <c r="B44" s="1360" t="s">
        <v>619</v>
      </c>
      <c r="C44" s="1308"/>
      <c r="D44" s="1308"/>
      <c r="E44" s="1308"/>
      <c r="F44" s="1308"/>
      <c r="G44" s="1308"/>
      <c r="H44" s="1308"/>
      <c r="I44" s="1308"/>
      <c r="J44" s="1308"/>
      <c r="K44" s="1308"/>
      <c r="L44" s="1308"/>
      <c r="M44" s="1308"/>
      <c r="N44" s="1308"/>
      <c r="O44" s="1308"/>
      <c r="P44" s="1308"/>
      <c r="Q44" s="1308"/>
      <c r="R44" s="1308"/>
      <c r="S44" s="1308"/>
      <c r="T44" s="1308"/>
      <c r="U44" s="1308"/>
      <c r="V44" s="1308"/>
      <c r="W44" s="1308"/>
      <c r="X44" s="1308"/>
      <c r="Y44" s="1308"/>
      <c r="Z44" s="1308"/>
      <c r="AA44" s="1308"/>
      <c r="AB44" s="1308"/>
      <c r="AC44" s="1308"/>
      <c r="AD44" s="1308"/>
      <c r="AE44" s="1308"/>
      <c r="AF44" s="1308"/>
      <c r="AG44" s="1308"/>
      <c r="AH44" s="1308"/>
      <c r="AI44" s="1308"/>
      <c r="AJ44" s="1308"/>
      <c r="AK44" s="1308"/>
      <c r="AL44" s="1308"/>
      <c r="AM44" s="1308"/>
      <c r="AN44" s="1308"/>
      <c r="AO44" s="1308"/>
      <c r="AP44" s="1308"/>
      <c r="AQ44" s="1308"/>
      <c r="AR44" s="1308"/>
      <c r="AS44" s="1308"/>
      <c r="AT44" s="1308"/>
      <c r="AU44" s="1308"/>
      <c r="AV44" s="1308"/>
      <c r="AW44" s="1308"/>
      <c r="AX44" s="1308"/>
      <c r="AY44" s="1308"/>
      <c r="AZ44" s="1308"/>
      <c r="BA44" s="1308"/>
      <c r="BB44" s="1308"/>
      <c r="BC44" s="1308"/>
      <c r="BD44" s="1308"/>
      <c r="BE44" s="1308"/>
      <c r="BF44" s="1308"/>
      <c r="BG44" s="1308"/>
      <c r="BH44" s="1308"/>
      <c r="BI44" s="1308"/>
      <c r="BJ44" s="1308"/>
      <c r="BK44" s="1308"/>
    </row>
    <row r="45" spans="2:63">
      <c r="B45" s="1348" t="s">
        <v>632</v>
      </c>
      <c r="C45" s="1304">
        <v>0</v>
      </c>
      <c r="D45" s="1305">
        <f t="shared" ref="D45:AL45" si="20">IF(D12&gt;SALEMONTH,0,C49)</f>
        <v>4778491.5</v>
      </c>
      <c r="E45" s="1305">
        <f t="shared" si="20"/>
        <v>4846071.8375506708</v>
      </c>
      <c r="F45" s="1305">
        <f t="shared" si="20"/>
        <v>4915459.202157313</v>
      </c>
      <c r="G45" s="1305">
        <f t="shared" si="20"/>
        <v>4985410.525681708</v>
      </c>
      <c r="H45" s="1305">
        <f t="shared" si="20"/>
        <v>5051994.7637068387</v>
      </c>
      <c r="I45" s="1305">
        <f t="shared" si="20"/>
        <v>5123055.8058084231</v>
      </c>
      <c r="J45" s="1305">
        <f t="shared" si="20"/>
        <v>5193345.9614931624</v>
      </c>
      <c r="K45" s="1305">
        <f t="shared" si="20"/>
        <v>6360132.5407368746</v>
      </c>
      <c r="L45" s="1305">
        <f t="shared" si="20"/>
        <v>7534728.3367950451</v>
      </c>
      <c r="M45" s="1305">
        <f t="shared" si="20"/>
        <v>7948323.4080234012</v>
      </c>
      <c r="N45" s="1305">
        <f t="shared" si="20"/>
        <v>8012924.9084917801</v>
      </c>
      <c r="O45" s="1305">
        <f t="shared" si="20"/>
        <v>8075942.3739051437</v>
      </c>
      <c r="P45" s="1305">
        <f t="shared" si="20"/>
        <v>8141581.1216344815</v>
      </c>
      <c r="Q45" s="1305">
        <f t="shared" si="20"/>
        <v>8205610.4009053968</v>
      </c>
      <c r="R45" s="1305">
        <f t="shared" si="20"/>
        <v>8272303.0500271376</v>
      </c>
      <c r="S45" s="1305">
        <f t="shared" si="20"/>
        <v>8339537.7562573161</v>
      </c>
      <c r="T45" s="1305">
        <f t="shared" si="20"/>
        <v>8400735.4515569955</v>
      </c>
      <c r="U45" s="1305">
        <f t="shared" si="20"/>
        <v>8469014.0164000746</v>
      </c>
      <c r="V45" s="1305">
        <f t="shared" si="20"/>
        <v>8535618.3842131551</v>
      </c>
      <c r="W45" s="1305">
        <f t="shared" si="20"/>
        <v>8604993.2355797999</v>
      </c>
      <c r="X45" s="1305">
        <f t="shared" si="20"/>
        <v>8672667.0088645965</v>
      </c>
      <c r="Y45" s="1305">
        <f t="shared" si="20"/>
        <v>8743155.7488257438</v>
      </c>
      <c r="Z45" s="1305">
        <f t="shared" si="20"/>
        <v>8814217.3993409611</v>
      </c>
      <c r="AA45" s="1305">
        <f t="shared" si="20"/>
        <v>8883536.611295661</v>
      </c>
      <c r="AB45" s="1305">
        <f t="shared" si="20"/>
        <v>8955739.233797932</v>
      </c>
      <c r="AC45" s="1305">
        <f t="shared" si="20"/>
        <v>9026171.4409959391</v>
      </c>
      <c r="AD45" s="1305">
        <f t="shared" si="20"/>
        <v>9079858.5610080361</v>
      </c>
      <c r="AE45" s="1305">
        <f t="shared" si="20"/>
        <v>9104564.2697509825</v>
      </c>
      <c r="AF45" s="1305">
        <f t="shared" si="20"/>
        <v>9119343.1009110659</v>
      </c>
      <c r="AG45" s="1305">
        <f t="shared" si="20"/>
        <v>9141429.4577097874</v>
      </c>
      <c r="AH45" s="1305">
        <f t="shared" si="20"/>
        <v>9161289.1939363312</v>
      </c>
      <c r="AI45" s="1305">
        <f t="shared" si="20"/>
        <v>9183716.4755325373</v>
      </c>
      <c r="AJ45" s="1305">
        <f t="shared" si="20"/>
        <v>9203908.7770474758</v>
      </c>
      <c r="AK45" s="1305">
        <f t="shared" si="20"/>
        <v>9226682.4573591072</v>
      </c>
      <c r="AL45" s="1305">
        <f t="shared" si="20"/>
        <v>9249641.2350609414</v>
      </c>
      <c r="AM45" s="1305">
        <f>IF(AM12&gt;SALEMONTH+1,0,AL49)</f>
        <v>9270352.0003454667</v>
      </c>
      <c r="AN45" s="1305">
        <f t="shared" ref="AN45:BK45" si="21">IF(AN12&gt;SALEMONTH,0,AM49)</f>
        <v>0</v>
      </c>
      <c r="AO45" s="1305">
        <f t="shared" si="21"/>
        <v>0</v>
      </c>
      <c r="AP45" s="1305">
        <f t="shared" si="21"/>
        <v>0</v>
      </c>
      <c r="AQ45" s="1305">
        <f t="shared" si="21"/>
        <v>0</v>
      </c>
      <c r="AR45" s="1305">
        <f t="shared" si="21"/>
        <v>0</v>
      </c>
      <c r="AS45" s="1305">
        <f t="shared" si="21"/>
        <v>0</v>
      </c>
      <c r="AT45" s="1305">
        <f t="shared" si="21"/>
        <v>0</v>
      </c>
      <c r="AU45" s="1305">
        <f t="shared" si="21"/>
        <v>0</v>
      </c>
      <c r="AV45" s="1305">
        <f t="shared" si="21"/>
        <v>0</v>
      </c>
      <c r="AW45" s="1305">
        <f t="shared" si="21"/>
        <v>0</v>
      </c>
      <c r="AX45" s="1305">
        <f t="shared" si="21"/>
        <v>0</v>
      </c>
      <c r="AY45" s="1305">
        <f t="shared" si="21"/>
        <v>0</v>
      </c>
      <c r="AZ45" s="1305">
        <f t="shared" si="21"/>
        <v>0</v>
      </c>
      <c r="BA45" s="1305">
        <f t="shared" si="21"/>
        <v>0</v>
      </c>
      <c r="BB45" s="1305">
        <f t="shared" si="21"/>
        <v>0</v>
      </c>
      <c r="BC45" s="1305">
        <f t="shared" si="21"/>
        <v>0</v>
      </c>
      <c r="BD45" s="1305">
        <f t="shared" si="21"/>
        <v>0</v>
      </c>
      <c r="BE45" s="1305">
        <f t="shared" si="21"/>
        <v>0</v>
      </c>
      <c r="BF45" s="1305">
        <f t="shared" si="21"/>
        <v>0</v>
      </c>
      <c r="BG45" s="1305">
        <f t="shared" si="21"/>
        <v>0</v>
      </c>
      <c r="BH45" s="1305">
        <f t="shared" si="21"/>
        <v>0</v>
      </c>
      <c r="BI45" s="1305">
        <f t="shared" si="21"/>
        <v>0</v>
      </c>
      <c r="BJ45" s="1305">
        <f t="shared" si="21"/>
        <v>0</v>
      </c>
      <c r="BK45" s="1305">
        <f t="shared" si="21"/>
        <v>0</v>
      </c>
    </row>
    <row r="46" spans="2:63">
      <c r="B46" s="1349" t="s">
        <v>633</v>
      </c>
      <c r="C46" s="1309">
        <v>0</v>
      </c>
      <c r="D46" s="1284">
        <f t="shared" ref="D46:AI46" si="22">D45*(1+PREF)^((D12-C12)/365)-D45</f>
        <v>37580.33755067084</v>
      </c>
      <c r="E46" s="1284">
        <f t="shared" si="22"/>
        <v>39387.364606642164</v>
      </c>
      <c r="F46" s="1284">
        <f t="shared" si="22"/>
        <v>39951.323524395004</v>
      </c>
      <c r="G46" s="1284">
        <f t="shared" si="22"/>
        <v>36584.238025130704</v>
      </c>
      <c r="H46" s="1284">
        <f t="shared" si="22"/>
        <v>41061.042101584375</v>
      </c>
      <c r="I46" s="1284">
        <f t="shared" si="22"/>
        <v>40290.155684739351</v>
      </c>
      <c r="J46" s="1284">
        <f t="shared" si="22"/>
        <v>42209.900672283955</v>
      </c>
      <c r="K46" s="1284">
        <f t="shared" si="22"/>
        <v>50019.117486742325</v>
      </c>
      <c r="L46" s="1284">
        <f t="shared" si="22"/>
        <v>61239.928371211514</v>
      </c>
      <c r="M46" s="1284">
        <f t="shared" si="22"/>
        <v>64601.500468378887</v>
      </c>
      <c r="N46" s="1284">
        <f t="shared" si="22"/>
        <v>63017.46541336365</v>
      </c>
      <c r="O46" s="1284">
        <f t="shared" si="22"/>
        <v>65638.747729337774</v>
      </c>
      <c r="P46" s="1284">
        <f t="shared" si="22"/>
        <v>64029.279270915315</v>
      </c>
      <c r="Q46" s="1284">
        <f t="shared" si="22"/>
        <v>66692.649121740833</v>
      </c>
      <c r="R46" s="1284">
        <f t="shared" si="22"/>
        <v>67234.706230178475</v>
      </c>
      <c r="S46" s="1284">
        <f t="shared" si="22"/>
        <v>61197.695299679413</v>
      </c>
      <c r="T46" s="1284">
        <f t="shared" si="22"/>
        <v>68278.564843079075</v>
      </c>
      <c r="U46" s="1284">
        <f t="shared" si="22"/>
        <v>66604.367813080549</v>
      </c>
      <c r="V46" s="1284">
        <f t="shared" si="22"/>
        <v>69374.851366644725</v>
      </c>
      <c r="W46" s="1284">
        <f t="shared" si="22"/>
        <v>67673.773284796625</v>
      </c>
      <c r="X46" s="1284">
        <f t="shared" si="22"/>
        <v>70488.739961147308</v>
      </c>
      <c r="Y46" s="1284">
        <f t="shared" si="22"/>
        <v>71061.650515217334</v>
      </c>
      <c r="Z46" s="1284">
        <f t="shared" si="22"/>
        <v>69319.211954699829</v>
      </c>
      <c r="AA46" s="1284">
        <f t="shared" si="22"/>
        <v>72202.622502271086</v>
      </c>
      <c r="AB46" s="1284">
        <f t="shared" si="22"/>
        <v>70432.207198007032</v>
      </c>
      <c r="AC46" s="1284">
        <f t="shared" si="22"/>
        <v>73361.914033915848</v>
      </c>
      <c r="AD46" s="1284">
        <f t="shared" si="22"/>
        <v>73798.266246899962</v>
      </c>
      <c r="AE46" s="1284">
        <f t="shared" si="22"/>
        <v>66811.658667592332</v>
      </c>
      <c r="AF46" s="1284">
        <f t="shared" si="22"/>
        <v>74119.184306230396</v>
      </c>
      <c r="AG46" s="1284">
        <f t="shared" si="22"/>
        <v>71892.563734052703</v>
      </c>
      <c r="AH46" s="1284">
        <f t="shared" si="22"/>
        <v>74460.109103715047</v>
      </c>
      <c r="AI46" s="1284">
        <f t="shared" si="22"/>
        <v>72225.129022447392</v>
      </c>
      <c r="AJ46" s="1284">
        <f t="shared" ref="AJ46:BK46" si="23">AJ45*(1+PREF)^((AJ12-AI12)/365)-AJ45</f>
        <v>74806.50781914033</v>
      </c>
      <c r="AK46" s="1284">
        <f t="shared" si="23"/>
        <v>74991.605209343135</v>
      </c>
      <c r="AL46" s="1284">
        <f t="shared" si="23"/>
        <v>72743.592792034149</v>
      </c>
      <c r="AM46" s="1284">
        <f t="shared" si="23"/>
        <v>75346.537672061473</v>
      </c>
      <c r="AN46" s="1284">
        <f t="shared" si="23"/>
        <v>0</v>
      </c>
      <c r="AO46" s="1284">
        <f t="shared" si="23"/>
        <v>0</v>
      </c>
      <c r="AP46" s="1284">
        <f t="shared" si="23"/>
        <v>0</v>
      </c>
      <c r="AQ46" s="1284">
        <f t="shared" si="23"/>
        <v>0</v>
      </c>
      <c r="AR46" s="1284">
        <f t="shared" si="23"/>
        <v>0</v>
      </c>
      <c r="AS46" s="1284">
        <f t="shared" si="23"/>
        <v>0</v>
      </c>
      <c r="AT46" s="1284">
        <f t="shared" si="23"/>
        <v>0</v>
      </c>
      <c r="AU46" s="1284">
        <f t="shared" si="23"/>
        <v>0</v>
      </c>
      <c r="AV46" s="1284">
        <f t="shared" si="23"/>
        <v>0</v>
      </c>
      <c r="AW46" s="1284">
        <f t="shared" si="23"/>
        <v>0</v>
      </c>
      <c r="AX46" s="1284">
        <f t="shared" si="23"/>
        <v>0</v>
      </c>
      <c r="AY46" s="1284">
        <f t="shared" si="23"/>
        <v>0</v>
      </c>
      <c r="AZ46" s="1284">
        <f t="shared" si="23"/>
        <v>0</v>
      </c>
      <c r="BA46" s="1284">
        <f t="shared" si="23"/>
        <v>0</v>
      </c>
      <c r="BB46" s="1284">
        <f t="shared" si="23"/>
        <v>0</v>
      </c>
      <c r="BC46" s="1284">
        <f t="shared" si="23"/>
        <v>0</v>
      </c>
      <c r="BD46" s="1284">
        <f t="shared" si="23"/>
        <v>0</v>
      </c>
      <c r="BE46" s="1284">
        <f t="shared" si="23"/>
        <v>0</v>
      </c>
      <c r="BF46" s="1284">
        <f t="shared" si="23"/>
        <v>0</v>
      </c>
      <c r="BG46" s="1284">
        <f t="shared" si="23"/>
        <v>0</v>
      </c>
      <c r="BH46" s="1284">
        <f t="shared" si="23"/>
        <v>0</v>
      </c>
      <c r="BI46" s="1284">
        <f t="shared" si="23"/>
        <v>0</v>
      </c>
      <c r="BJ46" s="1284">
        <f t="shared" si="23"/>
        <v>0</v>
      </c>
      <c r="BK46" s="1284">
        <f t="shared" si="23"/>
        <v>0</v>
      </c>
    </row>
    <row r="47" spans="2:63">
      <c r="B47" s="1349" t="s">
        <v>634</v>
      </c>
      <c r="C47" s="1309">
        <f>-C42</f>
        <v>4778491.5</v>
      </c>
      <c r="D47" s="1284">
        <f t="shared" ref="D47:BK47" si="24">-D42</f>
        <v>30000.000000000004</v>
      </c>
      <c r="E47" s="1284">
        <f t="shared" si="24"/>
        <v>30000.000000000004</v>
      </c>
      <c r="F47" s="1284">
        <f t="shared" si="24"/>
        <v>30000.000000000004</v>
      </c>
      <c r="G47" s="1284">
        <f t="shared" si="24"/>
        <v>30000.000000000004</v>
      </c>
      <c r="H47" s="1284">
        <f t="shared" si="24"/>
        <v>30000.000000000004</v>
      </c>
      <c r="I47" s="1284">
        <f t="shared" si="24"/>
        <v>30000.000000000004</v>
      </c>
      <c r="J47" s="1284">
        <f t="shared" si="24"/>
        <v>1124576.6785714286</v>
      </c>
      <c r="K47" s="1284">
        <f t="shared" si="24"/>
        <v>1124576.6785714286</v>
      </c>
      <c r="L47" s="1284">
        <f t="shared" si="24"/>
        <v>352355.14285714476</v>
      </c>
      <c r="M47" s="1284">
        <f t="shared" si="24"/>
        <v>0</v>
      </c>
      <c r="N47" s="1284">
        <f t="shared" si="24"/>
        <v>0</v>
      </c>
      <c r="O47" s="1284">
        <f t="shared" si="24"/>
        <v>0</v>
      </c>
      <c r="P47" s="1284">
        <f t="shared" si="24"/>
        <v>0</v>
      </c>
      <c r="Q47" s="1284">
        <f t="shared" si="24"/>
        <v>0</v>
      </c>
      <c r="R47" s="1284">
        <f t="shared" si="24"/>
        <v>0</v>
      </c>
      <c r="S47" s="1284">
        <f t="shared" si="24"/>
        <v>0</v>
      </c>
      <c r="T47" s="1284">
        <f t="shared" si="24"/>
        <v>0</v>
      </c>
      <c r="U47" s="1284">
        <f t="shared" si="24"/>
        <v>0</v>
      </c>
      <c r="V47" s="1284">
        <f t="shared" si="24"/>
        <v>0</v>
      </c>
      <c r="W47" s="1284">
        <f t="shared" si="24"/>
        <v>0</v>
      </c>
      <c r="X47" s="1284">
        <f t="shared" si="24"/>
        <v>0</v>
      </c>
      <c r="Y47" s="1284">
        <f t="shared" si="24"/>
        <v>0</v>
      </c>
      <c r="Z47" s="1284">
        <f t="shared" si="24"/>
        <v>0</v>
      </c>
      <c r="AA47" s="1284">
        <f t="shared" si="24"/>
        <v>0</v>
      </c>
      <c r="AB47" s="1284">
        <f t="shared" si="24"/>
        <v>0</v>
      </c>
      <c r="AC47" s="1284">
        <f t="shared" si="24"/>
        <v>0</v>
      </c>
      <c r="AD47" s="1284">
        <f t="shared" si="24"/>
        <v>0</v>
      </c>
      <c r="AE47" s="1284">
        <f t="shared" si="24"/>
        <v>0</v>
      </c>
      <c r="AF47" s="1284">
        <f t="shared" si="24"/>
        <v>0</v>
      </c>
      <c r="AG47" s="1284">
        <f t="shared" si="24"/>
        <v>0</v>
      </c>
      <c r="AH47" s="1284">
        <f t="shared" si="24"/>
        <v>0</v>
      </c>
      <c r="AI47" s="1284">
        <f t="shared" si="24"/>
        <v>0</v>
      </c>
      <c r="AJ47" s="1284">
        <f t="shared" si="24"/>
        <v>0</v>
      </c>
      <c r="AK47" s="1284">
        <f t="shared" si="24"/>
        <v>0</v>
      </c>
      <c r="AL47" s="1284">
        <f t="shared" si="24"/>
        <v>0</v>
      </c>
      <c r="AM47" s="1284">
        <f t="shared" si="24"/>
        <v>0</v>
      </c>
      <c r="AN47" s="1284">
        <f t="shared" si="24"/>
        <v>0</v>
      </c>
      <c r="AO47" s="1284">
        <f t="shared" si="24"/>
        <v>0</v>
      </c>
      <c r="AP47" s="1284">
        <f t="shared" si="24"/>
        <v>0</v>
      </c>
      <c r="AQ47" s="1284">
        <f t="shared" si="24"/>
        <v>0</v>
      </c>
      <c r="AR47" s="1284">
        <f t="shared" si="24"/>
        <v>0</v>
      </c>
      <c r="AS47" s="1284">
        <f t="shared" si="24"/>
        <v>0</v>
      </c>
      <c r="AT47" s="1284">
        <f t="shared" si="24"/>
        <v>0</v>
      </c>
      <c r="AU47" s="1284">
        <f t="shared" si="24"/>
        <v>0</v>
      </c>
      <c r="AV47" s="1284">
        <f t="shared" si="24"/>
        <v>0</v>
      </c>
      <c r="AW47" s="1284">
        <f t="shared" si="24"/>
        <v>0</v>
      </c>
      <c r="AX47" s="1284">
        <f t="shared" si="24"/>
        <v>0</v>
      </c>
      <c r="AY47" s="1284">
        <f t="shared" si="24"/>
        <v>0</v>
      </c>
      <c r="AZ47" s="1284">
        <f t="shared" si="24"/>
        <v>0</v>
      </c>
      <c r="BA47" s="1284">
        <f t="shared" si="24"/>
        <v>0</v>
      </c>
      <c r="BB47" s="1284">
        <f t="shared" si="24"/>
        <v>0</v>
      </c>
      <c r="BC47" s="1284">
        <f t="shared" si="24"/>
        <v>0</v>
      </c>
      <c r="BD47" s="1284">
        <f t="shared" si="24"/>
        <v>0</v>
      </c>
      <c r="BE47" s="1284">
        <f t="shared" si="24"/>
        <v>0</v>
      </c>
      <c r="BF47" s="1284">
        <f t="shared" si="24"/>
        <v>0</v>
      </c>
      <c r="BG47" s="1284">
        <f t="shared" si="24"/>
        <v>0</v>
      </c>
      <c r="BH47" s="1284">
        <f t="shared" si="24"/>
        <v>0</v>
      </c>
      <c r="BI47" s="1284">
        <f t="shared" si="24"/>
        <v>0</v>
      </c>
      <c r="BJ47" s="1284">
        <f t="shared" si="24"/>
        <v>0</v>
      </c>
      <c r="BK47" s="1284">
        <f t="shared" si="24"/>
        <v>0</v>
      </c>
    </row>
    <row r="48" spans="2:63" s="1345" customFormat="1">
      <c r="B48" s="1361" t="s">
        <v>635</v>
      </c>
      <c r="C48" s="1343">
        <f t="shared" ref="C48:AH48" si="25">MIN(C45+C46,MAX(C34,0)*LPEQUITY)</f>
        <v>0</v>
      </c>
      <c r="D48" s="1344">
        <f t="shared" si="25"/>
        <v>0</v>
      </c>
      <c r="E48" s="1344">
        <f t="shared" si="25"/>
        <v>0</v>
      </c>
      <c r="F48" s="1344">
        <f t="shared" si="25"/>
        <v>0</v>
      </c>
      <c r="G48" s="1344">
        <f t="shared" si="25"/>
        <v>0</v>
      </c>
      <c r="H48" s="1344">
        <f t="shared" si="25"/>
        <v>0</v>
      </c>
      <c r="I48" s="1344">
        <f t="shared" si="25"/>
        <v>0</v>
      </c>
      <c r="J48" s="1344">
        <f t="shared" si="25"/>
        <v>0</v>
      </c>
      <c r="K48" s="1344">
        <f t="shared" si="25"/>
        <v>0</v>
      </c>
      <c r="L48" s="1344">
        <f t="shared" si="25"/>
        <v>0</v>
      </c>
      <c r="M48" s="1344">
        <f t="shared" si="25"/>
        <v>0</v>
      </c>
      <c r="N48" s="1344">
        <f t="shared" si="25"/>
        <v>0</v>
      </c>
      <c r="O48" s="1344">
        <f t="shared" si="25"/>
        <v>0</v>
      </c>
      <c r="P48" s="1344">
        <f t="shared" si="25"/>
        <v>0</v>
      </c>
      <c r="Q48" s="1344">
        <f t="shared" si="25"/>
        <v>0</v>
      </c>
      <c r="R48" s="1344">
        <f t="shared" si="25"/>
        <v>0</v>
      </c>
      <c r="S48" s="1344">
        <f t="shared" si="25"/>
        <v>0</v>
      </c>
      <c r="T48" s="1344">
        <f t="shared" si="25"/>
        <v>0</v>
      </c>
      <c r="U48" s="1344">
        <f t="shared" si="25"/>
        <v>0</v>
      </c>
      <c r="V48" s="1344">
        <f t="shared" si="25"/>
        <v>0</v>
      </c>
      <c r="W48" s="1344">
        <f t="shared" si="25"/>
        <v>0</v>
      </c>
      <c r="X48" s="1344">
        <f t="shared" si="25"/>
        <v>0</v>
      </c>
      <c r="Y48" s="1344">
        <f t="shared" si="25"/>
        <v>0</v>
      </c>
      <c r="Z48" s="1344">
        <f t="shared" si="25"/>
        <v>0</v>
      </c>
      <c r="AA48" s="1344">
        <f t="shared" si="25"/>
        <v>0</v>
      </c>
      <c r="AB48" s="1344">
        <f t="shared" si="25"/>
        <v>0</v>
      </c>
      <c r="AC48" s="1344">
        <f t="shared" si="25"/>
        <v>19674.794021819045</v>
      </c>
      <c r="AD48" s="1344">
        <f t="shared" si="25"/>
        <v>49092.557503954224</v>
      </c>
      <c r="AE48" s="1344">
        <f t="shared" si="25"/>
        <v>52032.827507509624</v>
      </c>
      <c r="AF48" s="1344">
        <f t="shared" si="25"/>
        <v>52032.827507509624</v>
      </c>
      <c r="AG48" s="1344">
        <f t="shared" si="25"/>
        <v>52032.827507509624</v>
      </c>
      <c r="AH48" s="1344">
        <f t="shared" si="25"/>
        <v>52032.827507509624</v>
      </c>
      <c r="AI48" s="1344">
        <f t="shared" ref="AI48:BK48" si="26">MIN(AI45+AI46,MAX(AI34,0)*LPEQUITY)</f>
        <v>52032.827507509624</v>
      </c>
      <c r="AJ48" s="1344">
        <f t="shared" si="26"/>
        <v>52032.827507509624</v>
      </c>
      <c r="AK48" s="1344">
        <f t="shared" si="26"/>
        <v>52032.827507509624</v>
      </c>
      <c r="AL48" s="1344">
        <f t="shared" si="26"/>
        <v>52032.827507509624</v>
      </c>
      <c r="AM48" s="1344">
        <f t="shared" si="26"/>
        <v>9345698.5380175281</v>
      </c>
      <c r="AN48" s="1344">
        <f t="shared" si="26"/>
        <v>0</v>
      </c>
      <c r="AO48" s="1344">
        <f t="shared" si="26"/>
        <v>0</v>
      </c>
      <c r="AP48" s="1344">
        <f t="shared" si="26"/>
        <v>0</v>
      </c>
      <c r="AQ48" s="1344">
        <f t="shared" si="26"/>
        <v>0</v>
      </c>
      <c r="AR48" s="1344">
        <f t="shared" si="26"/>
        <v>0</v>
      </c>
      <c r="AS48" s="1344">
        <f t="shared" si="26"/>
        <v>0</v>
      </c>
      <c r="AT48" s="1344">
        <f t="shared" si="26"/>
        <v>0</v>
      </c>
      <c r="AU48" s="1344">
        <f t="shared" si="26"/>
        <v>0</v>
      </c>
      <c r="AV48" s="1344">
        <f t="shared" si="26"/>
        <v>0</v>
      </c>
      <c r="AW48" s="1344">
        <f t="shared" si="26"/>
        <v>0</v>
      </c>
      <c r="AX48" s="1344">
        <f t="shared" si="26"/>
        <v>0</v>
      </c>
      <c r="AY48" s="1344">
        <f t="shared" si="26"/>
        <v>0</v>
      </c>
      <c r="AZ48" s="1344">
        <f t="shared" si="26"/>
        <v>0</v>
      </c>
      <c r="BA48" s="1344">
        <f t="shared" si="26"/>
        <v>0</v>
      </c>
      <c r="BB48" s="1344">
        <f t="shared" si="26"/>
        <v>0</v>
      </c>
      <c r="BC48" s="1344">
        <f t="shared" si="26"/>
        <v>0</v>
      </c>
      <c r="BD48" s="1344">
        <f t="shared" si="26"/>
        <v>0</v>
      </c>
      <c r="BE48" s="1344">
        <f t="shared" si="26"/>
        <v>0</v>
      </c>
      <c r="BF48" s="1344">
        <f t="shared" si="26"/>
        <v>0</v>
      </c>
      <c r="BG48" s="1344">
        <f t="shared" si="26"/>
        <v>0</v>
      </c>
      <c r="BH48" s="1344">
        <f t="shared" si="26"/>
        <v>0</v>
      </c>
      <c r="BI48" s="1344">
        <f t="shared" si="26"/>
        <v>0</v>
      </c>
      <c r="BJ48" s="1344">
        <f t="shared" si="26"/>
        <v>0</v>
      </c>
      <c r="BK48" s="1344">
        <f t="shared" si="26"/>
        <v>0</v>
      </c>
    </row>
    <row r="49" spans="1:63">
      <c r="A49" s="1311" t="s">
        <v>601</v>
      </c>
      <c r="B49" s="1349" t="s">
        <v>636</v>
      </c>
      <c r="C49" s="1309">
        <f>C45+C46+C47-C48</f>
        <v>4778491.5</v>
      </c>
      <c r="D49" s="1284">
        <f t="shared" ref="D49:BK49" si="27">D45+D46+D47-D48</f>
        <v>4846071.8375506708</v>
      </c>
      <c r="E49" s="1284">
        <f t="shared" si="27"/>
        <v>4915459.202157313</v>
      </c>
      <c r="F49" s="1284">
        <f t="shared" si="27"/>
        <v>4985410.525681708</v>
      </c>
      <c r="G49" s="1284">
        <f t="shared" si="27"/>
        <v>5051994.7637068387</v>
      </c>
      <c r="H49" s="1284">
        <f t="shared" si="27"/>
        <v>5123055.8058084231</v>
      </c>
      <c r="I49" s="1284">
        <f t="shared" si="27"/>
        <v>5193345.9614931624</v>
      </c>
      <c r="J49" s="1284">
        <f t="shared" si="27"/>
        <v>6360132.5407368746</v>
      </c>
      <c r="K49" s="1284">
        <f t="shared" si="27"/>
        <v>7534728.3367950451</v>
      </c>
      <c r="L49" s="1284">
        <f t="shared" si="27"/>
        <v>7948323.4080234012</v>
      </c>
      <c r="M49" s="1284">
        <f t="shared" si="27"/>
        <v>8012924.9084917801</v>
      </c>
      <c r="N49" s="1284">
        <f t="shared" si="27"/>
        <v>8075942.3739051437</v>
      </c>
      <c r="O49" s="1284">
        <f t="shared" si="27"/>
        <v>8141581.1216344815</v>
      </c>
      <c r="P49" s="1284">
        <f t="shared" si="27"/>
        <v>8205610.4009053968</v>
      </c>
      <c r="Q49" s="1284">
        <f t="shared" si="27"/>
        <v>8272303.0500271376</v>
      </c>
      <c r="R49" s="1284">
        <f t="shared" si="27"/>
        <v>8339537.7562573161</v>
      </c>
      <c r="S49" s="1284">
        <f t="shared" si="27"/>
        <v>8400735.4515569955</v>
      </c>
      <c r="T49" s="1284">
        <f t="shared" si="27"/>
        <v>8469014.0164000746</v>
      </c>
      <c r="U49" s="1284">
        <f t="shared" si="27"/>
        <v>8535618.3842131551</v>
      </c>
      <c r="V49" s="1284">
        <f t="shared" si="27"/>
        <v>8604993.2355797999</v>
      </c>
      <c r="W49" s="1284">
        <f t="shared" si="27"/>
        <v>8672667.0088645965</v>
      </c>
      <c r="X49" s="1284">
        <f t="shared" si="27"/>
        <v>8743155.7488257438</v>
      </c>
      <c r="Y49" s="1284">
        <f t="shared" si="27"/>
        <v>8814217.3993409611</v>
      </c>
      <c r="Z49" s="1284">
        <f t="shared" si="27"/>
        <v>8883536.611295661</v>
      </c>
      <c r="AA49" s="1284">
        <f t="shared" si="27"/>
        <v>8955739.233797932</v>
      </c>
      <c r="AB49" s="1284">
        <f t="shared" si="27"/>
        <v>9026171.4409959391</v>
      </c>
      <c r="AC49" s="1284">
        <f t="shared" si="27"/>
        <v>9079858.5610080361</v>
      </c>
      <c r="AD49" s="1284">
        <f t="shared" si="27"/>
        <v>9104564.2697509825</v>
      </c>
      <c r="AE49" s="1284">
        <f t="shared" si="27"/>
        <v>9119343.1009110659</v>
      </c>
      <c r="AF49" s="1284">
        <f t="shared" si="27"/>
        <v>9141429.4577097874</v>
      </c>
      <c r="AG49" s="1284">
        <f t="shared" si="27"/>
        <v>9161289.1939363312</v>
      </c>
      <c r="AH49" s="1284">
        <f t="shared" si="27"/>
        <v>9183716.4755325373</v>
      </c>
      <c r="AI49" s="1284">
        <f t="shared" si="27"/>
        <v>9203908.7770474758</v>
      </c>
      <c r="AJ49" s="1284">
        <f t="shared" si="27"/>
        <v>9226682.4573591072</v>
      </c>
      <c r="AK49" s="1284">
        <f t="shared" si="27"/>
        <v>9249641.2350609414</v>
      </c>
      <c r="AL49" s="1284">
        <f t="shared" si="27"/>
        <v>9270352.0003454667</v>
      </c>
      <c r="AM49" s="1284">
        <f t="shared" si="27"/>
        <v>0</v>
      </c>
      <c r="AN49" s="1284">
        <f t="shared" si="27"/>
        <v>0</v>
      </c>
      <c r="AO49" s="1284">
        <f t="shared" si="27"/>
        <v>0</v>
      </c>
      <c r="AP49" s="1284">
        <f t="shared" si="27"/>
        <v>0</v>
      </c>
      <c r="AQ49" s="1284">
        <f t="shared" si="27"/>
        <v>0</v>
      </c>
      <c r="AR49" s="1284">
        <f t="shared" si="27"/>
        <v>0</v>
      </c>
      <c r="AS49" s="1284">
        <f t="shared" si="27"/>
        <v>0</v>
      </c>
      <c r="AT49" s="1284">
        <f t="shared" si="27"/>
        <v>0</v>
      </c>
      <c r="AU49" s="1284">
        <f t="shared" si="27"/>
        <v>0</v>
      </c>
      <c r="AV49" s="1284">
        <f t="shared" si="27"/>
        <v>0</v>
      </c>
      <c r="AW49" s="1284">
        <f t="shared" si="27"/>
        <v>0</v>
      </c>
      <c r="AX49" s="1284">
        <f t="shared" si="27"/>
        <v>0</v>
      </c>
      <c r="AY49" s="1284">
        <f t="shared" si="27"/>
        <v>0</v>
      </c>
      <c r="AZ49" s="1284">
        <f t="shared" si="27"/>
        <v>0</v>
      </c>
      <c r="BA49" s="1284">
        <f t="shared" si="27"/>
        <v>0</v>
      </c>
      <c r="BB49" s="1284">
        <f t="shared" si="27"/>
        <v>0</v>
      </c>
      <c r="BC49" s="1284">
        <f t="shared" si="27"/>
        <v>0</v>
      </c>
      <c r="BD49" s="1284">
        <f t="shared" si="27"/>
        <v>0</v>
      </c>
      <c r="BE49" s="1284">
        <f t="shared" si="27"/>
        <v>0</v>
      </c>
      <c r="BF49" s="1284">
        <f t="shared" si="27"/>
        <v>0</v>
      </c>
      <c r="BG49" s="1284">
        <f t="shared" si="27"/>
        <v>0</v>
      </c>
      <c r="BH49" s="1284">
        <f t="shared" si="27"/>
        <v>0</v>
      </c>
      <c r="BI49" s="1284">
        <f t="shared" si="27"/>
        <v>0</v>
      </c>
      <c r="BJ49" s="1284">
        <f t="shared" si="27"/>
        <v>0</v>
      </c>
      <c r="BK49" s="1284">
        <f t="shared" si="27"/>
        <v>0</v>
      </c>
    </row>
    <row r="50" spans="1:63">
      <c r="A50" s="1312">
        <f>IFERROR(XIRR(C50:BK50,$C$12:$BK$12),0)</f>
        <v>0.10000000596046449</v>
      </c>
      <c r="B50" s="1362" t="s">
        <v>637</v>
      </c>
      <c r="C50" s="1313">
        <f>C48-C47</f>
        <v>-4778491.5</v>
      </c>
      <c r="D50" s="1314">
        <f t="shared" ref="D50:BK50" si="28">D48-D47</f>
        <v>-30000.000000000004</v>
      </c>
      <c r="E50" s="1314">
        <f t="shared" si="28"/>
        <v>-30000.000000000004</v>
      </c>
      <c r="F50" s="1314">
        <f t="shared" si="28"/>
        <v>-30000.000000000004</v>
      </c>
      <c r="G50" s="1314">
        <f t="shared" si="28"/>
        <v>-30000.000000000004</v>
      </c>
      <c r="H50" s="1314">
        <f t="shared" si="28"/>
        <v>-30000.000000000004</v>
      </c>
      <c r="I50" s="1314">
        <f t="shared" si="28"/>
        <v>-30000.000000000004</v>
      </c>
      <c r="J50" s="1314">
        <f t="shared" si="28"/>
        <v>-1124576.6785714286</v>
      </c>
      <c r="K50" s="1314">
        <f t="shared" si="28"/>
        <v>-1124576.6785714286</v>
      </c>
      <c r="L50" s="1314">
        <f t="shared" si="28"/>
        <v>-352355.14285714476</v>
      </c>
      <c r="M50" s="1314">
        <f t="shared" si="28"/>
        <v>0</v>
      </c>
      <c r="N50" s="1314">
        <f t="shared" si="28"/>
        <v>0</v>
      </c>
      <c r="O50" s="1314">
        <f t="shared" si="28"/>
        <v>0</v>
      </c>
      <c r="P50" s="1314">
        <f t="shared" si="28"/>
        <v>0</v>
      </c>
      <c r="Q50" s="1314">
        <f t="shared" si="28"/>
        <v>0</v>
      </c>
      <c r="R50" s="1314">
        <f t="shared" si="28"/>
        <v>0</v>
      </c>
      <c r="S50" s="1314">
        <f t="shared" si="28"/>
        <v>0</v>
      </c>
      <c r="T50" s="1314">
        <f t="shared" si="28"/>
        <v>0</v>
      </c>
      <c r="U50" s="1314">
        <f t="shared" si="28"/>
        <v>0</v>
      </c>
      <c r="V50" s="1314">
        <f t="shared" si="28"/>
        <v>0</v>
      </c>
      <c r="W50" s="1314">
        <f t="shared" si="28"/>
        <v>0</v>
      </c>
      <c r="X50" s="1314">
        <f t="shared" si="28"/>
        <v>0</v>
      </c>
      <c r="Y50" s="1314">
        <f t="shared" si="28"/>
        <v>0</v>
      </c>
      <c r="Z50" s="1314">
        <f t="shared" si="28"/>
        <v>0</v>
      </c>
      <c r="AA50" s="1314">
        <f t="shared" si="28"/>
        <v>0</v>
      </c>
      <c r="AB50" s="1314">
        <f t="shared" si="28"/>
        <v>0</v>
      </c>
      <c r="AC50" s="1314">
        <f t="shared" si="28"/>
        <v>19674.794021819045</v>
      </c>
      <c r="AD50" s="1314">
        <f t="shared" si="28"/>
        <v>49092.557503954224</v>
      </c>
      <c r="AE50" s="1314">
        <f t="shared" si="28"/>
        <v>52032.827507509624</v>
      </c>
      <c r="AF50" s="1314">
        <f t="shared" si="28"/>
        <v>52032.827507509624</v>
      </c>
      <c r="AG50" s="1314">
        <f t="shared" si="28"/>
        <v>52032.827507509624</v>
      </c>
      <c r="AH50" s="1314">
        <f t="shared" si="28"/>
        <v>52032.827507509624</v>
      </c>
      <c r="AI50" s="1314">
        <f t="shared" si="28"/>
        <v>52032.827507509624</v>
      </c>
      <c r="AJ50" s="1314">
        <f t="shared" si="28"/>
        <v>52032.827507509624</v>
      </c>
      <c r="AK50" s="1314">
        <f t="shared" si="28"/>
        <v>52032.827507509624</v>
      </c>
      <c r="AL50" s="1314">
        <f t="shared" si="28"/>
        <v>52032.827507509624</v>
      </c>
      <c r="AM50" s="1314">
        <f t="shared" si="28"/>
        <v>9345698.5380175281</v>
      </c>
      <c r="AN50" s="1314">
        <f t="shared" si="28"/>
        <v>0</v>
      </c>
      <c r="AO50" s="1314">
        <f t="shared" si="28"/>
        <v>0</v>
      </c>
      <c r="AP50" s="1314">
        <f t="shared" si="28"/>
        <v>0</v>
      </c>
      <c r="AQ50" s="1314">
        <f t="shared" si="28"/>
        <v>0</v>
      </c>
      <c r="AR50" s="1314">
        <f t="shared" si="28"/>
        <v>0</v>
      </c>
      <c r="AS50" s="1314">
        <f t="shared" si="28"/>
        <v>0</v>
      </c>
      <c r="AT50" s="1314">
        <f t="shared" si="28"/>
        <v>0</v>
      </c>
      <c r="AU50" s="1314">
        <f t="shared" si="28"/>
        <v>0</v>
      </c>
      <c r="AV50" s="1314">
        <f t="shared" si="28"/>
        <v>0</v>
      </c>
      <c r="AW50" s="1314">
        <f t="shared" si="28"/>
        <v>0</v>
      </c>
      <c r="AX50" s="1314">
        <f t="shared" si="28"/>
        <v>0</v>
      </c>
      <c r="AY50" s="1314">
        <f t="shared" si="28"/>
        <v>0</v>
      </c>
      <c r="AZ50" s="1314">
        <f t="shared" si="28"/>
        <v>0</v>
      </c>
      <c r="BA50" s="1314">
        <f t="shared" si="28"/>
        <v>0</v>
      </c>
      <c r="BB50" s="1314">
        <f t="shared" si="28"/>
        <v>0</v>
      </c>
      <c r="BC50" s="1314">
        <f t="shared" si="28"/>
        <v>0</v>
      </c>
      <c r="BD50" s="1314">
        <f t="shared" si="28"/>
        <v>0</v>
      </c>
      <c r="BE50" s="1314">
        <f t="shared" si="28"/>
        <v>0</v>
      </c>
      <c r="BF50" s="1314">
        <f t="shared" si="28"/>
        <v>0</v>
      </c>
      <c r="BG50" s="1314">
        <f t="shared" si="28"/>
        <v>0</v>
      </c>
      <c r="BH50" s="1314">
        <f t="shared" si="28"/>
        <v>0</v>
      </c>
      <c r="BI50" s="1314">
        <f t="shared" si="28"/>
        <v>0</v>
      </c>
      <c r="BJ50" s="1314">
        <f t="shared" si="28"/>
        <v>0</v>
      </c>
      <c r="BK50" s="1314">
        <f t="shared" si="28"/>
        <v>0</v>
      </c>
    </row>
    <row r="51" spans="1:63">
      <c r="B51" s="1349"/>
      <c r="C51" s="1309"/>
      <c r="D51" s="1284"/>
      <c r="E51" s="1284"/>
      <c r="F51" s="1284"/>
      <c r="G51" s="1284"/>
      <c r="H51" s="1284"/>
      <c r="I51" s="1284"/>
      <c r="J51" s="1284"/>
      <c r="K51" s="1284"/>
      <c r="L51" s="1284"/>
      <c r="M51" s="1284"/>
      <c r="N51" s="1284"/>
      <c r="O51" s="1284"/>
      <c r="P51" s="1284"/>
      <c r="Q51" s="1284"/>
      <c r="R51" s="1284"/>
      <c r="S51" s="1284"/>
      <c r="T51" s="1284"/>
      <c r="U51" s="1284"/>
      <c r="V51" s="1284"/>
      <c r="W51" s="1284"/>
      <c r="X51" s="1284"/>
      <c r="Y51" s="1284"/>
      <c r="Z51" s="1284"/>
      <c r="AA51" s="1284"/>
      <c r="AB51" s="1284"/>
      <c r="AC51" s="1284"/>
      <c r="AD51" s="1284"/>
      <c r="AE51" s="1284"/>
      <c r="AF51" s="1284"/>
      <c r="AG51" s="1284"/>
      <c r="AH51" s="1284"/>
      <c r="AI51" s="1284"/>
      <c r="AJ51" s="1284"/>
      <c r="AK51" s="1284"/>
      <c r="AL51" s="1284"/>
      <c r="AM51" s="1284"/>
      <c r="AN51" s="1284"/>
      <c r="AO51" s="1284"/>
      <c r="AP51" s="1284"/>
      <c r="AQ51" s="1284"/>
      <c r="AR51" s="1284"/>
      <c r="AS51" s="1284"/>
      <c r="AT51" s="1284"/>
      <c r="AU51" s="1284"/>
      <c r="AV51" s="1284"/>
      <c r="AW51" s="1284"/>
      <c r="AX51" s="1284"/>
      <c r="AY51" s="1284"/>
      <c r="AZ51" s="1284"/>
      <c r="BA51" s="1284"/>
      <c r="BB51" s="1284"/>
      <c r="BC51" s="1284"/>
      <c r="BD51" s="1284"/>
      <c r="BE51" s="1284"/>
      <c r="BF51" s="1284"/>
      <c r="BG51" s="1284"/>
      <c r="BH51" s="1284"/>
      <c r="BI51" s="1284"/>
      <c r="BJ51" s="1284"/>
      <c r="BK51" s="1284"/>
    </row>
    <row r="52" spans="1:63">
      <c r="B52" s="1349" t="s">
        <v>638</v>
      </c>
      <c r="C52" s="1309">
        <f>-C41</f>
        <v>530943.5</v>
      </c>
      <c r="D52" s="1284">
        <f t="shared" ref="D52:BK52" si="29">-D41</f>
        <v>3333.3333333333339</v>
      </c>
      <c r="E52" s="1284">
        <f t="shared" si="29"/>
        <v>3333.3333333333339</v>
      </c>
      <c r="F52" s="1284">
        <f t="shared" si="29"/>
        <v>3333.3333333333339</v>
      </c>
      <c r="G52" s="1284">
        <f t="shared" si="29"/>
        <v>3333.3333333333339</v>
      </c>
      <c r="H52" s="1284">
        <f t="shared" si="29"/>
        <v>3333.3333333333339</v>
      </c>
      <c r="I52" s="1284">
        <f t="shared" si="29"/>
        <v>3333.3333333333339</v>
      </c>
      <c r="J52" s="1284">
        <f t="shared" si="29"/>
        <v>124952.9642857143</v>
      </c>
      <c r="K52" s="1284">
        <f t="shared" si="29"/>
        <v>124952.9642857143</v>
      </c>
      <c r="L52" s="1284">
        <f t="shared" si="29"/>
        <v>39150.571428571646</v>
      </c>
      <c r="M52" s="1284">
        <f t="shared" si="29"/>
        <v>0</v>
      </c>
      <c r="N52" s="1284">
        <f t="shared" si="29"/>
        <v>0</v>
      </c>
      <c r="O52" s="1284">
        <f t="shared" si="29"/>
        <v>0</v>
      </c>
      <c r="P52" s="1284">
        <f t="shared" si="29"/>
        <v>0</v>
      </c>
      <c r="Q52" s="1284">
        <f t="shared" si="29"/>
        <v>0</v>
      </c>
      <c r="R52" s="1284">
        <f t="shared" si="29"/>
        <v>0</v>
      </c>
      <c r="S52" s="1284">
        <f t="shared" si="29"/>
        <v>0</v>
      </c>
      <c r="T52" s="1284">
        <f t="shared" si="29"/>
        <v>0</v>
      </c>
      <c r="U52" s="1284">
        <f t="shared" si="29"/>
        <v>0</v>
      </c>
      <c r="V52" s="1284">
        <f t="shared" si="29"/>
        <v>0</v>
      </c>
      <c r="W52" s="1284">
        <f t="shared" si="29"/>
        <v>0</v>
      </c>
      <c r="X52" s="1284">
        <f t="shared" si="29"/>
        <v>0</v>
      </c>
      <c r="Y52" s="1284">
        <f t="shared" si="29"/>
        <v>0</v>
      </c>
      <c r="Z52" s="1284">
        <f t="shared" si="29"/>
        <v>0</v>
      </c>
      <c r="AA52" s="1284">
        <f t="shared" si="29"/>
        <v>0</v>
      </c>
      <c r="AB52" s="1284">
        <f t="shared" si="29"/>
        <v>0</v>
      </c>
      <c r="AC52" s="1284">
        <f t="shared" si="29"/>
        <v>0</v>
      </c>
      <c r="AD52" s="1284">
        <f t="shared" si="29"/>
        <v>0</v>
      </c>
      <c r="AE52" s="1284">
        <f t="shared" si="29"/>
        <v>0</v>
      </c>
      <c r="AF52" s="1284">
        <f t="shared" si="29"/>
        <v>0</v>
      </c>
      <c r="AG52" s="1284">
        <f t="shared" si="29"/>
        <v>0</v>
      </c>
      <c r="AH52" s="1284">
        <f t="shared" si="29"/>
        <v>0</v>
      </c>
      <c r="AI52" s="1284">
        <f t="shared" si="29"/>
        <v>0</v>
      </c>
      <c r="AJ52" s="1284">
        <f t="shared" si="29"/>
        <v>0</v>
      </c>
      <c r="AK52" s="1284">
        <f t="shared" si="29"/>
        <v>0</v>
      </c>
      <c r="AL52" s="1284">
        <f t="shared" si="29"/>
        <v>0</v>
      </c>
      <c r="AM52" s="1284">
        <f t="shared" si="29"/>
        <v>0</v>
      </c>
      <c r="AN52" s="1284">
        <f t="shared" si="29"/>
        <v>0</v>
      </c>
      <c r="AO52" s="1284">
        <f t="shared" si="29"/>
        <v>0</v>
      </c>
      <c r="AP52" s="1284">
        <f t="shared" si="29"/>
        <v>0</v>
      </c>
      <c r="AQ52" s="1284">
        <f t="shared" si="29"/>
        <v>0</v>
      </c>
      <c r="AR52" s="1284">
        <f t="shared" si="29"/>
        <v>0</v>
      </c>
      <c r="AS52" s="1284">
        <f t="shared" si="29"/>
        <v>0</v>
      </c>
      <c r="AT52" s="1284">
        <f t="shared" si="29"/>
        <v>0</v>
      </c>
      <c r="AU52" s="1284">
        <f t="shared" si="29"/>
        <v>0</v>
      </c>
      <c r="AV52" s="1284">
        <f t="shared" si="29"/>
        <v>0</v>
      </c>
      <c r="AW52" s="1284">
        <f t="shared" si="29"/>
        <v>0</v>
      </c>
      <c r="AX52" s="1284">
        <f t="shared" si="29"/>
        <v>0</v>
      </c>
      <c r="AY52" s="1284">
        <f t="shared" si="29"/>
        <v>0</v>
      </c>
      <c r="AZ52" s="1284">
        <f t="shared" si="29"/>
        <v>0</v>
      </c>
      <c r="BA52" s="1284">
        <f t="shared" si="29"/>
        <v>0</v>
      </c>
      <c r="BB52" s="1284">
        <f t="shared" si="29"/>
        <v>0</v>
      </c>
      <c r="BC52" s="1284">
        <f t="shared" si="29"/>
        <v>0</v>
      </c>
      <c r="BD52" s="1284">
        <f t="shared" si="29"/>
        <v>0</v>
      </c>
      <c r="BE52" s="1284">
        <f t="shared" si="29"/>
        <v>0</v>
      </c>
      <c r="BF52" s="1284">
        <f t="shared" si="29"/>
        <v>0</v>
      </c>
      <c r="BG52" s="1284">
        <f t="shared" si="29"/>
        <v>0</v>
      </c>
      <c r="BH52" s="1284">
        <f t="shared" si="29"/>
        <v>0</v>
      </c>
      <c r="BI52" s="1284">
        <f t="shared" si="29"/>
        <v>0</v>
      </c>
      <c r="BJ52" s="1284">
        <f t="shared" si="29"/>
        <v>0</v>
      </c>
      <c r="BK52" s="1284">
        <f t="shared" si="29"/>
        <v>0</v>
      </c>
    </row>
    <row r="53" spans="1:63" s="1345" customFormat="1">
      <c r="A53" s="1342" t="s">
        <v>601</v>
      </c>
      <c r="B53" s="1361" t="s">
        <v>639</v>
      </c>
      <c r="C53" s="1343">
        <f t="shared" ref="C53:AH53" si="30">(C48/LPCF1)*GPCF1</f>
        <v>0</v>
      </c>
      <c r="D53" s="1344">
        <f t="shared" si="30"/>
        <v>0</v>
      </c>
      <c r="E53" s="1344">
        <f t="shared" si="30"/>
        <v>0</v>
      </c>
      <c r="F53" s="1344">
        <f t="shared" si="30"/>
        <v>0</v>
      </c>
      <c r="G53" s="1344">
        <f t="shared" si="30"/>
        <v>0</v>
      </c>
      <c r="H53" s="1344">
        <f t="shared" si="30"/>
        <v>0</v>
      </c>
      <c r="I53" s="1344">
        <f t="shared" si="30"/>
        <v>0</v>
      </c>
      <c r="J53" s="1344">
        <f t="shared" si="30"/>
        <v>0</v>
      </c>
      <c r="K53" s="1344">
        <f t="shared" si="30"/>
        <v>0</v>
      </c>
      <c r="L53" s="1344">
        <f t="shared" si="30"/>
        <v>0</v>
      </c>
      <c r="M53" s="1344">
        <f t="shared" si="30"/>
        <v>0</v>
      </c>
      <c r="N53" s="1344">
        <f t="shared" si="30"/>
        <v>0</v>
      </c>
      <c r="O53" s="1344">
        <f t="shared" si="30"/>
        <v>0</v>
      </c>
      <c r="P53" s="1344">
        <f t="shared" si="30"/>
        <v>0</v>
      </c>
      <c r="Q53" s="1344">
        <f t="shared" si="30"/>
        <v>0</v>
      </c>
      <c r="R53" s="1344">
        <f t="shared" si="30"/>
        <v>0</v>
      </c>
      <c r="S53" s="1344">
        <f t="shared" si="30"/>
        <v>0</v>
      </c>
      <c r="T53" s="1344">
        <f t="shared" si="30"/>
        <v>0</v>
      </c>
      <c r="U53" s="1344">
        <f t="shared" si="30"/>
        <v>0</v>
      </c>
      <c r="V53" s="1344">
        <f t="shared" si="30"/>
        <v>0</v>
      </c>
      <c r="W53" s="1344">
        <f t="shared" si="30"/>
        <v>0</v>
      </c>
      <c r="X53" s="1344">
        <f t="shared" si="30"/>
        <v>0</v>
      </c>
      <c r="Y53" s="1344">
        <f t="shared" si="30"/>
        <v>0</v>
      </c>
      <c r="Z53" s="1344">
        <f t="shared" si="30"/>
        <v>0</v>
      </c>
      <c r="AA53" s="1344">
        <f t="shared" si="30"/>
        <v>0</v>
      </c>
      <c r="AB53" s="1344">
        <f t="shared" si="30"/>
        <v>0</v>
      </c>
      <c r="AC53" s="1344">
        <f t="shared" si="30"/>
        <v>2186.0882246465603</v>
      </c>
      <c r="AD53" s="1344">
        <f t="shared" si="30"/>
        <v>5454.7286115504694</v>
      </c>
      <c r="AE53" s="1344">
        <f t="shared" si="30"/>
        <v>5781.4252786121806</v>
      </c>
      <c r="AF53" s="1344">
        <f t="shared" si="30"/>
        <v>5781.4252786121806</v>
      </c>
      <c r="AG53" s="1344">
        <f t="shared" si="30"/>
        <v>5781.4252786121806</v>
      </c>
      <c r="AH53" s="1344">
        <f t="shared" si="30"/>
        <v>5781.4252786121806</v>
      </c>
      <c r="AI53" s="1344">
        <f t="shared" ref="AI53:BK53" si="31">(AI48/LPCF1)*GPCF1</f>
        <v>5781.4252786121806</v>
      </c>
      <c r="AJ53" s="1344">
        <f t="shared" si="31"/>
        <v>5781.4252786121806</v>
      </c>
      <c r="AK53" s="1344">
        <f t="shared" si="31"/>
        <v>5781.4252786121806</v>
      </c>
      <c r="AL53" s="1344">
        <f t="shared" si="31"/>
        <v>5781.4252786121806</v>
      </c>
      <c r="AM53" s="1344">
        <f t="shared" si="31"/>
        <v>1038410.9486686143</v>
      </c>
      <c r="AN53" s="1344">
        <f t="shared" si="31"/>
        <v>0</v>
      </c>
      <c r="AO53" s="1344">
        <f t="shared" si="31"/>
        <v>0</v>
      </c>
      <c r="AP53" s="1344">
        <f t="shared" si="31"/>
        <v>0</v>
      </c>
      <c r="AQ53" s="1344">
        <f t="shared" si="31"/>
        <v>0</v>
      </c>
      <c r="AR53" s="1344">
        <f t="shared" si="31"/>
        <v>0</v>
      </c>
      <c r="AS53" s="1344">
        <f t="shared" si="31"/>
        <v>0</v>
      </c>
      <c r="AT53" s="1344">
        <f t="shared" si="31"/>
        <v>0</v>
      </c>
      <c r="AU53" s="1344">
        <f t="shared" si="31"/>
        <v>0</v>
      </c>
      <c r="AV53" s="1344">
        <f t="shared" si="31"/>
        <v>0</v>
      </c>
      <c r="AW53" s="1344">
        <f t="shared" si="31"/>
        <v>0</v>
      </c>
      <c r="AX53" s="1344">
        <f t="shared" si="31"/>
        <v>0</v>
      </c>
      <c r="AY53" s="1344">
        <f t="shared" si="31"/>
        <v>0</v>
      </c>
      <c r="AZ53" s="1344">
        <f t="shared" si="31"/>
        <v>0</v>
      </c>
      <c r="BA53" s="1344">
        <f t="shared" si="31"/>
        <v>0</v>
      </c>
      <c r="BB53" s="1344">
        <f t="shared" si="31"/>
        <v>0</v>
      </c>
      <c r="BC53" s="1344">
        <f t="shared" si="31"/>
        <v>0</v>
      </c>
      <c r="BD53" s="1344">
        <f t="shared" si="31"/>
        <v>0</v>
      </c>
      <c r="BE53" s="1344">
        <f t="shared" si="31"/>
        <v>0</v>
      </c>
      <c r="BF53" s="1344">
        <f t="shared" si="31"/>
        <v>0</v>
      </c>
      <c r="BG53" s="1344">
        <f t="shared" si="31"/>
        <v>0</v>
      </c>
      <c r="BH53" s="1344">
        <f t="shared" si="31"/>
        <v>0</v>
      </c>
      <c r="BI53" s="1344">
        <f t="shared" si="31"/>
        <v>0</v>
      </c>
      <c r="BJ53" s="1344">
        <f t="shared" si="31"/>
        <v>0</v>
      </c>
      <c r="BK53" s="1344">
        <f t="shared" si="31"/>
        <v>0</v>
      </c>
    </row>
    <row r="54" spans="1:63">
      <c r="A54" s="1312">
        <f>IFERROR(XIRR(C54:BK54,$C$12:$BK$12),0)</f>
        <v>0.10000000596046449</v>
      </c>
      <c r="B54" s="1362" t="s">
        <v>616</v>
      </c>
      <c r="C54" s="1313">
        <f>C53-C52</f>
        <v>-530943.5</v>
      </c>
      <c r="D54" s="1314">
        <f t="shared" ref="D54:BK54" si="32">D53-D52</f>
        <v>-3333.3333333333339</v>
      </c>
      <c r="E54" s="1314">
        <f t="shared" si="32"/>
        <v>-3333.3333333333339</v>
      </c>
      <c r="F54" s="1314">
        <f t="shared" si="32"/>
        <v>-3333.3333333333339</v>
      </c>
      <c r="G54" s="1314">
        <f t="shared" si="32"/>
        <v>-3333.3333333333339</v>
      </c>
      <c r="H54" s="1314">
        <f t="shared" si="32"/>
        <v>-3333.3333333333339</v>
      </c>
      <c r="I54" s="1314">
        <f t="shared" si="32"/>
        <v>-3333.3333333333339</v>
      </c>
      <c r="J54" s="1314">
        <f t="shared" si="32"/>
        <v>-124952.9642857143</v>
      </c>
      <c r="K54" s="1314">
        <f t="shared" si="32"/>
        <v>-124952.9642857143</v>
      </c>
      <c r="L54" s="1314">
        <f t="shared" si="32"/>
        <v>-39150.571428571646</v>
      </c>
      <c r="M54" s="1314">
        <f t="shared" si="32"/>
        <v>0</v>
      </c>
      <c r="N54" s="1314">
        <f t="shared" si="32"/>
        <v>0</v>
      </c>
      <c r="O54" s="1314">
        <f t="shared" si="32"/>
        <v>0</v>
      </c>
      <c r="P54" s="1314">
        <f t="shared" si="32"/>
        <v>0</v>
      </c>
      <c r="Q54" s="1314">
        <f t="shared" si="32"/>
        <v>0</v>
      </c>
      <c r="R54" s="1314">
        <f t="shared" si="32"/>
        <v>0</v>
      </c>
      <c r="S54" s="1314">
        <f t="shared" si="32"/>
        <v>0</v>
      </c>
      <c r="T54" s="1314">
        <f t="shared" si="32"/>
        <v>0</v>
      </c>
      <c r="U54" s="1314">
        <f t="shared" si="32"/>
        <v>0</v>
      </c>
      <c r="V54" s="1314">
        <f t="shared" si="32"/>
        <v>0</v>
      </c>
      <c r="W54" s="1314">
        <f t="shared" si="32"/>
        <v>0</v>
      </c>
      <c r="X54" s="1314">
        <f t="shared" si="32"/>
        <v>0</v>
      </c>
      <c r="Y54" s="1314">
        <f t="shared" si="32"/>
        <v>0</v>
      </c>
      <c r="Z54" s="1314">
        <f t="shared" si="32"/>
        <v>0</v>
      </c>
      <c r="AA54" s="1314">
        <f t="shared" si="32"/>
        <v>0</v>
      </c>
      <c r="AB54" s="1314">
        <f t="shared" si="32"/>
        <v>0</v>
      </c>
      <c r="AC54" s="1314">
        <f t="shared" si="32"/>
        <v>2186.0882246465603</v>
      </c>
      <c r="AD54" s="1314">
        <f t="shared" si="32"/>
        <v>5454.7286115504694</v>
      </c>
      <c r="AE54" s="1314">
        <f t="shared" si="32"/>
        <v>5781.4252786121806</v>
      </c>
      <c r="AF54" s="1314">
        <f t="shared" si="32"/>
        <v>5781.4252786121806</v>
      </c>
      <c r="AG54" s="1314">
        <f t="shared" si="32"/>
        <v>5781.4252786121806</v>
      </c>
      <c r="AH54" s="1314">
        <f t="shared" si="32"/>
        <v>5781.4252786121806</v>
      </c>
      <c r="AI54" s="1314">
        <f t="shared" si="32"/>
        <v>5781.4252786121806</v>
      </c>
      <c r="AJ54" s="1314">
        <f t="shared" si="32"/>
        <v>5781.4252786121806</v>
      </c>
      <c r="AK54" s="1314">
        <f t="shared" si="32"/>
        <v>5781.4252786121806</v>
      </c>
      <c r="AL54" s="1314">
        <f t="shared" si="32"/>
        <v>5781.4252786121806</v>
      </c>
      <c r="AM54" s="1314">
        <f t="shared" si="32"/>
        <v>1038410.9486686143</v>
      </c>
      <c r="AN54" s="1314">
        <f t="shared" si="32"/>
        <v>0</v>
      </c>
      <c r="AO54" s="1314">
        <f t="shared" si="32"/>
        <v>0</v>
      </c>
      <c r="AP54" s="1314">
        <f t="shared" si="32"/>
        <v>0</v>
      </c>
      <c r="AQ54" s="1314">
        <f t="shared" si="32"/>
        <v>0</v>
      </c>
      <c r="AR54" s="1314">
        <f t="shared" si="32"/>
        <v>0</v>
      </c>
      <c r="AS54" s="1314">
        <f t="shared" si="32"/>
        <v>0</v>
      </c>
      <c r="AT54" s="1314">
        <f t="shared" si="32"/>
        <v>0</v>
      </c>
      <c r="AU54" s="1314">
        <f t="shared" si="32"/>
        <v>0</v>
      </c>
      <c r="AV54" s="1314">
        <f t="shared" si="32"/>
        <v>0</v>
      </c>
      <c r="AW54" s="1314">
        <f t="shared" si="32"/>
        <v>0</v>
      </c>
      <c r="AX54" s="1314">
        <f t="shared" si="32"/>
        <v>0</v>
      </c>
      <c r="AY54" s="1314">
        <f t="shared" si="32"/>
        <v>0</v>
      </c>
      <c r="AZ54" s="1314">
        <f t="shared" si="32"/>
        <v>0</v>
      </c>
      <c r="BA54" s="1314">
        <f t="shared" si="32"/>
        <v>0</v>
      </c>
      <c r="BB54" s="1314">
        <f t="shared" si="32"/>
        <v>0</v>
      </c>
      <c r="BC54" s="1314">
        <f t="shared" si="32"/>
        <v>0</v>
      </c>
      <c r="BD54" s="1314">
        <f t="shared" si="32"/>
        <v>0</v>
      </c>
      <c r="BE54" s="1314">
        <f t="shared" si="32"/>
        <v>0</v>
      </c>
      <c r="BF54" s="1314">
        <f t="shared" si="32"/>
        <v>0</v>
      </c>
      <c r="BG54" s="1314">
        <f t="shared" si="32"/>
        <v>0</v>
      </c>
      <c r="BH54" s="1314">
        <f t="shared" si="32"/>
        <v>0</v>
      </c>
      <c r="BI54" s="1314">
        <f t="shared" si="32"/>
        <v>0</v>
      </c>
      <c r="BJ54" s="1314">
        <f t="shared" si="32"/>
        <v>0</v>
      </c>
      <c r="BK54" s="1314">
        <f t="shared" si="32"/>
        <v>0</v>
      </c>
    </row>
    <row r="55" spans="1:63">
      <c r="B55" s="1349" t="s">
        <v>640</v>
      </c>
      <c r="C55" s="1309">
        <f>C53+C48</f>
        <v>0</v>
      </c>
      <c r="D55" s="1284">
        <f t="shared" ref="D55:BK55" si="33">D53+D48</f>
        <v>0</v>
      </c>
      <c r="E55" s="1284">
        <f t="shared" si="33"/>
        <v>0</v>
      </c>
      <c r="F55" s="1284">
        <f t="shared" si="33"/>
        <v>0</v>
      </c>
      <c r="G55" s="1284">
        <f t="shared" si="33"/>
        <v>0</v>
      </c>
      <c r="H55" s="1284">
        <f t="shared" si="33"/>
        <v>0</v>
      </c>
      <c r="I55" s="1284">
        <f t="shared" si="33"/>
        <v>0</v>
      </c>
      <c r="J55" s="1284">
        <f t="shared" si="33"/>
        <v>0</v>
      </c>
      <c r="K55" s="1284">
        <f t="shared" si="33"/>
        <v>0</v>
      </c>
      <c r="L55" s="1284">
        <f t="shared" si="33"/>
        <v>0</v>
      </c>
      <c r="M55" s="1284">
        <f t="shared" si="33"/>
        <v>0</v>
      </c>
      <c r="N55" s="1284">
        <f t="shared" si="33"/>
        <v>0</v>
      </c>
      <c r="O55" s="1284">
        <f t="shared" si="33"/>
        <v>0</v>
      </c>
      <c r="P55" s="1284">
        <f t="shared" si="33"/>
        <v>0</v>
      </c>
      <c r="Q55" s="1284">
        <f t="shared" si="33"/>
        <v>0</v>
      </c>
      <c r="R55" s="1284">
        <f t="shared" si="33"/>
        <v>0</v>
      </c>
      <c r="S55" s="1284">
        <f t="shared" si="33"/>
        <v>0</v>
      </c>
      <c r="T55" s="1284">
        <f t="shared" si="33"/>
        <v>0</v>
      </c>
      <c r="U55" s="1284">
        <f t="shared" si="33"/>
        <v>0</v>
      </c>
      <c r="V55" s="1284">
        <f t="shared" si="33"/>
        <v>0</v>
      </c>
      <c r="W55" s="1284">
        <f t="shared" si="33"/>
        <v>0</v>
      </c>
      <c r="X55" s="1284">
        <f t="shared" si="33"/>
        <v>0</v>
      </c>
      <c r="Y55" s="1284">
        <f t="shared" si="33"/>
        <v>0</v>
      </c>
      <c r="Z55" s="1284">
        <f t="shared" si="33"/>
        <v>0</v>
      </c>
      <c r="AA55" s="1284">
        <f t="shared" si="33"/>
        <v>0</v>
      </c>
      <c r="AB55" s="1284">
        <f t="shared" si="33"/>
        <v>0</v>
      </c>
      <c r="AC55" s="1284">
        <f t="shared" si="33"/>
        <v>21860.882246465604</v>
      </c>
      <c r="AD55" s="1284">
        <f t="shared" si="33"/>
        <v>54547.286115504692</v>
      </c>
      <c r="AE55" s="1284">
        <f t="shared" si="33"/>
        <v>57814.252786121804</v>
      </c>
      <c r="AF55" s="1284">
        <f t="shared" si="33"/>
        <v>57814.252786121804</v>
      </c>
      <c r="AG55" s="1284">
        <f t="shared" si="33"/>
        <v>57814.252786121804</v>
      </c>
      <c r="AH55" s="1284">
        <f t="shared" si="33"/>
        <v>57814.252786121804</v>
      </c>
      <c r="AI55" s="1284">
        <f t="shared" si="33"/>
        <v>57814.252786121804</v>
      </c>
      <c r="AJ55" s="1284">
        <f t="shared" si="33"/>
        <v>57814.252786121804</v>
      </c>
      <c r="AK55" s="1284">
        <f t="shared" si="33"/>
        <v>57814.252786121804</v>
      </c>
      <c r="AL55" s="1284">
        <f t="shared" si="33"/>
        <v>57814.252786121804</v>
      </c>
      <c r="AM55" s="1284">
        <f t="shared" si="33"/>
        <v>10384109.486686142</v>
      </c>
      <c r="AN55" s="1284">
        <f t="shared" si="33"/>
        <v>0</v>
      </c>
      <c r="AO55" s="1284">
        <f t="shared" si="33"/>
        <v>0</v>
      </c>
      <c r="AP55" s="1284">
        <f t="shared" si="33"/>
        <v>0</v>
      </c>
      <c r="AQ55" s="1284">
        <f t="shared" si="33"/>
        <v>0</v>
      </c>
      <c r="AR55" s="1284">
        <f t="shared" si="33"/>
        <v>0</v>
      </c>
      <c r="AS55" s="1284">
        <f t="shared" si="33"/>
        <v>0</v>
      </c>
      <c r="AT55" s="1284">
        <f t="shared" si="33"/>
        <v>0</v>
      </c>
      <c r="AU55" s="1284">
        <f t="shared" si="33"/>
        <v>0</v>
      </c>
      <c r="AV55" s="1284">
        <f t="shared" si="33"/>
        <v>0</v>
      </c>
      <c r="AW55" s="1284">
        <f t="shared" si="33"/>
        <v>0</v>
      </c>
      <c r="AX55" s="1284">
        <f t="shared" si="33"/>
        <v>0</v>
      </c>
      <c r="AY55" s="1284">
        <f t="shared" si="33"/>
        <v>0</v>
      </c>
      <c r="AZ55" s="1284">
        <f t="shared" si="33"/>
        <v>0</v>
      </c>
      <c r="BA55" s="1284">
        <f t="shared" si="33"/>
        <v>0</v>
      </c>
      <c r="BB55" s="1284">
        <f t="shared" si="33"/>
        <v>0</v>
      </c>
      <c r="BC55" s="1284">
        <f t="shared" si="33"/>
        <v>0</v>
      </c>
      <c r="BD55" s="1284">
        <f t="shared" si="33"/>
        <v>0</v>
      </c>
      <c r="BE55" s="1284">
        <f t="shared" si="33"/>
        <v>0</v>
      </c>
      <c r="BF55" s="1284">
        <f t="shared" si="33"/>
        <v>0</v>
      </c>
      <c r="BG55" s="1284">
        <f t="shared" si="33"/>
        <v>0</v>
      </c>
      <c r="BH55" s="1284">
        <f t="shared" si="33"/>
        <v>0</v>
      </c>
      <c r="BI55" s="1284">
        <f t="shared" si="33"/>
        <v>0</v>
      </c>
      <c r="BJ55" s="1284">
        <f t="shared" si="33"/>
        <v>0</v>
      </c>
      <c r="BK55" s="1284">
        <f t="shared" si="33"/>
        <v>0</v>
      </c>
    </row>
    <row r="56" spans="1:63">
      <c r="B56" s="1362" t="s">
        <v>641</v>
      </c>
      <c r="C56" s="1313">
        <f t="shared" ref="C56:AH56" si="34">MAX(C34-C55,0)</f>
        <v>0</v>
      </c>
      <c r="D56" s="1314">
        <f t="shared" si="34"/>
        <v>0</v>
      </c>
      <c r="E56" s="1314">
        <f t="shared" si="34"/>
        <v>0</v>
      </c>
      <c r="F56" s="1314">
        <f t="shared" si="34"/>
        <v>0</v>
      </c>
      <c r="G56" s="1314">
        <f t="shared" si="34"/>
        <v>0</v>
      </c>
      <c r="H56" s="1314">
        <f t="shared" si="34"/>
        <v>0</v>
      </c>
      <c r="I56" s="1314">
        <f t="shared" si="34"/>
        <v>0</v>
      </c>
      <c r="J56" s="1314">
        <f t="shared" si="34"/>
        <v>0</v>
      </c>
      <c r="K56" s="1314">
        <f t="shared" si="34"/>
        <v>0</v>
      </c>
      <c r="L56" s="1314">
        <f t="shared" si="34"/>
        <v>0</v>
      </c>
      <c r="M56" s="1314">
        <f t="shared" si="34"/>
        <v>0</v>
      </c>
      <c r="N56" s="1314">
        <f t="shared" si="34"/>
        <v>0</v>
      </c>
      <c r="O56" s="1314">
        <f t="shared" si="34"/>
        <v>0</v>
      </c>
      <c r="P56" s="1314">
        <f t="shared" si="34"/>
        <v>0</v>
      </c>
      <c r="Q56" s="1314">
        <f t="shared" si="34"/>
        <v>0</v>
      </c>
      <c r="R56" s="1314">
        <f t="shared" si="34"/>
        <v>0</v>
      </c>
      <c r="S56" s="1314">
        <f t="shared" si="34"/>
        <v>0</v>
      </c>
      <c r="T56" s="1314">
        <f t="shared" si="34"/>
        <v>0</v>
      </c>
      <c r="U56" s="1314">
        <f t="shared" si="34"/>
        <v>0</v>
      </c>
      <c r="V56" s="1314">
        <f t="shared" si="34"/>
        <v>0</v>
      </c>
      <c r="W56" s="1314">
        <f t="shared" si="34"/>
        <v>0</v>
      </c>
      <c r="X56" s="1314">
        <f t="shared" si="34"/>
        <v>0</v>
      </c>
      <c r="Y56" s="1314">
        <f t="shared" si="34"/>
        <v>0</v>
      </c>
      <c r="Z56" s="1314">
        <f t="shared" si="34"/>
        <v>0</v>
      </c>
      <c r="AA56" s="1314">
        <f t="shared" si="34"/>
        <v>0</v>
      </c>
      <c r="AB56" s="1314">
        <f t="shared" si="34"/>
        <v>0</v>
      </c>
      <c r="AC56" s="1314">
        <f t="shared" si="34"/>
        <v>0</v>
      </c>
      <c r="AD56" s="1314">
        <f t="shared" si="34"/>
        <v>0</v>
      </c>
      <c r="AE56" s="1314">
        <f t="shared" si="34"/>
        <v>0</v>
      </c>
      <c r="AF56" s="1314">
        <f t="shared" si="34"/>
        <v>0</v>
      </c>
      <c r="AG56" s="1314">
        <f t="shared" si="34"/>
        <v>0</v>
      </c>
      <c r="AH56" s="1314">
        <f t="shared" si="34"/>
        <v>0</v>
      </c>
      <c r="AI56" s="1314">
        <f t="shared" ref="AI56:BK56" si="35">MAX(AI34-AI55,0)</f>
        <v>0</v>
      </c>
      <c r="AJ56" s="1314">
        <f t="shared" si="35"/>
        <v>0</v>
      </c>
      <c r="AK56" s="1314">
        <f t="shared" si="35"/>
        <v>0</v>
      </c>
      <c r="AL56" s="1314">
        <f t="shared" si="35"/>
        <v>0</v>
      </c>
      <c r="AM56" s="1314">
        <f t="shared" si="35"/>
        <v>2801049.3838609569</v>
      </c>
      <c r="AN56" s="1314">
        <f t="shared" si="35"/>
        <v>0</v>
      </c>
      <c r="AO56" s="1314">
        <f t="shared" si="35"/>
        <v>0</v>
      </c>
      <c r="AP56" s="1314">
        <f t="shared" si="35"/>
        <v>0</v>
      </c>
      <c r="AQ56" s="1314">
        <f t="shared" si="35"/>
        <v>0</v>
      </c>
      <c r="AR56" s="1314">
        <f t="shared" si="35"/>
        <v>0</v>
      </c>
      <c r="AS56" s="1314">
        <f t="shared" si="35"/>
        <v>0</v>
      </c>
      <c r="AT56" s="1314">
        <f t="shared" si="35"/>
        <v>0</v>
      </c>
      <c r="AU56" s="1314">
        <f t="shared" si="35"/>
        <v>0</v>
      </c>
      <c r="AV56" s="1314">
        <f t="shared" si="35"/>
        <v>0</v>
      </c>
      <c r="AW56" s="1314">
        <f t="shared" si="35"/>
        <v>0</v>
      </c>
      <c r="AX56" s="1314">
        <f t="shared" si="35"/>
        <v>0</v>
      </c>
      <c r="AY56" s="1314">
        <f t="shared" si="35"/>
        <v>0</v>
      </c>
      <c r="AZ56" s="1314">
        <f t="shared" si="35"/>
        <v>0</v>
      </c>
      <c r="BA56" s="1314">
        <f t="shared" si="35"/>
        <v>0</v>
      </c>
      <c r="BB56" s="1314">
        <f t="shared" si="35"/>
        <v>0</v>
      </c>
      <c r="BC56" s="1314">
        <f t="shared" si="35"/>
        <v>0</v>
      </c>
      <c r="BD56" s="1314">
        <f t="shared" si="35"/>
        <v>0</v>
      </c>
      <c r="BE56" s="1314">
        <f t="shared" si="35"/>
        <v>0</v>
      </c>
      <c r="BF56" s="1314">
        <f t="shared" si="35"/>
        <v>0</v>
      </c>
      <c r="BG56" s="1314">
        <f t="shared" si="35"/>
        <v>0</v>
      </c>
      <c r="BH56" s="1314">
        <f t="shared" si="35"/>
        <v>0</v>
      </c>
      <c r="BI56" s="1314">
        <f t="shared" si="35"/>
        <v>0</v>
      </c>
      <c r="BJ56" s="1314">
        <f t="shared" si="35"/>
        <v>0</v>
      </c>
      <c r="BK56" s="1314">
        <f t="shared" si="35"/>
        <v>0</v>
      </c>
    </row>
    <row r="57" spans="1:63">
      <c r="B57" s="1355"/>
      <c r="C57" s="1284"/>
      <c r="D57" s="1284"/>
      <c r="E57" s="1284"/>
      <c r="F57" s="1284"/>
      <c r="G57" s="1284"/>
      <c r="H57" s="1284"/>
      <c r="I57" s="1284"/>
      <c r="J57" s="1284"/>
      <c r="K57" s="1284"/>
      <c r="L57" s="1284"/>
      <c r="M57" s="1284"/>
      <c r="N57" s="1284"/>
      <c r="O57" s="1284"/>
      <c r="P57" s="1284"/>
      <c r="Q57" s="1284"/>
      <c r="R57" s="1284"/>
      <c r="S57" s="1284"/>
      <c r="T57" s="1284"/>
      <c r="U57" s="1284"/>
      <c r="V57" s="1284"/>
      <c r="W57" s="1284"/>
      <c r="X57" s="1284"/>
      <c r="Y57" s="1284"/>
      <c r="Z57" s="1284"/>
      <c r="AA57" s="1284"/>
      <c r="AB57" s="1284"/>
      <c r="AC57" s="1284"/>
      <c r="AD57" s="1284"/>
      <c r="AE57" s="1284"/>
      <c r="AF57" s="1284"/>
      <c r="AG57" s="1284"/>
      <c r="AH57" s="1284"/>
      <c r="AI57" s="1284"/>
      <c r="AJ57" s="1284"/>
      <c r="AK57" s="1284"/>
      <c r="AL57" s="1284"/>
      <c r="AM57" s="1284"/>
      <c r="AN57" s="1284"/>
      <c r="AO57" s="1284"/>
      <c r="AP57" s="1284"/>
      <c r="AQ57" s="1284"/>
      <c r="AR57" s="1284"/>
      <c r="AS57" s="1284"/>
      <c r="AT57" s="1284"/>
      <c r="AU57" s="1284"/>
      <c r="AV57" s="1284"/>
      <c r="AW57" s="1284"/>
      <c r="AX57" s="1284"/>
      <c r="AY57" s="1284"/>
      <c r="AZ57" s="1284"/>
      <c r="BA57" s="1284"/>
      <c r="BB57" s="1284"/>
      <c r="BC57" s="1284"/>
      <c r="BD57" s="1284"/>
      <c r="BE57" s="1284"/>
      <c r="BF57" s="1284"/>
      <c r="BG57" s="1284"/>
      <c r="BH57" s="1284"/>
      <c r="BI57" s="1284"/>
      <c r="BJ57" s="1284"/>
      <c r="BK57" s="1284"/>
    </row>
    <row r="58" spans="1:63">
      <c r="B58" s="1360" t="s">
        <v>621</v>
      </c>
      <c r="C58" s="1308"/>
      <c r="D58" s="1308"/>
      <c r="E58" s="1308"/>
      <c r="F58" s="1308"/>
      <c r="G58" s="1308"/>
      <c r="H58" s="1308"/>
      <c r="I58" s="1308"/>
      <c r="J58" s="1308"/>
      <c r="K58" s="1308"/>
      <c r="L58" s="1308"/>
      <c r="M58" s="1308"/>
      <c r="N58" s="1308"/>
      <c r="O58" s="1308"/>
      <c r="P58" s="1308"/>
      <c r="Q58" s="1308"/>
      <c r="R58" s="1308"/>
      <c r="S58" s="1308"/>
      <c r="T58" s="1308"/>
      <c r="U58" s="1308"/>
      <c r="V58" s="1308"/>
      <c r="W58" s="1308"/>
      <c r="X58" s="1308"/>
      <c r="Y58" s="1308"/>
      <c r="Z58" s="1308"/>
      <c r="AA58" s="1308"/>
      <c r="AB58" s="1308"/>
      <c r="AC58" s="1308"/>
      <c r="AD58" s="1308"/>
      <c r="AE58" s="1308"/>
      <c r="AF58" s="1308"/>
      <c r="AG58" s="1308"/>
      <c r="AH58" s="1308"/>
      <c r="AI58" s="1308"/>
      <c r="AJ58" s="1308"/>
      <c r="AK58" s="1308"/>
      <c r="AL58" s="1308"/>
      <c r="AM58" s="1308"/>
      <c r="AN58" s="1308"/>
      <c r="AO58" s="1308"/>
      <c r="AP58" s="1308"/>
      <c r="AQ58" s="1308"/>
      <c r="AR58" s="1308"/>
      <c r="AS58" s="1308"/>
      <c r="AT58" s="1308"/>
      <c r="AU58" s="1308"/>
      <c r="AV58" s="1308"/>
      <c r="AW58" s="1308"/>
      <c r="AX58" s="1308"/>
      <c r="AY58" s="1308"/>
      <c r="AZ58" s="1308"/>
      <c r="BA58" s="1308"/>
      <c r="BB58" s="1308"/>
      <c r="BC58" s="1308"/>
      <c r="BD58" s="1308"/>
      <c r="BE58" s="1308"/>
      <c r="BF58" s="1308"/>
      <c r="BG58" s="1308"/>
      <c r="BH58" s="1308"/>
      <c r="BI58" s="1308"/>
      <c r="BJ58" s="1308"/>
      <c r="BK58" s="1308"/>
    </row>
    <row r="59" spans="1:63">
      <c r="B59" s="1348" t="s">
        <v>632</v>
      </c>
      <c r="C59" s="1304">
        <v>0</v>
      </c>
      <c r="D59" s="1305">
        <f t="shared" ref="D59:AI59" si="36">IF(D12&gt;SALEMONTH,0,C64)</f>
        <v>4778491.5</v>
      </c>
      <c r="E59" s="1305">
        <f t="shared" si="36"/>
        <v>4863699.8738722261</v>
      </c>
      <c r="F59" s="1305">
        <f t="shared" si="36"/>
        <v>4951776.9380208375</v>
      </c>
      <c r="G59" s="1305">
        <f t="shared" si="36"/>
        <v>5040905.7235826179</v>
      </c>
      <c r="H59" s="1305">
        <f t="shared" si="36"/>
        <v>5125242.3769318843</v>
      </c>
      <c r="I59" s="1305">
        <f t="shared" si="36"/>
        <v>5216442.4998879237</v>
      </c>
      <c r="J59" s="1305">
        <f t="shared" si="36"/>
        <v>5306710.7472661557</v>
      </c>
      <c r="K59" s="1305">
        <f t="shared" si="36"/>
        <v>6494654.4485732466</v>
      </c>
      <c r="L59" s="1305">
        <f t="shared" si="36"/>
        <v>7694267.2156189866</v>
      </c>
      <c r="M59" s="1305">
        <f t="shared" si="36"/>
        <v>8138499.0084023718</v>
      </c>
      <c r="N59" s="1305">
        <f t="shared" si="36"/>
        <v>8235680.1958196955</v>
      </c>
      <c r="O59" s="1305">
        <f t="shared" si="36"/>
        <v>8330831.2516168859</v>
      </c>
      <c r="P59" s="1305">
        <f t="shared" si="36"/>
        <v>8430309.0634799376</v>
      </c>
      <c r="Q59" s="1305">
        <f t="shared" si="36"/>
        <v>8527708.7668455318</v>
      </c>
      <c r="R59" s="1305">
        <f t="shared" si="36"/>
        <v>8629537.4778960049</v>
      </c>
      <c r="S59" s="1305">
        <f t="shared" si="36"/>
        <v>8732582.1177120712</v>
      </c>
      <c r="T59" s="1305">
        <f t="shared" si="36"/>
        <v>8826711.8859309629</v>
      </c>
      <c r="U59" s="1305">
        <f t="shared" si="36"/>
        <v>8932110.970108496</v>
      </c>
      <c r="V59" s="1305">
        <f t="shared" si="36"/>
        <v>9035308.2493975684</v>
      </c>
      <c r="W59" s="1305">
        <f t="shared" si="36"/>
        <v>9143198.166623272</v>
      </c>
      <c r="X59" s="1305">
        <f t="shared" si="36"/>
        <v>9248834.2450322825</v>
      </c>
      <c r="Y59" s="1305">
        <f t="shared" si="36"/>
        <v>9359273.8596627302</v>
      </c>
      <c r="Z59" s="1305">
        <f t="shared" si="36"/>
        <v>9471032.225192653</v>
      </c>
      <c r="AA59" s="1305">
        <f t="shared" si="36"/>
        <v>9580455.9393594209</v>
      </c>
      <c r="AB59" s="1305">
        <f t="shared" si="36"/>
        <v>9694855.4230019301</v>
      </c>
      <c r="AC59" s="1305">
        <f t="shared" si="36"/>
        <v>9806865.0818723626</v>
      </c>
      <c r="AD59" s="1305">
        <f t="shared" si="36"/>
        <v>9904293.3055585884</v>
      </c>
      <c r="AE59" s="1305">
        <f t="shared" si="36"/>
        <v>9973467.148648886</v>
      </c>
      <c r="AF59" s="1305">
        <f t="shared" si="36"/>
        <v>10028939.768944371</v>
      </c>
      <c r="AG59" s="1305">
        <f t="shared" si="36"/>
        <v>10096661.735813148</v>
      </c>
      <c r="AH59" s="1305">
        <f t="shared" si="36"/>
        <v>10161280.842492854</v>
      </c>
      <c r="AI59" s="1305">
        <f t="shared" si="36"/>
        <v>10230583.083888697</v>
      </c>
      <c r="AJ59" s="1305">
        <f t="shared" ref="AJ59:BK59" si="37">IF(AJ12&gt;SALEMONTH,0,AI64)</f>
        <v>10296749.45289042</v>
      </c>
      <c r="AK59" s="1305">
        <f t="shared" si="37"/>
        <v>10367669.314489033</v>
      </c>
      <c r="AL59" s="1305">
        <f t="shared" si="37"/>
        <v>10439436.024671704</v>
      </c>
      <c r="AM59" s="1305">
        <f t="shared" si="37"/>
        <v>10508015.37928595</v>
      </c>
      <c r="AN59" s="1305">
        <f t="shared" si="37"/>
        <v>0</v>
      </c>
      <c r="AO59" s="1305">
        <f t="shared" si="37"/>
        <v>0</v>
      </c>
      <c r="AP59" s="1305">
        <f t="shared" si="37"/>
        <v>0</v>
      </c>
      <c r="AQ59" s="1305">
        <f t="shared" si="37"/>
        <v>0</v>
      </c>
      <c r="AR59" s="1305">
        <f t="shared" si="37"/>
        <v>0</v>
      </c>
      <c r="AS59" s="1305">
        <f t="shared" si="37"/>
        <v>0</v>
      </c>
      <c r="AT59" s="1305">
        <f t="shared" si="37"/>
        <v>0</v>
      </c>
      <c r="AU59" s="1305">
        <f t="shared" si="37"/>
        <v>0</v>
      </c>
      <c r="AV59" s="1305">
        <f t="shared" si="37"/>
        <v>0</v>
      </c>
      <c r="AW59" s="1305">
        <f t="shared" si="37"/>
        <v>0</v>
      </c>
      <c r="AX59" s="1305">
        <f t="shared" si="37"/>
        <v>0</v>
      </c>
      <c r="AY59" s="1305">
        <f t="shared" si="37"/>
        <v>0</v>
      </c>
      <c r="AZ59" s="1305">
        <f t="shared" si="37"/>
        <v>0</v>
      </c>
      <c r="BA59" s="1305">
        <f t="shared" si="37"/>
        <v>0</v>
      </c>
      <c r="BB59" s="1305">
        <f t="shared" si="37"/>
        <v>0</v>
      </c>
      <c r="BC59" s="1305">
        <f t="shared" si="37"/>
        <v>0</v>
      </c>
      <c r="BD59" s="1305">
        <f t="shared" si="37"/>
        <v>0</v>
      </c>
      <c r="BE59" s="1305">
        <f t="shared" si="37"/>
        <v>0</v>
      </c>
      <c r="BF59" s="1305">
        <f t="shared" si="37"/>
        <v>0</v>
      </c>
      <c r="BG59" s="1305">
        <f t="shared" si="37"/>
        <v>0</v>
      </c>
      <c r="BH59" s="1305">
        <f t="shared" si="37"/>
        <v>0</v>
      </c>
      <c r="BI59" s="1305">
        <f t="shared" si="37"/>
        <v>0</v>
      </c>
      <c r="BJ59" s="1305">
        <f t="shared" si="37"/>
        <v>0</v>
      </c>
      <c r="BK59" s="1305">
        <f t="shared" si="37"/>
        <v>0</v>
      </c>
    </row>
    <row r="60" spans="1:63">
      <c r="B60" s="1349" t="s">
        <v>642</v>
      </c>
      <c r="C60" s="1309">
        <v>0</v>
      </c>
      <c r="D60" s="1284">
        <f t="shared" ref="D60:AI60" si="38">D59*(1+HURDLE2)^((D12-C12)/365)-D59</f>
        <v>55208.373872226104</v>
      </c>
      <c r="E60" s="1284">
        <f t="shared" si="38"/>
        <v>58077.064148611389</v>
      </c>
      <c r="F60" s="1284">
        <f t="shared" si="38"/>
        <v>59128.785561780445</v>
      </c>
      <c r="G60" s="1284">
        <f t="shared" si="38"/>
        <v>54336.653349266388</v>
      </c>
      <c r="H60" s="1284">
        <f t="shared" si="38"/>
        <v>61200.122956039384</v>
      </c>
      <c r="I60" s="1284">
        <f t="shared" si="38"/>
        <v>60268.247378231958</v>
      </c>
      <c r="J60" s="1284">
        <f t="shared" si="38"/>
        <v>63367.022735662758</v>
      </c>
      <c r="K60" s="1284">
        <f t="shared" si="38"/>
        <v>75036.088474311866</v>
      </c>
      <c r="L60" s="1284">
        <f t="shared" si="38"/>
        <v>91876.649926240556</v>
      </c>
      <c r="M60" s="1284">
        <f t="shared" si="38"/>
        <v>97181.187417323701</v>
      </c>
      <c r="N60" s="1284">
        <f t="shared" si="38"/>
        <v>95151.055797190405</v>
      </c>
      <c r="O60" s="1284">
        <f t="shared" si="38"/>
        <v>99477.811863051727</v>
      </c>
      <c r="P60" s="1284">
        <f t="shared" si="38"/>
        <v>97399.703365594149</v>
      </c>
      <c r="Q60" s="1284">
        <f t="shared" si="38"/>
        <v>101828.71105047315</v>
      </c>
      <c r="R60" s="1284">
        <f t="shared" si="38"/>
        <v>103044.63981606625</v>
      </c>
      <c r="S60" s="1284">
        <f t="shared" si="38"/>
        <v>94129.768218891695</v>
      </c>
      <c r="T60" s="1284">
        <f t="shared" si="38"/>
        <v>105399.08417753316</v>
      </c>
      <c r="U60" s="1284">
        <f t="shared" si="38"/>
        <v>103197.27928907238</v>
      </c>
      <c r="V60" s="1284">
        <f t="shared" si="38"/>
        <v>107889.9172257036</v>
      </c>
      <c r="W60" s="1284">
        <f t="shared" si="38"/>
        <v>105636.07840901054</v>
      </c>
      <c r="X60" s="1284">
        <f t="shared" si="38"/>
        <v>110439.6146304477</v>
      </c>
      <c r="Y60" s="1284">
        <f t="shared" si="38"/>
        <v>111758.36552992277</v>
      </c>
      <c r="Z60" s="1284">
        <f t="shared" si="38"/>
        <v>109423.7141667679</v>
      </c>
      <c r="AA60" s="1284">
        <f t="shared" si="38"/>
        <v>114399.48364250921</v>
      </c>
      <c r="AB60" s="1284">
        <f t="shared" si="38"/>
        <v>112009.65887043253</v>
      </c>
      <c r="AC60" s="1284">
        <f t="shared" si="38"/>
        <v>117103.0177080445</v>
      </c>
      <c r="AD60" s="1284">
        <f t="shared" si="38"/>
        <v>118266.40059425123</v>
      </c>
      <c r="AE60" s="1284">
        <f t="shared" si="38"/>
        <v>107505.4478029944</v>
      </c>
      <c r="AF60" s="1284">
        <f t="shared" si="38"/>
        <v>119754.79437628575</v>
      </c>
      <c r="AG60" s="1284">
        <f t="shared" si="38"/>
        <v>116651.93418721482</v>
      </c>
      <c r="AH60" s="1284">
        <f t="shared" si="38"/>
        <v>121335.0689033512</v>
      </c>
      <c r="AI60" s="1284">
        <f t="shared" si="38"/>
        <v>118199.19650923274</v>
      </c>
      <c r="AJ60" s="1284">
        <f t="shared" ref="AJ60:BK60" si="39">AJ59*(1+HURDLE2)^((AJ12-AI12)/365)-AJ59</f>
        <v>122952.68910612166</v>
      </c>
      <c r="AK60" s="1284">
        <f t="shared" si="39"/>
        <v>123799.53769017942</v>
      </c>
      <c r="AL60" s="1284">
        <f t="shared" si="39"/>
        <v>120612.18212175556</v>
      </c>
      <c r="AM60" s="1284">
        <f t="shared" si="39"/>
        <v>125475.39919882268</v>
      </c>
      <c r="AN60" s="1284">
        <f t="shared" si="39"/>
        <v>0</v>
      </c>
      <c r="AO60" s="1284">
        <f t="shared" si="39"/>
        <v>0</v>
      </c>
      <c r="AP60" s="1284">
        <f t="shared" si="39"/>
        <v>0</v>
      </c>
      <c r="AQ60" s="1284">
        <f t="shared" si="39"/>
        <v>0</v>
      </c>
      <c r="AR60" s="1284">
        <f t="shared" si="39"/>
        <v>0</v>
      </c>
      <c r="AS60" s="1284">
        <f t="shared" si="39"/>
        <v>0</v>
      </c>
      <c r="AT60" s="1284">
        <f t="shared" si="39"/>
        <v>0</v>
      </c>
      <c r="AU60" s="1284">
        <f t="shared" si="39"/>
        <v>0</v>
      </c>
      <c r="AV60" s="1284">
        <f t="shared" si="39"/>
        <v>0</v>
      </c>
      <c r="AW60" s="1284">
        <f t="shared" si="39"/>
        <v>0</v>
      </c>
      <c r="AX60" s="1284">
        <f t="shared" si="39"/>
        <v>0</v>
      </c>
      <c r="AY60" s="1284">
        <f t="shared" si="39"/>
        <v>0</v>
      </c>
      <c r="AZ60" s="1284">
        <f t="shared" si="39"/>
        <v>0</v>
      </c>
      <c r="BA60" s="1284">
        <f t="shared" si="39"/>
        <v>0</v>
      </c>
      <c r="BB60" s="1284">
        <f t="shared" si="39"/>
        <v>0</v>
      </c>
      <c r="BC60" s="1284">
        <f t="shared" si="39"/>
        <v>0</v>
      </c>
      <c r="BD60" s="1284">
        <f t="shared" si="39"/>
        <v>0</v>
      </c>
      <c r="BE60" s="1284">
        <f t="shared" si="39"/>
        <v>0</v>
      </c>
      <c r="BF60" s="1284">
        <f t="shared" si="39"/>
        <v>0</v>
      </c>
      <c r="BG60" s="1284">
        <f t="shared" si="39"/>
        <v>0</v>
      </c>
      <c r="BH60" s="1284">
        <f t="shared" si="39"/>
        <v>0</v>
      </c>
      <c r="BI60" s="1284">
        <f t="shared" si="39"/>
        <v>0</v>
      </c>
      <c r="BJ60" s="1284">
        <f t="shared" si="39"/>
        <v>0</v>
      </c>
      <c r="BK60" s="1284">
        <f t="shared" si="39"/>
        <v>0</v>
      </c>
    </row>
    <row r="61" spans="1:63">
      <c r="B61" s="1349" t="s">
        <v>634</v>
      </c>
      <c r="C61" s="1309">
        <f>-C42</f>
        <v>4778491.5</v>
      </c>
      <c r="D61" s="1284">
        <f t="shared" ref="D61:BK61" si="40">-D42</f>
        <v>30000.000000000004</v>
      </c>
      <c r="E61" s="1284">
        <f t="shared" si="40"/>
        <v>30000.000000000004</v>
      </c>
      <c r="F61" s="1284">
        <f t="shared" si="40"/>
        <v>30000.000000000004</v>
      </c>
      <c r="G61" s="1284">
        <f t="shared" si="40"/>
        <v>30000.000000000004</v>
      </c>
      <c r="H61" s="1284">
        <f t="shared" si="40"/>
        <v>30000.000000000004</v>
      </c>
      <c r="I61" s="1284">
        <f t="shared" si="40"/>
        <v>30000.000000000004</v>
      </c>
      <c r="J61" s="1284">
        <f t="shared" si="40"/>
        <v>1124576.6785714286</v>
      </c>
      <c r="K61" s="1284">
        <f t="shared" si="40"/>
        <v>1124576.6785714286</v>
      </c>
      <c r="L61" s="1284">
        <f t="shared" si="40"/>
        <v>352355.14285714476</v>
      </c>
      <c r="M61" s="1284">
        <f t="shared" si="40"/>
        <v>0</v>
      </c>
      <c r="N61" s="1284">
        <f t="shared" si="40"/>
        <v>0</v>
      </c>
      <c r="O61" s="1284">
        <f t="shared" si="40"/>
        <v>0</v>
      </c>
      <c r="P61" s="1284">
        <f t="shared" si="40"/>
        <v>0</v>
      </c>
      <c r="Q61" s="1284">
        <f t="shared" si="40"/>
        <v>0</v>
      </c>
      <c r="R61" s="1284">
        <f t="shared" si="40"/>
        <v>0</v>
      </c>
      <c r="S61" s="1284">
        <f t="shared" si="40"/>
        <v>0</v>
      </c>
      <c r="T61" s="1284">
        <f t="shared" si="40"/>
        <v>0</v>
      </c>
      <c r="U61" s="1284">
        <f t="shared" si="40"/>
        <v>0</v>
      </c>
      <c r="V61" s="1284">
        <f t="shared" si="40"/>
        <v>0</v>
      </c>
      <c r="W61" s="1284">
        <f t="shared" si="40"/>
        <v>0</v>
      </c>
      <c r="X61" s="1284">
        <f t="shared" si="40"/>
        <v>0</v>
      </c>
      <c r="Y61" s="1284">
        <f t="shared" si="40"/>
        <v>0</v>
      </c>
      <c r="Z61" s="1284">
        <f t="shared" si="40"/>
        <v>0</v>
      </c>
      <c r="AA61" s="1284">
        <f t="shared" si="40"/>
        <v>0</v>
      </c>
      <c r="AB61" s="1284">
        <f t="shared" si="40"/>
        <v>0</v>
      </c>
      <c r="AC61" s="1284">
        <f t="shared" si="40"/>
        <v>0</v>
      </c>
      <c r="AD61" s="1284">
        <f t="shared" si="40"/>
        <v>0</v>
      </c>
      <c r="AE61" s="1284">
        <f t="shared" si="40"/>
        <v>0</v>
      </c>
      <c r="AF61" s="1284">
        <f t="shared" si="40"/>
        <v>0</v>
      </c>
      <c r="AG61" s="1284">
        <f t="shared" si="40"/>
        <v>0</v>
      </c>
      <c r="AH61" s="1284">
        <f t="shared" si="40"/>
        <v>0</v>
      </c>
      <c r="AI61" s="1284">
        <f t="shared" si="40"/>
        <v>0</v>
      </c>
      <c r="AJ61" s="1284">
        <f t="shared" si="40"/>
        <v>0</v>
      </c>
      <c r="AK61" s="1284">
        <f t="shared" si="40"/>
        <v>0</v>
      </c>
      <c r="AL61" s="1284">
        <f t="shared" si="40"/>
        <v>0</v>
      </c>
      <c r="AM61" s="1284">
        <f t="shared" si="40"/>
        <v>0</v>
      </c>
      <c r="AN61" s="1284">
        <f t="shared" si="40"/>
        <v>0</v>
      </c>
      <c r="AO61" s="1284">
        <f t="shared" si="40"/>
        <v>0</v>
      </c>
      <c r="AP61" s="1284">
        <f t="shared" si="40"/>
        <v>0</v>
      </c>
      <c r="AQ61" s="1284">
        <f t="shared" si="40"/>
        <v>0</v>
      </c>
      <c r="AR61" s="1284">
        <f t="shared" si="40"/>
        <v>0</v>
      </c>
      <c r="AS61" s="1284">
        <f t="shared" si="40"/>
        <v>0</v>
      </c>
      <c r="AT61" s="1284">
        <f t="shared" si="40"/>
        <v>0</v>
      </c>
      <c r="AU61" s="1284">
        <f t="shared" si="40"/>
        <v>0</v>
      </c>
      <c r="AV61" s="1284">
        <f t="shared" si="40"/>
        <v>0</v>
      </c>
      <c r="AW61" s="1284">
        <f t="shared" si="40"/>
        <v>0</v>
      </c>
      <c r="AX61" s="1284">
        <f t="shared" si="40"/>
        <v>0</v>
      </c>
      <c r="AY61" s="1284">
        <f t="shared" si="40"/>
        <v>0</v>
      </c>
      <c r="AZ61" s="1284">
        <f t="shared" si="40"/>
        <v>0</v>
      </c>
      <c r="BA61" s="1284">
        <f t="shared" si="40"/>
        <v>0</v>
      </c>
      <c r="BB61" s="1284">
        <f t="shared" si="40"/>
        <v>0</v>
      </c>
      <c r="BC61" s="1284">
        <f t="shared" si="40"/>
        <v>0</v>
      </c>
      <c r="BD61" s="1284">
        <f t="shared" si="40"/>
        <v>0</v>
      </c>
      <c r="BE61" s="1284">
        <f t="shared" si="40"/>
        <v>0</v>
      </c>
      <c r="BF61" s="1284">
        <f t="shared" si="40"/>
        <v>0</v>
      </c>
      <c r="BG61" s="1284">
        <f t="shared" si="40"/>
        <v>0</v>
      </c>
      <c r="BH61" s="1284">
        <f t="shared" si="40"/>
        <v>0</v>
      </c>
      <c r="BI61" s="1284">
        <f t="shared" si="40"/>
        <v>0</v>
      </c>
      <c r="BJ61" s="1284">
        <f t="shared" si="40"/>
        <v>0</v>
      </c>
      <c r="BK61" s="1284">
        <f t="shared" si="40"/>
        <v>0</v>
      </c>
    </row>
    <row r="62" spans="1:63">
      <c r="B62" s="1349" t="s">
        <v>643</v>
      </c>
      <c r="C62" s="1309">
        <f>C48</f>
        <v>0</v>
      </c>
      <c r="D62" s="1284">
        <f t="shared" ref="D62:BK62" si="41">D48</f>
        <v>0</v>
      </c>
      <c r="E62" s="1284">
        <f t="shared" si="41"/>
        <v>0</v>
      </c>
      <c r="F62" s="1284">
        <f t="shared" si="41"/>
        <v>0</v>
      </c>
      <c r="G62" s="1284">
        <f t="shared" si="41"/>
        <v>0</v>
      </c>
      <c r="H62" s="1284">
        <f t="shared" si="41"/>
        <v>0</v>
      </c>
      <c r="I62" s="1284">
        <f t="shared" si="41"/>
        <v>0</v>
      </c>
      <c r="J62" s="1284">
        <f t="shared" si="41"/>
        <v>0</v>
      </c>
      <c r="K62" s="1284">
        <f t="shared" si="41"/>
        <v>0</v>
      </c>
      <c r="L62" s="1284">
        <f t="shared" si="41"/>
        <v>0</v>
      </c>
      <c r="M62" s="1284">
        <f t="shared" si="41"/>
        <v>0</v>
      </c>
      <c r="N62" s="1284">
        <f t="shared" si="41"/>
        <v>0</v>
      </c>
      <c r="O62" s="1284">
        <f t="shared" si="41"/>
        <v>0</v>
      </c>
      <c r="P62" s="1284">
        <f t="shared" si="41"/>
        <v>0</v>
      </c>
      <c r="Q62" s="1284">
        <f t="shared" si="41"/>
        <v>0</v>
      </c>
      <c r="R62" s="1284">
        <f t="shared" si="41"/>
        <v>0</v>
      </c>
      <c r="S62" s="1284">
        <f t="shared" si="41"/>
        <v>0</v>
      </c>
      <c r="T62" s="1284">
        <f t="shared" si="41"/>
        <v>0</v>
      </c>
      <c r="U62" s="1284">
        <f t="shared" si="41"/>
        <v>0</v>
      </c>
      <c r="V62" s="1284">
        <f t="shared" si="41"/>
        <v>0</v>
      </c>
      <c r="W62" s="1284">
        <f t="shared" si="41"/>
        <v>0</v>
      </c>
      <c r="X62" s="1284">
        <f t="shared" si="41"/>
        <v>0</v>
      </c>
      <c r="Y62" s="1284">
        <f t="shared" si="41"/>
        <v>0</v>
      </c>
      <c r="Z62" s="1284">
        <f t="shared" si="41"/>
        <v>0</v>
      </c>
      <c r="AA62" s="1284">
        <f t="shared" si="41"/>
        <v>0</v>
      </c>
      <c r="AB62" s="1284">
        <f t="shared" si="41"/>
        <v>0</v>
      </c>
      <c r="AC62" s="1284">
        <f t="shared" si="41"/>
        <v>19674.794021819045</v>
      </c>
      <c r="AD62" s="1284">
        <f t="shared" si="41"/>
        <v>49092.557503954224</v>
      </c>
      <c r="AE62" s="1284">
        <f t="shared" si="41"/>
        <v>52032.827507509624</v>
      </c>
      <c r="AF62" s="1284">
        <f t="shared" si="41"/>
        <v>52032.827507509624</v>
      </c>
      <c r="AG62" s="1284">
        <f t="shared" si="41"/>
        <v>52032.827507509624</v>
      </c>
      <c r="AH62" s="1284">
        <f t="shared" si="41"/>
        <v>52032.827507509624</v>
      </c>
      <c r="AI62" s="1284">
        <f t="shared" si="41"/>
        <v>52032.827507509624</v>
      </c>
      <c r="AJ62" s="1284">
        <f t="shared" si="41"/>
        <v>52032.827507509624</v>
      </c>
      <c r="AK62" s="1284">
        <f t="shared" si="41"/>
        <v>52032.827507509624</v>
      </c>
      <c r="AL62" s="1284">
        <f t="shared" si="41"/>
        <v>52032.827507509624</v>
      </c>
      <c r="AM62" s="1284">
        <f t="shared" si="41"/>
        <v>9345698.5380175281</v>
      </c>
      <c r="AN62" s="1284">
        <f t="shared" si="41"/>
        <v>0</v>
      </c>
      <c r="AO62" s="1284">
        <f t="shared" si="41"/>
        <v>0</v>
      </c>
      <c r="AP62" s="1284">
        <f t="shared" si="41"/>
        <v>0</v>
      </c>
      <c r="AQ62" s="1284">
        <f t="shared" si="41"/>
        <v>0</v>
      </c>
      <c r="AR62" s="1284">
        <f t="shared" si="41"/>
        <v>0</v>
      </c>
      <c r="AS62" s="1284">
        <f t="shared" si="41"/>
        <v>0</v>
      </c>
      <c r="AT62" s="1284">
        <f t="shared" si="41"/>
        <v>0</v>
      </c>
      <c r="AU62" s="1284">
        <f t="shared" si="41"/>
        <v>0</v>
      </c>
      <c r="AV62" s="1284">
        <f t="shared" si="41"/>
        <v>0</v>
      </c>
      <c r="AW62" s="1284">
        <f t="shared" si="41"/>
        <v>0</v>
      </c>
      <c r="AX62" s="1284">
        <f t="shared" si="41"/>
        <v>0</v>
      </c>
      <c r="AY62" s="1284">
        <f t="shared" si="41"/>
        <v>0</v>
      </c>
      <c r="AZ62" s="1284">
        <f t="shared" si="41"/>
        <v>0</v>
      </c>
      <c r="BA62" s="1284">
        <f t="shared" si="41"/>
        <v>0</v>
      </c>
      <c r="BB62" s="1284">
        <f t="shared" si="41"/>
        <v>0</v>
      </c>
      <c r="BC62" s="1284">
        <f t="shared" si="41"/>
        <v>0</v>
      </c>
      <c r="BD62" s="1284">
        <f t="shared" si="41"/>
        <v>0</v>
      </c>
      <c r="BE62" s="1284">
        <f t="shared" si="41"/>
        <v>0</v>
      </c>
      <c r="BF62" s="1284">
        <f t="shared" si="41"/>
        <v>0</v>
      </c>
      <c r="BG62" s="1284">
        <f t="shared" si="41"/>
        <v>0</v>
      </c>
      <c r="BH62" s="1284">
        <f t="shared" si="41"/>
        <v>0</v>
      </c>
      <c r="BI62" s="1284">
        <f t="shared" si="41"/>
        <v>0</v>
      </c>
      <c r="BJ62" s="1284">
        <f t="shared" si="41"/>
        <v>0</v>
      </c>
      <c r="BK62" s="1284">
        <f t="shared" si="41"/>
        <v>0</v>
      </c>
    </row>
    <row r="63" spans="1:63" s="1345" customFormat="1">
      <c r="B63" s="1361" t="s">
        <v>635</v>
      </c>
      <c r="C63" s="1343">
        <f t="shared" ref="C63:AH63" si="42">MIN(C59+C60-C62,C56*LPCF2)</f>
        <v>0</v>
      </c>
      <c r="D63" s="1344">
        <f t="shared" si="42"/>
        <v>0</v>
      </c>
      <c r="E63" s="1344">
        <f t="shared" si="42"/>
        <v>0</v>
      </c>
      <c r="F63" s="1344">
        <f t="shared" si="42"/>
        <v>0</v>
      </c>
      <c r="G63" s="1344">
        <f t="shared" si="42"/>
        <v>0</v>
      </c>
      <c r="H63" s="1344">
        <f t="shared" si="42"/>
        <v>0</v>
      </c>
      <c r="I63" s="1344">
        <f t="shared" si="42"/>
        <v>0</v>
      </c>
      <c r="J63" s="1344">
        <f t="shared" si="42"/>
        <v>0</v>
      </c>
      <c r="K63" s="1344">
        <f t="shared" si="42"/>
        <v>0</v>
      </c>
      <c r="L63" s="1344">
        <f t="shared" si="42"/>
        <v>0</v>
      </c>
      <c r="M63" s="1344">
        <f t="shared" si="42"/>
        <v>0</v>
      </c>
      <c r="N63" s="1344">
        <f t="shared" si="42"/>
        <v>0</v>
      </c>
      <c r="O63" s="1344">
        <f t="shared" si="42"/>
        <v>0</v>
      </c>
      <c r="P63" s="1344">
        <f t="shared" si="42"/>
        <v>0</v>
      </c>
      <c r="Q63" s="1344">
        <f t="shared" si="42"/>
        <v>0</v>
      </c>
      <c r="R63" s="1344">
        <f t="shared" si="42"/>
        <v>0</v>
      </c>
      <c r="S63" s="1344">
        <f t="shared" si="42"/>
        <v>0</v>
      </c>
      <c r="T63" s="1344">
        <f t="shared" si="42"/>
        <v>0</v>
      </c>
      <c r="U63" s="1344">
        <f t="shared" si="42"/>
        <v>0</v>
      </c>
      <c r="V63" s="1344">
        <f t="shared" si="42"/>
        <v>0</v>
      </c>
      <c r="W63" s="1344">
        <f t="shared" si="42"/>
        <v>0</v>
      </c>
      <c r="X63" s="1344">
        <f t="shared" si="42"/>
        <v>0</v>
      </c>
      <c r="Y63" s="1344">
        <f t="shared" si="42"/>
        <v>0</v>
      </c>
      <c r="Z63" s="1344">
        <f t="shared" si="42"/>
        <v>0</v>
      </c>
      <c r="AA63" s="1344">
        <f t="shared" si="42"/>
        <v>0</v>
      </c>
      <c r="AB63" s="1344">
        <f t="shared" si="42"/>
        <v>0</v>
      </c>
      <c r="AC63" s="1344">
        <f t="shared" si="42"/>
        <v>0</v>
      </c>
      <c r="AD63" s="1344">
        <f t="shared" si="42"/>
        <v>0</v>
      </c>
      <c r="AE63" s="1344">
        <f t="shared" si="42"/>
        <v>0</v>
      </c>
      <c r="AF63" s="1344">
        <f t="shared" si="42"/>
        <v>0</v>
      </c>
      <c r="AG63" s="1344">
        <f t="shared" si="42"/>
        <v>0</v>
      </c>
      <c r="AH63" s="1344">
        <f t="shared" si="42"/>
        <v>0</v>
      </c>
      <c r="AI63" s="1344">
        <f t="shared" ref="AI63:BK63" si="43">MIN(AI59+AI60-AI62,AI56*LPCF2)</f>
        <v>0</v>
      </c>
      <c r="AJ63" s="1344">
        <f t="shared" si="43"/>
        <v>0</v>
      </c>
      <c r="AK63" s="1344">
        <f t="shared" si="43"/>
        <v>0</v>
      </c>
      <c r="AL63" s="1344">
        <f t="shared" si="43"/>
        <v>0</v>
      </c>
      <c r="AM63" s="1344">
        <f t="shared" si="43"/>
        <v>1287792.2404672448</v>
      </c>
      <c r="AN63" s="1344">
        <f t="shared" si="43"/>
        <v>0</v>
      </c>
      <c r="AO63" s="1344">
        <f t="shared" si="43"/>
        <v>0</v>
      </c>
      <c r="AP63" s="1344">
        <f t="shared" si="43"/>
        <v>0</v>
      </c>
      <c r="AQ63" s="1344">
        <f t="shared" si="43"/>
        <v>0</v>
      </c>
      <c r="AR63" s="1344">
        <f t="shared" si="43"/>
        <v>0</v>
      </c>
      <c r="AS63" s="1344">
        <f t="shared" si="43"/>
        <v>0</v>
      </c>
      <c r="AT63" s="1344">
        <f t="shared" si="43"/>
        <v>0</v>
      </c>
      <c r="AU63" s="1344">
        <f t="shared" si="43"/>
        <v>0</v>
      </c>
      <c r="AV63" s="1344">
        <f t="shared" si="43"/>
        <v>0</v>
      </c>
      <c r="AW63" s="1344">
        <f t="shared" si="43"/>
        <v>0</v>
      </c>
      <c r="AX63" s="1344">
        <f t="shared" si="43"/>
        <v>0</v>
      </c>
      <c r="AY63" s="1344">
        <f t="shared" si="43"/>
        <v>0</v>
      </c>
      <c r="AZ63" s="1344">
        <f t="shared" si="43"/>
        <v>0</v>
      </c>
      <c r="BA63" s="1344">
        <f t="shared" si="43"/>
        <v>0</v>
      </c>
      <c r="BB63" s="1344">
        <f t="shared" si="43"/>
        <v>0</v>
      </c>
      <c r="BC63" s="1344">
        <f t="shared" si="43"/>
        <v>0</v>
      </c>
      <c r="BD63" s="1344">
        <f t="shared" si="43"/>
        <v>0</v>
      </c>
      <c r="BE63" s="1344">
        <f t="shared" si="43"/>
        <v>0</v>
      </c>
      <c r="BF63" s="1344">
        <f t="shared" si="43"/>
        <v>0</v>
      </c>
      <c r="BG63" s="1344">
        <f t="shared" si="43"/>
        <v>0</v>
      </c>
      <c r="BH63" s="1344">
        <f t="shared" si="43"/>
        <v>0</v>
      </c>
      <c r="BI63" s="1344">
        <f t="shared" si="43"/>
        <v>0</v>
      </c>
      <c r="BJ63" s="1344">
        <f t="shared" si="43"/>
        <v>0</v>
      </c>
      <c r="BK63" s="1344">
        <f t="shared" si="43"/>
        <v>0</v>
      </c>
    </row>
    <row r="64" spans="1:63">
      <c r="A64" s="1311" t="s">
        <v>601</v>
      </c>
      <c r="B64" s="1349" t="s">
        <v>636</v>
      </c>
      <c r="C64" s="1309">
        <f>C59+C60+C61-C62-C63</f>
        <v>4778491.5</v>
      </c>
      <c r="D64" s="1284">
        <f t="shared" ref="D64:BK64" si="44">D59+D60+D61-D62-D63</f>
        <v>4863699.8738722261</v>
      </c>
      <c r="E64" s="1284">
        <f t="shared" si="44"/>
        <v>4951776.9380208375</v>
      </c>
      <c r="F64" s="1284">
        <f t="shared" si="44"/>
        <v>5040905.7235826179</v>
      </c>
      <c r="G64" s="1284">
        <f t="shared" si="44"/>
        <v>5125242.3769318843</v>
      </c>
      <c r="H64" s="1284">
        <f t="shared" si="44"/>
        <v>5216442.4998879237</v>
      </c>
      <c r="I64" s="1284">
        <f t="shared" si="44"/>
        <v>5306710.7472661557</v>
      </c>
      <c r="J64" s="1284">
        <f t="shared" si="44"/>
        <v>6494654.4485732466</v>
      </c>
      <c r="K64" s="1284">
        <f t="shared" si="44"/>
        <v>7694267.2156189866</v>
      </c>
      <c r="L64" s="1284">
        <f t="shared" si="44"/>
        <v>8138499.0084023718</v>
      </c>
      <c r="M64" s="1284">
        <f t="shared" si="44"/>
        <v>8235680.1958196955</v>
      </c>
      <c r="N64" s="1284">
        <f t="shared" si="44"/>
        <v>8330831.2516168859</v>
      </c>
      <c r="O64" s="1284">
        <f t="shared" si="44"/>
        <v>8430309.0634799376</v>
      </c>
      <c r="P64" s="1284">
        <f t="shared" si="44"/>
        <v>8527708.7668455318</v>
      </c>
      <c r="Q64" s="1284">
        <f t="shared" si="44"/>
        <v>8629537.4778960049</v>
      </c>
      <c r="R64" s="1284">
        <f t="shared" si="44"/>
        <v>8732582.1177120712</v>
      </c>
      <c r="S64" s="1284">
        <f t="shared" si="44"/>
        <v>8826711.8859309629</v>
      </c>
      <c r="T64" s="1284">
        <f t="shared" si="44"/>
        <v>8932110.970108496</v>
      </c>
      <c r="U64" s="1284">
        <f t="shared" si="44"/>
        <v>9035308.2493975684</v>
      </c>
      <c r="V64" s="1284">
        <f t="shared" si="44"/>
        <v>9143198.166623272</v>
      </c>
      <c r="W64" s="1284">
        <f t="shared" si="44"/>
        <v>9248834.2450322825</v>
      </c>
      <c r="X64" s="1284">
        <f t="shared" si="44"/>
        <v>9359273.8596627302</v>
      </c>
      <c r="Y64" s="1284">
        <f t="shared" si="44"/>
        <v>9471032.225192653</v>
      </c>
      <c r="Z64" s="1284">
        <f t="shared" si="44"/>
        <v>9580455.9393594209</v>
      </c>
      <c r="AA64" s="1284">
        <f t="shared" si="44"/>
        <v>9694855.4230019301</v>
      </c>
      <c r="AB64" s="1284">
        <f t="shared" si="44"/>
        <v>9806865.0818723626</v>
      </c>
      <c r="AC64" s="1284">
        <f t="shared" si="44"/>
        <v>9904293.3055585884</v>
      </c>
      <c r="AD64" s="1284">
        <f t="shared" si="44"/>
        <v>9973467.148648886</v>
      </c>
      <c r="AE64" s="1284">
        <f t="shared" si="44"/>
        <v>10028939.768944371</v>
      </c>
      <c r="AF64" s="1284">
        <f t="shared" si="44"/>
        <v>10096661.735813148</v>
      </c>
      <c r="AG64" s="1284">
        <f t="shared" si="44"/>
        <v>10161280.842492854</v>
      </c>
      <c r="AH64" s="1284">
        <f t="shared" si="44"/>
        <v>10230583.083888697</v>
      </c>
      <c r="AI64" s="1284">
        <f t="shared" si="44"/>
        <v>10296749.45289042</v>
      </c>
      <c r="AJ64" s="1284">
        <f t="shared" si="44"/>
        <v>10367669.314489033</v>
      </c>
      <c r="AK64" s="1284">
        <f t="shared" si="44"/>
        <v>10439436.024671704</v>
      </c>
      <c r="AL64" s="1284">
        <f t="shared" si="44"/>
        <v>10508015.37928595</v>
      </c>
      <c r="AM64" s="1284">
        <f t="shared" si="44"/>
        <v>0</v>
      </c>
      <c r="AN64" s="1284">
        <f t="shared" si="44"/>
        <v>0</v>
      </c>
      <c r="AO64" s="1284">
        <f t="shared" si="44"/>
        <v>0</v>
      </c>
      <c r="AP64" s="1284">
        <f t="shared" si="44"/>
        <v>0</v>
      </c>
      <c r="AQ64" s="1284">
        <f t="shared" si="44"/>
        <v>0</v>
      </c>
      <c r="AR64" s="1284">
        <f t="shared" si="44"/>
        <v>0</v>
      </c>
      <c r="AS64" s="1284">
        <f t="shared" si="44"/>
        <v>0</v>
      </c>
      <c r="AT64" s="1284">
        <f t="shared" si="44"/>
        <v>0</v>
      </c>
      <c r="AU64" s="1284">
        <f t="shared" si="44"/>
        <v>0</v>
      </c>
      <c r="AV64" s="1284">
        <f t="shared" si="44"/>
        <v>0</v>
      </c>
      <c r="AW64" s="1284">
        <f t="shared" si="44"/>
        <v>0</v>
      </c>
      <c r="AX64" s="1284">
        <f t="shared" si="44"/>
        <v>0</v>
      </c>
      <c r="AY64" s="1284">
        <f t="shared" si="44"/>
        <v>0</v>
      </c>
      <c r="AZ64" s="1284">
        <f t="shared" si="44"/>
        <v>0</v>
      </c>
      <c r="BA64" s="1284">
        <f t="shared" si="44"/>
        <v>0</v>
      </c>
      <c r="BB64" s="1284">
        <f t="shared" si="44"/>
        <v>0</v>
      </c>
      <c r="BC64" s="1284">
        <f t="shared" si="44"/>
        <v>0</v>
      </c>
      <c r="BD64" s="1284">
        <f t="shared" si="44"/>
        <v>0</v>
      </c>
      <c r="BE64" s="1284">
        <f t="shared" si="44"/>
        <v>0</v>
      </c>
      <c r="BF64" s="1284">
        <f t="shared" si="44"/>
        <v>0</v>
      </c>
      <c r="BG64" s="1284">
        <f t="shared" si="44"/>
        <v>0</v>
      </c>
      <c r="BH64" s="1284">
        <f t="shared" si="44"/>
        <v>0</v>
      </c>
      <c r="BI64" s="1284">
        <f t="shared" si="44"/>
        <v>0</v>
      </c>
      <c r="BJ64" s="1284">
        <f t="shared" si="44"/>
        <v>0</v>
      </c>
      <c r="BK64" s="1284">
        <f t="shared" si="44"/>
        <v>0</v>
      </c>
    </row>
    <row r="65" spans="1:63">
      <c r="A65" s="1312">
        <f>IFERROR(XIRR(C65:BK65,$C$12:$BK$12),0)</f>
        <v>0.15000000596046451</v>
      </c>
      <c r="B65" s="1362" t="s">
        <v>637</v>
      </c>
      <c r="C65" s="1313">
        <f>C63-C61+C62</f>
        <v>-4778491.5</v>
      </c>
      <c r="D65" s="1314">
        <f t="shared" ref="D65:BK65" si="45">D63-D61+D62</f>
        <v>-30000.000000000004</v>
      </c>
      <c r="E65" s="1314">
        <f t="shared" si="45"/>
        <v>-30000.000000000004</v>
      </c>
      <c r="F65" s="1314">
        <f t="shared" si="45"/>
        <v>-30000.000000000004</v>
      </c>
      <c r="G65" s="1314">
        <f t="shared" si="45"/>
        <v>-30000.000000000004</v>
      </c>
      <c r="H65" s="1314">
        <f t="shared" si="45"/>
        <v>-30000.000000000004</v>
      </c>
      <c r="I65" s="1314">
        <f t="shared" si="45"/>
        <v>-30000.000000000004</v>
      </c>
      <c r="J65" s="1314">
        <f t="shared" si="45"/>
        <v>-1124576.6785714286</v>
      </c>
      <c r="K65" s="1314">
        <f t="shared" si="45"/>
        <v>-1124576.6785714286</v>
      </c>
      <c r="L65" s="1314">
        <f t="shared" si="45"/>
        <v>-352355.14285714476</v>
      </c>
      <c r="M65" s="1314">
        <f t="shared" si="45"/>
        <v>0</v>
      </c>
      <c r="N65" s="1314">
        <f t="shared" si="45"/>
        <v>0</v>
      </c>
      <c r="O65" s="1314">
        <f t="shared" si="45"/>
        <v>0</v>
      </c>
      <c r="P65" s="1314">
        <f t="shared" si="45"/>
        <v>0</v>
      </c>
      <c r="Q65" s="1314">
        <f t="shared" si="45"/>
        <v>0</v>
      </c>
      <c r="R65" s="1314">
        <f t="shared" si="45"/>
        <v>0</v>
      </c>
      <c r="S65" s="1314">
        <f t="shared" si="45"/>
        <v>0</v>
      </c>
      <c r="T65" s="1314">
        <f t="shared" si="45"/>
        <v>0</v>
      </c>
      <c r="U65" s="1314">
        <f t="shared" si="45"/>
        <v>0</v>
      </c>
      <c r="V65" s="1314">
        <f t="shared" si="45"/>
        <v>0</v>
      </c>
      <c r="W65" s="1314">
        <f t="shared" si="45"/>
        <v>0</v>
      </c>
      <c r="X65" s="1314">
        <f t="shared" si="45"/>
        <v>0</v>
      </c>
      <c r="Y65" s="1314">
        <f t="shared" si="45"/>
        <v>0</v>
      </c>
      <c r="Z65" s="1314">
        <f t="shared" si="45"/>
        <v>0</v>
      </c>
      <c r="AA65" s="1314">
        <f t="shared" si="45"/>
        <v>0</v>
      </c>
      <c r="AB65" s="1314">
        <f t="shared" si="45"/>
        <v>0</v>
      </c>
      <c r="AC65" s="1314">
        <f t="shared" si="45"/>
        <v>19674.794021819045</v>
      </c>
      <c r="AD65" s="1314">
        <f t="shared" si="45"/>
        <v>49092.557503954224</v>
      </c>
      <c r="AE65" s="1314">
        <f t="shared" si="45"/>
        <v>52032.827507509624</v>
      </c>
      <c r="AF65" s="1314">
        <f t="shared" si="45"/>
        <v>52032.827507509624</v>
      </c>
      <c r="AG65" s="1314">
        <f t="shared" si="45"/>
        <v>52032.827507509624</v>
      </c>
      <c r="AH65" s="1314">
        <f t="shared" si="45"/>
        <v>52032.827507509624</v>
      </c>
      <c r="AI65" s="1314">
        <f t="shared" si="45"/>
        <v>52032.827507509624</v>
      </c>
      <c r="AJ65" s="1314">
        <f t="shared" si="45"/>
        <v>52032.827507509624</v>
      </c>
      <c r="AK65" s="1314">
        <f t="shared" si="45"/>
        <v>52032.827507509624</v>
      </c>
      <c r="AL65" s="1314">
        <f t="shared" si="45"/>
        <v>52032.827507509624</v>
      </c>
      <c r="AM65" s="1314">
        <f t="shared" si="45"/>
        <v>10633490.778484773</v>
      </c>
      <c r="AN65" s="1314">
        <f t="shared" si="45"/>
        <v>0</v>
      </c>
      <c r="AO65" s="1314">
        <f t="shared" si="45"/>
        <v>0</v>
      </c>
      <c r="AP65" s="1314">
        <f t="shared" si="45"/>
        <v>0</v>
      </c>
      <c r="AQ65" s="1314">
        <f t="shared" si="45"/>
        <v>0</v>
      </c>
      <c r="AR65" s="1314">
        <f t="shared" si="45"/>
        <v>0</v>
      </c>
      <c r="AS65" s="1314">
        <f t="shared" si="45"/>
        <v>0</v>
      </c>
      <c r="AT65" s="1314">
        <f t="shared" si="45"/>
        <v>0</v>
      </c>
      <c r="AU65" s="1314">
        <f t="shared" si="45"/>
        <v>0</v>
      </c>
      <c r="AV65" s="1314">
        <f t="shared" si="45"/>
        <v>0</v>
      </c>
      <c r="AW65" s="1314">
        <f t="shared" si="45"/>
        <v>0</v>
      </c>
      <c r="AX65" s="1314">
        <f t="shared" si="45"/>
        <v>0</v>
      </c>
      <c r="AY65" s="1314">
        <f t="shared" si="45"/>
        <v>0</v>
      </c>
      <c r="AZ65" s="1314">
        <f t="shared" si="45"/>
        <v>0</v>
      </c>
      <c r="BA65" s="1314">
        <f t="shared" si="45"/>
        <v>0</v>
      </c>
      <c r="BB65" s="1314">
        <f t="shared" si="45"/>
        <v>0</v>
      </c>
      <c r="BC65" s="1314">
        <f t="shared" si="45"/>
        <v>0</v>
      </c>
      <c r="BD65" s="1314">
        <f t="shared" si="45"/>
        <v>0</v>
      </c>
      <c r="BE65" s="1314">
        <f t="shared" si="45"/>
        <v>0</v>
      </c>
      <c r="BF65" s="1314">
        <f t="shared" si="45"/>
        <v>0</v>
      </c>
      <c r="BG65" s="1314">
        <f t="shared" si="45"/>
        <v>0</v>
      </c>
      <c r="BH65" s="1314">
        <f t="shared" si="45"/>
        <v>0</v>
      </c>
      <c r="BI65" s="1314">
        <f t="shared" si="45"/>
        <v>0</v>
      </c>
      <c r="BJ65" s="1314">
        <f t="shared" si="45"/>
        <v>0</v>
      </c>
      <c r="BK65" s="1314">
        <f t="shared" si="45"/>
        <v>0</v>
      </c>
    </row>
    <row r="66" spans="1:63">
      <c r="B66" s="1349"/>
      <c r="C66" s="1309"/>
      <c r="D66" s="1284"/>
      <c r="E66" s="1284"/>
      <c r="F66" s="1284"/>
      <c r="G66" s="1284"/>
      <c r="H66" s="1284"/>
      <c r="I66" s="1284"/>
      <c r="J66" s="1284"/>
      <c r="K66" s="1284"/>
      <c r="L66" s="1284"/>
      <c r="M66" s="1284"/>
      <c r="N66" s="1284"/>
      <c r="O66" s="1284"/>
      <c r="P66" s="1284"/>
      <c r="Q66" s="1284"/>
      <c r="R66" s="1284"/>
      <c r="S66" s="1284"/>
      <c r="T66" s="1284"/>
      <c r="U66" s="1284"/>
      <c r="V66" s="1284"/>
      <c r="W66" s="1284"/>
      <c r="X66" s="1284"/>
      <c r="Y66" s="1284"/>
      <c r="Z66" s="1284"/>
      <c r="AA66" s="1284"/>
      <c r="AB66" s="1284"/>
      <c r="AC66" s="1284"/>
      <c r="AD66" s="1284"/>
      <c r="AE66" s="1284"/>
      <c r="AF66" s="1284"/>
      <c r="AG66" s="1284"/>
      <c r="AH66" s="1284"/>
      <c r="AI66" s="1284"/>
      <c r="AJ66" s="1284"/>
      <c r="AK66" s="1284"/>
      <c r="AL66" s="1284"/>
      <c r="AM66" s="1284"/>
      <c r="AN66" s="1284"/>
      <c r="AO66" s="1284"/>
      <c r="AP66" s="1284"/>
      <c r="AQ66" s="1284"/>
      <c r="AR66" s="1284"/>
      <c r="AS66" s="1284"/>
      <c r="AT66" s="1284"/>
      <c r="AU66" s="1284"/>
      <c r="AV66" s="1284"/>
      <c r="AW66" s="1284"/>
      <c r="AX66" s="1284"/>
      <c r="AY66" s="1284"/>
      <c r="AZ66" s="1284"/>
      <c r="BA66" s="1284"/>
      <c r="BB66" s="1284"/>
      <c r="BC66" s="1284"/>
      <c r="BD66" s="1284"/>
      <c r="BE66" s="1284"/>
      <c r="BF66" s="1284"/>
      <c r="BG66" s="1284"/>
      <c r="BH66" s="1284"/>
      <c r="BI66" s="1284"/>
      <c r="BJ66" s="1284"/>
      <c r="BK66" s="1284"/>
    </row>
    <row r="67" spans="1:63">
      <c r="B67" s="1349" t="s">
        <v>653</v>
      </c>
      <c r="C67" s="1309">
        <f>C63</f>
        <v>0</v>
      </c>
      <c r="D67" s="1284">
        <f t="shared" ref="D67:BK67" si="46">D63</f>
        <v>0</v>
      </c>
      <c r="E67" s="1284">
        <f t="shared" si="46"/>
        <v>0</v>
      </c>
      <c r="F67" s="1284">
        <f t="shared" si="46"/>
        <v>0</v>
      </c>
      <c r="G67" s="1284">
        <f t="shared" si="46"/>
        <v>0</v>
      </c>
      <c r="H67" s="1284">
        <f t="shared" si="46"/>
        <v>0</v>
      </c>
      <c r="I67" s="1284">
        <f t="shared" si="46"/>
        <v>0</v>
      </c>
      <c r="J67" s="1284">
        <f t="shared" si="46"/>
        <v>0</v>
      </c>
      <c r="K67" s="1284">
        <f t="shared" si="46"/>
        <v>0</v>
      </c>
      <c r="L67" s="1284">
        <f t="shared" si="46"/>
        <v>0</v>
      </c>
      <c r="M67" s="1284">
        <f t="shared" si="46"/>
        <v>0</v>
      </c>
      <c r="N67" s="1284">
        <f t="shared" si="46"/>
        <v>0</v>
      </c>
      <c r="O67" s="1284">
        <f t="shared" si="46"/>
        <v>0</v>
      </c>
      <c r="P67" s="1284">
        <f t="shared" si="46"/>
        <v>0</v>
      </c>
      <c r="Q67" s="1284">
        <f t="shared" si="46"/>
        <v>0</v>
      </c>
      <c r="R67" s="1284">
        <f t="shared" si="46"/>
        <v>0</v>
      </c>
      <c r="S67" s="1284">
        <f t="shared" si="46"/>
        <v>0</v>
      </c>
      <c r="T67" s="1284">
        <f t="shared" si="46"/>
        <v>0</v>
      </c>
      <c r="U67" s="1284">
        <f t="shared" si="46"/>
        <v>0</v>
      </c>
      <c r="V67" s="1284">
        <f t="shared" si="46"/>
        <v>0</v>
      </c>
      <c r="W67" s="1284">
        <f t="shared" si="46"/>
        <v>0</v>
      </c>
      <c r="X67" s="1284">
        <f t="shared" si="46"/>
        <v>0</v>
      </c>
      <c r="Y67" s="1284">
        <f t="shared" si="46"/>
        <v>0</v>
      </c>
      <c r="Z67" s="1284">
        <f t="shared" si="46"/>
        <v>0</v>
      </c>
      <c r="AA67" s="1284">
        <f t="shared" si="46"/>
        <v>0</v>
      </c>
      <c r="AB67" s="1284">
        <f t="shared" si="46"/>
        <v>0</v>
      </c>
      <c r="AC67" s="1284">
        <f t="shared" si="46"/>
        <v>0</v>
      </c>
      <c r="AD67" s="1284">
        <f t="shared" si="46"/>
        <v>0</v>
      </c>
      <c r="AE67" s="1284">
        <f t="shared" si="46"/>
        <v>0</v>
      </c>
      <c r="AF67" s="1284">
        <f t="shared" si="46"/>
        <v>0</v>
      </c>
      <c r="AG67" s="1284">
        <f t="shared" si="46"/>
        <v>0</v>
      </c>
      <c r="AH67" s="1284">
        <f t="shared" si="46"/>
        <v>0</v>
      </c>
      <c r="AI67" s="1284">
        <f t="shared" si="46"/>
        <v>0</v>
      </c>
      <c r="AJ67" s="1284">
        <f t="shared" si="46"/>
        <v>0</v>
      </c>
      <c r="AK67" s="1284">
        <f t="shared" si="46"/>
        <v>0</v>
      </c>
      <c r="AL67" s="1284">
        <f t="shared" si="46"/>
        <v>0</v>
      </c>
      <c r="AM67" s="1284">
        <f t="shared" si="46"/>
        <v>1287792.2404672448</v>
      </c>
      <c r="AN67" s="1284">
        <f t="shared" si="46"/>
        <v>0</v>
      </c>
      <c r="AO67" s="1284">
        <f t="shared" si="46"/>
        <v>0</v>
      </c>
      <c r="AP67" s="1284">
        <f t="shared" si="46"/>
        <v>0</v>
      </c>
      <c r="AQ67" s="1284">
        <f t="shared" si="46"/>
        <v>0</v>
      </c>
      <c r="AR67" s="1284">
        <f t="shared" si="46"/>
        <v>0</v>
      </c>
      <c r="AS67" s="1284">
        <f t="shared" si="46"/>
        <v>0</v>
      </c>
      <c r="AT67" s="1284">
        <f t="shared" si="46"/>
        <v>0</v>
      </c>
      <c r="AU67" s="1284">
        <f t="shared" si="46"/>
        <v>0</v>
      </c>
      <c r="AV67" s="1284">
        <f t="shared" si="46"/>
        <v>0</v>
      </c>
      <c r="AW67" s="1284">
        <f t="shared" si="46"/>
        <v>0</v>
      </c>
      <c r="AX67" s="1284">
        <f t="shared" si="46"/>
        <v>0</v>
      </c>
      <c r="AY67" s="1284">
        <f t="shared" si="46"/>
        <v>0</v>
      </c>
      <c r="AZ67" s="1284">
        <f t="shared" si="46"/>
        <v>0</v>
      </c>
      <c r="BA67" s="1284">
        <f t="shared" si="46"/>
        <v>0</v>
      </c>
      <c r="BB67" s="1284">
        <f t="shared" si="46"/>
        <v>0</v>
      </c>
      <c r="BC67" s="1284">
        <f t="shared" si="46"/>
        <v>0</v>
      </c>
      <c r="BD67" s="1284">
        <f t="shared" si="46"/>
        <v>0</v>
      </c>
      <c r="BE67" s="1284">
        <f t="shared" si="46"/>
        <v>0</v>
      </c>
      <c r="BF67" s="1284">
        <f t="shared" si="46"/>
        <v>0</v>
      </c>
      <c r="BG67" s="1284">
        <f t="shared" si="46"/>
        <v>0</v>
      </c>
      <c r="BH67" s="1284">
        <f t="shared" si="46"/>
        <v>0</v>
      </c>
      <c r="BI67" s="1284">
        <f t="shared" si="46"/>
        <v>0</v>
      </c>
      <c r="BJ67" s="1284">
        <f t="shared" si="46"/>
        <v>0</v>
      </c>
      <c r="BK67" s="1284">
        <f t="shared" si="46"/>
        <v>0</v>
      </c>
    </row>
    <row r="68" spans="1:63" s="1345" customFormat="1">
      <c r="A68" s="1346"/>
      <c r="B68" s="1363" t="s">
        <v>654</v>
      </c>
      <c r="C68" s="1343">
        <f t="shared" ref="C68:AH68" si="47">C67/LPCF2*GPCF2</f>
        <v>0</v>
      </c>
      <c r="D68" s="1344">
        <f t="shared" si="47"/>
        <v>0</v>
      </c>
      <c r="E68" s="1344">
        <f t="shared" si="47"/>
        <v>0</v>
      </c>
      <c r="F68" s="1344">
        <f t="shared" si="47"/>
        <v>0</v>
      </c>
      <c r="G68" s="1344">
        <f t="shared" si="47"/>
        <v>0</v>
      </c>
      <c r="H68" s="1344">
        <f t="shared" si="47"/>
        <v>0</v>
      </c>
      <c r="I68" s="1344">
        <f t="shared" si="47"/>
        <v>0</v>
      </c>
      <c r="J68" s="1344">
        <f t="shared" si="47"/>
        <v>0</v>
      </c>
      <c r="K68" s="1344">
        <f t="shared" si="47"/>
        <v>0</v>
      </c>
      <c r="L68" s="1344">
        <f t="shared" si="47"/>
        <v>0</v>
      </c>
      <c r="M68" s="1344">
        <f t="shared" si="47"/>
        <v>0</v>
      </c>
      <c r="N68" s="1344">
        <f t="shared" si="47"/>
        <v>0</v>
      </c>
      <c r="O68" s="1344">
        <f t="shared" si="47"/>
        <v>0</v>
      </c>
      <c r="P68" s="1344">
        <f t="shared" si="47"/>
        <v>0</v>
      </c>
      <c r="Q68" s="1344">
        <f t="shared" si="47"/>
        <v>0</v>
      </c>
      <c r="R68" s="1344">
        <f t="shared" si="47"/>
        <v>0</v>
      </c>
      <c r="S68" s="1344">
        <f t="shared" si="47"/>
        <v>0</v>
      </c>
      <c r="T68" s="1344">
        <f t="shared" si="47"/>
        <v>0</v>
      </c>
      <c r="U68" s="1344">
        <f t="shared" si="47"/>
        <v>0</v>
      </c>
      <c r="V68" s="1344">
        <f t="shared" si="47"/>
        <v>0</v>
      </c>
      <c r="W68" s="1344">
        <f t="shared" si="47"/>
        <v>0</v>
      </c>
      <c r="X68" s="1344">
        <f t="shared" si="47"/>
        <v>0</v>
      </c>
      <c r="Y68" s="1344">
        <f t="shared" si="47"/>
        <v>0</v>
      </c>
      <c r="Z68" s="1344">
        <f t="shared" si="47"/>
        <v>0</v>
      </c>
      <c r="AA68" s="1344">
        <f t="shared" si="47"/>
        <v>0</v>
      </c>
      <c r="AB68" s="1344">
        <f t="shared" si="47"/>
        <v>0</v>
      </c>
      <c r="AC68" s="1344">
        <f t="shared" si="47"/>
        <v>0</v>
      </c>
      <c r="AD68" s="1344">
        <f t="shared" si="47"/>
        <v>0</v>
      </c>
      <c r="AE68" s="1344">
        <f t="shared" si="47"/>
        <v>0</v>
      </c>
      <c r="AF68" s="1344">
        <f t="shared" si="47"/>
        <v>0</v>
      </c>
      <c r="AG68" s="1344">
        <f t="shared" si="47"/>
        <v>0</v>
      </c>
      <c r="AH68" s="1344">
        <f t="shared" si="47"/>
        <v>0</v>
      </c>
      <c r="AI68" s="1344">
        <f t="shared" ref="AI68:BK68" si="48">AI67/LPCF2*GPCF2</f>
        <v>0</v>
      </c>
      <c r="AJ68" s="1344">
        <f t="shared" si="48"/>
        <v>0</v>
      </c>
      <c r="AK68" s="1344">
        <f t="shared" si="48"/>
        <v>0</v>
      </c>
      <c r="AL68" s="1344">
        <f t="shared" si="48"/>
        <v>0</v>
      </c>
      <c r="AM68" s="1344">
        <f t="shared" si="48"/>
        <v>500808.09351503965</v>
      </c>
      <c r="AN68" s="1344">
        <f t="shared" si="48"/>
        <v>0</v>
      </c>
      <c r="AO68" s="1344">
        <f t="shared" si="48"/>
        <v>0</v>
      </c>
      <c r="AP68" s="1344">
        <f t="shared" si="48"/>
        <v>0</v>
      </c>
      <c r="AQ68" s="1344">
        <f t="shared" si="48"/>
        <v>0</v>
      </c>
      <c r="AR68" s="1344">
        <f t="shared" si="48"/>
        <v>0</v>
      </c>
      <c r="AS68" s="1344">
        <f t="shared" si="48"/>
        <v>0</v>
      </c>
      <c r="AT68" s="1344">
        <f t="shared" si="48"/>
        <v>0</v>
      </c>
      <c r="AU68" s="1344">
        <f t="shared" si="48"/>
        <v>0</v>
      </c>
      <c r="AV68" s="1344">
        <f t="shared" si="48"/>
        <v>0</v>
      </c>
      <c r="AW68" s="1344">
        <f t="shared" si="48"/>
        <v>0</v>
      </c>
      <c r="AX68" s="1344">
        <f t="shared" si="48"/>
        <v>0</v>
      </c>
      <c r="AY68" s="1344">
        <f t="shared" si="48"/>
        <v>0</v>
      </c>
      <c r="AZ68" s="1344">
        <f t="shared" si="48"/>
        <v>0</v>
      </c>
      <c r="BA68" s="1344">
        <f t="shared" si="48"/>
        <v>0</v>
      </c>
      <c r="BB68" s="1344">
        <f t="shared" si="48"/>
        <v>0</v>
      </c>
      <c r="BC68" s="1344">
        <f t="shared" si="48"/>
        <v>0</v>
      </c>
      <c r="BD68" s="1344">
        <f t="shared" si="48"/>
        <v>0</v>
      </c>
      <c r="BE68" s="1344">
        <f t="shared" si="48"/>
        <v>0</v>
      </c>
      <c r="BF68" s="1344">
        <f t="shared" si="48"/>
        <v>0</v>
      </c>
      <c r="BG68" s="1344">
        <f t="shared" si="48"/>
        <v>0</v>
      </c>
      <c r="BH68" s="1344">
        <f t="shared" si="48"/>
        <v>0</v>
      </c>
      <c r="BI68" s="1344">
        <f t="shared" si="48"/>
        <v>0</v>
      </c>
      <c r="BJ68" s="1344">
        <f t="shared" si="48"/>
        <v>0</v>
      </c>
      <c r="BK68" s="1344">
        <f t="shared" si="48"/>
        <v>0</v>
      </c>
    </row>
    <row r="69" spans="1:63">
      <c r="B69" s="1349" t="s">
        <v>640</v>
      </c>
      <c r="C69" s="1309">
        <f>SUM(C67:C68)</f>
        <v>0</v>
      </c>
      <c r="D69" s="1284">
        <f t="shared" ref="D69:BK69" si="49">SUM(D67:D68)</f>
        <v>0</v>
      </c>
      <c r="E69" s="1284">
        <f t="shared" si="49"/>
        <v>0</v>
      </c>
      <c r="F69" s="1284">
        <f t="shared" si="49"/>
        <v>0</v>
      </c>
      <c r="G69" s="1284">
        <f t="shared" si="49"/>
        <v>0</v>
      </c>
      <c r="H69" s="1284">
        <f t="shared" si="49"/>
        <v>0</v>
      </c>
      <c r="I69" s="1284">
        <f t="shared" si="49"/>
        <v>0</v>
      </c>
      <c r="J69" s="1284">
        <f t="shared" si="49"/>
        <v>0</v>
      </c>
      <c r="K69" s="1284">
        <f t="shared" si="49"/>
        <v>0</v>
      </c>
      <c r="L69" s="1284">
        <f t="shared" si="49"/>
        <v>0</v>
      </c>
      <c r="M69" s="1284">
        <f t="shared" si="49"/>
        <v>0</v>
      </c>
      <c r="N69" s="1284">
        <f t="shared" si="49"/>
        <v>0</v>
      </c>
      <c r="O69" s="1284">
        <f t="shared" si="49"/>
        <v>0</v>
      </c>
      <c r="P69" s="1284">
        <f t="shared" si="49"/>
        <v>0</v>
      </c>
      <c r="Q69" s="1284">
        <f t="shared" si="49"/>
        <v>0</v>
      </c>
      <c r="R69" s="1284">
        <f t="shared" si="49"/>
        <v>0</v>
      </c>
      <c r="S69" s="1284">
        <f t="shared" si="49"/>
        <v>0</v>
      </c>
      <c r="T69" s="1284">
        <f t="shared" si="49"/>
        <v>0</v>
      </c>
      <c r="U69" s="1284">
        <f t="shared" si="49"/>
        <v>0</v>
      </c>
      <c r="V69" s="1284">
        <f t="shared" si="49"/>
        <v>0</v>
      </c>
      <c r="W69" s="1284">
        <f t="shared" si="49"/>
        <v>0</v>
      </c>
      <c r="X69" s="1284">
        <f t="shared" si="49"/>
        <v>0</v>
      </c>
      <c r="Y69" s="1284">
        <f t="shared" si="49"/>
        <v>0</v>
      </c>
      <c r="Z69" s="1284">
        <f t="shared" si="49"/>
        <v>0</v>
      </c>
      <c r="AA69" s="1284">
        <f t="shared" si="49"/>
        <v>0</v>
      </c>
      <c r="AB69" s="1284">
        <f t="shared" si="49"/>
        <v>0</v>
      </c>
      <c r="AC69" s="1284">
        <f t="shared" si="49"/>
        <v>0</v>
      </c>
      <c r="AD69" s="1284">
        <f t="shared" si="49"/>
        <v>0</v>
      </c>
      <c r="AE69" s="1284">
        <f t="shared" si="49"/>
        <v>0</v>
      </c>
      <c r="AF69" s="1284">
        <f t="shared" si="49"/>
        <v>0</v>
      </c>
      <c r="AG69" s="1284">
        <f t="shared" si="49"/>
        <v>0</v>
      </c>
      <c r="AH69" s="1284">
        <f t="shared" si="49"/>
        <v>0</v>
      </c>
      <c r="AI69" s="1284">
        <f t="shared" si="49"/>
        <v>0</v>
      </c>
      <c r="AJ69" s="1284">
        <f t="shared" si="49"/>
        <v>0</v>
      </c>
      <c r="AK69" s="1284">
        <f t="shared" si="49"/>
        <v>0</v>
      </c>
      <c r="AL69" s="1284">
        <f t="shared" si="49"/>
        <v>0</v>
      </c>
      <c r="AM69" s="1284">
        <f t="shared" si="49"/>
        <v>1788600.3339822844</v>
      </c>
      <c r="AN69" s="1284">
        <f t="shared" si="49"/>
        <v>0</v>
      </c>
      <c r="AO69" s="1284">
        <f t="shared" si="49"/>
        <v>0</v>
      </c>
      <c r="AP69" s="1284">
        <f t="shared" si="49"/>
        <v>0</v>
      </c>
      <c r="AQ69" s="1284">
        <f t="shared" si="49"/>
        <v>0</v>
      </c>
      <c r="AR69" s="1284">
        <f t="shared" si="49"/>
        <v>0</v>
      </c>
      <c r="AS69" s="1284">
        <f t="shared" si="49"/>
        <v>0</v>
      </c>
      <c r="AT69" s="1284">
        <f t="shared" si="49"/>
        <v>0</v>
      </c>
      <c r="AU69" s="1284">
        <f t="shared" si="49"/>
        <v>0</v>
      </c>
      <c r="AV69" s="1284">
        <f t="shared" si="49"/>
        <v>0</v>
      </c>
      <c r="AW69" s="1284">
        <f t="shared" si="49"/>
        <v>0</v>
      </c>
      <c r="AX69" s="1284">
        <f t="shared" si="49"/>
        <v>0</v>
      </c>
      <c r="AY69" s="1284">
        <f t="shared" si="49"/>
        <v>0</v>
      </c>
      <c r="AZ69" s="1284">
        <f t="shared" si="49"/>
        <v>0</v>
      </c>
      <c r="BA69" s="1284">
        <f t="shared" si="49"/>
        <v>0</v>
      </c>
      <c r="BB69" s="1284">
        <f t="shared" si="49"/>
        <v>0</v>
      </c>
      <c r="BC69" s="1284">
        <f t="shared" si="49"/>
        <v>0</v>
      </c>
      <c r="BD69" s="1284">
        <f t="shared" si="49"/>
        <v>0</v>
      </c>
      <c r="BE69" s="1284">
        <f t="shared" si="49"/>
        <v>0</v>
      </c>
      <c r="BF69" s="1284">
        <f t="shared" si="49"/>
        <v>0</v>
      </c>
      <c r="BG69" s="1284">
        <f t="shared" si="49"/>
        <v>0</v>
      </c>
      <c r="BH69" s="1284">
        <f t="shared" si="49"/>
        <v>0</v>
      </c>
      <c r="BI69" s="1284">
        <f t="shared" si="49"/>
        <v>0</v>
      </c>
      <c r="BJ69" s="1284">
        <f t="shared" si="49"/>
        <v>0</v>
      </c>
      <c r="BK69" s="1284">
        <f t="shared" si="49"/>
        <v>0</v>
      </c>
    </row>
    <row r="70" spans="1:63">
      <c r="B70" s="1362" t="s">
        <v>641</v>
      </c>
      <c r="C70" s="1313">
        <f t="shared" ref="C70:AH70" si="50">MAX(C34-C55-C69,0)</f>
        <v>0</v>
      </c>
      <c r="D70" s="1314">
        <f t="shared" si="50"/>
        <v>0</v>
      </c>
      <c r="E70" s="1314">
        <f t="shared" si="50"/>
        <v>0</v>
      </c>
      <c r="F70" s="1314">
        <f t="shared" si="50"/>
        <v>0</v>
      </c>
      <c r="G70" s="1314">
        <f t="shared" si="50"/>
        <v>0</v>
      </c>
      <c r="H70" s="1314">
        <f t="shared" si="50"/>
        <v>0</v>
      </c>
      <c r="I70" s="1314">
        <f t="shared" si="50"/>
        <v>0</v>
      </c>
      <c r="J70" s="1314">
        <f t="shared" si="50"/>
        <v>0</v>
      </c>
      <c r="K70" s="1314">
        <f t="shared" si="50"/>
        <v>0</v>
      </c>
      <c r="L70" s="1314">
        <f t="shared" si="50"/>
        <v>0</v>
      </c>
      <c r="M70" s="1314">
        <f t="shared" si="50"/>
        <v>0</v>
      </c>
      <c r="N70" s="1314">
        <f t="shared" si="50"/>
        <v>0</v>
      </c>
      <c r="O70" s="1314">
        <f t="shared" si="50"/>
        <v>0</v>
      </c>
      <c r="P70" s="1314">
        <f t="shared" si="50"/>
        <v>0</v>
      </c>
      <c r="Q70" s="1314">
        <f t="shared" si="50"/>
        <v>0</v>
      </c>
      <c r="R70" s="1314">
        <f t="shared" si="50"/>
        <v>0</v>
      </c>
      <c r="S70" s="1314">
        <f t="shared" si="50"/>
        <v>0</v>
      </c>
      <c r="T70" s="1314">
        <f t="shared" si="50"/>
        <v>0</v>
      </c>
      <c r="U70" s="1314">
        <f t="shared" si="50"/>
        <v>0</v>
      </c>
      <c r="V70" s="1314">
        <f t="shared" si="50"/>
        <v>0</v>
      </c>
      <c r="W70" s="1314">
        <f t="shared" si="50"/>
        <v>0</v>
      </c>
      <c r="X70" s="1314">
        <f t="shared" si="50"/>
        <v>0</v>
      </c>
      <c r="Y70" s="1314">
        <f t="shared" si="50"/>
        <v>0</v>
      </c>
      <c r="Z70" s="1314">
        <f t="shared" si="50"/>
        <v>0</v>
      </c>
      <c r="AA70" s="1314">
        <f t="shared" si="50"/>
        <v>0</v>
      </c>
      <c r="AB70" s="1314">
        <f t="shared" si="50"/>
        <v>0</v>
      </c>
      <c r="AC70" s="1314">
        <f t="shared" si="50"/>
        <v>0</v>
      </c>
      <c r="AD70" s="1314">
        <f t="shared" si="50"/>
        <v>0</v>
      </c>
      <c r="AE70" s="1314">
        <f t="shared" si="50"/>
        <v>0</v>
      </c>
      <c r="AF70" s="1314">
        <f t="shared" si="50"/>
        <v>0</v>
      </c>
      <c r="AG70" s="1314">
        <f t="shared" si="50"/>
        <v>0</v>
      </c>
      <c r="AH70" s="1314">
        <f t="shared" si="50"/>
        <v>0</v>
      </c>
      <c r="AI70" s="1314">
        <f t="shared" ref="AI70:BK70" si="51">MAX(AI34-AI55-AI69,0)</f>
        <v>0</v>
      </c>
      <c r="AJ70" s="1314">
        <f t="shared" si="51"/>
        <v>0</v>
      </c>
      <c r="AK70" s="1314">
        <f t="shared" si="51"/>
        <v>0</v>
      </c>
      <c r="AL70" s="1314">
        <f t="shared" si="51"/>
        <v>0</v>
      </c>
      <c r="AM70" s="1314">
        <f t="shared" si="51"/>
        <v>1012449.0498786725</v>
      </c>
      <c r="AN70" s="1314">
        <f t="shared" si="51"/>
        <v>0</v>
      </c>
      <c r="AO70" s="1314">
        <f t="shared" si="51"/>
        <v>0</v>
      </c>
      <c r="AP70" s="1314">
        <f t="shared" si="51"/>
        <v>0</v>
      </c>
      <c r="AQ70" s="1314">
        <f t="shared" si="51"/>
        <v>0</v>
      </c>
      <c r="AR70" s="1314">
        <f t="shared" si="51"/>
        <v>0</v>
      </c>
      <c r="AS70" s="1314">
        <f t="shared" si="51"/>
        <v>0</v>
      </c>
      <c r="AT70" s="1314">
        <f t="shared" si="51"/>
        <v>0</v>
      </c>
      <c r="AU70" s="1314">
        <f t="shared" si="51"/>
        <v>0</v>
      </c>
      <c r="AV70" s="1314">
        <f t="shared" si="51"/>
        <v>0</v>
      </c>
      <c r="AW70" s="1314">
        <f t="shared" si="51"/>
        <v>0</v>
      </c>
      <c r="AX70" s="1314">
        <f t="shared" si="51"/>
        <v>0</v>
      </c>
      <c r="AY70" s="1314">
        <f t="shared" si="51"/>
        <v>0</v>
      </c>
      <c r="AZ70" s="1314">
        <f t="shared" si="51"/>
        <v>0</v>
      </c>
      <c r="BA70" s="1314">
        <f t="shared" si="51"/>
        <v>0</v>
      </c>
      <c r="BB70" s="1314">
        <f t="shared" si="51"/>
        <v>0</v>
      </c>
      <c r="BC70" s="1314">
        <f t="shared" si="51"/>
        <v>0</v>
      </c>
      <c r="BD70" s="1314">
        <f t="shared" si="51"/>
        <v>0</v>
      </c>
      <c r="BE70" s="1314">
        <f t="shared" si="51"/>
        <v>0</v>
      </c>
      <c r="BF70" s="1314">
        <f t="shared" si="51"/>
        <v>0</v>
      </c>
      <c r="BG70" s="1314">
        <f t="shared" si="51"/>
        <v>0</v>
      </c>
      <c r="BH70" s="1314">
        <f t="shared" si="51"/>
        <v>0</v>
      </c>
      <c r="BI70" s="1314">
        <f t="shared" si="51"/>
        <v>0</v>
      </c>
      <c r="BJ70" s="1314">
        <f t="shared" si="51"/>
        <v>0</v>
      </c>
      <c r="BK70" s="1314">
        <f t="shared" si="51"/>
        <v>0</v>
      </c>
    </row>
    <row r="71" spans="1:63">
      <c r="B71" s="1355"/>
      <c r="C71" s="1284"/>
      <c r="D71" s="1284"/>
      <c r="E71" s="1284"/>
      <c r="F71" s="1284"/>
      <c r="G71" s="1284"/>
      <c r="H71" s="1284"/>
      <c r="I71" s="1284"/>
      <c r="J71" s="1284"/>
      <c r="K71" s="1284"/>
      <c r="L71" s="1284"/>
      <c r="M71" s="1284"/>
      <c r="N71" s="1284"/>
      <c r="O71" s="1284"/>
      <c r="P71" s="1284"/>
      <c r="Q71" s="1284"/>
      <c r="R71" s="1284"/>
      <c r="S71" s="1284"/>
      <c r="T71" s="1284"/>
      <c r="U71" s="1284"/>
      <c r="V71" s="1284"/>
      <c r="W71" s="1284"/>
      <c r="X71" s="1284"/>
      <c r="Y71" s="1284"/>
      <c r="Z71" s="1284"/>
      <c r="AA71" s="1284"/>
      <c r="AB71" s="1284"/>
      <c r="AC71" s="1284"/>
      <c r="AD71" s="1284"/>
      <c r="AE71" s="1284"/>
      <c r="AF71" s="1284"/>
      <c r="AG71" s="1284"/>
      <c r="AH71" s="1284"/>
      <c r="AI71" s="1284"/>
      <c r="AJ71" s="1284"/>
      <c r="AK71" s="1284"/>
      <c r="AL71" s="1284"/>
      <c r="AM71" s="1284"/>
      <c r="AN71" s="1284"/>
      <c r="AO71" s="1284"/>
      <c r="AP71" s="1284"/>
      <c r="AQ71" s="1284"/>
      <c r="AR71" s="1284"/>
      <c r="AS71" s="1284"/>
      <c r="AT71" s="1284"/>
      <c r="AU71" s="1284"/>
      <c r="AV71" s="1284"/>
      <c r="AW71" s="1284"/>
      <c r="AX71" s="1284"/>
      <c r="AY71" s="1284"/>
      <c r="AZ71" s="1284"/>
      <c r="BA71" s="1284"/>
      <c r="BB71" s="1284"/>
      <c r="BC71" s="1284"/>
      <c r="BD71" s="1284"/>
      <c r="BE71" s="1284"/>
      <c r="BF71" s="1284"/>
      <c r="BG71" s="1284"/>
      <c r="BH71" s="1284"/>
      <c r="BI71" s="1284"/>
      <c r="BJ71" s="1284"/>
      <c r="BK71" s="1284"/>
    </row>
    <row r="72" spans="1:63">
      <c r="B72" s="1360" t="s">
        <v>623</v>
      </c>
      <c r="C72" s="1308"/>
      <c r="D72" s="1308"/>
      <c r="E72" s="1308"/>
      <c r="F72" s="1308"/>
      <c r="G72" s="1308"/>
      <c r="H72" s="1308"/>
      <c r="I72" s="1308"/>
      <c r="J72" s="1308"/>
      <c r="K72" s="1308"/>
      <c r="L72" s="1308"/>
      <c r="M72" s="1308"/>
      <c r="N72" s="1308"/>
      <c r="O72" s="1308"/>
      <c r="P72" s="1308"/>
      <c r="Q72" s="1308"/>
      <c r="R72" s="1308"/>
      <c r="S72" s="1308"/>
      <c r="T72" s="1308"/>
      <c r="U72" s="1308"/>
      <c r="V72" s="1308"/>
      <c r="W72" s="1308"/>
      <c r="X72" s="1308"/>
      <c r="Y72" s="1308"/>
      <c r="Z72" s="1308"/>
      <c r="AA72" s="1308"/>
      <c r="AB72" s="1308"/>
      <c r="AC72" s="1308"/>
      <c r="AD72" s="1308"/>
      <c r="AE72" s="1308"/>
      <c r="AF72" s="1308"/>
      <c r="AG72" s="1308"/>
      <c r="AH72" s="1308"/>
      <c r="AI72" s="1308"/>
      <c r="AJ72" s="1308"/>
      <c r="AK72" s="1308"/>
      <c r="AL72" s="1308"/>
      <c r="AM72" s="1308"/>
      <c r="AN72" s="1308"/>
      <c r="AO72" s="1308"/>
      <c r="AP72" s="1308"/>
      <c r="AQ72" s="1308"/>
      <c r="AR72" s="1308"/>
      <c r="AS72" s="1308"/>
      <c r="AT72" s="1308"/>
      <c r="AU72" s="1308"/>
      <c r="AV72" s="1308"/>
      <c r="AW72" s="1308"/>
      <c r="AX72" s="1308"/>
      <c r="AY72" s="1308"/>
      <c r="AZ72" s="1308"/>
      <c r="BA72" s="1308"/>
      <c r="BB72" s="1308"/>
      <c r="BC72" s="1308"/>
      <c r="BD72" s="1308"/>
      <c r="BE72" s="1308"/>
      <c r="BF72" s="1308"/>
      <c r="BG72" s="1308"/>
      <c r="BH72" s="1308"/>
      <c r="BI72" s="1308"/>
      <c r="BJ72" s="1308"/>
      <c r="BK72" s="1308"/>
    </row>
    <row r="73" spans="1:63">
      <c r="B73" s="1348" t="s">
        <v>632</v>
      </c>
      <c r="C73" s="1304">
        <v>0</v>
      </c>
      <c r="D73" s="1305">
        <f t="shared" ref="D73:AI73" si="52">IF(D12&gt;SALEMONTH,0,C78)</f>
        <v>4778491.5</v>
      </c>
      <c r="E73" s="1305">
        <f t="shared" si="52"/>
        <v>4873941.9289308609</v>
      </c>
      <c r="F73" s="1305">
        <f t="shared" si="52"/>
        <v>4972940.669597555</v>
      </c>
      <c r="G73" s="1305">
        <f t="shared" si="52"/>
        <v>5073340.9018152757</v>
      </c>
      <c r="H73" s="1305">
        <f t="shared" si="52"/>
        <v>5168167.7836836791</v>
      </c>
      <c r="I73" s="1305">
        <f t="shared" si="52"/>
        <v>5271331.7798551675</v>
      </c>
      <c r="J73" s="1305">
        <f t="shared" si="52"/>
        <v>5373532.5833992148</v>
      </c>
      <c r="K73" s="1305">
        <f t="shared" si="52"/>
        <v>6574180.5378685333</v>
      </c>
      <c r="L73" s="1305">
        <f t="shared" si="52"/>
        <v>7788802.9842460603</v>
      </c>
      <c r="M73" s="1305">
        <f t="shared" si="52"/>
        <v>8251421.5658249399</v>
      </c>
      <c r="N73" s="1305">
        <f t="shared" si="52"/>
        <v>8368234.1386979222</v>
      </c>
      <c r="O73" s="1305">
        <f t="shared" si="52"/>
        <v>8482852.8449929226</v>
      </c>
      <c r="P73" s="1305">
        <f t="shared" si="52"/>
        <v>8602941.7118895762</v>
      </c>
      <c r="Q73" s="1305">
        <f t="shared" si="52"/>
        <v>8720775.1798596196</v>
      </c>
      <c r="R73" s="1305">
        <f t="shared" si="52"/>
        <v>8844232.2324510664</v>
      </c>
      <c r="S73" s="1305">
        <f t="shared" si="52"/>
        <v>8969437.0246092621</v>
      </c>
      <c r="T73" s="1305">
        <f t="shared" si="52"/>
        <v>9084048.0167884752</v>
      </c>
      <c r="U73" s="1305">
        <f t="shared" si="52"/>
        <v>9212647.7995625958</v>
      </c>
      <c r="V73" s="1305">
        <f t="shared" si="52"/>
        <v>9338832.3391961455</v>
      </c>
      <c r="W73" s="1305">
        <f t="shared" si="52"/>
        <v>9471039.0170962401</v>
      </c>
      <c r="X73" s="1305">
        <f t="shared" si="52"/>
        <v>9600762.7104605306</v>
      </c>
      <c r="Y73" s="1305">
        <f t="shared" si="52"/>
        <v>9736677.4476734214</v>
      </c>
      <c r="Z73" s="1305">
        <f t="shared" si="52"/>
        <v>9874516.2836635411</v>
      </c>
      <c r="AA73" s="1305">
        <f t="shared" si="52"/>
        <v>10009766.357091641</v>
      </c>
      <c r="AB73" s="1305">
        <f t="shared" si="52"/>
        <v>10151471.220029691</v>
      </c>
      <c r="AC73" s="1305">
        <f t="shared" si="52"/>
        <v>10290514.712234341</v>
      </c>
      <c r="AD73" s="1305">
        <f t="shared" si="52"/>
        <v>10416519.240270428</v>
      </c>
      <c r="AE73" s="1305">
        <f t="shared" si="52"/>
        <v>10514889.808135862</v>
      </c>
      <c r="AF73" s="1305">
        <f t="shared" si="52"/>
        <v>10597215.686783385</v>
      </c>
      <c r="AG73" s="1305">
        <f t="shared" si="52"/>
        <v>10695204.042872904</v>
      </c>
      <c r="AH73" s="1305">
        <f t="shared" si="52"/>
        <v>10789662.151282957</v>
      </c>
      <c r="AI73" s="1305">
        <f t="shared" si="52"/>
        <v>10890374.906614373</v>
      </c>
      <c r="AJ73" s="1305">
        <f t="shared" ref="AJ73:BK73" si="53">IF(AJ12&gt;SALEMONTH,0,AI78)</f>
        <v>10987506.247099169</v>
      </c>
      <c r="AK73" s="1305">
        <f t="shared" si="53"/>
        <v>11091019.814105961</v>
      </c>
      <c r="AL73" s="1305">
        <f t="shared" si="53"/>
        <v>11195998.787527014</v>
      </c>
      <c r="AM73" s="1305">
        <f t="shared" si="53"/>
        <v>11297316.221907184</v>
      </c>
      <c r="AN73" s="1305">
        <f t="shared" si="53"/>
        <v>0</v>
      </c>
      <c r="AO73" s="1305">
        <f t="shared" si="53"/>
        <v>0</v>
      </c>
      <c r="AP73" s="1305">
        <f t="shared" si="53"/>
        <v>0</v>
      </c>
      <c r="AQ73" s="1305">
        <f t="shared" si="53"/>
        <v>0</v>
      </c>
      <c r="AR73" s="1305">
        <f t="shared" si="53"/>
        <v>0</v>
      </c>
      <c r="AS73" s="1305">
        <f t="shared" si="53"/>
        <v>0</v>
      </c>
      <c r="AT73" s="1305">
        <f t="shared" si="53"/>
        <v>0</v>
      </c>
      <c r="AU73" s="1305">
        <f t="shared" si="53"/>
        <v>0</v>
      </c>
      <c r="AV73" s="1305">
        <f t="shared" si="53"/>
        <v>0</v>
      </c>
      <c r="AW73" s="1305">
        <f t="shared" si="53"/>
        <v>0</v>
      </c>
      <c r="AX73" s="1305">
        <f t="shared" si="53"/>
        <v>0</v>
      </c>
      <c r="AY73" s="1305">
        <f t="shared" si="53"/>
        <v>0</v>
      </c>
      <c r="AZ73" s="1305">
        <f t="shared" si="53"/>
        <v>0</v>
      </c>
      <c r="BA73" s="1305">
        <f t="shared" si="53"/>
        <v>0</v>
      </c>
      <c r="BB73" s="1305">
        <f t="shared" si="53"/>
        <v>0</v>
      </c>
      <c r="BC73" s="1305">
        <f t="shared" si="53"/>
        <v>0</v>
      </c>
      <c r="BD73" s="1305">
        <f t="shared" si="53"/>
        <v>0</v>
      </c>
      <c r="BE73" s="1305">
        <f t="shared" si="53"/>
        <v>0</v>
      </c>
      <c r="BF73" s="1305">
        <f t="shared" si="53"/>
        <v>0</v>
      </c>
      <c r="BG73" s="1305">
        <f t="shared" si="53"/>
        <v>0</v>
      </c>
      <c r="BH73" s="1305">
        <f t="shared" si="53"/>
        <v>0</v>
      </c>
      <c r="BI73" s="1305">
        <f t="shared" si="53"/>
        <v>0</v>
      </c>
      <c r="BJ73" s="1305">
        <f t="shared" si="53"/>
        <v>0</v>
      </c>
      <c r="BK73" s="1305">
        <f t="shared" si="53"/>
        <v>0</v>
      </c>
    </row>
    <row r="74" spans="1:63">
      <c r="B74" s="1349" t="s">
        <v>644</v>
      </c>
      <c r="C74" s="1309">
        <v>0</v>
      </c>
      <c r="D74" s="1284">
        <f t="shared" ref="D74:AI74" si="54">D73*(1+HURDLE3)^((D12-C12)/365)-D73</f>
        <v>65450.428930860944</v>
      </c>
      <c r="E74" s="1284">
        <f t="shared" si="54"/>
        <v>68998.740666694008</v>
      </c>
      <c r="F74" s="1284">
        <f t="shared" si="54"/>
        <v>70400.23221772071</v>
      </c>
      <c r="G74" s="1284">
        <f t="shared" si="54"/>
        <v>64826.881868403405</v>
      </c>
      <c r="H74" s="1284">
        <f t="shared" si="54"/>
        <v>73163.996171488427</v>
      </c>
      <c r="I74" s="1284">
        <f t="shared" si="54"/>
        <v>72200.803544047289</v>
      </c>
      <c r="J74" s="1284">
        <f t="shared" si="54"/>
        <v>76071.275897889398</v>
      </c>
      <c r="K74" s="1284">
        <f t="shared" si="54"/>
        <v>90045.767806098796</v>
      </c>
      <c r="L74" s="1284">
        <f t="shared" si="54"/>
        <v>110263.43872173503</v>
      </c>
      <c r="M74" s="1284">
        <f t="shared" si="54"/>
        <v>116812.57287298236</v>
      </c>
      <c r="N74" s="1284">
        <f t="shared" si="54"/>
        <v>114618.70629500039</v>
      </c>
      <c r="O74" s="1284">
        <f t="shared" si="54"/>
        <v>120088.86689665355</v>
      </c>
      <c r="P74" s="1284">
        <f t="shared" si="54"/>
        <v>117833.46797004342</v>
      </c>
      <c r="Q74" s="1284">
        <f t="shared" si="54"/>
        <v>123457.05259144679</v>
      </c>
      <c r="R74" s="1284">
        <f t="shared" si="54"/>
        <v>125204.79215819575</v>
      </c>
      <c r="S74" s="1284">
        <f t="shared" si="54"/>
        <v>114610.99217921309</v>
      </c>
      <c r="T74" s="1284">
        <f t="shared" si="54"/>
        <v>128599.78277412057</v>
      </c>
      <c r="U74" s="1284">
        <f t="shared" si="54"/>
        <v>126184.53963354975</v>
      </c>
      <c r="V74" s="1284">
        <f t="shared" si="54"/>
        <v>132206.67790009454</v>
      </c>
      <c r="W74" s="1284">
        <f t="shared" si="54"/>
        <v>129723.69336429052</v>
      </c>
      <c r="X74" s="1284">
        <f t="shared" si="54"/>
        <v>135914.73721289076</v>
      </c>
      <c r="Y74" s="1284">
        <f t="shared" si="54"/>
        <v>137838.83599011973</v>
      </c>
      <c r="Z74" s="1284">
        <f t="shared" si="54"/>
        <v>135250.07342809997</v>
      </c>
      <c r="AA74" s="1284">
        <f t="shared" si="54"/>
        <v>141704.86293805018</v>
      </c>
      <c r="AB74" s="1284">
        <f t="shared" si="54"/>
        <v>139043.49220464937</v>
      </c>
      <c r="AC74" s="1284">
        <f t="shared" si="54"/>
        <v>145679.32205790654</v>
      </c>
      <c r="AD74" s="1284">
        <f t="shared" si="54"/>
        <v>147463.12536938675</v>
      </c>
      <c r="AE74" s="1284">
        <f t="shared" si="54"/>
        <v>134358.70615503192</v>
      </c>
      <c r="AF74" s="1284">
        <f t="shared" si="54"/>
        <v>150021.18359702826</v>
      </c>
      <c r="AG74" s="1284">
        <f t="shared" si="54"/>
        <v>146490.93591756187</v>
      </c>
      <c r="AH74" s="1284">
        <f t="shared" si="54"/>
        <v>152745.5828389246</v>
      </c>
      <c r="AI74" s="1284">
        <f t="shared" si="54"/>
        <v>149164.16799230501</v>
      </c>
      <c r="AJ74" s="1284">
        <f t="shared" ref="AJ74:BK74" si="55">AJ73*(1+HURDLE3)^((AJ12-AI12)/365)-AJ73</f>
        <v>155546.39451430179</v>
      </c>
      <c r="AK74" s="1284">
        <f t="shared" si="55"/>
        <v>157011.80092856102</v>
      </c>
      <c r="AL74" s="1284">
        <f t="shared" si="55"/>
        <v>153350.26188767888</v>
      </c>
      <c r="AM74" s="1284">
        <f t="shared" si="55"/>
        <v>159932.26911425218</v>
      </c>
      <c r="AN74" s="1284">
        <f t="shared" si="55"/>
        <v>0</v>
      </c>
      <c r="AO74" s="1284">
        <f t="shared" si="55"/>
        <v>0</v>
      </c>
      <c r="AP74" s="1284">
        <f t="shared" si="55"/>
        <v>0</v>
      </c>
      <c r="AQ74" s="1284">
        <f t="shared" si="55"/>
        <v>0</v>
      </c>
      <c r="AR74" s="1284">
        <f t="shared" si="55"/>
        <v>0</v>
      </c>
      <c r="AS74" s="1284">
        <f t="shared" si="55"/>
        <v>0</v>
      </c>
      <c r="AT74" s="1284">
        <f t="shared" si="55"/>
        <v>0</v>
      </c>
      <c r="AU74" s="1284">
        <f t="shared" si="55"/>
        <v>0</v>
      </c>
      <c r="AV74" s="1284">
        <f t="shared" si="55"/>
        <v>0</v>
      </c>
      <c r="AW74" s="1284">
        <f t="shared" si="55"/>
        <v>0</v>
      </c>
      <c r="AX74" s="1284">
        <f t="shared" si="55"/>
        <v>0</v>
      </c>
      <c r="AY74" s="1284">
        <f t="shared" si="55"/>
        <v>0</v>
      </c>
      <c r="AZ74" s="1284">
        <f t="shared" si="55"/>
        <v>0</v>
      </c>
      <c r="BA74" s="1284">
        <f t="shared" si="55"/>
        <v>0</v>
      </c>
      <c r="BB74" s="1284">
        <f t="shared" si="55"/>
        <v>0</v>
      </c>
      <c r="BC74" s="1284">
        <f t="shared" si="55"/>
        <v>0</v>
      </c>
      <c r="BD74" s="1284">
        <f t="shared" si="55"/>
        <v>0</v>
      </c>
      <c r="BE74" s="1284">
        <f t="shared" si="55"/>
        <v>0</v>
      </c>
      <c r="BF74" s="1284">
        <f t="shared" si="55"/>
        <v>0</v>
      </c>
      <c r="BG74" s="1284">
        <f t="shared" si="55"/>
        <v>0</v>
      </c>
      <c r="BH74" s="1284">
        <f t="shared" si="55"/>
        <v>0</v>
      </c>
      <c r="BI74" s="1284">
        <f t="shared" si="55"/>
        <v>0</v>
      </c>
      <c r="BJ74" s="1284">
        <f t="shared" si="55"/>
        <v>0</v>
      </c>
      <c r="BK74" s="1284">
        <f t="shared" si="55"/>
        <v>0</v>
      </c>
    </row>
    <row r="75" spans="1:63">
      <c r="B75" s="1349" t="s">
        <v>634</v>
      </c>
      <c r="C75" s="1309">
        <f>-C42</f>
        <v>4778491.5</v>
      </c>
      <c r="D75" s="1284">
        <f t="shared" ref="D75:BK75" si="56">-D42</f>
        <v>30000.000000000004</v>
      </c>
      <c r="E75" s="1284">
        <f t="shared" si="56"/>
        <v>30000.000000000004</v>
      </c>
      <c r="F75" s="1284">
        <f t="shared" si="56"/>
        <v>30000.000000000004</v>
      </c>
      <c r="G75" s="1284">
        <f t="shared" si="56"/>
        <v>30000.000000000004</v>
      </c>
      <c r="H75" s="1284">
        <f t="shared" si="56"/>
        <v>30000.000000000004</v>
      </c>
      <c r="I75" s="1284">
        <f t="shared" si="56"/>
        <v>30000.000000000004</v>
      </c>
      <c r="J75" s="1284">
        <f t="shared" si="56"/>
        <v>1124576.6785714286</v>
      </c>
      <c r="K75" s="1284">
        <f t="shared" si="56"/>
        <v>1124576.6785714286</v>
      </c>
      <c r="L75" s="1284">
        <f t="shared" si="56"/>
        <v>352355.14285714476</v>
      </c>
      <c r="M75" s="1284">
        <f t="shared" si="56"/>
        <v>0</v>
      </c>
      <c r="N75" s="1284">
        <f t="shared" si="56"/>
        <v>0</v>
      </c>
      <c r="O75" s="1284">
        <f t="shared" si="56"/>
        <v>0</v>
      </c>
      <c r="P75" s="1284">
        <f t="shared" si="56"/>
        <v>0</v>
      </c>
      <c r="Q75" s="1284">
        <f t="shared" si="56"/>
        <v>0</v>
      </c>
      <c r="R75" s="1284">
        <f t="shared" si="56"/>
        <v>0</v>
      </c>
      <c r="S75" s="1284">
        <f t="shared" si="56"/>
        <v>0</v>
      </c>
      <c r="T75" s="1284">
        <f t="shared" si="56"/>
        <v>0</v>
      </c>
      <c r="U75" s="1284">
        <f t="shared" si="56"/>
        <v>0</v>
      </c>
      <c r="V75" s="1284">
        <f t="shared" si="56"/>
        <v>0</v>
      </c>
      <c r="W75" s="1284">
        <f t="shared" si="56"/>
        <v>0</v>
      </c>
      <c r="X75" s="1284">
        <f t="shared" si="56"/>
        <v>0</v>
      </c>
      <c r="Y75" s="1284">
        <f t="shared" si="56"/>
        <v>0</v>
      </c>
      <c r="Z75" s="1284">
        <f t="shared" si="56"/>
        <v>0</v>
      </c>
      <c r="AA75" s="1284">
        <f t="shared" si="56"/>
        <v>0</v>
      </c>
      <c r="AB75" s="1284">
        <f t="shared" si="56"/>
        <v>0</v>
      </c>
      <c r="AC75" s="1284">
        <f t="shared" si="56"/>
        <v>0</v>
      </c>
      <c r="AD75" s="1284">
        <f t="shared" si="56"/>
        <v>0</v>
      </c>
      <c r="AE75" s="1284">
        <f t="shared" si="56"/>
        <v>0</v>
      </c>
      <c r="AF75" s="1284">
        <f t="shared" si="56"/>
        <v>0</v>
      </c>
      <c r="AG75" s="1284">
        <f t="shared" si="56"/>
        <v>0</v>
      </c>
      <c r="AH75" s="1284">
        <f t="shared" si="56"/>
        <v>0</v>
      </c>
      <c r="AI75" s="1284">
        <f t="shared" si="56"/>
        <v>0</v>
      </c>
      <c r="AJ75" s="1284">
        <f t="shared" si="56"/>
        <v>0</v>
      </c>
      <c r="AK75" s="1284">
        <f t="shared" si="56"/>
        <v>0</v>
      </c>
      <c r="AL75" s="1284">
        <f t="shared" si="56"/>
        <v>0</v>
      </c>
      <c r="AM75" s="1284">
        <f t="shared" si="56"/>
        <v>0</v>
      </c>
      <c r="AN75" s="1284">
        <f t="shared" si="56"/>
        <v>0</v>
      </c>
      <c r="AO75" s="1284">
        <f t="shared" si="56"/>
        <v>0</v>
      </c>
      <c r="AP75" s="1284">
        <f t="shared" si="56"/>
        <v>0</v>
      </c>
      <c r="AQ75" s="1284">
        <f t="shared" si="56"/>
        <v>0</v>
      </c>
      <c r="AR75" s="1284">
        <f t="shared" si="56"/>
        <v>0</v>
      </c>
      <c r="AS75" s="1284">
        <f t="shared" si="56"/>
        <v>0</v>
      </c>
      <c r="AT75" s="1284">
        <f t="shared" si="56"/>
        <v>0</v>
      </c>
      <c r="AU75" s="1284">
        <f t="shared" si="56"/>
        <v>0</v>
      </c>
      <c r="AV75" s="1284">
        <f t="shared" si="56"/>
        <v>0</v>
      </c>
      <c r="AW75" s="1284">
        <f t="shared" si="56"/>
        <v>0</v>
      </c>
      <c r="AX75" s="1284">
        <f t="shared" si="56"/>
        <v>0</v>
      </c>
      <c r="AY75" s="1284">
        <f t="shared" si="56"/>
        <v>0</v>
      </c>
      <c r="AZ75" s="1284">
        <f t="shared" si="56"/>
        <v>0</v>
      </c>
      <c r="BA75" s="1284">
        <f t="shared" si="56"/>
        <v>0</v>
      </c>
      <c r="BB75" s="1284">
        <f t="shared" si="56"/>
        <v>0</v>
      </c>
      <c r="BC75" s="1284">
        <f t="shared" si="56"/>
        <v>0</v>
      </c>
      <c r="BD75" s="1284">
        <f t="shared" si="56"/>
        <v>0</v>
      </c>
      <c r="BE75" s="1284">
        <f t="shared" si="56"/>
        <v>0</v>
      </c>
      <c r="BF75" s="1284">
        <f t="shared" si="56"/>
        <v>0</v>
      </c>
      <c r="BG75" s="1284">
        <f t="shared" si="56"/>
        <v>0</v>
      </c>
      <c r="BH75" s="1284">
        <f t="shared" si="56"/>
        <v>0</v>
      </c>
      <c r="BI75" s="1284">
        <f t="shared" si="56"/>
        <v>0</v>
      </c>
      <c r="BJ75" s="1284">
        <f t="shared" si="56"/>
        <v>0</v>
      </c>
      <c r="BK75" s="1284">
        <f t="shared" si="56"/>
        <v>0</v>
      </c>
    </row>
    <row r="76" spans="1:63">
      <c r="B76" s="1349" t="s">
        <v>643</v>
      </c>
      <c r="C76" s="1309">
        <f>C63+C48</f>
        <v>0</v>
      </c>
      <c r="D76" s="1284">
        <f t="shared" ref="D76:BK76" si="57">D63+D48</f>
        <v>0</v>
      </c>
      <c r="E76" s="1284">
        <f t="shared" si="57"/>
        <v>0</v>
      </c>
      <c r="F76" s="1284">
        <f t="shared" si="57"/>
        <v>0</v>
      </c>
      <c r="G76" s="1284">
        <f t="shared" si="57"/>
        <v>0</v>
      </c>
      <c r="H76" s="1284">
        <f t="shared" si="57"/>
        <v>0</v>
      </c>
      <c r="I76" s="1284">
        <f t="shared" si="57"/>
        <v>0</v>
      </c>
      <c r="J76" s="1284">
        <f t="shared" si="57"/>
        <v>0</v>
      </c>
      <c r="K76" s="1284">
        <f t="shared" si="57"/>
        <v>0</v>
      </c>
      <c r="L76" s="1284">
        <f t="shared" si="57"/>
        <v>0</v>
      </c>
      <c r="M76" s="1284">
        <f t="shared" si="57"/>
        <v>0</v>
      </c>
      <c r="N76" s="1284">
        <f t="shared" si="57"/>
        <v>0</v>
      </c>
      <c r="O76" s="1284">
        <f t="shared" si="57"/>
        <v>0</v>
      </c>
      <c r="P76" s="1284">
        <f t="shared" si="57"/>
        <v>0</v>
      </c>
      <c r="Q76" s="1284">
        <f t="shared" si="57"/>
        <v>0</v>
      </c>
      <c r="R76" s="1284">
        <f t="shared" si="57"/>
        <v>0</v>
      </c>
      <c r="S76" s="1284">
        <f t="shared" si="57"/>
        <v>0</v>
      </c>
      <c r="T76" s="1284">
        <f t="shared" si="57"/>
        <v>0</v>
      </c>
      <c r="U76" s="1284">
        <f t="shared" si="57"/>
        <v>0</v>
      </c>
      <c r="V76" s="1284">
        <f t="shared" si="57"/>
        <v>0</v>
      </c>
      <c r="W76" s="1284">
        <f t="shared" si="57"/>
        <v>0</v>
      </c>
      <c r="X76" s="1284">
        <f t="shared" si="57"/>
        <v>0</v>
      </c>
      <c r="Y76" s="1284">
        <f t="shared" si="57"/>
        <v>0</v>
      </c>
      <c r="Z76" s="1284">
        <f t="shared" si="57"/>
        <v>0</v>
      </c>
      <c r="AA76" s="1284">
        <f t="shared" si="57"/>
        <v>0</v>
      </c>
      <c r="AB76" s="1284">
        <f t="shared" si="57"/>
        <v>0</v>
      </c>
      <c r="AC76" s="1284">
        <f t="shared" si="57"/>
        <v>19674.794021819045</v>
      </c>
      <c r="AD76" s="1284">
        <f t="shared" si="57"/>
        <v>49092.557503954224</v>
      </c>
      <c r="AE76" s="1284">
        <f t="shared" si="57"/>
        <v>52032.827507509624</v>
      </c>
      <c r="AF76" s="1284">
        <f t="shared" si="57"/>
        <v>52032.827507509624</v>
      </c>
      <c r="AG76" s="1284">
        <f t="shared" si="57"/>
        <v>52032.827507509624</v>
      </c>
      <c r="AH76" s="1284">
        <f t="shared" si="57"/>
        <v>52032.827507509624</v>
      </c>
      <c r="AI76" s="1284">
        <f t="shared" si="57"/>
        <v>52032.827507509624</v>
      </c>
      <c r="AJ76" s="1284">
        <f t="shared" si="57"/>
        <v>52032.827507509624</v>
      </c>
      <c r="AK76" s="1284">
        <f t="shared" si="57"/>
        <v>52032.827507509624</v>
      </c>
      <c r="AL76" s="1284">
        <f t="shared" si="57"/>
        <v>52032.827507509624</v>
      </c>
      <c r="AM76" s="1284">
        <f t="shared" si="57"/>
        <v>10633490.778484773</v>
      </c>
      <c r="AN76" s="1284">
        <f t="shared" si="57"/>
        <v>0</v>
      </c>
      <c r="AO76" s="1284">
        <f t="shared" si="57"/>
        <v>0</v>
      </c>
      <c r="AP76" s="1284">
        <f t="shared" si="57"/>
        <v>0</v>
      </c>
      <c r="AQ76" s="1284">
        <f t="shared" si="57"/>
        <v>0</v>
      </c>
      <c r="AR76" s="1284">
        <f t="shared" si="57"/>
        <v>0</v>
      </c>
      <c r="AS76" s="1284">
        <f t="shared" si="57"/>
        <v>0</v>
      </c>
      <c r="AT76" s="1284">
        <f t="shared" si="57"/>
        <v>0</v>
      </c>
      <c r="AU76" s="1284">
        <f t="shared" si="57"/>
        <v>0</v>
      </c>
      <c r="AV76" s="1284">
        <f t="shared" si="57"/>
        <v>0</v>
      </c>
      <c r="AW76" s="1284">
        <f t="shared" si="57"/>
        <v>0</v>
      </c>
      <c r="AX76" s="1284">
        <f t="shared" si="57"/>
        <v>0</v>
      </c>
      <c r="AY76" s="1284">
        <f t="shared" si="57"/>
        <v>0</v>
      </c>
      <c r="AZ76" s="1284">
        <f t="shared" si="57"/>
        <v>0</v>
      </c>
      <c r="BA76" s="1284">
        <f t="shared" si="57"/>
        <v>0</v>
      </c>
      <c r="BB76" s="1284">
        <f t="shared" si="57"/>
        <v>0</v>
      </c>
      <c r="BC76" s="1284">
        <f t="shared" si="57"/>
        <v>0</v>
      </c>
      <c r="BD76" s="1284">
        <f t="shared" si="57"/>
        <v>0</v>
      </c>
      <c r="BE76" s="1284">
        <f t="shared" si="57"/>
        <v>0</v>
      </c>
      <c r="BF76" s="1284">
        <f t="shared" si="57"/>
        <v>0</v>
      </c>
      <c r="BG76" s="1284">
        <f t="shared" si="57"/>
        <v>0</v>
      </c>
      <c r="BH76" s="1284">
        <f t="shared" si="57"/>
        <v>0</v>
      </c>
      <c r="BI76" s="1284">
        <f t="shared" si="57"/>
        <v>0</v>
      </c>
      <c r="BJ76" s="1284">
        <f t="shared" si="57"/>
        <v>0</v>
      </c>
      <c r="BK76" s="1284">
        <f t="shared" si="57"/>
        <v>0</v>
      </c>
    </row>
    <row r="77" spans="1:63" s="1345" customFormat="1">
      <c r="B77" s="1361" t="s">
        <v>635</v>
      </c>
      <c r="C77" s="1343">
        <f>MIN(C73+C74-C76,C70*LPCF3)</f>
        <v>0</v>
      </c>
      <c r="D77" s="1344">
        <f t="shared" ref="D77:AH77" si="58">MIN(D73+D74-D76,D70*LPCF3)</f>
        <v>0</v>
      </c>
      <c r="E77" s="1344">
        <f t="shared" si="58"/>
        <v>0</v>
      </c>
      <c r="F77" s="1344">
        <f t="shared" si="58"/>
        <v>0</v>
      </c>
      <c r="G77" s="1344">
        <f t="shared" si="58"/>
        <v>0</v>
      </c>
      <c r="H77" s="1344">
        <f t="shared" si="58"/>
        <v>0</v>
      </c>
      <c r="I77" s="1344">
        <f t="shared" si="58"/>
        <v>0</v>
      </c>
      <c r="J77" s="1344">
        <f t="shared" si="58"/>
        <v>0</v>
      </c>
      <c r="K77" s="1344">
        <f t="shared" si="58"/>
        <v>0</v>
      </c>
      <c r="L77" s="1344">
        <f t="shared" si="58"/>
        <v>0</v>
      </c>
      <c r="M77" s="1344">
        <f t="shared" si="58"/>
        <v>0</v>
      </c>
      <c r="N77" s="1344">
        <f t="shared" si="58"/>
        <v>0</v>
      </c>
      <c r="O77" s="1344">
        <f t="shared" si="58"/>
        <v>0</v>
      </c>
      <c r="P77" s="1344">
        <f t="shared" si="58"/>
        <v>0</v>
      </c>
      <c r="Q77" s="1344">
        <f t="shared" si="58"/>
        <v>0</v>
      </c>
      <c r="R77" s="1344">
        <f t="shared" si="58"/>
        <v>0</v>
      </c>
      <c r="S77" s="1344">
        <f t="shared" si="58"/>
        <v>0</v>
      </c>
      <c r="T77" s="1344">
        <f t="shared" si="58"/>
        <v>0</v>
      </c>
      <c r="U77" s="1344">
        <f t="shared" si="58"/>
        <v>0</v>
      </c>
      <c r="V77" s="1344">
        <f t="shared" si="58"/>
        <v>0</v>
      </c>
      <c r="W77" s="1344">
        <f t="shared" si="58"/>
        <v>0</v>
      </c>
      <c r="X77" s="1344">
        <f t="shared" si="58"/>
        <v>0</v>
      </c>
      <c r="Y77" s="1344">
        <f t="shared" si="58"/>
        <v>0</v>
      </c>
      <c r="Z77" s="1344">
        <f t="shared" si="58"/>
        <v>0</v>
      </c>
      <c r="AA77" s="1344">
        <f t="shared" si="58"/>
        <v>0</v>
      </c>
      <c r="AB77" s="1344">
        <f t="shared" si="58"/>
        <v>0</v>
      </c>
      <c r="AC77" s="1344">
        <f t="shared" si="58"/>
        <v>0</v>
      </c>
      <c r="AD77" s="1344">
        <f t="shared" si="58"/>
        <v>0</v>
      </c>
      <c r="AE77" s="1344">
        <f t="shared" si="58"/>
        <v>0</v>
      </c>
      <c r="AF77" s="1344">
        <f t="shared" si="58"/>
        <v>0</v>
      </c>
      <c r="AG77" s="1344">
        <f t="shared" si="58"/>
        <v>0</v>
      </c>
      <c r="AH77" s="1344">
        <f t="shared" si="58"/>
        <v>0</v>
      </c>
      <c r="AI77" s="1344">
        <f t="shared" ref="AI77:BK77" si="59">MIN(AI73+AI74-AI76,AI70*LPCF3)</f>
        <v>0</v>
      </c>
      <c r="AJ77" s="1344">
        <f t="shared" si="59"/>
        <v>0</v>
      </c>
      <c r="AK77" s="1344">
        <f t="shared" si="59"/>
        <v>0</v>
      </c>
      <c r="AL77" s="1344">
        <f t="shared" si="59"/>
        <v>0</v>
      </c>
      <c r="AM77" s="1344">
        <f t="shared" si="59"/>
        <v>637842.9014235636</v>
      </c>
      <c r="AN77" s="1344">
        <f t="shared" si="59"/>
        <v>0</v>
      </c>
      <c r="AO77" s="1344">
        <f t="shared" si="59"/>
        <v>0</v>
      </c>
      <c r="AP77" s="1344">
        <f t="shared" si="59"/>
        <v>0</v>
      </c>
      <c r="AQ77" s="1344">
        <f t="shared" si="59"/>
        <v>0</v>
      </c>
      <c r="AR77" s="1344">
        <f t="shared" si="59"/>
        <v>0</v>
      </c>
      <c r="AS77" s="1344">
        <f t="shared" si="59"/>
        <v>0</v>
      </c>
      <c r="AT77" s="1344">
        <f t="shared" si="59"/>
        <v>0</v>
      </c>
      <c r="AU77" s="1344">
        <f t="shared" si="59"/>
        <v>0</v>
      </c>
      <c r="AV77" s="1344">
        <f t="shared" si="59"/>
        <v>0</v>
      </c>
      <c r="AW77" s="1344">
        <f t="shared" si="59"/>
        <v>0</v>
      </c>
      <c r="AX77" s="1344">
        <f t="shared" si="59"/>
        <v>0</v>
      </c>
      <c r="AY77" s="1344">
        <f t="shared" si="59"/>
        <v>0</v>
      </c>
      <c r="AZ77" s="1344">
        <f t="shared" si="59"/>
        <v>0</v>
      </c>
      <c r="BA77" s="1344">
        <f t="shared" si="59"/>
        <v>0</v>
      </c>
      <c r="BB77" s="1344">
        <f t="shared" si="59"/>
        <v>0</v>
      </c>
      <c r="BC77" s="1344">
        <f t="shared" si="59"/>
        <v>0</v>
      </c>
      <c r="BD77" s="1344">
        <f t="shared" si="59"/>
        <v>0</v>
      </c>
      <c r="BE77" s="1344">
        <f t="shared" si="59"/>
        <v>0</v>
      </c>
      <c r="BF77" s="1344">
        <f t="shared" si="59"/>
        <v>0</v>
      </c>
      <c r="BG77" s="1344">
        <f t="shared" si="59"/>
        <v>0</v>
      </c>
      <c r="BH77" s="1344">
        <f t="shared" si="59"/>
        <v>0</v>
      </c>
      <c r="BI77" s="1344">
        <f t="shared" si="59"/>
        <v>0</v>
      </c>
      <c r="BJ77" s="1344">
        <f t="shared" si="59"/>
        <v>0</v>
      </c>
      <c r="BK77" s="1344">
        <f t="shared" si="59"/>
        <v>0</v>
      </c>
    </row>
    <row r="78" spans="1:63">
      <c r="A78" s="1311" t="s">
        <v>601</v>
      </c>
      <c r="B78" s="1349" t="s">
        <v>636</v>
      </c>
      <c r="C78" s="1309">
        <f>C73+C74+C75-C76-C77</f>
        <v>4778491.5</v>
      </c>
      <c r="D78" s="1284">
        <f t="shared" ref="D78:BK78" si="60">D73+D74+D75-D76-D77</f>
        <v>4873941.9289308609</v>
      </c>
      <c r="E78" s="1284">
        <f t="shared" si="60"/>
        <v>4972940.669597555</v>
      </c>
      <c r="F78" s="1284">
        <f t="shared" si="60"/>
        <v>5073340.9018152757</v>
      </c>
      <c r="G78" s="1284">
        <f t="shared" si="60"/>
        <v>5168167.7836836791</v>
      </c>
      <c r="H78" s="1284">
        <f t="shared" si="60"/>
        <v>5271331.7798551675</v>
      </c>
      <c r="I78" s="1284">
        <f t="shared" si="60"/>
        <v>5373532.5833992148</v>
      </c>
      <c r="J78" s="1284">
        <f t="shared" si="60"/>
        <v>6574180.5378685333</v>
      </c>
      <c r="K78" s="1284">
        <f t="shared" si="60"/>
        <v>7788802.9842460603</v>
      </c>
      <c r="L78" s="1284">
        <f t="shared" si="60"/>
        <v>8251421.5658249399</v>
      </c>
      <c r="M78" s="1284">
        <f t="shared" si="60"/>
        <v>8368234.1386979222</v>
      </c>
      <c r="N78" s="1284">
        <f t="shared" si="60"/>
        <v>8482852.8449929226</v>
      </c>
      <c r="O78" s="1284">
        <f t="shared" si="60"/>
        <v>8602941.7118895762</v>
      </c>
      <c r="P78" s="1284">
        <f t="shared" si="60"/>
        <v>8720775.1798596196</v>
      </c>
      <c r="Q78" s="1284">
        <f t="shared" si="60"/>
        <v>8844232.2324510664</v>
      </c>
      <c r="R78" s="1284">
        <f t="shared" si="60"/>
        <v>8969437.0246092621</v>
      </c>
      <c r="S78" s="1284">
        <f t="shared" si="60"/>
        <v>9084048.0167884752</v>
      </c>
      <c r="T78" s="1284">
        <f t="shared" si="60"/>
        <v>9212647.7995625958</v>
      </c>
      <c r="U78" s="1284">
        <f t="shared" si="60"/>
        <v>9338832.3391961455</v>
      </c>
      <c r="V78" s="1284">
        <f t="shared" si="60"/>
        <v>9471039.0170962401</v>
      </c>
      <c r="W78" s="1284">
        <f t="shared" si="60"/>
        <v>9600762.7104605306</v>
      </c>
      <c r="X78" s="1284">
        <f t="shared" si="60"/>
        <v>9736677.4476734214</v>
      </c>
      <c r="Y78" s="1284">
        <f t="shared" si="60"/>
        <v>9874516.2836635411</v>
      </c>
      <c r="Z78" s="1284">
        <f t="shared" si="60"/>
        <v>10009766.357091641</v>
      </c>
      <c r="AA78" s="1284">
        <f t="shared" si="60"/>
        <v>10151471.220029691</v>
      </c>
      <c r="AB78" s="1284">
        <f t="shared" si="60"/>
        <v>10290514.712234341</v>
      </c>
      <c r="AC78" s="1284">
        <f t="shared" si="60"/>
        <v>10416519.240270428</v>
      </c>
      <c r="AD78" s="1284">
        <f t="shared" si="60"/>
        <v>10514889.808135862</v>
      </c>
      <c r="AE78" s="1284">
        <f t="shared" si="60"/>
        <v>10597215.686783385</v>
      </c>
      <c r="AF78" s="1284">
        <f t="shared" si="60"/>
        <v>10695204.042872904</v>
      </c>
      <c r="AG78" s="1284">
        <f t="shared" si="60"/>
        <v>10789662.151282957</v>
      </c>
      <c r="AH78" s="1284">
        <f t="shared" si="60"/>
        <v>10890374.906614373</v>
      </c>
      <c r="AI78" s="1284">
        <f t="shared" si="60"/>
        <v>10987506.247099169</v>
      </c>
      <c r="AJ78" s="1284">
        <f t="shared" si="60"/>
        <v>11091019.814105961</v>
      </c>
      <c r="AK78" s="1284">
        <f t="shared" si="60"/>
        <v>11195998.787527014</v>
      </c>
      <c r="AL78" s="1284">
        <f t="shared" si="60"/>
        <v>11297316.221907184</v>
      </c>
      <c r="AM78" s="1284">
        <f t="shared" si="60"/>
        <v>185914.81111309922</v>
      </c>
      <c r="AN78" s="1284">
        <f t="shared" si="60"/>
        <v>0</v>
      </c>
      <c r="AO78" s="1284">
        <f t="shared" si="60"/>
        <v>0</v>
      </c>
      <c r="AP78" s="1284">
        <f t="shared" si="60"/>
        <v>0</v>
      </c>
      <c r="AQ78" s="1284">
        <f t="shared" si="60"/>
        <v>0</v>
      </c>
      <c r="AR78" s="1284">
        <f t="shared" si="60"/>
        <v>0</v>
      </c>
      <c r="AS78" s="1284">
        <f t="shared" si="60"/>
        <v>0</v>
      </c>
      <c r="AT78" s="1284">
        <f t="shared" si="60"/>
        <v>0</v>
      </c>
      <c r="AU78" s="1284">
        <f t="shared" si="60"/>
        <v>0</v>
      </c>
      <c r="AV78" s="1284">
        <f t="shared" si="60"/>
        <v>0</v>
      </c>
      <c r="AW78" s="1284">
        <f t="shared" si="60"/>
        <v>0</v>
      </c>
      <c r="AX78" s="1284">
        <f t="shared" si="60"/>
        <v>0</v>
      </c>
      <c r="AY78" s="1284">
        <f t="shared" si="60"/>
        <v>0</v>
      </c>
      <c r="AZ78" s="1284">
        <f t="shared" si="60"/>
        <v>0</v>
      </c>
      <c r="BA78" s="1284">
        <f t="shared" si="60"/>
        <v>0</v>
      </c>
      <c r="BB78" s="1284">
        <f t="shared" si="60"/>
        <v>0</v>
      </c>
      <c r="BC78" s="1284">
        <f t="shared" si="60"/>
        <v>0</v>
      </c>
      <c r="BD78" s="1284">
        <f t="shared" si="60"/>
        <v>0</v>
      </c>
      <c r="BE78" s="1284">
        <f t="shared" si="60"/>
        <v>0</v>
      </c>
      <c r="BF78" s="1284">
        <f t="shared" si="60"/>
        <v>0</v>
      </c>
      <c r="BG78" s="1284">
        <f t="shared" si="60"/>
        <v>0</v>
      </c>
      <c r="BH78" s="1284">
        <f t="shared" si="60"/>
        <v>0</v>
      </c>
      <c r="BI78" s="1284">
        <f t="shared" si="60"/>
        <v>0</v>
      </c>
      <c r="BJ78" s="1284">
        <f t="shared" si="60"/>
        <v>0</v>
      </c>
      <c r="BK78" s="1284">
        <f t="shared" si="60"/>
        <v>0</v>
      </c>
    </row>
    <row r="79" spans="1:63">
      <c r="A79" s="1312">
        <f>IFERROR(XIRR(C79:BK79,$C$12:$BK$12),0)</f>
        <v>0.17335181832313543</v>
      </c>
      <c r="B79" s="1362" t="s">
        <v>637</v>
      </c>
      <c r="C79" s="1313">
        <f>C77-C75+C76</f>
        <v>-4778491.5</v>
      </c>
      <c r="D79" s="1314">
        <f t="shared" ref="D79:BK79" si="61">D77-D75+D76</f>
        <v>-30000.000000000004</v>
      </c>
      <c r="E79" s="1314">
        <f t="shared" si="61"/>
        <v>-30000.000000000004</v>
      </c>
      <c r="F79" s="1314">
        <f t="shared" si="61"/>
        <v>-30000.000000000004</v>
      </c>
      <c r="G79" s="1314">
        <f t="shared" si="61"/>
        <v>-30000.000000000004</v>
      </c>
      <c r="H79" s="1314">
        <f t="shared" si="61"/>
        <v>-30000.000000000004</v>
      </c>
      <c r="I79" s="1314">
        <f t="shared" si="61"/>
        <v>-30000.000000000004</v>
      </c>
      <c r="J79" s="1314">
        <f t="shared" si="61"/>
        <v>-1124576.6785714286</v>
      </c>
      <c r="K79" s="1314">
        <f t="shared" si="61"/>
        <v>-1124576.6785714286</v>
      </c>
      <c r="L79" s="1314">
        <f t="shared" si="61"/>
        <v>-352355.14285714476</v>
      </c>
      <c r="M79" s="1314">
        <f t="shared" si="61"/>
        <v>0</v>
      </c>
      <c r="N79" s="1314">
        <f t="shared" si="61"/>
        <v>0</v>
      </c>
      <c r="O79" s="1314">
        <f t="shared" si="61"/>
        <v>0</v>
      </c>
      <c r="P79" s="1314">
        <f t="shared" si="61"/>
        <v>0</v>
      </c>
      <c r="Q79" s="1314">
        <f t="shared" si="61"/>
        <v>0</v>
      </c>
      <c r="R79" s="1314">
        <f t="shared" si="61"/>
        <v>0</v>
      </c>
      <c r="S79" s="1314">
        <f t="shared" si="61"/>
        <v>0</v>
      </c>
      <c r="T79" s="1314">
        <f t="shared" si="61"/>
        <v>0</v>
      </c>
      <c r="U79" s="1314">
        <f t="shared" si="61"/>
        <v>0</v>
      </c>
      <c r="V79" s="1314">
        <f t="shared" si="61"/>
        <v>0</v>
      </c>
      <c r="W79" s="1314">
        <f t="shared" si="61"/>
        <v>0</v>
      </c>
      <c r="X79" s="1314">
        <f t="shared" si="61"/>
        <v>0</v>
      </c>
      <c r="Y79" s="1314">
        <f t="shared" si="61"/>
        <v>0</v>
      </c>
      <c r="Z79" s="1314">
        <f t="shared" si="61"/>
        <v>0</v>
      </c>
      <c r="AA79" s="1314">
        <f t="shared" si="61"/>
        <v>0</v>
      </c>
      <c r="AB79" s="1314">
        <f t="shared" si="61"/>
        <v>0</v>
      </c>
      <c r="AC79" s="1314">
        <f t="shared" si="61"/>
        <v>19674.794021819045</v>
      </c>
      <c r="AD79" s="1314">
        <f t="shared" si="61"/>
        <v>49092.557503954224</v>
      </c>
      <c r="AE79" s="1314">
        <f t="shared" si="61"/>
        <v>52032.827507509624</v>
      </c>
      <c r="AF79" s="1314">
        <f t="shared" si="61"/>
        <v>52032.827507509624</v>
      </c>
      <c r="AG79" s="1314">
        <f t="shared" si="61"/>
        <v>52032.827507509624</v>
      </c>
      <c r="AH79" s="1314">
        <f t="shared" si="61"/>
        <v>52032.827507509624</v>
      </c>
      <c r="AI79" s="1314">
        <f t="shared" si="61"/>
        <v>52032.827507509624</v>
      </c>
      <c r="AJ79" s="1314">
        <f t="shared" si="61"/>
        <v>52032.827507509624</v>
      </c>
      <c r="AK79" s="1314">
        <f t="shared" si="61"/>
        <v>52032.827507509624</v>
      </c>
      <c r="AL79" s="1314">
        <f t="shared" si="61"/>
        <v>52032.827507509624</v>
      </c>
      <c r="AM79" s="1314">
        <f t="shared" si="61"/>
        <v>11271333.679908337</v>
      </c>
      <c r="AN79" s="1314">
        <f t="shared" si="61"/>
        <v>0</v>
      </c>
      <c r="AO79" s="1314">
        <f t="shared" si="61"/>
        <v>0</v>
      </c>
      <c r="AP79" s="1314">
        <f t="shared" si="61"/>
        <v>0</v>
      </c>
      <c r="AQ79" s="1314">
        <f t="shared" si="61"/>
        <v>0</v>
      </c>
      <c r="AR79" s="1314">
        <f t="shared" si="61"/>
        <v>0</v>
      </c>
      <c r="AS79" s="1314">
        <f t="shared" si="61"/>
        <v>0</v>
      </c>
      <c r="AT79" s="1314">
        <f t="shared" si="61"/>
        <v>0</v>
      </c>
      <c r="AU79" s="1314">
        <f t="shared" si="61"/>
        <v>0</v>
      </c>
      <c r="AV79" s="1314">
        <f t="shared" si="61"/>
        <v>0</v>
      </c>
      <c r="AW79" s="1314">
        <f t="shared" si="61"/>
        <v>0</v>
      </c>
      <c r="AX79" s="1314">
        <f t="shared" si="61"/>
        <v>0</v>
      </c>
      <c r="AY79" s="1314">
        <f t="shared" si="61"/>
        <v>0</v>
      </c>
      <c r="AZ79" s="1314">
        <f t="shared" si="61"/>
        <v>0</v>
      </c>
      <c r="BA79" s="1314">
        <f t="shared" si="61"/>
        <v>0</v>
      </c>
      <c r="BB79" s="1314">
        <f t="shared" si="61"/>
        <v>0</v>
      </c>
      <c r="BC79" s="1314">
        <f t="shared" si="61"/>
        <v>0</v>
      </c>
      <c r="BD79" s="1314">
        <f t="shared" si="61"/>
        <v>0</v>
      </c>
      <c r="BE79" s="1314">
        <f t="shared" si="61"/>
        <v>0</v>
      </c>
      <c r="BF79" s="1314">
        <f t="shared" si="61"/>
        <v>0</v>
      </c>
      <c r="BG79" s="1314">
        <f t="shared" si="61"/>
        <v>0</v>
      </c>
      <c r="BH79" s="1314">
        <f t="shared" si="61"/>
        <v>0</v>
      </c>
      <c r="BI79" s="1314">
        <f t="shared" si="61"/>
        <v>0</v>
      </c>
      <c r="BJ79" s="1314">
        <f t="shared" si="61"/>
        <v>0</v>
      </c>
      <c r="BK79" s="1314">
        <f t="shared" si="61"/>
        <v>0</v>
      </c>
    </row>
    <row r="80" spans="1:63">
      <c r="B80" s="1349"/>
      <c r="C80" s="1309"/>
      <c r="D80" s="1284"/>
      <c r="E80" s="1284"/>
      <c r="F80" s="1284"/>
      <c r="G80" s="1284"/>
      <c r="H80" s="1284"/>
      <c r="I80" s="1284"/>
      <c r="J80" s="1284"/>
      <c r="K80" s="1284"/>
      <c r="L80" s="1284"/>
      <c r="M80" s="1284"/>
      <c r="N80" s="1284"/>
      <c r="O80" s="1284"/>
      <c r="P80" s="1284"/>
      <c r="Q80" s="1284"/>
      <c r="R80" s="1284"/>
      <c r="S80" s="1284"/>
      <c r="T80" s="1284"/>
      <c r="U80" s="1284"/>
      <c r="V80" s="1284"/>
      <c r="W80" s="1284"/>
      <c r="X80" s="1284"/>
      <c r="Y80" s="1284"/>
      <c r="Z80" s="1284"/>
      <c r="AA80" s="1284"/>
      <c r="AB80" s="1284"/>
      <c r="AC80" s="1284"/>
      <c r="AD80" s="1284"/>
      <c r="AE80" s="1284"/>
      <c r="AF80" s="1284"/>
      <c r="AG80" s="1284"/>
      <c r="AH80" s="1284"/>
      <c r="AI80" s="1284"/>
      <c r="AJ80" s="1284"/>
      <c r="AK80" s="1284"/>
      <c r="AL80" s="1284"/>
      <c r="AM80" s="1284"/>
      <c r="AN80" s="1284"/>
      <c r="AO80" s="1284"/>
      <c r="AP80" s="1284"/>
      <c r="AQ80" s="1284"/>
      <c r="AR80" s="1284"/>
      <c r="AS80" s="1284"/>
      <c r="AT80" s="1284"/>
      <c r="AU80" s="1284"/>
      <c r="AV80" s="1284"/>
      <c r="AW80" s="1284"/>
      <c r="AX80" s="1284"/>
      <c r="AY80" s="1284"/>
      <c r="AZ80" s="1284"/>
      <c r="BA80" s="1284"/>
      <c r="BB80" s="1284"/>
      <c r="BC80" s="1284"/>
      <c r="BD80" s="1284"/>
      <c r="BE80" s="1284"/>
      <c r="BF80" s="1284"/>
      <c r="BG80" s="1284"/>
      <c r="BH80" s="1284"/>
      <c r="BI80" s="1284"/>
      <c r="BJ80" s="1284"/>
      <c r="BK80" s="1284"/>
    </row>
    <row r="81" spans="1:63">
      <c r="B81" s="1349" t="s">
        <v>653</v>
      </c>
      <c r="C81" s="1309">
        <f>C77</f>
        <v>0</v>
      </c>
      <c r="D81" s="1284">
        <f t="shared" ref="D81:BK81" si="62">D77</f>
        <v>0</v>
      </c>
      <c r="E81" s="1284">
        <f t="shared" si="62"/>
        <v>0</v>
      </c>
      <c r="F81" s="1284">
        <f t="shared" si="62"/>
        <v>0</v>
      </c>
      <c r="G81" s="1284">
        <f t="shared" si="62"/>
        <v>0</v>
      </c>
      <c r="H81" s="1284">
        <f t="shared" si="62"/>
        <v>0</v>
      </c>
      <c r="I81" s="1284">
        <f t="shared" si="62"/>
        <v>0</v>
      </c>
      <c r="J81" s="1284">
        <f t="shared" si="62"/>
        <v>0</v>
      </c>
      <c r="K81" s="1284">
        <f t="shared" si="62"/>
        <v>0</v>
      </c>
      <c r="L81" s="1284">
        <f t="shared" si="62"/>
        <v>0</v>
      </c>
      <c r="M81" s="1284">
        <f t="shared" si="62"/>
        <v>0</v>
      </c>
      <c r="N81" s="1284">
        <f t="shared" si="62"/>
        <v>0</v>
      </c>
      <c r="O81" s="1284">
        <f t="shared" si="62"/>
        <v>0</v>
      </c>
      <c r="P81" s="1284">
        <f t="shared" si="62"/>
        <v>0</v>
      </c>
      <c r="Q81" s="1284">
        <f t="shared" si="62"/>
        <v>0</v>
      </c>
      <c r="R81" s="1284">
        <f t="shared" si="62"/>
        <v>0</v>
      </c>
      <c r="S81" s="1284">
        <f t="shared" si="62"/>
        <v>0</v>
      </c>
      <c r="T81" s="1284">
        <f t="shared" si="62"/>
        <v>0</v>
      </c>
      <c r="U81" s="1284">
        <f t="shared" si="62"/>
        <v>0</v>
      </c>
      <c r="V81" s="1284">
        <f t="shared" si="62"/>
        <v>0</v>
      </c>
      <c r="W81" s="1284">
        <f t="shared" si="62"/>
        <v>0</v>
      </c>
      <c r="X81" s="1284">
        <f t="shared" si="62"/>
        <v>0</v>
      </c>
      <c r="Y81" s="1284">
        <f t="shared" si="62"/>
        <v>0</v>
      </c>
      <c r="Z81" s="1284">
        <f t="shared" si="62"/>
        <v>0</v>
      </c>
      <c r="AA81" s="1284">
        <f t="shared" si="62"/>
        <v>0</v>
      </c>
      <c r="AB81" s="1284">
        <f t="shared" si="62"/>
        <v>0</v>
      </c>
      <c r="AC81" s="1284">
        <f t="shared" si="62"/>
        <v>0</v>
      </c>
      <c r="AD81" s="1284">
        <f t="shared" si="62"/>
        <v>0</v>
      </c>
      <c r="AE81" s="1284">
        <f t="shared" si="62"/>
        <v>0</v>
      </c>
      <c r="AF81" s="1284">
        <f t="shared" si="62"/>
        <v>0</v>
      </c>
      <c r="AG81" s="1284">
        <f t="shared" si="62"/>
        <v>0</v>
      </c>
      <c r="AH81" s="1284">
        <f t="shared" si="62"/>
        <v>0</v>
      </c>
      <c r="AI81" s="1284">
        <f t="shared" si="62"/>
        <v>0</v>
      </c>
      <c r="AJ81" s="1284">
        <f t="shared" si="62"/>
        <v>0</v>
      </c>
      <c r="AK81" s="1284">
        <f t="shared" si="62"/>
        <v>0</v>
      </c>
      <c r="AL81" s="1284">
        <f t="shared" si="62"/>
        <v>0</v>
      </c>
      <c r="AM81" s="1284">
        <f t="shared" si="62"/>
        <v>637842.9014235636</v>
      </c>
      <c r="AN81" s="1284">
        <f t="shared" si="62"/>
        <v>0</v>
      </c>
      <c r="AO81" s="1284">
        <f t="shared" si="62"/>
        <v>0</v>
      </c>
      <c r="AP81" s="1284">
        <f t="shared" si="62"/>
        <v>0</v>
      </c>
      <c r="AQ81" s="1284">
        <f t="shared" si="62"/>
        <v>0</v>
      </c>
      <c r="AR81" s="1284">
        <f t="shared" si="62"/>
        <v>0</v>
      </c>
      <c r="AS81" s="1284">
        <f t="shared" si="62"/>
        <v>0</v>
      </c>
      <c r="AT81" s="1284">
        <f t="shared" si="62"/>
        <v>0</v>
      </c>
      <c r="AU81" s="1284">
        <f t="shared" si="62"/>
        <v>0</v>
      </c>
      <c r="AV81" s="1284">
        <f t="shared" si="62"/>
        <v>0</v>
      </c>
      <c r="AW81" s="1284">
        <f t="shared" si="62"/>
        <v>0</v>
      </c>
      <c r="AX81" s="1284">
        <f t="shared" si="62"/>
        <v>0</v>
      </c>
      <c r="AY81" s="1284">
        <f t="shared" si="62"/>
        <v>0</v>
      </c>
      <c r="AZ81" s="1284">
        <f t="shared" si="62"/>
        <v>0</v>
      </c>
      <c r="BA81" s="1284">
        <f t="shared" si="62"/>
        <v>0</v>
      </c>
      <c r="BB81" s="1284">
        <f t="shared" si="62"/>
        <v>0</v>
      </c>
      <c r="BC81" s="1284">
        <f t="shared" si="62"/>
        <v>0</v>
      </c>
      <c r="BD81" s="1284">
        <f t="shared" si="62"/>
        <v>0</v>
      </c>
      <c r="BE81" s="1284">
        <f t="shared" si="62"/>
        <v>0</v>
      </c>
      <c r="BF81" s="1284">
        <f t="shared" si="62"/>
        <v>0</v>
      </c>
      <c r="BG81" s="1284">
        <f t="shared" si="62"/>
        <v>0</v>
      </c>
      <c r="BH81" s="1284">
        <f t="shared" si="62"/>
        <v>0</v>
      </c>
      <c r="BI81" s="1284">
        <f t="shared" si="62"/>
        <v>0</v>
      </c>
      <c r="BJ81" s="1284">
        <f t="shared" si="62"/>
        <v>0</v>
      </c>
      <c r="BK81" s="1284">
        <f t="shared" si="62"/>
        <v>0</v>
      </c>
    </row>
    <row r="82" spans="1:63" s="1345" customFormat="1">
      <c r="A82" s="1346"/>
      <c r="B82" s="1363" t="s">
        <v>654</v>
      </c>
      <c r="C82" s="1343">
        <f t="shared" ref="C82:AH82" si="63">C81/LPCF3*GPCF3</f>
        <v>0</v>
      </c>
      <c r="D82" s="1344">
        <f>D81/LPCF3*GPCF3</f>
        <v>0</v>
      </c>
      <c r="E82" s="1344">
        <f t="shared" si="63"/>
        <v>0</v>
      </c>
      <c r="F82" s="1344">
        <f t="shared" si="63"/>
        <v>0</v>
      </c>
      <c r="G82" s="1344">
        <f t="shared" si="63"/>
        <v>0</v>
      </c>
      <c r="H82" s="1344">
        <f t="shared" si="63"/>
        <v>0</v>
      </c>
      <c r="I82" s="1344">
        <f t="shared" si="63"/>
        <v>0</v>
      </c>
      <c r="J82" s="1344">
        <f t="shared" si="63"/>
        <v>0</v>
      </c>
      <c r="K82" s="1344">
        <f t="shared" si="63"/>
        <v>0</v>
      </c>
      <c r="L82" s="1344">
        <f t="shared" si="63"/>
        <v>0</v>
      </c>
      <c r="M82" s="1344">
        <f t="shared" si="63"/>
        <v>0</v>
      </c>
      <c r="N82" s="1344">
        <f t="shared" si="63"/>
        <v>0</v>
      </c>
      <c r="O82" s="1344">
        <f t="shared" si="63"/>
        <v>0</v>
      </c>
      <c r="P82" s="1344">
        <f t="shared" si="63"/>
        <v>0</v>
      </c>
      <c r="Q82" s="1344">
        <f t="shared" si="63"/>
        <v>0</v>
      </c>
      <c r="R82" s="1344">
        <f t="shared" si="63"/>
        <v>0</v>
      </c>
      <c r="S82" s="1344">
        <f t="shared" si="63"/>
        <v>0</v>
      </c>
      <c r="T82" s="1344">
        <f t="shared" si="63"/>
        <v>0</v>
      </c>
      <c r="U82" s="1344">
        <f t="shared" si="63"/>
        <v>0</v>
      </c>
      <c r="V82" s="1344">
        <f t="shared" si="63"/>
        <v>0</v>
      </c>
      <c r="W82" s="1344">
        <f t="shared" si="63"/>
        <v>0</v>
      </c>
      <c r="X82" s="1344">
        <f t="shared" si="63"/>
        <v>0</v>
      </c>
      <c r="Y82" s="1344">
        <f t="shared" si="63"/>
        <v>0</v>
      </c>
      <c r="Z82" s="1344">
        <f t="shared" si="63"/>
        <v>0</v>
      </c>
      <c r="AA82" s="1344">
        <f t="shared" si="63"/>
        <v>0</v>
      </c>
      <c r="AB82" s="1344">
        <f t="shared" si="63"/>
        <v>0</v>
      </c>
      <c r="AC82" s="1344">
        <f t="shared" si="63"/>
        <v>0</v>
      </c>
      <c r="AD82" s="1344">
        <f t="shared" si="63"/>
        <v>0</v>
      </c>
      <c r="AE82" s="1344">
        <f t="shared" si="63"/>
        <v>0</v>
      </c>
      <c r="AF82" s="1344">
        <f t="shared" si="63"/>
        <v>0</v>
      </c>
      <c r="AG82" s="1344">
        <f t="shared" si="63"/>
        <v>0</v>
      </c>
      <c r="AH82" s="1344">
        <f t="shared" si="63"/>
        <v>0</v>
      </c>
      <c r="AI82" s="1344">
        <f t="shared" ref="AI82:BK82" si="64">AI81/LPCF3*GPCF3</f>
        <v>0</v>
      </c>
      <c r="AJ82" s="1344">
        <f t="shared" si="64"/>
        <v>0</v>
      </c>
      <c r="AK82" s="1344">
        <f t="shared" si="64"/>
        <v>0</v>
      </c>
      <c r="AL82" s="1344">
        <f t="shared" si="64"/>
        <v>0</v>
      </c>
      <c r="AM82" s="1344">
        <f t="shared" si="64"/>
        <v>374606.14845510875</v>
      </c>
      <c r="AN82" s="1344">
        <f t="shared" si="64"/>
        <v>0</v>
      </c>
      <c r="AO82" s="1344">
        <f t="shared" si="64"/>
        <v>0</v>
      </c>
      <c r="AP82" s="1344">
        <f t="shared" si="64"/>
        <v>0</v>
      </c>
      <c r="AQ82" s="1344">
        <f t="shared" si="64"/>
        <v>0</v>
      </c>
      <c r="AR82" s="1344">
        <f t="shared" si="64"/>
        <v>0</v>
      </c>
      <c r="AS82" s="1344">
        <f t="shared" si="64"/>
        <v>0</v>
      </c>
      <c r="AT82" s="1344">
        <f t="shared" si="64"/>
        <v>0</v>
      </c>
      <c r="AU82" s="1344">
        <f t="shared" si="64"/>
        <v>0</v>
      </c>
      <c r="AV82" s="1344">
        <f t="shared" si="64"/>
        <v>0</v>
      </c>
      <c r="AW82" s="1344">
        <f t="shared" si="64"/>
        <v>0</v>
      </c>
      <c r="AX82" s="1344">
        <f t="shared" si="64"/>
        <v>0</v>
      </c>
      <c r="AY82" s="1344">
        <f t="shared" si="64"/>
        <v>0</v>
      </c>
      <c r="AZ82" s="1344">
        <f t="shared" si="64"/>
        <v>0</v>
      </c>
      <c r="BA82" s="1344">
        <f t="shared" si="64"/>
        <v>0</v>
      </c>
      <c r="BB82" s="1344">
        <f t="shared" si="64"/>
        <v>0</v>
      </c>
      <c r="BC82" s="1344">
        <f t="shared" si="64"/>
        <v>0</v>
      </c>
      <c r="BD82" s="1344">
        <f t="shared" si="64"/>
        <v>0</v>
      </c>
      <c r="BE82" s="1344">
        <f t="shared" si="64"/>
        <v>0</v>
      </c>
      <c r="BF82" s="1344">
        <f t="shared" si="64"/>
        <v>0</v>
      </c>
      <c r="BG82" s="1344">
        <f t="shared" si="64"/>
        <v>0</v>
      </c>
      <c r="BH82" s="1344">
        <f t="shared" si="64"/>
        <v>0</v>
      </c>
      <c r="BI82" s="1344">
        <f t="shared" si="64"/>
        <v>0</v>
      </c>
      <c r="BJ82" s="1344">
        <f t="shared" si="64"/>
        <v>0</v>
      </c>
      <c r="BK82" s="1344">
        <f t="shared" si="64"/>
        <v>0</v>
      </c>
    </row>
    <row r="83" spans="1:63">
      <c r="B83" s="1349" t="s">
        <v>640</v>
      </c>
      <c r="C83" s="1309">
        <f>SUM(C81:C82)</f>
        <v>0</v>
      </c>
      <c r="D83" s="1284">
        <f t="shared" ref="D83:BK83" si="65">SUM(D81:D82)</f>
        <v>0</v>
      </c>
      <c r="E83" s="1284">
        <f t="shared" si="65"/>
        <v>0</v>
      </c>
      <c r="F83" s="1284">
        <f t="shared" si="65"/>
        <v>0</v>
      </c>
      <c r="G83" s="1284">
        <f t="shared" si="65"/>
        <v>0</v>
      </c>
      <c r="H83" s="1284">
        <f t="shared" si="65"/>
        <v>0</v>
      </c>
      <c r="I83" s="1284">
        <f t="shared" si="65"/>
        <v>0</v>
      </c>
      <c r="J83" s="1284">
        <f t="shared" si="65"/>
        <v>0</v>
      </c>
      <c r="K83" s="1284">
        <f t="shared" si="65"/>
        <v>0</v>
      </c>
      <c r="L83" s="1284">
        <f t="shared" si="65"/>
        <v>0</v>
      </c>
      <c r="M83" s="1284">
        <f t="shared" si="65"/>
        <v>0</v>
      </c>
      <c r="N83" s="1284">
        <f t="shared" si="65"/>
        <v>0</v>
      </c>
      <c r="O83" s="1284">
        <f t="shared" si="65"/>
        <v>0</v>
      </c>
      <c r="P83" s="1284">
        <f t="shared" si="65"/>
        <v>0</v>
      </c>
      <c r="Q83" s="1284">
        <f t="shared" si="65"/>
        <v>0</v>
      </c>
      <c r="R83" s="1284">
        <f t="shared" si="65"/>
        <v>0</v>
      </c>
      <c r="S83" s="1284">
        <f t="shared" si="65"/>
        <v>0</v>
      </c>
      <c r="T83" s="1284">
        <f t="shared" si="65"/>
        <v>0</v>
      </c>
      <c r="U83" s="1284">
        <f t="shared" si="65"/>
        <v>0</v>
      </c>
      <c r="V83" s="1284">
        <f t="shared" si="65"/>
        <v>0</v>
      </c>
      <c r="W83" s="1284">
        <f t="shared" si="65"/>
        <v>0</v>
      </c>
      <c r="X83" s="1284">
        <f t="shared" si="65"/>
        <v>0</v>
      </c>
      <c r="Y83" s="1284">
        <f t="shared" si="65"/>
        <v>0</v>
      </c>
      <c r="Z83" s="1284">
        <f t="shared" si="65"/>
        <v>0</v>
      </c>
      <c r="AA83" s="1284">
        <f t="shared" si="65"/>
        <v>0</v>
      </c>
      <c r="AB83" s="1284">
        <f t="shared" si="65"/>
        <v>0</v>
      </c>
      <c r="AC83" s="1284">
        <f t="shared" si="65"/>
        <v>0</v>
      </c>
      <c r="AD83" s="1284">
        <f t="shared" si="65"/>
        <v>0</v>
      </c>
      <c r="AE83" s="1284">
        <f t="shared" si="65"/>
        <v>0</v>
      </c>
      <c r="AF83" s="1284">
        <f t="shared" si="65"/>
        <v>0</v>
      </c>
      <c r="AG83" s="1284">
        <f t="shared" si="65"/>
        <v>0</v>
      </c>
      <c r="AH83" s="1284">
        <f t="shared" si="65"/>
        <v>0</v>
      </c>
      <c r="AI83" s="1284">
        <f t="shared" si="65"/>
        <v>0</v>
      </c>
      <c r="AJ83" s="1284">
        <f t="shared" si="65"/>
        <v>0</v>
      </c>
      <c r="AK83" s="1284">
        <f t="shared" si="65"/>
        <v>0</v>
      </c>
      <c r="AL83" s="1284">
        <f t="shared" si="65"/>
        <v>0</v>
      </c>
      <c r="AM83" s="1284">
        <f t="shared" si="65"/>
        <v>1012449.0498786723</v>
      </c>
      <c r="AN83" s="1284">
        <f t="shared" si="65"/>
        <v>0</v>
      </c>
      <c r="AO83" s="1284">
        <f t="shared" si="65"/>
        <v>0</v>
      </c>
      <c r="AP83" s="1284">
        <f t="shared" si="65"/>
        <v>0</v>
      </c>
      <c r="AQ83" s="1284">
        <f t="shared" si="65"/>
        <v>0</v>
      </c>
      <c r="AR83" s="1284">
        <f t="shared" si="65"/>
        <v>0</v>
      </c>
      <c r="AS83" s="1284">
        <f t="shared" si="65"/>
        <v>0</v>
      </c>
      <c r="AT83" s="1284">
        <f t="shared" si="65"/>
        <v>0</v>
      </c>
      <c r="AU83" s="1284">
        <f t="shared" si="65"/>
        <v>0</v>
      </c>
      <c r="AV83" s="1284">
        <f t="shared" si="65"/>
        <v>0</v>
      </c>
      <c r="AW83" s="1284">
        <f t="shared" si="65"/>
        <v>0</v>
      </c>
      <c r="AX83" s="1284">
        <f t="shared" si="65"/>
        <v>0</v>
      </c>
      <c r="AY83" s="1284">
        <f t="shared" si="65"/>
        <v>0</v>
      </c>
      <c r="AZ83" s="1284">
        <f t="shared" si="65"/>
        <v>0</v>
      </c>
      <c r="BA83" s="1284">
        <f t="shared" si="65"/>
        <v>0</v>
      </c>
      <c r="BB83" s="1284">
        <f t="shared" si="65"/>
        <v>0</v>
      </c>
      <c r="BC83" s="1284">
        <f t="shared" si="65"/>
        <v>0</v>
      </c>
      <c r="BD83" s="1284">
        <f t="shared" si="65"/>
        <v>0</v>
      </c>
      <c r="BE83" s="1284">
        <f t="shared" si="65"/>
        <v>0</v>
      </c>
      <c r="BF83" s="1284">
        <f t="shared" si="65"/>
        <v>0</v>
      </c>
      <c r="BG83" s="1284">
        <f t="shared" si="65"/>
        <v>0</v>
      </c>
      <c r="BH83" s="1284">
        <f t="shared" si="65"/>
        <v>0</v>
      </c>
      <c r="BI83" s="1284">
        <f t="shared" si="65"/>
        <v>0</v>
      </c>
      <c r="BJ83" s="1284">
        <f t="shared" si="65"/>
        <v>0</v>
      </c>
      <c r="BK83" s="1284">
        <f t="shared" si="65"/>
        <v>0</v>
      </c>
    </row>
    <row r="84" spans="1:63">
      <c r="B84" s="1362" t="s">
        <v>641</v>
      </c>
      <c r="C84" s="1313">
        <f t="shared" ref="C84:AH84" si="66">MAX(C34-C55-C69-C83,0)</f>
        <v>0</v>
      </c>
      <c r="D84" s="1314">
        <f t="shared" si="66"/>
        <v>0</v>
      </c>
      <c r="E84" s="1314">
        <f t="shared" si="66"/>
        <v>0</v>
      </c>
      <c r="F84" s="1314">
        <f t="shared" si="66"/>
        <v>0</v>
      </c>
      <c r="G84" s="1314">
        <f t="shared" si="66"/>
        <v>0</v>
      </c>
      <c r="H84" s="1314">
        <f t="shared" si="66"/>
        <v>0</v>
      </c>
      <c r="I84" s="1314">
        <f t="shared" si="66"/>
        <v>0</v>
      </c>
      <c r="J84" s="1314">
        <f t="shared" si="66"/>
        <v>0</v>
      </c>
      <c r="K84" s="1314">
        <f t="shared" si="66"/>
        <v>0</v>
      </c>
      <c r="L84" s="1314">
        <f t="shared" si="66"/>
        <v>0</v>
      </c>
      <c r="M84" s="1314">
        <f t="shared" si="66"/>
        <v>0</v>
      </c>
      <c r="N84" s="1314">
        <f t="shared" si="66"/>
        <v>0</v>
      </c>
      <c r="O84" s="1314">
        <f t="shared" si="66"/>
        <v>0</v>
      </c>
      <c r="P84" s="1314">
        <f t="shared" si="66"/>
        <v>0</v>
      </c>
      <c r="Q84" s="1314">
        <f t="shared" si="66"/>
        <v>0</v>
      </c>
      <c r="R84" s="1314">
        <f t="shared" si="66"/>
        <v>0</v>
      </c>
      <c r="S84" s="1314">
        <f t="shared" si="66"/>
        <v>0</v>
      </c>
      <c r="T84" s="1314">
        <f t="shared" si="66"/>
        <v>0</v>
      </c>
      <c r="U84" s="1314">
        <f t="shared" si="66"/>
        <v>0</v>
      </c>
      <c r="V84" s="1314">
        <f t="shared" si="66"/>
        <v>0</v>
      </c>
      <c r="W84" s="1314">
        <f t="shared" si="66"/>
        <v>0</v>
      </c>
      <c r="X84" s="1314">
        <f t="shared" si="66"/>
        <v>0</v>
      </c>
      <c r="Y84" s="1314">
        <f t="shared" si="66"/>
        <v>0</v>
      </c>
      <c r="Z84" s="1314">
        <f t="shared" si="66"/>
        <v>0</v>
      </c>
      <c r="AA84" s="1314">
        <f t="shared" si="66"/>
        <v>0</v>
      </c>
      <c r="AB84" s="1314">
        <f t="shared" si="66"/>
        <v>0</v>
      </c>
      <c r="AC84" s="1314">
        <f t="shared" si="66"/>
        <v>0</v>
      </c>
      <c r="AD84" s="1314">
        <f t="shared" si="66"/>
        <v>0</v>
      </c>
      <c r="AE84" s="1314">
        <f t="shared" si="66"/>
        <v>0</v>
      </c>
      <c r="AF84" s="1314">
        <f t="shared" si="66"/>
        <v>0</v>
      </c>
      <c r="AG84" s="1314">
        <f t="shared" si="66"/>
        <v>0</v>
      </c>
      <c r="AH84" s="1314">
        <f t="shared" si="66"/>
        <v>0</v>
      </c>
      <c r="AI84" s="1314">
        <f t="shared" ref="AI84:BK84" si="67">MAX(AI34-AI55-AI69-AI83,0)</f>
        <v>0</v>
      </c>
      <c r="AJ84" s="1314">
        <f t="shared" si="67"/>
        <v>0</v>
      </c>
      <c r="AK84" s="1314">
        <f t="shared" si="67"/>
        <v>0</v>
      </c>
      <c r="AL84" s="1314">
        <f t="shared" si="67"/>
        <v>0</v>
      </c>
      <c r="AM84" s="1314">
        <f t="shared" si="67"/>
        <v>1.1641532182693481E-10</v>
      </c>
      <c r="AN84" s="1314">
        <f t="shared" si="67"/>
        <v>0</v>
      </c>
      <c r="AO84" s="1314">
        <f t="shared" si="67"/>
        <v>0</v>
      </c>
      <c r="AP84" s="1314">
        <f t="shared" si="67"/>
        <v>0</v>
      </c>
      <c r="AQ84" s="1314">
        <f t="shared" si="67"/>
        <v>0</v>
      </c>
      <c r="AR84" s="1314">
        <f t="shared" si="67"/>
        <v>0</v>
      </c>
      <c r="AS84" s="1314">
        <f t="shared" si="67"/>
        <v>0</v>
      </c>
      <c r="AT84" s="1314">
        <f t="shared" si="67"/>
        <v>0</v>
      </c>
      <c r="AU84" s="1314">
        <f t="shared" si="67"/>
        <v>0</v>
      </c>
      <c r="AV84" s="1314">
        <f t="shared" si="67"/>
        <v>0</v>
      </c>
      <c r="AW84" s="1314">
        <f t="shared" si="67"/>
        <v>0</v>
      </c>
      <c r="AX84" s="1314">
        <f t="shared" si="67"/>
        <v>0</v>
      </c>
      <c r="AY84" s="1314">
        <f t="shared" si="67"/>
        <v>0</v>
      </c>
      <c r="AZ84" s="1314">
        <f t="shared" si="67"/>
        <v>0</v>
      </c>
      <c r="BA84" s="1314">
        <f t="shared" si="67"/>
        <v>0</v>
      </c>
      <c r="BB84" s="1314">
        <f t="shared" si="67"/>
        <v>0</v>
      </c>
      <c r="BC84" s="1314">
        <f t="shared" si="67"/>
        <v>0</v>
      </c>
      <c r="BD84" s="1314">
        <f t="shared" si="67"/>
        <v>0</v>
      </c>
      <c r="BE84" s="1314">
        <f t="shared" si="67"/>
        <v>0</v>
      </c>
      <c r="BF84" s="1314">
        <f t="shared" si="67"/>
        <v>0</v>
      </c>
      <c r="BG84" s="1314">
        <f t="shared" si="67"/>
        <v>0</v>
      </c>
      <c r="BH84" s="1314">
        <f t="shared" si="67"/>
        <v>0</v>
      </c>
      <c r="BI84" s="1314">
        <f t="shared" si="67"/>
        <v>0</v>
      </c>
      <c r="BJ84" s="1314">
        <f t="shared" si="67"/>
        <v>0</v>
      </c>
      <c r="BK84" s="1314">
        <f t="shared" si="67"/>
        <v>0</v>
      </c>
    </row>
    <row r="85" spans="1:63">
      <c r="B85" s="1355"/>
      <c r="C85" s="1284"/>
      <c r="D85" s="1284"/>
      <c r="E85" s="1284"/>
      <c r="F85" s="1284"/>
      <c r="G85" s="1284"/>
      <c r="H85" s="1284"/>
      <c r="I85" s="1284"/>
      <c r="J85" s="1284"/>
      <c r="K85" s="1284"/>
      <c r="L85" s="1284"/>
      <c r="M85" s="1284"/>
      <c r="N85" s="1284"/>
      <c r="O85" s="1284"/>
      <c r="P85" s="1284"/>
      <c r="Q85" s="1284"/>
      <c r="R85" s="1284"/>
      <c r="S85" s="1284"/>
      <c r="T85" s="1284"/>
      <c r="U85" s="1284"/>
      <c r="V85" s="1284"/>
      <c r="W85" s="1284"/>
      <c r="X85" s="1284"/>
      <c r="Y85" s="1284"/>
      <c r="Z85" s="1284"/>
      <c r="AA85" s="1284"/>
      <c r="AB85" s="1284"/>
      <c r="AC85" s="1284"/>
      <c r="AD85" s="1284"/>
      <c r="AE85" s="1284"/>
      <c r="AF85" s="1284"/>
      <c r="AG85" s="1284"/>
      <c r="AH85" s="1284"/>
      <c r="AI85" s="1284"/>
      <c r="AJ85" s="1284"/>
      <c r="AK85" s="1284"/>
      <c r="AL85" s="1284"/>
      <c r="AM85" s="1284"/>
      <c r="AN85" s="1284"/>
      <c r="AO85" s="1284"/>
      <c r="AP85" s="1284">
        <f>AO85+AN85+AM85</f>
        <v>0</v>
      </c>
      <c r="AQ85" s="1284"/>
      <c r="AR85" s="1284"/>
      <c r="AS85" s="1284"/>
      <c r="AT85" s="1284"/>
      <c r="AU85" s="1284"/>
      <c r="AV85" s="1284"/>
      <c r="AW85" s="1284"/>
      <c r="AX85" s="1284"/>
      <c r="AY85" s="1284"/>
      <c r="AZ85" s="1284"/>
      <c r="BA85" s="1284"/>
      <c r="BB85" s="1284"/>
      <c r="BC85" s="1284"/>
      <c r="BD85" s="1284"/>
      <c r="BE85" s="1284"/>
      <c r="BF85" s="1284"/>
      <c r="BG85" s="1284"/>
      <c r="BH85" s="1284"/>
      <c r="BI85" s="1284"/>
      <c r="BJ85" s="1284"/>
      <c r="BK85" s="1284"/>
    </row>
    <row r="86" spans="1:63">
      <c r="B86" s="1360" t="s">
        <v>625</v>
      </c>
      <c r="C86" s="1308"/>
      <c r="D86" s="1308"/>
      <c r="E86" s="1308"/>
      <c r="F86" s="1308"/>
      <c r="G86" s="1308"/>
      <c r="H86" s="1308"/>
      <c r="I86" s="1308"/>
      <c r="J86" s="1308"/>
      <c r="K86" s="1308"/>
      <c r="L86" s="1308"/>
      <c r="M86" s="1308"/>
      <c r="N86" s="1308"/>
      <c r="O86" s="1308"/>
      <c r="P86" s="1308"/>
      <c r="Q86" s="1308"/>
      <c r="R86" s="1308"/>
      <c r="S86" s="1308"/>
      <c r="T86" s="1308"/>
      <c r="U86" s="1308"/>
      <c r="V86" s="1308"/>
      <c r="W86" s="1308"/>
      <c r="X86" s="1308"/>
      <c r="Y86" s="1308"/>
      <c r="Z86" s="1308"/>
      <c r="AA86" s="1308"/>
      <c r="AB86" s="1308"/>
      <c r="AC86" s="1308"/>
      <c r="AD86" s="1308"/>
      <c r="AE86" s="1308"/>
      <c r="AF86" s="1308"/>
      <c r="AG86" s="1308"/>
      <c r="AH86" s="1308"/>
      <c r="AI86" s="1308"/>
      <c r="AJ86" s="1308"/>
      <c r="AK86" s="1308"/>
      <c r="AL86" s="1308"/>
      <c r="AM86" s="1308"/>
      <c r="AN86" s="1308"/>
      <c r="AO86" s="1308"/>
      <c r="AP86" s="1308"/>
      <c r="AQ86" s="1308"/>
      <c r="AR86" s="1308"/>
      <c r="AS86" s="1308"/>
      <c r="AT86" s="1308"/>
      <c r="AU86" s="1308"/>
      <c r="AV86" s="1308"/>
      <c r="AW86" s="1308"/>
      <c r="AX86" s="1308"/>
      <c r="AY86" s="1308"/>
      <c r="AZ86" s="1308"/>
      <c r="BA86" s="1308"/>
      <c r="BB86" s="1308"/>
      <c r="BC86" s="1308"/>
      <c r="BD86" s="1308"/>
      <c r="BE86" s="1308"/>
      <c r="BF86" s="1308"/>
      <c r="BG86" s="1308"/>
      <c r="BH86" s="1308"/>
      <c r="BI86" s="1308"/>
      <c r="BJ86" s="1308"/>
      <c r="BK86" s="1308"/>
    </row>
    <row r="87" spans="1:63">
      <c r="B87" s="1348" t="s">
        <v>655</v>
      </c>
      <c r="C87" s="1304">
        <f t="shared" ref="C87:AH87" si="68">C84*LPCF4</f>
        <v>0</v>
      </c>
      <c r="D87" s="1305">
        <f t="shared" si="68"/>
        <v>0</v>
      </c>
      <c r="E87" s="1305">
        <f t="shared" si="68"/>
        <v>0</v>
      </c>
      <c r="F87" s="1305">
        <f t="shared" si="68"/>
        <v>0</v>
      </c>
      <c r="G87" s="1305">
        <f t="shared" si="68"/>
        <v>0</v>
      </c>
      <c r="H87" s="1305">
        <f t="shared" si="68"/>
        <v>0</v>
      </c>
      <c r="I87" s="1305">
        <f t="shared" si="68"/>
        <v>0</v>
      </c>
      <c r="J87" s="1305">
        <f t="shared" si="68"/>
        <v>0</v>
      </c>
      <c r="K87" s="1305">
        <f t="shared" si="68"/>
        <v>0</v>
      </c>
      <c r="L87" s="1305">
        <f t="shared" si="68"/>
        <v>0</v>
      </c>
      <c r="M87" s="1305">
        <f t="shared" si="68"/>
        <v>0</v>
      </c>
      <c r="N87" s="1305">
        <f t="shared" si="68"/>
        <v>0</v>
      </c>
      <c r="O87" s="1305">
        <f t="shared" si="68"/>
        <v>0</v>
      </c>
      <c r="P87" s="1305">
        <f t="shared" si="68"/>
        <v>0</v>
      </c>
      <c r="Q87" s="1305">
        <f t="shared" si="68"/>
        <v>0</v>
      </c>
      <c r="R87" s="1305">
        <f t="shared" si="68"/>
        <v>0</v>
      </c>
      <c r="S87" s="1305">
        <f t="shared" si="68"/>
        <v>0</v>
      </c>
      <c r="T87" s="1305">
        <f t="shared" si="68"/>
        <v>0</v>
      </c>
      <c r="U87" s="1305">
        <f t="shared" si="68"/>
        <v>0</v>
      </c>
      <c r="V87" s="1305">
        <f t="shared" si="68"/>
        <v>0</v>
      </c>
      <c r="W87" s="1305">
        <f t="shared" si="68"/>
        <v>0</v>
      </c>
      <c r="X87" s="1305">
        <f t="shared" si="68"/>
        <v>0</v>
      </c>
      <c r="Y87" s="1305">
        <f t="shared" si="68"/>
        <v>0</v>
      </c>
      <c r="Z87" s="1305">
        <f t="shared" si="68"/>
        <v>0</v>
      </c>
      <c r="AA87" s="1305">
        <f t="shared" si="68"/>
        <v>0</v>
      </c>
      <c r="AB87" s="1305">
        <f t="shared" si="68"/>
        <v>0</v>
      </c>
      <c r="AC87" s="1305">
        <f t="shared" si="68"/>
        <v>0</v>
      </c>
      <c r="AD87" s="1305">
        <f t="shared" si="68"/>
        <v>0</v>
      </c>
      <c r="AE87" s="1305">
        <f t="shared" si="68"/>
        <v>0</v>
      </c>
      <c r="AF87" s="1305">
        <f t="shared" si="68"/>
        <v>0</v>
      </c>
      <c r="AG87" s="1305">
        <f t="shared" si="68"/>
        <v>0</v>
      </c>
      <c r="AH87" s="1305">
        <f t="shared" si="68"/>
        <v>0</v>
      </c>
      <c r="AI87" s="1305">
        <f t="shared" ref="AI87:BK87" si="69">AI84*LPCF4</f>
        <v>0</v>
      </c>
      <c r="AJ87" s="1305">
        <f t="shared" si="69"/>
        <v>0</v>
      </c>
      <c r="AK87" s="1305">
        <f t="shared" si="69"/>
        <v>0</v>
      </c>
      <c r="AL87" s="1305">
        <f t="shared" si="69"/>
        <v>0</v>
      </c>
      <c r="AM87" s="1305">
        <f t="shared" si="69"/>
        <v>6.2864273786544791E-11</v>
      </c>
      <c r="AN87" s="1305">
        <f t="shared" si="69"/>
        <v>0</v>
      </c>
      <c r="AO87" s="1305">
        <f t="shared" si="69"/>
        <v>0</v>
      </c>
      <c r="AP87" s="1305">
        <f t="shared" si="69"/>
        <v>0</v>
      </c>
      <c r="AQ87" s="1305">
        <f t="shared" si="69"/>
        <v>0</v>
      </c>
      <c r="AR87" s="1305">
        <f t="shared" si="69"/>
        <v>0</v>
      </c>
      <c r="AS87" s="1305">
        <f t="shared" si="69"/>
        <v>0</v>
      </c>
      <c r="AT87" s="1305">
        <f t="shared" si="69"/>
        <v>0</v>
      </c>
      <c r="AU87" s="1305">
        <f t="shared" si="69"/>
        <v>0</v>
      </c>
      <c r="AV87" s="1305">
        <f t="shared" si="69"/>
        <v>0</v>
      </c>
      <c r="AW87" s="1305">
        <f t="shared" si="69"/>
        <v>0</v>
      </c>
      <c r="AX87" s="1305">
        <f t="shared" si="69"/>
        <v>0</v>
      </c>
      <c r="AY87" s="1305">
        <f t="shared" si="69"/>
        <v>0</v>
      </c>
      <c r="AZ87" s="1305">
        <f t="shared" si="69"/>
        <v>0</v>
      </c>
      <c r="BA87" s="1305">
        <f t="shared" si="69"/>
        <v>0</v>
      </c>
      <c r="BB87" s="1305">
        <f t="shared" si="69"/>
        <v>0</v>
      </c>
      <c r="BC87" s="1305">
        <f t="shared" si="69"/>
        <v>0</v>
      </c>
      <c r="BD87" s="1305">
        <f t="shared" si="69"/>
        <v>0</v>
      </c>
      <c r="BE87" s="1305">
        <f t="shared" si="69"/>
        <v>0</v>
      </c>
      <c r="BF87" s="1305">
        <f t="shared" si="69"/>
        <v>0</v>
      </c>
      <c r="BG87" s="1305">
        <f t="shared" si="69"/>
        <v>0</v>
      </c>
      <c r="BH87" s="1305">
        <f t="shared" si="69"/>
        <v>0</v>
      </c>
      <c r="BI87" s="1305">
        <f t="shared" si="69"/>
        <v>0</v>
      </c>
      <c r="BJ87" s="1305">
        <f t="shared" si="69"/>
        <v>0</v>
      </c>
      <c r="BK87" s="1305">
        <f t="shared" si="69"/>
        <v>0</v>
      </c>
    </row>
    <row r="88" spans="1:63">
      <c r="B88" s="1349" t="s">
        <v>656</v>
      </c>
      <c r="C88" s="1309">
        <f t="shared" ref="C88:AH88" si="70">C84*GPCF4</f>
        <v>0</v>
      </c>
      <c r="D88" s="1284">
        <f t="shared" si="70"/>
        <v>0</v>
      </c>
      <c r="E88" s="1284">
        <f t="shared" si="70"/>
        <v>0</v>
      </c>
      <c r="F88" s="1284">
        <f t="shared" si="70"/>
        <v>0</v>
      </c>
      <c r="G88" s="1284">
        <f t="shared" si="70"/>
        <v>0</v>
      </c>
      <c r="H88" s="1284">
        <f t="shared" si="70"/>
        <v>0</v>
      </c>
      <c r="I88" s="1284">
        <f t="shared" si="70"/>
        <v>0</v>
      </c>
      <c r="J88" s="1284">
        <f t="shared" si="70"/>
        <v>0</v>
      </c>
      <c r="K88" s="1284">
        <f t="shared" si="70"/>
        <v>0</v>
      </c>
      <c r="L88" s="1284">
        <f t="shared" si="70"/>
        <v>0</v>
      </c>
      <c r="M88" s="1284">
        <f t="shared" si="70"/>
        <v>0</v>
      </c>
      <c r="N88" s="1284">
        <f t="shared" si="70"/>
        <v>0</v>
      </c>
      <c r="O88" s="1284">
        <f t="shared" si="70"/>
        <v>0</v>
      </c>
      <c r="P88" s="1284">
        <f t="shared" si="70"/>
        <v>0</v>
      </c>
      <c r="Q88" s="1284">
        <f t="shared" si="70"/>
        <v>0</v>
      </c>
      <c r="R88" s="1284">
        <f t="shared" si="70"/>
        <v>0</v>
      </c>
      <c r="S88" s="1284">
        <f t="shared" si="70"/>
        <v>0</v>
      </c>
      <c r="T88" s="1284">
        <f t="shared" si="70"/>
        <v>0</v>
      </c>
      <c r="U88" s="1284">
        <f t="shared" si="70"/>
        <v>0</v>
      </c>
      <c r="V88" s="1284">
        <f t="shared" si="70"/>
        <v>0</v>
      </c>
      <c r="W88" s="1284">
        <f t="shared" si="70"/>
        <v>0</v>
      </c>
      <c r="X88" s="1284">
        <f t="shared" si="70"/>
        <v>0</v>
      </c>
      <c r="Y88" s="1284">
        <f t="shared" si="70"/>
        <v>0</v>
      </c>
      <c r="Z88" s="1284">
        <f t="shared" si="70"/>
        <v>0</v>
      </c>
      <c r="AA88" s="1284">
        <f t="shared" si="70"/>
        <v>0</v>
      </c>
      <c r="AB88" s="1284">
        <f t="shared" si="70"/>
        <v>0</v>
      </c>
      <c r="AC88" s="1284">
        <f t="shared" si="70"/>
        <v>0</v>
      </c>
      <c r="AD88" s="1284">
        <f t="shared" si="70"/>
        <v>0</v>
      </c>
      <c r="AE88" s="1284">
        <f t="shared" si="70"/>
        <v>0</v>
      </c>
      <c r="AF88" s="1284">
        <f t="shared" si="70"/>
        <v>0</v>
      </c>
      <c r="AG88" s="1284">
        <f t="shared" si="70"/>
        <v>0</v>
      </c>
      <c r="AH88" s="1284">
        <f t="shared" si="70"/>
        <v>0</v>
      </c>
      <c r="AI88" s="1284">
        <f t="shared" ref="AI88:BK88" si="71">AI84*GPCF4</f>
        <v>0</v>
      </c>
      <c r="AJ88" s="1284">
        <f t="shared" si="71"/>
        <v>0</v>
      </c>
      <c r="AK88" s="1284">
        <f t="shared" si="71"/>
        <v>0</v>
      </c>
      <c r="AL88" s="1284">
        <f t="shared" si="71"/>
        <v>0</v>
      </c>
      <c r="AM88" s="1284">
        <f t="shared" si="71"/>
        <v>5.3551048040390023E-11</v>
      </c>
      <c r="AN88" s="1284">
        <f t="shared" si="71"/>
        <v>0</v>
      </c>
      <c r="AO88" s="1284">
        <f t="shared" si="71"/>
        <v>0</v>
      </c>
      <c r="AP88" s="1284">
        <f t="shared" si="71"/>
        <v>0</v>
      </c>
      <c r="AQ88" s="1284">
        <f t="shared" si="71"/>
        <v>0</v>
      </c>
      <c r="AR88" s="1284">
        <f t="shared" si="71"/>
        <v>0</v>
      </c>
      <c r="AS88" s="1284">
        <f t="shared" si="71"/>
        <v>0</v>
      </c>
      <c r="AT88" s="1284">
        <f t="shared" si="71"/>
        <v>0</v>
      </c>
      <c r="AU88" s="1284">
        <f t="shared" si="71"/>
        <v>0</v>
      </c>
      <c r="AV88" s="1284">
        <f t="shared" si="71"/>
        <v>0</v>
      </c>
      <c r="AW88" s="1284">
        <f t="shared" si="71"/>
        <v>0</v>
      </c>
      <c r="AX88" s="1284">
        <f t="shared" si="71"/>
        <v>0</v>
      </c>
      <c r="AY88" s="1284">
        <f t="shared" si="71"/>
        <v>0</v>
      </c>
      <c r="AZ88" s="1284">
        <f t="shared" si="71"/>
        <v>0</v>
      </c>
      <c r="BA88" s="1284">
        <f t="shared" si="71"/>
        <v>0</v>
      </c>
      <c r="BB88" s="1284">
        <f t="shared" si="71"/>
        <v>0</v>
      </c>
      <c r="BC88" s="1284">
        <f t="shared" si="71"/>
        <v>0</v>
      </c>
      <c r="BD88" s="1284">
        <f t="shared" si="71"/>
        <v>0</v>
      </c>
      <c r="BE88" s="1284">
        <f t="shared" si="71"/>
        <v>0</v>
      </c>
      <c r="BF88" s="1284">
        <f t="shared" si="71"/>
        <v>0</v>
      </c>
      <c r="BG88" s="1284">
        <f t="shared" si="71"/>
        <v>0</v>
      </c>
      <c r="BH88" s="1284">
        <f t="shared" si="71"/>
        <v>0</v>
      </c>
      <c r="BI88" s="1284">
        <f t="shared" si="71"/>
        <v>0</v>
      </c>
      <c r="BJ88" s="1284">
        <f t="shared" si="71"/>
        <v>0</v>
      </c>
      <c r="BK88" s="1284">
        <f t="shared" si="71"/>
        <v>0</v>
      </c>
    </row>
    <row r="89" spans="1:63">
      <c r="B89" s="1349" t="s">
        <v>640</v>
      </c>
      <c r="C89" s="1309">
        <f>SUM(C87:C88)</f>
        <v>0</v>
      </c>
      <c r="D89" s="1284">
        <f t="shared" ref="D89:BK89" si="72">SUM(D87:D88)</f>
        <v>0</v>
      </c>
      <c r="E89" s="1284">
        <f t="shared" si="72"/>
        <v>0</v>
      </c>
      <c r="F89" s="1284">
        <f t="shared" si="72"/>
        <v>0</v>
      </c>
      <c r="G89" s="1284">
        <f t="shared" si="72"/>
        <v>0</v>
      </c>
      <c r="H89" s="1284">
        <f t="shared" si="72"/>
        <v>0</v>
      </c>
      <c r="I89" s="1284">
        <f t="shared" si="72"/>
        <v>0</v>
      </c>
      <c r="J89" s="1284">
        <f t="shared" si="72"/>
        <v>0</v>
      </c>
      <c r="K89" s="1284">
        <f t="shared" si="72"/>
        <v>0</v>
      </c>
      <c r="L89" s="1284">
        <f t="shared" si="72"/>
        <v>0</v>
      </c>
      <c r="M89" s="1284">
        <f t="shared" si="72"/>
        <v>0</v>
      </c>
      <c r="N89" s="1284">
        <f t="shared" si="72"/>
        <v>0</v>
      </c>
      <c r="O89" s="1284">
        <f t="shared" si="72"/>
        <v>0</v>
      </c>
      <c r="P89" s="1284">
        <f t="shared" si="72"/>
        <v>0</v>
      </c>
      <c r="Q89" s="1284">
        <f t="shared" si="72"/>
        <v>0</v>
      </c>
      <c r="R89" s="1284">
        <f t="shared" si="72"/>
        <v>0</v>
      </c>
      <c r="S89" s="1284">
        <f t="shared" si="72"/>
        <v>0</v>
      </c>
      <c r="T89" s="1284">
        <f t="shared" si="72"/>
        <v>0</v>
      </c>
      <c r="U89" s="1284">
        <f t="shared" si="72"/>
        <v>0</v>
      </c>
      <c r="V89" s="1284">
        <f t="shared" si="72"/>
        <v>0</v>
      </c>
      <c r="W89" s="1284">
        <f t="shared" si="72"/>
        <v>0</v>
      </c>
      <c r="X89" s="1284">
        <f t="shared" si="72"/>
        <v>0</v>
      </c>
      <c r="Y89" s="1284">
        <f t="shared" si="72"/>
        <v>0</v>
      </c>
      <c r="Z89" s="1284">
        <f t="shared" si="72"/>
        <v>0</v>
      </c>
      <c r="AA89" s="1284">
        <f t="shared" si="72"/>
        <v>0</v>
      </c>
      <c r="AB89" s="1284">
        <f t="shared" si="72"/>
        <v>0</v>
      </c>
      <c r="AC89" s="1284">
        <f t="shared" si="72"/>
        <v>0</v>
      </c>
      <c r="AD89" s="1284">
        <f t="shared" si="72"/>
        <v>0</v>
      </c>
      <c r="AE89" s="1284">
        <f t="shared" si="72"/>
        <v>0</v>
      </c>
      <c r="AF89" s="1284">
        <f t="shared" si="72"/>
        <v>0</v>
      </c>
      <c r="AG89" s="1284">
        <f t="shared" si="72"/>
        <v>0</v>
      </c>
      <c r="AH89" s="1284">
        <f t="shared" si="72"/>
        <v>0</v>
      </c>
      <c r="AI89" s="1284">
        <f t="shared" si="72"/>
        <v>0</v>
      </c>
      <c r="AJ89" s="1284">
        <f t="shared" si="72"/>
        <v>0</v>
      </c>
      <c r="AK89" s="1284">
        <f t="shared" si="72"/>
        <v>0</v>
      </c>
      <c r="AL89" s="1284">
        <f t="shared" si="72"/>
        <v>0</v>
      </c>
      <c r="AM89" s="1284">
        <f t="shared" si="72"/>
        <v>1.1641532182693481E-10</v>
      </c>
      <c r="AN89" s="1284">
        <f t="shared" si="72"/>
        <v>0</v>
      </c>
      <c r="AO89" s="1284">
        <f t="shared" si="72"/>
        <v>0</v>
      </c>
      <c r="AP89" s="1284">
        <f t="shared" si="72"/>
        <v>0</v>
      </c>
      <c r="AQ89" s="1284">
        <f t="shared" si="72"/>
        <v>0</v>
      </c>
      <c r="AR89" s="1284">
        <f t="shared" si="72"/>
        <v>0</v>
      </c>
      <c r="AS89" s="1284">
        <f t="shared" si="72"/>
        <v>0</v>
      </c>
      <c r="AT89" s="1284">
        <f t="shared" si="72"/>
        <v>0</v>
      </c>
      <c r="AU89" s="1284">
        <f t="shared" si="72"/>
        <v>0</v>
      </c>
      <c r="AV89" s="1284">
        <f t="shared" si="72"/>
        <v>0</v>
      </c>
      <c r="AW89" s="1284">
        <f t="shared" si="72"/>
        <v>0</v>
      </c>
      <c r="AX89" s="1284">
        <f t="shared" si="72"/>
        <v>0</v>
      </c>
      <c r="AY89" s="1284">
        <f t="shared" si="72"/>
        <v>0</v>
      </c>
      <c r="AZ89" s="1284">
        <f t="shared" si="72"/>
        <v>0</v>
      </c>
      <c r="BA89" s="1284">
        <f t="shared" si="72"/>
        <v>0</v>
      </c>
      <c r="BB89" s="1284">
        <f t="shared" si="72"/>
        <v>0</v>
      </c>
      <c r="BC89" s="1284">
        <f t="shared" si="72"/>
        <v>0</v>
      </c>
      <c r="BD89" s="1284">
        <f t="shared" si="72"/>
        <v>0</v>
      </c>
      <c r="BE89" s="1284">
        <f t="shared" si="72"/>
        <v>0</v>
      </c>
      <c r="BF89" s="1284">
        <f t="shared" si="72"/>
        <v>0</v>
      </c>
      <c r="BG89" s="1284">
        <f t="shared" si="72"/>
        <v>0</v>
      </c>
      <c r="BH89" s="1284">
        <f t="shared" si="72"/>
        <v>0</v>
      </c>
      <c r="BI89" s="1284">
        <f t="shared" si="72"/>
        <v>0</v>
      </c>
      <c r="BJ89" s="1284">
        <f t="shared" si="72"/>
        <v>0</v>
      </c>
      <c r="BK89" s="1284">
        <f t="shared" si="72"/>
        <v>0</v>
      </c>
    </row>
    <row r="90" spans="1:63">
      <c r="B90" s="1362" t="s">
        <v>641</v>
      </c>
      <c r="C90" s="1313">
        <f>C89-C84</f>
        <v>0</v>
      </c>
      <c r="D90" s="1314">
        <f t="shared" ref="D90:BK90" si="73">D89-D84</f>
        <v>0</v>
      </c>
      <c r="E90" s="1314">
        <f t="shared" si="73"/>
        <v>0</v>
      </c>
      <c r="F90" s="1314">
        <f t="shared" si="73"/>
        <v>0</v>
      </c>
      <c r="G90" s="1314">
        <f t="shared" si="73"/>
        <v>0</v>
      </c>
      <c r="H90" s="1314">
        <f t="shared" si="73"/>
        <v>0</v>
      </c>
      <c r="I90" s="1314">
        <f t="shared" si="73"/>
        <v>0</v>
      </c>
      <c r="J90" s="1314">
        <f t="shared" si="73"/>
        <v>0</v>
      </c>
      <c r="K90" s="1314">
        <f t="shared" si="73"/>
        <v>0</v>
      </c>
      <c r="L90" s="1314">
        <f t="shared" si="73"/>
        <v>0</v>
      </c>
      <c r="M90" s="1314">
        <f t="shared" si="73"/>
        <v>0</v>
      </c>
      <c r="N90" s="1314">
        <f t="shared" si="73"/>
        <v>0</v>
      </c>
      <c r="O90" s="1314">
        <f t="shared" si="73"/>
        <v>0</v>
      </c>
      <c r="P90" s="1314">
        <f t="shared" si="73"/>
        <v>0</v>
      </c>
      <c r="Q90" s="1314">
        <f t="shared" si="73"/>
        <v>0</v>
      </c>
      <c r="R90" s="1314">
        <f t="shared" si="73"/>
        <v>0</v>
      </c>
      <c r="S90" s="1314">
        <f t="shared" si="73"/>
        <v>0</v>
      </c>
      <c r="T90" s="1314">
        <f t="shared" si="73"/>
        <v>0</v>
      </c>
      <c r="U90" s="1314">
        <f t="shared" si="73"/>
        <v>0</v>
      </c>
      <c r="V90" s="1314">
        <f t="shared" si="73"/>
        <v>0</v>
      </c>
      <c r="W90" s="1314">
        <f t="shared" si="73"/>
        <v>0</v>
      </c>
      <c r="X90" s="1314">
        <f t="shared" si="73"/>
        <v>0</v>
      </c>
      <c r="Y90" s="1314">
        <f t="shared" si="73"/>
        <v>0</v>
      </c>
      <c r="Z90" s="1314">
        <f t="shared" si="73"/>
        <v>0</v>
      </c>
      <c r="AA90" s="1314">
        <f t="shared" si="73"/>
        <v>0</v>
      </c>
      <c r="AB90" s="1314">
        <f t="shared" si="73"/>
        <v>0</v>
      </c>
      <c r="AC90" s="1314">
        <f t="shared" si="73"/>
        <v>0</v>
      </c>
      <c r="AD90" s="1314">
        <f t="shared" si="73"/>
        <v>0</v>
      </c>
      <c r="AE90" s="1314">
        <f t="shared" si="73"/>
        <v>0</v>
      </c>
      <c r="AF90" s="1314">
        <f t="shared" si="73"/>
        <v>0</v>
      </c>
      <c r="AG90" s="1314">
        <f t="shared" si="73"/>
        <v>0</v>
      </c>
      <c r="AH90" s="1314">
        <f t="shared" si="73"/>
        <v>0</v>
      </c>
      <c r="AI90" s="1314">
        <f t="shared" si="73"/>
        <v>0</v>
      </c>
      <c r="AJ90" s="1314">
        <f t="shared" si="73"/>
        <v>0</v>
      </c>
      <c r="AK90" s="1314">
        <f t="shared" si="73"/>
        <v>0</v>
      </c>
      <c r="AL90" s="1314">
        <f t="shared" si="73"/>
        <v>0</v>
      </c>
      <c r="AM90" s="1314">
        <f t="shared" si="73"/>
        <v>0</v>
      </c>
      <c r="AN90" s="1314">
        <f t="shared" si="73"/>
        <v>0</v>
      </c>
      <c r="AO90" s="1314">
        <f t="shared" si="73"/>
        <v>0</v>
      </c>
      <c r="AP90" s="1314">
        <f t="shared" si="73"/>
        <v>0</v>
      </c>
      <c r="AQ90" s="1314">
        <f t="shared" si="73"/>
        <v>0</v>
      </c>
      <c r="AR90" s="1314">
        <f t="shared" si="73"/>
        <v>0</v>
      </c>
      <c r="AS90" s="1314">
        <f t="shared" si="73"/>
        <v>0</v>
      </c>
      <c r="AT90" s="1314">
        <f t="shared" si="73"/>
        <v>0</v>
      </c>
      <c r="AU90" s="1314">
        <f t="shared" si="73"/>
        <v>0</v>
      </c>
      <c r="AV90" s="1314">
        <f t="shared" si="73"/>
        <v>0</v>
      </c>
      <c r="AW90" s="1314">
        <f t="shared" si="73"/>
        <v>0</v>
      </c>
      <c r="AX90" s="1314">
        <f t="shared" si="73"/>
        <v>0</v>
      </c>
      <c r="AY90" s="1314">
        <f t="shared" si="73"/>
        <v>0</v>
      </c>
      <c r="AZ90" s="1314">
        <f t="shared" si="73"/>
        <v>0</v>
      </c>
      <c r="BA90" s="1314">
        <f t="shared" si="73"/>
        <v>0</v>
      </c>
      <c r="BB90" s="1314">
        <f t="shared" si="73"/>
        <v>0</v>
      </c>
      <c r="BC90" s="1314">
        <f t="shared" si="73"/>
        <v>0</v>
      </c>
      <c r="BD90" s="1314">
        <f t="shared" si="73"/>
        <v>0</v>
      </c>
      <c r="BE90" s="1314">
        <f t="shared" si="73"/>
        <v>0</v>
      </c>
      <c r="BF90" s="1314">
        <f t="shared" si="73"/>
        <v>0</v>
      </c>
      <c r="BG90" s="1314">
        <f t="shared" si="73"/>
        <v>0</v>
      </c>
      <c r="BH90" s="1314">
        <f t="shared" si="73"/>
        <v>0</v>
      </c>
      <c r="BI90" s="1314">
        <f t="shared" si="73"/>
        <v>0</v>
      </c>
      <c r="BJ90" s="1314">
        <f t="shared" si="73"/>
        <v>0</v>
      </c>
      <c r="BK90" s="1314">
        <f t="shared" si="73"/>
        <v>0</v>
      </c>
    </row>
    <row r="91" spans="1:63">
      <c r="B91" s="1355"/>
      <c r="C91" s="1284"/>
      <c r="D91" s="1284"/>
      <c r="E91" s="1284"/>
      <c r="F91" s="1284"/>
      <c r="G91" s="1284"/>
      <c r="H91" s="1284"/>
      <c r="I91" s="1284"/>
      <c r="J91" s="1284"/>
      <c r="K91" s="1284"/>
      <c r="L91" s="1284"/>
      <c r="M91" s="1284"/>
      <c r="N91" s="1284"/>
      <c r="O91" s="1284"/>
      <c r="P91" s="1284"/>
      <c r="Q91" s="1284"/>
      <c r="R91" s="1284"/>
      <c r="S91" s="1284"/>
      <c r="T91" s="1284"/>
      <c r="U91" s="1284"/>
      <c r="V91" s="1284"/>
      <c r="W91" s="1284"/>
      <c r="X91" s="1284"/>
      <c r="Y91" s="1284"/>
      <c r="Z91" s="1284"/>
      <c r="AA91" s="1284"/>
      <c r="AB91" s="1284"/>
      <c r="AC91" s="1284"/>
      <c r="AD91" s="1284"/>
      <c r="AE91" s="1284"/>
      <c r="AF91" s="1284"/>
      <c r="AG91" s="1284"/>
      <c r="AH91" s="1284"/>
      <c r="AI91" s="1284"/>
      <c r="AJ91" s="1284"/>
      <c r="AK91" s="1284"/>
      <c r="AL91" s="1284"/>
      <c r="AM91" s="1284"/>
      <c r="AN91" s="1284"/>
      <c r="AO91" s="1284"/>
      <c r="AP91" s="1284"/>
      <c r="AQ91" s="1284"/>
      <c r="AR91" s="1284"/>
      <c r="AS91" s="1284"/>
      <c r="AT91" s="1284"/>
      <c r="AU91" s="1284"/>
      <c r="AV91" s="1284"/>
      <c r="AW91" s="1284"/>
      <c r="AX91" s="1284"/>
      <c r="AY91" s="1284"/>
      <c r="AZ91" s="1284"/>
      <c r="BA91" s="1284"/>
      <c r="BB91" s="1284"/>
      <c r="BC91" s="1284"/>
      <c r="BD91" s="1284"/>
      <c r="BE91" s="1284"/>
      <c r="BF91" s="1284"/>
      <c r="BG91" s="1284"/>
      <c r="BH91" s="1284"/>
      <c r="BI91" s="1284"/>
      <c r="BJ91" s="1284"/>
      <c r="BK91" s="1284"/>
    </row>
    <row r="92" spans="1:63">
      <c r="B92" s="1360" t="s">
        <v>645</v>
      </c>
      <c r="C92" s="1308"/>
      <c r="D92" s="1308"/>
      <c r="E92" s="1308"/>
      <c r="F92" s="1308"/>
      <c r="G92" s="1308"/>
      <c r="H92" s="1308"/>
      <c r="I92" s="1308"/>
      <c r="J92" s="1308"/>
      <c r="K92" s="1308"/>
      <c r="L92" s="1308"/>
      <c r="M92" s="1308"/>
      <c r="N92" s="1308"/>
      <c r="O92" s="1308"/>
      <c r="P92" s="1308"/>
      <c r="Q92" s="1308"/>
      <c r="R92" s="1308"/>
      <c r="S92" s="1308"/>
      <c r="T92" s="1308"/>
      <c r="U92" s="1308"/>
      <c r="V92" s="1308"/>
      <c r="W92" s="1308"/>
      <c r="X92" s="1308"/>
      <c r="Y92" s="1308"/>
      <c r="Z92" s="1308"/>
      <c r="AA92" s="1308"/>
      <c r="AB92" s="1308"/>
      <c r="AC92" s="1308"/>
      <c r="AD92" s="1308"/>
      <c r="AE92" s="1308"/>
      <c r="AF92" s="1308"/>
      <c r="AG92" s="1308"/>
      <c r="AH92" s="1308"/>
      <c r="AI92" s="1308"/>
      <c r="AJ92" s="1308"/>
      <c r="AK92" s="1308"/>
      <c r="AL92" s="1308"/>
      <c r="AM92" s="1308"/>
      <c r="AN92" s="1308"/>
      <c r="AO92" s="1308"/>
      <c r="AP92" s="1308"/>
      <c r="AQ92" s="1308"/>
      <c r="AR92" s="1308"/>
      <c r="AS92" s="1308"/>
      <c r="AT92" s="1308"/>
      <c r="AU92" s="1308"/>
      <c r="AV92" s="1308"/>
      <c r="AW92" s="1308"/>
      <c r="AX92" s="1308"/>
      <c r="AY92" s="1308"/>
      <c r="AZ92" s="1308"/>
      <c r="BA92" s="1308"/>
      <c r="BB92" s="1308"/>
      <c r="BC92" s="1308"/>
      <c r="BD92" s="1308"/>
      <c r="BE92" s="1308"/>
      <c r="BF92" s="1308"/>
      <c r="BG92" s="1308"/>
      <c r="BH92" s="1308"/>
      <c r="BI92" s="1308"/>
      <c r="BJ92" s="1308"/>
      <c r="BK92" s="1308"/>
    </row>
    <row r="93" spans="1:63">
      <c r="B93" s="1348" t="s">
        <v>646</v>
      </c>
      <c r="C93" s="1304">
        <f>C42</f>
        <v>-4778491.5</v>
      </c>
      <c r="D93" s="1305">
        <f t="shared" ref="D93:BK93" si="74">D42</f>
        <v>-30000.000000000004</v>
      </c>
      <c r="E93" s="1305">
        <f t="shared" si="74"/>
        <v>-30000.000000000004</v>
      </c>
      <c r="F93" s="1305">
        <f t="shared" si="74"/>
        <v>-30000.000000000004</v>
      </c>
      <c r="G93" s="1305">
        <f t="shared" si="74"/>
        <v>-30000.000000000004</v>
      </c>
      <c r="H93" s="1305">
        <f t="shared" si="74"/>
        <v>-30000.000000000004</v>
      </c>
      <c r="I93" s="1305">
        <f t="shared" si="74"/>
        <v>-30000.000000000004</v>
      </c>
      <c r="J93" s="1305">
        <f t="shared" si="74"/>
        <v>-1124576.6785714286</v>
      </c>
      <c r="K93" s="1305">
        <f t="shared" si="74"/>
        <v>-1124576.6785714286</v>
      </c>
      <c r="L93" s="1305">
        <f t="shared" si="74"/>
        <v>-352355.14285714476</v>
      </c>
      <c r="M93" s="1305">
        <f t="shared" si="74"/>
        <v>0</v>
      </c>
      <c r="N93" s="1305">
        <f t="shared" si="74"/>
        <v>0</v>
      </c>
      <c r="O93" s="1305">
        <f t="shared" si="74"/>
        <v>0</v>
      </c>
      <c r="P93" s="1305">
        <f t="shared" si="74"/>
        <v>0</v>
      </c>
      <c r="Q93" s="1305">
        <f t="shared" si="74"/>
        <v>0</v>
      </c>
      <c r="R93" s="1305">
        <f t="shared" si="74"/>
        <v>0</v>
      </c>
      <c r="S93" s="1305">
        <f t="shared" si="74"/>
        <v>0</v>
      </c>
      <c r="T93" s="1305">
        <f t="shared" si="74"/>
        <v>0</v>
      </c>
      <c r="U93" s="1305">
        <f t="shared" si="74"/>
        <v>0</v>
      </c>
      <c r="V93" s="1305">
        <f t="shared" si="74"/>
        <v>0</v>
      </c>
      <c r="W93" s="1305">
        <f t="shared" si="74"/>
        <v>0</v>
      </c>
      <c r="X93" s="1305">
        <f t="shared" si="74"/>
        <v>0</v>
      </c>
      <c r="Y93" s="1305">
        <f t="shared" si="74"/>
        <v>0</v>
      </c>
      <c r="Z93" s="1305">
        <f t="shared" si="74"/>
        <v>0</v>
      </c>
      <c r="AA93" s="1305">
        <f t="shared" si="74"/>
        <v>0</v>
      </c>
      <c r="AB93" s="1305">
        <f t="shared" si="74"/>
        <v>0</v>
      </c>
      <c r="AC93" s="1305">
        <f t="shared" si="74"/>
        <v>0</v>
      </c>
      <c r="AD93" s="1305">
        <f t="shared" si="74"/>
        <v>0</v>
      </c>
      <c r="AE93" s="1305">
        <f t="shared" si="74"/>
        <v>0</v>
      </c>
      <c r="AF93" s="1305">
        <f t="shared" si="74"/>
        <v>0</v>
      </c>
      <c r="AG93" s="1305">
        <f t="shared" si="74"/>
        <v>0</v>
      </c>
      <c r="AH93" s="1305">
        <f t="shared" si="74"/>
        <v>0</v>
      </c>
      <c r="AI93" s="1305">
        <f t="shared" si="74"/>
        <v>0</v>
      </c>
      <c r="AJ93" s="1305">
        <f t="shared" si="74"/>
        <v>0</v>
      </c>
      <c r="AK93" s="1305">
        <f t="shared" si="74"/>
        <v>0</v>
      </c>
      <c r="AL93" s="1305">
        <f t="shared" si="74"/>
        <v>0</v>
      </c>
      <c r="AM93" s="1305">
        <f t="shared" si="74"/>
        <v>0</v>
      </c>
      <c r="AN93" s="1305">
        <f t="shared" si="74"/>
        <v>0</v>
      </c>
      <c r="AO93" s="1305">
        <f t="shared" si="74"/>
        <v>0</v>
      </c>
      <c r="AP93" s="1305">
        <f t="shared" si="74"/>
        <v>0</v>
      </c>
      <c r="AQ93" s="1305">
        <f t="shared" si="74"/>
        <v>0</v>
      </c>
      <c r="AR93" s="1305">
        <f t="shared" si="74"/>
        <v>0</v>
      </c>
      <c r="AS93" s="1305">
        <f t="shared" si="74"/>
        <v>0</v>
      </c>
      <c r="AT93" s="1305">
        <f t="shared" si="74"/>
        <v>0</v>
      </c>
      <c r="AU93" s="1305">
        <f t="shared" si="74"/>
        <v>0</v>
      </c>
      <c r="AV93" s="1305">
        <f t="shared" si="74"/>
        <v>0</v>
      </c>
      <c r="AW93" s="1305">
        <f t="shared" si="74"/>
        <v>0</v>
      </c>
      <c r="AX93" s="1305">
        <f t="shared" si="74"/>
        <v>0</v>
      </c>
      <c r="AY93" s="1305">
        <f t="shared" si="74"/>
        <v>0</v>
      </c>
      <c r="AZ93" s="1305">
        <f t="shared" si="74"/>
        <v>0</v>
      </c>
      <c r="BA93" s="1305">
        <f t="shared" si="74"/>
        <v>0</v>
      </c>
      <c r="BB93" s="1305">
        <f t="shared" si="74"/>
        <v>0</v>
      </c>
      <c r="BC93" s="1305">
        <f t="shared" si="74"/>
        <v>0</v>
      </c>
      <c r="BD93" s="1305">
        <f t="shared" si="74"/>
        <v>0</v>
      </c>
      <c r="BE93" s="1305">
        <f t="shared" si="74"/>
        <v>0</v>
      </c>
      <c r="BF93" s="1305">
        <f t="shared" si="74"/>
        <v>0</v>
      </c>
      <c r="BG93" s="1305">
        <f t="shared" si="74"/>
        <v>0</v>
      </c>
      <c r="BH93" s="1305">
        <f t="shared" si="74"/>
        <v>0</v>
      </c>
      <c r="BI93" s="1305">
        <f t="shared" si="74"/>
        <v>0</v>
      </c>
      <c r="BJ93" s="1305">
        <f t="shared" si="74"/>
        <v>0</v>
      </c>
      <c r="BK93" s="1305">
        <f t="shared" si="74"/>
        <v>0</v>
      </c>
    </row>
    <row r="94" spans="1:63">
      <c r="B94" s="1349" t="s">
        <v>647</v>
      </c>
      <c r="C94" s="1309">
        <f>C48+C67+C81+C87</f>
        <v>0</v>
      </c>
      <c r="D94" s="1284">
        <f t="shared" ref="D94:BK94" si="75">D48+D67+D81+D87</f>
        <v>0</v>
      </c>
      <c r="E94" s="1284">
        <f t="shared" si="75"/>
        <v>0</v>
      </c>
      <c r="F94" s="1284">
        <f t="shared" si="75"/>
        <v>0</v>
      </c>
      <c r="G94" s="1284">
        <f t="shared" si="75"/>
        <v>0</v>
      </c>
      <c r="H94" s="1284">
        <f t="shared" si="75"/>
        <v>0</v>
      </c>
      <c r="I94" s="1284">
        <f t="shared" si="75"/>
        <v>0</v>
      </c>
      <c r="J94" s="1284">
        <f t="shared" si="75"/>
        <v>0</v>
      </c>
      <c r="K94" s="1284">
        <f t="shared" si="75"/>
        <v>0</v>
      </c>
      <c r="L94" s="1284">
        <f t="shared" si="75"/>
        <v>0</v>
      </c>
      <c r="M94" s="1284">
        <f t="shared" si="75"/>
        <v>0</v>
      </c>
      <c r="N94" s="1284">
        <f t="shared" si="75"/>
        <v>0</v>
      </c>
      <c r="O94" s="1284">
        <f t="shared" si="75"/>
        <v>0</v>
      </c>
      <c r="P94" s="1284">
        <f t="shared" si="75"/>
        <v>0</v>
      </c>
      <c r="Q94" s="1284">
        <f t="shared" si="75"/>
        <v>0</v>
      </c>
      <c r="R94" s="1284">
        <f t="shared" si="75"/>
        <v>0</v>
      </c>
      <c r="S94" s="1284">
        <f t="shared" si="75"/>
        <v>0</v>
      </c>
      <c r="T94" s="1284">
        <f t="shared" si="75"/>
        <v>0</v>
      </c>
      <c r="U94" s="1284">
        <f t="shared" si="75"/>
        <v>0</v>
      </c>
      <c r="V94" s="1284">
        <f t="shared" si="75"/>
        <v>0</v>
      </c>
      <c r="W94" s="1284">
        <f t="shared" si="75"/>
        <v>0</v>
      </c>
      <c r="X94" s="1284">
        <f t="shared" si="75"/>
        <v>0</v>
      </c>
      <c r="Y94" s="1284">
        <f t="shared" si="75"/>
        <v>0</v>
      </c>
      <c r="Z94" s="1284">
        <f t="shared" si="75"/>
        <v>0</v>
      </c>
      <c r="AA94" s="1284">
        <f t="shared" si="75"/>
        <v>0</v>
      </c>
      <c r="AB94" s="1284">
        <f t="shared" si="75"/>
        <v>0</v>
      </c>
      <c r="AC94" s="1284">
        <f t="shared" si="75"/>
        <v>19674.794021819045</v>
      </c>
      <c r="AD94" s="1284">
        <f t="shared" si="75"/>
        <v>49092.557503954224</v>
      </c>
      <c r="AE94" s="1284">
        <f t="shared" si="75"/>
        <v>52032.827507509624</v>
      </c>
      <c r="AF94" s="1284">
        <f t="shared" si="75"/>
        <v>52032.827507509624</v>
      </c>
      <c r="AG94" s="1284">
        <f t="shared" si="75"/>
        <v>52032.827507509624</v>
      </c>
      <c r="AH94" s="1284">
        <f t="shared" si="75"/>
        <v>52032.827507509624</v>
      </c>
      <c r="AI94" s="1284">
        <f t="shared" si="75"/>
        <v>52032.827507509624</v>
      </c>
      <c r="AJ94" s="1284">
        <f t="shared" si="75"/>
        <v>52032.827507509624</v>
      </c>
      <c r="AK94" s="1284">
        <f t="shared" si="75"/>
        <v>52032.827507509624</v>
      </c>
      <c r="AL94" s="1284">
        <f t="shared" si="75"/>
        <v>52032.827507509624</v>
      </c>
      <c r="AM94" s="1284">
        <f t="shared" si="75"/>
        <v>11271333.679908337</v>
      </c>
      <c r="AN94" s="1284">
        <f t="shared" si="75"/>
        <v>0</v>
      </c>
      <c r="AO94" s="1284">
        <f t="shared" si="75"/>
        <v>0</v>
      </c>
      <c r="AP94" s="1284">
        <f t="shared" si="75"/>
        <v>0</v>
      </c>
      <c r="AQ94" s="1284">
        <f t="shared" si="75"/>
        <v>0</v>
      </c>
      <c r="AR94" s="1284">
        <f t="shared" si="75"/>
        <v>0</v>
      </c>
      <c r="AS94" s="1284">
        <f t="shared" si="75"/>
        <v>0</v>
      </c>
      <c r="AT94" s="1284">
        <f t="shared" si="75"/>
        <v>0</v>
      </c>
      <c r="AU94" s="1284">
        <f t="shared" si="75"/>
        <v>0</v>
      </c>
      <c r="AV94" s="1284">
        <f t="shared" si="75"/>
        <v>0</v>
      </c>
      <c r="AW94" s="1284">
        <f t="shared" si="75"/>
        <v>0</v>
      </c>
      <c r="AX94" s="1284">
        <f t="shared" si="75"/>
        <v>0</v>
      </c>
      <c r="AY94" s="1284">
        <f t="shared" si="75"/>
        <v>0</v>
      </c>
      <c r="AZ94" s="1284">
        <f t="shared" si="75"/>
        <v>0</v>
      </c>
      <c r="BA94" s="1284">
        <f t="shared" si="75"/>
        <v>0</v>
      </c>
      <c r="BB94" s="1284">
        <f t="shared" si="75"/>
        <v>0</v>
      </c>
      <c r="BC94" s="1284">
        <f t="shared" si="75"/>
        <v>0</v>
      </c>
      <c r="BD94" s="1284">
        <f t="shared" si="75"/>
        <v>0</v>
      </c>
      <c r="BE94" s="1284">
        <f t="shared" si="75"/>
        <v>0</v>
      </c>
      <c r="BF94" s="1284">
        <f t="shared" si="75"/>
        <v>0</v>
      </c>
      <c r="BG94" s="1284">
        <f t="shared" si="75"/>
        <v>0</v>
      </c>
      <c r="BH94" s="1284">
        <f t="shared" si="75"/>
        <v>0</v>
      </c>
      <c r="BI94" s="1284">
        <f t="shared" si="75"/>
        <v>0</v>
      </c>
      <c r="BJ94" s="1284">
        <f t="shared" si="75"/>
        <v>0</v>
      </c>
      <c r="BK94" s="1284">
        <f t="shared" si="75"/>
        <v>0</v>
      </c>
    </row>
    <row r="95" spans="1:63">
      <c r="B95" s="1362" t="s">
        <v>648</v>
      </c>
      <c r="C95" s="1313">
        <f>SUM(C93:C94)</f>
        <v>-4778491.5</v>
      </c>
      <c r="D95" s="1314">
        <f t="shared" ref="D95:BK95" si="76">SUM(D93:D94)</f>
        <v>-30000.000000000004</v>
      </c>
      <c r="E95" s="1314">
        <f t="shared" si="76"/>
        <v>-30000.000000000004</v>
      </c>
      <c r="F95" s="1314">
        <f t="shared" si="76"/>
        <v>-30000.000000000004</v>
      </c>
      <c r="G95" s="1314">
        <f t="shared" si="76"/>
        <v>-30000.000000000004</v>
      </c>
      <c r="H95" s="1314">
        <f t="shared" si="76"/>
        <v>-30000.000000000004</v>
      </c>
      <c r="I95" s="1314">
        <f t="shared" si="76"/>
        <v>-30000.000000000004</v>
      </c>
      <c r="J95" s="1314">
        <f t="shared" si="76"/>
        <v>-1124576.6785714286</v>
      </c>
      <c r="K95" s="1314">
        <f t="shared" si="76"/>
        <v>-1124576.6785714286</v>
      </c>
      <c r="L95" s="1314">
        <f t="shared" si="76"/>
        <v>-352355.14285714476</v>
      </c>
      <c r="M95" s="1314">
        <f t="shared" si="76"/>
        <v>0</v>
      </c>
      <c r="N95" s="1314">
        <f t="shared" si="76"/>
        <v>0</v>
      </c>
      <c r="O95" s="1314">
        <f t="shared" si="76"/>
        <v>0</v>
      </c>
      <c r="P95" s="1314">
        <f t="shared" si="76"/>
        <v>0</v>
      </c>
      <c r="Q95" s="1314">
        <f t="shared" si="76"/>
        <v>0</v>
      </c>
      <c r="R95" s="1314">
        <f t="shared" si="76"/>
        <v>0</v>
      </c>
      <c r="S95" s="1314">
        <f t="shared" si="76"/>
        <v>0</v>
      </c>
      <c r="T95" s="1314">
        <f t="shared" si="76"/>
        <v>0</v>
      </c>
      <c r="U95" s="1314">
        <f t="shared" si="76"/>
        <v>0</v>
      </c>
      <c r="V95" s="1314">
        <f t="shared" si="76"/>
        <v>0</v>
      </c>
      <c r="W95" s="1314">
        <f t="shared" si="76"/>
        <v>0</v>
      </c>
      <c r="X95" s="1314">
        <f t="shared" si="76"/>
        <v>0</v>
      </c>
      <c r="Y95" s="1314">
        <f t="shared" si="76"/>
        <v>0</v>
      </c>
      <c r="Z95" s="1314">
        <f t="shared" si="76"/>
        <v>0</v>
      </c>
      <c r="AA95" s="1314">
        <f t="shared" si="76"/>
        <v>0</v>
      </c>
      <c r="AB95" s="1314">
        <f t="shared" si="76"/>
        <v>0</v>
      </c>
      <c r="AC95" s="1314">
        <f t="shared" si="76"/>
        <v>19674.794021819045</v>
      </c>
      <c r="AD95" s="1314">
        <f t="shared" si="76"/>
        <v>49092.557503954224</v>
      </c>
      <c r="AE95" s="1314">
        <f t="shared" si="76"/>
        <v>52032.827507509624</v>
      </c>
      <c r="AF95" s="1314">
        <f t="shared" si="76"/>
        <v>52032.827507509624</v>
      </c>
      <c r="AG95" s="1314">
        <f t="shared" si="76"/>
        <v>52032.827507509624</v>
      </c>
      <c r="AH95" s="1314">
        <f t="shared" si="76"/>
        <v>52032.827507509624</v>
      </c>
      <c r="AI95" s="1314">
        <f t="shared" si="76"/>
        <v>52032.827507509624</v>
      </c>
      <c r="AJ95" s="1314">
        <f t="shared" si="76"/>
        <v>52032.827507509624</v>
      </c>
      <c r="AK95" s="1314">
        <f t="shared" si="76"/>
        <v>52032.827507509624</v>
      </c>
      <c r="AL95" s="1314">
        <f t="shared" si="76"/>
        <v>52032.827507509624</v>
      </c>
      <c r="AM95" s="1314">
        <f t="shared" si="76"/>
        <v>11271333.679908337</v>
      </c>
      <c r="AN95" s="1314">
        <f t="shared" si="76"/>
        <v>0</v>
      </c>
      <c r="AO95" s="1314">
        <f t="shared" si="76"/>
        <v>0</v>
      </c>
      <c r="AP95" s="1314">
        <f t="shared" si="76"/>
        <v>0</v>
      </c>
      <c r="AQ95" s="1314">
        <f t="shared" si="76"/>
        <v>0</v>
      </c>
      <c r="AR95" s="1314">
        <f t="shared" si="76"/>
        <v>0</v>
      </c>
      <c r="AS95" s="1314">
        <f t="shared" si="76"/>
        <v>0</v>
      </c>
      <c r="AT95" s="1314">
        <f t="shared" si="76"/>
        <v>0</v>
      </c>
      <c r="AU95" s="1314">
        <f t="shared" si="76"/>
        <v>0</v>
      </c>
      <c r="AV95" s="1314">
        <f t="shared" si="76"/>
        <v>0</v>
      </c>
      <c r="AW95" s="1314">
        <f t="shared" si="76"/>
        <v>0</v>
      </c>
      <c r="AX95" s="1314">
        <f t="shared" si="76"/>
        <v>0</v>
      </c>
      <c r="AY95" s="1314">
        <f t="shared" si="76"/>
        <v>0</v>
      </c>
      <c r="AZ95" s="1314">
        <f t="shared" si="76"/>
        <v>0</v>
      </c>
      <c r="BA95" s="1314">
        <f t="shared" si="76"/>
        <v>0</v>
      </c>
      <c r="BB95" s="1314">
        <f t="shared" si="76"/>
        <v>0</v>
      </c>
      <c r="BC95" s="1314">
        <f t="shared" si="76"/>
        <v>0</v>
      </c>
      <c r="BD95" s="1314">
        <f t="shared" si="76"/>
        <v>0</v>
      </c>
      <c r="BE95" s="1314">
        <f t="shared" si="76"/>
        <v>0</v>
      </c>
      <c r="BF95" s="1314">
        <f t="shared" si="76"/>
        <v>0</v>
      </c>
      <c r="BG95" s="1314">
        <f t="shared" si="76"/>
        <v>0</v>
      </c>
      <c r="BH95" s="1314">
        <f t="shared" si="76"/>
        <v>0</v>
      </c>
      <c r="BI95" s="1314">
        <f t="shared" si="76"/>
        <v>0</v>
      </c>
      <c r="BJ95" s="1314">
        <f t="shared" si="76"/>
        <v>0</v>
      </c>
      <c r="BK95" s="1314">
        <f t="shared" si="76"/>
        <v>0</v>
      </c>
    </row>
    <row r="96" spans="1:63">
      <c r="B96" s="1364" t="s">
        <v>624</v>
      </c>
      <c r="C96" s="1315">
        <f>IFERROR(XIRR(C95:BK95,$C$12:$BK$12),0)</f>
        <v>0.17335181832313543</v>
      </c>
      <c r="D96" s="1284"/>
      <c r="E96" s="1284"/>
      <c r="F96" s="1284"/>
      <c r="G96" s="1284"/>
      <c r="H96" s="1284"/>
      <c r="I96" s="1284"/>
      <c r="J96" s="1284"/>
      <c r="K96" s="1284"/>
      <c r="L96" s="1284"/>
      <c r="M96" s="1284"/>
      <c r="N96" s="1284"/>
      <c r="O96" s="1284"/>
      <c r="P96" s="1284"/>
      <c r="Q96" s="1284"/>
      <c r="R96" s="1284"/>
      <c r="S96" s="1284"/>
      <c r="T96" s="1284"/>
      <c r="U96" s="1284"/>
      <c r="V96" s="1284"/>
      <c r="W96" s="1284"/>
      <c r="X96" s="1284"/>
      <c r="Y96" s="1284"/>
      <c r="Z96" s="1284"/>
      <c r="AA96" s="1284"/>
      <c r="AB96" s="1284"/>
      <c r="AC96" s="1284"/>
      <c r="AD96" s="1284"/>
      <c r="AE96" s="1284"/>
      <c r="AF96" s="1284"/>
      <c r="AG96" s="1284"/>
      <c r="AH96" s="1284"/>
      <c r="AI96" s="1284"/>
      <c r="AJ96" s="1284"/>
      <c r="AK96" s="1284"/>
      <c r="AL96" s="1284"/>
      <c r="AM96" s="1284"/>
      <c r="AN96" s="1284"/>
      <c r="AO96" s="1284"/>
      <c r="AP96" s="1284"/>
      <c r="AQ96" s="1284"/>
      <c r="AR96" s="1284"/>
      <c r="AS96" s="1284"/>
      <c r="AT96" s="1284"/>
      <c r="AU96" s="1284"/>
      <c r="AV96" s="1284"/>
      <c r="AW96" s="1284"/>
      <c r="AX96" s="1284"/>
      <c r="AY96" s="1284"/>
      <c r="AZ96" s="1284"/>
      <c r="BA96" s="1284"/>
      <c r="BB96" s="1284"/>
      <c r="BC96" s="1284"/>
      <c r="BD96" s="1284"/>
      <c r="BE96" s="1284"/>
      <c r="BF96" s="1284"/>
      <c r="BG96" s="1284"/>
      <c r="BH96" s="1284"/>
      <c r="BI96" s="1284"/>
      <c r="BJ96" s="1284"/>
      <c r="BK96" s="1284"/>
    </row>
    <row r="97" spans="2:63">
      <c r="B97" s="1365" t="s">
        <v>626</v>
      </c>
      <c r="C97" s="1316">
        <f>IFERROR(SUMIF(C95:BK95,"&gt;"&amp;0,C95:BK95)/ABS(SUMIF(C95:BK95,"&lt;"&amp;0,C95:BK95)),0)</f>
        <v>1.5550745570759501</v>
      </c>
      <c r="D97" s="1284"/>
      <c r="E97" s="1284"/>
      <c r="F97" s="1284"/>
      <c r="G97" s="1284"/>
      <c r="H97" s="1284"/>
      <c r="I97" s="1284"/>
      <c r="J97" s="1284"/>
      <c r="K97" s="1284"/>
      <c r="L97" s="1284"/>
      <c r="M97" s="1284"/>
      <c r="N97" s="1284"/>
      <c r="O97" s="1284"/>
      <c r="P97" s="1284"/>
      <c r="Q97" s="1284"/>
      <c r="R97" s="1284"/>
      <c r="S97" s="1284"/>
      <c r="T97" s="1284"/>
      <c r="U97" s="1284"/>
      <c r="V97" s="1284"/>
      <c r="W97" s="1284"/>
      <c r="X97" s="1284"/>
      <c r="Y97" s="1284"/>
      <c r="Z97" s="1284"/>
      <c r="AA97" s="1284"/>
      <c r="AB97" s="1284"/>
      <c r="AC97" s="1284"/>
      <c r="AD97" s="1284"/>
      <c r="AE97" s="1284"/>
      <c r="AF97" s="1284"/>
      <c r="AG97" s="1284"/>
      <c r="AH97" s="1284"/>
      <c r="AI97" s="1284"/>
      <c r="AJ97" s="1284"/>
      <c r="AK97" s="1284"/>
      <c r="AL97" s="1284"/>
      <c r="AM97" s="1284"/>
      <c r="AN97" s="1284"/>
      <c r="AO97" s="1284"/>
      <c r="AP97" s="1284"/>
      <c r="AQ97" s="1284"/>
      <c r="AR97" s="1284"/>
      <c r="AS97" s="1284"/>
      <c r="AT97" s="1284"/>
      <c r="AU97" s="1284"/>
      <c r="AV97" s="1284"/>
      <c r="AW97" s="1284"/>
      <c r="AX97" s="1284"/>
      <c r="AY97" s="1284"/>
      <c r="AZ97" s="1284"/>
      <c r="BA97" s="1284"/>
      <c r="BB97" s="1284"/>
      <c r="BC97" s="1284"/>
      <c r="BD97" s="1284"/>
      <c r="BE97" s="1284"/>
      <c r="BF97" s="1284"/>
      <c r="BG97" s="1284"/>
      <c r="BH97" s="1284"/>
      <c r="BI97" s="1284"/>
      <c r="BJ97" s="1284"/>
      <c r="BK97" s="1284"/>
    </row>
    <row r="98" spans="2:63">
      <c r="B98" s="1355"/>
      <c r="C98" s="1284"/>
      <c r="D98" s="1284"/>
      <c r="E98" s="1284"/>
      <c r="F98" s="1284"/>
      <c r="G98" s="1284"/>
      <c r="H98" s="1284"/>
      <c r="I98" s="1284"/>
      <c r="J98" s="1284"/>
      <c r="K98" s="1284"/>
      <c r="L98" s="1284"/>
      <c r="M98" s="1284"/>
      <c r="N98" s="1284"/>
      <c r="O98" s="1284"/>
      <c r="P98" s="1284"/>
      <c r="Q98" s="1284"/>
      <c r="R98" s="1284"/>
      <c r="S98" s="1284"/>
      <c r="T98" s="1284"/>
      <c r="U98" s="1284"/>
      <c r="V98" s="1284"/>
      <c r="W98" s="1284"/>
      <c r="X98" s="1284"/>
      <c r="Y98" s="1284"/>
      <c r="Z98" s="1284"/>
      <c r="AA98" s="1284"/>
      <c r="AB98" s="1284"/>
      <c r="AC98" s="1284"/>
      <c r="AD98" s="1284"/>
      <c r="AE98" s="1284"/>
      <c r="AF98" s="1284"/>
      <c r="AG98" s="1284"/>
      <c r="AH98" s="1284"/>
      <c r="AI98" s="1284"/>
      <c r="AJ98" s="1284"/>
      <c r="AK98" s="1284"/>
      <c r="AL98" s="1284"/>
      <c r="AM98" s="1284"/>
      <c r="AN98" s="1284"/>
      <c r="AO98" s="1284"/>
      <c r="AP98" s="1284"/>
      <c r="AQ98" s="1284"/>
      <c r="AR98" s="1284"/>
      <c r="AS98" s="1284"/>
      <c r="AT98" s="1284"/>
      <c r="AU98" s="1284"/>
      <c r="AV98" s="1284"/>
      <c r="AW98" s="1284"/>
      <c r="AX98" s="1284"/>
      <c r="AY98" s="1284"/>
      <c r="AZ98" s="1284"/>
      <c r="BA98" s="1284"/>
      <c r="BB98" s="1284"/>
      <c r="BC98" s="1284"/>
      <c r="BD98" s="1284"/>
      <c r="BE98" s="1284"/>
      <c r="BF98" s="1284"/>
      <c r="BG98" s="1284"/>
      <c r="BH98" s="1284"/>
      <c r="BI98" s="1284"/>
      <c r="BJ98" s="1284"/>
      <c r="BK98" s="1284"/>
    </row>
    <row r="99" spans="2:63">
      <c r="B99" s="1360" t="s">
        <v>649</v>
      </c>
      <c r="C99" s="1308"/>
      <c r="D99" s="1308"/>
      <c r="E99" s="1308"/>
      <c r="F99" s="1308"/>
      <c r="G99" s="1308"/>
      <c r="H99" s="1308"/>
      <c r="I99" s="1308"/>
      <c r="J99" s="1308"/>
      <c r="K99" s="1308"/>
      <c r="L99" s="1308"/>
      <c r="M99" s="1308"/>
      <c r="N99" s="1308"/>
      <c r="O99" s="1308"/>
      <c r="P99" s="1308"/>
      <c r="Q99" s="1308"/>
      <c r="R99" s="1308"/>
      <c r="S99" s="1308"/>
      <c r="T99" s="1308"/>
      <c r="U99" s="1308"/>
      <c r="V99" s="1308"/>
      <c r="W99" s="1308"/>
      <c r="X99" s="1308"/>
      <c r="Y99" s="1308"/>
      <c r="Z99" s="1308"/>
      <c r="AA99" s="1308"/>
      <c r="AB99" s="1308"/>
      <c r="AC99" s="1308"/>
      <c r="AD99" s="1308"/>
      <c r="AE99" s="1308"/>
      <c r="AF99" s="1308"/>
      <c r="AG99" s="1308"/>
      <c r="AH99" s="1308"/>
      <c r="AI99" s="1308"/>
      <c r="AJ99" s="1308"/>
      <c r="AK99" s="1308"/>
      <c r="AL99" s="1308"/>
      <c r="AM99" s="1308"/>
      <c r="AN99" s="1308"/>
      <c r="AO99" s="1308"/>
      <c r="AP99" s="1308"/>
      <c r="AQ99" s="1308"/>
      <c r="AR99" s="1308"/>
      <c r="AS99" s="1308"/>
      <c r="AT99" s="1308"/>
      <c r="AU99" s="1308"/>
      <c r="AV99" s="1308"/>
      <c r="AW99" s="1308"/>
      <c r="AX99" s="1308"/>
      <c r="AY99" s="1308"/>
      <c r="AZ99" s="1308"/>
      <c r="BA99" s="1308"/>
      <c r="BB99" s="1308"/>
      <c r="BC99" s="1308"/>
      <c r="BD99" s="1308"/>
      <c r="BE99" s="1308"/>
      <c r="BF99" s="1308"/>
      <c r="BG99" s="1308"/>
      <c r="BH99" s="1308"/>
      <c r="BI99" s="1308"/>
      <c r="BJ99" s="1308"/>
      <c r="BK99" s="1308"/>
    </row>
    <row r="100" spans="2:63">
      <c r="B100" s="1348" t="s">
        <v>646</v>
      </c>
      <c r="C100" s="1304">
        <f>C41</f>
        <v>-530943.5</v>
      </c>
      <c r="D100" s="1305">
        <f t="shared" ref="D100:BK100" si="77">D41</f>
        <v>-3333.3333333333339</v>
      </c>
      <c r="E100" s="1305">
        <f t="shared" si="77"/>
        <v>-3333.3333333333339</v>
      </c>
      <c r="F100" s="1305">
        <f t="shared" si="77"/>
        <v>-3333.3333333333339</v>
      </c>
      <c r="G100" s="1305">
        <f t="shared" si="77"/>
        <v>-3333.3333333333339</v>
      </c>
      <c r="H100" s="1305">
        <f t="shared" si="77"/>
        <v>-3333.3333333333339</v>
      </c>
      <c r="I100" s="1305">
        <f t="shared" si="77"/>
        <v>-3333.3333333333339</v>
      </c>
      <c r="J100" s="1305">
        <f t="shared" si="77"/>
        <v>-124952.9642857143</v>
      </c>
      <c r="K100" s="1305">
        <f t="shared" si="77"/>
        <v>-124952.9642857143</v>
      </c>
      <c r="L100" s="1305">
        <f t="shared" si="77"/>
        <v>-39150.571428571646</v>
      </c>
      <c r="M100" s="1305">
        <f t="shared" si="77"/>
        <v>0</v>
      </c>
      <c r="N100" s="1305">
        <f t="shared" si="77"/>
        <v>0</v>
      </c>
      <c r="O100" s="1305">
        <f t="shared" si="77"/>
        <v>0</v>
      </c>
      <c r="P100" s="1305">
        <f t="shared" si="77"/>
        <v>0</v>
      </c>
      <c r="Q100" s="1305">
        <f t="shared" si="77"/>
        <v>0</v>
      </c>
      <c r="R100" s="1305">
        <f t="shared" si="77"/>
        <v>0</v>
      </c>
      <c r="S100" s="1305">
        <f t="shared" si="77"/>
        <v>0</v>
      </c>
      <c r="T100" s="1305">
        <f t="shared" si="77"/>
        <v>0</v>
      </c>
      <c r="U100" s="1305">
        <f t="shared" si="77"/>
        <v>0</v>
      </c>
      <c r="V100" s="1305">
        <f t="shared" si="77"/>
        <v>0</v>
      </c>
      <c r="W100" s="1305">
        <f t="shared" si="77"/>
        <v>0</v>
      </c>
      <c r="X100" s="1305">
        <f t="shared" si="77"/>
        <v>0</v>
      </c>
      <c r="Y100" s="1305">
        <f t="shared" si="77"/>
        <v>0</v>
      </c>
      <c r="Z100" s="1305">
        <f t="shared" si="77"/>
        <v>0</v>
      </c>
      <c r="AA100" s="1305">
        <f t="shared" si="77"/>
        <v>0</v>
      </c>
      <c r="AB100" s="1305">
        <f t="shared" si="77"/>
        <v>0</v>
      </c>
      <c r="AC100" s="1305">
        <f t="shared" si="77"/>
        <v>0</v>
      </c>
      <c r="AD100" s="1305">
        <f t="shared" si="77"/>
        <v>0</v>
      </c>
      <c r="AE100" s="1305">
        <f t="shared" si="77"/>
        <v>0</v>
      </c>
      <c r="AF100" s="1305">
        <f t="shared" si="77"/>
        <v>0</v>
      </c>
      <c r="AG100" s="1305">
        <f t="shared" si="77"/>
        <v>0</v>
      </c>
      <c r="AH100" s="1305">
        <f t="shared" si="77"/>
        <v>0</v>
      </c>
      <c r="AI100" s="1305">
        <f t="shared" si="77"/>
        <v>0</v>
      </c>
      <c r="AJ100" s="1305">
        <f t="shared" si="77"/>
        <v>0</v>
      </c>
      <c r="AK100" s="1305">
        <f t="shared" si="77"/>
        <v>0</v>
      </c>
      <c r="AL100" s="1305">
        <f t="shared" si="77"/>
        <v>0</v>
      </c>
      <c r="AM100" s="1305">
        <f t="shared" si="77"/>
        <v>0</v>
      </c>
      <c r="AN100" s="1305">
        <f t="shared" si="77"/>
        <v>0</v>
      </c>
      <c r="AO100" s="1305">
        <f t="shared" si="77"/>
        <v>0</v>
      </c>
      <c r="AP100" s="1305">
        <f t="shared" si="77"/>
        <v>0</v>
      </c>
      <c r="AQ100" s="1305">
        <f t="shared" si="77"/>
        <v>0</v>
      </c>
      <c r="AR100" s="1305">
        <f t="shared" si="77"/>
        <v>0</v>
      </c>
      <c r="AS100" s="1305">
        <f t="shared" si="77"/>
        <v>0</v>
      </c>
      <c r="AT100" s="1305">
        <f t="shared" si="77"/>
        <v>0</v>
      </c>
      <c r="AU100" s="1305">
        <f t="shared" si="77"/>
        <v>0</v>
      </c>
      <c r="AV100" s="1305">
        <f t="shared" si="77"/>
        <v>0</v>
      </c>
      <c r="AW100" s="1305">
        <f t="shared" si="77"/>
        <v>0</v>
      </c>
      <c r="AX100" s="1305">
        <f t="shared" si="77"/>
        <v>0</v>
      </c>
      <c r="AY100" s="1305">
        <f t="shared" si="77"/>
        <v>0</v>
      </c>
      <c r="AZ100" s="1305">
        <f t="shared" si="77"/>
        <v>0</v>
      </c>
      <c r="BA100" s="1305">
        <f t="shared" si="77"/>
        <v>0</v>
      </c>
      <c r="BB100" s="1305">
        <f t="shared" si="77"/>
        <v>0</v>
      </c>
      <c r="BC100" s="1305">
        <f t="shared" si="77"/>
        <v>0</v>
      </c>
      <c r="BD100" s="1305">
        <f t="shared" si="77"/>
        <v>0</v>
      </c>
      <c r="BE100" s="1305">
        <f t="shared" si="77"/>
        <v>0</v>
      </c>
      <c r="BF100" s="1305">
        <f t="shared" si="77"/>
        <v>0</v>
      </c>
      <c r="BG100" s="1305">
        <f t="shared" si="77"/>
        <v>0</v>
      </c>
      <c r="BH100" s="1305">
        <f t="shared" si="77"/>
        <v>0</v>
      </c>
      <c r="BI100" s="1305">
        <f t="shared" si="77"/>
        <v>0</v>
      </c>
      <c r="BJ100" s="1305">
        <f t="shared" si="77"/>
        <v>0</v>
      </c>
      <c r="BK100" s="1305">
        <f t="shared" si="77"/>
        <v>0</v>
      </c>
    </row>
    <row r="101" spans="2:63">
      <c r="B101" s="1349" t="s">
        <v>647</v>
      </c>
      <c r="C101" s="1309">
        <f>C53+C68+C82+C88</f>
        <v>0</v>
      </c>
      <c r="D101" s="1284">
        <f t="shared" ref="D101:BK101" si="78">D53+D68+D82+D88</f>
        <v>0</v>
      </c>
      <c r="E101" s="1284">
        <f t="shared" si="78"/>
        <v>0</v>
      </c>
      <c r="F101" s="1284">
        <f t="shared" si="78"/>
        <v>0</v>
      </c>
      <c r="G101" s="1284">
        <f t="shared" si="78"/>
        <v>0</v>
      </c>
      <c r="H101" s="1284">
        <f t="shared" si="78"/>
        <v>0</v>
      </c>
      <c r="I101" s="1284">
        <f t="shared" si="78"/>
        <v>0</v>
      </c>
      <c r="J101" s="1284">
        <f t="shared" si="78"/>
        <v>0</v>
      </c>
      <c r="K101" s="1284">
        <f t="shared" si="78"/>
        <v>0</v>
      </c>
      <c r="L101" s="1284">
        <f t="shared" si="78"/>
        <v>0</v>
      </c>
      <c r="M101" s="1284">
        <f t="shared" si="78"/>
        <v>0</v>
      </c>
      <c r="N101" s="1284">
        <f t="shared" si="78"/>
        <v>0</v>
      </c>
      <c r="O101" s="1284">
        <f t="shared" si="78"/>
        <v>0</v>
      </c>
      <c r="P101" s="1284">
        <f t="shared" si="78"/>
        <v>0</v>
      </c>
      <c r="Q101" s="1284">
        <f t="shared" si="78"/>
        <v>0</v>
      </c>
      <c r="R101" s="1284">
        <f t="shared" si="78"/>
        <v>0</v>
      </c>
      <c r="S101" s="1284">
        <f t="shared" si="78"/>
        <v>0</v>
      </c>
      <c r="T101" s="1284">
        <f t="shared" si="78"/>
        <v>0</v>
      </c>
      <c r="U101" s="1284">
        <f t="shared" si="78"/>
        <v>0</v>
      </c>
      <c r="V101" s="1284">
        <f t="shared" si="78"/>
        <v>0</v>
      </c>
      <c r="W101" s="1284">
        <f t="shared" si="78"/>
        <v>0</v>
      </c>
      <c r="X101" s="1284">
        <f t="shared" si="78"/>
        <v>0</v>
      </c>
      <c r="Y101" s="1284">
        <f t="shared" si="78"/>
        <v>0</v>
      </c>
      <c r="Z101" s="1284">
        <f t="shared" si="78"/>
        <v>0</v>
      </c>
      <c r="AA101" s="1284">
        <f t="shared" si="78"/>
        <v>0</v>
      </c>
      <c r="AB101" s="1284">
        <f t="shared" si="78"/>
        <v>0</v>
      </c>
      <c r="AC101" s="1284">
        <f t="shared" si="78"/>
        <v>2186.0882246465603</v>
      </c>
      <c r="AD101" s="1284">
        <f t="shared" si="78"/>
        <v>5454.7286115504694</v>
      </c>
      <c r="AE101" s="1284">
        <f t="shared" si="78"/>
        <v>5781.4252786121806</v>
      </c>
      <c r="AF101" s="1284">
        <f t="shared" si="78"/>
        <v>5781.4252786121806</v>
      </c>
      <c r="AG101" s="1284">
        <f t="shared" si="78"/>
        <v>5781.4252786121806</v>
      </c>
      <c r="AH101" s="1284">
        <f t="shared" si="78"/>
        <v>5781.4252786121806</v>
      </c>
      <c r="AI101" s="1284">
        <f t="shared" si="78"/>
        <v>5781.4252786121806</v>
      </c>
      <c r="AJ101" s="1284">
        <f t="shared" si="78"/>
        <v>5781.4252786121806</v>
      </c>
      <c r="AK101" s="1284">
        <f t="shared" si="78"/>
        <v>5781.4252786121806</v>
      </c>
      <c r="AL101" s="1284">
        <f t="shared" si="78"/>
        <v>5781.4252786121806</v>
      </c>
      <c r="AM101" s="1284">
        <f t="shared" si="78"/>
        <v>1913825.1906387627</v>
      </c>
      <c r="AN101" s="1284">
        <f t="shared" si="78"/>
        <v>0</v>
      </c>
      <c r="AO101" s="1284">
        <f t="shared" si="78"/>
        <v>0</v>
      </c>
      <c r="AP101" s="1284">
        <f t="shared" si="78"/>
        <v>0</v>
      </c>
      <c r="AQ101" s="1284">
        <f t="shared" si="78"/>
        <v>0</v>
      </c>
      <c r="AR101" s="1284">
        <f t="shared" si="78"/>
        <v>0</v>
      </c>
      <c r="AS101" s="1284">
        <f t="shared" si="78"/>
        <v>0</v>
      </c>
      <c r="AT101" s="1284">
        <f t="shared" si="78"/>
        <v>0</v>
      </c>
      <c r="AU101" s="1284">
        <f t="shared" si="78"/>
        <v>0</v>
      </c>
      <c r="AV101" s="1284">
        <f t="shared" si="78"/>
        <v>0</v>
      </c>
      <c r="AW101" s="1284">
        <f t="shared" si="78"/>
        <v>0</v>
      </c>
      <c r="AX101" s="1284">
        <f t="shared" si="78"/>
        <v>0</v>
      </c>
      <c r="AY101" s="1284">
        <f t="shared" si="78"/>
        <v>0</v>
      </c>
      <c r="AZ101" s="1284">
        <f t="shared" si="78"/>
        <v>0</v>
      </c>
      <c r="BA101" s="1284">
        <f t="shared" si="78"/>
        <v>0</v>
      </c>
      <c r="BB101" s="1284">
        <f t="shared" si="78"/>
        <v>0</v>
      </c>
      <c r="BC101" s="1284">
        <f t="shared" si="78"/>
        <v>0</v>
      </c>
      <c r="BD101" s="1284">
        <f t="shared" si="78"/>
        <v>0</v>
      </c>
      <c r="BE101" s="1284">
        <f t="shared" si="78"/>
        <v>0</v>
      </c>
      <c r="BF101" s="1284">
        <f t="shared" si="78"/>
        <v>0</v>
      </c>
      <c r="BG101" s="1284">
        <f t="shared" si="78"/>
        <v>0</v>
      </c>
      <c r="BH101" s="1284">
        <f t="shared" si="78"/>
        <v>0</v>
      </c>
      <c r="BI101" s="1284">
        <f t="shared" si="78"/>
        <v>0</v>
      </c>
      <c r="BJ101" s="1284">
        <f t="shared" si="78"/>
        <v>0</v>
      </c>
      <c r="BK101" s="1284">
        <f t="shared" si="78"/>
        <v>0</v>
      </c>
    </row>
    <row r="102" spans="2:63">
      <c r="B102" s="1362" t="s">
        <v>650</v>
      </c>
      <c r="C102" s="1313">
        <f>SUM(C100:C101)</f>
        <v>-530943.5</v>
      </c>
      <c r="D102" s="1314">
        <f t="shared" ref="D102:BK102" si="79">SUM(D100:D101)</f>
        <v>-3333.3333333333339</v>
      </c>
      <c r="E102" s="1314">
        <f t="shared" si="79"/>
        <v>-3333.3333333333339</v>
      </c>
      <c r="F102" s="1314">
        <f t="shared" si="79"/>
        <v>-3333.3333333333339</v>
      </c>
      <c r="G102" s="1314">
        <f t="shared" si="79"/>
        <v>-3333.3333333333339</v>
      </c>
      <c r="H102" s="1314">
        <f t="shared" si="79"/>
        <v>-3333.3333333333339</v>
      </c>
      <c r="I102" s="1314">
        <f t="shared" si="79"/>
        <v>-3333.3333333333339</v>
      </c>
      <c r="J102" s="1314">
        <f t="shared" si="79"/>
        <v>-124952.9642857143</v>
      </c>
      <c r="K102" s="1314">
        <f t="shared" si="79"/>
        <v>-124952.9642857143</v>
      </c>
      <c r="L102" s="1314">
        <f t="shared" si="79"/>
        <v>-39150.571428571646</v>
      </c>
      <c r="M102" s="1314">
        <f t="shared" si="79"/>
        <v>0</v>
      </c>
      <c r="N102" s="1314">
        <f t="shared" si="79"/>
        <v>0</v>
      </c>
      <c r="O102" s="1314">
        <f t="shared" si="79"/>
        <v>0</v>
      </c>
      <c r="P102" s="1314">
        <f t="shared" si="79"/>
        <v>0</v>
      </c>
      <c r="Q102" s="1314">
        <f t="shared" si="79"/>
        <v>0</v>
      </c>
      <c r="R102" s="1314">
        <f t="shared" si="79"/>
        <v>0</v>
      </c>
      <c r="S102" s="1314">
        <f t="shared" si="79"/>
        <v>0</v>
      </c>
      <c r="T102" s="1314">
        <f t="shared" si="79"/>
        <v>0</v>
      </c>
      <c r="U102" s="1314">
        <f t="shared" si="79"/>
        <v>0</v>
      </c>
      <c r="V102" s="1314">
        <f t="shared" si="79"/>
        <v>0</v>
      </c>
      <c r="W102" s="1314">
        <f t="shared" si="79"/>
        <v>0</v>
      </c>
      <c r="X102" s="1314">
        <f t="shared" si="79"/>
        <v>0</v>
      </c>
      <c r="Y102" s="1314">
        <f t="shared" si="79"/>
        <v>0</v>
      </c>
      <c r="Z102" s="1314">
        <f t="shared" si="79"/>
        <v>0</v>
      </c>
      <c r="AA102" s="1314">
        <f t="shared" si="79"/>
        <v>0</v>
      </c>
      <c r="AB102" s="1314">
        <f t="shared" si="79"/>
        <v>0</v>
      </c>
      <c r="AC102" s="1314">
        <f t="shared" si="79"/>
        <v>2186.0882246465603</v>
      </c>
      <c r="AD102" s="1314">
        <f t="shared" si="79"/>
        <v>5454.7286115504694</v>
      </c>
      <c r="AE102" s="1314">
        <f t="shared" si="79"/>
        <v>5781.4252786121806</v>
      </c>
      <c r="AF102" s="1314">
        <f t="shared" si="79"/>
        <v>5781.4252786121806</v>
      </c>
      <c r="AG102" s="1314">
        <f t="shared" si="79"/>
        <v>5781.4252786121806</v>
      </c>
      <c r="AH102" s="1314">
        <f t="shared" si="79"/>
        <v>5781.4252786121806</v>
      </c>
      <c r="AI102" s="1314">
        <f t="shared" si="79"/>
        <v>5781.4252786121806</v>
      </c>
      <c r="AJ102" s="1314">
        <f t="shared" si="79"/>
        <v>5781.4252786121806</v>
      </c>
      <c r="AK102" s="1314">
        <f t="shared" si="79"/>
        <v>5781.4252786121806</v>
      </c>
      <c r="AL102" s="1314">
        <f t="shared" si="79"/>
        <v>5781.4252786121806</v>
      </c>
      <c r="AM102" s="1314">
        <f t="shared" si="79"/>
        <v>1913825.1906387627</v>
      </c>
      <c r="AN102" s="1314">
        <f t="shared" si="79"/>
        <v>0</v>
      </c>
      <c r="AO102" s="1314">
        <f t="shared" si="79"/>
        <v>0</v>
      </c>
      <c r="AP102" s="1314">
        <f t="shared" si="79"/>
        <v>0</v>
      </c>
      <c r="AQ102" s="1314">
        <f t="shared" si="79"/>
        <v>0</v>
      </c>
      <c r="AR102" s="1314">
        <f t="shared" si="79"/>
        <v>0</v>
      </c>
      <c r="AS102" s="1314">
        <f t="shared" si="79"/>
        <v>0</v>
      </c>
      <c r="AT102" s="1314">
        <f t="shared" si="79"/>
        <v>0</v>
      </c>
      <c r="AU102" s="1314">
        <f t="shared" si="79"/>
        <v>0</v>
      </c>
      <c r="AV102" s="1314">
        <f t="shared" si="79"/>
        <v>0</v>
      </c>
      <c r="AW102" s="1314">
        <f t="shared" si="79"/>
        <v>0</v>
      </c>
      <c r="AX102" s="1314">
        <f t="shared" si="79"/>
        <v>0</v>
      </c>
      <c r="AY102" s="1314">
        <f t="shared" si="79"/>
        <v>0</v>
      </c>
      <c r="AZ102" s="1314">
        <f t="shared" si="79"/>
        <v>0</v>
      </c>
      <c r="BA102" s="1314">
        <f t="shared" si="79"/>
        <v>0</v>
      </c>
      <c r="BB102" s="1314">
        <f t="shared" si="79"/>
        <v>0</v>
      </c>
      <c r="BC102" s="1314">
        <f t="shared" si="79"/>
        <v>0</v>
      </c>
      <c r="BD102" s="1314">
        <f t="shared" si="79"/>
        <v>0</v>
      </c>
      <c r="BE102" s="1314">
        <f t="shared" si="79"/>
        <v>0</v>
      </c>
      <c r="BF102" s="1314">
        <f t="shared" si="79"/>
        <v>0</v>
      </c>
      <c r="BG102" s="1314">
        <f t="shared" si="79"/>
        <v>0</v>
      </c>
      <c r="BH102" s="1314">
        <f t="shared" si="79"/>
        <v>0</v>
      </c>
      <c r="BI102" s="1314">
        <f t="shared" si="79"/>
        <v>0</v>
      </c>
      <c r="BJ102" s="1314">
        <f t="shared" si="79"/>
        <v>0</v>
      </c>
      <c r="BK102" s="1314">
        <f t="shared" si="79"/>
        <v>0</v>
      </c>
    </row>
    <row r="103" spans="2:63">
      <c r="B103" s="1364" t="s">
        <v>627</v>
      </c>
      <c r="C103" s="1315">
        <f>IFERROR(XIRR(C102:BK102,$C$12:$BK$12),0)</f>
        <v>0.3591184794902802</v>
      </c>
      <c r="D103" s="1284"/>
      <c r="E103" s="1284"/>
      <c r="F103" s="1284"/>
      <c r="G103" s="1284"/>
      <c r="H103" s="1284"/>
      <c r="I103" s="1284"/>
      <c r="J103" s="1284"/>
      <c r="K103" s="1284"/>
      <c r="L103" s="1284"/>
      <c r="M103" s="1284"/>
      <c r="N103" s="1284"/>
      <c r="O103" s="1284"/>
      <c r="P103" s="1284"/>
      <c r="Q103" s="1284"/>
      <c r="R103" s="1284"/>
      <c r="S103" s="1284"/>
      <c r="T103" s="1284"/>
      <c r="U103" s="1284"/>
      <c r="V103" s="1284"/>
      <c r="W103" s="1284"/>
      <c r="X103" s="1284"/>
      <c r="Y103" s="1284"/>
      <c r="Z103" s="1284"/>
      <c r="AA103" s="1284"/>
      <c r="AB103" s="1284"/>
      <c r="AC103" s="1284"/>
      <c r="AD103" s="1284"/>
      <c r="AE103" s="1284"/>
      <c r="AF103" s="1284"/>
      <c r="AG103" s="1284"/>
      <c r="AH103" s="1284"/>
      <c r="AI103" s="1284"/>
      <c r="AJ103" s="1284"/>
      <c r="AK103" s="1284"/>
      <c r="AL103" s="1284"/>
      <c r="AM103" s="1284"/>
      <c r="AN103" s="1284"/>
      <c r="AO103" s="1284"/>
      <c r="AP103" s="1284"/>
      <c r="AQ103" s="1284"/>
      <c r="AR103" s="1284"/>
      <c r="AS103" s="1284"/>
      <c r="AT103" s="1284"/>
      <c r="AU103" s="1284"/>
      <c r="AV103" s="1284"/>
      <c r="AW103" s="1284"/>
      <c r="AX103" s="1284"/>
      <c r="AY103" s="1284"/>
      <c r="AZ103" s="1284"/>
      <c r="BA103" s="1284"/>
      <c r="BB103" s="1284"/>
      <c r="BC103" s="1284"/>
      <c r="BD103" s="1284"/>
      <c r="BE103" s="1284"/>
      <c r="BF103" s="1284"/>
      <c r="BG103" s="1284"/>
      <c r="BH103" s="1284"/>
      <c r="BI103" s="1284"/>
      <c r="BJ103" s="1284"/>
      <c r="BK103" s="1284"/>
    </row>
    <row r="104" spans="2:63">
      <c r="B104" s="1365" t="s">
        <v>629</v>
      </c>
      <c r="C104" s="1316">
        <f>IFERROR(SUMIF(C102:BK102,"&gt;"&amp;0,C102:BK102)/ABS(SUMIF(C102:BK102,"&lt;"&amp;0,C102:BK102)),0)</f>
        <v>2.3425207258379239</v>
      </c>
      <c r="D104" s="1284"/>
      <c r="E104" s="1284"/>
      <c r="F104" s="1284"/>
      <c r="G104" s="1284"/>
      <c r="H104" s="1284"/>
      <c r="I104" s="1284"/>
      <c r="J104" s="1284"/>
      <c r="K104" s="1284"/>
      <c r="L104" s="1284"/>
      <c r="M104" s="1284"/>
      <c r="N104" s="1284"/>
      <c r="O104" s="1284"/>
      <c r="P104" s="1284"/>
      <c r="Q104" s="1284"/>
      <c r="R104" s="1284"/>
      <c r="S104" s="1284"/>
      <c r="T104" s="1284"/>
      <c r="U104" s="1284"/>
      <c r="V104" s="1284"/>
      <c r="W104" s="1284"/>
      <c r="X104" s="1284"/>
      <c r="Y104" s="1284"/>
      <c r="Z104" s="1284"/>
      <c r="AA104" s="1284"/>
      <c r="AB104" s="1284"/>
      <c r="AC104" s="1284"/>
      <c r="AD104" s="1284"/>
      <c r="AE104" s="1284"/>
      <c r="AF104" s="1284"/>
      <c r="AG104" s="1284"/>
      <c r="AH104" s="1284"/>
      <c r="AI104" s="1284"/>
      <c r="AJ104" s="1284"/>
      <c r="AK104" s="1284"/>
      <c r="AL104" s="1284"/>
      <c r="AM104" s="1284"/>
      <c r="AN104" s="1284"/>
      <c r="AO104" s="1284"/>
      <c r="AP104" s="1284"/>
      <c r="AQ104" s="1284"/>
      <c r="AR104" s="1284"/>
      <c r="AS104" s="1284"/>
      <c r="AT104" s="1284"/>
      <c r="AU104" s="1284"/>
      <c r="AV104" s="1284"/>
      <c r="AW104" s="1284"/>
      <c r="AX104" s="1284"/>
      <c r="AY104" s="1284"/>
      <c r="AZ104" s="1284"/>
      <c r="BA104" s="1284"/>
      <c r="BB104" s="1284"/>
      <c r="BC104" s="1284"/>
      <c r="BD104" s="1284"/>
      <c r="BE104" s="1284"/>
      <c r="BF104" s="1284"/>
      <c r="BG104" s="1284"/>
      <c r="BH104" s="1284"/>
      <c r="BI104" s="1284"/>
      <c r="BJ104" s="1284"/>
      <c r="BK104" s="1284"/>
    </row>
    <row r="105" spans="2:63">
      <c r="B105" s="1355"/>
      <c r="C105" s="1284"/>
      <c r="D105" s="1284"/>
      <c r="E105" s="1284"/>
      <c r="F105" s="1284"/>
      <c r="G105" s="1284"/>
      <c r="H105" s="1284"/>
      <c r="I105" s="1284"/>
      <c r="J105" s="1284"/>
      <c r="K105" s="1284"/>
      <c r="L105" s="1284"/>
      <c r="M105" s="1284"/>
      <c r="N105" s="1284"/>
      <c r="O105" s="1284"/>
      <c r="P105" s="1284"/>
      <c r="Q105" s="1284"/>
      <c r="R105" s="1284"/>
      <c r="S105" s="1284"/>
      <c r="T105" s="1284"/>
      <c r="U105" s="1284"/>
      <c r="V105" s="1284"/>
      <c r="W105" s="1284"/>
      <c r="X105" s="1284"/>
      <c r="Y105" s="1284"/>
      <c r="Z105" s="1284"/>
      <c r="AA105" s="1284"/>
      <c r="AB105" s="1284"/>
      <c r="AC105" s="1284"/>
      <c r="AD105" s="1284"/>
      <c r="AE105" s="1284"/>
      <c r="AF105" s="1284"/>
      <c r="AG105" s="1284"/>
      <c r="AH105" s="1284"/>
      <c r="AI105" s="1284"/>
      <c r="AJ105" s="1284"/>
      <c r="AK105" s="1284"/>
      <c r="AL105" s="1284"/>
      <c r="AM105" s="1284"/>
      <c r="AN105" s="1284"/>
      <c r="AO105" s="1284"/>
      <c r="AP105" s="1284"/>
      <c r="AQ105" s="1284"/>
      <c r="AR105" s="1284"/>
      <c r="AS105" s="1284"/>
      <c r="AT105" s="1284"/>
      <c r="AU105" s="1284"/>
      <c r="AV105" s="1284"/>
      <c r="AW105" s="1284"/>
      <c r="AX105" s="1284"/>
      <c r="AY105" s="1284"/>
      <c r="AZ105" s="1284"/>
      <c r="BA105" s="1284"/>
      <c r="BB105" s="1284"/>
      <c r="BC105" s="1284"/>
      <c r="BD105" s="1284"/>
      <c r="BE105" s="1284"/>
      <c r="BF105" s="1284"/>
      <c r="BG105" s="1284"/>
      <c r="BH105" s="1284"/>
      <c r="BI105" s="1284"/>
      <c r="BJ105" s="1284"/>
      <c r="BK105" s="1284"/>
    </row>
    <row r="106" spans="2:63">
      <c r="B106" s="1360" t="s">
        <v>615</v>
      </c>
      <c r="C106" s="1303"/>
      <c r="D106" s="1284"/>
      <c r="E106" s="1284"/>
      <c r="F106" s="1284"/>
      <c r="G106" s="1284"/>
      <c r="H106" s="1284"/>
      <c r="I106" s="1284"/>
      <c r="J106" s="1284"/>
      <c r="K106" s="1284"/>
      <c r="L106" s="1284"/>
      <c r="M106" s="1284"/>
      <c r="N106" s="1284"/>
      <c r="O106" s="1284"/>
      <c r="P106" s="1284"/>
      <c r="Q106" s="1284"/>
      <c r="R106" s="1284"/>
      <c r="S106" s="1284"/>
      <c r="T106" s="1284"/>
      <c r="U106" s="1284"/>
      <c r="V106" s="1284"/>
      <c r="W106" s="1284"/>
      <c r="X106" s="1284"/>
      <c r="Y106" s="1284"/>
      <c r="Z106" s="1284"/>
      <c r="AA106" s="1284"/>
      <c r="AB106" s="1284"/>
      <c r="AC106" s="1284"/>
      <c r="AD106" s="1284"/>
      <c r="AE106" s="1284"/>
      <c r="AF106" s="1284"/>
      <c r="AG106" s="1284"/>
      <c r="AH106" s="1284"/>
      <c r="AI106" s="1284"/>
      <c r="AJ106" s="1284"/>
      <c r="AK106" s="1284"/>
      <c r="AL106" s="1284"/>
      <c r="AM106" s="1284"/>
      <c r="AN106" s="1284"/>
      <c r="AO106" s="1284"/>
      <c r="AP106" s="1284"/>
      <c r="AQ106" s="1284"/>
      <c r="AR106" s="1284"/>
      <c r="AS106" s="1284"/>
      <c r="AT106" s="1284"/>
      <c r="AU106" s="1284"/>
      <c r="AV106" s="1284"/>
      <c r="AW106" s="1284"/>
      <c r="AX106" s="1284"/>
      <c r="AY106" s="1284"/>
      <c r="AZ106" s="1284"/>
      <c r="BA106" s="1284"/>
      <c r="BB106" s="1284"/>
      <c r="BC106" s="1284"/>
      <c r="BD106" s="1284"/>
      <c r="BE106" s="1284"/>
      <c r="BF106" s="1284"/>
      <c r="BG106" s="1284"/>
      <c r="BH106" s="1284"/>
      <c r="BI106" s="1284"/>
      <c r="BJ106" s="1284"/>
      <c r="BK106" s="1284"/>
    </row>
    <row r="107" spans="2:63">
      <c r="B107" s="1348" t="s">
        <v>621</v>
      </c>
      <c r="C107" s="1317">
        <f>SUM(C69:BK69)*PROMOTE2</f>
        <v>357720.06679645693</v>
      </c>
      <c r="D107" s="1284"/>
      <c r="E107" s="1284"/>
      <c r="F107" s="1284"/>
      <c r="G107" s="1284"/>
      <c r="H107" s="1284"/>
      <c r="I107" s="1284"/>
      <c r="J107" s="1284"/>
      <c r="K107" s="1284"/>
      <c r="L107" s="1284"/>
      <c r="M107" s="1284"/>
      <c r="N107" s="1284"/>
      <c r="O107" s="1284"/>
      <c r="P107" s="1284"/>
      <c r="Q107" s="1284"/>
      <c r="R107" s="1284"/>
      <c r="S107" s="1284"/>
      <c r="T107" s="1284"/>
      <c r="U107" s="1284"/>
      <c r="V107" s="1284"/>
      <c r="W107" s="1284"/>
      <c r="X107" s="1284"/>
      <c r="Y107" s="1284"/>
      <c r="Z107" s="1284"/>
      <c r="AA107" s="1284"/>
      <c r="AB107" s="1284"/>
      <c r="AC107" s="1284"/>
      <c r="AD107" s="1284"/>
      <c r="AE107" s="1284"/>
      <c r="AF107" s="1284"/>
      <c r="AG107" s="1284"/>
      <c r="AH107" s="1284"/>
      <c r="AI107" s="1284"/>
      <c r="AJ107" s="1284"/>
      <c r="AK107" s="1284"/>
      <c r="AL107" s="1284"/>
      <c r="AM107" s="1284"/>
      <c r="AN107" s="1284"/>
      <c r="AO107" s="1284"/>
      <c r="AP107" s="1284"/>
      <c r="AQ107" s="1284"/>
      <c r="AR107" s="1284"/>
      <c r="AS107" s="1284"/>
      <c r="AT107" s="1284"/>
      <c r="AU107" s="1284"/>
      <c r="AV107" s="1284"/>
      <c r="AW107" s="1284"/>
      <c r="AX107" s="1284"/>
      <c r="AY107" s="1284"/>
      <c r="AZ107" s="1284"/>
      <c r="BA107" s="1284"/>
      <c r="BB107" s="1284"/>
      <c r="BC107" s="1284"/>
      <c r="BD107" s="1284"/>
      <c r="BE107" s="1284"/>
      <c r="BF107" s="1284"/>
      <c r="BG107" s="1284"/>
      <c r="BH107" s="1284"/>
      <c r="BI107" s="1284"/>
      <c r="BJ107" s="1284"/>
      <c r="BK107" s="1284"/>
    </row>
    <row r="108" spans="2:63">
      <c r="B108" s="1349" t="s">
        <v>623</v>
      </c>
      <c r="C108" s="1318">
        <f>SUM(C83:BK83)*PROMOTE3</f>
        <v>303734.71496360167</v>
      </c>
      <c r="D108" s="1284"/>
      <c r="E108" s="1284"/>
      <c r="F108" s="1284"/>
      <c r="G108" s="1284"/>
      <c r="H108" s="1284"/>
      <c r="I108" s="1284"/>
      <c r="J108" s="1284"/>
      <c r="K108" s="1284"/>
      <c r="L108" s="1284"/>
      <c r="M108" s="1284"/>
      <c r="N108" s="1284"/>
      <c r="O108" s="1284"/>
      <c r="P108" s="1284"/>
      <c r="Q108" s="1284"/>
      <c r="R108" s="1284"/>
      <c r="S108" s="1284"/>
      <c r="T108" s="1284"/>
      <c r="U108" s="1284"/>
      <c r="V108" s="1284"/>
      <c r="W108" s="1284"/>
      <c r="X108" s="1284"/>
      <c r="Y108" s="1284"/>
      <c r="Z108" s="1284"/>
      <c r="AA108" s="1284"/>
      <c r="AB108" s="1284"/>
      <c r="AC108" s="1284"/>
      <c r="AD108" s="1284"/>
      <c r="AE108" s="1284"/>
      <c r="AF108" s="1284"/>
      <c r="AG108" s="1284"/>
      <c r="AH108" s="1284"/>
      <c r="AI108" s="1284"/>
      <c r="AJ108" s="1284"/>
      <c r="AK108" s="1284"/>
      <c r="AL108" s="1284"/>
      <c r="AM108" s="1284"/>
      <c r="AN108" s="1284"/>
      <c r="AO108" s="1284"/>
      <c r="AP108" s="1284"/>
      <c r="AQ108" s="1284"/>
      <c r="AR108" s="1284"/>
      <c r="AS108" s="1284"/>
      <c r="AT108" s="1284"/>
      <c r="AU108" s="1284"/>
      <c r="AV108" s="1284"/>
      <c r="AW108" s="1284"/>
      <c r="AX108" s="1284"/>
      <c r="AY108" s="1284"/>
      <c r="AZ108" s="1284"/>
      <c r="BA108" s="1284"/>
      <c r="BB108" s="1284"/>
      <c r="BC108" s="1284"/>
      <c r="BD108" s="1284"/>
      <c r="BE108" s="1284"/>
      <c r="BF108" s="1284"/>
      <c r="BG108" s="1284"/>
      <c r="BH108" s="1284"/>
      <c r="BI108" s="1284"/>
      <c r="BJ108" s="1284"/>
      <c r="BK108" s="1284"/>
    </row>
    <row r="109" spans="2:63">
      <c r="B109" s="1349" t="s">
        <v>625</v>
      </c>
      <c r="C109" s="1318">
        <f>SUM(C89:BK89)*PROMOTE4</f>
        <v>4.6566128730773928E-11</v>
      </c>
      <c r="D109" s="1284"/>
      <c r="E109" s="1284"/>
      <c r="F109" s="1284"/>
      <c r="G109" s="1284"/>
      <c r="H109" s="1284"/>
      <c r="I109" s="1284"/>
      <c r="J109" s="1284"/>
      <c r="K109" s="1284"/>
      <c r="L109" s="1284"/>
      <c r="M109" s="1284"/>
      <c r="N109" s="1284"/>
      <c r="O109" s="1284"/>
      <c r="P109" s="1284"/>
      <c r="Q109" s="1284"/>
      <c r="R109" s="1284"/>
      <c r="S109" s="1284"/>
      <c r="T109" s="1284"/>
      <c r="U109" s="1284"/>
      <c r="V109" s="1284"/>
      <c r="W109" s="1284"/>
      <c r="X109" s="1284"/>
      <c r="Y109" s="1284"/>
      <c r="Z109" s="1284"/>
      <c r="AA109" s="1284"/>
      <c r="AB109" s="1284"/>
      <c r="AC109" s="1284"/>
      <c r="AD109" s="1284"/>
      <c r="AE109" s="1284"/>
      <c r="AF109" s="1284"/>
      <c r="AG109" s="1284"/>
      <c r="AH109" s="1284"/>
      <c r="AI109" s="1284"/>
      <c r="AJ109" s="1284"/>
      <c r="AK109" s="1284"/>
      <c r="AL109" s="1284"/>
      <c r="AM109" s="1284"/>
      <c r="AN109" s="1284"/>
      <c r="AO109" s="1284"/>
      <c r="AP109" s="1284"/>
      <c r="AQ109" s="1284"/>
      <c r="AR109" s="1284"/>
      <c r="AS109" s="1284"/>
      <c r="AT109" s="1284"/>
      <c r="AU109" s="1284"/>
      <c r="AV109" s="1284"/>
      <c r="AW109" s="1284"/>
      <c r="AX109" s="1284"/>
      <c r="AY109" s="1284"/>
      <c r="AZ109" s="1284"/>
      <c r="BA109" s="1284"/>
      <c r="BB109" s="1284"/>
      <c r="BC109" s="1284"/>
      <c r="BD109" s="1284"/>
      <c r="BE109" s="1284"/>
      <c r="BF109" s="1284"/>
      <c r="BG109" s="1284"/>
      <c r="BH109" s="1284"/>
      <c r="BI109" s="1284"/>
      <c r="BJ109" s="1284"/>
      <c r="BK109" s="1284"/>
    </row>
    <row r="110" spans="2:63">
      <c r="B110" s="1362" t="s">
        <v>657</v>
      </c>
      <c r="C110" s="1319">
        <f>SUM(C107:C109)</f>
        <v>661454.7817600586</v>
      </c>
      <c r="D110" s="1284"/>
      <c r="E110" s="1284"/>
      <c r="F110" s="1284"/>
      <c r="G110" s="1284"/>
      <c r="H110" s="1284"/>
      <c r="I110" s="1284"/>
      <c r="J110" s="1284"/>
      <c r="K110" s="1284"/>
      <c r="L110" s="1284"/>
      <c r="M110" s="1284"/>
      <c r="N110" s="1284"/>
      <c r="O110" s="1284"/>
      <c r="P110" s="1284"/>
      <c r="Q110" s="1284"/>
      <c r="R110" s="1284"/>
      <c r="S110" s="1284"/>
      <c r="T110" s="1284"/>
      <c r="U110" s="1284"/>
      <c r="V110" s="1284"/>
      <c r="W110" s="1284"/>
      <c r="X110" s="1284"/>
      <c r="Y110" s="1284"/>
      <c r="Z110" s="1284"/>
      <c r="AA110" s="1284"/>
      <c r="AB110" s="1284"/>
      <c r="AC110" s="1284"/>
      <c r="AD110" s="1284"/>
      <c r="AE110" s="1284"/>
      <c r="AF110" s="1284"/>
      <c r="AG110" s="1284"/>
      <c r="AH110" s="1284"/>
      <c r="AI110" s="1284"/>
      <c r="AJ110" s="1284"/>
      <c r="AK110" s="1284"/>
      <c r="AL110" s="1284"/>
      <c r="AM110" s="1284"/>
      <c r="AN110" s="1284"/>
      <c r="AO110" s="1284"/>
      <c r="AP110" s="1284"/>
      <c r="AQ110" s="1284"/>
      <c r="AR110" s="1284"/>
      <c r="AS110" s="1284"/>
      <c r="AT110" s="1284"/>
      <c r="AU110" s="1284"/>
      <c r="AV110" s="1284"/>
      <c r="AW110" s="1284"/>
      <c r="AX110" s="1284"/>
      <c r="AY110" s="1284"/>
      <c r="AZ110" s="1284"/>
      <c r="BA110" s="1284"/>
      <c r="BB110" s="1284"/>
      <c r="BC110" s="1284"/>
      <c r="BD110" s="1284"/>
      <c r="BE110" s="1284"/>
      <c r="BF110" s="1284"/>
      <c r="BG110" s="1284"/>
      <c r="BH110" s="1284"/>
      <c r="BI110" s="1284"/>
      <c r="BJ110" s="1284"/>
      <c r="BK110" s="1284"/>
    </row>
    <row r="111" spans="2:63">
      <c r="C111" s="1284"/>
      <c r="D111" s="1284"/>
      <c r="E111" s="1284"/>
      <c r="F111" s="1284"/>
      <c r="G111" s="1284"/>
      <c r="H111" s="1284"/>
      <c r="I111" s="1284"/>
      <c r="J111" s="1284"/>
      <c r="K111" s="1284"/>
      <c r="L111" s="1284"/>
      <c r="M111" s="1284"/>
      <c r="N111" s="1284"/>
      <c r="O111" s="1284"/>
      <c r="P111" s="1284"/>
      <c r="Q111" s="1284"/>
      <c r="R111" s="1284"/>
      <c r="S111" s="1284"/>
      <c r="T111" s="1284"/>
      <c r="U111" s="1284"/>
      <c r="V111" s="1284"/>
      <c r="W111" s="1284"/>
      <c r="X111" s="1284"/>
      <c r="Y111" s="1284"/>
      <c r="Z111" s="1284"/>
      <c r="AA111" s="1284"/>
      <c r="AB111" s="1284"/>
      <c r="AC111" s="1284"/>
      <c r="AD111" s="1284"/>
      <c r="AE111" s="1284"/>
      <c r="AF111" s="1284"/>
      <c r="AG111" s="1284"/>
      <c r="AH111" s="1284"/>
      <c r="AI111" s="1284"/>
      <c r="AJ111" s="1284"/>
      <c r="AK111" s="1284"/>
      <c r="AL111" s="1284"/>
      <c r="AM111" s="1284"/>
      <c r="AN111" s="1284"/>
      <c r="AO111" s="1284"/>
      <c r="AP111" s="1284"/>
      <c r="AQ111" s="1284"/>
      <c r="AR111" s="1284"/>
      <c r="AS111" s="1284"/>
      <c r="AT111" s="1284"/>
      <c r="AU111" s="1284"/>
      <c r="AV111" s="1284"/>
      <c r="AW111" s="1284"/>
      <c r="AX111" s="1284"/>
      <c r="AY111" s="1284"/>
      <c r="AZ111" s="1284"/>
      <c r="BA111" s="1284"/>
      <c r="BB111" s="1284"/>
      <c r="BC111" s="1284"/>
      <c r="BD111" s="1284"/>
      <c r="BE111" s="1284"/>
      <c r="BF111" s="1284"/>
      <c r="BG111" s="1284"/>
      <c r="BH111" s="1284"/>
      <c r="BI111" s="1284"/>
      <c r="BJ111" s="1284"/>
      <c r="BK111" s="1284"/>
    </row>
    <row r="112" spans="2:63">
      <c r="B112" s="1386" t="s">
        <v>640</v>
      </c>
      <c r="C112" s="1386"/>
      <c r="D112" s="1284"/>
      <c r="E112" s="1284"/>
      <c r="F112" s="1284"/>
      <c r="G112" s="1284"/>
      <c r="H112" s="1284"/>
      <c r="I112" s="1284"/>
      <c r="J112" s="1284"/>
      <c r="K112" s="1284"/>
      <c r="L112" s="1284"/>
      <c r="M112" s="1284"/>
      <c r="N112" s="1284"/>
      <c r="O112" s="1284"/>
      <c r="P112" s="1284"/>
      <c r="Q112" s="1284"/>
      <c r="R112" s="1284"/>
      <c r="S112" s="1284"/>
      <c r="T112" s="1284"/>
      <c r="U112" s="1284"/>
      <c r="V112" s="1284"/>
      <c r="W112" s="1284"/>
      <c r="X112" s="1284"/>
      <c r="Y112" s="1284"/>
      <c r="Z112" s="1284"/>
      <c r="AA112" s="1284"/>
      <c r="AB112" s="1284"/>
      <c r="AC112" s="1284"/>
      <c r="AD112" s="1284"/>
      <c r="AE112" s="1284"/>
      <c r="AF112" s="1284"/>
      <c r="AG112" s="1284"/>
      <c r="AH112" s="1284"/>
      <c r="AI112" s="1284"/>
      <c r="AJ112" s="1284"/>
      <c r="AK112" s="1284"/>
      <c r="AL112" s="1284"/>
      <c r="AM112" s="1284"/>
      <c r="AN112" s="1284"/>
      <c r="AO112" s="1284"/>
      <c r="AP112" s="1284"/>
      <c r="AQ112" s="1284"/>
      <c r="AR112" s="1284"/>
      <c r="AS112" s="1284"/>
      <c r="AT112" s="1284"/>
      <c r="AU112" s="1284"/>
      <c r="AV112" s="1284"/>
      <c r="AW112" s="1284"/>
      <c r="AX112" s="1284"/>
      <c r="AY112" s="1284"/>
      <c r="AZ112" s="1284"/>
      <c r="BA112" s="1284"/>
      <c r="BB112" s="1284"/>
      <c r="BC112" s="1284"/>
      <c r="BD112" s="1284"/>
      <c r="BE112" s="1284"/>
      <c r="BF112" s="1284"/>
      <c r="BG112" s="1284"/>
      <c r="BH112" s="1284"/>
      <c r="BI112" s="1284"/>
      <c r="BJ112" s="1284"/>
      <c r="BK112" s="1284"/>
    </row>
    <row r="113" spans="2:63">
      <c r="B113" s="1369" t="s">
        <v>668</v>
      </c>
      <c r="C113" s="1367">
        <f>SUM(C48:BK48,C63:BK63,C77:BK77,)</f>
        <v>11756363.651494186</v>
      </c>
      <c r="D113" s="1385"/>
      <c r="F113" s="1284"/>
      <c r="G113" s="1284"/>
      <c r="H113" s="1284"/>
      <c r="I113" s="1284"/>
      <c r="J113" s="1284"/>
      <c r="K113" s="1284"/>
      <c r="L113" s="1284"/>
      <c r="M113" s="1284"/>
      <c r="N113" s="1284"/>
      <c r="O113" s="1284"/>
      <c r="P113" s="1284"/>
      <c r="Q113" s="1284"/>
      <c r="R113" s="1284"/>
      <c r="S113" s="1284"/>
      <c r="T113" s="1284"/>
      <c r="U113" s="1284"/>
      <c r="V113" s="1284"/>
      <c r="W113" s="1284"/>
      <c r="X113" s="1284"/>
      <c r="Y113" s="1284"/>
      <c r="Z113" s="1284"/>
      <c r="AA113" s="1284"/>
      <c r="AB113" s="1284"/>
      <c r="AC113" s="1284"/>
      <c r="AD113" s="1284"/>
      <c r="AE113" s="1284"/>
      <c r="AF113" s="1284"/>
      <c r="AG113" s="1284"/>
      <c r="AH113" s="1284"/>
      <c r="AI113" s="1284"/>
      <c r="AJ113" s="1284"/>
      <c r="AK113" s="1284"/>
      <c r="AL113" s="1284"/>
      <c r="AM113" s="1284"/>
      <c r="AN113" s="1284"/>
      <c r="AO113" s="1284"/>
      <c r="AP113" s="1284"/>
      <c r="AQ113" s="1284"/>
      <c r="AR113" s="1284"/>
      <c r="AS113" s="1284"/>
      <c r="AT113" s="1284"/>
      <c r="AU113" s="1284"/>
      <c r="AV113" s="1284"/>
      <c r="AW113" s="1284"/>
      <c r="AX113" s="1284"/>
      <c r="AY113" s="1284"/>
      <c r="AZ113" s="1284"/>
      <c r="BA113" s="1284"/>
      <c r="BB113" s="1284"/>
      <c r="BC113" s="1284"/>
      <c r="BD113" s="1284"/>
      <c r="BE113" s="1284"/>
      <c r="BF113" s="1284"/>
      <c r="BG113" s="1284"/>
      <c r="BH113" s="1284"/>
      <c r="BI113" s="1284"/>
      <c r="BJ113" s="1284"/>
      <c r="BK113" s="1284"/>
    </row>
    <row r="114" spans="2:63">
      <c r="B114" s="1369" t="s">
        <v>667</v>
      </c>
      <c r="C114" s="1368">
        <f>SUM(C53:BK53,C68:BK68,C82:BK82)</f>
        <v>1967717.409703857</v>
      </c>
      <c r="E114" s="1284"/>
      <c r="F114" s="1284"/>
      <c r="G114" s="1284"/>
      <c r="H114" s="1284"/>
      <c r="I114" s="1284"/>
      <c r="J114" s="1284"/>
      <c r="K114" s="1284"/>
      <c r="L114" s="1284"/>
      <c r="M114" s="1284"/>
      <c r="N114" s="1284"/>
      <c r="O114" s="1284"/>
      <c r="P114" s="1284"/>
      <c r="Q114" s="1284"/>
      <c r="R114" s="1284"/>
      <c r="S114" s="1284"/>
      <c r="T114" s="1284"/>
      <c r="U114" s="1284"/>
      <c r="V114" s="1284"/>
      <c r="W114" s="1284"/>
      <c r="X114" s="1284"/>
      <c r="Y114" s="1284"/>
      <c r="Z114" s="1284"/>
      <c r="AA114" s="1284"/>
      <c r="AB114" s="1284"/>
      <c r="AC114" s="1284"/>
      <c r="AD114" s="1284"/>
      <c r="AE114" s="1284"/>
      <c r="AF114" s="1284"/>
      <c r="AG114" s="1284"/>
      <c r="AH114" s="1284"/>
      <c r="AI114" s="1284"/>
      <c r="AJ114" s="1284"/>
      <c r="AK114" s="1284"/>
      <c r="AL114" s="1284"/>
      <c r="AM114" s="1284"/>
      <c r="AN114" s="1284"/>
      <c r="AO114" s="1284"/>
      <c r="AP114" s="1284"/>
      <c r="AQ114" s="1284"/>
      <c r="AR114" s="1284"/>
      <c r="AS114" s="1284"/>
      <c r="AT114" s="1284"/>
      <c r="AU114" s="1284"/>
      <c r="AV114" s="1284"/>
      <c r="AW114" s="1284"/>
      <c r="AX114" s="1284"/>
      <c r="AY114" s="1284"/>
      <c r="AZ114" s="1284"/>
      <c r="BA114" s="1284"/>
      <c r="BB114" s="1284"/>
      <c r="BC114" s="1284"/>
      <c r="BD114" s="1284"/>
      <c r="BE114" s="1284"/>
      <c r="BF114" s="1284"/>
      <c r="BG114" s="1284"/>
      <c r="BH114" s="1284"/>
      <c r="BI114" s="1284"/>
      <c r="BJ114" s="1284"/>
      <c r="BK114" s="1284"/>
    </row>
    <row r="115" spans="2:63">
      <c r="B115" s="1370" t="s">
        <v>254</v>
      </c>
      <c r="C115" s="1319">
        <f>SUM(C113:C114)</f>
        <v>13724081.061198043</v>
      </c>
      <c r="D115" s="1366"/>
      <c r="E115" s="1284"/>
      <c r="F115" s="1284"/>
      <c r="G115" s="1284"/>
      <c r="H115" s="1284"/>
      <c r="I115" s="1284"/>
      <c r="J115" s="1284"/>
      <c r="K115" s="1284"/>
      <c r="L115" s="1284"/>
      <c r="M115" s="1284"/>
      <c r="N115" s="1284"/>
      <c r="O115" s="1284"/>
      <c r="P115" s="1284"/>
      <c r="Q115" s="1284"/>
      <c r="R115" s="1284"/>
      <c r="S115" s="1284"/>
      <c r="T115" s="1284"/>
      <c r="U115" s="1284"/>
      <c r="V115" s="1284"/>
      <c r="W115" s="1284"/>
      <c r="X115" s="1284"/>
      <c r="Y115" s="1284"/>
      <c r="Z115" s="1284"/>
      <c r="AA115" s="1284"/>
      <c r="AB115" s="1284"/>
      <c r="AC115" s="1284"/>
      <c r="AD115" s="1284"/>
      <c r="AE115" s="1284"/>
      <c r="AF115" s="1284"/>
      <c r="AG115" s="1284"/>
      <c r="AH115" s="1284"/>
      <c r="AI115" s="1284"/>
      <c r="AJ115" s="1284"/>
      <c r="AK115" s="1284"/>
      <c r="AL115" s="1284"/>
      <c r="AM115" s="1284"/>
      <c r="AN115" s="1284"/>
      <c r="AO115" s="1284"/>
      <c r="AP115" s="1284"/>
      <c r="AQ115" s="1284"/>
      <c r="AR115" s="1284"/>
      <c r="AS115" s="1284"/>
      <c r="AT115" s="1284"/>
      <c r="AU115" s="1284"/>
      <c r="AV115" s="1284"/>
      <c r="AW115" s="1284"/>
      <c r="AX115" s="1284"/>
      <c r="AY115" s="1284"/>
      <c r="AZ115" s="1284"/>
      <c r="BA115" s="1284"/>
      <c r="BB115" s="1284"/>
      <c r="BC115" s="1284"/>
      <c r="BD115" s="1284"/>
      <c r="BE115" s="1284"/>
      <c r="BF115" s="1284"/>
      <c r="BG115" s="1284"/>
      <c r="BH115" s="1284"/>
      <c r="BI115" s="1284"/>
      <c r="BJ115" s="1284"/>
      <c r="BK115" s="1284"/>
    </row>
    <row r="116" spans="2:63">
      <c r="C116" s="1284"/>
      <c r="D116" s="1284"/>
      <c r="E116" s="1284"/>
      <c r="F116" s="1284"/>
      <c r="G116" s="1284"/>
      <c r="H116" s="1284"/>
      <c r="I116" s="1284"/>
      <c r="J116" s="1284"/>
      <c r="K116" s="1284"/>
      <c r="L116" s="1284"/>
      <c r="M116" s="1284"/>
      <c r="N116" s="1284"/>
      <c r="O116" s="1284"/>
      <c r="P116" s="1284"/>
      <c r="Q116" s="1284"/>
      <c r="R116" s="1284"/>
      <c r="S116" s="1284"/>
      <c r="T116" s="1284"/>
      <c r="U116" s="1284"/>
      <c r="V116" s="1284"/>
      <c r="W116" s="1284"/>
      <c r="X116" s="1284"/>
      <c r="Y116" s="1284"/>
      <c r="Z116" s="1284"/>
      <c r="AA116" s="1284"/>
      <c r="AB116" s="1284"/>
      <c r="AC116" s="1284"/>
      <c r="AD116" s="1284"/>
      <c r="AE116" s="1284"/>
      <c r="AF116" s="1284"/>
      <c r="AG116" s="1284"/>
      <c r="AH116" s="1284"/>
      <c r="AI116" s="1284"/>
      <c r="AJ116" s="1284"/>
      <c r="AK116" s="1284"/>
      <c r="AL116" s="1284"/>
      <c r="AM116" s="1284"/>
      <c r="AN116" s="1284"/>
      <c r="AO116" s="1284"/>
      <c r="AP116" s="1284"/>
      <c r="AQ116" s="1284"/>
      <c r="AR116" s="1284"/>
      <c r="AS116" s="1284"/>
      <c r="AT116" s="1284"/>
      <c r="AU116" s="1284"/>
      <c r="AV116" s="1284"/>
      <c r="AW116" s="1284"/>
      <c r="AX116" s="1284"/>
      <c r="AY116" s="1284"/>
      <c r="AZ116" s="1284"/>
      <c r="BA116" s="1284"/>
      <c r="BB116" s="1284"/>
      <c r="BC116" s="1284"/>
      <c r="BD116" s="1284"/>
      <c r="BE116" s="1284"/>
      <c r="BF116" s="1284"/>
      <c r="BG116" s="1284"/>
      <c r="BH116" s="1284"/>
      <c r="BI116" s="1284"/>
      <c r="BJ116" s="1284"/>
      <c r="BK116" s="1284"/>
    </row>
    <row r="117" spans="2:63">
      <c r="C117" s="1284"/>
      <c r="D117" s="1284"/>
      <c r="E117" s="1284"/>
      <c r="F117" s="1284"/>
      <c r="G117" s="1284"/>
      <c r="H117" s="1284"/>
      <c r="I117" s="1284"/>
      <c r="J117" s="1284"/>
      <c r="K117" s="1284"/>
      <c r="L117" s="1284"/>
      <c r="M117" s="1284"/>
      <c r="N117" s="1284"/>
      <c r="O117" s="1284"/>
      <c r="P117" s="1284"/>
      <c r="Q117" s="1284"/>
      <c r="R117" s="1284"/>
      <c r="S117" s="1284"/>
      <c r="T117" s="1284"/>
      <c r="U117" s="1284"/>
      <c r="V117" s="1284"/>
      <c r="W117" s="1284"/>
      <c r="X117" s="1284"/>
      <c r="Y117" s="1284"/>
      <c r="Z117" s="1284"/>
      <c r="AA117" s="1284"/>
      <c r="AB117" s="1284"/>
      <c r="AC117" s="1284"/>
      <c r="AD117" s="1284"/>
      <c r="AE117" s="1284"/>
      <c r="AF117" s="1284"/>
      <c r="AG117" s="1284"/>
      <c r="AH117" s="1284"/>
      <c r="AI117" s="1284"/>
      <c r="AJ117" s="1284"/>
      <c r="AK117" s="1284"/>
      <c r="AL117" s="1284"/>
      <c r="AM117" s="1284"/>
      <c r="AN117" s="1284"/>
      <c r="AO117" s="1284"/>
      <c r="AP117" s="1284"/>
      <c r="AQ117" s="1284"/>
      <c r="AR117" s="1284"/>
      <c r="AS117" s="1284"/>
      <c r="AT117" s="1284"/>
      <c r="AU117" s="1284"/>
      <c r="AV117" s="1284"/>
      <c r="AW117" s="1284"/>
      <c r="AX117" s="1284"/>
      <c r="AY117" s="1284"/>
      <c r="AZ117" s="1284"/>
      <c r="BA117" s="1284"/>
      <c r="BB117" s="1284"/>
      <c r="BC117" s="1284"/>
      <c r="BD117" s="1284"/>
      <c r="BE117" s="1284"/>
      <c r="BF117" s="1284"/>
      <c r="BG117" s="1284"/>
      <c r="BH117" s="1284"/>
      <c r="BI117" s="1284"/>
      <c r="BJ117" s="1284"/>
      <c r="BK117" s="1284"/>
    </row>
    <row r="118" spans="2:63">
      <c r="C118" s="1284"/>
      <c r="D118" s="1284"/>
      <c r="E118" s="1284"/>
      <c r="F118" s="1284"/>
      <c r="G118" s="1284"/>
      <c r="H118" s="1284"/>
      <c r="I118" s="1284"/>
      <c r="J118" s="1284"/>
      <c r="K118" s="1284"/>
      <c r="L118" s="1284"/>
      <c r="M118" s="1284"/>
      <c r="N118" s="1284"/>
      <c r="O118" s="1284"/>
      <c r="P118" s="1284"/>
      <c r="Q118" s="1284"/>
      <c r="R118" s="1284"/>
      <c r="S118" s="1284"/>
      <c r="T118" s="1284"/>
      <c r="U118" s="1284"/>
      <c r="V118" s="1284"/>
      <c r="W118" s="1284"/>
      <c r="X118" s="1284"/>
      <c r="Y118" s="1284"/>
      <c r="Z118" s="1284"/>
      <c r="AA118" s="1284"/>
      <c r="AB118" s="1284"/>
      <c r="AC118" s="1284"/>
      <c r="AD118" s="1284"/>
      <c r="AE118" s="1284"/>
      <c r="AF118" s="1284"/>
      <c r="AG118" s="1284"/>
      <c r="AH118" s="1284"/>
      <c r="AI118" s="1284"/>
      <c r="AJ118" s="1284"/>
      <c r="AK118" s="1284"/>
      <c r="AL118" s="1284"/>
      <c r="AM118" s="1284"/>
      <c r="AN118" s="1284"/>
      <c r="AO118" s="1284"/>
      <c r="AP118" s="1284"/>
      <c r="AQ118" s="1284"/>
      <c r="AR118" s="1284"/>
      <c r="AS118" s="1284"/>
      <c r="AT118" s="1284"/>
      <c r="AU118" s="1284"/>
      <c r="AV118" s="1284"/>
      <c r="AW118" s="1284"/>
      <c r="AX118" s="1284"/>
      <c r="AY118" s="1284"/>
      <c r="AZ118" s="1284"/>
      <c r="BA118" s="1284"/>
      <c r="BB118" s="1284"/>
      <c r="BC118" s="1284"/>
      <c r="BD118" s="1284"/>
      <c r="BE118" s="1284"/>
      <c r="BF118" s="1284"/>
      <c r="BG118" s="1284"/>
      <c r="BH118" s="1284"/>
      <c r="BI118" s="1284"/>
      <c r="BJ118" s="1284"/>
      <c r="BK118" s="1284"/>
    </row>
    <row r="119" spans="2:63">
      <c r="C119" s="1284"/>
      <c r="D119" s="1284"/>
      <c r="E119" s="1284"/>
      <c r="F119" s="1284"/>
      <c r="G119" s="1284"/>
      <c r="H119" s="1284"/>
      <c r="I119" s="1284"/>
      <c r="J119" s="1284"/>
      <c r="K119" s="1284"/>
      <c r="L119" s="1284"/>
      <c r="M119" s="1284"/>
      <c r="N119" s="1284"/>
      <c r="O119" s="1284"/>
      <c r="P119" s="1284"/>
      <c r="Q119" s="1284"/>
      <c r="R119" s="1284"/>
      <c r="S119" s="1284"/>
      <c r="T119" s="1284"/>
      <c r="U119" s="1284"/>
      <c r="V119" s="1284"/>
      <c r="W119" s="1284"/>
      <c r="X119" s="1284"/>
      <c r="Y119" s="1284"/>
      <c r="Z119" s="1284"/>
      <c r="AA119" s="1284"/>
      <c r="AB119" s="1284"/>
      <c r="AC119" s="1284"/>
      <c r="AD119" s="1284"/>
      <c r="AE119" s="1284"/>
      <c r="AF119" s="1284"/>
      <c r="AG119" s="1284"/>
      <c r="AH119" s="1284"/>
      <c r="AI119" s="1284"/>
      <c r="AJ119" s="1284"/>
      <c r="AK119" s="1284"/>
      <c r="AL119" s="1284"/>
      <c r="AM119" s="1284"/>
      <c r="AN119" s="1284"/>
      <c r="AO119" s="1284"/>
      <c r="AP119" s="1284"/>
      <c r="AQ119" s="1284"/>
      <c r="AR119" s="1284"/>
      <c r="AS119" s="1284"/>
      <c r="AT119" s="1284"/>
      <c r="AU119" s="1284"/>
      <c r="AV119" s="1284"/>
      <c r="AW119" s="1284"/>
      <c r="AX119" s="1284"/>
      <c r="AY119" s="1284"/>
      <c r="AZ119" s="1284"/>
      <c r="BA119" s="1284"/>
      <c r="BB119" s="1284"/>
      <c r="BC119" s="1284"/>
      <c r="BD119" s="1284"/>
      <c r="BE119" s="1284"/>
      <c r="BF119" s="1284"/>
      <c r="BG119" s="1284"/>
      <c r="BH119" s="1284"/>
      <c r="BI119" s="1284"/>
      <c r="BJ119" s="1284"/>
      <c r="BK119" s="1284"/>
    </row>
    <row r="120" spans="2:63">
      <c r="C120" s="1320"/>
      <c r="D120" s="1320"/>
      <c r="E120" s="1320"/>
      <c r="F120" s="1320"/>
      <c r="G120" s="1320"/>
      <c r="H120" s="1320"/>
      <c r="I120" s="1320"/>
      <c r="J120" s="1320"/>
      <c r="K120" s="1320"/>
      <c r="L120" s="1320"/>
      <c r="M120" s="1320"/>
      <c r="N120" s="1320"/>
      <c r="O120" s="1320"/>
      <c r="P120" s="1320"/>
      <c r="Q120" s="1320"/>
      <c r="R120" s="1320"/>
      <c r="S120" s="1320"/>
      <c r="T120" s="1320"/>
      <c r="U120" s="1320"/>
      <c r="V120" s="1320"/>
      <c r="W120" s="1320"/>
      <c r="X120" s="1320"/>
      <c r="Y120" s="1320"/>
      <c r="Z120" s="1320"/>
      <c r="AA120" s="1320"/>
      <c r="AB120" s="1320"/>
      <c r="AC120" s="1320"/>
      <c r="AD120" s="1320"/>
      <c r="AE120" s="1320"/>
      <c r="AF120" s="1320"/>
      <c r="AG120" s="1320"/>
      <c r="AH120" s="1320"/>
      <c r="AI120" s="1320"/>
      <c r="AJ120" s="1320"/>
      <c r="AK120" s="1320"/>
      <c r="AL120" s="1320"/>
      <c r="AM120" s="1320"/>
      <c r="AN120" s="1320"/>
      <c r="AO120" s="1320"/>
      <c r="AP120" s="1320"/>
      <c r="AQ120" s="1320"/>
      <c r="AR120" s="1320"/>
      <c r="AS120" s="1320"/>
      <c r="AT120" s="1320"/>
      <c r="AU120" s="1320"/>
      <c r="AV120" s="1320"/>
      <c r="AW120" s="1320"/>
      <c r="AX120" s="1320"/>
      <c r="AY120" s="1320"/>
      <c r="AZ120" s="1320"/>
      <c r="BA120" s="1320"/>
      <c r="BB120" s="1320"/>
      <c r="BC120" s="1320"/>
      <c r="BD120" s="1320"/>
      <c r="BE120" s="1320"/>
      <c r="BF120" s="1320"/>
      <c r="BG120" s="1320"/>
      <c r="BH120" s="1320"/>
      <c r="BI120" s="1320"/>
      <c r="BJ120" s="1320"/>
      <c r="BK120" s="1320"/>
    </row>
    <row r="121" spans="2:63">
      <c r="C121" s="1320"/>
      <c r="D121" s="1320"/>
      <c r="E121" s="1320"/>
      <c r="F121" s="1320"/>
      <c r="G121" s="1320"/>
      <c r="H121" s="1320"/>
      <c r="I121" s="1320"/>
      <c r="J121" s="1320"/>
      <c r="K121" s="1320"/>
      <c r="L121" s="1320"/>
      <c r="M121" s="1320"/>
      <c r="N121" s="1320"/>
      <c r="O121" s="1320"/>
      <c r="P121" s="1320"/>
      <c r="Q121" s="1320"/>
      <c r="R121" s="1320"/>
      <c r="S121" s="1320"/>
      <c r="T121" s="1320"/>
      <c r="U121" s="1320"/>
      <c r="V121" s="1320"/>
      <c r="W121" s="1320"/>
      <c r="X121" s="1320"/>
      <c r="Y121" s="1320"/>
      <c r="Z121" s="1320"/>
      <c r="AA121" s="1320"/>
      <c r="AB121" s="1320"/>
      <c r="AC121" s="1320"/>
      <c r="AD121" s="1320"/>
      <c r="AE121" s="1320"/>
      <c r="AF121" s="1320"/>
      <c r="AG121" s="1320"/>
      <c r="AH121" s="1320"/>
      <c r="AI121" s="1320"/>
      <c r="AJ121" s="1320"/>
      <c r="AK121" s="1320"/>
      <c r="AL121" s="1320"/>
      <c r="AM121" s="1320"/>
      <c r="AN121" s="1320"/>
      <c r="AO121" s="1320"/>
      <c r="AP121" s="1320"/>
      <c r="AQ121" s="1320"/>
      <c r="AR121" s="1320"/>
      <c r="AS121" s="1320"/>
      <c r="AT121" s="1320"/>
      <c r="AU121" s="1320"/>
      <c r="AV121" s="1320"/>
      <c r="AW121" s="1320"/>
      <c r="AX121" s="1320"/>
      <c r="AY121" s="1320"/>
      <c r="AZ121" s="1320"/>
      <c r="BA121" s="1320"/>
      <c r="BB121" s="1320"/>
      <c r="BC121" s="1320"/>
      <c r="BD121" s="1320"/>
      <c r="BE121" s="1320"/>
      <c r="BF121" s="1320"/>
      <c r="BG121" s="1320"/>
      <c r="BH121" s="1320"/>
      <c r="BI121" s="1320"/>
      <c r="BJ121" s="1320"/>
      <c r="BK121" s="1320"/>
    </row>
    <row r="122" spans="2:63">
      <c r="C122" s="1320"/>
      <c r="D122" s="1320"/>
      <c r="E122" s="1320"/>
      <c r="F122" s="1320"/>
      <c r="G122" s="1320"/>
      <c r="H122" s="1320"/>
      <c r="I122" s="1320"/>
      <c r="J122" s="1320"/>
      <c r="K122" s="1320"/>
      <c r="L122" s="1320"/>
      <c r="M122" s="1320"/>
      <c r="N122" s="1320"/>
      <c r="O122" s="1320"/>
      <c r="P122" s="1320"/>
      <c r="Q122" s="1320"/>
      <c r="R122" s="1320"/>
      <c r="S122" s="1320"/>
      <c r="T122" s="1320"/>
      <c r="U122" s="1320"/>
      <c r="V122" s="1320"/>
      <c r="W122" s="1320"/>
      <c r="X122" s="1320"/>
      <c r="Y122" s="1320"/>
      <c r="Z122" s="1320"/>
      <c r="AA122" s="1320"/>
      <c r="AB122" s="1320"/>
      <c r="AC122" s="1320"/>
      <c r="AD122" s="1320"/>
      <c r="AE122" s="1320"/>
      <c r="AF122" s="1320"/>
      <c r="AG122" s="1320"/>
      <c r="AH122" s="1320"/>
      <c r="AI122" s="1320"/>
      <c r="AJ122" s="1320"/>
      <c r="AK122" s="1320"/>
      <c r="AL122" s="1320"/>
      <c r="AM122" s="1320"/>
      <c r="AN122" s="1320"/>
      <c r="AO122" s="1320"/>
      <c r="AP122" s="1320"/>
      <c r="AQ122" s="1320"/>
      <c r="AR122" s="1320"/>
      <c r="AS122" s="1320"/>
      <c r="AT122" s="1320"/>
      <c r="AU122" s="1320"/>
      <c r="AV122" s="1320"/>
      <c r="AW122" s="1320"/>
      <c r="AX122" s="1320"/>
      <c r="AY122" s="1320"/>
      <c r="AZ122" s="1320"/>
      <c r="BA122" s="1320"/>
      <c r="BB122" s="1320"/>
      <c r="BC122" s="1320"/>
      <c r="BD122" s="1320"/>
      <c r="BE122" s="1320"/>
      <c r="BF122" s="1320"/>
      <c r="BG122" s="1320"/>
      <c r="BH122" s="1320"/>
      <c r="BI122" s="1320"/>
      <c r="BJ122" s="1320"/>
      <c r="BK122" s="1320"/>
    </row>
  </sheetData>
  <mergeCells count="1">
    <mergeCell ref="B112:C112"/>
  </mergeCells>
  <conditionalFormatting sqref="D20:BK20">
    <cfRule type="cellIs" dxfId="1" priority="2" operator="greaterThan">
      <formula>1</formula>
    </cfRule>
  </conditionalFormatting>
  <conditionalFormatting sqref="D23:BK23">
    <cfRule type="cellIs" dxfId="0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>
    <tabColor rgb="FFFFFF00"/>
    <pageSetUpPr fitToPage="1"/>
  </sheetPr>
  <dimension ref="B1:Z65"/>
  <sheetViews>
    <sheetView showGridLines="0" topLeftCell="A13" zoomScale="150" zoomScaleNormal="90" workbookViewId="0">
      <selection activeCell="E4" sqref="E4"/>
    </sheetView>
  </sheetViews>
  <sheetFormatPr baseColWidth="10" defaultColWidth="9.1640625" defaultRowHeight="13"/>
  <cols>
    <col min="1" max="1" width="9.1640625" style="1"/>
    <col min="2" max="2" width="23.33203125" style="1" customWidth="1"/>
    <col min="3" max="3" width="12.33203125" style="4" customWidth="1"/>
    <col min="4" max="4" width="7.33203125" style="3" customWidth="1"/>
    <col min="5" max="5" width="11.33203125" style="6" customWidth="1"/>
    <col min="6" max="6" width="10.33203125" style="4" customWidth="1"/>
    <col min="7" max="7" width="13.33203125" style="1" customWidth="1"/>
    <col min="8" max="8" width="9" style="1" bestFit="1" customWidth="1"/>
    <col min="9" max="9" width="10.5" style="1" customWidth="1"/>
    <col min="10" max="10" width="18.6640625" style="1" bestFit="1" customWidth="1"/>
    <col min="11" max="11" width="12" style="1" bestFit="1" customWidth="1"/>
    <col min="12" max="12" width="13.83203125" style="1" customWidth="1"/>
    <col min="13" max="13" width="13.5" style="1" customWidth="1"/>
    <col min="14" max="24" width="9.1640625" style="1"/>
    <col min="25" max="25" width="21.1640625" style="1" customWidth="1"/>
    <col min="26" max="16384" width="9.1640625" style="1"/>
  </cols>
  <sheetData>
    <row r="1" spans="2:14">
      <c r="B1" s="1387" t="s">
        <v>52</v>
      </c>
      <c r="C1" s="1387"/>
      <c r="D1" s="1387"/>
      <c r="E1" s="1387"/>
      <c r="F1" s="1387"/>
      <c r="G1" s="1387"/>
    </row>
    <row r="2" spans="2:14">
      <c r="B2" s="2" t="s">
        <v>69</v>
      </c>
    </row>
    <row r="3" spans="2:14" s="2" customFormat="1">
      <c r="B3" s="8" t="s">
        <v>32</v>
      </c>
      <c r="C3" s="9" t="s">
        <v>25</v>
      </c>
      <c r="D3" s="7" t="s">
        <v>345</v>
      </c>
      <c r="E3" s="10" t="s">
        <v>433</v>
      </c>
      <c r="F3" s="9" t="s">
        <v>4</v>
      </c>
      <c r="G3" s="11" t="s">
        <v>21</v>
      </c>
      <c r="H3" s="52" t="s">
        <v>422</v>
      </c>
      <c r="I3" s="52" t="s">
        <v>545</v>
      </c>
      <c r="J3" s="2" t="s">
        <v>546</v>
      </c>
    </row>
    <row r="4" spans="2:14" s="2" customFormat="1">
      <c r="B4" s="99" t="s">
        <v>408</v>
      </c>
      <c r="C4" s="100">
        <v>10</v>
      </c>
      <c r="D4" s="349">
        <v>740</v>
      </c>
      <c r="E4" s="102">
        <f>'Rent Comps'!S23</f>
        <v>2315</v>
      </c>
      <c r="F4" s="12">
        <f t="shared" ref="F4:F7" si="0">IF(C4=0,0,E4/D4)</f>
        <v>3.1283783783783785</v>
      </c>
      <c r="G4" s="19">
        <f>C4*E4*12</f>
        <v>277800</v>
      </c>
      <c r="H4" s="462">
        <f>C4*D4</f>
        <v>7400</v>
      </c>
      <c r="I4" s="1016">
        <f>'Rent Comps'!T23*'Unit Mix'!C4*12</f>
        <v>275030</v>
      </c>
      <c r="J4" s="1017">
        <f>G4-I4</f>
        <v>2770</v>
      </c>
      <c r="K4" s="2">
        <v>23</v>
      </c>
      <c r="L4" s="461">
        <f>K4/$K$7</f>
        <v>0.19166666666666668</v>
      </c>
      <c r="M4" s="1158">
        <f>L4*$M$7</f>
        <v>11.691666666666668</v>
      </c>
      <c r="N4" s="2">
        <v>12</v>
      </c>
    </row>
    <row r="5" spans="2:14" s="2" customFormat="1">
      <c r="B5" s="348" t="s">
        <v>260</v>
      </c>
      <c r="C5" s="195">
        <v>28</v>
      </c>
      <c r="D5" s="350">
        <v>1105</v>
      </c>
      <c r="E5" s="196">
        <f>'Rent Comps'!Z23</f>
        <v>3000.3333333333335</v>
      </c>
      <c r="F5" s="12">
        <f t="shared" si="0"/>
        <v>2.7152337858220212</v>
      </c>
      <c r="G5" s="19">
        <f t="shared" ref="G5:G6" si="1">C5*E5*12</f>
        <v>1008112.0000000001</v>
      </c>
      <c r="H5" s="462">
        <f t="shared" ref="H5:H6" si="2">C5*D5</f>
        <v>30940</v>
      </c>
      <c r="I5" s="1016">
        <f>'Rent Comps'!AA23*'Unit Mix'!C5*12</f>
        <v>999292.00000000012</v>
      </c>
      <c r="J5" s="1017">
        <f t="shared" ref="J5:J6" si="3">G5-I5</f>
        <v>8820</v>
      </c>
      <c r="K5" s="2">
        <v>66</v>
      </c>
      <c r="L5" s="461">
        <f t="shared" ref="L5:L6" si="4">K5/$K$7</f>
        <v>0.55000000000000004</v>
      </c>
      <c r="M5" s="1158">
        <f>L5*$M$7</f>
        <v>33.550000000000004</v>
      </c>
      <c r="N5" s="2">
        <v>33</v>
      </c>
    </row>
    <row r="6" spans="2:14" s="2" customFormat="1" ht="14" thickBot="1">
      <c r="B6" s="348" t="s">
        <v>262</v>
      </c>
      <c r="C6" s="195">
        <v>23</v>
      </c>
      <c r="D6" s="350">
        <v>1504</v>
      </c>
      <c r="E6" s="196">
        <f>'Rent Comps'!AG23</f>
        <v>4397.8888888888887</v>
      </c>
      <c r="F6" s="434">
        <f t="shared" si="0"/>
        <v>2.9241282505910164</v>
      </c>
      <c r="G6" s="19">
        <f t="shared" si="1"/>
        <v>1213817.3333333333</v>
      </c>
      <c r="H6" s="462">
        <f t="shared" si="2"/>
        <v>34592</v>
      </c>
      <c r="I6" s="1018">
        <f>'Rent Comps'!AH23*'Unit Mix'!C6*12</f>
        <v>1204218.6666666667</v>
      </c>
      <c r="J6" s="1017">
        <f t="shared" si="3"/>
        <v>9598.6666666665114</v>
      </c>
      <c r="K6" s="2">
        <v>31</v>
      </c>
      <c r="L6" s="461">
        <f t="shared" si="4"/>
        <v>0.25833333333333336</v>
      </c>
      <c r="M6" s="1158">
        <f>L6*$M$7</f>
        <v>15.758333333333335</v>
      </c>
      <c r="N6" s="2">
        <v>16</v>
      </c>
    </row>
    <row r="7" spans="2:14" ht="14" thickBot="1">
      <c r="B7" s="13" t="s">
        <v>33</v>
      </c>
      <c r="C7" s="14">
        <f>SUM(C4:C6)</f>
        <v>61</v>
      </c>
      <c r="D7" s="351">
        <f>IF(C7=0,0,SUMPRODUCT(C4:C6,D4:D6)/SUM(C4:C6))</f>
        <v>1195.6065573770493</v>
      </c>
      <c r="E7" s="1162">
        <v>3288</v>
      </c>
      <c r="F7" s="1161">
        <f t="shared" si="0"/>
        <v>2.7500685570120109</v>
      </c>
      <c r="G7" s="18">
        <f>SUM(G4:G6)</f>
        <v>2499729.333333333</v>
      </c>
      <c r="H7" s="463">
        <f>SUM(H4:H6)</f>
        <v>72932</v>
      </c>
      <c r="I7" s="1016">
        <f>SUM(I4:I6)</f>
        <v>2478540.666666667</v>
      </c>
      <c r="J7" s="1017">
        <f>G7-I7</f>
        <v>21188.666666666046</v>
      </c>
      <c r="K7" s="1">
        <f>SUM(K4:K6)</f>
        <v>120</v>
      </c>
      <c r="M7" s="1">
        <v>61</v>
      </c>
    </row>
    <row r="8" spans="2:14">
      <c r="C8" s="4" t="s">
        <v>22</v>
      </c>
      <c r="D8" s="1"/>
      <c r="E8" s="5" t="s">
        <v>574</v>
      </c>
    </row>
    <row r="9" spans="2:14">
      <c r="C9" s="2" t="s">
        <v>502</v>
      </c>
      <c r="D9" s="1"/>
      <c r="E9" s="1163">
        <f>C7</f>
        <v>61</v>
      </c>
      <c r="F9" s="1165">
        <v>61</v>
      </c>
    </row>
    <row r="10" spans="2:14">
      <c r="C10" s="2" t="s">
        <v>576</v>
      </c>
      <c r="D10" s="1"/>
      <c r="E10" s="1163">
        <f>D7</f>
        <v>1195.6065573770493</v>
      </c>
      <c r="F10" s="1166">
        <f>D7</f>
        <v>1195.6065573770493</v>
      </c>
    </row>
    <row r="11" spans="2:14" ht="14" thickBot="1">
      <c r="C11" s="2" t="s">
        <v>577</v>
      </c>
      <c r="D11" s="1"/>
      <c r="E11" s="1164">
        <v>2.75</v>
      </c>
      <c r="F11" s="1167">
        <v>3</v>
      </c>
    </row>
    <row r="12" spans="2:14" ht="14" thickBot="1">
      <c r="C12" s="1168" t="s">
        <v>578</v>
      </c>
      <c r="D12" s="797"/>
      <c r="E12" s="1169">
        <f>(E9*E10*E11)/E9</f>
        <v>3287.9180327868853</v>
      </c>
      <c r="F12" s="1170">
        <f>(F9*F10*F11)/F9</f>
        <v>3586.8196721311474</v>
      </c>
    </row>
    <row r="13" spans="2:14">
      <c r="D13" s="1"/>
      <c r="E13" s="1"/>
    </row>
    <row r="14" spans="2:14">
      <c r="B14" s="2" t="s">
        <v>575</v>
      </c>
    </row>
    <row r="15" spans="2:14">
      <c r="B15" s="8" t="s">
        <v>32</v>
      </c>
      <c r="C15" s="9" t="s">
        <v>25</v>
      </c>
      <c r="D15" s="7" t="s">
        <v>345</v>
      </c>
      <c r="E15" s="10" t="s">
        <v>433</v>
      </c>
      <c r="F15" s="9" t="s">
        <v>4</v>
      </c>
      <c r="G15" s="11" t="s">
        <v>21</v>
      </c>
      <c r="H15" s="52" t="s">
        <v>422</v>
      </c>
      <c r="I15" s="52" t="s">
        <v>545</v>
      </c>
      <c r="J15" s="2" t="s">
        <v>546</v>
      </c>
      <c r="K15" s="2"/>
      <c r="L15" s="2"/>
      <c r="M15" s="2"/>
      <c r="N15" s="2"/>
    </row>
    <row r="16" spans="2:14">
      <c r="B16" s="99" t="s">
        <v>408</v>
      </c>
      <c r="C16" s="100">
        <v>10</v>
      </c>
      <c r="D16" s="349">
        <f>'Rent Comps'!R23</f>
        <v>800.41666666666663</v>
      </c>
      <c r="E16" s="102">
        <f>'Rent Comps'!S23</f>
        <v>2315</v>
      </c>
      <c r="F16" s="12">
        <f t="shared" ref="F16:F19" si="5">IF(C16=0,0,E16/D16)</f>
        <v>2.8922436231129622</v>
      </c>
      <c r="G16" s="19">
        <f>C16*E16*12</f>
        <v>277800</v>
      </c>
      <c r="H16" s="462">
        <f>C16*D16</f>
        <v>8004.1666666666661</v>
      </c>
      <c r="I16" s="1016">
        <f>'Rent Comps'!T30*'Unit Mix'!C16*12</f>
        <v>0</v>
      </c>
      <c r="J16" s="1017">
        <f>G16-I16</f>
        <v>277800</v>
      </c>
      <c r="K16" s="2">
        <v>23</v>
      </c>
      <c r="L16" s="461">
        <f>K16/$K$7</f>
        <v>0.19166666666666668</v>
      </c>
      <c r="M16" s="1158">
        <f>L16*$M$7</f>
        <v>11.691666666666668</v>
      </c>
      <c r="N16" s="2">
        <v>12</v>
      </c>
    </row>
    <row r="17" spans="2:14">
      <c r="B17" s="348" t="s">
        <v>260</v>
      </c>
      <c r="C17" s="195">
        <v>28</v>
      </c>
      <c r="D17" s="350">
        <f>'Rent Comps'!Y23</f>
        <v>1169.5</v>
      </c>
      <c r="E17" s="196">
        <f>'Rent Comps'!Z23</f>
        <v>3000.3333333333335</v>
      </c>
      <c r="F17" s="12">
        <f t="shared" si="5"/>
        <v>2.5654838249964373</v>
      </c>
      <c r="G17" s="19">
        <f t="shared" ref="G17:G18" si="6">C17*E17*12</f>
        <v>1008112.0000000001</v>
      </c>
      <c r="H17" s="462">
        <f t="shared" ref="H17:H18" si="7">C17*D17</f>
        <v>32746</v>
      </c>
      <c r="I17" s="1016">
        <f>'Rent Comps'!AA30*'Unit Mix'!C17*12</f>
        <v>0</v>
      </c>
      <c r="J17" s="1017">
        <f t="shared" ref="J17:J18" si="8">G17-I17</f>
        <v>1008112.0000000001</v>
      </c>
      <c r="K17" s="2">
        <v>66</v>
      </c>
      <c r="L17" s="461">
        <f t="shared" ref="L17:L18" si="9">K17/$K$7</f>
        <v>0.55000000000000004</v>
      </c>
      <c r="M17" s="1158">
        <f>L17*$M$7</f>
        <v>33.550000000000004</v>
      </c>
      <c r="N17" s="2">
        <v>33</v>
      </c>
    </row>
    <row r="18" spans="2:14" ht="14" thickBot="1">
      <c r="B18" s="348" t="s">
        <v>262</v>
      </c>
      <c r="C18" s="195">
        <v>23</v>
      </c>
      <c r="D18" s="350">
        <f>'Rent Comps'!AF23</f>
        <v>1565.3333333333333</v>
      </c>
      <c r="E18" s="196">
        <f>'Rent Comps'!AG23</f>
        <v>4397.8888888888887</v>
      </c>
      <c r="F18" s="434">
        <f t="shared" si="5"/>
        <v>2.8095542305508232</v>
      </c>
      <c r="G18" s="19">
        <f t="shared" si="6"/>
        <v>1213817.3333333333</v>
      </c>
      <c r="H18" s="462">
        <f t="shared" si="7"/>
        <v>36002.666666666664</v>
      </c>
      <c r="I18" s="1018">
        <f>'Rent Comps'!AH30*'Unit Mix'!C18*12</f>
        <v>0</v>
      </c>
      <c r="J18" s="1017">
        <f t="shared" si="8"/>
        <v>1213817.3333333333</v>
      </c>
      <c r="K18" s="2">
        <v>31</v>
      </c>
      <c r="L18" s="461">
        <f t="shared" si="9"/>
        <v>0.25833333333333336</v>
      </c>
      <c r="M18" s="1158">
        <f>L18*$M$7</f>
        <v>15.758333333333335</v>
      </c>
      <c r="N18" s="2">
        <v>16</v>
      </c>
    </row>
    <row r="19" spans="2:14" ht="14" thickBot="1">
      <c r="B19" s="13" t="s">
        <v>33</v>
      </c>
      <c r="C19" s="14">
        <f>SUM(C16:C18)</f>
        <v>61</v>
      </c>
      <c r="D19" s="351">
        <f>IF(C19=0,0,SUMPRODUCT(C16:C18,D16:D18)/SUM(C16:C18))</f>
        <v>1258.243169398907</v>
      </c>
      <c r="E19" s="1162">
        <f>IF(C19=0,0,G19/C19/12)</f>
        <v>3414.9307832422583</v>
      </c>
      <c r="F19" s="1161">
        <f t="shared" si="5"/>
        <v>2.7140467489075686</v>
      </c>
      <c r="G19" s="18">
        <f>SUM(G16:G18)</f>
        <v>2499729.333333333</v>
      </c>
      <c r="H19" s="463">
        <f>SUM(H16:H18)</f>
        <v>76752.833333333328</v>
      </c>
      <c r="I19" s="1016">
        <f>SUM(I16:I18)</f>
        <v>0</v>
      </c>
      <c r="J19" s="1017">
        <f>G19-I19</f>
        <v>2499729.333333333</v>
      </c>
      <c r="K19" s="1">
        <f>SUM(K16:K18)</f>
        <v>120</v>
      </c>
      <c r="M19" s="1">
        <v>61</v>
      </c>
    </row>
    <row r="20" spans="2:14">
      <c r="D20" s="1"/>
      <c r="E20" s="5"/>
    </row>
    <row r="21" spans="2:14">
      <c r="D21" s="1"/>
      <c r="E21" s="5"/>
    </row>
    <row r="22" spans="2:14">
      <c r="D22" s="1"/>
      <c r="E22" s="5"/>
    </row>
    <row r="23" spans="2:14">
      <c r="B23" s="1" t="s">
        <v>39</v>
      </c>
    </row>
    <row r="24" spans="2:14">
      <c r="B24" s="8" t="s">
        <v>32</v>
      </c>
      <c r="C24" s="9" t="s">
        <v>25</v>
      </c>
      <c r="D24" s="7" t="s">
        <v>20</v>
      </c>
      <c r="E24" s="10" t="s">
        <v>27</v>
      </c>
      <c r="F24" s="9" t="s">
        <v>4</v>
      </c>
      <c r="G24" s="11" t="s">
        <v>21</v>
      </c>
    </row>
    <row r="25" spans="2:14">
      <c r="B25" s="99" t="s">
        <v>28</v>
      </c>
      <c r="C25" s="100">
        <v>0</v>
      </c>
      <c r="D25" s="101">
        <v>0</v>
      </c>
      <c r="E25" s="102">
        <v>0</v>
      </c>
      <c r="F25" s="12">
        <f t="shared" ref="F25:F31" si="10">IF(C25=0,0,E25/D25)</f>
        <v>0</v>
      </c>
      <c r="G25" s="19">
        <f t="shared" ref="G25:G30" si="11">C25*E25*12</f>
        <v>0</v>
      </c>
    </row>
    <row r="26" spans="2:14">
      <c r="B26" s="99" t="s">
        <v>259</v>
      </c>
      <c r="C26" s="100">
        <v>0</v>
      </c>
      <c r="D26" s="101">
        <v>0</v>
      </c>
      <c r="E26" s="102">
        <v>0</v>
      </c>
      <c r="F26" s="12">
        <f t="shared" si="10"/>
        <v>0</v>
      </c>
      <c r="G26" s="19">
        <f t="shared" si="11"/>
        <v>0</v>
      </c>
    </row>
    <row r="27" spans="2:14">
      <c r="B27" s="99" t="s">
        <v>260</v>
      </c>
      <c r="C27" s="100">
        <v>0</v>
      </c>
      <c r="D27" s="101">
        <v>0</v>
      </c>
      <c r="E27" s="102">
        <v>0</v>
      </c>
      <c r="F27" s="12">
        <f t="shared" si="10"/>
        <v>0</v>
      </c>
      <c r="G27" s="19">
        <f t="shared" si="11"/>
        <v>0</v>
      </c>
    </row>
    <row r="28" spans="2:14">
      <c r="B28" s="99" t="s">
        <v>261</v>
      </c>
      <c r="C28" s="100">
        <v>0</v>
      </c>
      <c r="D28" s="101">
        <v>0</v>
      </c>
      <c r="E28" s="102">
        <v>0</v>
      </c>
      <c r="F28" s="12">
        <f t="shared" si="10"/>
        <v>0</v>
      </c>
      <c r="G28" s="19">
        <f t="shared" si="11"/>
        <v>0</v>
      </c>
    </row>
    <row r="29" spans="2:14">
      <c r="B29" s="99" t="s">
        <v>262</v>
      </c>
      <c r="C29" s="100">
        <v>0</v>
      </c>
      <c r="D29" s="101">
        <v>0</v>
      </c>
      <c r="E29" s="102">
        <v>0</v>
      </c>
      <c r="F29" s="12">
        <f t="shared" si="10"/>
        <v>0</v>
      </c>
      <c r="G29" s="19">
        <f t="shared" si="11"/>
        <v>0</v>
      </c>
    </row>
    <row r="30" spans="2:14">
      <c r="B30" s="99"/>
      <c r="C30" s="100">
        <v>0</v>
      </c>
      <c r="D30" s="101">
        <v>0</v>
      </c>
      <c r="E30" s="102">
        <v>0</v>
      </c>
      <c r="F30" s="12">
        <f t="shared" si="10"/>
        <v>0</v>
      </c>
      <c r="G30" s="19">
        <f t="shared" si="11"/>
        <v>0</v>
      </c>
    </row>
    <row r="31" spans="2:14">
      <c r="B31" s="13" t="s">
        <v>33</v>
      </c>
      <c r="C31" s="14">
        <f>SUM(C25:C30)</f>
        <v>0</v>
      </c>
      <c r="D31" s="15">
        <f>IF(C31=0,0,SUMPRODUCT(C25:C30,D25:D30)/SUM(C25:C30))</f>
        <v>0</v>
      </c>
      <c r="E31" s="16">
        <f>IF(C31=0,0,G31/C31/12)</f>
        <v>0</v>
      </c>
      <c r="F31" s="17">
        <f t="shared" si="10"/>
        <v>0</v>
      </c>
      <c r="G31" s="18">
        <f>SUM(G25:G30)</f>
        <v>0</v>
      </c>
    </row>
    <row r="33" spans="2:13">
      <c r="B33" s="1" t="s">
        <v>40</v>
      </c>
    </row>
    <row r="34" spans="2:13">
      <c r="B34" s="13" t="s">
        <v>33</v>
      </c>
      <c r="C34" s="14">
        <f>+C31+C7</f>
        <v>61</v>
      </c>
      <c r="D34" s="15">
        <f>IF(C34=0,0,((C7*D7)+(C31*D31))/C34)</f>
        <v>1195.6065573770493</v>
      </c>
      <c r="E34" s="16">
        <f>IF(C34=0,0,G34/C34/12)</f>
        <v>3414.9307832422583</v>
      </c>
      <c r="F34" s="17">
        <f>IF(C34=0,0,E34/D34)</f>
        <v>2.8562328988342256</v>
      </c>
      <c r="G34" s="18">
        <f>+G31+G7</f>
        <v>2499729.333333333</v>
      </c>
    </row>
    <row r="37" spans="2:13">
      <c r="B37" s="1388" t="s">
        <v>53</v>
      </c>
      <c r="C37" s="1388"/>
      <c r="D37" s="1388"/>
      <c r="E37" s="1388"/>
      <c r="F37" s="1388"/>
      <c r="G37" s="1388"/>
      <c r="H37" s="1388"/>
      <c r="I37" s="1388"/>
      <c r="J37" s="1388"/>
      <c r="K37" s="1388"/>
      <c r="L37" s="1388"/>
      <c r="M37" s="1388"/>
    </row>
    <row r="38" spans="2:13">
      <c r="B38" s="20" t="s">
        <v>41</v>
      </c>
      <c r="C38" s="21" t="s">
        <v>42</v>
      </c>
      <c r="D38" s="21" t="s">
        <v>43</v>
      </c>
      <c r="E38" s="21" t="s">
        <v>44</v>
      </c>
      <c r="F38" s="22" t="s">
        <v>20</v>
      </c>
      <c r="G38" s="22" t="s">
        <v>1</v>
      </c>
      <c r="H38" s="23" t="s">
        <v>4</v>
      </c>
      <c r="I38" s="21" t="s">
        <v>21</v>
      </c>
      <c r="J38" s="21" t="s">
        <v>45</v>
      </c>
      <c r="K38" s="24" t="s">
        <v>46</v>
      </c>
      <c r="L38" s="25" t="s">
        <v>47</v>
      </c>
      <c r="M38" s="26" t="s">
        <v>48</v>
      </c>
    </row>
    <row r="39" spans="2:13">
      <c r="B39" s="27" t="s">
        <v>63</v>
      </c>
      <c r="C39" s="160" t="s">
        <v>50</v>
      </c>
      <c r="D39" s="161"/>
      <c r="E39" s="29" t="s">
        <v>56</v>
      </c>
      <c r="F39" s="30">
        <v>0</v>
      </c>
      <c r="G39" s="31">
        <f t="shared" ref="G39:G45" si="12">IF($F$46=0,0,F39/$F$46)</f>
        <v>0</v>
      </c>
      <c r="H39" s="32">
        <v>0</v>
      </c>
      <c r="I39" s="33">
        <f t="shared" ref="I39:I45" si="13">H39*F39</f>
        <v>0</v>
      </c>
      <c r="J39" s="32">
        <v>0</v>
      </c>
      <c r="K39" s="34">
        <v>43101</v>
      </c>
      <c r="L39" s="35">
        <v>43101</v>
      </c>
      <c r="M39" s="162"/>
    </row>
    <row r="40" spans="2:13">
      <c r="B40" s="27" t="s">
        <v>63</v>
      </c>
      <c r="C40" s="160" t="s">
        <v>51</v>
      </c>
      <c r="D40" s="161"/>
      <c r="E40" s="29" t="s">
        <v>57</v>
      </c>
      <c r="F40" s="30">
        <v>0</v>
      </c>
      <c r="G40" s="31">
        <f t="shared" si="12"/>
        <v>0</v>
      </c>
      <c r="H40" s="32">
        <v>0</v>
      </c>
      <c r="I40" s="33">
        <f t="shared" si="13"/>
        <v>0</v>
      </c>
      <c r="J40" s="32">
        <v>0</v>
      </c>
      <c r="K40" s="34">
        <v>43101</v>
      </c>
      <c r="L40" s="35">
        <v>43102</v>
      </c>
      <c r="M40" s="162"/>
    </row>
    <row r="41" spans="2:13">
      <c r="B41" s="27" t="s">
        <v>63</v>
      </c>
      <c r="C41" s="160" t="s">
        <v>50</v>
      </c>
      <c r="D41" s="161"/>
      <c r="E41" s="29" t="s">
        <v>58</v>
      </c>
      <c r="F41" s="30">
        <v>0</v>
      </c>
      <c r="G41" s="31">
        <f t="shared" si="12"/>
        <v>0</v>
      </c>
      <c r="H41" s="32">
        <v>0</v>
      </c>
      <c r="I41" s="33">
        <f t="shared" si="13"/>
        <v>0</v>
      </c>
      <c r="J41" s="32">
        <v>0</v>
      </c>
      <c r="K41" s="34">
        <v>43101</v>
      </c>
      <c r="L41" s="35">
        <v>43103</v>
      </c>
      <c r="M41" s="162"/>
    </row>
    <row r="42" spans="2:13">
      <c r="B42" s="27" t="s">
        <v>63</v>
      </c>
      <c r="C42" s="160" t="s">
        <v>50</v>
      </c>
      <c r="D42" s="161"/>
      <c r="E42" s="29" t="s">
        <v>59</v>
      </c>
      <c r="F42" s="30">
        <v>0</v>
      </c>
      <c r="G42" s="31">
        <f t="shared" si="12"/>
        <v>0</v>
      </c>
      <c r="H42" s="32">
        <v>0</v>
      </c>
      <c r="I42" s="33">
        <f>H42*F42</f>
        <v>0</v>
      </c>
      <c r="J42" s="32">
        <v>0</v>
      </c>
      <c r="K42" s="34">
        <v>43101</v>
      </c>
      <c r="L42" s="35">
        <v>43103</v>
      </c>
      <c r="M42" s="162"/>
    </row>
    <row r="43" spans="2:13">
      <c r="B43" s="27" t="s">
        <v>63</v>
      </c>
      <c r="C43" s="160" t="s">
        <v>50</v>
      </c>
      <c r="D43" s="161"/>
      <c r="E43" s="29" t="s">
        <v>60</v>
      </c>
      <c r="F43" s="30">
        <v>0</v>
      </c>
      <c r="G43" s="31">
        <f t="shared" si="12"/>
        <v>0</v>
      </c>
      <c r="H43" s="32">
        <v>0</v>
      </c>
      <c r="I43" s="33">
        <f>H43*F43</f>
        <v>0</v>
      </c>
      <c r="J43" s="32">
        <v>0</v>
      </c>
      <c r="K43" s="34">
        <v>43101</v>
      </c>
      <c r="L43" s="35">
        <v>43103</v>
      </c>
      <c r="M43" s="162"/>
    </row>
    <row r="44" spans="2:13">
      <c r="B44" s="27" t="s">
        <v>49</v>
      </c>
      <c r="C44" s="160" t="s">
        <v>51</v>
      </c>
      <c r="D44" s="161"/>
      <c r="E44" s="29" t="s">
        <v>61</v>
      </c>
      <c r="F44" s="30">
        <v>0</v>
      </c>
      <c r="G44" s="31">
        <f t="shared" si="12"/>
        <v>0</v>
      </c>
      <c r="H44" s="32">
        <v>0</v>
      </c>
      <c r="I44" s="33">
        <f t="shared" si="13"/>
        <v>0</v>
      </c>
      <c r="J44" s="32">
        <v>0</v>
      </c>
      <c r="K44" s="34">
        <v>43101</v>
      </c>
      <c r="L44" s="35">
        <v>43106</v>
      </c>
      <c r="M44" s="162"/>
    </row>
    <row r="45" spans="2:13">
      <c r="B45" s="27" t="s">
        <v>49</v>
      </c>
      <c r="C45" s="28" t="s">
        <v>51</v>
      </c>
      <c r="D45" s="161"/>
      <c r="E45" s="29" t="s">
        <v>62</v>
      </c>
      <c r="F45" s="30">
        <v>0</v>
      </c>
      <c r="G45" s="31">
        <f t="shared" si="12"/>
        <v>0</v>
      </c>
      <c r="H45" s="32">
        <v>0</v>
      </c>
      <c r="I45" s="33">
        <f t="shared" si="13"/>
        <v>0</v>
      </c>
      <c r="J45" s="32">
        <v>0</v>
      </c>
      <c r="K45" s="34">
        <v>43101</v>
      </c>
      <c r="L45" s="35">
        <v>43107</v>
      </c>
      <c r="M45" s="162"/>
    </row>
    <row r="46" spans="2:13">
      <c r="B46" s="95" t="s">
        <v>254</v>
      </c>
      <c r="C46" s="96"/>
      <c r="D46" s="96"/>
      <c r="E46" s="96"/>
      <c r="F46" s="36">
        <f>SUM(F39:F45)</f>
        <v>0</v>
      </c>
      <c r="G46" s="37">
        <f>SUM(G39:G45)</f>
        <v>0</v>
      </c>
      <c r="H46" s="38">
        <f>IFERROR(I46/F46,0)</f>
        <v>0</v>
      </c>
      <c r="I46" s="39">
        <f>SUM(I39:I45)</f>
        <v>0</v>
      </c>
      <c r="J46" s="51">
        <f>SUM(J39:J45)</f>
        <v>0</v>
      </c>
      <c r="K46" s="40"/>
      <c r="L46" s="41"/>
      <c r="M46" s="42"/>
    </row>
    <row r="47" spans="2:13">
      <c r="I47" s="52" t="s">
        <v>66</v>
      </c>
      <c r="J47" s="104">
        <v>0</v>
      </c>
    </row>
    <row r="48" spans="2:13">
      <c r="I48" s="52"/>
    </row>
    <row r="49" spans="2:26">
      <c r="B49" s="1388" t="s">
        <v>67</v>
      </c>
      <c r="C49" s="1388"/>
      <c r="D49" s="1388"/>
      <c r="E49" s="1388"/>
    </row>
    <row r="50" spans="2:26" ht="28">
      <c r="B50" s="47" t="s">
        <v>54</v>
      </c>
      <c r="C50" s="43" t="s">
        <v>256</v>
      </c>
      <c r="D50" s="50" t="s">
        <v>255</v>
      </c>
      <c r="E50" s="92" t="s">
        <v>55</v>
      </c>
    </row>
    <row r="51" spans="2:26">
      <c r="B51" s="48">
        <f>SUMIF(C39:C45,"leased",F39:F45)</f>
        <v>0</v>
      </c>
      <c r="C51" s="44">
        <f>SUMIF(C39:C45,"Vacant",F39:F45)</f>
        <v>0</v>
      </c>
      <c r="D51" s="45">
        <f>SUM(B51:C51)</f>
        <v>0</v>
      </c>
      <c r="E51" s="93"/>
      <c r="F51" s="1"/>
    </row>
    <row r="52" spans="2:26">
      <c r="B52" s="49">
        <f>IF(D51=0,0,B51/$D$51)</f>
        <v>0</v>
      </c>
      <c r="C52" s="46">
        <f>IF(D51=0,0,C51/$D$51)</f>
        <v>0</v>
      </c>
      <c r="D52" s="91">
        <f>IF(D51=0,0,D51/$D$51)</f>
        <v>0</v>
      </c>
      <c r="E52" s="94">
        <f>IF(F46=0,0,SUMIF(C39:C45,"Vacant",I39:I45)/I46)</f>
        <v>0</v>
      </c>
    </row>
    <row r="57" spans="2:26">
      <c r="Y57" s="2" t="s">
        <v>26</v>
      </c>
      <c r="Z57" s="1" t="s">
        <v>50</v>
      </c>
    </row>
    <row r="58" spans="2:26">
      <c r="Y58" s="2" t="s">
        <v>31</v>
      </c>
      <c r="Z58" s="1" t="s">
        <v>51</v>
      </c>
    </row>
    <row r="59" spans="2:26">
      <c r="Y59" s="2" t="s">
        <v>408</v>
      </c>
    </row>
    <row r="60" spans="2:26">
      <c r="Y60" s="2" t="s">
        <v>409</v>
      </c>
    </row>
    <row r="61" spans="2:26">
      <c r="Y61" s="2" t="s">
        <v>410</v>
      </c>
    </row>
    <row r="62" spans="2:26">
      <c r="Y62" s="2" t="s">
        <v>260</v>
      </c>
    </row>
    <row r="63" spans="2:26">
      <c r="Y63" s="2" t="s">
        <v>411</v>
      </c>
    </row>
    <row r="64" spans="2:26">
      <c r="Y64" s="2" t="s">
        <v>261</v>
      </c>
    </row>
    <row r="65" spans="25:25">
      <c r="Y65" s="2" t="s">
        <v>262</v>
      </c>
    </row>
  </sheetData>
  <mergeCells count="3">
    <mergeCell ref="B1:G1"/>
    <mergeCell ref="B37:M37"/>
    <mergeCell ref="B49:E49"/>
  </mergeCells>
  <phoneticPr fontId="48" type="noConversion"/>
  <dataValidations count="2">
    <dataValidation type="list" allowBlank="1" showInputMessage="1" showErrorMessage="1" sqref="C39:C45" xr:uid="{00000000-0002-0000-0600-000000000000}">
      <formula1>$Z$57:$Z$58</formula1>
    </dataValidation>
    <dataValidation type="list" showInputMessage="1" showErrorMessage="1" sqref="B25:B30 B16:B18 B4:B6" xr:uid="{00000000-0002-0000-0600-000001000000}">
      <formula1>$Y$56:$Y$65</formula1>
    </dataValidation>
  </dataValidations>
  <pageMargins left="0.7" right="0.7" top="0.75" bottom="0.75" header="0.3" footer="0.3"/>
  <pageSetup scale="74" orientation="portrait" r:id="rId1"/>
  <ignoredErrors>
    <ignoredError sqref="I39:I41 I44:I45 G39:G45" unlockedFormula="1"/>
    <ignoredError sqref="F8 G46" evalError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4">
    <tabColor rgb="FFFFFF00"/>
  </sheetPr>
  <dimension ref="A1:DU127"/>
  <sheetViews>
    <sheetView workbookViewId="0">
      <selection activeCell="J8" sqref="J8"/>
    </sheetView>
  </sheetViews>
  <sheetFormatPr baseColWidth="10" defaultColWidth="9.1640625" defaultRowHeight="12" customHeight="1"/>
  <cols>
    <col min="1" max="1" width="11.83203125" style="1" customWidth="1"/>
    <col min="2" max="2" width="8.6640625" style="1" customWidth="1"/>
    <col min="3" max="3" width="9.1640625" style="197"/>
    <col min="4" max="4" width="10" style="341" customWidth="1"/>
    <col min="5" max="53" width="7.83203125" style="341" customWidth="1"/>
    <col min="54" max="54" width="7.83203125" style="383" customWidth="1"/>
    <col min="55" max="125" width="7.83203125" style="341" customWidth="1"/>
    <col min="126" max="16384" width="9.1640625" style="197"/>
  </cols>
  <sheetData>
    <row r="1" spans="1:125" ht="12" customHeight="1">
      <c r="B1" s="419" t="s">
        <v>339</v>
      </c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8"/>
      <c r="U1" s="378"/>
      <c r="V1" s="378"/>
      <c r="W1" s="378"/>
      <c r="X1" s="378"/>
      <c r="Y1" s="378"/>
      <c r="Z1" s="378"/>
      <c r="AA1" s="378"/>
      <c r="AB1" s="378"/>
      <c r="AC1" s="378"/>
      <c r="AD1" s="378"/>
      <c r="AE1" s="378"/>
      <c r="AF1" s="378"/>
      <c r="AG1" s="378"/>
      <c r="AH1" s="378"/>
      <c r="AI1" s="378"/>
      <c r="AJ1" s="378"/>
      <c r="AK1" s="378"/>
      <c r="AL1" s="378"/>
      <c r="AM1" s="378"/>
      <c r="AN1" s="378"/>
      <c r="AO1" s="378"/>
      <c r="AP1" s="378"/>
      <c r="AQ1" s="378"/>
      <c r="AR1" s="378"/>
      <c r="AS1" s="378"/>
      <c r="AT1" s="378"/>
      <c r="AU1" s="378"/>
      <c r="AV1" s="378"/>
      <c r="AW1" s="378"/>
      <c r="AX1" s="378"/>
      <c r="AY1" s="378"/>
      <c r="AZ1" s="378"/>
      <c r="BA1" s="378"/>
      <c r="BB1" s="379"/>
      <c r="BC1" s="378"/>
      <c r="BD1" s="378"/>
      <c r="BE1" s="378"/>
      <c r="BF1" s="378"/>
      <c r="BG1" s="378"/>
      <c r="BH1" s="378"/>
      <c r="BI1" s="378"/>
      <c r="BJ1" s="378"/>
      <c r="BK1" s="378"/>
      <c r="BL1" s="378"/>
      <c r="BM1" s="378"/>
      <c r="BN1" s="378"/>
      <c r="BO1" s="378"/>
      <c r="BP1" s="378"/>
      <c r="BQ1" s="378"/>
      <c r="BR1" s="378"/>
      <c r="BS1" s="378"/>
      <c r="BT1" s="378"/>
      <c r="BU1" s="378"/>
      <c r="BV1" s="378"/>
      <c r="BW1" s="378"/>
      <c r="BX1" s="378"/>
      <c r="BY1" s="378"/>
      <c r="BZ1" s="378"/>
      <c r="CA1" s="378"/>
      <c r="CB1" s="378"/>
      <c r="CC1" s="378"/>
      <c r="CD1" s="378"/>
      <c r="CE1" s="378"/>
      <c r="CF1" s="378"/>
      <c r="CG1" s="378"/>
      <c r="CH1" s="378"/>
      <c r="CI1" s="378"/>
      <c r="CJ1" s="378"/>
      <c r="CK1" s="378"/>
      <c r="CL1" s="378"/>
      <c r="CM1" s="378"/>
      <c r="CN1" s="378"/>
      <c r="CO1" s="378"/>
      <c r="CP1" s="378"/>
      <c r="CQ1" s="378"/>
      <c r="CR1" s="378"/>
      <c r="CS1" s="378"/>
      <c r="CT1" s="378"/>
      <c r="CU1" s="378"/>
      <c r="CV1" s="378"/>
      <c r="CW1" s="378"/>
      <c r="CX1" s="378"/>
      <c r="CY1" s="378"/>
      <c r="CZ1" s="378"/>
      <c r="DA1" s="378"/>
      <c r="DB1" s="378"/>
      <c r="DC1" s="378"/>
      <c r="DD1" s="378"/>
      <c r="DE1" s="378"/>
      <c r="DF1" s="378"/>
      <c r="DG1" s="378"/>
      <c r="DH1" s="378"/>
      <c r="DI1" s="378"/>
      <c r="DJ1" s="378"/>
      <c r="DK1" s="378"/>
      <c r="DL1" s="378"/>
      <c r="DM1" s="378"/>
      <c r="DN1" s="378"/>
      <c r="DO1" s="378"/>
      <c r="DP1" s="378"/>
      <c r="DQ1" s="378"/>
      <c r="DR1" s="378"/>
      <c r="DS1" s="378"/>
      <c r="DT1" s="378"/>
      <c r="DU1" s="378"/>
    </row>
    <row r="2" spans="1:125" ht="12" customHeight="1">
      <c r="B2" s="419"/>
      <c r="D2" s="341" t="s">
        <v>354</v>
      </c>
      <c r="E2" s="380">
        <v>5</v>
      </c>
      <c r="F2" s="378"/>
      <c r="G2" s="378"/>
      <c r="H2" s="378"/>
      <c r="I2" s="378"/>
      <c r="J2" s="378"/>
      <c r="K2" s="378"/>
      <c r="L2" s="378"/>
      <c r="M2" s="378"/>
      <c r="N2" s="378"/>
      <c r="O2" s="378"/>
      <c r="P2" s="378"/>
      <c r="Q2" s="378"/>
      <c r="R2" s="378"/>
      <c r="S2" s="378"/>
      <c r="T2" s="378"/>
      <c r="U2" s="378"/>
      <c r="V2" s="378"/>
      <c r="W2" s="378"/>
      <c r="X2" s="378"/>
      <c r="Y2" s="378"/>
      <c r="Z2" s="378"/>
      <c r="AA2" s="378"/>
      <c r="AB2" s="378"/>
      <c r="AC2" s="378"/>
      <c r="AD2" s="378"/>
      <c r="AE2" s="378"/>
      <c r="AF2" s="378"/>
      <c r="AG2" s="378"/>
      <c r="AH2" s="378"/>
      <c r="AI2" s="378"/>
      <c r="AJ2" s="378"/>
      <c r="AK2" s="378"/>
      <c r="AL2" s="378"/>
      <c r="AM2" s="378"/>
      <c r="AN2" s="378"/>
      <c r="AO2" s="378"/>
      <c r="AP2" s="378"/>
      <c r="AQ2" s="378"/>
      <c r="AR2" s="378"/>
      <c r="AS2" s="378"/>
      <c r="AT2" s="378"/>
      <c r="AU2" s="378"/>
      <c r="AV2" s="378"/>
      <c r="AW2" s="378"/>
      <c r="AX2" s="378"/>
      <c r="AY2" s="378"/>
      <c r="AZ2" s="378"/>
      <c r="BA2" s="378"/>
      <c r="BB2" s="379"/>
      <c r="BC2" s="378"/>
      <c r="BD2" s="378"/>
      <c r="BE2" s="378"/>
      <c r="BF2" s="378"/>
      <c r="BG2" s="378"/>
      <c r="BH2" s="378"/>
      <c r="BI2" s="378"/>
      <c r="BJ2" s="378"/>
      <c r="BK2" s="378"/>
      <c r="BL2" s="378"/>
      <c r="BM2" s="378"/>
      <c r="BN2" s="378"/>
      <c r="BO2" s="378"/>
      <c r="BP2" s="378"/>
      <c r="BQ2" s="378"/>
      <c r="BR2" s="378"/>
      <c r="BS2" s="378"/>
      <c r="BT2" s="378"/>
      <c r="BU2" s="378"/>
      <c r="BV2" s="378"/>
      <c r="BW2" s="378"/>
      <c r="BX2" s="378"/>
      <c r="BY2" s="378"/>
      <c r="BZ2" s="378"/>
      <c r="CA2" s="378"/>
      <c r="CB2" s="378"/>
      <c r="CC2" s="378"/>
      <c r="CD2" s="378"/>
      <c r="CE2" s="378"/>
      <c r="CF2" s="378"/>
      <c r="CG2" s="378"/>
      <c r="CH2" s="378"/>
      <c r="CI2" s="378"/>
      <c r="CJ2" s="378"/>
      <c r="CK2" s="378"/>
      <c r="CL2" s="378"/>
      <c r="CM2" s="378"/>
      <c r="CN2" s="378"/>
      <c r="CO2" s="378"/>
      <c r="CP2" s="378"/>
      <c r="CQ2" s="378"/>
      <c r="CR2" s="378"/>
      <c r="CS2" s="378"/>
      <c r="CT2" s="378"/>
      <c r="CU2" s="378"/>
      <c r="CV2" s="378"/>
      <c r="CW2" s="378"/>
      <c r="CX2" s="378"/>
      <c r="CY2" s="378"/>
      <c r="CZ2" s="378"/>
      <c r="DA2" s="378"/>
      <c r="DB2" s="378"/>
      <c r="DC2" s="378"/>
      <c r="DD2" s="378"/>
      <c r="DE2" s="378"/>
      <c r="DF2" s="378"/>
      <c r="DG2" s="378"/>
      <c r="DH2" s="378"/>
      <c r="DI2" s="378"/>
      <c r="DJ2" s="378"/>
      <c r="DK2" s="378"/>
      <c r="DL2" s="378"/>
      <c r="DM2" s="378"/>
      <c r="DN2" s="378"/>
      <c r="DO2" s="378"/>
      <c r="DP2" s="378"/>
      <c r="DQ2" s="378"/>
      <c r="DR2" s="378"/>
      <c r="DS2" s="378"/>
      <c r="DT2" s="378"/>
      <c r="DU2" s="378"/>
    </row>
    <row r="3" spans="1:125" ht="12" customHeight="1">
      <c r="B3" s="419"/>
      <c r="D3" s="341" t="s">
        <v>353</v>
      </c>
      <c r="E3" s="381">
        <f>MIN($E$6:BL6)</f>
        <v>3.71808E-2</v>
      </c>
      <c r="F3" s="378"/>
      <c r="G3" s="380">
        <v>1</v>
      </c>
      <c r="H3" s="380">
        <v>2</v>
      </c>
      <c r="I3" s="380">
        <v>3</v>
      </c>
      <c r="J3" s="380">
        <v>4</v>
      </c>
      <c r="K3" s="380">
        <v>5</v>
      </c>
      <c r="L3" s="380">
        <v>6</v>
      </c>
      <c r="M3" s="380">
        <v>7</v>
      </c>
      <c r="N3" s="380">
        <v>8</v>
      </c>
      <c r="O3" s="380">
        <v>9</v>
      </c>
      <c r="P3" s="380">
        <v>10</v>
      </c>
      <c r="Q3" s="380">
        <v>11</v>
      </c>
      <c r="R3" s="380">
        <v>12</v>
      </c>
      <c r="S3" s="380">
        <v>13</v>
      </c>
      <c r="T3" s="380">
        <v>14</v>
      </c>
      <c r="U3" s="380">
        <v>15</v>
      </c>
      <c r="V3" s="380">
        <v>16</v>
      </c>
      <c r="W3" s="380">
        <v>17</v>
      </c>
      <c r="X3" s="380">
        <v>18</v>
      </c>
      <c r="Y3" s="380">
        <v>19</v>
      </c>
      <c r="Z3" s="380">
        <v>20</v>
      </c>
      <c r="AA3" s="380">
        <v>21</v>
      </c>
      <c r="AB3" s="380">
        <v>22</v>
      </c>
      <c r="AC3" s="380">
        <v>23</v>
      </c>
      <c r="AD3" s="380">
        <v>24</v>
      </c>
      <c r="AE3" s="380">
        <v>25</v>
      </c>
      <c r="AF3" s="380">
        <v>26</v>
      </c>
      <c r="AG3" s="380">
        <v>27</v>
      </c>
      <c r="AH3" s="380">
        <v>28</v>
      </c>
      <c r="AI3" s="380">
        <v>29</v>
      </c>
      <c r="AJ3" s="380">
        <v>30</v>
      </c>
      <c r="AK3" s="380">
        <v>31</v>
      </c>
      <c r="AL3" s="380">
        <v>32</v>
      </c>
      <c r="AM3" s="380">
        <v>33</v>
      </c>
      <c r="AN3" s="380">
        <v>34</v>
      </c>
      <c r="AO3" s="380">
        <v>35</v>
      </c>
      <c r="AP3" s="380">
        <v>36</v>
      </c>
      <c r="AQ3" s="380">
        <v>37</v>
      </c>
      <c r="AR3" s="380">
        <v>38</v>
      </c>
      <c r="AS3" s="380">
        <v>39</v>
      </c>
      <c r="AT3" s="380">
        <v>40</v>
      </c>
      <c r="AU3" s="380">
        <v>41</v>
      </c>
      <c r="AV3" s="380">
        <v>42</v>
      </c>
      <c r="AW3" s="380">
        <v>43</v>
      </c>
      <c r="AX3" s="380">
        <v>44</v>
      </c>
      <c r="AY3" s="380">
        <v>45</v>
      </c>
      <c r="AZ3" s="380">
        <v>46</v>
      </c>
      <c r="BA3" s="380">
        <v>47</v>
      </c>
      <c r="BB3" s="382">
        <v>48</v>
      </c>
      <c r="BC3" s="380">
        <v>49</v>
      </c>
      <c r="BD3" s="380">
        <v>50</v>
      </c>
      <c r="BE3" s="380">
        <v>51</v>
      </c>
      <c r="BF3" s="380">
        <v>52</v>
      </c>
      <c r="BG3" s="380">
        <v>53</v>
      </c>
      <c r="BH3" s="380">
        <v>54</v>
      </c>
      <c r="BI3" s="380">
        <v>55</v>
      </c>
      <c r="BJ3" s="380">
        <v>56</v>
      </c>
      <c r="BK3" s="380">
        <v>57</v>
      </c>
      <c r="BL3" s="380">
        <v>58</v>
      </c>
      <c r="BM3" s="378"/>
      <c r="BN3" s="378"/>
      <c r="BO3" s="378"/>
      <c r="BP3" s="378"/>
      <c r="BQ3" s="378"/>
      <c r="BR3" s="378"/>
      <c r="BS3" s="378"/>
      <c r="BT3" s="378"/>
      <c r="BU3" s="378"/>
      <c r="BV3" s="378"/>
      <c r="BW3" s="378"/>
      <c r="BX3" s="378"/>
      <c r="BY3" s="378"/>
      <c r="BZ3" s="378"/>
      <c r="CA3" s="378"/>
      <c r="CB3" s="378"/>
      <c r="CC3" s="378"/>
      <c r="CD3" s="378"/>
      <c r="CE3" s="378"/>
      <c r="CF3" s="378"/>
      <c r="CG3" s="378"/>
      <c r="CH3" s="378"/>
      <c r="CI3" s="378"/>
      <c r="CJ3" s="378"/>
      <c r="CK3" s="378"/>
      <c r="CL3" s="378"/>
      <c r="CM3" s="378"/>
      <c r="CN3" s="378"/>
      <c r="CO3" s="378"/>
      <c r="CP3" s="378"/>
      <c r="CQ3" s="378"/>
      <c r="CR3" s="378"/>
      <c r="CS3" s="378"/>
      <c r="CT3" s="378"/>
      <c r="CU3" s="378"/>
      <c r="CV3" s="378"/>
      <c r="CW3" s="378"/>
      <c r="CX3" s="378"/>
      <c r="CY3" s="378"/>
      <c r="CZ3" s="378"/>
      <c r="DA3" s="378"/>
      <c r="DB3" s="378"/>
      <c r="DC3" s="378"/>
      <c r="DD3" s="378"/>
      <c r="DE3" s="378"/>
      <c r="DF3" s="378"/>
      <c r="DG3" s="378"/>
      <c r="DH3" s="378"/>
      <c r="DI3" s="378"/>
      <c r="DJ3" s="378"/>
      <c r="DK3" s="378"/>
      <c r="DL3" s="378"/>
      <c r="DM3" s="378"/>
      <c r="DN3" s="378"/>
      <c r="DO3" s="378"/>
      <c r="DP3" s="378"/>
      <c r="DQ3" s="378"/>
      <c r="DR3" s="378"/>
      <c r="DS3" s="378"/>
      <c r="DT3" s="378"/>
      <c r="DU3" s="378"/>
    </row>
    <row r="4" spans="1:125" ht="12" customHeight="1">
      <c r="B4" s="419"/>
      <c r="D4" s="341" t="s">
        <v>352</v>
      </c>
      <c r="E4" s="380">
        <v>1</v>
      </c>
      <c r="F4" s="380">
        <v>1</v>
      </c>
      <c r="G4" s="380">
        <v>1</v>
      </c>
      <c r="H4" s="380">
        <v>1</v>
      </c>
      <c r="I4" s="380">
        <v>1</v>
      </c>
      <c r="J4" s="380">
        <v>1</v>
      </c>
      <c r="K4" s="380">
        <v>1</v>
      </c>
      <c r="L4" s="380">
        <v>1</v>
      </c>
      <c r="M4" s="380">
        <v>1</v>
      </c>
      <c r="N4" s="380">
        <v>1</v>
      </c>
      <c r="O4" s="380">
        <v>1</v>
      </c>
      <c r="P4" s="380">
        <v>1</v>
      </c>
      <c r="Q4" s="380">
        <f>E4+1</f>
        <v>2</v>
      </c>
      <c r="R4" s="380">
        <f t="shared" ref="R4:CC4" si="0">F4+1</f>
        <v>2</v>
      </c>
      <c r="S4" s="380">
        <f t="shared" si="0"/>
        <v>2</v>
      </c>
      <c r="T4" s="380">
        <f t="shared" si="0"/>
        <v>2</v>
      </c>
      <c r="U4" s="380">
        <f t="shared" si="0"/>
        <v>2</v>
      </c>
      <c r="V4" s="380">
        <f t="shared" si="0"/>
        <v>2</v>
      </c>
      <c r="W4" s="380">
        <f t="shared" si="0"/>
        <v>2</v>
      </c>
      <c r="X4" s="380">
        <f t="shared" si="0"/>
        <v>2</v>
      </c>
      <c r="Y4" s="380">
        <f t="shared" si="0"/>
        <v>2</v>
      </c>
      <c r="Z4" s="380">
        <f t="shared" si="0"/>
        <v>2</v>
      </c>
      <c r="AA4" s="380">
        <f t="shared" si="0"/>
        <v>2</v>
      </c>
      <c r="AB4" s="380">
        <f t="shared" si="0"/>
        <v>2</v>
      </c>
      <c r="AC4" s="380">
        <f t="shared" si="0"/>
        <v>3</v>
      </c>
      <c r="AD4" s="380">
        <f t="shared" si="0"/>
        <v>3</v>
      </c>
      <c r="AE4" s="380">
        <f t="shared" si="0"/>
        <v>3</v>
      </c>
      <c r="AF4" s="380">
        <f t="shared" si="0"/>
        <v>3</v>
      </c>
      <c r="AG4" s="380">
        <f t="shared" si="0"/>
        <v>3</v>
      </c>
      <c r="AH4" s="380">
        <f t="shared" si="0"/>
        <v>3</v>
      </c>
      <c r="AI4" s="380">
        <f t="shared" si="0"/>
        <v>3</v>
      </c>
      <c r="AJ4" s="380">
        <f t="shared" si="0"/>
        <v>3</v>
      </c>
      <c r="AK4" s="380">
        <f t="shared" si="0"/>
        <v>3</v>
      </c>
      <c r="AL4" s="380">
        <f t="shared" si="0"/>
        <v>3</v>
      </c>
      <c r="AM4" s="380">
        <f t="shared" si="0"/>
        <v>3</v>
      </c>
      <c r="AN4" s="380">
        <f t="shared" si="0"/>
        <v>3</v>
      </c>
      <c r="AO4" s="380">
        <f t="shared" si="0"/>
        <v>4</v>
      </c>
      <c r="AP4" s="380">
        <f t="shared" si="0"/>
        <v>4</v>
      </c>
      <c r="AQ4" s="380">
        <f t="shared" si="0"/>
        <v>4</v>
      </c>
      <c r="AR4" s="380">
        <f t="shared" si="0"/>
        <v>4</v>
      </c>
      <c r="AS4" s="380">
        <f t="shared" si="0"/>
        <v>4</v>
      </c>
      <c r="AT4" s="380">
        <f t="shared" si="0"/>
        <v>4</v>
      </c>
      <c r="AU4" s="380">
        <f t="shared" si="0"/>
        <v>4</v>
      </c>
      <c r="AV4" s="380">
        <f t="shared" si="0"/>
        <v>4</v>
      </c>
      <c r="AW4" s="380">
        <f t="shared" si="0"/>
        <v>4</v>
      </c>
      <c r="AX4" s="380">
        <f t="shared" si="0"/>
        <v>4</v>
      </c>
      <c r="AY4" s="380">
        <f t="shared" si="0"/>
        <v>4</v>
      </c>
      <c r="AZ4" s="380">
        <f t="shared" si="0"/>
        <v>4</v>
      </c>
      <c r="BA4" s="380">
        <f t="shared" si="0"/>
        <v>5</v>
      </c>
      <c r="BB4" s="382">
        <f t="shared" si="0"/>
        <v>5</v>
      </c>
      <c r="BC4" s="380">
        <f t="shared" si="0"/>
        <v>5</v>
      </c>
      <c r="BD4" s="380">
        <f t="shared" si="0"/>
        <v>5</v>
      </c>
      <c r="BE4" s="380">
        <f t="shared" si="0"/>
        <v>5</v>
      </c>
      <c r="BF4" s="380">
        <f t="shared" si="0"/>
        <v>5</v>
      </c>
      <c r="BG4" s="380">
        <f t="shared" si="0"/>
        <v>5</v>
      </c>
      <c r="BH4" s="380">
        <f t="shared" si="0"/>
        <v>5</v>
      </c>
      <c r="BI4" s="380">
        <f t="shared" si="0"/>
        <v>5</v>
      </c>
      <c r="BJ4" s="380">
        <f t="shared" si="0"/>
        <v>5</v>
      </c>
      <c r="BK4" s="380">
        <f t="shared" si="0"/>
        <v>5</v>
      </c>
      <c r="BL4" s="380">
        <f t="shared" si="0"/>
        <v>5</v>
      </c>
      <c r="BM4" s="380">
        <f t="shared" si="0"/>
        <v>6</v>
      </c>
      <c r="BN4" s="380">
        <f t="shared" si="0"/>
        <v>6</v>
      </c>
      <c r="BO4" s="380">
        <f t="shared" si="0"/>
        <v>6</v>
      </c>
      <c r="BP4" s="380">
        <f t="shared" si="0"/>
        <v>6</v>
      </c>
      <c r="BQ4" s="380">
        <f t="shared" si="0"/>
        <v>6</v>
      </c>
      <c r="BR4" s="380">
        <f t="shared" si="0"/>
        <v>6</v>
      </c>
      <c r="BS4" s="380">
        <f t="shared" si="0"/>
        <v>6</v>
      </c>
      <c r="BT4" s="380">
        <f t="shared" si="0"/>
        <v>6</v>
      </c>
      <c r="BU4" s="380">
        <f t="shared" si="0"/>
        <v>6</v>
      </c>
      <c r="BV4" s="380">
        <f t="shared" si="0"/>
        <v>6</v>
      </c>
      <c r="BW4" s="380">
        <f t="shared" si="0"/>
        <v>6</v>
      </c>
      <c r="BX4" s="380">
        <f t="shared" si="0"/>
        <v>6</v>
      </c>
      <c r="BY4" s="380">
        <f t="shared" si="0"/>
        <v>7</v>
      </c>
      <c r="BZ4" s="380">
        <f t="shared" si="0"/>
        <v>7</v>
      </c>
      <c r="CA4" s="380">
        <f t="shared" si="0"/>
        <v>7</v>
      </c>
      <c r="CB4" s="380">
        <f t="shared" si="0"/>
        <v>7</v>
      </c>
      <c r="CC4" s="380">
        <f t="shared" si="0"/>
        <v>7</v>
      </c>
      <c r="CD4" s="380">
        <f t="shared" ref="CD4:DU4" si="1">BR4+1</f>
        <v>7</v>
      </c>
      <c r="CE4" s="380">
        <f t="shared" si="1"/>
        <v>7</v>
      </c>
      <c r="CF4" s="380">
        <f t="shared" si="1"/>
        <v>7</v>
      </c>
      <c r="CG4" s="380">
        <f t="shared" si="1"/>
        <v>7</v>
      </c>
      <c r="CH4" s="380">
        <f t="shared" si="1"/>
        <v>7</v>
      </c>
      <c r="CI4" s="380">
        <f t="shared" si="1"/>
        <v>7</v>
      </c>
      <c r="CJ4" s="380">
        <f t="shared" si="1"/>
        <v>7</v>
      </c>
      <c r="CK4" s="380">
        <f t="shared" si="1"/>
        <v>8</v>
      </c>
      <c r="CL4" s="380">
        <f t="shared" si="1"/>
        <v>8</v>
      </c>
      <c r="CM4" s="380">
        <f t="shared" si="1"/>
        <v>8</v>
      </c>
      <c r="CN4" s="380">
        <f t="shared" si="1"/>
        <v>8</v>
      </c>
      <c r="CO4" s="380">
        <f t="shared" si="1"/>
        <v>8</v>
      </c>
      <c r="CP4" s="380">
        <f t="shared" si="1"/>
        <v>8</v>
      </c>
      <c r="CQ4" s="380">
        <f t="shared" si="1"/>
        <v>8</v>
      </c>
      <c r="CR4" s="380">
        <f t="shared" si="1"/>
        <v>8</v>
      </c>
      <c r="CS4" s="380">
        <f t="shared" si="1"/>
        <v>8</v>
      </c>
      <c r="CT4" s="380">
        <f t="shared" si="1"/>
        <v>8</v>
      </c>
      <c r="CU4" s="380">
        <f t="shared" si="1"/>
        <v>8</v>
      </c>
      <c r="CV4" s="380">
        <f t="shared" si="1"/>
        <v>8</v>
      </c>
      <c r="CW4" s="380">
        <f t="shared" si="1"/>
        <v>9</v>
      </c>
      <c r="CX4" s="380">
        <f t="shared" si="1"/>
        <v>9</v>
      </c>
      <c r="CY4" s="380">
        <f t="shared" si="1"/>
        <v>9</v>
      </c>
      <c r="CZ4" s="380">
        <f t="shared" si="1"/>
        <v>9</v>
      </c>
      <c r="DA4" s="380">
        <f t="shared" si="1"/>
        <v>9</v>
      </c>
      <c r="DB4" s="380">
        <f t="shared" si="1"/>
        <v>9</v>
      </c>
      <c r="DC4" s="380">
        <f t="shared" si="1"/>
        <v>9</v>
      </c>
      <c r="DD4" s="380">
        <f t="shared" si="1"/>
        <v>9</v>
      </c>
      <c r="DE4" s="380">
        <f t="shared" si="1"/>
        <v>9</v>
      </c>
      <c r="DF4" s="380">
        <f t="shared" si="1"/>
        <v>9</v>
      </c>
      <c r="DG4" s="380">
        <f t="shared" si="1"/>
        <v>9</v>
      </c>
      <c r="DH4" s="380">
        <f t="shared" si="1"/>
        <v>9</v>
      </c>
      <c r="DI4" s="380">
        <f t="shared" si="1"/>
        <v>10</v>
      </c>
      <c r="DJ4" s="380">
        <f t="shared" si="1"/>
        <v>10</v>
      </c>
      <c r="DK4" s="380">
        <f t="shared" si="1"/>
        <v>10</v>
      </c>
      <c r="DL4" s="380">
        <f t="shared" si="1"/>
        <v>10</v>
      </c>
      <c r="DM4" s="380">
        <f t="shared" si="1"/>
        <v>10</v>
      </c>
      <c r="DN4" s="380">
        <f t="shared" si="1"/>
        <v>10</v>
      </c>
      <c r="DO4" s="380">
        <f t="shared" si="1"/>
        <v>10</v>
      </c>
      <c r="DP4" s="380">
        <f t="shared" si="1"/>
        <v>10</v>
      </c>
      <c r="DQ4" s="380">
        <f t="shared" si="1"/>
        <v>10</v>
      </c>
      <c r="DR4" s="380">
        <f t="shared" si="1"/>
        <v>10</v>
      </c>
      <c r="DS4" s="380">
        <f t="shared" si="1"/>
        <v>10</v>
      </c>
      <c r="DT4" s="380">
        <f t="shared" si="1"/>
        <v>10</v>
      </c>
      <c r="DU4" s="380">
        <f t="shared" si="1"/>
        <v>11</v>
      </c>
    </row>
    <row r="5" spans="1:125" s="683" customFormat="1" ht="12" customHeight="1">
      <c r="A5" s="682"/>
      <c r="B5" s="682"/>
      <c r="D5" s="891" t="s">
        <v>338</v>
      </c>
      <c r="E5" s="892">
        <v>45455</v>
      </c>
      <c r="F5" s="893">
        <v>45485</v>
      </c>
      <c r="G5" s="892">
        <v>45516</v>
      </c>
      <c r="H5" s="893">
        <v>45547</v>
      </c>
      <c r="I5" s="892">
        <v>45580</v>
      </c>
      <c r="J5" s="893">
        <v>45608</v>
      </c>
      <c r="K5" s="892">
        <v>45638</v>
      </c>
      <c r="L5" s="893">
        <v>45670</v>
      </c>
      <c r="M5" s="892">
        <v>45700</v>
      </c>
      <c r="N5" s="893">
        <v>45728</v>
      </c>
      <c r="O5" s="892">
        <v>45761</v>
      </c>
      <c r="P5" s="893">
        <v>45789</v>
      </c>
      <c r="Q5" s="892">
        <v>45820</v>
      </c>
      <c r="R5" s="893">
        <v>45852</v>
      </c>
      <c r="S5" s="892">
        <v>45881</v>
      </c>
      <c r="T5" s="893">
        <v>45912</v>
      </c>
      <c r="U5" s="892">
        <v>45944</v>
      </c>
      <c r="V5" s="893">
        <v>45973</v>
      </c>
      <c r="W5" s="892">
        <v>46003</v>
      </c>
      <c r="X5" s="893">
        <v>46034</v>
      </c>
      <c r="Y5" s="892">
        <v>46065</v>
      </c>
      <c r="Z5" s="893">
        <v>46093</v>
      </c>
      <c r="AA5" s="892">
        <v>46125</v>
      </c>
      <c r="AB5" s="893">
        <v>46154</v>
      </c>
      <c r="AC5" s="892">
        <v>46185</v>
      </c>
      <c r="AD5" s="893">
        <v>46216</v>
      </c>
      <c r="AE5" s="892">
        <v>46246</v>
      </c>
      <c r="AF5" s="893">
        <v>46279</v>
      </c>
      <c r="AG5" s="892">
        <v>46308</v>
      </c>
      <c r="AH5" s="893">
        <v>46338</v>
      </c>
      <c r="AI5" s="892">
        <v>46370</v>
      </c>
      <c r="AJ5" s="893">
        <v>46399</v>
      </c>
      <c r="AK5" s="892">
        <v>46430</v>
      </c>
      <c r="AL5" s="893">
        <v>46458</v>
      </c>
      <c r="AM5" s="892">
        <v>46489</v>
      </c>
      <c r="AN5" s="893">
        <v>46519</v>
      </c>
      <c r="AO5" s="892">
        <v>46552</v>
      </c>
      <c r="AP5" s="893">
        <v>46580</v>
      </c>
      <c r="AQ5" s="892">
        <v>46611</v>
      </c>
      <c r="AR5" s="893">
        <v>46643</v>
      </c>
      <c r="AS5" s="892">
        <v>46672</v>
      </c>
      <c r="AT5" s="893">
        <v>46703</v>
      </c>
      <c r="AU5" s="892">
        <v>46734</v>
      </c>
      <c r="AV5" s="893">
        <v>46764</v>
      </c>
      <c r="AW5" s="892">
        <v>46797</v>
      </c>
      <c r="AX5" s="893">
        <v>46825</v>
      </c>
      <c r="AY5" s="892">
        <v>46855</v>
      </c>
      <c r="AZ5" s="893">
        <v>46885</v>
      </c>
      <c r="BA5" s="892">
        <v>46916</v>
      </c>
      <c r="BB5" s="893">
        <v>46946</v>
      </c>
      <c r="BC5" s="892">
        <v>46979</v>
      </c>
      <c r="BD5" s="893">
        <v>47008</v>
      </c>
      <c r="BE5" s="892">
        <v>47038</v>
      </c>
      <c r="BF5" s="893">
        <v>47070</v>
      </c>
      <c r="BG5" s="892">
        <v>47099</v>
      </c>
      <c r="BH5" s="893">
        <v>47130</v>
      </c>
      <c r="BI5" s="892">
        <v>47161</v>
      </c>
      <c r="BJ5" s="893">
        <v>47189</v>
      </c>
      <c r="BK5" s="892">
        <v>47220</v>
      </c>
      <c r="BL5" s="893">
        <v>47252</v>
      </c>
      <c r="BM5" s="892">
        <v>47281</v>
      </c>
      <c r="BN5" s="893">
        <v>47311</v>
      </c>
      <c r="BO5" s="892">
        <v>47343</v>
      </c>
      <c r="BP5" s="893">
        <v>47373</v>
      </c>
      <c r="BQ5" s="892">
        <v>47403</v>
      </c>
      <c r="BR5" s="893">
        <v>47435</v>
      </c>
      <c r="BS5" s="892">
        <v>47464</v>
      </c>
      <c r="BT5" s="893">
        <v>47497</v>
      </c>
      <c r="BU5" s="892">
        <v>47526</v>
      </c>
      <c r="BV5" s="893">
        <v>47554</v>
      </c>
      <c r="BW5" s="892">
        <v>47585</v>
      </c>
      <c r="BX5" s="893">
        <v>47616</v>
      </c>
      <c r="BY5" s="892">
        <v>47646</v>
      </c>
      <c r="BZ5" s="893">
        <v>47676</v>
      </c>
      <c r="CA5" s="892">
        <v>47707</v>
      </c>
      <c r="CB5" s="893">
        <v>47738</v>
      </c>
      <c r="CC5" s="892">
        <v>47771</v>
      </c>
      <c r="CD5" s="893">
        <v>47799</v>
      </c>
      <c r="CE5" s="892">
        <v>47829</v>
      </c>
      <c r="CF5" s="893">
        <v>47861</v>
      </c>
      <c r="CG5" s="892">
        <v>47891</v>
      </c>
      <c r="CH5" s="893">
        <v>47919</v>
      </c>
      <c r="CI5" s="892">
        <v>47952</v>
      </c>
      <c r="CJ5" s="893">
        <v>47980</v>
      </c>
      <c r="CK5" s="892">
        <v>48011</v>
      </c>
      <c r="CL5" s="893">
        <v>48043</v>
      </c>
      <c r="CM5" s="892">
        <v>48072</v>
      </c>
      <c r="CN5" s="893">
        <v>48103</v>
      </c>
      <c r="CO5" s="892">
        <v>48135</v>
      </c>
      <c r="CP5" s="893">
        <v>48164</v>
      </c>
      <c r="CQ5" s="892">
        <v>48194</v>
      </c>
      <c r="CR5" s="893">
        <v>48225</v>
      </c>
      <c r="CS5" s="892">
        <v>48256</v>
      </c>
      <c r="CT5" s="893">
        <v>48285</v>
      </c>
      <c r="CU5" s="892">
        <v>48316</v>
      </c>
      <c r="CV5" s="893">
        <v>48346</v>
      </c>
      <c r="CW5" s="892">
        <v>48379</v>
      </c>
      <c r="CX5" s="893">
        <v>48407</v>
      </c>
      <c r="CY5" s="892">
        <v>48438</v>
      </c>
      <c r="CZ5" s="893">
        <v>48470</v>
      </c>
      <c r="DA5" s="892">
        <v>48499</v>
      </c>
      <c r="DB5" s="893">
        <v>48530</v>
      </c>
      <c r="DC5" s="892">
        <v>48561</v>
      </c>
      <c r="DD5" s="893">
        <v>48591</v>
      </c>
      <c r="DE5" s="892">
        <v>48624</v>
      </c>
      <c r="DF5" s="893">
        <v>48652</v>
      </c>
      <c r="DG5" s="892">
        <v>48681</v>
      </c>
      <c r="DH5" s="893">
        <v>48711</v>
      </c>
      <c r="DI5" s="892">
        <v>48743</v>
      </c>
      <c r="DJ5" s="893">
        <v>48772</v>
      </c>
      <c r="DK5" s="892">
        <v>48803</v>
      </c>
      <c r="DL5" s="893">
        <v>48834</v>
      </c>
      <c r="DM5" s="892">
        <v>48864</v>
      </c>
      <c r="DN5" s="893">
        <v>48897</v>
      </c>
      <c r="DO5" s="892">
        <v>48925</v>
      </c>
      <c r="DP5" s="893">
        <v>48956</v>
      </c>
      <c r="DQ5" s="892">
        <v>48988</v>
      </c>
      <c r="DR5" s="893">
        <v>49016</v>
      </c>
      <c r="DS5" s="892">
        <v>49046</v>
      </c>
      <c r="DT5" s="893">
        <v>49076</v>
      </c>
      <c r="DU5" s="892">
        <v>49107</v>
      </c>
    </row>
    <row r="6" spans="1:125" ht="12" customHeight="1">
      <c r="A6" s="894" t="s">
        <v>338</v>
      </c>
      <c r="B6" s="894" t="s">
        <v>406</v>
      </c>
      <c r="D6" s="894" t="s">
        <v>406</v>
      </c>
      <c r="E6" s="895">
        <v>5.3290999999999998E-2</v>
      </c>
      <c r="F6" s="896">
        <v>5.3266399999999998E-2</v>
      </c>
      <c r="G6" s="895">
        <v>5.3053299999999998E-2</v>
      </c>
      <c r="H6" s="896">
        <v>5.23577E-2</v>
      </c>
      <c r="I6" s="895">
        <v>5.1802099999999997E-2</v>
      </c>
      <c r="J6" s="896">
        <v>5.1267800000000002E-2</v>
      </c>
      <c r="K6" s="895">
        <v>4.9621800000000001E-2</v>
      </c>
      <c r="L6" s="896">
        <v>4.9312799999999997E-2</v>
      </c>
      <c r="M6" s="895">
        <v>4.9302699999999998E-2</v>
      </c>
      <c r="N6" s="896">
        <v>4.7426900000000001E-2</v>
      </c>
      <c r="O6" s="895">
        <v>4.69083E-2</v>
      </c>
      <c r="P6" s="896">
        <v>4.6911300000000003E-2</v>
      </c>
      <c r="Q6" s="895">
        <v>4.5161899999999998E-2</v>
      </c>
      <c r="R6" s="896">
        <v>4.4754799999999997E-2</v>
      </c>
      <c r="S6" s="895">
        <v>4.4754799999999997E-2</v>
      </c>
      <c r="T6" s="896">
        <v>4.37221E-2</v>
      </c>
      <c r="U6" s="895">
        <v>4.2988999999999999E-2</v>
      </c>
      <c r="V6" s="896">
        <v>4.2491500000000001E-2</v>
      </c>
      <c r="W6" s="895">
        <v>4.2002900000000003E-2</v>
      </c>
      <c r="X6" s="896">
        <v>4.1544400000000002E-2</v>
      </c>
      <c r="Y6" s="895">
        <v>4.1138800000000003E-2</v>
      </c>
      <c r="Z6" s="896">
        <v>4.0781600000000001E-2</v>
      </c>
      <c r="AA6" s="895">
        <v>4.0438000000000002E-2</v>
      </c>
      <c r="AB6" s="896">
        <v>4.0155999999999997E-2</v>
      </c>
      <c r="AC6" s="895">
        <v>3.9892499999999997E-2</v>
      </c>
      <c r="AD6" s="896">
        <v>3.9646500000000001E-2</v>
      </c>
      <c r="AE6" s="895">
        <v>3.9417500000000001E-2</v>
      </c>
      <c r="AF6" s="896">
        <v>3.9186800000000001E-2</v>
      </c>
      <c r="AG6" s="895">
        <v>3.8990999999999998E-2</v>
      </c>
      <c r="AH6" s="896">
        <v>3.8800500000000002E-2</v>
      </c>
      <c r="AI6" s="895">
        <v>3.8612399999999998E-2</v>
      </c>
      <c r="AJ6" s="896">
        <v>3.8452699999999999E-2</v>
      </c>
      <c r="AK6" s="895">
        <v>3.8295500000000003E-2</v>
      </c>
      <c r="AL6" s="896">
        <v>3.81622E-2</v>
      </c>
      <c r="AM6" s="895">
        <v>3.8027999999999999E-2</v>
      </c>
      <c r="AN6" s="896">
        <v>3.7910600000000003E-2</v>
      </c>
      <c r="AO6" s="895">
        <v>3.7793500000000001E-2</v>
      </c>
      <c r="AP6" s="896">
        <v>3.7703500000000001E-2</v>
      </c>
      <c r="AQ6" s="895">
        <v>3.7612600000000003E-2</v>
      </c>
      <c r="AR6" s="896">
        <v>3.75261E-2</v>
      </c>
      <c r="AS6" s="895">
        <v>3.7457699999999997E-2</v>
      </c>
      <c r="AT6" s="896">
        <v>3.7392399999999999E-2</v>
      </c>
      <c r="AU6" s="895">
        <v>3.7336000000000001E-2</v>
      </c>
      <c r="AV6" s="896">
        <v>3.7292400000000003E-2</v>
      </c>
      <c r="AW6" s="895">
        <v>3.7245899999999998E-2</v>
      </c>
      <c r="AX6" s="896">
        <v>3.7221600000000001E-2</v>
      </c>
      <c r="AY6" s="895">
        <v>3.71989E-2</v>
      </c>
      <c r="AZ6" s="896">
        <v>3.71878E-2</v>
      </c>
      <c r="BA6" s="895">
        <v>3.71808E-2</v>
      </c>
      <c r="BB6" s="896">
        <v>3.7186499999999997E-2</v>
      </c>
      <c r="BC6" s="895">
        <v>3.7187199999999997E-2</v>
      </c>
      <c r="BD6" s="896">
        <v>3.7193299999999999E-2</v>
      </c>
      <c r="BE6" s="895">
        <v>3.7210199999999999E-2</v>
      </c>
      <c r="BF6" s="896">
        <v>3.7223699999999998E-2</v>
      </c>
      <c r="BG6" s="895">
        <v>3.7246300000000003E-2</v>
      </c>
      <c r="BH6" s="896">
        <v>3.7272300000000001E-2</v>
      </c>
      <c r="BI6" s="895">
        <v>3.7295300000000003E-2</v>
      </c>
      <c r="BJ6" s="896">
        <v>3.7333999999999999E-2</v>
      </c>
      <c r="BK6" s="895">
        <v>3.7375400000000003E-2</v>
      </c>
      <c r="BL6" s="896">
        <v>3.7417499999999999E-2</v>
      </c>
      <c r="BM6" s="895">
        <v>3.7458400000000003E-2</v>
      </c>
      <c r="BN6" s="896">
        <v>3.7508699999999999E-2</v>
      </c>
      <c r="BO6" s="895">
        <v>3.7552599999999998E-2</v>
      </c>
      <c r="BP6" s="896">
        <v>3.7592500000000001E-2</v>
      </c>
      <c r="BQ6" s="895">
        <v>3.7639199999999998E-2</v>
      </c>
      <c r="BR6" s="896">
        <v>3.7676899999999999E-2</v>
      </c>
      <c r="BS6" s="895">
        <v>3.7722600000000002E-2</v>
      </c>
      <c r="BT6" s="896">
        <v>3.77592E-2</v>
      </c>
      <c r="BU6" s="895">
        <v>3.7787099999999997E-2</v>
      </c>
      <c r="BV6" s="896">
        <v>3.7828300000000002E-2</v>
      </c>
      <c r="BW6" s="895">
        <v>3.7864200000000001E-2</v>
      </c>
      <c r="BX6" s="896">
        <v>3.7898899999999999E-2</v>
      </c>
      <c r="BY6" s="895">
        <v>3.7928799999999999E-2</v>
      </c>
      <c r="BZ6" s="896">
        <v>3.7962700000000002E-2</v>
      </c>
      <c r="CA6" s="895">
        <v>3.7993899999999997E-2</v>
      </c>
      <c r="CB6" s="896">
        <v>3.8028899999999997E-2</v>
      </c>
      <c r="CC6" s="895">
        <v>3.8054600000000001E-2</v>
      </c>
      <c r="CD6" s="896">
        <v>3.8077199999999999E-2</v>
      </c>
      <c r="CE6" s="895">
        <v>3.8107700000000001E-2</v>
      </c>
      <c r="CF6" s="896">
        <v>3.8131499999999999E-2</v>
      </c>
      <c r="CG6" s="895">
        <v>3.81477E-2</v>
      </c>
      <c r="CH6" s="896">
        <v>3.8180499999999999E-2</v>
      </c>
      <c r="CI6" s="895">
        <v>3.81967E-2</v>
      </c>
      <c r="CJ6" s="896">
        <v>3.8217800000000003E-2</v>
      </c>
      <c r="CK6" s="895">
        <v>3.8240000000000003E-2</v>
      </c>
      <c r="CL6" s="896">
        <v>3.8258399999999998E-2</v>
      </c>
      <c r="CM6" s="895">
        <v>3.8277699999999998E-2</v>
      </c>
      <c r="CN6" s="896">
        <v>3.8301099999999998E-2</v>
      </c>
      <c r="CO6" s="895">
        <v>3.8321000000000001E-2</v>
      </c>
      <c r="CP6" s="896">
        <v>3.83393E-2</v>
      </c>
      <c r="CQ6" s="895">
        <v>3.8363399999999999E-2</v>
      </c>
      <c r="CR6" s="896">
        <v>3.8386400000000001E-2</v>
      </c>
      <c r="CS6" s="895">
        <v>3.8405000000000002E-2</v>
      </c>
      <c r="CT6" s="896">
        <v>3.8432300000000003E-2</v>
      </c>
      <c r="CU6" s="895">
        <v>3.8454299999999997E-2</v>
      </c>
      <c r="CV6" s="896">
        <v>3.8485800000000001E-2</v>
      </c>
      <c r="CW6" s="895">
        <v>3.8505400000000002E-2</v>
      </c>
      <c r="CX6" s="896">
        <v>3.8531299999999997E-2</v>
      </c>
      <c r="CY6" s="895">
        <v>3.85601E-2</v>
      </c>
      <c r="CZ6" s="896">
        <v>3.85828E-2</v>
      </c>
      <c r="DA6" s="895">
        <v>3.8610899999999997E-2</v>
      </c>
      <c r="DB6" s="896">
        <v>3.8638699999999998E-2</v>
      </c>
      <c r="DC6" s="895">
        <v>3.8667E-2</v>
      </c>
      <c r="DD6" s="896">
        <v>3.8699900000000002E-2</v>
      </c>
      <c r="DE6" s="895">
        <v>3.8718299999999997E-2</v>
      </c>
      <c r="DF6" s="896">
        <v>3.8752799999999997E-2</v>
      </c>
      <c r="DG6" s="895">
        <v>3.87785E-2</v>
      </c>
      <c r="DH6" s="896">
        <v>3.8813300000000002E-2</v>
      </c>
      <c r="DI6" s="895">
        <v>3.8840300000000001E-2</v>
      </c>
      <c r="DJ6" s="896">
        <v>3.8872499999999997E-2</v>
      </c>
      <c r="DK6" s="895">
        <v>3.8904599999999998E-2</v>
      </c>
      <c r="DL6" s="896">
        <v>3.89346E-2</v>
      </c>
      <c r="DM6" s="895">
        <v>3.8974500000000002E-2</v>
      </c>
      <c r="DN6" s="896">
        <v>3.9002299999999997E-2</v>
      </c>
      <c r="DO6" s="895">
        <v>3.90357E-2</v>
      </c>
      <c r="DP6" s="896">
        <v>3.9072900000000001E-2</v>
      </c>
      <c r="DQ6" s="895">
        <v>3.9098300000000002E-2</v>
      </c>
      <c r="DR6" s="896">
        <v>3.9138399999999997E-2</v>
      </c>
      <c r="DS6" s="895">
        <v>3.9170499999999997E-2</v>
      </c>
      <c r="DT6" s="896">
        <v>3.9208399999999997E-2</v>
      </c>
      <c r="DU6" s="895">
        <v>3.9242300000000001E-2</v>
      </c>
    </row>
    <row r="7" spans="1:125" ht="12" customHeight="1">
      <c r="A7" s="897">
        <v>45455</v>
      </c>
      <c r="B7" s="895">
        <v>5.3290999999999998E-2</v>
      </c>
    </row>
    <row r="8" spans="1:125" ht="12" customHeight="1">
      <c r="A8" s="898">
        <v>45485</v>
      </c>
      <c r="B8" s="896">
        <v>5.3266399999999998E-2</v>
      </c>
    </row>
    <row r="9" spans="1:125" ht="12" customHeight="1">
      <c r="A9" s="897">
        <v>45516</v>
      </c>
      <c r="B9" s="895">
        <v>5.3053299999999998E-2</v>
      </c>
    </row>
    <row r="10" spans="1:125" ht="12" customHeight="1">
      <c r="A10" s="898">
        <v>45547</v>
      </c>
      <c r="B10" s="896">
        <v>5.23577E-2</v>
      </c>
    </row>
    <row r="11" spans="1:125" ht="12" customHeight="1">
      <c r="A11" s="897">
        <v>45580</v>
      </c>
      <c r="B11" s="895">
        <v>5.1802099999999997E-2</v>
      </c>
    </row>
    <row r="12" spans="1:125" ht="12" customHeight="1">
      <c r="A12" s="898">
        <v>45608</v>
      </c>
      <c r="B12" s="896">
        <v>5.1267800000000002E-2</v>
      </c>
    </row>
    <row r="13" spans="1:125" ht="12" customHeight="1">
      <c r="A13" s="897">
        <v>45638</v>
      </c>
      <c r="B13" s="895">
        <v>4.9621800000000001E-2</v>
      </c>
    </row>
    <row r="14" spans="1:125" ht="12" customHeight="1">
      <c r="A14" s="898">
        <v>45670</v>
      </c>
      <c r="B14" s="896">
        <v>4.9312799999999997E-2</v>
      </c>
    </row>
    <row r="15" spans="1:125" ht="12" customHeight="1">
      <c r="A15" s="897">
        <v>45700</v>
      </c>
      <c r="B15" s="895">
        <v>4.9302699999999998E-2</v>
      </c>
    </row>
    <row r="16" spans="1:125" ht="12" customHeight="1">
      <c r="A16" s="898">
        <v>45728</v>
      </c>
      <c r="B16" s="896">
        <v>4.7426900000000001E-2</v>
      </c>
    </row>
    <row r="17" spans="1:2" ht="12" customHeight="1">
      <c r="A17" s="897">
        <v>45761</v>
      </c>
      <c r="B17" s="895">
        <v>4.69083E-2</v>
      </c>
    </row>
    <row r="18" spans="1:2" ht="12" customHeight="1">
      <c r="A18" s="898">
        <v>45789</v>
      </c>
      <c r="B18" s="896">
        <v>4.6911300000000003E-2</v>
      </c>
    </row>
    <row r="19" spans="1:2" ht="12" customHeight="1">
      <c r="A19" s="897">
        <v>45820</v>
      </c>
      <c r="B19" s="895">
        <v>4.5161899999999998E-2</v>
      </c>
    </row>
    <row r="20" spans="1:2" ht="12" customHeight="1">
      <c r="A20" s="898">
        <v>45852</v>
      </c>
      <c r="B20" s="896">
        <v>4.4754799999999997E-2</v>
      </c>
    </row>
    <row r="21" spans="1:2" ht="12" customHeight="1">
      <c r="A21" s="897">
        <v>45881</v>
      </c>
      <c r="B21" s="895">
        <v>4.4754799999999997E-2</v>
      </c>
    </row>
    <row r="22" spans="1:2" ht="12" customHeight="1">
      <c r="A22" s="898">
        <v>45912</v>
      </c>
      <c r="B22" s="896">
        <v>4.37221E-2</v>
      </c>
    </row>
    <row r="23" spans="1:2" ht="12" customHeight="1">
      <c r="A23" s="897">
        <v>45944</v>
      </c>
      <c r="B23" s="895">
        <v>4.2988999999999999E-2</v>
      </c>
    </row>
    <row r="24" spans="1:2" ht="12" customHeight="1">
      <c r="A24" s="898">
        <v>45973</v>
      </c>
      <c r="B24" s="896">
        <v>4.2491500000000001E-2</v>
      </c>
    </row>
    <row r="25" spans="1:2" ht="12" customHeight="1">
      <c r="A25" s="897">
        <v>46003</v>
      </c>
      <c r="B25" s="895">
        <v>4.2002900000000003E-2</v>
      </c>
    </row>
    <row r="26" spans="1:2" ht="12" customHeight="1">
      <c r="A26" s="898">
        <v>46034</v>
      </c>
      <c r="B26" s="896">
        <v>4.1544400000000002E-2</v>
      </c>
    </row>
    <row r="27" spans="1:2" ht="12" customHeight="1">
      <c r="A27" s="897">
        <v>46065</v>
      </c>
      <c r="B27" s="895">
        <v>4.1138800000000003E-2</v>
      </c>
    </row>
    <row r="28" spans="1:2" ht="12" customHeight="1">
      <c r="A28" s="898">
        <v>46093</v>
      </c>
      <c r="B28" s="896">
        <v>4.0781600000000001E-2</v>
      </c>
    </row>
    <row r="29" spans="1:2" ht="12" customHeight="1">
      <c r="A29" s="897">
        <v>46125</v>
      </c>
      <c r="B29" s="895">
        <v>4.0438000000000002E-2</v>
      </c>
    </row>
    <row r="30" spans="1:2" ht="12" customHeight="1">
      <c r="A30" s="898">
        <v>46154</v>
      </c>
      <c r="B30" s="896">
        <v>4.0155999999999997E-2</v>
      </c>
    </row>
    <row r="31" spans="1:2" ht="12" customHeight="1">
      <c r="A31" s="897">
        <v>46185</v>
      </c>
      <c r="B31" s="895">
        <v>3.9892499999999997E-2</v>
      </c>
    </row>
    <row r="32" spans="1:2" ht="12" customHeight="1">
      <c r="A32" s="898">
        <v>46216</v>
      </c>
      <c r="B32" s="896">
        <v>3.9646500000000001E-2</v>
      </c>
    </row>
    <row r="33" spans="1:2" ht="12" customHeight="1">
      <c r="A33" s="897">
        <v>46246</v>
      </c>
      <c r="B33" s="895">
        <v>3.9417500000000001E-2</v>
      </c>
    </row>
    <row r="34" spans="1:2" ht="12" customHeight="1">
      <c r="A34" s="898">
        <v>46279</v>
      </c>
      <c r="B34" s="896">
        <v>3.9186800000000001E-2</v>
      </c>
    </row>
    <row r="35" spans="1:2" ht="12" customHeight="1">
      <c r="A35" s="897">
        <v>46308</v>
      </c>
      <c r="B35" s="895">
        <v>3.8990999999999998E-2</v>
      </c>
    </row>
    <row r="36" spans="1:2" ht="12" customHeight="1">
      <c r="A36" s="898">
        <v>46338</v>
      </c>
      <c r="B36" s="896">
        <v>3.8800500000000002E-2</v>
      </c>
    </row>
    <row r="37" spans="1:2" ht="12" customHeight="1">
      <c r="A37" s="897">
        <v>46370</v>
      </c>
      <c r="B37" s="895">
        <v>3.8612399999999998E-2</v>
      </c>
    </row>
    <row r="38" spans="1:2" ht="12" customHeight="1">
      <c r="A38" s="898">
        <v>46399</v>
      </c>
      <c r="B38" s="896">
        <v>3.8452699999999999E-2</v>
      </c>
    </row>
    <row r="39" spans="1:2" ht="12" customHeight="1">
      <c r="A39" s="897">
        <v>46430</v>
      </c>
      <c r="B39" s="895">
        <v>3.8295500000000003E-2</v>
      </c>
    </row>
    <row r="40" spans="1:2" ht="12" customHeight="1">
      <c r="A40" s="898">
        <v>46458</v>
      </c>
      <c r="B40" s="896">
        <v>3.81622E-2</v>
      </c>
    </row>
    <row r="41" spans="1:2" ht="12" customHeight="1">
      <c r="A41" s="897">
        <v>46489</v>
      </c>
      <c r="B41" s="895">
        <v>3.8027999999999999E-2</v>
      </c>
    </row>
    <row r="42" spans="1:2" ht="12" customHeight="1">
      <c r="A42" s="898">
        <v>46519</v>
      </c>
      <c r="B42" s="896">
        <v>3.7910600000000003E-2</v>
      </c>
    </row>
    <row r="43" spans="1:2" ht="12" customHeight="1">
      <c r="A43" s="897">
        <v>46552</v>
      </c>
      <c r="B43" s="895">
        <v>3.7793500000000001E-2</v>
      </c>
    </row>
    <row r="44" spans="1:2" ht="12" customHeight="1">
      <c r="A44" s="898">
        <v>46580</v>
      </c>
      <c r="B44" s="896">
        <v>3.7703500000000001E-2</v>
      </c>
    </row>
    <row r="45" spans="1:2" ht="12" customHeight="1">
      <c r="A45" s="897">
        <v>46611</v>
      </c>
      <c r="B45" s="895">
        <v>3.7612600000000003E-2</v>
      </c>
    </row>
    <row r="46" spans="1:2" ht="12" customHeight="1">
      <c r="A46" s="898">
        <v>46643</v>
      </c>
      <c r="B46" s="896">
        <v>3.75261E-2</v>
      </c>
    </row>
    <row r="47" spans="1:2" ht="12" customHeight="1">
      <c r="A47" s="897">
        <v>46672</v>
      </c>
      <c r="B47" s="895">
        <v>3.7457699999999997E-2</v>
      </c>
    </row>
    <row r="48" spans="1:2" ht="12" customHeight="1">
      <c r="A48" s="898">
        <v>46703</v>
      </c>
      <c r="B48" s="896">
        <v>3.7392399999999999E-2</v>
      </c>
    </row>
    <row r="49" spans="1:2" ht="12" customHeight="1">
      <c r="A49" s="897">
        <v>46734</v>
      </c>
      <c r="B49" s="895">
        <v>3.7336000000000001E-2</v>
      </c>
    </row>
    <row r="50" spans="1:2" ht="12" customHeight="1">
      <c r="A50" s="898">
        <v>46764</v>
      </c>
      <c r="B50" s="896">
        <v>3.7292400000000003E-2</v>
      </c>
    </row>
    <row r="51" spans="1:2" ht="12" customHeight="1">
      <c r="A51" s="897">
        <v>46797</v>
      </c>
      <c r="B51" s="895">
        <v>3.7245899999999998E-2</v>
      </c>
    </row>
    <row r="52" spans="1:2" ht="12" customHeight="1">
      <c r="A52" s="898">
        <v>46825</v>
      </c>
      <c r="B52" s="896">
        <v>3.7221600000000001E-2</v>
      </c>
    </row>
    <row r="53" spans="1:2" ht="12" customHeight="1">
      <c r="A53" s="897">
        <v>46855</v>
      </c>
      <c r="B53" s="895">
        <v>3.71989E-2</v>
      </c>
    </row>
    <row r="54" spans="1:2" ht="12" customHeight="1">
      <c r="A54" s="898">
        <v>46885</v>
      </c>
      <c r="B54" s="896">
        <v>3.71878E-2</v>
      </c>
    </row>
    <row r="55" spans="1:2" ht="12" customHeight="1">
      <c r="A55" s="897">
        <v>46916</v>
      </c>
      <c r="B55" s="895">
        <v>3.71808E-2</v>
      </c>
    </row>
    <row r="56" spans="1:2" ht="12" customHeight="1">
      <c r="A56" s="898">
        <v>46946</v>
      </c>
      <c r="B56" s="896">
        <v>3.7186499999999997E-2</v>
      </c>
    </row>
    <row r="57" spans="1:2" ht="12" customHeight="1">
      <c r="A57" s="897">
        <v>46979</v>
      </c>
      <c r="B57" s="895">
        <v>3.7187199999999997E-2</v>
      </c>
    </row>
    <row r="58" spans="1:2" ht="12" customHeight="1">
      <c r="A58" s="898">
        <v>47008</v>
      </c>
      <c r="B58" s="896">
        <v>3.7193299999999999E-2</v>
      </c>
    </row>
    <row r="59" spans="1:2" ht="12" customHeight="1">
      <c r="A59" s="897">
        <v>47038</v>
      </c>
      <c r="B59" s="895">
        <v>3.7210199999999999E-2</v>
      </c>
    </row>
    <row r="60" spans="1:2" ht="12" customHeight="1">
      <c r="A60" s="898">
        <v>47070</v>
      </c>
      <c r="B60" s="896">
        <v>3.7223699999999998E-2</v>
      </c>
    </row>
    <row r="61" spans="1:2" ht="12" customHeight="1">
      <c r="A61" s="897">
        <v>47099</v>
      </c>
      <c r="B61" s="895">
        <v>3.7246300000000003E-2</v>
      </c>
    </row>
    <row r="62" spans="1:2" ht="12" customHeight="1">
      <c r="A62" s="898">
        <v>47130</v>
      </c>
      <c r="B62" s="896">
        <v>3.7272300000000001E-2</v>
      </c>
    </row>
    <row r="63" spans="1:2" ht="12" customHeight="1">
      <c r="A63" s="897">
        <v>47161</v>
      </c>
      <c r="B63" s="895">
        <v>3.7295300000000003E-2</v>
      </c>
    </row>
    <row r="64" spans="1:2" ht="12" customHeight="1">
      <c r="A64" s="898">
        <v>47189</v>
      </c>
      <c r="B64" s="896">
        <v>3.7333999999999999E-2</v>
      </c>
    </row>
    <row r="65" spans="1:2" ht="12" customHeight="1">
      <c r="A65" s="897">
        <v>47220</v>
      </c>
      <c r="B65" s="895">
        <v>3.7375400000000003E-2</v>
      </c>
    </row>
    <row r="66" spans="1:2" ht="12" customHeight="1">
      <c r="A66" s="898">
        <v>47252</v>
      </c>
      <c r="B66" s="896">
        <v>3.7417499999999999E-2</v>
      </c>
    </row>
    <row r="67" spans="1:2" ht="12" customHeight="1">
      <c r="A67" s="897">
        <v>47281</v>
      </c>
      <c r="B67" s="895">
        <v>3.7458400000000003E-2</v>
      </c>
    </row>
    <row r="68" spans="1:2" ht="12" customHeight="1">
      <c r="A68" s="898">
        <v>47311</v>
      </c>
      <c r="B68" s="896">
        <v>3.7508699999999999E-2</v>
      </c>
    </row>
    <row r="69" spans="1:2" ht="12" customHeight="1">
      <c r="A69" s="897">
        <v>47343</v>
      </c>
      <c r="B69" s="895">
        <v>3.7552599999999998E-2</v>
      </c>
    </row>
    <row r="70" spans="1:2" ht="12" customHeight="1">
      <c r="A70" s="898">
        <v>47373</v>
      </c>
      <c r="B70" s="896">
        <v>3.7592500000000001E-2</v>
      </c>
    </row>
    <row r="71" spans="1:2" ht="12" customHeight="1">
      <c r="A71" s="897">
        <v>47403</v>
      </c>
      <c r="B71" s="895">
        <v>3.7639199999999998E-2</v>
      </c>
    </row>
    <row r="72" spans="1:2" ht="12" customHeight="1">
      <c r="A72" s="898">
        <v>47435</v>
      </c>
      <c r="B72" s="896">
        <v>3.7676899999999999E-2</v>
      </c>
    </row>
    <row r="73" spans="1:2" ht="12" customHeight="1">
      <c r="A73" s="897">
        <v>47464</v>
      </c>
      <c r="B73" s="895">
        <v>3.7722600000000002E-2</v>
      </c>
    </row>
    <row r="74" spans="1:2" ht="12" customHeight="1">
      <c r="A74" s="898">
        <v>47497</v>
      </c>
      <c r="B74" s="896">
        <v>3.77592E-2</v>
      </c>
    </row>
    <row r="75" spans="1:2" ht="12" customHeight="1">
      <c r="A75" s="897">
        <v>47526</v>
      </c>
      <c r="B75" s="895">
        <v>3.7787099999999997E-2</v>
      </c>
    </row>
    <row r="76" spans="1:2" ht="12" customHeight="1">
      <c r="A76" s="898">
        <v>47554</v>
      </c>
      <c r="B76" s="896">
        <v>3.7828300000000002E-2</v>
      </c>
    </row>
    <row r="77" spans="1:2" ht="12" customHeight="1">
      <c r="A77" s="897">
        <v>47585</v>
      </c>
      <c r="B77" s="895">
        <v>3.7864200000000001E-2</v>
      </c>
    </row>
    <row r="78" spans="1:2" ht="12" customHeight="1">
      <c r="A78" s="898">
        <v>47616</v>
      </c>
      <c r="B78" s="896">
        <v>3.7898899999999999E-2</v>
      </c>
    </row>
    <row r="79" spans="1:2" ht="12" customHeight="1">
      <c r="A79" s="897">
        <v>47646</v>
      </c>
      <c r="B79" s="895">
        <v>3.7928799999999999E-2</v>
      </c>
    </row>
    <row r="80" spans="1:2" ht="12" customHeight="1">
      <c r="A80" s="898">
        <v>47676</v>
      </c>
      <c r="B80" s="896">
        <v>3.7962700000000002E-2</v>
      </c>
    </row>
    <row r="81" spans="1:2" ht="12" customHeight="1">
      <c r="A81" s="897">
        <v>47707</v>
      </c>
      <c r="B81" s="895">
        <v>3.7993899999999997E-2</v>
      </c>
    </row>
    <row r="82" spans="1:2" ht="12" customHeight="1">
      <c r="A82" s="898">
        <v>47738</v>
      </c>
      <c r="B82" s="896">
        <v>3.8028899999999997E-2</v>
      </c>
    </row>
    <row r="83" spans="1:2" ht="12" customHeight="1">
      <c r="A83" s="897">
        <v>47771</v>
      </c>
      <c r="B83" s="895">
        <v>3.8054600000000001E-2</v>
      </c>
    </row>
    <row r="84" spans="1:2" ht="12" customHeight="1">
      <c r="A84" s="898">
        <v>47799</v>
      </c>
      <c r="B84" s="896">
        <v>3.8077199999999999E-2</v>
      </c>
    </row>
    <row r="85" spans="1:2" ht="12" customHeight="1">
      <c r="A85" s="897">
        <v>47829</v>
      </c>
      <c r="B85" s="895">
        <v>3.8107700000000001E-2</v>
      </c>
    </row>
    <row r="86" spans="1:2" ht="12" customHeight="1">
      <c r="A86" s="898">
        <v>47861</v>
      </c>
      <c r="B86" s="896">
        <v>3.8131499999999999E-2</v>
      </c>
    </row>
    <row r="87" spans="1:2" ht="12" customHeight="1">
      <c r="A87" s="897">
        <v>47891</v>
      </c>
      <c r="B87" s="895">
        <v>3.81477E-2</v>
      </c>
    </row>
    <row r="88" spans="1:2" ht="12" customHeight="1">
      <c r="A88" s="898">
        <v>47919</v>
      </c>
      <c r="B88" s="896">
        <v>3.8180499999999999E-2</v>
      </c>
    </row>
    <row r="89" spans="1:2" ht="12" customHeight="1">
      <c r="A89" s="897">
        <v>47952</v>
      </c>
      <c r="B89" s="895">
        <v>3.81967E-2</v>
      </c>
    </row>
    <row r="90" spans="1:2" ht="12" customHeight="1">
      <c r="A90" s="898">
        <v>47980</v>
      </c>
      <c r="B90" s="896">
        <v>3.8217800000000003E-2</v>
      </c>
    </row>
    <row r="91" spans="1:2" ht="12" customHeight="1">
      <c r="A91" s="897">
        <v>48011</v>
      </c>
      <c r="B91" s="895">
        <v>3.8240000000000003E-2</v>
      </c>
    </row>
    <row r="92" spans="1:2" ht="12" customHeight="1">
      <c r="A92" s="898">
        <v>48043</v>
      </c>
      <c r="B92" s="896">
        <v>3.8258399999999998E-2</v>
      </c>
    </row>
    <row r="93" spans="1:2" ht="12" customHeight="1">
      <c r="A93" s="897">
        <v>48072</v>
      </c>
      <c r="B93" s="895">
        <v>3.8277699999999998E-2</v>
      </c>
    </row>
    <row r="94" spans="1:2" ht="12" customHeight="1">
      <c r="A94" s="898">
        <v>48103</v>
      </c>
      <c r="B94" s="896">
        <v>3.8301099999999998E-2</v>
      </c>
    </row>
    <row r="95" spans="1:2" ht="12" customHeight="1">
      <c r="A95" s="897">
        <v>48135</v>
      </c>
      <c r="B95" s="895">
        <v>3.8321000000000001E-2</v>
      </c>
    </row>
    <row r="96" spans="1:2" ht="12" customHeight="1">
      <c r="A96" s="898">
        <v>48164</v>
      </c>
      <c r="B96" s="896">
        <v>3.83393E-2</v>
      </c>
    </row>
    <row r="97" spans="1:2" ht="12" customHeight="1">
      <c r="A97" s="897">
        <v>48194</v>
      </c>
      <c r="B97" s="895">
        <v>3.8363399999999999E-2</v>
      </c>
    </row>
    <row r="98" spans="1:2" ht="12" customHeight="1">
      <c r="A98" s="898">
        <v>48225</v>
      </c>
      <c r="B98" s="896">
        <v>3.8386400000000001E-2</v>
      </c>
    </row>
    <row r="99" spans="1:2" ht="12" customHeight="1">
      <c r="A99" s="897">
        <v>48256</v>
      </c>
      <c r="B99" s="895">
        <v>3.8405000000000002E-2</v>
      </c>
    </row>
    <row r="100" spans="1:2" ht="12" customHeight="1">
      <c r="A100" s="898">
        <v>48285</v>
      </c>
      <c r="B100" s="896">
        <v>3.8432300000000003E-2</v>
      </c>
    </row>
    <row r="101" spans="1:2" ht="12" customHeight="1">
      <c r="A101" s="897">
        <v>48316</v>
      </c>
      <c r="B101" s="895">
        <v>3.8454299999999997E-2</v>
      </c>
    </row>
    <row r="102" spans="1:2" ht="12" customHeight="1">
      <c r="A102" s="898">
        <v>48346</v>
      </c>
      <c r="B102" s="896">
        <v>3.8485800000000001E-2</v>
      </c>
    </row>
    <row r="103" spans="1:2" ht="12" customHeight="1">
      <c r="A103" s="897">
        <v>48379</v>
      </c>
      <c r="B103" s="895">
        <v>3.8505400000000002E-2</v>
      </c>
    </row>
    <row r="104" spans="1:2" ht="12" customHeight="1">
      <c r="A104" s="898">
        <v>48407</v>
      </c>
      <c r="B104" s="896">
        <v>3.8531299999999997E-2</v>
      </c>
    </row>
    <row r="105" spans="1:2" ht="12" customHeight="1">
      <c r="A105" s="897">
        <v>48438</v>
      </c>
      <c r="B105" s="895">
        <v>3.85601E-2</v>
      </c>
    </row>
    <row r="106" spans="1:2" ht="12" customHeight="1">
      <c r="A106" s="898">
        <v>48470</v>
      </c>
      <c r="B106" s="896">
        <v>3.85828E-2</v>
      </c>
    </row>
    <row r="107" spans="1:2" ht="12" customHeight="1">
      <c r="A107" s="897">
        <v>48499</v>
      </c>
      <c r="B107" s="895">
        <v>3.8610899999999997E-2</v>
      </c>
    </row>
    <row r="108" spans="1:2" ht="12" customHeight="1">
      <c r="A108" s="898">
        <v>48530</v>
      </c>
      <c r="B108" s="896">
        <v>3.8638699999999998E-2</v>
      </c>
    </row>
    <row r="109" spans="1:2" ht="12" customHeight="1">
      <c r="A109" s="897">
        <v>48561</v>
      </c>
      <c r="B109" s="895">
        <v>3.8667E-2</v>
      </c>
    </row>
    <row r="110" spans="1:2" ht="12" customHeight="1">
      <c r="A110" s="898">
        <v>48591</v>
      </c>
      <c r="B110" s="896">
        <v>3.8699900000000002E-2</v>
      </c>
    </row>
    <row r="111" spans="1:2" ht="12" customHeight="1">
      <c r="A111" s="897">
        <v>48624</v>
      </c>
      <c r="B111" s="895">
        <v>3.8718299999999997E-2</v>
      </c>
    </row>
    <row r="112" spans="1:2" ht="12" customHeight="1">
      <c r="A112" s="898">
        <v>48652</v>
      </c>
      <c r="B112" s="896">
        <v>3.8752799999999997E-2</v>
      </c>
    </row>
    <row r="113" spans="1:2" ht="12" customHeight="1">
      <c r="A113" s="897">
        <v>48681</v>
      </c>
      <c r="B113" s="895">
        <v>3.87785E-2</v>
      </c>
    </row>
    <row r="114" spans="1:2" ht="12" customHeight="1">
      <c r="A114" s="898">
        <v>48711</v>
      </c>
      <c r="B114" s="896">
        <v>3.8813300000000002E-2</v>
      </c>
    </row>
    <row r="115" spans="1:2" ht="12" customHeight="1">
      <c r="A115" s="897">
        <v>48743</v>
      </c>
      <c r="B115" s="895">
        <v>3.8840300000000001E-2</v>
      </c>
    </row>
    <row r="116" spans="1:2" ht="12" customHeight="1">
      <c r="A116" s="898">
        <v>48772</v>
      </c>
      <c r="B116" s="896">
        <v>3.8872499999999997E-2</v>
      </c>
    </row>
    <row r="117" spans="1:2" ht="12" customHeight="1">
      <c r="A117" s="897">
        <v>48803</v>
      </c>
      <c r="B117" s="895">
        <v>3.8904599999999998E-2</v>
      </c>
    </row>
    <row r="118" spans="1:2" ht="12" customHeight="1">
      <c r="A118" s="898">
        <v>48834</v>
      </c>
      <c r="B118" s="896">
        <v>3.89346E-2</v>
      </c>
    </row>
    <row r="119" spans="1:2" ht="12" customHeight="1">
      <c r="A119" s="897">
        <v>48864</v>
      </c>
      <c r="B119" s="895">
        <v>3.8974500000000002E-2</v>
      </c>
    </row>
    <row r="120" spans="1:2" ht="12" customHeight="1">
      <c r="A120" s="898">
        <v>48897</v>
      </c>
      <c r="B120" s="896">
        <v>3.9002299999999997E-2</v>
      </c>
    </row>
    <row r="121" spans="1:2" ht="12" customHeight="1">
      <c r="A121" s="897">
        <v>48925</v>
      </c>
      <c r="B121" s="895">
        <v>3.90357E-2</v>
      </c>
    </row>
    <row r="122" spans="1:2" ht="12" customHeight="1">
      <c r="A122" s="898">
        <v>48956</v>
      </c>
      <c r="B122" s="896">
        <v>3.9072900000000001E-2</v>
      </c>
    </row>
    <row r="123" spans="1:2" ht="12" customHeight="1">
      <c r="A123" s="897">
        <v>48988</v>
      </c>
      <c r="B123" s="895">
        <v>3.9098300000000002E-2</v>
      </c>
    </row>
    <row r="124" spans="1:2" ht="12" customHeight="1">
      <c r="A124" s="898">
        <v>49016</v>
      </c>
      <c r="B124" s="896">
        <v>3.9138399999999997E-2</v>
      </c>
    </row>
    <row r="125" spans="1:2" ht="12" customHeight="1">
      <c r="A125" s="897">
        <v>49046</v>
      </c>
      <c r="B125" s="895">
        <v>3.9170499999999997E-2</v>
      </c>
    </row>
    <row r="126" spans="1:2" ht="12" customHeight="1">
      <c r="A126" s="898">
        <v>49076</v>
      </c>
      <c r="B126" s="896">
        <v>3.9208399999999997E-2</v>
      </c>
    </row>
    <row r="127" spans="1:2" ht="12" customHeight="1">
      <c r="A127" s="897">
        <v>49107</v>
      </c>
      <c r="B127" s="895">
        <v>3.9242300000000001E-2</v>
      </c>
    </row>
  </sheetData>
  <hyperlinks>
    <hyperlink ref="B1" r:id="rId1" xr:uid="{00000000-0004-0000-1300-000000000000}"/>
  </hyperlinks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9">
    <tabColor rgb="FFFFFF00"/>
  </sheetPr>
  <dimension ref="B2:BD23"/>
  <sheetViews>
    <sheetView zoomScale="120" zoomScaleNormal="120" workbookViewId="0">
      <selection activeCell="AD26" sqref="AD26"/>
    </sheetView>
  </sheetViews>
  <sheetFormatPr baseColWidth="10" defaultColWidth="9.1640625" defaultRowHeight="13" customHeight="1"/>
  <cols>
    <col min="1" max="1" width="3" style="206" customWidth="1"/>
    <col min="2" max="2" width="3.83203125" style="933" customWidth="1"/>
    <col min="3" max="4" width="10.83203125" style="206" customWidth="1"/>
    <col min="5" max="5" width="8.6640625" style="206" customWidth="1"/>
    <col min="6" max="7" width="5.5" style="285" customWidth="1"/>
    <col min="8" max="8" width="5" style="934" customWidth="1"/>
    <col min="9" max="9" width="5" style="285" customWidth="1"/>
    <col min="10" max="10" width="4" style="285" customWidth="1"/>
    <col min="11" max="11" width="5.5" style="935" customWidth="1"/>
    <col min="12" max="12" width="7.5" style="936" customWidth="1"/>
    <col min="13" max="13" width="6.83203125" style="936" customWidth="1"/>
    <col min="14" max="14" width="5.5" style="937" customWidth="1"/>
    <col min="15" max="15" width="5.83203125" style="937" customWidth="1"/>
    <col min="16" max="16" width="4.33203125" style="285" customWidth="1"/>
    <col min="17" max="17" width="4" style="285" customWidth="1"/>
    <col min="18" max="18" width="5.1640625" style="935" customWidth="1"/>
    <col min="19" max="20" width="6.6640625" style="285" customWidth="1"/>
    <col min="21" max="21" width="6.33203125" style="206" customWidth="1"/>
    <col min="22" max="22" width="5.5" style="206" customWidth="1"/>
    <col min="23" max="23" width="4.83203125" style="206" customWidth="1"/>
    <col min="24" max="24" width="4.5" style="206" customWidth="1"/>
    <col min="25" max="25" width="6.5" style="214" customWidth="1"/>
    <col min="26" max="26" width="6.5" style="938" customWidth="1"/>
    <col min="27" max="27" width="7.1640625" style="938" customWidth="1"/>
    <col min="28" max="28" width="6.33203125" style="206" customWidth="1"/>
    <col min="29" max="29" width="5.5" style="206" customWidth="1"/>
    <col min="30" max="30" width="5" style="206" customWidth="1"/>
    <col min="31" max="31" width="4.5" style="206" customWidth="1"/>
    <col min="32" max="32" width="6.33203125" style="214" customWidth="1"/>
    <col min="33" max="33" width="7" style="938" customWidth="1"/>
    <col min="34" max="34" width="6.83203125" style="938" customWidth="1"/>
    <col min="35" max="35" width="6.33203125" style="206" customWidth="1"/>
    <col min="36" max="36" width="5.6640625" style="206" customWidth="1"/>
    <col min="37" max="37" width="5" style="206" customWidth="1"/>
    <col min="38" max="38" width="4.5" style="206" customWidth="1"/>
    <col min="39" max="39" width="6.33203125" style="214" customWidth="1"/>
    <col min="40" max="40" width="8" style="938" customWidth="1"/>
    <col min="41" max="41" width="7" style="938" customWidth="1"/>
    <col min="42" max="42" width="6.33203125" style="206" customWidth="1"/>
    <col min="43" max="43" width="6.6640625" style="206" customWidth="1"/>
    <col min="44" max="45" width="6.33203125" style="206" customWidth="1"/>
    <col min="46" max="46" width="21.1640625" style="206" customWidth="1"/>
    <col min="47" max="47" width="5.83203125" style="206" customWidth="1"/>
    <col min="48" max="48" width="6.5" style="285" customWidth="1"/>
    <col min="49" max="49" width="10.5" style="285" customWidth="1"/>
    <col min="50" max="50" width="9.1640625" style="285"/>
    <col min="51" max="52" width="7" style="285" customWidth="1"/>
    <col min="53" max="53" width="15.6640625" style="285" customWidth="1"/>
    <col min="54" max="54" width="29.5" style="285" customWidth="1"/>
    <col min="55" max="56" width="9.1640625" style="933"/>
    <col min="57" max="16384" width="9.1640625" style="206"/>
  </cols>
  <sheetData>
    <row r="2" spans="3:54" ht="13" customHeight="1">
      <c r="AT2" s="332" t="s">
        <v>362</v>
      </c>
      <c r="AU2" s="333" t="s">
        <v>360</v>
      </c>
      <c r="AV2" s="334" t="s">
        <v>347</v>
      </c>
      <c r="AW2" s="334" t="s">
        <v>348</v>
      </c>
      <c r="AX2" s="334" t="s">
        <v>343</v>
      </c>
      <c r="AY2" s="334" t="s">
        <v>349</v>
      </c>
      <c r="AZ2" s="334" t="s">
        <v>350</v>
      </c>
      <c r="BA2" s="334" t="s">
        <v>351</v>
      </c>
      <c r="BB2" s="335" t="s">
        <v>346</v>
      </c>
    </row>
    <row r="3" spans="3:54" ht="13" customHeight="1">
      <c r="AT3" s="292" t="s">
        <v>361</v>
      </c>
      <c r="AU3" s="329"/>
      <c r="AV3" s="293"/>
      <c r="AW3" s="293"/>
      <c r="AX3" s="293"/>
      <c r="AY3" s="330"/>
      <c r="AZ3" s="331"/>
      <c r="BA3" s="293"/>
      <c r="BB3" s="297"/>
    </row>
    <row r="4" spans="3:54" ht="13" customHeight="1">
      <c r="AT4" s="292"/>
      <c r="AU4" s="320"/>
      <c r="AV4" s="293"/>
      <c r="AW4" s="294"/>
      <c r="AX4" s="293"/>
      <c r="AY4" s="295"/>
      <c r="AZ4" s="296"/>
      <c r="BA4" s="293"/>
      <c r="BB4" s="297"/>
    </row>
    <row r="5" spans="3:54" ht="13" customHeight="1">
      <c r="AT5" s="298"/>
      <c r="AU5" s="321"/>
      <c r="AV5" s="289"/>
      <c r="AW5" s="336"/>
      <c r="AX5" s="289"/>
      <c r="AY5" s="290"/>
      <c r="AZ5" s="291"/>
      <c r="BA5" s="289"/>
      <c r="BB5" s="299"/>
    </row>
    <row r="6" spans="3:54" ht="13" customHeight="1">
      <c r="AT6" s="300"/>
      <c r="AU6" s="322"/>
      <c r="AV6" s="301"/>
      <c r="AW6" s="323"/>
      <c r="AX6" s="301"/>
      <c r="AY6" s="324"/>
      <c r="AZ6" s="325"/>
      <c r="BA6" s="301"/>
      <c r="BB6" s="302"/>
    </row>
    <row r="7" spans="3:54" ht="13" customHeight="1">
      <c r="AT7" s="326"/>
      <c r="AU7" s="327"/>
      <c r="AV7" s="328"/>
      <c r="AW7" s="328"/>
      <c r="AX7" s="328"/>
      <c r="AY7" s="328"/>
      <c r="AZ7" s="328"/>
      <c r="BA7" s="328"/>
      <c r="BB7" s="328"/>
    </row>
    <row r="8" spans="3:54" ht="13" customHeight="1" thickBot="1">
      <c r="C8" s="244" t="s">
        <v>372</v>
      </c>
      <c r="D8" s="244"/>
      <c r="AT8" s="326"/>
      <c r="AU8" s="327"/>
      <c r="AV8" s="328"/>
      <c r="AW8" s="328"/>
      <c r="AX8" s="328"/>
      <c r="AY8" s="328"/>
      <c r="AZ8" s="328"/>
      <c r="BA8" s="328"/>
      <c r="BB8" s="328"/>
    </row>
    <row r="9" spans="3:54" ht="13" customHeight="1">
      <c r="C9" s="208"/>
      <c r="D9" s="247"/>
      <c r="E9" s="247"/>
      <c r="F9" s="939"/>
      <c r="G9" s="939"/>
      <c r="H9" s="940"/>
      <c r="I9" s="941" t="s">
        <v>364</v>
      </c>
      <c r="J9" s="942"/>
      <c r="K9" s="943"/>
      <c r="L9" s="944"/>
      <c r="M9" s="944"/>
      <c r="N9" s="945"/>
      <c r="O9" s="945"/>
      <c r="P9" s="942" t="s">
        <v>367</v>
      </c>
      <c r="Q9" s="942"/>
      <c r="R9" s="943"/>
      <c r="S9" s="944"/>
      <c r="T9" s="944"/>
      <c r="U9" s="945"/>
      <c r="V9" s="946"/>
      <c r="W9" s="941" t="s">
        <v>368</v>
      </c>
      <c r="X9" s="942"/>
      <c r="Y9" s="943"/>
      <c r="Z9" s="944"/>
      <c r="AA9" s="944"/>
      <c r="AB9" s="946"/>
      <c r="AC9" s="945"/>
      <c r="AD9" s="942" t="s">
        <v>369</v>
      </c>
      <c r="AE9" s="942"/>
      <c r="AF9" s="943"/>
      <c r="AG9" s="944"/>
      <c r="AH9" s="944"/>
      <c r="AI9" s="945"/>
      <c r="AJ9" s="946"/>
      <c r="AK9" s="941" t="s">
        <v>254</v>
      </c>
      <c r="AL9" s="942"/>
      <c r="AM9" s="943"/>
      <c r="AN9" s="944"/>
      <c r="AO9" s="944"/>
      <c r="AP9" s="945"/>
      <c r="AQ9" s="945"/>
      <c r="AR9" s="947"/>
      <c r="AS9" s="947" t="s">
        <v>370</v>
      </c>
      <c r="AT9" s="303"/>
      <c r="AU9" s="303"/>
      <c r="AV9" s="328"/>
      <c r="AW9" s="328"/>
      <c r="AX9" s="328"/>
      <c r="AY9" s="328"/>
      <c r="AZ9" s="328"/>
      <c r="BA9" s="328"/>
      <c r="BB9" s="328"/>
    </row>
    <row r="10" spans="3:54" ht="27" customHeight="1" thickBot="1">
      <c r="C10" s="948" t="s">
        <v>510</v>
      </c>
      <c r="D10" s="949" t="s">
        <v>519</v>
      </c>
      <c r="E10" s="950" t="s">
        <v>371</v>
      </c>
      <c r="F10" s="951" t="s">
        <v>343</v>
      </c>
      <c r="G10" s="951" t="s">
        <v>513</v>
      </c>
      <c r="H10" s="952" t="s">
        <v>344</v>
      </c>
      <c r="I10" s="953" t="s">
        <v>513</v>
      </c>
      <c r="J10" s="954" t="s">
        <v>514</v>
      </c>
      <c r="K10" s="955" t="s">
        <v>345</v>
      </c>
      <c r="L10" s="956" t="s">
        <v>516</v>
      </c>
      <c r="M10" s="956" t="s">
        <v>517</v>
      </c>
      <c r="N10" s="957" t="s">
        <v>365</v>
      </c>
      <c r="O10" s="958" t="s">
        <v>520</v>
      </c>
      <c r="P10" s="953" t="s">
        <v>513</v>
      </c>
      <c r="Q10" s="954" t="s">
        <v>514</v>
      </c>
      <c r="R10" s="955" t="s">
        <v>345</v>
      </c>
      <c r="S10" s="956" t="s">
        <v>516</v>
      </c>
      <c r="T10" s="956" t="s">
        <v>518</v>
      </c>
      <c r="U10" s="957" t="s">
        <v>365</v>
      </c>
      <c r="V10" s="959" t="s">
        <v>515</v>
      </c>
      <c r="W10" s="953" t="s">
        <v>513</v>
      </c>
      <c r="X10" s="954" t="s">
        <v>514</v>
      </c>
      <c r="Y10" s="955" t="s">
        <v>345</v>
      </c>
      <c r="Z10" s="956" t="s">
        <v>516</v>
      </c>
      <c r="AA10" s="956" t="s">
        <v>517</v>
      </c>
      <c r="AB10" s="957" t="s">
        <v>365</v>
      </c>
      <c r="AC10" s="960" t="s">
        <v>515</v>
      </c>
      <c r="AD10" s="953" t="s">
        <v>513</v>
      </c>
      <c r="AE10" s="954" t="s">
        <v>514</v>
      </c>
      <c r="AF10" s="955" t="s">
        <v>345</v>
      </c>
      <c r="AG10" s="956" t="s">
        <v>516</v>
      </c>
      <c r="AH10" s="956" t="s">
        <v>518</v>
      </c>
      <c r="AI10" s="957" t="s">
        <v>365</v>
      </c>
      <c r="AJ10" s="959" t="s">
        <v>515</v>
      </c>
      <c r="AK10" s="953" t="s">
        <v>513</v>
      </c>
      <c r="AL10" s="954" t="s">
        <v>514</v>
      </c>
      <c r="AM10" s="955" t="s">
        <v>345</v>
      </c>
      <c r="AN10" s="956" t="s">
        <v>516</v>
      </c>
      <c r="AO10" s="956" t="s">
        <v>518</v>
      </c>
      <c r="AP10" s="957" t="s">
        <v>365</v>
      </c>
      <c r="AQ10" s="958" t="s">
        <v>515</v>
      </c>
      <c r="AR10" s="961"/>
      <c r="AS10" s="961"/>
      <c r="AT10" s="327"/>
      <c r="AU10" s="327"/>
      <c r="AV10" s="328"/>
      <c r="AW10" s="328"/>
      <c r="AX10" s="328"/>
      <c r="AY10" s="328"/>
      <c r="AZ10" s="328"/>
      <c r="BA10" s="328"/>
      <c r="BB10" s="328"/>
    </row>
    <row r="11" spans="3:54" ht="25" customHeight="1">
      <c r="C11" s="963" t="s">
        <v>511</v>
      </c>
      <c r="D11" s="964" t="s">
        <v>521</v>
      </c>
      <c r="E11" s="964" t="s">
        <v>512</v>
      </c>
      <c r="F11" s="965">
        <v>2020</v>
      </c>
      <c r="G11" s="966">
        <f>AK11</f>
        <v>240</v>
      </c>
      <c r="H11" s="967">
        <f>1-(AL11/AK11)</f>
        <v>0.93333333333333335</v>
      </c>
      <c r="I11" s="968">
        <v>0</v>
      </c>
      <c r="J11" s="965">
        <v>0</v>
      </c>
      <c r="K11" s="969">
        <v>0</v>
      </c>
      <c r="L11" s="970">
        <v>0</v>
      </c>
      <c r="M11" s="970">
        <v>0</v>
      </c>
      <c r="N11" s="971">
        <f>IF(K11=0,0,L11/K11)</f>
        <v>0</v>
      </c>
      <c r="O11" s="972">
        <f>IF(L11=0,0,(L11-M11)/L11)</f>
        <v>0</v>
      </c>
      <c r="P11" s="965">
        <v>96</v>
      </c>
      <c r="Q11" s="965">
        <v>7</v>
      </c>
      <c r="R11" s="969">
        <v>810</v>
      </c>
      <c r="S11" s="970">
        <v>1864</v>
      </c>
      <c r="T11" s="970">
        <v>1864</v>
      </c>
      <c r="U11" s="971">
        <f>IF(R11=0,0,S11/R11)</f>
        <v>2.3012345679012345</v>
      </c>
      <c r="V11" s="972">
        <f>IF(S11=0,0,(S11-T11)/S11)</f>
        <v>0</v>
      </c>
      <c r="W11" s="968">
        <v>113</v>
      </c>
      <c r="X11" s="965">
        <v>6</v>
      </c>
      <c r="Y11" s="969">
        <v>1140</v>
      </c>
      <c r="Z11" s="970">
        <v>2158</v>
      </c>
      <c r="AA11" s="970">
        <v>2158</v>
      </c>
      <c r="AB11" s="971">
        <f>IF(Y11=0,0,Z11/Y11)</f>
        <v>1.8929824561403508</v>
      </c>
      <c r="AC11" s="972">
        <f>IF(Z11=0,0,(Z11-AA11)/Z11)</f>
        <v>0</v>
      </c>
      <c r="AD11" s="965">
        <v>31</v>
      </c>
      <c r="AE11" s="965">
        <v>3</v>
      </c>
      <c r="AF11" s="969">
        <v>1351</v>
      </c>
      <c r="AG11" s="970">
        <v>2789</v>
      </c>
      <c r="AH11" s="970">
        <v>2789</v>
      </c>
      <c r="AI11" s="971">
        <f>IF(AF11=0,0,AG11/AF11)</f>
        <v>2.0643967431532197</v>
      </c>
      <c r="AJ11" s="972">
        <f>IF(AG11=0,0,(AG11-AH11)/AG11)</f>
        <v>0</v>
      </c>
      <c r="AK11" s="973">
        <f>I11+P11+W11+AD11</f>
        <v>240</v>
      </c>
      <c r="AL11" s="974">
        <f>J11+Q11+X11+AE11</f>
        <v>16</v>
      </c>
      <c r="AM11" s="975">
        <f>((I11*K11)+(P11*R11)+(W11*Y11)+(AD11*AF11))/AK11</f>
        <v>1035.2541666666666</v>
      </c>
      <c r="AN11" s="976">
        <f>(($I11*L11)+($P11*S11)+($W11*Z11)+($AD11*AG11))/$AK11</f>
        <v>2121.9041666666667</v>
      </c>
      <c r="AO11" s="976">
        <f>(($I11*M11)+($P11*T11)+($W11*AA11)+($AD11*AH11))/$AK11</f>
        <v>2121.9041666666667</v>
      </c>
      <c r="AP11" s="971">
        <f>IF(AM11=0,0,AN11/AM11)</f>
        <v>2.0496456184270371</v>
      </c>
      <c r="AQ11" s="972">
        <f>IF(AN11=0,0,(AN11-AO11)/AN11)</f>
        <v>0</v>
      </c>
      <c r="AR11" s="937"/>
      <c r="AS11" s="937"/>
    </row>
    <row r="12" spans="3:54" ht="25" customHeight="1">
      <c r="C12" s="977" t="s">
        <v>522</v>
      </c>
      <c r="D12" s="978" t="s">
        <v>523</v>
      </c>
      <c r="E12" s="978" t="s">
        <v>512</v>
      </c>
      <c r="F12" s="979">
        <v>2018</v>
      </c>
      <c r="G12" s="980">
        <f t="shared" ref="G12:G17" si="0">AK12</f>
        <v>324</v>
      </c>
      <c r="H12" s="981">
        <f t="shared" ref="H12:H17" si="1">1-(AL12/AK12)</f>
        <v>0.95679012345679015</v>
      </c>
      <c r="I12" s="982">
        <v>0</v>
      </c>
      <c r="J12" s="979">
        <v>0</v>
      </c>
      <c r="K12" s="983">
        <v>0</v>
      </c>
      <c r="L12" s="984">
        <v>0</v>
      </c>
      <c r="M12" s="984">
        <v>0</v>
      </c>
      <c r="N12" s="985">
        <f t="shared" ref="N12:N22" si="2">IF(K12=0,0,L12/K12)</f>
        <v>0</v>
      </c>
      <c r="O12" s="986">
        <f t="shared" ref="O12:O23" si="3">IF(L12=0,0,(L12-M12)/L12)</f>
        <v>0</v>
      </c>
      <c r="P12" s="979">
        <v>110</v>
      </c>
      <c r="Q12" s="979">
        <v>5</v>
      </c>
      <c r="R12" s="983">
        <v>814</v>
      </c>
      <c r="S12" s="984">
        <v>1741</v>
      </c>
      <c r="T12" s="984">
        <v>1741</v>
      </c>
      <c r="U12" s="985">
        <f t="shared" ref="U12:U22" si="4">IF(R12=0,0,S12/R12)</f>
        <v>2.138820638820639</v>
      </c>
      <c r="V12" s="986">
        <f t="shared" ref="V12:V22" si="5">IF(S12=0,0,(S12-T12)/S12)</f>
        <v>0</v>
      </c>
      <c r="W12" s="982">
        <v>178</v>
      </c>
      <c r="X12" s="979">
        <v>7</v>
      </c>
      <c r="Y12" s="983">
        <v>1167</v>
      </c>
      <c r="Z12" s="984">
        <v>2089</v>
      </c>
      <c r="AA12" s="984">
        <v>2089</v>
      </c>
      <c r="AB12" s="985">
        <f t="shared" ref="AB12:AB22" si="6">IF(Y12=0,0,Z12/Y12)</f>
        <v>1.7900599828620394</v>
      </c>
      <c r="AC12" s="986">
        <f t="shared" ref="AC12:AC22" si="7">IF(Z12=0,0,(Z12-AA12)/Z12)</f>
        <v>0</v>
      </c>
      <c r="AD12" s="979">
        <v>36</v>
      </c>
      <c r="AE12" s="979">
        <v>2</v>
      </c>
      <c r="AF12" s="983">
        <v>1319</v>
      </c>
      <c r="AG12" s="984">
        <v>2532</v>
      </c>
      <c r="AH12" s="984">
        <v>2532</v>
      </c>
      <c r="AI12" s="985">
        <f t="shared" ref="AI12:AI22" si="8">IF(AF12=0,0,AG12/AF12)</f>
        <v>1.9196360879454133</v>
      </c>
      <c r="AJ12" s="986">
        <f t="shared" ref="AJ12:AJ22" si="9">IF(AG12=0,0,(AG12-AH12)/AG12)</f>
        <v>0</v>
      </c>
      <c r="AK12" s="987">
        <f t="shared" ref="AK12:AK22" si="10">I12+P12+W12+AD12</f>
        <v>324</v>
      </c>
      <c r="AL12" s="988">
        <f t="shared" ref="AL12:AL22" si="11">J12+Q12+X12+AE12</f>
        <v>14</v>
      </c>
      <c r="AM12" s="989">
        <f t="shared" ref="AM12:AM22" si="12">((I12*K12)+(P12*R12)+(W12*Y12)+(AD12*AF12))/AK12</f>
        <v>1064.0432098765432</v>
      </c>
      <c r="AN12" s="990">
        <f t="shared" ref="AN12:AN22" si="13">(($I12*L12)+($P12*S12)+($W12*Z12)+($AD12*AG12))/$AK12</f>
        <v>2020.0740740740741</v>
      </c>
      <c r="AO12" s="990">
        <f t="shared" ref="AO12:AO22" si="14">(($I12*M12)+($P12*T12)+($W12*AA12)+($AD12*AH12))/$AK12</f>
        <v>2020.0740740740741</v>
      </c>
      <c r="AP12" s="985">
        <f t="shared" ref="AP12:AP22" si="15">IF(AM12=0,0,AN12/AM12)</f>
        <v>1.8984887599709936</v>
      </c>
      <c r="AQ12" s="986">
        <f t="shared" ref="AQ12:AQ22" si="16">IF(AN12=0,0,(AN12-AO12)/AN12)</f>
        <v>0</v>
      </c>
      <c r="AR12" s="937"/>
      <c r="AS12" s="937"/>
    </row>
    <row r="13" spans="3:54" ht="25" customHeight="1">
      <c r="C13" s="963" t="s">
        <v>533</v>
      </c>
      <c r="D13" s="964" t="s">
        <v>524</v>
      </c>
      <c r="E13" s="964" t="s">
        <v>512</v>
      </c>
      <c r="F13" s="965">
        <v>2017</v>
      </c>
      <c r="G13" s="966">
        <f t="shared" si="0"/>
        <v>180</v>
      </c>
      <c r="H13" s="967">
        <f t="shared" si="1"/>
        <v>0.88888888888888884</v>
      </c>
      <c r="I13" s="968">
        <v>0</v>
      </c>
      <c r="J13" s="965">
        <v>0</v>
      </c>
      <c r="K13" s="969">
        <v>0</v>
      </c>
      <c r="L13" s="970">
        <v>0</v>
      </c>
      <c r="M13" s="970">
        <v>0</v>
      </c>
      <c r="N13" s="971">
        <f t="shared" si="2"/>
        <v>0</v>
      </c>
      <c r="O13" s="972">
        <f t="shared" si="3"/>
        <v>0</v>
      </c>
      <c r="P13" s="965">
        <v>79</v>
      </c>
      <c r="Q13" s="965">
        <v>6</v>
      </c>
      <c r="R13" s="969">
        <v>741</v>
      </c>
      <c r="S13" s="970">
        <v>1784</v>
      </c>
      <c r="T13" s="970">
        <v>1766</v>
      </c>
      <c r="U13" s="971">
        <f t="shared" si="4"/>
        <v>2.407557354925776</v>
      </c>
      <c r="V13" s="972">
        <f t="shared" si="5"/>
        <v>1.0089686098654708E-2</v>
      </c>
      <c r="W13" s="968">
        <v>95</v>
      </c>
      <c r="X13" s="965">
        <v>12</v>
      </c>
      <c r="Y13" s="969">
        <v>1040</v>
      </c>
      <c r="Z13" s="970">
        <v>2023</v>
      </c>
      <c r="AA13" s="970">
        <v>2003</v>
      </c>
      <c r="AB13" s="971">
        <f t="shared" si="6"/>
        <v>1.9451923076923077</v>
      </c>
      <c r="AC13" s="972">
        <f t="shared" si="7"/>
        <v>9.8863074641621362E-3</v>
      </c>
      <c r="AD13" s="965">
        <v>6</v>
      </c>
      <c r="AE13" s="965">
        <v>2</v>
      </c>
      <c r="AF13" s="969">
        <v>1240</v>
      </c>
      <c r="AG13" s="970">
        <v>2604</v>
      </c>
      <c r="AH13" s="970">
        <v>2578</v>
      </c>
      <c r="AI13" s="971">
        <f t="shared" si="8"/>
        <v>2.1</v>
      </c>
      <c r="AJ13" s="972">
        <f t="shared" si="9"/>
        <v>9.984639016897081E-3</v>
      </c>
      <c r="AK13" s="973">
        <f t="shared" si="10"/>
        <v>180</v>
      </c>
      <c r="AL13" s="974">
        <f t="shared" si="11"/>
        <v>20</v>
      </c>
      <c r="AM13" s="975">
        <f t="shared" si="12"/>
        <v>915.43888888888887</v>
      </c>
      <c r="AN13" s="976">
        <f t="shared" si="13"/>
        <v>1937.4722222222222</v>
      </c>
      <c r="AO13" s="976">
        <f t="shared" si="14"/>
        <v>1918.15</v>
      </c>
      <c r="AP13" s="971">
        <f t="shared" si="15"/>
        <v>2.116440808598183</v>
      </c>
      <c r="AQ13" s="972">
        <f t="shared" si="16"/>
        <v>9.9729028373165916E-3</v>
      </c>
      <c r="AR13" s="937"/>
      <c r="AS13" s="937"/>
    </row>
    <row r="14" spans="3:54" ht="25" customHeight="1">
      <c r="C14" s="977" t="s">
        <v>525</v>
      </c>
      <c r="D14" s="978" t="s">
        <v>526</v>
      </c>
      <c r="E14" s="978" t="s">
        <v>512</v>
      </c>
      <c r="F14" s="979">
        <v>2023</v>
      </c>
      <c r="G14" s="980">
        <f t="shared" si="0"/>
        <v>183</v>
      </c>
      <c r="H14" s="981">
        <f t="shared" si="1"/>
        <v>0.80327868852459017</v>
      </c>
      <c r="I14" s="982">
        <v>0</v>
      </c>
      <c r="J14" s="979">
        <v>0</v>
      </c>
      <c r="K14" s="983">
        <v>0</v>
      </c>
      <c r="L14" s="984">
        <v>0</v>
      </c>
      <c r="M14" s="984">
        <v>0</v>
      </c>
      <c r="N14" s="985">
        <f t="shared" si="2"/>
        <v>0</v>
      </c>
      <c r="O14" s="986">
        <f t="shared" si="3"/>
        <v>0</v>
      </c>
      <c r="P14" s="979">
        <v>82</v>
      </c>
      <c r="Q14" s="979">
        <v>15</v>
      </c>
      <c r="R14" s="983">
        <v>798</v>
      </c>
      <c r="S14" s="984">
        <v>2664</v>
      </c>
      <c r="T14" s="984">
        <v>2614</v>
      </c>
      <c r="U14" s="985">
        <f t="shared" si="4"/>
        <v>3.3383458646616542</v>
      </c>
      <c r="V14" s="986">
        <f t="shared" si="5"/>
        <v>1.8768768768768769E-2</v>
      </c>
      <c r="W14" s="982">
        <v>101</v>
      </c>
      <c r="X14" s="979">
        <v>21</v>
      </c>
      <c r="Y14" s="983">
        <v>1295</v>
      </c>
      <c r="Z14" s="984">
        <v>3903</v>
      </c>
      <c r="AA14" s="984">
        <v>3830</v>
      </c>
      <c r="AB14" s="985">
        <f t="shared" si="6"/>
        <v>3.0138996138996137</v>
      </c>
      <c r="AC14" s="986">
        <f t="shared" si="7"/>
        <v>1.870356136305406E-2</v>
      </c>
      <c r="AD14" s="979">
        <v>0</v>
      </c>
      <c r="AE14" s="979">
        <v>0</v>
      </c>
      <c r="AF14" s="983">
        <v>0</v>
      </c>
      <c r="AG14" s="984">
        <v>0</v>
      </c>
      <c r="AH14" s="984">
        <v>0</v>
      </c>
      <c r="AI14" s="985">
        <f t="shared" si="8"/>
        <v>0</v>
      </c>
      <c r="AJ14" s="986">
        <f t="shared" si="9"/>
        <v>0</v>
      </c>
      <c r="AK14" s="987">
        <f t="shared" si="10"/>
        <v>183</v>
      </c>
      <c r="AL14" s="988">
        <f t="shared" si="11"/>
        <v>36</v>
      </c>
      <c r="AM14" s="989">
        <f t="shared" si="12"/>
        <v>1072.3005464480875</v>
      </c>
      <c r="AN14" s="990">
        <f t="shared" si="13"/>
        <v>3347.8196721311474</v>
      </c>
      <c r="AO14" s="990">
        <f t="shared" si="14"/>
        <v>3285.1256830601092</v>
      </c>
      <c r="AP14" s="985">
        <f t="shared" si="15"/>
        <v>3.1220908011476265</v>
      </c>
      <c r="AQ14" s="986">
        <f t="shared" si="16"/>
        <v>1.8726811839040493E-2</v>
      </c>
      <c r="AR14" s="937"/>
      <c r="AS14" s="937"/>
    </row>
    <row r="15" spans="3:54" ht="25" customHeight="1">
      <c r="C15" s="977" t="s">
        <v>527</v>
      </c>
      <c r="D15" s="978" t="s">
        <v>528</v>
      </c>
      <c r="E15" s="978" t="s">
        <v>529</v>
      </c>
      <c r="F15" s="979">
        <v>2022</v>
      </c>
      <c r="G15" s="980">
        <f t="shared" si="0"/>
        <v>47</v>
      </c>
      <c r="H15" s="981">
        <f t="shared" si="1"/>
        <v>0.91489361702127658</v>
      </c>
      <c r="I15" s="982">
        <v>0</v>
      </c>
      <c r="J15" s="979">
        <v>0</v>
      </c>
      <c r="K15" s="983">
        <v>0</v>
      </c>
      <c r="L15" s="984">
        <v>0</v>
      </c>
      <c r="M15" s="984">
        <v>0</v>
      </c>
      <c r="N15" s="985">
        <f t="shared" si="2"/>
        <v>0</v>
      </c>
      <c r="O15" s="986">
        <f t="shared" si="3"/>
        <v>0</v>
      </c>
      <c r="P15" s="979">
        <v>20</v>
      </c>
      <c r="Q15" s="979">
        <v>1</v>
      </c>
      <c r="R15" s="983">
        <v>713</v>
      </c>
      <c r="S15" s="984">
        <v>2553</v>
      </c>
      <c r="T15" s="984">
        <v>2538</v>
      </c>
      <c r="U15" s="985">
        <f t="shared" si="4"/>
        <v>3.5806451612903225</v>
      </c>
      <c r="V15" s="986">
        <f t="shared" si="5"/>
        <v>5.8754406580493537E-3</v>
      </c>
      <c r="W15" s="982">
        <v>24</v>
      </c>
      <c r="X15" s="979">
        <v>3</v>
      </c>
      <c r="Y15" s="983">
        <v>1073</v>
      </c>
      <c r="Z15" s="984">
        <v>3254</v>
      </c>
      <c r="AA15" s="984">
        <v>3236</v>
      </c>
      <c r="AB15" s="985">
        <f t="shared" si="6"/>
        <v>3.0326188257222739</v>
      </c>
      <c r="AC15" s="986">
        <f t="shared" si="7"/>
        <v>5.531653349723417E-3</v>
      </c>
      <c r="AD15" s="979">
        <v>3</v>
      </c>
      <c r="AE15" s="979">
        <v>0</v>
      </c>
      <c r="AF15" s="983">
        <v>1073</v>
      </c>
      <c r="AG15" s="984">
        <v>4040</v>
      </c>
      <c r="AH15" s="984">
        <v>4015</v>
      </c>
      <c r="AI15" s="985">
        <f t="shared" si="8"/>
        <v>3.7651444547996271</v>
      </c>
      <c r="AJ15" s="986">
        <f t="shared" si="9"/>
        <v>6.1881188118811884E-3</v>
      </c>
      <c r="AK15" s="987">
        <f t="shared" si="10"/>
        <v>47</v>
      </c>
      <c r="AL15" s="988">
        <f t="shared" si="11"/>
        <v>4</v>
      </c>
      <c r="AM15" s="989">
        <f t="shared" si="12"/>
        <v>919.80851063829789</v>
      </c>
      <c r="AN15" s="990">
        <f t="shared" si="13"/>
        <v>3005.872340425532</v>
      </c>
      <c r="AO15" s="990">
        <f t="shared" si="14"/>
        <v>2988.7021276595747</v>
      </c>
      <c r="AP15" s="985">
        <f t="shared" si="15"/>
        <v>3.2679327334551593</v>
      </c>
      <c r="AQ15" s="986">
        <f t="shared" si="16"/>
        <v>5.7122228828675398E-3</v>
      </c>
      <c r="AR15" s="937"/>
      <c r="AS15" s="937"/>
    </row>
    <row r="16" spans="3:54" ht="25" customHeight="1">
      <c r="C16" s="977" t="s">
        <v>530</v>
      </c>
      <c r="D16" s="978" t="s">
        <v>531</v>
      </c>
      <c r="E16" s="978" t="s">
        <v>529</v>
      </c>
      <c r="F16" s="979">
        <v>2016</v>
      </c>
      <c r="G16" s="980">
        <f t="shared" si="0"/>
        <v>228</v>
      </c>
      <c r="H16" s="981">
        <f t="shared" si="1"/>
        <v>0.9692982456140351</v>
      </c>
      <c r="I16" s="982">
        <v>39</v>
      </c>
      <c r="J16" s="979">
        <v>1</v>
      </c>
      <c r="K16" s="983">
        <v>636</v>
      </c>
      <c r="L16" s="984">
        <v>2224</v>
      </c>
      <c r="M16" s="984">
        <v>2217</v>
      </c>
      <c r="N16" s="985">
        <f t="shared" si="2"/>
        <v>3.4968553459119498</v>
      </c>
      <c r="O16" s="986">
        <f t="shared" si="3"/>
        <v>3.1474820143884892E-3</v>
      </c>
      <c r="P16" s="979">
        <v>96</v>
      </c>
      <c r="Q16" s="979">
        <v>0</v>
      </c>
      <c r="R16" s="983">
        <v>840</v>
      </c>
      <c r="S16" s="984">
        <v>2597</v>
      </c>
      <c r="T16" s="984">
        <v>2589</v>
      </c>
      <c r="U16" s="985">
        <f t="shared" si="4"/>
        <v>3.0916666666666668</v>
      </c>
      <c r="V16" s="986">
        <f t="shared" si="5"/>
        <v>3.0804774740084712E-3</v>
      </c>
      <c r="W16" s="982">
        <v>93</v>
      </c>
      <c r="X16" s="979">
        <v>6</v>
      </c>
      <c r="Y16" s="983">
        <v>1166</v>
      </c>
      <c r="Z16" s="984">
        <v>3522</v>
      </c>
      <c r="AA16" s="984">
        <v>3511</v>
      </c>
      <c r="AB16" s="985">
        <f t="shared" si="6"/>
        <v>3.0205831903945111</v>
      </c>
      <c r="AC16" s="986">
        <f t="shared" si="7"/>
        <v>3.1232254400908573E-3</v>
      </c>
      <c r="AD16" s="979">
        <v>0</v>
      </c>
      <c r="AE16" s="979">
        <v>0</v>
      </c>
      <c r="AF16" s="983">
        <v>0</v>
      </c>
      <c r="AG16" s="984">
        <v>0</v>
      </c>
      <c r="AH16" s="984">
        <v>0</v>
      </c>
      <c r="AI16" s="985">
        <f t="shared" si="8"/>
        <v>0</v>
      </c>
      <c r="AJ16" s="986">
        <f t="shared" si="9"/>
        <v>0</v>
      </c>
      <c r="AK16" s="987">
        <f t="shared" si="10"/>
        <v>228</v>
      </c>
      <c r="AL16" s="988">
        <f t="shared" si="11"/>
        <v>7</v>
      </c>
      <c r="AM16" s="989">
        <f t="shared" si="12"/>
        <v>938.07894736842104</v>
      </c>
      <c r="AN16" s="990">
        <f t="shared" si="13"/>
        <v>2910.5</v>
      </c>
      <c r="AO16" s="990">
        <f t="shared" si="14"/>
        <v>2901.4473684210525</v>
      </c>
      <c r="AP16" s="985">
        <f t="shared" si="15"/>
        <v>3.1026173310517016</v>
      </c>
      <c r="AQ16" s="986">
        <f t="shared" si="16"/>
        <v>3.1103355364877211E-3</v>
      </c>
      <c r="AR16" s="937"/>
      <c r="AS16" s="937"/>
    </row>
    <row r="17" spans="3:45" ht="25" customHeight="1">
      <c r="C17" s="977" t="s">
        <v>532</v>
      </c>
      <c r="D17" s="978" t="s">
        <v>534</v>
      </c>
      <c r="E17" s="978" t="s">
        <v>529</v>
      </c>
      <c r="F17" s="979">
        <v>2018</v>
      </c>
      <c r="G17" s="980">
        <f t="shared" si="0"/>
        <v>286</v>
      </c>
      <c r="H17" s="981">
        <f t="shared" si="1"/>
        <v>0.89860139860139865</v>
      </c>
      <c r="I17" s="982">
        <v>23</v>
      </c>
      <c r="J17" s="979">
        <v>6</v>
      </c>
      <c r="K17" s="983">
        <v>550</v>
      </c>
      <c r="L17" s="984">
        <v>1745</v>
      </c>
      <c r="M17" s="984">
        <v>1734</v>
      </c>
      <c r="N17" s="985">
        <f t="shared" si="2"/>
        <v>3.1727272727272728</v>
      </c>
      <c r="O17" s="986">
        <f t="shared" si="3"/>
        <v>6.3037249283667621E-3</v>
      </c>
      <c r="P17" s="979">
        <v>163</v>
      </c>
      <c r="Q17" s="979">
        <v>17</v>
      </c>
      <c r="R17" s="983">
        <v>764</v>
      </c>
      <c r="S17" s="984">
        <v>2238</v>
      </c>
      <c r="T17" s="984">
        <v>2224</v>
      </c>
      <c r="U17" s="985">
        <f t="shared" si="4"/>
        <v>2.9293193717277486</v>
      </c>
      <c r="V17" s="986">
        <f t="shared" si="5"/>
        <v>6.2555853440571943E-3</v>
      </c>
      <c r="W17" s="982">
        <v>100</v>
      </c>
      <c r="X17" s="979">
        <v>6</v>
      </c>
      <c r="Y17" s="983">
        <v>1312</v>
      </c>
      <c r="Z17" s="984">
        <v>3271</v>
      </c>
      <c r="AA17" s="984">
        <v>3252</v>
      </c>
      <c r="AB17" s="985">
        <f t="shared" si="6"/>
        <v>2.493140243902439</v>
      </c>
      <c r="AC17" s="986">
        <f t="shared" si="7"/>
        <v>5.8086212167532862E-3</v>
      </c>
      <c r="AD17" s="979">
        <v>0</v>
      </c>
      <c r="AE17" s="979">
        <v>0</v>
      </c>
      <c r="AF17" s="983">
        <v>0</v>
      </c>
      <c r="AG17" s="984">
        <v>0</v>
      </c>
      <c r="AH17" s="984">
        <v>0</v>
      </c>
      <c r="AI17" s="985">
        <f t="shared" si="8"/>
        <v>0</v>
      </c>
      <c r="AJ17" s="986">
        <f t="shared" si="9"/>
        <v>0</v>
      </c>
      <c r="AK17" s="987">
        <f t="shared" si="10"/>
        <v>286</v>
      </c>
      <c r="AL17" s="988">
        <f t="shared" si="11"/>
        <v>29</v>
      </c>
      <c r="AM17" s="989">
        <f t="shared" si="12"/>
        <v>938.39860139860139</v>
      </c>
      <c r="AN17" s="990">
        <f t="shared" si="13"/>
        <v>2559.541958041958</v>
      </c>
      <c r="AO17" s="990">
        <f t="shared" si="14"/>
        <v>2544.0349650349649</v>
      </c>
      <c r="AP17" s="985">
        <f t="shared" si="15"/>
        <v>2.7275636965221213</v>
      </c>
      <c r="AQ17" s="986">
        <f t="shared" si="16"/>
        <v>6.0585031467332824E-3</v>
      </c>
      <c r="AR17" s="937"/>
      <c r="AS17" s="937"/>
    </row>
    <row r="18" spans="3:45" ht="25" customHeight="1">
      <c r="C18" s="977" t="s">
        <v>535</v>
      </c>
      <c r="D18" s="978" t="s">
        <v>536</v>
      </c>
      <c r="E18" s="978" t="s">
        <v>529</v>
      </c>
      <c r="F18" s="979">
        <v>2018</v>
      </c>
      <c r="G18" s="980">
        <f t="shared" ref="G18:G23" si="17">AK18</f>
        <v>228</v>
      </c>
      <c r="H18" s="981">
        <f t="shared" ref="H18:H22" si="18">1-(AL18/AK18)</f>
        <v>0.92543859649122806</v>
      </c>
      <c r="I18" s="982">
        <v>26</v>
      </c>
      <c r="J18" s="979">
        <v>2</v>
      </c>
      <c r="K18" s="983">
        <v>686</v>
      </c>
      <c r="L18" s="984">
        <v>2353</v>
      </c>
      <c r="M18" s="984">
        <v>2267</v>
      </c>
      <c r="N18" s="985">
        <f t="shared" si="2"/>
        <v>3.4300291545189503</v>
      </c>
      <c r="O18" s="986">
        <f t="shared" si="3"/>
        <v>3.654908627284318E-2</v>
      </c>
      <c r="P18" s="979">
        <v>95</v>
      </c>
      <c r="Q18" s="979">
        <v>4</v>
      </c>
      <c r="R18" s="983">
        <v>813</v>
      </c>
      <c r="S18" s="984">
        <v>2724</v>
      </c>
      <c r="T18" s="984">
        <v>2625</v>
      </c>
      <c r="U18" s="985">
        <f t="shared" si="4"/>
        <v>3.3505535055350553</v>
      </c>
      <c r="V18" s="986">
        <f t="shared" si="5"/>
        <v>3.634361233480176E-2</v>
      </c>
      <c r="W18" s="982">
        <v>96</v>
      </c>
      <c r="X18" s="979">
        <v>8</v>
      </c>
      <c r="Y18" s="983">
        <v>1260</v>
      </c>
      <c r="Z18" s="984">
        <v>2941</v>
      </c>
      <c r="AA18" s="984">
        <v>2865</v>
      </c>
      <c r="AB18" s="985">
        <f t="shared" si="6"/>
        <v>2.3341269841269843</v>
      </c>
      <c r="AC18" s="986">
        <f t="shared" si="7"/>
        <v>2.584155049302958E-2</v>
      </c>
      <c r="AD18" s="979">
        <v>11</v>
      </c>
      <c r="AE18" s="979">
        <v>3</v>
      </c>
      <c r="AF18" s="983">
        <v>1672</v>
      </c>
      <c r="AG18" s="984">
        <v>4639</v>
      </c>
      <c r="AH18" s="984">
        <v>4549</v>
      </c>
      <c r="AI18" s="985">
        <f t="shared" si="8"/>
        <v>2.7745215311004783</v>
      </c>
      <c r="AJ18" s="986">
        <f t="shared" si="9"/>
        <v>1.940073291657685E-2</v>
      </c>
      <c r="AK18" s="987">
        <f t="shared" si="10"/>
        <v>228</v>
      </c>
      <c r="AL18" s="988">
        <f t="shared" si="11"/>
        <v>17</v>
      </c>
      <c r="AM18" s="989">
        <f t="shared" si="12"/>
        <v>1028.171052631579</v>
      </c>
      <c r="AN18" s="990">
        <f t="shared" si="13"/>
        <v>2865.4517543859647</v>
      </c>
      <c r="AO18" s="990">
        <f t="shared" si="14"/>
        <v>2778.0526315789475</v>
      </c>
      <c r="AP18" s="985">
        <f t="shared" si="15"/>
        <v>2.7869407012110585</v>
      </c>
      <c r="AQ18" s="986">
        <f t="shared" si="16"/>
        <v>3.0500992617740263E-2</v>
      </c>
      <c r="AR18" s="937"/>
      <c r="AS18" s="937"/>
    </row>
    <row r="19" spans="3:45" ht="25" customHeight="1">
      <c r="C19" s="977" t="s">
        <v>537</v>
      </c>
      <c r="D19" s="978" t="s">
        <v>538</v>
      </c>
      <c r="E19" s="978" t="s">
        <v>529</v>
      </c>
      <c r="F19" s="979">
        <v>2019</v>
      </c>
      <c r="G19" s="980">
        <f t="shared" si="17"/>
        <v>97</v>
      </c>
      <c r="H19" s="981">
        <f t="shared" si="18"/>
        <v>0.97938144329896903</v>
      </c>
      <c r="I19" s="982">
        <v>8</v>
      </c>
      <c r="J19" s="979">
        <v>0</v>
      </c>
      <c r="K19" s="983">
        <v>570</v>
      </c>
      <c r="L19" s="984">
        <v>1952</v>
      </c>
      <c r="M19" s="984">
        <v>1933</v>
      </c>
      <c r="N19" s="985">
        <f t="shared" si="2"/>
        <v>3.4245614035087719</v>
      </c>
      <c r="O19" s="986">
        <f t="shared" si="3"/>
        <v>9.7336065573770496E-3</v>
      </c>
      <c r="P19" s="979">
        <v>28</v>
      </c>
      <c r="Q19" s="979">
        <v>0</v>
      </c>
      <c r="R19" s="983">
        <v>780</v>
      </c>
      <c r="S19" s="984">
        <v>1950</v>
      </c>
      <c r="T19" s="984">
        <v>1931</v>
      </c>
      <c r="U19" s="985">
        <f t="shared" si="4"/>
        <v>2.5</v>
      </c>
      <c r="V19" s="986">
        <f t="shared" si="5"/>
        <v>9.743589743589744E-3</v>
      </c>
      <c r="W19" s="982">
        <v>50</v>
      </c>
      <c r="X19" s="979">
        <v>1</v>
      </c>
      <c r="Y19" s="983">
        <v>1060</v>
      </c>
      <c r="Z19" s="984">
        <v>2620</v>
      </c>
      <c r="AA19" s="984">
        <v>2594</v>
      </c>
      <c r="AB19" s="985">
        <f t="shared" si="6"/>
        <v>2.4716981132075473</v>
      </c>
      <c r="AC19" s="986">
        <f t="shared" si="7"/>
        <v>9.9236641221374048E-3</v>
      </c>
      <c r="AD19" s="979">
        <v>11</v>
      </c>
      <c r="AE19" s="979">
        <v>1</v>
      </c>
      <c r="AF19" s="983">
        <v>1374</v>
      </c>
      <c r="AG19" s="984">
        <v>3059</v>
      </c>
      <c r="AH19" s="984">
        <v>3028</v>
      </c>
      <c r="AI19" s="985">
        <f t="shared" si="8"/>
        <v>2.2263464337700145</v>
      </c>
      <c r="AJ19" s="986">
        <f t="shared" si="9"/>
        <v>1.0134030728996404E-2</v>
      </c>
      <c r="AK19" s="987">
        <f t="shared" si="10"/>
        <v>97</v>
      </c>
      <c r="AL19" s="988">
        <f t="shared" si="11"/>
        <v>2</v>
      </c>
      <c r="AM19" s="989">
        <f t="shared" si="12"/>
        <v>974.37113402061857</v>
      </c>
      <c r="AN19" s="990">
        <f t="shared" si="13"/>
        <v>2421.2886597938145</v>
      </c>
      <c r="AO19" s="990">
        <f t="shared" si="14"/>
        <v>2397.319587628866</v>
      </c>
      <c r="AP19" s="985">
        <f t="shared" si="15"/>
        <v>2.4849757707852804</v>
      </c>
      <c r="AQ19" s="986">
        <f t="shared" si="16"/>
        <v>9.8993038554063394E-3</v>
      </c>
      <c r="AR19" s="937"/>
      <c r="AS19" s="937"/>
    </row>
    <row r="20" spans="3:45" ht="25" customHeight="1">
      <c r="C20" s="977" t="s">
        <v>539</v>
      </c>
      <c r="D20" s="978" t="s">
        <v>540</v>
      </c>
      <c r="E20" s="978" t="s">
        <v>529</v>
      </c>
      <c r="F20" s="979">
        <v>2017</v>
      </c>
      <c r="G20" s="980">
        <f t="shared" si="17"/>
        <v>180</v>
      </c>
      <c r="H20" s="981">
        <f t="shared" si="18"/>
        <v>0.84444444444444444</v>
      </c>
      <c r="I20" s="982">
        <v>0</v>
      </c>
      <c r="J20" s="979">
        <v>0</v>
      </c>
      <c r="K20" s="983">
        <v>0</v>
      </c>
      <c r="L20" s="984">
        <v>0</v>
      </c>
      <c r="M20" s="984">
        <v>0</v>
      </c>
      <c r="N20" s="985">
        <f t="shared" si="2"/>
        <v>0</v>
      </c>
      <c r="O20" s="986">
        <f t="shared" si="3"/>
        <v>0</v>
      </c>
      <c r="P20" s="979">
        <v>84</v>
      </c>
      <c r="Q20" s="979">
        <v>15</v>
      </c>
      <c r="R20" s="983">
        <v>863</v>
      </c>
      <c r="S20" s="984">
        <v>2679</v>
      </c>
      <c r="T20" s="984">
        <v>2662</v>
      </c>
      <c r="U20" s="985">
        <f t="shared" si="4"/>
        <v>3.104287369640788</v>
      </c>
      <c r="V20" s="986">
        <f t="shared" si="5"/>
        <v>6.3456513624486751E-3</v>
      </c>
      <c r="W20" s="982">
        <v>84</v>
      </c>
      <c r="X20" s="979">
        <v>12</v>
      </c>
      <c r="Y20" s="983">
        <v>1240</v>
      </c>
      <c r="Z20" s="984">
        <v>3707</v>
      </c>
      <c r="AA20" s="984">
        <v>3684</v>
      </c>
      <c r="AB20" s="985">
        <f t="shared" si="6"/>
        <v>2.9895161290322583</v>
      </c>
      <c r="AC20" s="986">
        <f t="shared" si="7"/>
        <v>6.2044780145670353E-3</v>
      </c>
      <c r="AD20" s="979">
        <v>12</v>
      </c>
      <c r="AE20" s="979">
        <v>1</v>
      </c>
      <c r="AF20" s="983">
        <v>2408</v>
      </c>
      <c r="AG20" s="984">
        <v>7646</v>
      </c>
      <c r="AH20" s="984">
        <v>7599</v>
      </c>
      <c r="AI20" s="985">
        <f t="shared" si="8"/>
        <v>3.1752491694352161</v>
      </c>
      <c r="AJ20" s="986">
        <f t="shared" si="9"/>
        <v>6.1470049699189119E-3</v>
      </c>
      <c r="AK20" s="987">
        <f t="shared" si="10"/>
        <v>180</v>
      </c>
      <c r="AL20" s="988">
        <f t="shared" si="11"/>
        <v>28</v>
      </c>
      <c r="AM20" s="989">
        <f t="shared" si="12"/>
        <v>1141.9333333333334</v>
      </c>
      <c r="AN20" s="990">
        <f t="shared" si="13"/>
        <v>3489.8666666666668</v>
      </c>
      <c r="AO20" s="990">
        <f t="shared" si="14"/>
        <v>3468.0666666666666</v>
      </c>
      <c r="AP20" s="985">
        <f t="shared" si="15"/>
        <v>3.0561036838110804</v>
      </c>
      <c r="AQ20" s="986">
        <f t="shared" si="16"/>
        <v>6.246656987850591E-3</v>
      </c>
      <c r="AR20" s="937"/>
      <c r="AS20" s="937"/>
    </row>
    <row r="21" spans="3:45" ht="25" customHeight="1">
      <c r="C21" s="977" t="s">
        <v>541</v>
      </c>
      <c r="D21" s="978" t="s">
        <v>542</v>
      </c>
      <c r="E21" s="978" t="s">
        <v>529</v>
      </c>
      <c r="F21" s="979">
        <v>2016</v>
      </c>
      <c r="G21" s="980">
        <f t="shared" si="17"/>
        <v>138</v>
      </c>
      <c r="H21" s="981">
        <f t="shared" si="18"/>
        <v>0.95652173913043481</v>
      </c>
      <c r="I21" s="982">
        <v>0</v>
      </c>
      <c r="J21" s="979">
        <v>0</v>
      </c>
      <c r="K21" s="983">
        <v>0</v>
      </c>
      <c r="L21" s="984">
        <v>0</v>
      </c>
      <c r="M21" s="984">
        <v>0</v>
      </c>
      <c r="N21" s="985">
        <f t="shared" si="2"/>
        <v>0</v>
      </c>
      <c r="O21" s="986">
        <f t="shared" si="3"/>
        <v>0</v>
      </c>
      <c r="P21" s="979">
        <v>56</v>
      </c>
      <c r="Q21" s="979">
        <v>3</v>
      </c>
      <c r="R21" s="983">
        <v>854</v>
      </c>
      <c r="S21" s="984">
        <v>2830</v>
      </c>
      <c r="T21" s="984">
        <v>2808</v>
      </c>
      <c r="U21" s="985">
        <f t="shared" si="4"/>
        <v>3.3138173302107727</v>
      </c>
      <c r="V21" s="986">
        <f t="shared" si="5"/>
        <v>7.7738515901060075E-3</v>
      </c>
      <c r="W21" s="982">
        <v>76</v>
      </c>
      <c r="X21" s="979">
        <v>2</v>
      </c>
      <c r="Y21" s="983">
        <v>1262</v>
      </c>
      <c r="Z21" s="984">
        <v>3913</v>
      </c>
      <c r="AA21" s="984">
        <v>3882</v>
      </c>
      <c r="AB21" s="985">
        <f t="shared" si="6"/>
        <v>3.1006339144215529</v>
      </c>
      <c r="AC21" s="986">
        <f t="shared" si="7"/>
        <v>7.9223102478916431E-3</v>
      </c>
      <c r="AD21" s="979">
        <v>6</v>
      </c>
      <c r="AE21" s="979">
        <v>1</v>
      </c>
      <c r="AF21" s="983">
        <v>2310</v>
      </c>
      <c r="AG21" s="984">
        <v>9174</v>
      </c>
      <c r="AH21" s="984">
        <v>9101</v>
      </c>
      <c r="AI21" s="985">
        <f t="shared" si="8"/>
        <v>3.9714285714285715</v>
      </c>
      <c r="AJ21" s="986">
        <f t="shared" si="9"/>
        <v>7.9572705471986048E-3</v>
      </c>
      <c r="AK21" s="987">
        <f t="shared" si="10"/>
        <v>138</v>
      </c>
      <c r="AL21" s="988">
        <f t="shared" si="11"/>
        <v>6</v>
      </c>
      <c r="AM21" s="989">
        <f t="shared" si="12"/>
        <v>1142</v>
      </c>
      <c r="AN21" s="990">
        <f t="shared" si="13"/>
        <v>3702.2608695652175</v>
      </c>
      <c r="AO21" s="990">
        <f t="shared" si="14"/>
        <v>3673.086956521739</v>
      </c>
      <c r="AP21" s="985">
        <f t="shared" si="15"/>
        <v>3.2419096931394198</v>
      </c>
      <c r="AQ21" s="986">
        <f t="shared" si="16"/>
        <v>7.880026305900097E-3</v>
      </c>
      <c r="AR21" s="937"/>
      <c r="AS21" s="937"/>
    </row>
    <row r="22" spans="3:45" ht="25" customHeight="1" thickBot="1">
      <c r="C22" s="991" t="s">
        <v>543</v>
      </c>
      <c r="D22" s="992" t="s">
        <v>544</v>
      </c>
      <c r="E22" s="992" t="s">
        <v>529</v>
      </c>
      <c r="F22" s="993">
        <v>2020</v>
      </c>
      <c r="G22" s="994">
        <f t="shared" si="17"/>
        <v>222</v>
      </c>
      <c r="H22" s="995">
        <f t="shared" si="18"/>
        <v>0.93243243243243246</v>
      </c>
      <c r="I22" s="996">
        <v>13</v>
      </c>
      <c r="J22" s="993">
        <v>2</v>
      </c>
      <c r="K22" s="997">
        <v>645</v>
      </c>
      <c r="L22" s="998">
        <v>1960</v>
      </c>
      <c r="M22" s="998">
        <v>1946</v>
      </c>
      <c r="N22" s="999">
        <f t="shared" si="2"/>
        <v>3.0387596899224807</v>
      </c>
      <c r="O22" s="1000">
        <f t="shared" si="3"/>
        <v>7.1428571428571426E-3</v>
      </c>
      <c r="P22" s="993">
        <v>70</v>
      </c>
      <c r="Q22" s="993">
        <v>7</v>
      </c>
      <c r="R22" s="997">
        <v>815</v>
      </c>
      <c r="S22" s="998">
        <v>2156</v>
      </c>
      <c r="T22" s="998">
        <v>2141</v>
      </c>
      <c r="U22" s="999">
        <f t="shared" si="4"/>
        <v>2.6453987730061348</v>
      </c>
      <c r="V22" s="1000">
        <f t="shared" si="5"/>
        <v>6.9573283858998143E-3</v>
      </c>
      <c r="W22" s="996">
        <v>117</v>
      </c>
      <c r="X22" s="993">
        <v>5</v>
      </c>
      <c r="Y22" s="997">
        <v>1019</v>
      </c>
      <c r="Z22" s="998">
        <v>2603</v>
      </c>
      <c r="AA22" s="998">
        <v>2585</v>
      </c>
      <c r="AB22" s="999">
        <f t="shared" si="6"/>
        <v>2.5544651619234542</v>
      </c>
      <c r="AC22" s="1000">
        <f t="shared" si="7"/>
        <v>6.9150979638878214E-3</v>
      </c>
      <c r="AD22" s="993">
        <v>22</v>
      </c>
      <c r="AE22" s="993">
        <v>1</v>
      </c>
      <c r="AF22" s="997">
        <v>1341</v>
      </c>
      <c r="AG22" s="998">
        <v>3098</v>
      </c>
      <c r="AH22" s="998">
        <v>3077</v>
      </c>
      <c r="AI22" s="999">
        <f t="shared" si="8"/>
        <v>2.3102162565249813</v>
      </c>
      <c r="AJ22" s="1000">
        <f t="shared" si="9"/>
        <v>6.7785668173014849E-3</v>
      </c>
      <c r="AK22" s="1001">
        <f t="shared" si="10"/>
        <v>222</v>
      </c>
      <c r="AL22" s="1002">
        <f t="shared" si="11"/>
        <v>15</v>
      </c>
      <c r="AM22" s="1003">
        <f t="shared" si="12"/>
        <v>964.68468468468473</v>
      </c>
      <c r="AN22" s="1004">
        <f t="shared" si="13"/>
        <v>2473.4549549549552</v>
      </c>
      <c r="AO22" s="1004">
        <f t="shared" si="14"/>
        <v>2456.3378378378379</v>
      </c>
      <c r="AP22" s="999">
        <f t="shared" si="15"/>
        <v>2.5640035487485995</v>
      </c>
      <c r="AQ22" s="1000">
        <f t="shared" si="16"/>
        <v>6.9203270036623556E-3</v>
      </c>
      <c r="AR22" s="937"/>
      <c r="AS22" s="937"/>
    </row>
    <row r="23" spans="3:45" ht="13" customHeight="1" thickBot="1">
      <c r="C23" s="412" t="s">
        <v>366</v>
      </c>
      <c r="D23" s="413"/>
      <c r="E23" s="1005"/>
      <c r="F23" s="1006"/>
      <c r="G23" s="1006">
        <f t="shared" si="17"/>
        <v>196.08333333333334</v>
      </c>
      <c r="H23" s="1007"/>
      <c r="I23" s="1008">
        <f t="shared" ref="I23:J23" si="19">AVERAGE(I16,I17,I18,I19,I22)</f>
        <v>21.8</v>
      </c>
      <c r="J23" s="1009">
        <f t="shared" si="19"/>
        <v>2.2000000000000002</v>
      </c>
      <c r="K23" s="1010">
        <f>AVERAGE(K16,K17,K18,K19,K22)</f>
        <v>617.4</v>
      </c>
      <c r="L23" s="1011">
        <f>AVERAGE(L16,L17,L18,L19,L22)</f>
        <v>2046.8</v>
      </c>
      <c r="M23" s="1011">
        <f>AVERAGE(M16,M17,M18,M19,M22)</f>
        <v>2019.4</v>
      </c>
      <c r="N23" s="1012">
        <f t="shared" ref="N23" si="20">IF(K23=0,0,L23/K23)</f>
        <v>3.3151927437641722</v>
      </c>
      <c r="O23" s="1013">
        <f t="shared" si="3"/>
        <v>1.3386750048856685E-2</v>
      </c>
      <c r="P23" s="1009">
        <f t="shared" ref="P23:Q23" si="21">AVERAGE(P11:P22)</f>
        <v>81.583333333333329</v>
      </c>
      <c r="Q23" s="1009">
        <f t="shared" si="21"/>
        <v>6.666666666666667</v>
      </c>
      <c r="R23" s="1010">
        <f>AVERAGE(R11:R22)</f>
        <v>800.41666666666663</v>
      </c>
      <c r="S23" s="1011">
        <f t="shared" ref="S23:T23" si="22">AVERAGE(S11:S22)</f>
        <v>2315</v>
      </c>
      <c r="T23" s="1011">
        <f t="shared" si="22"/>
        <v>2291.9166666666665</v>
      </c>
      <c r="U23" s="1012">
        <f t="shared" ref="U23" si="23">IF(R23=0,0,S23/R23)</f>
        <v>2.8922436231129622</v>
      </c>
      <c r="V23" s="1014">
        <f t="shared" ref="V23" si="24">IF(S23=0,0,(S23-T23)/S23)</f>
        <v>9.9712023038157609E-3</v>
      </c>
      <c r="W23" s="1008">
        <f t="shared" ref="W23:X23" si="25">AVERAGE(W11:W22)</f>
        <v>93.916666666666671</v>
      </c>
      <c r="X23" s="1009">
        <f t="shared" si="25"/>
        <v>7.416666666666667</v>
      </c>
      <c r="Y23" s="1010">
        <f>AVERAGE(Y11:Y22)</f>
        <v>1169.5</v>
      </c>
      <c r="Z23" s="1011">
        <f t="shared" ref="Z23:AA23" si="26">AVERAGE(Z11:Z22)</f>
        <v>3000.3333333333335</v>
      </c>
      <c r="AA23" s="1011">
        <f t="shared" si="26"/>
        <v>2974.0833333333335</v>
      </c>
      <c r="AB23" s="1012">
        <f t="shared" ref="AB23" si="27">IF(Y23=0,0,Z23/Y23)</f>
        <v>2.5654838249964373</v>
      </c>
      <c r="AC23" s="1013">
        <f t="shared" ref="AC23" si="28">IF(Z23=0,0,(Z23-AA23)/Z23)</f>
        <v>8.7490278857904665E-3</v>
      </c>
      <c r="AD23" s="1009">
        <f>AVERAGE(AD11,AD12,AD13,AD15,AD18,AD19,AD20,AD21,AD22)</f>
        <v>15.333333333333334</v>
      </c>
      <c r="AE23" s="1006">
        <f t="shared" ref="AE23:AH23" si="29">AVERAGE(AE11,AE12,AE13,AE15,AE18,AE19,AE20,AE21,AE22)</f>
        <v>1.5555555555555556</v>
      </c>
      <c r="AF23" s="1010">
        <f t="shared" si="29"/>
        <v>1565.3333333333333</v>
      </c>
      <c r="AG23" s="1011">
        <f t="shared" si="29"/>
        <v>4397.8888888888887</v>
      </c>
      <c r="AH23" s="1011">
        <f t="shared" si="29"/>
        <v>4363.1111111111113</v>
      </c>
      <c r="AI23" s="1012">
        <f t="shared" ref="AI23" si="30">IF(AF23=0,0,AG23/AF23)</f>
        <v>2.8095542305508232</v>
      </c>
      <c r="AJ23" s="1014">
        <f t="shared" ref="AJ23" si="31">IF(AG23=0,0,(AG23-AH23)/AG23)</f>
        <v>7.9078345670901794E-3</v>
      </c>
      <c r="AK23" s="1015">
        <f>AVERAGE(AK11:AK22)</f>
        <v>196.08333333333334</v>
      </c>
      <c r="AL23" s="1009">
        <f t="shared" ref="AL23:AO23" si="32">AVERAGE(AL11:AL22)</f>
        <v>16.166666666666668</v>
      </c>
      <c r="AM23" s="1010">
        <f t="shared" si="32"/>
        <v>1011.2069229963103</v>
      </c>
      <c r="AN23" s="1011">
        <f t="shared" si="32"/>
        <v>2737.9589449106847</v>
      </c>
      <c r="AO23" s="1011">
        <f t="shared" si="32"/>
        <v>2712.6918387625415</v>
      </c>
      <c r="AP23" s="1012">
        <f t="shared" ref="AP23" si="33">IF(AM23=0,0,AN23/AM23)</f>
        <v>2.7076149130761786</v>
      </c>
      <c r="AQ23" s="1013">
        <f t="shared" ref="AQ23" si="34">IF(AN23=0,0,(AN23-AO23)/AN23)</f>
        <v>9.2284459542791002E-3</v>
      </c>
      <c r="AR23" s="962"/>
      <c r="AS23" s="937"/>
    </row>
  </sheetData>
  <phoneticPr fontId="48" type="noConversion"/>
  <pageMargins left="0.25" right="0.25" top="0.25" bottom="0.25" header="0.3" footer="0.3"/>
  <pageSetup paperSize="5" scale="68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3816D-16CF-4067-A65F-45F3E3B7F664}">
  <sheetPr codeName="Sheet4">
    <tabColor theme="9" tint="0.79998168889431442"/>
    <pageSetUpPr fitToPage="1"/>
  </sheetPr>
  <dimension ref="A1:AO74"/>
  <sheetViews>
    <sheetView showGridLines="0" topLeftCell="B1" zoomScaleNormal="100" workbookViewId="0">
      <selection activeCell="D4" sqref="D4"/>
    </sheetView>
  </sheetViews>
  <sheetFormatPr baseColWidth="10" defaultColWidth="9.1640625" defaultRowHeight="15"/>
  <cols>
    <col min="1" max="1" width="9.1640625" style="1"/>
    <col min="2" max="2" width="23.83203125" style="1" customWidth="1"/>
    <col min="3" max="3" width="7.6640625" style="1" customWidth="1"/>
    <col min="4" max="4" width="12.1640625" style="1" customWidth="1"/>
    <col min="5" max="5" width="12.1640625" style="1" hidden="1" customWidth="1"/>
    <col min="6" max="6" width="9.5" style="1" hidden="1" customWidth="1"/>
    <col min="7" max="7" width="13.33203125" style="1" hidden="1" customWidth="1"/>
    <col min="8" max="8" width="9.5" style="1" hidden="1" customWidth="1"/>
    <col min="9" max="9" width="13.5" style="1" hidden="1" customWidth="1"/>
    <col min="10" max="10" width="9.5" style="1" hidden="1" customWidth="1"/>
    <col min="11" max="11" width="11.83203125" style="1" hidden="1" customWidth="1"/>
    <col min="12" max="12" width="12.1640625" style="1" hidden="1" customWidth="1"/>
    <col min="13" max="15" width="11.5" style="455" hidden="1" customWidth="1"/>
    <col min="16" max="16" width="0.5" style="197" hidden="1" customWidth="1"/>
    <col min="17" max="17" width="11.1640625" style="1" customWidth="1"/>
    <col min="18" max="18" width="10.6640625" style="1" customWidth="1"/>
    <col min="19" max="19" width="5" style="105" customWidth="1"/>
    <col min="20" max="20" width="10.5" style="105" customWidth="1"/>
    <col min="21" max="21" width="13.83203125" style="105" customWidth="1"/>
    <col min="22" max="41" width="9.1640625" style="105"/>
    <col min="42" max="16384" width="9.1640625" style="1"/>
  </cols>
  <sheetData>
    <row r="1" spans="2:18" ht="12" customHeight="1">
      <c r="B1" s="814" t="s">
        <v>258</v>
      </c>
      <c r="C1" s="815"/>
      <c r="D1" s="815"/>
      <c r="E1" s="815"/>
      <c r="F1" s="815"/>
      <c r="G1" s="815"/>
      <c r="H1" s="815"/>
      <c r="I1" s="815"/>
      <c r="J1" s="815"/>
      <c r="K1" s="815"/>
      <c r="L1" s="685"/>
      <c r="M1" s="684"/>
      <c r="N1" s="684"/>
      <c r="O1" s="685"/>
      <c r="P1" s="453"/>
      <c r="Q1" s="356"/>
      <c r="R1" s="357"/>
    </row>
    <row r="2" spans="2:18" ht="12" customHeight="1" thickBot="1">
      <c r="B2" s="816" t="s">
        <v>499</v>
      </c>
      <c r="C2" s="817"/>
      <c r="D2" s="817"/>
      <c r="E2" s="817"/>
      <c r="F2" s="817"/>
      <c r="G2" s="817"/>
      <c r="H2" s="817"/>
      <c r="I2" s="817"/>
      <c r="J2" s="817"/>
      <c r="K2" s="817"/>
      <c r="L2" s="818"/>
      <c r="M2" s="645"/>
      <c r="N2" s="645"/>
      <c r="O2" s="686"/>
      <c r="P2" s="453"/>
      <c r="Q2" s="358"/>
      <c r="R2" s="359"/>
    </row>
    <row r="3" spans="2:18" ht="12" customHeight="1">
      <c r="B3" s="810" t="s">
        <v>68</v>
      </c>
      <c r="C3" s="53">
        <f>'Unit Mix'!D7*'Unit Mix'!C7</f>
        <v>72932</v>
      </c>
      <c r="D3" s="811" t="s">
        <v>457</v>
      </c>
      <c r="E3" s="812"/>
      <c r="F3" s="813"/>
      <c r="G3" s="811" t="s">
        <v>459</v>
      </c>
      <c r="H3" s="812"/>
      <c r="I3" s="812"/>
      <c r="J3" s="812"/>
      <c r="K3" s="811" t="s">
        <v>500</v>
      </c>
      <c r="L3" s="813"/>
      <c r="M3" s="646"/>
      <c r="N3" s="646"/>
      <c r="O3" s="530"/>
      <c r="P3" s="464" t="s">
        <v>370</v>
      </c>
      <c r="Q3" s="345"/>
      <c r="R3" s="346"/>
    </row>
    <row r="4" spans="2:18" ht="54.75" customHeight="1">
      <c r="B4" s="687" t="s">
        <v>305</v>
      </c>
      <c r="C4" s="53">
        <f>'Unit Mix'!C7</f>
        <v>61</v>
      </c>
      <c r="D4" s="678" t="s">
        <v>458</v>
      </c>
      <c r="E4" s="1389"/>
      <c r="F4" s="1390"/>
      <c r="G4" s="1391"/>
      <c r="H4" s="1389"/>
      <c r="I4" s="1389"/>
      <c r="J4" s="1389"/>
      <c r="K4" s="1391"/>
      <c r="L4" s="1390"/>
      <c r="M4" s="616" t="s">
        <v>431</v>
      </c>
      <c r="N4" s="616" t="s">
        <v>432</v>
      </c>
      <c r="O4" s="647" t="s">
        <v>460</v>
      </c>
      <c r="P4" s="465"/>
      <c r="Q4" s="388" t="s">
        <v>376</v>
      </c>
      <c r="R4" s="272" t="s">
        <v>377</v>
      </c>
    </row>
    <row r="5" spans="2:18" ht="12" customHeight="1">
      <c r="B5" s="688" t="s">
        <v>17</v>
      </c>
      <c r="D5" s="531"/>
      <c r="E5" s="275"/>
      <c r="F5" s="532"/>
      <c r="G5" s="531"/>
      <c r="H5" s="275"/>
      <c r="I5" s="275"/>
      <c r="J5" s="275"/>
      <c r="K5" s="531"/>
      <c r="L5" s="532"/>
      <c r="M5" s="617"/>
      <c r="N5" s="617"/>
      <c r="O5" s="648"/>
      <c r="Q5" s="273"/>
      <c r="R5" s="274"/>
    </row>
    <row r="6" spans="2:18" ht="12" customHeight="1">
      <c r="B6" s="689" t="s">
        <v>18</v>
      </c>
      <c r="D6" s="716"/>
      <c r="E6" s="594"/>
      <c r="F6" s="533"/>
      <c r="G6" s="1392"/>
      <c r="H6" s="1393"/>
      <c r="I6" s="1393"/>
      <c r="J6" s="1393"/>
      <c r="K6" s="1394"/>
      <c r="L6" s="1395"/>
      <c r="M6" s="618"/>
      <c r="N6" s="618"/>
      <c r="O6" s="649"/>
      <c r="P6" s="466"/>
      <c r="Q6" s="373"/>
      <c r="R6" s="200"/>
    </row>
    <row r="7" spans="2:18" ht="12" customHeight="1">
      <c r="B7" s="689" t="s">
        <v>391</v>
      </c>
      <c r="D7" s="715">
        <f>D64</f>
        <v>0.03</v>
      </c>
      <c r="E7" s="509">
        <f>C47</f>
        <v>8.3212599999999998E-2</v>
      </c>
      <c r="F7" s="534"/>
      <c r="G7" s="1396">
        <f>E7</f>
        <v>8.3212599999999998E-2</v>
      </c>
      <c r="H7" s="1397"/>
      <c r="I7" s="1398">
        <v>8.3199999999999996E-2</v>
      </c>
      <c r="J7" s="1397"/>
      <c r="K7" s="1399">
        <f>E7</f>
        <v>8.3212599999999998E-2</v>
      </c>
      <c r="L7" s="1400"/>
      <c r="M7" s="619">
        <f>M64</f>
        <v>5.5E-2</v>
      </c>
      <c r="N7" s="619">
        <f>N64</f>
        <v>7.7526100000000001E-2</v>
      </c>
      <c r="O7" s="650">
        <f>O64</f>
        <v>7.7526100000000001E-2</v>
      </c>
      <c r="P7" s="467"/>
      <c r="Q7" s="389">
        <f t="shared" ref="Q7:R7" si="0">Q64</f>
        <v>0</v>
      </c>
      <c r="R7" s="365">
        <f t="shared" si="0"/>
        <v>0</v>
      </c>
    </row>
    <row r="8" spans="2:18" ht="12" customHeight="1">
      <c r="B8" s="689" t="s">
        <v>19</v>
      </c>
      <c r="D8" s="535">
        <v>30</v>
      </c>
      <c r="E8" s="511">
        <v>30</v>
      </c>
      <c r="F8" s="536"/>
      <c r="G8" s="1401">
        <v>30</v>
      </c>
      <c r="H8" s="1402"/>
      <c r="I8" s="1402">
        <v>25</v>
      </c>
      <c r="J8" s="1402"/>
      <c r="K8" s="1403">
        <v>30</v>
      </c>
      <c r="L8" s="1404"/>
      <c r="M8" s="620">
        <f>K8</f>
        <v>30</v>
      </c>
      <c r="N8" s="620">
        <f>K8</f>
        <v>30</v>
      </c>
      <c r="O8" s="651">
        <v>30</v>
      </c>
      <c r="P8" s="468"/>
      <c r="Q8" s="374">
        <f>K8</f>
        <v>30</v>
      </c>
      <c r="R8" s="98">
        <f>K8</f>
        <v>30</v>
      </c>
    </row>
    <row r="9" spans="2:18" ht="12" customHeight="1">
      <c r="B9" s="688" t="s">
        <v>13</v>
      </c>
      <c r="D9" s="537"/>
      <c r="E9" s="4"/>
      <c r="F9" s="538"/>
      <c r="G9" s="537"/>
      <c r="H9" s="4"/>
      <c r="I9" s="4"/>
      <c r="J9" s="4"/>
      <c r="K9" s="801"/>
      <c r="L9" s="802"/>
      <c r="M9" s="621"/>
      <c r="N9" s="621"/>
      <c r="O9" s="652"/>
      <c r="P9" s="341"/>
      <c r="Q9" s="390"/>
      <c r="R9" s="97"/>
    </row>
    <row r="10" spans="2:18" ht="12" customHeight="1">
      <c r="B10" s="689" t="s">
        <v>14</v>
      </c>
      <c r="D10" s="539">
        <f>-PMT(D7/12,D8*12,D6,0)*12</f>
        <v>0</v>
      </c>
      <c r="E10" s="6">
        <f>-PMT(E7/12,E8*12,E6,0)*12</f>
        <v>0</v>
      </c>
      <c r="F10" s="540"/>
      <c r="G10" s="1405">
        <f>-PMT(G7/12,G8*12,G6,0)*12</f>
        <v>0</v>
      </c>
      <c r="H10" s="1406"/>
      <c r="I10" s="1406">
        <f>-PMT(I7/12,I8*12,I6,0)*12</f>
        <v>0</v>
      </c>
      <c r="J10" s="1406"/>
      <c r="K10" s="1407">
        <f>-PMT(K7/12,K8*12,K6,0)*12</f>
        <v>0</v>
      </c>
      <c r="L10" s="1408"/>
      <c r="M10" s="622">
        <f>-PMT(M7/12,M8*12,M6,0)*12</f>
        <v>0</v>
      </c>
      <c r="N10" s="622">
        <f>-PMT(N7/12,N8*12,N6,0)*12</f>
        <v>0</v>
      </c>
      <c r="O10" s="653">
        <f>-PMT(O7/12,O8*12,O6,0)*12</f>
        <v>0</v>
      </c>
      <c r="P10" s="469"/>
      <c r="Q10" s="369">
        <f>-PMT(Q7/12,Q8*12,Q6,0)*12</f>
        <v>0</v>
      </c>
      <c r="R10" s="201">
        <f>-PMT(R7/12,R8*12,R6,0)*12</f>
        <v>0</v>
      </c>
    </row>
    <row r="11" spans="2:18" ht="12" customHeight="1">
      <c r="B11" s="689" t="s">
        <v>15</v>
      </c>
      <c r="D11" s="541">
        <f>D6*D7*365/360</f>
        <v>0</v>
      </c>
      <c r="E11" s="512">
        <f>E6*E7*365/360</f>
        <v>0</v>
      </c>
      <c r="F11" s="542"/>
      <c r="G11" s="1409">
        <f>G6*G7*365/360</f>
        <v>0</v>
      </c>
      <c r="H11" s="1410"/>
      <c r="I11" s="1410">
        <f>I6*I7*365/360</f>
        <v>0</v>
      </c>
      <c r="J11" s="1410"/>
      <c r="K11" s="1409">
        <f>K6*K7*365/360</f>
        <v>0</v>
      </c>
      <c r="L11" s="1411"/>
      <c r="M11" s="623">
        <f>M6*M7*365/360</f>
        <v>0</v>
      </c>
      <c r="N11" s="623">
        <f>N6*N7*365/360</f>
        <v>0</v>
      </c>
      <c r="O11" s="654">
        <f>O6*O7*365/360</f>
        <v>0</v>
      </c>
      <c r="P11" s="469"/>
      <c r="Q11" s="369">
        <f>Q6*Q7*365/360</f>
        <v>0</v>
      </c>
      <c r="R11" s="201">
        <f>R6*R7*365/360</f>
        <v>0</v>
      </c>
    </row>
    <row r="12" spans="2:18" ht="12" customHeight="1">
      <c r="B12" s="690" t="s">
        <v>29</v>
      </c>
      <c r="C12" s="275"/>
      <c r="D12" s="543">
        <f>'Unit Mix'!$C$7</f>
        <v>61</v>
      </c>
      <c r="E12" s="510">
        <f>'Unit Mix'!$C$7</f>
        <v>61</v>
      </c>
      <c r="F12" s="544"/>
      <c r="G12" s="1412">
        <f>'Unit Mix'!$C$7</f>
        <v>61</v>
      </c>
      <c r="H12" s="1413"/>
      <c r="I12" s="1413">
        <f>'Unit Mix'!$C$7</f>
        <v>61</v>
      </c>
      <c r="J12" s="1413"/>
      <c r="K12" s="1412">
        <f>'Unit Mix'!$C$7</f>
        <v>61</v>
      </c>
      <c r="L12" s="1414"/>
      <c r="M12" s="624">
        <f>'Unit Mix'!$C$34</f>
        <v>61</v>
      </c>
      <c r="N12" s="624">
        <f>'Unit Mix'!$C$34</f>
        <v>61</v>
      </c>
      <c r="O12" s="655">
        <f>'Unit Mix'!$C$34</f>
        <v>61</v>
      </c>
      <c r="P12" s="470"/>
      <c r="Q12" s="370">
        <f>$K$12</f>
        <v>61</v>
      </c>
      <c r="R12" s="276">
        <f>$K$12</f>
        <v>61</v>
      </c>
    </row>
    <row r="13" spans="2:18" ht="12" customHeight="1">
      <c r="B13" s="689" t="s">
        <v>30</v>
      </c>
      <c r="D13" s="545">
        <f>ROUNDDOWN(D12*D17,0)</f>
        <v>57</v>
      </c>
      <c r="E13" s="503">
        <f>ROUNDDOWN(E12*E17,0)</f>
        <v>57</v>
      </c>
      <c r="F13" s="546"/>
      <c r="G13" s="1415">
        <f>ROUNDDOWN(G12*G17,0)</f>
        <v>57</v>
      </c>
      <c r="H13" s="1416"/>
      <c r="I13" s="1416">
        <f>ROUNDDOWN(I12*I17,0)</f>
        <v>57</v>
      </c>
      <c r="J13" s="1416"/>
      <c r="K13" s="1417">
        <f>ROUNDDOWN(K12*K17,0)</f>
        <v>57</v>
      </c>
      <c r="L13" s="1418"/>
      <c r="M13" s="625">
        <f>ROUNDDOWN(M12*M17,0)</f>
        <v>57</v>
      </c>
      <c r="N13" s="625">
        <f>ROUNDDOWN(N12*N17,0)</f>
        <v>57</v>
      </c>
      <c r="O13" s="656">
        <f>ROUNDDOWN(O12*O17,0)</f>
        <v>57</v>
      </c>
      <c r="P13" s="470"/>
      <c r="Q13" s="371">
        <f>ROUNDDOWN(Q12*Q17,0)</f>
        <v>57</v>
      </c>
      <c r="R13" s="159">
        <f>ROUNDDOWN(R12*R17,0)</f>
        <v>57</v>
      </c>
    </row>
    <row r="14" spans="2:18" ht="12" customHeight="1">
      <c r="B14" s="689" t="s">
        <v>280</v>
      </c>
      <c r="D14" s="545">
        <f>'Unit Mix'!$D$34*D12</f>
        <v>72932</v>
      </c>
      <c r="E14" s="503">
        <f>'Unit Mix'!$D$34*E12</f>
        <v>72932</v>
      </c>
      <c r="F14" s="546"/>
      <c r="G14" s="1415">
        <f>'Unit Mix'!$D$34*G12</f>
        <v>72932</v>
      </c>
      <c r="H14" s="1416"/>
      <c r="I14" s="1416">
        <f>'Unit Mix'!$D$34*I12</f>
        <v>72932</v>
      </c>
      <c r="J14" s="1416"/>
      <c r="K14" s="1417">
        <f>'Unit Mix'!$D$34*K12</f>
        <v>72932</v>
      </c>
      <c r="L14" s="1418"/>
      <c r="M14" s="625">
        <f>'Unit Mix'!$D$34*M12</f>
        <v>72932</v>
      </c>
      <c r="N14" s="625">
        <f>'Unit Mix'!$D$34*N12</f>
        <v>72932</v>
      </c>
      <c r="O14" s="656">
        <f>'Unit Mix'!$D$34*O12</f>
        <v>72932</v>
      </c>
      <c r="P14" s="470"/>
      <c r="Q14" s="371">
        <f>$K$14</f>
        <v>72932</v>
      </c>
      <c r="R14" s="159">
        <f>$K$14</f>
        <v>72932</v>
      </c>
    </row>
    <row r="15" spans="2:18" ht="12" customHeight="1">
      <c r="B15" s="689" t="s">
        <v>281</v>
      </c>
      <c r="D15" s="545">
        <f>ROUNDDOWN(D14*D17,0)</f>
        <v>68920</v>
      </c>
      <c r="E15" s="503">
        <f>ROUNDDOWN(E14*E17,0)</f>
        <v>68920</v>
      </c>
      <c r="F15" s="546"/>
      <c r="G15" s="1415">
        <f>ROUNDDOWN(G14*G17,0)</f>
        <v>68920</v>
      </c>
      <c r="H15" s="1416"/>
      <c r="I15" s="1416">
        <f>ROUNDDOWN(I14*I17,0)</f>
        <v>68920</v>
      </c>
      <c r="J15" s="1416"/>
      <c r="K15" s="1417">
        <f>ROUNDDOWN(K14*K17,0)</f>
        <v>68920</v>
      </c>
      <c r="L15" s="1418"/>
      <c r="M15" s="625">
        <f>ROUNDDOWN(M14*M17,0)</f>
        <v>68920</v>
      </c>
      <c r="N15" s="625">
        <f>ROUNDDOWN(N14*N17,0)</f>
        <v>68920</v>
      </c>
      <c r="O15" s="656">
        <f>ROUNDDOWN(O14*O17,0)</f>
        <v>68920</v>
      </c>
      <c r="P15" s="470"/>
      <c r="Q15" s="371">
        <f>ROUNDDOWN(Q14*Q17,0)</f>
        <v>68920</v>
      </c>
      <c r="R15" s="159">
        <f>ROUNDDOWN(R14*R17,0)</f>
        <v>68920</v>
      </c>
    </row>
    <row r="16" spans="2:18" ht="2.25" customHeight="1">
      <c r="B16" s="689"/>
      <c r="D16" s="545"/>
      <c r="E16" s="503"/>
      <c r="F16" s="547"/>
      <c r="G16" s="545"/>
      <c r="H16" s="503"/>
      <c r="I16" s="503"/>
      <c r="J16" s="503"/>
      <c r="K16" s="803"/>
      <c r="L16" s="804"/>
      <c r="M16" s="625"/>
      <c r="N16" s="625"/>
      <c r="O16" s="656"/>
      <c r="P16" s="470"/>
      <c r="Q16" s="371"/>
      <c r="R16" s="159"/>
    </row>
    <row r="17" spans="2:18" ht="12" customHeight="1">
      <c r="B17" s="689" t="s">
        <v>3</v>
      </c>
      <c r="D17" s="548">
        <v>0.94499999999999995</v>
      </c>
      <c r="E17" s="504">
        <v>0.94499999999999995</v>
      </c>
      <c r="F17" s="549"/>
      <c r="G17" s="1424">
        <v>0.94499999999999995</v>
      </c>
      <c r="H17" s="1425"/>
      <c r="I17" s="1425">
        <v>0.94499999999999995</v>
      </c>
      <c r="J17" s="1425"/>
      <c r="K17" s="1426">
        <f>E17</f>
        <v>0.94499999999999995</v>
      </c>
      <c r="L17" s="1427"/>
      <c r="M17" s="626">
        <f>1-$C$26</f>
        <v>0.94499999999999995</v>
      </c>
      <c r="N17" s="626">
        <f>1-$C$26</f>
        <v>0.94499999999999995</v>
      </c>
      <c r="O17" s="657">
        <f>1-$C$26</f>
        <v>0.94499999999999995</v>
      </c>
      <c r="P17" s="471"/>
      <c r="Q17" s="372">
        <v>0.94499999999999995</v>
      </c>
      <c r="R17" s="270">
        <f>+K17</f>
        <v>0.94499999999999995</v>
      </c>
    </row>
    <row r="18" spans="2:18" ht="12" customHeight="1">
      <c r="B18" s="689" t="s">
        <v>249</v>
      </c>
      <c r="C18" s="268">
        <v>0.04</v>
      </c>
      <c r="D18" s="550">
        <f>7586280/245968/12</f>
        <v>2.5702123853509398</v>
      </c>
      <c r="E18" s="595">
        <f>(E19*C4)/C3</f>
        <v>3.2340263812460517</v>
      </c>
      <c r="F18" s="551"/>
      <c r="G18" s="1428">
        <f>7586280/C3/12</f>
        <v>8.6682114846706515</v>
      </c>
      <c r="H18" s="1429"/>
      <c r="I18" s="1429">
        <f>8360137/C3/12</f>
        <v>9.5524335454030247</v>
      </c>
      <c r="J18" s="1429"/>
      <c r="K18" s="1430">
        <f>'Unit Mix'!F7</f>
        <v>2.7500685570120109</v>
      </c>
      <c r="L18" s="1431"/>
      <c r="M18" s="627">
        <f>K18</f>
        <v>2.7500685570120109</v>
      </c>
      <c r="N18" s="627">
        <f>K18</f>
        <v>2.7500685570120109</v>
      </c>
      <c r="O18" s="658">
        <f>K18</f>
        <v>2.7500685570120109</v>
      </c>
      <c r="P18" s="472"/>
      <c r="Q18" s="391" t="e">
        <f>#REF!</f>
        <v>#REF!</v>
      </c>
      <c r="R18" s="271">
        <v>2.9476918565572268</v>
      </c>
    </row>
    <row r="19" spans="2:18" ht="12" customHeight="1">
      <c r="B19" s="691" t="s">
        <v>423</v>
      </c>
      <c r="C19" s="269"/>
      <c r="D19" s="552">
        <f>7586280/180/12</f>
        <v>3512.1666666666665</v>
      </c>
      <c r="E19" s="596">
        <f>8351906/180/12</f>
        <v>3866.6231481481482</v>
      </c>
      <c r="F19" s="553"/>
      <c r="G19" s="1432">
        <f>(G18*$C$3)/$C$4</f>
        <v>10363.77049180328</v>
      </c>
      <c r="H19" s="1433"/>
      <c r="I19" s="1433">
        <f>(I18*$C$3)/$C$4</f>
        <v>11420.95218579235</v>
      </c>
      <c r="J19" s="1433"/>
      <c r="K19" s="1432">
        <f>(K18*$C$3)/$C$4</f>
        <v>3287.9999999999995</v>
      </c>
      <c r="L19" s="1434"/>
      <c r="M19" s="628">
        <f>(M18*$C$3)/$C$4</f>
        <v>3287.9999999999995</v>
      </c>
      <c r="N19" s="628">
        <f>(N18*$C$3)/$C$4</f>
        <v>3287.9999999999995</v>
      </c>
      <c r="O19" s="659">
        <f>(O18*$C$3)/$C$4</f>
        <v>3287.9999999999995</v>
      </c>
      <c r="P19" s="473"/>
      <c r="Q19" s="304" t="e">
        <f>(Q18*$C$3)/$C$4</f>
        <v>#REF!</v>
      </c>
      <c r="R19" s="277">
        <f>(R18*$C$3)/$C$4</f>
        <v>3524.2797128267489</v>
      </c>
    </row>
    <row r="20" spans="2:18" ht="12" customHeight="1">
      <c r="B20" s="688" t="s">
        <v>5</v>
      </c>
      <c r="D20" s="554" t="s">
        <v>254</v>
      </c>
      <c r="E20" s="527" t="s">
        <v>254</v>
      </c>
      <c r="F20" s="555" t="s">
        <v>307</v>
      </c>
      <c r="G20" s="604" t="s">
        <v>254</v>
      </c>
      <c r="H20" s="507" t="s">
        <v>307</v>
      </c>
      <c r="I20" s="507" t="s">
        <v>254</v>
      </c>
      <c r="J20" s="507" t="s">
        <v>307</v>
      </c>
      <c r="K20" s="604" t="s">
        <v>254</v>
      </c>
      <c r="L20" s="562" t="s">
        <v>307</v>
      </c>
      <c r="M20" s="629" t="s">
        <v>254</v>
      </c>
      <c r="N20" s="629" t="s">
        <v>254</v>
      </c>
      <c r="O20" s="660" t="s">
        <v>254</v>
      </c>
      <c r="P20" s="465"/>
      <c r="Q20" s="392"/>
      <c r="R20" s="360"/>
    </row>
    <row r="21" spans="2:18" ht="12" customHeight="1">
      <c r="B21" s="689" t="s">
        <v>65</v>
      </c>
      <c r="D21" s="556"/>
      <c r="E21" s="522"/>
      <c r="F21" s="597"/>
      <c r="G21" s="556"/>
      <c r="H21" s="488"/>
      <c r="I21" s="522"/>
      <c r="J21" s="488">
        <f>+I21/$K$12/12</f>
        <v>0</v>
      </c>
      <c r="K21" s="805">
        <f>'Unit Mix'!G7</f>
        <v>2499729.333333333</v>
      </c>
      <c r="L21" s="557">
        <f>+K21/$K$12/12</f>
        <v>3414.9307832422583</v>
      </c>
      <c r="M21" s="630">
        <f>K21</f>
        <v>2499729.333333333</v>
      </c>
      <c r="N21" s="630">
        <f>K21</f>
        <v>2499729.333333333</v>
      </c>
      <c r="O21" s="661">
        <f>K21</f>
        <v>2499729.333333333</v>
      </c>
      <c r="P21" s="474"/>
      <c r="Q21" s="353" t="e">
        <f>(Q18*12)*Q14</f>
        <v>#REF!</v>
      </c>
      <c r="R21" s="198">
        <f>(R18*12)*R14</f>
        <v>2579772.7497891798</v>
      </c>
    </row>
    <row r="22" spans="2:18" ht="12" customHeight="1">
      <c r="B22" s="689" t="s">
        <v>64</v>
      </c>
      <c r="D22" s="556"/>
      <c r="E22" s="522"/>
      <c r="F22" s="559"/>
      <c r="G22" s="612"/>
      <c r="H22" s="103"/>
      <c r="I22" s="523"/>
      <c r="J22" s="489">
        <f t="shared" ref="J22:J26" si="1">+I22/$K$12/12</f>
        <v>0</v>
      </c>
      <c r="K22" s="605">
        <f>D22</f>
        <v>0</v>
      </c>
      <c r="L22" s="608">
        <f t="shared" ref="L22:L26" si="2">+K22/$K$12/12</f>
        <v>0</v>
      </c>
      <c r="M22" s="631">
        <f>K22</f>
        <v>0</v>
      </c>
      <c r="N22" s="631">
        <f>K22</f>
        <v>0</v>
      </c>
      <c r="O22" s="662">
        <f t="shared" ref="O22:O24" si="3">K22</f>
        <v>0</v>
      </c>
      <c r="P22" s="474"/>
      <c r="Q22" s="353">
        <f>$K$22</f>
        <v>0</v>
      </c>
      <c r="R22" s="198">
        <f>$K$22</f>
        <v>0</v>
      </c>
    </row>
    <row r="23" spans="2:18" ht="12" customHeight="1">
      <c r="B23" s="689" t="s">
        <v>413</v>
      </c>
      <c r="D23" s="556"/>
      <c r="E23" s="522"/>
      <c r="F23" s="559"/>
      <c r="G23" s="612"/>
      <c r="H23" s="103"/>
      <c r="I23" s="523"/>
      <c r="J23" s="489">
        <f t="shared" si="1"/>
        <v>0</v>
      </c>
      <c r="K23" s="605">
        <f>D23</f>
        <v>0</v>
      </c>
      <c r="L23" s="608">
        <f t="shared" si="2"/>
        <v>0</v>
      </c>
      <c r="M23" s="631">
        <f>K23</f>
        <v>0</v>
      </c>
      <c r="N23" s="631">
        <f>K23</f>
        <v>0</v>
      </c>
      <c r="O23" s="662">
        <f t="shared" si="3"/>
        <v>0</v>
      </c>
      <c r="P23" s="474"/>
      <c r="Q23" s="353">
        <f>$K$23</f>
        <v>0</v>
      </c>
      <c r="R23" s="198">
        <f>$K$23</f>
        <v>0</v>
      </c>
    </row>
    <row r="24" spans="2:18" ht="12" customHeight="1">
      <c r="B24" s="689" t="s">
        <v>392</v>
      </c>
      <c r="D24" s="592"/>
      <c r="E24" s="598"/>
      <c r="F24" s="560"/>
      <c r="G24" s="613"/>
      <c r="H24" s="204"/>
      <c r="I24" s="524"/>
      <c r="J24" s="490">
        <f t="shared" si="1"/>
        <v>0</v>
      </c>
      <c r="K24" s="606">
        <f>E24</f>
        <v>0</v>
      </c>
      <c r="L24" s="609">
        <f t="shared" si="2"/>
        <v>0</v>
      </c>
      <c r="M24" s="632">
        <f>K24*((1+$C$18)^($Y$9-1))</f>
        <v>0</v>
      </c>
      <c r="N24" s="632">
        <f>K24*((1+$C$18)^($Y$9-1))</f>
        <v>0</v>
      </c>
      <c r="O24" s="663">
        <f t="shared" si="3"/>
        <v>0</v>
      </c>
      <c r="P24" s="475"/>
      <c r="Q24" s="393">
        <f>$K$24</f>
        <v>0</v>
      </c>
      <c r="R24" s="203">
        <f>$K$24</f>
        <v>0</v>
      </c>
    </row>
    <row r="25" spans="2:18" ht="12" customHeight="1">
      <c r="B25" s="689" t="s">
        <v>306</v>
      </c>
      <c r="C25" s="202"/>
      <c r="D25" s="556"/>
      <c r="E25" s="522"/>
      <c r="F25" s="559"/>
      <c r="G25" s="556"/>
      <c r="H25" s="103"/>
      <c r="I25" s="525"/>
      <c r="J25" s="489">
        <f t="shared" si="1"/>
        <v>0</v>
      </c>
      <c r="K25" s="558">
        <f>SUM(K21:K24)</f>
        <v>2499729.333333333</v>
      </c>
      <c r="L25" s="608">
        <f t="shared" si="2"/>
        <v>3414.9307832422583</v>
      </c>
      <c r="M25" s="631">
        <f>SUM(M21:M24)</f>
        <v>2499729.333333333</v>
      </c>
      <c r="N25" s="631">
        <f>SUM(N21:N24)</f>
        <v>2499729.333333333</v>
      </c>
      <c r="O25" s="662">
        <f>SUM(O21:O24)</f>
        <v>2499729.333333333</v>
      </c>
      <c r="P25" s="474"/>
      <c r="Q25" s="353" t="e">
        <f>SUM(Q21:Q24)</f>
        <v>#REF!</v>
      </c>
      <c r="R25" s="198">
        <f>SUM(R21:R24)</f>
        <v>2579772.7497891798</v>
      </c>
    </row>
    <row r="26" spans="2:18" ht="12" customHeight="1">
      <c r="B26" s="689" t="s">
        <v>414</v>
      </c>
      <c r="C26" s="498">
        <v>5.5E-2</v>
      </c>
      <c r="D26" s="593"/>
      <c r="E26" s="199"/>
      <c r="F26" s="559"/>
      <c r="G26" s="593"/>
      <c r="H26" s="103"/>
      <c r="I26" s="526"/>
      <c r="J26" s="489">
        <f t="shared" si="1"/>
        <v>0</v>
      </c>
      <c r="K26" s="561">
        <f>-K25*(1-K17)</f>
        <v>-137485.11333333343</v>
      </c>
      <c r="L26" s="608">
        <f t="shared" si="2"/>
        <v>-187.82119307832434</v>
      </c>
      <c r="M26" s="633">
        <f>-M25*(1-M17)</f>
        <v>-137485.11333333343</v>
      </c>
      <c r="N26" s="633">
        <f>-N25*(1-N17)</f>
        <v>-137485.11333333343</v>
      </c>
      <c r="O26" s="664">
        <f>-O25*(1-O17)</f>
        <v>-137485.11333333343</v>
      </c>
      <c r="P26" s="474"/>
      <c r="Q26" s="394" t="e">
        <f>-Q25*(1-Q17)</f>
        <v>#REF!</v>
      </c>
      <c r="R26" s="361">
        <f>-R25*(1-R17)</f>
        <v>-141887.50123840501</v>
      </c>
    </row>
    <row r="27" spans="2:18" ht="12" customHeight="1">
      <c r="B27" s="699" t="s">
        <v>6</v>
      </c>
      <c r="C27" s="700"/>
      <c r="D27" s="701">
        <f t="shared" ref="D27" si="4">SUM(D25:D26)</f>
        <v>0</v>
      </c>
      <c r="E27" s="702">
        <f t="shared" ref="E27:R27" si="5">SUM(E25:E26)</f>
        <v>0</v>
      </c>
      <c r="F27" s="703">
        <f t="shared" si="5"/>
        <v>0</v>
      </c>
      <c r="G27" s="701">
        <f t="shared" si="5"/>
        <v>0</v>
      </c>
      <c r="H27" s="702">
        <f t="shared" si="5"/>
        <v>0</v>
      </c>
      <c r="I27" s="708">
        <f t="shared" si="5"/>
        <v>0</v>
      </c>
      <c r="J27" s="711">
        <f t="shared" si="5"/>
        <v>0</v>
      </c>
      <c r="K27" s="710">
        <f t="shared" si="5"/>
        <v>2362244.2199999997</v>
      </c>
      <c r="L27" s="709">
        <f t="shared" si="5"/>
        <v>3227.1095901639337</v>
      </c>
      <c r="M27" s="702">
        <f>SUM(M25:M26)</f>
        <v>2362244.2199999997</v>
      </c>
      <c r="N27" s="702">
        <f t="shared" ref="N27:O27" si="6">SUM(N25:N26)</f>
        <v>2362244.2199999997</v>
      </c>
      <c r="O27" s="703">
        <f t="shared" si="6"/>
        <v>2362244.2199999997</v>
      </c>
      <c r="P27" s="706"/>
      <c r="Q27" s="280" t="e">
        <f t="shared" si="5"/>
        <v>#REF!</v>
      </c>
      <c r="R27" s="191">
        <f t="shared" si="5"/>
        <v>2437885.2485507745</v>
      </c>
    </row>
    <row r="28" spans="2:18" ht="12" customHeight="1">
      <c r="B28" s="688" t="s">
        <v>7</v>
      </c>
      <c r="D28" s="554" t="s">
        <v>254</v>
      </c>
      <c r="E28" s="527" t="s">
        <v>254</v>
      </c>
      <c r="F28" s="562" t="s">
        <v>307</v>
      </c>
      <c r="G28" s="554" t="s">
        <v>254</v>
      </c>
      <c r="H28" s="507" t="s">
        <v>307</v>
      </c>
      <c r="I28" s="527" t="s">
        <v>254</v>
      </c>
      <c r="J28" s="507" t="s">
        <v>307</v>
      </c>
      <c r="K28" s="554" t="s">
        <v>254</v>
      </c>
      <c r="L28" s="562" t="s">
        <v>307</v>
      </c>
      <c r="M28" s="629" t="s">
        <v>254</v>
      </c>
      <c r="N28" s="629" t="s">
        <v>254</v>
      </c>
      <c r="O28" s="660" t="s">
        <v>254</v>
      </c>
      <c r="P28" s="465"/>
      <c r="Q28" s="353"/>
      <c r="R28" s="278"/>
    </row>
    <row r="29" spans="2:18" ht="12" customHeight="1">
      <c r="B29" s="692" t="s">
        <v>36</v>
      </c>
      <c r="C29" s="515"/>
      <c r="D29" s="566"/>
      <c r="E29" s="508"/>
      <c r="F29" s="559"/>
      <c r="G29" s="566"/>
      <c r="H29" s="103"/>
      <c r="I29" s="528"/>
      <c r="J29" s="103"/>
      <c r="K29" s="563"/>
      <c r="L29" s="806">
        <f>K29/$K$12</f>
        <v>0</v>
      </c>
      <c r="M29" s="618">
        <f>K29</f>
        <v>0</v>
      </c>
      <c r="N29" s="618">
        <f>K29</f>
        <v>0</v>
      </c>
      <c r="O29" s="649">
        <f>M29</f>
        <v>0</v>
      </c>
      <c r="P29" s="474"/>
      <c r="Q29" s="373">
        <f>$K$29</f>
        <v>0</v>
      </c>
      <c r="R29" s="200">
        <f>$K$29</f>
        <v>0</v>
      </c>
    </row>
    <row r="30" spans="2:18" ht="12" customHeight="1">
      <c r="B30" s="692" t="s">
        <v>37</v>
      </c>
      <c r="C30" s="515"/>
      <c r="D30" s="566"/>
      <c r="E30" s="508"/>
      <c r="F30" s="559"/>
      <c r="G30" s="566"/>
      <c r="H30" s="103"/>
      <c r="I30" s="528"/>
      <c r="J30" s="103"/>
      <c r="K30" s="563"/>
      <c r="L30" s="806">
        <f t="shared" ref="L30:L32" si="7">K30/$K$12</f>
        <v>0</v>
      </c>
      <c r="M30" s="618">
        <f>K30</f>
        <v>0</v>
      </c>
      <c r="N30" s="618">
        <f>K30</f>
        <v>0</v>
      </c>
      <c r="O30" s="649">
        <f t="shared" ref="O30:O38" si="8">M30</f>
        <v>0</v>
      </c>
      <c r="P30" s="474"/>
      <c r="Q30" s="373">
        <f>$K$30</f>
        <v>0</v>
      </c>
      <c r="R30" s="200">
        <f>$K$30</f>
        <v>0</v>
      </c>
    </row>
    <row r="31" spans="2:18" ht="12" customHeight="1">
      <c r="B31" s="692" t="s">
        <v>23</v>
      </c>
      <c r="C31" s="515"/>
      <c r="D31" s="566"/>
      <c r="E31" s="508"/>
      <c r="F31" s="559"/>
      <c r="G31" s="566"/>
      <c r="H31" s="103"/>
      <c r="I31" s="528"/>
      <c r="J31" s="103"/>
      <c r="K31" s="563"/>
      <c r="L31" s="806">
        <f t="shared" si="7"/>
        <v>0</v>
      </c>
      <c r="M31" s="618">
        <f>K31</f>
        <v>0</v>
      </c>
      <c r="N31" s="618">
        <f>K31</f>
        <v>0</v>
      </c>
      <c r="O31" s="649">
        <f t="shared" si="8"/>
        <v>0</v>
      </c>
      <c r="P31" s="474"/>
      <c r="Q31" s="373">
        <f>$K$31</f>
        <v>0</v>
      </c>
      <c r="R31" s="200">
        <f>$K$31</f>
        <v>0</v>
      </c>
    </row>
    <row r="32" spans="2:18" ht="12" customHeight="1">
      <c r="B32" s="692" t="s">
        <v>388</v>
      </c>
      <c r="C32" s="515"/>
      <c r="D32" s="566"/>
      <c r="E32" s="508"/>
      <c r="F32" s="559"/>
      <c r="G32" s="566"/>
      <c r="H32" s="103"/>
      <c r="I32" s="528"/>
      <c r="J32" s="103"/>
      <c r="K32" s="563"/>
      <c r="L32" s="806">
        <f t="shared" si="7"/>
        <v>0</v>
      </c>
      <c r="M32" s="618">
        <f>K32</f>
        <v>0</v>
      </c>
      <c r="N32" s="618">
        <f>K32</f>
        <v>0</v>
      </c>
      <c r="O32" s="649">
        <f t="shared" si="8"/>
        <v>0</v>
      </c>
      <c r="P32" s="474"/>
      <c r="Q32" s="373">
        <f>$K$32</f>
        <v>0</v>
      </c>
      <c r="R32" s="200">
        <f>$K$32</f>
        <v>0</v>
      </c>
    </row>
    <row r="33" spans="1:18" ht="12" customHeight="1">
      <c r="B33" s="692" t="s">
        <v>24</v>
      </c>
      <c r="D33" s="566"/>
      <c r="E33" s="508"/>
      <c r="F33" s="599"/>
      <c r="G33" s="566"/>
      <c r="H33" s="614"/>
      <c r="I33" s="508"/>
      <c r="J33" s="491"/>
      <c r="K33" s="563"/>
      <c r="L33" s="610">
        <v>2.75E-2</v>
      </c>
      <c r="M33" s="618" t="e">
        <f>#REF!*M27</f>
        <v>#REF!</v>
      </c>
      <c r="N33" s="618" t="e">
        <f>#REF!*N27</f>
        <v>#REF!</v>
      </c>
      <c r="O33" s="649" t="e">
        <f>#REF!*O27</f>
        <v>#REF!</v>
      </c>
      <c r="P33" s="477"/>
      <c r="Q33" s="395" t="e">
        <f>+#REF!*Q27</f>
        <v>#REF!</v>
      </c>
      <c r="R33" s="279" t="e">
        <f>+#REF!*R27</f>
        <v>#REF!</v>
      </c>
    </row>
    <row r="34" spans="1:18" ht="12" customHeight="1">
      <c r="B34" s="693" t="s">
        <v>38</v>
      </c>
      <c r="C34" s="516"/>
      <c r="D34" s="566"/>
      <c r="E34" s="508"/>
      <c r="F34" s="559"/>
      <c r="G34" s="566"/>
      <c r="H34" s="103"/>
      <c r="I34" s="528"/>
      <c r="J34" s="103"/>
      <c r="K34" s="563"/>
      <c r="L34" s="806">
        <f t="shared" ref="L34:L38" si="9">K34/$K$12</f>
        <v>0</v>
      </c>
      <c r="M34" s="618">
        <f>K34</f>
        <v>0</v>
      </c>
      <c r="N34" s="618">
        <f>K34</f>
        <v>0</v>
      </c>
      <c r="O34" s="649">
        <f t="shared" si="8"/>
        <v>0</v>
      </c>
      <c r="P34" s="474"/>
      <c r="Q34" s="373">
        <f>$K$34</f>
        <v>0</v>
      </c>
      <c r="R34" s="200">
        <f>$K$34</f>
        <v>0</v>
      </c>
    </row>
    <row r="35" spans="1:18" ht="12" customHeight="1">
      <c r="B35" s="692" t="s">
        <v>389</v>
      </c>
      <c r="C35" s="515"/>
      <c r="D35" s="566"/>
      <c r="E35" s="508"/>
      <c r="F35" s="559"/>
      <c r="G35" s="566"/>
      <c r="H35" s="103"/>
      <c r="I35" s="528"/>
      <c r="J35" s="103"/>
      <c r="K35" s="563"/>
      <c r="L35" s="806">
        <f t="shared" si="9"/>
        <v>0</v>
      </c>
      <c r="M35" s="618">
        <f>K35</f>
        <v>0</v>
      </c>
      <c r="N35" s="618">
        <f>K35</f>
        <v>0</v>
      </c>
      <c r="O35" s="649">
        <f t="shared" si="8"/>
        <v>0</v>
      </c>
      <c r="P35" s="474"/>
      <c r="Q35" s="373">
        <f>$K$35</f>
        <v>0</v>
      </c>
      <c r="R35" s="200">
        <f>$K$35</f>
        <v>0</v>
      </c>
    </row>
    <row r="36" spans="1:18" ht="12" customHeight="1">
      <c r="B36" s="692" t="s">
        <v>378</v>
      </c>
      <c r="C36" s="515"/>
      <c r="D36" s="566"/>
      <c r="E36" s="508"/>
      <c r="F36" s="559"/>
      <c r="G36" s="566"/>
      <c r="H36" s="103"/>
      <c r="I36" s="528"/>
      <c r="J36" s="103"/>
      <c r="K36" s="563"/>
      <c r="L36" s="806">
        <f t="shared" si="9"/>
        <v>0</v>
      </c>
      <c r="M36" s="618">
        <f>K36</f>
        <v>0</v>
      </c>
      <c r="N36" s="618">
        <f>K36</f>
        <v>0</v>
      </c>
      <c r="O36" s="649">
        <f t="shared" si="8"/>
        <v>0</v>
      </c>
      <c r="P36" s="474"/>
      <c r="Q36" s="373">
        <f>$K$36</f>
        <v>0</v>
      </c>
      <c r="R36" s="200">
        <f>$K$36</f>
        <v>0</v>
      </c>
    </row>
    <row r="37" spans="1:18" ht="12" customHeight="1">
      <c r="B37" s="692" t="s">
        <v>390</v>
      </c>
      <c r="C37" s="517"/>
      <c r="D37" s="566"/>
      <c r="E37" s="508"/>
      <c r="F37" s="559"/>
      <c r="G37" s="566"/>
      <c r="H37" s="103"/>
      <c r="I37" s="528"/>
      <c r="J37" s="103"/>
      <c r="K37" s="563"/>
      <c r="L37" s="806">
        <f t="shared" si="9"/>
        <v>0</v>
      </c>
      <c r="M37" s="618">
        <f>K37</f>
        <v>0</v>
      </c>
      <c r="N37" s="618">
        <f>K37</f>
        <v>0</v>
      </c>
      <c r="O37" s="649">
        <f t="shared" si="8"/>
        <v>0</v>
      </c>
      <c r="P37" s="474"/>
      <c r="Q37" s="373">
        <f>$K$37</f>
        <v>0</v>
      </c>
      <c r="R37" s="200">
        <f>$K$37</f>
        <v>0</v>
      </c>
    </row>
    <row r="38" spans="1:18" ht="12" customHeight="1">
      <c r="B38" s="819" t="s">
        <v>402</v>
      </c>
      <c r="C38" s="820"/>
      <c r="D38" s="821">
        <v>0</v>
      </c>
      <c r="E38" s="822">
        <v>0</v>
      </c>
      <c r="F38" s="564">
        <f t="shared" ref="F38" si="10">+E38/$E$12</f>
        <v>0</v>
      </c>
      <c r="G38" s="823">
        <v>0</v>
      </c>
      <c r="H38" s="103">
        <f t="shared" ref="H38" si="11">G38/$K$12</f>
        <v>0</v>
      </c>
      <c r="I38" s="824">
        <v>0</v>
      </c>
      <c r="J38" s="103">
        <f t="shared" ref="J38" si="12">I38/$K$12</f>
        <v>0</v>
      </c>
      <c r="K38" s="825">
        <f t="shared" ref="K38" si="13">D38</f>
        <v>0</v>
      </c>
      <c r="L38" s="806">
        <f t="shared" si="9"/>
        <v>0</v>
      </c>
      <c r="M38" s="618">
        <f>K38</f>
        <v>0</v>
      </c>
      <c r="N38" s="618">
        <f>K38</f>
        <v>0</v>
      </c>
      <c r="O38" s="649">
        <f t="shared" si="8"/>
        <v>0</v>
      </c>
      <c r="P38" s="474"/>
      <c r="Q38" s="373">
        <f>$K$38</f>
        <v>0</v>
      </c>
      <c r="R38" s="200">
        <f>$K$38</f>
        <v>0</v>
      </c>
    </row>
    <row r="39" spans="1:18" ht="12" customHeight="1">
      <c r="B39" s="699" t="s">
        <v>8</v>
      </c>
      <c r="C39" s="700"/>
      <c r="D39" s="701">
        <f>SUM(D29:D38)</f>
        <v>0</v>
      </c>
      <c r="E39" s="702">
        <f>SUM(E29:E38)</f>
        <v>0</v>
      </c>
      <c r="F39" s="703">
        <f>E39/$C$4</f>
        <v>0</v>
      </c>
      <c r="G39" s="701">
        <f>SUM(G29:G38)</f>
        <v>0</v>
      </c>
      <c r="H39" s="702">
        <f>G39/$C$4</f>
        <v>0</v>
      </c>
      <c r="I39" s="702">
        <f>SUM(I29:I38)</f>
        <v>0</v>
      </c>
      <c r="J39" s="705">
        <f>I39/$C$4</f>
        <v>0</v>
      </c>
      <c r="K39" s="701">
        <f>SUM(K29:K38)</f>
        <v>0</v>
      </c>
      <c r="L39" s="704">
        <f>K39/$C$4</f>
        <v>0</v>
      </c>
      <c r="M39" s="702" t="e">
        <f>SUM(M29:M38)</f>
        <v>#REF!</v>
      </c>
      <c r="N39" s="702" t="e">
        <f>SUM(N29:N38)</f>
        <v>#REF!</v>
      </c>
      <c r="O39" s="703" t="e">
        <f>SUM(O29:O38)</f>
        <v>#REF!</v>
      </c>
      <c r="P39" s="706"/>
      <c r="Q39" s="280" t="e">
        <f>SUM(Q29:Q38)</f>
        <v>#REF!</v>
      </c>
      <c r="R39" s="191" t="e">
        <f>SUM(R29:R38)</f>
        <v>#REF!</v>
      </c>
    </row>
    <row r="40" spans="1:18" ht="12" customHeight="1">
      <c r="B40" s="1435" t="s">
        <v>435</v>
      </c>
      <c r="C40" s="1436"/>
      <c r="D40" s="680" t="e">
        <f>(D39-D38)/D27</f>
        <v>#DIV/0!</v>
      </c>
      <c r="E40" s="681" t="e">
        <f t="shared" ref="E40:O40" si="14">(E39-E38)/E27</f>
        <v>#DIV/0!</v>
      </c>
      <c r="F40" s="600" t="e">
        <f t="shared" si="14"/>
        <v>#DIV/0!</v>
      </c>
      <c r="G40" s="680" t="e">
        <f t="shared" si="14"/>
        <v>#DIV/0!</v>
      </c>
      <c r="H40" s="615" t="e">
        <f t="shared" si="14"/>
        <v>#DIV/0!</v>
      </c>
      <c r="I40" s="681" t="e">
        <f t="shared" si="14"/>
        <v>#DIV/0!</v>
      </c>
      <c r="J40" s="492" t="e">
        <f t="shared" si="14"/>
        <v>#DIV/0!</v>
      </c>
      <c r="K40" s="680">
        <f t="shared" si="14"/>
        <v>0</v>
      </c>
      <c r="L40" s="565">
        <f t="shared" si="14"/>
        <v>0</v>
      </c>
      <c r="M40" s="634" t="e">
        <f t="shared" si="14"/>
        <v>#REF!</v>
      </c>
      <c r="N40" s="634" t="e">
        <f t="shared" si="14"/>
        <v>#REF!</v>
      </c>
      <c r="O40" s="665" t="e">
        <f t="shared" si="14"/>
        <v>#REF!</v>
      </c>
      <c r="P40" s="478"/>
      <c r="Q40" s="396" t="e">
        <f>+Q39/Q27</f>
        <v>#REF!</v>
      </c>
      <c r="R40" s="384" t="e">
        <f>+R39/R27</f>
        <v>#REF!</v>
      </c>
    </row>
    <row r="41" spans="1:18" ht="12" customHeight="1">
      <c r="B41" s="699" t="s">
        <v>9</v>
      </c>
      <c r="C41" s="707"/>
      <c r="D41" s="701">
        <f>D27-D39</f>
        <v>0</v>
      </c>
      <c r="E41" s="702">
        <f>E27-E39</f>
        <v>0</v>
      </c>
      <c r="F41" s="703"/>
      <c r="G41" s="701">
        <f>G27-G39</f>
        <v>0</v>
      </c>
      <c r="H41" s="702"/>
      <c r="I41" s="833"/>
      <c r="J41" s="705"/>
      <c r="K41" s="701">
        <f>K27-K39</f>
        <v>2362244.2199999997</v>
      </c>
      <c r="L41" s="704"/>
      <c r="M41" s="702" t="e">
        <f>M27-M39</f>
        <v>#REF!</v>
      </c>
      <c r="N41" s="702" t="e">
        <f>N27-N39</f>
        <v>#REF!</v>
      </c>
      <c r="O41" s="703" t="e">
        <f>O27-O39</f>
        <v>#REF!</v>
      </c>
      <c r="P41" s="706"/>
      <c r="Q41" s="280" t="e">
        <f>Q27-Q39</f>
        <v>#REF!</v>
      </c>
      <c r="R41" s="191" t="e">
        <f>R27-R39</f>
        <v>#REF!</v>
      </c>
    </row>
    <row r="42" spans="1:18" ht="12" customHeight="1">
      <c r="B42" s="1437" t="s">
        <v>379</v>
      </c>
      <c r="C42" s="1438"/>
      <c r="D42" s="566"/>
      <c r="E42" s="508"/>
      <c r="F42" s="567"/>
      <c r="G42" s="566"/>
      <c r="H42" s="493"/>
      <c r="I42" s="508"/>
      <c r="J42" s="493">
        <v>250</v>
      </c>
      <c r="K42" s="807">
        <f>250*K12</f>
        <v>15250</v>
      </c>
      <c r="L42" s="567">
        <v>250</v>
      </c>
      <c r="M42" s="618">
        <f t="shared" ref="M42:O42" si="15">250*M12</f>
        <v>15250</v>
      </c>
      <c r="N42" s="618">
        <f t="shared" si="15"/>
        <v>15250</v>
      </c>
      <c r="O42" s="649">
        <f t="shared" si="15"/>
        <v>15250</v>
      </c>
      <c r="P42" s="466"/>
      <c r="Q42" s="373">
        <f>M42</f>
        <v>15250</v>
      </c>
      <c r="R42" s="281">
        <f>M42</f>
        <v>15250</v>
      </c>
    </row>
    <row r="43" spans="1:18" ht="12" customHeight="1">
      <c r="A43" s="679"/>
      <c r="B43" s="699" t="s">
        <v>298</v>
      </c>
      <c r="C43" s="707"/>
      <c r="D43" s="701">
        <f>+D41-D42</f>
        <v>0</v>
      </c>
      <c r="E43" s="702">
        <f>+E41-E42</f>
        <v>0</v>
      </c>
      <c r="F43" s="703"/>
      <c r="G43" s="701">
        <f>+G41-G42</f>
        <v>0</v>
      </c>
      <c r="H43" s="702"/>
      <c r="I43" s="702">
        <f>+I41-I42</f>
        <v>0</v>
      </c>
      <c r="J43" s="702"/>
      <c r="K43" s="701">
        <f>+K41-K42</f>
        <v>2346994.2199999997</v>
      </c>
      <c r="L43" s="703"/>
      <c r="M43" s="702" t="e">
        <f>+M41-M42</f>
        <v>#REF!</v>
      </c>
      <c r="N43" s="702" t="e">
        <f>+N41-N42</f>
        <v>#REF!</v>
      </c>
      <c r="O43" s="703" t="e">
        <f>+O41-O42</f>
        <v>#REF!</v>
      </c>
      <c r="P43" s="476"/>
      <c r="Q43" s="280" t="e">
        <f>+Q41-Q42</f>
        <v>#REF!</v>
      </c>
      <c r="R43" s="191" t="e">
        <f>+R41-R42</f>
        <v>#REF!</v>
      </c>
    </row>
    <row r="44" spans="1:18" ht="12" customHeight="1">
      <c r="B44" s="694" t="s">
        <v>380</v>
      </c>
      <c r="C44" s="518" t="s">
        <v>15</v>
      </c>
      <c r="D44" s="568">
        <f>IF($C$44="I/O",D43-D11,D43-D10)</f>
        <v>0</v>
      </c>
      <c r="E44" s="529">
        <f>IF($C$44="I/O",E43-E11,E43-E10)</f>
        <v>0</v>
      </c>
      <c r="F44" s="601"/>
      <c r="G44" s="568">
        <f>IF($C$44="I/O",G43-G11,G43-G10)</f>
        <v>0</v>
      </c>
      <c r="H44" s="494"/>
      <c r="I44" s="529">
        <f>IF($C$44="I/O",I43-I11,I43-I10)</f>
        <v>0</v>
      </c>
      <c r="J44" s="494"/>
      <c r="K44" s="568">
        <f>IF($C$44="I/O",K43-K11,K43-K10)</f>
        <v>2346994.2199999997</v>
      </c>
      <c r="L44" s="601"/>
      <c r="M44" s="635" t="e">
        <f>IF($C$44="I/O",M43-M11,M43-M10)</f>
        <v>#REF!</v>
      </c>
      <c r="N44" s="635" t="e">
        <f>IF($C$44="I/O",N43-N11,N43-N10)</f>
        <v>#REF!</v>
      </c>
      <c r="O44" s="666" t="e">
        <f>IF($C$44="I/O",O43-O11,O43-O10)</f>
        <v>#REF!</v>
      </c>
      <c r="P44" s="479"/>
      <c r="Q44" s="282" t="e">
        <f>IF($C$44="I/O",Q43-Q11,Q43-Q10)</f>
        <v>#REF!</v>
      </c>
      <c r="R44" s="192" t="e">
        <f>IF($C$44="I/O",R43-R11,R43-R10)</f>
        <v>#REF!</v>
      </c>
    </row>
    <row r="45" spans="1:18" ht="12" customHeight="1">
      <c r="B45" s="1419" t="s">
        <v>16</v>
      </c>
      <c r="C45" s="1420"/>
      <c r="D45" s="569" t="e">
        <f>D41/D6</f>
        <v>#DIV/0!</v>
      </c>
      <c r="E45" s="499" t="e">
        <f>E41/E6</f>
        <v>#DIV/0!</v>
      </c>
      <c r="F45" s="570"/>
      <c r="G45" s="1421" t="e">
        <f>G41/G6</f>
        <v>#DIV/0!</v>
      </c>
      <c r="H45" s="1422"/>
      <c r="I45" s="1422" t="e">
        <f>I41/I6</f>
        <v>#DIV/0!</v>
      </c>
      <c r="J45" s="1422"/>
      <c r="K45" s="1421" t="e">
        <f>K41/K6</f>
        <v>#DIV/0!</v>
      </c>
      <c r="L45" s="1423"/>
      <c r="M45" s="636" t="e">
        <f>M41/M6</f>
        <v>#REF!</v>
      </c>
      <c r="N45" s="636" t="e">
        <f>N41/N6</f>
        <v>#REF!</v>
      </c>
      <c r="O45" s="667" t="e">
        <f>O41/O6</f>
        <v>#REF!</v>
      </c>
      <c r="P45" s="480"/>
      <c r="Q45" s="368" t="e">
        <f>Q41/Q6</f>
        <v>#REF!</v>
      </c>
      <c r="R45" s="283" t="e">
        <f>R41/R6</f>
        <v>#REF!</v>
      </c>
    </row>
    <row r="46" spans="1:18" ht="12" customHeight="1">
      <c r="B46" s="607" t="s">
        <v>415</v>
      </c>
      <c r="C46" s="355"/>
      <c r="D46" s="571"/>
      <c r="E46" s="497"/>
      <c r="F46" s="572"/>
      <c r="G46" s="607"/>
      <c r="H46" s="355"/>
      <c r="I46" s="355"/>
      <c r="J46" s="355"/>
      <c r="K46" s="607"/>
      <c r="L46" s="611"/>
      <c r="M46" s="355"/>
      <c r="N46" s="355"/>
      <c r="O46" s="611"/>
      <c r="P46" s="453"/>
      <c r="Q46" s="354"/>
      <c r="R46" s="366"/>
    </row>
    <row r="47" spans="1:18" ht="12" customHeight="1" thickBot="1">
      <c r="B47" s="694" t="s">
        <v>248</v>
      </c>
      <c r="C47" s="519">
        <f>C60+3%</f>
        <v>8.3212599999999998E-2</v>
      </c>
      <c r="D47" s="573" t="e">
        <f>D41/D11</f>
        <v>#DIV/0!</v>
      </c>
      <c r="E47" s="505" t="e">
        <f>E41/E11</f>
        <v>#DIV/0!</v>
      </c>
      <c r="F47" s="574"/>
      <c r="G47" s="1439" t="e">
        <f>G41/G11</f>
        <v>#DIV/0!</v>
      </c>
      <c r="H47" s="1440"/>
      <c r="I47" s="1440" t="e">
        <f>I41/I11</f>
        <v>#DIV/0!</v>
      </c>
      <c r="J47" s="1440"/>
      <c r="K47" s="1441" t="e">
        <f>K41/K11</f>
        <v>#DIV/0!</v>
      </c>
      <c r="L47" s="1442"/>
      <c r="M47" s="637" t="e">
        <f>M41/M11</f>
        <v>#REF!</v>
      </c>
      <c r="N47" s="637" t="e">
        <f>N41/N11</f>
        <v>#REF!</v>
      </c>
      <c r="O47" s="668" t="e">
        <f>O41/O11</f>
        <v>#REF!</v>
      </c>
      <c r="P47" s="481"/>
      <c r="Q47" s="367" t="e">
        <f>Q41/Q11</f>
        <v>#REF!</v>
      </c>
      <c r="R47" s="284" t="e">
        <f>R41/R11</f>
        <v>#REF!</v>
      </c>
    </row>
    <row r="48" spans="1:18" ht="18.75" customHeight="1" thickBot="1">
      <c r="B48" s="694" t="s">
        <v>247</v>
      </c>
      <c r="C48" s="519">
        <f>+C47</f>
        <v>8.3212599999999998E-2</v>
      </c>
      <c r="D48" s="573" t="e">
        <f>D41/D10</f>
        <v>#DIV/0!</v>
      </c>
      <c r="E48" s="505" t="e">
        <f>E41/E10</f>
        <v>#DIV/0!</v>
      </c>
      <c r="F48" s="574"/>
      <c r="G48" s="1439" t="e">
        <f>G41/G10</f>
        <v>#DIV/0!</v>
      </c>
      <c r="H48" s="1440"/>
      <c r="I48" s="1440" t="e">
        <f>I41/I10</f>
        <v>#DIV/0!</v>
      </c>
      <c r="J48" s="1440"/>
      <c r="K48" s="1443" t="e">
        <f>K41/K10</f>
        <v>#DIV/0!</v>
      </c>
      <c r="L48" s="1444"/>
      <c r="M48" s="637" t="e">
        <f>M41/M10</f>
        <v>#REF!</v>
      </c>
      <c r="N48" s="637" t="e">
        <f>N41/N10</f>
        <v>#REF!</v>
      </c>
      <c r="O48" s="668" t="e">
        <f>O41/O10</f>
        <v>#REF!</v>
      </c>
      <c r="P48" s="481"/>
      <c r="Q48" s="367" t="e">
        <f>Q41/Q10</f>
        <v>#REF!</v>
      </c>
      <c r="R48" s="284" t="e">
        <f>R41/R10</f>
        <v>#REF!</v>
      </c>
    </row>
    <row r="49" spans="2:18" ht="12" customHeight="1">
      <c r="B49" s="695" t="s">
        <v>340</v>
      </c>
      <c r="C49" s="520">
        <f>4.22%+2%</f>
        <v>6.2199999999999991E-2</v>
      </c>
      <c r="D49" s="573" t="e">
        <f>D$41/(-PMT($C49/12,360,D$6,0)*12)</f>
        <v>#DIV/0!</v>
      </c>
      <c r="E49" s="505" t="e">
        <f>E$41/(-PMT($C49/12,360,E$6,0)*12)</f>
        <v>#DIV/0!</v>
      </c>
      <c r="F49" s="574"/>
      <c r="G49" s="1439" t="e">
        <f>G$41/(-PMT($C49/12,360,G$6,0)*12)</f>
        <v>#DIV/0!</v>
      </c>
      <c r="H49" s="1440"/>
      <c r="I49" s="1440" t="e">
        <f>I$41/(-PMT($C49/12,360,I$6,0)*12)</f>
        <v>#DIV/0!</v>
      </c>
      <c r="J49" s="1440"/>
      <c r="K49" s="1445" t="e">
        <f>K$41/(-PMT($C49/12,360,K$6,0)*12)</f>
        <v>#DIV/0!</v>
      </c>
      <c r="L49" s="1446"/>
      <c r="M49" s="637" t="e">
        <f>M$41/(-PMT($C49/12,360,M$6,0)*12)</f>
        <v>#REF!</v>
      </c>
      <c r="N49" s="637" t="e">
        <f>N$41/(-PMT($C49/12,360,N$6,0)*12)</f>
        <v>#REF!</v>
      </c>
      <c r="O49" s="668" t="e">
        <f>O$41/(-PMT($C49/12,360,O$6,0)*12)</f>
        <v>#REF!</v>
      </c>
      <c r="P49" s="481"/>
      <c r="Q49" s="367" t="e">
        <f>Q$41/(-PMT($C49/12,360,Q$6,0)*12)</f>
        <v>#REF!</v>
      </c>
      <c r="R49" s="284" t="e">
        <f>R$41/(-PMT($C49/12,360,R$6,0)*12)</f>
        <v>#REF!</v>
      </c>
    </row>
    <row r="50" spans="2:18" ht="12" customHeight="1">
      <c r="B50" s="695" t="s">
        <v>342</v>
      </c>
      <c r="C50" s="520">
        <f>4.22%+1%</f>
        <v>5.2199999999999996E-2</v>
      </c>
      <c r="D50" s="573" t="e">
        <f>D$41/(-PMT($C50/12,420,D$6,0)*12)</f>
        <v>#DIV/0!</v>
      </c>
      <c r="E50" s="505" t="e">
        <f>E$41/(-PMT($C50/12,420,E$6,0)*12)</f>
        <v>#DIV/0!</v>
      </c>
      <c r="F50" s="574"/>
      <c r="G50" s="1439" t="e">
        <f>G$41/(-PMT($C50/12,420,G$6,0)*12)</f>
        <v>#DIV/0!</v>
      </c>
      <c r="H50" s="1440"/>
      <c r="I50" s="1440" t="e">
        <f>I$41/(-PMT($C50/12,420,I$6,0)*12)</f>
        <v>#DIV/0!</v>
      </c>
      <c r="J50" s="1440"/>
      <c r="K50" s="1439" t="e">
        <f>K$41/(-PMT($C50/12,420,K$6,0)*12)</f>
        <v>#DIV/0!</v>
      </c>
      <c r="L50" s="1447"/>
      <c r="M50" s="637" t="e">
        <f>M$41/(-PMT($C50/12,420,M$6,0)*12)</f>
        <v>#REF!</v>
      </c>
      <c r="N50" s="637" t="e">
        <f>N$41/(-PMT($C50/12,420,N$6,0)*12)</f>
        <v>#REF!</v>
      </c>
      <c r="O50" s="668" t="e">
        <f>O$41/(-PMT($C50/12,420,O$6,0)*12)</f>
        <v>#REF!</v>
      </c>
      <c r="P50" s="481"/>
      <c r="Q50" s="367" t="e">
        <f>Q$41/(-PMT($C50/12,420,Q$6,0)*12)</f>
        <v>#REF!</v>
      </c>
      <c r="R50" s="284" t="e">
        <f>R$41/(-PMT($C50/12,420,R$6,0)*12)</f>
        <v>#REF!</v>
      </c>
    </row>
    <row r="51" spans="2:18" ht="12" customHeight="1">
      <c r="B51" s="694" t="s">
        <v>341</v>
      </c>
      <c r="C51" s="521">
        <f>4.22%+3.5%</f>
        <v>7.7199999999999991E-2</v>
      </c>
      <c r="D51" s="573" t="e">
        <f>D$41/(-PMT($C51/12,D$8*12,D$6,0)*12)</f>
        <v>#DIV/0!</v>
      </c>
      <c r="E51" s="505" t="e">
        <f>E$41/(-PMT($C51/12,E$8*12,E$6,0)*12)</f>
        <v>#DIV/0!</v>
      </c>
      <c r="F51" s="574"/>
      <c r="G51" s="1439" t="e">
        <f>G$41/(-PMT($C51/12,G$8*12,G$6,0)*12)</f>
        <v>#DIV/0!</v>
      </c>
      <c r="H51" s="1440"/>
      <c r="I51" s="1440" t="e">
        <f>I$41/(-PMT($C51/12,I$8*12,I$6,0)*12)</f>
        <v>#DIV/0!</v>
      </c>
      <c r="J51" s="1440"/>
      <c r="K51" s="1439" t="e">
        <f>K$41/(-PMT($C51/12,K$8*12,K$6,0)*12)</f>
        <v>#DIV/0!</v>
      </c>
      <c r="L51" s="1447"/>
      <c r="M51" s="637" t="e">
        <f>M$41/(-PMT($C51/12,M$8*12,M$6,0)*12)</f>
        <v>#REF!</v>
      </c>
      <c r="N51" s="637" t="e">
        <f>N$41/(-PMT($C51/12,N$8*12,N$6,0)*12)</f>
        <v>#REF!</v>
      </c>
      <c r="O51" s="668" t="e">
        <f>O$41/(-PMT($C51/12,O$8*12,O$6,0)*12)</f>
        <v>#REF!</v>
      </c>
      <c r="P51" s="481"/>
      <c r="Q51" s="367" t="e">
        <f>Q$41/(-PMT($C51/12,Q$8*12,Q$6,0)*12)</f>
        <v>#REF!</v>
      </c>
      <c r="R51" s="284" t="e">
        <f>R$41/(-PMT($C51/12,R$8*12,R$6,0)*12)</f>
        <v>#REF!</v>
      </c>
    </row>
    <row r="52" spans="2:18" ht="12" customHeight="1">
      <c r="B52" s="607" t="s">
        <v>416</v>
      </c>
      <c r="C52" s="355"/>
      <c r="D52" s="571"/>
      <c r="E52" s="497"/>
      <c r="F52" s="572"/>
      <c r="G52" s="607"/>
      <c r="H52" s="355"/>
      <c r="I52" s="355"/>
      <c r="J52" s="355"/>
      <c r="K52" s="607"/>
      <c r="L52" s="611"/>
      <c r="M52" s="355"/>
      <c r="N52" s="355"/>
      <c r="O52" s="611"/>
      <c r="P52" s="453"/>
      <c r="Q52" s="354"/>
      <c r="R52" s="366"/>
    </row>
    <row r="53" spans="2:18" ht="12" customHeight="1">
      <c r="B53" s="689" t="s">
        <v>469</v>
      </c>
      <c r="C53" s="268"/>
      <c r="D53" s="575">
        <v>5.7500000000000002E-2</v>
      </c>
      <c r="E53" s="500">
        <v>5.7500000000000002E-2</v>
      </c>
      <c r="F53" s="576"/>
      <c r="G53" s="1448">
        <v>5.7500000000000002E-2</v>
      </c>
      <c r="H53" s="1449"/>
      <c r="I53" s="1449">
        <v>5.7500000000000002E-2</v>
      </c>
      <c r="J53" s="1449"/>
      <c r="K53" s="1450">
        <v>5.7500000000000002E-2</v>
      </c>
      <c r="L53" s="1451"/>
      <c r="M53" s="638">
        <v>5.5E-2</v>
      </c>
      <c r="N53" s="638">
        <v>5.5E-2</v>
      </c>
      <c r="O53" s="669">
        <v>5.5E-2</v>
      </c>
      <c r="P53" s="482"/>
      <c r="Q53" s="397">
        <v>5.5E-2</v>
      </c>
      <c r="R53" s="385">
        <v>5.5E-2</v>
      </c>
    </row>
    <row r="54" spans="2:18" ht="12" customHeight="1">
      <c r="B54" s="689" t="s">
        <v>11</v>
      </c>
      <c r="D54" s="539">
        <f>D41/D53</f>
        <v>0</v>
      </c>
      <c r="E54" s="6">
        <f>E41/E53</f>
        <v>0</v>
      </c>
      <c r="F54" s="577"/>
      <c r="G54" s="1405">
        <f>G41/G53</f>
        <v>0</v>
      </c>
      <c r="H54" s="1406"/>
      <c r="I54" s="1406">
        <f>I41/I53</f>
        <v>0</v>
      </c>
      <c r="J54" s="1406"/>
      <c r="K54" s="1407">
        <f>K41/K53</f>
        <v>41082508.173913039</v>
      </c>
      <c r="L54" s="1408"/>
      <c r="M54" s="622" t="e">
        <f>M41/M53</f>
        <v>#REF!</v>
      </c>
      <c r="N54" s="622" t="e">
        <f>N41/N53</f>
        <v>#REF!</v>
      </c>
      <c r="O54" s="653" t="e">
        <f>O41/O53</f>
        <v>#REF!</v>
      </c>
      <c r="P54" s="469"/>
      <c r="Q54" s="398" t="e">
        <f>Q41/Q53</f>
        <v>#REF!</v>
      </c>
      <c r="R54" s="386" t="e">
        <f>R41/R53</f>
        <v>#REF!</v>
      </c>
    </row>
    <row r="55" spans="2:18" ht="12" customHeight="1">
      <c r="B55" s="689" t="s">
        <v>12</v>
      </c>
      <c r="D55" s="578" t="e">
        <f>D6/D54</f>
        <v>#DIV/0!</v>
      </c>
      <c r="E55" s="501" t="e">
        <f>E6/E54</f>
        <v>#DIV/0!</v>
      </c>
      <c r="F55" s="579"/>
      <c r="G55" s="1452" t="e">
        <f>G6/G54</f>
        <v>#DIV/0!</v>
      </c>
      <c r="H55" s="1453"/>
      <c r="I55" s="1453" t="e">
        <f>I6/I54</f>
        <v>#DIV/0!</v>
      </c>
      <c r="J55" s="1453"/>
      <c r="K55" s="1454">
        <f>K6/K54</f>
        <v>0</v>
      </c>
      <c r="L55" s="1455"/>
      <c r="M55" s="639" t="e">
        <f>M6/M54</f>
        <v>#REF!</v>
      </c>
      <c r="N55" s="639" t="e">
        <f>N6/N54</f>
        <v>#REF!</v>
      </c>
      <c r="O55" s="670" t="e">
        <f>O6/O54</f>
        <v>#REF!</v>
      </c>
      <c r="P55" s="480"/>
      <c r="Q55" s="399" t="e">
        <f>Q6/Q54</f>
        <v>#REF!</v>
      </c>
      <c r="R55" s="387" t="e">
        <f>R6/R54</f>
        <v>#REF!</v>
      </c>
    </row>
    <row r="56" spans="2:18" ht="12" customHeight="1">
      <c r="B56" s="689" t="s">
        <v>34</v>
      </c>
      <c r="D56" s="580">
        <f>D6/D12</f>
        <v>0</v>
      </c>
      <c r="E56" s="502">
        <f>E6/E12</f>
        <v>0</v>
      </c>
      <c r="F56" s="581"/>
      <c r="G56" s="1456">
        <f>G6/G12</f>
        <v>0</v>
      </c>
      <c r="H56" s="1457"/>
      <c r="I56" s="1457">
        <f>I6/I12</f>
        <v>0</v>
      </c>
      <c r="J56" s="1457"/>
      <c r="K56" s="1458">
        <f>K6/K12</f>
        <v>0</v>
      </c>
      <c r="L56" s="1459"/>
      <c r="M56" s="640">
        <f>M6/M12</f>
        <v>0</v>
      </c>
      <c r="N56" s="640">
        <f>N6/N12</f>
        <v>0</v>
      </c>
      <c r="O56" s="671">
        <f>O6/O12</f>
        <v>0</v>
      </c>
      <c r="P56" s="483"/>
      <c r="Q56" s="400" t="e">
        <f>Q6/(Q12+#REF!)</f>
        <v>#REF!</v>
      </c>
      <c r="R56" s="375" t="e">
        <f>R6/(R12+#REF!)</f>
        <v>#REF!</v>
      </c>
    </row>
    <row r="57" spans="2:18" ht="12" customHeight="1">
      <c r="B57" s="689" t="s">
        <v>35</v>
      </c>
      <c r="D57" s="580">
        <f>D54/D12</f>
        <v>0</v>
      </c>
      <c r="E57" s="502">
        <f>E54/E12</f>
        <v>0</v>
      </c>
      <c r="F57" s="581"/>
      <c r="G57" s="1456">
        <f>G54/G12</f>
        <v>0</v>
      </c>
      <c r="H57" s="1457"/>
      <c r="I57" s="1457">
        <f>I54/I12</f>
        <v>0</v>
      </c>
      <c r="J57" s="1457"/>
      <c r="K57" s="1458">
        <f>K54/K12</f>
        <v>673483.74055595149</v>
      </c>
      <c r="L57" s="1459"/>
      <c r="M57" s="640" t="e">
        <f>M54/M12</f>
        <v>#REF!</v>
      </c>
      <c r="N57" s="640" t="e">
        <f>N54/N12</f>
        <v>#REF!</v>
      </c>
      <c r="O57" s="671" t="e">
        <f>O54/O12</f>
        <v>#REF!</v>
      </c>
      <c r="P57" s="483"/>
      <c r="Q57" s="401" t="e">
        <f>Q54/(Q12+#REF!)</f>
        <v>#REF!</v>
      </c>
      <c r="R57" s="375" t="e">
        <f>R54/(R12+#REF!)</f>
        <v>#REF!</v>
      </c>
    </row>
    <row r="58" spans="2:18" ht="12" customHeight="1">
      <c r="B58" s="607" t="s">
        <v>417</v>
      </c>
      <c r="C58" s="355"/>
      <c r="D58" s="571"/>
      <c r="E58" s="497"/>
      <c r="F58" s="572"/>
      <c r="G58" s="607"/>
      <c r="H58" s="355"/>
      <c r="I58" s="355"/>
      <c r="J58" s="355"/>
      <c r="K58" s="607"/>
      <c r="L58" s="611"/>
      <c r="M58" s="355"/>
      <c r="N58" s="355"/>
      <c r="O58" s="611"/>
      <c r="P58" s="453"/>
      <c r="Q58" s="354"/>
      <c r="R58" s="366"/>
    </row>
    <row r="59" spans="2:18" ht="12" customHeight="1" thickBot="1">
      <c r="B59" s="1460" t="s">
        <v>418</v>
      </c>
      <c r="C59" s="1461"/>
      <c r="D59" s="582" t="s">
        <v>421</v>
      </c>
      <c r="E59" s="506" t="s">
        <v>421</v>
      </c>
      <c r="F59" s="583"/>
      <c r="G59" s="1460" t="s">
        <v>421</v>
      </c>
      <c r="H59" s="1461"/>
      <c r="I59" s="1461" t="s">
        <v>421</v>
      </c>
      <c r="J59" s="1461"/>
      <c r="K59" s="1460" t="s">
        <v>421</v>
      </c>
      <c r="L59" s="1462"/>
      <c r="M59" s="641" t="s">
        <v>397</v>
      </c>
      <c r="N59" s="641" t="s">
        <v>424</v>
      </c>
      <c r="O59" s="672" t="s">
        <v>424</v>
      </c>
      <c r="P59" s="267"/>
      <c r="Q59" s="451"/>
      <c r="R59" s="452"/>
    </row>
    <row r="60" spans="2:18" ht="12" customHeight="1">
      <c r="B60" s="696" t="s">
        <v>434</v>
      </c>
      <c r="C60" s="268">
        <v>5.3212599999999999E-2</v>
      </c>
      <c r="D60" s="584"/>
      <c r="E60" s="602"/>
      <c r="F60" s="585"/>
      <c r="G60" s="1463"/>
      <c r="H60" s="1464"/>
      <c r="I60" s="1465"/>
      <c r="J60" s="1464"/>
      <c r="K60" s="1466"/>
      <c r="L60" s="1467"/>
      <c r="M60" s="642">
        <f>K60</f>
        <v>0</v>
      </c>
      <c r="N60" s="642">
        <f>Draws!AS33</f>
        <v>3.75261E-2</v>
      </c>
      <c r="O60" s="673">
        <f>N60</f>
        <v>3.75261E-2</v>
      </c>
      <c r="P60" s="484"/>
      <c r="Q60" s="268"/>
      <c r="R60" s="402"/>
    </row>
    <row r="61" spans="2:18" ht="12" customHeight="1">
      <c r="B61" s="696" t="s">
        <v>311</v>
      </c>
      <c r="C61" s="268">
        <v>0.03</v>
      </c>
      <c r="D61" s="586">
        <f>C61</f>
        <v>0.03</v>
      </c>
      <c r="E61" s="513">
        <f>$C$61</f>
        <v>0.03</v>
      </c>
      <c r="F61" s="587"/>
      <c r="G61" s="1468">
        <f>$C$61</f>
        <v>0.03</v>
      </c>
      <c r="H61" s="1469"/>
      <c r="I61" s="1469">
        <f>$C$61</f>
        <v>0.03</v>
      </c>
      <c r="J61" s="1469"/>
      <c r="K61" s="1470">
        <f>$C$61</f>
        <v>0.03</v>
      </c>
      <c r="L61" s="1471"/>
      <c r="M61" s="643">
        <f>$C$61</f>
        <v>0.03</v>
      </c>
      <c r="N61" s="643">
        <f>$C$61</f>
        <v>0.03</v>
      </c>
      <c r="O61" s="674">
        <f>$C$61</f>
        <v>0.03</v>
      </c>
      <c r="P61" s="485"/>
      <c r="Q61" s="268"/>
      <c r="R61" s="403"/>
    </row>
    <row r="62" spans="2:18" ht="12" customHeight="1">
      <c r="B62" s="696" t="s">
        <v>419</v>
      </c>
      <c r="C62" s="268">
        <v>0.01</v>
      </c>
      <c r="D62" s="586">
        <v>0</v>
      </c>
      <c r="E62" s="513">
        <v>0</v>
      </c>
      <c r="F62" s="587"/>
      <c r="G62" s="1468">
        <v>0</v>
      </c>
      <c r="H62" s="1469"/>
      <c r="I62" s="1469">
        <v>0</v>
      </c>
      <c r="J62" s="1469"/>
      <c r="K62" s="1470">
        <v>0</v>
      </c>
      <c r="L62" s="1471"/>
      <c r="M62" s="643">
        <v>0</v>
      </c>
      <c r="N62" s="643">
        <v>0.01</v>
      </c>
      <c r="O62" s="674">
        <v>0.01</v>
      </c>
      <c r="P62" s="485"/>
      <c r="Q62" s="268"/>
      <c r="R62" s="403"/>
    </row>
    <row r="63" spans="2:18" ht="12" customHeight="1">
      <c r="B63" s="696" t="s">
        <v>313</v>
      </c>
      <c r="C63" s="268">
        <v>5.5E-2</v>
      </c>
      <c r="D63" s="588"/>
      <c r="E63" s="514"/>
      <c r="F63" s="589"/>
      <c r="G63" s="1472"/>
      <c r="H63" s="1473"/>
      <c r="I63" s="1473"/>
      <c r="J63" s="1473"/>
      <c r="K63" s="1474"/>
      <c r="L63" s="1475"/>
      <c r="M63" s="644">
        <f>$C$63</f>
        <v>5.5E-2</v>
      </c>
      <c r="N63" s="644">
        <f>$C$63</f>
        <v>5.5E-2</v>
      </c>
      <c r="O63" s="675">
        <f>$C$63</f>
        <v>5.5E-2</v>
      </c>
      <c r="P63" s="486"/>
      <c r="Q63" s="376"/>
      <c r="R63" s="404"/>
    </row>
    <row r="64" spans="2:18" ht="12" customHeight="1" thickBot="1">
      <c r="B64" s="697" t="s">
        <v>337</v>
      </c>
      <c r="C64" s="698"/>
      <c r="D64" s="590">
        <f>MAX(D63,D60+D61+D62)</f>
        <v>0.03</v>
      </c>
      <c r="E64" s="603">
        <f>MAX(E63,E60+E61+E62)</f>
        <v>0.03</v>
      </c>
      <c r="F64" s="591"/>
      <c r="G64" s="1476">
        <f>MAX(G63,G60+G61+G62)</f>
        <v>0.03</v>
      </c>
      <c r="H64" s="1477"/>
      <c r="I64" s="1477">
        <f>MAX(I63,I60+I61+I62)</f>
        <v>0.03</v>
      </c>
      <c r="J64" s="1477"/>
      <c r="K64" s="1476">
        <f>MAX(K63,K60+K61+K62)</f>
        <v>0.03</v>
      </c>
      <c r="L64" s="1478"/>
      <c r="M64" s="676">
        <f>MAX(M63,M60+M61+M62)</f>
        <v>5.5E-2</v>
      </c>
      <c r="N64" s="676">
        <f>MAX(N63,N60+N61+N62)</f>
        <v>7.7526100000000001E-2</v>
      </c>
      <c r="O64" s="677">
        <f>MAX(O63,O60+O61+O62)</f>
        <v>7.7526100000000001E-2</v>
      </c>
      <c r="P64" s="487"/>
      <c r="Q64" s="377">
        <f>MAX(Q60+Q61,Q63)</f>
        <v>0</v>
      </c>
      <c r="R64" s="405">
        <f>MAX(R60+R61,R63)</f>
        <v>0</v>
      </c>
    </row>
    <row r="65" spans="2:18" ht="16" thickBot="1">
      <c r="B65" s="796"/>
      <c r="C65" s="797"/>
      <c r="D65" s="798"/>
      <c r="E65" s="798"/>
      <c r="F65" s="798"/>
      <c r="G65" s="798"/>
      <c r="H65" s="798"/>
      <c r="I65" s="798"/>
      <c r="J65" s="798"/>
      <c r="K65" s="808" t="e">
        <f>K41/(PMT(K64/12*(365/360),(25*12),-K6)*12)</f>
        <v>#DIV/0!</v>
      </c>
      <c r="L65" s="809"/>
      <c r="M65" s="799"/>
      <c r="N65" s="799"/>
      <c r="O65" s="800"/>
      <c r="P65" s="487"/>
      <c r="Q65" s="268"/>
      <c r="R65" s="268"/>
    </row>
    <row r="66" spans="2:18">
      <c r="D66" s="454"/>
      <c r="E66" s="454"/>
      <c r="F66" s="454"/>
      <c r="G66" s="454"/>
      <c r="H66" s="454"/>
      <c r="I66" s="454"/>
      <c r="J66" s="454"/>
      <c r="K66" s="454"/>
      <c r="L66" s="454"/>
      <c r="M66" s="487"/>
      <c r="N66" s="487"/>
      <c r="O66" s="487"/>
      <c r="P66" s="487"/>
      <c r="Q66" s="268"/>
      <c r="R66" s="268"/>
    </row>
    <row r="67" spans="2:18">
      <c r="M67" s="197"/>
      <c r="N67" s="197"/>
      <c r="O67" s="197"/>
    </row>
    <row r="68" spans="2:18">
      <c r="M68" s="197"/>
      <c r="N68" s="197"/>
      <c r="O68" s="197"/>
    </row>
    <row r="69" spans="2:18">
      <c r="M69" s="197"/>
      <c r="N69" s="197"/>
      <c r="O69" s="197"/>
    </row>
    <row r="70" spans="2:18">
      <c r="M70" s="197"/>
      <c r="N70" s="197"/>
      <c r="O70" s="197"/>
    </row>
    <row r="71" spans="2:18">
      <c r="M71" s="197"/>
      <c r="N71" s="197"/>
      <c r="O71" s="197"/>
    </row>
    <row r="72" spans="2:18">
      <c r="M72" s="197"/>
      <c r="N72" s="197"/>
      <c r="O72" s="197"/>
    </row>
    <row r="73" spans="2:18">
      <c r="M73" s="197"/>
      <c r="N73" s="197"/>
      <c r="O73" s="197"/>
    </row>
    <row r="74" spans="2:18">
      <c r="M74" s="197"/>
      <c r="N74" s="197"/>
      <c r="O74" s="197"/>
    </row>
  </sheetData>
  <mergeCells count="95">
    <mergeCell ref="G63:H63"/>
    <mergeCell ref="I63:J63"/>
    <mergeCell ref="K63:L63"/>
    <mergeCell ref="G64:H64"/>
    <mergeCell ref="I64:J64"/>
    <mergeCell ref="K64:L64"/>
    <mergeCell ref="G61:H61"/>
    <mergeCell ref="I61:J61"/>
    <mergeCell ref="K61:L61"/>
    <mergeCell ref="G62:H62"/>
    <mergeCell ref="I62:J62"/>
    <mergeCell ref="K62:L62"/>
    <mergeCell ref="B59:C59"/>
    <mergeCell ref="G59:H59"/>
    <mergeCell ref="I59:J59"/>
    <mergeCell ref="K59:L59"/>
    <mergeCell ref="G60:H60"/>
    <mergeCell ref="I60:J60"/>
    <mergeCell ref="K60:L60"/>
    <mergeCell ref="G56:H56"/>
    <mergeCell ref="I56:J56"/>
    <mergeCell ref="K56:L56"/>
    <mergeCell ref="G57:H57"/>
    <mergeCell ref="I57:J57"/>
    <mergeCell ref="K57:L57"/>
    <mergeCell ref="G54:H54"/>
    <mergeCell ref="I54:J54"/>
    <mergeCell ref="K54:L54"/>
    <mergeCell ref="G55:H55"/>
    <mergeCell ref="I55:J55"/>
    <mergeCell ref="K55:L55"/>
    <mergeCell ref="G51:H51"/>
    <mergeCell ref="I51:J51"/>
    <mergeCell ref="K51:L51"/>
    <mergeCell ref="G53:H53"/>
    <mergeCell ref="I53:J53"/>
    <mergeCell ref="K53:L53"/>
    <mergeCell ref="G49:H49"/>
    <mergeCell ref="I49:J49"/>
    <mergeCell ref="K49:L49"/>
    <mergeCell ref="G50:H50"/>
    <mergeCell ref="I50:J50"/>
    <mergeCell ref="K50:L50"/>
    <mergeCell ref="G47:H47"/>
    <mergeCell ref="I47:J47"/>
    <mergeCell ref="K47:L47"/>
    <mergeCell ref="G48:H48"/>
    <mergeCell ref="I48:J48"/>
    <mergeCell ref="K48:L48"/>
    <mergeCell ref="B45:C45"/>
    <mergeCell ref="G45:H45"/>
    <mergeCell ref="I45:J45"/>
    <mergeCell ref="K45:L45"/>
    <mergeCell ref="G17:H17"/>
    <mergeCell ref="I17:J17"/>
    <mergeCell ref="K17:L17"/>
    <mergeCell ref="G18:H18"/>
    <mergeCell ref="I18:J18"/>
    <mergeCell ref="K18:L18"/>
    <mergeCell ref="G19:H19"/>
    <mergeCell ref="I19:J19"/>
    <mergeCell ref="K19:L19"/>
    <mergeCell ref="B40:C40"/>
    <mergeCell ref="B42:C42"/>
    <mergeCell ref="G14:H14"/>
    <mergeCell ref="I14:J14"/>
    <mergeCell ref="K14:L14"/>
    <mergeCell ref="G15:H15"/>
    <mergeCell ref="I15:J15"/>
    <mergeCell ref="K15:L15"/>
    <mergeCell ref="G12:H12"/>
    <mergeCell ref="I12:J12"/>
    <mergeCell ref="K12:L12"/>
    <mergeCell ref="G13:H13"/>
    <mergeCell ref="I13:J13"/>
    <mergeCell ref="K13:L13"/>
    <mergeCell ref="G10:H10"/>
    <mergeCell ref="I10:J10"/>
    <mergeCell ref="K10:L10"/>
    <mergeCell ref="G11:H11"/>
    <mergeCell ref="I11:J11"/>
    <mergeCell ref="K11:L11"/>
    <mergeCell ref="G7:H7"/>
    <mergeCell ref="I7:J7"/>
    <mergeCell ref="K7:L7"/>
    <mergeCell ref="G8:H8"/>
    <mergeCell ref="I8:J8"/>
    <mergeCell ref="K8:L8"/>
    <mergeCell ref="E4:F4"/>
    <mergeCell ref="G4:H4"/>
    <mergeCell ref="I4:J4"/>
    <mergeCell ref="K4:L4"/>
    <mergeCell ref="G6:H6"/>
    <mergeCell ref="I6:J6"/>
    <mergeCell ref="K6:L6"/>
  </mergeCells>
  <dataValidations disablePrompts="1" count="1">
    <dataValidation type="list" allowBlank="1" showInputMessage="1" showErrorMessage="1" sqref="C44" xr:uid="{C5A3ECCB-65FC-4663-A561-6E225375F32E}">
      <formula1>$AM$6:$AM$7</formula1>
    </dataValidation>
  </dataValidations>
  <pageMargins left="0.25" right="0.25" top="0.25" bottom="0.25" header="0.3" footer="0.3"/>
  <pageSetup scale="92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26217-847B-47A4-BB57-605B4508BB64}">
  <sheetPr>
    <tabColor rgb="FFFFFF00"/>
  </sheetPr>
  <dimension ref="B59:B159"/>
  <sheetViews>
    <sheetView workbookViewId="0">
      <selection activeCell="Z216" sqref="Z215:Z216"/>
    </sheetView>
  </sheetViews>
  <sheetFormatPr baseColWidth="10" defaultColWidth="9.1640625" defaultRowHeight="12" customHeight="1"/>
  <cols>
    <col min="1" max="16384" width="9.1640625" style="197"/>
  </cols>
  <sheetData>
    <row r="59" spans="2:2" ht="12" customHeight="1">
      <c r="B59" s="228" t="s">
        <v>589</v>
      </c>
    </row>
    <row r="102" spans="2:2" ht="12" customHeight="1">
      <c r="B102" s="228" t="s">
        <v>590</v>
      </c>
    </row>
    <row r="159" spans="2:2" ht="12" customHeight="1">
      <c r="B159" s="228" t="s">
        <v>591</v>
      </c>
    </row>
  </sheetData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>
    <tabColor theme="9" tint="0.79998168889431442"/>
  </sheetPr>
  <dimension ref="A1:AL157"/>
  <sheetViews>
    <sheetView zoomScale="85" zoomScaleNormal="85" workbookViewId="0">
      <selection activeCell="C3" sqref="C3"/>
    </sheetView>
  </sheetViews>
  <sheetFormatPr baseColWidth="10" defaultColWidth="8.83203125" defaultRowHeight="15"/>
  <cols>
    <col min="1" max="1" width="4.6640625" customWidth="1"/>
    <col min="2" max="2" width="7" customWidth="1"/>
    <col min="3" max="3" width="14" customWidth="1"/>
    <col min="4" max="10" width="13.33203125" customWidth="1"/>
    <col min="11" max="11" width="15.5" style="152" customWidth="1"/>
    <col min="12" max="12" width="9.1640625" style="152"/>
    <col min="13" max="13" width="11.83203125" style="152" customWidth="1"/>
    <col min="14" max="14" width="13.83203125" style="152" customWidth="1"/>
    <col min="15" max="15" width="12.1640625" style="152" customWidth="1"/>
    <col min="16" max="16" width="11.33203125" style="152" customWidth="1"/>
    <col min="17" max="38" width="9.1640625" style="152"/>
  </cols>
  <sheetData>
    <row r="1" spans="1:38" ht="16">
      <c r="A1" s="105"/>
      <c r="B1" s="1480" t="s">
        <v>374</v>
      </c>
      <c r="C1" s="1480"/>
      <c r="D1" s="1480"/>
      <c r="E1" s="1480"/>
      <c r="F1" s="1480"/>
      <c r="G1" s="1480"/>
      <c r="H1" s="1480"/>
      <c r="I1" s="1480"/>
      <c r="J1" s="1480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</row>
    <row r="2" spans="1:38" ht="17" thickBot="1">
      <c r="A2" s="105"/>
      <c r="B2" s="1480" t="s">
        <v>263</v>
      </c>
      <c r="C2" s="1480"/>
      <c r="D2" s="1480"/>
      <c r="E2" s="1480"/>
      <c r="F2" s="1480"/>
      <c r="G2" s="1480"/>
      <c r="H2" s="1480"/>
      <c r="I2" s="1480"/>
      <c r="J2" s="1480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</row>
    <row r="3" spans="1:38">
      <c r="A3" s="1481" t="s">
        <v>279</v>
      </c>
      <c r="B3" s="1482"/>
      <c r="C3" s="106" t="e">
        <f>#REF!</f>
        <v>#REF!</v>
      </c>
      <c r="D3" s="107"/>
      <c r="E3" s="107"/>
      <c r="F3" s="107"/>
      <c r="G3" s="107"/>
      <c r="H3" s="107"/>
      <c r="I3" s="107"/>
      <c r="J3" s="108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</row>
    <row r="4" spans="1:38">
      <c r="A4" s="1483" t="s">
        <v>264</v>
      </c>
      <c r="B4" s="1484"/>
      <c r="C4" s="109" t="e">
        <f>+#REF!</f>
        <v>#REF!</v>
      </c>
      <c r="D4" s="110"/>
      <c r="E4" s="111"/>
      <c r="F4" s="112"/>
      <c r="G4" s="112"/>
      <c r="H4" s="112"/>
      <c r="I4" s="111"/>
      <c r="J4" s="113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</row>
    <row r="5" spans="1:38">
      <c r="A5" s="1483" t="s">
        <v>265</v>
      </c>
      <c r="B5" s="1484"/>
      <c r="C5" s="114" t="e">
        <f>+#REF!*12</f>
        <v>#REF!</v>
      </c>
      <c r="D5" s="110"/>
      <c r="E5" s="111"/>
      <c r="F5" s="112"/>
      <c r="G5" s="112"/>
      <c r="H5" s="112"/>
      <c r="I5" s="111"/>
      <c r="J5" s="113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</row>
    <row r="6" spans="1:38" ht="16" thickBot="1">
      <c r="A6" s="115"/>
      <c r="B6" s="116"/>
      <c r="C6" s="1485" t="s">
        <v>2</v>
      </c>
      <c r="D6" s="1485"/>
      <c r="E6" s="1485"/>
      <c r="F6" s="1485"/>
      <c r="G6" s="1485"/>
      <c r="H6" s="1485"/>
      <c r="I6" s="1485"/>
      <c r="J6" s="148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</row>
    <row r="7" spans="1:38" ht="16" thickTop="1">
      <c r="A7" s="115"/>
      <c r="B7" s="116"/>
      <c r="C7" s="117"/>
      <c r="D7" s="117"/>
      <c r="E7" s="117"/>
      <c r="F7" s="118" t="s">
        <v>266</v>
      </c>
      <c r="G7" s="117"/>
      <c r="H7" s="117"/>
      <c r="I7" s="117"/>
      <c r="J7" s="119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</row>
    <row r="8" spans="1:38" ht="16" thickBot="1">
      <c r="A8" s="120"/>
      <c r="B8" s="121"/>
      <c r="C8" s="123" t="e">
        <f>+D8-0.005</f>
        <v>#REF!</v>
      </c>
      <c r="D8" s="123" t="e">
        <f>+E8-0.005</f>
        <v>#REF!</v>
      </c>
      <c r="E8" s="123" t="e">
        <f>+F8-0.005</f>
        <v>#REF!</v>
      </c>
      <c r="F8" s="122" t="e">
        <f>#REF!</f>
        <v>#REF!</v>
      </c>
      <c r="G8" s="123" t="e">
        <f t="shared" ref="G8:J8" si="0">+F8+0.005</f>
        <v>#REF!</v>
      </c>
      <c r="H8" s="123" t="e">
        <f t="shared" si="0"/>
        <v>#REF!</v>
      </c>
      <c r="I8" s="123" t="e">
        <f t="shared" si="0"/>
        <v>#REF!</v>
      </c>
      <c r="J8" s="124" t="e">
        <f t="shared" si="0"/>
        <v>#REF!</v>
      </c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</row>
    <row r="9" spans="1:38">
      <c r="A9" s="125"/>
      <c r="B9" s="126">
        <v>1</v>
      </c>
      <c r="C9" s="457" t="e">
        <f t="shared" ref="C9:C19" si="1">$C$3/B9/(PMT($C$8/12,$C$5,1)*-12)-$C$4</f>
        <v>#REF!</v>
      </c>
      <c r="D9" s="460" t="e">
        <f t="shared" ref="D9:D19" si="2">$C$3/B9/(PMT($D$8/12,$C$5,1)*-12)-$C$4</f>
        <v>#REF!</v>
      </c>
      <c r="E9" s="128" t="e">
        <f t="shared" ref="E9:E19" si="3">$C$3/B9/(PMT($E$8/12,$C$5,1)*-12)-$C$4</f>
        <v>#REF!</v>
      </c>
      <c r="F9" s="127" t="e">
        <f t="shared" ref="F9:F19" si="4">$C$3/B9/(PMT($F$8/12,$C$5,1)*-12)-$C$4</f>
        <v>#REF!</v>
      </c>
      <c r="G9" s="128" t="e">
        <f t="shared" ref="G9:G19" si="5">$C$3/B9/(PMT($G$8/12,$C$5,1)*-12)-$C$4</f>
        <v>#REF!</v>
      </c>
      <c r="H9" s="128" t="e">
        <f t="shared" ref="H9:H19" si="6">$C$3/B9/(PMT($H$8/12,$C$5,1)*-12)-$C$4</f>
        <v>#REF!</v>
      </c>
      <c r="I9" s="128" t="e">
        <f t="shared" ref="I9:I19" si="7">$C$3/B9/(PMT($I$8/12,$C$5,1)*-12)-$C$4</f>
        <v>#REF!</v>
      </c>
      <c r="J9" s="129" t="e">
        <f t="shared" ref="J9:J19" si="8">$C$3/B9/(PMT($J$8/12,$C$5,1)*-12)-$C$4</f>
        <v>#REF!</v>
      </c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</row>
    <row r="10" spans="1:38">
      <c r="A10" s="125"/>
      <c r="B10" s="126">
        <f t="shared" ref="B10:B19" si="9">+B9+0.05</f>
        <v>1.05</v>
      </c>
      <c r="C10" s="458" t="e">
        <f t="shared" si="1"/>
        <v>#REF!</v>
      </c>
      <c r="D10" s="131" t="e">
        <f t="shared" si="2"/>
        <v>#REF!</v>
      </c>
      <c r="E10" s="131" t="e">
        <f t="shared" si="3"/>
        <v>#REF!</v>
      </c>
      <c r="F10" s="130" t="e">
        <f t="shared" si="4"/>
        <v>#REF!</v>
      </c>
      <c r="G10" s="131" t="e">
        <f t="shared" si="5"/>
        <v>#REF!</v>
      </c>
      <c r="H10" s="131" t="e">
        <f t="shared" si="6"/>
        <v>#REF!</v>
      </c>
      <c r="I10" s="131" t="e">
        <f t="shared" si="7"/>
        <v>#REF!</v>
      </c>
      <c r="J10" s="132" t="e">
        <f t="shared" si="8"/>
        <v>#REF!</v>
      </c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</row>
    <row r="11" spans="1:38">
      <c r="A11" s="133" t="s">
        <v>267</v>
      </c>
      <c r="B11" s="126">
        <f t="shared" si="9"/>
        <v>1.1000000000000001</v>
      </c>
      <c r="C11" s="458" t="e">
        <f t="shared" si="1"/>
        <v>#REF!</v>
      </c>
      <c r="D11" s="131" t="e">
        <f t="shared" si="2"/>
        <v>#REF!</v>
      </c>
      <c r="E11" s="131" t="e">
        <f t="shared" si="3"/>
        <v>#REF!</v>
      </c>
      <c r="F11" s="130" t="e">
        <f t="shared" si="4"/>
        <v>#REF!</v>
      </c>
      <c r="G11" s="131" t="e">
        <f t="shared" si="5"/>
        <v>#REF!</v>
      </c>
      <c r="H11" s="131" t="e">
        <f t="shared" si="6"/>
        <v>#REF!</v>
      </c>
      <c r="I11" s="131" t="e">
        <f t="shared" si="7"/>
        <v>#REF!</v>
      </c>
      <c r="J11" s="132" t="e">
        <f t="shared" si="8"/>
        <v>#REF!</v>
      </c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</row>
    <row r="12" spans="1:38">
      <c r="A12" s="133" t="s">
        <v>268</v>
      </c>
      <c r="B12" s="126">
        <f t="shared" si="9"/>
        <v>1.1500000000000001</v>
      </c>
      <c r="C12" s="458" t="e">
        <f t="shared" si="1"/>
        <v>#REF!</v>
      </c>
      <c r="D12" s="131" t="e">
        <f t="shared" si="2"/>
        <v>#REF!</v>
      </c>
      <c r="E12" s="131" t="e">
        <f t="shared" si="3"/>
        <v>#REF!</v>
      </c>
      <c r="F12" s="130" t="e">
        <f t="shared" si="4"/>
        <v>#REF!</v>
      </c>
      <c r="G12" s="131" t="e">
        <f t="shared" si="5"/>
        <v>#REF!</v>
      </c>
      <c r="H12" s="131" t="e">
        <f t="shared" si="6"/>
        <v>#REF!</v>
      </c>
      <c r="I12" s="131" t="e">
        <f t="shared" si="7"/>
        <v>#REF!</v>
      </c>
      <c r="J12" s="132" t="e">
        <f t="shared" si="8"/>
        <v>#REF!</v>
      </c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</row>
    <row r="13" spans="1:38">
      <c r="A13" s="133" t="s">
        <v>269</v>
      </c>
      <c r="B13" s="126">
        <f t="shared" si="9"/>
        <v>1.2000000000000002</v>
      </c>
      <c r="C13" s="458" t="e">
        <f t="shared" si="1"/>
        <v>#REF!</v>
      </c>
      <c r="D13" s="131" t="e">
        <f t="shared" si="2"/>
        <v>#REF!</v>
      </c>
      <c r="E13" s="131" t="e">
        <f t="shared" si="3"/>
        <v>#REF!</v>
      </c>
      <c r="F13" s="130" t="e">
        <f t="shared" si="4"/>
        <v>#REF!</v>
      </c>
      <c r="G13" s="131" t="e">
        <f t="shared" si="5"/>
        <v>#REF!</v>
      </c>
      <c r="H13" s="131" t="e">
        <f t="shared" si="6"/>
        <v>#REF!</v>
      </c>
      <c r="I13" s="131" t="e">
        <f t="shared" si="7"/>
        <v>#REF!</v>
      </c>
      <c r="J13" s="132" t="e">
        <f t="shared" si="8"/>
        <v>#REF!</v>
      </c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</row>
    <row r="14" spans="1:38">
      <c r="A14" s="133" t="s">
        <v>270</v>
      </c>
      <c r="B14" s="126">
        <f t="shared" si="9"/>
        <v>1.2500000000000002</v>
      </c>
      <c r="C14" s="458" t="e">
        <f t="shared" si="1"/>
        <v>#REF!</v>
      </c>
      <c r="D14" s="131" t="e">
        <f t="shared" si="2"/>
        <v>#REF!</v>
      </c>
      <c r="E14" s="131" t="e">
        <f t="shared" si="3"/>
        <v>#REF!</v>
      </c>
      <c r="F14" s="130" t="e">
        <f t="shared" si="4"/>
        <v>#REF!</v>
      </c>
      <c r="G14" s="131" t="e">
        <f t="shared" si="5"/>
        <v>#REF!</v>
      </c>
      <c r="H14" s="131" t="e">
        <f t="shared" si="6"/>
        <v>#REF!</v>
      </c>
      <c r="I14" s="131" t="e">
        <f t="shared" si="7"/>
        <v>#REF!</v>
      </c>
      <c r="J14" s="132" t="e">
        <f t="shared" si="8"/>
        <v>#REF!</v>
      </c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</row>
    <row r="15" spans="1:38">
      <c r="A15" s="125"/>
      <c r="B15" s="126">
        <f t="shared" si="9"/>
        <v>1.3000000000000003</v>
      </c>
      <c r="C15" s="458" t="e">
        <f t="shared" si="1"/>
        <v>#REF!</v>
      </c>
      <c r="D15" s="131" t="e">
        <f t="shared" si="2"/>
        <v>#REF!</v>
      </c>
      <c r="E15" s="131" t="e">
        <f t="shared" si="3"/>
        <v>#REF!</v>
      </c>
      <c r="F15" s="130" t="e">
        <f t="shared" si="4"/>
        <v>#REF!</v>
      </c>
      <c r="G15" s="131" t="e">
        <f t="shared" si="5"/>
        <v>#REF!</v>
      </c>
      <c r="H15" s="131" t="e">
        <f t="shared" si="6"/>
        <v>#REF!</v>
      </c>
      <c r="I15" s="131" t="e">
        <f t="shared" si="7"/>
        <v>#REF!</v>
      </c>
      <c r="J15" s="132" t="e">
        <f t="shared" si="8"/>
        <v>#REF!</v>
      </c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</row>
    <row r="16" spans="1:38">
      <c r="A16" s="125"/>
      <c r="B16" s="126">
        <f t="shared" si="9"/>
        <v>1.3500000000000003</v>
      </c>
      <c r="C16" s="458" t="e">
        <f t="shared" si="1"/>
        <v>#REF!</v>
      </c>
      <c r="D16" s="131" t="e">
        <f t="shared" si="2"/>
        <v>#REF!</v>
      </c>
      <c r="E16" s="131" t="e">
        <f t="shared" si="3"/>
        <v>#REF!</v>
      </c>
      <c r="F16" s="130" t="e">
        <f t="shared" si="4"/>
        <v>#REF!</v>
      </c>
      <c r="G16" s="131" t="e">
        <f t="shared" si="5"/>
        <v>#REF!</v>
      </c>
      <c r="H16" s="131" t="e">
        <f t="shared" si="6"/>
        <v>#REF!</v>
      </c>
      <c r="I16" s="131" t="e">
        <f t="shared" si="7"/>
        <v>#REF!</v>
      </c>
      <c r="J16" s="132" t="e">
        <f t="shared" si="8"/>
        <v>#REF!</v>
      </c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</row>
    <row r="17" spans="1:38">
      <c r="A17" s="125"/>
      <c r="B17" s="126">
        <f t="shared" si="9"/>
        <v>1.4000000000000004</v>
      </c>
      <c r="C17" s="458" t="e">
        <f t="shared" si="1"/>
        <v>#REF!</v>
      </c>
      <c r="D17" s="131" t="e">
        <f>$C$3/B17/(PMT($D$8/12,$C$5,1)*-12)-$C$4</f>
        <v>#REF!</v>
      </c>
      <c r="E17" s="131" t="e">
        <f>$C$3/B17/(PMT($E$8/12,$C$5,1)*-12)-$C$4</f>
        <v>#REF!</v>
      </c>
      <c r="F17" s="130" t="e">
        <f>$C$3/B17/(PMT($F$8/12,$C$5,1)*-12)-$C$4</f>
        <v>#REF!</v>
      </c>
      <c r="G17" s="131" t="e">
        <f>$C$3/B17/(PMT($G$8/12,$C$5,1)*-12)-$C$4</f>
        <v>#REF!</v>
      </c>
      <c r="H17" s="131" t="e">
        <f>$C$3/B17/(PMT($H$8/12,$C$5,1)*-12)-$C$4</f>
        <v>#REF!</v>
      </c>
      <c r="I17" s="131" t="e">
        <f>$C$3/B17/(PMT($I$8/12,$C$5,1)*-12)-$C$4</f>
        <v>#REF!</v>
      </c>
      <c r="J17" s="132" t="e">
        <f>$C$3/B17/(PMT($J$8/12,$C$5,1)*-12)-$C$4</f>
        <v>#REF!</v>
      </c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</row>
    <row r="18" spans="1:38">
      <c r="A18" s="125"/>
      <c r="B18" s="126">
        <f t="shared" si="9"/>
        <v>1.4500000000000004</v>
      </c>
      <c r="C18" s="458" t="e">
        <f t="shared" si="1"/>
        <v>#REF!</v>
      </c>
      <c r="D18" s="131" t="e">
        <f>$C$3/B18/(PMT($D$8/12,$C$5,1)*-12)-$C$4</f>
        <v>#REF!</v>
      </c>
      <c r="E18" s="131" t="e">
        <f>$C$3/B18/(PMT($E$8/12,$C$5,1)*-12)-$C$4</f>
        <v>#REF!</v>
      </c>
      <c r="F18" s="130" t="e">
        <f>$C$3/B18/(PMT($F$8/12,$C$5,1)*-12)-$C$4</f>
        <v>#REF!</v>
      </c>
      <c r="G18" s="131" t="e">
        <f>$C$3/B18/(PMT($G$8/12,$C$5,1)*-12)-$C$4</f>
        <v>#REF!</v>
      </c>
      <c r="H18" s="131" t="e">
        <f>$C$3/B18/(PMT($H$8/12,$C$5,1)*-12)-$C$4</f>
        <v>#REF!</v>
      </c>
      <c r="I18" s="131" t="e">
        <f>$C$3/B18/(PMT($I$8/12,$C$5,1)*-12)-$C$4</f>
        <v>#REF!</v>
      </c>
      <c r="J18" s="132" t="e">
        <f>$C$3/B18/(PMT($J$8/12,$C$5,1)*-12)-$C$4</f>
        <v>#REF!</v>
      </c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</row>
    <row r="19" spans="1:38" ht="16" thickBot="1">
      <c r="A19" s="134"/>
      <c r="B19" s="135">
        <f t="shared" si="9"/>
        <v>1.5000000000000004</v>
      </c>
      <c r="C19" s="459" t="e">
        <f t="shared" si="1"/>
        <v>#REF!</v>
      </c>
      <c r="D19" s="131" t="e">
        <f t="shared" si="2"/>
        <v>#REF!</v>
      </c>
      <c r="E19" s="137" t="e">
        <f t="shared" si="3"/>
        <v>#REF!</v>
      </c>
      <c r="F19" s="136" t="e">
        <f t="shared" si="4"/>
        <v>#REF!</v>
      </c>
      <c r="G19" s="137" t="e">
        <f t="shared" si="5"/>
        <v>#REF!</v>
      </c>
      <c r="H19" s="137" t="e">
        <f t="shared" si="6"/>
        <v>#REF!</v>
      </c>
      <c r="I19" s="137" t="e">
        <f t="shared" si="7"/>
        <v>#REF!</v>
      </c>
      <c r="J19" s="138" t="e">
        <f t="shared" si="8"/>
        <v>#REF!</v>
      </c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</row>
    <row r="20" spans="1:38" ht="16" thickTop="1">
      <c r="A20" s="105"/>
      <c r="B20" s="105"/>
      <c r="C20" s="105" t="s">
        <v>436</v>
      </c>
      <c r="D20" s="105"/>
      <c r="E20" s="105"/>
      <c r="F20" s="105"/>
      <c r="G20" s="105"/>
      <c r="H20" s="105"/>
      <c r="I20" s="105"/>
      <c r="J20" s="105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</row>
    <row r="21" spans="1:38">
      <c r="A21" s="105"/>
      <c r="B21" s="105"/>
      <c r="C21" s="105"/>
      <c r="D21" s="105"/>
      <c r="E21" s="105"/>
      <c r="F21" s="105"/>
      <c r="G21" s="105"/>
      <c r="H21" s="105"/>
      <c r="I21" s="105"/>
      <c r="J21" s="105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</row>
    <row r="22" spans="1:38" ht="16">
      <c r="A22" s="105"/>
      <c r="B22" s="1480" t="s">
        <v>375</v>
      </c>
      <c r="C22" s="1480"/>
      <c r="D22" s="1480"/>
      <c r="E22" s="1480"/>
      <c r="F22" s="1480"/>
      <c r="G22" s="1480"/>
      <c r="H22" s="1480"/>
      <c r="I22" s="1480"/>
      <c r="J22" s="1480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</row>
    <row r="23" spans="1:38" ht="17" thickBot="1">
      <c r="A23" s="105"/>
      <c r="B23" s="1480" t="s">
        <v>271</v>
      </c>
      <c r="C23" s="1480"/>
      <c r="D23" s="1480"/>
      <c r="E23" s="1480"/>
      <c r="F23" s="1480"/>
      <c r="G23" s="1480"/>
      <c r="H23" s="1480"/>
      <c r="I23" s="1480"/>
      <c r="J23" s="1480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</row>
    <row r="24" spans="1:38">
      <c r="A24" s="1481" t="s">
        <v>279</v>
      </c>
      <c r="B24" s="1482"/>
      <c r="C24" s="106" t="e">
        <f>+C3</f>
        <v>#REF!</v>
      </c>
      <c r="D24" s="107"/>
      <c r="E24" s="107"/>
      <c r="F24" s="107"/>
      <c r="G24" s="107"/>
      <c r="H24" s="107"/>
      <c r="I24" s="107"/>
      <c r="J24" s="108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</row>
    <row r="25" spans="1:38">
      <c r="A25" s="1483" t="s">
        <v>264</v>
      </c>
      <c r="B25" s="1484"/>
      <c r="C25" s="109" t="e">
        <f>+C4</f>
        <v>#REF!</v>
      </c>
      <c r="D25" s="110"/>
      <c r="E25" s="111"/>
      <c r="F25" s="112"/>
      <c r="G25" s="112"/>
      <c r="H25" s="112"/>
      <c r="I25" s="111"/>
      <c r="J25" s="113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</row>
    <row r="26" spans="1:38">
      <c r="A26" s="1483" t="s">
        <v>265</v>
      </c>
      <c r="B26" s="1484"/>
      <c r="C26" s="114" t="e">
        <f>+C5</f>
        <v>#REF!</v>
      </c>
      <c r="D26" s="110"/>
      <c r="E26" s="111"/>
      <c r="F26" s="112"/>
      <c r="G26" s="112"/>
      <c r="H26" s="112"/>
      <c r="I26" s="111"/>
      <c r="J26" s="113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</row>
    <row r="27" spans="1:38" ht="16" thickBot="1">
      <c r="A27" s="139"/>
      <c r="B27" s="116"/>
      <c r="C27" s="1479" t="s">
        <v>2</v>
      </c>
      <c r="D27" s="1479"/>
      <c r="E27" s="1479"/>
      <c r="F27" s="1479"/>
      <c r="G27" s="1479"/>
      <c r="H27" s="1479"/>
      <c r="I27" s="1479"/>
      <c r="J27" s="1479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</row>
    <row r="28" spans="1:38" ht="16" thickTop="1">
      <c r="A28" s="139"/>
      <c r="B28" s="116"/>
      <c r="C28" s="117"/>
      <c r="D28" s="117"/>
      <c r="E28" s="117"/>
      <c r="F28" s="118" t="s">
        <v>266</v>
      </c>
      <c r="G28" s="117"/>
      <c r="H28" s="117"/>
      <c r="I28" s="117"/>
      <c r="J28" s="117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</row>
    <row r="29" spans="1:38" ht="16" thickBot="1">
      <c r="A29" s="140"/>
      <c r="B29" s="121"/>
      <c r="C29" s="141" t="e">
        <f>+C8</f>
        <v>#REF!</v>
      </c>
      <c r="D29" s="141" t="e">
        <f t="shared" ref="D29:J29" si="10">+D8</f>
        <v>#REF!</v>
      </c>
      <c r="E29" s="141" t="e">
        <f t="shared" si="10"/>
        <v>#REF!</v>
      </c>
      <c r="F29" s="142" t="e">
        <f>F8</f>
        <v>#REF!</v>
      </c>
      <c r="G29" s="141" t="e">
        <f t="shared" si="10"/>
        <v>#REF!</v>
      </c>
      <c r="H29" s="141" t="e">
        <f t="shared" si="10"/>
        <v>#REF!</v>
      </c>
      <c r="I29" s="141" t="e">
        <f t="shared" si="10"/>
        <v>#REF!</v>
      </c>
      <c r="J29" s="141" t="e">
        <f t="shared" si="10"/>
        <v>#REF!</v>
      </c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</row>
    <row r="30" spans="1:38">
      <c r="A30" s="133" t="s">
        <v>272</v>
      </c>
      <c r="B30" s="143">
        <f t="shared" ref="B30:B36" si="11">+B31-0.05</f>
        <v>0.59999999999999964</v>
      </c>
      <c r="C30" s="144" t="e">
        <f t="shared" ref="C30:C38" si="12">($C$24*B30)/(PMT($C$29/12,$C$26,$C$25)*-12)</f>
        <v>#REF!</v>
      </c>
      <c r="D30" s="456" t="e">
        <f t="shared" ref="D30:D38" si="13">($C$24*B30)/(PMT($D$29/12,$C$26,$C$25)*-12)</f>
        <v>#REF!</v>
      </c>
      <c r="E30" s="146" t="e">
        <f t="shared" ref="E30:E38" si="14">($C$24*B30)/(PMT($E$29/12,$C$26,$C$25)*-12)</f>
        <v>#REF!</v>
      </c>
      <c r="F30" s="145" t="e">
        <f t="shared" ref="F30:F38" si="15">($C$24*B30)/(PMT($F$29/12,$C$26,$C$25)*-12)</f>
        <v>#REF!</v>
      </c>
      <c r="G30" s="146" t="e">
        <f t="shared" ref="G30:G38" si="16">($C$24*B30)/(PMT($G$29/12,$C$26,$C$25)*-12)</f>
        <v>#REF!</v>
      </c>
      <c r="H30" s="146" t="e">
        <f t="shared" ref="H30:H38" si="17">($C$24*B30)/(PMT($H$29/12,$C$26,$C$25)*-12)</f>
        <v>#REF!</v>
      </c>
      <c r="I30" s="146" t="e">
        <f t="shared" ref="I30:I38" si="18">($C$24*B30)/(PMT($I$29/12,$C$26,$C$25)*-12)</f>
        <v>#REF!</v>
      </c>
      <c r="J30" s="147" t="e">
        <f t="shared" ref="J30:J38" si="19">($C$24*B30)/(PMT($J$29/12,$C$26,$C$25)*-12)</f>
        <v>#REF!</v>
      </c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</row>
    <row r="31" spans="1:38">
      <c r="A31" s="133" t="s">
        <v>273</v>
      </c>
      <c r="B31" s="143">
        <f t="shared" si="11"/>
        <v>0.64999999999999969</v>
      </c>
      <c r="C31" s="148" t="e">
        <f t="shared" si="12"/>
        <v>#REF!</v>
      </c>
      <c r="D31" s="150" t="e">
        <f t="shared" si="13"/>
        <v>#REF!</v>
      </c>
      <c r="E31" s="150" t="e">
        <f t="shared" si="14"/>
        <v>#REF!</v>
      </c>
      <c r="F31" s="149" t="e">
        <f t="shared" si="15"/>
        <v>#REF!</v>
      </c>
      <c r="G31" s="150" t="e">
        <f t="shared" si="16"/>
        <v>#REF!</v>
      </c>
      <c r="H31" s="150" t="e">
        <f t="shared" si="17"/>
        <v>#REF!</v>
      </c>
      <c r="I31" s="150" t="e">
        <f t="shared" si="18"/>
        <v>#REF!</v>
      </c>
      <c r="J31" s="151" t="e">
        <f t="shared" si="19"/>
        <v>#REF!</v>
      </c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</row>
    <row r="32" spans="1:38">
      <c r="A32" s="133" t="s">
        <v>274</v>
      </c>
      <c r="B32" s="143">
        <f t="shared" si="11"/>
        <v>0.69999999999999973</v>
      </c>
      <c r="C32" s="148" t="e">
        <f t="shared" si="12"/>
        <v>#REF!</v>
      </c>
      <c r="D32" s="150" t="e">
        <f t="shared" si="13"/>
        <v>#REF!</v>
      </c>
      <c r="E32" s="150" t="e">
        <f t="shared" si="14"/>
        <v>#REF!</v>
      </c>
      <c r="F32" s="149" t="e">
        <f t="shared" si="15"/>
        <v>#REF!</v>
      </c>
      <c r="G32" s="150" t="e">
        <f t="shared" si="16"/>
        <v>#REF!</v>
      </c>
      <c r="H32" s="150" t="e">
        <f t="shared" si="17"/>
        <v>#REF!</v>
      </c>
      <c r="I32" s="150" t="e">
        <f t="shared" si="18"/>
        <v>#REF!</v>
      </c>
      <c r="J32" s="151" t="e">
        <f t="shared" si="19"/>
        <v>#REF!</v>
      </c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</row>
    <row r="33" spans="1:38">
      <c r="A33" s="133"/>
      <c r="B33" s="143">
        <f t="shared" si="11"/>
        <v>0.74999999999999978</v>
      </c>
      <c r="C33" s="148" t="e">
        <f t="shared" si="12"/>
        <v>#REF!</v>
      </c>
      <c r="D33" s="150" t="e">
        <f t="shared" si="13"/>
        <v>#REF!</v>
      </c>
      <c r="E33" s="150" t="e">
        <f t="shared" si="14"/>
        <v>#REF!</v>
      </c>
      <c r="F33" s="149" t="e">
        <f t="shared" si="15"/>
        <v>#REF!</v>
      </c>
      <c r="G33" s="150" t="e">
        <f t="shared" si="16"/>
        <v>#REF!</v>
      </c>
      <c r="H33" s="150" t="e">
        <f t="shared" si="17"/>
        <v>#REF!</v>
      </c>
      <c r="I33" s="150" t="e">
        <f t="shared" si="18"/>
        <v>#REF!</v>
      </c>
      <c r="J33" s="151" t="e">
        <f t="shared" si="19"/>
        <v>#REF!</v>
      </c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</row>
    <row r="34" spans="1:38">
      <c r="A34" s="133" t="s">
        <v>275</v>
      </c>
      <c r="B34" s="143">
        <f t="shared" si="11"/>
        <v>0.79999999999999982</v>
      </c>
      <c r="C34" s="148" t="e">
        <f t="shared" si="12"/>
        <v>#REF!</v>
      </c>
      <c r="D34" s="150" t="e">
        <f t="shared" si="13"/>
        <v>#REF!</v>
      </c>
      <c r="E34" s="150" t="e">
        <f t="shared" si="14"/>
        <v>#REF!</v>
      </c>
      <c r="F34" s="149" t="e">
        <f t="shared" si="15"/>
        <v>#REF!</v>
      </c>
      <c r="G34" s="150" t="e">
        <f t="shared" si="16"/>
        <v>#REF!</v>
      </c>
      <c r="H34" s="150" t="e">
        <f t="shared" si="17"/>
        <v>#REF!</v>
      </c>
      <c r="I34" s="150" t="e">
        <f t="shared" si="18"/>
        <v>#REF!</v>
      </c>
      <c r="J34" s="151" t="e">
        <f t="shared" si="19"/>
        <v>#REF!</v>
      </c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</row>
    <row r="35" spans="1:38">
      <c r="A35" s="133" t="s">
        <v>276</v>
      </c>
      <c r="B35" s="143">
        <f t="shared" si="11"/>
        <v>0.84999999999999987</v>
      </c>
      <c r="C35" s="148" t="e">
        <f t="shared" si="12"/>
        <v>#REF!</v>
      </c>
      <c r="D35" s="150" t="e">
        <f t="shared" si="13"/>
        <v>#REF!</v>
      </c>
      <c r="E35" s="150" t="e">
        <f t="shared" si="14"/>
        <v>#REF!</v>
      </c>
      <c r="F35" s="149" t="e">
        <f t="shared" si="15"/>
        <v>#REF!</v>
      </c>
      <c r="G35" s="150" t="e">
        <f t="shared" si="16"/>
        <v>#REF!</v>
      </c>
      <c r="H35" s="150" t="e">
        <f t="shared" si="17"/>
        <v>#REF!</v>
      </c>
      <c r="I35" s="150" t="e">
        <f t="shared" si="18"/>
        <v>#REF!</v>
      </c>
      <c r="J35" s="151" t="e">
        <f t="shared" si="19"/>
        <v>#REF!</v>
      </c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</row>
    <row r="36" spans="1:38">
      <c r="A36" s="133" t="s">
        <v>277</v>
      </c>
      <c r="B36" s="143">
        <f t="shared" si="11"/>
        <v>0.89999999999999991</v>
      </c>
      <c r="C36" s="148" t="e">
        <f t="shared" si="12"/>
        <v>#REF!</v>
      </c>
      <c r="D36" s="150" t="e">
        <f t="shared" si="13"/>
        <v>#REF!</v>
      </c>
      <c r="E36" s="150" t="e">
        <f t="shared" si="14"/>
        <v>#REF!</v>
      </c>
      <c r="F36" s="149" t="e">
        <f t="shared" si="15"/>
        <v>#REF!</v>
      </c>
      <c r="G36" s="150" t="e">
        <f t="shared" si="16"/>
        <v>#REF!</v>
      </c>
      <c r="H36" s="150" t="e">
        <f t="shared" si="17"/>
        <v>#REF!</v>
      </c>
      <c r="I36" s="150" t="e">
        <f t="shared" si="18"/>
        <v>#REF!</v>
      </c>
      <c r="J36" s="151" t="e">
        <f t="shared" si="19"/>
        <v>#REF!</v>
      </c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</row>
    <row r="37" spans="1:38">
      <c r="A37" s="133" t="s">
        <v>278</v>
      </c>
      <c r="B37" s="143">
        <f>+B38-0.05</f>
        <v>0.95</v>
      </c>
      <c r="C37" s="148" t="e">
        <f t="shared" si="12"/>
        <v>#REF!</v>
      </c>
      <c r="D37" s="150" t="e">
        <f t="shared" si="13"/>
        <v>#REF!</v>
      </c>
      <c r="E37" s="150" t="e">
        <f t="shared" si="14"/>
        <v>#REF!</v>
      </c>
      <c r="F37" s="149" t="e">
        <f t="shared" si="15"/>
        <v>#REF!</v>
      </c>
      <c r="G37" s="150" t="e">
        <f t="shared" si="16"/>
        <v>#REF!</v>
      </c>
      <c r="H37" s="150" t="e">
        <f t="shared" si="17"/>
        <v>#REF!</v>
      </c>
      <c r="I37" s="150" t="e">
        <f t="shared" si="18"/>
        <v>#REF!</v>
      </c>
      <c r="J37" s="151" t="e">
        <f t="shared" si="19"/>
        <v>#REF!</v>
      </c>
    </row>
    <row r="38" spans="1:38" ht="16" thickBot="1">
      <c r="A38" s="153"/>
      <c r="B38" s="154">
        <v>1</v>
      </c>
      <c r="C38" s="155" t="e">
        <f t="shared" si="12"/>
        <v>#REF!</v>
      </c>
      <c r="D38" s="150" t="e">
        <f t="shared" si="13"/>
        <v>#REF!</v>
      </c>
      <c r="E38" s="157" t="e">
        <f t="shared" si="14"/>
        <v>#REF!</v>
      </c>
      <c r="F38" s="156" t="e">
        <f t="shared" si="15"/>
        <v>#REF!</v>
      </c>
      <c r="G38" s="157" t="e">
        <f t="shared" si="16"/>
        <v>#REF!</v>
      </c>
      <c r="H38" s="157" t="e">
        <f t="shared" si="17"/>
        <v>#REF!</v>
      </c>
      <c r="I38" s="157" t="e">
        <f t="shared" si="18"/>
        <v>#REF!</v>
      </c>
      <c r="J38" s="158" t="e">
        <f t="shared" si="19"/>
        <v>#REF!</v>
      </c>
    </row>
    <row r="39" spans="1:38" s="105" customFormat="1" ht="16" thickTop="1">
      <c r="C39" s="105" t="str">
        <f>+C20</f>
        <v>*  Loan underwritten at 1.15x DSCR, 30 year amortization and 8.32% rate.</v>
      </c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  <c r="Y39" s="152"/>
      <c r="Z39" s="152"/>
      <c r="AA39" s="152"/>
      <c r="AB39" s="152"/>
      <c r="AC39" s="152"/>
      <c r="AD39" s="152"/>
      <c r="AE39" s="152"/>
      <c r="AF39" s="152"/>
      <c r="AG39" s="152"/>
      <c r="AH39" s="152"/>
      <c r="AI39" s="152"/>
      <c r="AJ39" s="152"/>
      <c r="AK39" s="152"/>
      <c r="AL39" s="152"/>
    </row>
    <row r="40" spans="1:38" s="105" customFormat="1"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2"/>
      <c r="V40" s="152"/>
      <c r="W40" s="152"/>
      <c r="X40" s="152"/>
      <c r="Y40" s="152"/>
      <c r="Z40" s="152"/>
      <c r="AA40" s="152"/>
      <c r="AB40" s="152"/>
      <c r="AC40" s="152"/>
      <c r="AD40" s="152"/>
      <c r="AE40" s="152"/>
      <c r="AF40" s="152"/>
      <c r="AG40" s="152"/>
      <c r="AH40" s="152"/>
      <c r="AI40" s="152"/>
      <c r="AJ40" s="152"/>
      <c r="AK40" s="152"/>
      <c r="AL40" s="152"/>
    </row>
    <row r="41" spans="1:38" s="105" customFormat="1"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  <c r="Y41" s="152"/>
      <c r="Z41" s="152"/>
      <c r="AA41" s="152"/>
      <c r="AB41" s="152"/>
      <c r="AC41" s="152"/>
      <c r="AD41" s="152"/>
      <c r="AE41" s="152"/>
      <c r="AF41" s="152"/>
      <c r="AG41" s="152"/>
      <c r="AH41" s="152"/>
      <c r="AI41" s="152"/>
      <c r="AJ41" s="152"/>
      <c r="AK41" s="152"/>
      <c r="AL41" s="152"/>
    </row>
    <row r="42" spans="1:38" s="105" customFormat="1"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  <c r="Y42" s="152"/>
      <c r="Z42" s="152"/>
      <c r="AA42" s="152"/>
      <c r="AB42" s="152"/>
      <c r="AC42" s="152"/>
      <c r="AD42" s="152"/>
      <c r="AE42" s="152"/>
      <c r="AF42" s="152"/>
      <c r="AG42" s="152"/>
      <c r="AH42" s="152"/>
      <c r="AI42" s="152"/>
      <c r="AJ42" s="152"/>
      <c r="AK42" s="152"/>
      <c r="AL42" s="152"/>
    </row>
    <row r="43" spans="1:38" s="105" customFormat="1"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  <c r="Y43" s="152"/>
      <c r="Z43" s="152"/>
      <c r="AA43" s="152"/>
      <c r="AB43" s="152"/>
      <c r="AC43" s="152"/>
      <c r="AD43" s="152"/>
      <c r="AE43" s="152"/>
      <c r="AF43" s="152"/>
      <c r="AG43" s="152"/>
      <c r="AH43" s="152"/>
      <c r="AI43" s="152"/>
      <c r="AJ43" s="152"/>
      <c r="AK43" s="152"/>
      <c r="AL43" s="152"/>
    </row>
    <row r="44" spans="1:38" s="105" customFormat="1"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  <c r="Y44" s="152"/>
      <c r="Z44" s="152"/>
      <c r="AA44" s="152"/>
      <c r="AB44" s="152"/>
      <c r="AC44" s="152"/>
      <c r="AD44" s="152"/>
      <c r="AE44" s="152"/>
      <c r="AF44" s="152"/>
      <c r="AG44" s="152"/>
      <c r="AH44" s="152"/>
      <c r="AI44" s="152"/>
      <c r="AJ44" s="152"/>
      <c r="AK44" s="152"/>
      <c r="AL44" s="152"/>
    </row>
    <row r="45" spans="1:38" s="105" customFormat="1"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  <c r="Y45" s="152"/>
      <c r="Z45" s="152"/>
      <c r="AA45" s="152"/>
      <c r="AB45" s="152"/>
      <c r="AC45" s="152"/>
      <c r="AD45" s="152"/>
      <c r="AE45" s="152"/>
      <c r="AF45" s="152"/>
      <c r="AG45" s="152"/>
      <c r="AH45" s="152"/>
      <c r="AI45" s="152"/>
      <c r="AJ45" s="152"/>
      <c r="AK45" s="152"/>
      <c r="AL45" s="152"/>
    </row>
    <row r="46" spans="1:38" s="105" customFormat="1"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  <c r="AA46" s="152"/>
      <c r="AB46" s="152"/>
      <c r="AC46" s="152"/>
      <c r="AD46" s="152"/>
      <c r="AE46" s="152"/>
      <c r="AF46" s="152"/>
      <c r="AG46" s="152"/>
      <c r="AH46" s="152"/>
      <c r="AI46" s="152"/>
      <c r="AJ46" s="152"/>
      <c r="AK46" s="152"/>
      <c r="AL46" s="152"/>
    </row>
    <row r="47" spans="1:38" s="105" customFormat="1"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152"/>
      <c r="AE47" s="152"/>
      <c r="AF47" s="152"/>
      <c r="AG47" s="152"/>
      <c r="AH47" s="152"/>
      <c r="AI47" s="152"/>
      <c r="AJ47" s="152"/>
      <c r="AK47" s="152"/>
      <c r="AL47" s="152"/>
    </row>
    <row r="48" spans="1:38" s="105" customFormat="1"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152"/>
      <c r="AE48" s="152"/>
      <c r="AF48" s="152"/>
      <c r="AG48" s="152"/>
      <c r="AH48" s="152"/>
      <c r="AI48" s="152"/>
      <c r="AJ48" s="152"/>
      <c r="AK48" s="152"/>
      <c r="AL48" s="152"/>
    </row>
    <row r="49" spans="11:38" s="105" customFormat="1"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  <c r="AA49" s="152"/>
      <c r="AB49" s="152"/>
      <c r="AC49" s="152"/>
      <c r="AD49" s="152"/>
      <c r="AE49" s="152"/>
      <c r="AF49" s="152"/>
      <c r="AG49" s="152"/>
      <c r="AH49" s="152"/>
      <c r="AI49" s="152"/>
      <c r="AJ49" s="152"/>
      <c r="AK49" s="152"/>
      <c r="AL49" s="152"/>
    </row>
    <row r="50" spans="11:38" s="105" customFormat="1"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  <c r="AA50" s="152"/>
      <c r="AB50" s="152"/>
      <c r="AC50" s="152"/>
      <c r="AD50" s="152"/>
      <c r="AE50" s="152"/>
      <c r="AF50" s="152"/>
      <c r="AG50" s="152"/>
      <c r="AH50" s="152"/>
      <c r="AI50" s="152"/>
      <c r="AJ50" s="152"/>
      <c r="AK50" s="152"/>
      <c r="AL50" s="152"/>
    </row>
    <row r="51" spans="11:38" s="105" customFormat="1"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  <c r="AA51" s="152"/>
      <c r="AB51" s="152"/>
      <c r="AC51" s="152"/>
      <c r="AD51" s="152"/>
      <c r="AE51" s="152"/>
      <c r="AF51" s="152"/>
      <c r="AG51" s="152"/>
      <c r="AH51" s="152"/>
      <c r="AI51" s="152"/>
      <c r="AJ51" s="152"/>
      <c r="AK51" s="152"/>
      <c r="AL51" s="152"/>
    </row>
    <row r="52" spans="11:38" s="105" customFormat="1"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2"/>
      <c r="AB52" s="152"/>
      <c r="AC52" s="152"/>
      <c r="AD52" s="152"/>
      <c r="AE52" s="152"/>
      <c r="AF52" s="152"/>
      <c r="AG52" s="152"/>
      <c r="AH52" s="152"/>
      <c r="AI52" s="152"/>
      <c r="AJ52" s="152"/>
      <c r="AK52" s="152"/>
      <c r="AL52" s="152"/>
    </row>
    <row r="53" spans="11:38" s="105" customFormat="1"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  <c r="AA53" s="152"/>
      <c r="AB53" s="152"/>
      <c r="AC53" s="152"/>
      <c r="AD53" s="152"/>
      <c r="AE53" s="152"/>
      <c r="AF53" s="152"/>
      <c r="AG53" s="152"/>
      <c r="AH53" s="152"/>
      <c r="AI53" s="152"/>
      <c r="AJ53" s="152"/>
      <c r="AK53" s="152"/>
      <c r="AL53" s="152"/>
    </row>
    <row r="54" spans="11:38" s="105" customFormat="1"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  <c r="AF54" s="152"/>
      <c r="AG54" s="152"/>
      <c r="AH54" s="152"/>
      <c r="AI54" s="152"/>
      <c r="AJ54" s="152"/>
      <c r="AK54" s="152"/>
      <c r="AL54" s="152"/>
    </row>
    <row r="55" spans="11:38" s="105" customFormat="1"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2"/>
      <c r="AD55" s="152"/>
      <c r="AE55" s="152"/>
      <c r="AF55" s="152"/>
      <c r="AG55" s="152"/>
      <c r="AH55" s="152"/>
      <c r="AI55" s="152"/>
      <c r="AJ55" s="152"/>
      <c r="AK55" s="152"/>
      <c r="AL55" s="152"/>
    </row>
    <row r="56" spans="11:38" s="105" customFormat="1"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  <c r="AB56" s="152"/>
      <c r="AC56" s="152"/>
      <c r="AD56" s="152"/>
      <c r="AE56" s="152"/>
      <c r="AF56" s="152"/>
      <c r="AG56" s="152"/>
      <c r="AH56" s="152"/>
      <c r="AI56" s="152"/>
      <c r="AJ56" s="152"/>
      <c r="AK56" s="152"/>
      <c r="AL56" s="152"/>
    </row>
    <row r="57" spans="11:38" s="105" customFormat="1"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  <c r="AB57" s="152"/>
      <c r="AC57" s="152"/>
      <c r="AD57" s="152"/>
      <c r="AE57" s="152"/>
      <c r="AF57" s="152"/>
      <c r="AG57" s="152"/>
      <c r="AH57" s="152"/>
      <c r="AI57" s="152"/>
      <c r="AJ57" s="152"/>
      <c r="AK57" s="152"/>
      <c r="AL57" s="152"/>
    </row>
    <row r="58" spans="11:38" s="105" customFormat="1"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  <c r="AB58" s="152"/>
      <c r="AC58" s="152"/>
      <c r="AD58" s="152"/>
      <c r="AE58" s="152"/>
      <c r="AF58" s="152"/>
      <c r="AG58" s="152"/>
      <c r="AH58" s="152"/>
      <c r="AI58" s="152"/>
      <c r="AJ58" s="152"/>
      <c r="AK58" s="152"/>
      <c r="AL58" s="152"/>
    </row>
    <row r="59" spans="11:38" s="105" customFormat="1"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  <c r="AB59" s="152"/>
      <c r="AC59" s="152"/>
      <c r="AD59" s="152"/>
      <c r="AE59" s="152"/>
      <c r="AF59" s="152"/>
      <c r="AG59" s="152"/>
      <c r="AH59" s="152"/>
      <c r="AI59" s="152"/>
      <c r="AJ59" s="152"/>
      <c r="AK59" s="152"/>
      <c r="AL59" s="152"/>
    </row>
    <row r="60" spans="11:38" s="105" customFormat="1"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  <c r="AB60" s="152"/>
      <c r="AC60" s="152"/>
      <c r="AD60" s="152"/>
      <c r="AE60" s="152"/>
      <c r="AF60" s="152"/>
      <c r="AG60" s="152"/>
      <c r="AH60" s="152"/>
      <c r="AI60" s="152"/>
      <c r="AJ60" s="152"/>
      <c r="AK60" s="152"/>
      <c r="AL60" s="152"/>
    </row>
    <row r="61" spans="11:38" s="105" customFormat="1"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  <c r="AC61" s="152"/>
      <c r="AD61" s="152"/>
      <c r="AE61" s="152"/>
      <c r="AF61" s="152"/>
      <c r="AG61" s="152"/>
      <c r="AH61" s="152"/>
      <c r="AI61" s="152"/>
      <c r="AJ61" s="152"/>
      <c r="AK61" s="152"/>
      <c r="AL61" s="152"/>
    </row>
    <row r="62" spans="11:38" s="105" customFormat="1"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/>
      <c r="AB62" s="152"/>
      <c r="AC62" s="152"/>
      <c r="AD62" s="152"/>
      <c r="AE62" s="152"/>
      <c r="AF62" s="152"/>
      <c r="AG62" s="152"/>
      <c r="AH62" s="152"/>
      <c r="AI62" s="152"/>
      <c r="AJ62" s="152"/>
      <c r="AK62" s="152"/>
      <c r="AL62" s="152"/>
    </row>
    <row r="63" spans="11:38" s="105" customFormat="1"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  <c r="AK63" s="152"/>
      <c r="AL63" s="152"/>
    </row>
    <row r="64" spans="11:38" s="105" customFormat="1"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52"/>
      <c r="AC64" s="152"/>
      <c r="AD64" s="152"/>
      <c r="AE64" s="152"/>
      <c r="AF64" s="152"/>
      <c r="AG64" s="152"/>
      <c r="AH64" s="152"/>
      <c r="AI64" s="152"/>
      <c r="AJ64" s="152"/>
      <c r="AK64" s="152"/>
      <c r="AL64" s="152"/>
    </row>
    <row r="65" spans="11:38" s="105" customFormat="1"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52"/>
      <c r="AC65" s="152"/>
      <c r="AD65" s="152"/>
      <c r="AE65" s="152"/>
      <c r="AF65" s="152"/>
      <c r="AG65" s="152"/>
      <c r="AH65" s="152"/>
      <c r="AI65" s="152"/>
      <c r="AJ65" s="152"/>
      <c r="AK65" s="152"/>
      <c r="AL65" s="152"/>
    </row>
    <row r="66" spans="11:38" s="105" customFormat="1"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52"/>
      <c r="AE66" s="152"/>
      <c r="AF66" s="152"/>
      <c r="AG66" s="152"/>
      <c r="AH66" s="152"/>
      <c r="AI66" s="152"/>
      <c r="AJ66" s="152"/>
      <c r="AK66" s="152"/>
      <c r="AL66" s="152"/>
    </row>
    <row r="67" spans="11:38" s="105" customFormat="1"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  <c r="AC67" s="152"/>
      <c r="AD67" s="152"/>
      <c r="AE67" s="152"/>
      <c r="AF67" s="152"/>
      <c r="AG67" s="152"/>
      <c r="AH67" s="152"/>
      <c r="AI67" s="152"/>
      <c r="AJ67" s="152"/>
      <c r="AK67" s="152"/>
      <c r="AL67" s="152"/>
    </row>
    <row r="68" spans="11:38" s="105" customFormat="1"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  <c r="AC68" s="152"/>
      <c r="AD68" s="152"/>
      <c r="AE68" s="152"/>
      <c r="AF68" s="152"/>
      <c r="AG68" s="152"/>
      <c r="AH68" s="152"/>
      <c r="AI68" s="152"/>
      <c r="AJ68" s="152"/>
      <c r="AK68" s="152"/>
      <c r="AL68" s="152"/>
    </row>
    <row r="69" spans="11:38" s="105" customFormat="1"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  <c r="AA69" s="152"/>
      <c r="AB69" s="152"/>
      <c r="AC69" s="152"/>
      <c r="AD69" s="152"/>
      <c r="AE69" s="152"/>
      <c r="AF69" s="152"/>
      <c r="AG69" s="152"/>
      <c r="AH69" s="152"/>
      <c r="AI69" s="152"/>
      <c r="AJ69" s="152"/>
      <c r="AK69" s="152"/>
      <c r="AL69" s="152"/>
    </row>
    <row r="70" spans="11:38" s="105" customFormat="1"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  <c r="AD70" s="152"/>
      <c r="AE70" s="152"/>
      <c r="AF70" s="152"/>
      <c r="AG70" s="152"/>
      <c r="AH70" s="152"/>
      <c r="AI70" s="152"/>
      <c r="AJ70" s="152"/>
      <c r="AK70" s="152"/>
      <c r="AL70" s="152"/>
    </row>
    <row r="71" spans="11:38" s="105" customFormat="1"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  <c r="AI71" s="152"/>
      <c r="AJ71" s="152"/>
      <c r="AK71" s="152"/>
      <c r="AL71" s="152"/>
    </row>
    <row r="72" spans="11:38" s="105" customFormat="1"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  <c r="AI72" s="152"/>
      <c r="AJ72" s="152"/>
      <c r="AK72" s="152"/>
      <c r="AL72" s="152"/>
    </row>
    <row r="73" spans="11:38" s="105" customFormat="1"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  <c r="AA73" s="152"/>
      <c r="AB73" s="152"/>
      <c r="AC73" s="152"/>
      <c r="AD73" s="152"/>
      <c r="AE73" s="152"/>
      <c r="AF73" s="152"/>
      <c r="AG73" s="152"/>
      <c r="AH73" s="152"/>
      <c r="AI73" s="152"/>
      <c r="AJ73" s="152"/>
      <c r="AK73" s="152"/>
      <c r="AL73" s="152"/>
    </row>
    <row r="74" spans="11:38" s="105" customFormat="1"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  <c r="AB74" s="152"/>
      <c r="AC74" s="152"/>
      <c r="AD74" s="152"/>
      <c r="AE74" s="152"/>
      <c r="AF74" s="152"/>
      <c r="AG74" s="152"/>
      <c r="AH74" s="152"/>
      <c r="AI74" s="152"/>
      <c r="AJ74" s="152"/>
      <c r="AK74" s="152"/>
      <c r="AL74" s="152"/>
    </row>
    <row r="75" spans="11:38" s="105" customFormat="1"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  <c r="AA75" s="152"/>
      <c r="AB75" s="152"/>
      <c r="AC75" s="152"/>
      <c r="AD75" s="152"/>
      <c r="AE75" s="152"/>
      <c r="AF75" s="152"/>
      <c r="AG75" s="152"/>
      <c r="AH75" s="152"/>
      <c r="AI75" s="152"/>
      <c r="AJ75" s="152"/>
      <c r="AK75" s="152"/>
      <c r="AL75" s="152"/>
    </row>
    <row r="76" spans="11:38" s="105" customFormat="1"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  <c r="AB76" s="152"/>
      <c r="AC76" s="152"/>
      <c r="AD76" s="152"/>
      <c r="AE76" s="152"/>
      <c r="AF76" s="152"/>
      <c r="AG76" s="152"/>
      <c r="AH76" s="152"/>
      <c r="AI76" s="152"/>
      <c r="AJ76" s="152"/>
      <c r="AK76" s="152"/>
      <c r="AL76" s="152"/>
    </row>
    <row r="77" spans="11:38" s="105" customFormat="1"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  <c r="AA77" s="152"/>
      <c r="AB77" s="152"/>
      <c r="AC77" s="152"/>
      <c r="AD77" s="152"/>
      <c r="AE77" s="152"/>
      <c r="AF77" s="152"/>
      <c r="AG77" s="152"/>
      <c r="AH77" s="152"/>
      <c r="AI77" s="152"/>
      <c r="AJ77" s="152"/>
      <c r="AK77" s="152"/>
      <c r="AL77" s="152"/>
    </row>
    <row r="78" spans="11:38" s="105" customFormat="1"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  <c r="AC78" s="152"/>
      <c r="AD78" s="152"/>
      <c r="AE78" s="152"/>
      <c r="AF78" s="152"/>
      <c r="AG78" s="152"/>
      <c r="AH78" s="152"/>
      <c r="AI78" s="152"/>
      <c r="AJ78" s="152"/>
      <c r="AK78" s="152"/>
      <c r="AL78" s="152"/>
    </row>
    <row r="79" spans="11:38" s="105" customFormat="1"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  <c r="AA79" s="152"/>
      <c r="AB79" s="152"/>
      <c r="AC79" s="152"/>
      <c r="AD79" s="152"/>
      <c r="AE79" s="152"/>
      <c r="AF79" s="152"/>
      <c r="AG79" s="152"/>
      <c r="AH79" s="152"/>
      <c r="AI79" s="152"/>
      <c r="AJ79" s="152"/>
      <c r="AK79" s="152"/>
      <c r="AL79" s="152"/>
    </row>
    <row r="80" spans="11:38" s="105" customFormat="1"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  <c r="AB80" s="152"/>
      <c r="AC80" s="152"/>
      <c r="AD80" s="152"/>
      <c r="AE80" s="152"/>
      <c r="AF80" s="152"/>
      <c r="AG80" s="152"/>
      <c r="AH80" s="152"/>
      <c r="AI80" s="152"/>
      <c r="AJ80" s="152"/>
      <c r="AK80" s="152"/>
      <c r="AL80" s="152"/>
    </row>
    <row r="81" spans="11:38" s="105" customFormat="1"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52"/>
      <c r="AG81" s="152"/>
      <c r="AH81" s="152"/>
      <c r="AI81" s="152"/>
      <c r="AJ81" s="152"/>
      <c r="AK81" s="152"/>
      <c r="AL81" s="152"/>
    </row>
    <row r="82" spans="11:38" s="105" customFormat="1"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  <c r="AA82" s="152"/>
      <c r="AB82" s="152"/>
      <c r="AC82" s="152"/>
      <c r="AD82" s="152"/>
      <c r="AE82" s="152"/>
      <c r="AF82" s="152"/>
      <c r="AG82" s="152"/>
      <c r="AH82" s="152"/>
      <c r="AI82" s="152"/>
      <c r="AJ82" s="152"/>
      <c r="AK82" s="152"/>
      <c r="AL82" s="152"/>
    </row>
    <row r="83" spans="11:38" s="105" customFormat="1"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  <c r="AA83" s="152"/>
      <c r="AB83" s="152"/>
      <c r="AC83" s="152"/>
      <c r="AD83" s="152"/>
      <c r="AE83" s="152"/>
      <c r="AF83" s="152"/>
      <c r="AG83" s="152"/>
      <c r="AH83" s="152"/>
      <c r="AI83" s="152"/>
      <c r="AJ83" s="152"/>
      <c r="AK83" s="152"/>
      <c r="AL83" s="152"/>
    </row>
    <row r="84" spans="11:38" s="105" customFormat="1"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152"/>
      <c r="AD84" s="152"/>
      <c r="AE84" s="152"/>
      <c r="AF84" s="152"/>
      <c r="AG84" s="152"/>
      <c r="AH84" s="152"/>
      <c r="AI84" s="152"/>
      <c r="AJ84" s="152"/>
      <c r="AK84" s="152"/>
      <c r="AL84" s="152"/>
    </row>
    <row r="85" spans="11:38" s="105" customFormat="1"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  <c r="AA85" s="152"/>
      <c r="AB85" s="152"/>
      <c r="AC85" s="152"/>
      <c r="AD85" s="152"/>
      <c r="AE85" s="152"/>
      <c r="AF85" s="152"/>
      <c r="AG85" s="152"/>
      <c r="AH85" s="152"/>
      <c r="AI85" s="152"/>
      <c r="AJ85" s="152"/>
      <c r="AK85" s="152"/>
      <c r="AL85" s="152"/>
    </row>
    <row r="86" spans="11:38" s="105" customFormat="1"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  <c r="AA86" s="152"/>
      <c r="AB86" s="152"/>
      <c r="AC86" s="152"/>
      <c r="AD86" s="152"/>
      <c r="AE86" s="152"/>
      <c r="AF86" s="152"/>
      <c r="AG86" s="152"/>
      <c r="AH86" s="152"/>
      <c r="AI86" s="152"/>
      <c r="AJ86" s="152"/>
      <c r="AK86" s="152"/>
      <c r="AL86" s="152"/>
    </row>
    <row r="87" spans="11:38" s="105" customFormat="1"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  <c r="AA87" s="152"/>
      <c r="AB87" s="152"/>
      <c r="AC87" s="152"/>
      <c r="AD87" s="152"/>
      <c r="AE87" s="152"/>
      <c r="AF87" s="152"/>
      <c r="AG87" s="152"/>
      <c r="AH87" s="152"/>
      <c r="AI87" s="152"/>
      <c r="AJ87" s="152"/>
      <c r="AK87" s="152"/>
      <c r="AL87" s="152"/>
    </row>
    <row r="88" spans="11:38" s="105" customFormat="1"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  <c r="AA88" s="152"/>
      <c r="AB88" s="152"/>
      <c r="AC88" s="152"/>
      <c r="AD88" s="152"/>
      <c r="AE88" s="152"/>
      <c r="AF88" s="152"/>
      <c r="AG88" s="152"/>
      <c r="AH88" s="152"/>
      <c r="AI88" s="152"/>
      <c r="AJ88" s="152"/>
      <c r="AK88" s="152"/>
      <c r="AL88" s="152"/>
    </row>
    <row r="89" spans="11:38" s="105" customFormat="1"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152"/>
      <c r="AD89" s="152"/>
      <c r="AE89" s="152"/>
      <c r="AF89" s="152"/>
      <c r="AG89" s="152"/>
      <c r="AH89" s="152"/>
      <c r="AI89" s="152"/>
      <c r="AJ89" s="152"/>
      <c r="AK89" s="152"/>
      <c r="AL89" s="152"/>
    </row>
    <row r="90" spans="11:38" s="105" customFormat="1"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52"/>
      <c r="AD90" s="152"/>
      <c r="AE90" s="152"/>
      <c r="AF90" s="152"/>
      <c r="AG90" s="152"/>
      <c r="AH90" s="152"/>
      <c r="AI90" s="152"/>
      <c r="AJ90" s="152"/>
      <c r="AK90" s="152"/>
      <c r="AL90" s="152"/>
    </row>
    <row r="91" spans="11:38" s="105" customFormat="1"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  <c r="AA91" s="152"/>
      <c r="AB91" s="152"/>
      <c r="AC91" s="152"/>
      <c r="AD91" s="152"/>
      <c r="AE91" s="152"/>
      <c r="AF91" s="152"/>
      <c r="AG91" s="152"/>
      <c r="AH91" s="152"/>
      <c r="AI91" s="152"/>
      <c r="AJ91" s="152"/>
      <c r="AK91" s="152"/>
      <c r="AL91" s="152"/>
    </row>
    <row r="92" spans="11:38" s="105" customFormat="1"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152"/>
      <c r="AE92" s="152"/>
      <c r="AF92" s="152"/>
      <c r="AG92" s="152"/>
      <c r="AH92" s="152"/>
      <c r="AI92" s="152"/>
      <c r="AJ92" s="152"/>
      <c r="AK92" s="152"/>
      <c r="AL92" s="152"/>
    </row>
    <row r="93" spans="11:38" s="105" customFormat="1"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  <c r="AA93" s="152"/>
      <c r="AB93" s="152"/>
      <c r="AC93" s="152"/>
      <c r="AD93" s="152"/>
      <c r="AE93" s="152"/>
      <c r="AF93" s="152"/>
      <c r="AG93" s="152"/>
      <c r="AH93" s="152"/>
      <c r="AI93" s="152"/>
      <c r="AJ93" s="152"/>
      <c r="AK93" s="152"/>
      <c r="AL93" s="152"/>
    </row>
    <row r="94" spans="11:38" s="105" customFormat="1"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  <c r="AA94" s="152"/>
      <c r="AB94" s="152"/>
      <c r="AC94" s="152"/>
      <c r="AD94" s="152"/>
      <c r="AE94" s="152"/>
      <c r="AF94" s="152"/>
      <c r="AG94" s="152"/>
      <c r="AH94" s="152"/>
      <c r="AI94" s="152"/>
      <c r="AJ94" s="152"/>
      <c r="AK94" s="152"/>
      <c r="AL94" s="152"/>
    </row>
    <row r="95" spans="11:38" s="105" customFormat="1"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  <c r="AD95" s="152"/>
      <c r="AE95" s="152"/>
      <c r="AF95" s="152"/>
      <c r="AG95" s="152"/>
      <c r="AH95" s="152"/>
      <c r="AI95" s="152"/>
      <c r="AJ95" s="152"/>
      <c r="AK95" s="152"/>
      <c r="AL95" s="152"/>
    </row>
    <row r="96" spans="11:38" s="105" customFormat="1"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  <c r="AC96" s="152"/>
      <c r="AD96" s="152"/>
      <c r="AE96" s="152"/>
      <c r="AF96" s="152"/>
      <c r="AG96" s="152"/>
      <c r="AH96" s="152"/>
      <c r="AI96" s="152"/>
      <c r="AJ96" s="152"/>
      <c r="AK96" s="152"/>
      <c r="AL96" s="152"/>
    </row>
    <row r="97" spans="11:38" s="105" customFormat="1"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2"/>
      <c r="AB97" s="152"/>
      <c r="AC97" s="152"/>
      <c r="AD97" s="152"/>
      <c r="AE97" s="152"/>
      <c r="AF97" s="152"/>
      <c r="AG97" s="152"/>
      <c r="AH97" s="152"/>
      <c r="AI97" s="152"/>
      <c r="AJ97" s="152"/>
      <c r="AK97" s="152"/>
      <c r="AL97" s="152"/>
    </row>
    <row r="98" spans="11:38" s="105" customFormat="1"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52"/>
      <c r="AF98" s="152"/>
      <c r="AG98" s="152"/>
      <c r="AH98" s="152"/>
      <c r="AI98" s="152"/>
      <c r="AJ98" s="152"/>
      <c r="AK98" s="152"/>
      <c r="AL98" s="152"/>
    </row>
    <row r="99" spans="11:38" s="105" customFormat="1"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  <c r="AD99" s="152"/>
      <c r="AE99" s="152"/>
      <c r="AF99" s="152"/>
      <c r="AG99" s="152"/>
      <c r="AH99" s="152"/>
      <c r="AI99" s="152"/>
      <c r="AJ99" s="152"/>
      <c r="AK99" s="152"/>
      <c r="AL99" s="152"/>
    </row>
    <row r="100" spans="11:38" s="105" customFormat="1"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52"/>
      <c r="AD100" s="152"/>
      <c r="AE100" s="152"/>
      <c r="AF100" s="152"/>
      <c r="AG100" s="152"/>
      <c r="AH100" s="152"/>
      <c r="AI100" s="152"/>
      <c r="AJ100" s="152"/>
      <c r="AK100" s="152"/>
      <c r="AL100" s="152"/>
    </row>
    <row r="101" spans="11:38" s="105" customFormat="1"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52"/>
      <c r="AE101" s="152"/>
      <c r="AF101" s="152"/>
      <c r="AG101" s="152"/>
      <c r="AH101" s="152"/>
      <c r="AI101" s="152"/>
      <c r="AJ101" s="152"/>
      <c r="AK101" s="152"/>
      <c r="AL101" s="152"/>
    </row>
    <row r="102" spans="11:38" s="105" customFormat="1"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52"/>
      <c r="AE102" s="152"/>
      <c r="AF102" s="152"/>
      <c r="AG102" s="152"/>
      <c r="AH102" s="152"/>
      <c r="AI102" s="152"/>
      <c r="AJ102" s="152"/>
      <c r="AK102" s="152"/>
      <c r="AL102" s="152"/>
    </row>
    <row r="103" spans="11:38" s="105" customFormat="1"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52"/>
      <c r="AD103" s="152"/>
      <c r="AE103" s="152"/>
      <c r="AF103" s="152"/>
      <c r="AG103" s="152"/>
      <c r="AH103" s="152"/>
      <c r="AI103" s="152"/>
      <c r="AJ103" s="152"/>
      <c r="AK103" s="152"/>
      <c r="AL103" s="152"/>
    </row>
    <row r="104" spans="11:38" s="105" customFormat="1"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52"/>
      <c r="AF104" s="152"/>
      <c r="AG104" s="152"/>
      <c r="AH104" s="152"/>
      <c r="AI104" s="152"/>
      <c r="AJ104" s="152"/>
      <c r="AK104" s="152"/>
      <c r="AL104" s="152"/>
    </row>
    <row r="105" spans="11:38" s="105" customFormat="1"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52"/>
      <c r="AF105" s="152"/>
      <c r="AG105" s="152"/>
      <c r="AH105" s="152"/>
      <c r="AI105" s="152"/>
      <c r="AJ105" s="152"/>
      <c r="AK105" s="152"/>
      <c r="AL105" s="152"/>
    </row>
    <row r="106" spans="11:38" s="105" customFormat="1"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  <c r="AA106" s="152"/>
      <c r="AB106" s="152"/>
      <c r="AC106" s="152"/>
      <c r="AD106" s="152"/>
      <c r="AE106" s="152"/>
      <c r="AF106" s="152"/>
      <c r="AG106" s="152"/>
      <c r="AH106" s="152"/>
      <c r="AI106" s="152"/>
      <c r="AJ106" s="152"/>
      <c r="AK106" s="152"/>
      <c r="AL106" s="152"/>
    </row>
    <row r="107" spans="11:38" s="105" customFormat="1"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52"/>
      <c r="AD107" s="152"/>
      <c r="AE107" s="152"/>
      <c r="AF107" s="152"/>
      <c r="AG107" s="152"/>
      <c r="AH107" s="152"/>
      <c r="AI107" s="152"/>
      <c r="AJ107" s="152"/>
      <c r="AK107" s="152"/>
      <c r="AL107" s="152"/>
    </row>
    <row r="108" spans="11:38" s="105" customFormat="1"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  <c r="AA108" s="152"/>
      <c r="AB108" s="152"/>
      <c r="AC108" s="152"/>
      <c r="AD108" s="152"/>
      <c r="AE108" s="152"/>
      <c r="AF108" s="152"/>
      <c r="AG108" s="152"/>
      <c r="AH108" s="152"/>
      <c r="AI108" s="152"/>
      <c r="AJ108" s="152"/>
      <c r="AK108" s="152"/>
      <c r="AL108" s="152"/>
    </row>
    <row r="109" spans="11:38" s="105" customFormat="1"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  <c r="AA109" s="152"/>
      <c r="AB109" s="152"/>
      <c r="AC109" s="152"/>
      <c r="AD109" s="152"/>
      <c r="AE109" s="152"/>
      <c r="AF109" s="152"/>
      <c r="AG109" s="152"/>
      <c r="AH109" s="152"/>
      <c r="AI109" s="152"/>
      <c r="AJ109" s="152"/>
      <c r="AK109" s="152"/>
      <c r="AL109" s="152"/>
    </row>
    <row r="110" spans="11:38" s="105" customFormat="1"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52"/>
      <c r="AE110" s="152"/>
      <c r="AF110" s="152"/>
      <c r="AG110" s="152"/>
      <c r="AH110" s="152"/>
      <c r="AI110" s="152"/>
      <c r="AJ110" s="152"/>
      <c r="AK110" s="152"/>
      <c r="AL110" s="152"/>
    </row>
    <row r="111" spans="11:38" s="105" customFormat="1"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  <c r="U111" s="152"/>
      <c r="V111" s="152"/>
      <c r="W111" s="152"/>
      <c r="X111" s="152"/>
      <c r="Y111" s="152"/>
      <c r="Z111" s="152"/>
      <c r="AA111" s="152"/>
      <c r="AB111" s="152"/>
      <c r="AC111" s="152"/>
      <c r="AD111" s="152"/>
      <c r="AE111" s="152"/>
      <c r="AF111" s="152"/>
      <c r="AG111" s="152"/>
      <c r="AH111" s="152"/>
      <c r="AI111" s="152"/>
      <c r="AJ111" s="152"/>
      <c r="AK111" s="152"/>
      <c r="AL111" s="152"/>
    </row>
    <row r="112" spans="11:38" s="105" customFormat="1"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52"/>
      <c r="AD112" s="152"/>
      <c r="AE112" s="152"/>
      <c r="AF112" s="152"/>
      <c r="AG112" s="152"/>
      <c r="AH112" s="152"/>
      <c r="AI112" s="152"/>
      <c r="AJ112" s="152"/>
      <c r="AK112" s="152"/>
      <c r="AL112" s="152"/>
    </row>
    <row r="113" spans="11:38" s="105" customFormat="1"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2"/>
      <c r="AA113" s="152"/>
      <c r="AB113" s="152"/>
      <c r="AC113" s="152"/>
      <c r="AD113" s="152"/>
      <c r="AE113" s="152"/>
      <c r="AF113" s="152"/>
      <c r="AG113" s="152"/>
      <c r="AH113" s="152"/>
      <c r="AI113" s="152"/>
      <c r="AJ113" s="152"/>
      <c r="AK113" s="152"/>
      <c r="AL113" s="152"/>
    </row>
    <row r="114" spans="11:38" s="105" customFormat="1"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  <c r="Y114" s="152"/>
      <c r="Z114" s="152"/>
      <c r="AA114" s="152"/>
      <c r="AB114" s="152"/>
      <c r="AC114" s="152"/>
      <c r="AD114" s="152"/>
      <c r="AE114" s="152"/>
      <c r="AF114" s="152"/>
      <c r="AG114" s="152"/>
      <c r="AH114" s="152"/>
      <c r="AI114" s="152"/>
      <c r="AJ114" s="152"/>
      <c r="AK114" s="152"/>
      <c r="AL114" s="152"/>
    </row>
    <row r="115" spans="11:38" s="105" customFormat="1"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52"/>
      <c r="AD115" s="152"/>
      <c r="AE115" s="152"/>
      <c r="AF115" s="152"/>
      <c r="AG115" s="152"/>
      <c r="AH115" s="152"/>
      <c r="AI115" s="152"/>
      <c r="AJ115" s="152"/>
      <c r="AK115" s="152"/>
      <c r="AL115" s="152"/>
    </row>
    <row r="116" spans="11:38" s="105" customFormat="1"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  <c r="AD116" s="152"/>
      <c r="AE116" s="152"/>
      <c r="AF116" s="152"/>
      <c r="AG116" s="152"/>
      <c r="AH116" s="152"/>
      <c r="AI116" s="152"/>
      <c r="AJ116" s="152"/>
      <c r="AK116" s="152"/>
      <c r="AL116" s="152"/>
    </row>
    <row r="117" spans="11:38" s="105" customFormat="1"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52"/>
      <c r="AE117" s="152"/>
      <c r="AF117" s="152"/>
      <c r="AG117" s="152"/>
      <c r="AH117" s="152"/>
      <c r="AI117" s="152"/>
      <c r="AJ117" s="152"/>
      <c r="AK117" s="152"/>
      <c r="AL117" s="152"/>
    </row>
    <row r="118" spans="11:38" s="105" customFormat="1">
      <c r="K118" s="152"/>
      <c r="L118" s="152"/>
      <c r="M118" s="152"/>
      <c r="N118" s="152"/>
      <c r="O118" s="152"/>
      <c r="P118" s="152"/>
      <c r="Q118" s="152"/>
      <c r="R118" s="152"/>
      <c r="S118" s="152"/>
      <c r="T118" s="152"/>
      <c r="U118" s="152"/>
      <c r="V118" s="152"/>
      <c r="W118" s="152"/>
      <c r="X118" s="152"/>
      <c r="Y118" s="152"/>
      <c r="Z118" s="152"/>
      <c r="AA118" s="152"/>
      <c r="AB118" s="152"/>
      <c r="AC118" s="152"/>
      <c r="AD118" s="152"/>
      <c r="AE118" s="152"/>
      <c r="AF118" s="152"/>
      <c r="AG118" s="152"/>
      <c r="AH118" s="152"/>
      <c r="AI118" s="152"/>
      <c r="AJ118" s="152"/>
      <c r="AK118" s="152"/>
      <c r="AL118" s="152"/>
    </row>
    <row r="119" spans="11:38" s="105" customFormat="1"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  <c r="U119" s="152"/>
      <c r="V119" s="152"/>
      <c r="W119" s="152"/>
      <c r="X119" s="152"/>
      <c r="Y119" s="152"/>
      <c r="Z119" s="152"/>
      <c r="AA119" s="152"/>
      <c r="AB119" s="152"/>
      <c r="AC119" s="152"/>
      <c r="AD119" s="152"/>
      <c r="AE119" s="152"/>
      <c r="AF119" s="152"/>
      <c r="AG119" s="152"/>
      <c r="AH119" s="152"/>
      <c r="AI119" s="152"/>
      <c r="AJ119" s="152"/>
      <c r="AK119" s="152"/>
      <c r="AL119" s="152"/>
    </row>
    <row r="120" spans="11:38" s="105" customFormat="1"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  <c r="U120" s="152"/>
      <c r="V120" s="152"/>
      <c r="W120" s="152"/>
      <c r="X120" s="152"/>
      <c r="Y120" s="152"/>
      <c r="Z120" s="152"/>
      <c r="AA120" s="152"/>
      <c r="AB120" s="152"/>
      <c r="AC120" s="152"/>
      <c r="AD120" s="152"/>
      <c r="AE120" s="152"/>
      <c r="AF120" s="152"/>
      <c r="AG120" s="152"/>
      <c r="AH120" s="152"/>
      <c r="AI120" s="152"/>
      <c r="AJ120" s="152"/>
      <c r="AK120" s="152"/>
      <c r="AL120" s="152"/>
    </row>
    <row r="121" spans="11:38" s="105" customFormat="1"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  <c r="Y121" s="152"/>
      <c r="Z121" s="152"/>
      <c r="AA121" s="152"/>
      <c r="AB121" s="152"/>
      <c r="AC121" s="152"/>
      <c r="AD121" s="152"/>
      <c r="AE121" s="152"/>
      <c r="AF121" s="152"/>
      <c r="AG121" s="152"/>
      <c r="AH121" s="152"/>
      <c r="AI121" s="152"/>
      <c r="AJ121" s="152"/>
      <c r="AK121" s="152"/>
      <c r="AL121" s="152"/>
    </row>
    <row r="122" spans="11:38" s="105" customFormat="1"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  <c r="Y122" s="152"/>
      <c r="Z122" s="152"/>
      <c r="AA122" s="152"/>
      <c r="AB122" s="152"/>
      <c r="AC122" s="152"/>
      <c r="AD122" s="152"/>
      <c r="AE122" s="152"/>
      <c r="AF122" s="152"/>
      <c r="AG122" s="152"/>
      <c r="AH122" s="152"/>
      <c r="AI122" s="152"/>
      <c r="AJ122" s="152"/>
      <c r="AK122" s="152"/>
      <c r="AL122" s="152"/>
    </row>
    <row r="123" spans="11:38" s="105" customFormat="1"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  <c r="U123" s="152"/>
      <c r="V123" s="152"/>
      <c r="W123" s="152"/>
      <c r="X123" s="152"/>
      <c r="Y123" s="152"/>
      <c r="Z123" s="152"/>
      <c r="AA123" s="152"/>
      <c r="AB123" s="152"/>
      <c r="AC123" s="152"/>
      <c r="AD123" s="152"/>
      <c r="AE123" s="152"/>
      <c r="AF123" s="152"/>
      <c r="AG123" s="152"/>
      <c r="AH123" s="152"/>
      <c r="AI123" s="152"/>
      <c r="AJ123" s="152"/>
      <c r="AK123" s="152"/>
      <c r="AL123" s="152"/>
    </row>
    <row r="124" spans="11:38" s="105" customFormat="1">
      <c r="K124" s="152"/>
      <c r="L124" s="152"/>
      <c r="M124" s="152"/>
      <c r="N124" s="152"/>
      <c r="O124" s="152"/>
      <c r="P124" s="152"/>
      <c r="Q124" s="152"/>
      <c r="R124" s="152"/>
      <c r="S124" s="152"/>
      <c r="T124" s="152"/>
      <c r="U124" s="152"/>
      <c r="V124" s="152"/>
      <c r="W124" s="152"/>
      <c r="X124" s="152"/>
      <c r="Y124" s="152"/>
      <c r="Z124" s="152"/>
      <c r="AA124" s="152"/>
      <c r="AB124" s="152"/>
      <c r="AC124" s="152"/>
      <c r="AD124" s="152"/>
      <c r="AE124" s="152"/>
      <c r="AF124" s="152"/>
      <c r="AG124" s="152"/>
      <c r="AH124" s="152"/>
      <c r="AI124" s="152"/>
      <c r="AJ124" s="152"/>
      <c r="AK124" s="152"/>
      <c r="AL124" s="152"/>
    </row>
    <row r="125" spans="11:38" s="105" customFormat="1">
      <c r="K125" s="152"/>
      <c r="L125" s="152"/>
      <c r="M125" s="152"/>
      <c r="N125" s="152"/>
      <c r="O125" s="152"/>
      <c r="P125" s="152"/>
      <c r="Q125" s="152"/>
      <c r="R125" s="152"/>
      <c r="S125" s="152"/>
      <c r="T125" s="152"/>
      <c r="U125" s="152"/>
      <c r="V125" s="152"/>
      <c r="W125" s="152"/>
      <c r="X125" s="152"/>
      <c r="Y125" s="152"/>
      <c r="Z125" s="152"/>
      <c r="AA125" s="152"/>
      <c r="AB125" s="152"/>
      <c r="AC125" s="152"/>
      <c r="AD125" s="152"/>
      <c r="AE125" s="152"/>
      <c r="AF125" s="152"/>
      <c r="AG125" s="152"/>
      <c r="AH125" s="152"/>
      <c r="AI125" s="152"/>
      <c r="AJ125" s="152"/>
      <c r="AK125" s="152"/>
      <c r="AL125" s="152"/>
    </row>
    <row r="126" spans="11:38" s="105" customFormat="1"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  <c r="Y126" s="152"/>
      <c r="Z126" s="152"/>
      <c r="AA126" s="152"/>
      <c r="AB126" s="152"/>
      <c r="AC126" s="152"/>
      <c r="AD126" s="152"/>
      <c r="AE126" s="152"/>
      <c r="AF126" s="152"/>
      <c r="AG126" s="152"/>
      <c r="AH126" s="152"/>
      <c r="AI126" s="152"/>
      <c r="AJ126" s="152"/>
      <c r="AK126" s="152"/>
      <c r="AL126" s="152"/>
    </row>
    <row r="127" spans="11:38" s="105" customFormat="1"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  <c r="U127" s="152"/>
      <c r="V127" s="152"/>
      <c r="W127" s="152"/>
      <c r="X127" s="152"/>
      <c r="Y127" s="152"/>
      <c r="Z127" s="152"/>
      <c r="AA127" s="152"/>
      <c r="AB127" s="152"/>
      <c r="AC127" s="152"/>
      <c r="AD127" s="152"/>
      <c r="AE127" s="152"/>
      <c r="AF127" s="152"/>
      <c r="AG127" s="152"/>
      <c r="AH127" s="152"/>
      <c r="AI127" s="152"/>
      <c r="AJ127" s="152"/>
      <c r="AK127" s="152"/>
      <c r="AL127" s="152"/>
    </row>
    <row r="128" spans="11:38" s="105" customFormat="1"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  <c r="U128" s="152"/>
      <c r="V128" s="152"/>
      <c r="W128" s="152"/>
      <c r="X128" s="152"/>
      <c r="Y128" s="152"/>
      <c r="Z128" s="152"/>
      <c r="AA128" s="152"/>
      <c r="AB128" s="152"/>
      <c r="AC128" s="152"/>
      <c r="AD128" s="152"/>
      <c r="AE128" s="152"/>
      <c r="AF128" s="152"/>
      <c r="AG128" s="152"/>
      <c r="AH128" s="152"/>
      <c r="AI128" s="152"/>
      <c r="AJ128" s="152"/>
      <c r="AK128" s="152"/>
      <c r="AL128" s="152"/>
    </row>
    <row r="129" spans="11:38" s="105" customFormat="1"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  <c r="U129" s="152"/>
      <c r="V129" s="152"/>
      <c r="W129" s="152"/>
      <c r="X129" s="152"/>
      <c r="Y129" s="152"/>
      <c r="Z129" s="152"/>
      <c r="AA129" s="152"/>
      <c r="AB129" s="152"/>
      <c r="AC129" s="152"/>
      <c r="AD129" s="152"/>
      <c r="AE129" s="152"/>
      <c r="AF129" s="152"/>
      <c r="AG129" s="152"/>
      <c r="AH129" s="152"/>
      <c r="AI129" s="152"/>
      <c r="AJ129" s="152"/>
      <c r="AK129" s="152"/>
      <c r="AL129" s="152"/>
    </row>
    <row r="130" spans="11:38" s="105" customFormat="1"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  <c r="AA130" s="152"/>
      <c r="AB130" s="152"/>
      <c r="AC130" s="152"/>
      <c r="AD130" s="152"/>
      <c r="AE130" s="152"/>
      <c r="AF130" s="152"/>
      <c r="AG130" s="152"/>
      <c r="AH130" s="152"/>
      <c r="AI130" s="152"/>
      <c r="AJ130" s="152"/>
      <c r="AK130" s="152"/>
      <c r="AL130" s="152"/>
    </row>
    <row r="131" spans="11:38" s="105" customFormat="1">
      <c r="K131" s="152"/>
      <c r="L131" s="152"/>
      <c r="M131" s="152"/>
      <c r="N131" s="152"/>
      <c r="O131" s="152"/>
      <c r="P131" s="152"/>
      <c r="Q131" s="152"/>
      <c r="R131" s="152"/>
      <c r="S131" s="152"/>
      <c r="T131" s="152"/>
      <c r="U131" s="152"/>
      <c r="V131" s="152"/>
      <c r="W131" s="152"/>
      <c r="X131" s="152"/>
      <c r="Y131" s="152"/>
      <c r="Z131" s="152"/>
      <c r="AA131" s="152"/>
      <c r="AB131" s="152"/>
      <c r="AC131" s="152"/>
      <c r="AD131" s="152"/>
      <c r="AE131" s="152"/>
      <c r="AF131" s="152"/>
      <c r="AG131" s="152"/>
      <c r="AH131" s="152"/>
      <c r="AI131" s="152"/>
      <c r="AJ131" s="152"/>
      <c r="AK131" s="152"/>
      <c r="AL131" s="152"/>
    </row>
    <row r="132" spans="11:38" s="105" customFormat="1">
      <c r="K132" s="152"/>
      <c r="L132" s="152"/>
      <c r="M132" s="152"/>
      <c r="N132" s="152"/>
      <c r="O132" s="152"/>
      <c r="P132" s="152"/>
      <c r="Q132" s="152"/>
      <c r="R132" s="152"/>
      <c r="S132" s="152"/>
      <c r="T132" s="152"/>
      <c r="U132" s="152"/>
      <c r="V132" s="152"/>
      <c r="W132" s="152"/>
      <c r="X132" s="152"/>
      <c r="Y132" s="152"/>
      <c r="Z132" s="152"/>
      <c r="AA132" s="152"/>
      <c r="AB132" s="152"/>
      <c r="AC132" s="152"/>
      <c r="AD132" s="152"/>
      <c r="AE132" s="152"/>
      <c r="AF132" s="152"/>
      <c r="AG132" s="152"/>
      <c r="AH132" s="152"/>
      <c r="AI132" s="152"/>
      <c r="AJ132" s="152"/>
      <c r="AK132" s="152"/>
      <c r="AL132" s="152"/>
    </row>
    <row r="133" spans="11:38" s="105" customFormat="1"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  <c r="Y133" s="152"/>
      <c r="Z133" s="152"/>
      <c r="AA133" s="152"/>
      <c r="AB133" s="152"/>
      <c r="AC133" s="152"/>
      <c r="AD133" s="152"/>
      <c r="AE133" s="152"/>
      <c r="AF133" s="152"/>
      <c r="AG133" s="152"/>
      <c r="AH133" s="152"/>
      <c r="AI133" s="152"/>
      <c r="AJ133" s="152"/>
      <c r="AK133" s="152"/>
      <c r="AL133" s="152"/>
    </row>
    <row r="134" spans="11:38" s="105" customFormat="1"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  <c r="U134" s="152"/>
      <c r="V134" s="152"/>
      <c r="W134" s="152"/>
      <c r="X134" s="152"/>
      <c r="Y134" s="152"/>
      <c r="Z134" s="152"/>
      <c r="AA134" s="152"/>
      <c r="AB134" s="152"/>
      <c r="AC134" s="152"/>
      <c r="AD134" s="152"/>
      <c r="AE134" s="152"/>
      <c r="AF134" s="152"/>
      <c r="AG134" s="152"/>
      <c r="AH134" s="152"/>
      <c r="AI134" s="152"/>
      <c r="AJ134" s="152"/>
      <c r="AK134" s="152"/>
      <c r="AL134" s="152"/>
    </row>
    <row r="135" spans="11:38" s="105" customFormat="1"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  <c r="U135" s="152"/>
      <c r="V135" s="152"/>
      <c r="W135" s="152"/>
      <c r="X135" s="152"/>
      <c r="Y135" s="152"/>
      <c r="Z135" s="152"/>
      <c r="AA135" s="152"/>
      <c r="AB135" s="152"/>
      <c r="AC135" s="152"/>
      <c r="AD135" s="152"/>
      <c r="AE135" s="152"/>
      <c r="AF135" s="152"/>
      <c r="AG135" s="152"/>
      <c r="AH135" s="152"/>
      <c r="AI135" s="152"/>
      <c r="AJ135" s="152"/>
      <c r="AK135" s="152"/>
      <c r="AL135" s="152"/>
    </row>
    <row r="136" spans="11:38" s="105" customFormat="1">
      <c r="K136" s="152"/>
      <c r="L136" s="152"/>
      <c r="M136" s="152"/>
      <c r="N136" s="152"/>
      <c r="O136" s="152"/>
      <c r="P136" s="152"/>
      <c r="Q136" s="152"/>
      <c r="R136" s="152"/>
      <c r="S136" s="152"/>
      <c r="T136" s="152"/>
      <c r="U136" s="152"/>
      <c r="V136" s="152"/>
      <c r="W136" s="152"/>
      <c r="X136" s="152"/>
      <c r="Y136" s="152"/>
      <c r="Z136" s="152"/>
      <c r="AA136" s="152"/>
      <c r="AB136" s="152"/>
      <c r="AC136" s="152"/>
      <c r="AD136" s="152"/>
      <c r="AE136" s="152"/>
      <c r="AF136" s="152"/>
      <c r="AG136" s="152"/>
      <c r="AH136" s="152"/>
      <c r="AI136" s="152"/>
      <c r="AJ136" s="152"/>
      <c r="AK136" s="152"/>
      <c r="AL136" s="152"/>
    </row>
    <row r="137" spans="11:38" s="105" customFormat="1"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  <c r="AC137" s="152"/>
      <c r="AD137" s="152"/>
      <c r="AE137" s="152"/>
      <c r="AF137" s="152"/>
      <c r="AG137" s="152"/>
      <c r="AH137" s="152"/>
      <c r="AI137" s="152"/>
      <c r="AJ137" s="152"/>
      <c r="AK137" s="152"/>
      <c r="AL137" s="152"/>
    </row>
    <row r="138" spans="11:38" s="105" customFormat="1">
      <c r="K138" s="152"/>
      <c r="L138" s="152"/>
      <c r="M138" s="152"/>
      <c r="N138" s="152"/>
      <c r="O138" s="152"/>
      <c r="P138" s="152"/>
      <c r="Q138" s="152"/>
      <c r="R138" s="152"/>
      <c r="S138" s="152"/>
      <c r="T138" s="152"/>
      <c r="U138" s="152"/>
      <c r="V138" s="152"/>
      <c r="W138" s="152"/>
      <c r="X138" s="152"/>
      <c r="Y138" s="152"/>
      <c r="Z138" s="152"/>
      <c r="AA138" s="152"/>
      <c r="AB138" s="152"/>
      <c r="AC138" s="152"/>
      <c r="AD138" s="152"/>
      <c r="AE138" s="152"/>
      <c r="AF138" s="152"/>
      <c r="AG138" s="152"/>
      <c r="AH138" s="152"/>
      <c r="AI138" s="152"/>
      <c r="AJ138" s="152"/>
      <c r="AK138" s="152"/>
      <c r="AL138" s="152"/>
    </row>
    <row r="139" spans="11:38" s="105" customFormat="1">
      <c r="K139" s="152"/>
      <c r="L139" s="152"/>
      <c r="M139" s="152"/>
      <c r="N139" s="152"/>
      <c r="O139" s="152"/>
      <c r="P139" s="152"/>
      <c r="Q139" s="152"/>
      <c r="R139" s="152"/>
      <c r="S139" s="152"/>
      <c r="T139" s="152"/>
      <c r="U139" s="152"/>
      <c r="V139" s="152"/>
      <c r="W139" s="152"/>
      <c r="X139" s="152"/>
      <c r="Y139" s="152"/>
      <c r="Z139" s="152"/>
      <c r="AA139" s="152"/>
      <c r="AB139" s="152"/>
      <c r="AC139" s="152"/>
      <c r="AD139" s="152"/>
      <c r="AE139" s="152"/>
      <c r="AF139" s="152"/>
      <c r="AG139" s="152"/>
      <c r="AH139" s="152"/>
      <c r="AI139" s="152"/>
      <c r="AJ139" s="152"/>
      <c r="AK139" s="152"/>
      <c r="AL139" s="152"/>
    </row>
    <row r="140" spans="11:38" s="105" customFormat="1">
      <c r="K140" s="152"/>
      <c r="L140" s="152"/>
      <c r="M140" s="152"/>
      <c r="N140" s="152"/>
      <c r="O140" s="152"/>
      <c r="P140" s="152"/>
      <c r="Q140" s="152"/>
      <c r="R140" s="152"/>
      <c r="S140" s="152"/>
      <c r="T140" s="152"/>
      <c r="U140" s="152"/>
      <c r="V140" s="152"/>
      <c r="W140" s="152"/>
      <c r="X140" s="152"/>
      <c r="Y140" s="152"/>
      <c r="Z140" s="152"/>
      <c r="AA140" s="152"/>
      <c r="AB140" s="152"/>
      <c r="AC140" s="152"/>
      <c r="AD140" s="152"/>
      <c r="AE140" s="152"/>
      <c r="AF140" s="152"/>
      <c r="AG140" s="152"/>
      <c r="AH140" s="152"/>
      <c r="AI140" s="152"/>
      <c r="AJ140" s="152"/>
      <c r="AK140" s="152"/>
      <c r="AL140" s="152"/>
    </row>
    <row r="141" spans="11:38" s="105" customFormat="1">
      <c r="K141" s="152"/>
      <c r="L141" s="152"/>
      <c r="M141" s="152"/>
      <c r="N141" s="152"/>
      <c r="O141" s="152"/>
      <c r="P141" s="152"/>
      <c r="Q141" s="152"/>
      <c r="R141" s="152"/>
      <c r="S141" s="152"/>
      <c r="T141" s="152"/>
      <c r="U141" s="152"/>
      <c r="V141" s="152"/>
      <c r="W141" s="152"/>
      <c r="X141" s="152"/>
      <c r="Y141" s="152"/>
      <c r="Z141" s="152"/>
      <c r="AA141" s="152"/>
      <c r="AB141" s="152"/>
      <c r="AC141" s="152"/>
      <c r="AD141" s="152"/>
      <c r="AE141" s="152"/>
      <c r="AF141" s="152"/>
      <c r="AG141" s="152"/>
      <c r="AH141" s="152"/>
      <c r="AI141" s="152"/>
      <c r="AJ141" s="152"/>
      <c r="AK141" s="152"/>
      <c r="AL141" s="152"/>
    </row>
    <row r="142" spans="11:38" s="105" customFormat="1">
      <c r="K142" s="152"/>
      <c r="L142" s="152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2"/>
      <c r="X142" s="152"/>
      <c r="Y142" s="152"/>
      <c r="Z142" s="152"/>
      <c r="AA142" s="152"/>
      <c r="AB142" s="152"/>
      <c r="AC142" s="152"/>
      <c r="AD142" s="152"/>
      <c r="AE142" s="152"/>
      <c r="AF142" s="152"/>
      <c r="AG142" s="152"/>
      <c r="AH142" s="152"/>
      <c r="AI142" s="152"/>
      <c r="AJ142" s="152"/>
      <c r="AK142" s="152"/>
      <c r="AL142" s="152"/>
    </row>
    <row r="143" spans="11:38" s="105" customFormat="1">
      <c r="K143" s="152"/>
      <c r="L143" s="152"/>
      <c r="M143" s="152"/>
      <c r="N143" s="152"/>
      <c r="O143" s="152"/>
      <c r="P143" s="152"/>
      <c r="Q143" s="152"/>
      <c r="R143" s="152"/>
      <c r="S143" s="152"/>
      <c r="T143" s="152"/>
      <c r="U143" s="152"/>
      <c r="V143" s="152"/>
      <c r="W143" s="152"/>
      <c r="X143" s="152"/>
      <c r="Y143" s="152"/>
      <c r="Z143" s="152"/>
      <c r="AA143" s="152"/>
      <c r="AB143" s="152"/>
      <c r="AC143" s="152"/>
      <c r="AD143" s="152"/>
      <c r="AE143" s="152"/>
      <c r="AF143" s="152"/>
      <c r="AG143" s="152"/>
      <c r="AH143" s="152"/>
      <c r="AI143" s="152"/>
      <c r="AJ143" s="152"/>
      <c r="AK143" s="152"/>
      <c r="AL143" s="152"/>
    </row>
    <row r="144" spans="11:38" s="105" customFormat="1">
      <c r="K144" s="152"/>
      <c r="L144" s="152"/>
      <c r="M144" s="152"/>
      <c r="N144" s="152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/>
      <c r="Y144" s="152"/>
      <c r="Z144" s="152"/>
      <c r="AA144" s="152"/>
      <c r="AB144" s="152"/>
      <c r="AC144" s="152"/>
      <c r="AD144" s="152"/>
      <c r="AE144" s="152"/>
      <c r="AF144" s="152"/>
      <c r="AG144" s="152"/>
      <c r="AH144" s="152"/>
      <c r="AI144" s="152"/>
      <c r="AJ144" s="152"/>
      <c r="AK144" s="152"/>
      <c r="AL144" s="152"/>
    </row>
    <row r="145" spans="11:38" s="105" customFormat="1">
      <c r="K145" s="152"/>
      <c r="L145" s="152"/>
      <c r="M145" s="152"/>
      <c r="N145" s="152"/>
      <c r="O145" s="152"/>
      <c r="P145" s="152"/>
      <c r="Q145" s="152"/>
      <c r="R145" s="152"/>
      <c r="S145" s="152"/>
      <c r="T145" s="152"/>
      <c r="U145" s="152"/>
      <c r="V145" s="152"/>
      <c r="W145" s="152"/>
      <c r="X145" s="152"/>
      <c r="Y145" s="152"/>
      <c r="Z145" s="152"/>
      <c r="AA145" s="152"/>
      <c r="AB145" s="152"/>
      <c r="AC145" s="152"/>
      <c r="AD145" s="152"/>
      <c r="AE145" s="152"/>
      <c r="AF145" s="152"/>
      <c r="AG145" s="152"/>
      <c r="AH145" s="152"/>
      <c r="AI145" s="152"/>
      <c r="AJ145" s="152"/>
      <c r="AK145" s="152"/>
      <c r="AL145" s="152"/>
    </row>
    <row r="146" spans="11:38" s="105" customFormat="1">
      <c r="K146" s="152"/>
      <c r="L146" s="152"/>
      <c r="M146" s="152"/>
      <c r="N146" s="152"/>
      <c r="O146" s="152"/>
      <c r="P146" s="152"/>
      <c r="Q146" s="152"/>
      <c r="R146" s="152"/>
      <c r="S146" s="152"/>
      <c r="T146" s="152"/>
      <c r="U146" s="152"/>
      <c r="V146" s="152"/>
      <c r="W146" s="152"/>
      <c r="X146" s="152"/>
      <c r="Y146" s="152"/>
      <c r="Z146" s="152"/>
      <c r="AA146" s="152"/>
      <c r="AB146" s="152"/>
      <c r="AC146" s="152"/>
      <c r="AD146" s="152"/>
      <c r="AE146" s="152"/>
      <c r="AF146" s="152"/>
      <c r="AG146" s="152"/>
      <c r="AH146" s="152"/>
      <c r="AI146" s="152"/>
      <c r="AJ146" s="152"/>
      <c r="AK146" s="152"/>
      <c r="AL146" s="152"/>
    </row>
    <row r="147" spans="11:38" s="105" customFormat="1"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  <c r="U147" s="152"/>
      <c r="V147" s="152"/>
      <c r="W147" s="152"/>
      <c r="X147" s="152"/>
      <c r="Y147" s="152"/>
      <c r="Z147" s="152"/>
      <c r="AA147" s="152"/>
      <c r="AB147" s="152"/>
      <c r="AC147" s="152"/>
      <c r="AD147" s="152"/>
      <c r="AE147" s="152"/>
      <c r="AF147" s="152"/>
      <c r="AG147" s="152"/>
      <c r="AH147" s="152"/>
      <c r="AI147" s="152"/>
      <c r="AJ147" s="152"/>
      <c r="AK147" s="152"/>
      <c r="AL147" s="152"/>
    </row>
    <row r="148" spans="11:38" s="105" customFormat="1"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  <c r="Y148" s="152"/>
      <c r="Z148" s="152"/>
      <c r="AA148" s="152"/>
      <c r="AB148" s="152"/>
      <c r="AC148" s="152"/>
      <c r="AD148" s="152"/>
      <c r="AE148" s="152"/>
      <c r="AF148" s="152"/>
      <c r="AG148" s="152"/>
      <c r="AH148" s="152"/>
      <c r="AI148" s="152"/>
      <c r="AJ148" s="152"/>
      <c r="AK148" s="152"/>
      <c r="AL148" s="152"/>
    </row>
    <row r="149" spans="11:38" s="105" customFormat="1">
      <c r="K149" s="152"/>
      <c r="L149" s="152"/>
      <c r="M149" s="152"/>
      <c r="N149" s="152"/>
      <c r="O149" s="152"/>
      <c r="P149" s="152"/>
      <c r="Q149" s="152"/>
      <c r="R149" s="152"/>
      <c r="S149" s="152"/>
      <c r="T149" s="152"/>
      <c r="U149" s="152"/>
      <c r="V149" s="152"/>
      <c r="W149" s="152"/>
      <c r="X149" s="152"/>
      <c r="Y149" s="152"/>
      <c r="Z149" s="152"/>
      <c r="AA149" s="152"/>
      <c r="AB149" s="152"/>
      <c r="AC149" s="152"/>
      <c r="AD149" s="152"/>
      <c r="AE149" s="152"/>
      <c r="AF149" s="152"/>
      <c r="AG149" s="152"/>
      <c r="AH149" s="152"/>
      <c r="AI149" s="152"/>
      <c r="AJ149" s="152"/>
      <c r="AK149" s="152"/>
      <c r="AL149" s="152"/>
    </row>
    <row r="150" spans="11:38" s="105" customFormat="1">
      <c r="K150" s="152"/>
      <c r="L150" s="152"/>
      <c r="M150" s="152"/>
      <c r="N150" s="152"/>
      <c r="O150" s="152"/>
      <c r="P150" s="152"/>
      <c r="Q150" s="152"/>
      <c r="R150" s="152"/>
      <c r="S150" s="152"/>
      <c r="T150" s="152"/>
      <c r="U150" s="152"/>
      <c r="V150" s="152"/>
      <c r="W150" s="152"/>
      <c r="X150" s="152"/>
      <c r="Y150" s="152"/>
      <c r="Z150" s="152"/>
      <c r="AA150" s="152"/>
      <c r="AB150" s="152"/>
      <c r="AC150" s="152"/>
      <c r="AD150" s="152"/>
      <c r="AE150" s="152"/>
      <c r="AF150" s="152"/>
      <c r="AG150" s="152"/>
      <c r="AH150" s="152"/>
      <c r="AI150" s="152"/>
      <c r="AJ150" s="152"/>
      <c r="AK150" s="152"/>
      <c r="AL150" s="152"/>
    </row>
    <row r="151" spans="11:38" s="105" customFormat="1">
      <c r="K151" s="152"/>
      <c r="L151" s="152"/>
      <c r="M151" s="152"/>
      <c r="N151" s="152"/>
      <c r="O151" s="152"/>
      <c r="P151" s="152"/>
      <c r="Q151" s="152"/>
      <c r="R151" s="152"/>
      <c r="S151" s="152"/>
      <c r="T151" s="152"/>
      <c r="U151" s="152"/>
      <c r="V151" s="152"/>
      <c r="W151" s="152"/>
      <c r="X151" s="152"/>
      <c r="Y151" s="152"/>
      <c r="Z151" s="152"/>
      <c r="AA151" s="152"/>
      <c r="AB151" s="152"/>
      <c r="AC151" s="152"/>
      <c r="AD151" s="152"/>
      <c r="AE151" s="152"/>
      <c r="AF151" s="152"/>
      <c r="AG151" s="152"/>
      <c r="AH151" s="152"/>
      <c r="AI151" s="152"/>
      <c r="AJ151" s="152"/>
      <c r="AK151" s="152"/>
      <c r="AL151" s="152"/>
    </row>
    <row r="152" spans="11:38" s="105" customFormat="1">
      <c r="K152" s="152"/>
      <c r="L152" s="152"/>
      <c r="M152" s="152"/>
      <c r="N152" s="152"/>
      <c r="O152" s="152"/>
      <c r="P152" s="152"/>
      <c r="Q152" s="152"/>
      <c r="R152" s="152"/>
      <c r="S152" s="152"/>
      <c r="T152" s="152"/>
      <c r="U152" s="152"/>
      <c r="V152" s="152"/>
      <c r="W152" s="152"/>
      <c r="X152" s="152"/>
      <c r="Y152" s="152"/>
      <c r="Z152" s="152"/>
      <c r="AA152" s="152"/>
      <c r="AB152" s="152"/>
      <c r="AC152" s="152"/>
      <c r="AD152" s="152"/>
      <c r="AE152" s="152"/>
      <c r="AF152" s="152"/>
      <c r="AG152" s="152"/>
      <c r="AH152" s="152"/>
      <c r="AI152" s="152"/>
      <c r="AJ152" s="152"/>
      <c r="AK152" s="152"/>
      <c r="AL152" s="152"/>
    </row>
    <row r="153" spans="11:38" s="105" customFormat="1">
      <c r="K153" s="152"/>
      <c r="L153" s="152"/>
      <c r="M153" s="152"/>
      <c r="N153" s="152"/>
      <c r="O153" s="152"/>
      <c r="P153" s="152"/>
      <c r="Q153" s="152"/>
      <c r="R153" s="152"/>
      <c r="S153" s="152"/>
      <c r="T153" s="152"/>
      <c r="U153" s="152"/>
      <c r="V153" s="152"/>
      <c r="W153" s="152"/>
      <c r="X153" s="152"/>
      <c r="Y153" s="152"/>
      <c r="Z153" s="152"/>
      <c r="AA153" s="152"/>
      <c r="AB153" s="152"/>
      <c r="AC153" s="152"/>
      <c r="AD153" s="152"/>
      <c r="AE153" s="152"/>
      <c r="AF153" s="152"/>
      <c r="AG153" s="152"/>
      <c r="AH153" s="152"/>
      <c r="AI153" s="152"/>
      <c r="AJ153" s="152"/>
      <c r="AK153" s="152"/>
      <c r="AL153" s="152"/>
    </row>
    <row r="154" spans="11:38" s="105" customFormat="1">
      <c r="K154" s="152"/>
      <c r="L154" s="152"/>
      <c r="M154" s="152"/>
      <c r="N154" s="152"/>
      <c r="O154" s="152"/>
      <c r="P154" s="152"/>
      <c r="Q154" s="152"/>
      <c r="R154" s="152"/>
      <c r="S154" s="152"/>
      <c r="T154" s="152"/>
      <c r="U154" s="152"/>
      <c r="V154" s="152"/>
      <c r="W154" s="152"/>
      <c r="X154" s="152"/>
      <c r="Y154" s="152"/>
      <c r="Z154" s="152"/>
      <c r="AA154" s="152"/>
      <c r="AB154" s="152"/>
      <c r="AC154" s="152"/>
      <c r="AD154" s="152"/>
      <c r="AE154" s="152"/>
      <c r="AF154" s="152"/>
      <c r="AG154" s="152"/>
      <c r="AH154" s="152"/>
      <c r="AI154" s="152"/>
      <c r="AJ154" s="152"/>
      <c r="AK154" s="152"/>
      <c r="AL154" s="152"/>
    </row>
    <row r="155" spans="11:38" s="105" customFormat="1"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  <c r="AA155" s="152"/>
      <c r="AB155" s="152"/>
      <c r="AC155" s="152"/>
      <c r="AD155" s="152"/>
      <c r="AE155" s="152"/>
      <c r="AF155" s="152"/>
      <c r="AG155" s="152"/>
      <c r="AH155" s="152"/>
      <c r="AI155" s="152"/>
      <c r="AJ155" s="152"/>
      <c r="AK155" s="152"/>
      <c r="AL155" s="152"/>
    </row>
    <row r="156" spans="11:38" s="105" customFormat="1"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  <c r="AA156" s="152"/>
      <c r="AB156" s="152"/>
      <c r="AC156" s="152"/>
      <c r="AD156" s="152"/>
      <c r="AE156" s="152"/>
      <c r="AF156" s="152"/>
      <c r="AG156" s="152"/>
      <c r="AH156" s="152"/>
      <c r="AI156" s="152"/>
      <c r="AJ156" s="152"/>
      <c r="AK156" s="152"/>
      <c r="AL156" s="152"/>
    </row>
    <row r="157" spans="11:38" s="105" customFormat="1"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  <c r="AA157" s="152"/>
      <c r="AB157" s="152"/>
      <c r="AC157" s="152"/>
      <c r="AD157" s="152"/>
      <c r="AE157" s="152"/>
      <c r="AF157" s="152"/>
      <c r="AG157" s="152"/>
      <c r="AH157" s="152"/>
      <c r="AI157" s="152"/>
      <c r="AJ157" s="152"/>
      <c r="AK157" s="152"/>
      <c r="AL157" s="152"/>
    </row>
  </sheetData>
  <mergeCells count="12">
    <mergeCell ref="C27:J27"/>
    <mergeCell ref="B1:J1"/>
    <mergeCell ref="B2:J2"/>
    <mergeCell ref="A3:B3"/>
    <mergeCell ref="A4:B4"/>
    <mergeCell ref="A5:B5"/>
    <mergeCell ref="C6:J6"/>
    <mergeCell ref="B22:J22"/>
    <mergeCell ref="B23:J23"/>
    <mergeCell ref="A24:B24"/>
    <mergeCell ref="A25:B25"/>
    <mergeCell ref="A26:B26"/>
  </mergeCells>
  <conditionalFormatting sqref="C9:J19">
    <cfRule type="colorScale" priority="1">
      <colorScale>
        <cfvo type="min"/>
        <cfvo type="num" val="0"/>
        <cfvo type="max"/>
        <color rgb="FFF8696B"/>
        <color rgb="FFFCFCFF"/>
        <color rgb="FF5A8AC6"/>
      </colorScale>
    </cfRule>
  </conditionalFormatting>
  <conditionalFormatting sqref="C30:J38">
    <cfRule type="colorScale" priority="2">
      <colorScale>
        <cfvo type="min"/>
        <cfvo type="num" val="1"/>
        <cfvo type="max"/>
        <color rgb="FFF8696B"/>
        <color rgb="FFFCFCFF"/>
        <color rgb="FF5A8AC6"/>
      </colorScale>
    </cfRule>
  </conditionalFormatting>
  <pageMargins left="0.25" right="0.25" top="0.25" bottom="0.25" header="0.3" footer="0.3"/>
  <pageSetup scale="85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9" tint="0.79998168889431442"/>
  </sheetPr>
  <dimension ref="A1:K35"/>
  <sheetViews>
    <sheetView workbookViewId="0">
      <selection activeCell="J53" sqref="J53"/>
    </sheetView>
  </sheetViews>
  <sheetFormatPr baseColWidth="10" defaultColWidth="9.1640625" defaultRowHeight="15"/>
  <cols>
    <col min="1" max="1" width="13" style="105" customWidth="1"/>
    <col min="2" max="2" width="6.83203125" style="105" customWidth="1"/>
    <col min="3" max="6" width="11" style="105" customWidth="1"/>
    <col min="7" max="7" width="13.33203125" style="105" customWidth="1"/>
    <col min="8" max="11" width="11" style="105" customWidth="1"/>
    <col min="12" max="12" width="17.5" style="105" customWidth="1"/>
    <col min="13" max="16384" width="9.1640625" style="105"/>
  </cols>
  <sheetData>
    <row r="1" spans="1:11" ht="19">
      <c r="A1" s="1487" t="s">
        <v>282</v>
      </c>
      <c r="B1" s="1487"/>
      <c r="C1" s="1487"/>
      <c r="D1" s="1487"/>
      <c r="E1" s="1487"/>
      <c r="F1" s="1487"/>
      <c r="G1" s="1487"/>
      <c r="H1" s="1487"/>
      <c r="I1" s="1487"/>
      <c r="J1" s="1487"/>
      <c r="K1" s="1487"/>
    </row>
    <row r="2" spans="1:11">
      <c r="A2" s="163"/>
      <c r="B2" s="163"/>
      <c r="C2" s="163"/>
      <c r="D2" s="163"/>
    </row>
    <row r="3" spans="1:11" ht="48">
      <c r="A3" s="164"/>
      <c r="B3" s="343" t="s">
        <v>10</v>
      </c>
      <c r="C3" s="165" t="s">
        <v>283</v>
      </c>
      <c r="D3" s="165" t="s">
        <v>284</v>
      </c>
    </row>
    <row r="4" spans="1:11">
      <c r="A4" s="164" t="s">
        <v>285</v>
      </c>
      <c r="B4" s="167" t="e">
        <f>+B5-0.0025</f>
        <v>#REF!</v>
      </c>
      <c r="C4" s="169" t="e">
        <f>+#REF!/'Cap Sens-50% LTC'!B4</f>
        <v>#REF!</v>
      </c>
      <c r="D4" s="170" t="e">
        <f>+#REF!/'Cap Sens-50% LTC'!C4</f>
        <v>#REF!</v>
      </c>
    </row>
    <row r="5" spans="1:11">
      <c r="A5" s="164" t="s">
        <v>286</v>
      </c>
      <c r="B5" s="167" t="e">
        <f>+B6-0.0025</f>
        <v>#REF!</v>
      </c>
      <c r="C5" s="169" t="e">
        <f>+#REF!/'Cap Sens-50% LTC'!B5</f>
        <v>#REF!</v>
      </c>
      <c r="D5" s="170" t="e">
        <f>+#REF!/'Cap Sens-50% LTC'!C5</f>
        <v>#REF!</v>
      </c>
    </row>
    <row r="6" spans="1:11">
      <c r="A6" s="164" t="s">
        <v>287</v>
      </c>
      <c r="B6" s="167" t="e">
        <f>+B7-0.0025</f>
        <v>#REF!</v>
      </c>
      <c r="C6" s="169" t="e">
        <f>+#REF!/'Cap Sens-50% LTC'!B6</f>
        <v>#REF!</v>
      </c>
      <c r="D6" s="170" t="e">
        <f>+#REF!/'Cap Sens-50% LTC'!C6</f>
        <v>#REF!</v>
      </c>
      <c r="E6" s="193" t="s">
        <v>299</v>
      </c>
    </row>
    <row r="7" spans="1:11" ht="16" thickBot="1">
      <c r="A7" s="164" t="s">
        <v>288</v>
      </c>
      <c r="B7" s="167" t="e">
        <f>+B8-0.0025</f>
        <v>#REF!</v>
      </c>
      <c r="C7" s="169" t="e">
        <f>+#REF!/'Cap Sens-50% LTC'!B7</f>
        <v>#REF!</v>
      </c>
      <c r="D7" s="170" t="e">
        <f>+#REF!/'Cap Sens-50% LTC'!C7</f>
        <v>#REF!</v>
      </c>
      <c r="E7" s="344" t="s">
        <v>300</v>
      </c>
      <c r="G7" s="1489" t="s">
        <v>301</v>
      </c>
      <c r="H7" s="1489"/>
      <c r="I7" s="1489"/>
      <c r="J7" s="1489"/>
      <c r="K7" s="1489"/>
    </row>
    <row r="8" spans="1:11" ht="16" thickBot="1">
      <c r="A8" s="166" t="s">
        <v>393</v>
      </c>
      <c r="B8" s="168" t="e">
        <f>#REF!</f>
        <v>#REF!</v>
      </c>
      <c r="C8" s="186" t="e">
        <f>+#REF!/'Cap Sens-50% LTC'!B8</f>
        <v>#REF!</v>
      </c>
      <c r="D8" s="171" t="e">
        <f>+#REF!/'Cap Sens-50% LTC'!C8</f>
        <v>#REF!</v>
      </c>
      <c r="E8" s="194">
        <v>72700000</v>
      </c>
      <c r="G8" s="1490"/>
      <c r="H8" s="1491"/>
      <c r="I8" s="1491"/>
      <c r="J8" s="1491"/>
      <c r="K8" s="1492"/>
    </row>
    <row r="9" spans="1:11">
      <c r="A9" s="164" t="s">
        <v>289</v>
      </c>
      <c r="B9" s="167" t="e">
        <f>+B8+0.0025</f>
        <v>#REF!</v>
      </c>
      <c r="C9" s="169" t="e">
        <f>+#REF!/'Cap Sens-50% LTC'!B9</f>
        <v>#REF!</v>
      </c>
      <c r="D9" s="170" t="e">
        <f>+#REF!/'Cap Sens-50% LTC'!C9</f>
        <v>#REF!</v>
      </c>
      <c r="G9" s="1493"/>
      <c r="H9" s="1494"/>
      <c r="I9" s="1494"/>
      <c r="J9" s="1494"/>
      <c r="K9" s="1495"/>
    </row>
    <row r="10" spans="1:11">
      <c r="A10" s="164" t="s">
        <v>290</v>
      </c>
      <c r="B10" s="167" t="e">
        <f>+B9+0.0025</f>
        <v>#REF!</v>
      </c>
      <c r="C10" s="169" t="e">
        <f>+#REF!/'Cap Sens-50% LTC'!B10</f>
        <v>#REF!</v>
      </c>
      <c r="D10" s="170" t="e">
        <f>+#REF!/'Cap Sens-50% LTC'!C10</f>
        <v>#REF!</v>
      </c>
      <c r="G10" s="1493"/>
      <c r="H10" s="1494"/>
      <c r="I10" s="1494"/>
      <c r="J10" s="1494"/>
      <c r="K10" s="1495"/>
    </row>
    <row r="11" spans="1:11">
      <c r="A11" s="164" t="s">
        <v>291</v>
      </c>
      <c r="B11" s="167" t="e">
        <f t="shared" ref="B11:B16" si="0">+B10+0.0025</f>
        <v>#REF!</v>
      </c>
      <c r="C11" s="169" t="e">
        <f>+#REF!/'Cap Sens-50% LTC'!B11</f>
        <v>#REF!</v>
      </c>
      <c r="D11" s="170" t="e">
        <f>+#REF!/'Cap Sens-50% LTC'!C11</f>
        <v>#REF!</v>
      </c>
      <c r="G11" s="1493"/>
      <c r="H11" s="1494"/>
      <c r="I11" s="1494"/>
      <c r="J11" s="1494"/>
      <c r="K11" s="1495"/>
    </row>
    <row r="12" spans="1:11">
      <c r="A12" s="164" t="s">
        <v>292</v>
      </c>
      <c r="B12" s="167" t="e">
        <f t="shared" si="0"/>
        <v>#REF!</v>
      </c>
      <c r="C12" s="169" t="e">
        <f>+#REF!/'Cap Sens-50% LTC'!B12</f>
        <v>#REF!</v>
      </c>
      <c r="D12" s="170" t="e">
        <f>+#REF!/'Cap Sens-50% LTC'!C12</f>
        <v>#REF!</v>
      </c>
      <c r="G12" s="1493"/>
      <c r="H12" s="1494"/>
      <c r="I12" s="1494"/>
      <c r="J12" s="1494"/>
      <c r="K12" s="1495"/>
    </row>
    <row r="13" spans="1:11">
      <c r="A13" s="164" t="s">
        <v>293</v>
      </c>
      <c r="B13" s="167" t="e">
        <f t="shared" si="0"/>
        <v>#REF!</v>
      </c>
      <c r="C13" s="169" t="e">
        <f>+#REF!/'Cap Sens-50% LTC'!B13</f>
        <v>#REF!</v>
      </c>
      <c r="D13" s="170" t="e">
        <f>+#REF!/'Cap Sens-50% LTC'!C13</f>
        <v>#REF!</v>
      </c>
      <c r="G13" s="1493"/>
      <c r="H13" s="1494"/>
      <c r="I13" s="1494"/>
      <c r="J13" s="1494"/>
      <c r="K13" s="1495"/>
    </row>
    <row r="14" spans="1:11">
      <c r="A14" s="164" t="s">
        <v>294</v>
      </c>
      <c r="B14" s="167" t="e">
        <f t="shared" si="0"/>
        <v>#REF!</v>
      </c>
      <c r="C14" s="169" t="e">
        <f>+#REF!/'Cap Sens-50% LTC'!B14</f>
        <v>#REF!</v>
      </c>
      <c r="D14" s="170" t="e">
        <f>+#REF!/'Cap Sens-50% LTC'!C14</f>
        <v>#REF!</v>
      </c>
      <c r="G14" s="1493"/>
      <c r="H14" s="1494"/>
      <c r="I14" s="1494"/>
      <c r="J14" s="1494"/>
      <c r="K14" s="1495"/>
    </row>
    <row r="15" spans="1:11">
      <c r="A15" s="164" t="s">
        <v>295</v>
      </c>
      <c r="B15" s="167" t="e">
        <f t="shared" si="0"/>
        <v>#REF!</v>
      </c>
      <c r="C15" s="169" t="e">
        <f>+#REF!/'Cap Sens-50% LTC'!B15</f>
        <v>#REF!</v>
      </c>
      <c r="D15" s="170" t="e">
        <f>+#REF!/'Cap Sens-50% LTC'!C15</f>
        <v>#REF!</v>
      </c>
      <c r="G15" s="1493"/>
      <c r="H15" s="1494"/>
      <c r="I15" s="1494"/>
      <c r="J15" s="1494"/>
      <c r="K15" s="1495"/>
    </row>
    <row r="16" spans="1:11" ht="16" thickBot="1">
      <c r="A16" s="164" t="s">
        <v>296</v>
      </c>
      <c r="B16" s="167" t="e">
        <f t="shared" si="0"/>
        <v>#REF!</v>
      </c>
      <c r="C16" s="169" t="e">
        <f>+#REF!/'Cap Sens-50% LTC'!B16</f>
        <v>#REF!</v>
      </c>
      <c r="D16" s="170" t="e">
        <f>+#REF!/'Cap Sens-50% LTC'!C16</f>
        <v>#REF!</v>
      </c>
      <c r="G16" s="1496"/>
      <c r="H16" s="1497"/>
      <c r="I16" s="1497"/>
      <c r="J16" s="1497"/>
      <c r="K16" s="1498"/>
    </row>
    <row r="19" spans="1:11">
      <c r="C19" s="1488" t="s">
        <v>394</v>
      </c>
      <c r="D19" s="1488"/>
      <c r="E19" s="1488"/>
      <c r="F19" s="1488"/>
      <c r="G19" s="1488"/>
      <c r="H19" s="1488"/>
      <c r="I19" s="1488"/>
      <c r="J19" s="1488"/>
      <c r="K19" s="1488"/>
    </row>
    <row r="20" spans="1:11">
      <c r="C20" s="164"/>
      <c r="D20" s="164"/>
      <c r="E20" s="164"/>
      <c r="F20" s="164"/>
      <c r="G20" s="362" t="s">
        <v>297</v>
      </c>
      <c r="H20" s="164"/>
      <c r="I20" s="164"/>
      <c r="J20" s="164"/>
      <c r="K20" s="164"/>
    </row>
    <row r="21" spans="1:11" ht="13" customHeight="1">
      <c r="C21" s="173" t="e">
        <f t="shared" ref="C21:K21" si="1">+C22/$G$22</f>
        <v>#REF!</v>
      </c>
      <c r="D21" s="173" t="e">
        <f t="shared" si="1"/>
        <v>#REF!</v>
      </c>
      <c r="E21" s="173" t="e">
        <f t="shared" si="1"/>
        <v>#REF!</v>
      </c>
      <c r="F21" s="173" t="e">
        <f t="shared" si="1"/>
        <v>#REF!</v>
      </c>
      <c r="G21" s="172" t="e">
        <f t="shared" si="1"/>
        <v>#REF!</v>
      </c>
      <c r="H21" s="173" t="e">
        <f t="shared" si="1"/>
        <v>#REF!</v>
      </c>
      <c r="I21" s="173" t="e">
        <f t="shared" si="1"/>
        <v>#REF!</v>
      </c>
      <c r="J21" s="173" t="e">
        <f t="shared" si="1"/>
        <v>#REF!</v>
      </c>
      <c r="K21" s="173" t="e">
        <f t="shared" si="1"/>
        <v>#REF!</v>
      </c>
    </row>
    <row r="22" spans="1:11" ht="13" customHeight="1" thickBot="1">
      <c r="C22" s="363" t="e">
        <f>+G22*1.2</f>
        <v>#REF!</v>
      </c>
      <c r="D22" s="363" t="e">
        <f>+G22*1.15</f>
        <v>#REF!</v>
      </c>
      <c r="E22" s="363" t="e">
        <f>+G22*1.1</f>
        <v>#REF!</v>
      </c>
      <c r="F22" s="363" t="e">
        <f>+G22*1.05</f>
        <v>#REF!</v>
      </c>
      <c r="G22" s="364" t="e">
        <f>+#REF!</f>
        <v>#REF!</v>
      </c>
      <c r="H22" s="363" t="e">
        <f>+G22*0.95</f>
        <v>#REF!</v>
      </c>
      <c r="I22" s="363" t="e">
        <f>+G22*0.9</f>
        <v>#REF!</v>
      </c>
      <c r="J22" s="363" t="e">
        <f>+G22*0.85</f>
        <v>#REF!</v>
      </c>
      <c r="K22" s="363" t="e">
        <f>+G22*0.8</f>
        <v>#REF!</v>
      </c>
    </row>
    <row r="23" spans="1:11" ht="13" customHeight="1">
      <c r="A23" s="164" t="s">
        <v>285</v>
      </c>
      <c r="B23" s="167" t="e">
        <f>+B24-0.0025</f>
        <v>#REF!</v>
      </c>
      <c r="C23" s="175" t="e">
        <f>+#REF!/(C$22/$B23)</f>
        <v>#REF!</v>
      </c>
      <c r="D23" s="176" t="e">
        <f>+#REF!/(D$22/$B23)</f>
        <v>#REF!</v>
      </c>
      <c r="E23" s="176" t="e">
        <f>+#REF!/(E$22/$B23)</f>
        <v>#REF!</v>
      </c>
      <c r="F23" s="176" t="e">
        <f>+#REF!/(F$22/$B23)</f>
        <v>#REF!</v>
      </c>
      <c r="G23" s="177" t="e">
        <f>+#REF!/(G$22/$B23)</f>
        <v>#REF!</v>
      </c>
      <c r="H23" s="176" t="e">
        <f>+#REF!/(H$22/$B23)</f>
        <v>#REF!</v>
      </c>
      <c r="I23" s="176" t="e">
        <f>+#REF!/(I$22/$B23)</f>
        <v>#REF!</v>
      </c>
      <c r="J23" s="176" t="e">
        <f>+#REF!/(J$22/$B23)</f>
        <v>#REF!</v>
      </c>
      <c r="K23" s="178" t="e">
        <f>+#REF!/(K$22/$B23)</f>
        <v>#REF!</v>
      </c>
    </row>
    <row r="24" spans="1:11">
      <c r="A24" s="164" t="s">
        <v>286</v>
      </c>
      <c r="B24" s="167" t="e">
        <f>+B25-0.0025</f>
        <v>#REF!</v>
      </c>
      <c r="C24" s="179" t="e">
        <f>+#REF!/(C$22/$B24)</f>
        <v>#REF!</v>
      </c>
      <c r="D24" s="180" t="e">
        <f>+#REF!/(D$22/$B24)</f>
        <v>#REF!</v>
      </c>
      <c r="E24" s="180" t="e">
        <f>+#REF!/(E$22/$B24)</f>
        <v>#REF!</v>
      </c>
      <c r="F24" s="180" t="e">
        <f>+#REF!/(F$22/$B24)</f>
        <v>#REF!</v>
      </c>
      <c r="G24" s="174" t="e">
        <f>+#REF!/(G$22/$B24)</f>
        <v>#REF!</v>
      </c>
      <c r="H24" s="180" t="e">
        <f>+#REF!/(H$22/$B24)</f>
        <v>#REF!</v>
      </c>
      <c r="I24" s="180" t="e">
        <f>+#REF!/(I$22/$B24)</f>
        <v>#REF!</v>
      </c>
      <c r="J24" s="180" t="e">
        <f>+#REF!/(J$22/$B24)</f>
        <v>#REF!</v>
      </c>
      <c r="K24" s="181" t="e">
        <f>+#REF!/(K$22/$B24)</f>
        <v>#REF!</v>
      </c>
    </row>
    <row r="25" spans="1:11">
      <c r="A25" s="164" t="s">
        <v>287</v>
      </c>
      <c r="B25" s="167" t="e">
        <f>+B26-0.0025</f>
        <v>#REF!</v>
      </c>
      <c r="C25" s="179" t="e">
        <f>+#REF!/(C$22/$B25)</f>
        <v>#REF!</v>
      </c>
      <c r="D25" s="180" t="e">
        <f>+#REF!/(D$22/$B25)</f>
        <v>#REF!</v>
      </c>
      <c r="E25" s="180" t="e">
        <f>+#REF!/(E$22/$B25)</f>
        <v>#REF!</v>
      </c>
      <c r="F25" s="180" t="e">
        <f>+#REF!/(F$22/$B25)</f>
        <v>#REF!</v>
      </c>
      <c r="G25" s="174" t="e">
        <f>+#REF!/(G$22/$B25)</f>
        <v>#REF!</v>
      </c>
      <c r="H25" s="180" t="e">
        <f>+#REF!/(H$22/$B25)</f>
        <v>#REF!</v>
      </c>
      <c r="I25" s="180" t="e">
        <f>+#REF!/(I$22/$B25)</f>
        <v>#REF!</v>
      </c>
      <c r="J25" s="180" t="e">
        <f>+#REF!/(J$22/$B25)</f>
        <v>#REF!</v>
      </c>
      <c r="K25" s="181" t="e">
        <f>+#REF!/(K$22/$B25)</f>
        <v>#REF!</v>
      </c>
    </row>
    <row r="26" spans="1:11" ht="16" thickBot="1">
      <c r="A26" s="164" t="s">
        <v>288</v>
      </c>
      <c r="B26" s="167" t="e">
        <f>+B27-0.0025</f>
        <v>#REF!</v>
      </c>
      <c r="C26" s="179" t="e">
        <f>+#REF!/(C$22/$B26)</f>
        <v>#REF!</v>
      </c>
      <c r="D26" s="180" t="e">
        <f>+#REF!/(D$22/$B26)</f>
        <v>#REF!</v>
      </c>
      <c r="E26" s="180" t="e">
        <f>+#REF!/(E$22/$B26)</f>
        <v>#REF!</v>
      </c>
      <c r="F26" s="180" t="e">
        <f>+#REF!/(F$22/$B26)</f>
        <v>#REF!</v>
      </c>
      <c r="G26" s="174" t="e">
        <f>+#REF!/(G$22/$B26)</f>
        <v>#REF!</v>
      </c>
      <c r="H26" s="180" t="e">
        <f>+#REF!/(H$22/$B26)</f>
        <v>#REF!</v>
      </c>
      <c r="I26" s="180" t="e">
        <f>+#REF!/(I$22/$B26)</f>
        <v>#REF!</v>
      </c>
      <c r="J26" s="180" t="e">
        <f>+#REF!/(J$22/$B26)</f>
        <v>#REF!</v>
      </c>
      <c r="K26" s="181" t="e">
        <f>+#REF!/(K$22/$B26)</f>
        <v>#REF!</v>
      </c>
    </row>
    <row r="27" spans="1:11" ht="16" thickBot="1">
      <c r="A27" s="166" t="s">
        <v>393</v>
      </c>
      <c r="B27" s="168" t="e">
        <f>+#REF!</f>
        <v>#REF!</v>
      </c>
      <c r="C27" s="187" t="e">
        <f>+#REF!/(C$22/$B27)</f>
        <v>#REF!</v>
      </c>
      <c r="D27" s="188" t="e">
        <f>+#REF!/(D$22/$B27)</f>
        <v>#REF!</v>
      </c>
      <c r="E27" s="188" t="e">
        <f>+#REF!/(E$22/$B27)</f>
        <v>#REF!</v>
      </c>
      <c r="F27" s="188" t="e">
        <f>+#REF!/(F$22/$B27)</f>
        <v>#REF!</v>
      </c>
      <c r="G27" s="189" t="e">
        <f>+#REF!/(G$22/$B27)</f>
        <v>#REF!</v>
      </c>
      <c r="H27" s="188" t="e">
        <f>+#REF!/(H$22/$B27)</f>
        <v>#REF!</v>
      </c>
      <c r="I27" s="188" t="e">
        <f>+#REF!/(I$22/$B27)</f>
        <v>#REF!</v>
      </c>
      <c r="J27" s="188" t="e">
        <f>+#REF!/(J$22/$B27)</f>
        <v>#REF!</v>
      </c>
      <c r="K27" s="190" t="e">
        <f>+#REF!/(K$22/$B27)</f>
        <v>#REF!</v>
      </c>
    </row>
    <row r="28" spans="1:11">
      <c r="A28" s="164" t="s">
        <v>289</v>
      </c>
      <c r="B28" s="167" t="e">
        <f>+B27+0.0025</f>
        <v>#REF!</v>
      </c>
      <c r="C28" s="179" t="e">
        <f>+#REF!/(C$22/$B28)</f>
        <v>#REF!</v>
      </c>
      <c r="D28" s="180" t="e">
        <f>+#REF!/(D$22/$B28)</f>
        <v>#REF!</v>
      </c>
      <c r="E28" s="180" t="e">
        <f>+#REF!/(E$22/$B28)</f>
        <v>#REF!</v>
      </c>
      <c r="F28" s="180" t="e">
        <f>+#REF!/(F$22/$B28)</f>
        <v>#REF!</v>
      </c>
      <c r="G28" s="174" t="e">
        <f>+#REF!/(G$22/$B28)</f>
        <v>#REF!</v>
      </c>
      <c r="H28" s="180" t="e">
        <f>+#REF!/(H$22/$B28)</f>
        <v>#REF!</v>
      </c>
      <c r="I28" s="180" t="e">
        <f>+#REF!/(I$22/$B28)</f>
        <v>#REF!</v>
      </c>
      <c r="J28" s="180" t="e">
        <f>+#REF!/(J$22/$B28)</f>
        <v>#REF!</v>
      </c>
      <c r="K28" s="181" t="e">
        <f>+#REF!/(K$22/$B28)</f>
        <v>#REF!</v>
      </c>
    </row>
    <row r="29" spans="1:11">
      <c r="A29" s="164" t="s">
        <v>290</v>
      </c>
      <c r="B29" s="167" t="e">
        <f t="shared" ref="B29:B35" si="2">+B28+0.0025</f>
        <v>#REF!</v>
      </c>
      <c r="C29" s="179" t="e">
        <f>+#REF!/(C$22/$B29)</f>
        <v>#REF!</v>
      </c>
      <c r="D29" s="180" t="e">
        <f>+#REF!/(D$22/$B29)</f>
        <v>#REF!</v>
      </c>
      <c r="E29" s="180" t="e">
        <f>+#REF!/(E$22/$B29)</f>
        <v>#REF!</v>
      </c>
      <c r="F29" s="180" t="e">
        <f>+#REF!/(F$22/$B29)</f>
        <v>#REF!</v>
      </c>
      <c r="G29" s="174" t="e">
        <f>+#REF!/(G$22/$B29)</f>
        <v>#REF!</v>
      </c>
      <c r="H29" s="180" t="e">
        <f>+#REF!/(H$22/$B29)</f>
        <v>#REF!</v>
      </c>
      <c r="I29" s="180" t="e">
        <f>+#REF!/(I$22/$B29)</f>
        <v>#REF!</v>
      </c>
      <c r="J29" s="180" t="e">
        <f>+#REF!/(J$22/$B29)</f>
        <v>#REF!</v>
      </c>
      <c r="K29" s="181" t="e">
        <f>+#REF!/(K$22/$B29)</f>
        <v>#REF!</v>
      </c>
    </row>
    <row r="30" spans="1:11">
      <c r="A30" s="164" t="s">
        <v>291</v>
      </c>
      <c r="B30" s="167" t="e">
        <f t="shared" si="2"/>
        <v>#REF!</v>
      </c>
      <c r="C30" s="179" t="e">
        <f>+#REF!/(C$22/$B30)</f>
        <v>#REF!</v>
      </c>
      <c r="D30" s="180" t="e">
        <f>+#REF!/(D$22/$B30)</f>
        <v>#REF!</v>
      </c>
      <c r="E30" s="180" t="e">
        <f>+#REF!/(E$22/$B30)</f>
        <v>#REF!</v>
      </c>
      <c r="F30" s="180" t="e">
        <f>+#REF!/(F$22/$B30)</f>
        <v>#REF!</v>
      </c>
      <c r="G30" s="174" t="e">
        <f>+#REF!/(G$22/$B30)</f>
        <v>#REF!</v>
      </c>
      <c r="H30" s="180" t="e">
        <f>+#REF!/(H$22/$B30)</f>
        <v>#REF!</v>
      </c>
      <c r="I30" s="180" t="e">
        <f>+#REF!/(I$22/$B30)</f>
        <v>#REF!</v>
      </c>
      <c r="J30" s="180" t="e">
        <f>+#REF!/(J$22/$B30)</f>
        <v>#REF!</v>
      </c>
      <c r="K30" s="181" t="e">
        <f>+#REF!/(K$22/$B30)</f>
        <v>#REF!</v>
      </c>
    </row>
    <row r="31" spans="1:11">
      <c r="A31" s="164" t="s">
        <v>292</v>
      </c>
      <c r="B31" s="167" t="e">
        <f t="shared" si="2"/>
        <v>#REF!</v>
      </c>
      <c r="C31" s="179" t="e">
        <f>+#REF!/(C$22/$B31)</f>
        <v>#REF!</v>
      </c>
      <c r="D31" s="180" t="e">
        <f>+#REF!/(D$22/$B31)</f>
        <v>#REF!</v>
      </c>
      <c r="E31" s="180" t="e">
        <f>+#REF!/(E$22/$B31)</f>
        <v>#REF!</v>
      </c>
      <c r="F31" s="180" t="e">
        <f>+#REF!/(F$22/$B31)</f>
        <v>#REF!</v>
      </c>
      <c r="G31" s="174" t="e">
        <f>+#REF!/(G$22/$B31)</f>
        <v>#REF!</v>
      </c>
      <c r="H31" s="180" t="e">
        <f>+#REF!/(H$22/$B31)</f>
        <v>#REF!</v>
      </c>
      <c r="I31" s="180" t="e">
        <f>+#REF!/(I$22/$B31)</f>
        <v>#REF!</v>
      </c>
      <c r="J31" s="180" t="e">
        <f>+#REF!/(J$22/$B31)</f>
        <v>#REF!</v>
      </c>
      <c r="K31" s="181" t="e">
        <f>+#REF!/(K$22/$B31)</f>
        <v>#REF!</v>
      </c>
    </row>
    <row r="32" spans="1:11">
      <c r="A32" s="164" t="s">
        <v>293</v>
      </c>
      <c r="B32" s="167" t="e">
        <f t="shared" si="2"/>
        <v>#REF!</v>
      </c>
      <c r="C32" s="179" t="e">
        <f>+#REF!/(C$22/$B32)</f>
        <v>#REF!</v>
      </c>
      <c r="D32" s="180" t="e">
        <f>+#REF!/(D$22/$B32)</f>
        <v>#REF!</v>
      </c>
      <c r="E32" s="180" t="e">
        <f>+#REF!/(E$22/$B32)</f>
        <v>#REF!</v>
      </c>
      <c r="F32" s="180" t="e">
        <f>+#REF!/(F$22/$B32)</f>
        <v>#REF!</v>
      </c>
      <c r="G32" s="174" t="e">
        <f>+#REF!/(G$22/$B32)</f>
        <v>#REF!</v>
      </c>
      <c r="H32" s="180" t="e">
        <f>+#REF!/(H$22/$B32)</f>
        <v>#REF!</v>
      </c>
      <c r="I32" s="180" t="e">
        <f>+#REF!/(I$22/$B32)</f>
        <v>#REF!</v>
      </c>
      <c r="J32" s="180" t="e">
        <f>+#REF!/(J$22/$B32)</f>
        <v>#REF!</v>
      </c>
      <c r="K32" s="181" t="e">
        <f>+#REF!/(K$22/$B32)</f>
        <v>#REF!</v>
      </c>
    </row>
    <row r="33" spans="1:11">
      <c r="A33" s="164" t="s">
        <v>294</v>
      </c>
      <c r="B33" s="167" t="e">
        <f t="shared" si="2"/>
        <v>#REF!</v>
      </c>
      <c r="C33" s="179" t="e">
        <f>+#REF!/(C$22/$B33)</f>
        <v>#REF!</v>
      </c>
      <c r="D33" s="180" t="e">
        <f>+#REF!/(D$22/$B33)</f>
        <v>#REF!</v>
      </c>
      <c r="E33" s="180" t="e">
        <f>+#REF!/(E$22/$B33)</f>
        <v>#REF!</v>
      </c>
      <c r="F33" s="180" t="e">
        <f>+#REF!/(F$22/$B33)</f>
        <v>#REF!</v>
      </c>
      <c r="G33" s="174" t="e">
        <f>+#REF!/(G$22/$B33)</f>
        <v>#REF!</v>
      </c>
      <c r="H33" s="180" t="e">
        <f>+#REF!/(H$22/$B33)</f>
        <v>#REF!</v>
      </c>
      <c r="I33" s="180" t="e">
        <f>+#REF!/(I$22/$B33)</f>
        <v>#REF!</v>
      </c>
      <c r="J33" s="180" t="e">
        <f>+#REF!/(J$22/$B33)</f>
        <v>#REF!</v>
      </c>
      <c r="K33" s="181" t="e">
        <f>+#REF!/(K$22/$B33)</f>
        <v>#REF!</v>
      </c>
    </row>
    <row r="34" spans="1:11">
      <c r="A34" s="164" t="s">
        <v>295</v>
      </c>
      <c r="B34" s="167" t="e">
        <f t="shared" si="2"/>
        <v>#REF!</v>
      </c>
      <c r="C34" s="179" t="e">
        <f>+#REF!/(C$22/$B34)</f>
        <v>#REF!</v>
      </c>
      <c r="D34" s="180" t="e">
        <f>+#REF!/(D$22/$B34)</f>
        <v>#REF!</v>
      </c>
      <c r="E34" s="180" t="e">
        <f>+#REF!/(E$22/$B34)</f>
        <v>#REF!</v>
      </c>
      <c r="F34" s="180" t="e">
        <f>+#REF!/(F$22/$B34)</f>
        <v>#REF!</v>
      </c>
      <c r="G34" s="174" t="e">
        <f>+#REF!/(G$22/$B34)</f>
        <v>#REF!</v>
      </c>
      <c r="H34" s="180" t="e">
        <f>+#REF!/(H$22/$B34)</f>
        <v>#REF!</v>
      </c>
      <c r="I34" s="180" t="e">
        <f>+#REF!/(I$22/$B34)</f>
        <v>#REF!</v>
      </c>
      <c r="J34" s="180" t="e">
        <f>+#REF!/(J$22/$B34)</f>
        <v>#REF!</v>
      </c>
      <c r="K34" s="181" t="e">
        <f>+#REF!/(K$22/$B34)</f>
        <v>#REF!</v>
      </c>
    </row>
    <row r="35" spans="1:11">
      <c r="A35" s="164" t="s">
        <v>296</v>
      </c>
      <c r="B35" s="167" t="e">
        <f t="shared" si="2"/>
        <v>#REF!</v>
      </c>
      <c r="C35" s="182" t="e">
        <f>+#REF!/(C$22/$B35)</f>
        <v>#REF!</v>
      </c>
      <c r="D35" s="183" t="e">
        <f>+#REF!/(D$22/$B35)</f>
        <v>#REF!</v>
      </c>
      <c r="E35" s="183" t="e">
        <f>+#REF!/(E$22/$B35)</f>
        <v>#REF!</v>
      </c>
      <c r="F35" s="183" t="e">
        <f>+#REF!/(F$22/$B35)</f>
        <v>#REF!</v>
      </c>
      <c r="G35" s="184" t="e">
        <f>+#REF!/(G$22/$B35)</f>
        <v>#REF!</v>
      </c>
      <c r="H35" s="183" t="e">
        <f>+#REF!/(H$22/$B35)</f>
        <v>#REF!</v>
      </c>
      <c r="I35" s="183" t="e">
        <f>+#REF!/(I$22/$B35)</f>
        <v>#REF!</v>
      </c>
      <c r="J35" s="183" t="e">
        <f>+#REF!/(J$22/$B35)</f>
        <v>#REF!</v>
      </c>
      <c r="K35" s="185" t="e">
        <f>+#REF!/(K$22/$B35)</f>
        <v>#REF!</v>
      </c>
    </row>
  </sheetData>
  <mergeCells count="4">
    <mergeCell ref="A1:K1"/>
    <mergeCell ref="C19:K19"/>
    <mergeCell ref="G7:K7"/>
    <mergeCell ref="G8:K16"/>
  </mergeCells>
  <conditionalFormatting sqref="C23:K35">
    <cfRule type="colorScale" priority="1">
      <colorScale>
        <cfvo type="min"/>
        <cfvo type="num" val="0.8"/>
        <cfvo type="max"/>
        <color theme="3" tint="0.39997558519241921"/>
        <color theme="0"/>
        <color theme="5" tint="-0.249977111117893"/>
      </colorScale>
    </cfRule>
  </conditionalFormatting>
  <pageMargins left="0.25" right="0.25" top="0.25" bottom="0.25" header="0.3" footer="0.3"/>
  <pageSetup scale="80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"/>
  <dimension ref="A2:CZ252"/>
  <sheetViews>
    <sheetView workbookViewId="0">
      <selection activeCell="A2" sqref="A2:AI3"/>
    </sheetView>
  </sheetViews>
  <sheetFormatPr baseColWidth="10" defaultColWidth="9.1640625" defaultRowHeight="15"/>
  <cols>
    <col min="1" max="4" width="2.6640625" style="83" customWidth="1"/>
    <col min="5" max="5" width="8" style="83" customWidth="1"/>
    <col min="6" max="12" width="2.6640625" style="83" customWidth="1"/>
    <col min="13" max="13" width="1.6640625" style="83" customWidth="1"/>
    <col min="14" max="20" width="2.6640625" style="83" customWidth="1"/>
    <col min="21" max="21" width="1.6640625" style="83" customWidth="1"/>
    <col min="22" max="34" width="2.6640625" style="83" customWidth="1"/>
    <col min="35" max="35" width="7.5" style="83" customWidth="1"/>
    <col min="36" max="36" width="2.6640625" style="83" customWidth="1"/>
    <col min="37" max="85" width="9.1640625" style="83"/>
    <col min="86" max="86" width="14.6640625" style="83" bestFit="1" customWidth="1"/>
    <col min="87" max="16384" width="9.1640625" style="83"/>
  </cols>
  <sheetData>
    <row r="2" spans="1:104" s="56" customFormat="1" ht="12.75" customHeight="1">
      <c r="A2" s="1499"/>
      <c r="B2" s="1499"/>
      <c r="C2" s="1499"/>
      <c r="D2" s="1499"/>
      <c r="E2" s="1499"/>
      <c r="F2" s="1499"/>
      <c r="G2" s="1499"/>
      <c r="H2" s="1499"/>
      <c r="I2" s="1499"/>
      <c r="J2" s="1499"/>
      <c r="K2" s="1499"/>
      <c r="L2" s="1499"/>
      <c r="M2" s="1499"/>
      <c r="N2" s="1499"/>
      <c r="O2" s="1499"/>
      <c r="P2" s="1499"/>
      <c r="Q2" s="1499"/>
      <c r="R2" s="1499"/>
      <c r="S2" s="1499"/>
      <c r="T2" s="1499"/>
      <c r="U2" s="1499"/>
      <c r="V2" s="1499"/>
      <c r="W2" s="1499"/>
      <c r="X2" s="1499"/>
      <c r="Y2" s="1499"/>
      <c r="Z2" s="1499"/>
      <c r="AA2" s="1499"/>
      <c r="AB2" s="1499"/>
      <c r="AC2" s="1499"/>
      <c r="AD2" s="1499"/>
      <c r="AE2" s="1499"/>
      <c r="AF2" s="1499"/>
      <c r="AG2" s="1499"/>
      <c r="AH2" s="1499"/>
      <c r="AI2" s="1499"/>
      <c r="AJ2" s="54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BY2" s="57"/>
      <c r="BZ2" s="57"/>
      <c r="CA2" s="57"/>
      <c r="CB2" s="57"/>
      <c r="CC2" s="57"/>
      <c r="CD2" s="57"/>
      <c r="CE2" s="57"/>
      <c r="CF2" s="57"/>
      <c r="CG2" s="57"/>
      <c r="CH2" s="57"/>
      <c r="CI2" s="57"/>
      <c r="CJ2" s="57"/>
      <c r="CK2" s="57"/>
      <c r="CL2" s="57"/>
      <c r="CM2" s="57"/>
      <c r="CN2" s="57"/>
      <c r="CO2" s="57"/>
      <c r="CP2" s="57"/>
      <c r="CQ2" s="57"/>
      <c r="CR2" s="57"/>
      <c r="CS2" s="57"/>
      <c r="CT2" s="57"/>
      <c r="CU2" s="57"/>
      <c r="CV2" s="57"/>
      <c r="CW2" s="58"/>
      <c r="CX2" s="57"/>
      <c r="CY2" s="57"/>
      <c r="CZ2" s="57"/>
    </row>
    <row r="3" spans="1:104" s="56" customFormat="1" ht="12.75" customHeight="1">
      <c r="A3" s="1499"/>
      <c r="B3" s="1499"/>
      <c r="C3" s="1499"/>
      <c r="D3" s="1499"/>
      <c r="E3" s="1499"/>
      <c r="F3" s="1499"/>
      <c r="G3" s="1499"/>
      <c r="H3" s="1499"/>
      <c r="I3" s="1499"/>
      <c r="J3" s="1499"/>
      <c r="K3" s="1499"/>
      <c r="L3" s="1499"/>
      <c r="M3" s="1499"/>
      <c r="N3" s="1499"/>
      <c r="O3" s="1499"/>
      <c r="P3" s="1499"/>
      <c r="Q3" s="1499"/>
      <c r="R3" s="1499"/>
      <c r="S3" s="1499"/>
      <c r="T3" s="1499"/>
      <c r="U3" s="1499"/>
      <c r="V3" s="1499"/>
      <c r="W3" s="1499"/>
      <c r="X3" s="1499"/>
      <c r="Y3" s="1499"/>
      <c r="Z3" s="1499"/>
      <c r="AA3" s="1499"/>
      <c r="AB3" s="1499"/>
      <c r="AC3" s="1499"/>
      <c r="AD3" s="1499"/>
      <c r="AE3" s="1499"/>
      <c r="AF3" s="1499"/>
      <c r="AG3" s="1499"/>
      <c r="AH3" s="1499"/>
      <c r="AI3" s="1499"/>
      <c r="AJ3" s="54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BY3" s="57"/>
      <c r="BZ3" s="57"/>
      <c r="CA3" s="57"/>
      <c r="CB3" s="57"/>
      <c r="CC3" s="57"/>
      <c r="CD3" s="57"/>
      <c r="CE3" s="57"/>
      <c r="CF3" s="57"/>
      <c r="CG3" s="57"/>
      <c r="CH3" s="57"/>
      <c r="CI3" s="57"/>
      <c r="CJ3" s="57"/>
      <c r="CK3" s="57"/>
      <c r="CL3" s="57"/>
      <c r="CM3" s="57"/>
      <c r="CN3" s="57"/>
      <c r="CO3" s="57"/>
      <c r="CP3" s="57"/>
      <c r="CQ3" s="57"/>
      <c r="CR3" s="57"/>
      <c r="CS3" s="57"/>
      <c r="CT3" s="57"/>
      <c r="CU3" s="57"/>
      <c r="CV3" s="57"/>
      <c r="CW3" s="58"/>
      <c r="CX3" s="57"/>
      <c r="CY3" s="57"/>
      <c r="CZ3" s="57"/>
    </row>
    <row r="4" spans="1:104" s="56" customFormat="1" ht="9" customHeight="1">
      <c r="A4" s="1499" t="s">
        <v>70</v>
      </c>
      <c r="B4" s="1499"/>
      <c r="C4" s="1499"/>
      <c r="D4" s="1499"/>
      <c r="E4" s="1499"/>
      <c r="F4" s="1499"/>
      <c r="G4" s="1499"/>
      <c r="H4" s="1499"/>
      <c r="I4" s="1499"/>
      <c r="J4" s="1499"/>
      <c r="K4" s="1499"/>
      <c r="L4" s="1499"/>
      <c r="M4" s="1499"/>
      <c r="N4" s="1499"/>
      <c r="O4" s="1499"/>
      <c r="P4" s="1499"/>
      <c r="Q4" s="1499"/>
      <c r="R4" s="1499"/>
      <c r="S4" s="1499"/>
      <c r="T4" s="1499"/>
      <c r="U4" s="1499"/>
      <c r="V4" s="1499"/>
      <c r="W4" s="1499"/>
      <c r="X4" s="1499"/>
      <c r="Y4" s="1499"/>
      <c r="Z4" s="1499"/>
      <c r="AA4" s="1499"/>
      <c r="AB4" s="1499"/>
      <c r="AC4" s="1499"/>
      <c r="AD4" s="1499"/>
      <c r="AE4" s="1499"/>
      <c r="AF4" s="1499"/>
      <c r="AG4" s="1499"/>
      <c r="AH4" s="1499"/>
      <c r="AI4" s="1499"/>
      <c r="AJ4" s="54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BY4" s="57"/>
      <c r="BZ4" s="57"/>
      <c r="CA4" s="57"/>
      <c r="CB4" s="57"/>
      <c r="CC4" s="57"/>
      <c r="CD4" s="57"/>
      <c r="CE4" s="57"/>
      <c r="CF4" s="57"/>
      <c r="CG4" s="57"/>
      <c r="CH4" s="57"/>
      <c r="CI4" s="57"/>
      <c r="CJ4" s="57"/>
      <c r="CK4" s="57"/>
      <c r="CL4" s="57"/>
      <c r="CM4" s="57"/>
      <c r="CN4" s="57"/>
      <c r="CO4" s="57"/>
      <c r="CP4" s="57"/>
      <c r="CQ4" s="57"/>
      <c r="CR4" s="57"/>
      <c r="CS4" s="57"/>
      <c r="CT4" s="57"/>
      <c r="CU4" s="57"/>
      <c r="CV4" s="57"/>
      <c r="CW4" s="58"/>
      <c r="CX4" s="57"/>
      <c r="CY4" s="57"/>
      <c r="CZ4" s="57"/>
    </row>
    <row r="5" spans="1:104" s="56" customFormat="1" ht="12.75" customHeight="1">
      <c r="A5" s="1499"/>
      <c r="B5" s="1499"/>
      <c r="C5" s="1499"/>
      <c r="D5" s="1499"/>
      <c r="E5" s="1499"/>
      <c r="F5" s="1499"/>
      <c r="G5" s="1499"/>
      <c r="H5" s="1499"/>
      <c r="I5" s="1499"/>
      <c r="J5" s="1499"/>
      <c r="K5" s="1499"/>
      <c r="L5" s="1499"/>
      <c r="M5" s="1499"/>
      <c r="N5" s="1499"/>
      <c r="O5" s="1499"/>
      <c r="P5" s="1499"/>
      <c r="Q5" s="1499"/>
      <c r="R5" s="1499"/>
      <c r="S5" s="1499"/>
      <c r="T5" s="1499"/>
      <c r="U5" s="1499"/>
      <c r="V5" s="1499"/>
      <c r="W5" s="1499"/>
      <c r="X5" s="1499"/>
      <c r="Y5" s="1499"/>
      <c r="Z5" s="1499"/>
      <c r="AA5" s="1499"/>
      <c r="AB5" s="1499"/>
      <c r="AC5" s="1499"/>
      <c r="AD5" s="1499"/>
      <c r="AE5" s="1499"/>
      <c r="AF5" s="1499"/>
      <c r="AG5" s="1499"/>
      <c r="AH5" s="1499"/>
      <c r="AI5" s="1499"/>
      <c r="AJ5" s="54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BY5" s="57"/>
      <c r="BZ5" s="57"/>
      <c r="CA5" s="57"/>
      <c r="CB5" s="57"/>
      <c r="CC5" s="57"/>
      <c r="CD5" s="57"/>
      <c r="CE5" s="57"/>
      <c r="CF5" s="57"/>
      <c r="CG5" s="57"/>
      <c r="CH5" s="57"/>
      <c r="CI5" s="57"/>
      <c r="CJ5" s="57"/>
      <c r="CK5" s="57"/>
      <c r="CL5" s="57"/>
      <c r="CM5" s="57"/>
      <c r="CN5" s="57"/>
      <c r="CO5" s="57"/>
      <c r="CP5" s="57"/>
      <c r="CQ5" s="57"/>
      <c r="CR5" s="57"/>
      <c r="CS5" s="57"/>
      <c r="CT5" s="57"/>
      <c r="CU5" s="57"/>
      <c r="CV5" s="57"/>
      <c r="CW5" s="58"/>
      <c r="CX5" s="57"/>
      <c r="CY5" s="57"/>
      <c r="CZ5" s="57"/>
    </row>
    <row r="6" spans="1:104" s="56" customFormat="1" ht="14" thickBot="1">
      <c r="A6" s="1500"/>
      <c r="B6" s="1500"/>
      <c r="C6" s="1500"/>
      <c r="D6" s="1500"/>
      <c r="E6" s="1500"/>
      <c r="F6" s="1500"/>
      <c r="G6" s="1500"/>
      <c r="H6" s="1500"/>
      <c r="I6" s="1500"/>
      <c r="J6" s="1500"/>
      <c r="K6" s="1500"/>
      <c r="L6" s="1500"/>
      <c r="M6" s="1500"/>
      <c r="N6" s="1500"/>
      <c r="O6" s="1500"/>
      <c r="P6" s="1500"/>
      <c r="Q6" s="1500"/>
      <c r="R6" s="1500"/>
      <c r="S6" s="1500"/>
      <c r="T6" s="1500"/>
      <c r="U6" s="1500"/>
      <c r="V6" s="1500"/>
      <c r="W6" s="1500"/>
      <c r="X6" s="1500"/>
      <c r="Y6" s="1500"/>
      <c r="Z6" s="1500"/>
      <c r="AA6" s="1500"/>
      <c r="AB6" s="1500"/>
      <c r="AC6" s="1500"/>
      <c r="AD6" s="1500"/>
      <c r="AE6" s="1500"/>
      <c r="AF6" s="1500"/>
      <c r="AG6" s="1500"/>
      <c r="AH6" s="1500"/>
      <c r="AI6" s="1500"/>
      <c r="AJ6" s="59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BY6" s="57"/>
      <c r="BZ6" s="57"/>
      <c r="CA6" s="57"/>
      <c r="CB6" s="57"/>
      <c r="CC6" s="57"/>
      <c r="CD6" s="57"/>
      <c r="CE6" s="57"/>
      <c r="CF6" s="57"/>
      <c r="CG6" s="57"/>
      <c r="CH6" s="57"/>
      <c r="CI6" s="57"/>
      <c r="CJ6" s="57"/>
      <c r="CK6" s="57"/>
      <c r="CL6" s="57"/>
      <c r="CM6" s="57"/>
      <c r="CN6" s="57"/>
      <c r="CO6" s="57"/>
      <c r="CP6" s="57"/>
      <c r="CQ6" s="57"/>
      <c r="CR6" s="57"/>
      <c r="CS6" s="57"/>
      <c r="CT6" s="57"/>
      <c r="CU6" s="57"/>
      <c r="CV6" s="57"/>
      <c r="CW6" s="58"/>
      <c r="CX6" s="57"/>
      <c r="CY6" s="57"/>
      <c r="CZ6" s="57"/>
    </row>
    <row r="7" spans="1:104" s="56" customFormat="1" ht="14" thickTop="1">
      <c r="A7" s="1501" t="s">
        <v>71</v>
      </c>
      <c r="B7" s="1501"/>
      <c r="C7" s="1501"/>
      <c r="D7" s="1501"/>
      <c r="E7" s="1501"/>
      <c r="F7" s="1501"/>
      <c r="G7" s="1501"/>
      <c r="H7" s="1501"/>
      <c r="I7" s="1501"/>
      <c r="J7" s="1501"/>
      <c r="K7" s="1501"/>
      <c r="L7" s="1501"/>
      <c r="M7" s="1501"/>
      <c r="N7" s="1501"/>
      <c r="O7" s="1501"/>
      <c r="P7" s="1501"/>
      <c r="Q7" s="1501"/>
      <c r="R7" s="1501"/>
      <c r="S7" s="1501"/>
      <c r="T7" s="1501"/>
      <c r="U7" s="1501"/>
      <c r="V7" s="1501"/>
      <c r="W7" s="1501"/>
      <c r="X7" s="1501"/>
      <c r="Y7" s="1501"/>
      <c r="Z7" s="1501"/>
      <c r="AA7" s="1501"/>
      <c r="AB7" s="1501"/>
      <c r="AC7" s="1501"/>
      <c r="AD7" s="1501"/>
      <c r="AE7" s="1501"/>
      <c r="AF7" s="1501"/>
      <c r="AG7" s="1501"/>
      <c r="AH7" s="1501"/>
      <c r="AI7" s="1501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BY7" s="57"/>
      <c r="BZ7" s="57"/>
      <c r="CA7" s="57"/>
      <c r="CB7" s="57"/>
      <c r="CC7" s="57"/>
      <c r="CD7" s="57"/>
      <c r="CE7" s="57"/>
      <c r="CF7" s="57"/>
      <c r="CG7" s="57"/>
      <c r="CH7" s="57"/>
      <c r="CI7" s="57"/>
      <c r="CJ7" s="57"/>
      <c r="CK7" s="57"/>
      <c r="CL7" s="57"/>
      <c r="CM7" s="57"/>
      <c r="CN7" s="57"/>
      <c r="CO7" s="57"/>
      <c r="CP7" s="57"/>
      <c r="CQ7" s="57"/>
      <c r="CR7" s="57"/>
      <c r="CS7" s="57"/>
      <c r="CT7" s="57"/>
      <c r="CU7" s="57"/>
      <c r="CV7" s="57"/>
      <c r="CW7" s="58"/>
      <c r="CX7" s="57"/>
      <c r="CY7" s="57"/>
      <c r="CZ7" s="57"/>
    </row>
    <row r="8" spans="1:104" s="56" customFormat="1" ht="6" customHeight="1">
      <c r="R8" s="60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BY8" s="57"/>
      <c r="BZ8" s="57"/>
      <c r="CA8" s="57"/>
      <c r="CB8" s="57"/>
      <c r="CC8" s="57"/>
      <c r="CD8" s="57"/>
      <c r="CE8" s="57"/>
      <c r="CF8" s="57"/>
      <c r="CG8" s="57"/>
      <c r="CH8" s="57"/>
      <c r="CI8" s="57"/>
      <c r="CJ8" s="57"/>
      <c r="CK8" s="57"/>
      <c r="CL8" s="57"/>
      <c r="CM8" s="57"/>
      <c r="CN8" s="57"/>
      <c r="CO8" s="57"/>
      <c r="CP8" s="57"/>
      <c r="CQ8" s="57"/>
      <c r="CR8" s="57"/>
      <c r="CS8" s="57"/>
      <c r="CT8" s="57"/>
      <c r="CU8" s="57"/>
      <c r="CV8" s="57"/>
      <c r="CW8" s="58"/>
      <c r="CX8" s="57"/>
      <c r="CY8" s="57"/>
      <c r="CZ8" s="57"/>
    </row>
    <row r="9" spans="1:104" s="56" customFormat="1" ht="13">
      <c r="A9" s="57"/>
      <c r="B9" s="1505" t="s">
        <v>73</v>
      </c>
      <c r="C9" s="1505"/>
      <c r="D9" s="1505"/>
      <c r="E9" s="1505"/>
      <c r="F9" s="1505"/>
      <c r="G9" s="61"/>
      <c r="H9" s="1502"/>
      <c r="I9" s="1503"/>
      <c r="J9" s="1503"/>
      <c r="K9" s="1503"/>
      <c r="L9" s="1503"/>
      <c r="M9" s="1503"/>
      <c r="N9" s="1503"/>
      <c r="O9" s="1503"/>
      <c r="P9" s="1503"/>
      <c r="Q9" s="1503"/>
      <c r="R9" s="1504"/>
      <c r="S9" s="57"/>
      <c r="T9" s="1505" t="s">
        <v>72</v>
      </c>
      <c r="U9" s="1505"/>
      <c r="V9" s="1505"/>
      <c r="W9" s="1505"/>
      <c r="X9" s="1505"/>
      <c r="Y9" s="1505"/>
      <c r="Z9" s="1505"/>
      <c r="AA9" s="1505"/>
      <c r="AB9" s="1506"/>
      <c r="AC9" s="1507"/>
      <c r="AD9" s="1507"/>
      <c r="AE9" s="1507"/>
      <c r="AF9" s="1507"/>
      <c r="AG9" s="1507"/>
      <c r="AH9" s="1507"/>
      <c r="AI9" s="1508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  <c r="CU9" s="57"/>
      <c r="CV9" s="57"/>
      <c r="CW9" s="58"/>
      <c r="CX9" s="57"/>
      <c r="CY9" s="57"/>
      <c r="CZ9" s="57"/>
    </row>
    <row r="10" spans="1:104" s="56" customFormat="1" ht="13">
      <c r="A10" s="57"/>
      <c r="B10" s="1505" t="s">
        <v>75</v>
      </c>
      <c r="C10" s="1505"/>
      <c r="D10" s="1505"/>
      <c r="E10" s="1505"/>
      <c r="F10" s="1505"/>
      <c r="G10" s="61"/>
      <c r="H10" s="1502"/>
      <c r="I10" s="1503"/>
      <c r="J10" s="1503"/>
      <c r="K10" s="1503"/>
      <c r="L10" s="1503"/>
      <c r="M10" s="1503"/>
      <c r="N10" s="1503"/>
      <c r="O10" s="1503"/>
      <c r="P10" s="1503"/>
      <c r="Q10" s="1503"/>
      <c r="R10" s="1504"/>
      <c r="S10" s="57"/>
      <c r="T10" s="1505" t="s">
        <v>74</v>
      </c>
      <c r="U10" s="1505"/>
      <c r="V10" s="1505"/>
      <c r="W10" s="1505"/>
      <c r="X10" s="1505"/>
      <c r="Y10" s="1505"/>
      <c r="Z10" s="1505"/>
      <c r="AA10" s="1505"/>
      <c r="AB10" s="1515"/>
      <c r="AC10" s="1516"/>
      <c r="AD10" s="1516"/>
      <c r="AE10" s="1516"/>
      <c r="AF10" s="1516"/>
      <c r="AG10" s="1516"/>
      <c r="AH10" s="1516"/>
      <c r="AI10" s="1517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BY10" s="57"/>
      <c r="BZ10" s="57"/>
      <c r="CA10" s="57"/>
      <c r="CB10" s="57"/>
      <c r="CC10" s="57"/>
      <c r="CD10" s="57"/>
      <c r="CE10" s="57"/>
      <c r="CF10" s="57"/>
      <c r="CG10" s="57"/>
      <c r="CH10" s="57"/>
      <c r="CI10" s="57"/>
      <c r="CJ10" s="57"/>
      <c r="CK10" s="57"/>
      <c r="CL10" s="57"/>
      <c r="CM10" s="57"/>
      <c r="CN10" s="57"/>
      <c r="CO10" s="57"/>
      <c r="CP10" s="57"/>
      <c r="CQ10" s="57"/>
      <c r="CR10" s="57"/>
      <c r="CS10" s="57"/>
      <c r="CT10" s="57"/>
      <c r="CU10" s="57"/>
      <c r="CV10" s="57"/>
      <c r="CW10" s="58"/>
      <c r="CX10" s="57"/>
      <c r="CY10" s="57"/>
      <c r="CZ10" s="57"/>
    </row>
    <row r="11" spans="1:104" s="56" customFormat="1" ht="13">
      <c r="A11" s="57"/>
      <c r="B11" s="1505" t="s">
        <v>77</v>
      </c>
      <c r="C11" s="1505"/>
      <c r="D11" s="1505"/>
      <c r="E11" s="1505"/>
      <c r="F11" s="1505"/>
      <c r="G11" s="61"/>
      <c r="H11" s="1502"/>
      <c r="I11" s="1503"/>
      <c r="J11" s="1503"/>
      <c r="K11" s="1503"/>
      <c r="L11" s="1503"/>
      <c r="M11" s="1503"/>
      <c r="N11" s="1503"/>
      <c r="O11" s="1503"/>
      <c r="P11" s="1503"/>
      <c r="Q11" s="1503"/>
      <c r="R11" s="1504"/>
      <c r="S11" s="57"/>
      <c r="T11" s="1505" t="s">
        <v>76</v>
      </c>
      <c r="U11" s="1505"/>
      <c r="V11" s="1505"/>
      <c r="W11" s="1505"/>
      <c r="X11" s="1505"/>
      <c r="Y11" s="1505"/>
      <c r="Z11" s="1505"/>
      <c r="AA11" s="1505"/>
      <c r="AB11" s="1518"/>
      <c r="AC11" s="1516"/>
      <c r="AD11" s="1516"/>
      <c r="AE11" s="1516"/>
      <c r="AF11" s="1516"/>
      <c r="AG11" s="1516"/>
      <c r="AH11" s="1516"/>
      <c r="AI11" s="1517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BY11" s="57"/>
      <c r="BZ11" s="57"/>
      <c r="CA11" s="57"/>
      <c r="CB11" s="57"/>
      <c r="CC11" s="57"/>
      <c r="CD11" s="57"/>
      <c r="CE11" s="57"/>
      <c r="CF11" s="57"/>
      <c r="CG11" s="57"/>
      <c r="CH11" s="57"/>
      <c r="CI11" s="57"/>
      <c r="CJ11" s="57"/>
      <c r="CK11" s="57"/>
      <c r="CL11" s="57"/>
      <c r="CM11" s="57"/>
      <c r="CN11" s="57"/>
      <c r="CO11" s="57"/>
      <c r="CP11" s="57"/>
      <c r="CQ11" s="57"/>
      <c r="CR11" s="57"/>
      <c r="CS11" s="57"/>
      <c r="CT11" s="57"/>
      <c r="CU11" s="57"/>
      <c r="CV11" s="57"/>
      <c r="CW11" s="58"/>
      <c r="CX11" s="57"/>
      <c r="CY11" s="57"/>
      <c r="CZ11" s="57"/>
    </row>
    <row r="12" spans="1:104" s="56" customFormat="1" ht="13">
      <c r="A12" s="57"/>
      <c r="B12" s="1505" t="s">
        <v>79</v>
      </c>
      <c r="C12" s="1505"/>
      <c r="D12" s="1505"/>
      <c r="E12" s="1505"/>
      <c r="F12" s="1505"/>
      <c r="G12" s="61"/>
      <c r="H12" s="1502"/>
      <c r="I12" s="1503"/>
      <c r="J12" s="1503"/>
      <c r="K12" s="1503"/>
      <c r="L12" s="1503"/>
      <c r="M12" s="1503"/>
      <c r="N12" s="1503"/>
      <c r="O12" s="1503"/>
      <c r="P12" s="1503"/>
      <c r="Q12" s="1503"/>
      <c r="R12" s="1504"/>
      <c r="S12" s="57"/>
      <c r="T12" s="1505" t="s">
        <v>78</v>
      </c>
      <c r="U12" s="1505"/>
      <c r="V12" s="1505"/>
      <c r="W12" s="1505"/>
      <c r="X12" s="1505"/>
      <c r="Y12" s="1505"/>
      <c r="Z12" s="1505"/>
      <c r="AA12" s="1505"/>
      <c r="AB12" s="1515"/>
      <c r="AC12" s="1516"/>
      <c r="AD12" s="1516"/>
      <c r="AE12" s="1516"/>
      <c r="AF12" s="1516"/>
      <c r="AG12" s="1516"/>
      <c r="AH12" s="1516"/>
      <c r="AI12" s="1517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BY12" s="57"/>
      <c r="BZ12" s="57"/>
      <c r="CA12" s="57"/>
      <c r="CB12" s="57"/>
      <c r="CC12" s="57"/>
      <c r="CD12" s="57"/>
      <c r="CE12" s="57"/>
      <c r="CF12" s="57"/>
      <c r="CG12" s="57"/>
      <c r="CH12" s="57"/>
      <c r="CI12" s="57"/>
      <c r="CJ12" s="57"/>
      <c r="CK12" s="57"/>
      <c r="CL12" s="57"/>
      <c r="CM12" s="57"/>
      <c r="CN12" s="57"/>
      <c r="CO12" s="57"/>
      <c r="CP12" s="57"/>
      <c r="CQ12" s="57"/>
      <c r="CR12" s="57"/>
      <c r="CS12" s="57"/>
      <c r="CT12" s="57"/>
      <c r="CU12" s="57"/>
      <c r="CV12" s="57"/>
      <c r="CW12" s="58"/>
      <c r="CX12" s="57"/>
      <c r="CY12" s="57"/>
      <c r="CZ12" s="57"/>
    </row>
    <row r="13" spans="1:104" s="56" customFormat="1" ht="14" thickBot="1">
      <c r="A13" s="57"/>
      <c r="B13" s="1505" t="s">
        <v>81</v>
      </c>
      <c r="C13" s="1505"/>
      <c r="D13" s="1505"/>
      <c r="E13" s="1505"/>
      <c r="F13" s="1505"/>
      <c r="G13" s="61"/>
      <c r="H13" s="1502"/>
      <c r="I13" s="1503"/>
      <c r="J13" s="1503"/>
      <c r="K13" s="1503"/>
      <c r="L13" s="1503"/>
      <c r="M13" s="1503"/>
      <c r="N13" s="1503"/>
      <c r="O13" s="1503"/>
      <c r="P13" s="1503"/>
      <c r="Q13" s="1503"/>
      <c r="R13" s="1504"/>
      <c r="S13" s="57"/>
      <c r="T13" s="1505" t="s">
        <v>80</v>
      </c>
      <c r="U13" s="1505"/>
      <c r="V13" s="1505"/>
      <c r="W13" s="1505"/>
      <c r="X13" s="1505"/>
      <c r="Y13" s="1505"/>
      <c r="Z13" s="1505"/>
      <c r="AA13" s="1505"/>
      <c r="AB13" s="1512"/>
      <c r="AC13" s="1513"/>
      <c r="AD13" s="1513"/>
      <c r="AE13" s="1513"/>
      <c r="AF13" s="1513"/>
      <c r="AG13" s="1513"/>
      <c r="AH13" s="1513"/>
      <c r="AI13" s="1514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BY13" s="57"/>
      <c r="BZ13" s="57"/>
      <c r="CA13" s="57"/>
      <c r="CB13" s="57"/>
      <c r="CC13" s="57"/>
      <c r="CD13" s="57"/>
      <c r="CE13" s="57"/>
      <c r="CF13" s="57"/>
      <c r="CG13" s="57"/>
      <c r="CH13" s="57"/>
      <c r="CI13" s="57"/>
      <c r="CJ13" s="57"/>
      <c r="CK13" s="57"/>
      <c r="CL13" s="57"/>
      <c r="CM13" s="57"/>
      <c r="CN13" s="57"/>
      <c r="CO13" s="57"/>
      <c r="CP13" s="57"/>
      <c r="CQ13" s="57"/>
      <c r="CR13" s="57"/>
      <c r="CS13" s="57"/>
      <c r="CT13" s="57"/>
      <c r="CU13" s="57"/>
      <c r="CV13" s="57"/>
      <c r="CW13" s="58"/>
      <c r="CX13" s="57"/>
      <c r="CY13" s="57"/>
      <c r="CZ13" s="57"/>
    </row>
    <row r="14" spans="1:104" s="56" customFormat="1" ht="14" thickBot="1">
      <c r="A14" s="57"/>
      <c r="B14" s="1505" t="s">
        <v>82</v>
      </c>
      <c r="C14" s="1505"/>
      <c r="D14" s="1505"/>
      <c r="E14" s="1505"/>
      <c r="F14" s="1505"/>
      <c r="G14" s="61"/>
      <c r="H14" s="1502"/>
      <c r="I14" s="1503"/>
      <c r="J14" s="1503"/>
      <c r="K14" s="1503"/>
      <c r="L14" s="1503"/>
      <c r="M14" s="1503"/>
      <c r="N14" s="1503"/>
      <c r="O14" s="1503"/>
      <c r="P14" s="1503"/>
      <c r="Q14" s="1503"/>
      <c r="R14" s="1504"/>
      <c r="S14" s="57"/>
      <c r="T14" s="1505"/>
      <c r="U14" s="1505"/>
      <c r="V14" s="1505"/>
      <c r="W14" s="1505"/>
      <c r="X14" s="1505"/>
      <c r="Y14" s="1505"/>
      <c r="Z14" s="1505"/>
      <c r="AA14" s="1505"/>
      <c r="AB14" s="1533"/>
      <c r="AC14" s="1534"/>
      <c r="AD14" s="1534"/>
      <c r="AE14" s="1534"/>
      <c r="AF14" s="1534"/>
      <c r="AG14" s="1534"/>
      <c r="AH14" s="1534"/>
      <c r="AI14" s="153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BY14" s="57"/>
      <c r="BZ14" s="57"/>
      <c r="CA14" s="57"/>
      <c r="CB14" s="57"/>
      <c r="CC14" s="57"/>
      <c r="CD14" s="57"/>
      <c r="CE14" s="57"/>
      <c r="CF14" s="57"/>
      <c r="CG14" s="57"/>
      <c r="CH14" s="57"/>
      <c r="CI14" s="57"/>
      <c r="CJ14" s="57"/>
      <c r="CK14" s="57"/>
      <c r="CL14" s="57"/>
      <c r="CM14" s="57"/>
      <c r="CN14" s="57"/>
      <c r="CO14" s="57"/>
      <c r="CP14" s="57"/>
      <c r="CQ14" s="57"/>
      <c r="CR14" s="57"/>
      <c r="CS14" s="57"/>
      <c r="CT14" s="57"/>
      <c r="CU14" s="57"/>
      <c r="CV14" s="57"/>
      <c r="CW14" s="58"/>
      <c r="CX14" s="57"/>
      <c r="CY14" s="57"/>
      <c r="CZ14" s="57"/>
    </row>
    <row r="15" spans="1:104" s="56" customFormat="1" ht="14" thickBot="1">
      <c r="A15" s="57"/>
      <c r="G15" s="61"/>
      <c r="H15" s="1509"/>
      <c r="I15" s="1510"/>
      <c r="J15" s="1510"/>
      <c r="K15" s="1510"/>
      <c r="L15" s="1510"/>
      <c r="M15" s="1510"/>
      <c r="N15" s="1510"/>
      <c r="O15" s="1510"/>
      <c r="P15" s="1510"/>
      <c r="Q15" s="1510"/>
      <c r="R15" s="1511"/>
      <c r="S15" s="57"/>
      <c r="T15" s="1505" t="s">
        <v>18</v>
      </c>
      <c r="U15" s="1505"/>
      <c r="V15" s="1505"/>
      <c r="W15" s="1505"/>
      <c r="X15" s="1505"/>
      <c r="Y15" s="1505"/>
      <c r="Z15" s="1505"/>
      <c r="AA15" s="1505"/>
      <c r="AB15" s="1512"/>
      <c r="AC15" s="1513"/>
      <c r="AD15" s="1513"/>
      <c r="AE15" s="1513"/>
      <c r="AF15" s="1513"/>
      <c r="AG15" s="1513"/>
      <c r="AH15" s="1513"/>
      <c r="AI15" s="1514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BY15" s="57"/>
      <c r="BZ15" s="57"/>
      <c r="CA15" s="57"/>
      <c r="CB15" s="57"/>
      <c r="CC15" s="57"/>
      <c r="CD15" s="57"/>
      <c r="CE15" s="57"/>
      <c r="CF15" s="57"/>
      <c r="CG15" s="57"/>
      <c r="CH15" s="57"/>
      <c r="CI15" s="57"/>
      <c r="CJ15" s="57"/>
      <c r="CK15" s="57"/>
      <c r="CL15" s="57"/>
      <c r="CM15" s="57"/>
      <c r="CN15" s="57"/>
      <c r="CO15" s="57"/>
      <c r="CP15" s="57"/>
      <c r="CQ15" s="57"/>
      <c r="CR15" s="57"/>
      <c r="CS15" s="57"/>
      <c r="CT15" s="57"/>
      <c r="CU15" s="57"/>
      <c r="CV15" s="57"/>
      <c r="CW15" s="58"/>
      <c r="CX15" s="57"/>
      <c r="CY15" s="57"/>
      <c r="CZ15" s="57"/>
    </row>
    <row r="16" spans="1:104" s="56" customFormat="1" ht="13">
      <c r="A16" s="57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57"/>
      <c r="T16" s="60"/>
      <c r="U16" s="60"/>
      <c r="V16" s="60"/>
      <c r="W16" s="60"/>
      <c r="X16" s="60"/>
      <c r="Y16" s="60"/>
      <c r="Z16" s="60"/>
      <c r="AA16" s="60"/>
      <c r="AB16" s="62"/>
      <c r="AC16" s="62"/>
      <c r="AD16" s="62"/>
      <c r="AE16" s="62"/>
      <c r="AF16" s="62"/>
      <c r="AG16" s="62"/>
      <c r="AH16" s="62"/>
      <c r="AI16" s="62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BY16" s="57"/>
      <c r="BZ16" s="57"/>
      <c r="CA16" s="57"/>
      <c r="CB16" s="57"/>
      <c r="CC16" s="57"/>
      <c r="CD16" s="57"/>
      <c r="CE16" s="57"/>
      <c r="CF16" s="57"/>
      <c r="CG16" s="57"/>
      <c r="CH16" s="57"/>
      <c r="CI16" s="57"/>
      <c r="CJ16" s="57"/>
      <c r="CK16" s="57"/>
      <c r="CL16" s="57"/>
      <c r="CM16" s="57"/>
      <c r="CN16" s="57"/>
      <c r="CO16" s="57"/>
      <c r="CP16" s="57"/>
      <c r="CQ16" s="57"/>
      <c r="CR16" s="57"/>
      <c r="CS16" s="57"/>
      <c r="CT16" s="57"/>
      <c r="CU16" s="57"/>
      <c r="CV16" s="57"/>
      <c r="CW16" s="58"/>
      <c r="CX16" s="57"/>
      <c r="CY16" s="57"/>
      <c r="CZ16" s="57"/>
    </row>
    <row r="17" spans="1:104" s="56" customFormat="1" ht="13">
      <c r="A17" s="57"/>
      <c r="B17" s="1505" t="s">
        <v>83</v>
      </c>
      <c r="C17" s="1505"/>
      <c r="D17" s="1505"/>
      <c r="E17" s="1505"/>
      <c r="F17" s="1505"/>
      <c r="G17" s="1505"/>
      <c r="H17" s="1505"/>
      <c r="I17" s="1505"/>
      <c r="J17" s="1505"/>
      <c r="K17" s="1505"/>
      <c r="L17" s="1505"/>
      <c r="M17" s="1505"/>
      <c r="N17" s="1505"/>
      <c r="O17" s="1505"/>
      <c r="P17" s="1505"/>
      <c r="Q17" s="1505"/>
      <c r="R17" s="1505"/>
      <c r="S17" s="1505"/>
      <c r="T17" s="1505"/>
      <c r="U17" s="1505"/>
      <c r="V17" s="1505"/>
      <c r="W17" s="1505"/>
      <c r="X17" s="1505"/>
      <c r="Y17" s="1505"/>
      <c r="Z17" s="57"/>
      <c r="AA17" s="57"/>
      <c r="AB17" s="63"/>
      <c r="AC17" s="63"/>
      <c r="AD17" s="63"/>
      <c r="AE17" s="63"/>
      <c r="AF17" s="63"/>
      <c r="AH17" s="64"/>
      <c r="AI17" s="64"/>
      <c r="BY17" s="57"/>
      <c r="BZ17" s="57"/>
      <c r="CA17" s="57"/>
      <c r="CB17" s="57"/>
      <c r="CC17" s="57"/>
      <c r="CD17" s="57"/>
      <c r="CE17" s="57"/>
      <c r="CF17" s="57"/>
      <c r="CG17" s="57"/>
      <c r="CH17" s="57"/>
      <c r="CI17" s="57"/>
      <c r="CJ17" s="57"/>
      <c r="CK17" s="57"/>
      <c r="CL17" s="57"/>
      <c r="CM17" s="57"/>
      <c r="CN17" s="57"/>
      <c r="CO17" s="57"/>
      <c r="CP17" s="57"/>
      <c r="CQ17" s="57"/>
      <c r="CR17" s="57"/>
      <c r="CS17" s="57"/>
      <c r="CT17" s="57"/>
      <c r="CU17" s="57"/>
      <c r="CV17" s="57"/>
      <c r="CW17" s="57"/>
      <c r="CX17" s="57"/>
      <c r="CY17" s="57"/>
      <c r="CZ17" s="57"/>
    </row>
    <row r="18" spans="1:104" s="56" customFormat="1" ht="6" customHeight="1">
      <c r="A18" s="57"/>
      <c r="B18" s="57"/>
      <c r="C18" s="57"/>
      <c r="D18" s="57"/>
      <c r="E18" s="57"/>
      <c r="F18" s="57"/>
      <c r="G18" s="57"/>
      <c r="H18" s="57"/>
      <c r="I18" s="57"/>
      <c r="J18" s="60"/>
      <c r="K18" s="60"/>
      <c r="L18" s="60"/>
      <c r="M18" s="60"/>
      <c r="N18" s="60"/>
      <c r="O18" s="60"/>
      <c r="P18" s="60"/>
      <c r="Q18" s="60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63"/>
      <c r="AC18" s="63"/>
      <c r="AD18" s="63"/>
      <c r="AE18" s="63"/>
      <c r="AF18" s="63"/>
      <c r="AH18" s="64"/>
      <c r="AI18" s="64"/>
      <c r="BY18" s="57"/>
      <c r="BZ18" s="57"/>
      <c r="CA18" s="57"/>
      <c r="CB18" s="57"/>
      <c r="CC18" s="57"/>
      <c r="CD18" s="57"/>
      <c r="CE18" s="57"/>
      <c r="CF18" s="57"/>
      <c r="CG18" s="57"/>
      <c r="CH18" s="57"/>
      <c r="CI18" s="57"/>
      <c r="CJ18" s="57"/>
      <c r="CK18" s="57"/>
      <c r="CL18" s="57"/>
      <c r="CM18" s="57"/>
      <c r="CN18" s="57"/>
      <c r="CO18" s="57"/>
      <c r="CP18" s="57"/>
      <c r="CQ18" s="57"/>
      <c r="CR18" s="57"/>
      <c r="CS18" s="57"/>
      <c r="CT18" s="57"/>
      <c r="CU18" s="57"/>
      <c r="CV18" s="57"/>
      <c r="CW18" s="57"/>
      <c r="CX18" s="57"/>
      <c r="CY18" s="57"/>
      <c r="CZ18" s="57"/>
    </row>
    <row r="19" spans="1:104" s="56" customFormat="1" ht="13.5" customHeight="1">
      <c r="A19" s="57"/>
      <c r="B19" s="1524"/>
      <c r="C19" s="1525"/>
      <c r="D19" s="1525"/>
      <c r="E19" s="1525"/>
      <c r="F19" s="1525"/>
      <c r="G19" s="1525"/>
      <c r="H19" s="1525"/>
      <c r="I19" s="1525"/>
      <c r="J19" s="1525"/>
      <c r="K19" s="1525"/>
      <c r="L19" s="1525"/>
      <c r="M19" s="1525"/>
      <c r="N19" s="1525"/>
      <c r="O19" s="1525"/>
      <c r="P19" s="1525"/>
      <c r="Q19" s="1525"/>
      <c r="R19" s="1525"/>
      <c r="S19" s="1525"/>
      <c r="T19" s="1525"/>
      <c r="U19" s="1525"/>
      <c r="V19" s="1525"/>
      <c r="W19" s="1525"/>
      <c r="X19" s="1525"/>
      <c r="Y19" s="1525"/>
      <c r="Z19" s="1525"/>
      <c r="AA19" s="1525"/>
      <c r="AB19" s="1525"/>
      <c r="AC19" s="1525"/>
      <c r="AD19" s="1525"/>
      <c r="AE19" s="1525"/>
      <c r="AF19" s="1525"/>
      <c r="AG19" s="1525"/>
      <c r="AH19" s="1525"/>
      <c r="AI19" s="1526"/>
      <c r="BY19" s="57"/>
      <c r="BZ19" s="57"/>
      <c r="CA19" s="57"/>
      <c r="CB19" s="57"/>
      <c r="CC19" s="57"/>
      <c r="CD19" s="57"/>
      <c r="CE19" s="57"/>
      <c r="CF19" s="57"/>
      <c r="CG19" s="57"/>
      <c r="CH19" s="57"/>
      <c r="CI19" s="57"/>
      <c r="CJ19" s="57"/>
      <c r="CK19" s="57"/>
      <c r="CL19" s="57"/>
      <c r="CM19" s="57"/>
      <c r="CN19" s="57"/>
      <c r="CO19" s="57"/>
      <c r="CP19" s="57"/>
      <c r="CQ19" s="57"/>
      <c r="CR19" s="57"/>
      <c r="CS19" s="57"/>
      <c r="CT19" s="57"/>
      <c r="CU19" s="57"/>
      <c r="CV19" s="57"/>
      <c r="CW19" s="57"/>
      <c r="CX19" s="57"/>
      <c r="CY19" s="57"/>
      <c r="CZ19" s="57"/>
    </row>
    <row r="20" spans="1:104" s="56" customFormat="1" ht="14.25" customHeight="1">
      <c r="A20" s="57"/>
      <c r="B20" s="1527"/>
      <c r="C20" s="1528"/>
      <c r="D20" s="1528"/>
      <c r="E20" s="1528"/>
      <c r="F20" s="1528"/>
      <c r="G20" s="1528"/>
      <c r="H20" s="1528"/>
      <c r="I20" s="1528"/>
      <c r="J20" s="1528"/>
      <c r="K20" s="1528"/>
      <c r="L20" s="1528"/>
      <c r="M20" s="1528"/>
      <c r="N20" s="1528"/>
      <c r="O20" s="1528"/>
      <c r="P20" s="1528"/>
      <c r="Q20" s="1528"/>
      <c r="R20" s="1528"/>
      <c r="S20" s="1528"/>
      <c r="T20" s="1528"/>
      <c r="U20" s="1528"/>
      <c r="V20" s="1528"/>
      <c r="W20" s="1528"/>
      <c r="X20" s="1528"/>
      <c r="Y20" s="1528"/>
      <c r="Z20" s="1528"/>
      <c r="AA20" s="1528"/>
      <c r="AB20" s="1528"/>
      <c r="AC20" s="1528"/>
      <c r="AD20" s="1528"/>
      <c r="AE20" s="1528"/>
      <c r="AF20" s="1528"/>
      <c r="AG20" s="1528"/>
      <c r="AH20" s="1528"/>
      <c r="AI20" s="1529"/>
      <c r="BY20" s="57"/>
      <c r="BZ20" s="57"/>
      <c r="CA20" s="57"/>
      <c r="CB20" s="57"/>
      <c r="CC20" s="57"/>
      <c r="CD20" s="57"/>
      <c r="CE20" s="57"/>
      <c r="CF20" s="57"/>
      <c r="CG20" s="57"/>
      <c r="CH20" s="57"/>
      <c r="CI20" s="57"/>
      <c r="CJ20" s="57"/>
      <c r="CK20" s="57"/>
      <c r="CL20" s="57"/>
      <c r="CM20" s="57"/>
      <c r="CN20" s="57"/>
      <c r="CO20" s="57"/>
      <c r="CP20" s="57"/>
      <c r="CQ20" s="57"/>
      <c r="CR20" s="57"/>
      <c r="CS20" s="57"/>
      <c r="CT20" s="57"/>
      <c r="CU20" s="57"/>
      <c r="CV20" s="57"/>
      <c r="CW20" s="57"/>
      <c r="CX20" s="57"/>
      <c r="CY20" s="57"/>
      <c r="CZ20" s="57"/>
    </row>
    <row r="21" spans="1:104" s="56" customFormat="1" ht="14.25" customHeight="1">
      <c r="A21" s="57"/>
      <c r="B21" s="1527"/>
      <c r="C21" s="1528"/>
      <c r="D21" s="1528"/>
      <c r="E21" s="1528"/>
      <c r="F21" s="1528"/>
      <c r="G21" s="1528"/>
      <c r="H21" s="1528"/>
      <c r="I21" s="1528"/>
      <c r="J21" s="1528"/>
      <c r="K21" s="1528"/>
      <c r="L21" s="1528"/>
      <c r="M21" s="1528"/>
      <c r="N21" s="1528"/>
      <c r="O21" s="1528"/>
      <c r="P21" s="1528"/>
      <c r="Q21" s="1528"/>
      <c r="R21" s="1528"/>
      <c r="S21" s="1528"/>
      <c r="T21" s="1528"/>
      <c r="U21" s="1528"/>
      <c r="V21" s="1528"/>
      <c r="W21" s="1528"/>
      <c r="X21" s="1528"/>
      <c r="Y21" s="1528"/>
      <c r="Z21" s="1528"/>
      <c r="AA21" s="1528"/>
      <c r="AB21" s="1528"/>
      <c r="AC21" s="1528"/>
      <c r="AD21" s="1528"/>
      <c r="AE21" s="1528"/>
      <c r="AF21" s="1528"/>
      <c r="AG21" s="1528"/>
      <c r="AH21" s="1528"/>
      <c r="AI21" s="1529"/>
      <c r="BY21" s="57"/>
      <c r="BZ21" s="57"/>
      <c r="CA21" s="57"/>
      <c r="CB21" s="57"/>
      <c r="CC21" s="57"/>
      <c r="CD21" s="57"/>
      <c r="CE21" s="57"/>
      <c r="CF21" s="57"/>
      <c r="CG21" s="57"/>
      <c r="CH21" s="57"/>
      <c r="CI21" s="57"/>
      <c r="CJ21" s="57"/>
      <c r="CK21" s="57"/>
      <c r="CL21" s="57"/>
      <c r="CM21" s="57"/>
      <c r="CN21" s="57"/>
      <c r="CO21" s="57"/>
      <c r="CP21" s="57"/>
      <c r="CQ21" s="57"/>
      <c r="CR21" s="57"/>
      <c r="CS21" s="57"/>
      <c r="CT21" s="57"/>
      <c r="CU21" s="57"/>
      <c r="CV21" s="57"/>
      <c r="CW21" s="57"/>
      <c r="CX21" s="57"/>
      <c r="CY21" s="57"/>
      <c r="CZ21" s="57"/>
    </row>
    <row r="22" spans="1:104" s="56" customFormat="1" ht="14.25" customHeight="1">
      <c r="A22" s="57"/>
      <c r="B22" s="1527"/>
      <c r="C22" s="1528"/>
      <c r="D22" s="1528"/>
      <c r="E22" s="1528"/>
      <c r="F22" s="1528"/>
      <c r="G22" s="1528"/>
      <c r="H22" s="1528"/>
      <c r="I22" s="1528"/>
      <c r="J22" s="1528"/>
      <c r="K22" s="1528"/>
      <c r="L22" s="1528"/>
      <c r="M22" s="1528"/>
      <c r="N22" s="1528"/>
      <c r="O22" s="1528"/>
      <c r="P22" s="1528"/>
      <c r="Q22" s="1528"/>
      <c r="R22" s="1528"/>
      <c r="S22" s="1528"/>
      <c r="T22" s="1528"/>
      <c r="U22" s="1528"/>
      <c r="V22" s="1528"/>
      <c r="W22" s="1528"/>
      <c r="X22" s="1528"/>
      <c r="Y22" s="1528"/>
      <c r="Z22" s="1528"/>
      <c r="AA22" s="1528"/>
      <c r="AB22" s="1528"/>
      <c r="AC22" s="1528"/>
      <c r="AD22" s="1528"/>
      <c r="AE22" s="1528"/>
      <c r="AF22" s="1528"/>
      <c r="AG22" s="1528"/>
      <c r="AH22" s="1528"/>
      <c r="AI22" s="1529"/>
      <c r="BY22" s="57"/>
      <c r="BZ22" s="57"/>
      <c r="CA22" s="57"/>
      <c r="CB22" s="57"/>
      <c r="CC22" s="57"/>
      <c r="CD22" s="57"/>
      <c r="CE22" s="57"/>
      <c r="CF22" s="57"/>
      <c r="CG22" s="57"/>
      <c r="CH22" s="57"/>
      <c r="CI22" s="57"/>
      <c r="CJ22" s="57"/>
      <c r="CK22" s="57"/>
      <c r="CL22" s="57"/>
      <c r="CM22" s="57"/>
      <c r="CN22" s="57"/>
      <c r="CO22" s="57"/>
      <c r="CP22" s="57"/>
      <c r="CQ22" s="57"/>
      <c r="CR22" s="57"/>
      <c r="CS22" s="57"/>
      <c r="CT22" s="57"/>
      <c r="CU22" s="57"/>
      <c r="CV22" s="57"/>
      <c r="CW22" s="57"/>
      <c r="CX22" s="57"/>
      <c r="CY22" s="57"/>
      <c r="CZ22" s="57"/>
    </row>
    <row r="23" spans="1:104" s="56" customFormat="1" ht="14.25" customHeight="1" thickBot="1">
      <c r="A23" s="57"/>
      <c r="B23" s="1530"/>
      <c r="C23" s="1531"/>
      <c r="D23" s="1531"/>
      <c r="E23" s="1531"/>
      <c r="F23" s="1531"/>
      <c r="G23" s="1531"/>
      <c r="H23" s="1531"/>
      <c r="I23" s="1531"/>
      <c r="J23" s="1531"/>
      <c r="K23" s="1531"/>
      <c r="L23" s="1531"/>
      <c r="M23" s="1531"/>
      <c r="N23" s="1531"/>
      <c r="O23" s="1531"/>
      <c r="P23" s="1531"/>
      <c r="Q23" s="1531"/>
      <c r="R23" s="1531"/>
      <c r="S23" s="1531"/>
      <c r="T23" s="1531"/>
      <c r="U23" s="1531"/>
      <c r="V23" s="1531"/>
      <c r="W23" s="1531"/>
      <c r="X23" s="1531"/>
      <c r="Y23" s="1531"/>
      <c r="Z23" s="1531"/>
      <c r="AA23" s="1531"/>
      <c r="AB23" s="1531"/>
      <c r="AC23" s="1531"/>
      <c r="AD23" s="1531"/>
      <c r="AE23" s="1531"/>
      <c r="AF23" s="1531"/>
      <c r="AG23" s="1531"/>
      <c r="AH23" s="1531"/>
      <c r="AI23" s="1532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BY23" s="57"/>
      <c r="BZ23" s="57"/>
      <c r="CA23" s="57"/>
      <c r="CB23" s="57"/>
      <c r="CC23" s="57"/>
      <c r="CD23" s="57"/>
      <c r="CE23" s="57"/>
      <c r="CF23" s="57"/>
      <c r="CG23" s="57"/>
      <c r="CH23" s="57"/>
      <c r="CI23" s="57"/>
      <c r="CJ23" s="57"/>
      <c r="CK23" s="57"/>
      <c r="CL23" s="57"/>
      <c r="CM23" s="57"/>
      <c r="CN23" s="57"/>
      <c r="CO23" s="57"/>
      <c r="CP23" s="57"/>
      <c r="CQ23" s="57"/>
      <c r="CR23" s="57"/>
      <c r="CS23" s="57"/>
      <c r="CT23" s="57"/>
      <c r="CU23" s="57"/>
      <c r="CV23" s="57"/>
      <c r="CW23" s="58"/>
      <c r="CX23" s="57"/>
      <c r="CY23" s="57"/>
      <c r="CZ23" s="57"/>
    </row>
    <row r="24" spans="1:104" s="56" customFormat="1" ht="12.75" customHeight="1" thickBot="1">
      <c r="A24" s="57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BY24" s="57"/>
      <c r="BZ24" s="57"/>
      <c r="CA24" s="57"/>
      <c r="CB24" s="57"/>
      <c r="CC24" s="57"/>
      <c r="CD24" s="57"/>
      <c r="CE24" s="57"/>
      <c r="CF24" s="57"/>
      <c r="CG24" s="57"/>
      <c r="CH24" s="57"/>
      <c r="CI24" s="57"/>
      <c r="CJ24" s="57"/>
      <c r="CK24" s="57"/>
      <c r="CL24" s="57"/>
      <c r="CM24" s="57"/>
      <c r="CN24" s="57"/>
      <c r="CO24" s="57"/>
      <c r="CP24" s="57"/>
      <c r="CQ24" s="57"/>
      <c r="CR24" s="57"/>
      <c r="CS24" s="57"/>
      <c r="CT24" s="57"/>
      <c r="CU24" s="57"/>
      <c r="CV24" s="57"/>
      <c r="CW24" s="58"/>
      <c r="CX24" s="57"/>
      <c r="CY24" s="57"/>
      <c r="CZ24" s="57"/>
    </row>
    <row r="25" spans="1:104" s="56" customFormat="1" ht="12.75" customHeight="1" thickTop="1">
      <c r="A25" s="1501" t="s">
        <v>245</v>
      </c>
      <c r="B25" s="1501"/>
      <c r="C25" s="1501"/>
      <c r="D25" s="1501"/>
      <c r="E25" s="1501"/>
      <c r="F25" s="1501"/>
      <c r="G25" s="1501"/>
      <c r="H25" s="1501"/>
      <c r="I25" s="1501"/>
      <c r="J25" s="1501"/>
      <c r="K25" s="1501"/>
      <c r="L25" s="1501"/>
      <c r="M25" s="1501"/>
      <c r="N25" s="1501"/>
      <c r="O25" s="1501"/>
      <c r="P25" s="1501"/>
      <c r="Q25" s="1501"/>
      <c r="R25" s="1501"/>
      <c r="S25" s="1501"/>
      <c r="T25" s="1501"/>
      <c r="U25" s="1501"/>
      <c r="V25" s="1501"/>
      <c r="W25" s="1501"/>
      <c r="X25" s="1501"/>
      <c r="Y25" s="1501"/>
      <c r="Z25" s="1501"/>
      <c r="AA25" s="1501"/>
      <c r="AB25" s="1501"/>
      <c r="AC25" s="1501"/>
      <c r="AD25" s="1501"/>
      <c r="AE25" s="1501"/>
      <c r="AF25" s="1501"/>
      <c r="AG25" s="1501"/>
      <c r="AH25" s="1501"/>
      <c r="AI25" s="1501"/>
      <c r="BY25" s="57"/>
      <c r="BZ25" s="57"/>
      <c r="CA25" s="57"/>
      <c r="CB25" s="57"/>
      <c r="CC25" s="57"/>
      <c r="CD25" s="57"/>
      <c r="CE25" s="57"/>
      <c r="CF25" s="57"/>
      <c r="CG25" s="57"/>
      <c r="CH25" s="57"/>
      <c r="CI25" s="57"/>
      <c r="CJ25" s="57"/>
      <c r="CK25" s="57"/>
      <c r="CL25" s="57"/>
      <c r="CM25" s="57"/>
      <c r="CN25" s="57"/>
      <c r="CO25" s="57"/>
      <c r="CP25" s="57"/>
      <c r="CQ25" s="57"/>
      <c r="CR25" s="57"/>
      <c r="CS25" s="57"/>
      <c r="CT25" s="57"/>
      <c r="CU25" s="57"/>
      <c r="CV25" s="57"/>
      <c r="CW25" s="57"/>
      <c r="CX25" s="57"/>
      <c r="CY25" s="57"/>
      <c r="CZ25" s="57"/>
    </row>
    <row r="26" spans="1:104" s="56" customFormat="1" ht="12.75" customHeight="1">
      <c r="A26" s="66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0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BY26" s="57"/>
      <c r="BZ26" s="57"/>
      <c r="CA26" s="57"/>
      <c r="CB26" s="57"/>
      <c r="CC26" s="57"/>
      <c r="CD26" s="57"/>
      <c r="CE26" s="57"/>
      <c r="CF26" s="57"/>
      <c r="CG26" s="57"/>
      <c r="CH26" s="57"/>
      <c r="CI26" s="57"/>
      <c r="CJ26" s="57"/>
      <c r="CK26" s="57"/>
      <c r="CL26" s="57"/>
      <c r="CM26" s="57"/>
      <c r="CN26" s="57"/>
      <c r="CO26" s="57"/>
      <c r="CP26" s="57"/>
      <c r="CQ26" s="57"/>
      <c r="CR26" s="57"/>
      <c r="CS26" s="57"/>
      <c r="CT26" s="57"/>
      <c r="CU26" s="57"/>
      <c r="CV26" s="57"/>
      <c r="CW26" s="57"/>
      <c r="CX26" s="57"/>
      <c r="CY26" s="57"/>
      <c r="CZ26" s="57"/>
    </row>
    <row r="27" spans="1:104" s="56" customFormat="1" ht="12.75" customHeight="1">
      <c r="A27" s="66"/>
      <c r="B27" s="1522" t="s">
        <v>85</v>
      </c>
      <c r="C27" s="1522"/>
      <c r="D27" s="1522"/>
      <c r="E27" s="1522"/>
      <c r="F27" s="1522"/>
      <c r="G27" s="1522"/>
      <c r="H27" s="1522"/>
      <c r="I27" s="57"/>
      <c r="J27" s="1519"/>
      <c r="K27" s="1520"/>
      <c r="L27" s="1520"/>
      <c r="M27" s="1520"/>
      <c r="N27" s="1520"/>
      <c r="O27" s="1521"/>
      <c r="P27" s="57"/>
      <c r="Q27" s="57"/>
      <c r="R27" s="57"/>
      <c r="S27" s="1522" t="s">
        <v>86</v>
      </c>
      <c r="T27" s="1522"/>
      <c r="U27" s="1522"/>
      <c r="V27" s="1522"/>
      <c r="W27" s="1522"/>
      <c r="X27" s="1522"/>
      <c r="Y27" s="1522"/>
      <c r="Z27" s="1522"/>
      <c r="AA27" s="1522"/>
      <c r="AB27" s="57"/>
      <c r="AC27" s="57"/>
      <c r="AD27" s="1519"/>
      <c r="AE27" s="1520"/>
      <c r="AF27" s="1520"/>
      <c r="AG27" s="1520"/>
      <c r="AH27" s="1520"/>
      <c r="AI27" s="1521"/>
      <c r="BY27" s="57"/>
      <c r="BZ27" s="57"/>
      <c r="CA27" s="57"/>
      <c r="CB27" s="57"/>
      <c r="CC27" s="57"/>
      <c r="CD27" s="57"/>
      <c r="CE27" s="57"/>
      <c r="CF27" s="57"/>
      <c r="CG27" s="57"/>
      <c r="CH27" s="57"/>
      <c r="CI27" s="57"/>
      <c r="CJ27" s="57"/>
      <c r="CK27" s="57"/>
      <c r="CL27" s="57"/>
      <c r="CM27" s="57"/>
      <c r="CN27" s="57"/>
      <c r="CO27" s="57"/>
      <c r="CP27" s="57"/>
      <c r="CQ27" s="57"/>
      <c r="CR27" s="57"/>
      <c r="CS27" s="57"/>
      <c r="CT27" s="57"/>
      <c r="CU27" s="57"/>
      <c r="CV27" s="57"/>
      <c r="CW27" s="57"/>
      <c r="CX27" s="57"/>
      <c r="CY27" s="57"/>
      <c r="CZ27" s="57"/>
    </row>
    <row r="28" spans="1:104" s="56" customFormat="1" ht="12.75" customHeight="1">
      <c r="A28" s="66"/>
      <c r="B28" s="1505" t="s">
        <v>87</v>
      </c>
      <c r="C28" s="1505"/>
      <c r="D28" s="1505"/>
      <c r="E28" s="1505"/>
      <c r="F28" s="1505"/>
      <c r="G28" s="1505"/>
      <c r="H28" s="1505"/>
      <c r="I28" s="60"/>
      <c r="J28" s="1519"/>
      <c r="K28" s="1520"/>
      <c r="L28" s="1520"/>
      <c r="M28" s="1520"/>
      <c r="N28" s="1520"/>
      <c r="O28" s="1521"/>
      <c r="P28" s="57"/>
      <c r="Q28" s="57"/>
      <c r="R28" s="57"/>
      <c r="S28" s="1522" t="s">
        <v>88</v>
      </c>
      <c r="T28" s="1522"/>
      <c r="U28" s="1522"/>
      <c r="V28" s="1522"/>
      <c r="W28" s="1522"/>
      <c r="X28" s="1522"/>
      <c r="Y28" s="1522"/>
      <c r="Z28" s="1522"/>
      <c r="AA28" s="1522"/>
      <c r="AB28" s="67"/>
      <c r="AC28" s="57"/>
      <c r="AD28" s="1519"/>
      <c r="AE28" s="1520"/>
      <c r="AF28" s="1520"/>
      <c r="AG28" s="1520"/>
      <c r="AH28" s="1520"/>
      <c r="AI28" s="1521"/>
      <c r="BY28" s="57"/>
      <c r="BZ28" s="57"/>
      <c r="CA28" s="57"/>
      <c r="CB28" s="57"/>
      <c r="CC28" s="57"/>
      <c r="CD28" s="57"/>
      <c r="CE28" s="57"/>
      <c r="CF28" s="57"/>
      <c r="CG28" s="57"/>
      <c r="CH28" s="57"/>
      <c r="CI28" s="57"/>
      <c r="CJ28" s="57"/>
      <c r="CK28" s="57"/>
      <c r="CL28" s="57"/>
      <c r="CM28" s="57"/>
      <c r="CN28" s="57"/>
      <c r="CO28" s="57"/>
      <c r="CP28" s="57"/>
      <c r="CQ28" s="57"/>
      <c r="CR28" s="57"/>
      <c r="CS28" s="57"/>
      <c r="CT28" s="57"/>
      <c r="CU28" s="57"/>
      <c r="CV28" s="57"/>
      <c r="CW28" s="57"/>
      <c r="CX28" s="57"/>
      <c r="CY28" s="57"/>
      <c r="CZ28" s="57"/>
    </row>
    <row r="29" spans="1:104" s="56" customFormat="1" ht="12.75" customHeight="1">
      <c r="A29" s="66"/>
      <c r="B29" s="1505" t="s">
        <v>89</v>
      </c>
      <c r="C29" s="1505"/>
      <c r="D29" s="1505"/>
      <c r="E29" s="1505"/>
      <c r="F29" s="1505"/>
      <c r="G29" s="1505"/>
      <c r="H29" s="1505"/>
      <c r="I29" s="60"/>
      <c r="J29" s="1519"/>
      <c r="K29" s="1520"/>
      <c r="L29" s="1520"/>
      <c r="M29" s="1520"/>
      <c r="N29" s="1520"/>
      <c r="O29" s="1521"/>
      <c r="P29" s="57"/>
      <c r="Q29" s="57"/>
      <c r="R29" s="57"/>
      <c r="S29" s="1522" t="s">
        <v>90</v>
      </c>
      <c r="T29" s="1522"/>
      <c r="U29" s="1522"/>
      <c r="V29" s="1522"/>
      <c r="W29" s="1522"/>
      <c r="X29" s="1522"/>
      <c r="Y29" s="1522"/>
      <c r="Z29" s="1522"/>
      <c r="AA29" s="1522"/>
      <c r="AB29" s="1522"/>
      <c r="AC29" s="1523"/>
      <c r="AD29" s="1519"/>
      <c r="AE29" s="1520"/>
      <c r="AF29" s="1520"/>
      <c r="AG29" s="1520"/>
      <c r="AH29" s="1520"/>
      <c r="AI29" s="1521"/>
      <c r="BY29" s="57"/>
      <c r="BZ29" s="57"/>
      <c r="CA29" s="57"/>
      <c r="CB29" s="57"/>
      <c r="CC29" s="57"/>
      <c r="CD29" s="57"/>
      <c r="CE29" s="57"/>
      <c r="CF29" s="57"/>
      <c r="CG29" s="57"/>
      <c r="CH29" s="57"/>
      <c r="CI29" s="57"/>
      <c r="CJ29" s="57"/>
      <c r="CK29" s="57"/>
      <c r="CL29" s="57"/>
      <c r="CM29" s="57"/>
      <c r="CN29" s="57"/>
      <c r="CO29" s="57"/>
      <c r="CP29" s="57"/>
      <c r="CQ29" s="57"/>
      <c r="CR29" s="57"/>
      <c r="CS29" s="57"/>
      <c r="CT29" s="57"/>
      <c r="CU29" s="57"/>
      <c r="CV29" s="57"/>
      <c r="CW29" s="57"/>
      <c r="CX29" s="57"/>
      <c r="CY29" s="57"/>
      <c r="CZ29" s="57"/>
    </row>
    <row r="30" spans="1:104" s="56" customFormat="1" ht="12.75" customHeight="1" thickBot="1">
      <c r="A30" s="66"/>
      <c r="B30" s="1522" t="s">
        <v>91</v>
      </c>
      <c r="C30" s="1522"/>
      <c r="D30" s="1522"/>
      <c r="E30" s="1522"/>
      <c r="F30" s="1522"/>
      <c r="G30" s="1522"/>
      <c r="H30" s="1522"/>
      <c r="I30" s="57"/>
      <c r="J30" s="1543"/>
      <c r="K30" s="1544"/>
      <c r="L30" s="1544"/>
      <c r="M30" s="1544"/>
      <c r="N30" s="1544"/>
      <c r="O30" s="1545"/>
      <c r="P30" s="57"/>
      <c r="Q30" s="57"/>
      <c r="R30" s="57"/>
      <c r="S30" s="1522" t="s">
        <v>92</v>
      </c>
      <c r="T30" s="1522"/>
      <c r="U30" s="1522"/>
      <c r="V30" s="1522"/>
      <c r="W30" s="1522"/>
      <c r="X30" s="1522"/>
      <c r="Y30" s="1522"/>
      <c r="Z30" s="1522"/>
      <c r="AA30" s="1522"/>
      <c r="AB30" s="1522"/>
      <c r="AC30" s="1523"/>
      <c r="AD30" s="1543"/>
      <c r="AE30" s="1544"/>
      <c r="AF30" s="1544"/>
      <c r="AG30" s="1544"/>
      <c r="AH30" s="1544"/>
      <c r="AI30" s="1545"/>
      <c r="BY30" s="57"/>
      <c r="BZ30" s="57"/>
      <c r="CA30" s="57"/>
      <c r="CB30" s="57"/>
      <c r="CC30" s="57"/>
      <c r="CD30" s="57"/>
      <c r="CE30" s="57"/>
      <c r="CF30" s="57"/>
      <c r="CG30" s="57"/>
      <c r="CH30" s="57"/>
      <c r="CI30" s="57"/>
      <c r="CJ30" s="57"/>
      <c r="CK30" s="57"/>
      <c r="CL30" s="57"/>
      <c r="CM30" s="57"/>
      <c r="CN30" s="57"/>
      <c r="CO30" s="57"/>
      <c r="CP30" s="57"/>
      <c r="CQ30" s="57"/>
      <c r="CR30" s="57"/>
      <c r="CS30" s="57"/>
      <c r="CT30" s="57"/>
      <c r="CU30" s="57"/>
      <c r="CV30" s="57"/>
      <c r="CW30" s="57"/>
      <c r="CX30" s="57"/>
      <c r="CY30" s="57"/>
      <c r="CZ30" s="57"/>
    </row>
    <row r="31" spans="1:104" s="56" customFormat="1" ht="12.75" customHeight="1">
      <c r="A31" s="57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57"/>
      <c r="BF31" s="57"/>
      <c r="BG31" s="57"/>
      <c r="BH31" s="57"/>
      <c r="BI31" s="57"/>
      <c r="BJ31" s="57"/>
      <c r="BK31" s="57"/>
      <c r="BL31" s="57"/>
      <c r="BM31" s="57"/>
      <c r="BN31" s="57"/>
      <c r="BO31" s="57"/>
      <c r="BP31" s="57"/>
      <c r="BQ31" s="57"/>
      <c r="BR31" s="57"/>
      <c r="BS31" s="57"/>
      <c r="BT31" s="57"/>
      <c r="BU31" s="57"/>
      <c r="BV31" s="57"/>
      <c r="BW31" s="57"/>
      <c r="BX31" s="57"/>
      <c r="BY31" s="57"/>
      <c r="BZ31" s="57"/>
      <c r="CA31" s="57"/>
      <c r="CB31" s="57"/>
      <c r="CC31" s="57"/>
      <c r="CD31" s="57"/>
      <c r="CE31" s="57"/>
      <c r="CF31" s="57"/>
      <c r="CG31" s="57"/>
      <c r="CH31" s="57"/>
      <c r="CI31" s="57"/>
      <c r="CJ31" s="57"/>
      <c r="CK31" s="57"/>
      <c r="CL31" s="57"/>
      <c r="CM31" s="57"/>
      <c r="CN31" s="57"/>
      <c r="CO31" s="57"/>
      <c r="CP31" s="57"/>
      <c r="CQ31" s="57"/>
      <c r="CR31" s="57"/>
      <c r="CS31" s="57"/>
      <c r="CT31" s="57"/>
      <c r="CU31" s="57"/>
      <c r="CV31" s="57"/>
      <c r="CW31" s="57"/>
      <c r="CX31" s="57"/>
      <c r="CY31" s="57"/>
      <c r="CZ31" s="57"/>
    </row>
    <row r="32" spans="1:104" s="56" customFormat="1" ht="12.75" customHeight="1">
      <c r="A32" s="57"/>
      <c r="B32" s="1505" t="s">
        <v>93</v>
      </c>
      <c r="C32" s="1505"/>
      <c r="D32" s="1505"/>
      <c r="E32" s="1505"/>
      <c r="F32" s="1505"/>
      <c r="G32" s="1505"/>
      <c r="H32" s="1505"/>
      <c r="I32" s="1536"/>
      <c r="J32" s="1537"/>
      <c r="K32" s="1538"/>
      <c r="L32" s="1538"/>
      <c r="M32" s="1538"/>
      <c r="N32" s="1538"/>
      <c r="O32" s="1539"/>
      <c r="P32" s="68"/>
      <c r="R32" s="60"/>
      <c r="S32" s="1505" t="s">
        <v>94</v>
      </c>
      <c r="T32" s="1505"/>
      <c r="U32" s="1505"/>
      <c r="V32" s="1505"/>
      <c r="W32" s="1505"/>
      <c r="X32" s="1505"/>
      <c r="Y32" s="1505"/>
      <c r="Z32" s="1505"/>
      <c r="AA32" s="1505"/>
      <c r="AB32" s="1505"/>
      <c r="AC32" s="69"/>
      <c r="AD32" s="1540"/>
      <c r="AE32" s="1541"/>
      <c r="AF32" s="1541"/>
      <c r="AG32" s="1541"/>
      <c r="AH32" s="1541"/>
      <c r="AI32" s="1542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57"/>
      <c r="BF32" s="57"/>
      <c r="BG32" s="57"/>
      <c r="BH32" s="57"/>
      <c r="BI32" s="57"/>
      <c r="BJ32" s="57"/>
      <c r="BK32" s="57"/>
      <c r="BL32" s="57"/>
      <c r="BM32" s="57"/>
      <c r="BN32" s="57"/>
      <c r="BO32" s="57"/>
      <c r="BP32" s="57"/>
      <c r="BQ32" s="57"/>
      <c r="BR32" s="57"/>
      <c r="BS32" s="57"/>
      <c r="BT32" s="57"/>
      <c r="BU32" s="57"/>
      <c r="BV32" s="57"/>
      <c r="BW32" s="57"/>
      <c r="BX32" s="57"/>
      <c r="BY32" s="57"/>
      <c r="BZ32" s="57"/>
      <c r="CA32" s="57"/>
      <c r="CB32" s="57"/>
      <c r="CC32" s="57"/>
      <c r="CD32" s="57"/>
      <c r="CE32" s="57"/>
      <c r="CF32" s="57"/>
      <c r="CG32" s="57"/>
      <c r="CH32" s="57"/>
      <c r="CI32" s="57"/>
      <c r="CJ32" s="57"/>
      <c r="CK32" s="57"/>
      <c r="CL32" s="57"/>
      <c r="CM32" s="57"/>
      <c r="CN32" s="57"/>
      <c r="CO32" s="57"/>
      <c r="CP32" s="57"/>
      <c r="CQ32" s="57"/>
      <c r="CR32" s="57"/>
      <c r="CS32" s="57"/>
      <c r="CT32" s="57"/>
      <c r="CU32" s="57"/>
      <c r="CV32" s="57"/>
      <c r="CW32" s="57"/>
      <c r="CX32" s="57"/>
      <c r="CY32" s="57"/>
      <c r="CZ32" s="57"/>
    </row>
    <row r="33" spans="1:104" s="56" customFormat="1" ht="12.75" customHeight="1">
      <c r="A33" s="57"/>
      <c r="B33" s="1505" t="s">
        <v>95</v>
      </c>
      <c r="C33" s="1505"/>
      <c r="D33" s="1505"/>
      <c r="E33" s="1505"/>
      <c r="F33" s="1505"/>
      <c r="G33" s="1505"/>
      <c r="H33" s="1505"/>
      <c r="I33" s="1536"/>
      <c r="J33" s="1537"/>
      <c r="K33" s="1538"/>
      <c r="L33" s="1538"/>
      <c r="M33" s="1538"/>
      <c r="N33" s="1538"/>
      <c r="O33" s="1539"/>
      <c r="P33" s="70"/>
      <c r="R33" s="60"/>
      <c r="S33" s="1505" t="s">
        <v>96</v>
      </c>
      <c r="T33" s="1505"/>
      <c r="U33" s="1505"/>
      <c r="V33" s="1505"/>
      <c r="W33" s="1505"/>
      <c r="X33" s="1505"/>
      <c r="Y33" s="1505"/>
      <c r="Z33" s="1505"/>
      <c r="AA33" s="1505"/>
      <c r="AB33" s="1505"/>
      <c r="AC33" s="69"/>
      <c r="AD33" s="1540"/>
      <c r="AE33" s="1541"/>
      <c r="AF33" s="1541"/>
      <c r="AG33" s="1541"/>
      <c r="AH33" s="1541"/>
      <c r="AI33" s="1542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57"/>
      <c r="BF33" s="57"/>
      <c r="BG33" s="57"/>
      <c r="BH33" s="57"/>
      <c r="BI33" s="57"/>
      <c r="BJ33" s="57"/>
      <c r="BK33" s="57"/>
      <c r="BL33" s="57"/>
      <c r="BM33" s="57"/>
      <c r="BN33" s="57"/>
      <c r="BO33" s="57"/>
      <c r="BP33" s="57"/>
      <c r="BQ33" s="57"/>
      <c r="BR33" s="57"/>
      <c r="BS33" s="57"/>
      <c r="BT33" s="57"/>
      <c r="BU33" s="57"/>
      <c r="BV33" s="57"/>
      <c r="BW33" s="57"/>
      <c r="BX33" s="57"/>
      <c r="BY33" s="57"/>
      <c r="BZ33" s="57"/>
      <c r="CA33" s="57"/>
      <c r="CB33" s="57"/>
      <c r="CC33" s="57"/>
      <c r="CD33" s="57"/>
      <c r="CE33" s="57"/>
      <c r="CF33" s="57"/>
      <c r="CG33" s="57"/>
      <c r="CH33" s="57"/>
      <c r="CI33" s="57"/>
      <c r="CJ33" s="57"/>
      <c r="CK33" s="57"/>
      <c r="CL33" s="57"/>
      <c r="CM33" s="57"/>
      <c r="CN33" s="57"/>
      <c r="CO33" s="57"/>
      <c r="CP33" s="57"/>
      <c r="CQ33" s="57"/>
      <c r="CR33" s="57"/>
      <c r="CS33" s="57"/>
      <c r="CT33" s="57"/>
      <c r="CU33" s="57"/>
      <c r="CV33" s="57"/>
      <c r="CW33" s="57"/>
      <c r="CX33" s="57"/>
      <c r="CY33" s="57"/>
      <c r="CZ33" s="57"/>
    </row>
    <row r="34" spans="1:104" s="56" customFormat="1" ht="12.75" customHeight="1">
      <c r="A34" s="57"/>
      <c r="B34" s="1505" t="s">
        <v>97</v>
      </c>
      <c r="C34" s="1505"/>
      <c r="D34" s="1505"/>
      <c r="E34" s="1505"/>
      <c r="F34" s="1505"/>
      <c r="G34" s="1505"/>
      <c r="H34" s="1505"/>
      <c r="I34" s="1536"/>
      <c r="J34" s="1537"/>
      <c r="K34" s="1538"/>
      <c r="L34" s="1538"/>
      <c r="M34" s="1538"/>
      <c r="N34" s="1538"/>
      <c r="O34" s="1539"/>
      <c r="P34" s="68"/>
      <c r="R34" s="60"/>
      <c r="S34" s="1505" t="s">
        <v>98</v>
      </c>
      <c r="T34" s="1505"/>
      <c r="U34" s="1505"/>
      <c r="V34" s="1505"/>
      <c r="W34" s="1505"/>
      <c r="X34" s="1505"/>
      <c r="Y34" s="1505"/>
      <c r="Z34" s="1505"/>
      <c r="AA34" s="1505"/>
      <c r="AB34" s="1505"/>
      <c r="AC34" s="69"/>
      <c r="AD34" s="1540"/>
      <c r="AE34" s="1541"/>
      <c r="AF34" s="1541"/>
      <c r="AG34" s="1541"/>
      <c r="AH34" s="1541"/>
      <c r="AI34" s="1542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57"/>
      <c r="BJ34" s="57"/>
      <c r="BK34" s="57"/>
      <c r="BL34" s="57"/>
      <c r="BM34" s="57"/>
      <c r="BN34" s="57"/>
      <c r="BO34" s="57"/>
      <c r="BP34" s="57"/>
      <c r="BQ34" s="57"/>
      <c r="BR34" s="57"/>
      <c r="BS34" s="57"/>
      <c r="BT34" s="57"/>
      <c r="BU34" s="57"/>
      <c r="BV34" s="57"/>
      <c r="BW34" s="57"/>
      <c r="BX34" s="57"/>
      <c r="BY34" s="57"/>
      <c r="BZ34" s="57"/>
      <c r="CA34" s="57"/>
      <c r="CB34" s="57"/>
      <c r="CC34" s="57"/>
      <c r="CD34" s="57"/>
      <c r="CE34" s="57"/>
      <c r="CF34" s="57"/>
      <c r="CG34" s="57"/>
      <c r="CH34" s="57"/>
      <c r="CI34" s="57"/>
      <c r="CJ34" s="57"/>
      <c r="CK34" s="57"/>
      <c r="CL34" s="57"/>
      <c r="CM34" s="57"/>
      <c r="CN34" s="57"/>
      <c r="CO34" s="57"/>
      <c r="CP34" s="57"/>
      <c r="CQ34" s="57"/>
      <c r="CR34" s="57"/>
      <c r="CS34" s="57"/>
      <c r="CT34" s="57"/>
      <c r="CU34" s="57"/>
      <c r="CV34" s="57"/>
      <c r="CW34" s="57"/>
      <c r="CX34" s="57"/>
      <c r="CY34" s="57"/>
      <c r="CZ34" s="57"/>
    </row>
    <row r="35" spans="1:104" s="56" customFormat="1" ht="12.75" customHeight="1">
      <c r="A35" s="57"/>
      <c r="B35" s="1505" t="s">
        <v>99</v>
      </c>
      <c r="C35" s="1505"/>
      <c r="D35" s="1505"/>
      <c r="E35" s="1505"/>
      <c r="F35" s="1505"/>
      <c r="G35" s="1505"/>
      <c r="H35" s="1505"/>
      <c r="I35" s="1536"/>
      <c r="J35" s="1555"/>
      <c r="K35" s="1556"/>
      <c r="L35" s="1556"/>
      <c r="M35" s="1556"/>
      <c r="N35" s="1556"/>
      <c r="O35" s="1557"/>
      <c r="P35" s="70"/>
      <c r="R35" s="60"/>
      <c r="S35" s="1505" t="s">
        <v>100</v>
      </c>
      <c r="T35" s="1505"/>
      <c r="U35" s="1505"/>
      <c r="V35" s="1505"/>
      <c r="W35" s="1505"/>
      <c r="X35" s="1505"/>
      <c r="Y35" s="1505"/>
      <c r="Z35" s="1505"/>
      <c r="AA35" s="1505"/>
      <c r="AB35" s="1505"/>
      <c r="AC35" s="69"/>
      <c r="AD35" s="1558"/>
      <c r="AE35" s="1559"/>
      <c r="AF35" s="1559"/>
      <c r="AG35" s="1559"/>
      <c r="AH35" s="1559"/>
      <c r="AI35" s="1560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7"/>
      <c r="BG35" s="57"/>
      <c r="BH35" s="57"/>
      <c r="BI35" s="57"/>
      <c r="BJ35" s="57"/>
      <c r="BK35" s="57"/>
      <c r="BL35" s="57"/>
      <c r="BM35" s="57"/>
      <c r="BN35" s="57"/>
      <c r="BO35" s="57"/>
      <c r="BP35" s="57"/>
      <c r="BQ35" s="57"/>
      <c r="BR35" s="57"/>
      <c r="BS35" s="57"/>
      <c r="BT35" s="57"/>
      <c r="BU35" s="57"/>
      <c r="BV35" s="57"/>
      <c r="BW35" s="57"/>
      <c r="BX35" s="57"/>
      <c r="BY35" s="57"/>
      <c r="BZ35" s="57"/>
      <c r="CA35" s="57"/>
      <c r="CB35" s="57"/>
      <c r="CC35" s="57"/>
      <c r="CD35" s="57"/>
      <c r="CE35" s="57"/>
      <c r="CF35" s="57"/>
      <c r="CG35" s="57"/>
      <c r="CH35" s="57"/>
      <c r="CI35" s="57"/>
      <c r="CJ35" s="57"/>
      <c r="CK35" s="57"/>
      <c r="CL35" s="57"/>
      <c r="CM35" s="57"/>
      <c r="CN35" s="57"/>
      <c r="CO35" s="57"/>
      <c r="CP35" s="57"/>
      <c r="CQ35" s="57"/>
      <c r="CR35" s="57"/>
      <c r="CS35" s="57"/>
      <c r="CT35" s="57"/>
      <c r="CU35" s="57"/>
      <c r="CV35" s="57"/>
      <c r="CW35" s="57"/>
      <c r="CX35" s="57"/>
      <c r="CY35" s="57"/>
      <c r="CZ35" s="57"/>
    </row>
    <row r="36" spans="1:104" s="56" customFormat="1" ht="12.75" customHeight="1">
      <c r="A36" s="57"/>
      <c r="B36" s="1505" t="s">
        <v>101</v>
      </c>
      <c r="C36" s="1505"/>
      <c r="D36" s="1505"/>
      <c r="E36" s="1505"/>
      <c r="F36" s="1505"/>
      <c r="G36" s="1505"/>
      <c r="H36" s="1505"/>
      <c r="I36" s="1505"/>
      <c r="J36" s="1561"/>
      <c r="K36" s="1562"/>
      <c r="L36" s="1562"/>
      <c r="M36" s="1562"/>
      <c r="N36" s="1562"/>
      <c r="O36" s="1563"/>
      <c r="P36" s="71"/>
      <c r="R36" s="57"/>
      <c r="S36" s="1505" t="s">
        <v>102</v>
      </c>
      <c r="T36" s="1505"/>
      <c r="U36" s="1505"/>
      <c r="V36" s="1505"/>
      <c r="W36" s="1505"/>
      <c r="X36" s="1505"/>
      <c r="Y36" s="1505"/>
      <c r="Z36" s="1505"/>
      <c r="AA36" s="1505"/>
      <c r="AB36" s="61"/>
      <c r="AC36" s="69"/>
      <c r="AD36" s="1540"/>
      <c r="AE36" s="1541"/>
      <c r="AF36" s="1541"/>
      <c r="AG36" s="1541"/>
      <c r="AH36" s="1541"/>
      <c r="AI36" s="1542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/>
      <c r="BG36" s="57"/>
      <c r="BH36" s="57"/>
      <c r="BI36" s="57"/>
      <c r="BJ36" s="57"/>
      <c r="BK36" s="57"/>
      <c r="BL36" s="57"/>
      <c r="BM36" s="57"/>
      <c r="BN36" s="57"/>
      <c r="BO36" s="57"/>
      <c r="BP36" s="57"/>
      <c r="BQ36" s="57"/>
      <c r="BR36" s="57"/>
      <c r="BS36" s="57"/>
      <c r="BT36" s="57"/>
      <c r="BU36" s="57"/>
      <c r="BV36" s="57"/>
      <c r="BW36" s="57"/>
      <c r="BX36" s="57"/>
      <c r="BY36" s="57"/>
      <c r="BZ36" s="57"/>
      <c r="CA36" s="57"/>
      <c r="CB36" s="57"/>
      <c r="CC36" s="57"/>
      <c r="CD36" s="57"/>
      <c r="CE36" s="57"/>
      <c r="CF36" s="57"/>
      <c r="CG36" s="57"/>
      <c r="CH36" s="57"/>
      <c r="CI36" s="57"/>
      <c r="CJ36" s="57"/>
      <c r="CK36" s="57"/>
      <c r="CL36" s="57"/>
      <c r="CM36" s="57"/>
      <c r="CN36" s="57"/>
      <c r="CO36" s="57"/>
      <c r="CP36" s="57"/>
      <c r="CQ36" s="57"/>
      <c r="CR36" s="57"/>
      <c r="CS36" s="57"/>
      <c r="CT36" s="57"/>
      <c r="CU36" s="57"/>
      <c r="CV36" s="57"/>
      <c r="CW36" s="57"/>
      <c r="CX36" s="57"/>
      <c r="CY36" s="57"/>
      <c r="CZ36" s="57"/>
    </row>
    <row r="37" spans="1:104" s="56" customFormat="1" ht="12.75" customHeight="1" thickBot="1">
      <c r="A37" s="57"/>
      <c r="B37" s="1505" t="s">
        <v>103</v>
      </c>
      <c r="C37" s="1505"/>
      <c r="D37" s="1505"/>
      <c r="E37" s="1505"/>
      <c r="F37" s="1505"/>
      <c r="G37" s="1505"/>
      <c r="H37" s="1505"/>
      <c r="I37" s="1505"/>
      <c r="J37" s="1546"/>
      <c r="K37" s="1547"/>
      <c r="L37" s="1547"/>
      <c r="M37" s="1547"/>
      <c r="N37" s="1547"/>
      <c r="O37" s="1548"/>
      <c r="P37" s="71"/>
      <c r="R37" s="57"/>
      <c r="S37" s="1505" t="s">
        <v>104</v>
      </c>
      <c r="T37" s="1505"/>
      <c r="U37" s="1505"/>
      <c r="V37" s="1505"/>
      <c r="W37" s="1505"/>
      <c r="X37" s="1505"/>
      <c r="Y37" s="1505"/>
      <c r="Z37" s="1505"/>
      <c r="AA37" s="1505"/>
      <c r="AB37" s="1505"/>
      <c r="AC37" s="72"/>
      <c r="AD37" s="1549"/>
      <c r="AE37" s="1550"/>
      <c r="AF37" s="1550"/>
      <c r="AG37" s="1550"/>
      <c r="AH37" s="1550"/>
      <c r="AI37" s="1551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  <c r="BE37" s="57"/>
      <c r="BF37" s="57"/>
      <c r="BG37" s="57"/>
      <c r="BH37" s="57"/>
      <c r="BI37" s="57"/>
      <c r="BJ37" s="57"/>
      <c r="BK37" s="57"/>
      <c r="BL37" s="57"/>
      <c r="BM37" s="57"/>
      <c r="BN37" s="57"/>
      <c r="BO37" s="57"/>
      <c r="BP37" s="57"/>
      <c r="BQ37" s="57"/>
      <c r="BR37" s="57"/>
      <c r="BS37" s="57"/>
      <c r="BT37" s="57"/>
      <c r="BU37" s="57"/>
      <c r="BV37" s="57"/>
      <c r="BW37" s="57"/>
      <c r="BX37" s="57"/>
      <c r="BY37" s="57"/>
      <c r="BZ37" s="57"/>
      <c r="CA37" s="57"/>
      <c r="CB37" s="57"/>
      <c r="CC37" s="57"/>
      <c r="CD37" s="57"/>
      <c r="CE37" s="57"/>
      <c r="CF37" s="57"/>
      <c r="CG37" s="57"/>
      <c r="CH37" s="57"/>
      <c r="CI37" s="57"/>
      <c r="CJ37" s="57"/>
      <c r="CK37" s="57"/>
      <c r="CL37" s="57"/>
      <c r="CM37" s="57"/>
      <c r="CN37" s="57"/>
      <c r="CO37" s="57"/>
      <c r="CP37" s="57"/>
      <c r="CQ37" s="57"/>
      <c r="CR37" s="57"/>
      <c r="CS37" s="57"/>
      <c r="CT37" s="57"/>
      <c r="CU37" s="57"/>
      <c r="CV37" s="57"/>
      <c r="CW37" s="57"/>
      <c r="CX37" s="57"/>
      <c r="CY37" s="57"/>
      <c r="CZ37" s="57"/>
    </row>
    <row r="38" spans="1:104" s="56" customFormat="1" ht="12.75" customHeight="1">
      <c r="A38" s="57"/>
      <c r="B38" s="60"/>
      <c r="C38" s="60"/>
      <c r="D38" s="60"/>
      <c r="E38" s="60"/>
      <c r="F38" s="60"/>
      <c r="G38" s="60"/>
      <c r="H38" s="60"/>
      <c r="I38" s="60"/>
      <c r="J38" s="73"/>
      <c r="K38" s="73"/>
      <c r="L38" s="73"/>
      <c r="M38" s="73"/>
      <c r="N38" s="73"/>
      <c r="O38" s="73"/>
      <c r="P38" s="71"/>
      <c r="R38" s="57"/>
      <c r="S38" s="60"/>
      <c r="T38" s="60"/>
      <c r="U38" s="60"/>
      <c r="V38" s="60"/>
      <c r="W38" s="60"/>
      <c r="X38" s="60"/>
      <c r="Y38" s="60"/>
      <c r="Z38" s="60"/>
      <c r="AA38" s="60"/>
      <c r="AB38" s="61"/>
      <c r="AC38" s="72"/>
      <c r="AD38" s="74"/>
      <c r="AE38" s="74"/>
      <c r="AF38" s="74"/>
      <c r="AG38" s="74"/>
      <c r="AH38" s="74"/>
      <c r="AI38" s="74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57"/>
      <c r="BA38" s="57"/>
      <c r="BB38" s="57"/>
      <c r="BC38" s="57"/>
      <c r="BD38" s="57"/>
      <c r="BE38" s="57"/>
      <c r="BF38" s="57"/>
      <c r="BG38" s="57"/>
      <c r="BH38" s="57"/>
      <c r="BI38" s="57"/>
      <c r="BJ38" s="57"/>
      <c r="BK38" s="57"/>
      <c r="BL38" s="57"/>
      <c r="BM38" s="57"/>
      <c r="BN38" s="57"/>
      <c r="BO38" s="57"/>
      <c r="BP38" s="57"/>
      <c r="BQ38" s="57"/>
      <c r="BR38" s="57"/>
      <c r="BS38" s="57"/>
      <c r="BT38" s="57"/>
      <c r="BU38" s="57"/>
      <c r="BV38" s="57"/>
      <c r="BW38" s="57"/>
      <c r="BX38" s="57"/>
      <c r="BY38" s="57"/>
      <c r="BZ38" s="57"/>
      <c r="CA38" s="57"/>
      <c r="CB38" s="57"/>
      <c r="CC38" s="57"/>
      <c r="CD38" s="57"/>
      <c r="CE38" s="57"/>
      <c r="CF38" s="57"/>
      <c r="CG38" s="57"/>
      <c r="CH38" s="57"/>
      <c r="CI38" s="57"/>
      <c r="CJ38" s="57"/>
      <c r="CK38" s="57"/>
      <c r="CL38" s="57"/>
      <c r="CM38" s="57"/>
      <c r="CN38" s="57"/>
      <c r="CO38" s="57"/>
      <c r="CP38" s="57"/>
      <c r="CQ38" s="57"/>
      <c r="CR38" s="57"/>
      <c r="CS38" s="57"/>
      <c r="CT38" s="57"/>
      <c r="CU38" s="57"/>
      <c r="CV38" s="57"/>
      <c r="CW38" s="57"/>
      <c r="CX38" s="57"/>
      <c r="CY38" s="57"/>
      <c r="CZ38" s="57"/>
    </row>
    <row r="39" spans="1:104" s="56" customFormat="1" ht="12.75" customHeight="1">
      <c r="A39" s="57"/>
      <c r="B39" s="60"/>
      <c r="C39" s="60"/>
      <c r="D39" s="60"/>
      <c r="E39" s="75" t="s">
        <v>105</v>
      </c>
      <c r="F39" s="60"/>
      <c r="G39" s="60"/>
      <c r="H39" s="60"/>
      <c r="I39" s="60"/>
      <c r="J39" s="73"/>
      <c r="K39" s="73"/>
      <c r="L39" s="73"/>
      <c r="M39" s="73"/>
      <c r="N39" s="73"/>
      <c r="O39" s="73"/>
      <c r="P39" s="71"/>
      <c r="R39" s="57"/>
      <c r="S39" s="60"/>
      <c r="T39" s="60"/>
      <c r="U39" s="60"/>
      <c r="V39" s="60"/>
      <c r="W39" s="60"/>
      <c r="X39" s="60"/>
      <c r="Y39" s="60"/>
      <c r="Z39" s="60"/>
      <c r="AA39" s="60"/>
      <c r="AB39" s="61"/>
      <c r="AC39" s="72"/>
      <c r="AD39" s="74"/>
      <c r="AE39" s="74"/>
      <c r="AF39" s="74"/>
      <c r="AG39" s="74"/>
      <c r="AH39" s="74"/>
      <c r="AI39" s="74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/>
      <c r="AW39" s="57"/>
      <c r="AX39" s="57"/>
      <c r="AY39" s="57"/>
      <c r="AZ39" s="57"/>
      <c r="BA39" s="57"/>
      <c r="BB39" s="57"/>
      <c r="BC39" s="57"/>
      <c r="BD39" s="57"/>
      <c r="BE39" s="57"/>
      <c r="BF39" s="57"/>
      <c r="BG39" s="57"/>
      <c r="BH39" s="57"/>
      <c r="BI39" s="57"/>
      <c r="BJ39" s="57"/>
      <c r="BK39" s="57"/>
      <c r="BL39" s="57"/>
      <c r="BM39" s="57"/>
      <c r="BN39" s="57"/>
      <c r="BO39" s="57"/>
      <c r="BP39" s="57"/>
      <c r="BQ39" s="57"/>
      <c r="BR39" s="57"/>
      <c r="BS39" s="57"/>
      <c r="BT39" s="57"/>
      <c r="BU39" s="57"/>
      <c r="BV39" s="57"/>
      <c r="BW39" s="57"/>
      <c r="BX39" s="57"/>
      <c r="BY39" s="57"/>
      <c r="BZ39" s="57"/>
      <c r="CA39" s="57"/>
      <c r="CB39" s="57"/>
      <c r="CC39" s="57"/>
      <c r="CD39" s="57"/>
      <c r="CE39" s="57"/>
      <c r="CF39" s="57"/>
      <c r="CG39" s="57"/>
      <c r="CH39" s="57"/>
      <c r="CI39" s="57"/>
      <c r="CJ39" s="57"/>
      <c r="CK39" s="57"/>
      <c r="CL39" s="57"/>
      <c r="CM39" s="57"/>
      <c r="CN39" s="57"/>
      <c r="CO39" s="57"/>
      <c r="CP39" s="57"/>
      <c r="CQ39" s="57"/>
      <c r="CR39" s="57"/>
      <c r="CS39" s="57"/>
      <c r="CT39" s="57"/>
      <c r="CU39" s="57"/>
      <c r="CV39" s="57"/>
      <c r="CW39" s="57"/>
      <c r="CX39" s="57"/>
      <c r="CY39" s="57"/>
      <c r="CZ39" s="57"/>
    </row>
    <row r="40" spans="1:104" s="56" customFormat="1" ht="4.5" customHeight="1">
      <c r="A40" s="57"/>
      <c r="B40" s="57"/>
      <c r="C40" s="57"/>
      <c r="D40" s="57"/>
      <c r="E40" s="75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7"/>
      <c r="BD40" s="57"/>
      <c r="BE40" s="57"/>
      <c r="BF40" s="57"/>
      <c r="BG40" s="57"/>
      <c r="BH40" s="57"/>
      <c r="BI40" s="57"/>
      <c r="BJ40" s="57"/>
      <c r="BK40" s="57"/>
      <c r="BL40" s="57"/>
      <c r="BM40" s="57"/>
      <c r="BN40" s="57"/>
      <c r="BO40" s="57"/>
      <c r="BP40" s="57"/>
      <c r="BQ40" s="57"/>
      <c r="BR40" s="57"/>
      <c r="BS40" s="57"/>
      <c r="BT40" s="57"/>
      <c r="BU40" s="57"/>
      <c r="BV40" s="57"/>
      <c r="BW40" s="57"/>
      <c r="BX40" s="57"/>
      <c r="BY40" s="57"/>
      <c r="BZ40" s="57"/>
      <c r="CA40" s="57"/>
      <c r="CB40" s="57"/>
      <c r="CC40" s="57"/>
      <c r="CD40" s="57"/>
      <c r="CE40" s="57"/>
      <c r="CF40" s="57"/>
      <c r="CG40" s="57"/>
      <c r="CH40" s="57"/>
      <c r="CI40" s="57"/>
      <c r="CJ40" s="57"/>
      <c r="CK40" s="57"/>
      <c r="CL40" s="57"/>
      <c r="CM40" s="57"/>
      <c r="CN40" s="57"/>
      <c r="CO40" s="57"/>
      <c r="CP40" s="57"/>
      <c r="CQ40" s="57"/>
      <c r="CR40" s="57"/>
      <c r="CS40" s="57"/>
      <c r="CT40" s="57"/>
      <c r="CU40" s="57"/>
      <c r="CV40" s="57"/>
      <c r="CW40" s="57"/>
      <c r="CX40" s="57"/>
      <c r="CY40" s="57"/>
      <c r="CZ40" s="57"/>
    </row>
    <row r="41" spans="1:104" s="56" customFormat="1" ht="12.75" customHeight="1">
      <c r="A41" s="57"/>
      <c r="E41" s="76" t="s">
        <v>32</v>
      </c>
      <c r="F41" s="77"/>
      <c r="G41" s="77"/>
      <c r="H41" s="77"/>
      <c r="I41" s="77"/>
      <c r="J41" s="77"/>
      <c r="K41" s="77"/>
      <c r="L41" s="77"/>
      <c r="M41" s="77"/>
      <c r="N41" s="77"/>
      <c r="O41" s="78"/>
      <c r="P41" s="1552" t="s">
        <v>106</v>
      </c>
      <c r="Q41" s="1553"/>
      <c r="R41" s="1553"/>
      <c r="S41" s="1554"/>
      <c r="T41" s="79" t="s">
        <v>107</v>
      </c>
      <c r="U41" s="77"/>
      <c r="V41" s="77"/>
      <c r="W41" s="77"/>
      <c r="X41" s="79" t="s">
        <v>108</v>
      </c>
      <c r="Y41" s="77"/>
      <c r="Z41" s="77"/>
      <c r="AA41" s="77"/>
      <c r="AB41" s="1552" t="s">
        <v>109</v>
      </c>
      <c r="AC41" s="1553"/>
      <c r="AD41" s="1553"/>
      <c r="AE41" s="1554"/>
      <c r="AF41" s="80"/>
      <c r="AG41" s="80"/>
      <c r="AH41" s="80"/>
      <c r="AI41" s="80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  <c r="BA41" s="57"/>
      <c r="BB41" s="57"/>
      <c r="BC41" s="57"/>
      <c r="BD41" s="57"/>
      <c r="BE41" s="57"/>
      <c r="BF41" s="57"/>
      <c r="BG41" s="57"/>
      <c r="BH41" s="57"/>
      <c r="BI41" s="57"/>
      <c r="BJ41" s="57"/>
      <c r="BK41" s="57"/>
      <c r="BL41" s="57"/>
      <c r="BM41" s="57"/>
      <c r="BN41" s="57"/>
      <c r="BO41" s="57"/>
      <c r="BP41" s="57"/>
      <c r="BQ41" s="57"/>
      <c r="BR41" s="57"/>
      <c r="BS41" s="57"/>
      <c r="BT41" s="57"/>
      <c r="BU41" s="57"/>
      <c r="BV41" s="57"/>
      <c r="BW41" s="57"/>
      <c r="BX41" s="57"/>
      <c r="BY41" s="57"/>
      <c r="BZ41" s="57"/>
      <c r="CA41" s="57"/>
      <c r="CB41" s="57"/>
      <c r="CC41" s="57"/>
      <c r="CD41" s="57"/>
      <c r="CE41" s="57"/>
      <c r="CF41" s="57"/>
      <c r="CG41" s="57"/>
      <c r="CH41" s="57"/>
      <c r="CI41" s="57"/>
      <c r="CJ41" s="57"/>
      <c r="CK41" s="57"/>
      <c r="CL41" s="57"/>
      <c r="CM41" s="57"/>
      <c r="CN41" s="57"/>
      <c r="CO41" s="57"/>
      <c r="CP41" s="57"/>
      <c r="CQ41" s="57"/>
      <c r="CR41" s="57"/>
      <c r="CS41" s="57"/>
      <c r="CT41" s="57"/>
      <c r="CU41" s="57"/>
      <c r="CV41" s="57"/>
      <c r="CW41" s="57"/>
      <c r="CX41" s="57"/>
      <c r="CY41" s="57"/>
      <c r="CZ41" s="57"/>
    </row>
    <row r="42" spans="1:104" s="56" customFormat="1" ht="12.75" customHeight="1">
      <c r="A42" s="57"/>
      <c r="E42" s="1564" t="s">
        <v>26</v>
      </c>
      <c r="F42" s="1565"/>
      <c r="G42" s="1565"/>
      <c r="H42" s="1565"/>
      <c r="I42" s="1565"/>
      <c r="J42" s="1565"/>
      <c r="K42" s="1565"/>
      <c r="L42" s="1565"/>
      <c r="M42" s="1565"/>
      <c r="N42" s="1565"/>
      <c r="O42" s="1566"/>
      <c r="P42" s="1567"/>
      <c r="Q42" s="1568"/>
      <c r="R42" s="1568"/>
      <c r="S42" s="1569"/>
      <c r="T42" s="1567"/>
      <c r="U42" s="1568"/>
      <c r="V42" s="1568"/>
      <c r="W42" s="1569"/>
      <c r="X42" s="1567"/>
      <c r="Y42" s="1568"/>
      <c r="Z42" s="1568"/>
      <c r="AA42" s="1569"/>
      <c r="AB42" s="1567"/>
      <c r="AC42" s="1568"/>
      <c r="AD42" s="1568"/>
      <c r="AE42" s="1569"/>
      <c r="AF42" s="81"/>
      <c r="AG42" s="81"/>
      <c r="AH42" s="81"/>
      <c r="AI42" s="81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  <c r="AV42" s="57"/>
      <c r="AW42" s="57"/>
      <c r="AX42" s="57"/>
      <c r="AY42" s="57"/>
      <c r="AZ42" s="57"/>
      <c r="BA42" s="57"/>
      <c r="BB42" s="57"/>
      <c r="BC42" s="57"/>
      <c r="BD42" s="57"/>
      <c r="BE42" s="57"/>
      <c r="BF42" s="57"/>
      <c r="BG42" s="57"/>
      <c r="BH42" s="57"/>
      <c r="BI42" s="57"/>
      <c r="BJ42" s="57"/>
      <c r="BK42" s="57"/>
      <c r="BL42" s="57"/>
      <c r="BM42" s="57"/>
      <c r="BN42" s="57"/>
      <c r="BO42" s="57"/>
      <c r="BP42" s="57"/>
      <c r="BQ42" s="57"/>
      <c r="BR42" s="57"/>
      <c r="BS42" s="57"/>
      <c r="BT42" s="57"/>
      <c r="BU42" s="57"/>
      <c r="BV42" s="57"/>
      <c r="BW42" s="57"/>
      <c r="BX42" s="57"/>
      <c r="BY42" s="57"/>
      <c r="BZ42" s="57"/>
      <c r="CA42" s="57"/>
      <c r="CB42" s="57"/>
      <c r="CC42" s="57"/>
      <c r="CD42" s="57"/>
      <c r="CE42" s="57"/>
      <c r="CF42" s="57"/>
      <c r="CG42" s="57"/>
      <c r="CH42" s="57"/>
      <c r="CI42" s="57"/>
      <c r="CJ42" s="57"/>
      <c r="CK42" s="57"/>
      <c r="CL42" s="57"/>
      <c r="CM42" s="57"/>
      <c r="CN42" s="57"/>
      <c r="CO42" s="57"/>
      <c r="CP42" s="57"/>
      <c r="CQ42" s="57"/>
      <c r="CR42" s="57"/>
      <c r="CS42" s="57"/>
      <c r="CT42" s="57"/>
      <c r="CU42" s="57"/>
      <c r="CV42" s="57"/>
      <c r="CW42" s="57"/>
      <c r="CX42" s="57"/>
      <c r="CY42" s="57"/>
      <c r="CZ42" s="57"/>
    </row>
    <row r="43" spans="1:104" s="56" customFormat="1" ht="12.75" customHeight="1">
      <c r="A43" s="57"/>
      <c r="E43" s="1570" t="s">
        <v>250</v>
      </c>
      <c r="F43" s="1565"/>
      <c r="G43" s="1565"/>
      <c r="H43" s="1565"/>
      <c r="I43" s="1565"/>
      <c r="J43" s="1565"/>
      <c r="K43" s="1565"/>
      <c r="L43" s="1565"/>
      <c r="M43" s="1565"/>
      <c r="N43" s="1565"/>
      <c r="O43" s="1566"/>
      <c r="P43" s="1567"/>
      <c r="Q43" s="1568"/>
      <c r="R43" s="1568"/>
      <c r="S43" s="1569"/>
      <c r="T43" s="1567"/>
      <c r="U43" s="1568"/>
      <c r="V43" s="1568"/>
      <c r="W43" s="1569"/>
      <c r="X43" s="1567"/>
      <c r="Y43" s="1568"/>
      <c r="Z43" s="1568"/>
      <c r="AA43" s="1569"/>
      <c r="AB43" s="1567"/>
      <c r="AC43" s="1568"/>
      <c r="AD43" s="1568"/>
      <c r="AE43" s="1569"/>
      <c r="AF43" s="82"/>
      <c r="AG43" s="82"/>
      <c r="AH43" s="82"/>
      <c r="AI43" s="82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57"/>
      <c r="AW43" s="57"/>
      <c r="AX43" s="57"/>
      <c r="AY43" s="57"/>
      <c r="AZ43" s="57"/>
      <c r="BA43" s="57"/>
      <c r="BB43" s="57"/>
      <c r="BC43" s="57"/>
      <c r="BD43" s="57"/>
      <c r="BE43" s="57"/>
      <c r="BF43" s="57"/>
      <c r="BG43" s="57"/>
      <c r="BH43" s="57"/>
      <c r="BI43" s="57"/>
      <c r="BJ43" s="57"/>
      <c r="BK43" s="57"/>
      <c r="BL43" s="57"/>
      <c r="BM43" s="57"/>
      <c r="BN43" s="57"/>
      <c r="BO43" s="57"/>
      <c r="BP43" s="57"/>
      <c r="BQ43" s="57"/>
      <c r="BR43" s="57"/>
      <c r="BS43" s="57"/>
      <c r="BT43" s="57"/>
      <c r="BU43" s="57"/>
      <c r="BV43" s="57"/>
      <c r="BW43" s="57"/>
      <c r="BX43" s="57"/>
      <c r="BY43" s="57"/>
      <c r="BZ43" s="57"/>
      <c r="CA43" s="57"/>
      <c r="CB43" s="57"/>
      <c r="CC43" s="57"/>
      <c r="CD43" s="57"/>
      <c r="CE43" s="57"/>
      <c r="CF43" s="57"/>
      <c r="CG43" s="57"/>
      <c r="CH43" s="57"/>
      <c r="CI43" s="57"/>
      <c r="CJ43" s="57"/>
      <c r="CK43" s="57"/>
      <c r="CL43" s="57"/>
      <c r="CM43" s="57"/>
      <c r="CN43" s="57"/>
      <c r="CO43" s="57"/>
      <c r="CP43" s="57"/>
      <c r="CQ43" s="57"/>
      <c r="CR43" s="57"/>
      <c r="CS43" s="57"/>
      <c r="CT43" s="57"/>
      <c r="CU43" s="57"/>
      <c r="CV43" s="57"/>
      <c r="CW43" s="57"/>
      <c r="CX43" s="57"/>
      <c r="CY43" s="57"/>
      <c r="CZ43" s="57"/>
    </row>
    <row r="44" spans="1:104" s="56" customFormat="1" ht="12.75" customHeight="1">
      <c r="A44" s="57"/>
      <c r="E44" s="1570" t="s">
        <v>251</v>
      </c>
      <c r="F44" s="1565"/>
      <c r="G44" s="1565"/>
      <c r="H44" s="1565"/>
      <c r="I44" s="1565"/>
      <c r="J44" s="1565"/>
      <c r="K44" s="1565"/>
      <c r="L44" s="1565"/>
      <c r="M44" s="1565"/>
      <c r="N44" s="1565"/>
      <c r="O44" s="1566"/>
      <c r="P44" s="1567"/>
      <c r="Q44" s="1568"/>
      <c r="R44" s="1568"/>
      <c r="S44" s="1569"/>
      <c r="T44" s="1567"/>
      <c r="U44" s="1568"/>
      <c r="V44" s="1568"/>
      <c r="W44" s="1569"/>
      <c r="X44" s="1567"/>
      <c r="Y44" s="1568"/>
      <c r="Z44" s="1568"/>
      <c r="AA44" s="1569"/>
      <c r="AB44" s="1567"/>
      <c r="AC44" s="1568"/>
      <c r="AD44" s="1568"/>
      <c r="AE44" s="1569"/>
      <c r="AF44" s="82"/>
      <c r="AG44" s="82"/>
      <c r="AH44" s="82"/>
      <c r="AI44" s="82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57"/>
      <c r="AW44" s="57"/>
      <c r="AX44" s="57"/>
      <c r="AY44" s="57"/>
      <c r="AZ44" s="57"/>
      <c r="BA44" s="57"/>
      <c r="BB44" s="57"/>
      <c r="BC44" s="57"/>
      <c r="BD44" s="57"/>
      <c r="BE44" s="57"/>
      <c r="BF44" s="57"/>
      <c r="BG44" s="57"/>
      <c r="BH44" s="57"/>
      <c r="BI44" s="57"/>
      <c r="BJ44" s="57"/>
      <c r="BK44" s="57"/>
      <c r="BL44" s="57"/>
      <c r="BM44" s="57"/>
      <c r="BN44" s="57"/>
      <c r="BO44" s="57"/>
      <c r="BP44" s="57"/>
      <c r="BQ44" s="57"/>
      <c r="BR44" s="57"/>
      <c r="BS44" s="57"/>
      <c r="BT44" s="57"/>
      <c r="BU44" s="57"/>
      <c r="BV44" s="57"/>
      <c r="BW44" s="57"/>
      <c r="BX44" s="57"/>
      <c r="BY44" s="57"/>
      <c r="BZ44" s="57"/>
      <c r="CA44" s="57"/>
      <c r="CB44" s="57"/>
      <c r="CC44" s="57"/>
      <c r="CD44" s="57"/>
      <c r="CE44" s="57"/>
      <c r="CF44" s="57"/>
      <c r="CG44" s="57"/>
      <c r="CH44" s="57"/>
      <c r="CI44" s="57"/>
      <c r="CJ44" s="57"/>
      <c r="CK44" s="57"/>
      <c r="CL44" s="57"/>
      <c r="CM44" s="57"/>
      <c r="CN44" s="57"/>
      <c r="CO44" s="57"/>
      <c r="CP44" s="57"/>
      <c r="CQ44" s="57"/>
      <c r="CR44" s="57"/>
      <c r="CS44" s="57"/>
      <c r="CT44" s="57"/>
      <c r="CU44" s="57"/>
      <c r="CV44" s="57"/>
      <c r="CW44" s="57"/>
      <c r="CX44" s="57"/>
      <c r="CY44" s="57"/>
      <c r="CZ44" s="57"/>
    </row>
    <row r="45" spans="1:104" s="56" customFormat="1" ht="12.75" customHeight="1">
      <c r="A45" s="57"/>
      <c r="E45" s="1570" t="s">
        <v>257</v>
      </c>
      <c r="F45" s="1565"/>
      <c r="G45" s="1565"/>
      <c r="H45" s="1565"/>
      <c r="I45" s="1565"/>
      <c r="J45" s="1565"/>
      <c r="K45" s="1565"/>
      <c r="L45" s="1565"/>
      <c r="M45" s="1565"/>
      <c r="N45" s="1565"/>
      <c r="O45" s="1566"/>
      <c r="P45" s="1567"/>
      <c r="Q45" s="1568"/>
      <c r="R45" s="1568"/>
      <c r="S45" s="1569"/>
      <c r="T45" s="1567"/>
      <c r="U45" s="1568"/>
      <c r="V45" s="1568"/>
      <c r="W45" s="1569"/>
      <c r="X45" s="1567"/>
      <c r="Y45" s="1568"/>
      <c r="Z45" s="1568"/>
      <c r="AA45" s="1569"/>
      <c r="AB45" s="1567"/>
      <c r="AC45" s="1568"/>
      <c r="AD45" s="1568"/>
      <c r="AE45" s="1569"/>
      <c r="AF45" s="81"/>
      <c r="AG45" s="81"/>
      <c r="AH45" s="81"/>
      <c r="AI45" s="81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  <c r="BB45" s="57"/>
      <c r="BC45" s="57"/>
      <c r="BD45" s="57"/>
      <c r="BE45" s="57"/>
      <c r="BF45" s="57"/>
      <c r="BG45" s="57"/>
      <c r="BH45" s="57"/>
      <c r="BI45" s="57"/>
      <c r="BJ45" s="57"/>
      <c r="BK45" s="57"/>
      <c r="BL45" s="57"/>
      <c r="BM45" s="57"/>
      <c r="BN45" s="57"/>
      <c r="BO45" s="57"/>
      <c r="BP45" s="57"/>
      <c r="BQ45" s="57"/>
      <c r="BR45" s="57"/>
      <c r="BS45" s="57"/>
      <c r="BT45" s="57"/>
      <c r="BU45" s="57"/>
      <c r="BV45" s="57"/>
      <c r="BW45" s="57"/>
      <c r="BX45" s="57"/>
      <c r="BY45" s="57"/>
      <c r="BZ45" s="57"/>
      <c r="CA45" s="57"/>
      <c r="CB45" s="57"/>
      <c r="CC45" s="57"/>
      <c r="CD45" s="57"/>
      <c r="CE45" s="57"/>
      <c r="CF45" s="57"/>
      <c r="CG45" s="57"/>
      <c r="CH45" s="57"/>
      <c r="CI45" s="57"/>
      <c r="CJ45" s="57"/>
      <c r="CK45" s="57"/>
      <c r="CL45" s="57"/>
      <c r="CM45" s="57"/>
      <c r="CN45" s="57"/>
      <c r="CO45" s="57"/>
      <c r="CP45" s="57"/>
      <c r="CQ45" s="57"/>
      <c r="CR45" s="57"/>
      <c r="CS45" s="57"/>
      <c r="CT45" s="57"/>
      <c r="CU45" s="57"/>
      <c r="CV45" s="57"/>
      <c r="CW45" s="57"/>
      <c r="CX45" s="57"/>
      <c r="CY45" s="57"/>
      <c r="CZ45" s="57"/>
    </row>
    <row r="46" spans="1:104" s="56" customFormat="1" ht="12.75" customHeight="1">
      <c r="A46" s="57"/>
      <c r="E46" s="1570" t="s">
        <v>252</v>
      </c>
      <c r="F46" s="1565"/>
      <c r="G46" s="1565"/>
      <c r="H46" s="1565"/>
      <c r="I46" s="1565"/>
      <c r="J46" s="1565"/>
      <c r="K46" s="1565"/>
      <c r="L46" s="1565"/>
      <c r="M46" s="1565"/>
      <c r="N46" s="1565"/>
      <c r="O46" s="1566"/>
      <c r="P46" s="1567"/>
      <c r="Q46" s="1568"/>
      <c r="R46" s="1568"/>
      <c r="S46" s="1569"/>
      <c r="T46" s="1567"/>
      <c r="U46" s="1568"/>
      <c r="V46" s="1568"/>
      <c r="W46" s="1569"/>
      <c r="X46" s="1567"/>
      <c r="Y46" s="1568"/>
      <c r="Z46" s="1568"/>
      <c r="AA46" s="1569"/>
      <c r="AB46" s="1567"/>
      <c r="AC46" s="1568"/>
      <c r="AD46" s="1568"/>
      <c r="AE46" s="1569"/>
      <c r="AF46" s="81"/>
      <c r="AG46" s="81"/>
      <c r="AH46" s="81"/>
      <c r="AI46" s="81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57"/>
      <c r="BD46" s="57"/>
      <c r="BE46" s="57"/>
      <c r="BF46" s="57"/>
      <c r="BG46" s="57"/>
      <c r="BH46" s="57"/>
      <c r="BI46" s="57"/>
      <c r="BJ46" s="57"/>
      <c r="BK46" s="57"/>
      <c r="BL46" s="57"/>
      <c r="BM46" s="57"/>
      <c r="BN46" s="57"/>
      <c r="BO46" s="57"/>
      <c r="BP46" s="57"/>
      <c r="BQ46" s="57"/>
      <c r="BR46" s="57"/>
      <c r="BS46" s="57"/>
      <c r="BT46" s="57"/>
      <c r="BU46" s="57"/>
      <c r="BV46" s="57"/>
      <c r="BW46" s="57"/>
      <c r="BX46" s="57"/>
      <c r="BY46" s="57"/>
      <c r="BZ46" s="57"/>
      <c r="CA46" s="57"/>
      <c r="CB46" s="57"/>
      <c r="CC46" s="57"/>
      <c r="CD46" s="57"/>
      <c r="CE46" s="57"/>
      <c r="CF46" s="57"/>
      <c r="CG46" s="57"/>
      <c r="CH46" s="57"/>
      <c r="CI46" s="57"/>
      <c r="CJ46" s="57"/>
      <c r="CK46" s="57"/>
      <c r="CL46" s="57"/>
      <c r="CM46" s="57"/>
      <c r="CN46" s="57"/>
      <c r="CO46" s="57"/>
      <c r="CP46" s="57"/>
      <c r="CQ46" s="57"/>
      <c r="CR46" s="57"/>
      <c r="CS46" s="57"/>
      <c r="CT46" s="57"/>
      <c r="CU46" s="57"/>
      <c r="CV46" s="57"/>
      <c r="CW46" s="57"/>
      <c r="CX46" s="57"/>
      <c r="CY46" s="57"/>
      <c r="CZ46" s="57"/>
    </row>
    <row r="47" spans="1:104" s="56" customFormat="1" ht="12.75" customHeight="1">
      <c r="A47" s="57"/>
      <c r="E47" s="1570" t="s">
        <v>253</v>
      </c>
      <c r="F47" s="1565"/>
      <c r="G47" s="1565"/>
      <c r="H47" s="1565"/>
      <c r="I47" s="1565"/>
      <c r="J47" s="1565"/>
      <c r="K47" s="1565"/>
      <c r="L47" s="1565"/>
      <c r="M47" s="1565"/>
      <c r="N47" s="1565"/>
      <c r="O47" s="1566"/>
      <c r="P47" s="1567"/>
      <c r="Q47" s="1568"/>
      <c r="R47" s="1568"/>
      <c r="S47" s="1569"/>
      <c r="T47" s="1567"/>
      <c r="U47" s="1568"/>
      <c r="V47" s="1568"/>
      <c r="W47" s="1569"/>
      <c r="X47" s="1567"/>
      <c r="Y47" s="1568"/>
      <c r="Z47" s="1568"/>
      <c r="AA47" s="1569"/>
      <c r="AB47" s="1567"/>
      <c r="AC47" s="1568"/>
      <c r="AD47" s="1568"/>
      <c r="AE47" s="1569"/>
      <c r="AF47" s="81"/>
      <c r="AG47" s="81"/>
      <c r="AH47" s="81"/>
      <c r="AI47" s="81"/>
      <c r="AJ47" s="57"/>
      <c r="AK47" s="57"/>
      <c r="AL47" s="57"/>
      <c r="AM47" s="57"/>
      <c r="AN47" s="57"/>
      <c r="AO47" s="57"/>
      <c r="AP47" s="57"/>
      <c r="AQ47" s="57"/>
      <c r="AR47" s="57"/>
      <c r="AS47" s="57"/>
      <c r="AT47" s="57"/>
      <c r="AU47" s="57"/>
      <c r="AV47" s="57"/>
      <c r="AW47" s="57"/>
      <c r="AX47" s="57"/>
      <c r="AY47" s="57"/>
      <c r="AZ47" s="57"/>
      <c r="BA47" s="57"/>
      <c r="BC47" s="57"/>
      <c r="BD47" s="57"/>
      <c r="BE47" s="57"/>
      <c r="BF47" s="57"/>
      <c r="BG47" s="57"/>
      <c r="BH47" s="57"/>
      <c r="BI47" s="57"/>
      <c r="BJ47" s="57"/>
      <c r="BK47" s="57"/>
      <c r="BL47" s="57"/>
      <c r="BM47" s="57"/>
      <c r="BN47" s="57"/>
      <c r="BO47" s="57"/>
      <c r="BP47" s="57"/>
      <c r="BQ47" s="57"/>
      <c r="BR47" s="57"/>
      <c r="BS47" s="57"/>
      <c r="BT47" s="57"/>
      <c r="BU47" s="57"/>
      <c r="BV47" s="57"/>
      <c r="BW47" s="57"/>
      <c r="BX47" s="57"/>
      <c r="BY47" s="57"/>
      <c r="BZ47" s="57"/>
      <c r="CA47" s="57"/>
      <c r="CB47" s="57"/>
      <c r="CC47" s="57"/>
      <c r="CD47" s="57"/>
      <c r="CE47" s="57"/>
      <c r="CF47" s="57"/>
      <c r="CG47" s="57"/>
      <c r="CH47" s="57"/>
      <c r="CI47" s="57"/>
      <c r="CJ47" s="57"/>
      <c r="CK47" s="57"/>
      <c r="CL47" s="57"/>
      <c r="CM47" s="57"/>
      <c r="CN47" s="57"/>
      <c r="CO47" s="57"/>
      <c r="CP47" s="57"/>
      <c r="CQ47" s="57"/>
      <c r="CR47" s="57"/>
      <c r="CS47" s="57"/>
      <c r="CT47" s="57"/>
      <c r="CU47" s="57"/>
      <c r="CV47" s="57"/>
      <c r="CW47" s="57"/>
      <c r="CX47" s="57"/>
      <c r="CY47" s="57"/>
      <c r="CZ47" s="57"/>
    </row>
    <row r="50" spans="1:104">
      <c r="E50" s="1577" t="s">
        <v>110</v>
      </c>
      <c r="F50" s="1578"/>
      <c r="G50" s="1578"/>
      <c r="H50" s="1578"/>
      <c r="I50" s="1578"/>
      <c r="J50" s="1578"/>
      <c r="K50" s="1578"/>
      <c r="L50" s="1578"/>
      <c r="M50" s="1578"/>
      <c r="N50" s="1578"/>
      <c r="O50" s="1578"/>
      <c r="P50" s="1578"/>
      <c r="Q50" s="1578"/>
      <c r="R50" s="1579"/>
      <c r="T50" s="1577" t="s">
        <v>111</v>
      </c>
      <c r="U50" s="1578"/>
      <c r="V50" s="1578"/>
      <c r="W50" s="1578"/>
      <c r="X50" s="1578"/>
      <c r="Y50" s="1578"/>
      <c r="Z50" s="1578"/>
      <c r="AA50" s="1578"/>
      <c r="AB50" s="1578"/>
      <c r="AC50" s="1578"/>
      <c r="AD50" s="1578"/>
      <c r="AE50" s="1578"/>
      <c r="AF50" s="1578"/>
      <c r="AG50" s="1578"/>
      <c r="AH50" s="1579"/>
    </row>
    <row r="51" spans="1:104">
      <c r="E51" s="84"/>
      <c r="F51" s="84"/>
      <c r="G51" s="84"/>
      <c r="H51" s="84"/>
      <c r="I51" s="85"/>
      <c r="J51" s="84"/>
      <c r="K51" s="84"/>
      <c r="L51" s="84"/>
      <c r="M51" s="84"/>
      <c r="N51" s="84"/>
      <c r="O51" s="84"/>
      <c r="P51" s="84"/>
      <c r="Q51" s="84"/>
      <c r="R51" s="85"/>
      <c r="T51" s="84"/>
      <c r="U51" s="84"/>
      <c r="V51" s="84"/>
      <c r="W51" s="84"/>
      <c r="X51" s="84"/>
      <c r="Y51" s="85"/>
      <c r="Z51" s="85"/>
      <c r="AA51" s="85"/>
      <c r="AB51" s="84"/>
      <c r="AC51" s="84"/>
      <c r="AD51" s="84"/>
      <c r="AE51" s="84"/>
      <c r="AF51" s="84"/>
      <c r="AG51" s="84"/>
      <c r="AH51" s="85"/>
    </row>
    <row r="52" spans="1:104"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  <c r="AG52" s="85"/>
      <c r="AH52" s="85"/>
    </row>
    <row r="56" spans="1:104" ht="7.5" customHeight="1"/>
    <row r="57" spans="1:104">
      <c r="N57" s="1580"/>
      <c r="O57" s="1580"/>
      <c r="P57" s="1580"/>
      <c r="Q57" s="1580"/>
      <c r="R57" s="1580"/>
    </row>
    <row r="58" spans="1:104">
      <c r="X58" s="86"/>
      <c r="AF58" s="86"/>
    </row>
    <row r="59" spans="1:104" s="56" customFormat="1" ht="13">
      <c r="A59" s="57"/>
      <c r="B59" s="61" t="s">
        <v>112</v>
      </c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57"/>
      <c r="AY59" s="57"/>
      <c r="AZ59" s="57"/>
      <c r="BA59" s="57"/>
      <c r="BB59" s="57"/>
      <c r="BC59" s="57"/>
      <c r="BD59" s="57"/>
      <c r="BE59" s="57"/>
      <c r="BF59" s="57"/>
      <c r="BG59" s="57"/>
      <c r="BH59" s="57"/>
      <c r="BI59" s="57"/>
      <c r="BJ59" s="57"/>
      <c r="BK59" s="57"/>
      <c r="BL59" s="57"/>
      <c r="BM59" s="57"/>
      <c r="BN59" s="57"/>
      <c r="BO59" s="57"/>
      <c r="BP59" s="57"/>
      <c r="BQ59" s="57"/>
      <c r="BR59" s="57"/>
      <c r="BS59" s="57"/>
      <c r="BT59" s="57"/>
      <c r="BU59" s="57"/>
      <c r="BV59" s="57"/>
      <c r="BW59" s="57"/>
      <c r="BX59" s="57"/>
      <c r="BY59" s="57"/>
      <c r="BZ59" s="57"/>
      <c r="CA59" s="57"/>
      <c r="CB59" s="57"/>
      <c r="CC59" s="57"/>
      <c r="CD59" s="57"/>
      <c r="CE59" s="57"/>
      <c r="CF59" s="57"/>
      <c r="CG59" s="57"/>
      <c r="CH59" s="57"/>
      <c r="CI59" s="57"/>
      <c r="CJ59" s="57"/>
      <c r="CK59" s="57"/>
      <c r="CL59" s="57"/>
      <c r="CM59" s="57"/>
      <c r="CN59" s="57"/>
      <c r="CO59" s="57"/>
      <c r="CP59" s="57"/>
      <c r="CQ59" s="57"/>
      <c r="CR59" s="57"/>
      <c r="CS59" s="57"/>
      <c r="CT59" s="57"/>
      <c r="CU59" s="57"/>
      <c r="CV59" s="57"/>
      <c r="CW59" s="57"/>
      <c r="CX59" s="57"/>
      <c r="CY59" s="57"/>
      <c r="CZ59" s="57"/>
    </row>
    <row r="60" spans="1:104" s="56" customFormat="1" ht="6" customHeight="1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57"/>
      <c r="AY60" s="57"/>
      <c r="AZ60" s="57"/>
      <c r="BA60" s="57"/>
      <c r="BB60" s="57"/>
      <c r="BC60" s="57"/>
      <c r="BD60" s="57"/>
      <c r="BE60" s="57"/>
      <c r="BF60" s="57"/>
      <c r="BG60" s="57"/>
      <c r="BH60" s="57"/>
      <c r="BI60" s="57"/>
      <c r="BJ60" s="57"/>
      <c r="BK60" s="57"/>
      <c r="BL60" s="57"/>
      <c r="BM60" s="57"/>
      <c r="BN60" s="57"/>
      <c r="BO60" s="57"/>
      <c r="BP60" s="57"/>
      <c r="BQ60" s="57"/>
      <c r="BR60" s="57"/>
      <c r="BS60" s="57"/>
      <c r="BT60" s="57"/>
      <c r="BU60" s="57"/>
      <c r="BV60" s="57"/>
      <c r="BW60" s="57"/>
      <c r="BX60" s="57"/>
      <c r="BY60" s="57"/>
      <c r="BZ60" s="57"/>
      <c r="CA60" s="57"/>
      <c r="CB60" s="57"/>
      <c r="CC60" s="57"/>
      <c r="CD60" s="57"/>
      <c r="CE60" s="57"/>
      <c r="CF60" s="57"/>
      <c r="CG60" s="57"/>
      <c r="CH60" s="57"/>
      <c r="CI60" s="57"/>
      <c r="CJ60" s="57"/>
      <c r="CK60" s="57"/>
      <c r="CL60" s="57"/>
      <c r="CM60" s="57"/>
      <c r="CN60" s="57"/>
      <c r="CO60" s="57"/>
      <c r="CP60" s="57"/>
      <c r="CQ60" s="57"/>
      <c r="CR60" s="57"/>
      <c r="CS60" s="57"/>
      <c r="CT60" s="57"/>
      <c r="CU60" s="57"/>
      <c r="CV60" s="57"/>
      <c r="CW60" s="57"/>
      <c r="CX60" s="57"/>
      <c r="CY60" s="57"/>
      <c r="CZ60" s="57"/>
    </row>
    <row r="61" spans="1:104" s="56" customFormat="1" ht="13">
      <c r="A61" s="57"/>
      <c r="B61" s="1581"/>
      <c r="C61" s="1582"/>
      <c r="D61" s="1582"/>
      <c r="E61" s="1582"/>
      <c r="F61" s="1582"/>
      <c r="G61" s="1582"/>
      <c r="H61" s="1582"/>
      <c r="I61" s="1582"/>
      <c r="J61" s="1582"/>
      <c r="K61" s="1582"/>
      <c r="L61" s="1582"/>
      <c r="M61" s="1582"/>
      <c r="N61" s="1582"/>
      <c r="O61" s="1582"/>
      <c r="P61" s="1582"/>
      <c r="Q61" s="1582"/>
      <c r="R61" s="1582"/>
      <c r="S61" s="1582"/>
      <c r="T61" s="1582"/>
      <c r="U61" s="1582"/>
      <c r="V61" s="1582"/>
      <c r="W61" s="1582"/>
      <c r="X61" s="1582"/>
      <c r="Y61" s="1582"/>
      <c r="Z61" s="1582"/>
      <c r="AA61" s="1582"/>
      <c r="AB61" s="1582"/>
      <c r="AC61" s="1582"/>
      <c r="AD61" s="1582"/>
      <c r="AE61" s="1582"/>
      <c r="AF61" s="1582"/>
      <c r="AG61" s="1582"/>
      <c r="AH61" s="1582"/>
      <c r="AI61" s="1583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57"/>
      <c r="AY61" s="57"/>
      <c r="AZ61" s="57"/>
      <c r="BA61" s="57"/>
      <c r="BB61" s="57"/>
      <c r="BC61" s="57"/>
      <c r="BD61" s="57"/>
      <c r="BE61" s="57"/>
      <c r="BF61" s="57"/>
      <c r="BG61" s="57"/>
      <c r="BH61" s="57"/>
      <c r="BI61" s="57"/>
      <c r="BJ61" s="57"/>
      <c r="BK61" s="57"/>
      <c r="BL61" s="57"/>
      <c r="BM61" s="57"/>
      <c r="BN61" s="57"/>
      <c r="BO61" s="57"/>
      <c r="BP61" s="57"/>
      <c r="BQ61" s="57"/>
      <c r="BR61" s="57"/>
      <c r="BS61" s="57"/>
      <c r="BT61" s="57"/>
      <c r="BU61" s="57"/>
      <c r="BV61" s="57"/>
      <c r="BW61" s="57"/>
      <c r="BX61" s="57"/>
      <c r="BY61" s="57"/>
      <c r="BZ61" s="57"/>
      <c r="CA61" s="57"/>
      <c r="CB61" s="57"/>
      <c r="CC61" s="57"/>
      <c r="CD61" s="57"/>
      <c r="CE61" s="57"/>
      <c r="CF61" s="57"/>
      <c r="CG61" s="57"/>
      <c r="CH61" s="57"/>
      <c r="CI61" s="57"/>
      <c r="CJ61" s="57"/>
      <c r="CK61" s="57"/>
      <c r="CL61" s="57"/>
      <c r="CM61" s="57"/>
      <c r="CN61" s="57"/>
      <c r="CO61" s="57"/>
      <c r="CP61" s="57"/>
      <c r="CQ61" s="57"/>
      <c r="CR61" s="57"/>
      <c r="CS61" s="57"/>
      <c r="CT61" s="57"/>
      <c r="CU61" s="57"/>
      <c r="CV61" s="57"/>
      <c r="CW61" s="57"/>
      <c r="CX61" s="57"/>
      <c r="CY61" s="57"/>
      <c r="CZ61" s="57"/>
    </row>
    <row r="62" spans="1:104" s="56" customFormat="1" ht="13">
      <c r="A62" s="57"/>
      <c r="B62" s="1584"/>
      <c r="C62" s="1585"/>
      <c r="D62" s="1585"/>
      <c r="E62" s="1585"/>
      <c r="F62" s="1585"/>
      <c r="G62" s="1585"/>
      <c r="H62" s="1585"/>
      <c r="I62" s="1585"/>
      <c r="J62" s="1585"/>
      <c r="K62" s="1585"/>
      <c r="L62" s="1585"/>
      <c r="M62" s="1585"/>
      <c r="N62" s="1585"/>
      <c r="O62" s="1585"/>
      <c r="P62" s="1585"/>
      <c r="Q62" s="1585"/>
      <c r="R62" s="1585"/>
      <c r="S62" s="1585"/>
      <c r="T62" s="1585"/>
      <c r="U62" s="1585"/>
      <c r="V62" s="1585"/>
      <c r="W62" s="1585"/>
      <c r="X62" s="1585"/>
      <c r="Y62" s="1585"/>
      <c r="Z62" s="1585"/>
      <c r="AA62" s="1585"/>
      <c r="AB62" s="1585"/>
      <c r="AC62" s="1585"/>
      <c r="AD62" s="1585"/>
      <c r="AE62" s="1585"/>
      <c r="AF62" s="1585"/>
      <c r="AG62" s="1585"/>
      <c r="AH62" s="1585"/>
      <c r="AI62" s="1586"/>
      <c r="AJ62" s="57"/>
      <c r="BY62" s="57"/>
      <c r="BZ62" s="57"/>
      <c r="CA62" s="57"/>
      <c r="CB62" s="57"/>
      <c r="CC62" s="57"/>
      <c r="CD62" s="57"/>
      <c r="CE62" s="57"/>
      <c r="CF62" s="57"/>
      <c r="CG62" s="57"/>
      <c r="CH62" s="57"/>
      <c r="CI62" s="57"/>
      <c r="CJ62" s="57"/>
      <c r="CK62" s="57"/>
      <c r="CL62" s="57"/>
      <c r="CM62" s="57"/>
      <c r="CN62" s="57"/>
      <c r="CO62" s="57"/>
      <c r="CP62" s="57"/>
      <c r="CQ62" s="57"/>
      <c r="CR62" s="57"/>
      <c r="CS62" s="57"/>
      <c r="CT62" s="57"/>
      <c r="CU62" s="57"/>
      <c r="CV62" s="57"/>
      <c r="CW62" s="57"/>
      <c r="CX62" s="57"/>
      <c r="CY62" s="57"/>
      <c r="CZ62" s="57"/>
    </row>
    <row r="63" spans="1:104" s="56" customFormat="1" ht="13">
      <c r="A63" s="57"/>
      <c r="B63" s="1584"/>
      <c r="C63" s="1585"/>
      <c r="D63" s="1585"/>
      <c r="E63" s="1585"/>
      <c r="F63" s="1585"/>
      <c r="G63" s="1585"/>
      <c r="H63" s="1585"/>
      <c r="I63" s="1585"/>
      <c r="J63" s="1585"/>
      <c r="K63" s="1585"/>
      <c r="L63" s="1585"/>
      <c r="M63" s="1585"/>
      <c r="N63" s="1585"/>
      <c r="O63" s="1585"/>
      <c r="P63" s="1585"/>
      <c r="Q63" s="1585"/>
      <c r="R63" s="1585"/>
      <c r="S63" s="1585"/>
      <c r="T63" s="1585"/>
      <c r="U63" s="1585"/>
      <c r="V63" s="1585"/>
      <c r="W63" s="1585"/>
      <c r="X63" s="1585"/>
      <c r="Y63" s="1585"/>
      <c r="Z63" s="1585"/>
      <c r="AA63" s="1585"/>
      <c r="AB63" s="1585"/>
      <c r="AC63" s="1585"/>
      <c r="AD63" s="1585"/>
      <c r="AE63" s="1585"/>
      <c r="AF63" s="1585"/>
      <c r="AG63" s="1585"/>
      <c r="AH63" s="1585"/>
      <c r="AI63" s="1586"/>
      <c r="AJ63" s="57"/>
      <c r="BY63" s="57"/>
      <c r="BZ63" s="57"/>
      <c r="CA63" s="57"/>
      <c r="CB63" s="57"/>
      <c r="CC63" s="57"/>
      <c r="CD63" s="57"/>
      <c r="CE63" s="57"/>
      <c r="CF63" s="57"/>
      <c r="CG63" s="57"/>
      <c r="CH63" s="57"/>
      <c r="CI63" s="57"/>
      <c r="CJ63" s="57"/>
      <c r="CK63" s="57"/>
      <c r="CL63" s="57"/>
      <c r="CM63" s="57"/>
      <c r="CN63" s="57"/>
      <c r="CO63" s="57"/>
      <c r="CP63" s="57"/>
      <c r="CQ63" s="57"/>
      <c r="CR63" s="57"/>
      <c r="CS63" s="57"/>
      <c r="CT63" s="57"/>
      <c r="CU63" s="57"/>
      <c r="CV63" s="57"/>
      <c r="CW63" s="57"/>
      <c r="CX63" s="57"/>
      <c r="CY63" s="57"/>
      <c r="CZ63" s="57"/>
    </row>
    <row r="64" spans="1:104" s="56" customFormat="1" ht="13">
      <c r="A64" s="57"/>
      <c r="B64" s="1584"/>
      <c r="C64" s="1585"/>
      <c r="D64" s="1585"/>
      <c r="E64" s="1585"/>
      <c r="F64" s="1585"/>
      <c r="G64" s="1585"/>
      <c r="H64" s="1585"/>
      <c r="I64" s="1585"/>
      <c r="J64" s="1585"/>
      <c r="K64" s="1585"/>
      <c r="L64" s="1585"/>
      <c r="M64" s="1585"/>
      <c r="N64" s="1585"/>
      <c r="O64" s="1585"/>
      <c r="P64" s="1585"/>
      <c r="Q64" s="1585"/>
      <c r="R64" s="1585"/>
      <c r="S64" s="1585"/>
      <c r="T64" s="1585"/>
      <c r="U64" s="1585"/>
      <c r="V64" s="1585"/>
      <c r="W64" s="1585"/>
      <c r="X64" s="1585"/>
      <c r="Y64" s="1585"/>
      <c r="Z64" s="1585"/>
      <c r="AA64" s="1585"/>
      <c r="AB64" s="1585"/>
      <c r="AC64" s="1585"/>
      <c r="AD64" s="1585"/>
      <c r="AE64" s="1585"/>
      <c r="AF64" s="1585"/>
      <c r="AG64" s="1585"/>
      <c r="AH64" s="1585"/>
      <c r="AI64" s="1586"/>
      <c r="AJ64" s="57"/>
      <c r="BY64" s="57"/>
      <c r="BZ64" s="57"/>
      <c r="CA64" s="57"/>
      <c r="CB64" s="57"/>
      <c r="CC64" s="57"/>
      <c r="CD64" s="57"/>
      <c r="CE64" s="57"/>
      <c r="CF64" s="57"/>
      <c r="CG64" s="57"/>
      <c r="CH64" s="57"/>
      <c r="CI64" s="57"/>
      <c r="CJ64" s="57"/>
      <c r="CK64" s="57"/>
      <c r="CL64" s="57"/>
      <c r="CM64" s="57"/>
      <c r="CN64" s="57"/>
      <c r="CO64" s="57"/>
      <c r="CP64" s="57"/>
      <c r="CQ64" s="57"/>
      <c r="CR64" s="57"/>
      <c r="CS64" s="57"/>
      <c r="CT64" s="57"/>
      <c r="CU64" s="57"/>
      <c r="CV64" s="57"/>
      <c r="CW64" s="57"/>
      <c r="CX64" s="57"/>
      <c r="CY64" s="57"/>
      <c r="CZ64" s="57"/>
    </row>
    <row r="65" spans="1:104" s="56" customFormat="1" ht="13">
      <c r="A65" s="57"/>
      <c r="B65" s="1587"/>
      <c r="C65" s="1588"/>
      <c r="D65" s="1588"/>
      <c r="E65" s="1588"/>
      <c r="F65" s="1588"/>
      <c r="G65" s="1588"/>
      <c r="H65" s="1588"/>
      <c r="I65" s="1588"/>
      <c r="J65" s="1588"/>
      <c r="K65" s="1588"/>
      <c r="L65" s="1588"/>
      <c r="M65" s="1588"/>
      <c r="N65" s="1588"/>
      <c r="O65" s="1588"/>
      <c r="P65" s="1588"/>
      <c r="Q65" s="1588"/>
      <c r="R65" s="1588"/>
      <c r="S65" s="1588"/>
      <c r="T65" s="1588"/>
      <c r="U65" s="1588"/>
      <c r="V65" s="1588"/>
      <c r="W65" s="1588"/>
      <c r="X65" s="1588"/>
      <c r="Y65" s="1588"/>
      <c r="Z65" s="1588"/>
      <c r="AA65" s="1588"/>
      <c r="AB65" s="1588"/>
      <c r="AC65" s="1588"/>
      <c r="AD65" s="1588"/>
      <c r="AE65" s="1588"/>
      <c r="AF65" s="1588"/>
      <c r="AG65" s="1588"/>
      <c r="AH65" s="1588"/>
      <c r="AI65" s="1589"/>
      <c r="AJ65" s="57"/>
      <c r="BY65" s="57"/>
      <c r="BZ65" s="57"/>
      <c r="CA65" s="57"/>
      <c r="CB65" s="57"/>
      <c r="CC65" s="57"/>
      <c r="CD65" s="57"/>
      <c r="CE65" s="57"/>
      <c r="CF65" s="57"/>
      <c r="CG65" s="57"/>
      <c r="CH65" s="57"/>
      <c r="CI65" s="57"/>
      <c r="CJ65" s="57"/>
      <c r="CK65" s="57"/>
      <c r="CL65" s="57"/>
      <c r="CM65" s="57"/>
      <c r="CN65" s="57"/>
      <c r="CO65" s="57"/>
      <c r="CP65" s="57"/>
      <c r="CQ65" s="57"/>
      <c r="CR65" s="57"/>
      <c r="CS65" s="57"/>
      <c r="CT65" s="57"/>
      <c r="CU65" s="57"/>
      <c r="CV65" s="57"/>
      <c r="CW65" s="57"/>
      <c r="CX65" s="57"/>
      <c r="CY65" s="57"/>
      <c r="CZ65" s="57"/>
    </row>
    <row r="66" spans="1:104" ht="16" thickBot="1"/>
    <row r="67" spans="1:104" s="56" customFormat="1" ht="14" thickTop="1">
      <c r="A67" s="1501" t="s">
        <v>246</v>
      </c>
      <c r="B67" s="1501"/>
      <c r="C67" s="1501"/>
      <c r="D67" s="1501"/>
      <c r="E67" s="1501"/>
      <c r="F67" s="1501"/>
      <c r="G67" s="1501"/>
      <c r="H67" s="1501"/>
      <c r="I67" s="1501"/>
      <c r="J67" s="1501"/>
      <c r="K67" s="1501"/>
      <c r="L67" s="1501"/>
      <c r="M67" s="1501"/>
      <c r="N67" s="1501"/>
      <c r="O67" s="1501"/>
      <c r="P67" s="1501"/>
      <c r="Q67" s="1501"/>
      <c r="R67" s="1501"/>
      <c r="S67" s="1501"/>
      <c r="T67" s="1501"/>
      <c r="U67" s="1501"/>
      <c r="V67" s="1501"/>
      <c r="W67" s="1501"/>
      <c r="X67" s="1501"/>
      <c r="Y67" s="1501"/>
      <c r="Z67" s="1501"/>
      <c r="AA67" s="1501"/>
      <c r="AB67" s="1501"/>
      <c r="AC67" s="1501"/>
      <c r="AD67" s="1501"/>
      <c r="AE67" s="1501"/>
      <c r="AF67" s="1501"/>
      <c r="AG67" s="1501"/>
      <c r="AH67" s="1501"/>
      <c r="AI67" s="1501"/>
      <c r="BY67" s="57"/>
      <c r="BZ67" s="57"/>
      <c r="CA67" s="57"/>
      <c r="CB67" s="57"/>
      <c r="CC67" s="57"/>
      <c r="CD67" s="57"/>
      <c r="CE67" s="57"/>
      <c r="CF67" s="57"/>
      <c r="CG67" s="57"/>
      <c r="CH67" s="57"/>
      <c r="CI67" s="57"/>
      <c r="CJ67" s="57"/>
      <c r="CK67" s="57"/>
      <c r="CL67" s="57"/>
      <c r="CM67" s="57"/>
      <c r="CN67" s="57"/>
      <c r="CO67" s="57"/>
      <c r="CP67" s="57"/>
      <c r="CQ67" s="57"/>
      <c r="CR67" s="57"/>
      <c r="CS67" s="57"/>
      <c r="CT67" s="57"/>
      <c r="CU67" s="57"/>
      <c r="CV67" s="57"/>
      <c r="CW67" s="57"/>
      <c r="CX67" s="57"/>
      <c r="CY67" s="57"/>
      <c r="CZ67" s="57"/>
    </row>
    <row r="68" spans="1:104" s="56" customFormat="1" ht="6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0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BY68" s="57"/>
      <c r="BZ68" s="57"/>
      <c r="CA68" s="57"/>
      <c r="CB68" s="57"/>
      <c r="CC68" s="57"/>
      <c r="CD68" s="57"/>
      <c r="CE68" s="57"/>
      <c r="CF68" s="57"/>
      <c r="CG68" s="57"/>
      <c r="CH68" s="57"/>
      <c r="CI68" s="57"/>
      <c r="CJ68" s="57"/>
      <c r="CK68" s="57"/>
      <c r="CL68" s="57"/>
      <c r="CM68" s="57"/>
      <c r="CN68" s="57"/>
      <c r="CO68" s="57"/>
      <c r="CP68" s="57"/>
      <c r="CQ68" s="57"/>
      <c r="CR68" s="57"/>
      <c r="CS68" s="57"/>
      <c r="CT68" s="57"/>
      <c r="CU68" s="57"/>
      <c r="CV68" s="57"/>
      <c r="CW68" s="57"/>
      <c r="CX68" s="57"/>
      <c r="CY68" s="57"/>
      <c r="CZ68" s="57"/>
    </row>
    <row r="69" spans="1:104" s="56" customFormat="1" ht="13">
      <c r="A69" s="66"/>
      <c r="B69" s="87" t="s">
        <v>113</v>
      </c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0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7"/>
      <c r="BY69" s="57"/>
      <c r="BZ69" s="57"/>
      <c r="CA69" s="57"/>
      <c r="CB69" s="57"/>
      <c r="CC69" s="57"/>
      <c r="CD69" s="57"/>
      <c r="CE69" s="57"/>
      <c r="CF69" s="57"/>
      <c r="CG69" s="57"/>
      <c r="CH69" s="57"/>
      <c r="CI69" s="57"/>
      <c r="CJ69" s="57"/>
      <c r="CK69" s="57"/>
      <c r="CL69" s="57"/>
      <c r="CM69" s="57"/>
      <c r="CN69" s="57"/>
      <c r="CO69" s="57"/>
      <c r="CP69" s="57"/>
      <c r="CQ69" s="57"/>
      <c r="CR69" s="57"/>
      <c r="CS69" s="57"/>
      <c r="CT69" s="57"/>
      <c r="CU69" s="57"/>
      <c r="CV69" s="57"/>
      <c r="CW69" s="57"/>
      <c r="CX69" s="57"/>
      <c r="CY69" s="57"/>
      <c r="CZ69" s="57"/>
    </row>
    <row r="70" spans="1:104" s="56" customFormat="1" ht="6" customHeight="1">
      <c r="BY70" s="57"/>
      <c r="BZ70" s="57"/>
      <c r="CA70" s="57"/>
      <c r="CB70" s="57"/>
      <c r="CC70" s="57"/>
      <c r="CD70" s="57"/>
      <c r="CE70" s="57"/>
      <c r="CF70" s="57"/>
      <c r="CG70" s="57"/>
      <c r="CH70" s="57"/>
      <c r="CI70" s="57"/>
      <c r="CJ70" s="57"/>
      <c r="CK70" s="57"/>
      <c r="CL70" s="57"/>
      <c r="CM70" s="57"/>
      <c r="CN70" s="57"/>
      <c r="CO70" s="57"/>
      <c r="CP70" s="57"/>
      <c r="CQ70" s="57"/>
      <c r="CR70" s="57"/>
      <c r="CS70" s="57"/>
      <c r="CT70" s="57"/>
      <c r="CU70" s="57"/>
      <c r="CV70" s="57"/>
      <c r="CW70" s="57"/>
      <c r="CX70" s="57"/>
      <c r="CY70" s="57"/>
      <c r="CZ70" s="57"/>
    </row>
    <row r="71" spans="1:104" s="56" customFormat="1" ht="12.75" customHeight="1" thickBot="1">
      <c r="B71" s="1571" t="s">
        <v>114</v>
      </c>
      <c r="C71" s="1572"/>
      <c r="D71" s="1572"/>
      <c r="E71" s="1572"/>
      <c r="F71" s="1572"/>
      <c r="G71" s="1572"/>
      <c r="H71" s="1572"/>
      <c r="I71" s="1572"/>
      <c r="J71" s="1572"/>
      <c r="K71" s="1572"/>
      <c r="L71" s="1572"/>
      <c r="M71" s="1572"/>
      <c r="N71" s="1572"/>
      <c r="O71" s="1572"/>
      <c r="P71" s="1572"/>
      <c r="Q71" s="1573"/>
      <c r="S71" s="1571" t="s">
        <v>115</v>
      </c>
      <c r="T71" s="1572"/>
      <c r="U71" s="1572"/>
      <c r="V71" s="1572"/>
      <c r="W71" s="1572"/>
      <c r="X71" s="1572"/>
      <c r="Y71" s="1572"/>
      <c r="Z71" s="1572"/>
      <c r="AA71" s="1572"/>
      <c r="AB71" s="1572"/>
      <c r="AC71" s="1572"/>
      <c r="AD71" s="1572"/>
      <c r="AE71" s="1572"/>
      <c r="AF71" s="1572"/>
      <c r="AG71" s="1572"/>
      <c r="AH71" s="1572"/>
      <c r="AI71" s="1573"/>
      <c r="BY71" s="57"/>
      <c r="BZ71" s="57"/>
      <c r="CA71" s="57"/>
      <c r="CB71" s="57"/>
      <c r="CC71" s="57"/>
      <c r="CD71" s="57"/>
      <c r="CE71" s="57"/>
      <c r="CF71" s="57"/>
      <c r="CG71" s="57"/>
      <c r="CH71" s="57"/>
      <c r="CI71" s="57"/>
      <c r="CJ71" s="57"/>
      <c r="CK71" s="57"/>
      <c r="CL71" s="57"/>
      <c r="CM71" s="57"/>
      <c r="CN71" s="57"/>
      <c r="CO71" s="57"/>
      <c r="CP71" s="57"/>
      <c r="CQ71" s="57"/>
      <c r="CR71" s="57"/>
      <c r="CS71" s="57"/>
      <c r="CT71" s="57"/>
      <c r="CU71" s="57"/>
      <c r="CV71" s="57"/>
      <c r="CW71" s="57"/>
      <c r="CX71" s="57"/>
      <c r="CY71" s="57"/>
      <c r="CZ71" s="57"/>
    </row>
    <row r="72" spans="1:104" s="56" customFormat="1" ht="6" customHeight="1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BY72" s="57"/>
      <c r="BZ72" s="57"/>
      <c r="CA72" s="57"/>
      <c r="CB72" s="57"/>
      <c r="CC72" s="57"/>
      <c r="CD72" s="57"/>
      <c r="CE72" s="57"/>
      <c r="CF72" s="57"/>
      <c r="CG72" s="57"/>
      <c r="CH72" s="57"/>
      <c r="CI72" s="57"/>
      <c r="CJ72" s="57"/>
      <c r="CK72" s="57"/>
      <c r="CL72" s="57"/>
      <c r="CM72" s="57"/>
      <c r="CN72" s="57"/>
      <c r="CO72" s="57"/>
      <c r="CP72" s="57"/>
      <c r="CQ72" s="57"/>
      <c r="CR72" s="57"/>
      <c r="CS72" s="57"/>
      <c r="CT72" s="57"/>
      <c r="CU72" s="57"/>
      <c r="CV72" s="57"/>
      <c r="CW72" s="57"/>
      <c r="CX72" s="57"/>
      <c r="CY72" s="57"/>
      <c r="CZ72" s="57"/>
    </row>
    <row r="73" spans="1:104" s="56" customFormat="1" ht="12.75" customHeight="1">
      <c r="A73" s="57"/>
      <c r="B73" s="1505" t="s">
        <v>116</v>
      </c>
      <c r="C73" s="1505"/>
      <c r="D73" s="1505"/>
      <c r="E73" s="1505"/>
      <c r="F73" s="1505"/>
      <c r="G73" s="1505"/>
      <c r="H73" s="1505"/>
      <c r="I73" s="1505"/>
      <c r="J73" s="1505"/>
      <c r="K73" s="1505"/>
      <c r="L73" s="1574"/>
      <c r="M73" s="1575"/>
      <c r="N73" s="1575"/>
      <c r="O73" s="1575"/>
      <c r="P73" s="1575"/>
      <c r="Q73" s="1576"/>
      <c r="R73" s="88"/>
      <c r="S73" s="1505" t="s">
        <v>117</v>
      </c>
      <c r="T73" s="1505"/>
      <c r="U73" s="1505"/>
      <c r="V73" s="1505"/>
      <c r="W73" s="1505"/>
      <c r="X73" s="1505"/>
      <c r="Y73" s="1505"/>
      <c r="Z73" s="1505"/>
      <c r="AA73" s="1505"/>
      <c r="AB73" s="1505"/>
      <c r="AC73" s="1505"/>
      <c r="AD73" s="1574"/>
      <c r="AE73" s="1575"/>
      <c r="AF73" s="1575"/>
      <c r="AG73" s="1575"/>
      <c r="AH73" s="1575"/>
      <c r="AI73" s="1576"/>
      <c r="AJ73" s="57"/>
      <c r="AK73" s="57"/>
      <c r="AL73" s="57"/>
      <c r="AM73" s="57"/>
      <c r="AN73" s="57"/>
      <c r="AO73" s="57"/>
      <c r="AP73" s="57"/>
      <c r="AQ73" s="57"/>
      <c r="AR73" s="57"/>
      <c r="AS73" s="57"/>
      <c r="AT73" s="57"/>
      <c r="AU73" s="57"/>
      <c r="AV73" s="57"/>
      <c r="AW73" s="57"/>
      <c r="AX73" s="57"/>
      <c r="AY73" s="57"/>
      <c r="AZ73" s="57"/>
      <c r="BA73" s="57"/>
      <c r="BB73" s="57"/>
      <c r="BC73" s="57"/>
      <c r="BD73" s="57"/>
      <c r="BE73" s="57"/>
      <c r="BF73" s="57"/>
      <c r="BG73" s="57"/>
      <c r="BH73" s="57"/>
      <c r="BI73" s="57"/>
      <c r="BJ73" s="57"/>
      <c r="BK73" s="57"/>
      <c r="BL73" s="57"/>
      <c r="BM73" s="57"/>
      <c r="BN73" s="57"/>
      <c r="BO73" s="57"/>
      <c r="BP73" s="57"/>
      <c r="BQ73" s="57"/>
      <c r="BR73" s="57"/>
      <c r="BS73" s="57"/>
      <c r="BT73" s="57"/>
      <c r="BU73" s="57"/>
      <c r="BV73" s="57"/>
      <c r="BW73" s="57"/>
      <c r="BX73" s="57"/>
      <c r="BY73" s="57"/>
      <c r="BZ73" s="57"/>
      <c r="CA73" s="57"/>
      <c r="CB73" s="57"/>
      <c r="CC73" s="57"/>
      <c r="CD73" s="57"/>
      <c r="CE73" s="57"/>
      <c r="CF73" s="57"/>
      <c r="CG73" s="57"/>
      <c r="CH73" s="57"/>
      <c r="CI73" s="57"/>
      <c r="CJ73" s="57"/>
      <c r="CK73" s="57"/>
      <c r="CL73" s="57"/>
      <c r="CM73" s="57"/>
      <c r="CN73" s="57"/>
      <c r="CO73" s="57"/>
      <c r="CP73" s="57"/>
      <c r="CQ73" s="57"/>
      <c r="CR73" s="57"/>
      <c r="CS73" s="57"/>
      <c r="CT73" s="57"/>
      <c r="CU73" s="57"/>
      <c r="CV73" s="57"/>
      <c r="CW73" s="57"/>
      <c r="CX73" s="57"/>
      <c r="CY73" s="57"/>
      <c r="CZ73" s="57"/>
    </row>
    <row r="74" spans="1:104" s="56" customFormat="1" ht="13">
      <c r="A74" s="57"/>
      <c r="B74" s="1505" t="s">
        <v>118</v>
      </c>
      <c r="C74" s="1505"/>
      <c r="D74" s="1505"/>
      <c r="E74" s="1505"/>
      <c r="F74" s="1505"/>
      <c r="G74" s="1505"/>
      <c r="H74" s="1505"/>
      <c r="I74" s="1505"/>
      <c r="J74" s="1505"/>
      <c r="K74" s="1505"/>
      <c r="L74" s="1574"/>
      <c r="M74" s="1575"/>
      <c r="N74" s="1575"/>
      <c r="O74" s="1575"/>
      <c r="P74" s="1575"/>
      <c r="Q74" s="1576"/>
      <c r="R74" s="57"/>
      <c r="S74" s="1505" t="s">
        <v>119</v>
      </c>
      <c r="T74" s="1505"/>
      <c r="U74" s="1505"/>
      <c r="V74" s="1505"/>
      <c r="W74" s="1505"/>
      <c r="X74" s="1505"/>
      <c r="Y74" s="1505"/>
      <c r="Z74" s="1505"/>
      <c r="AA74" s="1505"/>
      <c r="AB74" s="1505"/>
      <c r="AC74" s="1505"/>
      <c r="AD74" s="1574"/>
      <c r="AE74" s="1575"/>
      <c r="AF74" s="1575"/>
      <c r="AG74" s="1575"/>
      <c r="AH74" s="1575"/>
      <c r="AI74" s="1576"/>
      <c r="BY74" s="57"/>
      <c r="BZ74" s="57"/>
      <c r="CA74" s="57"/>
      <c r="CB74" s="57"/>
      <c r="CC74" s="57"/>
      <c r="CD74" s="57"/>
      <c r="CE74" s="57"/>
      <c r="CF74" s="57"/>
      <c r="CG74" s="57"/>
      <c r="CH74" s="57"/>
      <c r="CI74" s="57"/>
      <c r="CJ74" s="57"/>
      <c r="CK74" s="57"/>
      <c r="CL74" s="57"/>
      <c r="CM74" s="57"/>
      <c r="CN74" s="57"/>
      <c r="CO74" s="57"/>
      <c r="CP74" s="57"/>
      <c r="CQ74" s="57"/>
      <c r="CR74" s="57"/>
      <c r="CS74" s="57"/>
      <c r="CT74" s="57"/>
      <c r="CU74" s="57"/>
      <c r="CV74" s="57"/>
      <c r="CW74" s="57"/>
      <c r="CX74" s="57"/>
      <c r="CY74" s="57"/>
      <c r="CZ74" s="57"/>
    </row>
    <row r="75" spans="1:104" s="56" customFormat="1" ht="13">
      <c r="A75" s="57"/>
      <c r="B75" s="1505" t="s">
        <v>120</v>
      </c>
      <c r="C75" s="1505"/>
      <c r="D75" s="1505"/>
      <c r="E75" s="1505"/>
      <c r="F75" s="1505"/>
      <c r="G75" s="1505"/>
      <c r="H75" s="1505"/>
      <c r="I75" s="1505"/>
      <c r="J75" s="1505"/>
      <c r="K75" s="1505"/>
      <c r="L75" s="1574"/>
      <c r="M75" s="1575"/>
      <c r="N75" s="1575"/>
      <c r="O75" s="1575"/>
      <c r="P75" s="1575"/>
      <c r="Q75" s="1576"/>
      <c r="R75" s="57"/>
      <c r="S75" s="1505" t="s">
        <v>121</v>
      </c>
      <c r="T75" s="1505"/>
      <c r="U75" s="1505"/>
      <c r="V75" s="1505"/>
      <c r="W75" s="1505"/>
      <c r="X75" s="1505"/>
      <c r="Y75" s="1505"/>
      <c r="Z75" s="1505"/>
      <c r="AA75" s="1505"/>
      <c r="AB75" s="1505"/>
      <c r="AC75" s="1505"/>
      <c r="AD75" s="1574"/>
      <c r="AE75" s="1575"/>
      <c r="AF75" s="1575"/>
      <c r="AG75" s="1575"/>
      <c r="AH75" s="1575"/>
      <c r="AI75" s="1576"/>
      <c r="BY75" s="57"/>
      <c r="BZ75" s="57"/>
      <c r="CA75" s="57"/>
      <c r="CB75" s="57"/>
      <c r="CC75" s="57"/>
      <c r="CD75" s="57"/>
      <c r="CE75" s="57"/>
      <c r="CF75" s="57"/>
      <c r="CG75" s="57"/>
      <c r="CH75" s="57"/>
      <c r="CI75" s="57"/>
      <c r="CJ75" s="57"/>
      <c r="CK75" s="57"/>
      <c r="CL75" s="57"/>
      <c r="CM75" s="57"/>
      <c r="CN75" s="57"/>
      <c r="CO75" s="57"/>
      <c r="CP75" s="57"/>
      <c r="CQ75" s="57"/>
      <c r="CR75" s="57"/>
      <c r="CS75" s="57"/>
      <c r="CT75" s="57"/>
      <c r="CU75" s="57"/>
      <c r="CV75" s="57"/>
      <c r="CW75" s="57"/>
      <c r="CX75" s="57"/>
      <c r="CY75" s="57"/>
      <c r="CZ75" s="57"/>
    </row>
    <row r="76" spans="1:104" s="56" customFormat="1" ht="13">
      <c r="A76" s="57"/>
      <c r="B76" s="1505" t="s">
        <v>122</v>
      </c>
      <c r="C76" s="1505"/>
      <c r="D76" s="1505"/>
      <c r="E76" s="1505"/>
      <c r="F76" s="1505"/>
      <c r="G76" s="1505"/>
      <c r="H76" s="1505"/>
      <c r="I76" s="1505"/>
      <c r="J76" s="1505"/>
      <c r="K76" s="1505"/>
      <c r="L76" s="1574"/>
      <c r="M76" s="1575"/>
      <c r="N76" s="1575"/>
      <c r="O76" s="1575"/>
      <c r="P76" s="1575"/>
      <c r="Q76" s="1576"/>
      <c r="R76" s="57"/>
      <c r="S76" s="1505" t="s">
        <v>123</v>
      </c>
      <c r="T76" s="1505"/>
      <c r="U76" s="1505"/>
      <c r="V76" s="1505"/>
      <c r="W76" s="1505"/>
      <c r="X76" s="1505"/>
      <c r="Y76" s="1505"/>
      <c r="Z76" s="1505"/>
      <c r="AA76" s="1505"/>
      <c r="AB76" s="1505"/>
      <c r="AC76" s="1505"/>
      <c r="AD76" s="1574"/>
      <c r="AE76" s="1575"/>
      <c r="AF76" s="1575"/>
      <c r="AG76" s="1575"/>
      <c r="AH76" s="1575"/>
      <c r="AI76" s="1576"/>
      <c r="BY76" s="57"/>
      <c r="BZ76" s="57"/>
      <c r="CA76" s="57"/>
      <c r="CB76" s="57"/>
      <c r="CC76" s="57"/>
      <c r="CD76" s="57"/>
      <c r="CE76" s="57"/>
      <c r="CF76" s="57"/>
      <c r="CG76" s="57"/>
      <c r="CH76" s="57"/>
      <c r="CI76" s="57"/>
      <c r="CJ76" s="57"/>
      <c r="CK76" s="57"/>
      <c r="CL76" s="57"/>
      <c r="CM76" s="57"/>
      <c r="CN76" s="57"/>
      <c r="CO76" s="57"/>
      <c r="CP76" s="57"/>
      <c r="CQ76" s="57"/>
      <c r="CR76" s="57"/>
      <c r="CS76" s="57"/>
      <c r="CT76" s="57"/>
      <c r="CU76" s="57"/>
      <c r="CV76" s="57"/>
      <c r="CW76" s="57"/>
      <c r="CX76" s="57"/>
      <c r="CY76" s="57"/>
      <c r="CZ76" s="57"/>
    </row>
    <row r="77" spans="1:104" s="56" customFormat="1" ht="13">
      <c r="A77" s="57"/>
      <c r="B77" s="1505" t="s">
        <v>124</v>
      </c>
      <c r="C77" s="1505"/>
      <c r="D77" s="1505"/>
      <c r="E77" s="1505"/>
      <c r="F77" s="1505"/>
      <c r="G77" s="1505"/>
      <c r="H77" s="1505"/>
      <c r="I77" s="1505"/>
      <c r="J77" s="1505"/>
      <c r="K77" s="1505"/>
      <c r="L77" s="1574"/>
      <c r="M77" s="1575"/>
      <c r="N77" s="1575"/>
      <c r="O77" s="1575"/>
      <c r="P77" s="1575"/>
      <c r="Q77" s="1576"/>
      <c r="R77" s="57"/>
      <c r="S77" s="1505" t="s">
        <v>125</v>
      </c>
      <c r="T77" s="1505"/>
      <c r="U77" s="1505"/>
      <c r="V77" s="1505"/>
      <c r="W77" s="1505"/>
      <c r="X77" s="1505"/>
      <c r="Y77" s="1505"/>
      <c r="Z77" s="1505"/>
      <c r="AA77" s="1505"/>
      <c r="AB77" s="1505"/>
      <c r="AC77" s="1505"/>
      <c r="AD77" s="1574"/>
      <c r="AE77" s="1575"/>
      <c r="AF77" s="1575"/>
      <c r="AG77" s="1575"/>
      <c r="AH77" s="1575"/>
      <c r="AI77" s="1576"/>
      <c r="BY77" s="57"/>
      <c r="BZ77" s="57"/>
      <c r="CA77" s="57"/>
      <c r="CB77" s="57"/>
      <c r="CC77" s="57"/>
      <c r="CD77" s="57"/>
      <c r="CE77" s="57"/>
      <c r="CF77" s="57"/>
      <c r="CG77" s="57"/>
      <c r="CH77" s="57"/>
      <c r="CI77" s="57"/>
      <c r="CJ77" s="57"/>
      <c r="CK77" s="57"/>
      <c r="CL77" s="57"/>
      <c r="CM77" s="57"/>
      <c r="CN77" s="57"/>
      <c r="CO77" s="57"/>
      <c r="CP77" s="57"/>
      <c r="CQ77" s="57"/>
      <c r="CR77" s="57"/>
      <c r="CS77" s="57"/>
      <c r="CT77" s="57"/>
      <c r="CU77" s="57"/>
      <c r="CV77" s="57"/>
      <c r="CW77" s="57"/>
      <c r="CX77" s="57"/>
      <c r="CY77" s="57"/>
      <c r="CZ77" s="57"/>
    </row>
    <row r="78" spans="1:104" s="56" customFormat="1" ht="13">
      <c r="A78" s="57"/>
      <c r="B78" s="1505" t="s">
        <v>126</v>
      </c>
      <c r="C78" s="1505"/>
      <c r="D78" s="1505"/>
      <c r="E78" s="1505"/>
      <c r="F78" s="1505"/>
      <c r="G78" s="1505"/>
      <c r="H78" s="1505"/>
      <c r="I78" s="1505"/>
      <c r="J78" s="1505"/>
      <c r="K78" s="1505"/>
      <c r="L78" s="1574"/>
      <c r="M78" s="1575"/>
      <c r="N78" s="1575"/>
      <c r="O78" s="1575"/>
      <c r="P78" s="1575"/>
      <c r="Q78" s="1576"/>
      <c r="R78" s="57"/>
      <c r="S78" s="1505" t="s">
        <v>127</v>
      </c>
      <c r="T78" s="1505"/>
      <c r="U78" s="1505"/>
      <c r="V78" s="1505"/>
      <c r="W78" s="1505"/>
      <c r="X78" s="1505"/>
      <c r="Y78" s="1505"/>
      <c r="Z78" s="1505"/>
      <c r="AA78" s="1505"/>
      <c r="AB78" s="1505"/>
      <c r="AC78" s="1505"/>
      <c r="AD78" s="1574"/>
      <c r="AE78" s="1575"/>
      <c r="AF78" s="1575"/>
      <c r="AG78" s="1575"/>
      <c r="AH78" s="1575"/>
      <c r="AI78" s="1576"/>
      <c r="BY78" s="57"/>
      <c r="BZ78" s="57"/>
      <c r="CA78" s="57"/>
      <c r="CB78" s="57"/>
      <c r="CC78" s="57"/>
      <c r="CD78" s="57"/>
      <c r="CE78" s="57"/>
      <c r="CF78" s="57"/>
      <c r="CG78" s="57"/>
      <c r="CH78" s="57"/>
      <c r="CI78" s="57"/>
      <c r="CJ78" s="57"/>
      <c r="CK78" s="57"/>
      <c r="CL78" s="57"/>
      <c r="CM78" s="57"/>
      <c r="CN78" s="57"/>
      <c r="CO78" s="57"/>
      <c r="CP78" s="57"/>
      <c r="CQ78" s="57"/>
      <c r="CR78" s="57"/>
      <c r="CS78" s="57"/>
      <c r="CT78" s="57"/>
      <c r="CU78" s="57"/>
      <c r="CV78" s="57"/>
      <c r="CW78" s="57"/>
      <c r="CX78" s="57"/>
      <c r="CY78" s="57"/>
      <c r="CZ78" s="57"/>
    </row>
    <row r="79" spans="1:104" s="56" customFormat="1" ht="13">
      <c r="A79" s="57"/>
      <c r="B79" s="1505" t="s">
        <v>128</v>
      </c>
      <c r="C79" s="1505"/>
      <c r="D79" s="1505"/>
      <c r="E79" s="1505"/>
      <c r="F79" s="1505"/>
      <c r="G79" s="1505"/>
      <c r="H79" s="1505"/>
      <c r="I79" s="1505"/>
      <c r="J79" s="1505"/>
      <c r="K79" s="1505"/>
      <c r="L79" s="1574"/>
      <c r="M79" s="1575"/>
      <c r="N79" s="1575"/>
      <c r="O79" s="1575"/>
      <c r="P79" s="1575"/>
      <c r="Q79" s="1576"/>
      <c r="R79" s="57"/>
      <c r="S79" s="1505" t="s">
        <v>129</v>
      </c>
      <c r="T79" s="1505"/>
      <c r="U79" s="1505"/>
      <c r="V79" s="1505"/>
      <c r="W79" s="1505"/>
      <c r="X79" s="1505"/>
      <c r="Y79" s="1505"/>
      <c r="Z79" s="1505"/>
      <c r="AA79" s="1505"/>
      <c r="AB79" s="1505"/>
      <c r="AC79" s="1505"/>
      <c r="AD79" s="1574"/>
      <c r="AE79" s="1575"/>
      <c r="AF79" s="1575"/>
      <c r="AG79" s="1575"/>
      <c r="AH79" s="1575"/>
      <c r="AI79" s="1576"/>
      <c r="BY79" s="57"/>
      <c r="BZ79" s="57"/>
      <c r="CA79" s="57"/>
      <c r="CB79" s="57"/>
      <c r="CC79" s="57"/>
      <c r="CD79" s="57"/>
      <c r="CE79" s="57"/>
      <c r="CF79" s="57"/>
      <c r="CG79" s="57"/>
      <c r="CH79" s="57"/>
      <c r="CI79" s="57"/>
      <c r="CJ79" s="57"/>
      <c r="CK79" s="57"/>
      <c r="CL79" s="57"/>
      <c r="CM79" s="57"/>
      <c r="CN79" s="57"/>
      <c r="CO79" s="57"/>
      <c r="CP79" s="57"/>
      <c r="CQ79" s="57"/>
      <c r="CR79" s="57"/>
      <c r="CS79" s="57"/>
      <c r="CT79" s="57"/>
      <c r="CU79" s="57"/>
      <c r="CV79" s="57"/>
      <c r="CW79" s="57"/>
      <c r="CX79" s="57"/>
      <c r="CY79" s="57"/>
      <c r="CZ79" s="57"/>
    </row>
    <row r="80" spans="1:104" s="56" customFormat="1" ht="13">
      <c r="A80" s="57"/>
      <c r="B80" s="1505" t="s">
        <v>130</v>
      </c>
      <c r="C80" s="1505"/>
      <c r="D80" s="1505"/>
      <c r="E80" s="1505"/>
      <c r="F80" s="1505"/>
      <c r="G80" s="1505"/>
      <c r="H80" s="1505"/>
      <c r="I80" s="1505"/>
      <c r="J80" s="1505"/>
      <c r="K80" s="1505"/>
      <c r="L80" s="1574"/>
      <c r="M80" s="1575"/>
      <c r="N80" s="1575"/>
      <c r="O80" s="1575"/>
      <c r="P80" s="1575"/>
      <c r="Q80" s="1576"/>
      <c r="R80" s="57"/>
      <c r="S80" s="1505" t="s">
        <v>131</v>
      </c>
      <c r="T80" s="1505"/>
      <c r="U80" s="1505"/>
      <c r="V80" s="1505"/>
      <c r="W80" s="1505"/>
      <c r="X80" s="1505"/>
      <c r="Y80" s="1505"/>
      <c r="Z80" s="1505"/>
      <c r="AA80" s="1505"/>
      <c r="AB80" s="1505"/>
      <c r="AC80" s="1505"/>
      <c r="AD80" s="1574"/>
      <c r="AE80" s="1575"/>
      <c r="AF80" s="1575"/>
      <c r="AG80" s="1575"/>
      <c r="AH80" s="1575"/>
      <c r="AI80" s="1576"/>
      <c r="BY80" s="57"/>
      <c r="BZ80" s="57"/>
      <c r="CA80" s="57"/>
      <c r="CB80" s="57"/>
      <c r="CC80" s="57"/>
      <c r="CD80" s="57"/>
      <c r="CE80" s="57"/>
      <c r="CF80" s="57"/>
      <c r="CG80" s="57"/>
      <c r="CH80" s="57"/>
      <c r="CI80" s="57"/>
      <c r="CJ80" s="57"/>
      <c r="CK80" s="57"/>
      <c r="CL80" s="57"/>
      <c r="CM80" s="57"/>
      <c r="CN80" s="57"/>
      <c r="CO80" s="57"/>
      <c r="CP80" s="57"/>
      <c r="CQ80" s="57"/>
      <c r="CR80" s="57"/>
      <c r="CS80" s="57"/>
      <c r="CT80" s="57"/>
      <c r="CU80" s="57"/>
      <c r="CV80" s="57"/>
      <c r="CW80" s="57"/>
      <c r="CX80" s="57"/>
      <c r="CY80" s="57"/>
      <c r="CZ80" s="57"/>
    </row>
    <row r="81" spans="1:104" s="56" customFormat="1" ht="13">
      <c r="A81" s="57"/>
      <c r="B81" s="1505" t="s">
        <v>132</v>
      </c>
      <c r="C81" s="1505"/>
      <c r="D81" s="1505"/>
      <c r="E81" s="1505"/>
      <c r="F81" s="1505"/>
      <c r="G81" s="1505"/>
      <c r="H81" s="1505"/>
      <c r="I81" s="1505"/>
      <c r="J81" s="1505"/>
      <c r="K81" s="1505"/>
      <c r="L81" s="1574"/>
      <c r="M81" s="1575"/>
      <c r="N81" s="1575"/>
      <c r="O81" s="1575"/>
      <c r="P81" s="1575"/>
      <c r="Q81" s="1576"/>
      <c r="R81" s="57"/>
      <c r="S81" s="1505" t="s">
        <v>133</v>
      </c>
      <c r="T81" s="1505"/>
      <c r="U81" s="1505"/>
      <c r="V81" s="1505"/>
      <c r="W81" s="1505"/>
      <c r="X81" s="1505"/>
      <c r="Y81" s="1505"/>
      <c r="Z81" s="1505"/>
      <c r="AA81" s="1505"/>
      <c r="AB81" s="1505"/>
      <c r="AC81" s="1505"/>
      <c r="AD81" s="1574"/>
      <c r="AE81" s="1575"/>
      <c r="AF81" s="1575"/>
      <c r="AG81" s="1575"/>
      <c r="AH81" s="1575"/>
      <c r="AI81" s="1576"/>
      <c r="BY81" s="57"/>
      <c r="BZ81" s="57"/>
      <c r="CA81" s="57"/>
      <c r="CB81" s="57"/>
      <c r="CC81" s="57"/>
      <c r="CD81" s="57"/>
      <c r="CE81" s="57"/>
      <c r="CF81" s="57"/>
      <c r="CG81" s="57"/>
      <c r="CH81" s="57"/>
      <c r="CI81" s="57"/>
      <c r="CJ81" s="57"/>
      <c r="CK81" s="57"/>
      <c r="CL81" s="57"/>
      <c r="CM81" s="57"/>
      <c r="CN81" s="57"/>
      <c r="CO81" s="57"/>
      <c r="CP81" s="57"/>
      <c r="CQ81" s="57"/>
      <c r="CR81" s="57"/>
      <c r="CS81" s="57"/>
      <c r="CT81" s="57"/>
      <c r="CU81" s="57"/>
      <c r="CV81" s="57"/>
      <c r="CW81" s="57"/>
      <c r="CX81" s="57"/>
      <c r="CY81" s="57"/>
      <c r="CZ81" s="57"/>
    </row>
    <row r="82" spans="1:104" s="56" customFormat="1" ht="13">
      <c r="A82" s="57"/>
      <c r="B82" s="1505" t="s">
        <v>134</v>
      </c>
      <c r="C82" s="1505"/>
      <c r="D82" s="1505"/>
      <c r="E82" s="1505"/>
      <c r="F82" s="1505"/>
      <c r="G82" s="1505"/>
      <c r="H82" s="1505"/>
      <c r="I82" s="1505"/>
      <c r="J82" s="1505"/>
      <c r="K82" s="1505"/>
      <c r="L82" s="1574"/>
      <c r="M82" s="1575"/>
      <c r="N82" s="1575"/>
      <c r="O82" s="1575"/>
      <c r="P82" s="1575"/>
      <c r="Q82" s="1576"/>
      <c r="R82" s="57"/>
      <c r="S82" s="1505" t="s">
        <v>135</v>
      </c>
      <c r="T82" s="1505"/>
      <c r="U82" s="1505"/>
      <c r="V82" s="1505"/>
      <c r="W82" s="1505"/>
      <c r="X82" s="1505"/>
      <c r="Y82" s="1505"/>
      <c r="Z82" s="1505"/>
      <c r="AA82" s="1505"/>
      <c r="AB82" s="1505"/>
      <c r="AC82" s="1505"/>
      <c r="AD82" s="1574"/>
      <c r="AE82" s="1575"/>
      <c r="AF82" s="1575"/>
      <c r="AG82" s="1575"/>
      <c r="AH82" s="1575"/>
      <c r="AI82" s="1576"/>
      <c r="BY82" s="57"/>
      <c r="BZ82" s="57"/>
      <c r="CA82" s="57"/>
      <c r="CB82" s="57"/>
      <c r="CC82" s="57"/>
      <c r="CD82" s="57"/>
      <c r="CE82" s="57"/>
      <c r="CF82" s="57"/>
      <c r="CG82" s="57"/>
      <c r="CH82" s="57"/>
      <c r="CI82" s="57"/>
      <c r="CJ82" s="57"/>
      <c r="CK82" s="57"/>
      <c r="CL82" s="57"/>
      <c r="CM82" s="57"/>
      <c r="CN82" s="57"/>
      <c r="CO82" s="57"/>
      <c r="CP82" s="57"/>
      <c r="CQ82" s="57"/>
      <c r="CR82" s="57"/>
      <c r="CS82" s="57"/>
      <c r="CT82" s="57"/>
      <c r="CU82" s="57"/>
      <c r="CV82" s="57"/>
      <c r="CW82" s="57"/>
      <c r="CX82" s="57"/>
      <c r="CY82" s="57"/>
      <c r="CZ82" s="57"/>
    </row>
    <row r="83" spans="1:104" s="56" customFormat="1" ht="13">
      <c r="A83" s="57"/>
      <c r="B83" s="1505" t="s">
        <v>136</v>
      </c>
      <c r="C83" s="1505"/>
      <c r="D83" s="1505"/>
      <c r="E83" s="1505"/>
      <c r="F83" s="1505"/>
      <c r="G83" s="1505"/>
      <c r="H83" s="1505"/>
      <c r="I83" s="1505"/>
      <c r="J83" s="1505"/>
      <c r="K83" s="1505"/>
      <c r="L83" s="1574"/>
      <c r="M83" s="1575"/>
      <c r="N83" s="1575"/>
      <c r="O83" s="1575"/>
      <c r="P83" s="1575"/>
      <c r="Q83" s="1576"/>
      <c r="R83" s="57"/>
      <c r="S83" s="1505" t="s">
        <v>137</v>
      </c>
      <c r="T83" s="1505"/>
      <c r="U83" s="1505"/>
      <c r="V83" s="1505"/>
      <c r="W83" s="1505"/>
      <c r="X83" s="1505"/>
      <c r="Y83" s="1505"/>
      <c r="Z83" s="1505"/>
      <c r="AA83" s="1505"/>
      <c r="AB83" s="1505"/>
      <c r="AC83" s="1536"/>
      <c r="AD83" s="1574"/>
      <c r="AE83" s="1575"/>
      <c r="AF83" s="1575"/>
      <c r="AG83" s="1575"/>
      <c r="AH83" s="1575"/>
      <c r="AI83" s="1576"/>
      <c r="BY83" s="57"/>
      <c r="BZ83" s="57"/>
      <c r="CA83" s="57"/>
      <c r="CB83" s="57"/>
      <c r="CC83" s="57"/>
      <c r="CD83" s="57"/>
      <c r="CE83" s="57"/>
      <c r="CF83" s="57"/>
      <c r="CG83" s="57"/>
      <c r="CH83" s="57"/>
      <c r="CI83" s="57"/>
      <c r="CJ83" s="57"/>
      <c r="CK83" s="57"/>
      <c r="CL83" s="57"/>
      <c r="CM83" s="57"/>
      <c r="CN83" s="57"/>
      <c r="CO83" s="57"/>
      <c r="CP83" s="57"/>
      <c r="CQ83" s="57"/>
      <c r="CR83" s="57"/>
      <c r="CS83" s="57"/>
      <c r="CT83" s="57"/>
      <c r="CU83" s="57"/>
      <c r="CV83" s="57"/>
      <c r="CW83" s="57"/>
      <c r="CX83" s="57"/>
      <c r="CY83" s="57"/>
      <c r="CZ83" s="57"/>
    </row>
    <row r="84" spans="1:104" s="56" customFormat="1" ht="13">
      <c r="A84" s="57"/>
      <c r="B84" s="1505" t="s">
        <v>138</v>
      </c>
      <c r="C84" s="1505"/>
      <c r="D84" s="1505"/>
      <c r="E84" s="1505"/>
      <c r="F84" s="1505"/>
      <c r="G84" s="1505"/>
      <c r="H84" s="1505"/>
      <c r="I84" s="1505"/>
      <c r="J84" s="1505"/>
      <c r="K84" s="1505"/>
      <c r="L84" s="1574"/>
      <c r="M84" s="1575"/>
      <c r="N84" s="1575"/>
      <c r="O84" s="1575"/>
      <c r="P84" s="1575"/>
      <c r="Q84" s="1576"/>
      <c r="R84" s="57"/>
      <c r="S84" s="1505" t="s">
        <v>139</v>
      </c>
      <c r="T84" s="1505"/>
      <c r="U84" s="1505"/>
      <c r="V84" s="1505"/>
      <c r="W84" s="1505"/>
      <c r="X84" s="1505"/>
      <c r="Y84" s="1505"/>
      <c r="Z84" s="1505"/>
      <c r="AA84" s="1505"/>
      <c r="AB84" s="1505"/>
      <c r="AC84" s="1536"/>
      <c r="AD84" s="1574"/>
      <c r="AE84" s="1575"/>
      <c r="AF84" s="1575"/>
      <c r="AG84" s="1575"/>
      <c r="AH84" s="1575"/>
      <c r="AI84" s="1576"/>
      <c r="BY84" s="57"/>
      <c r="BZ84" s="57"/>
      <c r="CA84" s="57"/>
      <c r="CB84" s="57"/>
      <c r="CC84" s="57"/>
      <c r="CD84" s="57"/>
      <c r="CE84" s="57"/>
      <c r="CF84" s="57"/>
      <c r="CG84" s="57"/>
      <c r="CH84" s="57"/>
      <c r="CI84" s="57"/>
      <c r="CJ84" s="57"/>
      <c r="CK84" s="57"/>
      <c r="CL84" s="57"/>
      <c r="CM84" s="57"/>
      <c r="CN84" s="57"/>
      <c r="CO84" s="57"/>
      <c r="CP84" s="57"/>
      <c r="CQ84" s="57"/>
      <c r="CR84" s="57"/>
      <c r="CS84" s="57"/>
      <c r="CT84" s="57"/>
      <c r="CU84" s="57"/>
      <c r="CV84" s="57"/>
      <c r="CW84" s="57"/>
      <c r="CX84" s="57"/>
      <c r="CY84" s="57"/>
      <c r="CZ84" s="57"/>
    </row>
    <row r="85" spans="1:104" s="56" customFormat="1" ht="13">
      <c r="A85" s="57"/>
      <c r="B85" s="1505" t="s">
        <v>140</v>
      </c>
      <c r="C85" s="1505"/>
      <c r="D85" s="1505"/>
      <c r="E85" s="1505"/>
      <c r="F85" s="1505"/>
      <c r="G85" s="1505"/>
      <c r="H85" s="1505"/>
      <c r="I85" s="1505"/>
      <c r="J85" s="1505"/>
      <c r="K85" s="1505"/>
      <c r="L85" s="1574"/>
      <c r="M85" s="1575"/>
      <c r="N85" s="1575"/>
      <c r="O85" s="1575"/>
      <c r="P85" s="1575"/>
      <c r="Q85" s="1576"/>
      <c r="R85" s="57"/>
      <c r="S85" s="1505" t="s">
        <v>141</v>
      </c>
      <c r="T85" s="1505"/>
      <c r="U85" s="1505"/>
      <c r="V85" s="1505"/>
      <c r="W85" s="1505"/>
      <c r="X85" s="1505"/>
      <c r="Y85" s="1505"/>
      <c r="Z85" s="1505"/>
      <c r="AA85" s="1505"/>
      <c r="AB85" s="1505"/>
      <c r="AC85" s="1536"/>
      <c r="AD85" s="1574"/>
      <c r="AE85" s="1575"/>
      <c r="AF85" s="1575"/>
      <c r="AG85" s="1575"/>
      <c r="AH85" s="1575"/>
      <c r="AI85" s="1576"/>
      <c r="BY85" s="57"/>
      <c r="BZ85" s="57"/>
      <c r="CA85" s="57"/>
      <c r="CB85" s="57"/>
      <c r="CC85" s="57"/>
      <c r="CD85" s="57"/>
      <c r="CE85" s="57"/>
      <c r="CF85" s="57"/>
      <c r="CG85" s="57"/>
      <c r="CH85" s="57"/>
      <c r="CI85" s="57"/>
      <c r="CJ85" s="57"/>
      <c r="CK85" s="57"/>
      <c r="CL85" s="57"/>
      <c r="CM85" s="57"/>
      <c r="CN85" s="57"/>
      <c r="CO85" s="57"/>
      <c r="CP85" s="57"/>
      <c r="CQ85" s="57"/>
      <c r="CR85" s="57"/>
      <c r="CS85" s="57"/>
      <c r="CT85" s="57"/>
      <c r="CU85" s="57"/>
      <c r="CV85" s="57"/>
      <c r="CW85" s="57"/>
      <c r="CX85" s="57"/>
      <c r="CY85" s="57"/>
      <c r="CZ85" s="57"/>
    </row>
    <row r="86" spans="1:104" s="56" customFormat="1" ht="13">
      <c r="A86" s="57"/>
      <c r="B86" s="1505" t="s">
        <v>142</v>
      </c>
      <c r="C86" s="1505"/>
      <c r="D86" s="1505"/>
      <c r="E86" s="1505"/>
      <c r="F86" s="1505"/>
      <c r="G86" s="1505"/>
      <c r="H86" s="1505"/>
      <c r="I86" s="1505"/>
      <c r="J86" s="1505"/>
      <c r="K86" s="1505"/>
      <c r="L86" s="1574"/>
      <c r="M86" s="1575"/>
      <c r="N86" s="1575"/>
      <c r="O86" s="1575"/>
      <c r="P86" s="1575"/>
      <c r="Q86" s="1576"/>
      <c r="R86" s="57"/>
      <c r="S86" s="1505" t="s">
        <v>143</v>
      </c>
      <c r="T86" s="1505"/>
      <c r="U86" s="1505"/>
      <c r="V86" s="1505"/>
      <c r="W86" s="1505"/>
      <c r="X86" s="1505"/>
      <c r="Y86" s="1505"/>
      <c r="Z86" s="1505"/>
      <c r="AA86" s="1505"/>
      <c r="AB86" s="1505"/>
      <c r="AC86" s="1536"/>
      <c r="AD86" s="1574"/>
      <c r="AE86" s="1575"/>
      <c r="AF86" s="1575"/>
      <c r="AG86" s="1575"/>
      <c r="AH86" s="1575"/>
      <c r="AI86" s="1576"/>
      <c r="BY86" s="57"/>
      <c r="BZ86" s="57"/>
      <c r="CA86" s="57"/>
      <c r="CB86" s="57"/>
      <c r="CC86" s="57"/>
      <c r="CD86" s="57"/>
      <c r="CE86" s="57"/>
      <c r="CF86" s="57"/>
      <c r="CG86" s="57"/>
      <c r="CH86" s="57"/>
      <c r="CI86" s="57"/>
      <c r="CJ86" s="57"/>
      <c r="CK86" s="57"/>
      <c r="CL86" s="57"/>
      <c r="CM86" s="57"/>
      <c r="CN86" s="57"/>
      <c r="CO86" s="57"/>
      <c r="CP86" s="57"/>
      <c r="CQ86" s="57"/>
      <c r="CR86" s="57"/>
      <c r="CS86" s="57"/>
      <c r="CT86" s="57"/>
      <c r="CU86" s="57"/>
      <c r="CV86" s="57"/>
      <c r="CW86" s="57"/>
      <c r="CX86" s="57"/>
      <c r="CY86" s="57"/>
      <c r="CZ86" s="57"/>
    </row>
    <row r="87" spans="1:104" s="56" customFormat="1" ht="13">
      <c r="A87" s="57"/>
      <c r="B87" s="1505" t="s">
        <v>144</v>
      </c>
      <c r="C87" s="1505"/>
      <c r="D87" s="1505"/>
      <c r="E87" s="1505"/>
      <c r="F87" s="1505"/>
      <c r="G87" s="1505"/>
      <c r="H87" s="1505"/>
      <c r="I87" s="1505"/>
      <c r="J87" s="1505"/>
      <c r="K87" s="1505"/>
      <c r="L87" s="1574"/>
      <c r="M87" s="1575"/>
      <c r="N87" s="1575"/>
      <c r="O87" s="1575"/>
      <c r="P87" s="1575"/>
      <c r="Q87" s="1576"/>
      <c r="R87" s="57"/>
      <c r="S87" s="1505" t="s">
        <v>145</v>
      </c>
      <c r="T87" s="1505"/>
      <c r="U87" s="1505"/>
      <c r="V87" s="1505"/>
      <c r="W87" s="1505"/>
      <c r="X87" s="1505"/>
      <c r="Y87" s="1505"/>
      <c r="Z87" s="1505"/>
      <c r="AA87" s="1505"/>
      <c r="AB87" s="1505"/>
      <c r="AC87" s="1536"/>
      <c r="AD87" s="1574"/>
      <c r="AE87" s="1575"/>
      <c r="AF87" s="1575"/>
      <c r="AG87" s="1575"/>
      <c r="AH87" s="1575"/>
      <c r="AI87" s="1576"/>
      <c r="BY87" s="57"/>
      <c r="BZ87" s="57"/>
      <c r="CA87" s="57"/>
      <c r="CB87" s="57"/>
      <c r="CC87" s="57"/>
      <c r="CD87" s="57"/>
      <c r="CE87" s="57"/>
      <c r="CF87" s="57"/>
      <c r="CG87" s="57"/>
      <c r="CH87" s="57"/>
      <c r="CI87" s="57"/>
      <c r="CJ87" s="57"/>
      <c r="CK87" s="57"/>
      <c r="CL87" s="57"/>
      <c r="CM87" s="57"/>
      <c r="CN87" s="57"/>
      <c r="CO87" s="57"/>
      <c r="CP87" s="57"/>
      <c r="CQ87" s="57"/>
      <c r="CR87" s="57"/>
      <c r="CS87" s="57"/>
      <c r="CT87" s="57"/>
      <c r="CU87" s="57"/>
      <c r="CV87" s="57"/>
      <c r="CW87" s="57"/>
      <c r="CX87" s="57"/>
      <c r="CY87" s="57"/>
      <c r="CZ87" s="57"/>
    </row>
    <row r="88" spans="1:104" s="56" customFormat="1" ht="13">
      <c r="A88" s="57"/>
      <c r="B88" s="1505" t="s">
        <v>146</v>
      </c>
      <c r="C88" s="1505"/>
      <c r="D88" s="1505"/>
      <c r="E88" s="1505"/>
      <c r="F88" s="1505"/>
      <c r="G88" s="1505"/>
      <c r="H88" s="1505"/>
      <c r="I88" s="1505"/>
      <c r="J88" s="1505"/>
      <c r="K88" s="1536"/>
      <c r="L88" s="1574"/>
      <c r="M88" s="1575"/>
      <c r="N88" s="1575"/>
      <c r="O88" s="1575"/>
      <c r="P88" s="1575"/>
      <c r="Q88" s="1576"/>
      <c r="R88" s="57"/>
      <c r="S88" s="1505" t="s">
        <v>147</v>
      </c>
      <c r="T88" s="1505"/>
      <c r="U88" s="1505"/>
      <c r="V88" s="1505"/>
      <c r="W88" s="1505"/>
      <c r="X88" s="1505"/>
      <c r="Y88" s="1505"/>
      <c r="Z88" s="1505"/>
      <c r="AA88" s="1505"/>
      <c r="AB88" s="1505"/>
      <c r="AC88" s="1536"/>
      <c r="AD88" s="1574"/>
      <c r="AE88" s="1575"/>
      <c r="AF88" s="1575"/>
      <c r="AG88" s="1575"/>
      <c r="AH88" s="1575"/>
      <c r="AI88" s="1576"/>
      <c r="BY88" s="57"/>
      <c r="BZ88" s="57"/>
      <c r="CA88" s="57"/>
      <c r="CB88" s="57"/>
      <c r="CC88" s="57"/>
      <c r="CD88" s="57"/>
      <c r="CE88" s="57"/>
      <c r="CF88" s="57"/>
      <c r="CG88" s="57"/>
      <c r="CH88" s="57"/>
      <c r="CI88" s="57"/>
      <c r="CJ88" s="57"/>
      <c r="CK88" s="57"/>
      <c r="CL88" s="57"/>
      <c r="CM88" s="57"/>
      <c r="CN88" s="57"/>
      <c r="CO88" s="57"/>
      <c r="CP88" s="57"/>
      <c r="CQ88" s="57"/>
      <c r="CR88" s="57"/>
      <c r="CS88" s="57"/>
      <c r="CT88" s="57"/>
      <c r="CU88" s="57"/>
      <c r="CV88" s="57"/>
      <c r="CW88" s="57"/>
      <c r="CX88" s="57"/>
      <c r="CY88" s="57"/>
      <c r="CZ88" s="57"/>
    </row>
    <row r="89" spans="1:104" s="56" customFormat="1" ht="13">
      <c r="A89" s="57"/>
      <c r="B89" s="1505" t="s">
        <v>148</v>
      </c>
      <c r="C89" s="1505"/>
      <c r="D89" s="1505"/>
      <c r="E89" s="1505"/>
      <c r="F89" s="1505"/>
      <c r="G89" s="1505"/>
      <c r="H89" s="1505"/>
      <c r="I89" s="1505"/>
      <c r="J89" s="1505"/>
      <c r="K89" s="1536"/>
      <c r="L89" s="1574"/>
      <c r="M89" s="1575"/>
      <c r="N89" s="1575"/>
      <c r="O89" s="1575"/>
      <c r="P89" s="1575"/>
      <c r="Q89" s="1576"/>
      <c r="R89" s="57"/>
      <c r="S89" s="1505" t="s">
        <v>149</v>
      </c>
      <c r="T89" s="1505"/>
      <c r="U89" s="1505"/>
      <c r="V89" s="1505"/>
      <c r="W89" s="1505"/>
      <c r="X89" s="1505"/>
      <c r="Y89" s="1505"/>
      <c r="Z89" s="1505"/>
      <c r="AA89" s="1505"/>
      <c r="AB89" s="1505"/>
      <c r="AC89" s="1536"/>
      <c r="AD89" s="1574"/>
      <c r="AE89" s="1575"/>
      <c r="AF89" s="1575"/>
      <c r="AG89" s="1575"/>
      <c r="AH89" s="1575"/>
      <c r="AI89" s="1576"/>
      <c r="BY89" s="57"/>
      <c r="BZ89" s="57"/>
      <c r="CA89" s="57"/>
      <c r="CB89" s="57"/>
      <c r="CC89" s="57"/>
      <c r="CD89" s="57"/>
      <c r="CE89" s="57"/>
      <c r="CF89" s="57"/>
      <c r="CG89" s="57"/>
      <c r="CH89" s="57"/>
      <c r="CI89" s="57"/>
      <c r="CJ89" s="57"/>
      <c r="CK89" s="57"/>
      <c r="CL89" s="57"/>
      <c r="CM89" s="57"/>
      <c r="CN89" s="57"/>
      <c r="CO89" s="57"/>
      <c r="CP89" s="57"/>
      <c r="CQ89" s="57"/>
      <c r="CR89" s="57"/>
      <c r="CS89" s="57"/>
      <c r="CT89" s="57"/>
      <c r="CU89" s="57"/>
      <c r="CV89" s="57"/>
      <c r="CW89" s="57"/>
      <c r="CX89" s="57"/>
      <c r="CY89" s="57"/>
      <c r="CZ89" s="57"/>
    </row>
    <row r="90" spans="1:104" s="56" customFormat="1" ht="13">
      <c r="A90" s="57"/>
      <c r="B90" s="1505" t="s">
        <v>150</v>
      </c>
      <c r="C90" s="1505"/>
      <c r="D90" s="1505"/>
      <c r="E90" s="1505"/>
      <c r="F90" s="1505"/>
      <c r="G90" s="1505"/>
      <c r="H90" s="1505"/>
      <c r="I90" s="1505"/>
      <c r="J90" s="1505"/>
      <c r="K90" s="1536"/>
      <c r="L90" s="1574"/>
      <c r="M90" s="1575"/>
      <c r="N90" s="1575"/>
      <c r="O90" s="1575"/>
      <c r="P90" s="1575"/>
      <c r="Q90" s="1576"/>
      <c r="R90" s="57"/>
      <c r="S90" s="1505" t="s">
        <v>151</v>
      </c>
      <c r="T90" s="1505"/>
      <c r="U90" s="1505"/>
      <c r="V90" s="1505"/>
      <c r="W90" s="1505"/>
      <c r="X90" s="1505"/>
      <c r="Y90" s="1505"/>
      <c r="Z90" s="1505"/>
      <c r="AA90" s="1505"/>
      <c r="AB90" s="1505"/>
      <c r="AC90" s="1536"/>
      <c r="AD90" s="1574"/>
      <c r="AE90" s="1575"/>
      <c r="AF90" s="1575"/>
      <c r="AG90" s="1575"/>
      <c r="AH90" s="1575"/>
      <c r="AI90" s="1576"/>
      <c r="BY90" s="57"/>
      <c r="BZ90" s="57"/>
      <c r="CA90" s="57"/>
      <c r="CB90" s="57"/>
      <c r="CC90" s="57"/>
      <c r="CD90" s="57"/>
      <c r="CE90" s="57"/>
      <c r="CF90" s="57"/>
      <c r="CG90" s="57"/>
      <c r="CH90" s="57"/>
      <c r="CI90" s="57"/>
      <c r="CJ90" s="57"/>
      <c r="CK90" s="57"/>
      <c r="CL90" s="57"/>
      <c r="CM90" s="57"/>
      <c r="CN90" s="57"/>
      <c r="CO90" s="57"/>
      <c r="CP90" s="57"/>
      <c r="CQ90" s="57"/>
      <c r="CR90" s="57"/>
      <c r="CS90" s="57"/>
      <c r="CT90" s="57"/>
      <c r="CU90" s="57"/>
      <c r="CV90" s="57"/>
      <c r="CW90" s="57"/>
      <c r="CX90" s="57"/>
      <c r="CY90" s="57"/>
      <c r="CZ90" s="57"/>
    </row>
    <row r="91" spans="1:104" s="56" customFormat="1" ht="12.75" customHeight="1">
      <c r="A91" s="57"/>
      <c r="B91" s="1505" t="s">
        <v>152</v>
      </c>
      <c r="C91" s="1505"/>
      <c r="D91" s="1505"/>
      <c r="E91" s="1505"/>
      <c r="F91" s="1505"/>
      <c r="G91" s="1505"/>
      <c r="H91" s="1505"/>
      <c r="I91" s="1505"/>
      <c r="J91" s="1505"/>
      <c r="K91" s="1536"/>
      <c r="L91" s="1574"/>
      <c r="M91" s="1575"/>
      <c r="N91" s="1575"/>
      <c r="O91" s="1575"/>
      <c r="P91" s="1575"/>
      <c r="Q91" s="1576"/>
      <c r="R91" s="57"/>
      <c r="S91" s="1505" t="s">
        <v>153</v>
      </c>
      <c r="T91" s="1505"/>
      <c r="U91" s="1505"/>
      <c r="V91" s="1505"/>
      <c r="W91" s="1505"/>
      <c r="X91" s="1505"/>
      <c r="Y91" s="1505"/>
      <c r="Z91" s="1505"/>
      <c r="AA91" s="1505"/>
      <c r="AB91" s="1505"/>
      <c r="AC91" s="1536"/>
      <c r="AD91" s="1574"/>
      <c r="AE91" s="1575"/>
      <c r="AF91" s="1575"/>
      <c r="AG91" s="1575"/>
      <c r="AH91" s="1575"/>
      <c r="AI91" s="1576"/>
      <c r="BY91" s="57"/>
      <c r="BZ91" s="57"/>
      <c r="CA91" s="57"/>
      <c r="CB91" s="57"/>
      <c r="CC91" s="57"/>
      <c r="CD91" s="57"/>
      <c r="CE91" s="57"/>
      <c r="CF91" s="57"/>
      <c r="CG91" s="57"/>
      <c r="CH91" s="57"/>
      <c r="CI91" s="57"/>
      <c r="CJ91" s="57"/>
      <c r="CK91" s="57"/>
      <c r="CL91" s="57"/>
      <c r="CM91" s="57"/>
      <c r="CN91" s="57"/>
      <c r="CO91" s="57"/>
      <c r="CP91" s="57"/>
      <c r="CQ91" s="57"/>
      <c r="CR91" s="57"/>
      <c r="CS91" s="57"/>
      <c r="CT91" s="57"/>
      <c r="CU91" s="57"/>
      <c r="CV91" s="57"/>
      <c r="CW91" s="57"/>
      <c r="CX91" s="57"/>
      <c r="CY91" s="57"/>
      <c r="CZ91" s="57"/>
    </row>
    <row r="92" spans="1:104" s="56" customFormat="1" ht="13">
      <c r="A92" s="57"/>
      <c r="B92" s="1505" t="s">
        <v>154</v>
      </c>
      <c r="C92" s="1505"/>
      <c r="D92" s="1505"/>
      <c r="E92" s="1505"/>
      <c r="F92" s="1505"/>
      <c r="G92" s="1505"/>
      <c r="H92" s="1505"/>
      <c r="I92" s="1505"/>
      <c r="J92" s="1505"/>
      <c r="K92" s="1536"/>
      <c r="L92" s="1574"/>
      <c r="M92" s="1575"/>
      <c r="N92" s="1575"/>
      <c r="O92" s="1575"/>
      <c r="P92" s="1575"/>
      <c r="Q92" s="1576"/>
      <c r="R92" s="57"/>
      <c r="S92" s="1522" t="s">
        <v>155</v>
      </c>
      <c r="T92" s="1522"/>
      <c r="U92" s="1522"/>
      <c r="V92" s="1522"/>
      <c r="W92" s="1522"/>
      <c r="X92" s="1522"/>
      <c r="Y92" s="1522"/>
      <c r="Z92" s="1522"/>
      <c r="AA92" s="1522"/>
      <c r="AB92" s="1522"/>
      <c r="AC92" s="1523"/>
      <c r="AD92" s="1574"/>
      <c r="AE92" s="1575"/>
      <c r="AF92" s="1575"/>
      <c r="AG92" s="1575"/>
      <c r="AH92" s="1575"/>
      <c r="AI92" s="1576"/>
      <c r="BY92" s="57"/>
      <c r="BZ92" s="57"/>
      <c r="CA92" s="57"/>
      <c r="CB92" s="57"/>
      <c r="CC92" s="57"/>
      <c r="CD92" s="57"/>
      <c r="CE92" s="57"/>
      <c r="CF92" s="57"/>
      <c r="CG92" s="57"/>
      <c r="CH92" s="57"/>
      <c r="CI92" s="57"/>
      <c r="CJ92" s="57"/>
      <c r="CK92" s="57"/>
      <c r="CL92" s="57"/>
      <c r="CM92" s="57"/>
      <c r="CN92" s="57"/>
      <c r="CO92" s="57"/>
      <c r="CP92" s="57"/>
      <c r="CQ92" s="57"/>
      <c r="CR92" s="57"/>
      <c r="CS92" s="57"/>
      <c r="CT92" s="57"/>
      <c r="CU92" s="57"/>
      <c r="CV92" s="57"/>
      <c r="CW92" s="57"/>
      <c r="CX92" s="57"/>
      <c r="CY92" s="57"/>
      <c r="CZ92" s="57"/>
    </row>
    <row r="93" spans="1:104" s="56" customFormat="1" ht="13">
      <c r="A93" s="57"/>
      <c r="B93" s="1505" t="s">
        <v>156</v>
      </c>
      <c r="C93" s="1505"/>
      <c r="D93" s="1505"/>
      <c r="E93" s="1505"/>
      <c r="F93" s="1505"/>
      <c r="G93" s="1505"/>
      <c r="H93" s="1505"/>
      <c r="I93" s="1505"/>
      <c r="J93" s="1505"/>
      <c r="K93" s="1536"/>
      <c r="L93" s="1574"/>
      <c r="M93" s="1575"/>
      <c r="N93" s="1575"/>
      <c r="O93" s="1575"/>
      <c r="P93" s="1575"/>
      <c r="Q93" s="1576"/>
      <c r="R93" s="57"/>
      <c r="S93" s="1505" t="s">
        <v>157</v>
      </c>
      <c r="T93" s="1505"/>
      <c r="U93" s="1505"/>
      <c r="V93" s="1505"/>
      <c r="W93" s="1505"/>
      <c r="X93" s="1505"/>
      <c r="Y93" s="1505"/>
      <c r="Z93" s="1505"/>
      <c r="AA93" s="1505"/>
      <c r="AB93" s="1505"/>
      <c r="AC93" s="1536"/>
      <c r="AD93" s="1574"/>
      <c r="AE93" s="1575"/>
      <c r="AF93" s="1575"/>
      <c r="AG93" s="1575"/>
      <c r="AH93" s="1575"/>
      <c r="AI93" s="1576"/>
      <c r="BY93" s="57"/>
      <c r="BZ93" s="57"/>
      <c r="CA93" s="57"/>
      <c r="CB93" s="57"/>
      <c r="CC93" s="57"/>
      <c r="CD93" s="57"/>
      <c r="CE93" s="57"/>
      <c r="CF93" s="57"/>
      <c r="CG93" s="57"/>
      <c r="CH93" s="57"/>
      <c r="CI93" s="57"/>
      <c r="CJ93" s="57"/>
      <c r="CK93" s="57"/>
      <c r="CL93" s="57"/>
      <c r="CM93" s="57"/>
      <c r="CN93" s="57"/>
      <c r="CO93" s="57"/>
      <c r="CP93" s="57"/>
      <c r="CQ93" s="57"/>
      <c r="CR93" s="57"/>
      <c r="CS93" s="57"/>
      <c r="CT93" s="57"/>
      <c r="CU93" s="57"/>
      <c r="CV93" s="57"/>
      <c r="CW93" s="57"/>
      <c r="CX93" s="57"/>
      <c r="CY93" s="57"/>
      <c r="CZ93" s="57"/>
    </row>
    <row r="94" spans="1:104" s="56" customFormat="1" ht="13">
      <c r="A94" s="57"/>
      <c r="B94" s="1505" t="s">
        <v>158</v>
      </c>
      <c r="C94" s="1505"/>
      <c r="D94" s="1505"/>
      <c r="E94" s="1505"/>
      <c r="F94" s="1505"/>
      <c r="G94" s="1505"/>
      <c r="H94" s="1505"/>
      <c r="I94" s="1505"/>
      <c r="J94" s="1505"/>
      <c r="K94" s="1536"/>
      <c r="L94" s="1574"/>
      <c r="M94" s="1575"/>
      <c r="N94" s="1575"/>
      <c r="O94" s="1575"/>
      <c r="P94" s="1575"/>
      <c r="Q94" s="1576"/>
      <c r="R94" s="57"/>
      <c r="S94" s="1505" t="s">
        <v>159</v>
      </c>
      <c r="T94" s="1505"/>
      <c r="U94" s="1505"/>
      <c r="V94" s="1505"/>
      <c r="W94" s="1505"/>
      <c r="X94" s="1505"/>
      <c r="Y94" s="1505"/>
      <c r="Z94" s="1505"/>
      <c r="AA94" s="1505"/>
      <c r="AB94" s="1505"/>
      <c r="AC94" s="1536"/>
      <c r="AD94" s="1574"/>
      <c r="AE94" s="1575"/>
      <c r="AF94" s="1575"/>
      <c r="AG94" s="1575"/>
      <c r="AH94" s="1575"/>
      <c r="AI94" s="1576"/>
      <c r="BY94" s="57"/>
      <c r="BZ94" s="57"/>
      <c r="CA94" s="57"/>
      <c r="CB94" s="57"/>
      <c r="CC94" s="57"/>
      <c r="CD94" s="57"/>
      <c r="CE94" s="57"/>
      <c r="CF94" s="57"/>
      <c r="CG94" s="57"/>
      <c r="CH94" s="57"/>
      <c r="CI94" s="57"/>
      <c r="CJ94" s="57"/>
      <c r="CK94" s="57"/>
      <c r="CL94" s="57"/>
      <c r="CM94" s="57"/>
      <c r="CN94" s="57"/>
      <c r="CO94" s="57"/>
      <c r="CP94" s="57"/>
      <c r="CQ94" s="57"/>
      <c r="CR94" s="57"/>
      <c r="CS94" s="57"/>
      <c r="CT94" s="57"/>
      <c r="CU94" s="57"/>
      <c r="CV94" s="57"/>
      <c r="CW94" s="57"/>
      <c r="CX94" s="57"/>
      <c r="CY94" s="57"/>
      <c r="CZ94" s="57"/>
    </row>
    <row r="95" spans="1:104" s="56" customFormat="1" ht="13">
      <c r="A95" s="57"/>
      <c r="B95" s="1505" t="s">
        <v>160</v>
      </c>
      <c r="C95" s="1505"/>
      <c r="D95" s="1505"/>
      <c r="E95" s="1505"/>
      <c r="F95" s="1505"/>
      <c r="G95" s="1505"/>
      <c r="H95" s="1505"/>
      <c r="I95" s="1505"/>
      <c r="J95" s="1505"/>
      <c r="K95" s="1536"/>
      <c r="L95" s="1574"/>
      <c r="M95" s="1575"/>
      <c r="N95" s="1575"/>
      <c r="O95" s="1575"/>
      <c r="P95" s="1575"/>
      <c r="Q95" s="1576"/>
      <c r="R95" s="57"/>
      <c r="S95" s="1505" t="s">
        <v>161</v>
      </c>
      <c r="T95" s="1505"/>
      <c r="U95" s="1505"/>
      <c r="V95" s="1505"/>
      <c r="W95" s="1505"/>
      <c r="X95" s="1505"/>
      <c r="Y95" s="1505"/>
      <c r="Z95" s="1505"/>
      <c r="AA95" s="1505"/>
      <c r="AB95" s="1505"/>
      <c r="AC95" s="1536"/>
      <c r="AD95" s="1574"/>
      <c r="AE95" s="1575"/>
      <c r="AF95" s="1575"/>
      <c r="AG95" s="1575"/>
      <c r="AH95" s="1575"/>
      <c r="AI95" s="1576"/>
      <c r="BY95" s="57"/>
      <c r="BZ95" s="57"/>
      <c r="CA95" s="57"/>
      <c r="CB95" s="57"/>
      <c r="CC95" s="57"/>
      <c r="CD95" s="57"/>
      <c r="CE95" s="57"/>
      <c r="CF95" s="57"/>
      <c r="CG95" s="57"/>
      <c r="CH95" s="57"/>
      <c r="CI95" s="57"/>
      <c r="CJ95" s="57"/>
      <c r="CK95" s="57"/>
      <c r="CL95" s="57"/>
      <c r="CM95" s="57"/>
      <c r="CN95" s="57"/>
      <c r="CO95" s="57"/>
      <c r="CP95" s="57"/>
      <c r="CQ95" s="57"/>
      <c r="CR95" s="57"/>
      <c r="CS95" s="57"/>
      <c r="CT95" s="57"/>
      <c r="CU95" s="57"/>
      <c r="CV95" s="57"/>
      <c r="CW95" s="57"/>
      <c r="CX95" s="57"/>
      <c r="CY95" s="57"/>
      <c r="CZ95" s="57"/>
    </row>
    <row r="96" spans="1:104" s="56" customFormat="1" ht="13">
      <c r="A96" s="57"/>
      <c r="B96" s="1505" t="s">
        <v>162</v>
      </c>
      <c r="C96" s="1505"/>
      <c r="D96" s="1505"/>
      <c r="E96" s="1505"/>
      <c r="F96" s="1505"/>
      <c r="G96" s="1505"/>
      <c r="H96" s="1505"/>
      <c r="I96" s="1505"/>
      <c r="J96" s="1505"/>
      <c r="K96" s="1505"/>
      <c r="L96" s="1574"/>
      <c r="M96" s="1575"/>
      <c r="N96" s="1575"/>
      <c r="O96" s="1575"/>
      <c r="P96" s="1575"/>
      <c r="Q96" s="1576"/>
      <c r="R96" s="57"/>
      <c r="S96" s="1505" t="s">
        <v>163</v>
      </c>
      <c r="T96" s="1505"/>
      <c r="U96" s="1505"/>
      <c r="V96" s="1505"/>
      <c r="W96" s="1505"/>
      <c r="X96" s="1505"/>
      <c r="Y96" s="1505"/>
      <c r="Z96" s="1505"/>
      <c r="AA96" s="1505"/>
      <c r="AB96" s="1505"/>
      <c r="AC96" s="1536"/>
      <c r="AD96" s="1574"/>
      <c r="AE96" s="1575"/>
      <c r="AF96" s="1575"/>
      <c r="AG96" s="1575"/>
      <c r="AH96" s="1575"/>
      <c r="AI96" s="1576"/>
      <c r="BY96" s="57"/>
      <c r="BZ96" s="57"/>
      <c r="CA96" s="57"/>
      <c r="CB96" s="57"/>
      <c r="CC96" s="57"/>
      <c r="CD96" s="57"/>
      <c r="CE96" s="57"/>
      <c r="CF96" s="57"/>
      <c r="CG96" s="57"/>
      <c r="CH96" s="57"/>
      <c r="CI96" s="57"/>
      <c r="CJ96" s="57"/>
      <c r="CK96" s="57"/>
      <c r="CL96" s="57"/>
      <c r="CM96" s="57"/>
      <c r="CN96" s="57"/>
      <c r="CO96" s="57"/>
      <c r="CP96" s="57"/>
      <c r="CQ96" s="57"/>
      <c r="CR96" s="57"/>
      <c r="CS96" s="57"/>
      <c r="CT96" s="57"/>
      <c r="CU96" s="57"/>
      <c r="CV96" s="57"/>
      <c r="CW96" s="57"/>
      <c r="CX96" s="57"/>
      <c r="CY96" s="57"/>
      <c r="CZ96" s="57"/>
    </row>
    <row r="97" spans="1:104" s="56" customFormat="1" ht="13">
      <c r="A97" s="57"/>
      <c r="R97" s="57"/>
      <c r="S97" s="1505" t="s">
        <v>164</v>
      </c>
      <c r="T97" s="1505"/>
      <c r="U97" s="1505"/>
      <c r="V97" s="1505"/>
      <c r="W97" s="1505"/>
      <c r="X97" s="1505"/>
      <c r="Y97" s="1505"/>
      <c r="Z97" s="1505"/>
      <c r="AA97" s="1505"/>
      <c r="AB97" s="1505"/>
      <c r="AC97" s="1536"/>
      <c r="AD97" s="1574"/>
      <c r="AE97" s="1575"/>
      <c r="AF97" s="1575"/>
      <c r="AG97" s="1575"/>
      <c r="AH97" s="1575"/>
      <c r="AI97" s="1576"/>
      <c r="BY97" s="57"/>
      <c r="BZ97" s="57"/>
      <c r="CA97" s="57"/>
      <c r="CB97" s="57"/>
      <c r="CC97" s="57"/>
      <c r="CD97" s="57"/>
      <c r="CE97" s="57"/>
      <c r="CF97" s="57"/>
      <c r="CG97" s="57"/>
      <c r="CH97" s="57"/>
      <c r="CI97" s="57"/>
      <c r="CJ97" s="57"/>
      <c r="CK97" s="57"/>
      <c r="CL97" s="57"/>
      <c r="CM97" s="57"/>
      <c r="CN97" s="57"/>
      <c r="CO97" s="57"/>
      <c r="CP97" s="57"/>
      <c r="CQ97" s="57"/>
      <c r="CR97" s="57"/>
      <c r="CS97" s="57"/>
      <c r="CT97" s="57"/>
      <c r="CU97" s="57"/>
      <c r="CV97" s="57"/>
      <c r="CW97" s="57"/>
      <c r="CX97" s="57"/>
      <c r="CY97" s="57"/>
      <c r="CZ97" s="57"/>
    </row>
    <row r="98" spans="1:104" s="56" customFormat="1" ht="13">
      <c r="A98" s="57"/>
      <c r="R98" s="57"/>
      <c r="S98" s="1505" t="s">
        <v>165</v>
      </c>
      <c r="T98" s="1505"/>
      <c r="U98" s="1505"/>
      <c r="V98" s="1505"/>
      <c r="W98" s="1505"/>
      <c r="X98" s="1505"/>
      <c r="Y98" s="1505"/>
      <c r="Z98" s="1505"/>
      <c r="AA98" s="1505"/>
      <c r="AB98" s="1505"/>
      <c r="AC98" s="1536"/>
      <c r="AD98" s="1574"/>
      <c r="AE98" s="1575"/>
      <c r="AF98" s="1575"/>
      <c r="AG98" s="1575"/>
      <c r="AH98" s="1575"/>
      <c r="AI98" s="1576"/>
      <c r="BY98" s="57"/>
      <c r="BZ98" s="57"/>
      <c r="CA98" s="57"/>
      <c r="CB98" s="57"/>
      <c r="CC98" s="57"/>
      <c r="CD98" s="57"/>
      <c r="CE98" s="57"/>
      <c r="CF98" s="57"/>
      <c r="CG98" s="57"/>
      <c r="CH98" s="57"/>
      <c r="CI98" s="57"/>
      <c r="CJ98" s="57"/>
      <c r="CK98" s="57"/>
      <c r="CL98" s="57"/>
      <c r="CM98" s="57"/>
      <c r="CN98" s="57"/>
      <c r="CO98" s="57"/>
      <c r="CP98" s="57"/>
      <c r="CQ98" s="57"/>
      <c r="CR98" s="57"/>
      <c r="CS98" s="57"/>
      <c r="CT98" s="57"/>
      <c r="CU98" s="57"/>
      <c r="CV98" s="57"/>
      <c r="CW98" s="57"/>
      <c r="CX98" s="57"/>
      <c r="CY98" s="57"/>
      <c r="CZ98" s="57"/>
    </row>
    <row r="99" spans="1:104" s="56" customFormat="1" ht="13">
      <c r="A99" s="57"/>
      <c r="R99" s="57"/>
      <c r="S99" s="1505"/>
      <c r="T99" s="1505"/>
      <c r="U99" s="1505"/>
      <c r="V99" s="1505"/>
      <c r="W99" s="1594"/>
      <c r="X99" s="1594"/>
      <c r="Y99" s="1594"/>
      <c r="Z99" s="1594"/>
      <c r="AA99" s="1594"/>
      <c r="AB99" s="1594"/>
      <c r="AC99" s="60"/>
      <c r="AD99" s="1595"/>
      <c r="AE99" s="1595"/>
      <c r="AF99" s="1595"/>
      <c r="AG99" s="1595"/>
      <c r="AH99" s="1595"/>
      <c r="AI99" s="1595"/>
      <c r="BY99" s="57"/>
      <c r="BZ99" s="57"/>
      <c r="CA99" s="57"/>
      <c r="CB99" s="57"/>
      <c r="CC99" s="57"/>
      <c r="CD99" s="57"/>
      <c r="CE99" s="57"/>
      <c r="CF99" s="57"/>
      <c r="CG99" s="57"/>
      <c r="CH99" s="57"/>
      <c r="CI99" s="57"/>
      <c r="CJ99" s="57"/>
      <c r="CK99" s="57"/>
      <c r="CL99" s="57"/>
      <c r="CM99" s="57"/>
      <c r="CN99" s="57"/>
      <c r="CO99" s="57"/>
      <c r="CP99" s="57"/>
      <c r="CQ99" s="57"/>
      <c r="CR99" s="57"/>
      <c r="CS99" s="57"/>
      <c r="CT99" s="57"/>
      <c r="CU99" s="57"/>
      <c r="CV99" s="57"/>
      <c r="CW99" s="57"/>
      <c r="CX99" s="57"/>
      <c r="CY99" s="57"/>
      <c r="CZ99" s="57"/>
    </row>
    <row r="100" spans="1:104" s="56" customFormat="1" ht="12" customHeight="1">
      <c r="A100" s="57"/>
      <c r="B100" s="1596" t="s">
        <v>166</v>
      </c>
      <c r="C100" s="1597"/>
      <c r="D100" s="1597"/>
      <c r="E100" s="1597"/>
      <c r="F100" s="1597"/>
      <c r="G100" s="1597"/>
      <c r="H100" s="1597"/>
      <c r="I100" s="1597"/>
      <c r="J100" s="1597"/>
      <c r="K100" s="1597"/>
      <c r="L100" s="1597"/>
      <c r="M100" s="1597"/>
      <c r="N100" s="1597"/>
      <c r="O100" s="1597"/>
      <c r="P100" s="1597"/>
      <c r="Q100" s="1597"/>
      <c r="R100" s="1597"/>
      <c r="S100" s="1597"/>
      <c r="T100" s="1597"/>
      <c r="U100" s="1597"/>
      <c r="V100" s="1597"/>
      <c r="W100" s="1597"/>
      <c r="X100" s="1597"/>
      <c r="Y100" s="1597"/>
      <c r="Z100" s="1597"/>
      <c r="AA100" s="1597"/>
      <c r="AB100" s="1597"/>
      <c r="AC100" s="1597"/>
      <c r="AD100" s="1597"/>
      <c r="AE100" s="1597"/>
      <c r="AF100" s="1597"/>
      <c r="AG100" s="1597"/>
      <c r="AH100" s="1597"/>
      <c r="AI100" s="1597"/>
      <c r="BY100" s="57"/>
      <c r="BZ100" s="57"/>
      <c r="CA100" s="57"/>
      <c r="CB100" s="57"/>
      <c r="CC100" s="57"/>
      <c r="CD100" s="57"/>
      <c r="CE100" s="57"/>
      <c r="CF100" s="57"/>
      <c r="CG100" s="57"/>
      <c r="CH100" s="57"/>
      <c r="CI100" s="57"/>
      <c r="CJ100" s="57"/>
      <c r="CK100" s="57"/>
      <c r="CL100" s="57"/>
      <c r="CM100" s="57"/>
      <c r="CN100" s="57"/>
      <c r="CO100" s="57"/>
      <c r="CP100" s="57"/>
      <c r="CQ100" s="57"/>
      <c r="CR100" s="57"/>
      <c r="CS100" s="57"/>
      <c r="CT100" s="57"/>
      <c r="CU100" s="57"/>
      <c r="CV100" s="57"/>
      <c r="CW100" s="57"/>
      <c r="CX100" s="57"/>
      <c r="CY100" s="57"/>
      <c r="CZ100" s="57"/>
    </row>
    <row r="101" spans="1:104" s="56" customFormat="1" ht="12" customHeight="1">
      <c r="A101" s="57"/>
      <c r="B101" s="1597"/>
      <c r="C101" s="1597"/>
      <c r="D101" s="1597"/>
      <c r="E101" s="1597"/>
      <c r="F101" s="1597"/>
      <c r="G101" s="1597"/>
      <c r="H101" s="1597"/>
      <c r="I101" s="1597"/>
      <c r="J101" s="1597"/>
      <c r="K101" s="1597"/>
      <c r="L101" s="1597"/>
      <c r="M101" s="1597"/>
      <c r="N101" s="1597"/>
      <c r="O101" s="1597"/>
      <c r="P101" s="1597"/>
      <c r="Q101" s="1597"/>
      <c r="R101" s="1597"/>
      <c r="S101" s="1597"/>
      <c r="T101" s="1597"/>
      <c r="U101" s="1597"/>
      <c r="V101" s="1597"/>
      <c r="W101" s="1597"/>
      <c r="X101" s="1597"/>
      <c r="Y101" s="1597"/>
      <c r="Z101" s="1597"/>
      <c r="AA101" s="1597"/>
      <c r="AB101" s="1597"/>
      <c r="AC101" s="1597"/>
      <c r="AD101" s="1597"/>
      <c r="AE101" s="1597"/>
      <c r="AF101" s="1597"/>
      <c r="AG101" s="1597"/>
      <c r="AH101" s="1597"/>
      <c r="AI101" s="1597"/>
      <c r="BY101" s="57"/>
      <c r="BZ101" s="57"/>
      <c r="CA101" s="57"/>
      <c r="CB101" s="57"/>
      <c r="CC101" s="57"/>
      <c r="CD101" s="57"/>
      <c r="CE101" s="57"/>
      <c r="CF101" s="57"/>
      <c r="CG101" s="57"/>
      <c r="CH101" s="57"/>
      <c r="CI101" s="57"/>
      <c r="CJ101" s="57"/>
      <c r="CK101" s="57"/>
      <c r="CL101" s="57"/>
      <c r="CM101" s="57"/>
      <c r="CN101" s="57"/>
      <c r="CO101" s="57"/>
      <c r="CP101" s="57"/>
      <c r="CQ101" s="57"/>
      <c r="CR101" s="57"/>
      <c r="CS101" s="57"/>
      <c r="CT101" s="57"/>
      <c r="CU101" s="57"/>
      <c r="CV101" s="57"/>
      <c r="CW101" s="57"/>
      <c r="CX101" s="57"/>
      <c r="CY101" s="57"/>
      <c r="CZ101" s="57"/>
    </row>
    <row r="102" spans="1:104" s="56" customFormat="1" ht="6" customHeight="1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7"/>
      <c r="AH102" s="57"/>
      <c r="AI102" s="57"/>
      <c r="BY102" s="57"/>
      <c r="BZ102" s="57"/>
      <c r="CA102" s="57"/>
      <c r="CB102" s="57"/>
      <c r="CC102" s="57"/>
      <c r="CD102" s="57"/>
      <c r="CE102" s="57"/>
      <c r="CF102" s="57"/>
      <c r="CG102" s="57"/>
      <c r="CH102" s="57"/>
      <c r="CI102" s="57"/>
      <c r="CJ102" s="57"/>
      <c r="CK102" s="57"/>
      <c r="CL102" s="57"/>
      <c r="CM102" s="57"/>
      <c r="CN102" s="57"/>
      <c r="CO102" s="57"/>
      <c r="CP102" s="57"/>
      <c r="CQ102" s="57"/>
      <c r="CR102" s="57"/>
      <c r="CS102" s="57"/>
      <c r="CT102" s="57"/>
      <c r="CU102" s="57"/>
      <c r="CV102" s="57"/>
      <c r="CW102" s="57"/>
      <c r="CX102" s="57"/>
      <c r="CY102" s="57"/>
      <c r="CZ102" s="57"/>
    </row>
    <row r="103" spans="1:104" s="56" customFormat="1" ht="13">
      <c r="A103" s="57"/>
      <c r="B103" s="1590"/>
      <c r="C103" s="1591"/>
      <c r="D103" s="1591"/>
      <c r="E103" s="1591"/>
      <c r="F103" s="1591"/>
      <c r="G103" s="1591"/>
      <c r="H103" s="1591"/>
      <c r="I103" s="1591"/>
      <c r="J103" s="1591"/>
      <c r="K103" s="1591"/>
      <c r="L103" s="1591"/>
      <c r="M103" s="1591"/>
      <c r="N103" s="1591"/>
      <c r="O103" s="1591"/>
      <c r="P103" s="1591"/>
      <c r="Q103" s="1591"/>
      <c r="R103" s="1591"/>
      <c r="S103" s="1591"/>
      <c r="T103" s="1591"/>
      <c r="U103" s="1591"/>
      <c r="V103" s="1591"/>
      <c r="W103" s="1591"/>
      <c r="X103" s="1591"/>
      <c r="Y103" s="1591"/>
      <c r="Z103" s="1591"/>
      <c r="AA103" s="1591"/>
      <c r="AB103" s="1591"/>
      <c r="AC103" s="1591"/>
      <c r="AD103" s="1591"/>
      <c r="AE103" s="1591"/>
      <c r="AF103" s="1591"/>
      <c r="AG103" s="1591"/>
      <c r="AH103" s="1591"/>
      <c r="AI103" s="1592"/>
      <c r="BY103" s="57"/>
      <c r="BZ103" s="57"/>
      <c r="CA103" s="57"/>
      <c r="CB103" s="57"/>
      <c r="CC103" s="57"/>
      <c r="CD103" s="57"/>
      <c r="CE103" s="57"/>
      <c r="CF103" s="57"/>
      <c r="CG103" s="57"/>
      <c r="CH103" s="57"/>
      <c r="CI103" s="57"/>
      <c r="CJ103" s="57"/>
      <c r="CK103" s="57"/>
      <c r="CL103" s="57"/>
      <c r="CM103" s="57"/>
      <c r="CN103" s="57"/>
      <c r="CO103" s="57"/>
      <c r="CP103" s="57"/>
      <c r="CQ103" s="57"/>
      <c r="CR103" s="57"/>
      <c r="CS103" s="57"/>
      <c r="CT103" s="57"/>
      <c r="CU103" s="57"/>
      <c r="CV103" s="57"/>
      <c r="CW103" s="57"/>
      <c r="CX103" s="57"/>
      <c r="CY103" s="57"/>
      <c r="CZ103" s="57"/>
    </row>
    <row r="104" spans="1:104" s="56" customFormat="1" ht="13">
      <c r="A104" s="57"/>
      <c r="B104" s="1527"/>
      <c r="C104" s="1528"/>
      <c r="D104" s="1528"/>
      <c r="E104" s="1528"/>
      <c r="F104" s="1528"/>
      <c r="G104" s="1528"/>
      <c r="H104" s="1528"/>
      <c r="I104" s="1528"/>
      <c r="J104" s="1528"/>
      <c r="K104" s="1528"/>
      <c r="L104" s="1528"/>
      <c r="M104" s="1528"/>
      <c r="N104" s="1528"/>
      <c r="O104" s="1528"/>
      <c r="P104" s="1528"/>
      <c r="Q104" s="1528"/>
      <c r="R104" s="1528"/>
      <c r="S104" s="1528"/>
      <c r="T104" s="1528"/>
      <c r="U104" s="1528"/>
      <c r="V104" s="1528"/>
      <c r="W104" s="1528"/>
      <c r="X104" s="1528"/>
      <c r="Y104" s="1528"/>
      <c r="Z104" s="1528"/>
      <c r="AA104" s="1528"/>
      <c r="AB104" s="1528"/>
      <c r="AC104" s="1528"/>
      <c r="AD104" s="1528"/>
      <c r="AE104" s="1528"/>
      <c r="AF104" s="1528"/>
      <c r="AG104" s="1528"/>
      <c r="AH104" s="1528"/>
      <c r="AI104" s="1529"/>
      <c r="BY104" s="57"/>
      <c r="BZ104" s="57"/>
      <c r="CA104" s="57"/>
      <c r="CB104" s="57"/>
      <c r="CC104" s="57"/>
      <c r="CD104" s="57"/>
      <c r="CE104" s="57"/>
      <c r="CF104" s="57"/>
      <c r="CG104" s="57"/>
      <c r="CH104" s="57"/>
      <c r="CI104" s="57"/>
      <c r="CJ104" s="57"/>
      <c r="CK104" s="57"/>
      <c r="CL104" s="57"/>
      <c r="CM104" s="57"/>
      <c r="CN104" s="57"/>
      <c r="CO104" s="57"/>
      <c r="CP104" s="57"/>
      <c r="CQ104" s="57"/>
      <c r="CR104" s="57"/>
      <c r="CS104" s="57"/>
      <c r="CT104" s="57"/>
      <c r="CU104" s="57"/>
      <c r="CV104" s="57"/>
      <c r="CW104" s="57"/>
      <c r="CX104" s="57"/>
      <c r="CY104" s="57"/>
      <c r="CZ104" s="57"/>
    </row>
    <row r="105" spans="1:104" s="56" customFormat="1" ht="13">
      <c r="A105" s="57"/>
      <c r="B105" s="1527"/>
      <c r="C105" s="1528"/>
      <c r="D105" s="1528"/>
      <c r="E105" s="1528"/>
      <c r="F105" s="1528"/>
      <c r="G105" s="1528"/>
      <c r="H105" s="1528"/>
      <c r="I105" s="1528"/>
      <c r="J105" s="1528"/>
      <c r="K105" s="1528"/>
      <c r="L105" s="1528"/>
      <c r="M105" s="1528"/>
      <c r="N105" s="1528"/>
      <c r="O105" s="1528"/>
      <c r="P105" s="1528"/>
      <c r="Q105" s="1528"/>
      <c r="R105" s="1528"/>
      <c r="S105" s="1528"/>
      <c r="T105" s="1528"/>
      <c r="U105" s="1528"/>
      <c r="V105" s="1528"/>
      <c r="W105" s="1528"/>
      <c r="X105" s="1528"/>
      <c r="Y105" s="1528"/>
      <c r="Z105" s="1528"/>
      <c r="AA105" s="1528"/>
      <c r="AB105" s="1528"/>
      <c r="AC105" s="1528"/>
      <c r="AD105" s="1528"/>
      <c r="AE105" s="1528"/>
      <c r="AF105" s="1528"/>
      <c r="AG105" s="1528"/>
      <c r="AH105" s="1528"/>
      <c r="AI105" s="1529"/>
      <c r="BY105" s="57"/>
      <c r="BZ105" s="57"/>
      <c r="CA105" s="57"/>
      <c r="CB105" s="57"/>
      <c r="CC105" s="57"/>
      <c r="CD105" s="57"/>
      <c r="CE105" s="57"/>
      <c r="CF105" s="57"/>
      <c r="CG105" s="57"/>
      <c r="CH105" s="57"/>
      <c r="CI105" s="57"/>
      <c r="CJ105" s="57"/>
      <c r="CK105" s="57"/>
      <c r="CL105" s="57"/>
      <c r="CM105" s="57"/>
      <c r="CN105" s="57"/>
      <c r="CO105" s="57"/>
      <c r="CP105" s="57"/>
      <c r="CQ105" s="57"/>
      <c r="CR105" s="57"/>
      <c r="CS105" s="57"/>
      <c r="CT105" s="57"/>
      <c r="CU105" s="57"/>
      <c r="CV105" s="57"/>
      <c r="CW105" s="57"/>
      <c r="CX105" s="57"/>
      <c r="CY105" s="57"/>
      <c r="CZ105" s="57"/>
    </row>
    <row r="106" spans="1:104" s="56" customFormat="1" ht="13">
      <c r="A106" s="57"/>
      <c r="B106" s="1527"/>
      <c r="C106" s="1528"/>
      <c r="D106" s="1528"/>
      <c r="E106" s="1528"/>
      <c r="F106" s="1528"/>
      <c r="G106" s="1528"/>
      <c r="H106" s="1528"/>
      <c r="I106" s="1528"/>
      <c r="J106" s="1528"/>
      <c r="K106" s="1528"/>
      <c r="L106" s="1528"/>
      <c r="M106" s="1528"/>
      <c r="N106" s="1528"/>
      <c r="O106" s="1528"/>
      <c r="P106" s="1528"/>
      <c r="Q106" s="1528"/>
      <c r="R106" s="1528"/>
      <c r="S106" s="1528"/>
      <c r="T106" s="1528"/>
      <c r="U106" s="1528"/>
      <c r="V106" s="1528"/>
      <c r="W106" s="1528"/>
      <c r="X106" s="1528"/>
      <c r="Y106" s="1528"/>
      <c r="Z106" s="1528"/>
      <c r="AA106" s="1528"/>
      <c r="AB106" s="1528"/>
      <c r="AC106" s="1528"/>
      <c r="AD106" s="1528"/>
      <c r="AE106" s="1528"/>
      <c r="AF106" s="1528"/>
      <c r="AG106" s="1528"/>
      <c r="AH106" s="1528"/>
      <c r="AI106" s="1529"/>
      <c r="BY106" s="57"/>
      <c r="BZ106" s="57"/>
      <c r="CA106" s="57"/>
      <c r="CB106" s="57"/>
      <c r="CC106" s="57"/>
      <c r="CD106" s="57"/>
      <c r="CE106" s="57"/>
      <c r="CF106" s="57"/>
      <c r="CG106" s="57"/>
      <c r="CH106" s="57"/>
      <c r="CI106" s="57"/>
      <c r="CJ106" s="57"/>
      <c r="CK106" s="57"/>
      <c r="CL106" s="57"/>
      <c r="CM106" s="57"/>
      <c r="CN106" s="57"/>
      <c r="CO106" s="57"/>
      <c r="CP106" s="57"/>
      <c r="CQ106" s="57"/>
      <c r="CR106" s="57"/>
      <c r="CS106" s="57"/>
      <c r="CT106" s="57"/>
      <c r="CU106" s="57"/>
      <c r="CV106" s="57"/>
      <c r="CW106" s="57"/>
      <c r="CX106" s="57"/>
      <c r="CY106" s="57"/>
      <c r="CZ106" s="57"/>
    </row>
    <row r="107" spans="1:104" s="56" customFormat="1" ht="13">
      <c r="A107" s="57"/>
      <c r="B107" s="1527"/>
      <c r="C107" s="1528"/>
      <c r="D107" s="1528"/>
      <c r="E107" s="1528"/>
      <c r="F107" s="1528"/>
      <c r="G107" s="1528"/>
      <c r="H107" s="1528"/>
      <c r="I107" s="1528"/>
      <c r="J107" s="1528"/>
      <c r="K107" s="1528"/>
      <c r="L107" s="1528"/>
      <c r="M107" s="1528"/>
      <c r="N107" s="1528"/>
      <c r="O107" s="1528"/>
      <c r="P107" s="1528"/>
      <c r="Q107" s="1528"/>
      <c r="R107" s="1528"/>
      <c r="S107" s="1528"/>
      <c r="T107" s="1528"/>
      <c r="U107" s="1528"/>
      <c r="V107" s="1528"/>
      <c r="W107" s="1528"/>
      <c r="X107" s="1528"/>
      <c r="Y107" s="1528"/>
      <c r="Z107" s="1528"/>
      <c r="AA107" s="1528"/>
      <c r="AB107" s="1528"/>
      <c r="AC107" s="1528"/>
      <c r="AD107" s="1528"/>
      <c r="AE107" s="1528"/>
      <c r="AF107" s="1528"/>
      <c r="AG107" s="1528"/>
      <c r="AH107" s="1528"/>
      <c r="AI107" s="1529"/>
      <c r="BY107" s="57"/>
      <c r="BZ107" s="57"/>
      <c r="CA107" s="57"/>
      <c r="CB107" s="57"/>
      <c r="CC107" s="57"/>
      <c r="CD107" s="57"/>
      <c r="CE107" s="57"/>
      <c r="CF107" s="57"/>
      <c r="CG107" s="57"/>
      <c r="CH107" s="57"/>
      <c r="CI107" s="57"/>
      <c r="CJ107" s="57"/>
      <c r="CK107" s="57"/>
      <c r="CL107" s="57"/>
      <c r="CM107" s="57"/>
      <c r="CN107" s="57"/>
      <c r="CO107" s="57"/>
      <c r="CP107" s="57"/>
      <c r="CQ107" s="57"/>
      <c r="CR107" s="57"/>
      <c r="CS107" s="57"/>
      <c r="CT107" s="57"/>
      <c r="CU107" s="57"/>
      <c r="CV107" s="57"/>
      <c r="CW107" s="57"/>
      <c r="CX107" s="57"/>
      <c r="CY107" s="57"/>
      <c r="CZ107" s="57"/>
    </row>
    <row r="108" spans="1:104" s="56" customFormat="1" ht="13">
      <c r="A108" s="57"/>
      <c r="B108" s="1527"/>
      <c r="C108" s="1528"/>
      <c r="D108" s="1528"/>
      <c r="E108" s="1528"/>
      <c r="F108" s="1528"/>
      <c r="G108" s="1528"/>
      <c r="H108" s="1528"/>
      <c r="I108" s="1528"/>
      <c r="J108" s="1528"/>
      <c r="K108" s="1528"/>
      <c r="L108" s="1528"/>
      <c r="M108" s="1528"/>
      <c r="N108" s="1528"/>
      <c r="O108" s="1528"/>
      <c r="P108" s="1528"/>
      <c r="Q108" s="1528"/>
      <c r="R108" s="1528"/>
      <c r="S108" s="1528"/>
      <c r="T108" s="1528"/>
      <c r="U108" s="1528"/>
      <c r="V108" s="1528"/>
      <c r="W108" s="1528"/>
      <c r="X108" s="1528"/>
      <c r="Y108" s="1528"/>
      <c r="Z108" s="1528"/>
      <c r="AA108" s="1528"/>
      <c r="AB108" s="1528"/>
      <c r="AC108" s="1528"/>
      <c r="AD108" s="1528"/>
      <c r="AE108" s="1528"/>
      <c r="AF108" s="1528"/>
      <c r="AG108" s="1528"/>
      <c r="AH108" s="1528"/>
      <c r="AI108" s="1529"/>
      <c r="BY108" s="57"/>
      <c r="BZ108" s="57"/>
      <c r="CA108" s="57"/>
      <c r="CB108" s="57"/>
      <c r="CC108" s="57"/>
      <c r="CD108" s="57"/>
      <c r="CE108" s="57"/>
      <c r="CF108" s="57"/>
      <c r="CG108" s="57"/>
      <c r="CH108" s="57"/>
      <c r="CI108" s="57"/>
      <c r="CJ108" s="57"/>
      <c r="CK108" s="57"/>
      <c r="CL108" s="57"/>
      <c r="CM108" s="57"/>
      <c r="CN108" s="57"/>
      <c r="CO108" s="57"/>
      <c r="CP108" s="57"/>
      <c r="CQ108" s="57"/>
      <c r="CR108" s="57"/>
      <c r="CS108" s="57"/>
      <c r="CT108" s="57"/>
      <c r="CU108" s="57"/>
      <c r="CV108" s="57"/>
      <c r="CW108" s="57"/>
      <c r="CX108" s="57"/>
      <c r="CY108" s="57"/>
      <c r="CZ108" s="57"/>
    </row>
    <row r="109" spans="1:104" s="56" customFormat="1" ht="13">
      <c r="A109" s="57"/>
      <c r="B109" s="1527"/>
      <c r="C109" s="1528"/>
      <c r="D109" s="1528"/>
      <c r="E109" s="1528"/>
      <c r="F109" s="1528"/>
      <c r="G109" s="1528"/>
      <c r="H109" s="1528"/>
      <c r="I109" s="1528"/>
      <c r="J109" s="1528"/>
      <c r="K109" s="1528"/>
      <c r="L109" s="1528"/>
      <c r="M109" s="1528"/>
      <c r="N109" s="1528"/>
      <c r="O109" s="1528"/>
      <c r="P109" s="1528"/>
      <c r="Q109" s="1528"/>
      <c r="R109" s="1528"/>
      <c r="S109" s="1528"/>
      <c r="T109" s="1528"/>
      <c r="U109" s="1528"/>
      <c r="V109" s="1528"/>
      <c r="W109" s="1528"/>
      <c r="X109" s="1528"/>
      <c r="Y109" s="1528"/>
      <c r="Z109" s="1528"/>
      <c r="AA109" s="1528"/>
      <c r="AB109" s="1528"/>
      <c r="AC109" s="1528"/>
      <c r="AD109" s="1528"/>
      <c r="AE109" s="1528"/>
      <c r="AF109" s="1528"/>
      <c r="AG109" s="1528"/>
      <c r="AH109" s="1528"/>
      <c r="AI109" s="1529"/>
      <c r="BY109" s="57"/>
      <c r="BZ109" s="57"/>
      <c r="CA109" s="57"/>
      <c r="CB109" s="57"/>
      <c r="CC109" s="57"/>
      <c r="CD109" s="57"/>
      <c r="CE109" s="57"/>
      <c r="CF109" s="57"/>
      <c r="CG109" s="57"/>
      <c r="CH109" s="57"/>
      <c r="CI109" s="57"/>
      <c r="CJ109" s="57"/>
      <c r="CK109" s="57"/>
      <c r="CL109" s="57"/>
      <c r="CM109" s="57"/>
      <c r="CN109" s="57"/>
      <c r="CO109" s="57"/>
      <c r="CP109" s="57"/>
      <c r="CQ109" s="57"/>
      <c r="CR109" s="57"/>
      <c r="CS109" s="57"/>
      <c r="CT109" s="57"/>
      <c r="CU109" s="57"/>
      <c r="CV109" s="57"/>
      <c r="CW109" s="57"/>
      <c r="CX109" s="57"/>
      <c r="CY109" s="57"/>
      <c r="CZ109" s="57"/>
    </row>
    <row r="110" spans="1:104" s="56" customFormat="1" ht="13">
      <c r="A110" s="57"/>
      <c r="B110" s="1527"/>
      <c r="C110" s="1528"/>
      <c r="D110" s="1528"/>
      <c r="E110" s="1528"/>
      <c r="F110" s="1528"/>
      <c r="G110" s="1528"/>
      <c r="H110" s="1528"/>
      <c r="I110" s="1528"/>
      <c r="J110" s="1528"/>
      <c r="K110" s="1528"/>
      <c r="L110" s="1528"/>
      <c r="M110" s="1528"/>
      <c r="N110" s="1528"/>
      <c r="O110" s="1528"/>
      <c r="P110" s="1528"/>
      <c r="Q110" s="1528"/>
      <c r="R110" s="1528"/>
      <c r="S110" s="1528"/>
      <c r="T110" s="1528"/>
      <c r="U110" s="1528"/>
      <c r="V110" s="1528"/>
      <c r="W110" s="1528"/>
      <c r="X110" s="1528"/>
      <c r="Y110" s="1528"/>
      <c r="Z110" s="1528"/>
      <c r="AA110" s="1528"/>
      <c r="AB110" s="1528"/>
      <c r="AC110" s="1528"/>
      <c r="AD110" s="1528"/>
      <c r="AE110" s="1528"/>
      <c r="AF110" s="1528"/>
      <c r="AG110" s="1528"/>
      <c r="AH110" s="1528"/>
      <c r="AI110" s="1529"/>
      <c r="BY110" s="57"/>
      <c r="BZ110" s="57"/>
      <c r="CA110" s="57"/>
      <c r="CB110" s="57"/>
      <c r="CC110" s="57"/>
      <c r="CD110" s="57"/>
      <c r="CE110" s="57"/>
      <c r="CF110" s="57"/>
      <c r="CG110" s="57"/>
      <c r="CH110" s="57"/>
      <c r="CI110" s="57"/>
      <c r="CJ110" s="57"/>
      <c r="CK110" s="57"/>
      <c r="CL110" s="57"/>
      <c r="CM110" s="57"/>
      <c r="CN110" s="57"/>
      <c r="CO110" s="57"/>
      <c r="CP110" s="57"/>
      <c r="CQ110" s="57"/>
      <c r="CR110" s="57"/>
      <c r="CS110" s="57"/>
      <c r="CT110" s="57"/>
      <c r="CU110" s="57"/>
      <c r="CV110" s="57"/>
      <c r="CW110" s="57"/>
      <c r="CX110" s="57"/>
      <c r="CY110" s="57"/>
      <c r="CZ110" s="57"/>
    </row>
    <row r="111" spans="1:104" s="56" customFormat="1" ht="13">
      <c r="A111" s="57"/>
      <c r="B111" s="1527"/>
      <c r="C111" s="1528"/>
      <c r="D111" s="1528"/>
      <c r="E111" s="1528"/>
      <c r="F111" s="1528"/>
      <c r="G111" s="1528"/>
      <c r="H111" s="1528"/>
      <c r="I111" s="1528"/>
      <c r="J111" s="1528"/>
      <c r="K111" s="1528"/>
      <c r="L111" s="1528"/>
      <c r="M111" s="1528"/>
      <c r="N111" s="1528"/>
      <c r="O111" s="1528"/>
      <c r="P111" s="1528"/>
      <c r="Q111" s="1528"/>
      <c r="R111" s="1528"/>
      <c r="S111" s="1528"/>
      <c r="T111" s="1528"/>
      <c r="U111" s="1528"/>
      <c r="V111" s="1528"/>
      <c r="W111" s="1528"/>
      <c r="X111" s="1528"/>
      <c r="Y111" s="1528"/>
      <c r="Z111" s="1528"/>
      <c r="AA111" s="1528"/>
      <c r="AB111" s="1528"/>
      <c r="AC111" s="1528"/>
      <c r="AD111" s="1528"/>
      <c r="AE111" s="1528"/>
      <c r="AF111" s="1528"/>
      <c r="AG111" s="1528"/>
      <c r="AH111" s="1528"/>
      <c r="AI111" s="1529"/>
      <c r="BY111" s="57"/>
      <c r="BZ111" s="57"/>
      <c r="CA111" s="57"/>
      <c r="CB111" s="57"/>
      <c r="CC111" s="57"/>
      <c r="CD111" s="57"/>
      <c r="CE111" s="57"/>
      <c r="CF111" s="57"/>
      <c r="CG111" s="57"/>
      <c r="CH111" s="57"/>
      <c r="CI111" s="57"/>
      <c r="CJ111" s="57"/>
      <c r="CK111" s="57"/>
      <c r="CL111" s="57"/>
      <c r="CM111" s="57"/>
      <c r="CN111" s="57"/>
      <c r="CO111" s="57"/>
      <c r="CP111" s="57"/>
      <c r="CQ111" s="57"/>
      <c r="CR111" s="57"/>
      <c r="CS111" s="57"/>
      <c r="CT111" s="57"/>
      <c r="CU111" s="57"/>
      <c r="CV111" s="57"/>
      <c r="CW111" s="57"/>
      <c r="CX111" s="57"/>
      <c r="CY111" s="57"/>
      <c r="CZ111" s="57"/>
    </row>
    <row r="112" spans="1:104" s="56" customFormat="1" ht="13">
      <c r="A112" s="57"/>
      <c r="B112" s="1527"/>
      <c r="C112" s="1528"/>
      <c r="D112" s="1528"/>
      <c r="E112" s="1528"/>
      <c r="F112" s="1528"/>
      <c r="G112" s="1528"/>
      <c r="H112" s="1528"/>
      <c r="I112" s="1528"/>
      <c r="J112" s="1528"/>
      <c r="K112" s="1528"/>
      <c r="L112" s="1528"/>
      <c r="M112" s="1528"/>
      <c r="N112" s="1528"/>
      <c r="O112" s="1528"/>
      <c r="P112" s="1528"/>
      <c r="Q112" s="1528"/>
      <c r="R112" s="1528"/>
      <c r="S112" s="1528"/>
      <c r="T112" s="1528"/>
      <c r="U112" s="1528"/>
      <c r="V112" s="1528"/>
      <c r="W112" s="1528"/>
      <c r="X112" s="1528"/>
      <c r="Y112" s="1528"/>
      <c r="Z112" s="1528"/>
      <c r="AA112" s="1528"/>
      <c r="AB112" s="1528"/>
      <c r="AC112" s="1528"/>
      <c r="AD112" s="1528"/>
      <c r="AE112" s="1528"/>
      <c r="AF112" s="1528"/>
      <c r="AG112" s="1528"/>
      <c r="AH112" s="1528"/>
      <c r="AI112" s="1529"/>
      <c r="BY112" s="57"/>
      <c r="BZ112" s="57"/>
      <c r="CA112" s="57"/>
      <c r="CB112" s="57"/>
      <c r="CC112" s="57"/>
      <c r="CD112" s="57"/>
      <c r="CE112" s="57"/>
      <c r="CF112" s="57"/>
      <c r="CG112" s="57"/>
      <c r="CH112" s="57"/>
      <c r="CI112" s="57"/>
      <c r="CJ112" s="57"/>
      <c r="CK112" s="57"/>
      <c r="CL112" s="57"/>
      <c r="CM112" s="57"/>
      <c r="CN112" s="57"/>
      <c r="CO112" s="57"/>
      <c r="CP112" s="57"/>
      <c r="CQ112" s="57"/>
      <c r="CR112" s="57"/>
      <c r="CS112" s="57"/>
      <c r="CT112" s="57"/>
      <c r="CU112" s="57"/>
      <c r="CV112" s="57"/>
      <c r="CW112" s="57"/>
      <c r="CX112" s="57"/>
      <c r="CY112" s="57"/>
      <c r="CZ112" s="57"/>
    </row>
    <row r="113" spans="1:104" s="56" customFormat="1" ht="13">
      <c r="A113" s="57"/>
      <c r="B113" s="1527"/>
      <c r="C113" s="1528"/>
      <c r="D113" s="1528"/>
      <c r="E113" s="1528"/>
      <c r="F113" s="1528"/>
      <c r="G113" s="1528"/>
      <c r="H113" s="1528"/>
      <c r="I113" s="1528"/>
      <c r="J113" s="1528"/>
      <c r="K113" s="1528"/>
      <c r="L113" s="1528"/>
      <c r="M113" s="1528"/>
      <c r="N113" s="1528"/>
      <c r="O113" s="1528"/>
      <c r="P113" s="1528"/>
      <c r="Q113" s="1528"/>
      <c r="R113" s="1528"/>
      <c r="S113" s="1528"/>
      <c r="T113" s="1528"/>
      <c r="U113" s="1528"/>
      <c r="V113" s="1528"/>
      <c r="W113" s="1528"/>
      <c r="X113" s="1528"/>
      <c r="Y113" s="1528"/>
      <c r="Z113" s="1528"/>
      <c r="AA113" s="1528"/>
      <c r="AB113" s="1528"/>
      <c r="AC113" s="1528"/>
      <c r="AD113" s="1528"/>
      <c r="AE113" s="1528"/>
      <c r="AF113" s="1528"/>
      <c r="AG113" s="1528"/>
      <c r="AH113" s="1528"/>
      <c r="AI113" s="1529"/>
      <c r="BY113" s="57"/>
      <c r="BZ113" s="57"/>
      <c r="CA113" s="57"/>
      <c r="CB113" s="57"/>
      <c r="CC113" s="57"/>
      <c r="CD113" s="57"/>
      <c r="CE113" s="57"/>
      <c r="CF113" s="57"/>
      <c r="CG113" s="57"/>
      <c r="CH113" s="57"/>
      <c r="CI113" s="57"/>
      <c r="CJ113" s="57"/>
      <c r="CK113" s="57"/>
      <c r="CL113" s="57"/>
      <c r="CM113" s="57"/>
      <c r="CN113" s="57"/>
      <c r="CO113" s="57"/>
      <c r="CP113" s="57"/>
      <c r="CQ113" s="57"/>
      <c r="CR113" s="57"/>
      <c r="CS113" s="57"/>
      <c r="CT113" s="57"/>
      <c r="CU113" s="57"/>
      <c r="CV113" s="57"/>
      <c r="CW113" s="57"/>
      <c r="CX113" s="57"/>
      <c r="CY113" s="57"/>
      <c r="CZ113" s="57"/>
    </row>
    <row r="114" spans="1:104" s="56" customFormat="1" ht="13">
      <c r="A114" s="57"/>
      <c r="B114" s="1527"/>
      <c r="C114" s="1528"/>
      <c r="D114" s="1528"/>
      <c r="E114" s="1528"/>
      <c r="F114" s="1528"/>
      <c r="G114" s="1528"/>
      <c r="H114" s="1528"/>
      <c r="I114" s="1528"/>
      <c r="J114" s="1528"/>
      <c r="K114" s="1528"/>
      <c r="L114" s="1528"/>
      <c r="M114" s="1528"/>
      <c r="N114" s="1528"/>
      <c r="O114" s="1528"/>
      <c r="P114" s="1528"/>
      <c r="Q114" s="1528"/>
      <c r="R114" s="1528"/>
      <c r="S114" s="1528"/>
      <c r="T114" s="1528"/>
      <c r="U114" s="1528"/>
      <c r="V114" s="1528"/>
      <c r="W114" s="1528"/>
      <c r="X114" s="1528"/>
      <c r="Y114" s="1528"/>
      <c r="Z114" s="1528"/>
      <c r="AA114" s="1528"/>
      <c r="AB114" s="1528"/>
      <c r="AC114" s="1528"/>
      <c r="AD114" s="1528"/>
      <c r="AE114" s="1528"/>
      <c r="AF114" s="1528"/>
      <c r="AG114" s="1528"/>
      <c r="AH114" s="1528"/>
      <c r="AI114" s="1529"/>
      <c r="BY114" s="57"/>
      <c r="BZ114" s="57"/>
      <c r="CA114" s="57"/>
      <c r="CB114" s="57"/>
      <c r="CC114" s="57"/>
      <c r="CD114" s="57"/>
      <c r="CE114" s="57"/>
      <c r="CF114" s="57"/>
      <c r="CG114" s="57"/>
      <c r="CH114" s="57"/>
      <c r="CI114" s="57"/>
      <c r="CJ114" s="57"/>
      <c r="CK114" s="57"/>
      <c r="CL114" s="57"/>
      <c r="CM114" s="57"/>
      <c r="CN114" s="57"/>
      <c r="CO114" s="57"/>
      <c r="CP114" s="57"/>
      <c r="CQ114" s="57"/>
      <c r="CR114" s="57"/>
      <c r="CS114" s="57"/>
      <c r="CT114" s="57"/>
      <c r="CU114" s="57"/>
      <c r="CV114" s="57"/>
      <c r="CW114" s="57"/>
      <c r="CX114" s="57"/>
      <c r="CY114" s="57"/>
      <c r="CZ114" s="57"/>
    </row>
    <row r="115" spans="1:104" s="56" customFormat="1" ht="13">
      <c r="B115" s="1527"/>
      <c r="C115" s="1528"/>
      <c r="D115" s="1528"/>
      <c r="E115" s="1528"/>
      <c r="F115" s="1528"/>
      <c r="G115" s="1528"/>
      <c r="H115" s="1528"/>
      <c r="I115" s="1528"/>
      <c r="J115" s="1528"/>
      <c r="K115" s="1528"/>
      <c r="L115" s="1528"/>
      <c r="M115" s="1528"/>
      <c r="N115" s="1528"/>
      <c r="O115" s="1528"/>
      <c r="P115" s="1528"/>
      <c r="Q115" s="1528"/>
      <c r="R115" s="1528"/>
      <c r="S115" s="1528"/>
      <c r="T115" s="1528"/>
      <c r="U115" s="1528"/>
      <c r="V115" s="1528"/>
      <c r="W115" s="1528"/>
      <c r="X115" s="1528"/>
      <c r="Y115" s="1528"/>
      <c r="Z115" s="1528"/>
      <c r="AA115" s="1528"/>
      <c r="AB115" s="1528"/>
      <c r="AC115" s="1528"/>
      <c r="AD115" s="1528"/>
      <c r="AE115" s="1528"/>
      <c r="AF115" s="1528"/>
      <c r="AG115" s="1528"/>
      <c r="AH115" s="1528"/>
      <c r="AI115" s="1529"/>
      <c r="BY115" s="57"/>
      <c r="BZ115" s="57"/>
      <c r="CA115" s="57"/>
      <c r="CB115" s="57"/>
      <c r="CC115" s="57"/>
      <c r="CD115" s="57"/>
      <c r="CE115" s="57"/>
      <c r="CF115" s="57"/>
      <c r="CG115" s="57"/>
      <c r="CH115" s="57"/>
      <c r="CI115" s="57"/>
      <c r="CJ115" s="57"/>
      <c r="CK115" s="57"/>
      <c r="CL115" s="57"/>
      <c r="CM115" s="57"/>
      <c r="CN115" s="57"/>
      <c r="CO115" s="57"/>
      <c r="CP115" s="57"/>
      <c r="CQ115" s="57"/>
      <c r="CR115" s="57"/>
      <c r="CS115" s="57"/>
      <c r="CT115" s="57"/>
      <c r="CU115" s="57"/>
      <c r="CV115" s="57"/>
      <c r="CW115" s="57"/>
      <c r="CX115" s="57"/>
      <c r="CY115" s="57"/>
      <c r="CZ115" s="57"/>
    </row>
    <row r="116" spans="1:104" s="56" customFormat="1" ht="14" thickBot="1">
      <c r="B116" s="1530"/>
      <c r="C116" s="1531"/>
      <c r="D116" s="1531"/>
      <c r="E116" s="1531"/>
      <c r="F116" s="1531"/>
      <c r="G116" s="1531"/>
      <c r="H116" s="1531"/>
      <c r="I116" s="1531"/>
      <c r="J116" s="1531"/>
      <c r="K116" s="1531"/>
      <c r="L116" s="1531"/>
      <c r="M116" s="1531"/>
      <c r="N116" s="1531"/>
      <c r="O116" s="1531"/>
      <c r="P116" s="1531"/>
      <c r="Q116" s="1531"/>
      <c r="R116" s="1531"/>
      <c r="S116" s="1531"/>
      <c r="T116" s="1531"/>
      <c r="U116" s="1531"/>
      <c r="V116" s="1531"/>
      <c r="W116" s="1531"/>
      <c r="X116" s="1531"/>
      <c r="Y116" s="1531"/>
      <c r="Z116" s="1531"/>
      <c r="AA116" s="1531"/>
      <c r="AB116" s="1531"/>
      <c r="AC116" s="1531"/>
      <c r="AD116" s="1531"/>
      <c r="AE116" s="1531"/>
      <c r="AF116" s="1531"/>
      <c r="AG116" s="1531"/>
      <c r="AH116" s="1531"/>
      <c r="AI116" s="1532"/>
      <c r="BY116" s="57"/>
      <c r="BZ116" s="57"/>
      <c r="CA116" s="57"/>
      <c r="CB116" s="57"/>
      <c r="CC116" s="57"/>
      <c r="CD116" s="57"/>
      <c r="CE116" s="57"/>
      <c r="CF116" s="57"/>
      <c r="CG116" s="57"/>
      <c r="CH116" s="57"/>
      <c r="CI116" s="57"/>
      <c r="CJ116" s="57"/>
      <c r="CK116" s="57"/>
      <c r="CL116" s="57"/>
      <c r="CM116" s="57"/>
      <c r="CN116" s="57"/>
      <c r="CO116" s="57"/>
      <c r="CP116" s="57"/>
      <c r="CQ116" s="57"/>
      <c r="CR116" s="57"/>
      <c r="CS116" s="57"/>
      <c r="CT116" s="57"/>
      <c r="CU116" s="57"/>
      <c r="CV116" s="57"/>
      <c r="CW116" s="57"/>
      <c r="CX116" s="57"/>
      <c r="CY116" s="57"/>
      <c r="CZ116" s="57"/>
    </row>
    <row r="117" spans="1:104" s="56" customFormat="1" ht="15.75" customHeight="1" thickBot="1">
      <c r="A117" s="1593"/>
      <c r="B117" s="1593"/>
      <c r="C117" s="1593"/>
      <c r="D117" s="1593"/>
      <c r="E117" s="1593"/>
      <c r="F117" s="1593"/>
      <c r="G117" s="1593"/>
      <c r="H117" s="1593"/>
      <c r="I117" s="1593"/>
      <c r="J117" s="1593"/>
      <c r="K117" s="1593"/>
      <c r="L117" s="1593"/>
      <c r="M117" s="1593"/>
      <c r="N117" s="1593"/>
      <c r="O117" s="1593"/>
      <c r="P117" s="1593"/>
      <c r="Q117" s="1593"/>
      <c r="R117" s="1593"/>
      <c r="S117" s="1593"/>
      <c r="T117" s="1593"/>
      <c r="U117" s="1593"/>
      <c r="V117" s="1593"/>
      <c r="W117" s="1593"/>
      <c r="X117" s="1593"/>
      <c r="Y117" s="1593"/>
      <c r="Z117" s="1593"/>
      <c r="AA117" s="1593"/>
      <c r="AB117" s="1593"/>
      <c r="AC117" s="1593"/>
      <c r="AD117" s="1593"/>
      <c r="AE117" s="1593"/>
      <c r="AF117" s="1593"/>
      <c r="AG117" s="1593"/>
      <c r="AH117" s="1593"/>
      <c r="AI117" s="1593"/>
      <c r="AJ117" s="61"/>
      <c r="BY117" s="57"/>
      <c r="BZ117" s="57"/>
      <c r="CA117" s="57"/>
      <c r="CB117" s="57"/>
      <c r="CC117" s="57"/>
      <c r="CD117" s="57"/>
      <c r="CE117" s="57"/>
      <c r="CF117" s="57"/>
      <c r="CG117" s="57"/>
      <c r="CH117" s="57"/>
      <c r="CI117" s="57"/>
      <c r="CJ117" s="57"/>
      <c r="CK117" s="57"/>
      <c r="CL117" s="57"/>
      <c r="CM117" s="57"/>
      <c r="CN117" s="57"/>
      <c r="CO117" s="57"/>
      <c r="CP117" s="57"/>
      <c r="CQ117" s="57"/>
      <c r="CR117" s="57"/>
      <c r="CS117" s="57"/>
      <c r="CT117" s="57"/>
      <c r="CU117" s="57"/>
      <c r="CV117" s="57"/>
      <c r="CW117" s="57"/>
      <c r="CX117" s="57"/>
      <c r="CY117" s="57"/>
      <c r="CZ117" s="57"/>
    </row>
    <row r="118" spans="1:104" ht="16" thickTop="1"/>
    <row r="165" spans="77:100" ht="12.75" customHeight="1">
      <c r="BY165" s="57" t="s">
        <v>167</v>
      </c>
      <c r="BZ165" s="57"/>
      <c r="CA165" s="57"/>
      <c r="CB165" s="57"/>
      <c r="CC165" s="57"/>
      <c r="CD165" s="57"/>
      <c r="CE165" s="57"/>
      <c r="CF165" s="57"/>
      <c r="CG165" s="57"/>
      <c r="CH165" s="58"/>
      <c r="CI165" s="58"/>
      <c r="CJ165" s="58"/>
      <c r="CK165" s="58"/>
      <c r="CL165" s="58"/>
      <c r="CM165" s="58"/>
      <c r="CN165" s="58"/>
      <c r="CO165" s="58"/>
      <c r="CP165" s="58"/>
      <c r="CQ165" s="58"/>
      <c r="CR165" s="58"/>
      <c r="CS165" s="58"/>
      <c r="CT165" s="58"/>
      <c r="CU165" s="89"/>
      <c r="CV165" s="89">
        <v>0</v>
      </c>
    </row>
    <row r="166" spans="77:100" ht="12.75" customHeight="1">
      <c r="BY166" s="57" t="s">
        <v>168</v>
      </c>
      <c r="BZ166" s="57"/>
      <c r="CA166" s="57"/>
      <c r="CB166" s="57"/>
      <c r="CC166" s="57"/>
      <c r="CD166" s="57"/>
      <c r="CE166" s="57"/>
      <c r="CF166" s="57"/>
      <c r="CG166" s="57"/>
      <c r="CH166" s="58" t="s">
        <v>169</v>
      </c>
      <c r="CI166" s="58"/>
      <c r="CJ166" s="58"/>
      <c r="CK166" s="58"/>
      <c r="CL166" s="58"/>
      <c r="CM166" s="58" t="s">
        <v>170</v>
      </c>
      <c r="CN166" s="58"/>
      <c r="CO166" s="58"/>
      <c r="CP166" s="58"/>
      <c r="CQ166" s="58" t="s">
        <v>171</v>
      </c>
      <c r="CR166" s="58"/>
      <c r="CS166" s="58"/>
      <c r="CT166" s="58"/>
      <c r="CU166" s="89"/>
      <c r="CV166" s="89">
        <v>0.05</v>
      </c>
    </row>
    <row r="167" spans="77:100" ht="12.75" customHeight="1">
      <c r="BY167" s="57" t="s">
        <v>172</v>
      </c>
      <c r="BZ167" s="57"/>
      <c r="CA167" s="57"/>
      <c r="CB167" s="57"/>
      <c r="CC167" s="57"/>
      <c r="CD167" s="57"/>
      <c r="CE167" s="57"/>
      <c r="CF167" s="57"/>
      <c r="CG167" s="57"/>
      <c r="CH167" s="58" t="s">
        <v>173</v>
      </c>
      <c r="CI167" s="58"/>
      <c r="CJ167" s="58"/>
      <c r="CK167" s="58"/>
      <c r="CL167" s="58"/>
      <c r="CM167" s="58" t="s">
        <v>174</v>
      </c>
      <c r="CN167" s="58"/>
      <c r="CO167" s="58"/>
      <c r="CP167" s="58"/>
      <c r="CQ167" s="58" t="s">
        <v>175</v>
      </c>
      <c r="CR167" s="58"/>
      <c r="CS167" s="58"/>
      <c r="CT167" s="58"/>
      <c r="CU167" s="89"/>
      <c r="CV167" s="89">
        <v>0.1</v>
      </c>
    </row>
    <row r="168" spans="77:100" ht="12.75" customHeight="1">
      <c r="BY168" s="57" t="s">
        <v>176</v>
      </c>
      <c r="BZ168" s="57"/>
      <c r="CA168" s="57"/>
      <c r="CB168" s="57"/>
      <c r="CC168" s="57"/>
      <c r="CD168" s="57"/>
      <c r="CE168" s="57"/>
      <c r="CF168" s="57"/>
      <c r="CG168" s="57"/>
      <c r="CH168" s="58" t="s">
        <v>177</v>
      </c>
      <c r="CI168" s="58"/>
      <c r="CJ168" s="58"/>
      <c r="CK168" s="58"/>
      <c r="CL168" s="58"/>
      <c r="CM168" s="58" t="s">
        <v>178</v>
      </c>
      <c r="CN168" s="58"/>
      <c r="CO168" s="58"/>
      <c r="CP168" s="58"/>
      <c r="CQ168" s="58" t="s">
        <v>179</v>
      </c>
      <c r="CR168" s="58"/>
      <c r="CS168" s="58"/>
      <c r="CT168" s="58"/>
      <c r="CU168" s="89"/>
      <c r="CV168" s="89">
        <v>0.15</v>
      </c>
    </row>
    <row r="169" spans="77:100" ht="12.75" customHeight="1">
      <c r="BY169" s="57" t="s">
        <v>180</v>
      </c>
      <c r="BZ169" s="57"/>
      <c r="CA169" s="57"/>
      <c r="CB169" s="57"/>
      <c r="CC169" s="57"/>
      <c r="CD169" s="57"/>
      <c r="CE169" s="57"/>
      <c r="CF169" s="57"/>
      <c r="CG169" s="57"/>
      <c r="CH169" s="58" t="s">
        <v>181</v>
      </c>
      <c r="CI169" s="58"/>
      <c r="CJ169" s="58"/>
      <c r="CK169" s="58"/>
      <c r="CL169" s="58"/>
      <c r="CM169" s="58"/>
      <c r="CN169" s="58"/>
      <c r="CO169" s="58"/>
      <c r="CP169" s="58"/>
      <c r="CQ169" s="58"/>
      <c r="CR169" s="58"/>
      <c r="CS169" s="58"/>
      <c r="CT169" s="58"/>
      <c r="CU169" s="89"/>
      <c r="CV169" s="89">
        <v>0.2</v>
      </c>
    </row>
    <row r="170" spans="77:100" ht="12.75" customHeight="1">
      <c r="BY170" s="57" t="s">
        <v>182</v>
      </c>
      <c r="BZ170" s="57"/>
      <c r="CA170" s="57"/>
      <c r="CB170" s="57"/>
      <c r="CC170" s="57"/>
      <c r="CD170" s="57"/>
      <c r="CE170" s="57"/>
      <c r="CF170" s="57"/>
      <c r="CG170" s="57"/>
      <c r="CH170" s="58" t="s">
        <v>183</v>
      </c>
      <c r="CI170" s="58"/>
      <c r="CJ170" s="58"/>
      <c r="CK170" s="58"/>
      <c r="CL170" s="58"/>
      <c r="CM170" s="58" t="s">
        <v>184</v>
      </c>
      <c r="CN170" s="58"/>
      <c r="CO170" s="58"/>
      <c r="CP170" s="58"/>
      <c r="CQ170" s="58"/>
      <c r="CR170" s="58"/>
      <c r="CS170" s="58"/>
      <c r="CT170" s="58"/>
      <c r="CU170" s="89"/>
      <c r="CV170" s="89">
        <v>0.25</v>
      </c>
    </row>
    <row r="171" spans="77:100" ht="12.75" customHeight="1">
      <c r="BY171" s="57" t="s">
        <v>185</v>
      </c>
      <c r="BZ171" s="57"/>
      <c r="CA171" s="57"/>
      <c r="CB171" s="57"/>
      <c r="CC171" s="57"/>
      <c r="CD171" s="57"/>
      <c r="CE171" s="57"/>
      <c r="CF171" s="57"/>
      <c r="CG171" s="57"/>
      <c r="CH171" s="58"/>
      <c r="CI171" s="58"/>
      <c r="CJ171" s="58"/>
      <c r="CK171" s="58"/>
      <c r="CL171" s="58"/>
      <c r="CM171" s="58" t="s">
        <v>186</v>
      </c>
      <c r="CN171" s="58"/>
      <c r="CO171" s="58"/>
      <c r="CP171" s="58"/>
      <c r="CQ171" s="58"/>
      <c r="CR171" s="58"/>
      <c r="CS171" s="58"/>
      <c r="CT171" s="58"/>
      <c r="CU171" s="89"/>
      <c r="CV171" s="89">
        <v>0.3</v>
      </c>
    </row>
    <row r="172" spans="77:100" ht="12.75" customHeight="1">
      <c r="BY172" s="57" t="s">
        <v>187</v>
      </c>
      <c r="BZ172" s="57"/>
      <c r="CA172" s="57"/>
      <c r="CB172" s="57"/>
      <c r="CC172" s="57"/>
      <c r="CD172" s="57"/>
      <c r="CE172" s="57"/>
      <c r="CF172" s="57"/>
      <c r="CG172" s="57"/>
      <c r="CH172" s="58" t="s">
        <v>188</v>
      </c>
      <c r="CI172" s="58"/>
      <c r="CJ172" s="58"/>
      <c r="CK172" s="58"/>
      <c r="CL172" s="58"/>
      <c r="CM172" s="58" t="s">
        <v>189</v>
      </c>
      <c r="CN172" s="58"/>
      <c r="CO172" s="58"/>
      <c r="CP172" s="58"/>
      <c r="CQ172" s="58"/>
      <c r="CR172" s="58"/>
      <c r="CS172" s="58"/>
      <c r="CT172" s="58"/>
      <c r="CU172" s="89"/>
      <c r="CV172" s="89">
        <v>0.35</v>
      </c>
    </row>
    <row r="173" spans="77:100" ht="12.75" customHeight="1">
      <c r="BY173" s="57" t="s">
        <v>190</v>
      </c>
      <c r="BZ173" s="57"/>
      <c r="CA173" s="57"/>
      <c r="CB173" s="57"/>
      <c r="CC173" s="57"/>
      <c r="CD173" s="57"/>
      <c r="CE173" s="57"/>
      <c r="CF173" s="57"/>
      <c r="CG173" s="57"/>
      <c r="CH173" s="58" t="s">
        <v>191</v>
      </c>
      <c r="CI173" s="58"/>
      <c r="CJ173" s="58"/>
      <c r="CK173" s="58"/>
      <c r="CL173" s="58"/>
      <c r="CM173" s="58" t="s">
        <v>192</v>
      </c>
      <c r="CN173" s="58"/>
      <c r="CO173" s="58"/>
      <c r="CP173" s="58"/>
      <c r="CQ173" s="58"/>
      <c r="CR173" s="58"/>
      <c r="CS173" s="58"/>
      <c r="CT173" s="58"/>
      <c r="CU173" s="89"/>
      <c r="CV173" s="89">
        <v>0.4</v>
      </c>
    </row>
    <row r="174" spans="77:100" ht="12.75" customHeight="1">
      <c r="BY174" s="57" t="s">
        <v>193</v>
      </c>
      <c r="BZ174" s="57"/>
      <c r="CA174" s="57"/>
      <c r="CB174" s="57"/>
      <c r="CC174" s="57"/>
      <c r="CD174" s="57"/>
      <c r="CE174" s="57"/>
      <c r="CF174" s="57"/>
      <c r="CG174" s="57"/>
      <c r="CH174" s="58" t="s">
        <v>194</v>
      </c>
      <c r="CI174" s="58"/>
      <c r="CJ174" s="58"/>
      <c r="CK174" s="58"/>
      <c r="CL174" s="58"/>
      <c r="CM174" s="58"/>
      <c r="CN174" s="58"/>
      <c r="CO174" s="58"/>
      <c r="CP174" s="58"/>
      <c r="CQ174" s="58"/>
      <c r="CR174" s="58"/>
      <c r="CS174" s="58"/>
      <c r="CT174" s="58"/>
      <c r="CU174" s="89"/>
      <c r="CV174" s="89">
        <v>0.45</v>
      </c>
    </row>
    <row r="175" spans="77:100" ht="12.75" customHeight="1">
      <c r="BY175" s="57" t="s">
        <v>195</v>
      </c>
      <c r="BZ175" s="57"/>
      <c r="CA175" s="57"/>
      <c r="CB175" s="57"/>
      <c r="CC175" s="57"/>
      <c r="CD175" s="57"/>
      <c r="CE175" s="57"/>
      <c r="CF175" s="57"/>
      <c r="CG175" s="57"/>
      <c r="CH175" s="58" t="s">
        <v>196</v>
      </c>
      <c r="CI175" s="58"/>
      <c r="CJ175" s="58"/>
      <c r="CK175" s="58"/>
      <c r="CL175" s="58"/>
      <c r="CM175" s="58" t="s">
        <v>197</v>
      </c>
      <c r="CN175" s="58"/>
      <c r="CO175" s="58"/>
      <c r="CP175" s="57" t="s">
        <v>198</v>
      </c>
      <c r="CQ175" s="57"/>
      <c r="CR175" s="58"/>
      <c r="CS175" s="58"/>
      <c r="CT175" s="58"/>
      <c r="CU175" s="89"/>
      <c r="CV175" s="89">
        <v>0.5</v>
      </c>
    </row>
    <row r="176" spans="77:100" ht="12.75" customHeight="1">
      <c r="BY176" s="57" t="s">
        <v>199</v>
      </c>
      <c r="BZ176" s="57"/>
      <c r="CA176" s="57"/>
      <c r="CB176" s="57"/>
      <c r="CC176" s="57"/>
      <c r="CD176" s="57"/>
      <c r="CE176" s="57"/>
      <c r="CF176" s="57"/>
      <c r="CG176" s="57"/>
      <c r="CH176" s="58"/>
      <c r="CI176" s="58"/>
      <c r="CJ176" s="58"/>
      <c r="CK176" s="58"/>
      <c r="CL176" s="58"/>
      <c r="CM176" s="58" t="s">
        <v>200</v>
      </c>
      <c r="CN176" s="58"/>
      <c r="CO176" s="58"/>
      <c r="CP176" s="58" t="s">
        <v>201</v>
      </c>
      <c r="CQ176" s="58"/>
      <c r="CR176" s="58"/>
      <c r="CS176" s="58"/>
      <c r="CT176" s="58"/>
      <c r="CU176" s="58"/>
      <c r="CV176" s="89">
        <v>0.55000000000000004</v>
      </c>
    </row>
    <row r="177" spans="77:100" ht="12.75" customHeight="1">
      <c r="BY177" s="57"/>
      <c r="BZ177" s="57"/>
      <c r="CA177" s="57"/>
      <c r="CB177" s="57"/>
      <c r="CC177" s="57"/>
      <c r="CD177" s="57"/>
      <c r="CE177" s="57"/>
      <c r="CF177" s="57"/>
      <c r="CG177" s="57"/>
      <c r="CH177" s="58"/>
      <c r="CI177" s="58"/>
      <c r="CJ177" s="58"/>
      <c r="CK177" s="58"/>
      <c r="CL177" s="58"/>
      <c r="CM177" s="58"/>
      <c r="CN177" s="58"/>
      <c r="CO177" s="58"/>
      <c r="CP177" s="58" t="s">
        <v>202</v>
      </c>
      <c r="CQ177" s="58"/>
      <c r="CR177" s="58"/>
      <c r="CS177" s="58"/>
      <c r="CT177" s="58"/>
      <c r="CU177" s="58"/>
      <c r="CV177" s="89">
        <v>0.6</v>
      </c>
    </row>
    <row r="178" spans="77:100" ht="12.75" customHeight="1">
      <c r="BY178" s="57" t="s">
        <v>203</v>
      </c>
      <c r="BZ178" s="57"/>
      <c r="CA178" s="57"/>
      <c r="CB178" s="57"/>
      <c r="CC178" s="57"/>
      <c r="CD178" s="57"/>
      <c r="CE178" s="57"/>
      <c r="CF178" s="57"/>
      <c r="CG178" s="57"/>
      <c r="CH178" s="58" t="s">
        <v>204</v>
      </c>
      <c r="CI178" s="58"/>
      <c r="CJ178" s="58"/>
      <c r="CK178" s="58"/>
      <c r="CL178" s="58"/>
      <c r="CM178" s="57"/>
      <c r="CN178" s="58"/>
      <c r="CO178" s="57"/>
      <c r="CQ178" s="58"/>
      <c r="CR178" s="58"/>
      <c r="CS178" s="58"/>
      <c r="CT178" s="58"/>
      <c r="CU178" s="57"/>
      <c r="CV178" s="89">
        <v>0.65</v>
      </c>
    </row>
    <row r="179" spans="77:100" ht="12.75" customHeight="1">
      <c r="BY179" s="57" t="s">
        <v>205</v>
      </c>
      <c r="BZ179" s="57"/>
      <c r="CA179" s="57"/>
      <c r="CB179" s="57"/>
      <c r="CC179" s="57"/>
      <c r="CD179" s="57"/>
      <c r="CE179" s="57"/>
      <c r="CF179" s="57"/>
      <c r="CG179" s="57"/>
      <c r="CH179" s="58" t="s">
        <v>206</v>
      </c>
      <c r="CI179" s="58"/>
      <c r="CJ179" s="58"/>
      <c r="CK179" s="58"/>
      <c r="CL179" s="58"/>
      <c r="CM179" s="58" t="s">
        <v>207</v>
      </c>
      <c r="CN179" s="58"/>
      <c r="CO179" s="58"/>
      <c r="CP179" s="58"/>
      <c r="CQ179" s="58"/>
      <c r="CR179" s="58"/>
      <c r="CS179" s="58"/>
      <c r="CT179" s="58"/>
      <c r="CU179" s="58"/>
      <c r="CV179" s="89">
        <v>0.7</v>
      </c>
    </row>
    <row r="180" spans="77:100" ht="12.75" customHeight="1">
      <c r="BY180" s="57" t="s">
        <v>208</v>
      </c>
      <c r="BZ180" s="57"/>
      <c r="CA180" s="57"/>
      <c r="CB180" s="57"/>
      <c r="CC180" s="57"/>
      <c r="CD180" s="57"/>
      <c r="CE180" s="57"/>
      <c r="CF180" s="57"/>
      <c r="CG180" s="57"/>
      <c r="CH180" s="58" t="s">
        <v>209</v>
      </c>
      <c r="CI180" s="58"/>
      <c r="CJ180" s="58"/>
      <c r="CK180" s="58"/>
      <c r="CL180" s="58"/>
      <c r="CM180" s="58"/>
      <c r="CN180" s="58"/>
      <c r="CO180" s="58"/>
      <c r="CP180" s="58"/>
      <c r="CQ180" s="58"/>
      <c r="CR180" s="58"/>
      <c r="CS180" s="58"/>
      <c r="CT180" s="58"/>
      <c r="CU180" s="58"/>
      <c r="CV180" s="90">
        <v>0.75</v>
      </c>
    </row>
    <row r="181" spans="77:100" ht="12.75" customHeight="1">
      <c r="BY181" s="57" t="s">
        <v>210</v>
      </c>
      <c r="BZ181" s="57"/>
      <c r="CA181" s="57"/>
      <c r="CB181" s="57"/>
      <c r="CC181" s="57"/>
      <c r="CD181" s="57"/>
      <c r="CE181" s="57"/>
      <c r="CF181" s="57"/>
      <c r="CG181" s="57"/>
      <c r="CH181" s="57" t="s">
        <v>211</v>
      </c>
      <c r="CI181" s="57"/>
      <c r="CJ181" s="57"/>
      <c r="CK181" s="57"/>
      <c r="CL181" s="57"/>
      <c r="CM181" s="57"/>
      <c r="CN181" s="57"/>
      <c r="CO181" s="57"/>
      <c r="CP181" s="57"/>
      <c r="CQ181" s="57"/>
      <c r="CR181" s="57"/>
      <c r="CS181" s="57"/>
      <c r="CT181" s="57"/>
      <c r="CU181" s="57"/>
      <c r="CV181" s="90">
        <v>0.8</v>
      </c>
    </row>
    <row r="182" spans="77:100" ht="12.75" customHeight="1">
      <c r="BY182" s="57" t="s">
        <v>212</v>
      </c>
      <c r="BZ182" s="57"/>
      <c r="CA182" s="57"/>
      <c r="CB182" s="57"/>
      <c r="CC182" s="57"/>
      <c r="CD182" s="57"/>
      <c r="CE182" s="57"/>
      <c r="CF182" s="57"/>
      <c r="CG182" s="57"/>
      <c r="CH182" s="57"/>
      <c r="CI182" s="57"/>
      <c r="CJ182" s="57"/>
      <c r="CK182" s="57"/>
      <c r="CL182" s="57"/>
      <c r="CM182" s="57" t="s">
        <v>169</v>
      </c>
      <c r="CN182" s="57"/>
      <c r="CO182" s="57"/>
      <c r="CP182" s="58" t="s">
        <v>213</v>
      </c>
      <c r="CQ182" s="57"/>
      <c r="CR182" s="57"/>
      <c r="CS182" s="57" t="s">
        <v>214</v>
      </c>
      <c r="CT182" s="57"/>
      <c r="CU182" s="57"/>
      <c r="CV182" s="90">
        <v>0.85</v>
      </c>
    </row>
    <row r="183" spans="77:100" ht="12.75" customHeight="1">
      <c r="BY183" s="57" t="s">
        <v>215</v>
      </c>
      <c r="BZ183" s="57"/>
      <c r="CA183" s="57"/>
      <c r="CB183" s="57"/>
      <c r="CC183" s="57"/>
      <c r="CD183" s="57"/>
      <c r="CE183" s="57"/>
      <c r="CF183" s="57"/>
      <c r="CG183" s="57"/>
      <c r="CH183" s="57" t="s">
        <v>216</v>
      </c>
      <c r="CI183" s="57"/>
      <c r="CJ183" s="57"/>
      <c r="CK183" s="57"/>
      <c r="CL183" s="57"/>
      <c r="CM183" s="57" t="s">
        <v>173</v>
      </c>
      <c r="CN183" s="57"/>
      <c r="CO183" s="57"/>
      <c r="CP183" s="57" t="s">
        <v>217</v>
      </c>
      <c r="CQ183" s="57"/>
      <c r="CR183" s="57"/>
      <c r="CS183" s="57" t="s">
        <v>217</v>
      </c>
      <c r="CT183" s="57"/>
      <c r="CU183" s="57"/>
      <c r="CV183" s="90">
        <v>0.9</v>
      </c>
    </row>
    <row r="184" spans="77:100" ht="12.75" customHeight="1">
      <c r="BY184" s="57" t="s">
        <v>164</v>
      </c>
      <c r="BZ184" s="57"/>
      <c r="CA184" s="57"/>
      <c r="CB184" s="57"/>
      <c r="CC184" s="57"/>
      <c r="CD184" s="57"/>
      <c r="CE184" s="57"/>
      <c r="CF184" s="57"/>
      <c r="CG184" s="57"/>
      <c r="CH184" s="57" t="s">
        <v>218</v>
      </c>
      <c r="CI184" s="57"/>
      <c r="CJ184" s="57"/>
      <c r="CK184" s="57"/>
      <c r="CL184" s="57"/>
      <c r="CM184" s="57" t="s">
        <v>177</v>
      </c>
      <c r="CN184" s="57"/>
      <c r="CO184" s="57"/>
      <c r="CP184" s="57"/>
      <c r="CQ184" s="57"/>
      <c r="CR184" s="57"/>
      <c r="CS184" s="57"/>
      <c r="CT184" s="57"/>
      <c r="CU184" s="57"/>
      <c r="CV184" s="90">
        <v>0.95</v>
      </c>
    </row>
    <row r="185" spans="77:100" ht="12.75" customHeight="1">
      <c r="BY185" s="57" t="s">
        <v>219</v>
      </c>
      <c r="BZ185" s="57"/>
      <c r="CA185" s="57"/>
      <c r="CB185" s="57"/>
      <c r="CC185" s="57"/>
      <c r="CD185" s="57"/>
      <c r="CE185" s="57"/>
      <c r="CF185" s="57"/>
      <c r="CG185" s="57"/>
      <c r="CH185" s="57" t="s">
        <v>220</v>
      </c>
      <c r="CI185" s="57"/>
      <c r="CJ185" s="57"/>
      <c r="CK185" s="57"/>
      <c r="CL185" s="57"/>
      <c r="CM185" s="57" t="s">
        <v>181</v>
      </c>
      <c r="CN185" s="57"/>
      <c r="CO185" s="57"/>
      <c r="CP185" s="57"/>
      <c r="CQ185" s="57"/>
      <c r="CR185" s="57"/>
      <c r="CS185" s="57"/>
      <c r="CT185" s="57"/>
      <c r="CU185" s="57"/>
      <c r="CV185" s="90">
        <v>1</v>
      </c>
    </row>
    <row r="186" spans="77:100" ht="12.75" customHeight="1">
      <c r="BY186" s="57" t="s">
        <v>221</v>
      </c>
      <c r="BZ186" s="57"/>
      <c r="CA186" s="57"/>
      <c r="CB186" s="57"/>
      <c r="CC186" s="57"/>
      <c r="CD186" s="57"/>
      <c r="CE186" s="57"/>
      <c r="CF186" s="57"/>
      <c r="CG186" s="57"/>
      <c r="CH186" s="57" t="s">
        <v>222</v>
      </c>
      <c r="CI186" s="57"/>
      <c r="CJ186" s="57"/>
      <c r="CK186" s="57"/>
      <c r="CL186" s="57"/>
      <c r="CM186" s="57" t="s">
        <v>223</v>
      </c>
      <c r="CN186" s="57"/>
      <c r="CO186" s="57"/>
      <c r="CP186" s="57"/>
      <c r="CQ186" s="57"/>
      <c r="CR186" s="57"/>
      <c r="CS186" s="57"/>
      <c r="CT186" s="57"/>
      <c r="CU186" s="57"/>
      <c r="CV186" s="57"/>
    </row>
    <row r="187" spans="77:100" ht="12.75" customHeight="1">
      <c r="BY187" s="57" t="s">
        <v>224</v>
      </c>
      <c r="BZ187" s="57"/>
      <c r="CA187" s="57"/>
      <c r="CB187" s="57"/>
      <c r="CC187" s="57"/>
      <c r="CD187" s="57"/>
      <c r="CE187" s="57"/>
      <c r="CF187" s="57"/>
      <c r="CG187" s="57"/>
      <c r="CH187" s="57" t="s">
        <v>84</v>
      </c>
      <c r="CI187" s="57"/>
      <c r="CJ187" s="57"/>
      <c r="CK187" s="57"/>
      <c r="CL187" s="57"/>
      <c r="CM187" s="57" t="s">
        <v>225</v>
      </c>
      <c r="CN187" s="57"/>
      <c r="CO187" s="57"/>
      <c r="CP187" s="57"/>
      <c r="CQ187" s="57"/>
      <c r="CR187" s="57"/>
      <c r="CS187" s="57"/>
      <c r="CT187" s="57"/>
      <c r="CU187" s="57"/>
      <c r="CV187" s="57"/>
    </row>
    <row r="188" spans="77:100" ht="12.75" customHeight="1">
      <c r="BY188" s="57" t="s">
        <v>226</v>
      </c>
      <c r="BZ188" s="57"/>
      <c r="CA188" s="57"/>
      <c r="CB188" s="57"/>
      <c r="CC188" s="57"/>
      <c r="CD188" s="57"/>
      <c r="CE188" s="57"/>
      <c r="CF188" s="57"/>
      <c r="CG188" s="57"/>
      <c r="CH188" s="57" t="s">
        <v>227</v>
      </c>
      <c r="CI188" s="57"/>
      <c r="CJ188" s="57"/>
      <c r="CK188" s="57"/>
      <c r="CL188" s="57"/>
      <c r="CM188" s="57" t="s">
        <v>228</v>
      </c>
      <c r="CN188" s="57"/>
      <c r="CO188" s="57"/>
      <c r="CP188" s="57"/>
      <c r="CQ188" s="57"/>
      <c r="CR188" s="57"/>
      <c r="CS188" s="57"/>
      <c r="CT188" s="57"/>
      <c r="CU188" s="57"/>
      <c r="CV188" s="57"/>
    </row>
    <row r="189" spans="77:100" ht="12.75" customHeight="1">
      <c r="BY189" s="57" t="s">
        <v>229</v>
      </c>
      <c r="BZ189" s="57"/>
      <c r="CA189" s="57"/>
      <c r="CB189" s="57"/>
      <c r="CC189" s="57"/>
      <c r="CD189" s="57"/>
      <c r="CE189" s="57"/>
      <c r="CF189" s="57"/>
      <c r="CG189" s="57"/>
      <c r="CH189" s="57" t="s">
        <v>230</v>
      </c>
      <c r="CI189" s="57"/>
      <c r="CJ189" s="57"/>
      <c r="CK189" s="57"/>
      <c r="CL189" s="57"/>
      <c r="CM189" s="57" t="s">
        <v>183</v>
      </c>
      <c r="CN189" s="57"/>
      <c r="CO189" s="57"/>
      <c r="CP189" s="57"/>
      <c r="CQ189" s="57"/>
      <c r="CR189" s="57"/>
      <c r="CS189" s="57"/>
      <c r="CT189" s="57"/>
      <c r="CU189" s="57"/>
      <c r="CV189" s="57"/>
    </row>
    <row r="190" spans="77:100" ht="12.75" customHeight="1">
      <c r="BY190" s="57" t="s">
        <v>231</v>
      </c>
      <c r="BZ190" s="57"/>
      <c r="CA190" s="57"/>
      <c r="CB190" s="57"/>
      <c r="CC190" s="57"/>
      <c r="CD190" s="57"/>
      <c r="CE190" s="57"/>
      <c r="CF190" s="57"/>
      <c r="CG190" s="57"/>
      <c r="CH190" s="57" t="s">
        <v>52</v>
      </c>
      <c r="CI190" s="57"/>
      <c r="CJ190" s="57"/>
      <c r="CK190" s="57"/>
      <c r="CL190" s="57"/>
      <c r="CM190" s="57"/>
      <c r="CN190" s="57"/>
      <c r="CO190" s="57"/>
      <c r="CP190" s="57"/>
      <c r="CQ190" s="57"/>
      <c r="CR190" s="57"/>
      <c r="CS190" s="57"/>
      <c r="CT190" s="57"/>
      <c r="CU190" s="57"/>
      <c r="CV190" s="57"/>
    </row>
    <row r="191" spans="77:100" ht="12.75" customHeight="1">
      <c r="BY191" s="57" t="s">
        <v>232</v>
      </c>
      <c r="BZ191" s="57"/>
      <c r="CA191" s="57"/>
      <c r="CB191" s="57"/>
      <c r="CC191" s="57"/>
      <c r="CD191" s="57"/>
      <c r="CE191" s="57"/>
      <c r="CF191" s="57"/>
      <c r="CG191" s="57"/>
      <c r="CH191" s="57" t="s">
        <v>49</v>
      </c>
      <c r="CI191" s="57"/>
      <c r="CJ191" s="57"/>
      <c r="CK191" s="57"/>
      <c r="CL191" s="57"/>
      <c r="CM191" s="57"/>
      <c r="CN191" s="57"/>
      <c r="CO191" s="57"/>
      <c r="CP191" s="57"/>
      <c r="CQ191" s="57"/>
      <c r="CR191" s="57"/>
      <c r="CS191" s="57"/>
      <c r="CT191" s="57"/>
      <c r="CU191" s="57"/>
      <c r="CV191" s="57"/>
    </row>
    <row r="192" spans="77:100" ht="12.75" customHeight="1">
      <c r="BY192" s="57" t="s">
        <v>156</v>
      </c>
      <c r="BZ192" s="57"/>
      <c r="CA192" s="57"/>
      <c r="CB192" s="57"/>
      <c r="CC192" s="57"/>
      <c r="CD192" s="57"/>
      <c r="CE192" s="57"/>
      <c r="CF192" s="57"/>
      <c r="CG192" s="57"/>
      <c r="CH192" s="57" t="s">
        <v>63</v>
      </c>
      <c r="CI192" s="57"/>
      <c r="CJ192" s="57"/>
      <c r="CK192" s="57"/>
      <c r="CL192" s="57"/>
      <c r="CM192" s="57"/>
      <c r="CN192" s="57"/>
      <c r="CO192" s="57"/>
      <c r="CP192" s="57"/>
      <c r="CQ192" s="57"/>
      <c r="CR192" s="57"/>
      <c r="CS192" s="57"/>
      <c r="CT192" s="57"/>
      <c r="CU192" s="57"/>
      <c r="CV192" s="57"/>
    </row>
    <row r="193" spans="77:100" ht="12.75" customHeight="1">
      <c r="BY193" s="57" t="s">
        <v>233</v>
      </c>
      <c r="BZ193" s="57"/>
      <c r="CA193" s="57"/>
      <c r="CB193" s="57"/>
      <c r="CC193" s="57"/>
      <c r="CD193" s="57"/>
      <c r="CE193" s="57"/>
      <c r="CF193" s="57"/>
      <c r="CG193" s="57"/>
      <c r="CH193" s="57" t="s">
        <v>234</v>
      </c>
      <c r="CI193" s="57"/>
      <c r="CJ193" s="57"/>
      <c r="CK193" s="57"/>
      <c r="CL193" s="57"/>
      <c r="CM193" s="57"/>
      <c r="CN193" s="57"/>
      <c r="CO193" s="57"/>
      <c r="CP193" s="57"/>
      <c r="CQ193" s="57"/>
      <c r="CR193" s="57"/>
      <c r="CS193" s="57"/>
      <c r="CT193" s="57"/>
      <c r="CU193" s="57"/>
      <c r="CV193" s="57"/>
    </row>
    <row r="194" spans="77:100" ht="12.75" customHeight="1">
      <c r="BY194" s="57" t="s">
        <v>235</v>
      </c>
      <c r="BZ194" s="57"/>
      <c r="CA194" s="57"/>
      <c r="CB194" s="57"/>
      <c r="CC194" s="57"/>
      <c r="CD194" s="57"/>
      <c r="CE194" s="57"/>
      <c r="CF194" s="57"/>
      <c r="CG194" s="57"/>
      <c r="CH194" s="57"/>
      <c r="CI194" s="57"/>
      <c r="CJ194" s="57"/>
      <c r="CK194" s="57"/>
      <c r="CL194" s="57"/>
      <c r="CM194" s="57"/>
      <c r="CN194" s="57"/>
      <c r="CO194" s="57"/>
      <c r="CP194" s="57"/>
      <c r="CQ194" s="57"/>
      <c r="CR194" s="57"/>
      <c r="CS194" s="57"/>
      <c r="CT194" s="57"/>
      <c r="CU194" s="57"/>
      <c r="CV194" s="57"/>
    </row>
    <row r="195" spans="77:100" ht="12.75" customHeight="1">
      <c r="BY195" s="57" t="s">
        <v>236</v>
      </c>
      <c r="BZ195" s="57"/>
      <c r="CA195" s="57"/>
      <c r="CB195" s="57"/>
      <c r="CC195" s="57"/>
      <c r="CD195" s="57"/>
      <c r="CE195" s="57"/>
      <c r="CF195" s="57"/>
      <c r="CG195" s="57"/>
      <c r="CH195" s="57" t="s">
        <v>237</v>
      </c>
      <c r="CI195" s="57"/>
      <c r="CJ195" s="57"/>
      <c r="CK195" s="57"/>
      <c r="CL195" s="57"/>
      <c r="CM195" s="57"/>
      <c r="CN195" s="57"/>
      <c r="CO195" s="57"/>
      <c r="CP195" s="57"/>
      <c r="CQ195" s="57"/>
      <c r="CR195" s="57"/>
      <c r="CS195" s="57"/>
      <c r="CT195" s="57"/>
      <c r="CU195" s="57"/>
      <c r="CV195" s="57"/>
    </row>
    <row r="196" spans="77:100" ht="12.75" customHeight="1">
      <c r="BY196" s="57" t="s">
        <v>238</v>
      </c>
      <c r="BZ196" s="57"/>
      <c r="CA196" s="57"/>
      <c r="CB196" s="57"/>
      <c r="CC196" s="57"/>
      <c r="CD196" s="57"/>
      <c r="CE196" s="57"/>
      <c r="CF196" s="57"/>
      <c r="CG196" s="57"/>
      <c r="CH196" s="57" t="s">
        <v>239</v>
      </c>
      <c r="CI196" s="57"/>
      <c r="CJ196" s="57"/>
      <c r="CK196" s="57"/>
      <c r="CL196" s="57"/>
      <c r="CM196" s="57"/>
      <c r="CN196" s="57"/>
      <c r="CO196" s="57"/>
      <c r="CP196" s="57"/>
      <c r="CQ196" s="57"/>
      <c r="CR196" s="57"/>
      <c r="CS196" s="57"/>
      <c r="CT196" s="57"/>
      <c r="CU196" s="57"/>
      <c r="CV196" s="57"/>
    </row>
    <row r="197" spans="77:100" ht="12.75" customHeight="1">
      <c r="BY197" s="57" t="s">
        <v>240</v>
      </c>
      <c r="BZ197" s="57"/>
      <c r="CA197" s="57"/>
      <c r="CB197" s="57"/>
      <c r="CC197" s="57"/>
      <c r="CD197" s="57"/>
      <c r="CE197" s="57"/>
      <c r="CF197" s="57"/>
      <c r="CG197" s="57"/>
      <c r="CH197" s="57" t="s">
        <v>241</v>
      </c>
      <c r="CI197" s="57"/>
      <c r="CJ197" s="57"/>
      <c r="CK197" s="57"/>
      <c r="CL197" s="57"/>
      <c r="CM197" s="57"/>
      <c r="CN197" s="57"/>
      <c r="CO197" s="57"/>
      <c r="CP197" s="57"/>
      <c r="CQ197" s="57"/>
      <c r="CR197" s="57"/>
      <c r="CS197" s="57"/>
      <c r="CT197" s="57"/>
      <c r="CU197" s="57"/>
      <c r="CV197" s="57"/>
    </row>
    <row r="198" spans="77:100" ht="12.75" customHeight="1">
      <c r="BY198" s="57" t="s">
        <v>242</v>
      </c>
      <c r="BZ198" s="57"/>
      <c r="CA198" s="57"/>
      <c r="CB198" s="57"/>
      <c r="CC198" s="57"/>
      <c r="CD198" s="57"/>
      <c r="CE198" s="57"/>
      <c r="CF198" s="57"/>
      <c r="CG198" s="57"/>
      <c r="CH198" s="57"/>
      <c r="CI198" s="57"/>
      <c r="CJ198" s="57"/>
      <c r="CK198" s="57"/>
      <c r="CL198" s="57"/>
      <c r="CM198" s="57"/>
      <c r="CN198" s="57"/>
      <c r="CO198" s="57"/>
      <c r="CP198" s="57"/>
      <c r="CQ198" s="57"/>
      <c r="CR198" s="57"/>
      <c r="CS198" s="57"/>
      <c r="CT198" s="57"/>
      <c r="CU198" s="57"/>
      <c r="CV198" s="57"/>
    </row>
    <row r="199" spans="77:100" ht="12.75" customHeight="1">
      <c r="BY199" s="57" t="s">
        <v>243</v>
      </c>
      <c r="BZ199" s="57"/>
      <c r="CA199" s="57"/>
      <c r="CB199" s="57"/>
      <c r="CC199" s="57"/>
      <c r="CD199" s="57"/>
      <c r="CE199" s="57"/>
      <c r="CF199" s="57"/>
      <c r="CG199" s="57"/>
      <c r="CH199" s="57"/>
      <c r="CI199" s="57"/>
      <c r="CJ199" s="57"/>
      <c r="CK199" s="57"/>
      <c r="CL199" s="57"/>
      <c r="CM199" s="57"/>
      <c r="CN199" s="57"/>
      <c r="CO199" s="57"/>
      <c r="CP199" s="57"/>
      <c r="CQ199" s="57"/>
      <c r="CR199" s="57"/>
      <c r="CS199" s="57"/>
      <c r="CT199" s="57"/>
      <c r="CU199" s="57"/>
      <c r="CV199" s="57"/>
    </row>
    <row r="200" spans="77:100" ht="12.75" customHeight="1">
      <c r="BY200" s="57" t="s">
        <v>244</v>
      </c>
      <c r="BZ200" s="57"/>
      <c r="CA200" s="57"/>
      <c r="CB200" s="57"/>
      <c r="CC200" s="57"/>
      <c r="CD200" s="57"/>
      <c r="CE200" s="57"/>
      <c r="CF200" s="57"/>
      <c r="CG200" s="57"/>
      <c r="CH200" s="57"/>
      <c r="CI200" s="57"/>
      <c r="CJ200" s="57"/>
      <c r="CK200" s="57"/>
      <c r="CL200" s="57"/>
      <c r="CM200" s="57"/>
      <c r="CN200" s="57"/>
      <c r="CO200" s="57"/>
      <c r="CP200" s="57"/>
      <c r="CQ200" s="57"/>
      <c r="CR200" s="57"/>
      <c r="CS200" s="57"/>
      <c r="CT200" s="57"/>
      <c r="CU200" s="57"/>
      <c r="CV200" s="57"/>
    </row>
    <row r="201" spans="77:100" ht="12.75" customHeight="1"/>
    <row r="202" spans="77:100" ht="12.75" customHeight="1"/>
    <row r="203" spans="77:100" ht="12.75" customHeight="1"/>
    <row r="204" spans="77:100" ht="12.75" customHeight="1"/>
    <row r="205" spans="77:100" ht="12.75" customHeight="1"/>
    <row r="206" spans="77:100" ht="12.75" customHeight="1"/>
    <row r="207" spans="77:100" ht="12.75" customHeight="1"/>
    <row r="208" spans="77:100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</sheetData>
  <mergeCells count="219">
    <mergeCell ref="A2:AI3"/>
    <mergeCell ref="B103:AI116"/>
    <mergeCell ref="A117:AI117"/>
    <mergeCell ref="S98:AC98"/>
    <mergeCell ref="AD98:AI98"/>
    <mergeCell ref="S99:V99"/>
    <mergeCell ref="W99:AB99"/>
    <mergeCell ref="AD99:AI99"/>
    <mergeCell ref="B100:AI101"/>
    <mergeCell ref="B96:K96"/>
    <mergeCell ref="L96:Q96"/>
    <mergeCell ref="S96:AC96"/>
    <mergeCell ref="AD96:AI96"/>
    <mergeCell ref="S97:AC97"/>
    <mergeCell ref="AD97:AI97"/>
    <mergeCell ref="B94:K94"/>
    <mergeCell ref="L94:Q94"/>
    <mergeCell ref="S94:AC94"/>
    <mergeCell ref="AD94:AI94"/>
    <mergeCell ref="B95:K95"/>
    <mergeCell ref="L95:Q95"/>
    <mergeCell ref="S95:AC95"/>
    <mergeCell ref="AD95:AI95"/>
    <mergeCell ref="B92:K92"/>
    <mergeCell ref="L92:Q92"/>
    <mergeCell ref="S92:AC92"/>
    <mergeCell ref="AD92:AI92"/>
    <mergeCell ref="B93:K93"/>
    <mergeCell ref="L93:Q93"/>
    <mergeCell ref="S93:AC93"/>
    <mergeCell ref="AD93:AI93"/>
    <mergeCell ref="B90:K90"/>
    <mergeCell ref="L90:Q90"/>
    <mergeCell ref="S90:AC90"/>
    <mergeCell ref="AD90:AI90"/>
    <mergeCell ref="B91:K91"/>
    <mergeCell ref="L91:Q91"/>
    <mergeCell ref="S91:AC91"/>
    <mergeCell ref="AD91:AI91"/>
    <mergeCell ref="B88:K88"/>
    <mergeCell ref="L88:Q88"/>
    <mergeCell ref="S88:AC88"/>
    <mergeCell ref="AD88:AI88"/>
    <mergeCell ref="B89:K89"/>
    <mergeCell ref="L89:Q89"/>
    <mergeCell ref="S89:AC89"/>
    <mergeCell ref="AD89:AI89"/>
    <mergeCell ref="B86:K86"/>
    <mergeCell ref="L86:Q86"/>
    <mergeCell ref="S86:AC86"/>
    <mergeCell ref="AD86:AI86"/>
    <mergeCell ref="B87:K87"/>
    <mergeCell ref="L87:Q87"/>
    <mergeCell ref="S87:AC87"/>
    <mergeCell ref="AD87:AI87"/>
    <mergeCell ref="B84:K84"/>
    <mergeCell ref="L84:Q84"/>
    <mergeCell ref="S84:AC84"/>
    <mergeCell ref="AD84:AI84"/>
    <mergeCell ref="B85:K85"/>
    <mergeCell ref="L85:Q85"/>
    <mergeCell ref="S85:AC85"/>
    <mergeCell ref="AD85:AI85"/>
    <mergeCell ref="B82:K82"/>
    <mergeCell ref="L82:Q82"/>
    <mergeCell ref="S82:AC82"/>
    <mergeCell ref="AD82:AI82"/>
    <mergeCell ref="B83:K83"/>
    <mergeCell ref="L83:Q83"/>
    <mergeCell ref="S83:AC83"/>
    <mergeCell ref="AD83:AI83"/>
    <mergeCell ref="B80:K80"/>
    <mergeCell ref="L80:Q80"/>
    <mergeCell ref="S80:AC80"/>
    <mergeCell ref="AD80:AI80"/>
    <mergeCell ref="B81:K81"/>
    <mergeCell ref="L81:Q81"/>
    <mergeCell ref="S81:AC81"/>
    <mergeCell ref="AD81:AI81"/>
    <mergeCell ref="B78:K78"/>
    <mergeCell ref="L78:Q78"/>
    <mergeCell ref="S78:AC78"/>
    <mergeCell ref="AD78:AI78"/>
    <mergeCell ref="B79:K79"/>
    <mergeCell ref="L79:Q79"/>
    <mergeCell ref="S79:AC79"/>
    <mergeCell ref="AD79:AI79"/>
    <mergeCell ref="B76:K76"/>
    <mergeCell ref="L76:Q76"/>
    <mergeCell ref="S76:AC76"/>
    <mergeCell ref="AD76:AI76"/>
    <mergeCell ref="B77:K77"/>
    <mergeCell ref="L77:Q77"/>
    <mergeCell ref="S77:AC77"/>
    <mergeCell ref="AD77:AI77"/>
    <mergeCell ref="B74:K74"/>
    <mergeCell ref="L74:Q74"/>
    <mergeCell ref="S74:AC74"/>
    <mergeCell ref="AD74:AI74"/>
    <mergeCell ref="B75:K75"/>
    <mergeCell ref="L75:Q75"/>
    <mergeCell ref="S75:AC75"/>
    <mergeCell ref="AD75:AI75"/>
    <mergeCell ref="A67:AI67"/>
    <mergeCell ref="B71:Q71"/>
    <mergeCell ref="S71:AI71"/>
    <mergeCell ref="B73:K73"/>
    <mergeCell ref="L73:Q73"/>
    <mergeCell ref="S73:AC73"/>
    <mergeCell ref="AD73:AI73"/>
    <mergeCell ref="E50:R50"/>
    <mergeCell ref="T50:AH50"/>
    <mergeCell ref="N57:R57"/>
    <mergeCell ref="B61:AI65"/>
    <mergeCell ref="E46:O46"/>
    <mergeCell ref="P46:S46"/>
    <mergeCell ref="T46:W46"/>
    <mergeCell ref="X46:AA46"/>
    <mergeCell ref="AB46:AE46"/>
    <mergeCell ref="E47:O47"/>
    <mergeCell ref="P47:S47"/>
    <mergeCell ref="T47:W47"/>
    <mergeCell ref="X47:AA47"/>
    <mergeCell ref="AB47:AE47"/>
    <mergeCell ref="E44:O44"/>
    <mergeCell ref="P44:S44"/>
    <mergeCell ref="T44:W44"/>
    <mergeCell ref="X44:AA44"/>
    <mergeCell ref="AB44:AE44"/>
    <mergeCell ref="E45:O45"/>
    <mergeCell ref="P45:S45"/>
    <mergeCell ref="T45:W45"/>
    <mergeCell ref="X45:AA45"/>
    <mergeCell ref="AB45:AE45"/>
    <mergeCell ref="E42:O42"/>
    <mergeCell ref="P42:S42"/>
    <mergeCell ref="T42:W42"/>
    <mergeCell ref="X42:AA42"/>
    <mergeCell ref="AB42:AE42"/>
    <mergeCell ref="E43:O43"/>
    <mergeCell ref="P43:S43"/>
    <mergeCell ref="T43:W43"/>
    <mergeCell ref="X43:AA43"/>
    <mergeCell ref="AB43:AE43"/>
    <mergeCell ref="B37:I37"/>
    <mergeCell ref="J37:O37"/>
    <mergeCell ref="S37:AB37"/>
    <mergeCell ref="AD37:AI37"/>
    <mergeCell ref="P41:S41"/>
    <mergeCell ref="AB41:AE41"/>
    <mergeCell ref="B35:I35"/>
    <mergeCell ref="J35:O35"/>
    <mergeCell ref="S35:AB35"/>
    <mergeCell ref="AD35:AI35"/>
    <mergeCell ref="B36:I36"/>
    <mergeCell ref="J36:O36"/>
    <mergeCell ref="S36:AA36"/>
    <mergeCell ref="AD36:AI36"/>
    <mergeCell ref="B33:I33"/>
    <mergeCell ref="J33:O33"/>
    <mergeCell ref="S33:AB33"/>
    <mergeCell ref="AD33:AI33"/>
    <mergeCell ref="B34:I34"/>
    <mergeCell ref="J34:O34"/>
    <mergeCell ref="S34:AB34"/>
    <mergeCell ref="AD34:AI34"/>
    <mergeCell ref="B30:H30"/>
    <mergeCell ref="J30:O30"/>
    <mergeCell ref="S30:AC30"/>
    <mergeCell ref="AD30:AI30"/>
    <mergeCell ref="B32:I32"/>
    <mergeCell ref="J32:O32"/>
    <mergeCell ref="S32:AB32"/>
    <mergeCell ref="AD32:AI32"/>
    <mergeCell ref="B12:F12"/>
    <mergeCell ref="B28:H28"/>
    <mergeCell ref="J28:O28"/>
    <mergeCell ref="S28:AA28"/>
    <mergeCell ref="AD28:AI28"/>
    <mergeCell ref="B29:H29"/>
    <mergeCell ref="J29:O29"/>
    <mergeCell ref="S29:AC29"/>
    <mergeCell ref="AD29:AI29"/>
    <mergeCell ref="A25:AI25"/>
    <mergeCell ref="B27:H27"/>
    <mergeCell ref="J27:O27"/>
    <mergeCell ref="S27:AA27"/>
    <mergeCell ref="AD27:AI27"/>
    <mergeCell ref="B17:Y17"/>
    <mergeCell ref="B19:AI23"/>
    <mergeCell ref="B13:F13"/>
    <mergeCell ref="H14:R14"/>
    <mergeCell ref="T14:AA14"/>
    <mergeCell ref="AB14:AI14"/>
    <mergeCell ref="B14:F14"/>
    <mergeCell ref="A4:AI5"/>
    <mergeCell ref="A6:AI6"/>
    <mergeCell ref="A7:AI7"/>
    <mergeCell ref="H9:R9"/>
    <mergeCell ref="T9:AA9"/>
    <mergeCell ref="AB9:AI9"/>
    <mergeCell ref="B11:F11"/>
    <mergeCell ref="H15:R15"/>
    <mergeCell ref="T15:AA15"/>
    <mergeCell ref="AB15:AI15"/>
    <mergeCell ref="H13:R13"/>
    <mergeCell ref="T13:AA13"/>
    <mergeCell ref="AB13:AI13"/>
    <mergeCell ref="B9:F9"/>
    <mergeCell ref="H10:R10"/>
    <mergeCell ref="T10:AA10"/>
    <mergeCell ref="AB10:AI10"/>
    <mergeCell ref="B10:F10"/>
    <mergeCell ref="H11:R11"/>
    <mergeCell ref="T11:AA11"/>
    <mergeCell ref="AB11:AI11"/>
    <mergeCell ref="H12:R12"/>
    <mergeCell ref="T12:AA12"/>
    <mergeCell ref="AB12:AI12"/>
  </mergeCells>
  <dataValidations count="5">
    <dataValidation type="list" allowBlank="1" showInputMessage="1" showErrorMessage="1" sqref="AB9:AI9" xr:uid="{00000000-0002-0000-1400-000000000000}">
      <formula1>$CH$165:$CH$169</formula1>
    </dataValidation>
    <dataValidation type="list" allowBlank="1" showInputMessage="1" showErrorMessage="1" sqref="J27:O30 AD27:AI30" xr:uid="{00000000-0002-0000-1400-000001000000}">
      <formula1>$CH$165:$CH$170</formula1>
    </dataValidation>
    <dataValidation type="list" allowBlank="1" showInputMessage="1" showErrorMessage="1" sqref="AH17:AI18" xr:uid="{00000000-0002-0000-1400-000002000000}">
      <formula1>$CU$161:$CU$171</formula1>
    </dataValidation>
    <dataValidation type="list" allowBlank="1" showInputMessage="1" showErrorMessage="1" sqref="AB10:AI10 AD36:AI36" xr:uid="{00000000-0002-0000-1400-000003000000}">
      <formula1>$CP$181:$CP$183</formula1>
    </dataValidation>
    <dataValidation type="list" allowBlank="1" showInputMessage="1" showErrorMessage="1" sqref="L73:Q96 AE73:AI82 AD73:AD98" xr:uid="{00000000-0002-0000-1400-000004000000}">
      <formula1>$CM$181:$CM$189</formula1>
    </dataValidation>
  </dataValidations>
  <pageMargins left="0.7" right="0.7" top="0.75" bottom="0.75" header="0.3" footer="0.3"/>
  <pageSetup orientation="portrait" r:id="rId1"/>
  <ignoredErrors>
    <ignoredError sqref="F45:O45 F47:O47 F46:O46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32</vt:i4>
      </vt:variant>
    </vt:vector>
  </HeadingPairs>
  <TitlesOfParts>
    <vt:vector size="45" baseType="lpstr">
      <vt:lpstr>S&amp;U</vt:lpstr>
      <vt:lpstr>Budget</vt:lpstr>
      <vt:lpstr>Draws</vt:lpstr>
      <vt:lpstr>Lease Up</vt:lpstr>
      <vt:lpstr>Waterfall</vt:lpstr>
      <vt:lpstr>Unit Mix</vt:lpstr>
      <vt:lpstr>Forward Rate</vt:lpstr>
      <vt:lpstr>Rent Comps</vt:lpstr>
      <vt:lpstr>DSCR</vt:lpstr>
      <vt:lpstr>Property</vt:lpstr>
      <vt:lpstr>Mortgage-50% LTC</vt:lpstr>
      <vt:lpstr>Cap Sens-50% LTC</vt:lpstr>
      <vt:lpstr>Site Inspection</vt:lpstr>
      <vt:lpstr>Waterfall!AMORT</vt:lpstr>
      <vt:lpstr>Waterfall!EXITCAP</vt:lpstr>
      <vt:lpstr>GOINGINCAP</vt:lpstr>
      <vt:lpstr>GPCF1</vt:lpstr>
      <vt:lpstr>GPCF2</vt:lpstr>
      <vt:lpstr>GPCF3</vt:lpstr>
      <vt:lpstr>GPCF4</vt:lpstr>
      <vt:lpstr>GPEQUITY</vt:lpstr>
      <vt:lpstr>Waterfall!HURDLE2</vt:lpstr>
      <vt:lpstr>Waterfall!HURDLE3</vt:lpstr>
      <vt:lpstr>LPCF1</vt:lpstr>
      <vt:lpstr>LPCF2</vt:lpstr>
      <vt:lpstr>LPCF3</vt:lpstr>
      <vt:lpstr>LPCF4</vt:lpstr>
      <vt:lpstr>LPEQUITY</vt:lpstr>
      <vt:lpstr>NOIGROWTH</vt:lpstr>
      <vt:lpstr>Waterfall!PREF</vt:lpstr>
      <vt:lpstr>Budget!Print_Area</vt:lpstr>
      <vt:lpstr>'Cap Sens-50% LTC'!Print_Area</vt:lpstr>
      <vt:lpstr>Draws!Print_Area</vt:lpstr>
      <vt:lpstr>DSCR!Print_Area</vt:lpstr>
      <vt:lpstr>'Lease Up'!Print_Area</vt:lpstr>
      <vt:lpstr>'Mortgage-50% LTC'!Print_Area</vt:lpstr>
      <vt:lpstr>'Rent Comps'!Print_Area</vt:lpstr>
      <vt:lpstr>'S&amp;U'!Print_Area</vt:lpstr>
      <vt:lpstr>'Unit Mix'!Print_Area</vt:lpstr>
      <vt:lpstr>Draws!Print_Titles</vt:lpstr>
      <vt:lpstr>'Lease Up'!Print_Titles</vt:lpstr>
      <vt:lpstr>PROMOTE2</vt:lpstr>
      <vt:lpstr>PROMOTE3</vt:lpstr>
      <vt:lpstr>PROMOTE4</vt:lpstr>
      <vt:lpstr>SALEMONTH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