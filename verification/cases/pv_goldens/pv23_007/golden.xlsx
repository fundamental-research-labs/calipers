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bookViews>
    <workbookView xWindow="29070" yWindow="-16185" windowWidth="14250" windowHeight="15420" firstSheet="2" activeTab="3" xr2:uid="{2FD82E13-6627-E546-A0A1-121323031D2D}"/>
  </bookViews>
  <sheets>
    <sheet name="Deal Summary" sheetId="1" r:id="rId1"/>
    <sheet name="Rent Roll" sheetId="2" r:id="rId2"/>
    <sheet name="Expenses" sheetId="3" r:id="rId3"/>
    <sheet name="Pro Forma Cash Flow Statement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8" i="5" l="1"/>
  <c r="Q19" i="5" s="1"/>
  <c r="E24" i="5"/>
  <c r="B28" i="5" l="1"/>
  <c r="B29" i="5" a="1"/>
  <c r="B29" i="5" s="1"/>
  <c r="B20" i="1" l="1"/>
  <c r="F8" i="5"/>
  <c r="M10" i="3"/>
  <c r="K10" i="3"/>
  <c r="I10" i="3"/>
  <c r="M11" i="3"/>
  <c r="B22" i="1"/>
  <c r="B28" i="1"/>
  <c r="B27" i="1"/>
  <c r="B26" i="1"/>
  <c r="E12" i="1"/>
  <c r="L6" i="2"/>
  <c r="L11" i="2"/>
  <c r="L16" i="2"/>
  <c r="L17" i="2"/>
  <c r="F5" i="5"/>
  <c r="F6" i="5"/>
  <c r="F7" i="5" s="1"/>
  <c r="F9" i="5" s="1"/>
  <c r="G5" i="5"/>
  <c r="G6" i="5"/>
  <c r="G7" i="5" s="1"/>
  <c r="G9" i="5" s="1"/>
  <c r="G8" i="5"/>
  <c r="H5" i="5"/>
  <c r="H6" i="5"/>
  <c r="H7" i="5" s="1"/>
  <c r="H9" i="5" s="1"/>
  <c r="H8" i="5"/>
  <c r="I5" i="5"/>
  <c r="I6" i="5"/>
  <c r="I7" i="5" s="1"/>
  <c r="I9" i="5" s="1"/>
  <c r="I8" i="5"/>
  <c r="J5" i="5"/>
  <c r="J6" i="5"/>
  <c r="J7" i="5"/>
  <c r="J9" i="5" s="1"/>
  <c r="J8" i="5"/>
  <c r="K5" i="5"/>
  <c r="K6" i="5"/>
  <c r="K7" i="5" s="1"/>
  <c r="K9" i="5" s="1"/>
  <c r="K8" i="5"/>
  <c r="L5" i="5"/>
  <c r="L6" i="5"/>
  <c r="L7" i="5" s="1"/>
  <c r="L9" i="5" s="1"/>
  <c r="L8" i="5"/>
  <c r="M5" i="5"/>
  <c r="M6" i="5"/>
  <c r="M7" i="5" s="1"/>
  <c r="M9" i="5" s="1"/>
  <c r="M8" i="5"/>
  <c r="N5" i="5"/>
  <c r="N6" i="5"/>
  <c r="N7" i="5"/>
  <c r="N9" i="5" s="1"/>
  <c r="N8" i="5"/>
  <c r="O5" i="5"/>
  <c r="O6" i="5"/>
  <c r="O7" i="5" s="1"/>
  <c r="O9" i="5" s="1"/>
  <c r="O8" i="5"/>
  <c r="P5" i="5"/>
  <c r="P6" i="5"/>
  <c r="P7" i="5" s="1"/>
  <c r="P9" i="5" s="1"/>
  <c r="P12" i="5" s="1"/>
  <c r="P8" i="5"/>
  <c r="Q5" i="5"/>
  <c r="Q6" i="5"/>
  <c r="Q7" i="5"/>
  <c r="Q9" i="5" s="1"/>
  <c r="Q8" i="5"/>
  <c r="E8" i="1"/>
  <c r="B19" i="5"/>
  <c r="F13" i="5"/>
  <c r="G13" i="5"/>
  <c r="H13" i="5"/>
  <c r="I13" i="5"/>
  <c r="J13" i="5"/>
  <c r="K13" i="5"/>
  <c r="L13" i="5"/>
  <c r="M13" i="5"/>
  <c r="N13" i="5"/>
  <c r="O13" i="5"/>
  <c r="P13" i="5"/>
  <c r="Q13" i="5"/>
  <c r="F14" i="5"/>
  <c r="G14" i="5"/>
  <c r="H14" i="5"/>
  <c r="I14" i="5"/>
  <c r="J14" i="5"/>
  <c r="K14" i="5"/>
  <c r="L14" i="5"/>
  <c r="M14" i="5"/>
  <c r="N14" i="5"/>
  <c r="O14" i="5"/>
  <c r="P14" i="5"/>
  <c r="Q14" i="5"/>
  <c r="R5" i="5"/>
  <c r="R6" i="5"/>
  <c r="R7" i="5"/>
  <c r="R9" i="5" s="1"/>
  <c r="R8" i="5"/>
  <c r="E21" i="5"/>
  <c r="E16" i="1" s="1"/>
  <c r="E2" i="1"/>
  <c r="E3" i="1"/>
  <c r="B4" i="5"/>
  <c r="E17" i="5"/>
  <c r="E16" i="5"/>
  <c r="R13" i="5"/>
  <c r="R14" i="5"/>
  <c r="S13" i="5"/>
  <c r="S14" i="5"/>
  <c r="S5" i="5"/>
  <c r="S6" i="5"/>
  <c r="S7" i="5" s="1"/>
  <c r="S9" i="5" s="1"/>
  <c r="S8" i="5"/>
  <c r="T13" i="5"/>
  <c r="T14" i="5"/>
  <c r="T5" i="5"/>
  <c r="T6" i="5"/>
  <c r="T7" i="5" s="1"/>
  <c r="T9" i="5" s="1"/>
  <c r="T8" i="5"/>
  <c r="U13" i="5"/>
  <c r="U14" i="5"/>
  <c r="U5" i="5"/>
  <c r="U6" i="5"/>
  <c r="U7" i="5" s="1"/>
  <c r="U9" i="5" s="1"/>
  <c r="U8" i="5"/>
  <c r="V13" i="5"/>
  <c r="V14" i="5"/>
  <c r="V5" i="5"/>
  <c r="V6" i="5"/>
  <c r="V7" i="5" s="1"/>
  <c r="V9" i="5" s="1"/>
  <c r="V8" i="5"/>
  <c r="W13" i="5"/>
  <c r="W14" i="5"/>
  <c r="W5" i="5"/>
  <c r="W6" i="5"/>
  <c r="W7" i="5"/>
  <c r="W9" i="5" s="1"/>
  <c r="W8" i="5"/>
  <c r="X13" i="5"/>
  <c r="X14" i="5"/>
  <c r="X5" i="5"/>
  <c r="X6" i="5"/>
  <c r="X7" i="5"/>
  <c r="X9" i="5" s="1"/>
  <c r="X8" i="5"/>
  <c r="Y13" i="5"/>
  <c r="Y14" i="5"/>
  <c r="Y5" i="5"/>
  <c r="Y6" i="5"/>
  <c r="Y7" i="5"/>
  <c r="Y8" i="5"/>
  <c r="Y9" i="5"/>
  <c r="Z13" i="5"/>
  <c r="Z14" i="5"/>
  <c r="Z5" i="5"/>
  <c r="Z6" i="5"/>
  <c r="Z7" i="5" s="1"/>
  <c r="Z9" i="5" s="1"/>
  <c r="Z8" i="5"/>
  <c r="AA13" i="5"/>
  <c r="AA14" i="5"/>
  <c r="AA5" i="5"/>
  <c r="AA6" i="5"/>
  <c r="AA7" i="5" s="1"/>
  <c r="AA9" i="5" s="1"/>
  <c r="AA8" i="5"/>
  <c r="AB13" i="5"/>
  <c r="AB14" i="5"/>
  <c r="AB5" i="5"/>
  <c r="AB6" i="5"/>
  <c r="AB7" i="5" s="1"/>
  <c r="AB9" i="5" s="1"/>
  <c r="AB8" i="5"/>
  <c r="AC13" i="5"/>
  <c r="AC14" i="5"/>
  <c r="AC5" i="5"/>
  <c r="AC6" i="5"/>
  <c r="AC7" i="5" s="1"/>
  <c r="AC9" i="5" s="1"/>
  <c r="AC8" i="5"/>
  <c r="AD13" i="5"/>
  <c r="AD14" i="5"/>
  <c r="AD5" i="5"/>
  <c r="AD6" i="5"/>
  <c r="AD7" i="5"/>
  <c r="AD9" i="5" s="1"/>
  <c r="AD8" i="5"/>
  <c r="AE13" i="5"/>
  <c r="AE14" i="5"/>
  <c r="AE5" i="5"/>
  <c r="AE6" i="5"/>
  <c r="AE7" i="5" s="1"/>
  <c r="AE9" i="5" s="1"/>
  <c r="AE8" i="5"/>
  <c r="AF13" i="5"/>
  <c r="AF14" i="5"/>
  <c r="AF5" i="5"/>
  <c r="AF6" i="5"/>
  <c r="AF7" i="5"/>
  <c r="AF9" i="5" s="1"/>
  <c r="AF8" i="5"/>
  <c r="AG13" i="5"/>
  <c r="AG14" i="5"/>
  <c r="AG5" i="5"/>
  <c r="AG6" i="5"/>
  <c r="AG7" i="5" s="1"/>
  <c r="AG9" i="5" s="1"/>
  <c r="AG8" i="5"/>
  <c r="AH13" i="5"/>
  <c r="AH14" i="5"/>
  <c r="AH5" i="5"/>
  <c r="AH6" i="5"/>
  <c r="AH7" i="5" s="1"/>
  <c r="AH9" i="5" s="1"/>
  <c r="AH8" i="5"/>
  <c r="AI13" i="5"/>
  <c r="AI14" i="5"/>
  <c r="AI5" i="5"/>
  <c r="AI6" i="5"/>
  <c r="AI7" i="5" s="1"/>
  <c r="AI9" i="5" s="1"/>
  <c r="AI8" i="5"/>
  <c r="AJ13" i="5"/>
  <c r="AJ14" i="5"/>
  <c r="AJ5" i="5"/>
  <c r="AJ6" i="5"/>
  <c r="AJ7" i="5" s="1"/>
  <c r="AJ9" i="5" s="1"/>
  <c r="AJ8" i="5"/>
  <c r="AK13" i="5"/>
  <c r="AK14" i="5"/>
  <c r="AK5" i="5"/>
  <c r="AK6" i="5"/>
  <c r="AK7" i="5" s="1"/>
  <c r="AK9" i="5" s="1"/>
  <c r="AK8" i="5"/>
  <c r="AL13" i="5"/>
  <c r="AL14" i="5"/>
  <c r="AL5" i="5"/>
  <c r="AL6" i="5"/>
  <c r="AL7" i="5" s="1"/>
  <c r="AL9" i="5" s="1"/>
  <c r="AL8" i="5"/>
  <c r="AM13" i="5"/>
  <c r="AM14" i="5"/>
  <c r="AM5" i="5"/>
  <c r="AM6" i="5"/>
  <c r="AM7" i="5" s="1"/>
  <c r="AM9" i="5" s="1"/>
  <c r="AM8" i="5"/>
  <c r="AN13" i="5"/>
  <c r="AN14" i="5"/>
  <c r="AN5" i="5"/>
  <c r="AN6" i="5"/>
  <c r="AN7" i="5" s="1"/>
  <c r="AN9" i="5" s="1"/>
  <c r="AN8" i="5"/>
  <c r="AO13" i="5"/>
  <c r="AO14" i="5"/>
  <c r="AO5" i="5"/>
  <c r="AO6" i="5"/>
  <c r="AO7" i="5"/>
  <c r="AO8" i="5"/>
  <c r="AO9" i="5"/>
  <c r="AP13" i="5"/>
  <c r="AP14" i="5"/>
  <c r="AP5" i="5"/>
  <c r="AP6" i="5"/>
  <c r="AP7" i="5" s="1"/>
  <c r="AP9" i="5" s="1"/>
  <c r="AP8" i="5"/>
  <c r="AQ13" i="5"/>
  <c r="AQ14" i="5"/>
  <c r="AQ5" i="5"/>
  <c r="AQ6" i="5"/>
  <c r="AQ7" i="5"/>
  <c r="AQ9" i="5" s="1"/>
  <c r="AQ8" i="5"/>
  <c r="AR13" i="5"/>
  <c r="AR14" i="5"/>
  <c r="AR5" i="5"/>
  <c r="AR6" i="5"/>
  <c r="AR7" i="5" s="1"/>
  <c r="AR9" i="5" s="1"/>
  <c r="AR8" i="5"/>
  <c r="AS13" i="5"/>
  <c r="AS14" i="5"/>
  <c r="AS5" i="5"/>
  <c r="AS6" i="5"/>
  <c r="AS7" i="5" s="1"/>
  <c r="AS9" i="5" s="1"/>
  <c r="AS8" i="5"/>
  <c r="AT13" i="5"/>
  <c r="AT14" i="5"/>
  <c r="AT5" i="5"/>
  <c r="AT6" i="5"/>
  <c r="AT7" i="5" s="1"/>
  <c r="AT9" i="5" s="1"/>
  <c r="AT8" i="5"/>
  <c r="AU13" i="5"/>
  <c r="AU14" i="5"/>
  <c r="AU5" i="5"/>
  <c r="AU6" i="5"/>
  <c r="AU7" i="5" s="1"/>
  <c r="AU9" i="5" s="1"/>
  <c r="AU8" i="5"/>
  <c r="AV13" i="5"/>
  <c r="AV14" i="5"/>
  <c r="AV5" i="5"/>
  <c r="AV6" i="5"/>
  <c r="AV7" i="5" s="1"/>
  <c r="AV9" i="5" s="1"/>
  <c r="AV8" i="5"/>
  <c r="AW13" i="5"/>
  <c r="AW14" i="5"/>
  <c r="AW5" i="5"/>
  <c r="AW6" i="5"/>
  <c r="AW7" i="5" s="1"/>
  <c r="AW9" i="5" s="1"/>
  <c r="AW8" i="5"/>
  <c r="AX13" i="5"/>
  <c r="AX14" i="5"/>
  <c r="AX5" i="5"/>
  <c r="AX6" i="5"/>
  <c r="AX7" i="5" s="1"/>
  <c r="AX9" i="5" s="1"/>
  <c r="AX8" i="5"/>
  <c r="AY13" i="5"/>
  <c r="AY14" i="5"/>
  <c r="AY5" i="5"/>
  <c r="AY6" i="5"/>
  <c r="AY7" i="5" s="1"/>
  <c r="AY9" i="5" s="1"/>
  <c r="AY8" i="5"/>
  <c r="AZ13" i="5"/>
  <c r="AZ14" i="5"/>
  <c r="AZ5" i="5"/>
  <c r="AZ6" i="5"/>
  <c r="AZ7" i="5" s="1"/>
  <c r="AZ9" i="5" s="1"/>
  <c r="AZ8" i="5"/>
  <c r="BA13" i="5"/>
  <c r="BA14" i="5"/>
  <c r="BA5" i="5"/>
  <c r="BA6" i="5"/>
  <c r="BA7" i="5" s="1"/>
  <c r="BA9" i="5" s="1"/>
  <c r="BA8" i="5"/>
  <c r="BB13" i="5"/>
  <c r="BB14" i="5"/>
  <c r="BB5" i="5"/>
  <c r="BB6" i="5"/>
  <c r="BB7" i="5" s="1"/>
  <c r="BB9" i="5" s="1"/>
  <c r="BB8" i="5"/>
  <c r="BC13" i="5"/>
  <c r="BC14" i="5"/>
  <c r="BC5" i="5"/>
  <c r="BC6" i="5"/>
  <c r="BC7" i="5" s="1"/>
  <c r="BC9" i="5" s="1"/>
  <c r="BC8" i="5"/>
  <c r="BD13" i="5"/>
  <c r="BD14" i="5"/>
  <c r="BD5" i="5"/>
  <c r="BD6" i="5"/>
  <c r="BD7" i="5" s="1"/>
  <c r="BD9" i="5" s="1"/>
  <c r="BD8" i="5"/>
  <c r="BE13" i="5"/>
  <c r="BE14" i="5"/>
  <c r="BE5" i="5"/>
  <c r="BE6" i="5"/>
  <c r="BE7" i="5" s="1"/>
  <c r="BE9" i="5" s="1"/>
  <c r="BE8" i="5"/>
  <c r="BF13" i="5"/>
  <c r="BF14" i="5"/>
  <c r="BF5" i="5"/>
  <c r="BF6" i="5"/>
  <c r="BF7" i="5"/>
  <c r="BF9" i="5" s="1"/>
  <c r="BF8" i="5"/>
  <c r="BG13" i="5"/>
  <c r="BG14" i="5"/>
  <c r="BG5" i="5"/>
  <c r="BG6" i="5"/>
  <c r="BG7" i="5" s="1"/>
  <c r="BG9" i="5" s="1"/>
  <c r="BG8" i="5"/>
  <c r="BH13" i="5"/>
  <c r="BH14" i="5"/>
  <c r="BH5" i="5"/>
  <c r="BH6" i="5"/>
  <c r="BH7" i="5"/>
  <c r="BH9" i="5" s="1"/>
  <c r="BH8" i="5"/>
  <c r="BI13" i="5"/>
  <c r="BI14" i="5"/>
  <c r="BI5" i="5"/>
  <c r="BI6" i="5"/>
  <c r="BI7" i="5" s="1"/>
  <c r="BI9" i="5" s="1"/>
  <c r="BI8" i="5"/>
  <c r="BJ13" i="5"/>
  <c r="BJ14" i="5"/>
  <c r="BJ5" i="5"/>
  <c r="BJ6" i="5"/>
  <c r="BJ7" i="5" s="1"/>
  <c r="BJ9" i="5" s="1"/>
  <c r="BJ8" i="5"/>
  <c r="BK13" i="5"/>
  <c r="BK14" i="5"/>
  <c r="BK5" i="5"/>
  <c r="BK6" i="5"/>
  <c r="BK7" i="5" s="1"/>
  <c r="BK9" i="5" s="1"/>
  <c r="BK8" i="5"/>
  <c r="BL13" i="5"/>
  <c r="BL14" i="5"/>
  <c r="BL5" i="5"/>
  <c r="BL6" i="5"/>
  <c r="BL7" i="5" s="1"/>
  <c r="BL9" i="5" s="1"/>
  <c r="BL8" i="5"/>
  <c r="BM13" i="5"/>
  <c r="BM14" i="5"/>
  <c r="BM5" i="5"/>
  <c r="BM6" i="5"/>
  <c r="BM7" i="5" s="1"/>
  <c r="BM9" i="5" s="1"/>
  <c r="BM8" i="5"/>
  <c r="BN13" i="5"/>
  <c r="BN14" i="5"/>
  <c r="BN5" i="5"/>
  <c r="BN6" i="5"/>
  <c r="BN7" i="5"/>
  <c r="BN9" i="5" s="1"/>
  <c r="BN8" i="5"/>
  <c r="BO13" i="5"/>
  <c r="BO14" i="5"/>
  <c r="BO5" i="5"/>
  <c r="BO6" i="5"/>
  <c r="BO7" i="5" s="1"/>
  <c r="BO9" i="5" s="1"/>
  <c r="BO8" i="5"/>
  <c r="BP13" i="5"/>
  <c r="BP14" i="5"/>
  <c r="BP5" i="5"/>
  <c r="BP6" i="5"/>
  <c r="BP7" i="5" s="1"/>
  <c r="BP9" i="5" s="1"/>
  <c r="BP8" i="5"/>
  <c r="BQ13" i="5"/>
  <c r="BQ14" i="5"/>
  <c r="BQ5" i="5"/>
  <c r="BQ6" i="5"/>
  <c r="BQ7" i="5" s="1"/>
  <c r="BQ9" i="5" s="1"/>
  <c r="BQ8" i="5"/>
  <c r="BR13" i="5"/>
  <c r="BR14" i="5"/>
  <c r="BR5" i="5"/>
  <c r="BR6" i="5"/>
  <c r="BR7" i="5" s="1"/>
  <c r="BR9" i="5" s="1"/>
  <c r="BR8" i="5"/>
  <c r="BS13" i="5"/>
  <c r="BS14" i="5"/>
  <c r="BS5" i="5"/>
  <c r="BS6" i="5"/>
  <c r="BS7" i="5" s="1"/>
  <c r="BS9" i="5" s="1"/>
  <c r="BS8" i="5"/>
  <c r="BT13" i="5"/>
  <c r="BT14" i="5"/>
  <c r="BT5" i="5"/>
  <c r="BT6" i="5"/>
  <c r="BT7" i="5" s="1"/>
  <c r="BT9" i="5" s="1"/>
  <c r="BT8" i="5"/>
  <c r="BU13" i="5"/>
  <c r="BU14" i="5"/>
  <c r="BU5" i="5"/>
  <c r="BU6" i="5"/>
  <c r="BU7" i="5" s="1"/>
  <c r="BU9" i="5" s="1"/>
  <c r="BU8" i="5"/>
  <c r="BV13" i="5"/>
  <c r="BV14" i="5"/>
  <c r="BV5" i="5"/>
  <c r="BV6" i="5"/>
  <c r="BV7" i="5" s="1"/>
  <c r="BV9" i="5" s="1"/>
  <c r="BV8" i="5"/>
  <c r="BW13" i="5"/>
  <c r="BW14" i="5"/>
  <c r="BW5" i="5"/>
  <c r="BW6" i="5"/>
  <c r="BW7" i="5" s="1"/>
  <c r="BW9" i="5" s="1"/>
  <c r="BW8" i="5"/>
  <c r="BX13" i="5"/>
  <c r="BX14" i="5"/>
  <c r="BX5" i="5"/>
  <c r="BX6" i="5"/>
  <c r="BX7" i="5"/>
  <c r="BX9" i="5" s="1"/>
  <c r="BX8" i="5"/>
  <c r="BY13" i="5"/>
  <c r="BY14" i="5"/>
  <c r="BY5" i="5"/>
  <c r="BY6" i="5"/>
  <c r="BY7" i="5"/>
  <c r="BY9" i="5" s="1"/>
  <c r="BY8" i="5"/>
  <c r="E20" i="5"/>
  <c r="G26" i="5"/>
  <c r="H26" i="5"/>
  <c r="I26" i="5"/>
  <c r="F26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23" i="1"/>
  <c r="B7" i="5"/>
  <c r="B14" i="1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AC4" i="5"/>
  <c r="AO4" i="5"/>
  <c r="BA4" i="5"/>
  <c r="BM4" i="5"/>
  <c r="BY4" i="5"/>
  <c r="AB4" i="5"/>
  <c r="AN4" i="5"/>
  <c r="AZ4" i="5"/>
  <c r="BL4" i="5"/>
  <c r="BX4" i="5"/>
  <c r="AA4" i="5"/>
  <c r="AM4" i="5"/>
  <c r="AY4" i="5"/>
  <c r="BK4" i="5"/>
  <c r="BW4" i="5"/>
  <c r="Z4" i="5"/>
  <c r="AL4" i="5"/>
  <c r="AX4" i="5"/>
  <c r="BJ4" i="5"/>
  <c r="BV4" i="5"/>
  <c r="Y4" i="5"/>
  <c r="AK4" i="5"/>
  <c r="AW4" i="5"/>
  <c r="BI4" i="5"/>
  <c r="BU4" i="5"/>
  <c r="X4" i="5"/>
  <c r="AJ4" i="5"/>
  <c r="AV4" i="5"/>
  <c r="BH4" i="5"/>
  <c r="BT4" i="5"/>
  <c r="W4" i="5"/>
  <c r="AI4" i="5"/>
  <c r="AU4" i="5"/>
  <c r="BG4" i="5"/>
  <c r="BS4" i="5"/>
  <c r="V4" i="5"/>
  <c r="AH4" i="5"/>
  <c r="AT4" i="5"/>
  <c r="BF4" i="5"/>
  <c r="BR4" i="5"/>
  <c r="U4" i="5"/>
  <c r="AG4" i="5"/>
  <c r="AS4" i="5"/>
  <c r="BE4" i="5"/>
  <c r="BQ4" i="5"/>
  <c r="T4" i="5"/>
  <c r="AF4" i="5"/>
  <c r="AR4" i="5"/>
  <c r="BD4" i="5"/>
  <c r="BP4" i="5"/>
  <c r="S4" i="5"/>
  <c r="AE4" i="5"/>
  <c r="AQ4" i="5"/>
  <c r="BC4" i="5"/>
  <c r="BO4" i="5"/>
  <c r="R4" i="5"/>
  <c r="AD4" i="5"/>
  <c r="AP4" i="5"/>
  <c r="BB4" i="5"/>
  <c r="BN4" i="5"/>
  <c r="B16" i="2"/>
  <c r="B11" i="2"/>
  <c r="B6" i="2"/>
  <c r="B17" i="2"/>
  <c r="C17" i="2"/>
  <c r="F10" i="3"/>
  <c r="D10" i="3"/>
  <c r="B10" i="3"/>
  <c r="F11" i="3"/>
  <c r="B15" i="1"/>
  <c r="B19" i="1"/>
  <c r="M17" i="2"/>
  <c r="M16" i="2"/>
  <c r="M15" i="2"/>
  <c r="M14" i="2"/>
  <c r="M13" i="2"/>
  <c r="M11" i="2"/>
  <c r="M10" i="2"/>
  <c r="M9" i="2"/>
  <c r="M8" i="2"/>
  <c r="M6" i="2"/>
  <c r="M5" i="2"/>
  <c r="M4" i="2"/>
  <c r="M3" i="2"/>
  <c r="C16" i="2"/>
  <c r="C15" i="2"/>
  <c r="C14" i="2"/>
  <c r="C13" i="2"/>
  <c r="C11" i="2"/>
  <c r="C10" i="2"/>
  <c r="C9" i="2"/>
  <c r="C8" i="2"/>
  <c r="C6" i="2"/>
  <c r="C5" i="2"/>
  <c r="C4" i="2"/>
  <c r="C3" i="2"/>
  <c r="O16" i="2"/>
  <c r="O11" i="2"/>
  <c r="O6" i="2"/>
  <c r="O17" i="2"/>
  <c r="N16" i="2"/>
  <c r="N11" i="2"/>
  <c r="N6" i="2"/>
  <c r="N17" i="2"/>
  <c r="E16" i="2"/>
  <c r="E11" i="2"/>
  <c r="E6" i="2"/>
  <c r="E17" i="2"/>
  <c r="D16" i="2"/>
  <c r="D11" i="2"/>
  <c r="D6" i="2"/>
  <c r="D17" i="2"/>
  <c r="B17" i="1"/>
  <c r="B16" i="1"/>
  <c r="Y12" i="5" l="1"/>
  <c r="Y15" i="5" s="1"/>
  <c r="BM12" i="5"/>
  <c r="AQ12" i="5"/>
  <c r="AQ15" i="5" s="1"/>
  <c r="BG12" i="5"/>
  <c r="BG15" i="5" s="1"/>
  <c r="E5" i="1"/>
  <c r="E15" i="1"/>
  <c r="E4" i="1" a="1"/>
  <c r="E4" i="1" s="1"/>
  <c r="BJ12" i="5"/>
  <c r="BJ15" i="5" s="1"/>
  <c r="AY12" i="5"/>
  <c r="AY15" i="5" s="1"/>
  <c r="AS12" i="5"/>
  <c r="AS15" i="5" s="1"/>
  <c r="AH12" i="5"/>
  <c r="AH15" i="5" s="1"/>
  <c r="BV12" i="5"/>
  <c r="BV15" i="5" s="1"/>
  <c r="BE12" i="5"/>
  <c r="BE15" i="5" s="1"/>
  <c r="P15" i="5"/>
  <c r="P24" i="5" s="1"/>
  <c r="BQ12" i="5"/>
  <c r="BQ15" i="5" s="1"/>
  <c r="BK12" i="5"/>
  <c r="BK15" i="5" s="1"/>
  <c r="AT12" i="5"/>
  <c r="BL12" i="5"/>
  <c r="BL15" i="5" s="1"/>
  <c r="AO12" i="5"/>
  <c r="AO15" i="5" s="1"/>
  <c r="AD12" i="5"/>
  <c r="AD15" i="5" s="1"/>
  <c r="X12" i="5"/>
  <c r="X15" i="5" s="1"/>
  <c r="BR12" i="5"/>
  <c r="BR15" i="5" s="1"/>
  <c r="BA12" i="5"/>
  <c r="BA15" i="5" s="1"/>
  <c r="AU12" i="5"/>
  <c r="AU15" i="5" s="1"/>
  <c r="AJ12" i="5"/>
  <c r="M12" i="5"/>
  <c r="BS12" i="5"/>
  <c r="BS15" i="5" s="1"/>
  <c r="BB12" i="5"/>
  <c r="BB15" i="5" s="1"/>
  <c r="AV12" i="5"/>
  <c r="AV15" i="5" s="1"/>
  <c r="AK12" i="5"/>
  <c r="AK15" i="5" s="1"/>
  <c r="T12" i="5"/>
  <c r="T15" i="5" s="1"/>
  <c r="Q12" i="5"/>
  <c r="Q15" i="5" s="1"/>
  <c r="Q24" i="5" s="1"/>
  <c r="L12" i="5"/>
  <c r="L15" i="5" s="1"/>
  <c r="L24" i="5" s="1"/>
  <c r="G12" i="5"/>
  <c r="G15" i="5" s="1"/>
  <c r="BY12" i="5"/>
  <c r="BY15" i="5" s="1"/>
  <c r="BN12" i="5"/>
  <c r="BH12" i="5"/>
  <c r="BH15" i="5" s="1"/>
  <c r="AF12" i="5"/>
  <c r="AF15" i="5" s="1"/>
  <c r="Z12" i="5"/>
  <c r="Z15" i="5" s="1"/>
  <c r="F12" i="5"/>
  <c r="F20" i="5" s="1"/>
  <c r="BT12" i="5"/>
  <c r="BT15" i="5" s="1"/>
  <c r="BC12" i="5"/>
  <c r="BC15" i="5" s="1"/>
  <c r="AW12" i="5"/>
  <c r="AW15" i="5" s="1"/>
  <c r="AL12" i="5"/>
  <c r="AL15" i="5" s="1"/>
  <c r="AA12" i="5"/>
  <c r="AA15" i="5" s="1"/>
  <c r="U12" i="5"/>
  <c r="U15" i="5" s="1"/>
  <c r="K12" i="5"/>
  <c r="K20" i="5" s="1"/>
  <c r="BO12" i="5"/>
  <c r="BO15" i="5" s="1"/>
  <c r="AX12" i="5"/>
  <c r="AX15" i="5" s="1"/>
  <c r="AG12" i="5"/>
  <c r="AG15" i="5" s="1"/>
  <c r="BU12" i="5"/>
  <c r="BU15" i="5" s="1"/>
  <c r="BD12" i="5"/>
  <c r="BD15" i="5" s="1"/>
  <c r="AT15" i="5"/>
  <c r="AM12" i="5"/>
  <c r="AB12" i="5"/>
  <c r="V12" i="5"/>
  <c r="AM15" i="5"/>
  <c r="AB15" i="5"/>
  <c r="V15" i="5"/>
  <c r="E22" i="5"/>
  <c r="BN15" i="5"/>
  <c r="Q23" i="5"/>
  <c r="BM15" i="5"/>
  <c r="AJ15" i="5"/>
  <c r="AN12" i="5"/>
  <c r="AN15" i="5" s="1"/>
  <c r="J12" i="5"/>
  <c r="J20" i="5" s="1"/>
  <c r="BW12" i="5"/>
  <c r="BW15" i="5" s="1"/>
  <c r="BF12" i="5"/>
  <c r="BF15" i="5" s="1"/>
  <c r="AI12" i="5"/>
  <c r="AI15" i="5" s="1"/>
  <c r="AC12" i="5"/>
  <c r="AC15" i="5" s="1"/>
  <c r="W12" i="5"/>
  <c r="W15" i="5" s="1"/>
  <c r="O12" i="5"/>
  <c r="AP12" i="5"/>
  <c r="AP15" i="5" s="1"/>
  <c r="R12" i="5"/>
  <c r="R15" i="5" s="1"/>
  <c r="I12" i="5"/>
  <c r="I15" i="5" s="1"/>
  <c r="I24" i="5" s="1"/>
  <c r="BX12" i="5"/>
  <c r="BX15" i="5" s="1"/>
  <c r="N12" i="5"/>
  <c r="N15" i="5" s="1"/>
  <c r="N24" i="5" s="1"/>
  <c r="BP12" i="5"/>
  <c r="BP15" i="5" s="1"/>
  <c r="BI12" i="5"/>
  <c r="BI15" i="5" s="1"/>
  <c r="AZ12" i="5"/>
  <c r="AZ15" i="5" s="1"/>
  <c r="AR12" i="5"/>
  <c r="AR15" i="5" s="1"/>
  <c r="AE12" i="5"/>
  <c r="AE15" i="5" s="1"/>
  <c r="S12" i="5"/>
  <c r="S15" i="5" s="1"/>
  <c r="H12" i="5"/>
  <c r="H15" i="5" s="1"/>
  <c r="H24" i="5" s="1"/>
  <c r="G24" i="5"/>
  <c r="Q20" i="5"/>
  <c r="P20" i="5"/>
  <c r="G20" i="5"/>
  <c r="L20" i="5" l="1"/>
  <c r="J15" i="5"/>
  <c r="J24" i="5" s="1"/>
  <c r="N20" i="5"/>
  <c r="H20" i="5"/>
  <c r="E27" i="5" s="1"/>
  <c r="M15" i="5"/>
  <c r="M24" i="5" s="1"/>
  <c r="M20" i="5"/>
  <c r="F15" i="5"/>
  <c r="F24" i="5" s="1"/>
  <c r="F28" i="5" s="1"/>
  <c r="K15" i="5"/>
  <c r="K24" i="5" s="1"/>
  <c r="I20" i="5"/>
  <c r="I27" i="5" s="1"/>
  <c r="O15" i="5"/>
  <c r="O24" i="5" s="1"/>
  <c r="O20" i="5"/>
  <c r="G27" i="5" s="1"/>
  <c r="G28" i="5"/>
  <c r="F27" i="5"/>
  <c r="B30" i="5" l="1"/>
  <c r="E17" i="1" s="1"/>
  <c r="B32" i="5"/>
  <c r="E19" i="1" s="1"/>
  <c r="B33" i="5"/>
  <c r="E20" i="1" s="1"/>
  <c r="B31" i="5"/>
  <c r="E18" i="1" s="1"/>
  <c r="H27" i="5"/>
  <c r="B34" i="5" s="1"/>
  <c r="E21" i="1" s="1"/>
  <c r="E28" i="5"/>
  <c r="I28" i="5"/>
  <c r="H28" i="5"/>
  <c r="B35" i="5" l="1"/>
  <c r="E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<sst xmlns="http://schemas.openxmlformats.org/spreadsheetml/2006/main" count="254" uniqueCount="117">
  <si>
    <t>Property Details</t>
  </si>
  <si>
    <t>Address</t>
  </si>
  <si>
    <t>City/State/Zip</t>
  </si>
  <si>
    <t>Gross SF</t>
  </si>
  <si>
    <t>Net RSF</t>
  </si>
  <si>
    <t>Commercial SF</t>
  </si>
  <si>
    <t>Zoning</t>
  </si>
  <si>
    <t>FAR</t>
  </si>
  <si>
    <t>N/A</t>
  </si>
  <si>
    <t>Number of Building</t>
  </si>
  <si>
    <t>Number of Units</t>
  </si>
  <si>
    <t>Purchase Price</t>
  </si>
  <si>
    <t>Price/GSF</t>
  </si>
  <si>
    <t>Price/NRSF</t>
  </si>
  <si>
    <t>Acquisition Info</t>
  </si>
  <si>
    <t>Purchase Price/Unit</t>
  </si>
  <si>
    <t>Going-In Cap Rate</t>
  </si>
  <si>
    <t>Acquisition Fee</t>
  </si>
  <si>
    <t>Closing Cost</t>
  </si>
  <si>
    <t>Closing Date</t>
  </si>
  <si>
    <t>Sale Information</t>
  </si>
  <si>
    <t>Exit Cap Rate</t>
  </si>
  <si>
    <t>Closing Cost (% of Sale)</t>
  </si>
  <si>
    <t>Hold Period</t>
  </si>
  <si>
    <t>Air Rights</t>
  </si>
  <si>
    <t>R7-2</t>
  </si>
  <si>
    <t>Acquisition Loan Info</t>
  </si>
  <si>
    <t>LTV</t>
  </si>
  <si>
    <t>Going- In DSCR</t>
  </si>
  <si>
    <t>Going- In Debt Yield</t>
  </si>
  <si>
    <t>Interests Rate Index</t>
  </si>
  <si>
    <t>SOFR</t>
  </si>
  <si>
    <t>Interests Rate Spread</t>
  </si>
  <si>
    <t>Interests Rate</t>
  </si>
  <si>
    <t>Loan Proceeds</t>
  </si>
  <si>
    <t>Interests Only Period</t>
  </si>
  <si>
    <t>Term</t>
  </si>
  <si>
    <t>Amortization</t>
  </si>
  <si>
    <t>Loan Fee (%)</t>
  </si>
  <si>
    <t>Building 521</t>
  </si>
  <si>
    <t>Unit 1</t>
  </si>
  <si>
    <t>Unit 2</t>
  </si>
  <si>
    <t>Unit 3</t>
  </si>
  <si>
    <t># of Bedroom</t>
  </si>
  <si>
    <t># of Bathrooms</t>
  </si>
  <si>
    <t xml:space="preserve">Lease Start </t>
  </si>
  <si>
    <t>Lease End</t>
  </si>
  <si>
    <t>Free Market</t>
  </si>
  <si>
    <t>Market Rate</t>
  </si>
  <si>
    <t>Rent Roll As-Is</t>
  </si>
  <si>
    <t>Monthly Rent</t>
  </si>
  <si>
    <t>Total</t>
  </si>
  <si>
    <t>MTM</t>
  </si>
  <si>
    <t>Building 519</t>
  </si>
  <si>
    <t>Building 515</t>
  </si>
  <si>
    <t>4/31/2023</t>
  </si>
  <si>
    <t>Notes</t>
  </si>
  <si>
    <t>Portfolio Total</t>
  </si>
  <si>
    <t>Units are furnished</t>
  </si>
  <si>
    <t>Rent Roll Stabalized</t>
  </si>
  <si>
    <t>Taxes</t>
  </si>
  <si>
    <t>Insurance</t>
  </si>
  <si>
    <t>Electric</t>
  </si>
  <si>
    <t>Water</t>
  </si>
  <si>
    <t>Maintenance</t>
  </si>
  <si>
    <t>Super/Garbage</t>
  </si>
  <si>
    <t>Annual Rent</t>
  </si>
  <si>
    <t>Going -In NOI</t>
  </si>
  <si>
    <t>Management</t>
  </si>
  <si>
    <t>5 Year Hold Analysis</t>
  </si>
  <si>
    <t>Month Ending</t>
  </si>
  <si>
    <t>Year</t>
  </si>
  <si>
    <t>Month</t>
  </si>
  <si>
    <t>Purchase Date</t>
  </si>
  <si>
    <t>Purchase and Deal Metrics</t>
  </si>
  <si>
    <t>Vacancy</t>
  </si>
  <si>
    <t>Gross Potential Rental Revenue</t>
  </si>
  <si>
    <t>Net Rental Income</t>
  </si>
  <si>
    <t>Operating Expenses</t>
  </si>
  <si>
    <t>Operation Assumptions</t>
  </si>
  <si>
    <t>Annual Rental Growth Rate</t>
  </si>
  <si>
    <t>Annual Expense Growth rate</t>
  </si>
  <si>
    <t>Net Operating Income</t>
  </si>
  <si>
    <t>Capital Improvements</t>
  </si>
  <si>
    <t>Capital Reserves</t>
  </si>
  <si>
    <t>Capital Improvements Month Start</t>
  </si>
  <si>
    <t>Capital Improvements Month End</t>
  </si>
  <si>
    <t>Capital Reserves(% of Gross Revenue)</t>
  </si>
  <si>
    <t>Cash Flow Before Debt Service</t>
  </si>
  <si>
    <t>Princpial Payment</t>
  </si>
  <si>
    <t>Loan Metrics</t>
  </si>
  <si>
    <t>Loan Origination Fee</t>
  </si>
  <si>
    <t>Sale Metrics</t>
  </si>
  <si>
    <t>Cost of Sale</t>
  </si>
  <si>
    <t>Interests Payments</t>
  </si>
  <si>
    <t>Cash Flow After Debt Service</t>
  </si>
  <si>
    <t>Closing Costs</t>
  </si>
  <si>
    <t>Sale Proceeds</t>
  </si>
  <si>
    <t>Costs of Sale</t>
  </si>
  <si>
    <t>Total Unlevered Cash Flows</t>
  </si>
  <si>
    <t>Loan Payoff</t>
  </si>
  <si>
    <t>Total Levered Cash Flows</t>
  </si>
  <si>
    <t>Project Level Returns</t>
  </si>
  <si>
    <t>Pro Forma Cap Rate</t>
  </si>
  <si>
    <t>Loan Constant</t>
  </si>
  <si>
    <t>Unlevered IRR</t>
  </si>
  <si>
    <t>Levered IRR</t>
  </si>
  <si>
    <t>Unlevered Equity Multiple</t>
  </si>
  <si>
    <t>Levered Equity Multiple</t>
  </si>
  <si>
    <t>Cash - on - Cash Return</t>
  </si>
  <si>
    <t>Unlevered Cash on Cash Return</t>
  </si>
  <si>
    <t>Levered Cash on Cash Return</t>
  </si>
  <si>
    <t>Average Unlevered Cash on Cash</t>
  </si>
  <si>
    <t>Average Levered Cash on Cash</t>
  </si>
  <si>
    <t>Annnual Expenses (As - Is)</t>
  </si>
  <si>
    <t>Annnual Expenses (Pro Forma)</t>
  </si>
  <si>
    <t>Capital Imrpovements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</si>
</sst>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164" formatCode="0\ &quot;SF&quot;"/>
    <numFmt numFmtId="165" formatCode="&quot;$&quot;#,##0"/>
    <numFmt numFmtId="166" formatCode="m/d/yyyy;@"/>
    <numFmt numFmtId="167" formatCode="0\ &quot;Years&quot;"/>
    <numFmt numFmtId="168" formatCode="0\ &quot;Months&quot;"/>
    <numFmt numFmtId="169" formatCode="&quot;$&quot;#,##0.00"/>
    <numFmt numFmtId="170" formatCode="&quot;Acquisition&quot;"/>
    <numFmt numFmtId="171" formatCode="&quot;Month&quot;\ 0"/>
    <numFmt numFmtId="172" formatCode="0.00&quot;x&quot;"/>
    <numFmt numFmtId="173" formatCode="&quot;Year&quot;\ 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Franklin Gothic Book"/>
      <family val="2"/>
    </font>
    <font>
      <sz val="12"/>
      <color theme="1"/>
      <name val="Franklin Gothic Book"/>
      <family val="2"/>
    </font>
    <font>
      <sz val="12"/>
      <color rgb="FF0000FF"/>
      <name val="Franklin Gothic Book"/>
      <family val="2"/>
    </font>
    <font>
      <i/>
      <sz val="9"/>
      <color theme="1"/>
      <name val="Franklin Gothic Book"/>
      <family val="2"/>
    </font>
    <font>
      <sz val="12"/>
      <color rgb="FF0000FF"/>
      <name val="Calibri"/>
      <family val="2"/>
      <scheme val="minor"/>
    </font>
    <font>
      <u/>
      <sz val="12"/>
      <color theme="1"/>
      <name val="Franklin Gothic Book"/>
      <family val="2"/>
    </font>
    <font>
      <i/>
      <sz val="9"/>
      <color rgb="FF0000FF"/>
      <name val="Franklin Gothic Book"/>
      <family val="2"/>
    </font>
    <font>
      <b/>
      <sz val="12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3" fontId="0" fillId="0" borderId="0" xfId="0" applyNumberFormat="1"/>
    <xf numFmtId="10" fontId="4" fillId="2" borderId="2" xfId="0" applyNumberFormat="1" applyFont="1" applyFill="1" applyBorder="1" applyAlignment="1">
      <alignment horizontal="centerContinuous"/>
    </xf>
    <xf numFmtId="10" fontId="4" fillId="2" borderId="3" xfId="0" applyNumberFormat="1" applyFont="1" applyFill="1" applyBorder="1" applyAlignment="1">
      <alignment horizontal="centerContinuous"/>
    </xf>
    <xf numFmtId="0" fontId="5" fillId="0" borderId="0" xfId="0" applyFont="1"/>
    <xf numFmtId="3" fontId="5" fillId="3" borderId="8" xfId="0" applyNumberFormat="1" applyFont="1" applyFill="1" applyBorder="1" applyAlignment="1">
      <alignment horizontal="right"/>
    </xf>
    <xf numFmtId="0" fontId="5" fillId="0" borderId="5" xfId="0" applyFont="1" applyBorder="1" applyAlignment="1">
      <alignment horizontal="center"/>
    </xf>
    <xf numFmtId="8" fontId="5" fillId="0" borderId="0" xfId="0" applyNumberFormat="1" applyFont="1"/>
    <xf numFmtId="0" fontId="5" fillId="3" borderId="8" xfId="0" applyFont="1" applyFill="1" applyBorder="1" applyAlignment="1">
      <alignment horizontal="right"/>
    </xf>
    <xf numFmtId="0" fontId="5" fillId="3" borderId="9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9" fontId="6" fillId="0" borderId="5" xfId="1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0" fontId="7" fillId="0" borderId="0" xfId="0" applyFont="1"/>
    <xf numFmtId="9" fontId="5" fillId="0" borderId="5" xfId="0" applyNumberFormat="1" applyFont="1" applyBorder="1" applyAlignment="1">
      <alignment horizontal="center"/>
    </xf>
    <xf numFmtId="10" fontId="6" fillId="0" borderId="5" xfId="1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6" fontId="8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5" xfId="0" applyFill="1" applyBorder="1" applyAlignment="1">
      <alignment horizontal="centerContinuous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5" xfId="0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169" fontId="2" fillId="0" borderId="7" xfId="0" applyNumberFormat="1" applyFont="1" applyBorder="1"/>
    <xf numFmtId="0" fontId="0" fillId="4" borderId="10" xfId="0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0" fillId="0" borderId="15" xfId="0" applyBorder="1"/>
    <xf numFmtId="165" fontId="2" fillId="0" borderId="10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0" fontId="5" fillId="0" borderId="5" xfId="1" applyNumberFormat="1" applyFont="1" applyBorder="1" applyAlignment="1">
      <alignment horizontal="center"/>
    </xf>
    <xf numFmtId="169" fontId="2" fillId="3" borderId="16" xfId="0" applyNumberFormat="1" applyFont="1" applyFill="1" applyBorder="1"/>
    <xf numFmtId="0" fontId="2" fillId="3" borderId="22" xfId="0" applyFont="1" applyFill="1" applyBorder="1" applyAlignment="1">
      <alignment horizontal="right"/>
    </xf>
    <xf numFmtId="0" fontId="3" fillId="2" borderId="24" xfId="0" applyFont="1" applyFill="1" applyBorder="1" applyAlignment="1">
      <alignment horizontal="centerContinuous"/>
    </xf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2" fillId="5" borderId="28" xfId="0" applyFont="1" applyFill="1" applyBorder="1"/>
    <xf numFmtId="0" fontId="2" fillId="5" borderId="26" xfId="0" applyFont="1" applyFill="1" applyBorder="1"/>
    <xf numFmtId="0" fontId="2" fillId="0" borderId="29" xfId="0" applyFont="1" applyBorder="1"/>
    <xf numFmtId="165" fontId="0" fillId="0" borderId="30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3" borderId="33" xfId="0" applyFont="1" applyFill="1" applyBorder="1"/>
    <xf numFmtId="165" fontId="2" fillId="0" borderId="23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14" fontId="6" fillId="0" borderId="5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right"/>
    </xf>
    <xf numFmtId="10" fontId="10" fillId="0" borderId="0" xfId="1" applyNumberFormat="1" applyFont="1" applyAlignment="1">
      <alignment horizontal="left"/>
    </xf>
    <xf numFmtId="165" fontId="5" fillId="0" borderId="7" xfId="0" applyNumberFormat="1" applyFont="1" applyBorder="1" applyAlignment="1">
      <alignment horizontal="center"/>
    </xf>
    <xf numFmtId="171" fontId="6" fillId="0" borderId="5" xfId="0" applyNumberFormat="1" applyFont="1" applyBorder="1" applyAlignment="1">
      <alignment horizontal="center"/>
    </xf>
    <xf numFmtId="0" fontId="5" fillId="3" borderId="24" xfId="0" applyFont="1" applyFill="1" applyBorder="1" applyAlignment="1">
      <alignment horizontal="right"/>
    </xf>
    <xf numFmtId="10" fontId="6" fillId="0" borderId="21" xfId="1" applyNumberFormat="1" applyFont="1" applyBorder="1" applyAlignment="1">
      <alignment horizontal="center"/>
    </xf>
    <xf numFmtId="6" fontId="5" fillId="0" borderId="0" xfId="0" applyNumberFormat="1" applyFont="1"/>
    <xf numFmtId="6" fontId="5" fillId="0" borderId="0" xfId="0" applyNumberFormat="1" applyFont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168" fontId="6" fillId="0" borderId="5" xfId="1" applyNumberFormat="1" applyFont="1" applyBorder="1" applyAlignment="1">
      <alignment horizontal="center"/>
    </xf>
    <xf numFmtId="0" fontId="5" fillId="3" borderId="21" xfId="0" applyFont="1" applyFill="1" applyBorder="1" applyAlignment="1">
      <alignment horizontal="right"/>
    </xf>
    <xf numFmtId="10" fontId="5" fillId="0" borderId="5" xfId="0" applyNumberFormat="1" applyFont="1" applyBorder="1" applyAlignment="1">
      <alignment horizontal="center"/>
    </xf>
    <xf numFmtId="6" fontId="11" fillId="0" borderId="13" xfId="0" applyNumberFormat="1" applyFont="1" applyBorder="1" applyAlignment="1">
      <alignment horizontal="center"/>
    </xf>
    <xf numFmtId="6" fontId="11" fillId="0" borderId="14" xfId="0" applyNumberFormat="1" applyFont="1" applyBorder="1" applyAlignment="1">
      <alignment horizontal="center"/>
    </xf>
    <xf numFmtId="0" fontId="4" fillId="2" borderId="30" xfId="0" applyFont="1" applyFill="1" applyBorder="1" applyAlignment="1">
      <alignment horizontal="right"/>
    </xf>
    <xf numFmtId="0" fontId="4" fillId="2" borderId="26" xfId="0" applyFont="1" applyFill="1" applyBorder="1" applyAlignment="1">
      <alignment horizontal="right"/>
    </xf>
    <xf numFmtId="0" fontId="5" fillId="3" borderId="26" xfId="0" applyFont="1" applyFill="1" applyBorder="1" applyAlignment="1">
      <alignment horizontal="right"/>
    </xf>
    <xf numFmtId="0" fontId="11" fillId="3" borderId="28" xfId="0" applyFont="1" applyFill="1" applyBorder="1" applyAlignment="1">
      <alignment horizontal="right"/>
    </xf>
    <xf numFmtId="0" fontId="5" fillId="3" borderId="27" xfId="0" applyFont="1" applyFill="1" applyBorder="1" applyAlignment="1">
      <alignment horizontal="right"/>
    </xf>
    <xf numFmtId="9" fontId="5" fillId="0" borderId="5" xfId="1" applyFont="1" applyBorder="1" applyAlignment="1">
      <alignment horizontal="center"/>
    </xf>
    <xf numFmtId="10" fontId="5" fillId="0" borderId="21" xfId="1" applyNumberFormat="1" applyFont="1" applyBorder="1" applyAlignment="1">
      <alignment horizontal="center"/>
    </xf>
    <xf numFmtId="172" fontId="5" fillId="0" borderId="5" xfId="0" applyNumberFormat="1" applyFont="1" applyBorder="1" applyAlignment="1">
      <alignment horizontal="center"/>
    </xf>
    <xf numFmtId="173" fontId="4" fillId="2" borderId="34" xfId="0" applyNumberFormat="1" applyFont="1" applyFill="1" applyBorder="1" applyAlignment="1">
      <alignment horizontal="center"/>
    </xf>
    <xf numFmtId="173" fontId="4" fillId="2" borderId="3" xfId="0" applyNumberFormat="1" applyFont="1" applyFill="1" applyBorder="1" applyAlignment="1">
      <alignment horizontal="center"/>
    </xf>
    <xf numFmtId="10" fontId="5" fillId="0" borderId="0" xfId="1" applyNumberFormat="1" applyFont="1" applyBorder="1" applyAlignment="1">
      <alignment horizontal="center"/>
    </xf>
    <xf numFmtId="10" fontId="5" fillId="0" borderId="19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0" fontId="5" fillId="4" borderId="5" xfId="1" applyNumberFormat="1" applyFont="1" applyFill="1" applyBorder="1" applyAlignment="1">
      <alignment horizontal="center"/>
    </xf>
    <xf numFmtId="172" fontId="5" fillId="4" borderId="5" xfId="0" applyNumberFormat="1" applyFont="1" applyFill="1" applyBorder="1" applyAlignment="1">
      <alignment horizontal="center"/>
    </xf>
    <xf numFmtId="10" fontId="5" fillId="4" borderId="21" xfId="1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0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9" fontId="8" fillId="0" borderId="5" xfId="0" applyNumberFormat="1" applyFont="1" applyBorder="1" applyAlignment="1">
      <alignment horizontal="center"/>
    </xf>
    <xf numFmtId="0" fontId="4" fillId="2" borderId="34" xfId="0" applyFont="1" applyFill="1" applyBorder="1"/>
    <xf numFmtId="0" fontId="4" fillId="2" borderId="3" xfId="0" applyFont="1" applyFill="1" applyBorder="1"/>
    <xf numFmtId="14" fontId="9" fillId="4" borderId="0" xfId="0" applyNumberFormat="1" applyFont="1" applyFill="1" applyAlignment="1">
      <alignment horizontal="center"/>
    </xf>
    <xf numFmtId="166" fontId="9" fillId="4" borderId="0" xfId="0" applyNumberFormat="1" applyFont="1" applyFill="1" applyAlignment="1">
      <alignment horizontal="center"/>
    </xf>
    <xf numFmtId="166" fontId="9" fillId="4" borderId="5" xfId="0" applyNumberFormat="1" applyFont="1" applyFill="1" applyBorder="1" applyAlignment="1">
      <alignment horizontal="center"/>
    </xf>
    <xf numFmtId="170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/>
    </xf>
    <xf numFmtId="6" fontId="5" fillId="0" borderId="5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2D0C-C90F-0B4D-82FB-C3BDE14898AB}">
  <dimension ref="A1:H28"/>
  <sheetViews>
    <sheetView showGridLines="0" topLeftCell="A8" zoomScale="156" workbookViewId="0">
      <selection activeCell="E15" sqref="E15"/>
    </sheetView>
  </sheetViews>
  <sheetFormatPr defaultColWidth="10.796875" defaultRowHeight="16.2" x14ac:dyDescent="0.35"/>
  <cols>
    <col min="1" max="1" width="21.796875" style="4" bestFit="1" customWidth="1"/>
    <col min="2" max="2" width="19.5" style="4" bestFit="1" customWidth="1"/>
    <col min="3" max="3" width="10.796875" style="4"/>
    <col min="4" max="4" width="29.69921875" style="4" bestFit="1" customWidth="1"/>
    <col min="5" max="5" width="13.5" style="4" customWidth="1"/>
    <col min="6" max="6" width="10.796875" style="4"/>
    <col min="7" max="7" width="21.796875" style="4" bestFit="1" customWidth="1"/>
    <col min="8" max="16384" width="10.796875" style="4"/>
  </cols>
  <sheetData>
    <row r="1" spans="1:8" x14ac:dyDescent="0.35">
      <c r="A1" s="2" t="s">
        <v>0</v>
      </c>
      <c r="B1" s="3"/>
      <c r="D1" s="2" t="s">
        <v>26</v>
      </c>
      <c r="E1" s="3"/>
      <c r="G1" s="121"/>
      <c r="H1" s="121"/>
    </row>
    <row r="2" spans="1:8" x14ac:dyDescent="0.35">
      <c r="A2" s="5" t="s">
        <v>1</v>
      </c>
      <c r="B2" s="12" t="s">
        <v>8</v>
      </c>
      <c r="C2" s="7"/>
      <c r="D2" s="5" t="s">
        <v>34</v>
      </c>
      <c r="E2" s="11">
        <f>'Pro Forma Cash Flow Statement'!E21</f>
        <v>3562500</v>
      </c>
      <c r="G2" s="122"/>
      <c r="H2" s="123"/>
    </row>
    <row r="3" spans="1:8" x14ac:dyDescent="0.35">
      <c r="A3" s="8" t="s">
        <v>2</v>
      </c>
      <c r="B3" s="12">
        <v>10032</v>
      </c>
      <c r="D3" s="8" t="s">
        <v>27</v>
      </c>
      <c r="E3" s="109">
        <f>'Pro Forma Cash Flow Statement'!B17</f>
        <v>0.75</v>
      </c>
      <c r="G3" s="124"/>
      <c r="H3" s="125"/>
    </row>
    <row r="4" spans="1:8" x14ac:dyDescent="0.35">
      <c r="A4" s="8" t="s">
        <v>3</v>
      </c>
      <c r="B4" s="13">
        <v>10247</v>
      </c>
      <c r="D4" s="8" t="s">
        <v>28</v>
      </c>
      <c r="E4" s="111" cm="1">
        <f t="array" ref="E4">SUM('Pro Forma Cash Flow Statement'!F9:Q9/ABS(SUM('Pro Forma Cash Flow Statement'!F13:Q14)))</f>
        <v>1.1917046295738891</v>
      </c>
      <c r="G4" s="124"/>
      <c r="H4" s="126"/>
    </row>
    <row r="5" spans="1:8" x14ac:dyDescent="0.35">
      <c r="A5" s="8" t="s">
        <v>4</v>
      </c>
      <c r="B5" s="13">
        <v>0</v>
      </c>
      <c r="D5" s="8" t="s">
        <v>29</v>
      </c>
      <c r="E5" s="58">
        <f>SUM('Pro Forma Cash Flow Statement'!F9:R9)/'Deal Summary'!E2</f>
        <v>9.3674154777061189E-2</v>
      </c>
    </row>
    <row r="6" spans="1:8" x14ac:dyDescent="0.35">
      <c r="A6" s="8" t="s">
        <v>9</v>
      </c>
      <c r="B6" s="12">
        <v>3</v>
      </c>
      <c r="D6" s="8" t="s">
        <v>30</v>
      </c>
      <c r="E6" s="19">
        <v>2.0799999999999999E-2</v>
      </c>
      <c r="F6" s="17" t="s">
        <v>31</v>
      </c>
    </row>
    <row r="7" spans="1:8" x14ac:dyDescent="0.35">
      <c r="A7" s="8" t="s">
        <v>10</v>
      </c>
      <c r="B7" s="12">
        <v>9</v>
      </c>
      <c r="D7" s="8" t="s">
        <v>32</v>
      </c>
      <c r="E7" s="19">
        <v>3.2500000000000001E-2</v>
      </c>
    </row>
    <row r="8" spans="1:8" x14ac:dyDescent="0.35">
      <c r="A8" s="8" t="s">
        <v>5</v>
      </c>
      <c r="B8" s="13">
        <v>0</v>
      </c>
      <c r="D8" s="8" t="s">
        <v>33</v>
      </c>
      <c r="E8" s="101">
        <f>E7+E6</f>
        <v>5.33E-2</v>
      </c>
    </row>
    <row r="9" spans="1:8" x14ac:dyDescent="0.35">
      <c r="A9" s="10" t="s">
        <v>6</v>
      </c>
      <c r="B9" s="6" t="s">
        <v>25</v>
      </c>
      <c r="D9" s="8" t="s">
        <v>35</v>
      </c>
      <c r="E9" s="21">
        <v>0</v>
      </c>
    </row>
    <row r="10" spans="1:8" x14ac:dyDescent="0.35">
      <c r="A10" s="8" t="s">
        <v>7</v>
      </c>
      <c r="B10" s="6">
        <v>3.44</v>
      </c>
      <c r="D10" s="8" t="s">
        <v>36</v>
      </c>
      <c r="E10" s="21">
        <v>60</v>
      </c>
    </row>
    <row r="11" spans="1:8" x14ac:dyDescent="0.35">
      <c r="A11" s="9" t="s">
        <v>24</v>
      </c>
      <c r="B11" s="16">
        <v>11972</v>
      </c>
      <c r="D11" s="8" t="s">
        <v>38</v>
      </c>
      <c r="E11" s="19">
        <v>0.01</v>
      </c>
    </row>
    <row r="12" spans="1:8" x14ac:dyDescent="0.35">
      <c r="D12" s="9" t="s">
        <v>37</v>
      </c>
      <c r="E12" s="98">
        <f>'Pro Forma Cash Flow Statement'!B20</f>
        <v>25</v>
      </c>
    </row>
    <row r="13" spans="1:8" x14ac:dyDescent="0.35">
      <c r="A13" s="2" t="s">
        <v>14</v>
      </c>
      <c r="B13" s="3"/>
    </row>
    <row r="14" spans="1:8" x14ac:dyDescent="0.35">
      <c r="A14" s="5" t="s">
        <v>11</v>
      </c>
      <c r="B14" s="11">
        <f>'Pro Forma Cash Flow Statement'!B2</f>
        <v>4750000</v>
      </c>
      <c r="D14" s="83" t="s">
        <v>102</v>
      </c>
      <c r="E14" s="84"/>
    </row>
    <row r="15" spans="1:8" x14ac:dyDescent="0.35">
      <c r="A15" s="8" t="s">
        <v>67</v>
      </c>
      <c r="B15" s="11">
        <f>'Rent Roll'!C17-Expenses!F11</f>
        <v>351132.88</v>
      </c>
      <c r="D15" s="94" t="s">
        <v>103</v>
      </c>
      <c r="E15" s="118">
        <f>'Pro Forma Cash Flow Statement'!B28</f>
        <v>6.4778572342445037E-2</v>
      </c>
    </row>
    <row r="16" spans="1:8" x14ac:dyDescent="0.35">
      <c r="A16" s="8" t="s">
        <v>15</v>
      </c>
      <c r="B16" s="11">
        <f>B14/B7</f>
        <v>527777.77777777775</v>
      </c>
      <c r="D16" s="85" t="s">
        <v>104</v>
      </c>
      <c r="E16" s="118">
        <f>'Pro Forma Cash Flow Statement'!B29</f>
        <v>7.2477212596555929E-2</v>
      </c>
    </row>
    <row r="17" spans="1:5" x14ac:dyDescent="0.35">
      <c r="A17" s="8" t="s">
        <v>12</v>
      </c>
      <c r="B17" s="11">
        <f>B14/B4</f>
        <v>463.55030740704598</v>
      </c>
      <c r="D17" s="85" t="s">
        <v>105</v>
      </c>
      <c r="E17" s="118">
        <f>'Pro Forma Cash Flow Statement'!B30</f>
        <v>0.16178309321403506</v>
      </c>
    </row>
    <row r="18" spans="1:5" x14ac:dyDescent="0.35">
      <c r="A18" s="8" t="s">
        <v>13</v>
      </c>
      <c r="B18" s="6">
        <v>3</v>
      </c>
      <c r="D18" s="85" t="s">
        <v>106</v>
      </c>
      <c r="E18" s="118">
        <f>'Pro Forma Cash Flow Statement'!B31</f>
        <v>0.32797769904136664</v>
      </c>
    </row>
    <row r="19" spans="1:5" x14ac:dyDescent="0.35">
      <c r="A19" s="8" t="s">
        <v>16</v>
      </c>
      <c r="B19" s="58">
        <f>B15/B14</f>
        <v>7.3922711578947364E-2</v>
      </c>
      <c r="D19" s="85" t="s">
        <v>107</v>
      </c>
      <c r="E19" s="119">
        <f>'Pro Forma Cash Flow Statement'!B32</f>
        <v>1.1711477164828044</v>
      </c>
    </row>
    <row r="20" spans="1:5" x14ac:dyDescent="0.35">
      <c r="A20" s="8" t="s">
        <v>116</v>
      </c>
      <c r="B20" s="11">
        <f>'Pro Forma Cash Flow Statement'!B11</f>
        <v>50000</v>
      </c>
      <c r="D20" s="94" t="s">
        <v>108</v>
      </c>
      <c r="E20" s="119">
        <f>'Pro Forma Cash Flow Statement'!B33</f>
        <v>1.3530567025176354</v>
      </c>
    </row>
    <row r="21" spans="1:5" x14ac:dyDescent="0.35">
      <c r="A21" s="8" t="s">
        <v>17</v>
      </c>
      <c r="B21" s="15">
        <v>0.01</v>
      </c>
      <c r="D21" s="94" t="s">
        <v>112</v>
      </c>
      <c r="E21" s="118">
        <f>'Pro Forma Cash Flow Statement'!B34</f>
        <v>6.7359489620609683E-2</v>
      </c>
    </row>
    <row r="22" spans="1:5" x14ac:dyDescent="0.35">
      <c r="A22" s="8" t="s">
        <v>18</v>
      </c>
      <c r="B22" s="109">
        <f>'Pro Forma Cash Flow Statement'!C4</f>
        <v>0.02</v>
      </c>
      <c r="D22" s="88" t="s">
        <v>113</v>
      </c>
      <c r="E22" s="120">
        <f>'Pro Forma Cash Flow Statement'!B35</f>
        <v>5.1707279155333088E-2</v>
      </c>
    </row>
    <row r="23" spans="1:5" x14ac:dyDescent="0.35">
      <c r="A23" s="9" t="s">
        <v>19</v>
      </c>
      <c r="B23" s="82">
        <f>'Pro Forma Cash Flow Statement'!B3</f>
        <v>44805</v>
      </c>
    </row>
    <row r="25" spans="1:5" x14ac:dyDescent="0.35">
      <c r="A25" s="2" t="s">
        <v>20</v>
      </c>
      <c r="B25" s="3"/>
    </row>
    <row r="26" spans="1:5" x14ac:dyDescent="0.35">
      <c r="A26" s="5" t="s">
        <v>21</v>
      </c>
      <c r="B26" s="18">
        <f>'Pro Forma Cash Flow Statement'!B23</f>
        <v>4.7500000000000001E-2</v>
      </c>
    </row>
    <row r="27" spans="1:5" x14ac:dyDescent="0.35">
      <c r="A27" s="8" t="s">
        <v>22</v>
      </c>
      <c r="B27" s="101">
        <f>'Pro Forma Cash Flow Statement'!B25</f>
        <v>0.03</v>
      </c>
    </row>
    <row r="28" spans="1:5" x14ac:dyDescent="0.35">
      <c r="A28" s="9" t="s">
        <v>23</v>
      </c>
      <c r="B28" s="117">
        <f>'Pro Forma Cash Flow Statement'!B24</f>
        <v>12</v>
      </c>
    </row>
  </sheetData>
  <dataValidations count="1">
    <dataValidation type="list" allowBlank="1" showInputMessage="1" showErrorMessage="1" sqref="F6" xr:uid="{053CEBF0-17BE-094A-B983-4A5B111D8E24}">
      <formula1>"SOFR, LIBOR, 10-Yr"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E95A-1CAF-C848-AB30-78F1ACC34D98}">
  <dimension ref="A1:S17"/>
  <sheetViews>
    <sheetView showGridLines="0" zoomScale="75" workbookViewId="0">
      <selection activeCell="L3" sqref="L3"/>
    </sheetView>
  </sheetViews>
  <sheetFormatPr defaultColWidth="11" defaultRowHeight="15.6" x14ac:dyDescent="0.3"/>
  <cols>
    <col min="1" max="1" width="12.796875" bestFit="1" customWidth="1"/>
    <col min="2" max="2" width="12.296875" bestFit="1" customWidth="1"/>
    <col min="3" max="3" width="12.296875" customWidth="1"/>
    <col min="4" max="4" width="12.296875" bestFit="1" customWidth="1"/>
    <col min="5" max="5" width="13.796875" bestFit="1" customWidth="1"/>
    <col min="7" max="7" width="15.19921875" bestFit="1" customWidth="1"/>
    <col min="8" max="8" width="23.296875" customWidth="1"/>
    <col min="11" max="11" width="12.796875" bestFit="1" customWidth="1"/>
    <col min="12" max="12" width="12.19921875" bestFit="1" customWidth="1"/>
    <col min="13" max="13" width="12.19921875" customWidth="1"/>
    <col min="14" max="14" width="12.296875" bestFit="1" customWidth="1"/>
    <col min="15" max="15" width="13.796875" bestFit="1" customWidth="1"/>
    <col min="18" max="18" width="17" bestFit="1" customWidth="1"/>
  </cols>
  <sheetData>
    <row r="1" spans="1:19" x14ac:dyDescent="0.3">
      <c r="A1" s="61" t="s">
        <v>49</v>
      </c>
      <c r="B1" s="23"/>
      <c r="C1" s="23"/>
      <c r="D1" s="23"/>
      <c r="E1" s="23"/>
      <c r="F1" s="23"/>
      <c r="G1" s="23"/>
      <c r="H1" s="23"/>
      <c r="I1" s="32"/>
      <c r="K1" s="61" t="s">
        <v>59</v>
      </c>
      <c r="L1" s="23"/>
      <c r="M1" s="23"/>
      <c r="N1" s="23"/>
      <c r="O1" s="23"/>
      <c r="P1" s="23"/>
      <c r="Q1" s="23"/>
      <c r="R1" s="23"/>
      <c r="S1" s="32"/>
    </row>
    <row r="2" spans="1:19" ht="16.2" thickBot="1" x14ac:dyDescent="0.35">
      <c r="A2" s="62" t="s">
        <v>39</v>
      </c>
      <c r="B2" s="72" t="s">
        <v>50</v>
      </c>
      <c r="C2" s="73" t="s">
        <v>66</v>
      </c>
      <c r="D2" s="73" t="s">
        <v>43</v>
      </c>
      <c r="E2" s="73" t="s">
        <v>44</v>
      </c>
      <c r="F2" s="73" t="s">
        <v>45</v>
      </c>
      <c r="G2" s="73" t="s">
        <v>46</v>
      </c>
      <c r="H2" s="73" t="s">
        <v>56</v>
      </c>
      <c r="I2" s="72" t="s">
        <v>48</v>
      </c>
      <c r="K2" s="62" t="s">
        <v>39</v>
      </c>
      <c r="L2" s="73" t="s">
        <v>50</v>
      </c>
      <c r="M2" s="74" t="s">
        <v>66</v>
      </c>
      <c r="N2" s="73" t="s">
        <v>43</v>
      </c>
      <c r="O2" s="73" t="s">
        <v>44</v>
      </c>
      <c r="P2" s="73" t="s">
        <v>45</v>
      </c>
      <c r="Q2" s="73" t="s">
        <v>46</v>
      </c>
      <c r="R2" s="73" t="s">
        <v>56</v>
      </c>
      <c r="S2" s="72" t="s">
        <v>48</v>
      </c>
    </row>
    <row r="3" spans="1:19" ht="16.2" thickTop="1" x14ac:dyDescent="0.3">
      <c r="A3" s="63" t="s">
        <v>40</v>
      </c>
      <c r="B3" s="24">
        <v>3950</v>
      </c>
      <c r="C3" s="68">
        <f>B3*12</f>
        <v>47400</v>
      </c>
      <c r="D3" s="25">
        <v>3</v>
      </c>
      <c r="E3" s="25">
        <v>2</v>
      </c>
      <c r="F3" s="26">
        <v>44317</v>
      </c>
      <c r="G3" s="26" t="s">
        <v>55</v>
      </c>
      <c r="H3" s="25"/>
      <c r="I3" s="33" t="s">
        <v>47</v>
      </c>
      <c r="K3" s="63" t="s">
        <v>40</v>
      </c>
      <c r="L3" s="24">
        <v>3950</v>
      </c>
      <c r="M3" s="69">
        <f>L3*12</f>
        <v>47400</v>
      </c>
      <c r="N3" s="25">
        <v>3</v>
      </c>
      <c r="O3" s="25">
        <v>2</v>
      </c>
      <c r="P3" s="26">
        <v>44317</v>
      </c>
      <c r="Q3" s="26" t="s">
        <v>55</v>
      </c>
      <c r="R3" s="25"/>
      <c r="S3" s="33" t="s">
        <v>47</v>
      </c>
    </row>
    <row r="4" spans="1:19" x14ac:dyDescent="0.3">
      <c r="A4" s="63" t="s">
        <v>41</v>
      </c>
      <c r="B4" s="24">
        <v>3250</v>
      </c>
      <c r="C4" s="69">
        <f t="shared" ref="C4:C5" si="0">B4*12</f>
        <v>39000</v>
      </c>
      <c r="D4" s="25">
        <v>3</v>
      </c>
      <c r="E4" s="25">
        <v>2</v>
      </c>
      <c r="F4" s="26">
        <v>44348</v>
      </c>
      <c r="G4" s="26">
        <v>44712</v>
      </c>
      <c r="H4" s="25"/>
      <c r="I4" s="33" t="s">
        <v>47</v>
      </c>
      <c r="K4" s="63" t="s">
        <v>41</v>
      </c>
      <c r="L4" s="24">
        <v>3600</v>
      </c>
      <c r="M4" s="69">
        <f t="shared" ref="M4:M5" si="1">L4*12</f>
        <v>43200</v>
      </c>
      <c r="N4" s="25">
        <v>3</v>
      </c>
      <c r="O4" s="25">
        <v>2</v>
      </c>
      <c r="P4" s="26">
        <v>44348</v>
      </c>
      <c r="Q4" s="26">
        <v>44712</v>
      </c>
      <c r="R4" s="25"/>
      <c r="S4" s="33" t="s">
        <v>47</v>
      </c>
    </row>
    <row r="5" spans="1:19" x14ac:dyDescent="0.3">
      <c r="A5" s="64" t="s">
        <v>42</v>
      </c>
      <c r="B5" s="28">
        <v>3136</v>
      </c>
      <c r="C5" s="69">
        <f t="shared" si="0"/>
        <v>37632</v>
      </c>
      <c r="D5" s="29">
        <v>3</v>
      </c>
      <c r="E5" s="29">
        <v>2</v>
      </c>
      <c r="F5" s="30">
        <v>44440</v>
      </c>
      <c r="G5" s="30">
        <v>44804</v>
      </c>
      <c r="H5" s="29"/>
      <c r="I5" s="34" t="s">
        <v>47</v>
      </c>
      <c r="K5" s="64" t="s">
        <v>42</v>
      </c>
      <c r="L5" s="28">
        <v>3600</v>
      </c>
      <c r="M5" s="69">
        <f t="shared" si="1"/>
        <v>43200</v>
      </c>
      <c r="N5" s="29">
        <v>3</v>
      </c>
      <c r="O5" s="29">
        <v>2</v>
      </c>
      <c r="P5" s="30">
        <v>44440</v>
      </c>
      <c r="Q5" s="30">
        <v>44804</v>
      </c>
      <c r="R5" s="29"/>
      <c r="S5" s="34" t="s">
        <v>47</v>
      </c>
    </row>
    <row r="6" spans="1:19" x14ac:dyDescent="0.3">
      <c r="A6" s="65" t="s">
        <v>51</v>
      </c>
      <c r="B6" s="37">
        <f>SUM(B3:B5)</f>
        <v>10336</v>
      </c>
      <c r="C6" s="50">
        <f>B6*12</f>
        <v>124032</v>
      </c>
      <c r="D6" s="38">
        <f>SUM(D3:D5)</f>
        <v>9</v>
      </c>
      <c r="E6" s="38">
        <f t="shared" ref="E6" si="2">SUM(E3:E5)</f>
        <v>6</v>
      </c>
      <c r="F6" s="35"/>
      <c r="G6" s="35"/>
      <c r="H6" s="35"/>
      <c r="I6" s="36"/>
      <c r="K6" s="65" t="s">
        <v>51</v>
      </c>
      <c r="L6" s="37">
        <f>SUM(L3:L5)</f>
        <v>11150</v>
      </c>
      <c r="M6" s="50">
        <f>L6*12</f>
        <v>133800</v>
      </c>
      <c r="N6" s="38">
        <f>SUM(N3:N5)</f>
        <v>9</v>
      </c>
      <c r="O6" s="38">
        <f t="shared" ref="O6" si="3">SUM(O3:O5)</f>
        <v>6</v>
      </c>
      <c r="P6" s="35"/>
      <c r="Q6" s="35"/>
      <c r="R6" s="35"/>
      <c r="S6" s="36"/>
    </row>
    <row r="7" spans="1:19" x14ac:dyDescent="0.3">
      <c r="A7" s="63" t="s">
        <v>53</v>
      </c>
      <c r="B7" s="24"/>
      <c r="C7" s="70"/>
      <c r="D7" s="25"/>
      <c r="E7" s="25"/>
      <c r="F7" s="25"/>
      <c r="G7" s="25"/>
      <c r="H7" s="25"/>
      <c r="I7" s="33"/>
      <c r="K7" s="63" t="s">
        <v>53</v>
      </c>
      <c r="L7" s="24"/>
      <c r="M7" s="70"/>
      <c r="N7" s="25"/>
      <c r="O7" s="25"/>
      <c r="P7" s="25"/>
      <c r="Q7" s="25"/>
      <c r="R7" s="25"/>
      <c r="S7" s="33"/>
    </row>
    <row r="8" spans="1:19" x14ac:dyDescent="0.3">
      <c r="A8" s="63" t="s">
        <v>40</v>
      </c>
      <c r="B8" s="24">
        <v>4300</v>
      </c>
      <c r="C8" s="69">
        <f>B8*12</f>
        <v>51600</v>
      </c>
      <c r="D8" s="25">
        <v>3</v>
      </c>
      <c r="E8" s="25">
        <v>3</v>
      </c>
      <c r="F8" s="25" t="s">
        <v>52</v>
      </c>
      <c r="G8" s="25" t="s">
        <v>52</v>
      </c>
      <c r="H8" s="27" t="s">
        <v>58</v>
      </c>
      <c r="I8" s="33" t="s">
        <v>47</v>
      </c>
      <c r="K8" s="63" t="s">
        <v>40</v>
      </c>
      <c r="L8" s="24">
        <v>4000</v>
      </c>
      <c r="M8" s="69">
        <f t="shared" ref="M8:M16" si="4">L8*12</f>
        <v>48000</v>
      </c>
      <c r="N8" s="25">
        <v>3</v>
      </c>
      <c r="O8" s="25">
        <v>3</v>
      </c>
      <c r="P8" s="25" t="s">
        <v>52</v>
      </c>
      <c r="Q8" s="25" t="s">
        <v>52</v>
      </c>
      <c r="R8" s="27" t="s">
        <v>58</v>
      </c>
      <c r="S8" s="33" t="s">
        <v>47</v>
      </c>
    </row>
    <row r="9" spans="1:19" x14ac:dyDescent="0.3">
      <c r="A9" s="63" t="s">
        <v>41</v>
      </c>
      <c r="B9" s="24">
        <v>6350</v>
      </c>
      <c r="C9" s="69">
        <f t="shared" ref="C9:C11" si="5">B9*12</f>
        <v>76200</v>
      </c>
      <c r="D9" s="25">
        <v>3</v>
      </c>
      <c r="E9" s="25">
        <v>2</v>
      </c>
      <c r="F9" s="25" t="s">
        <v>52</v>
      </c>
      <c r="G9" s="25" t="s">
        <v>52</v>
      </c>
      <c r="H9" s="27" t="s">
        <v>58</v>
      </c>
      <c r="I9" s="33" t="s">
        <v>47</v>
      </c>
      <c r="K9" s="63" t="s">
        <v>41</v>
      </c>
      <c r="L9" s="24">
        <v>3600</v>
      </c>
      <c r="M9" s="69">
        <f t="shared" si="4"/>
        <v>43200</v>
      </c>
      <c r="N9" s="25">
        <v>3</v>
      </c>
      <c r="O9" s="25">
        <v>2</v>
      </c>
      <c r="P9" s="25" t="s">
        <v>52</v>
      </c>
      <c r="Q9" s="25" t="s">
        <v>52</v>
      </c>
      <c r="R9" s="27" t="s">
        <v>58</v>
      </c>
      <c r="S9" s="33" t="s">
        <v>47</v>
      </c>
    </row>
    <row r="10" spans="1:19" x14ac:dyDescent="0.3">
      <c r="A10" s="64" t="s">
        <v>42</v>
      </c>
      <c r="B10" s="28">
        <v>6850</v>
      </c>
      <c r="C10" s="69">
        <f t="shared" si="5"/>
        <v>82200</v>
      </c>
      <c r="D10" s="29">
        <v>3</v>
      </c>
      <c r="E10" s="29">
        <v>2</v>
      </c>
      <c r="F10" s="29" t="s">
        <v>52</v>
      </c>
      <c r="G10" s="29" t="s">
        <v>52</v>
      </c>
      <c r="H10" s="31" t="s">
        <v>58</v>
      </c>
      <c r="I10" s="34" t="s">
        <v>47</v>
      </c>
      <c r="K10" s="64" t="s">
        <v>42</v>
      </c>
      <c r="L10" s="28">
        <v>3600</v>
      </c>
      <c r="M10" s="69">
        <f t="shared" si="4"/>
        <v>43200</v>
      </c>
      <c r="N10" s="29">
        <v>3</v>
      </c>
      <c r="O10" s="29">
        <v>2</v>
      </c>
      <c r="P10" s="29" t="s">
        <v>52</v>
      </c>
      <c r="Q10" s="29" t="s">
        <v>52</v>
      </c>
      <c r="R10" s="31" t="s">
        <v>58</v>
      </c>
      <c r="S10" s="34" t="s">
        <v>47</v>
      </c>
    </row>
    <row r="11" spans="1:19" x14ac:dyDescent="0.3">
      <c r="A11" s="66" t="s">
        <v>51</v>
      </c>
      <c r="B11" s="49">
        <f>SUM(B8:B10)</f>
        <v>17500</v>
      </c>
      <c r="C11" s="50">
        <f t="shared" si="5"/>
        <v>210000</v>
      </c>
      <c r="D11" s="51">
        <f>SUM(D8:D10)</f>
        <v>9</v>
      </c>
      <c r="E11" s="51">
        <f t="shared" ref="E11" si="6">SUM(E8:E10)</f>
        <v>7</v>
      </c>
      <c r="F11" s="29"/>
      <c r="G11" s="29"/>
      <c r="H11" s="29"/>
      <c r="I11" s="34"/>
      <c r="K11" s="66" t="s">
        <v>51</v>
      </c>
      <c r="L11" s="53">
        <f>SUM(L8:L10)</f>
        <v>11200</v>
      </c>
      <c r="M11" s="54">
        <f t="shared" si="4"/>
        <v>134400</v>
      </c>
      <c r="N11" s="55">
        <f>SUM(N8:N10)</f>
        <v>9</v>
      </c>
      <c r="O11" s="55">
        <f t="shared" ref="O11" si="7">SUM(O8:O10)</f>
        <v>7</v>
      </c>
      <c r="P11" s="56"/>
      <c r="Q11" s="56"/>
      <c r="R11" s="56"/>
      <c r="S11" s="57"/>
    </row>
    <row r="12" spans="1:19" x14ac:dyDescent="0.3">
      <c r="A12" s="63" t="s">
        <v>54</v>
      </c>
      <c r="B12" s="24"/>
      <c r="C12" s="70"/>
      <c r="D12" s="25"/>
      <c r="E12" s="25"/>
      <c r="F12" s="25"/>
      <c r="G12" s="25"/>
      <c r="H12" s="25"/>
      <c r="I12" s="33"/>
      <c r="K12" s="63" t="s">
        <v>54</v>
      </c>
      <c r="L12" s="24"/>
      <c r="M12" s="70"/>
      <c r="N12" s="25"/>
      <c r="O12" s="25"/>
      <c r="P12" s="25"/>
      <c r="Q12" s="25"/>
      <c r="R12" s="25"/>
      <c r="S12" s="33"/>
    </row>
    <row r="13" spans="1:19" x14ac:dyDescent="0.3">
      <c r="A13" s="63" t="s">
        <v>40</v>
      </c>
      <c r="B13" s="24">
        <v>3195</v>
      </c>
      <c r="C13" s="69">
        <f t="shared" ref="C13:C17" si="8">B13*12</f>
        <v>38340</v>
      </c>
      <c r="D13" s="25">
        <v>3</v>
      </c>
      <c r="E13" s="25">
        <v>2</v>
      </c>
      <c r="F13" s="26">
        <v>44263</v>
      </c>
      <c r="G13" s="26">
        <v>44712</v>
      </c>
      <c r="H13" s="25"/>
      <c r="I13" s="33" t="s">
        <v>47</v>
      </c>
      <c r="K13" s="63" t="s">
        <v>40</v>
      </c>
      <c r="L13" s="24">
        <v>3600</v>
      </c>
      <c r="M13" s="69">
        <f t="shared" si="4"/>
        <v>43200</v>
      </c>
      <c r="N13" s="25">
        <v>3</v>
      </c>
      <c r="O13" s="25">
        <v>2</v>
      </c>
      <c r="P13" s="26">
        <v>44263</v>
      </c>
      <c r="Q13" s="26">
        <v>44712</v>
      </c>
      <c r="R13" s="25"/>
      <c r="S13" s="33" t="s">
        <v>47</v>
      </c>
    </row>
    <row r="14" spans="1:19" x14ac:dyDescent="0.3">
      <c r="A14" s="63" t="s">
        <v>41</v>
      </c>
      <c r="B14" s="24">
        <v>2700</v>
      </c>
      <c r="C14" s="69">
        <f t="shared" si="8"/>
        <v>32400</v>
      </c>
      <c r="D14" s="25">
        <v>2</v>
      </c>
      <c r="E14" s="25">
        <v>1</v>
      </c>
      <c r="F14" s="26">
        <v>44440</v>
      </c>
      <c r="G14" s="26">
        <v>44804</v>
      </c>
      <c r="H14" s="25"/>
      <c r="I14" s="33" t="s">
        <v>47</v>
      </c>
      <c r="K14" s="63" t="s">
        <v>41</v>
      </c>
      <c r="L14" s="24">
        <v>3100</v>
      </c>
      <c r="M14" s="69">
        <f t="shared" si="4"/>
        <v>37200</v>
      </c>
      <c r="N14" s="25">
        <v>2</v>
      </c>
      <c r="O14" s="25">
        <v>1</v>
      </c>
      <c r="P14" s="26">
        <v>44440</v>
      </c>
      <c r="Q14" s="26">
        <v>44804</v>
      </c>
      <c r="R14" s="25"/>
      <c r="S14" s="33" t="s">
        <v>47</v>
      </c>
    </row>
    <row r="15" spans="1:19" x14ac:dyDescent="0.3">
      <c r="A15" s="64" t="s">
        <v>42</v>
      </c>
      <c r="B15" s="28">
        <v>2500</v>
      </c>
      <c r="C15" s="52">
        <f t="shared" si="8"/>
        <v>30000</v>
      </c>
      <c r="D15" s="29">
        <v>2</v>
      </c>
      <c r="E15" s="29">
        <v>1</v>
      </c>
      <c r="F15" s="30">
        <v>44197</v>
      </c>
      <c r="G15" s="30">
        <v>44711</v>
      </c>
      <c r="H15" s="29"/>
      <c r="I15" s="34" t="s">
        <v>47</v>
      </c>
      <c r="K15" s="64" t="s">
        <v>42</v>
      </c>
      <c r="L15" s="28">
        <v>3100</v>
      </c>
      <c r="M15" s="52">
        <f t="shared" si="4"/>
        <v>37200</v>
      </c>
      <c r="N15" s="29">
        <v>2</v>
      </c>
      <c r="O15" s="29">
        <v>1</v>
      </c>
      <c r="P15" s="30">
        <v>44197</v>
      </c>
      <c r="Q15" s="30">
        <v>44711</v>
      </c>
      <c r="R15" s="29"/>
      <c r="S15" s="34" t="s">
        <v>47</v>
      </c>
    </row>
    <row r="16" spans="1:19" ht="16.2" thickBot="1" x14ac:dyDescent="0.35">
      <c r="A16" s="67" t="s">
        <v>51</v>
      </c>
      <c r="B16" s="39">
        <f>SUM(B13:B15)</f>
        <v>8395</v>
      </c>
      <c r="C16" s="81">
        <f t="shared" si="8"/>
        <v>100740</v>
      </c>
      <c r="D16" s="40">
        <f>SUM(D13:D15)</f>
        <v>7</v>
      </c>
      <c r="E16" s="40">
        <f t="shared" ref="E16" si="9">SUM(E13:E15)</f>
        <v>4</v>
      </c>
      <c r="F16" s="41"/>
      <c r="G16" s="41"/>
      <c r="H16" s="41"/>
      <c r="I16" s="42"/>
      <c r="K16" s="67" t="s">
        <v>51</v>
      </c>
      <c r="L16" s="39">
        <f>SUM(L13:L15)</f>
        <v>9800</v>
      </c>
      <c r="M16" s="71">
        <f t="shared" si="4"/>
        <v>117600</v>
      </c>
      <c r="N16" s="40">
        <f>SUM(N13:N15)</f>
        <v>7</v>
      </c>
      <c r="O16" s="40">
        <f t="shared" ref="O16" si="10">SUM(O13:O15)</f>
        <v>4</v>
      </c>
      <c r="P16" s="41"/>
      <c r="Q16" s="41"/>
      <c r="R16" s="41"/>
      <c r="S16" s="42"/>
    </row>
    <row r="17" spans="1:19" x14ac:dyDescent="0.3">
      <c r="A17" s="80" t="s">
        <v>57</v>
      </c>
      <c r="B17" s="75">
        <f>SUM(B16,B11,B6)</f>
        <v>36231</v>
      </c>
      <c r="C17" s="79">
        <f t="shared" si="8"/>
        <v>434772</v>
      </c>
      <c r="D17" s="76">
        <f t="shared" ref="D17:E17" si="11">SUM(D16,D11,D6)</f>
        <v>25</v>
      </c>
      <c r="E17" s="76">
        <f t="shared" si="11"/>
        <v>17</v>
      </c>
      <c r="F17" s="77"/>
      <c r="G17" s="77"/>
      <c r="H17" s="77"/>
      <c r="I17" s="78"/>
      <c r="K17" s="80" t="s">
        <v>57</v>
      </c>
      <c r="L17" s="75">
        <f>SUM(L16,L11,L6)</f>
        <v>32150</v>
      </c>
      <c r="M17" s="79">
        <f>L17*12</f>
        <v>385800</v>
      </c>
      <c r="N17" s="76">
        <f t="shared" ref="N17" si="12">SUM(N16,N11,N6)</f>
        <v>25</v>
      </c>
      <c r="O17" s="76">
        <f t="shared" ref="O17" si="13">SUM(O16,O11,O6)</f>
        <v>17</v>
      </c>
      <c r="P17" s="77"/>
      <c r="Q17" s="77"/>
      <c r="R17" s="77"/>
      <c r="S17" s="78"/>
    </row>
  </sheetData>
  <dataValidations count="1">
    <dataValidation type="list" allowBlank="1" showInputMessage="1" showErrorMessage="1" sqref="I3:I5 I13:I15 I8:I10 S3:S5 S13:S15 S8:S10" xr:uid="{D3664F20-942C-F44B-825E-D894432608E5}">
      <formula1>"Free Market, Rent Stabalized, Rent Controlled"</formula1>
    </dataValidation>
  </dataValidations>
  <pageMargins left="0.7" right="0.7" top="0.75" bottom="0.75" header="0.3" footer="0.3"/>
  <ignoredErrors>
    <ignoredError sqref="C6 C11 C16:C17 M6 M11 M16:M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063A-665F-1F42-B103-4255BD452034}">
  <dimension ref="A1:M11"/>
  <sheetViews>
    <sheetView showGridLines="0" workbookViewId="0">
      <selection activeCell="L10" sqref="L10"/>
    </sheetView>
  </sheetViews>
  <sheetFormatPr defaultColWidth="11" defaultRowHeight="15.6" x14ac:dyDescent="0.3"/>
  <cols>
    <col min="1" max="1" width="13.69921875" bestFit="1" customWidth="1"/>
    <col min="3" max="3" width="13.69921875" bestFit="1" customWidth="1"/>
    <col min="4" max="4" width="11.19921875" bestFit="1" customWidth="1"/>
    <col min="5" max="5" width="13.69921875" bestFit="1" customWidth="1"/>
    <col min="8" max="8" width="13.69921875" bestFit="1" customWidth="1"/>
    <col min="10" max="10" width="13.69921875" bestFit="1" customWidth="1"/>
    <col min="12" max="12" width="13.69921875" bestFit="1" customWidth="1"/>
  </cols>
  <sheetData>
    <row r="1" spans="1:13" x14ac:dyDescent="0.3">
      <c r="A1" s="23" t="s">
        <v>114</v>
      </c>
      <c r="B1" s="23"/>
      <c r="C1" s="22"/>
      <c r="D1" s="22"/>
      <c r="E1" s="22"/>
      <c r="F1" s="22"/>
      <c r="H1" s="23" t="s">
        <v>115</v>
      </c>
      <c r="I1" s="23"/>
      <c r="J1" s="22"/>
      <c r="K1" s="22"/>
      <c r="L1" s="22"/>
      <c r="M1" s="22"/>
    </row>
    <row r="2" spans="1:13" x14ac:dyDescent="0.3">
      <c r="A2" s="46" t="s">
        <v>39</v>
      </c>
      <c r="B2" s="47"/>
      <c r="C2" s="46" t="s">
        <v>53</v>
      </c>
      <c r="D2" s="47"/>
      <c r="E2" s="46" t="s">
        <v>54</v>
      </c>
      <c r="F2" s="47"/>
      <c r="G2" s="1"/>
      <c r="H2" s="46" t="s">
        <v>39</v>
      </c>
      <c r="I2" s="47"/>
      <c r="J2" s="46" t="s">
        <v>53</v>
      </c>
      <c r="K2" s="47"/>
      <c r="L2" s="46" t="s">
        <v>54</v>
      </c>
      <c r="M2" s="47"/>
    </row>
    <row r="3" spans="1:13" x14ac:dyDescent="0.3">
      <c r="A3" s="43" t="s">
        <v>60</v>
      </c>
      <c r="B3" s="127">
        <v>4667.5600000000004</v>
      </c>
      <c r="C3" s="43" t="s">
        <v>60</v>
      </c>
      <c r="D3" s="127">
        <v>2628.96</v>
      </c>
      <c r="E3" s="43" t="s">
        <v>60</v>
      </c>
      <c r="F3" s="127">
        <v>4272.28</v>
      </c>
      <c r="H3" s="43" t="s">
        <v>60</v>
      </c>
      <c r="I3" s="127">
        <v>4667.5600000000004</v>
      </c>
      <c r="J3" s="43" t="s">
        <v>60</v>
      </c>
      <c r="K3" s="127">
        <v>2628.96</v>
      </c>
      <c r="L3" s="43" t="s">
        <v>60</v>
      </c>
      <c r="M3" s="127">
        <v>4272.28</v>
      </c>
    </row>
    <row r="4" spans="1:13" x14ac:dyDescent="0.3">
      <c r="A4" s="43" t="s">
        <v>61</v>
      </c>
      <c r="B4" s="127">
        <v>4128</v>
      </c>
      <c r="C4" s="43" t="s">
        <v>61</v>
      </c>
      <c r="D4" s="127">
        <v>4128</v>
      </c>
      <c r="E4" s="43" t="s">
        <v>61</v>
      </c>
      <c r="F4" s="127">
        <v>4128</v>
      </c>
      <c r="H4" s="43" t="s">
        <v>61</v>
      </c>
      <c r="I4" s="127">
        <v>4128</v>
      </c>
      <c r="J4" s="43" t="s">
        <v>61</v>
      </c>
      <c r="K4" s="127">
        <v>4128</v>
      </c>
      <c r="L4" s="43" t="s">
        <v>61</v>
      </c>
      <c r="M4" s="127">
        <v>4128</v>
      </c>
    </row>
    <row r="5" spans="1:13" x14ac:dyDescent="0.3">
      <c r="A5" s="43" t="s">
        <v>65</v>
      </c>
      <c r="B5" s="127">
        <v>3200</v>
      </c>
      <c r="C5" s="43" t="s">
        <v>65</v>
      </c>
      <c r="D5" s="127">
        <v>3200</v>
      </c>
      <c r="E5" s="43" t="s">
        <v>65</v>
      </c>
      <c r="F5" s="127">
        <v>3200</v>
      </c>
      <c r="H5" s="43" t="s">
        <v>65</v>
      </c>
      <c r="I5" s="127">
        <v>3200</v>
      </c>
      <c r="J5" s="43" t="s">
        <v>65</v>
      </c>
      <c r="K5" s="127">
        <v>3200</v>
      </c>
      <c r="L5" s="43" t="s">
        <v>65</v>
      </c>
      <c r="M5" s="127">
        <v>3200</v>
      </c>
    </row>
    <row r="6" spans="1:13" x14ac:dyDescent="0.3">
      <c r="A6" s="43" t="s">
        <v>62</v>
      </c>
      <c r="B6" s="127">
        <v>600</v>
      </c>
      <c r="C6" s="43" t="s">
        <v>62</v>
      </c>
      <c r="D6" s="127">
        <v>600</v>
      </c>
      <c r="E6" s="43" t="s">
        <v>62</v>
      </c>
      <c r="F6" s="127">
        <v>600</v>
      </c>
      <c r="H6" s="43" t="s">
        <v>62</v>
      </c>
      <c r="I6" s="127">
        <v>600</v>
      </c>
      <c r="J6" s="43" t="s">
        <v>62</v>
      </c>
      <c r="K6" s="127">
        <v>600</v>
      </c>
      <c r="L6" s="43" t="s">
        <v>62</v>
      </c>
      <c r="M6" s="127">
        <v>600</v>
      </c>
    </row>
    <row r="7" spans="1:13" x14ac:dyDescent="0.3">
      <c r="A7" s="43" t="s">
        <v>63</v>
      </c>
      <c r="B7" s="127">
        <v>1200</v>
      </c>
      <c r="C7" s="43" t="s">
        <v>63</v>
      </c>
      <c r="D7" s="127">
        <v>1200</v>
      </c>
      <c r="E7" s="43" t="s">
        <v>63</v>
      </c>
      <c r="F7" s="127">
        <v>1200</v>
      </c>
      <c r="H7" s="43" t="s">
        <v>63</v>
      </c>
      <c r="I7" s="127">
        <v>1200</v>
      </c>
      <c r="J7" s="43" t="s">
        <v>63</v>
      </c>
      <c r="K7" s="127">
        <v>1200</v>
      </c>
      <c r="L7" s="43" t="s">
        <v>63</v>
      </c>
      <c r="M7" s="127">
        <v>1200</v>
      </c>
    </row>
    <row r="8" spans="1:13" x14ac:dyDescent="0.3">
      <c r="A8" s="43" t="s">
        <v>64</v>
      </c>
      <c r="B8" s="127">
        <v>2000</v>
      </c>
      <c r="C8" s="43" t="s">
        <v>64</v>
      </c>
      <c r="D8" s="127">
        <v>2000</v>
      </c>
      <c r="E8" s="43" t="s">
        <v>64</v>
      </c>
      <c r="F8" s="127">
        <v>2000</v>
      </c>
      <c r="H8" s="43" t="s">
        <v>64</v>
      </c>
      <c r="I8" s="127">
        <v>2000</v>
      </c>
      <c r="J8" s="43" t="s">
        <v>64</v>
      </c>
      <c r="K8" s="127">
        <v>2000</v>
      </c>
      <c r="L8" s="43" t="s">
        <v>64</v>
      </c>
      <c r="M8" s="127">
        <v>2000</v>
      </c>
    </row>
    <row r="9" spans="1:13" x14ac:dyDescent="0.3">
      <c r="A9" s="43" t="s">
        <v>68</v>
      </c>
      <c r="B9" s="127">
        <v>7441.92</v>
      </c>
      <c r="C9" s="43" t="s">
        <v>68</v>
      </c>
      <c r="D9" s="127">
        <v>25200</v>
      </c>
      <c r="E9" s="43" t="s">
        <v>68</v>
      </c>
      <c r="F9" s="127">
        <v>6044.4</v>
      </c>
      <c r="H9" s="43" t="s">
        <v>68</v>
      </c>
      <c r="I9" s="127">
        <v>7441.92</v>
      </c>
      <c r="J9" s="43" t="s">
        <v>68</v>
      </c>
      <c r="K9" s="127">
        <v>8000</v>
      </c>
      <c r="L9" s="43" t="s">
        <v>68</v>
      </c>
      <c r="M9" s="127">
        <v>6044.4</v>
      </c>
    </row>
    <row r="10" spans="1:13" x14ac:dyDescent="0.3">
      <c r="A10" s="44" t="s">
        <v>51</v>
      </c>
      <c r="B10" s="45">
        <f>SUM(B3:B9)</f>
        <v>23237.480000000003</v>
      </c>
      <c r="C10" s="44" t="s">
        <v>51</v>
      </c>
      <c r="D10" s="45">
        <f>SUM(D3:D9)</f>
        <v>38956.959999999999</v>
      </c>
      <c r="E10" s="44" t="s">
        <v>51</v>
      </c>
      <c r="F10" s="45">
        <f>SUM(F3:F9)</f>
        <v>21444.68</v>
      </c>
      <c r="H10" s="44" t="s">
        <v>51</v>
      </c>
      <c r="I10" s="45">
        <f>SUM(I3:I9)</f>
        <v>23237.480000000003</v>
      </c>
      <c r="J10" s="44" t="s">
        <v>51</v>
      </c>
      <c r="K10" s="45">
        <f>SUM(K3:K9)</f>
        <v>21756.959999999999</v>
      </c>
      <c r="L10" s="44" t="s">
        <v>51</v>
      </c>
      <c r="M10" s="45">
        <f>SUM(M3:M9)</f>
        <v>21444.68</v>
      </c>
    </row>
    <row r="11" spans="1:13" ht="16.2" thickBot="1" x14ac:dyDescent="0.35">
      <c r="A11" s="48"/>
      <c r="B11" s="48"/>
      <c r="C11" s="48"/>
      <c r="D11" s="48"/>
      <c r="E11" s="60" t="s">
        <v>57</v>
      </c>
      <c r="F11" s="59">
        <f>SUM(F10,D10,B10)</f>
        <v>83639.12</v>
      </c>
      <c r="H11" s="48"/>
      <c r="I11" s="48"/>
      <c r="J11" s="48"/>
      <c r="K11" s="48"/>
      <c r="L11" s="60" t="s">
        <v>57</v>
      </c>
      <c r="M11" s="59">
        <f>SUM(M10,K10,I10)</f>
        <v>66439.12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29B9-C826-774A-BB01-92800B73AAF8}">
  <dimension ref="A1:BY35"/>
  <sheetViews>
    <sheetView showGridLines="0" tabSelected="1" zoomScale="70" zoomScaleNormal="70" workbookViewId="0">
      <selection activeCell="G38" sqref="G38"/>
    </sheetView>
  </sheetViews>
  <sheetFormatPr defaultColWidth="10.796875" defaultRowHeight="16.2" x14ac:dyDescent="0.35"/>
  <cols>
    <col min="1" max="1" width="30.796875" style="4" bestFit="1" customWidth="1"/>
    <col min="2" max="2" width="12.69921875" style="4" bestFit="1" customWidth="1"/>
    <col min="3" max="3" width="11" style="4" bestFit="1" customWidth="1"/>
    <col min="4" max="4" width="28.5" style="4" bestFit="1" customWidth="1"/>
    <col min="5" max="5" width="14.19921875" style="4" bestFit="1" customWidth="1"/>
    <col min="6" max="8" width="12.296875" style="4" bestFit="1" customWidth="1"/>
    <col min="9" max="13" width="11.5" style="4" bestFit="1" customWidth="1"/>
    <col min="14" max="16" width="11" style="4" bestFit="1" customWidth="1"/>
    <col min="17" max="17" width="13.19921875" style="4" bestFit="1" customWidth="1"/>
    <col min="18" max="20" width="12.19921875" style="4" bestFit="1" customWidth="1"/>
    <col min="21" max="29" width="11" style="4" bestFit="1" customWidth="1"/>
    <col min="30" max="32" width="12.19921875" style="4" bestFit="1" customWidth="1"/>
    <col min="33" max="41" width="11" style="4" bestFit="1" customWidth="1"/>
    <col min="42" max="44" width="12.19921875" style="4" bestFit="1" customWidth="1"/>
    <col min="45" max="53" width="11" style="4" bestFit="1" customWidth="1"/>
    <col min="54" max="56" width="12.19921875" style="4" bestFit="1" customWidth="1"/>
    <col min="57" max="59" width="11.19921875" style="4" bestFit="1" customWidth="1"/>
    <col min="60" max="64" width="11.296875" style="4" bestFit="1" customWidth="1"/>
    <col min="65" max="65" width="12.796875" style="4" bestFit="1" customWidth="1"/>
    <col min="66" max="68" width="12.5" style="4" bestFit="1" customWidth="1"/>
    <col min="69" max="71" width="11.296875" style="4" bestFit="1" customWidth="1"/>
    <col min="72" max="72" width="11.19921875" style="4" bestFit="1" customWidth="1"/>
    <col min="73" max="77" width="11" style="4" bestFit="1" customWidth="1"/>
    <col min="78" max="16384" width="10.796875" style="4"/>
  </cols>
  <sheetData>
    <row r="1" spans="1:77" x14ac:dyDescent="0.35">
      <c r="A1" s="83" t="s">
        <v>74</v>
      </c>
      <c r="B1" s="84"/>
      <c r="D1" s="104" t="s">
        <v>69</v>
      </c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9"/>
    </row>
    <row r="2" spans="1:77" x14ac:dyDescent="0.35">
      <c r="A2" s="85" t="s">
        <v>11</v>
      </c>
      <c r="B2" s="14">
        <v>4750000</v>
      </c>
      <c r="D2" s="105" t="s">
        <v>70</v>
      </c>
      <c r="E2" s="130">
        <f>'Deal Summary'!B23</f>
        <v>44805</v>
      </c>
      <c r="F2" s="131">
        <f>EOMONTH(E2,1)</f>
        <v>44865</v>
      </c>
      <c r="G2" s="131">
        <f t="shared" ref="G2:BR2" si="0">EOMONTH(F2,1)</f>
        <v>44895</v>
      </c>
      <c r="H2" s="131">
        <f t="shared" si="0"/>
        <v>44926</v>
      </c>
      <c r="I2" s="131">
        <f t="shared" si="0"/>
        <v>44957</v>
      </c>
      <c r="J2" s="131">
        <f t="shared" si="0"/>
        <v>44985</v>
      </c>
      <c r="K2" s="131">
        <f t="shared" si="0"/>
        <v>45016</v>
      </c>
      <c r="L2" s="131">
        <f t="shared" si="0"/>
        <v>45046</v>
      </c>
      <c r="M2" s="131">
        <f t="shared" si="0"/>
        <v>45077</v>
      </c>
      <c r="N2" s="131">
        <f t="shared" si="0"/>
        <v>45107</v>
      </c>
      <c r="O2" s="131">
        <f t="shared" si="0"/>
        <v>45138</v>
      </c>
      <c r="P2" s="131">
        <f t="shared" si="0"/>
        <v>45169</v>
      </c>
      <c r="Q2" s="131">
        <f t="shared" si="0"/>
        <v>45199</v>
      </c>
      <c r="R2" s="131">
        <f t="shared" si="0"/>
        <v>45230</v>
      </c>
      <c r="S2" s="131">
        <f t="shared" si="0"/>
        <v>45260</v>
      </c>
      <c r="T2" s="131">
        <f t="shared" si="0"/>
        <v>45291</v>
      </c>
      <c r="U2" s="131">
        <f t="shared" si="0"/>
        <v>45322</v>
      </c>
      <c r="V2" s="131">
        <f t="shared" si="0"/>
        <v>45351</v>
      </c>
      <c r="W2" s="131">
        <f t="shared" si="0"/>
        <v>45382</v>
      </c>
      <c r="X2" s="131">
        <f t="shared" si="0"/>
        <v>45412</v>
      </c>
      <c r="Y2" s="131">
        <f t="shared" si="0"/>
        <v>45443</v>
      </c>
      <c r="Z2" s="131">
        <f t="shared" si="0"/>
        <v>45473</v>
      </c>
      <c r="AA2" s="131">
        <f t="shared" si="0"/>
        <v>45504</v>
      </c>
      <c r="AB2" s="131">
        <f t="shared" si="0"/>
        <v>45535</v>
      </c>
      <c r="AC2" s="131">
        <f t="shared" si="0"/>
        <v>45565</v>
      </c>
      <c r="AD2" s="131">
        <f t="shared" si="0"/>
        <v>45596</v>
      </c>
      <c r="AE2" s="131">
        <f t="shared" si="0"/>
        <v>45626</v>
      </c>
      <c r="AF2" s="131">
        <f t="shared" si="0"/>
        <v>45657</v>
      </c>
      <c r="AG2" s="131">
        <f t="shared" si="0"/>
        <v>45688</v>
      </c>
      <c r="AH2" s="131">
        <f t="shared" si="0"/>
        <v>45716</v>
      </c>
      <c r="AI2" s="131">
        <f t="shared" si="0"/>
        <v>45747</v>
      </c>
      <c r="AJ2" s="131">
        <f t="shared" si="0"/>
        <v>45777</v>
      </c>
      <c r="AK2" s="131">
        <f t="shared" si="0"/>
        <v>45808</v>
      </c>
      <c r="AL2" s="131">
        <f t="shared" si="0"/>
        <v>45838</v>
      </c>
      <c r="AM2" s="131">
        <f t="shared" si="0"/>
        <v>45869</v>
      </c>
      <c r="AN2" s="131">
        <f t="shared" si="0"/>
        <v>45900</v>
      </c>
      <c r="AO2" s="131">
        <f t="shared" si="0"/>
        <v>45930</v>
      </c>
      <c r="AP2" s="131">
        <f t="shared" si="0"/>
        <v>45961</v>
      </c>
      <c r="AQ2" s="131">
        <f t="shared" si="0"/>
        <v>45991</v>
      </c>
      <c r="AR2" s="131">
        <f t="shared" si="0"/>
        <v>46022</v>
      </c>
      <c r="AS2" s="131">
        <f t="shared" si="0"/>
        <v>46053</v>
      </c>
      <c r="AT2" s="131">
        <f t="shared" si="0"/>
        <v>46081</v>
      </c>
      <c r="AU2" s="131">
        <f t="shared" si="0"/>
        <v>46112</v>
      </c>
      <c r="AV2" s="131">
        <f t="shared" si="0"/>
        <v>46142</v>
      </c>
      <c r="AW2" s="131">
        <f t="shared" si="0"/>
        <v>46173</v>
      </c>
      <c r="AX2" s="131">
        <f t="shared" si="0"/>
        <v>46203</v>
      </c>
      <c r="AY2" s="131">
        <f t="shared" si="0"/>
        <v>46234</v>
      </c>
      <c r="AZ2" s="131">
        <f t="shared" si="0"/>
        <v>46265</v>
      </c>
      <c r="BA2" s="131">
        <f t="shared" si="0"/>
        <v>46295</v>
      </c>
      <c r="BB2" s="131">
        <f t="shared" si="0"/>
        <v>46326</v>
      </c>
      <c r="BC2" s="131">
        <f t="shared" si="0"/>
        <v>46356</v>
      </c>
      <c r="BD2" s="131">
        <f t="shared" si="0"/>
        <v>46387</v>
      </c>
      <c r="BE2" s="131">
        <f t="shared" si="0"/>
        <v>46418</v>
      </c>
      <c r="BF2" s="131">
        <f t="shared" si="0"/>
        <v>46446</v>
      </c>
      <c r="BG2" s="131">
        <f t="shared" si="0"/>
        <v>46477</v>
      </c>
      <c r="BH2" s="131">
        <f t="shared" si="0"/>
        <v>46507</v>
      </c>
      <c r="BI2" s="131">
        <f t="shared" si="0"/>
        <v>46538</v>
      </c>
      <c r="BJ2" s="131">
        <f t="shared" si="0"/>
        <v>46568</v>
      </c>
      <c r="BK2" s="131">
        <f t="shared" si="0"/>
        <v>46599</v>
      </c>
      <c r="BL2" s="131">
        <f t="shared" si="0"/>
        <v>46630</v>
      </c>
      <c r="BM2" s="131">
        <f t="shared" si="0"/>
        <v>46660</v>
      </c>
      <c r="BN2" s="131">
        <f t="shared" si="0"/>
        <v>46691</v>
      </c>
      <c r="BO2" s="131">
        <f t="shared" si="0"/>
        <v>46721</v>
      </c>
      <c r="BP2" s="131">
        <f t="shared" si="0"/>
        <v>46752</v>
      </c>
      <c r="BQ2" s="131">
        <f t="shared" si="0"/>
        <v>46783</v>
      </c>
      <c r="BR2" s="131">
        <f t="shared" si="0"/>
        <v>46812</v>
      </c>
      <c r="BS2" s="131">
        <f t="shared" ref="BS2:BY2" si="1">EOMONTH(BR2,1)</f>
        <v>46843</v>
      </c>
      <c r="BT2" s="131">
        <f t="shared" si="1"/>
        <v>46873</v>
      </c>
      <c r="BU2" s="131">
        <f t="shared" si="1"/>
        <v>46904</v>
      </c>
      <c r="BV2" s="131">
        <f t="shared" si="1"/>
        <v>46934</v>
      </c>
      <c r="BW2" s="131">
        <f t="shared" si="1"/>
        <v>46965</v>
      </c>
      <c r="BX2" s="131">
        <f t="shared" si="1"/>
        <v>46996</v>
      </c>
      <c r="BY2" s="132">
        <f t="shared" si="1"/>
        <v>47026</v>
      </c>
    </row>
    <row r="3" spans="1:77" x14ac:dyDescent="0.35">
      <c r="A3" s="85" t="s">
        <v>73</v>
      </c>
      <c r="B3" s="87">
        <v>44805</v>
      </c>
      <c r="D3" s="105" t="s">
        <v>72</v>
      </c>
      <c r="E3" s="133">
        <v>0</v>
      </c>
      <c r="F3" s="134">
        <v>1</v>
      </c>
      <c r="G3" s="134">
        <f>F3+1</f>
        <v>2</v>
      </c>
      <c r="H3" s="134">
        <f t="shared" ref="H3:BS3" si="2">G3+1</f>
        <v>3</v>
      </c>
      <c r="I3" s="134">
        <f t="shared" si="2"/>
        <v>4</v>
      </c>
      <c r="J3" s="134">
        <f t="shared" si="2"/>
        <v>5</v>
      </c>
      <c r="K3" s="134">
        <f t="shared" si="2"/>
        <v>6</v>
      </c>
      <c r="L3" s="134">
        <f t="shared" si="2"/>
        <v>7</v>
      </c>
      <c r="M3" s="134">
        <f t="shared" si="2"/>
        <v>8</v>
      </c>
      <c r="N3" s="134">
        <f t="shared" si="2"/>
        <v>9</v>
      </c>
      <c r="O3" s="134">
        <f t="shared" si="2"/>
        <v>10</v>
      </c>
      <c r="P3" s="134">
        <f t="shared" si="2"/>
        <v>11</v>
      </c>
      <c r="Q3" s="134">
        <f t="shared" si="2"/>
        <v>12</v>
      </c>
      <c r="R3" s="134">
        <f t="shared" si="2"/>
        <v>13</v>
      </c>
      <c r="S3" s="134">
        <f t="shared" si="2"/>
        <v>14</v>
      </c>
      <c r="T3" s="134">
        <f t="shared" si="2"/>
        <v>15</v>
      </c>
      <c r="U3" s="134">
        <f t="shared" si="2"/>
        <v>16</v>
      </c>
      <c r="V3" s="134">
        <f t="shared" si="2"/>
        <v>17</v>
      </c>
      <c r="W3" s="134">
        <f t="shared" si="2"/>
        <v>18</v>
      </c>
      <c r="X3" s="134">
        <f t="shared" si="2"/>
        <v>19</v>
      </c>
      <c r="Y3" s="134">
        <f t="shared" si="2"/>
        <v>20</v>
      </c>
      <c r="Z3" s="134">
        <f t="shared" si="2"/>
        <v>21</v>
      </c>
      <c r="AA3" s="134">
        <f t="shared" si="2"/>
        <v>22</v>
      </c>
      <c r="AB3" s="134">
        <f t="shared" si="2"/>
        <v>23</v>
      </c>
      <c r="AC3" s="134">
        <f t="shared" si="2"/>
        <v>24</v>
      </c>
      <c r="AD3" s="134">
        <f t="shared" si="2"/>
        <v>25</v>
      </c>
      <c r="AE3" s="134">
        <f t="shared" si="2"/>
        <v>26</v>
      </c>
      <c r="AF3" s="134">
        <f t="shared" si="2"/>
        <v>27</v>
      </c>
      <c r="AG3" s="134">
        <f t="shared" si="2"/>
        <v>28</v>
      </c>
      <c r="AH3" s="134">
        <f t="shared" si="2"/>
        <v>29</v>
      </c>
      <c r="AI3" s="134">
        <f t="shared" si="2"/>
        <v>30</v>
      </c>
      <c r="AJ3" s="134">
        <f t="shared" si="2"/>
        <v>31</v>
      </c>
      <c r="AK3" s="134">
        <f t="shared" si="2"/>
        <v>32</v>
      </c>
      <c r="AL3" s="134">
        <f t="shared" si="2"/>
        <v>33</v>
      </c>
      <c r="AM3" s="134">
        <f t="shared" si="2"/>
        <v>34</v>
      </c>
      <c r="AN3" s="134">
        <f t="shared" si="2"/>
        <v>35</v>
      </c>
      <c r="AO3" s="134">
        <f t="shared" si="2"/>
        <v>36</v>
      </c>
      <c r="AP3" s="134">
        <f t="shared" si="2"/>
        <v>37</v>
      </c>
      <c r="AQ3" s="134">
        <f t="shared" si="2"/>
        <v>38</v>
      </c>
      <c r="AR3" s="134">
        <f t="shared" si="2"/>
        <v>39</v>
      </c>
      <c r="AS3" s="134">
        <f t="shared" si="2"/>
        <v>40</v>
      </c>
      <c r="AT3" s="134">
        <f t="shared" si="2"/>
        <v>41</v>
      </c>
      <c r="AU3" s="134">
        <f t="shared" si="2"/>
        <v>42</v>
      </c>
      <c r="AV3" s="134">
        <f t="shared" si="2"/>
        <v>43</v>
      </c>
      <c r="AW3" s="134">
        <f t="shared" si="2"/>
        <v>44</v>
      </c>
      <c r="AX3" s="134">
        <f t="shared" si="2"/>
        <v>45</v>
      </c>
      <c r="AY3" s="134">
        <f t="shared" si="2"/>
        <v>46</v>
      </c>
      <c r="AZ3" s="134">
        <f t="shared" si="2"/>
        <v>47</v>
      </c>
      <c r="BA3" s="134">
        <f t="shared" si="2"/>
        <v>48</v>
      </c>
      <c r="BB3" s="134">
        <f t="shared" si="2"/>
        <v>49</v>
      </c>
      <c r="BC3" s="134">
        <f t="shared" si="2"/>
        <v>50</v>
      </c>
      <c r="BD3" s="134">
        <f t="shared" si="2"/>
        <v>51</v>
      </c>
      <c r="BE3" s="134">
        <f t="shared" si="2"/>
        <v>52</v>
      </c>
      <c r="BF3" s="134">
        <f t="shared" si="2"/>
        <v>53</v>
      </c>
      <c r="BG3" s="134">
        <f t="shared" si="2"/>
        <v>54</v>
      </c>
      <c r="BH3" s="134">
        <f t="shared" si="2"/>
        <v>55</v>
      </c>
      <c r="BI3" s="134">
        <f t="shared" si="2"/>
        <v>56</v>
      </c>
      <c r="BJ3" s="134">
        <f t="shared" si="2"/>
        <v>57</v>
      </c>
      <c r="BK3" s="134">
        <f t="shared" si="2"/>
        <v>58</v>
      </c>
      <c r="BL3" s="134">
        <f t="shared" si="2"/>
        <v>59</v>
      </c>
      <c r="BM3" s="134">
        <f t="shared" si="2"/>
        <v>60</v>
      </c>
      <c r="BN3" s="134">
        <f t="shared" si="2"/>
        <v>61</v>
      </c>
      <c r="BO3" s="134">
        <f t="shared" si="2"/>
        <v>62</v>
      </c>
      <c r="BP3" s="134">
        <f t="shared" si="2"/>
        <v>63</v>
      </c>
      <c r="BQ3" s="134">
        <f t="shared" si="2"/>
        <v>64</v>
      </c>
      <c r="BR3" s="134">
        <f t="shared" si="2"/>
        <v>65</v>
      </c>
      <c r="BS3" s="134">
        <f t="shared" si="2"/>
        <v>66</v>
      </c>
      <c r="BT3" s="134">
        <f t="shared" ref="BT3:BY3" si="3">BS3+1</f>
        <v>67</v>
      </c>
      <c r="BU3" s="134">
        <f t="shared" si="3"/>
        <v>68</v>
      </c>
      <c r="BV3" s="134">
        <f t="shared" si="3"/>
        <v>69</v>
      </c>
      <c r="BW3" s="134">
        <f t="shared" si="3"/>
        <v>70</v>
      </c>
      <c r="BX3" s="134">
        <f t="shared" si="3"/>
        <v>71</v>
      </c>
      <c r="BY3" s="135">
        <f t="shared" si="3"/>
        <v>72</v>
      </c>
    </row>
    <row r="4" spans="1:77" x14ac:dyDescent="0.35">
      <c r="A4" s="88" t="s">
        <v>18</v>
      </c>
      <c r="B4" s="92">
        <f>B2*C4</f>
        <v>95000</v>
      </c>
      <c r="C4" s="91">
        <v>0.02</v>
      </c>
      <c r="D4" s="105" t="s">
        <v>71</v>
      </c>
      <c r="E4" s="133">
        <v>0</v>
      </c>
      <c r="F4" s="134">
        <v>1</v>
      </c>
      <c r="G4" s="134">
        <v>1</v>
      </c>
      <c r="H4" s="134">
        <v>1</v>
      </c>
      <c r="I4" s="134">
        <v>1</v>
      </c>
      <c r="J4" s="134">
        <v>1</v>
      </c>
      <c r="K4" s="134">
        <v>1</v>
      </c>
      <c r="L4" s="134">
        <v>1</v>
      </c>
      <c r="M4" s="134">
        <v>1</v>
      </c>
      <c r="N4" s="134">
        <v>1</v>
      </c>
      <c r="O4" s="134">
        <v>1</v>
      </c>
      <c r="P4" s="134">
        <v>1</v>
      </c>
      <c r="Q4" s="134">
        <v>1</v>
      </c>
      <c r="R4" s="134">
        <f>F4+1</f>
        <v>2</v>
      </c>
      <c r="S4" s="134">
        <f t="shared" ref="S4:BO4" si="4">G4+1</f>
        <v>2</v>
      </c>
      <c r="T4" s="134">
        <f t="shared" si="4"/>
        <v>2</v>
      </c>
      <c r="U4" s="134">
        <f t="shared" si="4"/>
        <v>2</v>
      </c>
      <c r="V4" s="134">
        <f t="shared" si="4"/>
        <v>2</v>
      </c>
      <c r="W4" s="134">
        <f t="shared" si="4"/>
        <v>2</v>
      </c>
      <c r="X4" s="134">
        <f t="shared" si="4"/>
        <v>2</v>
      </c>
      <c r="Y4" s="134">
        <f t="shared" si="4"/>
        <v>2</v>
      </c>
      <c r="Z4" s="134">
        <f t="shared" si="4"/>
        <v>2</v>
      </c>
      <c r="AA4" s="134">
        <f t="shared" si="4"/>
        <v>2</v>
      </c>
      <c r="AB4" s="134">
        <f t="shared" si="4"/>
        <v>2</v>
      </c>
      <c r="AC4" s="134">
        <f t="shared" si="4"/>
        <v>2</v>
      </c>
      <c r="AD4" s="134">
        <f t="shared" si="4"/>
        <v>3</v>
      </c>
      <c r="AE4" s="134">
        <f t="shared" si="4"/>
        <v>3</v>
      </c>
      <c r="AF4" s="134">
        <f t="shared" si="4"/>
        <v>3</v>
      </c>
      <c r="AG4" s="134">
        <f t="shared" si="4"/>
        <v>3</v>
      </c>
      <c r="AH4" s="134">
        <f t="shared" si="4"/>
        <v>3</v>
      </c>
      <c r="AI4" s="134">
        <f t="shared" si="4"/>
        <v>3</v>
      </c>
      <c r="AJ4" s="134">
        <f t="shared" si="4"/>
        <v>3</v>
      </c>
      <c r="AK4" s="134">
        <f t="shared" si="4"/>
        <v>3</v>
      </c>
      <c r="AL4" s="134">
        <f t="shared" si="4"/>
        <v>3</v>
      </c>
      <c r="AM4" s="134">
        <f t="shared" si="4"/>
        <v>3</v>
      </c>
      <c r="AN4" s="134">
        <f t="shared" si="4"/>
        <v>3</v>
      </c>
      <c r="AO4" s="134">
        <f t="shared" si="4"/>
        <v>3</v>
      </c>
      <c r="AP4" s="134">
        <f t="shared" si="4"/>
        <v>4</v>
      </c>
      <c r="AQ4" s="134">
        <f t="shared" si="4"/>
        <v>4</v>
      </c>
      <c r="AR4" s="134">
        <f t="shared" si="4"/>
        <v>4</v>
      </c>
      <c r="AS4" s="134">
        <f t="shared" si="4"/>
        <v>4</v>
      </c>
      <c r="AT4" s="134">
        <f t="shared" si="4"/>
        <v>4</v>
      </c>
      <c r="AU4" s="134">
        <f t="shared" si="4"/>
        <v>4</v>
      </c>
      <c r="AV4" s="134">
        <f t="shared" si="4"/>
        <v>4</v>
      </c>
      <c r="AW4" s="134">
        <f t="shared" si="4"/>
        <v>4</v>
      </c>
      <c r="AX4" s="134">
        <f t="shared" si="4"/>
        <v>4</v>
      </c>
      <c r="AY4" s="134">
        <f t="shared" si="4"/>
        <v>4</v>
      </c>
      <c r="AZ4" s="134">
        <f t="shared" si="4"/>
        <v>4</v>
      </c>
      <c r="BA4" s="134">
        <f t="shared" si="4"/>
        <v>4</v>
      </c>
      <c r="BB4" s="134">
        <f t="shared" si="4"/>
        <v>5</v>
      </c>
      <c r="BC4" s="134">
        <f t="shared" si="4"/>
        <v>5</v>
      </c>
      <c r="BD4" s="134">
        <f t="shared" si="4"/>
        <v>5</v>
      </c>
      <c r="BE4" s="134">
        <f t="shared" si="4"/>
        <v>5</v>
      </c>
      <c r="BF4" s="134">
        <f t="shared" si="4"/>
        <v>5</v>
      </c>
      <c r="BG4" s="134">
        <f t="shared" si="4"/>
        <v>5</v>
      </c>
      <c r="BH4" s="134">
        <f t="shared" si="4"/>
        <v>5</v>
      </c>
      <c r="BI4" s="134">
        <f t="shared" si="4"/>
        <v>5</v>
      </c>
      <c r="BJ4" s="134">
        <f t="shared" si="4"/>
        <v>5</v>
      </c>
      <c r="BK4" s="134">
        <f t="shared" si="4"/>
        <v>5</v>
      </c>
      <c r="BL4" s="134">
        <f t="shared" si="4"/>
        <v>5</v>
      </c>
      <c r="BM4" s="134">
        <f t="shared" si="4"/>
        <v>5</v>
      </c>
      <c r="BN4" s="134">
        <f t="shared" si="4"/>
        <v>6</v>
      </c>
      <c r="BO4" s="134">
        <f t="shared" si="4"/>
        <v>6</v>
      </c>
      <c r="BP4" s="134">
        <f t="shared" ref="BP4" si="5">BD4+1</f>
        <v>6</v>
      </c>
      <c r="BQ4" s="134">
        <f t="shared" ref="BQ4" si="6">BE4+1</f>
        <v>6</v>
      </c>
      <c r="BR4" s="134">
        <f t="shared" ref="BR4" si="7">BF4+1</f>
        <v>6</v>
      </c>
      <c r="BS4" s="134">
        <f t="shared" ref="BS4" si="8">BG4+1</f>
        <v>6</v>
      </c>
      <c r="BT4" s="134">
        <f t="shared" ref="BT4" si="9">BH4+1</f>
        <v>6</v>
      </c>
      <c r="BU4" s="134">
        <f t="shared" ref="BU4" si="10">BI4+1</f>
        <v>6</v>
      </c>
      <c r="BV4" s="134">
        <f t="shared" ref="BV4" si="11">BJ4+1</f>
        <v>6</v>
      </c>
      <c r="BW4" s="134">
        <f t="shared" ref="BW4" si="12">BK4+1</f>
        <v>6</v>
      </c>
      <c r="BX4" s="134">
        <f t="shared" ref="BX4" si="13">BL4+1</f>
        <v>6</v>
      </c>
      <c r="BY4" s="135">
        <f t="shared" ref="BY4" si="14">BM4+1</f>
        <v>6</v>
      </c>
    </row>
    <row r="5" spans="1:77" x14ac:dyDescent="0.35">
      <c r="A5" s="90"/>
      <c r="B5" s="89"/>
      <c r="D5" s="106" t="s">
        <v>76</v>
      </c>
      <c r="E5" s="97">
        <v>0</v>
      </c>
      <c r="F5" s="97">
        <f>'Rent Roll'!L17</f>
        <v>32150</v>
      </c>
      <c r="G5" s="97">
        <f>F5*(1+$B$9)^(1/12)</f>
        <v>32216.223736075444</v>
      </c>
      <c r="H5" s="97">
        <f t="shared" ref="H5:BS5" si="15">G5*(1+$B$9)^(1/12)</f>
        <v>32282.583882204381</v>
      </c>
      <c r="I5" s="97">
        <f t="shared" si="15"/>
        <v>32349.080719369187</v>
      </c>
      <c r="J5" s="97">
        <f t="shared" si="15"/>
        <v>32415.714529131015</v>
      </c>
      <c r="K5" s="97">
        <f t="shared" si="15"/>
        <v>32482.485593630987</v>
      </c>
      <c r="L5" s="97">
        <f t="shared" si="15"/>
        <v>32549.394195591391</v>
      </c>
      <c r="M5" s="97">
        <f t="shared" si="15"/>
        <v>32616.440618316879</v>
      </c>
      <c r="N5" s="97">
        <f t="shared" si="15"/>
        <v>32683.62514569566</v>
      </c>
      <c r="O5" s="97">
        <f t="shared" si="15"/>
        <v>32750.948062200707</v>
      </c>
      <c r="P5" s="97">
        <f t="shared" si="15"/>
        <v>32818.409652890965</v>
      </c>
      <c r="Q5" s="97">
        <f t="shared" si="15"/>
        <v>32886.010203412545</v>
      </c>
      <c r="R5" s="97">
        <f t="shared" si="15"/>
        <v>32953.749999999949</v>
      </c>
      <c r="S5" s="97">
        <f t="shared" si="15"/>
        <v>33021.629329477277</v>
      </c>
      <c r="T5" s="97">
        <f t="shared" si="15"/>
        <v>33089.648479259435</v>
      </c>
      <c r="U5" s="97">
        <f t="shared" si="15"/>
        <v>33157.80773735336</v>
      </c>
      <c r="V5" s="97">
        <f t="shared" si="15"/>
        <v>33226.107392359234</v>
      </c>
      <c r="W5" s="97">
        <f t="shared" si="15"/>
        <v>33294.547733471707</v>
      </c>
      <c r="X5" s="97">
        <f t="shared" si="15"/>
        <v>33363.129050481126</v>
      </c>
      <c r="Y5" s="97">
        <f t="shared" si="15"/>
        <v>33431.85163377475</v>
      </c>
      <c r="Z5" s="97">
        <f t="shared" si="15"/>
        <v>33500.715774338001</v>
      </c>
      <c r="AA5" s="97">
        <f t="shared" si="15"/>
        <v>33569.721763755675</v>
      </c>
      <c r="AB5" s="97">
        <f t="shared" si="15"/>
        <v>33638.869894213189</v>
      </c>
      <c r="AC5" s="97">
        <f t="shared" si="15"/>
        <v>33708.160458497812</v>
      </c>
      <c r="AD5" s="97">
        <f t="shared" si="15"/>
        <v>33777.593749999905</v>
      </c>
      <c r="AE5" s="97">
        <f t="shared" si="15"/>
        <v>33847.170062714169</v>
      </c>
      <c r="AF5" s="97">
        <f t="shared" si="15"/>
        <v>33916.889691240882</v>
      </c>
      <c r="AG5" s="97">
        <f t="shared" si="15"/>
        <v>33986.752930787152</v>
      </c>
      <c r="AH5" s="97">
        <f t="shared" si="15"/>
        <v>34056.760077168168</v>
      </c>
      <c r="AI5" s="97">
        <f t="shared" si="15"/>
        <v>34126.911426808452</v>
      </c>
      <c r="AJ5" s="97">
        <f t="shared" si="15"/>
        <v>34197.207276743102</v>
      </c>
      <c r="AK5" s="97">
        <f t="shared" si="15"/>
        <v>34267.647924619065</v>
      </c>
      <c r="AL5" s="97">
        <f t="shared" si="15"/>
        <v>34338.233668696397</v>
      </c>
      <c r="AM5" s="97">
        <f t="shared" si="15"/>
        <v>34408.964807849516</v>
      </c>
      <c r="AN5" s="97">
        <f t="shared" si="15"/>
        <v>34479.84164156847</v>
      </c>
      <c r="AO5" s="97">
        <f t="shared" si="15"/>
        <v>34550.864469960208</v>
      </c>
      <c r="AP5" s="97">
        <f t="shared" si="15"/>
        <v>34622.033593749853</v>
      </c>
      <c r="AQ5" s="97">
        <f t="shared" si="15"/>
        <v>34693.349314281972</v>
      </c>
      <c r="AR5" s="97">
        <f t="shared" si="15"/>
        <v>34764.811933521851</v>
      </c>
      <c r="AS5" s="97">
        <f t="shared" si="15"/>
        <v>34836.421754056784</v>
      </c>
      <c r="AT5" s="97">
        <f t="shared" si="15"/>
        <v>34908.179079097332</v>
      </c>
      <c r="AU5" s="97">
        <f t="shared" si="15"/>
        <v>34980.084212478621</v>
      </c>
      <c r="AV5" s="97">
        <f t="shared" si="15"/>
        <v>35052.137458661637</v>
      </c>
      <c r="AW5" s="97">
        <f t="shared" si="15"/>
        <v>35124.339122734498</v>
      </c>
      <c r="AX5" s="97">
        <f t="shared" si="15"/>
        <v>35196.689510413766</v>
      </c>
      <c r="AY5" s="97">
        <f t="shared" si="15"/>
        <v>35269.188928045711</v>
      </c>
      <c r="AZ5" s="97">
        <f t="shared" si="15"/>
        <v>35341.837682607635</v>
      </c>
      <c r="BA5" s="97">
        <f t="shared" si="15"/>
        <v>35414.636081709163</v>
      </c>
      <c r="BB5" s="97">
        <f t="shared" si="15"/>
        <v>35487.584433593547</v>
      </c>
      <c r="BC5" s="97">
        <f t="shared" si="15"/>
        <v>35560.683047138969</v>
      </c>
      <c r="BD5" s="97">
        <f t="shared" si="15"/>
        <v>35633.93223185985</v>
      </c>
      <c r="BE5" s="97">
        <f t="shared" si="15"/>
        <v>35707.332297908149</v>
      </c>
      <c r="BF5" s="97">
        <f t="shared" si="15"/>
        <v>35780.88355607471</v>
      </c>
      <c r="BG5" s="97">
        <f t="shared" si="15"/>
        <v>35854.586317790534</v>
      </c>
      <c r="BH5" s="97">
        <f t="shared" si="15"/>
        <v>35928.440895128129</v>
      </c>
      <c r="BI5" s="97">
        <f t="shared" si="15"/>
        <v>36002.447600802814</v>
      </c>
      <c r="BJ5" s="97">
        <f t="shared" si="15"/>
        <v>36076.606748174061</v>
      </c>
      <c r="BK5" s="97">
        <f t="shared" si="15"/>
        <v>36150.9186512468</v>
      </c>
      <c r="BL5" s="97">
        <f t="shared" si="15"/>
        <v>36225.383624672773</v>
      </c>
      <c r="BM5" s="97">
        <f t="shared" si="15"/>
        <v>36300.001983751841</v>
      </c>
      <c r="BN5" s="97">
        <f t="shared" si="15"/>
        <v>36374.774044433339</v>
      </c>
      <c r="BO5" s="97">
        <f t="shared" si="15"/>
        <v>36449.700123317394</v>
      </c>
      <c r="BP5" s="97">
        <f t="shared" si="15"/>
        <v>36524.780537656297</v>
      </c>
      <c r="BQ5" s="97">
        <f t="shared" si="15"/>
        <v>36600.015605355809</v>
      </c>
      <c r="BR5" s="97">
        <f t="shared" si="15"/>
        <v>36675.405644976534</v>
      </c>
      <c r="BS5" s="97">
        <f t="shared" si="15"/>
        <v>36750.95097573525</v>
      </c>
      <c r="BT5" s="97">
        <f t="shared" ref="BT5:BY5" si="16">BS5*(1+$B$9)^(1/12)</f>
        <v>36826.651917506279</v>
      </c>
      <c r="BU5" s="97">
        <f t="shared" si="16"/>
        <v>36902.508790822831</v>
      </c>
      <c r="BV5" s="97">
        <f t="shared" si="16"/>
        <v>36978.521916878359</v>
      </c>
      <c r="BW5" s="97">
        <f t="shared" si="16"/>
        <v>37054.691617527918</v>
      </c>
      <c r="BX5" s="97">
        <f t="shared" si="16"/>
        <v>37131.018215289543</v>
      </c>
      <c r="BY5" s="136">
        <f t="shared" si="16"/>
        <v>37207.50203334559</v>
      </c>
    </row>
    <row r="6" spans="1:77" x14ac:dyDescent="0.35">
      <c r="A6" s="83" t="s">
        <v>79</v>
      </c>
      <c r="B6" s="84"/>
      <c r="D6" s="106" t="s">
        <v>75</v>
      </c>
      <c r="E6" s="97">
        <v>0</v>
      </c>
      <c r="F6" s="97">
        <f>-$B$8*F5</f>
        <v>-1286</v>
      </c>
      <c r="G6" s="97">
        <f t="shared" ref="G6:BR6" si="17">-$B$8*G5</f>
        <v>-1288.6489494430177</v>
      </c>
      <c r="H6" s="97">
        <f t="shared" si="17"/>
        <v>-1291.3033552881752</v>
      </c>
      <c r="I6" s="97">
        <f t="shared" si="17"/>
        <v>-1293.9632287747675</v>
      </c>
      <c r="J6" s="97">
        <f t="shared" si="17"/>
        <v>-1296.6285811652406</v>
      </c>
      <c r="K6" s="97">
        <f t="shared" si="17"/>
        <v>-1299.2994237452394</v>
      </c>
      <c r="L6" s="97">
        <f t="shared" si="17"/>
        <v>-1301.9757678236556</v>
      </c>
      <c r="M6" s="97">
        <f t="shared" si="17"/>
        <v>-1304.6576247326752</v>
      </c>
      <c r="N6" s="97">
        <f t="shared" si="17"/>
        <v>-1307.3450058278265</v>
      </c>
      <c r="O6" s="97">
        <f t="shared" si="17"/>
        <v>-1310.0379224880282</v>
      </c>
      <c r="P6" s="97">
        <f t="shared" si="17"/>
        <v>-1312.7363861156387</v>
      </c>
      <c r="Q6" s="97">
        <f t="shared" si="17"/>
        <v>-1315.4404081365019</v>
      </c>
      <c r="R6" s="97">
        <f t="shared" si="17"/>
        <v>-1318.149999999998</v>
      </c>
      <c r="S6" s="97">
        <f t="shared" si="17"/>
        <v>-1320.865173179091</v>
      </c>
      <c r="T6" s="97">
        <f t="shared" si="17"/>
        <v>-1323.5859391703775</v>
      </c>
      <c r="U6" s="97">
        <f t="shared" si="17"/>
        <v>-1326.3123094941345</v>
      </c>
      <c r="V6" s="97">
        <f t="shared" si="17"/>
        <v>-1329.0442956943693</v>
      </c>
      <c r="W6" s="97">
        <f t="shared" si="17"/>
        <v>-1331.7819093388682</v>
      </c>
      <c r="X6" s="97">
        <f t="shared" si="17"/>
        <v>-1334.525162019245</v>
      </c>
      <c r="Y6" s="97">
        <f t="shared" si="17"/>
        <v>-1337.27406535099</v>
      </c>
      <c r="Z6" s="97">
        <f t="shared" si="17"/>
        <v>-1340.02863097352</v>
      </c>
      <c r="AA6" s="97">
        <f t="shared" si="17"/>
        <v>-1342.7888705502271</v>
      </c>
      <c r="AB6" s="97">
        <f t="shared" si="17"/>
        <v>-1345.5547957685276</v>
      </c>
      <c r="AC6" s="97">
        <f t="shared" si="17"/>
        <v>-1348.3264183399126</v>
      </c>
      <c r="AD6" s="97">
        <f t="shared" si="17"/>
        <v>-1351.1037499999964</v>
      </c>
      <c r="AE6" s="97">
        <f t="shared" si="17"/>
        <v>-1353.8868025085667</v>
      </c>
      <c r="AF6" s="97">
        <f t="shared" si="17"/>
        <v>-1356.6755876496352</v>
      </c>
      <c r="AG6" s="97">
        <f t="shared" si="17"/>
        <v>-1359.470117231486</v>
      </c>
      <c r="AH6" s="97">
        <f t="shared" si="17"/>
        <v>-1362.2704030867267</v>
      </c>
      <c r="AI6" s="97">
        <f t="shared" si="17"/>
        <v>-1365.0764570723381</v>
      </c>
      <c r="AJ6" s="97">
        <f t="shared" si="17"/>
        <v>-1367.8882910697241</v>
      </c>
      <c r="AK6" s="97">
        <f t="shared" si="17"/>
        <v>-1370.7059169847626</v>
      </c>
      <c r="AL6" s="97">
        <f t="shared" si="17"/>
        <v>-1373.5293467478559</v>
      </c>
      <c r="AM6" s="97">
        <f t="shared" si="17"/>
        <v>-1376.3585923139806</v>
      </c>
      <c r="AN6" s="97">
        <f t="shared" si="17"/>
        <v>-1379.1936656627388</v>
      </c>
      <c r="AO6" s="97">
        <f t="shared" si="17"/>
        <v>-1382.0345787984083</v>
      </c>
      <c r="AP6" s="97">
        <f t="shared" si="17"/>
        <v>-1384.8813437499941</v>
      </c>
      <c r="AQ6" s="97">
        <f t="shared" si="17"/>
        <v>-1387.7339725712789</v>
      </c>
      <c r="AR6" s="97">
        <f t="shared" si="17"/>
        <v>-1390.592477340874</v>
      </c>
      <c r="AS6" s="97">
        <f t="shared" si="17"/>
        <v>-1393.4568701622713</v>
      </c>
      <c r="AT6" s="97">
        <f t="shared" si="17"/>
        <v>-1396.3271631638934</v>
      </c>
      <c r="AU6" s="97">
        <f t="shared" si="17"/>
        <v>-1399.203368499145</v>
      </c>
      <c r="AV6" s="97">
        <f t="shared" si="17"/>
        <v>-1402.0854983464656</v>
      </c>
      <c r="AW6" s="97">
        <f t="shared" si="17"/>
        <v>-1404.97356490938</v>
      </c>
      <c r="AX6" s="97">
        <f t="shared" si="17"/>
        <v>-1407.8675804165507</v>
      </c>
      <c r="AY6" s="97">
        <f t="shared" si="17"/>
        <v>-1410.7675571218285</v>
      </c>
      <c r="AZ6" s="97">
        <f t="shared" si="17"/>
        <v>-1413.6735073043053</v>
      </c>
      <c r="BA6" s="97">
        <f t="shared" si="17"/>
        <v>-1416.5854432683666</v>
      </c>
      <c r="BB6" s="97">
        <f t="shared" si="17"/>
        <v>-1419.5033773437419</v>
      </c>
      <c r="BC6" s="97">
        <f t="shared" si="17"/>
        <v>-1422.4273218855587</v>
      </c>
      <c r="BD6" s="97">
        <f t="shared" si="17"/>
        <v>-1425.3572892743939</v>
      </c>
      <c r="BE6" s="97">
        <f t="shared" si="17"/>
        <v>-1428.2932919163261</v>
      </c>
      <c r="BF6" s="97">
        <f t="shared" si="17"/>
        <v>-1431.2353422429885</v>
      </c>
      <c r="BG6" s="97">
        <f t="shared" si="17"/>
        <v>-1434.1834527116214</v>
      </c>
      <c r="BH6" s="97">
        <f t="shared" si="17"/>
        <v>-1437.1376358051252</v>
      </c>
      <c r="BI6" s="97">
        <f t="shared" si="17"/>
        <v>-1440.0979040321126</v>
      </c>
      <c r="BJ6" s="97">
        <f t="shared" si="17"/>
        <v>-1443.0642699269624</v>
      </c>
      <c r="BK6" s="97">
        <f t="shared" si="17"/>
        <v>-1446.0367460498721</v>
      </c>
      <c r="BL6" s="97">
        <f t="shared" si="17"/>
        <v>-1449.015344986911</v>
      </c>
      <c r="BM6" s="97">
        <f t="shared" si="17"/>
        <v>-1452.0000793500737</v>
      </c>
      <c r="BN6" s="97">
        <f t="shared" si="17"/>
        <v>-1454.9909617773335</v>
      </c>
      <c r="BO6" s="97">
        <f t="shared" si="17"/>
        <v>-1457.9880049326957</v>
      </c>
      <c r="BP6" s="97">
        <f t="shared" si="17"/>
        <v>-1460.991221506252</v>
      </c>
      <c r="BQ6" s="97">
        <f t="shared" si="17"/>
        <v>-1464.0006242142324</v>
      </c>
      <c r="BR6" s="97">
        <f t="shared" si="17"/>
        <v>-1467.0162257990614</v>
      </c>
      <c r="BS6" s="97">
        <f t="shared" ref="BS6:BY6" si="18">-$B$8*BS5</f>
        <v>-1470.0380390294101</v>
      </c>
      <c r="BT6" s="97">
        <f t="shared" si="18"/>
        <v>-1473.0660767002512</v>
      </c>
      <c r="BU6" s="97">
        <f t="shared" si="18"/>
        <v>-1476.1003516329133</v>
      </c>
      <c r="BV6" s="97">
        <f t="shared" si="18"/>
        <v>-1479.1408766751345</v>
      </c>
      <c r="BW6" s="97">
        <f t="shared" si="18"/>
        <v>-1482.1876647011168</v>
      </c>
      <c r="BX6" s="97">
        <f t="shared" si="18"/>
        <v>-1485.2407286115817</v>
      </c>
      <c r="BY6" s="136">
        <f t="shared" si="18"/>
        <v>-1488.3000813338238</v>
      </c>
    </row>
    <row r="7" spans="1:77" x14ac:dyDescent="0.35">
      <c r="A7" s="86" t="s">
        <v>3</v>
      </c>
      <c r="B7" s="116">
        <f>'Deal Summary'!B4</f>
        <v>10247</v>
      </c>
      <c r="D7" s="107" t="s">
        <v>77</v>
      </c>
      <c r="E7" s="102">
        <v>0</v>
      </c>
      <c r="F7" s="102">
        <f>SUM(F5:F6)</f>
        <v>30864</v>
      </c>
      <c r="G7" s="102">
        <f t="shared" ref="G7:BR7" si="19">SUM(G5:G6)</f>
        <v>30927.574786632427</v>
      </c>
      <c r="H7" s="102">
        <f t="shared" si="19"/>
        <v>30991.280526916205</v>
      </c>
      <c r="I7" s="102">
        <f t="shared" si="19"/>
        <v>31055.117490594421</v>
      </c>
      <c r="J7" s="102">
        <f t="shared" si="19"/>
        <v>31119.085947965774</v>
      </c>
      <c r="K7" s="102">
        <f t="shared" si="19"/>
        <v>31183.186169885746</v>
      </c>
      <c r="L7" s="102">
        <f t="shared" si="19"/>
        <v>31247.418427767734</v>
      </c>
      <c r="M7" s="102">
        <f t="shared" si="19"/>
        <v>31311.782993584206</v>
      </c>
      <c r="N7" s="102">
        <f t="shared" si="19"/>
        <v>31376.280139867835</v>
      </c>
      <c r="O7" s="102">
        <f t="shared" si="19"/>
        <v>31440.91013971268</v>
      </c>
      <c r="P7" s="102">
        <f t="shared" si="19"/>
        <v>31505.673266775328</v>
      </c>
      <c r="Q7" s="102">
        <f t="shared" si="19"/>
        <v>31570.569795276042</v>
      </c>
      <c r="R7" s="102">
        <f t="shared" si="19"/>
        <v>31635.599999999951</v>
      </c>
      <c r="S7" s="102">
        <f t="shared" si="19"/>
        <v>31700.764156298184</v>
      </c>
      <c r="T7" s="102">
        <f t="shared" si="19"/>
        <v>31766.062540089057</v>
      </c>
      <c r="U7" s="102">
        <f t="shared" si="19"/>
        <v>31831.495427859227</v>
      </c>
      <c r="V7" s="102">
        <f t="shared" si="19"/>
        <v>31897.063096664864</v>
      </c>
      <c r="W7" s="102">
        <f t="shared" si="19"/>
        <v>31962.765824132839</v>
      </c>
      <c r="X7" s="102">
        <f t="shared" si="19"/>
        <v>32028.603888461879</v>
      </c>
      <c r="Y7" s="102">
        <f t="shared" si="19"/>
        <v>32094.57756842376</v>
      </c>
      <c r="Z7" s="102">
        <f t="shared" si="19"/>
        <v>32160.687143364481</v>
      </c>
      <c r="AA7" s="102">
        <f t="shared" si="19"/>
        <v>32226.932893205449</v>
      </c>
      <c r="AB7" s="102">
        <f t="shared" si="19"/>
        <v>32293.315098444662</v>
      </c>
      <c r="AC7" s="102">
        <f t="shared" si="19"/>
        <v>32359.834040157901</v>
      </c>
      <c r="AD7" s="102">
        <f t="shared" si="19"/>
        <v>32426.489999999911</v>
      </c>
      <c r="AE7" s="102">
        <f t="shared" si="19"/>
        <v>32493.283260205601</v>
      </c>
      <c r="AF7" s="102">
        <f t="shared" si="19"/>
        <v>32560.214103591246</v>
      </c>
      <c r="AG7" s="102">
        <f t="shared" si="19"/>
        <v>32627.282813555667</v>
      </c>
      <c r="AH7" s="102">
        <f t="shared" si="19"/>
        <v>32694.48967408144</v>
      </c>
      <c r="AI7" s="102">
        <f t="shared" si="19"/>
        <v>32761.834969736115</v>
      </c>
      <c r="AJ7" s="102">
        <f t="shared" si="19"/>
        <v>32829.318985673381</v>
      </c>
      <c r="AK7" s="102">
        <f t="shared" si="19"/>
        <v>32896.942007634301</v>
      </c>
      <c r="AL7" s="102">
        <f t="shared" si="19"/>
        <v>32964.704321948542</v>
      </c>
      <c r="AM7" s="102">
        <f t="shared" si="19"/>
        <v>33032.606215535532</v>
      </c>
      <c r="AN7" s="102">
        <f t="shared" si="19"/>
        <v>33100.647975905733</v>
      </c>
      <c r="AO7" s="102">
        <f t="shared" si="19"/>
        <v>33168.829891161797</v>
      </c>
      <c r="AP7" s="102">
        <f t="shared" si="19"/>
        <v>33237.152249999861</v>
      </c>
      <c r="AQ7" s="102">
        <f t="shared" si="19"/>
        <v>33305.615341710691</v>
      </c>
      <c r="AR7" s="102">
        <f t="shared" si="19"/>
        <v>33374.219456180974</v>
      </c>
      <c r="AS7" s="102">
        <f t="shared" si="19"/>
        <v>33442.964883894514</v>
      </c>
      <c r="AT7" s="102">
        <f t="shared" si="19"/>
        <v>33511.851915933439</v>
      </c>
      <c r="AU7" s="102">
        <f t="shared" si="19"/>
        <v>33580.880843979474</v>
      </c>
      <c r="AV7" s="102">
        <f t="shared" si="19"/>
        <v>33650.05196031517</v>
      </c>
      <c r="AW7" s="102">
        <f t="shared" si="19"/>
        <v>33719.36555782512</v>
      </c>
      <c r="AX7" s="102">
        <f t="shared" si="19"/>
        <v>33788.821929997212</v>
      </c>
      <c r="AY7" s="102">
        <f t="shared" si="19"/>
        <v>33858.421370923883</v>
      </c>
      <c r="AZ7" s="102">
        <f t="shared" si="19"/>
        <v>33928.164175303333</v>
      </c>
      <c r="BA7" s="102">
        <f t="shared" si="19"/>
        <v>33998.050638440793</v>
      </c>
      <c r="BB7" s="102">
        <f t="shared" si="19"/>
        <v>34068.081056249808</v>
      </c>
      <c r="BC7" s="102">
        <f t="shared" si="19"/>
        <v>34138.25572525341</v>
      </c>
      <c r="BD7" s="102">
        <f t="shared" si="19"/>
        <v>34208.574942585459</v>
      </c>
      <c r="BE7" s="102">
        <f t="shared" si="19"/>
        <v>34279.039005991821</v>
      </c>
      <c r="BF7" s="102">
        <f t="shared" si="19"/>
        <v>34349.648213831722</v>
      </c>
      <c r="BG7" s="102">
        <f t="shared" si="19"/>
        <v>34420.402865078911</v>
      </c>
      <c r="BH7" s="102">
        <f t="shared" si="19"/>
        <v>34491.303259323002</v>
      </c>
      <c r="BI7" s="102">
        <f t="shared" si="19"/>
        <v>34562.349696770703</v>
      </c>
      <c r="BJ7" s="102">
        <f t="shared" si="19"/>
        <v>34633.542478247102</v>
      </c>
      <c r="BK7" s="102">
        <f t="shared" si="19"/>
        <v>34704.881905196926</v>
      </c>
      <c r="BL7" s="102">
        <f t="shared" si="19"/>
        <v>34776.368279685863</v>
      </c>
      <c r="BM7" s="102">
        <f t="shared" si="19"/>
        <v>34848.001904401768</v>
      </c>
      <c r="BN7" s="102">
        <f t="shared" si="19"/>
        <v>34919.783082656009</v>
      </c>
      <c r="BO7" s="102">
        <f t="shared" si="19"/>
        <v>34991.712118384698</v>
      </c>
      <c r="BP7" s="102">
        <f t="shared" si="19"/>
        <v>35063.789316150047</v>
      </c>
      <c r="BQ7" s="102">
        <f t="shared" si="19"/>
        <v>35136.014981141576</v>
      </c>
      <c r="BR7" s="102">
        <f t="shared" si="19"/>
        <v>35208.389419177474</v>
      </c>
      <c r="BS7" s="102">
        <f t="shared" ref="BS7:BY7" si="20">SUM(BS5:BS6)</f>
        <v>35280.912936705841</v>
      </c>
      <c r="BT7" s="102">
        <f t="shared" si="20"/>
        <v>35353.58584080603</v>
      </c>
      <c r="BU7" s="102">
        <f t="shared" si="20"/>
        <v>35426.408439189916</v>
      </c>
      <c r="BV7" s="102">
        <f t="shared" si="20"/>
        <v>35499.381040203225</v>
      </c>
      <c r="BW7" s="102">
        <f t="shared" si="20"/>
        <v>35572.503952826803</v>
      </c>
      <c r="BX7" s="102">
        <f t="shared" si="20"/>
        <v>35645.777486677958</v>
      </c>
      <c r="BY7" s="103">
        <f t="shared" si="20"/>
        <v>35719.201952011768</v>
      </c>
    </row>
    <row r="8" spans="1:77" x14ac:dyDescent="0.35">
      <c r="A8" s="85" t="s">
        <v>75</v>
      </c>
      <c r="B8" s="19">
        <v>0.04</v>
      </c>
      <c r="D8" s="106" t="s">
        <v>78</v>
      </c>
      <c r="E8" s="97">
        <v>0</v>
      </c>
      <c r="F8" s="97">
        <f>-Expenses!$M$11/12</f>
        <v>-5536.5933333333332</v>
      </c>
      <c r="G8" s="97">
        <f>F8*(1+$B$10)^(1/12)</f>
        <v>-5543.4669459476418</v>
      </c>
      <c r="H8" s="97">
        <f t="shared" ref="H8:BS8" si="21">G8*(1+$B$10)^(1/12)</f>
        <v>-5550.3490920675786</v>
      </c>
      <c r="I8" s="97">
        <f t="shared" si="21"/>
        <v>-5557.2397822873854</v>
      </c>
      <c r="J8" s="97">
        <f t="shared" si="21"/>
        <v>-5564.1390272144581</v>
      </c>
      <c r="K8" s="97">
        <f t="shared" si="21"/>
        <v>-5571.046837469361</v>
      </c>
      <c r="L8" s="97">
        <f t="shared" si="21"/>
        <v>-5577.9632236858424</v>
      </c>
      <c r="M8" s="97">
        <f t="shared" si="21"/>
        <v>-5584.888196510854</v>
      </c>
      <c r="N8" s="97">
        <f t="shared" si="21"/>
        <v>-5591.8217666045648</v>
      </c>
      <c r="O8" s="97">
        <f t="shared" si="21"/>
        <v>-5598.7639446403782</v>
      </c>
      <c r="P8" s="97">
        <f t="shared" si="21"/>
        <v>-5605.7147413049479</v>
      </c>
      <c r="Q8" s="97">
        <f t="shared" si="21"/>
        <v>-5612.6741672981962</v>
      </c>
      <c r="R8" s="97">
        <f t="shared" si="21"/>
        <v>-5619.6422333333294</v>
      </c>
      <c r="S8" s="97">
        <f t="shared" si="21"/>
        <v>-5626.6189501368526</v>
      </c>
      <c r="T8" s="97">
        <f t="shared" si="21"/>
        <v>-5633.6043284485886</v>
      </c>
      <c r="U8" s="97">
        <f t="shared" si="21"/>
        <v>-5640.5983790216933</v>
      </c>
      <c r="V8" s="97">
        <f t="shared" si="21"/>
        <v>-5647.6011126226722</v>
      </c>
      <c r="W8" s="97">
        <f t="shared" si="21"/>
        <v>-5654.6125400313986</v>
      </c>
      <c r="X8" s="97">
        <f t="shared" si="21"/>
        <v>-5661.632672041128</v>
      </c>
      <c r="Y8" s="97">
        <f t="shared" si="21"/>
        <v>-5668.6615194585147</v>
      </c>
      <c r="Z8" s="97">
        <f t="shared" si="21"/>
        <v>-5675.6990931036307</v>
      </c>
      <c r="AA8" s="97">
        <f t="shared" si="21"/>
        <v>-5682.7454038099813</v>
      </c>
      <c r="AB8" s="97">
        <f t="shared" si="21"/>
        <v>-5689.8004624245195</v>
      </c>
      <c r="AC8" s="97">
        <f t="shared" si="21"/>
        <v>-5696.8642798076671</v>
      </c>
      <c r="AD8" s="97">
        <f t="shared" si="21"/>
        <v>-5703.9368668333273</v>
      </c>
      <c r="AE8" s="97">
        <f t="shared" si="21"/>
        <v>-5711.0182343889028</v>
      </c>
      <c r="AF8" s="97">
        <f t="shared" si="21"/>
        <v>-5718.1083933753143</v>
      </c>
      <c r="AG8" s="97">
        <f t="shared" si="21"/>
        <v>-5725.2073547070149</v>
      </c>
      <c r="AH8" s="97">
        <f t="shared" si="21"/>
        <v>-5732.315129312009</v>
      </c>
      <c r="AI8" s="97">
        <f t="shared" si="21"/>
        <v>-5739.4317281318663</v>
      </c>
      <c r="AJ8" s="97">
        <f t="shared" si="21"/>
        <v>-5746.5571621217414</v>
      </c>
      <c r="AK8" s="97">
        <f t="shared" si="21"/>
        <v>-5753.6914422503887</v>
      </c>
      <c r="AL8" s="97">
        <f t="shared" si="21"/>
        <v>-5760.8345795001815</v>
      </c>
      <c r="AM8" s="97">
        <f t="shared" si="21"/>
        <v>-5767.986584867127</v>
      </c>
      <c r="AN8" s="97">
        <f t="shared" si="21"/>
        <v>-5775.1474693608834</v>
      </c>
      <c r="AO8" s="97">
        <f t="shared" si="21"/>
        <v>-5782.3172440047783</v>
      </c>
      <c r="AP8" s="97">
        <f t="shared" si="21"/>
        <v>-5789.4959198358229</v>
      </c>
      <c r="AQ8" s="97">
        <f t="shared" si="21"/>
        <v>-5796.6835079047323</v>
      </c>
      <c r="AR8" s="97">
        <f t="shared" si="21"/>
        <v>-5803.88001927594</v>
      </c>
      <c r="AS8" s="97">
        <f t="shared" si="21"/>
        <v>-5811.085465027616</v>
      </c>
      <c r="AT8" s="97">
        <f t="shared" si="21"/>
        <v>-5818.299856251685</v>
      </c>
      <c r="AU8" s="97">
        <f t="shared" si="21"/>
        <v>-5825.5232040538403</v>
      </c>
      <c r="AV8" s="97">
        <f t="shared" si="21"/>
        <v>-5832.7555195535633</v>
      </c>
      <c r="AW8" s="97">
        <f t="shared" si="21"/>
        <v>-5839.9968138841405</v>
      </c>
      <c r="AX8" s="97">
        <f t="shared" si="21"/>
        <v>-5847.2470981926808</v>
      </c>
      <c r="AY8" s="97">
        <f t="shared" si="21"/>
        <v>-5854.5063836401305</v>
      </c>
      <c r="AZ8" s="97">
        <f t="shared" si="21"/>
        <v>-5861.7746814012935</v>
      </c>
      <c r="BA8" s="97">
        <f t="shared" si="21"/>
        <v>-5869.0520026648464</v>
      </c>
      <c r="BB8" s="97">
        <f t="shared" si="21"/>
        <v>-5876.3383586333566</v>
      </c>
      <c r="BC8" s="97">
        <f t="shared" si="21"/>
        <v>-5883.6337605232993</v>
      </c>
      <c r="BD8" s="97">
        <f t="shared" si="21"/>
        <v>-5890.9382195650751</v>
      </c>
      <c r="BE8" s="97">
        <f t="shared" si="21"/>
        <v>-5898.251747003027</v>
      </c>
      <c r="BF8" s="97">
        <f t="shared" si="21"/>
        <v>-5905.5743540954563</v>
      </c>
      <c r="BG8" s="97">
        <f t="shared" si="21"/>
        <v>-5912.9060521146439</v>
      </c>
      <c r="BH8" s="97">
        <f t="shared" si="21"/>
        <v>-5920.2468523468624</v>
      </c>
      <c r="BI8" s="97">
        <f t="shared" si="21"/>
        <v>-5927.5967660923989</v>
      </c>
      <c r="BJ8" s="97">
        <f t="shared" si="21"/>
        <v>-5934.9558046655666</v>
      </c>
      <c r="BK8" s="97">
        <f t="shared" si="21"/>
        <v>-5942.3239793947278</v>
      </c>
      <c r="BL8" s="97">
        <f t="shared" si="21"/>
        <v>-5949.7013016223082</v>
      </c>
      <c r="BM8" s="97">
        <f t="shared" si="21"/>
        <v>-5957.0877827048143</v>
      </c>
      <c r="BN8" s="97">
        <f t="shared" si="21"/>
        <v>-5964.4834340128527</v>
      </c>
      <c r="BO8" s="97">
        <f t="shared" si="21"/>
        <v>-5971.8882669311452</v>
      </c>
      <c r="BP8" s="97">
        <f t="shared" si="21"/>
        <v>-5979.3022928585478</v>
      </c>
      <c r="BQ8" s="97">
        <f t="shared" si="21"/>
        <v>-5986.7255232080688</v>
      </c>
      <c r="BR8" s="97">
        <f t="shared" si="21"/>
        <v>-5994.1579694068851</v>
      </c>
      <c r="BS8" s="97">
        <f t="shared" si="21"/>
        <v>-6001.5996428963599</v>
      </c>
      <c r="BT8" s="97">
        <f t="shared" ref="BT8:BY8" si="22">BS8*(1+$B$10)^(1/12)</f>
        <v>-6009.0505551320621</v>
      </c>
      <c r="BU8" s="97">
        <f t="shared" si="22"/>
        <v>-6016.5107175837811</v>
      </c>
      <c r="BV8" s="97">
        <f t="shared" si="22"/>
        <v>-6023.9801417355466</v>
      </c>
      <c r="BW8" s="97">
        <f t="shared" si="22"/>
        <v>-6031.4588390856452</v>
      </c>
      <c r="BX8" s="97">
        <f t="shared" si="22"/>
        <v>-6038.9468211466392</v>
      </c>
      <c r="BY8" s="136">
        <f t="shared" si="22"/>
        <v>-6046.4440994453835</v>
      </c>
    </row>
    <row r="9" spans="1:77" x14ac:dyDescent="0.35">
      <c r="A9" s="85" t="s">
        <v>80</v>
      </c>
      <c r="B9" s="19">
        <v>2.5000000000000001E-2</v>
      </c>
      <c r="D9" s="107" t="s">
        <v>82</v>
      </c>
      <c r="E9" s="102">
        <v>0</v>
      </c>
      <c r="F9" s="102">
        <f>SUM(F7:F8)</f>
        <v>25327.406666666666</v>
      </c>
      <c r="G9" s="102">
        <f t="shared" ref="G9:BR9" si="23">SUM(G7:G8)</f>
        <v>25384.107840684785</v>
      </c>
      <c r="H9" s="102">
        <f t="shared" si="23"/>
        <v>25440.931434848626</v>
      </c>
      <c r="I9" s="102">
        <f t="shared" si="23"/>
        <v>25497.877708307034</v>
      </c>
      <c r="J9" s="102">
        <f t="shared" si="23"/>
        <v>25554.946920751318</v>
      </c>
      <c r="K9" s="102">
        <f t="shared" si="23"/>
        <v>25612.139332416387</v>
      </c>
      <c r="L9" s="102">
        <f t="shared" si="23"/>
        <v>25669.455204081893</v>
      </c>
      <c r="M9" s="102">
        <f t="shared" si="23"/>
        <v>25726.89479707335</v>
      </c>
      <c r="N9" s="102">
        <f t="shared" si="23"/>
        <v>25784.458373263271</v>
      </c>
      <c r="O9" s="102">
        <f t="shared" si="23"/>
        <v>25842.146195072302</v>
      </c>
      <c r="P9" s="102">
        <f t="shared" si="23"/>
        <v>25899.958525470378</v>
      </c>
      <c r="Q9" s="102">
        <f t="shared" si="23"/>
        <v>25957.895627977847</v>
      </c>
      <c r="R9" s="102">
        <f t="shared" si="23"/>
        <v>26015.957766666623</v>
      </c>
      <c r="S9" s="102">
        <f t="shared" si="23"/>
        <v>26074.145206161331</v>
      </c>
      <c r="T9" s="102">
        <f t="shared" si="23"/>
        <v>26132.458211640467</v>
      </c>
      <c r="U9" s="102">
        <f t="shared" si="23"/>
        <v>26190.897048837534</v>
      </c>
      <c r="V9" s="102">
        <f t="shared" si="23"/>
        <v>26249.461984042191</v>
      </c>
      <c r="W9" s="102">
        <f t="shared" si="23"/>
        <v>26308.153284101441</v>
      </c>
      <c r="X9" s="102">
        <f t="shared" si="23"/>
        <v>26366.971216420752</v>
      </c>
      <c r="Y9" s="102">
        <f t="shared" si="23"/>
        <v>26425.916048965246</v>
      </c>
      <c r="Z9" s="102">
        <f t="shared" si="23"/>
        <v>26484.98805026085</v>
      </c>
      <c r="AA9" s="102">
        <f t="shared" si="23"/>
        <v>26544.187489395466</v>
      </c>
      <c r="AB9" s="102">
        <f t="shared" si="23"/>
        <v>26603.514636020143</v>
      </c>
      <c r="AC9" s="102">
        <f t="shared" si="23"/>
        <v>26662.969760350235</v>
      </c>
      <c r="AD9" s="102">
        <f t="shared" si="23"/>
        <v>26722.553133166584</v>
      </c>
      <c r="AE9" s="102">
        <f t="shared" si="23"/>
        <v>26782.265025816698</v>
      </c>
      <c r="AF9" s="102">
        <f t="shared" si="23"/>
        <v>26842.105710215932</v>
      </c>
      <c r="AG9" s="102">
        <f t="shared" si="23"/>
        <v>26902.075458848652</v>
      </c>
      <c r="AH9" s="102">
        <f t="shared" si="23"/>
        <v>26962.17454476943</v>
      </c>
      <c r="AI9" s="102">
        <f t="shared" si="23"/>
        <v>27022.40324160425</v>
      </c>
      <c r="AJ9" s="102">
        <f t="shared" si="23"/>
        <v>27082.761823551638</v>
      </c>
      <c r="AK9" s="102">
        <f t="shared" si="23"/>
        <v>27143.250565383911</v>
      </c>
      <c r="AL9" s="102">
        <f t="shared" si="23"/>
        <v>27203.869742448362</v>
      </c>
      <c r="AM9" s="102">
        <f t="shared" si="23"/>
        <v>27264.619630668407</v>
      </c>
      <c r="AN9" s="102">
        <f t="shared" si="23"/>
        <v>27325.500506544849</v>
      </c>
      <c r="AO9" s="102">
        <f t="shared" si="23"/>
        <v>27386.512647157018</v>
      </c>
      <c r="AP9" s="102">
        <f t="shared" si="23"/>
        <v>27447.656330164038</v>
      </c>
      <c r="AQ9" s="102">
        <f t="shared" si="23"/>
        <v>27508.93183380596</v>
      </c>
      <c r="AR9" s="102">
        <f t="shared" si="23"/>
        <v>27570.339436905033</v>
      </c>
      <c r="AS9" s="102">
        <f t="shared" si="23"/>
        <v>27631.879418866898</v>
      </c>
      <c r="AT9" s="102">
        <f t="shared" si="23"/>
        <v>27693.552059681755</v>
      </c>
      <c r="AU9" s="102">
        <f t="shared" si="23"/>
        <v>27755.357639925634</v>
      </c>
      <c r="AV9" s="102">
        <f t="shared" si="23"/>
        <v>27817.296440761605</v>
      </c>
      <c r="AW9" s="102">
        <f t="shared" si="23"/>
        <v>27879.36874394098</v>
      </c>
      <c r="AX9" s="102">
        <f t="shared" si="23"/>
        <v>27941.57483180453</v>
      </c>
      <c r="AY9" s="102">
        <f t="shared" si="23"/>
        <v>28003.914987283752</v>
      </c>
      <c r="AZ9" s="102">
        <f t="shared" si="23"/>
        <v>28066.389493902039</v>
      </c>
      <c r="BA9" s="102">
        <f t="shared" si="23"/>
        <v>28128.998635775948</v>
      </c>
      <c r="BB9" s="102">
        <f t="shared" si="23"/>
        <v>28191.74269761645</v>
      </c>
      <c r="BC9" s="102">
        <f t="shared" si="23"/>
        <v>28254.621964730111</v>
      </c>
      <c r="BD9" s="102">
        <f t="shared" si="23"/>
        <v>28317.636723020383</v>
      </c>
      <c r="BE9" s="102">
        <f t="shared" si="23"/>
        <v>28380.787258988792</v>
      </c>
      <c r="BF9" s="102">
        <f t="shared" si="23"/>
        <v>28444.073859736265</v>
      </c>
      <c r="BG9" s="102">
        <f t="shared" si="23"/>
        <v>28507.496812964266</v>
      </c>
      <c r="BH9" s="102">
        <f t="shared" si="23"/>
        <v>28571.056406976139</v>
      </c>
      <c r="BI9" s="102">
        <f t="shared" si="23"/>
        <v>28634.752930678304</v>
      </c>
      <c r="BJ9" s="102">
        <f t="shared" si="23"/>
        <v>28698.586673581536</v>
      </c>
      <c r="BK9" s="102">
        <f t="shared" si="23"/>
        <v>28762.557925802197</v>
      </c>
      <c r="BL9" s="102">
        <f t="shared" si="23"/>
        <v>28826.666978063557</v>
      </c>
      <c r="BM9" s="102">
        <f t="shared" si="23"/>
        <v>28890.914121696955</v>
      </c>
      <c r="BN9" s="102">
        <f t="shared" si="23"/>
        <v>28955.299648643158</v>
      </c>
      <c r="BO9" s="102">
        <f t="shared" si="23"/>
        <v>29019.823851453551</v>
      </c>
      <c r="BP9" s="102">
        <f t="shared" si="23"/>
        <v>29084.487023291498</v>
      </c>
      <c r="BQ9" s="102">
        <f t="shared" si="23"/>
        <v>29149.289457933508</v>
      </c>
      <c r="BR9" s="102">
        <f t="shared" si="23"/>
        <v>29214.231449770588</v>
      </c>
      <c r="BS9" s="102">
        <f t="shared" ref="BS9:BY9" si="24">SUM(BS7:BS8)</f>
        <v>29279.313293809482</v>
      </c>
      <c r="BT9" s="102">
        <f t="shared" si="24"/>
        <v>29344.53528567397</v>
      </c>
      <c r="BU9" s="102">
        <f t="shared" si="24"/>
        <v>29409.897721606136</v>
      </c>
      <c r="BV9" s="102">
        <f t="shared" si="24"/>
        <v>29475.400898467677</v>
      </c>
      <c r="BW9" s="102">
        <f t="shared" si="24"/>
        <v>29541.045113741158</v>
      </c>
      <c r="BX9" s="102">
        <f t="shared" si="24"/>
        <v>29606.830665531321</v>
      </c>
      <c r="BY9" s="103">
        <f t="shared" si="24"/>
        <v>29672.757852566385</v>
      </c>
    </row>
    <row r="10" spans="1:77" x14ac:dyDescent="0.35">
      <c r="A10" s="85" t="s">
        <v>81</v>
      </c>
      <c r="B10" s="19">
        <v>1.4999999999999999E-2</v>
      </c>
      <c r="D10" s="106" t="s">
        <v>83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97">
        <v>0</v>
      </c>
      <c r="S10" s="97">
        <v>0</v>
      </c>
      <c r="T10" s="97">
        <v>0</v>
      </c>
      <c r="U10" s="97">
        <v>0</v>
      </c>
      <c r="V10" s="97">
        <v>0</v>
      </c>
      <c r="W10" s="97">
        <v>0</v>
      </c>
      <c r="X10" s="97">
        <v>0</v>
      </c>
      <c r="Y10" s="97">
        <v>0</v>
      </c>
      <c r="Z10" s="97">
        <v>0</v>
      </c>
      <c r="AA10" s="97">
        <v>0</v>
      </c>
      <c r="AB10" s="97">
        <v>0</v>
      </c>
      <c r="AC10" s="97">
        <v>0</v>
      </c>
      <c r="AD10" s="97">
        <v>0</v>
      </c>
      <c r="AE10" s="97">
        <v>0</v>
      </c>
      <c r="AF10" s="97">
        <v>0</v>
      </c>
      <c r="AG10" s="97">
        <v>0</v>
      </c>
      <c r="AH10" s="97">
        <v>0</v>
      </c>
      <c r="AI10" s="97">
        <v>0</v>
      </c>
      <c r="AJ10" s="97">
        <v>0</v>
      </c>
      <c r="AK10" s="97">
        <v>0</v>
      </c>
      <c r="AL10" s="97">
        <v>0</v>
      </c>
      <c r="AM10" s="97">
        <v>0</v>
      </c>
      <c r="AN10" s="97">
        <v>0</v>
      </c>
      <c r="AO10" s="97">
        <v>0</v>
      </c>
      <c r="AP10" s="97">
        <v>0</v>
      </c>
      <c r="AQ10" s="97">
        <v>0</v>
      </c>
      <c r="AR10" s="97">
        <v>0</v>
      </c>
      <c r="AS10" s="97">
        <v>0</v>
      </c>
      <c r="AT10" s="97">
        <v>0</v>
      </c>
      <c r="AU10" s="97">
        <v>0</v>
      </c>
      <c r="AV10" s="97">
        <v>0</v>
      </c>
      <c r="AW10" s="97">
        <v>0</v>
      </c>
      <c r="AX10" s="97">
        <v>0</v>
      </c>
      <c r="AY10" s="97">
        <v>0</v>
      </c>
      <c r="AZ10" s="97">
        <v>0</v>
      </c>
      <c r="BA10" s="97">
        <v>0</v>
      </c>
      <c r="BB10" s="97">
        <v>0</v>
      </c>
      <c r="BC10" s="97">
        <v>0</v>
      </c>
      <c r="BD10" s="97">
        <v>0</v>
      </c>
      <c r="BE10" s="97">
        <v>0</v>
      </c>
      <c r="BF10" s="97">
        <v>0</v>
      </c>
      <c r="BG10" s="97">
        <v>0</v>
      </c>
      <c r="BH10" s="97">
        <v>0</v>
      </c>
      <c r="BI10" s="97">
        <v>0</v>
      </c>
      <c r="BJ10" s="97">
        <v>0</v>
      </c>
      <c r="BK10" s="97">
        <v>0</v>
      </c>
      <c r="BL10" s="97">
        <v>0</v>
      </c>
      <c r="BM10" s="97">
        <v>0</v>
      </c>
      <c r="BN10" s="97">
        <v>0</v>
      </c>
      <c r="BO10" s="97">
        <v>0</v>
      </c>
      <c r="BP10" s="97">
        <v>0</v>
      </c>
      <c r="BQ10" s="97">
        <v>0</v>
      </c>
      <c r="BR10" s="97">
        <v>0</v>
      </c>
      <c r="BS10" s="97">
        <v>0</v>
      </c>
      <c r="BT10" s="97">
        <v>0</v>
      </c>
      <c r="BU10" s="97">
        <v>0</v>
      </c>
      <c r="BV10" s="97">
        <v>0</v>
      </c>
      <c r="BW10" s="97">
        <v>0</v>
      </c>
      <c r="BX10" s="97">
        <v>0</v>
      </c>
      <c r="BY10" s="136">
        <v>0</v>
      </c>
    </row>
    <row r="11" spans="1:77" x14ac:dyDescent="0.35">
      <c r="A11" s="85" t="s">
        <v>83</v>
      </c>
      <c r="B11" s="14">
        <v>50000</v>
      </c>
      <c r="D11" s="106" t="s">
        <v>84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Z11" s="97">
        <v>0</v>
      </c>
      <c r="AA11" s="97">
        <v>0</v>
      </c>
      <c r="AB11" s="97">
        <v>0</v>
      </c>
      <c r="AC11" s="97">
        <v>0</v>
      </c>
      <c r="AD11" s="97">
        <v>0</v>
      </c>
      <c r="AE11" s="97">
        <v>0</v>
      </c>
      <c r="AF11" s="97">
        <v>0</v>
      </c>
      <c r="AG11" s="97">
        <v>0</v>
      </c>
      <c r="AH11" s="97">
        <v>0</v>
      </c>
      <c r="AI11" s="97">
        <v>0</v>
      </c>
      <c r="AJ11" s="97">
        <v>0</v>
      </c>
      <c r="AK11" s="97">
        <v>0</v>
      </c>
      <c r="AL11" s="97">
        <v>0</v>
      </c>
      <c r="AM11" s="97">
        <v>0</v>
      </c>
      <c r="AN11" s="97">
        <v>0</v>
      </c>
      <c r="AO11" s="97">
        <v>0</v>
      </c>
      <c r="AP11" s="97">
        <v>0</v>
      </c>
      <c r="AQ11" s="97">
        <v>0</v>
      </c>
      <c r="AR11" s="97">
        <v>0</v>
      </c>
      <c r="AS11" s="97">
        <v>0</v>
      </c>
      <c r="AT11" s="97">
        <v>0</v>
      </c>
      <c r="AU11" s="97">
        <v>0</v>
      </c>
      <c r="AV11" s="97">
        <v>0</v>
      </c>
      <c r="AW11" s="97">
        <v>0</v>
      </c>
      <c r="AX11" s="97">
        <v>0</v>
      </c>
      <c r="AY11" s="97">
        <v>0</v>
      </c>
      <c r="AZ11" s="97">
        <v>0</v>
      </c>
      <c r="BA11" s="97">
        <v>0</v>
      </c>
      <c r="BB11" s="97">
        <v>0</v>
      </c>
      <c r="BC11" s="97">
        <v>0</v>
      </c>
      <c r="BD11" s="97">
        <v>0</v>
      </c>
      <c r="BE11" s="97">
        <v>0</v>
      </c>
      <c r="BF11" s="97">
        <v>0</v>
      </c>
      <c r="BG11" s="97">
        <v>0</v>
      </c>
      <c r="BH11" s="97">
        <v>0</v>
      </c>
      <c r="BI11" s="97">
        <v>0</v>
      </c>
      <c r="BJ11" s="97">
        <v>0</v>
      </c>
      <c r="BK11" s="97">
        <v>0</v>
      </c>
      <c r="BL11" s="97">
        <v>0</v>
      </c>
      <c r="BM11" s="97">
        <v>0</v>
      </c>
      <c r="BN11" s="97">
        <v>0</v>
      </c>
      <c r="BO11" s="97">
        <v>0</v>
      </c>
      <c r="BP11" s="97">
        <v>0</v>
      </c>
      <c r="BQ11" s="97">
        <v>0</v>
      </c>
      <c r="BR11" s="97">
        <v>0</v>
      </c>
      <c r="BS11" s="97">
        <v>0</v>
      </c>
      <c r="BT11" s="97">
        <v>0</v>
      </c>
      <c r="BU11" s="97">
        <v>0</v>
      </c>
      <c r="BV11" s="97">
        <v>0</v>
      </c>
      <c r="BW11" s="97">
        <v>0</v>
      </c>
      <c r="BX11" s="97">
        <v>0</v>
      </c>
      <c r="BY11" s="136">
        <v>0</v>
      </c>
    </row>
    <row r="12" spans="1:77" x14ac:dyDescent="0.35">
      <c r="A12" s="86" t="s">
        <v>85</v>
      </c>
      <c r="B12" s="93">
        <v>0</v>
      </c>
      <c r="D12" s="107" t="s">
        <v>88</v>
      </c>
      <c r="E12" s="102">
        <v>0</v>
      </c>
      <c r="F12" s="102">
        <f>SUM(F9:F11)</f>
        <v>25327.406666666666</v>
      </c>
      <c r="G12" s="102">
        <f t="shared" ref="G12:BR12" si="25">SUM(G9:G11)</f>
        <v>25384.107840684785</v>
      </c>
      <c r="H12" s="102">
        <f t="shared" si="25"/>
        <v>25440.931434848626</v>
      </c>
      <c r="I12" s="102">
        <f t="shared" si="25"/>
        <v>25497.877708307034</v>
      </c>
      <c r="J12" s="102">
        <f t="shared" si="25"/>
        <v>25554.946920751318</v>
      </c>
      <c r="K12" s="102">
        <f t="shared" si="25"/>
        <v>25612.139332416387</v>
      </c>
      <c r="L12" s="102">
        <f t="shared" si="25"/>
        <v>25669.455204081893</v>
      </c>
      <c r="M12" s="102">
        <f t="shared" si="25"/>
        <v>25726.89479707335</v>
      </c>
      <c r="N12" s="102">
        <f t="shared" si="25"/>
        <v>25784.458373263271</v>
      </c>
      <c r="O12" s="102">
        <f t="shared" si="25"/>
        <v>25842.146195072302</v>
      </c>
      <c r="P12" s="102">
        <f t="shared" si="25"/>
        <v>25899.958525470378</v>
      </c>
      <c r="Q12" s="102">
        <f t="shared" si="25"/>
        <v>25957.895627977847</v>
      </c>
      <c r="R12" s="102">
        <f t="shared" si="25"/>
        <v>26015.957766666623</v>
      </c>
      <c r="S12" s="102">
        <f t="shared" si="25"/>
        <v>26074.145206161331</v>
      </c>
      <c r="T12" s="102">
        <f t="shared" si="25"/>
        <v>26132.458211640467</v>
      </c>
      <c r="U12" s="102">
        <f t="shared" si="25"/>
        <v>26190.897048837534</v>
      </c>
      <c r="V12" s="102">
        <f t="shared" si="25"/>
        <v>26249.461984042191</v>
      </c>
      <c r="W12" s="102">
        <f t="shared" si="25"/>
        <v>26308.153284101441</v>
      </c>
      <c r="X12" s="102">
        <f t="shared" si="25"/>
        <v>26366.971216420752</v>
      </c>
      <c r="Y12" s="102">
        <f t="shared" si="25"/>
        <v>26425.916048965246</v>
      </c>
      <c r="Z12" s="102">
        <f t="shared" si="25"/>
        <v>26484.98805026085</v>
      </c>
      <c r="AA12" s="102">
        <f t="shared" si="25"/>
        <v>26544.187489395466</v>
      </c>
      <c r="AB12" s="102">
        <f t="shared" si="25"/>
        <v>26603.514636020143</v>
      </c>
      <c r="AC12" s="102">
        <f t="shared" si="25"/>
        <v>26662.969760350235</v>
      </c>
      <c r="AD12" s="102">
        <f t="shared" si="25"/>
        <v>26722.553133166584</v>
      </c>
      <c r="AE12" s="102">
        <f t="shared" si="25"/>
        <v>26782.265025816698</v>
      </c>
      <c r="AF12" s="102">
        <f t="shared" si="25"/>
        <v>26842.105710215932</v>
      </c>
      <c r="AG12" s="102">
        <f t="shared" si="25"/>
        <v>26902.075458848652</v>
      </c>
      <c r="AH12" s="102">
        <f t="shared" si="25"/>
        <v>26962.17454476943</v>
      </c>
      <c r="AI12" s="102">
        <f t="shared" si="25"/>
        <v>27022.40324160425</v>
      </c>
      <c r="AJ12" s="102">
        <f t="shared" si="25"/>
        <v>27082.761823551638</v>
      </c>
      <c r="AK12" s="102">
        <f t="shared" si="25"/>
        <v>27143.250565383911</v>
      </c>
      <c r="AL12" s="102">
        <f t="shared" si="25"/>
        <v>27203.869742448362</v>
      </c>
      <c r="AM12" s="102">
        <f t="shared" si="25"/>
        <v>27264.619630668407</v>
      </c>
      <c r="AN12" s="102">
        <f t="shared" si="25"/>
        <v>27325.500506544849</v>
      </c>
      <c r="AO12" s="102">
        <f t="shared" si="25"/>
        <v>27386.512647157018</v>
      </c>
      <c r="AP12" s="102">
        <f t="shared" si="25"/>
        <v>27447.656330164038</v>
      </c>
      <c r="AQ12" s="102">
        <f t="shared" si="25"/>
        <v>27508.93183380596</v>
      </c>
      <c r="AR12" s="102">
        <f t="shared" si="25"/>
        <v>27570.339436905033</v>
      </c>
      <c r="AS12" s="102">
        <f t="shared" si="25"/>
        <v>27631.879418866898</v>
      </c>
      <c r="AT12" s="102">
        <f t="shared" si="25"/>
        <v>27693.552059681755</v>
      </c>
      <c r="AU12" s="102">
        <f t="shared" si="25"/>
        <v>27755.357639925634</v>
      </c>
      <c r="AV12" s="102">
        <f t="shared" si="25"/>
        <v>27817.296440761605</v>
      </c>
      <c r="AW12" s="102">
        <f t="shared" si="25"/>
        <v>27879.36874394098</v>
      </c>
      <c r="AX12" s="102">
        <f t="shared" si="25"/>
        <v>27941.57483180453</v>
      </c>
      <c r="AY12" s="102">
        <f t="shared" si="25"/>
        <v>28003.914987283752</v>
      </c>
      <c r="AZ12" s="102">
        <f t="shared" si="25"/>
        <v>28066.389493902039</v>
      </c>
      <c r="BA12" s="102">
        <f t="shared" si="25"/>
        <v>28128.998635775948</v>
      </c>
      <c r="BB12" s="102">
        <f t="shared" si="25"/>
        <v>28191.74269761645</v>
      </c>
      <c r="BC12" s="102">
        <f t="shared" si="25"/>
        <v>28254.621964730111</v>
      </c>
      <c r="BD12" s="102">
        <f t="shared" si="25"/>
        <v>28317.636723020383</v>
      </c>
      <c r="BE12" s="102">
        <f t="shared" si="25"/>
        <v>28380.787258988792</v>
      </c>
      <c r="BF12" s="102">
        <f t="shared" si="25"/>
        <v>28444.073859736265</v>
      </c>
      <c r="BG12" s="102">
        <f t="shared" si="25"/>
        <v>28507.496812964266</v>
      </c>
      <c r="BH12" s="102">
        <f t="shared" si="25"/>
        <v>28571.056406976139</v>
      </c>
      <c r="BI12" s="102">
        <f t="shared" si="25"/>
        <v>28634.752930678304</v>
      </c>
      <c r="BJ12" s="102">
        <f t="shared" si="25"/>
        <v>28698.586673581536</v>
      </c>
      <c r="BK12" s="102">
        <f t="shared" si="25"/>
        <v>28762.557925802197</v>
      </c>
      <c r="BL12" s="102">
        <f t="shared" si="25"/>
        <v>28826.666978063557</v>
      </c>
      <c r="BM12" s="102">
        <f t="shared" si="25"/>
        <v>28890.914121696955</v>
      </c>
      <c r="BN12" s="102">
        <f t="shared" si="25"/>
        <v>28955.299648643158</v>
      </c>
      <c r="BO12" s="102">
        <f t="shared" si="25"/>
        <v>29019.823851453551</v>
      </c>
      <c r="BP12" s="102">
        <f t="shared" si="25"/>
        <v>29084.487023291498</v>
      </c>
      <c r="BQ12" s="102">
        <f t="shared" si="25"/>
        <v>29149.289457933508</v>
      </c>
      <c r="BR12" s="102">
        <f t="shared" si="25"/>
        <v>29214.231449770588</v>
      </c>
      <c r="BS12" s="102">
        <f t="shared" ref="BS12:BY12" si="26">SUM(BS9:BS11)</f>
        <v>29279.313293809482</v>
      </c>
      <c r="BT12" s="102">
        <f t="shared" si="26"/>
        <v>29344.53528567397</v>
      </c>
      <c r="BU12" s="102">
        <f t="shared" si="26"/>
        <v>29409.897721606136</v>
      </c>
      <c r="BV12" s="102">
        <f t="shared" si="26"/>
        <v>29475.400898467677</v>
      </c>
      <c r="BW12" s="102">
        <f t="shared" si="26"/>
        <v>29541.045113741158</v>
      </c>
      <c r="BX12" s="102">
        <f t="shared" si="26"/>
        <v>29606.830665531321</v>
      </c>
      <c r="BY12" s="103">
        <f t="shared" si="26"/>
        <v>29672.757852566385</v>
      </c>
    </row>
    <row r="13" spans="1:77" x14ac:dyDescent="0.35">
      <c r="A13" s="86" t="s">
        <v>86</v>
      </c>
      <c r="B13" s="93">
        <v>0</v>
      </c>
      <c r="D13" s="106" t="s">
        <v>89</v>
      </c>
      <c r="E13" s="97">
        <v>0</v>
      </c>
      <c r="F13" s="97">
        <f>PPMT($B$19/12,F3,$B$20*12,$B$17*$B$2,0,)</f>
        <v>-5693.2349896025407</v>
      </c>
      <c r="G13" s="97">
        <f t="shared" ref="G13:BR13" si="27">PPMT($B$19/12,G3,$B$20*12,$B$17*$B$2,0,)</f>
        <v>-5718.5224416813599</v>
      </c>
      <c r="H13" s="97">
        <f t="shared" si="27"/>
        <v>-5743.9222121931598</v>
      </c>
      <c r="I13" s="97">
        <f t="shared" si="27"/>
        <v>-5769.4348000189839</v>
      </c>
      <c r="J13" s="97">
        <f t="shared" si="27"/>
        <v>-5795.0607062557356</v>
      </c>
      <c r="K13" s="97">
        <f t="shared" si="27"/>
        <v>-5820.8004342260219</v>
      </c>
      <c r="L13" s="97">
        <f t="shared" si="27"/>
        <v>-5846.6544894880417</v>
      </c>
      <c r="M13" s="97">
        <f t="shared" si="27"/>
        <v>-5872.6233798455187</v>
      </c>
      <c r="N13" s="97">
        <f t="shared" si="27"/>
        <v>-5898.7076153576645</v>
      </c>
      <c r="O13" s="97">
        <f t="shared" si="27"/>
        <v>-5924.907708349213</v>
      </c>
      <c r="P13" s="97">
        <f t="shared" si="27"/>
        <v>-5951.2241734204636</v>
      </c>
      <c r="Q13" s="97">
        <f t="shared" si="27"/>
        <v>-5977.6575274574043</v>
      </c>
      <c r="R13" s="97">
        <f t="shared" si="27"/>
        <v>-6004.2082896418624</v>
      </c>
      <c r="S13" s="97">
        <f t="shared" si="27"/>
        <v>-6030.8769814616899</v>
      </c>
      <c r="T13" s="97">
        <f t="shared" si="27"/>
        <v>-6057.6641267210143</v>
      </c>
      <c r="U13" s="97">
        <f t="shared" si="27"/>
        <v>-6084.5702515505336</v>
      </c>
      <c r="V13" s="97">
        <f t="shared" si="27"/>
        <v>-6111.5958844178376</v>
      </c>
      <c r="W13" s="97">
        <f t="shared" si="27"/>
        <v>-6138.7415561377929</v>
      </c>
      <c r="X13" s="97">
        <f t="shared" si="27"/>
        <v>-6166.0077998829711</v>
      </c>
      <c r="Y13" s="97">
        <f t="shared" si="27"/>
        <v>-6193.3951511941168</v>
      </c>
      <c r="Z13" s="97">
        <f t="shared" si="27"/>
        <v>-6220.9041479906718</v>
      </c>
      <c r="AA13" s="97">
        <f t="shared" si="27"/>
        <v>-6248.5353305813314</v>
      </c>
      <c r="AB13" s="97">
        <f t="shared" si="27"/>
        <v>-6276.2892416746618</v>
      </c>
      <c r="AC13" s="97">
        <f t="shared" si="27"/>
        <v>-6304.1664263897674</v>
      </c>
      <c r="AD13" s="97">
        <f t="shared" si="27"/>
        <v>-6332.1674322669824</v>
      </c>
      <c r="AE13" s="97">
        <f t="shared" si="27"/>
        <v>-6360.2928092786342</v>
      </c>
      <c r="AF13" s="97">
        <f t="shared" si="27"/>
        <v>-6388.5431098398467</v>
      </c>
      <c r="AG13" s="97">
        <f t="shared" si="27"/>
        <v>-6416.9188888193867</v>
      </c>
      <c r="AH13" s="97">
        <f t="shared" si="27"/>
        <v>-6445.4207035505588</v>
      </c>
      <c r="AI13" s="97">
        <f t="shared" si="27"/>
        <v>-6474.049113842163</v>
      </c>
      <c r="AJ13" s="97">
        <f t="shared" si="27"/>
        <v>-6502.8046819894789</v>
      </c>
      <c r="AK13" s="97">
        <f t="shared" si="27"/>
        <v>-6531.6879727853138</v>
      </c>
      <c r="AL13" s="97">
        <f t="shared" si="27"/>
        <v>-6560.6995535311025</v>
      </c>
      <c r="AM13" s="97">
        <f t="shared" si="27"/>
        <v>-6589.8399940480376</v>
      </c>
      <c r="AN13" s="97">
        <f t="shared" si="27"/>
        <v>-6619.1098666882663</v>
      </c>
      <c r="AO13" s="97">
        <f t="shared" si="27"/>
        <v>-6648.5097463461407</v>
      </c>
      <c r="AP13" s="97">
        <f t="shared" si="27"/>
        <v>-6678.040210469494</v>
      </c>
      <c r="AQ13" s="97">
        <f t="shared" si="27"/>
        <v>-6707.7018390709964</v>
      </c>
      <c r="AR13" s="97">
        <f t="shared" si="27"/>
        <v>-6737.495214739537</v>
      </c>
      <c r="AS13" s="97">
        <f t="shared" si="27"/>
        <v>-6767.4209226516723</v>
      </c>
      <c r="AT13" s="97">
        <f t="shared" si="27"/>
        <v>-6797.4795505831162</v>
      </c>
      <c r="AU13" s="97">
        <f t="shared" si="27"/>
        <v>-6827.6716889202889</v>
      </c>
      <c r="AV13" s="97">
        <f t="shared" si="27"/>
        <v>-6857.9979306719097</v>
      </c>
      <c r="AW13" s="97">
        <f t="shared" si="27"/>
        <v>-6888.4588714806441</v>
      </c>
      <c r="AX13" s="97">
        <f t="shared" si="27"/>
        <v>-6919.0551096348054</v>
      </c>
      <c r="AY13" s="97">
        <f t="shared" si="27"/>
        <v>-6949.7872460801</v>
      </c>
      <c r="AZ13" s="97">
        <f t="shared" si="27"/>
        <v>-6980.6558844314377</v>
      </c>
      <c r="BA13" s="97">
        <f t="shared" si="27"/>
        <v>-7011.6616309847877</v>
      </c>
      <c r="BB13" s="97">
        <f t="shared" si="27"/>
        <v>-7042.8050947290794</v>
      </c>
      <c r="BC13" s="97">
        <f t="shared" si="27"/>
        <v>-7074.0868873581676</v>
      </c>
      <c r="BD13" s="97">
        <f t="shared" si="27"/>
        <v>-7105.5076232828505</v>
      </c>
      <c r="BE13" s="97">
        <f t="shared" si="27"/>
        <v>-7137.067919642931</v>
      </c>
      <c r="BF13" s="97">
        <f t="shared" si="27"/>
        <v>-7168.768396319344</v>
      </c>
      <c r="BG13" s="97">
        <f t="shared" si="27"/>
        <v>-7200.6096759463298</v>
      </c>
      <c r="BH13" s="97">
        <f t="shared" si="27"/>
        <v>-7232.5923839236584</v>
      </c>
      <c r="BI13" s="97">
        <f t="shared" si="27"/>
        <v>-7264.7171484289183</v>
      </c>
      <c r="BJ13" s="97">
        <f t="shared" si="27"/>
        <v>-7296.9846004298579</v>
      </c>
      <c r="BK13" s="97">
        <f t="shared" si="27"/>
        <v>-7329.3953736967678</v>
      </c>
      <c r="BL13" s="97">
        <f t="shared" si="27"/>
        <v>-7361.9501048149368</v>
      </c>
      <c r="BM13" s="97">
        <f t="shared" si="27"/>
        <v>-7394.6494331971571</v>
      </c>
      <c r="BN13" s="97">
        <f t="shared" si="27"/>
        <v>-7427.4940010962737</v>
      </c>
      <c r="BO13" s="97">
        <f t="shared" si="27"/>
        <v>-7460.4844536178089</v>
      </c>
      <c r="BP13" s="97">
        <f t="shared" si="27"/>
        <v>-7493.621438732629</v>
      </c>
      <c r="BQ13" s="97">
        <f t="shared" si="27"/>
        <v>-7526.9056072896665</v>
      </c>
      <c r="BR13" s="97">
        <f t="shared" si="27"/>
        <v>-7560.3376130287106</v>
      </c>
      <c r="BS13" s="97">
        <f t="shared" ref="BS13:BY13" si="28">PPMT($B$19/12,BS3,$B$20*12,$B$17*$B$2,0,)</f>
        <v>-7593.9181125932473</v>
      </c>
      <c r="BT13" s="97">
        <f t="shared" si="28"/>
        <v>-7627.6477655433491</v>
      </c>
      <c r="BU13" s="97">
        <f t="shared" si="28"/>
        <v>-7661.5272343686374</v>
      </c>
      <c r="BV13" s="97">
        <f t="shared" si="28"/>
        <v>-7695.5571845012919</v>
      </c>
      <c r="BW13" s="97">
        <f t="shared" si="28"/>
        <v>-7729.7382843291198</v>
      </c>
      <c r="BX13" s="97">
        <f t="shared" si="28"/>
        <v>-7764.0712052086792</v>
      </c>
      <c r="BY13" s="136">
        <f t="shared" si="28"/>
        <v>-7798.5566214784822</v>
      </c>
    </row>
    <row r="14" spans="1:77" x14ac:dyDescent="0.35">
      <c r="A14" s="88" t="s">
        <v>87</v>
      </c>
      <c r="B14" s="95">
        <v>0</v>
      </c>
      <c r="C14" s="91"/>
      <c r="D14" s="106" t="s">
        <v>94</v>
      </c>
      <c r="E14" s="97">
        <v>0</v>
      </c>
      <c r="F14" s="97">
        <f>IPMT($B$19/12,F3,$B$20*12,$B$17*$B$2,0,)</f>
        <v>-15823.4375</v>
      </c>
      <c r="G14" s="97">
        <f t="shared" ref="G14:BR14" si="29">IPMT($B$19/12,G3,$B$20*12,$B$17*$B$2,0,)</f>
        <v>-15798.150047921179</v>
      </c>
      <c r="H14" s="97">
        <f t="shared" si="29"/>
        <v>-15772.750277409383</v>
      </c>
      <c r="I14" s="97">
        <f t="shared" si="29"/>
        <v>-15747.237689583557</v>
      </c>
      <c r="J14" s="97">
        <f t="shared" si="29"/>
        <v>-15721.611783346803</v>
      </c>
      <c r="K14" s="97">
        <f t="shared" si="29"/>
        <v>-15695.87205537652</v>
      </c>
      <c r="L14" s="97">
        <f t="shared" si="29"/>
        <v>-15670.018000114498</v>
      </c>
      <c r="M14" s="97">
        <f t="shared" si="29"/>
        <v>-15644.049109757025</v>
      </c>
      <c r="N14" s="97">
        <f t="shared" si="29"/>
        <v>-15617.964874244875</v>
      </c>
      <c r="O14" s="97">
        <f t="shared" si="29"/>
        <v>-15591.764781253327</v>
      </c>
      <c r="P14" s="97">
        <f t="shared" si="29"/>
        <v>-15565.448316182075</v>
      </c>
      <c r="Q14" s="97">
        <f t="shared" si="29"/>
        <v>-15539.014962145135</v>
      </c>
      <c r="R14" s="97">
        <f t="shared" si="29"/>
        <v>-15512.464199960677</v>
      </c>
      <c r="S14" s="97">
        <f t="shared" si="29"/>
        <v>-15485.795508140853</v>
      </c>
      <c r="T14" s="97">
        <f t="shared" si="29"/>
        <v>-15459.008362881528</v>
      </c>
      <c r="U14" s="97">
        <f t="shared" si="29"/>
        <v>-15432.102238052008</v>
      </c>
      <c r="V14" s="97">
        <f t="shared" si="29"/>
        <v>-15405.076605184704</v>
      </c>
      <c r="W14" s="97">
        <f t="shared" si="29"/>
        <v>-15377.93093346475</v>
      </c>
      <c r="X14" s="97">
        <f t="shared" si="29"/>
        <v>-15350.66468971957</v>
      </c>
      <c r="Y14" s="97">
        <f t="shared" si="29"/>
        <v>-15323.277338408423</v>
      </c>
      <c r="Z14" s="97">
        <f t="shared" si="29"/>
        <v>-15295.768341611869</v>
      </c>
      <c r="AA14" s="97">
        <f t="shared" si="29"/>
        <v>-15268.137159021211</v>
      </c>
      <c r="AB14" s="97">
        <f t="shared" si="29"/>
        <v>-15240.383247927877</v>
      </c>
      <c r="AC14" s="97">
        <f t="shared" si="29"/>
        <v>-15212.506063212773</v>
      </c>
      <c r="AD14" s="97">
        <f t="shared" si="29"/>
        <v>-15184.505057335558</v>
      </c>
      <c r="AE14" s="97">
        <f t="shared" si="29"/>
        <v>-15156.379680323909</v>
      </c>
      <c r="AF14" s="97">
        <f t="shared" si="29"/>
        <v>-15128.129379762693</v>
      </c>
      <c r="AG14" s="97">
        <f t="shared" si="29"/>
        <v>-15099.753600783153</v>
      </c>
      <c r="AH14" s="97">
        <f t="shared" si="29"/>
        <v>-15071.251786051982</v>
      </c>
      <c r="AI14" s="97">
        <f t="shared" si="29"/>
        <v>-15042.62337576038</v>
      </c>
      <c r="AJ14" s="97">
        <f t="shared" si="29"/>
        <v>-15013.867807613064</v>
      </c>
      <c r="AK14" s="97">
        <f t="shared" si="29"/>
        <v>-14984.984516817225</v>
      </c>
      <c r="AL14" s="97">
        <f t="shared" si="29"/>
        <v>-14955.972936071437</v>
      </c>
      <c r="AM14" s="97">
        <f t="shared" si="29"/>
        <v>-14926.832495554503</v>
      </c>
      <c r="AN14" s="97">
        <f t="shared" si="29"/>
        <v>-14897.562622914274</v>
      </c>
      <c r="AO14" s="97">
        <f t="shared" si="29"/>
        <v>-14868.1627432564</v>
      </c>
      <c r="AP14" s="97">
        <f t="shared" si="29"/>
        <v>-14838.632279133048</v>
      </c>
      <c r="AQ14" s="97">
        <f t="shared" si="29"/>
        <v>-14808.970650531543</v>
      </c>
      <c r="AR14" s="97">
        <f t="shared" si="29"/>
        <v>-14779.177274863005</v>
      </c>
      <c r="AS14" s="97">
        <f t="shared" si="29"/>
        <v>-14749.25156695087</v>
      </c>
      <c r="AT14" s="97">
        <f t="shared" si="29"/>
        <v>-14719.192939019424</v>
      </c>
      <c r="AU14" s="97">
        <f t="shared" si="29"/>
        <v>-14689.000800682254</v>
      </c>
      <c r="AV14" s="97">
        <f t="shared" si="29"/>
        <v>-14658.67455893063</v>
      </c>
      <c r="AW14" s="97">
        <f t="shared" si="29"/>
        <v>-14628.213618121898</v>
      </c>
      <c r="AX14" s="97">
        <f t="shared" si="29"/>
        <v>-14597.617379967734</v>
      </c>
      <c r="AY14" s="97">
        <f t="shared" si="29"/>
        <v>-14566.885243522443</v>
      </c>
      <c r="AZ14" s="97">
        <f t="shared" si="29"/>
        <v>-14536.016605171102</v>
      </c>
      <c r="BA14" s="97">
        <f t="shared" si="29"/>
        <v>-14505.010858617754</v>
      </c>
      <c r="BB14" s="97">
        <f t="shared" si="29"/>
        <v>-14473.867394873461</v>
      </c>
      <c r="BC14" s="97">
        <f t="shared" si="29"/>
        <v>-14442.585602244373</v>
      </c>
      <c r="BD14" s="97">
        <f t="shared" si="29"/>
        <v>-14411.164866319692</v>
      </c>
      <c r="BE14" s="97">
        <f t="shared" si="29"/>
        <v>-14379.604569959607</v>
      </c>
      <c r="BF14" s="97">
        <f t="shared" si="29"/>
        <v>-14347.904093283198</v>
      </c>
      <c r="BG14" s="97">
        <f t="shared" si="29"/>
        <v>-14316.06281365621</v>
      </c>
      <c r="BH14" s="97">
        <f t="shared" si="29"/>
        <v>-14284.080105678882</v>
      </c>
      <c r="BI14" s="97">
        <f t="shared" si="29"/>
        <v>-14251.955341173621</v>
      </c>
      <c r="BJ14" s="97">
        <f t="shared" si="29"/>
        <v>-14219.687889172683</v>
      </c>
      <c r="BK14" s="97">
        <f t="shared" si="29"/>
        <v>-14187.277115905772</v>
      </c>
      <c r="BL14" s="97">
        <f t="shared" si="29"/>
        <v>-14154.722384787607</v>
      </c>
      <c r="BM14" s="97">
        <f t="shared" si="29"/>
        <v>-14122.023056405382</v>
      </c>
      <c r="BN14" s="97">
        <f t="shared" si="29"/>
        <v>-14089.178488506266</v>
      </c>
      <c r="BO14" s="97">
        <f t="shared" si="29"/>
        <v>-14056.188035984731</v>
      </c>
      <c r="BP14" s="97">
        <f t="shared" si="29"/>
        <v>-14023.05105086991</v>
      </c>
      <c r="BQ14" s="97">
        <f t="shared" si="29"/>
        <v>-13989.766882312873</v>
      </c>
      <c r="BR14" s="97">
        <f t="shared" si="29"/>
        <v>-13956.33487657383</v>
      </c>
      <c r="BS14" s="97">
        <f t="shared" ref="BS14:BY14" si="30">IPMT($B$19/12,BS3,$B$20*12,$B$17*$B$2,0,)</f>
        <v>-13922.754377009293</v>
      </c>
      <c r="BT14" s="97">
        <f t="shared" si="30"/>
        <v>-13889.024724059191</v>
      </c>
      <c r="BU14" s="97">
        <f t="shared" si="30"/>
        <v>-13855.145255233905</v>
      </c>
      <c r="BV14" s="97">
        <f t="shared" si="30"/>
        <v>-13821.115305101252</v>
      </c>
      <c r="BW14" s="97">
        <f t="shared" si="30"/>
        <v>-13786.934205273421</v>
      </c>
      <c r="BX14" s="97">
        <f t="shared" si="30"/>
        <v>-13752.601284393862</v>
      </c>
      <c r="BY14" s="136">
        <f t="shared" si="30"/>
        <v>-13718.115868124059</v>
      </c>
    </row>
    <row r="15" spans="1:77" x14ac:dyDescent="0.35">
      <c r="A15" s="90"/>
      <c r="B15" s="89"/>
      <c r="D15" s="107" t="s">
        <v>95</v>
      </c>
      <c r="E15" s="102">
        <v>0</v>
      </c>
      <c r="F15" s="102">
        <f>SUM(F12:F14)</f>
        <v>3810.7341770641251</v>
      </c>
      <c r="G15" s="102">
        <f t="shared" ref="G15:BR15" si="31">SUM(G12:G14)</f>
        <v>3867.4353510822439</v>
      </c>
      <c r="H15" s="102">
        <f t="shared" si="31"/>
        <v>3924.2589452460834</v>
      </c>
      <c r="I15" s="102">
        <f t="shared" si="31"/>
        <v>3981.2052187044956</v>
      </c>
      <c r="J15" s="102">
        <f t="shared" si="31"/>
        <v>4038.2744311487786</v>
      </c>
      <c r="K15" s="102">
        <f t="shared" si="31"/>
        <v>4095.4668428138466</v>
      </c>
      <c r="L15" s="102">
        <f t="shared" si="31"/>
        <v>4152.7827144793519</v>
      </c>
      <c r="M15" s="102">
        <f t="shared" si="31"/>
        <v>4210.2223074708072</v>
      </c>
      <c r="N15" s="102">
        <f t="shared" si="31"/>
        <v>4267.785883660732</v>
      </c>
      <c r="O15" s="102">
        <f t="shared" si="31"/>
        <v>4325.4737054697634</v>
      </c>
      <c r="P15" s="102">
        <f t="shared" si="31"/>
        <v>4383.2860358678372</v>
      </c>
      <c r="Q15" s="102">
        <f t="shared" si="31"/>
        <v>4441.2231383753096</v>
      </c>
      <c r="R15" s="102">
        <f t="shared" si="31"/>
        <v>4499.2852770640839</v>
      </c>
      <c r="S15" s="102">
        <f t="shared" si="31"/>
        <v>4557.4727165587883</v>
      </c>
      <c r="T15" s="102">
        <f t="shared" si="31"/>
        <v>4615.7857220379246</v>
      </c>
      <c r="U15" s="102">
        <f t="shared" si="31"/>
        <v>4674.2245592349936</v>
      </c>
      <c r="V15" s="102">
        <f t="shared" si="31"/>
        <v>4732.7894944396485</v>
      </c>
      <c r="W15" s="102">
        <f t="shared" si="31"/>
        <v>4791.4807944988988</v>
      </c>
      <c r="X15" s="102">
        <f t="shared" si="31"/>
        <v>4850.2987268182096</v>
      </c>
      <c r="Y15" s="102">
        <f t="shared" si="31"/>
        <v>4909.2435593627069</v>
      </c>
      <c r="Z15" s="102">
        <f t="shared" si="31"/>
        <v>4968.3155606583077</v>
      </c>
      <c r="AA15" s="102">
        <f t="shared" si="31"/>
        <v>5027.514999792922</v>
      </c>
      <c r="AB15" s="102">
        <f t="shared" si="31"/>
        <v>5086.8421464176045</v>
      </c>
      <c r="AC15" s="102">
        <f t="shared" si="31"/>
        <v>5146.2972707476929</v>
      </c>
      <c r="AD15" s="102">
        <f t="shared" si="31"/>
        <v>5205.8806435640436</v>
      </c>
      <c r="AE15" s="102">
        <f t="shared" si="31"/>
        <v>5265.5925362141534</v>
      </c>
      <c r="AF15" s="102">
        <f t="shared" si="31"/>
        <v>5325.4332206133913</v>
      </c>
      <c r="AG15" s="102">
        <f t="shared" si="31"/>
        <v>5385.4029692461136</v>
      </c>
      <c r="AH15" s="102">
        <f t="shared" si="31"/>
        <v>5445.5020551668913</v>
      </c>
      <c r="AI15" s="102">
        <f t="shared" si="31"/>
        <v>5505.7307520017057</v>
      </c>
      <c r="AJ15" s="102">
        <f t="shared" si="31"/>
        <v>5566.0893339490976</v>
      </c>
      <c r="AK15" s="102">
        <f t="shared" si="31"/>
        <v>5626.57807578137</v>
      </c>
      <c r="AL15" s="102">
        <f t="shared" si="31"/>
        <v>5687.1972528458209</v>
      </c>
      <c r="AM15" s="102">
        <f t="shared" si="31"/>
        <v>5747.9471410658662</v>
      </c>
      <c r="AN15" s="102">
        <f t="shared" si="31"/>
        <v>5808.8280169423069</v>
      </c>
      <c r="AO15" s="102">
        <f t="shared" si="31"/>
        <v>5869.8401575544758</v>
      </c>
      <c r="AP15" s="102">
        <f t="shared" si="31"/>
        <v>5930.9838405614955</v>
      </c>
      <c r="AQ15" s="102">
        <f t="shared" si="31"/>
        <v>5992.2593442034213</v>
      </c>
      <c r="AR15" s="102">
        <f t="shared" si="31"/>
        <v>6053.6669473024904</v>
      </c>
      <c r="AS15" s="102">
        <f t="shared" si="31"/>
        <v>6115.2069292643555</v>
      </c>
      <c r="AT15" s="102">
        <f t="shared" si="31"/>
        <v>6176.8795700792143</v>
      </c>
      <c r="AU15" s="102">
        <f t="shared" si="31"/>
        <v>6238.6851503230937</v>
      </c>
      <c r="AV15" s="102">
        <f t="shared" si="31"/>
        <v>6300.6239511590647</v>
      </c>
      <c r="AW15" s="102">
        <f t="shared" si="31"/>
        <v>6362.6962543384379</v>
      </c>
      <c r="AX15" s="102">
        <f t="shared" si="31"/>
        <v>6424.9023422019891</v>
      </c>
      <c r="AY15" s="102">
        <f t="shared" si="31"/>
        <v>6487.2424976812072</v>
      </c>
      <c r="AZ15" s="102">
        <f t="shared" si="31"/>
        <v>6549.7170042994985</v>
      </c>
      <c r="BA15" s="102">
        <f t="shared" si="31"/>
        <v>6612.3261461734055</v>
      </c>
      <c r="BB15" s="102">
        <f t="shared" si="31"/>
        <v>6675.070208013909</v>
      </c>
      <c r="BC15" s="102">
        <f t="shared" si="31"/>
        <v>6737.9494751275706</v>
      </c>
      <c r="BD15" s="102">
        <f t="shared" si="31"/>
        <v>6800.9642334178407</v>
      </c>
      <c r="BE15" s="102">
        <f t="shared" si="31"/>
        <v>6864.1147693862549</v>
      </c>
      <c r="BF15" s="102">
        <f t="shared" si="31"/>
        <v>6927.4013701337226</v>
      </c>
      <c r="BG15" s="102">
        <f t="shared" si="31"/>
        <v>6990.8243233617268</v>
      </c>
      <c r="BH15" s="102">
        <f t="shared" si="31"/>
        <v>7054.3839173735996</v>
      </c>
      <c r="BI15" s="102">
        <f t="shared" si="31"/>
        <v>7118.0804410757646</v>
      </c>
      <c r="BJ15" s="102">
        <f t="shared" si="31"/>
        <v>7181.9141839789936</v>
      </c>
      <c r="BK15" s="102">
        <f t="shared" si="31"/>
        <v>7245.8854361996582</v>
      </c>
      <c r="BL15" s="102">
        <f t="shared" si="31"/>
        <v>7309.994488461014</v>
      </c>
      <c r="BM15" s="102">
        <f t="shared" si="31"/>
        <v>7374.2416320944139</v>
      </c>
      <c r="BN15" s="102">
        <f t="shared" si="31"/>
        <v>7438.6271590406177</v>
      </c>
      <c r="BO15" s="102">
        <f t="shared" si="31"/>
        <v>7503.1513618510107</v>
      </c>
      <c r="BP15" s="102">
        <f t="shared" si="31"/>
        <v>7567.8145336889593</v>
      </c>
      <c r="BQ15" s="102">
        <f t="shared" si="31"/>
        <v>7632.6169683309672</v>
      </c>
      <c r="BR15" s="102">
        <f t="shared" si="31"/>
        <v>7697.5589601680476</v>
      </c>
      <c r="BS15" s="102">
        <f t="shared" ref="BS15:BY15" si="32">SUM(BS12:BS14)</f>
        <v>7762.6408042069415</v>
      </c>
      <c r="BT15" s="102">
        <f t="shared" si="32"/>
        <v>7827.8627960714311</v>
      </c>
      <c r="BU15" s="102">
        <f t="shared" si="32"/>
        <v>7893.2252320035932</v>
      </c>
      <c r="BV15" s="102">
        <f t="shared" si="32"/>
        <v>7958.7284088651322</v>
      </c>
      <c r="BW15" s="102">
        <f t="shared" si="32"/>
        <v>8024.3726241386175</v>
      </c>
      <c r="BX15" s="102">
        <f t="shared" si="32"/>
        <v>8090.1581759287801</v>
      </c>
      <c r="BY15" s="103">
        <f t="shared" si="32"/>
        <v>8156.0853629638441</v>
      </c>
    </row>
    <row r="16" spans="1:77" x14ac:dyDescent="0.35">
      <c r="A16" s="83" t="s">
        <v>90</v>
      </c>
      <c r="B16" s="84"/>
      <c r="D16" s="106" t="s">
        <v>11</v>
      </c>
      <c r="E16" s="97">
        <f>-B2</f>
        <v>-4750000</v>
      </c>
      <c r="F16" s="97">
        <v>0</v>
      </c>
      <c r="G16" s="97">
        <v>0</v>
      </c>
      <c r="H16" s="97">
        <v>0</v>
      </c>
      <c r="I16" s="97">
        <v>0</v>
      </c>
      <c r="J16" s="97">
        <v>0</v>
      </c>
      <c r="K16" s="97">
        <v>0</v>
      </c>
      <c r="L16" s="97">
        <v>0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97">
        <v>0</v>
      </c>
      <c r="Z16" s="97">
        <v>0</v>
      </c>
      <c r="AA16" s="97">
        <v>0</v>
      </c>
      <c r="AB16" s="97">
        <v>0</v>
      </c>
      <c r="AC16" s="97">
        <v>0</v>
      </c>
      <c r="AD16" s="97">
        <v>0</v>
      </c>
      <c r="AE16" s="97">
        <v>0</v>
      </c>
      <c r="AF16" s="97">
        <v>0</v>
      </c>
      <c r="AG16" s="97">
        <v>0</v>
      </c>
      <c r="AH16" s="97">
        <v>0</v>
      </c>
      <c r="AI16" s="97">
        <v>0</v>
      </c>
      <c r="AJ16" s="97">
        <v>0</v>
      </c>
      <c r="AK16" s="97">
        <v>0</v>
      </c>
      <c r="AL16" s="97">
        <v>0</v>
      </c>
      <c r="AM16" s="97">
        <v>0</v>
      </c>
      <c r="AN16" s="97">
        <v>0</v>
      </c>
      <c r="AO16" s="97">
        <v>0</v>
      </c>
      <c r="AP16" s="97">
        <v>0</v>
      </c>
      <c r="AQ16" s="97">
        <v>0</v>
      </c>
      <c r="AR16" s="97">
        <v>0</v>
      </c>
      <c r="AS16" s="97">
        <v>0</v>
      </c>
      <c r="AT16" s="97">
        <v>0</v>
      </c>
      <c r="AU16" s="97">
        <v>0</v>
      </c>
      <c r="AV16" s="97">
        <v>0</v>
      </c>
      <c r="AW16" s="97">
        <v>0</v>
      </c>
      <c r="AX16" s="97">
        <v>0</v>
      </c>
      <c r="AY16" s="97">
        <v>0</v>
      </c>
      <c r="AZ16" s="97">
        <v>0</v>
      </c>
      <c r="BA16" s="97">
        <v>0</v>
      </c>
      <c r="BB16" s="97">
        <v>0</v>
      </c>
      <c r="BC16" s="97">
        <v>0</v>
      </c>
      <c r="BD16" s="97">
        <v>0</v>
      </c>
      <c r="BE16" s="97">
        <v>0</v>
      </c>
      <c r="BF16" s="97">
        <v>0</v>
      </c>
      <c r="BG16" s="97">
        <v>0</v>
      </c>
      <c r="BH16" s="97">
        <v>0</v>
      </c>
      <c r="BI16" s="97">
        <v>0</v>
      </c>
      <c r="BJ16" s="97">
        <v>0</v>
      </c>
      <c r="BK16" s="97">
        <v>0</v>
      </c>
      <c r="BL16" s="97">
        <v>0</v>
      </c>
      <c r="BM16" s="97">
        <v>0</v>
      </c>
      <c r="BN16" s="97">
        <v>0</v>
      </c>
      <c r="BO16" s="97">
        <v>0</v>
      </c>
      <c r="BP16" s="97">
        <v>0</v>
      </c>
      <c r="BQ16" s="97">
        <v>0</v>
      </c>
      <c r="BR16" s="97">
        <v>0</v>
      </c>
      <c r="BS16" s="97">
        <v>0</v>
      </c>
      <c r="BT16" s="97">
        <v>0</v>
      </c>
      <c r="BU16" s="97">
        <v>0</v>
      </c>
      <c r="BV16" s="97">
        <v>0</v>
      </c>
      <c r="BW16" s="97">
        <v>0</v>
      </c>
      <c r="BX16" s="97">
        <v>0</v>
      </c>
      <c r="BY16" s="136">
        <v>0</v>
      </c>
    </row>
    <row r="17" spans="1:77" x14ac:dyDescent="0.35">
      <c r="A17" s="85" t="s">
        <v>27</v>
      </c>
      <c r="B17" s="15">
        <v>0.75</v>
      </c>
      <c r="D17" s="106" t="s">
        <v>96</v>
      </c>
      <c r="E17" s="97">
        <f>-B4</f>
        <v>-95000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97">
        <v>0</v>
      </c>
      <c r="N17" s="97">
        <v>0</v>
      </c>
      <c r="O17" s="97">
        <v>0</v>
      </c>
      <c r="P17" s="97">
        <v>0</v>
      </c>
      <c r="Q17" s="97">
        <v>0</v>
      </c>
      <c r="R17" s="97">
        <v>0</v>
      </c>
      <c r="S17" s="97">
        <v>0</v>
      </c>
      <c r="T17" s="97">
        <v>0</v>
      </c>
      <c r="U17" s="97">
        <v>0</v>
      </c>
      <c r="V17" s="97">
        <v>0</v>
      </c>
      <c r="W17" s="97">
        <v>0</v>
      </c>
      <c r="X17" s="97">
        <v>0</v>
      </c>
      <c r="Y17" s="97">
        <v>0</v>
      </c>
      <c r="Z17" s="97">
        <v>0</v>
      </c>
      <c r="AA17" s="97">
        <v>0</v>
      </c>
      <c r="AB17" s="97">
        <v>0</v>
      </c>
      <c r="AC17" s="97">
        <v>0</v>
      </c>
      <c r="AD17" s="97">
        <v>0</v>
      </c>
      <c r="AE17" s="97">
        <v>0</v>
      </c>
      <c r="AF17" s="97">
        <v>0</v>
      </c>
      <c r="AG17" s="97">
        <v>0</v>
      </c>
      <c r="AH17" s="97">
        <v>0</v>
      </c>
      <c r="AI17" s="97">
        <v>0</v>
      </c>
      <c r="AJ17" s="97">
        <v>0</v>
      </c>
      <c r="AK17" s="97">
        <v>0</v>
      </c>
      <c r="AL17" s="97">
        <v>0</v>
      </c>
      <c r="AM17" s="97">
        <v>0</v>
      </c>
      <c r="AN17" s="97">
        <v>0</v>
      </c>
      <c r="AO17" s="97">
        <v>0</v>
      </c>
      <c r="AP17" s="97">
        <v>0</v>
      </c>
      <c r="AQ17" s="97">
        <v>0</v>
      </c>
      <c r="AR17" s="97">
        <v>0</v>
      </c>
      <c r="AS17" s="97">
        <v>0</v>
      </c>
      <c r="AT17" s="97">
        <v>0</v>
      </c>
      <c r="AU17" s="97">
        <v>0</v>
      </c>
      <c r="AV17" s="97">
        <v>0</v>
      </c>
      <c r="AW17" s="97">
        <v>0</v>
      </c>
      <c r="AX17" s="97">
        <v>0</v>
      </c>
      <c r="AY17" s="97">
        <v>0</v>
      </c>
      <c r="AZ17" s="97">
        <v>0</v>
      </c>
      <c r="BA17" s="97">
        <v>0</v>
      </c>
      <c r="BB17" s="97">
        <v>0</v>
      </c>
      <c r="BC17" s="97">
        <v>0</v>
      </c>
      <c r="BD17" s="97">
        <v>0</v>
      </c>
      <c r="BE17" s="97">
        <v>0</v>
      </c>
      <c r="BF17" s="97">
        <v>0</v>
      </c>
      <c r="BG17" s="97">
        <v>0</v>
      </c>
      <c r="BH17" s="97">
        <v>0</v>
      </c>
      <c r="BI17" s="97">
        <v>0</v>
      </c>
      <c r="BJ17" s="97">
        <v>0</v>
      </c>
      <c r="BK17" s="97">
        <v>0</v>
      </c>
      <c r="BL17" s="97">
        <v>0</v>
      </c>
      <c r="BM17" s="97">
        <v>0</v>
      </c>
      <c r="BN17" s="97">
        <v>0</v>
      </c>
      <c r="BO17" s="97">
        <v>0</v>
      </c>
      <c r="BP17" s="97">
        <v>0</v>
      </c>
      <c r="BQ17" s="97">
        <v>0</v>
      </c>
      <c r="BR17" s="97">
        <v>0</v>
      </c>
      <c r="BS17" s="97">
        <v>0</v>
      </c>
      <c r="BT17" s="97">
        <v>0</v>
      </c>
      <c r="BU17" s="97">
        <v>0</v>
      </c>
      <c r="BV17" s="97">
        <v>0</v>
      </c>
      <c r="BW17" s="97">
        <v>0</v>
      </c>
      <c r="BX17" s="97">
        <v>0</v>
      </c>
      <c r="BY17" s="136">
        <v>0</v>
      </c>
    </row>
    <row r="18" spans="1:77" x14ac:dyDescent="0.35">
      <c r="A18" s="85" t="s">
        <v>91</v>
      </c>
      <c r="B18" s="19">
        <v>0.01</v>
      </c>
      <c r="C18" s="91"/>
      <c r="D18" s="106" t="s">
        <v>97</v>
      </c>
      <c r="E18" s="97">
        <v>0</v>
      </c>
      <c r="F18" s="97">
        <v>0</v>
      </c>
      <c r="G18" s="97">
        <v>0</v>
      </c>
      <c r="H18" s="97">
        <v>0</v>
      </c>
      <c r="I18" s="97">
        <v>0</v>
      </c>
      <c r="J18" s="97">
        <v>0</v>
      </c>
      <c r="K18" s="97">
        <v>0</v>
      </c>
      <c r="L18" s="97">
        <v>0</v>
      </c>
      <c r="M18" s="97">
        <v>0</v>
      </c>
      <c r="N18" s="97">
        <v>0</v>
      </c>
      <c r="O18" s="97">
        <v>0</v>
      </c>
      <c r="P18" s="97">
        <v>0</v>
      </c>
      <c r="Q18" s="97">
        <f t="shared" ref="G18:BR18" si="33">IF(Q3=$B$24,SUM(R9:AA9)/$B$23,0)</f>
        <v>5532487.0801366717</v>
      </c>
      <c r="R18" s="97">
        <v>0</v>
      </c>
      <c r="S18" s="97">
        <v>0</v>
      </c>
      <c r="T18" s="97">
        <v>0</v>
      </c>
      <c r="U18" s="97">
        <v>0</v>
      </c>
      <c r="V18" s="97">
        <v>0</v>
      </c>
      <c r="W18" s="97">
        <v>0</v>
      </c>
      <c r="X18" s="97">
        <v>0</v>
      </c>
      <c r="Y18" s="97">
        <v>0</v>
      </c>
      <c r="Z18" s="97">
        <v>0</v>
      </c>
      <c r="AA18" s="97">
        <v>0</v>
      </c>
      <c r="AB18" s="97">
        <v>0</v>
      </c>
      <c r="AC18" s="97">
        <v>0</v>
      </c>
      <c r="AD18" s="97">
        <v>0</v>
      </c>
      <c r="AE18" s="97">
        <v>0</v>
      </c>
      <c r="AF18" s="97">
        <v>0</v>
      </c>
      <c r="AG18" s="97">
        <v>0</v>
      </c>
      <c r="AH18" s="97">
        <v>0</v>
      </c>
      <c r="AI18" s="97">
        <v>0</v>
      </c>
      <c r="AJ18" s="97">
        <v>0</v>
      </c>
      <c r="AK18" s="97">
        <v>0</v>
      </c>
      <c r="AL18" s="97">
        <v>0</v>
      </c>
      <c r="AM18" s="97">
        <v>0</v>
      </c>
      <c r="AN18" s="97">
        <v>0</v>
      </c>
      <c r="AO18" s="97">
        <v>0</v>
      </c>
      <c r="AP18" s="97">
        <v>0</v>
      </c>
      <c r="AQ18" s="97">
        <v>0</v>
      </c>
      <c r="AR18" s="97">
        <v>0</v>
      </c>
      <c r="AS18" s="97">
        <v>0</v>
      </c>
      <c r="AT18" s="97">
        <v>0</v>
      </c>
      <c r="AU18" s="97">
        <v>0</v>
      </c>
      <c r="AV18" s="97">
        <v>0</v>
      </c>
      <c r="AW18" s="97">
        <v>0</v>
      </c>
      <c r="AX18" s="97">
        <v>0</v>
      </c>
      <c r="AY18" s="97">
        <v>0</v>
      </c>
      <c r="AZ18" s="97">
        <v>0</v>
      </c>
      <c r="BA18" s="97">
        <v>0</v>
      </c>
      <c r="BB18" s="97">
        <v>0</v>
      </c>
      <c r="BC18" s="97">
        <v>0</v>
      </c>
      <c r="BD18" s="97">
        <v>0</v>
      </c>
      <c r="BE18" s="97">
        <v>0</v>
      </c>
      <c r="BF18" s="97">
        <v>0</v>
      </c>
      <c r="BG18" s="97">
        <v>0</v>
      </c>
      <c r="BH18" s="97">
        <v>0</v>
      </c>
      <c r="BI18" s="97">
        <v>0</v>
      </c>
      <c r="BJ18" s="97">
        <v>0</v>
      </c>
      <c r="BK18" s="97">
        <v>0</v>
      </c>
      <c r="BL18" s="97">
        <v>0</v>
      </c>
      <c r="BM18" s="97">
        <v>0</v>
      </c>
      <c r="BN18" s="97">
        <v>0</v>
      </c>
      <c r="BO18" s="97">
        <v>0</v>
      </c>
      <c r="BP18" s="97">
        <v>0</v>
      </c>
      <c r="BQ18" s="97">
        <v>0</v>
      </c>
      <c r="BR18" s="97">
        <v>0</v>
      </c>
      <c r="BS18" s="97">
        <v>0</v>
      </c>
      <c r="BT18" s="97">
        <v>0</v>
      </c>
      <c r="BU18" s="97">
        <v>0</v>
      </c>
      <c r="BV18" s="97">
        <v>0</v>
      </c>
      <c r="BW18" s="97">
        <v>0</v>
      </c>
      <c r="BX18" s="97">
        <v>0</v>
      </c>
      <c r="BY18" s="136">
        <v>0</v>
      </c>
    </row>
    <row r="19" spans="1:77" x14ac:dyDescent="0.35">
      <c r="A19" s="86" t="s">
        <v>33</v>
      </c>
      <c r="B19" s="58">
        <f>'Deal Summary'!E8</f>
        <v>5.33E-2</v>
      </c>
      <c r="D19" s="106" t="s">
        <v>98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f t="shared" ref="G19:BR19" si="34">IF(Q3=$B$24,-$B$25*Q18,0)</f>
        <v>-165974.61240410013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  <c r="BJ19" s="97">
        <v>0</v>
      </c>
      <c r="BK19" s="97">
        <v>0</v>
      </c>
      <c r="BL19" s="97">
        <v>0</v>
      </c>
      <c r="BM19" s="97">
        <v>0</v>
      </c>
      <c r="BN19" s="97">
        <v>0</v>
      </c>
      <c r="BO19" s="97">
        <v>0</v>
      </c>
      <c r="BP19" s="97">
        <v>0</v>
      </c>
      <c r="BQ19" s="97">
        <v>0</v>
      </c>
      <c r="BR19" s="97">
        <v>0</v>
      </c>
      <c r="BS19" s="97">
        <v>0</v>
      </c>
      <c r="BT19" s="97">
        <v>0</v>
      </c>
      <c r="BU19" s="97">
        <v>0</v>
      </c>
      <c r="BV19" s="97">
        <v>0</v>
      </c>
      <c r="BW19" s="97">
        <v>0</v>
      </c>
      <c r="BX19" s="97">
        <v>0</v>
      </c>
      <c r="BY19" s="136">
        <v>0</v>
      </c>
    </row>
    <row r="20" spans="1:77" x14ac:dyDescent="0.35">
      <c r="A20" s="88" t="s">
        <v>37</v>
      </c>
      <c r="B20" s="20">
        <v>25</v>
      </c>
      <c r="D20" s="107" t="s">
        <v>99</v>
      </c>
      <c r="E20" s="102">
        <f>SUM(E16:E19)</f>
        <v>-4845000</v>
      </c>
      <c r="F20" s="102">
        <f>IF(F3&gt;$B$24,0,SUM(F12,F16:F19))</f>
        <v>25327.406666666666</v>
      </c>
      <c r="G20" s="102">
        <f t="shared" ref="G20:BR20" si="35">IF(G3&gt;$B$24,0,SUM(G12,G16:G19))</f>
        <v>25384.107840684785</v>
      </c>
      <c r="H20" s="102">
        <f t="shared" si="35"/>
        <v>25440.931434848626</v>
      </c>
      <c r="I20" s="102">
        <f t="shared" si="35"/>
        <v>25497.877708307034</v>
      </c>
      <c r="J20" s="102">
        <f t="shared" si="35"/>
        <v>25554.946920751318</v>
      </c>
      <c r="K20" s="102">
        <f t="shared" si="35"/>
        <v>25612.139332416387</v>
      </c>
      <c r="L20" s="102">
        <f t="shared" si="35"/>
        <v>25669.455204081893</v>
      </c>
      <c r="M20" s="102">
        <f t="shared" si="35"/>
        <v>25726.89479707335</v>
      </c>
      <c r="N20" s="102">
        <f t="shared" si="35"/>
        <v>25784.458373263271</v>
      </c>
      <c r="O20" s="102">
        <f t="shared" si="35"/>
        <v>25842.146195072302</v>
      </c>
      <c r="P20" s="102">
        <f t="shared" si="35"/>
        <v>25899.958525470378</v>
      </c>
      <c r="Q20" s="102">
        <f t="shared" si="35"/>
        <v>5392470.3633605503</v>
      </c>
      <c r="R20" s="102">
        <v>0</v>
      </c>
      <c r="S20" s="102">
        <v>0</v>
      </c>
      <c r="T20" s="102">
        <v>0</v>
      </c>
      <c r="U20" s="102">
        <v>0</v>
      </c>
      <c r="V20" s="102">
        <v>0</v>
      </c>
      <c r="W20" s="102">
        <v>0</v>
      </c>
      <c r="X20" s="102">
        <v>0</v>
      </c>
      <c r="Y20" s="102">
        <v>0</v>
      </c>
      <c r="Z20" s="102">
        <v>0</v>
      </c>
      <c r="AA20" s="102">
        <v>0</v>
      </c>
      <c r="AB20" s="102">
        <v>0</v>
      </c>
      <c r="AC20" s="102">
        <v>0</v>
      </c>
      <c r="AD20" s="102">
        <v>0</v>
      </c>
      <c r="AE20" s="102">
        <v>0</v>
      </c>
      <c r="AF20" s="102">
        <v>0</v>
      </c>
      <c r="AG20" s="102">
        <v>0</v>
      </c>
      <c r="AH20" s="102">
        <v>0</v>
      </c>
      <c r="AI20" s="102">
        <v>0</v>
      </c>
      <c r="AJ20" s="102">
        <v>0</v>
      </c>
      <c r="AK20" s="102">
        <v>0</v>
      </c>
      <c r="AL20" s="102">
        <v>0</v>
      </c>
      <c r="AM20" s="102">
        <v>0</v>
      </c>
      <c r="AN20" s="102">
        <v>0</v>
      </c>
      <c r="AO20" s="102">
        <v>0</v>
      </c>
      <c r="AP20" s="102">
        <v>0</v>
      </c>
      <c r="AQ20" s="102">
        <v>0</v>
      </c>
      <c r="AR20" s="102">
        <v>0</v>
      </c>
      <c r="AS20" s="102">
        <v>0</v>
      </c>
      <c r="AT20" s="102">
        <v>0</v>
      </c>
      <c r="AU20" s="102">
        <v>0</v>
      </c>
      <c r="AV20" s="102">
        <v>0</v>
      </c>
      <c r="AW20" s="102">
        <v>0</v>
      </c>
      <c r="AX20" s="102">
        <v>0</v>
      </c>
      <c r="AY20" s="102">
        <v>0</v>
      </c>
      <c r="AZ20" s="102">
        <v>0</v>
      </c>
      <c r="BA20" s="102">
        <v>0</v>
      </c>
      <c r="BB20" s="102">
        <v>0</v>
      </c>
      <c r="BC20" s="102">
        <v>0</v>
      </c>
      <c r="BD20" s="102">
        <v>0</v>
      </c>
      <c r="BE20" s="102">
        <v>0</v>
      </c>
      <c r="BF20" s="102">
        <v>0</v>
      </c>
      <c r="BG20" s="102">
        <v>0</v>
      </c>
      <c r="BH20" s="102">
        <v>0</v>
      </c>
      <c r="BI20" s="102">
        <v>0</v>
      </c>
      <c r="BJ20" s="102">
        <v>0</v>
      </c>
      <c r="BK20" s="102">
        <v>0</v>
      </c>
      <c r="BL20" s="102">
        <v>0</v>
      </c>
      <c r="BM20" s="102">
        <v>0</v>
      </c>
      <c r="BN20" s="102">
        <v>0</v>
      </c>
      <c r="BO20" s="102">
        <v>0</v>
      </c>
      <c r="BP20" s="102">
        <v>0</v>
      </c>
      <c r="BQ20" s="102">
        <v>0</v>
      </c>
      <c r="BR20" s="102">
        <v>0</v>
      </c>
      <c r="BS20" s="102">
        <v>0</v>
      </c>
      <c r="BT20" s="102">
        <v>0</v>
      </c>
      <c r="BU20" s="102">
        <v>0</v>
      </c>
      <c r="BV20" s="102">
        <v>0</v>
      </c>
      <c r="BW20" s="102">
        <v>0</v>
      </c>
      <c r="BX20" s="102">
        <v>0</v>
      </c>
      <c r="BY20" s="103">
        <v>0</v>
      </c>
    </row>
    <row r="21" spans="1:77" x14ac:dyDescent="0.35">
      <c r="B21" s="89"/>
      <c r="D21" s="106" t="s">
        <v>34</v>
      </c>
      <c r="E21" s="97">
        <f>$B$17*$B$2</f>
        <v>3562500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97">
        <v>0</v>
      </c>
      <c r="N21" s="97">
        <v>0</v>
      </c>
      <c r="O21" s="97">
        <v>0</v>
      </c>
      <c r="P21" s="97">
        <v>0</v>
      </c>
      <c r="Q21" s="97">
        <v>0</v>
      </c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</v>
      </c>
      <c r="X21" s="97">
        <v>0</v>
      </c>
      <c r="Y21" s="97">
        <v>0</v>
      </c>
      <c r="Z21" s="97">
        <v>0</v>
      </c>
      <c r="AA21" s="97">
        <v>0</v>
      </c>
      <c r="AB21" s="97">
        <v>0</v>
      </c>
      <c r="AC21" s="97">
        <v>0</v>
      </c>
      <c r="AD21" s="97">
        <v>0</v>
      </c>
      <c r="AE21" s="97">
        <v>0</v>
      </c>
      <c r="AF21" s="97">
        <v>0</v>
      </c>
      <c r="AG21" s="97">
        <v>0</v>
      </c>
      <c r="AH21" s="97">
        <v>0</v>
      </c>
      <c r="AI21" s="97">
        <v>0</v>
      </c>
      <c r="AJ21" s="97">
        <v>0</v>
      </c>
      <c r="AK21" s="97">
        <v>0</v>
      </c>
      <c r="AL21" s="97">
        <v>0</v>
      </c>
      <c r="AM21" s="97">
        <v>0</v>
      </c>
      <c r="AN21" s="97">
        <v>0</v>
      </c>
      <c r="AO21" s="97">
        <v>0</v>
      </c>
      <c r="AP21" s="97">
        <v>0</v>
      </c>
      <c r="AQ21" s="97">
        <v>0</v>
      </c>
      <c r="AR21" s="97">
        <v>0</v>
      </c>
      <c r="AS21" s="97">
        <v>0</v>
      </c>
      <c r="AT21" s="97">
        <v>0</v>
      </c>
      <c r="AU21" s="97">
        <v>0</v>
      </c>
      <c r="AV21" s="97">
        <v>0</v>
      </c>
      <c r="AW21" s="97">
        <v>0</v>
      </c>
      <c r="AX21" s="97">
        <v>0</v>
      </c>
      <c r="AY21" s="97">
        <v>0</v>
      </c>
      <c r="AZ21" s="97">
        <v>0</v>
      </c>
      <c r="BA21" s="97">
        <v>0</v>
      </c>
      <c r="BB21" s="97">
        <v>0</v>
      </c>
      <c r="BC21" s="97">
        <v>0</v>
      </c>
      <c r="BD21" s="97">
        <v>0</v>
      </c>
      <c r="BE21" s="97">
        <v>0</v>
      </c>
      <c r="BF21" s="97">
        <v>0</v>
      </c>
      <c r="BG21" s="97">
        <v>0</v>
      </c>
      <c r="BH21" s="97">
        <v>0</v>
      </c>
      <c r="BI21" s="97">
        <v>0</v>
      </c>
      <c r="BJ21" s="97">
        <v>0</v>
      </c>
      <c r="BK21" s="97">
        <v>0</v>
      </c>
      <c r="BL21" s="97">
        <v>0</v>
      </c>
      <c r="BM21" s="97">
        <v>0</v>
      </c>
      <c r="BN21" s="97">
        <v>0</v>
      </c>
      <c r="BO21" s="97">
        <v>0</v>
      </c>
      <c r="BP21" s="97">
        <v>0</v>
      </c>
      <c r="BQ21" s="97">
        <v>0</v>
      </c>
      <c r="BR21" s="97">
        <v>0</v>
      </c>
      <c r="BS21" s="97">
        <v>0</v>
      </c>
      <c r="BT21" s="97">
        <v>0</v>
      </c>
      <c r="BU21" s="97">
        <v>0</v>
      </c>
      <c r="BV21" s="97">
        <v>0</v>
      </c>
      <c r="BW21" s="97">
        <v>0</v>
      </c>
      <c r="BX21" s="97">
        <v>0</v>
      </c>
      <c r="BY21" s="136">
        <v>0</v>
      </c>
    </row>
    <row r="22" spans="1:77" x14ac:dyDescent="0.35">
      <c r="A22" s="83" t="s">
        <v>92</v>
      </c>
      <c r="B22" s="84"/>
      <c r="D22" s="106" t="s">
        <v>91</v>
      </c>
      <c r="E22" s="97">
        <f>-$B$18*E21</f>
        <v>-35625</v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</v>
      </c>
      <c r="Y22" s="97">
        <v>0</v>
      </c>
      <c r="Z22" s="97">
        <v>0</v>
      </c>
      <c r="AA22" s="97">
        <v>0</v>
      </c>
      <c r="AB22" s="97">
        <v>0</v>
      </c>
      <c r="AC22" s="97">
        <v>0</v>
      </c>
      <c r="AD22" s="97">
        <v>0</v>
      </c>
      <c r="AE22" s="97">
        <v>0</v>
      </c>
      <c r="AF22" s="97">
        <v>0</v>
      </c>
      <c r="AG22" s="97">
        <v>0</v>
      </c>
      <c r="AH22" s="97">
        <v>0</v>
      </c>
      <c r="AI22" s="97">
        <v>0</v>
      </c>
      <c r="AJ22" s="97">
        <v>0</v>
      </c>
      <c r="AK22" s="97">
        <v>0</v>
      </c>
      <c r="AL22" s="97">
        <v>0</v>
      </c>
      <c r="AM22" s="97">
        <v>0</v>
      </c>
      <c r="AN22" s="97">
        <v>0</v>
      </c>
      <c r="AO22" s="97">
        <v>0</v>
      </c>
      <c r="AP22" s="97">
        <v>0</v>
      </c>
      <c r="AQ22" s="97">
        <v>0</v>
      </c>
      <c r="AR22" s="97">
        <v>0</v>
      </c>
      <c r="AS22" s="97">
        <v>0</v>
      </c>
      <c r="AT22" s="97">
        <v>0</v>
      </c>
      <c r="AU22" s="97">
        <v>0</v>
      </c>
      <c r="AV22" s="97">
        <v>0</v>
      </c>
      <c r="AW22" s="97">
        <v>0</v>
      </c>
      <c r="AX22" s="97">
        <v>0</v>
      </c>
      <c r="AY22" s="97">
        <v>0</v>
      </c>
      <c r="AZ22" s="97">
        <v>0</v>
      </c>
      <c r="BA22" s="97">
        <v>0</v>
      </c>
      <c r="BB22" s="97">
        <v>0</v>
      </c>
      <c r="BC22" s="97">
        <v>0</v>
      </c>
      <c r="BD22" s="97">
        <v>0</v>
      </c>
      <c r="BE22" s="97">
        <v>0</v>
      </c>
      <c r="BF22" s="97">
        <v>0</v>
      </c>
      <c r="BG22" s="97">
        <v>0</v>
      </c>
      <c r="BH22" s="97">
        <v>0</v>
      </c>
      <c r="BI22" s="97">
        <v>0</v>
      </c>
      <c r="BJ22" s="97">
        <v>0</v>
      </c>
      <c r="BK22" s="97">
        <v>0</v>
      </c>
      <c r="BL22" s="97">
        <v>0</v>
      </c>
      <c r="BM22" s="97">
        <v>0</v>
      </c>
      <c r="BN22" s="97">
        <v>0</v>
      </c>
      <c r="BO22" s="97">
        <v>0</v>
      </c>
      <c r="BP22" s="97">
        <v>0</v>
      </c>
      <c r="BQ22" s="97">
        <v>0</v>
      </c>
      <c r="BR22" s="97">
        <v>0</v>
      </c>
      <c r="BS22" s="97">
        <v>0</v>
      </c>
      <c r="BT22" s="97">
        <v>0</v>
      </c>
      <c r="BU22" s="97">
        <v>0</v>
      </c>
      <c r="BV22" s="97">
        <v>0</v>
      </c>
      <c r="BW22" s="97">
        <v>0</v>
      </c>
      <c r="BX22" s="97">
        <v>0</v>
      </c>
      <c r="BY22" s="136">
        <v>0</v>
      </c>
    </row>
    <row r="23" spans="1:77" x14ac:dyDescent="0.35">
      <c r="A23" s="85" t="s">
        <v>21</v>
      </c>
      <c r="B23" s="19">
        <v>4.7500000000000001E-2</v>
      </c>
      <c r="D23" s="106" t="s">
        <v>100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0</v>
      </c>
      <c r="K23" s="97">
        <v>0</v>
      </c>
      <c r="L23" s="97">
        <v>0</v>
      </c>
      <c r="M23" s="97">
        <v>0</v>
      </c>
      <c r="N23" s="97">
        <v>0</v>
      </c>
      <c r="O23" s="97">
        <v>0</v>
      </c>
      <c r="P23" s="97">
        <v>0</v>
      </c>
      <c r="Q23" s="97">
        <f>IF(Q3=$B$24,-($E$21-SUM($F$13:Q13)),0)</f>
        <v>-3632512.7504778961</v>
      </c>
      <c r="R23" s="97">
        <v>0</v>
      </c>
      <c r="S23" s="97">
        <v>0</v>
      </c>
      <c r="T23" s="97">
        <v>0</v>
      </c>
      <c r="U23" s="97">
        <v>0</v>
      </c>
      <c r="V23" s="97">
        <v>0</v>
      </c>
      <c r="W23" s="97">
        <v>0</v>
      </c>
      <c r="X23" s="97">
        <v>0</v>
      </c>
      <c r="Y23" s="97">
        <v>0</v>
      </c>
      <c r="Z23" s="97">
        <v>0</v>
      </c>
      <c r="AA23" s="97">
        <v>0</v>
      </c>
      <c r="AB23" s="97">
        <v>0</v>
      </c>
      <c r="AC23" s="97">
        <v>0</v>
      </c>
      <c r="AD23" s="97">
        <v>0</v>
      </c>
      <c r="AE23" s="97">
        <v>0</v>
      </c>
      <c r="AF23" s="97">
        <v>0</v>
      </c>
      <c r="AG23" s="97">
        <v>0</v>
      </c>
      <c r="AH23" s="97">
        <v>0</v>
      </c>
      <c r="AI23" s="97">
        <v>0</v>
      </c>
      <c r="AJ23" s="97">
        <v>0</v>
      </c>
      <c r="AK23" s="97">
        <v>0</v>
      </c>
      <c r="AL23" s="97">
        <v>0</v>
      </c>
      <c r="AM23" s="97">
        <v>0</v>
      </c>
      <c r="AN23" s="97">
        <v>0</v>
      </c>
      <c r="AO23" s="97">
        <v>0</v>
      </c>
      <c r="AP23" s="97">
        <v>0</v>
      </c>
      <c r="AQ23" s="97">
        <v>0</v>
      </c>
      <c r="AR23" s="97">
        <v>0</v>
      </c>
      <c r="AS23" s="97">
        <v>0</v>
      </c>
      <c r="AT23" s="97">
        <v>0</v>
      </c>
      <c r="AU23" s="97">
        <v>0</v>
      </c>
      <c r="AV23" s="97">
        <v>0</v>
      </c>
      <c r="AW23" s="97">
        <v>0</v>
      </c>
      <c r="AX23" s="97">
        <v>0</v>
      </c>
      <c r="AY23" s="97">
        <v>0</v>
      </c>
      <c r="AZ23" s="97">
        <v>0</v>
      </c>
      <c r="BA23" s="97">
        <v>0</v>
      </c>
      <c r="BB23" s="97">
        <v>0</v>
      </c>
      <c r="BC23" s="97">
        <v>0</v>
      </c>
      <c r="BD23" s="97">
        <v>0</v>
      </c>
      <c r="BE23" s="97">
        <v>0</v>
      </c>
      <c r="BF23" s="97">
        <v>0</v>
      </c>
      <c r="BG23" s="97">
        <v>0</v>
      </c>
      <c r="BH23" s="97">
        <v>0</v>
      </c>
      <c r="BI23" s="97">
        <v>0</v>
      </c>
      <c r="BJ23" s="97">
        <v>0</v>
      </c>
      <c r="BK23" s="97">
        <v>0</v>
      </c>
      <c r="BL23" s="97">
        <v>0</v>
      </c>
      <c r="BM23" s="97">
        <v>0</v>
      </c>
      <c r="BN23" s="97">
        <v>0</v>
      </c>
      <c r="BO23" s="97">
        <v>0</v>
      </c>
      <c r="BP23" s="97">
        <v>0</v>
      </c>
      <c r="BQ23" s="97">
        <v>0</v>
      </c>
      <c r="BR23" s="97">
        <v>0</v>
      </c>
      <c r="BS23" s="97">
        <v>0</v>
      </c>
      <c r="BT23" s="97">
        <v>0</v>
      </c>
      <c r="BU23" s="97">
        <v>0</v>
      </c>
      <c r="BV23" s="97">
        <v>0</v>
      </c>
      <c r="BW23" s="97">
        <v>0</v>
      </c>
      <c r="BX23" s="97">
        <v>0</v>
      </c>
      <c r="BY23" s="136">
        <v>0</v>
      </c>
    </row>
    <row r="24" spans="1:77" x14ac:dyDescent="0.35">
      <c r="A24" s="85" t="s">
        <v>23</v>
      </c>
      <c r="B24" s="99">
        <v>12</v>
      </c>
      <c r="D24" s="107" t="s">
        <v>101</v>
      </c>
      <c r="E24" s="102">
        <f>IF(E3&gt;$B$24,0,SUM(E15:E19,E21:E23))</f>
        <v>-1318125</v>
      </c>
      <c r="F24" s="102">
        <f t="shared" ref="F24:BQ24" si="36">IF(F3&gt;$B$24,0,SUM(F15:F19,F21:F23))</f>
        <v>3810.7341770641251</v>
      </c>
      <c r="G24" s="102">
        <f t="shared" si="36"/>
        <v>3867.4353510822439</v>
      </c>
      <c r="H24" s="102">
        <f t="shared" si="36"/>
        <v>3924.2589452460834</v>
      </c>
      <c r="I24" s="102">
        <f t="shared" si="36"/>
        <v>3981.2052187044956</v>
      </c>
      <c r="J24" s="102">
        <f t="shared" si="36"/>
        <v>4038.2744311487786</v>
      </c>
      <c r="K24" s="102">
        <f t="shared" si="36"/>
        <v>4095.4668428138466</v>
      </c>
      <c r="L24" s="102">
        <f t="shared" si="36"/>
        <v>4152.7827144793519</v>
      </c>
      <c r="M24" s="102">
        <f t="shared" si="36"/>
        <v>4210.2223074708072</v>
      </c>
      <c r="N24" s="102">
        <f t="shared" si="36"/>
        <v>4267.785883660732</v>
      </c>
      <c r="O24" s="102">
        <f t="shared" si="36"/>
        <v>4325.4737054697634</v>
      </c>
      <c r="P24" s="102">
        <f t="shared" si="36"/>
        <v>4383.2860358678372</v>
      </c>
      <c r="Q24" s="102">
        <f t="shared" si="36"/>
        <v>1738440.9403930502</v>
      </c>
      <c r="R24" s="102">
        <v>0</v>
      </c>
      <c r="S24" s="102">
        <v>0</v>
      </c>
      <c r="T24" s="102">
        <v>0</v>
      </c>
      <c r="U24" s="102">
        <v>0</v>
      </c>
      <c r="V24" s="102">
        <v>0</v>
      </c>
      <c r="W24" s="102">
        <v>0</v>
      </c>
      <c r="X24" s="102">
        <v>0</v>
      </c>
      <c r="Y24" s="102">
        <v>0</v>
      </c>
      <c r="Z24" s="102">
        <v>0</v>
      </c>
      <c r="AA24" s="102">
        <v>0</v>
      </c>
      <c r="AB24" s="102">
        <v>0</v>
      </c>
      <c r="AC24" s="102">
        <v>0</v>
      </c>
      <c r="AD24" s="102">
        <v>0</v>
      </c>
      <c r="AE24" s="102">
        <v>0</v>
      </c>
      <c r="AF24" s="102">
        <v>0</v>
      </c>
      <c r="AG24" s="102">
        <v>0</v>
      </c>
      <c r="AH24" s="102">
        <v>0</v>
      </c>
      <c r="AI24" s="102">
        <v>0</v>
      </c>
      <c r="AJ24" s="102">
        <v>0</v>
      </c>
      <c r="AK24" s="102">
        <v>0</v>
      </c>
      <c r="AL24" s="102">
        <v>0</v>
      </c>
      <c r="AM24" s="102">
        <v>0</v>
      </c>
      <c r="AN24" s="102">
        <v>0</v>
      </c>
      <c r="AO24" s="102">
        <v>0</v>
      </c>
      <c r="AP24" s="102">
        <v>0</v>
      </c>
      <c r="AQ24" s="102">
        <v>0</v>
      </c>
      <c r="AR24" s="102">
        <v>0</v>
      </c>
      <c r="AS24" s="102">
        <v>0</v>
      </c>
      <c r="AT24" s="102">
        <v>0</v>
      </c>
      <c r="AU24" s="102">
        <v>0</v>
      </c>
      <c r="AV24" s="102">
        <v>0</v>
      </c>
      <c r="AW24" s="102">
        <v>0</v>
      </c>
      <c r="AX24" s="102">
        <v>0</v>
      </c>
      <c r="AY24" s="102">
        <v>0</v>
      </c>
      <c r="AZ24" s="102">
        <v>0</v>
      </c>
      <c r="BA24" s="102">
        <v>0</v>
      </c>
      <c r="BB24" s="102">
        <v>0</v>
      </c>
      <c r="BC24" s="102">
        <v>0</v>
      </c>
      <c r="BD24" s="102">
        <v>0</v>
      </c>
      <c r="BE24" s="102">
        <v>0</v>
      </c>
      <c r="BF24" s="102">
        <v>0</v>
      </c>
      <c r="BG24" s="102">
        <v>0</v>
      </c>
      <c r="BH24" s="102">
        <v>0</v>
      </c>
      <c r="BI24" s="102">
        <v>0</v>
      </c>
      <c r="BJ24" s="102">
        <v>0</v>
      </c>
      <c r="BK24" s="102">
        <v>0</v>
      </c>
      <c r="BL24" s="102">
        <v>0</v>
      </c>
      <c r="BM24" s="102">
        <v>0</v>
      </c>
      <c r="BN24" s="102">
        <v>0</v>
      </c>
      <c r="BO24" s="102">
        <v>0</v>
      </c>
      <c r="BP24" s="102">
        <v>0</v>
      </c>
      <c r="BQ24" s="102">
        <v>0</v>
      </c>
      <c r="BR24" s="102">
        <v>0</v>
      </c>
      <c r="BS24" s="102">
        <v>0</v>
      </c>
      <c r="BT24" s="102">
        <v>0</v>
      </c>
      <c r="BU24" s="102">
        <v>0</v>
      </c>
      <c r="BV24" s="102">
        <v>0</v>
      </c>
      <c r="BW24" s="102">
        <v>0</v>
      </c>
      <c r="BX24" s="102">
        <v>0</v>
      </c>
      <c r="BY24" s="103">
        <v>0</v>
      </c>
    </row>
    <row r="25" spans="1:77" x14ac:dyDescent="0.35">
      <c r="A25" s="100" t="s">
        <v>93</v>
      </c>
      <c r="B25" s="95">
        <v>0.03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</row>
    <row r="26" spans="1:77" x14ac:dyDescent="0.35">
      <c r="D26" s="104" t="s">
        <v>109</v>
      </c>
      <c r="E26" s="112">
        <v>1</v>
      </c>
      <c r="F26" s="112">
        <f>E26+1</f>
        <v>2</v>
      </c>
      <c r="G26" s="112">
        <f t="shared" ref="G26:I26" si="37">F26+1</f>
        <v>3</v>
      </c>
      <c r="H26" s="112">
        <f t="shared" si="37"/>
        <v>4</v>
      </c>
      <c r="I26" s="113">
        <f t="shared" si="37"/>
        <v>5</v>
      </c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</row>
    <row r="27" spans="1:77" x14ac:dyDescent="0.35">
      <c r="A27" s="83" t="s">
        <v>102</v>
      </c>
      <c r="B27" s="84"/>
      <c r="D27" s="106" t="s">
        <v>110</v>
      </c>
      <c r="E27" s="114">
        <f>SUMIF($E$4:$BY$4,E26,E12:BY12)/ABS(SUMIFS($E$20:$BY$20,$E$20:$BY$20,"&lt;0",$E$4:$BY$4,"&lt;"&amp;E26))</f>
        <v>6.3508404257299048E-2</v>
      </c>
      <c r="F27" s="114">
        <f t="shared" ref="F27:I27" si="38">SUMIF($E$4:$BY$4,F26,F12:BZ12)/ABS(SUMIFS($E$20:$BY$20,$E$20:$BY$20,"&lt;0",$E$4:$BY$4,"&lt;"&amp;F26))</f>
        <v>6.5380023956524716E-2</v>
      </c>
      <c r="G27" s="114">
        <f t="shared" si="38"/>
        <v>6.7304821885482452E-2</v>
      </c>
      <c r="H27" s="114">
        <f t="shared" si="38"/>
        <v>6.928427938850569E-2</v>
      </c>
      <c r="I27" s="58">
        <f t="shared" si="38"/>
        <v>7.1319918615236524E-2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</row>
    <row r="28" spans="1:77" x14ac:dyDescent="0.35">
      <c r="A28" s="86" t="s">
        <v>103</v>
      </c>
      <c r="B28" s="58">
        <f>SUM(F9:Q9)/B2</f>
        <v>6.4778572342445037E-2</v>
      </c>
      <c r="D28" s="108" t="s">
        <v>111</v>
      </c>
      <c r="E28" s="115">
        <f>SUMIF($E$4:$BY$4,E26,E15:BY15)/ABS(SUMIFS($E$24:$BY$24,$E$24:$BY$24,"&lt;0",$E$4:$BY$4,"&lt;"&amp;E26))</f>
        <v>3.7551938360461543E-2</v>
      </c>
      <c r="F28" s="115">
        <f t="shared" ref="F28:I28" si="39">SUMIF($E$4:$BY$4,F26,F15:BZ15)/ABS(SUMIFS($E$24:$BY$24,$E$24:$BY$24,"&lt;0",$E$4:$BY$4,"&lt;"&amp;F26))</f>
        <v>4.4431405363020766E-2</v>
      </c>
      <c r="G28" s="115">
        <f t="shared" si="39"/>
        <v>5.1506338291081623E-2</v>
      </c>
      <c r="H28" s="115">
        <f t="shared" si="39"/>
        <v>5.8782182085977873E-2</v>
      </c>
      <c r="I28" s="110">
        <f t="shared" si="39"/>
        <v>6.6264531676123617E-2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</row>
    <row r="29" spans="1:77" x14ac:dyDescent="0.35">
      <c r="A29" s="85" t="s">
        <v>104</v>
      </c>
      <c r="B29" s="58" cm="1">
        <f t="array" ref="B29">-SUM(F13:Q14/E21)</f>
        <v>7.2477212596555929E-2</v>
      </c>
    </row>
    <row r="30" spans="1:77" x14ac:dyDescent="0.35">
      <c r="A30" s="85" t="s">
        <v>105</v>
      </c>
      <c r="B30" s="58">
        <f>XIRR(E20:BY20,E2:BY2)</f>
        <v>0.16178309321403506</v>
      </c>
    </row>
    <row r="31" spans="1:77" x14ac:dyDescent="0.35">
      <c r="A31" s="85" t="s">
        <v>106</v>
      </c>
      <c r="B31" s="58">
        <f>XIRR(E24:BY24,E2:BY2)</f>
        <v>0.32797769904136664</v>
      </c>
    </row>
    <row r="32" spans="1:77" x14ac:dyDescent="0.35">
      <c r="A32" s="85" t="s">
        <v>107</v>
      </c>
      <c r="B32" s="111">
        <f>SUMIF(E20:BY20,"&gt;0",E20:BY20)/ABS(SUMIF(E20:BY20,"&lt;0",E20:BY20))</f>
        <v>1.1711477164828044</v>
      </c>
      <c r="D32" s="96"/>
    </row>
    <row r="33" spans="1:2" x14ac:dyDescent="0.35">
      <c r="A33" s="86" t="s">
        <v>108</v>
      </c>
      <c r="B33" s="111">
        <f>SUMIF(E24:BY24,"&gt;0",E24:BY24)/ABS(SUMIF(E24:BY24,"&lt;0",E24:BY24))</f>
        <v>1.3530567025176354</v>
      </c>
    </row>
    <row r="34" spans="1:2" x14ac:dyDescent="0.35">
      <c r="A34" s="86" t="s">
        <v>112</v>
      </c>
      <c r="B34" s="58">
        <f>AVERAGE(E27:I27)</f>
        <v>6.7359489620609683E-2</v>
      </c>
    </row>
    <row r="35" spans="1:2" x14ac:dyDescent="0.35">
      <c r="A35" s="88" t="s">
        <v>113</v>
      </c>
      <c r="B35" s="110">
        <f>AVERAGE(E28:I28)</f>
        <v>5.1707279155333088E-2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 Summary</vt:lpstr>
      <vt:lpstr>Rent Roll</vt:lpstr>
      <vt:lpstr>Expenses</vt:lpstr>
      <vt:lpstr>Pro Forma 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