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bookViews>
    <workbookView xWindow="29070" yWindow="-16185" windowWidth="14250" windowHeight="15420" firstSheet="2" activeTab="3" xr2:uid="{2FD82E13-6627-E546-A0A1-121323031D2D}"/>
  </bookViews>
  <sheets>
    <sheet name="Deal Summary" sheetId="1" r:id="rId1"/>
    <sheet name="Rent Roll" sheetId="2" r:id="rId2"/>
    <sheet name="Expenses" sheetId="3" r:id="rId3"/>
    <sheet name="Pro Forma Cash Flow Statement" sheetId="5" r:id="rId4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18" i="5" l="1"/>
  <c r="Q19" i="5" s="1"/>
  <c r="E24" i="5"/>
  <c r="B28" i="5" l="1"/>
  <c r="B29" i="5" a="1"/>
  <c r="B29" i="5" s="1"/>
  <c r="B20" i="1" l="1"/>
  <c r="F8" i="5"/>
  <c r="M10" i="3"/>
  <c r="K10" i="3"/>
  <c r="I10" i="3"/>
  <c r="M11" i="3"/>
  <c r="B22" i="1"/>
  <c r="B28" i="1"/>
  <c r="B27" i="1"/>
  <c r="B26" i="1"/>
  <c r="E12" i="1"/>
  <c r="L6" i="2"/>
  <c r="L11" i="2"/>
  <c r="L16" i="2"/>
  <c r="L17" i="2"/>
  <c r="F5" i="5"/>
  <c r="F6" i="5"/>
  <c r="F7" i="5" s="1"/>
  <c r="F9" i="5" s="1"/>
  <c r="G5" i="5"/>
  <c r="G6" i="5"/>
  <c r="G7" i="5" s="1"/>
  <c r="G9" i="5" s="1"/>
  <c r="G8" i="5"/>
  <c r="H5" i="5"/>
  <c r="H6" i="5"/>
  <c r="H7" i="5" s="1"/>
  <c r="H9" i="5" s="1"/>
  <c r="H8" i="5"/>
  <c r="I5" i="5"/>
  <c r="I6" i="5"/>
  <c r="I7" i="5" s="1"/>
  <c r="I9" i="5" s="1"/>
  <c r="I8" i="5"/>
  <c r="J5" i="5"/>
  <c r="J6" i="5"/>
  <c r="J7" i="5"/>
  <c r="J9" i="5" s="1"/>
  <c r="J8" i="5"/>
  <c r="K5" i="5"/>
  <c r="K6" i="5"/>
  <c r="K7" i="5" s="1"/>
  <c r="K9" i="5" s="1"/>
  <c r="K8" i="5"/>
  <c r="L5" i="5"/>
  <c r="L6" i="5"/>
  <c r="L7" i="5" s="1"/>
  <c r="L9" i="5" s="1"/>
  <c r="L8" i="5"/>
  <c r="M5" i="5"/>
  <c r="M6" i="5"/>
  <c r="M7" i="5" s="1"/>
  <c r="M9" i="5" s="1"/>
  <c r="M8" i="5"/>
  <c r="N5" i="5"/>
  <c r="N6" i="5"/>
  <c r="N7" i="5"/>
  <c r="N9" i="5" s="1"/>
  <c r="N8" i="5"/>
  <c r="O5" i="5"/>
  <c r="O6" i="5"/>
  <c r="O7" i="5" s="1"/>
  <c r="O9" i="5" s="1"/>
  <c r="O8" i="5"/>
  <c r="P5" i="5"/>
  <c r="P6" i="5"/>
  <c r="P7" i="5" s="1"/>
  <c r="P9" i="5" s="1"/>
  <c r="P12" i="5" s="1"/>
  <c r="P8" i="5"/>
  <c r="Q5" i="5"/>
  <c r="Q6" i="5"/>
  <c r="Q7" i="5"/>
  <c r="Q9" i="5" s="1"/>
  <c r="Q8" i="5"/>
  <c r="E8" i="1"/>
  <c r="B19" i="5"/>
  <c r="F13" i="5"/>
  <c r="G13" i="5"/>
  <c r="H13" i="5"/>
  <c r="I13" i="5"/>
  <c r="J13" i="5"/>
  <c r="K13" i="5"/>
  <c r="L13" i="5"/>
  <c r="M13" i="5"/>
  <c r="N13" i="5"/>
  <c r="O13" i="5"/>
  <c r="P13" i="5"/>
  <c r="Q13" i="5"/>
  <c r="F14" i="5"/>
  <c r="G14" i="5"/>
  <c r="H14" i="5"/>
  <c r="I14" i="5"/>
  <c r="J14" i="5"/>
  <c r="K14" i="5"/>
  <c r="L14" i="5"/>
  <c r="M14" i="5"/>
  <c r="N14" i="5"/>
  <c r="O14" i="5"/>
  <c r="P14" i="5"/>
  <c r="Q14" i="5"/>
  <c r="R5" i="5"/>
  <c r="R6" i="5"/>
  <c r="R7" i="5"/>
  <c r="R9" i="5" s="1"/>
  <c r="R8" i="5"/>
  <c r="E21" i="5"/>
  <c r="E16" i="1" s="1"/>
  <c r="E2" i="1"/>
  <c r="E3" i="1"/>
  <c r="B4" i="5"/>
  <c r="E17" i="5"/>
  <c r="E16" i="5"/>
  <c r="R13" i="5"/>
  <c r="R14" i="5"/>
  <c r="S13" i="5"/>
  <c r="S14" i="5"/>
  <c r="S5" i="5"/>
  <c r="S6" i="5"/>
  <c r="S7" i="5" s="1"/>
  <c r="S9" i="5" s="1"/>
  <c r="S8" i="5"/>
  <c r="T13" i="5"/>
  <c r="T14" i="5"/>
  <c r="T5" i="5"/>
  <c r="T6" i="5"/>
  <c r="T7" i="5" s="1"/>
  <c r="T9" i="5" s="1"/>
  <c r="T8" i="5"/>
  <c r="U13" i="5"/>
  <c r="U14" i="5"/>
  <c r="U5" i="5"/>
  <c r="U6" i="5"/>
  <c r="U7" i="5" s="1"/>
  <c r="U9" i="5" s="1"/>
  <c r="U8" i="5"/>
  <c r="V13" i="5"/>
  <c r="V14" i="5"/>
  <c r="V5" i="5"/>
  <c r="V6" i="5"/>
  <c r="V7" i="5" s="1"/>
  <c r="V9" i="5" s="1"/>
  <c r="V8" i="5"/>
  <c r="W13" i="5"/>
  <c r="W14" i="5"/>
  <c r="W5" i="5"/>
  <c r="W6" i="5"/>
  <c r="W7" i="5"/>
  <c r="W9" i="5" s="1"/>
  <c r="W8" i="5"/>
  <c r="X13" i="5"/>
  <c r="X14" i="5"/>
  <c r="X5" i="5"/>
  <c r="X6" i="5"/>
  <c r="X7" i="5"/>
  <c r="X9" i="5" s="1"/>
  <c r="X8" i="5"/>
  <c r="Y13" i="5"/>
  <c r="Y14" i="5"/>
  <c r="Y5" i="5"/>
  <c r="Y6" i="5"/>
  <c r="Y7" i="5"/>
  <c r="Y8" i="5"/>
  <c r="Y9" i="5"/>
  <c r="Z13" i="5"/>
  <c r="Z14" i="5"/>
  <c r="Z5" i="5"/>
  <c r="Z6" i="5"/>
  <c r="Z7" i="5" s="1"/>
  <c r="Z9" i="5" s="1"/>
  <c r="Z8" i="5"/>
  <c r="AA13" i="5"/>
  <c r="AA14" i="5"/>
  <c r="AA5" i="5"/>
  <c r="AA6" i="5"/>
  <c r="AA7" i="5" s="1"/>
  <c r="AA9" i="5" s="1"/>
  <c r="AA8" i="5"/>
  <c r="AB13" i="5"/>
  <c r="AB14" i="5"/>
  <c r="AB5" i="5"/>
  <c r="AB6" i="5"/>
  <c r="AB7" i="5" s="1"/>
  <c r="AB9" i="5" s="1"/>
  <c r="AB8" i="5"/>
  <c r="AC13" i="5"/>
  <c r="AC14" i="5"/>
  <c r="AC5" i="5"/>
  <c r="AC6" i="5"/>
  <c r="AC7" i="5" s="1"/>
  <c r="AC9" i="5" s="1"/>
  <c r="AC8" i="5"/>
  <c r="AD13" i="5"/>
  <c r="AD14" i="5"/>
  <c r="AD5" i="5"/>
  <c r="AD6" i="5"/>
  <c r="AD7" i="5"/>
  <c r="AD9" i="5" s="1"/>
  <c r="AD8" i="5"/>
  <c r="AE13" i="5"/>
  <c r="AE14" i="5"/>
  <c r="AE5" i="5"/>
  <c r="AE6" i="5"/>
  <c r="AE7" i="5" s="1"/>
  <c r="AE9" i="5" s="1"/>
  <c r="AE8" i="5"/>
  <c r="AF13" i="5"/>
  <c r="AF14" i="5"/>
  <c r="AF5" i="5"/>
  <c r="AF6" i="5"/>
  <c r="AF7" i="5"/>
  <c r="AF9" i="5" s="1"/>
  <c r="AF8" i="5"/>
  <c r="AG13" i="5"/>
  <c r="AG14" i="5"/>
  <c r="AG5" i="5"/>
  <c r="AG6" i="5"/>
  <c r="AG7" i="5" s="1"/>
  <c r="AG9" i="5" s="1"/>
  <c r="AG8" i="5"/>
  <c r="AH13" i="5"/>
  <c r="AH14" i="5"/>
  <c r="AH5" i="5"/>
  <c r="AH6" i="5"/>
  <c r="AH7" i="5" s="1"/>
  <c r="AH9" i="5" s="1"/>
  <c r="AH8" i="5"/>
  <c r="AI13" i="5"/>
  <c r="AI14" i="5"/>
  <c r="AI5" i="5"/>
  <c r="AI6" i="5"/>
  <c r="AI7" i="5" s="1"/>
  <c r="AI9" i="5" s="1"/>
  <c r="AI8" i="5"/>
  <c r="AJ13" i="5"/>
  <c r="AJ14" i="5"/>
  <c r="AJ5" i="5"/>
  <c r="AJ6" i="5"/>
  <c r="AJ7" i="5" s="1"/>
  <c r="AJ9" i="5" s="1"/>
  <c r="AJ8" i="5"/>
  <c r="AK13" i="5"/>
  <c r="AK14" i="5"/>
  <c r="AK5" i="5"/>
  <c r="AK6" i="5"/>
  <c r="AK7" i="5" s="1"/>
  <c r="AK9" i="5" s="1"/>
  <c r="AK8" i="5"/>
  <c r="AL13" i="5"/>
  <c r="AL14" i="5"/>
  <c r="AL5" i="5"/>
  <c r="AL6" i="5"/>
  <c r="AL7" i="5" s="1"/>
  <c r="AL9" i="5" s="1"/>
  <c r="AL8" i="5"/>
  <c r="AM13" i="5"/>
  <c r="AM14" i="5"/>
  <c r="AM5" i="5"/>
  <c r="AM6" i="5"/>
  <c r="AM7" i="5" s="1"/>
  <c r="AM9" i="5" s="1"/>
  <c r="AM8" i="5"/>
  <c r="AN13" i="5"/>
  <c r="AN14" i="5"/>
  <c r="AN5" i="5"/>
  <c r="AN6" i="5"/>
  <c r="AN7" i="5" s="1"/>
  <c r="AN9" i="5" s="1"/>
  <c r="AN8" i="5"/>
  <c r="AO13" i="5"/>
  <c r="AO14" i="5"/>
  <c r="AO5" i="5"/>
  <c r="AO6" i="5"/>
  <c r="AO7" i="5"/>
  <c r="AO8" i="5"/>
  <c r="AO9" i="5"/>
  <c r="AP13" i="5"/>
  <c r="AP14" i="5"/>
  <c r="AP5" i="5"/>
  <c r="AP6" i="5"/>
  <c r="AP7" i="5" s="1"/>
  <c r="AP9" i="5" s="1"/>
  <c r="AP8" i="5"/>
  <c r="AQ13" i="5"/>
  <c r="AQ14" i="5"/>
  <c r="AQ5" i="5"/>
  <c r="AQ6" i="5"/>
  <c r="AQ7" i="5"/>
  <c r="AQ9" i="5" s="1"/>
  <c r="AQ8" i="5"/>
  <c r="AR13" i="5"/>
  <c r="AR14" i="5"/>
  <c r="AR5" i="5"/>
  <c r="AR6" i="5"/>
  <c r="AR7" i="5" s="1"/>
  <c r="AR9" i="5" s="1"/>
  <c r="AR8" i="5"/>
  <c r="AS13" i="5"/>
  <c r="AS14" i="5"/>
  <c r="AS5" i="5"/>
  <c r="AS6" i="5"/>
  <c r="AS7" i="5" s="1"/>
  <c r="AS9" i="5" s="1"/>
  <c r="AS8" i="5"/>
  <c r="AT13" i="5"/>
  <c r="AT14" i="5"/>
  <c r="AT5" i="5"/>
  <c r="AT6" i="5"/>
  <c r="AT7" i="5" s="1"/>
  <c r="AT9" i="5" s="1"/>
  <c r="AT8" i="5"/>
  <c r="AU13" i="5"/>
  <c r="AU14" i="5"/>
  <c r="AU5" i="5"/>
  <c r="AU6" i="5"/>
  <c r="AU7" i="5" s="1"/>
  <c r="AU9" i="5" s="1"/>
  <c r="AU8" i="5"/>
  <c r="AV13" i="5"/>
  <c r="AV14" i="5"/>
  <c r="AV5" i="5"/>
  <c r="AV6" i="5"/>
  <c r="AV7" i="5" s="1"/>
  <c r="AV9" i="5" s="1"/>
  <c r="AV8" i="5"/>
  <c r="AW13" i="5"/>
  <c r="AW14" i="5"/>
  <c r="AW5" i="5"/>
  <c r="AW6" i="5"/>
  <c r="AW7" i="5" s="1"/>
  <c r="AW9" i="5" s="1"/>
  <c r="AW8" i="5"/>
  <c r="AX13" i="5"/>
  <c r="AX14" i="5"/>
  <c r="AX5" i="5"/>
  <c r="AX6" i="5"/>
  <c r="AX7" i="5" s="1"/>
  <c r="AX9" i="5" s="1"/>
  <c r="AX8" i="5"/>
  <c r="AY13" i="5"/>
  <c r="AY14" i="5"/>
  <c r="AY5" i="5"/>
  <c r="AY6" i="5"/>
  <c r="AY7" i="5" s="1"/>
  <c r="AY9" i="5" s="1"/>
  <c r="AY8" i="5"/>
  <c r="AZ13" i="5"/>
  <c r="AZ14" i="5"/>
  <c r="AZ5" i="5"/>
  <c r="AZ6" i="5"/>
  <c r="AZ7" i="5" s="1"/>
  <c r="AZ9" i="5" s="1"/>
  <c r="AZ8" i="5"/>
  <c r="BA13" i="5"/>
  <c r="BA14" i="5"/>
  <c r="BA5" i="5"/>
  <c r="BA6" i="5"/>
  <c r="BA7" i="5" s="1"/>
  <c r="BA9" i="5" s="1"/>
  <c r="BA8" i="5"/>
  <c r="BB13" i="5"/>
  <c r="BB14" i="5"/>
  <c r="BB5" i="5"/>
  <c r="BB6" i="5"/>
  <c r="BB7" i="5" s="1"/>
  <c r="BB9" i="5" s="1"/>
  <c r="BB8" i="5"/>
  <c r="BC13" i="5"/>
  <c r="BC14" i="5"/>
  <c r="BC5" i="5"/>
  <c r="BC6" i="5"/>
  <c r="BC7" i="5" s="1"/>
  <c r="BC9" i="5" s="1"/>
  <c r="BC8" i="5"/>
  <c r="BD13" i="5"/>
  <c r="BD14" i="5"/>
  <c r="BD5" i="5"/>
  <c r="BD6" i="5"/>
  <c r="BD7" i="5" s="1"/>
  <c r="BD9" i="5" s="1"/>
  <c r="BD8" i="5"/>
  <c r="BE13" i="5"/>
  <c r="BE14" i="5"/>
  <c r="BE5" i="5"/>
  <c r="BE6" i="5"/>
  <c r="BE7" i="5" s="1"/>
  <c r="BE9" i="5" s="1"/>
  <c r="BE8" i="5"/>
  <c r="BF13" i="5"/>
  <c r="BF14" i="5"/>
  <c r="BF5" i="5"/>
  <c r="BF6" i="5"/>
  <c r="BF7" i="5"/>
  <c r="BF9" i="5" s="1"/>
  <c r="BF8" i="5"/>
  <c r="BG13" i="5"/>
  <c r="BG14" i="5"/>
  <c r="BG5" i="5"/>
  <c r="BG6" i="5"/>
  <c r="BG7" i="5" s="1"/>
  <c r="BG9" i="5" s="1"/>
  <c r="BG8" i="5"/>
  <c r="BH13" i="5"/>
  <c r="BH14" i="5"/>
  <c r="BH5" i="5"/>
  <c r="BH6" i="5"/>
  <c r="BH7" i="5"/>
  <c r="BH9" i="5" s="1"/>
  <c r="BH8" i="5"/>
  <c r="BI13" i="5"/>
  <c r="BI14" i="5"/>
  <c r="BI5" i="5"/>
  <c r="BI6" i="5"/>
  <c r="BI7" i="5" s="1"/>
  <c r="BI9" i="5" s="1"/>
  <c r="BI8" i="5"/>
  <c r="BJ13" i="5"/>
  <c r="BJ14" i="5"/>
  <c r="BJ5" i="5"/>
  <c r="BJ6" i="5"/>
  <c r="BJ7" i="5" s="1"/>
  <c r="BJ9" i="5" s="1"/>
  <c r="BJ8" i="5"/>
  <c r="BK13" i="5"/>
  <c r="BK14" i="5"/>
  <c r="BK5" i="5"/>
  <c r="BK6" i="5"/>
  <c r="BK7" i="5" s="1"/>
  <c r="BK9" i="5" s="1"/>
  <c r="BK8" i="5"/>
  <c r="BL13" i="5"/>
  <c r="BL14" i="5"/>
  <c r="BL5" i="5"/>
  <c r="BL6" i="5"/>
  <c r="BL7" i="5" s="1"/>
  <c r="BL9" i="5" s="1"/>
  <c r="BL8" i="5"/>
  <c r="BM13" i="5"/>
  <c r="BM14" i="5"/>
  <c r="BM5" i="5"/>
  <c r="BM6" i="5"/>
  <c r="BM7" i="5" s="1"/>
  <c r="BM9" i="5" s="1"/>
  <c r="BM8" i="5"/>
  <c r="BN13" i="5"/>
  <c r="BN14" i="5"/>
  <c r="BN5" i="5"/>
  <c r="BN6" i="5"/>
  <c r="BN7" i="5"/>
  <c r="BN9" i="5" s="1"/>
  <c r="BN8" i="5"/>
  <c r="BO13" i="5"/>
  <c r="BO14" i="5"/>
  <c r="BO5" i="5"/>
  <c r="BO6" i="5"/>
  <c r="BO7" i="5" s="1"/>
  <c r="BO9" i="5" s="1"/>
  <c r="BO8" i="5"/>
  <c r="BP13" i="5"/>
  <c r="BP14" i="5"/>
  <c r="BP5" i="5"/>
  <c r="BP6" i="5"/>
  <c r="BP7" i="5" s="1"/>
  <c r="BP9" i="5" s="1"/>
  <c r="BP8" i="5"/>
  <c r="BQ13" i="5"/>
  <c r="BQ14" i="5"/>
  <c r="BQ5" i="5"/>
  <c r="BQ6" i="5"/>
  <c r="BQ7" i="5" s="1"/>
  <c r="BQ9" i="5" s="1"/>
  <c r="BQ8" i="5"/>
  <c r="BR13" i="5"/>
  <c r="BR14" i="5"/>
  <c r="BR5" i="5"/>
  <c r="BR6" i="5"/>
  <c r="BR7" i="5" s="1"/>
  <c r="BR9" i="5" s="1"/>
  <c r="BR8" i="5"/>
  <c r="BS13" i="5"/>
  <c r="BS14" i="5"/>
  <c r="BS5" i="5"/>
  <c r="BS6" i="5"/>
  <c r="BS7" i="5" s="1"/>
  <c r="BS9" i="5" s="1"/>
  <c r="BS8" i="5"/>
  <c r="BT13" i="5"/>
  <c r="BT14" i="5"/>
  <c r="BT5" i="5"/>
  <c r="BT6" i="5"/>
  <c r="BT7" i="5" s="1"/>
  <c r="BT9" i="5" s="1"/>
  <c r="BT8" i="5"/>
  <c r="BU13" i="5"/>
  <c r="BU14" i="5"/>
  <c r="BU5" i="5"/>
  <c r="BU6" i="5"/>
  <c r="BU7" i="5" s="1"/>
  <c r="BU9" i="5" s="1"/>
  <c r="BU8" i="5"/>
  <c r="BV13" i="5"/>
  <c r="BV14" i="5"/>
  <c r="BV5" i="5"/>
  <c r="BV6" i="5"/>
  <c r="BV7" i="5" s="1"/>
  <c r="BV9" i="5" s="1"/>
  <c r="BV8" i="5"/>
  <c r="BW13" i="5"/>
  <c r="BW14" i="5"/>
  <c r="BW5" i="5"/>
  <c r="BW6" i="5"/>
  <c r="BW7" i="5" s="1"/>
  <c r="BW9" i="5" s="1"/>
  <c r="BW8" i="5"/>
  <c r="BX13" i="5"/>
  <c r="BX14" i="5"/>
  <c r="BX5" i="5"/>
  <c r="BX6" i="5"/>
  <c r="BX7" i="5"/>
  <c r="BX9" i="5" s="1"/>
  <c r="BX8" i="5"/>
  <c r="BY13" i="5"/>
  <c r="BY14" i="5"/>
  <c r="BY5" i="5"/>
  <c r="BY6" i="5"/>
  <c r="BY7" i="5"/>
  <c r="BY9" i="5" s="1"/>
  <c r="BY8" i="5"/>
  <c r="E20" i="5"/>
  <c r="G26" i="5"/>
  <c r="H26" i="5"/>
  <c r="I26" i="5"/>
  <c r="F26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BC3" i="5"/>
  <c r="BD3" i="5"/>
  <c r="BE3" i="5"/>
  <c r="BF3" i="5"/>
  <c r="BG3" i="5"/>
  <c r="BH3" i="5"/>
  <c r="BI3" i="5"/>
  <c r="BJ3" i="5"/>
  <c r="BK3" i="5"/>
  <c r="BL3" i="5"/>
  <c r="BM3" i="5"/>
  <c r="BN3" i="5"/>
  <c r="BO3" i="5"/>
  <c r="BP3" i="5"/>
  <c r="BQ3" i="5"/>
  <c r="BR3" i="5"/>
  <c r="BS3" i="5"/>
  <c r="BT3" i="5"/>
  <c r="BU3" i="5"/>
  <c r="BV3" i="5"/>
  <c r="BW3" i="5"/>
  <c r="BX3" i="5"/>
  <c r="BY3" i="5"/>
  <c r="B23" i="1"/>
  <c r="B7" i="5"/>
  <c r="B14" i="1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AG2" i="5"/>
  <c r="AH2" i="5"/>
  <c r="AI2" i="5"/>
  <c r="AJ2" i="5"/>
  <c r="AK2" i="5"/>
  <c r="AL2" i="5"/>
  <c r="AM2" i="5"/>
  <c r="AN2" i="5"/>
  <c r="AO2" i="5"/>
  <c r="AP2" i="5"/>
  <c r="AQ2" i="5"/>
  <c r="AR2" i="5"/>
  <c r="AS2" i="5"/>
  <c r="AT2" i="5"/>
  <c r="AU2" i="5"/>
  <c r="AV2" i="5"/>
  <c r="AW2" i="5"/>
  <c r="AX2" i="5"/>
  <c r="AY2" i="5"/>
  <c r="AZ2" i="5"/>
  <c r="BA2" i="5"/>
  <c r="BB2" i="5"/>
  <c r="BC2" i="5"/>
  <c r="BD2" i="5"/>
  <c r="BE2" i="5"/>
  <c r="BF2" i="5"/>
  <c r="BG2" i="5"/>
  <c r="BH2" i="5"/>
  <c r="BI2" i="5"/>
  <c r="BJ2" i="5"/>
  <c r="BK2" i="5"/>
  <c r="BL2" i="5"/>
  <c r="BM2" i="5"/>
  <c r="BN2" i="5"/>
  <c r="BO2" i="5"/>
  <c r="BP2" i="5"/>
  <c r="BQ2" i="5"/>
  <c r="BR2" i="5"/>
  <c r="BS2" i="5"/>
  <c r="BT2" i="5"/>
  <c r="BU2" i="5"/>
  <c r="BV2" i="5"/>
  <c r="BW2" i="5"/>
  <c r="BX2" i="5"/>
  <c r="BY2" i="5"/>
  <c r="AC4" i="5"/>
  <c r="AO4" i="5"/>
  <c r="BA4" i="5"/>
  <c r="BM4" i="5"/>
  <c r="BY4" i="5"/>
  <c r="AB4" i="5"/>
  <c r="AN4" i="5"/>
  <c r="AZ4" i="5"/>
  <c r="BL4" i="5"/>
  <c r="BX4" i="5"/>
  <c r="AA4" i="5"/>
  <c r="AM4" i="5"/>
  <c r="AY4" i="5"/>
  <c r="BK4" i="5"/>
  <c r="BW4" i="5"/>
  <c r="Z4" i="5"/>
  <c r="AL4" i="5"/>
  <c r="AX4" i="5"/>
  <c r="BJ4" i="5"/>
  <c r="BV4" i="5"/>
  <c r="Y4" i="5"/>
  <c r="AK4" i="5"/>
  <c r="AW4" i="5"/>
  <c r="BI4" i="5"/>
  <c r="BU4" i="5"/>
  <c r="X4" i="5"/>
  <c r="AJ4" i="5"/>
  <c r="AV4" i="5"/>
  <c r="BH4" i="5"/>
  <c r="BT4" i="5"/>
  <c r="W4" i="5"/>
  <c r="AI4" i="5"/>
  <c r="AU4" i="5"/>
  <c r="BG4" i="5"/>
  <c r="BS4" i="5"/>
  <c r="V4" i="5"/>
  <c r="AH4" i="5"/>
  <c r="AT4" i="5"/>
  <c r="BF4" i="5"/>
  <c r="BR4" i="5"/>
  <c r="U4" i="5"/>
  <c r="AG4" i="5"/>
  <c r="AS4" i="5"/>
  <c r="BE4" i="5"/>
  <c r="BQ4" i="5"/>
  <c r="T4" i="5"/>
  <c r="AF4" i="5"/>
  <c r="AR4" i="5"/>
  <c r="BD4" i="5"/>
  <c r="BP4" i="5"/>
  <c r="S4" i="5"/>
  <c r="AE4" i="5"/>
  <c r="AQ4" i="5"/>
  <c r="BC4" i="5"/>
  <c r="BO4" i="5"/>
  <c r="R4" i="5"/>
  <c r="AD4" i="5"/>
  <c r="AP4" i="5"/>
  <c r="BB4" i="5"/>
  <c r="BN4" i="5"/>
  <c r="B16" i="2"/>
  <c r="B11" i="2"/>
  <c r="B6" i="2"/>
  <c r="B17" i="2"/>
  <c r="C17" i="2"/>
  <c r="F10" i="3"/>
  <c r="D10" i="3"/>
  <c r="B10" i="3"/>
  <c r="F11" i="3"/>
  <c r="B15" i="1"/>
  <c r="B19" i="1"/>
  <c r="M17" i="2"/>
  <c r="M16" i="2"/>
  <c r="M15" i="2"/>
  <c r="M14" i="2"/>
  <c r="M13" i="2"/>
  <c r="M11" i="2"/>
  <c r="M10" i="2"/>
  <c r="M9" i="2"/>
  <c r="M8" i="2"/>
  <c r="M6" i="2"/>
  <c r="M5" i="2"/>
  <c r="M4" i="2"/>
  <c r="M3" i="2"/>
  <c r="C16" i="2"/>
  <c r="C15" i="2"/>
  <c r="C14" i="2"/>
  <c r="C13" i="2"/>
  <c r="C11" i="2"/>
  <c r="C10" i="2"/>
  <c r="C9" i="2"/>
  <c r="C8" i="2"/>
  <c r="C6" i="2"/>
  <c r="C5" i="2"/>
  <c r="C4" i="2"/>
  <c r="C3" i="2"/>
  <c r="O16" i="2"/>
  <c r="O11" i="2"/>
  <c r="O6" i="2"/>
  <c r="O17" i="2"/>
  <c r="N16" i="2"/>
  <c r="N11" i="2"/>
  <c r="N6" i="2"/>
  <c r="N17" i="2"/>
  <c r="E16" i="2"/>
  <c r="E11" i="2"/>
  <c r="E6" i="2"/>
  <c r="E17" i="2"/>
  <c r="D16" i="2"/>
  <c r="D11" i="2"/>
  <c r="D6" i="2"/>
  <c r="D17" i="2"/>
  <c r="B17" i="1"/>
  <c r="B16" i="1"/>
  <c r="Y12" i="5" l="1"/>
  <c r="Y15" i="5" s="1"/>
  <c r="BM12" i="5"/>
  <c r="AQ12" i="5"/>
  <c r="AQ15" i="5" s="1"/>
  <c r="BG12" i="5"/>
  <c r="BG15" i="5" s="1"/>
  <c r="E5" i="1"/>
  <c r="E15" i="1"/>
  <c r="E4" i="1" a="1"/>
  <c r="E4" i="1" s="1"/>
  <c r="BJ12" i="5"/>
  <c r="BJ15" i="5" s="1"/>
  <c r="AY12" i="5"/>
  <c r="AY15" i="5" s="1"/>
  <c r="AS12" i="5"/>
  <c r="AS15" i="5" s="1"/>
  <c r="AH12" i="5"/>
  <c r="AH15" i="5" s="1"/>
  <c r="BV12" i="5"/>
  <c r="BV15" i="5" s="1"/>
  <c r="BE12" i="5"/>
  <c r="BE15" i="5" s="1"/>
  <c r="P15" i="5"/>
  <c r="P24" i="5" s="1"/>
  <c r="BQ12" i="5"/>
  <c r="BQ15" i="5" s="1"/>
  <c r="BK12" i="5"/>
  <c r="BK15" i="5" s="1"/>
  <c r="AT12" i="5"/>
  <c r="BL12" i="5"/>
  <c r="BL15" i="5" s="1"/>
  <c r="AO12" i="5"/>
  <c r="AO15" i="5" s="1"/>
  <c r="AD12" i="5"/>
  <c r="AD15" i="5" s="1"/>
  <c r="X12" i="5"/>
  <c r="X15" i="5" s="1"/>
  <c r="BR12" i="5"/>
  <c r="BR15" i="5" s="1"/>
  <c r="BA12" i="5"/>
  <c r="BA15" i="5" s="1"/>
  <c r="AU12" i="5"/>
  <c r="AU15" i="5" s="1"/>
  <c r="AJ12" i="5"/>
  <c r="M12" i="5"/>
  <c r="BS12" i="5"/>
  <c r="BS15" i="5" s="1"/>
  <c r="BB12" i="5"/>
  <c r="BB15" i="5" s="1"/>
  <c r="AV12" i="5"/>
  <c r="AV15" i="5" s="1"/>
  <c r="AK12" i="5"/>
  <c r="AK15" i="5" s="1"/>
  <c r="T12" i="5"/>
  <c r="T15" i="5" s="1"/>
  <c r="Q12" i="5"/>
  <c r="Q15" i="5" s="1"/>
  <c r="Q24" i="5" s="1"/>
  <c r="L12" i="5"/>
  <c r="L15" i="5" s="1"/>
  <c r="L24" i="5" s="1"/>
  <c r="G12" i="5"/>
  <c r="G15" i="5" s="1"/>
  <c r="BY12" i="5"/>
  <c r="BY15" i="5" s="1"/>
  <c r="BN12" i="5"/>
  <c r="BH12" i="5"/>
  <c r="BH15" i="5" s="1"/>
  <c r="AF12" i="5"/>
  <c r="AF15" i="5" s="1"/>
  <c r="Z12" i="5"/>
  <c r="Z15" i="5" s="1"/>
  <c r="F12" i="5"/>
  <c r="F20" i="5" s="1"/>
  <c r="BT12" i="5"/>
  <c r="BT15" i="5" s="1"/>
  <c r="BC12" i="5"/>
  <c r="BC15" i="5" s="1"/>
  <c r="AW12" i="5"/>
  <c r="AW15" i="5" s="1"/>
  <c r="AL12" i="5"/>
  <c r="AL15" i="5" s="1"/>
  <c r="AA12" i="5"/>
  <c r="AA15" i="5" s="1"/>
  <c r="U12" i="5"/>
  <c r="U15" i="5" s="1"/>
  <c r="K12" i="5"/>
  <c r="K20" i="5" s="1"/>
  <c r="BO12" i="5"/>
  <c r="BO15" i="5" s="1"/>
  <c r="AX12" i="5"/>
  <c r="AX15" i="5" s="1"/>
  <c r="AG12" i="5"/>
  <c r="AG15" i="5" s="1"/>
  <c r="BU12" i="5"/>
  <c r="BU15" i="5" s="1"/>
  <c r="BD12" i="5"/>
  <c r="BD15" i="5" s="1"/>
  <c r="AT15" i="5"/>
  <c r="AM12" i="5"/>
  <c r="AB12" i="5"/>
  <c r="V12" i="5"/>
  <c r="AM15" i="5"/>
  <c r="AB15" i="5"/>
  <c r="V15" i="5"/>
  <c r="E22" i="5"/>
  <c r="BN15" i="5"/>
  <c r="Q23" i="5"/>
  <c r="BM15" i="5"/>
  <c r="AJ15" i="5"/>
  <c r="AN12" i="5"/>
  <c r="AN15" i="5" s="1"/>
  <c r="J12" i="5"/>
  <c r="J20" i="5" s="1"/>
  <c r="BW12" i="5"/>
  <c r="BW15" i="5" s="1"/>
  <c r="BF12" i="5"/>
  <c r="BF15" i="5" s="1"/>
  <c r="AI12" i="5"/>
  <c r="AI15" i="5" s="1"/>
  <c r="AC12" i="5"/>
  <c r="AC15" i="5" s="1"/>
  <c r="W12" i="5"/>
  <c r="W15" i="5" s="1"/>
  <c r="O12" i="5"/>
  <c r="AP12" i="5"/>
  <c r="AP15" i="5" s="1"/>
  <c r="R12" i="5"/>
  <c r="R15" i="5" s="1"/>
  <c r="I12" i="5"/>
  <c r="I15" i="5" s="1"/>
  <c r="I24" i="5" s="1"/>
  <c r="BX12" i="5"/>
  <c r="BX15" i="5" s="1"/>
  <c r="N12" i="5"/>
  <c r="N15" i="5" s="1"/>
  <c r="N24" i="5" s="1"/>
  <c r="BP12" i="5"/>
  <c r="BP15" i="5" s="1"/>
  <c r="BI12" i="5"/>
  <c r="BI15" i="5" s="1"/>
  <c r="AZ12" i="5"/>
  <c r="AZ15" i="5" s="1"/>
  <c r="AR12" i="5"/>
  <c r="AR15" i="5" s="1"/>
  <c r="AE12" i="5"/>
  <c r="AE15" i="5" s="1"/>
  <c r="S12" i="5"/>
  <c r="S15" i="5" s="1"/>
  <c r="H12" i="5"/>
  <c r="H15" i="5" s="1"/>
  <c r="H24" i="5" s="1"/>
  <c r="G24" i="5"/>
  <c r="Q20" i="5"/>
  <c r="P20" i="5"/>
  <c r="G20" i="5"/>
  <c r="L20" i="5" l="1"/>
  <c r="J15" i="5"/>
  <c r="J24" i="5" s="1"/>
  <c r="N20" i="5"/>
  <c r="H20" i="5"/>
  <c r="E27" i="5" s="1"/>
  <c r="M15" i="5"/>
  <c r="M24" i="5" s="1"/>
  <c r="M20" i="5"/>
  <c r="F15" i="5"/>
  <c r="F24" i="5" s="1"/>
  <c r="F28" i="5" s="1"/>
  <c r="K15" i="5"/>
  <c r="K24" i="5" s="1"/>
  <c r="I20" i="5"/>
  <c r="I27" i="5" s="1"/>
  <c r="O15" i="5"/>
  <c r="O24" i="5" s="1"/>
  <c r="O20" i="5"/>
  <c r="G27" i="5" s="1"/>
  <c r="G28" i="5"/>
  <c r="F27" i="5"/>
  <c r="B30" i="5" l="1"/>
  <c r="E17" i="1" s="1"/>
  <c r="B32" i="5"/>
  <c r="E19" i="1" s="1"/>
  <c r="B33" i="5"/>
  <c r="E20" i="1" s="1"/>
  <c r="B31" i="5"/>
  <c r="E18" i="1" s="1"/>
  <c r="H27" i="5"/>
  <c r="B34" i="5" s="1"/>
  <c r="E21" i="1" s="1"/>
  <c r="E28" i="5"/>
  <c r="I28" i="5"/>
  <c r="H28" i="5"/>
  <c r="B35" i="5" l="1"/>
  <c r="E2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<sst xmlns="http://schemas.openxmlformats.org/spreadsheetml/2006/main" count="254" uniqueCount="117">
  <si>
    <t>Property Details</t>
  </si>
  <si>
    <t>Address</t>
  </si>
  <si>
    <t>City/State/Zip</t>
  </si>
  <si>
    <t>Gross SF</t>
  </si>
  <si>
    <t>Net RSF</t>
  </si>
  <si>
    <t>Commercial SF</t>
  </si>
  <si>
    <t>Zoning</t>
  </si>
  <si>
    <t>FAR</t>
  </si>
  <si>
    <t>N/A</t>
  </si>
  <si>
    <t>Number of Building</t>
  </si>
  <si>
    <t>Number of Units</t>
  </si>
  <si>
    <t>Purchase Price</t>
  </si>
  <si>
    <t>Price/GSF</t>
  </si>
  <si>
    <t>Price/NRSF</t>
  </si>
  <si>
    <t>Acquisition Info</t>
  </si>
  <si>
    <t>Purchase Price/Unit</t>
  </si>
  <si>
    <t>Going-In Cap Rate</t>
  </si>
  <si>
    <t>Acquisition Fee</t>
  </si>
  <si>
    <t>Closing Cost</t>
  </si>
  <si>
    <t>Closing Date</t>
  </si>
  <si>
    <t>Sale Information</t>
  </si>
  <si>
    <t>Exit Cap Rate</t>
  </si>
  <si>
    <t>Closing Cost (% of Sale)</t>
  </si>
  <si>
    <t>Hold Period</t>
  </si>
  <si>
    <t>Air Rights</t>
  </si>
  <si>
    <t>R7-2</t>
  </si>
  <si>
    <t>Acquisition Loan Info</t>
  </si>
  <si>
    <t>LTV</t>
  </si>
  <si>
    <t>Going- In DSCR</t>
  </si>
  <si>
    <t>Going- In Debt Yield</t>
  </si>
  <si>
    <t>Interests Rate Index</t>
  </si>
  <si>
    <t>SOFR</t>
  </si>
  <si>
    <t>Interests Rate Spread</t>
  </si>
  <si>
    <t>Interests Rate</t>
  </si>
  <si>
    <t>Loan Proceeds</t>
  </si>
  <si>
    <t>Interests Only Period</t>
  </si>
  <si>
    <t>Term</t>
  </si>
  <si>
    <t>Amortization</t>
  </si>
  <si>
    <t>Loan Fee (%)</t>
  </si>
  <si>
    <t>Building 521</t>
  </si>
  <si>
    <t>Unit 1</t>
  </si>
  <si>
    <t>Unit 2</t>
  </si>
  <si>
    <t>Unit 3</t>
  </si>
  <si>
    <t># of Bedroom</t>
  </si>
  <si>
    <t># of Bathrooms</t>
  </si>
  <si>
    <t xml:space="preserve">Lease Start </t>
  </si>
  <si>
    <t>Lease End</t>
  </si>
  <si>
    <t>Free Market</t>
  </si>
  <si>
    <t>Market Rate</t>
  </si>
  <si>
    <t>Rent Roll As-Is</t>
  </si>
  <si>
    <t>Monthly Rent</t>
  </si>
  <si>
    <t>Total</t>
  </si>
  <si>
    <t>MTM</t>
  </si>
  <si>
    <t>Building 519</t>
  </si>
  <si>
    <t>Building 515</t>
  </si>
  <si>
    <t>4/31/2023</t>
  </si>
  <si>
    <t>Notes</t>
  </si>
  <si>
    <t>Portfolio Total</t>
  </si>
  <si>
    <t>Units are furnished</t>
  </si>
  <si>
    <t>Rent Roll Stabalized</t>
  </si>
  <si>
    <t>Taxes</t>
  </si>
  <si>
    <t>Insurance</t>
  </si>
  <si>
    <t>Electric</t>
  </si>
  <si>
    <t>Water</t>
  </si>
  <si>
    <t>Maintenance</t>
  </si>
  <si>
    <t>Super/Garbage</t>
  </si>
  <si>
    <t>Annual Rent</t>
  </si>
  <si>
    <t>Going -In NOI</t>
  </si>
  <si>
    <t>Management</t>
  </si>
  <si>
    <t>5 Year Hold Analysis</t>
  </si>
  <si>
    <t>Month Ending</t>
  </si>
  <si>
    <t>Year</t>
  </si>
  <si>
    <t>Month</t>
  </si>
  <si>
    <t>Purchase Date</t>
  </si>
  <si>
    <t>Purchase and Deal Metrics</t>
  </si>
  <si>
    <t>Vacancy</t>
  </si>
  <si>
    <t>Gross Potential Rental Revenue</t>
  </si>
  <si>
    <t>Net Rental Income</t>
  </si>
  <si>
    <t>Operating Expenses</t>
  </si>
  <si>
    <t>Operation Assumptions</t>
  </si>
  <si>
    <t>Annual Rental Growth Rate</t>
  </si>
  <si>
    <t>Annual Expense Growth rate</t>
  </si>
  <si>
    <t>Net Operating Income</t>
  </si>
  <si>
    <t>Capital Improvements</t>
  </si>
  <si>
    <t>Capital Reserves</t>
  </si>
  <si>
    <t>Capital Improvements Month Start</t>
  </si>
  <si>
    <t>Capital Improvements Month End</t>
  </si>
  <si>
    <t>Capital Reserves(% of Gross Revenue)</t>
  </si>
  <si>
    <t>Cash Flow Before Debt Service</t>
  </si>
  <si>
    <t>Princpial Payment</t>
  </si>
  <si>
    <t>Loan Metrics</t>
  </si>
  <si>
    <t>Loan Origination Fee</t>
  </si>
  <si>
    <t>Sale Metrics</t>
  </si>
  <si>
    <t>Cost of Sale</t>
  </si>
  <si>
    <t>Interests Payments</t>
  </si>
  <si>
    <t>Cash Flow After Debt Service</t>
  </si>
  <si>
    <t>Closing Costs</t>
  </si>
  <si>
    <t>Sale Proceeds</t>
  </si>
  <si>
    <t>Costs of Sale</t>
  </si>
  <si>
    <t>Total Unlevered Cash Flows</t>
  </si>
  <si>
    <t>Loan Payoff</t>
  </si>
  <si>
    <t>Total Levered Cash Flows</t>
  </si>
  <si>
    <t>Project Level Returns</t>
  </si>
  <si>
    <t>Pro Forma Cap Rate</t>
  </si>
  <si>
    <t>Loan Constant</t>
  </si>
  <si>
    <t>Unlevered IRR</t>
  </si>
  <si>
    <t>Levered IRR</t>
  </si>
  <si>
    <t>Unlevered Equity Multiple</t>
  </si>
  <si>
    <t>Levered Equity Multiple</t>
  </si>
  <si>
    <t>Cash - on - Cash Return</t>
  </si>
  <si>
    <t>Unlevered Cash on Cash Return</t>
  </si>
  <si>
    <t>Levered Cash on Cash Return</t>
  </si>
  <si>
    <t>Average Unlevered Cash on Cash</t>
  </si>
  <si>
    <t>Average Levered Cash on Cash</t>
  </si>
  <si>
    <t>Annnual Expenses (As - Is)</t>
  </si>
  <si>
    <t>Annnual Expenses (Pro Forma)</t>
  </si>
  <si>
    <t>Capital Imrpovements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</si>
</sst>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$&quot;#,##0_);[Red]\(&quot;$&quot;#,##0\)"/>
    <numFmt numFmtId="8" formatCode="&quot;$&quot;#,##0.00_);[Red]\(&quot;$&quot;#,##0.00\)"/>
    <numFmt numFmtId="164" formatCode="0\ &quot;SF&quot;"/>
    <numFmt numFmtId="165" formatCode="&quot;$&quot;#,##0"/>
    <numFmt numFmtId="166" formatCode="m/d/yyyy;@"/>
    <numFmt numFmtId="167" formatCode="0\ &quot;Years&quot;"/>
    <numFmt numFmtId="168" formatCode="0\ &quot;Months&quot;"/>
    <numFmt numFmtId="169" formatCode="&quot;$&quot;#,##0.00"/>
    <numFmt numFmtId="170" formatCode="&quot;Acquisition&quot;"/>
    <numFmt numFmtId="171" formatCode="&quot;Month&quot;\ 0"/>
    <numFmt numFmtId="172" formatCode="0.00&quot;x&quot;"/>
    <numFmt numFmtId="173" formatCode="&quot;Year&quot;\ 0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0"/>
      <name val="Franklin Gothic Book"/>
      <family val="2"/>
    </font>
    <font>
      <sz val="12"/>
      <color theme="1"/>
      <name val="Franklin Gothic Book"/>
      <family val="2"/>
    </font>
    <font>
      <sz val="12"/>
      <color rgb="FF0000FF"/>
      <name val="Franklin Gothic Book"/>
      <family val="2"/>
    </font>
    <font>
      <i/>
      <sz val="9"/>
      <color theme="1"/>
      <name val="Franklin Gothic Book"/>
      <family val="2"/>
    </font>
    <font>
      <sz val="12"/>
      <color rgb="FF0000FF"/>
      <name val="Calibri"/>
      <family val="2"/>
      <scheme val="minor"/>
    </font>
    <font>
      <u/>
      <sz val="12"/>
      <color theme="1"/>
      <name val="Franklin Gothic Book"/>
      <family val="2"/>
    </font>
    <font>
      <i/>
      <sz val="9"/>
      <color rgb="FF0000FF"/>
      <name val="Franklin Gothic Book"/>
      <family val="2"/>
    </font>
    <font>
      <b/>
      <sz val="12"/>
      <color theme="1"/>
      <name val="Franklin Gothic Book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3" fontId="0" fillId="0" borderId="0" xfId="0" applyNumberFormat="1"/>
    <xf numFmtId="10" fontId="4" fillId="2" borderId="2" xfId="0" applyNumberFormat="1" applyFont="1" applyFill="1" applyBorder="1" applyAlignment="1">
      <alignment horizontal="centerContinuous"/>
    </xf>
    <xf numFmtId="10" fontId="4" fillId="2" borderId="3" xfId="0" applyNumberFormat="1" applyFont="1" applyFill="1" applyBorder="1" applyAlignment="1">
      <alignment horizontal="centerContinuous"/>
    </xf>
    <xf numFmtId="0" fontId="5" fillId="0" borderId="0" xfId="0" applyFont="1"/>
    <xf numFmtId="3" fontId="5" fillId="3" borderId="8" xfId="0" applyNumberFormat="1" applyFont="1" applyFill="1" applyBorder="1" applyAlignment="1">
      <alignment horizontal="right"/>
    </xf>
    <xf numFmtId="0" fontId="5" fillId="0" borderId="5" xfId="0" applyFont="1" applyBorder="1" applyAlignment="1">
      <alignment horizontal="center"/>
    </xf>
    <xf numFmtId="8" fontId="5" fillId="0" borderId="0" xfId="0" applyNumberFormat="1" applyFont="1"/>
    <xf numFmtId="0" fontId="5" fillId="3" borderId="8" xfId="0" applyFont="1" applyFill="1" applyBorder="1" applyAlignment="1">
      <alignment horizontal="right"/>
    </xf>
    <xf numFmtId="0" fontId="5" fillId="3" borderId="9" xfId="0" applyFont="1" applyFill="1" applyBorder="1" applyAlignment="1">
      <alignment horizontal="right"/>
    </xf>
    <xf numFmtId="0" fontId="5" fillId="3" borderId="5" xfId="0" applyFont="1" applyFill="1" applyBorder="1" applyAlignment="1">
      <alignment horizontal="right"/>
    </xf>
    <xf numFmtId="165" fontId="5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165" fontId="6" fillId="0" borderId="5" xfId="0" applyNumberFormat="1" applyFont="1" applyBorder="1" applyAlignment="1">
      <alignment horizontal="center"/>
    </xf>
    <xf numFmtId="9" fontId="6" fillId="0" borderId="5" xfId="1" applyFont="1" applyBorder="1" applyAlignment="1">
      <alignment horizontal="center"/>
    </xf>
    <xf numFmtId="3" fontId="5" fillId="0" borderId="7" xfId="0" applyNumberFormat="1" applyFont="1" applyBorder="1" applyAlignment="1">
      <alignment horizontal="center"/>
    </xf>
    <xf numFmtId="0" fontId="7" fillId="0" borderId="0" xfId="0" applyFont="1"/>
    <xf numFmtId="9" fontId="5" fillId="0" borderId="5" xfId="0" applyNumberFormat="1" applyFont="1" applyBorder="1" applyAlignment="1">
      <alignment horizontal="center"/>
    </xf>
    <xf numFmtId="10" fontId="6" fillId="0" borderId="5" xfId="1" applyNumberFormat="1" applyFont="1" applyBorder="1" applyAlignment="1">
      <alignment horizontal="center"/>
    </xf>
    <xf numFmtId="167" fontId="6" fillId="0" borderId="7" xfId="0" applyNumberFormat="1" applyFont="1" applyBorder="1" applyAlignment="1">
      <alignment horizontal="center"/>
    </xf>
    <xf numFmtId="168" fontId="6" fillId="0" borderId="5" xfId="0" applyNumberFormat="1" applyFont="1" applyBorder="1" applyAlignment="1">
      <alignment horizontal="center"/>
    </xf>
    <xf numFmtId="0" fontId="0" fillId="2" borderId="0" xfId="0" applyFill="1" applyAlignment="1">
      <alignment horizontal="centerContinuous"/>
    </xf>
    <xf numFmtId="0" fontId="3" fillId="2" borderId="0" xfId="0" applyFont="1" applyFill="1" applyAlignment="1">
      <alignment horizontal="centerContinuous"/>
    </xf>
    <xf numFmtId="165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6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5" fontId="8" fillId="0" borderId="10" xfId="0" applyNumberFormat="1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166" fontId="8" fillId="0" borderId="10" xfId="0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5" xfId="0" applyFill="1" applyBorder="1" applyAlignment="1">
      <alignment horizontal="centerContinuous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0" fillId="0" borderId="14" xfId="0" applyBorder="1" applyAlignment="1">
      <alignment horizontal="center"/>
    </xf>
    <xf numFmtId="165" fontId="2" fillId="0" borderId="13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5" fontId="2" fillId="0" borderId="15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3" borderId="5" xfId="0" applyFill="1" applyBorder="1" applyAlignment="1">
      <alignment horizontal="right"/>
    </xf>
    <xf numFmtId="0" fontId="2" fillId="3" borderId="7" xfId="0" applyFont="1" applyFill="1" applyBorder="1" applyAlignment="1">
      <alignment horizontal="right"/>
    </xf>
    <xf numFmtId="169" fontId="2" fillId="0" borderId="7" xfId="0" applyNumberFormat="1" applyFont="1" applyBorder="1"/>
    <xf numFmtId="0" fontId="0" fillId="4" borderId="10" xfId="0" applyFill="1" applyBorder="1" applyAlignment="1">
      <alignment horizontal="centerContinuous"/>
    </xf>
    <xf numFmtId="0" fontId="0" fillId="4" borderId="7" xfId="0" applyFill="1" applyBorder="1" applyAlignment="1">
      <alignment horizontal="centerContinuous"/>
    </xf>
    <xf numFmtId="0" fontId="0" fillId="0" borderId="15" xfId="0" applyBorder="1"/>
    <xf numFmtId="165" fontId="2" fillId="0" borderId="10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2" fillId="0" borderId="19" xfId="0" applyNumberFormat="1" applyFont="1" applyBorder="1" applyAlignment="1">
      <alignment horizontal="center"/>
    </xf>
    <xf numFmtId="165" fontId="0" fillId="0" borderId="20" xfId="0" applyNumberForma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0" fillId="0" borderId="21" xfId="0" applyBorder="1" applyAlignment="1">
      <alignment horizontal="center"/>
    </xf>
    <xf numFmtId="10" fontId="5" fillId="0" borderId="5" xfId="1" applyNumberFormat="1" applyFont="1" applyBorder="1" applyAlignment="1">
      <alignment horizontal="center"/>
    </xf>
    <xf numFmtId="169" fontId="2" fillId="3" borderId="16" xfId="0" applyNumberFormat="1" applyFont="1" applyFill="1" applyBorder="1"/>
    <xf numFmtId="0" fontId="2" fillId="3" borderId="22" xfId="0" applyFont="1" applyFill="1" applyBorder="1" applyAlignment="1">
      <alignment horizontal="right"/>
    </xf>
    <xf numFmtId="0" fontId="3" fillId="2" borderId="24" xfId="0" applyFont="1" applyFill="1" applyBorder="1" applyAlignment="1">
      <alignment horizontal="centerContinuous"/>
    </xf>
    <xf numFmtId="0" fontId="0" fillId="3" borderId="25" xfId="0" applyFill="1" applyBorder="1"/>
    <xf numFmtId="0" fontId="0" fillId="3" borderId="26" xfId="0" applyFill="1" applyBorder="1"/>
    <xf numFmtId="0" fontId="0" fillId="3" borderId="27" xfId="0" applyFill="1" applyBorder="1"/>
    <xf numFmtId="0" fontId="2" fillId="5" borderId="28" xfId="0" applyFont="1" applyFill="1" applyBorder="1"/>
    <xf numFmtId="0" fontId="2" fillId="5" borderId="26" xfId="0" applyFont="1" applyFill="1" applyBorder="1"/>
    <xf numFmtId="0" fontId="2" fillId="0" borderId="29" xfId="0" applyFont="1" applyBorder="1"/>
    <xf numFmtId="165" fontId="0" fillId="0" borderId="30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65" fontId="8" fillId="0" borderId="8" xfId="0" applyNumberFormat="1" applyFont="1" applyBorder="1" applyAlignment="1">
      <alignment horizontal="center"/>
    </xf>
    <xf numFmtId="165" fontId="0" fillId="0" borderId="32" xfId="0" applyNumberFormat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165" fontId="2" fillId="3" borderId="17" xfId="0" applyNumberFormat="1" applyFont="1" applyFill="1" applyBorder="1" applyAlignment="1">
      <alignment horizontal="center"/>
    </xf>
    <xf numFmtId="3" fontId="2" fillId="3" borderId="17" xfId="0" applyNumberFormat="1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165" fontId="2" fillId="3" borderId="9" xfId="0" applyNumberFormat="1" applyFont="1" applyFill="1" applyBorder="1" applyAlignment="1">
      <alignment horizontal="center"/>
    </xf>
    <xf numFmtId="0" fontId="2" fillId="3" borderId="33" xfId="0" applyFont="1" applyFill="1" applyBorder="1"/>
    <xf numFmtId="165" fontId="2" fillId="0" borderId="23" xfId="0" applyNumberFormat="1" applyFont="1" applyBorder="1" applyAlignment="1">
      <alignment horizontal="center"/>
    </xf>
    <xf numFmtId="166" fontId="5" fillId="0" borderId="7" xfId="0" applyNumberFormat="1" applyFont="1" applyBorder="1" applyAlignment="1">
      <alignment horizontal="center"/>
    </xf>
    <xf numFmtId="0" fontId="4" fillId="2" borderId="2" xfId="0" applyFont="1" applyFill="1" applyBorder="1" applyAlignment="1">
      <alignment horizontal="centerContinuous"/>
    </xf>
    <xf numFmtId="0" fontId="4" fillId="2" borderId="3" xfId="0" applyFont="1" applyFill="1" applyBorder="1" applyAlignment="1">
      <alignment horizontal="centerContinuous"/>
    </xf>
    <xf numFmtId="0" fontId="5" fillId="3" borderId="4" xfId="0" applyFont="1" applyFill="1" applyBorder="1" applyAlignment="1">
      <alignment horizontal="right"/>
    </xf>
    <xf numFmtId="0" fontId="5" fillId="3" borderId="0" xfId="0" applyFont="1" applyFill="1" applyAlignment="1">
      <alignment horizontal="right"/>
    </xf>
    <xf numFmtId="14" fontId="6" fillId="0" borderId="5" xfId="0" applyNumberFormat="1" applyFont="1" applyBorder="1" applyAlignment="1">
      <alignment horizontal="center"/>
    </xf>
    <xf numFmtId="0" fontId="5" fillId="3" borderId="6" xfId="0" applyFont="1" applyFill="1" applyBorder="1" applyAlignment="1">
      <alignment horizontal="right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right"/>
    </xf>
    <xf numFmtId="10" fontId="10" fillId="0" borderId="0" xfId="1" applyNumberFormat="1" applyFont="1" applyAlignment="1">
      <alignment horizontal="left"/>
    </xf>
    <xf numFmtId="165" fontId="5" fillId="0" borderId="7" xfId="0" applyNumberFormat="1" applyFont="1" applyBorder="1" applyAlignment="1">
      <alignment horizontal="center"/>
    </xf>
    <xf numFmtId="171" fontId="6" fillId="0" borderId="5" xfId="0" applyNumberFormat="1" applyFont="1" applyBorder="1" applyAlignment="1">
      <alignment horizontal="center"/>
    </xf>
    <xf numFmtId="0" fontId="5" fillId="3" borderId="24" xfId="0" applyFont="1" applyFill="1" applyBorder="1" applyAlignment="1">
      <alignment horizontal="right"/>
    </xf>
    <xf numFmtId="10" fontId="6" fillId="0" borderId="21" xfId="1" applyNumberFormat="1" applyFont="1" applyBorder="1" applyAlignment="1">
      <alignment horizontal="center"/>
    </xf>
    <xf numFmtId="6" fontId="5" fillId="0" borderId="0" xfId="0" applyNumberFormat="1" applyFont="1"/>
    <xf numFmtId="6" fontId="5" fillId="0" borderId="0" xfId="0" applyNumberFormat="1" applyFont="1" applyAlignment="1">
      <alignment horizontal="center"/>
    </xf>
    <xf numFmtId="167" fontId="5" fillId="0" borderId="7" xfId="0" applyNumberFormat="1" applyFont="1" applyBorder="1" applyAlignment="1">
      <alignment horizontal="center"/>
    </xf>
    <xf numFmtId="168" fontId="6" fillId="0" borderId="5" xfId="1" applyNumberFormat="1" applyFont="1" applyBorder="1" applyAlignment="1">
      <alignment horizontal="center"/>
    </xf>
    <xf numFmtId="0" fontId="5" fillId="3" borderId="21" xfId="0" applyFont="1" applyFill="1" applyBorder="1" applyAlignment="1">
      <alignment horizontal="right"/>
    </xf>
    <xf numFmtId="10" fontId="5" fillId="0" borderId="5" xfId="0" applyNumberFormat="1" applyFont="1" applyBorder="1" applyAlignment="1">
      <alignment horizontal="center"/>
    </xf>
    <xf numFmtId="6" fontId="11" fillId="0" borderId="13" xfId="0" applyNumberFormat="1" applyFont="1" applyBorder="1" applyAlignment="1">
      <alignment horizontal="center"/>
    </xf>
    <xf numFmtId="6" fontId="11" fillId="0" borderId="14" xfId="0" applyNumberFormat="1" applyFont="1" applyBorder="1" applyAlignment="1">
      <alignment horizontal="center"/>
    </xf>
    <xf numFmtId="0" fontId="4" fillId="2" borderId="30" xfId="0" applyFont="1" applyFill="1" applyBorder="1" applyAlignment="1">
      <alignment horizontal="right"/>
    </xf>
    <xf numFmtId="0" fontId="4" fillId="2" borderId="26" xfId="0" applyFont="1" applyFill="1" applyBorder="1" applyAlignment="1">
      <alignment horizontal="right"/>
    </xf>
    <xf numFmtId="0" fontId="5" fillId="3" borderId="26" xfId="0" applyFont="1" applyFill="1" applyBorder="1" applyAlignment="1">
      <alignment horizontal="right"/>
    </xf>
    <xf numFmtId="0" fontId="11" fillId="3" borderId="28" xfId="0" applyFont="1" applyFill="1" applyBorder="1" applyAlignment="1">
      <alignment horizontal="right"/>
    </xf>
    <xf numFmtId="0" fontId="5" fillId="3" borderId="27" xfId="0" applyFont="1" applyFill="1" applyBorder="1" applyAlignment="1">
      <alignment horizontal="right"/>
    </xf>
    <xf numFmtId="9" fontId="5" fillId="0" borderId="5" xfId="1" applyFont="1" applyBorder="1" applyAlignment="1">
      <alignment horizontal="center"/>
    </xf>
    <xf numFmtId="10" fontId="5" fillId="0" borderId="21" xfId="1" applyNumberFormat="1" applyFont="1" applyBorder="1" applyAlignment="1">
      <alignment horizontal="center"/>
    </xf>
    <xf numFmtId="172" fontId="5" fillId="0" borderId="5" xfId="0" applyNumberFormat="1" applyFont="1" applyBorder="1" applyAlignment="1">
      <alignment horizontal="center"/>
    </xf>
    <xf numFmtId="173" fontId="4" fillId="2" borderId="34" xfId="0" applyNumberFormat="1" applyFont="1" applyFill="1" applyBorder="1" applyAlignment="1">
      <alignment horizontal="center"/>
    </xf>
    <xf numFmtId="173" fontId="4" fillId="2" borderId="3" xfId="0" applyNumberFormat="1" applyFont="1" applyFill="1" applyBorder="1" applyAlignment="1">
      <alignment horizontal="center"/>
    </xf>
    <xf numFmtId="10" fontId="5" fillId="0" borderId="0" xfId="1" applyNumberFormat="1" applyFont="1" applyBorder="1" applyAlignment="1">
      <alignment horizontal="center"/>
    </xf>
    <xf numFmtId="10" fontId="5" fillId="0" borderId="19" xfId="1" applyNumberFormat="1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168" fontId="5" fillId="0" borderId="7" xfId="0" applyNumberFormat="1" applyFont="1" applyBorder="1" applyAlignment="1">
      <alignment horizontal="center"/>
    </xf>
    <xf numFmtId="10" fontId="5" fillId="4" borderId="5" xfId="1" applyNumberFormat="1" applyFont="1" applyFill="1" applyBorder="1" applyAlignment="1">
      <alignment horizontal="center"/>
    </xf>
    <xf numFmtId="172" fontId="5" fillId="4" borderId="5" xfId="0" applyNumberFormat="1" applyFont="1" applyFill="1" applyBorder="1" applyAlignment="1">
      <alignment horizontal="center"/>
    </xf>
    <xf numFmtId="10" fontId="5" fillId="4" borderId="21" xfId="1" applyNumberFormat="1" applyFont="1" applyFill="1" applyBorder="1" applyAlignment="1">
      <alignment horizontal="center"/>
    </xf>
    <xf numFmtId="10" fontId="4" fillId="0" borderId="0" xfId="0" applyNumberFormat="1" applyFont="1" applyAlignment="1">
      <alignment horizontal="centerContinuous"/>
    </xf>
    <xf numFmtId="3" fontId="5" fillId="0" borderId="0" xfId="0" applyNumberFormat="1" applyFont="1" applyAlignment="1">
      <alignment horizontal="right"/>
    </xf>
    <xf numFmtId="9" fontId="5" fillId="0" borderId="0" xfId="0" applyNumberFormat="1" applyFont="1" applyAlignment="1">
      <alignment horizontal="center"/>
    </xf>
    <xf numFmtId="0" fontId="5" fillId="0" borderId="0" xfId="0" applyFont="1" applyAlignment="1">
      <alignment horizontal="right"/>
    </xf>
    <xf numFmtId="10" fontId="5" fillId="0" borderId="0" xfId="0" applyNumberFormat="1" applyFont="1" applyAlignment="1">
      <alignment horizontal="center"/>
    </xf>
    <xf numFmtId="168" fontId="5" fillId="0" borderId="0" xfId="0" applyNumberFormat="1" applyFont="1" applyAlignment="1">
      <alignment horizontal="center"/>
    </xf>
    <xf numFmtId="169" fontId="8" fillId="0" borderId="5" xfId="0" applyNumberFormat="1" applyFont="1" applyBorder="1" applyAlignment="1">
      <alignment horizontal="center"/>
    </xf>
    <xf numFmtId="0" fontId="4" fillId="2" borderId="34" xfId="0" applyFont="1" applyFill="1" applyBorder="1"/>
    <xf numFmtId="0" fontId="4" fillId="2" borderId="3" xfId="0" applyFont="1" applyFill="1" applyBorder="1"/>
    <xf numFmtId="14" fontId="9" fillId="4" borderId="0" xfId="0" applyNumberFormat="1" applyFont="1" applyFill="1" applyAlignment="1">
      <alignment horizontal="center"/>
    </xf>
    <xf numFmtId="166" fontId="9" fillId="4" borderId="0" xfId="0" applyNumberFormat="1" applyFont="1" applyFill="1" applyAlignment="1">
      <alignment horizontal="center"/>
    </xf>
    <xf numFmtId="166" fontId="9" fillId="4" borderId="5" xfId="0" applyNumberFormat="1" applyFont="1" applyFill="1" applyBorder="1" applyAlignment="1">
      <alignment horizontal="center"/>
    </xf>
    <xf numFmtId="170" fontId="9" fillId="4" borderId="0" xfId="0" applyNumberFormat="1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9" fillId="4" borderId="5" xfId="0" applyFont="1" applyFill="1" applyBorder="1" applyAlignment="1">
      <alignment horizontal="center"/>
    </xf>
    <xf numFmtId="6" fontId="5" fillId="0" borderId="5" xfId="0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22D0C-C90F-0B4D-82FB-C3BDE14898AB}">
  <dimension ref="A1:H28"/>
  <sheetViews>
    <sheetView showGridLines="0" topLeftCell="A8" zoomScale="156" workbookViewId="0">
      <selection activeCell="E15" sqref="E15"/>
    </sheetView>
  </sheetViews>
  <sheetFormatPr defaultColWidth="10.796875" defaultRowHeight="16.2" x14ac:dyDescent="0.35"/>
  <cols>
    <col min="1" max="1" width="21.796875" style="4" bestFit="1" customWidth="1"/>
    <col min="2" max="2" width="19.5" style="4" bestFit="1" customWidth="1"/>
    <col min="3" max="3" width="10.796875" style="4"/>
    <col min="4" max="4" width="29.69921875" style="4" bestFit="1" customWidth="1"/>
    <col min="5" max="5" width="13.5" style="4" customWidth="1"/>
    <col min="6" max="6" width="10.796875" style="4"/>
    <col min="7" max="7" width="21.796875" style="4" bestFit="1" customWidth="1"/>
    <col min="8" max="16384" width="10.796875" style="4"/>
  </cols>
  <sheetData>
    <row r="1" spans="1:8" x14ac:dyDescent="0.35">
      <c r="A1" s="2" t="s">
        <v>0</v>
      </c>
      <c r="B1" s="3"/>
      <c r="D1" s="2" t="s">
        <v>26</v>
      </c>
      <c r="E1" s="3"/>
      <c r="G1" s="121"/>
      <c r="H1" s="121"/>
    </row>
    <row r="2" spans="1:8" x14ac:dyDescent="0.35">
      <c r="A2" s="5" t="s">
        <v>1</v>
      </c>
      <c r="B2" s="12" t="s">
        <v>8</v>
      </c>
      <c r="C2" s="7"/>
      <c r="D2" s="5" t="s">
        <v>34</v>
      </c>
      <c r="E2" s="11">
        <f>'Pro Forma Cash Flow Statement'!E21</f>
      </c>
      <c r="G2" s="122"/>
      <c r="H2" s="123"/>
    </row>
    <row r="3" spans="1:8" x14ac:dyDescent="0.35">
      <c r="A3" s="8" t="s">
        <v>2</v>
      </c>
      <c r="B3" s="12">
        <v>10032</v>
      </c>
      <c r="D3" s="8" t="s">
        <v>27</v>
      </c>
      <c r="E3" s="109">
        <f>'Pro Forma Cash Flow Statement'!B17</f>
      </c>
      <c r="G3" s="124"/>
      <c r="H3" s="125"/>
    </row>
    <row r="4" spans="1:8" x14ac:dyDescent="0.35">
      <c r="A4" s="8" t="s">
        <v>3</v>
      </c>
      <c r="B4" s="13">
        <v>10247</v>
      </c>
      <c r="D4" s="8" t="s">
        <v>28</v>
      </c>
      <c r="E4" s="111" cm="1">
        <f t="array" ref="E4">SUM('Pro Forma Cash Flow Statement'!F9:Q9/ABS(SUM('Pro Forma Cash Flow Statement'!F13:Q14)))</f>
      </c>
      <c r="G4" s="124"/>
      <c r="H4" s="126"/>
    </row>
    <row r="5" spans="1:8" x14ac:dyDescent="0.35">
      <c r="A5" s="8" t="s">
        <v>4</v>
      </c>
      <c r="B5" s="13">
        <v>0</v>
      </c>
      <c r="D5" s="8" t="s">
        <v>29</v>
      </c>
      <c r="E5" s="58">
        <f>SUM('Pro Forma Cash Flow Statement'!F9:R9)/'Deal Summary'!E2</f>
      </c>
    </row>
    <row r="6" spans="1:8" x14ac:dyDescent="0.35">
      <c r="A6" s="8" t="s">
        <v>9</v>
      </c>
      <c r="B6" s="12">
        <v>3</v>
      </c>
      <c r="D6" s="8" t="s">
        <v>30</v>
      </c>
      <c r="E6" s="19">
        <v>2.0799999999999999E-2</v>
      </c>
      <c r="F6" s="17" t="s">
        <v>31</v>
      </c>
    </row>
    <row r="7" spans="1:8" x14ac:dyDescent="0.35">
      <c r="A7" s="8" t="s">
        <v>10</v>
      </c>
      <c r="B7" s="12">
        <v>9</v>
      </c>
      <c r="D7" s="8" t="s">
        <v>32</v>
      </c>
      <c r="E7" s="19">
        <v>3.2500000000000001E-2</v>
      </c>
    </row>
    <row r="8" spans="1:8" x14ac:dyDescent="0.35">
      <c r="A8" s="8" t="s">
        <v>5</v>
      </c>
      <c r="B8" s="13">
        <v>0</v>
      </c>
      <c r="D8" s="8" t="s">
        <v>33</v>
      </c>
      <c r="E8" s="101">
        <f>E7+E6</f>
      </c>
    </row>
    <row r="9" spans="1:8" x14ac:dyDescent="0.35">
      <c r="A9" s="10" t="s">
        <v>6</v>
      </c>
      <c r="B9" s="6" t="s">
        <v>25</v>
      </c>
      <c r="D9" s="8" t="s">
        <v>35</v>
      </c>
      <c r="E9" s="21">
        <v>0</v>
      </c>
    </row>
    <row r="10" spans="1:8" x14ac:dyDescent="0.35">
      <c r="A10" s="8" t="s">
        <v>7</v>
      </c>
      <c r="B10" s="6">
        <v>3.44</v>
      </c>
      <c r="D10" s="8" t="s">
        <v>36</v>
      </c>
      <c r="E10" s="21">
        <v>60</v>
      </c>
    </row>
    <row r="11" spans="1:8" x14ac:dyDescent="0.35">
      <c r="A11" s="9" t="s">
        <v>24</v>
      </c>
      <c r="B11" s="16">
        <v>11972</v>
      </c>
      <c r="D11" s="8" t="s">
        <v>38</v>
      </c>
      <c r="E11" s="19">
        <v>0.01</v>
      </c>
    </row>
    <row r="12" spans="1:8" x14ac:dyDescent="0.35">
      <c r="D12" s="9" t="s">
        <v>37</v>
      </c>
      <c r="E12" s="98">
        <f>'Pro Forma Cash Flow Statement'!B20</f>
      </c>
    </row>
    <row r="13" spans="1:8" x14ac:dyDescent="0.35">
      <c r="A13" s="2" t="s">
        <v>14</v>
      </c>
      <c r="B13" s="3"/>
    </row>
    <row r="14" spans="1:8" x14ac:dyDescent="0.35">
      <c r="A14" s="5" t="s">
        <v>11</v>
      </c>
      <c r="B14" s="11">
        <f>'Pro Forma Cash Flow Statement'!B2</f>
      </c>
      <c r="D14" s="83" t="s">
        <v>102</v>
      </c>
      <c r="E14" s="84"/>
    </row>
    <row r="15" spans="1:8" x14ac:dyDescent="0.35">
      <c r="A15" s="8" t="s">
        <v>67</v>
      </c>
      <c r="B15" s="11">
        <f>'Rent Roll'!C17-Expenses!F11</f>
      </c>
      <c r="D15" s="94" t="s">
        <v>103</v>
      </c>
      <c r="E15" s="118">
        <f>'Pro Forma Cash Flow Statement'!B28</f>
      </c>
    </row>
    <row r="16" spans="1:8" x14ac:dyDescent="0.35">
      <c r="A16" s="8" t="s">
        <v>15</v>
      </c>
      <c r="B16" s="11">
        <f>B14/B7</f>
      </c>
      <c r="D16" s="85" t="s">
        <v>104</v>
      </c>
      <c r="E16" s="118">
        <f>'Pro Forma Cash Flow Statement'!B29</f>
      </c>
    </row>
    <row r="17" spans="1:5" x14ac:dyDescent="0.35">
      <c r="A17" s="8" t="s">
        <v>12</v>
      </c>
      <c r="B17" s="11">
        <f>B14/B4</f>
      </c>
      <c r="D17" s="85" t="s">
        <v>105</v>
      </c>
      <c r="E17" s="118">
        <f>'Pro Forma Cash Flow Statement'!B30</f>
      </c>
    </row>
    <row r="18" spans="1:5" x14ac:dyDescent="0.35">
      <c r="A18" s="8" t="s">
        <v>13</v>
      </c>
      <c r="B18" s="6">
        <v>3</v>
      </c>
      <c r="D18" s="85" t="s">
        <v>106</v>
      </c>
      <c r="E18" s="118">
        <f>'Pro Forma Cash Flow Statement'!B31</f>
      </c>
    </row>
    <row r="19" spans="1:5" x14ac:dyDescent="0.35">
      <c r="A19" s="8" t="s">
        <v>16</v>
      </c>
      <c r="B19" s="58">
        <f>B15/B14</f>
      </c>
      <c r="D19" s="85" t="s">
        <v>107</v>
      </c>
      <c r="E19" s="119">
        <f>'Pro Forma Cash Flow Statement'!B32</f>
      </c>
    </row>
    <row r="20" spans="1:5" x14ac:dyDescent="0.35">
      <c r="A20" s="8" t="s">
        <v>116</v>
      </c>
      <c r="B20" s="11">
        <f>'Pro Forma Cash Flow Statement'!B11</f>
      </c>
      <c r="D20" s="94" t="s">
        <v>108</v>
      </c>
      <c r="E20" s="119">
        <f>'Pro Forma Cash Flow Statement'!B33</f>
      </c>
    </row>
    <row r="21" spans="1:5" x14ac:dyDescent="0.35">
      <c r="A21" s="8" t="s">
        <v>17</v>
      </c>
      <c r="B21" s="15">
        <v>0.01</v>
      </c>
      <c r="D21" s="94" t="s">
        <v>112</v>
      </c>
      <c r="E21" s="118">
        <f>'Pro Forma Cash Flow Statement'!B34</f>
      </c>
    </row>
    <row r="22" spans="1:5" x14ac:dyDescent="0.35">
      <c r="A22" s="8" t="s">
        <v>18</v>
      </c>
      <c r="B22" s="109">
        <f>'Pro Forma Cash Flow Statement'!C4</f>
      </c>
      <c r="D22" s="88" t="s">
        <v>113</v>
      </c>
      <c r="E22" s="120">
        <f>'Pro Forma Cash Flow Statement'!B35</f>
      </c>
    </row>
    <row r="23" spans="1:5" x14ac:dyDescent="0.35">
      <c r="A23" s="9" t="s">
        <v>19</v>
      </c>
      <c r="B23" s="82">
        <f>'Pro Forma Cash Flow Statement'!B3</f>
      </c>
    </row>
    <row r="25" spans="1:5" x14ac:dyDescent="0.35">
      <c r="A25" s="2" t="s">
        <v>20</v>
      </c>
      <c r="B25" s="3"/>
    </row>
    <row r="26" spans="1:5" x14ac:dyDescent="0.35">
      <c r="A26" s="5" t="s">
        <v>21</v>
      </c>
      <c r="B26" s="18">
        <f>'Pro Forma Cash Flow Statement'!B23</f>
      </c>
    </row>
    <row r="27" spans="1:5" x14ac:dyDescent="0.35">
      <c r="A27" s="8" t="s">
        <v>22</v>
      </c>
      <c r="B27" s="101">
        <f>'Pro Forma Cash Flow Statement'!B25</f>
      </c>
    </row>
    <row r="28" spans="1:5" x14ac:dyDescent="0.35">
      <c r="A28" s="9" t="s">
        <v>23</v>
      </c>
      <c r="B28" s="117">
        <f>'Pro Forma Cash Flow Statement'!B24</f>
      </c>
    </row>
  </sheetData>
  <dataValidations count="1">
    <dataValidation type="list" allowBlank="1" showInputMessage="1" showErrorMessage="1" sqref="F6" xr:uid="{053CEBF0-17BE-094A-B983-4A5B111D8E24}">
      <formula1>"SOFR, LIBOR, 10-Yr"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6E95A-1CAF-C848-AB30-78F1ACC34D98}">
  <dimension ref="A1:S17"/>
  <sheetViews>
    <sheetView showGridLines="0" zoomScale="75" workbookViewId="0">
      <selection activeCell="L3" sqref="L3"/>
    </sheetView>
  </sheetViews>
  <sheetFormatPr defaultColWidth="11" defaultRowHeight="15.6" x14ac:dyDescent="0.3"/>
  <cols>
    <col min="1" max="1" width="12.796875" bestFit="1" customWidth="1"/>
    <col min="2" max="2" width="12.296875" bestFit="1" customWidth="1"/>
    <col min="3" max="3" width="12.296875" customWidth="1"/>
    <col min="4" max="4" width="12.296875" bestFit="1" customWidth="1"/>
    <col min="5" max="5" width="13.796875" bestFit="1" customWidth="1"/>
    <col min="7" max="7" width="15.19921875" bestFit="1" customWidth="1"/>
    <col min="8" max="8" width="23.296875" customWidth="1"/>
    <col min="11" max="11" width="12.796875" bestFit="1" customWidth="1"/>
    <col min="12" max="12" width="12.19921875" bestFit="1" customWidth="1"/>
    <col min="13" max="13" width="12.19921875" customWidth="1"/>
    <col min="14" max="14" width="12.296875" bestFit="1" customWidth="1"/>
    <col min="15" max="15" width="13.796875" bestFit="1" customWidth="1"/>
    <col min="18" max="18" width="17" bestFit="1" customWidth="1"/>
  </cols>
  <sheetData>
    <row r="1" spans="1:19" x14ac:dyDescent="0.3">
      <c r="A1" s="61" t="s">
        <v>49</v>
      </c>
      <c r="B1" s="23"/>
      <c r="C1" s="23"/>
      <c r="D1" s="23"/>
      <c r="E1" s="23"/>
      <c r="F1" s="23"/>
      <c r="G1" s="23"/>
      <c r="H1" s="23"/>
      <c r="I1" s="32"/>
      <c r="K1" s="61" t="s">
        <v>59</v>
      </c>
      <c r="L1" s="23"/>
      <c r="M1" s="23"/>
      <c r="N1" s="23"/>
      <c r="O1" s="23"/>
      <c r="P1" s="23"/>
      <c r="Q1" s="23"/>
      <c r="R1" s="23"/>
      <c r="S1" s="32"/>
    </row>
    <row r="2" spans="1:19" ht="16.2" thickBot="1" x14ac:dyDescent="0.35">
      <c r="A2" s="62" t="s">
        <v>39</v>
      </c>
      <c r="B2" s="72" t="s">
        <v>50</v>
      </c>
      <c r="C2" s="73" t="s">
        <v>66</v>
      </c>
      <c r="D2" s="73" t="s">
        <v>43</v>
      </c>
      <c r="E2" s="73" t="s">
        <v>44</v>
      </c>
      <c r="F2" s="73" t="s">
        <v>45</v>
      </c>
      <c r="G2" s="73" t="s">
        <v>46</v>
      </c>
      <c r="H2" s="73" t="s">
        <v>56</v>
      </c>
      <c r="I2" s="72" t="s">
        <v>48</v>
      </c>
      <c r="K2" s="62" t="s">
        <v>39</v>
      </c>
      <c r="L2" s="73" t="s">
        <v>50</v>
      </c>
      <c r="M2" s="74" t="s">
        <v>66</v>
      </c>
      <c r="N2" s="73" t="s">
        <v>43</v>
      </c>
      <c r="O2" s="73" t="s">
        <v>44</v>
      </c>
      <c r="P2" s="73" t="s">
        <v>45</v>
      </c>
      <c r="Q2" s="73" t="s">
        <v>46</v>
      </c>
      <c r="R2" s="73" t="s">
        <v>56</v>
      </c>
      <c r="S2" s="72" t="s">
        <v>48</v>
      </c>
    </row>
    <row r="3" spans="1:19" ht="16.2" thickTop="1" x14ac:dyDescent="0.3">
      <c r="A3" s="63" t="s">
        <v>40</v>
      </c>
      <c r="B3" s="24">
        <v>3950</v>
      </c>
      <c r="C3" s="68">
        <f>B3*12</f>
      </c>
      <c r="D3" s="25">
        <v>3</v>
      </c>
      <c r="E3" s="25">
        <v>2</v>
      </c>
      <c r="F3" s="26">
        <v>44317</v>
      </c>
      <c r="G3" s="26" t="s">
        <v>55</v>
      </c>
      <c r="H3" s="25"/>
      <c r="I3" s="33" t="s">
        <v>47</v>
      </c>
      <c r="K3" s="63" t="s">
        <v>40</v>
      </c>
      <c r="L3" s="24">
        <v>3950</v>
      </c>
      <c r="M3" s="69">
        <f>L3*12</f>
      </c>
      <c r="N3" s="25">
        <v>3</v>
      </c>
      <c r="O3" s="25">
        <v>2</v>
      </c>
      <c r="P3" s="26">
        <v>44317</v>
      </c>
      <c r="Q3" s="26" t="s">
        <v>55</v>
      </c>
      <c r="R3" s="25"/>
      <c r="S3" s="33" t="s">
        <v>47</v>
      </c>
    </row>
    <row r="4" spans="1:19" x14ac:dyDescent="0.3">
      <c r="A4" s="63" t="s">
        <v>41</v>
      </c>
      <c r="B4" s="24">
        <v>3250</v>
      </c>
      <c r="C4" s="69">
        <f t="shared" ref="C4:C5" si="0">B4*12</f>
      </c>
      <c r="D4" s="25">
        <v>3</v>
      </c>
      <c r="E4" s="25">
        <v>2</v>
      </c>
      <c r="F4" s="26">
        <v>44348</v>
      </c>
      <c r="G4" s="26">
        <v>44712</v>
      </c>
      <c r="H4" s="25"/>
      <c r="I4" s="33" t="s">
        <v>47</v>
      </c>
      <c r="K4" s="63" t="s">
        <v>41</v>
      </c>
      <c r="L4" s="24">
        <v>3600</v>
      </c>
      <c r="M4" s="69">
        <f t="shared" ref="M4:M5" si="1">L4*12</f>
      </c>
      <c r="N4" s="25">
        <v>3</v>
      </c>
      <c r="O4" s="25">
        <v>2</v>
      </c>
      <c r="P4" s="26">
        <v>44348</v>
      </c>
      <c r="Q4" s="26">
        <v>44712</v>
      </c>
      <c r="R4" s="25"/>
      <c r="S4" s="33" t="s">
        <v>47</v>
      </c>
    </row>
    <row r="5" spans="1:19" x14ac:dyDescent="0.3">
      <c r="A5" s="64" t="s">
        <v>42</v>
      </c>
      <c r="B5" s="28">
        <v>3136</v>
      </c>
      <c r="C5" s="69">
        <f t="shared" si="0"/>
      </c>
      <c r="D5" s="29">
        <v>3</v>
      </c>
      <c r="E5" s="29">
        <v>2</v>
      </c>
      <c r="F5" s="30">
        <v>44440</v>
      </c>
      <c r="G5" s="30">
        <v>44804</v>
      </c>
      <c r="H5" s="29"/>
      <c r="I5" s="34" t="s">
        <v>47</v>
      </c>
      <c r="K5" s="64" t="s">
        <v>42</v>
      </c>
      <c r="L5" s="28">
        <v>3600</v>
      </c>
      <c r="M5" s="69">
        <f t="shared" si="1"/>
      </c>
      <c r="N5" s="29">
        <v>3</v>
      </c>
      <c r="O5" s="29">
        <v>2</v>
      </c>
      <c r="P5" s="30">
        <v>44440</v>
      </c>
      <c r="Q5" s="30">
        <v>44804</v>
      </c>
      <c r="R5" s="29"/>
      <c r="S5" s="34" t="s">
        <v>47</v>
      </c>
    </row>
    <row r="6" spans="1:19" x14ac:dyDescent="0.3">
      <c r="A6" s="65" t="s">
        <v>51</v>
      </c>
      <c r="B6" s="37">
        <f>SUM(B3:B5)</f>
      </c>
      <c r="C6" s="50">
        <f>B6*12</f>
      </c>
      <c r="D6" s="38">
        <f>SUM(D3:D5)</f>
      </c>
      <c r="E6" s="38">
        <f t="shared" ref="E6" si="2">SUM(E3:E5)</f>
      </c>
      <c r="F6" s="35"/>
      <c r="G6" s="35"/>
      <c r="H6" s="35"/>
      <c r="I6" s="36"/>
      <c r="K6" s="65" t="s">
        <v>51</v>
      </c>
      <c r="L6" s="37">
        <f>SUM(L3:L5)</f>
      </c>
      <c r="M6" s="50">
        <f>L6*12</f>
      </c>
      <c r="N6" s="38">
        <f>SUM(N3:N5)</f>
      </c>
      <c r="O6" s="38">
        <f t="shared" ref="O6" si="3">SUM(O3:O5)</f>
      </c>
      <c r="P6" s="35"/>
      <c r="Q6" s="35"/>
      <c r="R6" s="35"/>
      <c r="S6" s="36"/>
    </row>
    <row r="7" spans="1:19" x14ac:dyDescent="0.3">
      <c r="A7" s="63" t="s">
        <v>53</v>
      </c>
      <c r="B7" s="24"/>
      <c r="C7" s="70"/>
      <c r="D7" s="25"/>
      <c r="E7" s="25"/>
      <c r="F7" s="25"/>
      <c r="G7" s="25"/>
      <c r="H7" s="25"/>
      <c r="I7" s="33"/>
      <c r="K7" s="63" t="s">
        <v>53</v>
      </c>
      <c r="L7" s="24"/>
      <c r="M7" s="70"/>
      <c r="N7" s="25"/>
      <c r="O7" s="25"/>
      <c r="P7" s="25"/>
      <c r="Q7" s="25"/>
      <c r="R7" s="25"/>
      <c r="S7" s="33"/>
    </row>
    <row r="8" spans="1:19" x14ac:dyDescent="0.3">
      <c r="A8" s="63" t="s">
        <v>40</v>
      </c>
      <c r="B8" s="24">
        <v>4300</v>
      </c>
      <c r="C8" s="69">
        <f>B8*12</f>
      </c>
      <c r="D8" s="25">
        <v>3</v>
      </c>
      <c r="E8" s="25">
        <v>3</v>
      </c>
      <c r="F8" s="25" t="s">
        <v>52</v>
      </c>
      <c r="G8" s="25" t="s">
        <v>52</v>
      </c>
      <c r="H8" s="27" t="s">
        <v>58</v>
      </c>
      <c r="I8" s="33" t="s">
        <v>47</v>
      </c>
      <c r="K8" s="63" t="s">
        <v>40</v>
      </c>
      <c r="L8" s="24">
        <v>4000</v>
      </c>
      <c r="M8" s="69">
        <f t="shared" ref="M8:M16" si="4">L8*12</f>
      </c>
      <c r="N8" s="25">
        <v>3</v>
      </c>
      <c r="O8" s="25">
        <v>3</v>
      </c>
      <c r="P8" s="25" t="s">
        <v>52</v>
      </c>
      <c r="Q8" s="25" t="s">
        <v>52</v>
      </c>
      <c r="R8" s="27" t="s">
        <v>58</v>
      </c>
      <c r="S8" s="33" t="s">
        <v>47</v>
      </c>
    </row>
    <row r="9" spans="1:19" x14ac:dyDescent="0.3">
      <c r="A9" s="63" t="s">
        <v>41</v>
      </c>
      <c r="B9" s="24">
        <v>6350</v>
      </c>
      <c r="C9" s="69">
        <f t="shared" ref="C9:C11" si="5">B9*12</f>
      </c>
      <c r="D9" s="25">
        <v>3</v>
      </c>
      <c r="E9" s="25">
        <v>2</v>
      </c>
      <c r="F9" s="25" t="s">
        <v>52</v>
      </c>
      <c r="G9" s="25" t="s">
        <v>52</v>
      </c>
      <c r="H9" s="27" t="s">
        <v>58</v>
      </c>
      <c r="I9" s="33" t="s">
        <v>47</v>
      </c>
      <c r="K9" s="63" t="s">
        <v>41</v>
      </c>
      <c r="L9" s="24">
        <v>3600</v>
      </c>
      <c r="M9" s="69">
        <f t="shared" si="4"/>
      </c>
      <c r="N9" s="25">
        <v>3</v>
      </c>
      <c r="O9" s="25">
        <v>2</v>
      </c>
      <c r="P9" s="25" t="s">
        <v>52</v>
      </c>
      <c r="Q9" s="25" t="s">
        <v>52</v>
      </c>
      <c r="R9" s="27" t="s">
        <v>58</v>
      </c>
      <c r="S9" s="33" t="s">
        <v>47</v>
      </c>
    </row>
    <row r="10" spans="1:19" x14ac:dyDescent="0.3">
      <c r="A10" s="64" t="s">
        <v>42</v>
      </c>
      <c r="B10" s="28">
        <v>6850</v>
      </c>
      <c r="C10" s="69">
        <f t="shared" si="5"/>
      </c>
      <c r="D10" s="29">
        <v>3</v>
      </c>
      <c r="E10" s="29">
        <v>2</v>
      </c>
      <c r="F10" s="29" t="s">
        <v>52</v>
      </c>
      <c r="G10" s="29" t="s">
        <v>52</v>
      </c>
      <c r="H10" s="31" t="s">
        <v>58</v>
      </c>
      <c r="I10" s="34" t="s">
        <v>47</v>
      </c>
      <c r="K10" s="64" t="s">
        <v>42</v>
      </c>
      <c r="L10" s="28">
        <v>3600</v>
      </c>
      <c r="M10" s="69">
        <f t="shared" si="4"/>
      </c>
      <c r="N10" s="29">
        <v>3</v>
      </c>
      <c r="O10" s="29">
        <v>2</v>
      </c>
      <c r="P10" s="29" t="s">
        <v>52</v>
      </c>
      <c r="Q10" s="29" t="s">
        <v>52</v>
      </c>
      <c r="R10" s="31" t="s">
        <v>58</v>
      </c>
      <c r="S10" s="34" t="s">
        <v>47</v>
      </c>
    </row>
    <row r="11" spans="1:19" x14ac:dyDescent="0.3">
      <c r="A11" s="66" t="s">
        <v>51</v>
      </c>
      <c r="B11" s="49">
        <f>SUM(B8:B10)</f>
      </c>
      <c r="C11" s="50">
        <f t="shared" si="5"/>
      </c>
      <c r="D11" s="51">
        <f>SUM(D8:D10)</f>
      </c>
      <c r="E11" s="51">
        <f t="shared" ref="E11" si="6">SUM(E8:E10)</f>
      </c>
      <c r="F11" s="29"/>
      <c r="G11" s="29"/>
      <c r="H11" s="29"/>
      <c r="I11" s="34"/>
      <c r="K11" s="66" t="s">
        <v>51</v>
      </c>
      <c r="L11" s="53">
        <f>SUM(L8:L10)</f>
      </c>
      <c r="M11" s="54">
        <f t="shared" si="4"/>
      </c>
      <c r="N11" s="55">
        <f>SUM(N8:N10)</f>
      </c>
      <c r="O11" s="55">
        <f t="shared" ref="O11" si="7">SUM(O8:O10)</f>
      </c>
      <c r="P11" s="56"/>
      <c r="Q11" s="56"/>
      <c r="R11" s="56"/>
      <c r="S11" s="57"/>
    </row>
    <row r="12" spans="1:19" x14ac:dyDescent="0.3">
      <c r="A12" s="63" t="s">
        <v>54</v>
      </c>
      <c r="B12" s="24"/>
      <c r="C12" s="70"/>
      <c r="D12" s="25"/>
      <c r="E12" s="25"/>
      <c r="F12" s="25"/>
      <c r="G12" s="25"/>
      <c r="H12" s="25"/>
      <c r="I12" s="33"/>
      <c r="K12" s="63" t="s">
        <v>54</v>
      </c>
      <c r="L12" s="24"/>
      <c r="M12" s="70"/>
      <c r="N12" s="25"/>
      <c r="O12" s="25"/>
      <c r="P12" s="25"/>
      <c r="Q12" s="25"/>
      <c r="R12" s="25"/>
      <c r="S12" s="33"/>
    </row>
    <row r="13" spans="1:19" x14ac:dyDescent="0.3">
      <c r="A13" s="63" t="s">
        <v>40</v>
      </c>
      <c r="B13" s="24">
        <v>3195</v>
      </c>
      <c r="C13" s="69">
        <f t="shared" ref="C13:C17" si="8">B13*12</f>
      </c>
      <c r="D13" s="25">
        <v>3</v>
      </c>
      <c r="E13" s="25">
        <v>2</v>
      </c>
      <c r="F13" s="26">
        <v>44263</v>
      </c>
      <c r="G13" s="26">
        <v>44712</v>
      </c>
      <c r="H13" s="25"/>
      <c r="I13" s="33" t="s">
        <v>47</v>
      </c>
      <c r="K13" s="63" t="s">
        <v>40</v>
      </c>
      <c r="L13" s="24">
        <v>3600</v>
      </c>
      <c r="M13" s="69">
        <f t="shared" si="4"/>
      </c>
      <c r="N13" s="25">
        <v>3</v>
      </c>
      <c r="O13" s="25">
        <v>2</v>
      </c>
      <c r="P13" s="26">
        <v>44263</v>
      </c>
      <c r="Q13" s="26">
        <v>44712</v>
      </c>
      <c r="R13" s="25"/>
      <c r="S13" s="33" t="s">
        <v>47</v>
      </c>
    </row>
    <row r="14" spans="1:19" x14ac:dyDescent="0.3">
      <c r="A14" s="63" t="s">
        <v>41</v>
      </c>
      <c r="B14" s="24">
        <v>2700</v>
      </c>
      <c r="C14" s="69">
        <f t="shared" si="8"/>
      </c>
      <c r="D14" s="25">
        <v>2</v>
      </c>
      <c r="E14" s="25">
        <v>1</v>
      </c>
      <c r="F14" s="26">
        <v>44440</v>
      </c>
      <c r="G14" s="26">
        <v>44804</v>
      </c>
      <c r="H14" s="25"/>
      <c r="I14" s="33" t="s">
        <v>47</v>
      </c>
      <c r="K14" s="63" t="s">
        <v>41</v>
      </c>
      <c r="L14" s="24">
        <v>3100</v>
      </c>
      <c r="M14" s="69">
        <f t="shared" si="4"/>
      </c>
      <c r="N14" s="25">
        <v>2</v>
      </c>
      <c r="O14" s="25">
        <v>1</v>
      </c>
      <c r="P14" s="26">
        <v>44440</v>
      </c>
      <c r="Q14" s="26">
        <v>44804</v>
      </c>
      <c r="R14" s="25"/>
      <c r="S14" s="33" t="s">
        <v>47</v>
      </c>
    </row>
    <row r="15" spans="1:19" x14ac:dyDescent="0.3">
      <c r="A15" s="64" t="s">
        <v>42</v>
      </c>
      <c r="B15" s="28">
        <v>2500</v>
      </c>
      <c r="C15" s="52">
        <f t="shared" si="8"/>
      </c>
      <c r="D15" s="29">
        <v>2</v>
      </c>
      <c r="E15" s="29">
        <v>1</v>
      </c>
      <c r="F15" s="30">
        <v>44197</v>
      </c>
      <c r="G15" s="30">
        <v>44711</v>
      </c>
      <c r="H15" s="29"/>
      <c r="I15" s="34" t="s">
        <v>47</v>
      </c>
      <c r="K15" s="64" t="s">
        <v>42</v>
      </c>
      <c r="L15" s="28">
        <v>3100</v>
      </c>
      <c r="M15" s="52">
        <f t="shared" si="4"/>
      </c>
      <c r="N15" s="29">
        <v>2</v>
      </c>
      <c r="O15" s="29">
        <v>1</v>
      </c>
      <c r="P15" s="30">
        <v>44197</v>
      </c>
      <c r="Q15" s="30">
        <v>44711</v>
      </c>
      <c r="R15" s="29"/>
      <c r="S15" s="34" t="s">
        <v>47</v>
      </c>
    </row>
    <row r="16" spans="1:19" ht="16.2" thickBot="1" x14ac:dyDescent="0.35">
      <c r="A16" s="67" t="s">
        <v>51</v>
      </c>
      <c r="B16" s="39">
        <f>SUM(B13:B15)</f>
      </c>
      <c r="C16" s="81">
        <f t="shared" si="8"/>
      </c>
      <c r="D16" s="40">
        <f>SUM(D13:D15)</f>
      </c>
      <c r="E16" s="40">
        <f t="shared" ref="E16" si="9">SUM(E13:E15)</f>
      </c>
      <c r="F16" s="41"/>
      <c r="G16" s="41"/>
      <c r="H16" s="41"/>
      <c r="I16" s="42"/>
      <c r="K16" s="67" t="s">
        <v>51</v>
      </c>
      <c r="L16" s="39">
        <f>SUM(L13:L15)</f>
      </c>
      <c r="M16" s="71">
        <f t="shared" si="4"/>
      </c>
      <c r="N16" s="40">
        <f>SUM(N13:N15)</f>
      </c>
      <c r="O16" s="40">
        <f t="shared" ref="O16" si="10">SUM(O13:O15)</f>
      </c>
      <c r="P16" s="41"/>
      <c r="Q16" s="41"/>
      <c r="R16" s="41"/>
      <c r="S16" s="42"/>
    </row>
    <row r="17" spans="1:19" x14ac:dyDescent="0.3">
      <c r="A17" s="80" t="s">
        <v>57</v>
      </c>
      <c r="B17" s="75">
        <f>SUM(B16,B11,B6)</f>
      </c>
      <c r="C17" s="79">
        <f t="shared" si="8"/>
      </c>
      <c r="D17" s="76">
        <f t="shared" ref="D17:E17" si="11">SUM(D16,D11,D6)</f>
      </c>
      <c r="E17" s="76">
        <f t="shared" si="11"/>
      </c>
      <c r="F17" s="77"/>
      <c r="G17" s="77"/>
      <c r="H17" s="77"/>
      <c r="I17" s="78"/>
      <c r="K17" s="80" t="s">
        <v>57</v>
      </c>
      <c r="L17" s="75">
        <f>SUM(L16,L11,L6)</f>
      </c>
      <c r="M17" s="79">
        <f>L17*12</f>
      </c>
      <c r="N17" s="76">
        <f t="shared" ref="N17" si="12">SUM(N16,N11,N6)</f>
      </c>
      <c r="O17" s="76">
        <f t="shared" ref="O17" si="13">SUM(O16,O11,O6)</f>
      </c>
      <c r="P17" s="77"/>
      <c r="Q17" s="77"/>
      <c r="R17" s="77"/>
      <c r="S17" s="78"/>
    </row>
  </sheetData>
  <dataValidations count="1">
    <dataValidation type="list" allowBlank="1" showInputMessage="1" showErrorMessage="1" sqref="I3:I5 I13:I15 I8:I10 S3:S5 S13:S15 S8:S10" xr:uid="{D3664F20-942C-F44B-825E-D894432608E5}">
      <formula1>"Free Market, Rent Stabalized, Rent Controlled"</formula1>
    </dataValidation>
  </dataValidations>
  <pageMargins left="0.7" right="0.7" top="0.75" bottom="0.75" header="0.3" footer="0.3"/>
  <ignoredErrors>
    <ignoredError sqref="C6 C11 C16:C17 M6 M11 M16:M1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C063A-665F-1F42-B103-4255BD452034}">
  <dimension ref="A1:M11"/>
  <sheetViews>
    <sheetView showGridLines="0" workbookViewId="0">
      <selection activeCell="L10" sqref="L10"/>
    </sheetView>
  </sheetViews>
  <sheetFormatPr defaultColWidth="11" defaultRowHeight="15.6" x14ac:dyDescent="0.3"/>
  <cols>
    <col min="1" max="1" width="13.69921875" bestFit="1" customWidth="1"/>
    <col min="3" max="3" width="13.69921875" bestFit="1" customWidth="1"/>
    <col min="4" max="4" width="11.19921875" bestFit="1" customWidth="1"/>
    <col min="5" max="5" width="13.69921875" bestFit="1" customWidth="1"/>
    <col min="8" max="8" width="13.69921875" bestFit="1" customWidth="1"/>
    <col min="10" max="10" width="13.69921875" bestFit="1" customWidth="1"/>
    <col min="12" max="12" width="13.69921875" bestFit="1" customWidth="1"/>
  </cols>
  <sheetData>
    <row r="1" spans="1:13" x14ac:dyDescent="0.3">
      <c r="A1" s="23" t="s">
        <v>114</v>
      </c>
      <c r="B1" s="23"/>
      <c r="C1" s="22"/>
      <c r="D1" s="22"/>
      <c r="E1" s="22"/>
      <c r="F1" s="22"/>
      <c r="H1" s="23" t="s">
        <v>115</v>
      </c>
      <c r="I1" s="23"/>
      <c r="J1" s="22"/>
      <c r="K1" s="22"/>
      <c r="L1" s="22"/>
      <c r="M1" s="22"/>
    </row>
    <row r="2" spans="1:13" x14ac:dyDescent="0.3">
      <c r="A2" s="46" t="s">
        <v>39</v>
      </c>
      <c r="B2" s="47"/>
      <c r="C2" s="46" t="s">
        <v>53</v>
      </c>
      <c r="D2" s="47"/>
      <c r="E2" s="46" t="s">
        <v>54</v>
      </c>
      <c r="F2" s="47"/>
      <c r="G2" s="1"/>
      <c r="H2" s="46" t="s">
        <v>39</v>
      </c>
      <c r="I2" s="47"/>
      <c r="J2" s="46" t="s">
        <v>53</v>
      </c>
      <c r="K2" s="47"/>
      <c r="L2" s="46" t="s">
        <v>54</v>
      </c>
      <c r="M2" s="47"/>
    </row>
    <row r="3" spans="1:13" x14ac:dyDescent="0.3">
      <c r="A3" s="43" t="s">
        <v>60</v>
      </c>
      <c r="B3" s="127">
        <v>4667.5600000000004</v>
      </c>
      <c r="C3" s="43" t="s">
        <v>60</v>
      </c>
      <c r="D3" s="127">
        <v>2628.96</v>
      </c>
      <c r="E3" s="43" t="s">
        <v>60</v>
      </c>
      <c r="F3" s="127">
        <v>4272.28</v>
      </c>
      <c r="H3" s="43" t="s">
        <v>60</v>
      </c>
      <c r="I3" s="127">
        <v>4667.5600000000004</v>
      </c>
      <c r="J3" s="43" t="s">
        <v>60</v>
      </c>
      <c r="K3" s="127">
        <v>2628.96</v>
      </c>
      <c r="L3" s="43" t="s">
        <v>60</v>
      </c>
      <c r="M3" s="127">
        <v>4272.28</v>
      </c>
    </row>
    <row r="4" spans="1:13" x14ac:dyDescent="0.3">
      <c r="A4" s="43" t="s">
        <v>61</v>
      </c>
      <c r="B4" s="127">
        <v>4128</v>
      </c>
      <c r="C4" s="43" t="s">
        <v>61</v>
      </c>
      <c r="D4" s="127">
        <v>4128</v>
      </c>
      <c r="E4" s="43" t="s">
        <v>61</v>
      </c>
      <c r="F4" s="127">
        <v>4128</v>
      </c>
      <c r="H4" s="43" t="s">
        <v>61</v>
      </c>
      <c r="I4" s="127">
        <v>4128</v>
      </c>
      <c r="J4" s="43" t="s">
        <v>61</v>
      </c>
      <c r="K4" s="127">
        <v>4128</v>
      </c>
      <c r="L4" s="43" t="s">
        <v>61</v>
      </c>
      <c r="M4" s="127">
        <v>4128</v>
      </c>
    </row>
    <row r="5" spans="1:13" x14ac:dyDescent="0.3">
      <c r="A5" s="43" t="s">
        <v>65</v>
      </c>
      <c r="B5" s="127">
        <v>3200</v>
      </c>
      <c r="C5" s="43" t="s">
        <v>65</v>
      </c>
      <c r="D5" s="127">
        <v>3200</v>
      </c>
      <c r="E5" s="43" t="s">
        <v>65</v>
      </c>
      <c r="F5" s="127">
        <v>3200</v>
      </c>
      <c r="H5" s="43" t="s">
        <v>65</v>
      </c>
      <c r="I5" s="127">
        <v>3200</v>
      </c>
      <c r="J5" s="43" t="s">
        <v>65</v>
      </c>
      <c r="K5" s="127">
        <v>3200</v>
      </c>
      <c r="L5" s="43" t="s">
        <v>65</v>
      </c>
      <c r="M5" s="127">
        <v>3200</v>
      </c>
    </row>
    <row r="6" spans="1:13" x14ac:dyDescent="0.3">
      <c r="A6" s="43" t="s">
        <v>62</v>
      </c>
      <c r="B6" s="127">
        <v>600</v>
      </c>
      <c r="C6" s="43" t="s">
        <v>62</v>
      </c>
      <c r="D6" s="127">
        <v>600</v>
      </c>
      <c r="E6" s="43" t="s">
        <v>62</v>
      </c>
      <c r="F6" s="127">
        <v>600</v>
      </c>
      <c r="H6" s="43" t="s">
        <v>62</v>
      </c>
      <c r="I6" s="127">
        <v>600</v>
      </c>
      <c r="J6" s="43" t="s">
        <v>62</v>
      </c>
      <c r="K6" s="127">
        <v>600</v>
      </c>
      <c r="L6" s="43" t="s">
        <v>62</v>
      </c>
      <c r="M6" s="127">
        <v>600</v>
      </c>
    </row>
    <row r="7" spans="1:13" x14ac:dyDescent="0.3">
      <c r="A7" s="43" t="s">
        <v>63</v>
      </c>
      <c r="B7" s="127">
        <v>1200</v>
      </c>
      <c r="C7" s="43" t="s">
        <v>63</v>
      </c>
      <c r="D7" s="127">
        <v>1200</v>
      </c>
      <c r="E7" s="43" t="s">
        <v>63</v>
      </c>
      <c r="F7" s="127">
        <v>1200</v>
      </c>
      <c r="H7" s="43" t="s">
        <v>63</v>
      </c>
      <c r="I7" s="127">
        <v>1200</v>
      </c>
      <c r="J7" s="43" t="s">
        <v>63</v>
      </c>
      <c r="K7" s="127">
        <v>1200</v>
      </c>
      <c r="L7" s="43" t="s">
        <v>63</v>
      </c>
      <c r="M7" s="127">
        <v>1200</v>
      </c>
    </row>
    <row r="8" spans="1:13" x14ac:dyDescent="0.3">
      <c r="A8" s="43" t="s">
        <v>64</v>
      </c>
      <c r="B8" s="127">
        <v>2000</v>
      </c>
      <c r="C8" s="43" t="s">
        <v>64</v>
      </c>
      <c r="D8" s="127">
        <v>2000</v>
      </c>
      <c r="E8" s="43" t="s">
        <v>64</v>
      </c>
      <c r="F8" s="127">
        <v>2000</v>
      </c>
      <c r="H8" s="43" t="s">
        <v>64</v>
      </c>
      <c r="I8" s="127">
        <v>2000</v>
      </c>
      <c r="J8" s="43" t="s">
        <v>64</v>
      </c>
      <c r="K8" s="127">
        <v>2000</v>
      </c>
      <c r="L8" s="43" t="s">
        <v>64</v>
      </c>
      <c r="M8" s="127">
        <v>2000</v>
      </c>
    </row>
    <row r="9" spans="1:13" x14ac:dyDescent="0.3">
      <c r="A9" s="43" t="s">
        <v>68</v>
      </c>
      <c r="B9" s="127">
        <v>7441.92</v>
      </c>
      <c r="C9" s="43" t="s">
        <v>68</v>
      </c>
      <c r="D9" s="127">
        <v>25200</v>
      </c>
      <c r="E9" s="43" t="s">
        <v>68</v>
      </c>
      <c r="F9" s="127">
        <v>6044.4</v>
      </c>
      <c r="H9" s="43" t="s">
        <v>68</v>
      </c>
      <c r="I9" s="127">
        <v>7441.92</v>
      </c>
      <c r="J9" s="43" t="s">
        <v>68</v>
      </c>
      <c r="K9" s="127">
        <v>8000</v>
      </c>
      <c r="L9" s="43" t="s">
        <v>68</v>
      </c>
      <c r="M9" s="127">
        <v>6044.4</v>
      </c>
    </row>
    <row r="10" spans="1:13" x14ac:dyDescent="0.3">
      <c r="A10" s="44" t="s">
        <v>51</v>
      </c>
      <c r="B10" s="45">
        <f>SUM(B3:B9)</f>
      </c>
      <c r="C10" s="44" t="s">
        <v>51</v>
      </c>
      <c r="D10" s="45">
        <f>SUM(D3:D9)</f>
      </c>
      <c r="E10" s="44" t="s">
        <v>51</v>
      </c>
      <c r="F10" s="45">
        <f>SUM(F3:F9)</f>
      </c>
      <c r="H10" s="44" t="s">
        <v>51</v>
      </c>
      <c r="I10" s="45">
        <f>SUM(I3:I9)</f>
      </c>
      <c r="J10" s="44" t="s">
        <v>51</v>
      </c>
      <c r="K10" s="45">
        <f>SUM(K3:K9)</f>
      </c>
      <c r="L10" s="44" t="s">
        <v>51</v>
      </c>
      <c r="M10" s="45">
        <f>SUM(M3:M9)</f>
      </c>
    </row>
    <row r="11" spans="1:13" ht="16.2" thickBot="1" x14ac:dyDescent="0.35">
      <c r="A11" s="48"/>
      <c r="B11" s="48"/>
      <c r="C11" s="48"/>
      <c r="D11" s="48"/>
      <c r="E11" s="60" t="s">
        <v>57</v>
      </c>
      <c r="F11" s="59">
        <f>SUM(F10,D10,B10)</f>
      </c>
      <c r="H11" s="48"/>
      <c r="I11" s="48"/>
      <c r="J11" s="48"/>
      <c r="K11" s="48"/>
      <c r="L11" s="60" t="s">
        <v>57</v>
      </c>
      <c r="M11" s="59">
        <f>SUM(M10,K10,I10)</f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929B9-C826-774A-BB01-92800B73AAF8}">
  <dimension ref="A1:BY35"/>
  <sheetViews>
    <sheetView showGridLines="0" tabSelected="1" zoomScale="70" zoomScaleNormal="70" workbookViewId="0">
      <selection activeCell="G38" sqref="G38"/>
    </sheetView>
  </sheetViews>
  <sheetFormatPr defaultColWidth="10.796875" defaultRowHeight="16.2" x14ac:dyDescent="0.35"/>
  <cols>
    <col min="1" max="1" width="30.796875" style="4" bestFit="1" customWidth="1"/>
    <col min="2" max="2" width="12.69921875" style="4" bestFit="1" customWidth="1"/>
    <col min="3" max="3" width="11" style="4" bestFit="1" customWidth="1"/>
    <col min="4" max="4" width="28.5" style="4" bestFit="1" customWidth="1"/>
    <col min="5" max="5" width="14.19921875" style="4" bestFit="1" customWidth="1"/>
    <col min="6" max="8" width="12.296875" style="4" bestFit="1" customWidth="1"/>
    <col min="9" max="13" width="11.5" style="4" bestFit="1" customWidth="1"/>
    <col min="14" max="16" width="11" style="4" bestFit="1" customWidth="1"/>
    <col min="17" max="17" width="13.19921875" style="4" bestFit="1" customWidth="1"/>
    <col min="18" max="20" width="12.19921875" style="4" bestFit="1" customWidth="1"/>
    <col min="21" max="29" width="11" style="4" bestFit="1" customWidth="1"/>
    <col min="30" max="32" width="12.19921875" style="4" bestFit="1" customWidth="1"/>
    <col min="33" max="41" width="11" style="4" bestFit="1" customWidth="1"/>
    <col min="42" max="44" width="12.19921875" style="4" bestFit="1" customWidth="1"/>
    <col min="45" max="53" width="11" style="4" bestFit="1" customWidth="1"/>
    <col min="54" max="56" width="12.19921875" style="4" bestFit="1" customWidth="1"/>
    <col min="57" max="59" width="11.19921875" style="4" bestFit="1" customWidth="1"/>
    <col min="60" max="64" width="11.296875" style="4" bestFit="1" customWidth="1"/>
    <col min="65" max="65" width="12.796875" style="4" bestFit="1" customWidth="1"/>
    <col min="66" max="68" width="12.5" style="4" bestFit="1" customWidth="1"/>
    <col min="69" max="71" width="11.296875" style="4" bestFit="1" customWidth="1"/>
    <col min="72" max="72" width="11.19921875" style="4" bestFit="1" customWidth="1"/>
    <col min="73" max="77" width="11" style="4" bestFit="1" customWidth="1"/>
    <col min="78" max="16384" width="10.796875" style="4"/>
  </cols>
  <sheetData>
    <row r="1" spans="1:77" x14ac:dyDescent="0.35">
      <c r="A1" s="83" t="s">
        <v>74</v>
      </c>
      <c r="B1" s="84"/>
      <c r="D1" s="104" t="s">
        <v>69</v>
      </c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9"/>
    </row>
    <row r="2" spans="1:77" x14ac:dyDescent="0.35">
      <c r="A2" s="85" t="s">
        <v>11</v>
      </c>
      <c r="B2" s="14">
        <v>4750000</v>
      </c>
      <c r="D2" s="105" t="s">
        <v>70</v>
      </c>
      <c r="E2" s="130">
        <f>'Deal Summary'!B23</f>
      </c>
      <c r="F2" s="131">
        <f>EOMONTH(E2,1)</f>
      </c>
      <c r="G2" s="131">
        <f t="shared" ref="G2:BR2" si="0">EOMONTH(F2,1)</f>
      </c>
      <c r="H2" s="131">
        <f t="shared" si="0"/>
      </c>
      <c r="I2" s="131">
        <f t="shared" si="0"/>
      </c>
      <c r="J2" s="131">
        <f t="shared" si="0"/>
      </c>
      <c r="K2" s="131">
        <f t="shared" si="0"/>
      </c>
      <c r="L2" s="131">
        <f t="shared" si="0"/>
      </c>
      <c r="M2" s="131">
        <f t="shared" si="0"/>
      </c>
      <c r="N2" s="131">
        <f t="shared" si="0"/>
      </c>
      <c r="O2" s="131">
        <f t="shared" si="0"/>
      </c>
      <c r="P2" s="131">
        <f t="shared" si="0"/>
      </c>
      <c r="Q2" s="131">
        <f t="shared" si="0"/>
      </c>
      <c r="R2" s="131">
        <f t="shared" si="0"/>
      </c>
      <c r="S2" s="131">
        <f t="shared" si="0"/>
      </c>
      <c r="T2" s="131">
        <f t="shared" si="0"/>
      </c>
      <c r="U2" s="131">
        <f t="shared" si="0"/>
      </c>
      <c r="V2" s="131">
        <f t="shared" si="0"/>
      </c>
      <c r="W2" s="131">
        <f t="shared" si="0"/>
      </c>
      <c r="X2" s="131">
        <f t="shared" si="0"/>
      </c>
      <c r="Y2" s="131">
        <f t="shared" si="0"/>
      </c>
      <c r="Z2" s="131">
        <f t="shared" si="0"/>
      </c>
      <c r="AA2" s="131">
        <f t="shared" si="0"/>
      </c>
      <c r="AB2" s="131">
        <f t="shared" si="0"/>
      </c>
      <c r="AC2" s="131">
        <f t="shared" si="0"/>
      </c>
      <c r="AD2" s="131">
        <f t="shared" si="0"/>
      </c>
      <c r="AE2" s="131">
        <f t="shared" si="0"/>
      </c>
      <c r="AF2" s="131">
        <f t="shared" si="0"/>
      </c>
      <c r="AG2" s="131">
        <f t="shared" si="0"/>
      </c>
      <c r="AH2" s="131">
        <f t="shared" si="0"/>
      </c>
      <c r="AI2" s="131">
        <f t="shared" si="0"/>
      </c>
      <c r="AJ2" s="131">
        <f t="shared" si="0"/>
      </c>
      <c r="AK2" s="131">
        <f t="shared" si="0"/>
      </c>
      <c r="AL2" s="131">
        <f t="shared" si="0"/>
      </c>
      <c r="AM2" s="131">
        <f t="shared" si="0"/>
      </c>
      <c r="AN2" s="131">
        <f t="shared" si="0"/>
      </c>
      <c r="AO2" s="131">
        <f t="shared" si="0"/>
      </c>
      <c r="AP2" s="131">
        <f t="shared" si="0"/>
      </c>
      <c r="AQ2" s="131">
        <f t="shared" si="0"/>
      </c>
      <c r="AR2" s="131">
        <f t="shared" si="0"/>
      </c>
      <c r="AS2" s="131">
        <f t="shared" si="0"/>
      </c>
      <c r="AT2" s="131">
        <f t="shared" si="0"/>
      </c>
      <c r="AU2" s="131">
        <f t="shared" si="0"/>
      </c>
      <c r="AV2" s="131">
        <f t="shared" si="0"/>
      </c>
      <c r="AW2" s="131">
        <f t="shared" si="0"/>
      </c>
      <c r="AX2" s="131">
        <f t="shared" si="0"/>
      </c>
      <c r="AY2" s="131">
        <f t="shared" si="0"/>
      </c>
      <c r="AZ2" s="131">
        <f t="shared" si="0"/>
      </c>
      <c r="BA2" s="131">
        <f t="shared" si="0"/>
      </c>
      <c r="BB2" s="131">
        <f t="shared" si="0"/>
      </c>
      <c r="BC2" s="131">
        <f t="shared" si="0"/>
      </c>
      <c r="BD2" s="131">
        <f t="shared" si="0"/>
      </c>
      <c r="BE2" s="131">
        <f t="shared" si="0"/>
      </c>
      <c r="BF2" s="131">
        <f t="shared" si="0"/>
      </c>
      <c r="BG2" s="131">
        <f t="shared" si="0"/>
      </c>
      <c r="BH2" s="131">
        <f t="shared" si="0"/>
      </c>
      <c r="BI2" s="131">
        <f t="shared" si="0"/>
      </c>
      <c r="BJ2" s="131">
        <f t="shared" si="0"/>
      </c>
      <c r="BK2" s="131">
        <f t="shared" si="0"/>
      </c>
      <c r="BL2" s="131">
        <f t="shared" si="0"/>
      </c>
      <c r="BM2" s="131">
        <f t="shared" si="0"/>
      </c>
      <c r="BN2" s="131">
        <f t="shared" si="0"/>
      </c>
      <c r="BO2" s="131">
        <f t="shared" si="0"/>
      </c>
      <c r="BP2" s="131">
        <f t="shared" si="0"/>
      </c>
      <c r="BQ2" s="131">
        <f t="shared" si="0"/>
      </c>
      <c r="BR2" s="131">
        <f t="shared" si="0"/>
      </c>
      <c r="BS2" s="131">
        <f t="shared" ref="BS2:BY2" si="1">EOMONTH(BR2,1)</f>
      </c>
      <c r="BT2" s="131">
        <f t="shared" si="1"/>
      </c>
      <c r="BU2" s="131">
        <f t="shared" si="1"/>
      </c>
      <c r="BV2" s="131">
        <f t="shared" si="1"/>
      </c>
      <c r="BW2" s="131">
        <f t="shared" si="1"/>
      </c>
      <c r="BX2" s="131">
        <f t="shared" si="1"/>
      </c>
      <c r="BY2" s="132">
        <f t="shared" si="1"/>
      </c>
    </row>
    <row r="3" spans="1:77" x14ac:dyDescent="0.35">
      <c r="A3" s="85" t="s">
        <v>73</v>
      </c>
      <c r="B3" s="87">
        <v>44805</v>
      </c>
      <c r="D3" s="105" t="s">
        <v>72</v>
      </c>
      <c r="E3" s="133">
        <v>0</v>
      </c>
      <c r="F3" s="134">
        <v>1</v>
      </c>
      <c r="G3" s="134">
        <f>F3+1</f>
      </c>
      <c r="H3" s="134">
        <f t="shared" ref="H3:BS3" si="2">G3+1</f>
      </c>
      <c r="I3" s="134">
        <f t="shared" si="2"/>
      </c>
      <c r="J3" s="134">
        <f t="shared" si="2"/>
      </c>
      <c r="K3" s="134">
        <f t="shared" si="2"/>
      </c>
      <c r="L3" s="134">
        <f t="shared" si="2"/>
      </c>
      <c r="M3" s="134">
        <f t="shared" si="2"/>
      </c>
      <c r="N3" s="134">
        <f t="shared" si="2"/>
      </c>
      <c r="O3" s="134">
        <f t="shared" si="2"/>
      </c>
      <c r="P3" s="134">
        <f t="shared" si="2"/>
      </c>
      <c r="Q3" s="134">
        <f t="shared" si="2"/>
      </c>
      <c r="R3" s="134">
        <f t="shared" si="2"/>
      </c>
      <c r="S3" s="134">
        <f t="shared" si="2"/>
      </c>
      <c r="T3" s="134">
        <f t="shared" si="2"/>
      </c>
      <c r="U3" s="134">
        <f t="shared" si="2"/>
      </c>
      <c r="V3" s="134">
        <f t="shared" si="2"/>
      </c>
      <c r="W3" s="134">
        <f t="shared" si="2"/>
      </c>
      <c r="X3" s="134">
        <f t="shared" si="2"/>
      </c>
      <c r="Y3" s="134">
        <f t="shared" si="2"/>
      </c>
      <c r="Z3" s="134">
        <f t="shared" si="2"/>
      </c>
      <c r="AA3" s="134">
        <f t="shared" si="2"/>
      </c>
      <c r="AB3" s="134">
        <f t="shared" si="2"/>
      </c>
      <c r="AC3" s="134">
        <f t="shared" si="2"/>
      </c>
      <c r="AD3" s="134">
        <f t="shared" si="2"/>
      </c>
      <c r="AE3" s="134">
        <f t="shared" si="2"/>
      </c>
      <c r="AF3" s="134">
        <f t="shared" si="2"/>
      </c>
      <c r="AG3" s="134">
        <f t="shared" si="2"/>
      </c>
      <c r="AH3" s="134">
        <f t="shared" si="2"/>
      </c>
      <c r="AI3" s="134">
        <f t="shared" si="2"/>
      </c>
      <c r="AJ3" s="134">
        <f t="shared" si="2"/>
      </c>
      <c r="AK3" s="134">
        <f t="shared" si="2"/>
      </c>
      <c r="AL3" s="134">
        <f t="shared" si="2"/>
      </c>
      <c r="AM3" s="134">
        <f t="shared" si="2"/>
      </c>
      <c r="AN3" s="134">
        <f t="shared" si="2"/>
      </c>
      <c r="AO3" s="134">
        <f t="shared" si="2"/>
      </c>
      <c r="AP3" s="134">
        <f t="shared" si="2"/>
      </c>
      <c r="AQ3" s="134">
        <f t="shared" si="2"/>
      </c>
      <c r="AR3" s="134">
        <f t="shared" si="2"/>
      </c>
      <c r="AS3" s="134">
        <f t="shared" si="2"/>
      </c>
      <c r="AT3" s="134">
        <f t="shared" si="2"/>
      </c>
      <c r="AU3" s="134">
        <f t="shared" si="2"/>
      </c>
      <c r="AV3" s="134">
        <f t="shared" si="2"/>
      </c>
      <c r="AW3" s="134">
        <f t="shared" si="2"/>
      </c>
      <c r="AX3" s="134">
        <f t="shared" si="2"/>
      </c>
      <c r="AY3" s="134">
        <f t="shared" si="2"/>
      </c>
      <c r="AZ3" s="134">
        <f t="shared" si="2"/>
      </c>
      <c r="BA3" s="134">
        <f t="shared" si="2"/>
      </c>
      <c r="BB3" s="134">
        <f t="shared" si="2"/>
      </c>
      <c r="BC3" s="134">
        <f t="shared" si="2"/>
      </c>
      <c r="BD3" s="134">
        <f t="shared" si="2"/>
      </c>
      <c r="BE3" s="134">
        <f t="shared" si="2"/>
      </c>
      <c r="BF3" s="134">
        <f t="shared" si="2"/>
      </c>
      <c r="BG3" s="134">
        <f t="shared" si="2"/>
      </c>
      <c r="BH3" s="134">
        <f t="shared" si="2"/>
      </c>
      <c r="BI3" s="134">
        <f t="shared" si="2"/>
      </c>
      <c r="BJ3" s="134">
        <f t="shared" si="2"/>
      </c>
      <c r="BK3" s="134">
        <f t="shared" si="2"/>
      </c>
      <c r="BL3" s="134">
        <f t="shared" si="2"/>
      </c>
      <c r="BM3" s="134">
        <f t="shared" si="2"/>
      </c>
      <c r="BN3" s="134">
        <f t="shared" si="2"/>
      </c>
      <c r="BO3" s="134">
        <f t="shared" si="2"/>
      </c>
      <c r="BP3" s="134">
        <f t="shared" si="2"/>
      </c>
      <c r="BQ3" s="134">
        <f t="shared" si="2"/>
      </c>
      <c r="BR3" s="134">
        <f t="shared" si="2"/>
      </c>
      <c r="BS3" s="134">
        <f t="shared" si="2"/>
      </c>
      <c r="BT3" s="134">
        <f t="shared" ref="BT3:BY3" si="3">BS3+1</f>
      </c>
      <c r="BU3" s="134">
        <f t="shared" si="3"/>
      </c>
      <c r="BV3" s="134">
        <f t="shared" si="3"/>
      </c>
      <c r="BW3" s="134">
        <f t="shared" si="3"/>
      </c>
      <c r="BX3" s="134">
        <f t="shared" si="3"/>
      </c>
      <c r="BY3" s="135">
        <f t="shared" si="3"/>
      </c>
    </row>
    <row r="4" spans="1:77" x14ac:dyDescent="0.35">
      <c r="A4" s="88" t="s">
        <v>18</v>
      </c>
      <c r="B4" s="92">
        <f>B2*C4</f>
      </c>
      <c r="C4" s="91">
        <v>0.02</v>
      </c>
      <c r="D4" s="105" t="s">
        <v>71</v>
      </c>
      <c r="E4" s="133">
        <v>0</v>
      </c>
      <c r="F4" s="134">
        <v>1</v>
      </c>
      <c r="G4" s="134">
        <v>1</v>
      </c>
      <c r="H4" s="134">
        <v>1</v>
      </c>
      <c r="I4" s="134">
        <v>1</v>
      </c>
      <c r="J4" s="134">
        <v>1</v>
      </c>
      <c r="K4" s="134">
        <v>1</v>
      </c>
      <c r="L4" s="134">
        <v>1</v>
      </c>
      <c r="M4" s="134">
        <v>1</v>
      </c>
      <c r="N4" s="134">
        <v>1</v>
      </c>
      <c r="O4" s="134">
        <v>1</v>
      </c>
      <c r="P4" s="134">
        <v>1</v>
      </c>
      <c r="Q4" s="134">
        <v>1</v>
      </c>
      <c r="R4" s="134">
        <f>F4+1</f>
      </c>
      <c r="S4" s="134">
        <f t="shared" ref="S4:BO4" si="4">G4+1</f>
      </c>
      <c r="T4" s="134">
        <f t="shared" si="4"/>
      </c>
      <c r="U4" s="134">
        <f t="shared" si="4"/>
      </c>
      <c r="V4" s="134">
        <f t="shared" si="4"/>
      </c>
      <c r="W4" s="134">
        <f t="shared" si="4"/>
      </c>
      <c r="X4" s="134">
        <f t="shared" si="4"/>
      </c>
      <c r="Y4" s="134">
        <f t="shared" si="4"/>
      </c>
      <c r="Z4" s="134">
        <f t="shared" si="4"/>
      </c>
      <c r="AA4" s="134">
        <f t="shared" si="4"/>
      </c>
      <c r="AB4" s="134">
        <f t="shared" si="4"/>
      </c>
      <c r="AC4" s="134">
        <f t="shared" si="4"/>
      </c>
      <c r="AD4" s="134">
        <f t="shared" si="4"/>
      </c>
      <c r="AE4" s="134">
        <f t="shared" si="4"/>
      </c>
      <c r="AF4" s="134">
        <f t="shared" si="4"/>
      </c>
      <c r="AG4" s="134">
        <f t="shared" si="4"/>
      </c>
      <c r="AH4" s="134">
        <f t="shared" si="4"/>
      </c>
      <c r="AI4" s="134">
        <f t="shared" si="4"/>
      </c>
      <c r="AJ4" s="134">
        <f t="shared" si="4"/>
      </c>
      <c r="AK4" s="134">
        <f t="shared" si="4"/>
      </c>
      <c r="AL4" s="134">
        <f t="shared" si="4"/>
      </c>
      <c r="AM4" s="134">
        <f t="shared" si="4"/>
      </c>
      <c r="AN4" s="134">
        <f t="shared" si="4"/>
      </c>
      <c r="AO4" s="134">
        <f t="shared" si="4"/>
      </c>
      <c r="AP4" s="134">
        <f t="shared" si="4"/>
      </c>
      <c r="AQ4" s="134">
        <f t="shared" si="4"/>
      </c>
      <c r="AR4" s="134">
        <f t="shared" si="4"/>
      </c>
      <c r="AS4" s="134">
        <f t="shared" si="4"/>
      </c>
      <c r="AT4" s="134">
        <f t="shared" si="4"/>
      </c>
      <c r="AU4" s="134">
        <f t="shared" si="4"/>
      </c>
      <c r="AV4" s="134">
        <f t="shared" si="4"/>
      </c>
      <c r="AW4" s="134">
        <f t="shared" si="4"/>
      </c>
      <c r="AX4" s="134">
        <f t="shared" si="4"/>
      </c>
      <c r="AY4" s="134">
        <f t="shared" si="4"/>
      </c>
      <c r="AZ4" s="134">
        <f t="shared" si="4"/>
      </c>
      <c r="BA4" s="134">
        <f t="shared" si="4"/>
      </c>
      <c r="BB4" s="134">
        <f t="shared" si="4"/>
      </c>
      <c r="BC4" s="134">
        <f t="shared" si="4"/>
      </c>
      <c r="BD4" s="134">
        <f t="shared" si="4"/>
      </c>
      <c r="BE4" s="134">
        <f t="shared" si="4"/>
      </c>
      <c r="BF4" s="134">
        <f t="shared" si="4"/>
      </c>
      <c r="BG4" s="134">
        <f t="shared" si="4"/>
      </c>
      <c r="BH4" s="134">
        <f t="shared" si="4"/>
      </c>
      <c r="BI4" s="134">
        <f t="shared" si="4"/>
      </c>
      <c r="BJ4" s="134">
        <f t="shared" si="4"/>
      </c>
      <c r="BK4" s="134">
        <f t="shared" si="4"/>
      </c>
      <c r="BL4" s="134">
        <f t="shared" si="4"/>
      </c>
      <c r="BM4" s="134">
        <f t="shared" si="4"/>
      </c>
      <c r="BN4" s="134">
        <f t="shared" si="4"/>
      </c>
      <c r="BO4" s="134">
        <f t="shared" si="4"/>
      </c>
      <c r="BP4" s="134">
        <f t="shared" ref="BP4" si="5">BD4+1</f>
      </c>
      <c r="BQ4" s="134">
        <f t="shared" ref="BQ4" si="6">BE4+1</f>
      </c>
      <c r="BR4" s="134">
        <f t="shared" ref="BR4" si="7">BF4+1</f>
      </c>
      <c r="BS4" s="134">
        <f t="shared" ref="BS4" si="8">BG4+1</f>
      </c>
      <c r="BT4" s="134">
        <f t="shared" ref="BT4" si="9">BH4+1</f>
      </c>
      <c r="BU4" s="134">
        <f t="shared" ref="BU4" si="10">BI4+1</f>
      </c>
      <c r="BV4" s="134">
        <f t="shared" ref="BV4" si="11">BJ4+1</f>
      </c>
      <c r="BW4" s="134">
        <f t="shared" ref="BW4" si="12">BK4+1</f>
      </c>
      <c r="BX4" s="134">
        <f t="shared" ref="BX4" si="13">BL4+1</f>
      </c>
      <c r="BY4" s="135">
        <f t="shared" ref="BY4" si="14">BM4+1</f>
      </c>
    </row>
    <row r="5" spans="1:77" x14ac:dyDescent="0.35">
      <c r="A5" s="90"/>
      <c r="B5" s="89"/>
      <c r="D5" s="106" t="s">
        <v>76</v>
      </c>
      <c r="E5" s="97">
        <v>0</v>
      </c>
      <c r="F5" s="97">
        <f>'Rent Roll'!L17</f>
      </c>
      <c r="G5" s="97">
        <f>F5*(1+$B$9)^(1/12)</f>
      </c>
      <c r="H5" s="97">
        <f t="shared" ref="H5:BS5" si="15">G5*(1+$B$9)^(1/12)</f>
      </c>
      <c r="I5" s="97">
        <f t="shared" si="15"/>
      </c>
      <c r="J5" s="97">
        <f t="shared" si="15"/>
      </c>
      <c r="K5" s="97">
        <f t="shared" si="15"/>
      </c>
      <c r="L5" s="97">
        <f t="shared" si="15"/>
      </c>
      <c r="M5" s="97">
        <f t="shared" si="15"/>
      </c>
      <c r="N5" s="97">
        <f t="shared" si="15"/>
      </c>
      <c r="O5" s="97">
        <f t="shared" si="15"/>
      </c>
      <c r="P5" s="97">
        <f t="shared" si="15"/>
      </c>
      <c r="Q5" s="97">
        <f t="shared" si="15"/>
      </c>
      <c r="R5" s="97">
        <f t="shared" si="15"/>
      </c>
      <c r="S5" s="97">
        <f t="shared" si="15"/>
      </c>
      <c r="T5" s="97">
        <f t="shared" si="15"/>
      </c>
      <c r="U5" s="97">
        <f t="shared" si="15"/>
      </c>
      <c r="V5" s="97">
        <f t="shared" si="15"/>
      </c>
      <c r="W5" s="97">
        <f t="shared" si="15"/>
      </c>
      <c r="X5" s="97">
        <f t="shared" si="15"/>
      </c>
      <c r="Y5" s="97">
        <f t="shared" si="15"/>
      </c>
      <c r="Z5" s="97">
        <f t="shared" si="15"/>
      </c>
      <c r="AA5" s="97">
        <f t="shared" si="15"/>
      </c>
      <c r="AB5" s="97">
        <f t="shared" si="15"/>
      </c>
      <c r="AC5" s="97">
        <f t="shared" si="15"/>
      </c>
      <c r="AD5" s="97">
        <f t="shared" si="15"/>
      </c>
      <c r="AE5" s="97">
        <f t="shared" si="15"/>
      </c>
      <c r="AF5" s="97">
        <f t="shared" si="15"/>
      </c>
      <c r="AG5" s="97">
        <f t="shared" si="15"/>
      </c>
      <c r="AH5" s="97">
        <f t="shared" si="15"/>
      </c>
      <c r="AI5" s="97">
        <f t="shared" si="15"/>
      </c>
      <c r="AJ5" s="97">
        <f t="shared" si="15"/>
      </c>
      <c r="AK5" s="97">
        <f t="shared" si="15"/>
      </c>
      <c r="AL5" s="97">
        <f t="shared" si="15"/>
      </c>
      <c r="AM5" s="97">
        <f t="shared" si="15"/>
      </c>
      <c r="AN5" s="97">
        <f t="shared" si="15"/>
      </c>
      <c r="AO5" s="97">
        <f t="shared" si="15"/>
      </c>
      <c r="AP5" s="97">
        <f t="shared" si="15"/>
      </c>
      <c r="AQ5" s="97">
        <f t="shared" si="15"/>
      </c>
      <c r="AR5" s="97">
        <f t="shared" si="15"/>
      </c>
      <c r="AS5" s="97">
        <f t="shared" si="15"/>
      </c>
      <c r="AT5" s="97">
        <f t="shared" si="15"/>
      </c>
      <c r="AU5" s="97">
        <f t="shared" si="15"/>
      </c>
      <c r="AV5" s="97">
        <f t="shared" si="15"/>
      </c>
      <c r="AW5" s="97">
        <f t="shared" si="15"/>
      </c>
      <c r="AX5" s="97">
        <f t="shared" si="15"/>
      </c>
      <c r="AY5" s="97">
        <f t="shared" si="15"/>
      </c>
      <c r="AZ5" s="97">
        <f t="shared" si="15"/>
      </c>
      <c r="BA5" s="97">
        <f t="shared" si="15"/>
      </c>
      <c r="BB5" s="97">
        <f t="shared" si="15"/>
      </c>
      <c r="BC5" s="97">
        <f t="shared" si="15"/>
      </c>
      <c r="BD5" s="97">
        <f t="shared" si="15"/>
      </c>
      <c r="BE5" s="97">
        <f t="shared" si="15"/>
      </c>
      <c r="BF5" s="97">
        <f t="shared" si="15"/>
      </c>
      <c r="BG5" s="97">
        <f t="shared" si="15"/>
      </c>
      <c r="BH5" s="97">
        <f t="shared" si="15"/>
      </c>
      <c r="BI5" s="97">
        <f t="shared" si="15"/>
      </c>
      <c r="BJ5" s="97">
        <f t="shared" si="15"/>
      </c>
      <c r="BK5" s="97">
        <f t="shared" si="15"/>
      </c>
      <c r="BL5" s="97">
        <f t="shared" si="15"/>
      </c>
      <c r="BM5" s="97">
        <f t="shared" si="15"/>
      </c>
      <c r="BN5" s="97">
        <f t="shared" si="15"/>
      </c>
      <c r="BO5" s="97">
        <f t="shared" si="15"/>
      </c>
      <c r="BP5" s="97">
        <f t="shared" si="15"/>
      </c>
      <c r="BQ5" s="97">
        <f t="shared" si="15"/>
      </c>
      <c r="BR5" s="97">
        <f t="shared" si="15"/>
      </c>
      <c r="BS5" s="97">
        <f t="shared" si="15"/>
      </c>
      <c r="BT5" s="97">
        <f t="shared" ref="BT5:BY5" si="16">BS5*(1+$B$9)^(1/12)</f>
      </c>
      <c r="BU5" s="97">
        <f t="shared" si="16"/>
      </c>
      <c r="BV5" s="97">
        <f t="shared" si="16"/>
      </c>
      <c r="BW5" s="97">
        <f t="shared" si="16"/>
      </c>
      <c r="BX5" s="97">
        <f t="shared" si="16"/>
      </c>
      <c r="BY5" s="136">
        <f t="shared" si="16"/>
      </c>
    </row>
    <row r="6" spans="1:77" x14ac:dyDescent="0.35">
      <c r="A6" s="83" t="s">
        <v>79</v>
      </c>
      <c r="B6" s="84"/>
      <c r="D6" s="106" t="s">
        <v>75</v>
      </c>
      <c r="E6" s="97">
        <v>0</v>
      </c>
      <c r="F6" s="97">
        <f>-$B$8*F5</f>
      </c>
      <c r="G6" s="97">
        <f t="shared" ref="G6:BR6" si="17">-$B$8*G5</f>
      </c>
      <c r="H6" s="97">
        <f t="shared" si="17"/>
      </c>
      <c r="I6" s="97">
        <f t="shared" si="17"/>
      </c>
      <c r="J6" s="97">
        <f t="shared" si="17"/>
      </c>
      <c r="K6" s="97">
        <f t="shared" si="17"/>
      </c>
      <c r="L6" s="97">
        <f t="shared" si="17"/>
      </c>
      <c r="M6" s="97">
        <f t="shared" si="17"/>
      </c>
      <c r="N6" s="97">
        <f t="shared" si="17"/>
      </c>
      <c r="O6" s="97">
        <f t="shared" si="17"/>
      </c>
      <c r="P6" s="97">
        <f t="shared" si="17"/>
      </c>
      <c r="Q6" s="97">
        <f t="shared" si="17"/>
      </c>
      <c r="R6" s="97">
        <f t="shared" si="17"/>
      </c>
      <c r="S6" s="97">
        <f t="shared" si="17"/>
      </c>
      <c r="T6" s="97">
        <f t="shared" si="17"/>
      </c>
      <c r="U6" s="97">
        <f t="shared" si="17"/>
      </c>
      <c r="V6" s="97">
        <f t="shared" si="17"/>
      </c>
      <c r="W6" s="97">
        <f t="shared" si="17"/>
      </c>
      <c r="X6" s="97">
        <f t="shared" si="17"/>
      </c>
      <c r="Y6" s="97">
        <f t="shared" si="17"/>
      </c>
      <c r="Z6" s="97">
        <f t="shared" si="17"/>
      </c>
      <c r="AA6" s="97">
        <f t="shared" si="17"/>
      </c>
      <c r="AB6" s="97">
        <f t="shared" si="17"/>
      </c>
      <c r="AC6" s="97">
        <f t="shared" si="17"/>
      </c>
      <c r="AD6" s="97">
        <f t="shared" si="17"/>
      </c>
      <c r="AE6" s="97">
        <f t="shared" si="17"/>
      </c>
      <c r="AF6" s="97">
        <f t="shared" si="17"/>
      </c>
      <c r="AG6" s="97">
        <f t="shared" si="17"/>
      </c>
      <c r="AH6" s="97">
        <f t="shared" si="17"/>
      </c>
      <c r="AI6" s="97">
        <f t="shared" si="17"/>
      </c>
      <c r="AJ6" s="97">
        <f t="shared" si="17"/>
      </c>
      <c r="AK6" s="97">
        <f t="shared" si="17"/>
      </c>
      <c r="AL6" s="97">
        <f t="shared" si="17"/>
      </c>
      <c r="AM6" s="97">
        <f t="shared" si="17"/>
      </c>
      <c r="AN6" s="97">
        <f t="shared" si="17"/>
      </c>
      <c r="AO6" s="97">
        <f t="shared" si="17"/>
      </c>
      <c r="AP6" s="97">
        <f t="shared" si="17"/>
      </c>
      <c r="AQ6" s="97">
        <f t="shared" si="17"/>
      </c>
      <c r="AR6" s="97">
        <f t="shared" si="17"/>
      </c>
      <c r="AS6" s="97">
        <f t="shared" si="17"/>
      </c>
      <c r="AT6" s="97">
        <f t="shared" si="17"/>
      </c>
      <c r="AU6" s="97">
        <f t="shared" si="17"/>
      </c>
      <c r="AV6" s="97">
        <f t="shared" si="17"/>
      </c>
      <c r="AW6" s="97">
        <f t="shared" si="17"/>
      </c>
      <c r="AX6" s="97">
        <f t="shared" si="17"/>
      </c>
      <c r="AY6" s="97">
        <f t="shared" si="17"/>
      </c>
      <c r="AZ6" s="97">
        <f t="shared" si="17"/>
      </c>
      <c r="BA6" s="97">
        <f t="shared" si="17"/>
      </c>
      <c r="BB6" s="97">
        <f t="shared" si="17"/>
      </c>
      <c r="BC6" s="97">
        <f t="shared" si="17"/>
      </c>
      <c r="BD6" s="97">
        <f t="shared" si="17"/>
      </c>
      <c r="BE6" s="97">
        <f t="shared" si="17"/>
      </c>
      <c r="BF6" s="97">
        <f t="shared" si="17"/>
      </c>
      <c r="BG6" s="97">
        <f t="shared" si="17"/>
      </c>
      <c r="BH6" s="97">
        <f t="shared" si="17"/>
      </c>
      <c r="BI6" s="97">
        <f t="shared" si="17"/>
      </c>
      <c r="BJ6" s="97">
        <f t="shared" si="17"/>
      </c>
      <c r="BK6" s="97">
        <f t="shared" si="17"/>
      </c>
      <c r="BL6" s="97">
        <f t="shared" si="17"/>
      </c>
      <c r="BM6" s="97">
        <f t="shared" si="17"/>
      </c>
      <c r="BN6" s="97">
        <f t="shared" si="17"/>
      </c>
      <c r="BO6" s="97">
        <f t="shared" si="17"/>
      </c>
      <c r="BP6" s="97">
        <f t="shared" si="17"/>
      </c>
      <c r="BQ6" s="97">
        <f t="shared" si="17"/>
      </c>
      <c r="BR6" s="97">
        <f t="shared" si="17"/>
      </c>
      <c r="BS6" s="97">
        <f t="shared" ref="BS6:BY6" si="18">-$B$8*BS5</f>
      </c>
      <c r="BT6" s="97">
        <f t="shared" si="18"/>
      </c>
      <c r="BU6" s="97">
        <f t="shared" si="18"/>
      </c>
      <c r="BV6" s="97">
        <f t="shared" si="18"/>
      </c>
      <c r="BW6" s="97">
        <f t="shared" si="18"/>
      </c>
      <c r="BX6" s="97">
        <f t="shared" si="18"/>
      </c>
      <c r="BY6" s="136">
        <f t="shared" si="18"/>
      </c>
    </row>
    <row r="7" spans="1:77" x14ac:dyDescent="0.35">
      <c r="A7" s="86" t="s">
        <v>3</v>
      </c>
      <c r="B7" s="116">
        <f>'Deal Summary'!B4</f>
      </c>
      <c r="D7" s="107" t="s">
        <v>77</v>
      </c>
      <c r="E7" s="102">
        <v>0</v>
      </c>
      <c r="F7" s="102">
        <f>SUM(F5:F6)</f>
      </c>
      <c r="G7" s="102">
        <f t="shared" ref="G7:BR7" si="19">SUM(G5:G6)</f>
      </c>
      <c r="H7" s="102">
        <f t="shared" si="19"/>
      </c>
      <c r="I7" s="102">
        <f t="shared" si="19"/>
      </c>
      <c r="J7" s="102">
        <f t="shared" si="19"/>
      </c>
      <c r="K7" s="102">
        <f t="shared" si="19"/>
      </c>
      <c r="L7" s="102">
        <f t="shared" si="19"/>
      </c>
      <c r="M7" s="102">
        <f t="shared" si="19"/>
      </c>
      <c r="N7" s="102">
        <f t="shared" si="19"/>
      </c>
      <c r="O7" s="102">
        <f t="shared" si="19"/>
      </c>
      <c r="P7" s="102">
        <f t="shared" si="19"/>
      </c>
      <c r="Q7" s="102">
        <f t="shared" si="19"/>
      </c>
      <c r="R7" s="102">
        <f t="shared" si="19"/>
      </c>
      <c r="S7" s="102">
        <f t="shared" si="19"/>
      </c>
      <c r="T7" s="102">
        <f t="shared" si="19"/>
      </c>
      <c r="U7" s="102">
        <f t="shared" si="19"/>
      </c>
      <c r="V7" s="102">
        <f t="shared" si="19"/>
      </c>
      <c r="W7" s="102">
        <f t="shared" si="19"/>
      </c>
      <c r="X7" s="102">
        <f t="shared" si="19"/>
      </c>
      <c r="Y7" s="102">
        <f t="shared" si="19"/>
      </c>
      <c r="Z7" s="102">
        <f t="shared" si="19"/>
      </c>
      <c r="AA7" s="102">
        <f t="shared" si="19"/>
      </c>
      <c r="AB7" s="102">
        <f t="shared" si="19"/>
      </c>
      <c r="AC7" s="102">
        <f t="shared" si="19"/>
      </c>
      <c r="AD7" s="102">
        <f t="shared" si="19"/>
      </c>
      <c r="AE7" s="102">
        <f t="shared" si="19"/>
      </c>
      <c r="AF7" s="102">
        <f t="shared" si="19"/>
      </c>
      <c r="AG7" s="102">
        <f t="shared" si="19"/>
      </c>
      <c r="AH7" s="102">
        <f t="shared" si="19"/>
      </c>
      <c r="AI7" s="102">
        <f t="shared" si="19"/>
      </c>
      <c r="AJ7" s="102">
        <f t="shared" si="19"/>
      </c>
      <c r="AK7" s="102">
        <f t="shared" si="19"/>
      </c>
      <c r="AL7" s="102">
        <f t="shared" si="19"/>
      </c>
      <c r="AM7" s="102">
        <f t="shared" si="19"/>
      </c>
      <c r="AN7" s="102">
        <f t="shared" si="19"/>
      </c>
      <c r="AO7" s="102">
        <f t="shared" si="19"/>
      </c>
      <c r="AP7" s="102">
        <f t="shared" si="19"/>
      </c>
      <c r="AQ7" s="102">
        <f t="shared" si="19"/>
      </c>
      <c r="AR7" s="102">
        <f t="shared" si="19"/>
      </c>
      <c r="AS7" s="102">
        <f t="shared" si="19"/>
      </c>
      <c r="AT7" s="102">
        <f t="shared" si="19"/>
      </c>
      <c r="AU7" s="102">
        <f t="shared" si="19"/>
      </c>
      <c r="AV7" s="102">
        <f t="shared" si="19"/>
      </c>
      <c r="AW7" s="102">
        <f t="shared" si="19"/>
      </c>
      <c r="AX7" s="102">
        <f t="shared" si="19"/>
      </c>
      <c r="AY7" s="102">
        <f t="shared" si="19"/>
      </c>
      <c r="AZ7" s="102">
        <f t="shared" si="19"/>
      </c>
      <c r="BA7" s="102">
        <f t="shared" si="19"/>
      </c>
      <c r="BB7" s="102">
        <f t="shared" si="19"/>
      </c>
      <c r="BC7" s="102">
        <f t="shared" si="19"/>
      </c>
      <c r="BD7" s="102">
        <f t="shared" si="19"/>
      </c>
      <c r="BE7" s="102">
        <f t="shared" si="19"/>
      </c>
      <c r="BF7" s="102">
        <f t="shared" si="19"/>
      </c>
      <c r="BG7" s="102">
        <f t="shared" si="19"/>
      </c>
      <c r="BH7" s="102">
        <f t="shared" si="19"/>
      </c>
      <c r="BI7" s="102">
        <f t="shared" si="19"/>
      </c>
      <c r="BJ7" s="102">
        <f t="shared" si="19"/>
      </c>
      <c r="BK7" s="102">
        <f t="shared" si="19"/>
      </c>
      <c r="BL7" s="102">
        <f t="shared" si="19"/>
      </c>
      <c r="BM7" s="102">
        <f t="shared" si="19"/>
      </c>
      <c r="BN7" s="102">
        <f t="shared" si="19"/>
      </c>
      <c r="BO7" s="102">
        <f t="shared" si="19"/>
      </c>
      <c r="BP7" s="102">
        <f t="shared" si="19"/>
      </c>
      <c r="BQ7" s="102">
        <f t="shared" si="19"/>
      </c>
      <c r="BR7" s="102">
        <f t="shared" si="19"/>
      </c>
      <c r="BS7" s="102">
        <f t="shared" ref="BS7:BY7" si="20">SUM(BS5:BS6)</f>
      </c>
      <c r="BT7" s="102">
        <f t="shared" si="20"/>
      </c>
      <c r="BU7" s="102">
        <f t="shared" si="20"/>
      </c>
      <c r="BV7" s="102">
        <f t="shared" si="20"/>
      </c>
      <c r="BW7" s="102">
        <f t="shared" si="20"/>
      </c>
      <c r="BX7" s="102">
        <f t="shared" si="20"/>
      </c>
      <c r="BY7" s="103">
        <f t="shared" si="20"/>
      </c>
    </row>
    <row r="8" spans="1:77" x14ac:dyDescent="0.35">
      <c r="A8" s="85" t="s">
        <v>75</v>
      </c>
      <c r="B8" s="19">
        <v>0.04</v>
      </c>
      <c r="D8" s="106" t="s">
        <v>78</v>
      </c>
      <c r="E8" s="97">
        <v>0</v>
      </c>
      <c r="F8" s="97">
        <f>-Expenses!$M$11/12</f>
      </c>
      <c r="G8" s="97">
        <f>F8*(1+$B$10)^(1/12)</f>
      </c>
      <c r="H8" s="97">
        <f t="shared" ref="H8:BS8" si="21">G8*(1+$B$10)^(1/12)</f>
      </c>
      <c r="I8" s="97">
        <f t="shared" si="21"/>
      </c>
      <c r="J8" s="97">
        <f t="shared" si="21"/>
      </c>
      <c r="K8" s="97">
        <f t="shared" si="21"/>
      </c>
      <c r="L8" s="97">
        <f t="shared" si="21"/>
      </c>
      <c r="M8" s="97">
        <f t="shared" si="21"/>
      </c>
      <c r="N8" s="97">
        <f t="shared" si="21"/>
      </c>
      <c r="O8" s="97">
        <f t="shared" si="21"/>
      </c>
      <c r="P8" s="97">
        <f t="shared" si="21"/>
      </c>
      <c r="Q8" s="97">
        <f t="shared" si="21"/>
      </c>
      <c r="R8" s="97">
        <f t="shared" si="21"/>
      </c>
      <c r="S8" s="97">
        <f t="shared" si="21"/>
      </c>
      <c r="T8" s="97">
        <f t="shared" si="21"/>
      </c>
      <c r="U8" s="97">
        <f t="shared" si="21"/>
      </c>
      <c r="V8" s="97">
        <f t="shared" si="21"/>
      </c>
      <c r="W8" s="97">
        <f t="shared" si="21"/>
      </c>
      <c r="X8" s="97">
        <f t="shared" si="21"/>
      </c>
      <c r="Y8" s="97">
        <f t="shared" si="21"/>
      </c>
      <c r="Z8" s="97">
        <f t="shared" si="21"/>
      </c>
      <c r="AA8" s="97">
        <f t="shared" si="21"/>
      </c>
      <c r="AB8" s="97">
        <f t="shared" si="21"/>
      </c>
      <c r="AC8" s="97">
        <f t="shared" si="21"/>
      </c>
      <c r="AD8" s="97">
        <f t="shared" si="21"/>
      </c>
      <c r="AE8" s="97">
        <f t="shared" si="21"/>
      </c>
      <c r="AF8" s="97">
        <f t="shared" si="21"/>
      </c>
      <c r="AG8" s="97">
        <f t="shared" si="21"/>
      </c>
      <c r="AH8" s="97">
        <f t="shared" si="21"/>
      </c>
      <c r="AI8" s="97">
        <f t="shared" si="21"/>
      </c>
      <c r="AJ8" s="97">
        <f t="shared" si="21"/>
      </c>
      <c r="AK8" s="97">
        <f t="shared" si="21"/>
      </c>
      <c r="AL8" s="97">
        <f t="shared" si="21"/>
      </c>
      <c r="AM8" s="97">
        <f t="shared" si="21"/>
      </c>
      <c r="AN8" s="97">
        <f t="shared" si="21"/>
      </c>
      <c r="AO8" s="97">
        <f t="shared" si="21"/>
      </c>
      <c r="AP8" s="97">
        <f t="shared" si="21"/>
      </c>
      <c r="AQ8" s="97">
        <f t="shared" si="21"/>
      </c>
      <c r="AR8" s="97">
        <f t="shared" si="21"/>
      </c>
      <c r="AS8" s="97">
        <f t="shared" si="21"/>
      </c>
      <c r="AT8" s="97">
        <f t="shared" si="21"/>
      </c>
      <c r="AU8" s="97">
        <f t="shared" si="21"/>
      </c>
      <c r="AV8" s="97">
        <f t="shared" si="21"/>
      </c>
      <c r="AW8" s="97">
        <f t="shared" si="21"/>
      </c>
      <c r="AX8" s="97">
        <f t="shared" si="21"/>
      </c>
      <c r="AY8" s="97">
        <f t="shared" si="21"/>
      </c>
      <c r="AZ8" s="97">
        <f t="shared" si="21"/>
      </c>
      <c r="BA8" s="97">
        <f t="shared" si="21"/>
      </c>
      <c r="BB8" s="97">
        <f t="shared" si="21"/>
      </c>
      <c r="BC8" s="97">
        <f t="shared" si="21"/>
      </c>
      <c r="BD8" s="97">
        <f t="shared" si="21"/>
      </c>
      <c r="BE8" s="97">
        <f t="shared" si="21"/>
      </c>
      <c r="BF8" s="97">
        <f t="shared" si="21"/>
      </c>
      <c r="BG8" s="97">
        <f t="shared" si="21"/>
      </c>
      <c r="BH8" s="97">
        <f t="shared" si="21"/>
      </c>
      <c r="BI8" s="97">
        <f t="shared" si="21"/>
      </c>
      <c r="BJ8" s="97">
        <f t="shared" si="21"/>
      </c>
      <c r="BK8" s="97">
        <f t="shared" si="21"/>
      </c>
      <c r="BL8" s="97">
        <f t="shared" si="21"/>
      </c>
      <c r="BM8" s="97">
        <f t="shared" si="21"/>
      </c>
      <c r="BN8" s="97">
        <f t="shared" si="21"/>
      </c>
      <c r="BO8" s="97">
        <f t="shared" si="21"/>
      </c>
      <c r="BP8" s="97">
        <f t="shared" si="21"/>
      </c>
      <c r="BQ8" s="97">
        <f t="shared" si="21"/>
      </c>
      <c r="BR8" s="97">
        <f t="shared" si="21"/>
      </c>
      <c r="BS8" s="97">
        <f t="shared" si="21"/>
      </c>
      <c r="BT8" s="97">
        <f t="shared" ref="BT8:BY8" si="22">BS8*(1+$B$10)^(1/12)</f>
      </c>
      <c r="BU8" s="97">
        <f t="shared" si="22"/>
      </c>
      <c r="BV8" s="97">
        <f t="shared" si="22"/>
      </c>
      <c r="BW8" s="97">
        <f t="shared" si="22"/>
      </c>
      <c r="BX8" s="97">
        <f t="shared" si="22"/>
      </c>
      <c r="BY8" s="136">
        <f t="shared" si="22"/>
      </c>
    </row>
    <row r="9" spans="1:77" x14ac:dyDescent="0.35">
      <c r="A9" s="85" t="s">
        <v>80</v>
      </c>
      <c r="B9" s="19">
        <v>2.5000000000000001E-2</v>
      </c>
      <c r="D9" s="107" t="s">
        <v>82</v>
      </c>
      <c r="E9" s="102">
        <v>0</v>
      </c>
      <c r="F9" s="102">
        <f>SUM(F7:F8)</f>
      </c>
      <c r="G9" s="102">
        <f t="shared" ref="G9:BR9" si="23">SUM(G7:G8)</f>
      </c>
      <c r="H9" s="102">
        <f t="shared" si="23"/>
      </c>
      <c r="I9" s="102">
        <f t="shared" si="23"/>
      </c>
      <c r="J9" s="102">
        <f t="shared" si="23"/>
      </c>
      <c r="K9" s="102">
        <f t="shared" si="23"/>
      </c>
      <c r="L9" s="102">
        <f t="shared" si="23"/>
      </c>
      <c r="M9" s="102">
        <f t="shared" si="23"/>
      </c>
      <c r="N9" s="102">
        <f t="shared" si="23"/>
      </c>
      <c r="O9" s="102">
        <f t="shared" si="23"/>
      </c>
      <c r="P9" s="102">
        <f t="shared" si="23"/>
      </c>
      <c r="Q9" s="102">
        <f t="shared" si="23"/>
      </c>
      <c r="R9" s="102">
        <f t="shared" si="23"/>
      </c>
      <c r="S9" s="102">
        <f t="shared" si="23"/>
      </c>
      <c r="T9" s="102">
        <f t="shared" si="23"/>
      </c>
      <c r="U9" s="102">
        <f t="shared" si="23"/>
      </c>
      <c r="V9" s="102">
        <f t="shared" si="23"/>
      </c>
      <c r="W9" s="102">
        <f t="shared" si="23"/>
      </c>
      <c r="X9" s="102">
        <f t="shared" si="23"/>
      </c>
      <c r="Y9" s="102">
        <f t="shared" si="23"/>
      </c>
      <c r="Z9" s="102">
        <f t="shared" si="23"/>
      </c>
      <c r="AA9" s="102">
        <f t="shared" si="23"/>
      </c>
      <c r="AB9" s="102">
        <f t="shared" si="23"/>
      </c>
      <c r="AC9" s="102">
        <f t="shared" si="23"/>
      </c>
      <c r="AD9" s="102">
        <f t="shared" si="23"/>
      </c>
      <c r="AE9" s="102">
        <f t="shared" si="23"/>
      </c>
      <c r="AF9" s="102">
        <f t="shared" si="23"/>
      </c>
      <c r="AG9" s="102">
        <f t="shared" si="23"/>
      </c>
      <c r="AH9" s="102">
        <f t="shared" si="23"/>
      </c>
      <c r="AI9" s="102">
        <f t="shared" si="23"/>
      </c>
      <c r="AJ9" s="102">
        <f t="shared" si="23"/>
      </c>
      <c r="AK9" s="102">
        <f t="shared" si="23"/>
      </c>
      <c r="AL9" s="102">
        <f t="shared" si="23"/>
      </c>
      <c r="AM9" s="102">
        <f t="shared" si="23"/>
      </c>
      <c r="AN9" s="102">
        <f t="shared" si="23"/>
      </c>
      <c r="AO9" s="102">
        <f t="shared" si="23"/>
      </c>
      <c r="AP9" s="102">
        <f t="shared" si="23"/>
      </c>
      <c r="AQ9" s="102">
        <f t="shared" si="23"/>
      </c>
      <c r="AR9" s="102">
        <f t="shared" si="23"/>
      </c>
      <c r="AS9" s="102">
        <f t="shared" si="23"/>
      </c>
      <c r="AT9" s="102">
        <f t="shared" si="23"/>
      </c>
      <c r="AU9" s="102">
        <f t="shared" si="23"/>
      </c>
      <c r="AV9" s="102">
        <f t="shared" si="23"/>
      </c>
      <c r="AW9" s="102">
        <f t="shared" si="23"/>
      </c>
      <c r="AX9" s="102">
        <f t="shared" si="23"/>
      </c>
      <c r="AY9" s="102">
        <f t="shared" si="23"/>
      </c>
      <c r="AZ9" s="102">
        <f t="shared" si="23"/>
      </c>
      <c r="BA9" s="102">
        <f t="shared" si="23"/>
      </c>
      <c r="BB9" s="102">
        <f t="shared" si="23"/>
      </c>
      <c r="BC9" s="102">
        <f t="shared" si="23"/>
      </c>
      <c r="BD9" s="102">
        <f t="shared" si="23"/>
      </c>
      <c r="BE9" s="102">
        <f t="shared" si="23"/>
      </c>
      <c r="BF9" s="102">
        <f t="shared" si="23"/>
      </c>
      <c r="BG9" s="102">
        <f t="shared" si="23"/>
      </c>
      <c r="BH9" s="102">
        <f t="shared" si="23"/>
      </c>
      <c r="BI9" s="102">
        <f t="shared" si="23"/>
      </c>
      <c r="BJ9" s="102">
        <f t="shared" si="23"/>
      </c>
      <c r="BK9" s="102">
        <f t="shared" si="23"/>
      </c>
      <c r="BL9" s="102">
        <f t="shared" si="23"/>
      </c>
      <c r="BM9" s="102">
        <f t="shared" si="23"/>
      </c>
      <c r="BN9" s="102">
        <f t="shared" si="23"/>
      </c>
      <c r="BO9" s="102">
        <f t="shared" si="23"/>
      </c>
      <c r="BP9" s="102">
        <f t="shared" si="23"/>
      </c>
      <c r="BQ9" s="102">
        <f t="shared" si="23"/>
      </c>
      <c r="BR9" s="102">
        <f t="shared" si="23"/>
      </c>
      <c r="BS9" s="102">
        <f t="shared" ref="BS9:BY9" si="24">SUM(BS7:BS8)</f>
      </c>
      <c r="BT9" s="102">
        <f t="shared" si="24"/>
      </c>
      <c r="BU9" s="102">
        <f t="shared" si="24"/>
      </c>
      <c r="BV9" s="102">
        <f t="shared" si="24"/>
      </c>
      <c r="BW9" s="102">
        <f t="shared" si="24"/>
      </c>
      <c r="BX9" s="102">
        <f t="shared" si="24"/>
      </c>
      <c r="BY9" s="103">
        <f t="shared" si="24"/>
      </c>
    </row>
    <row r="10" spans="1:77" x14ac:dyDescent="0.35">
      <c r="A10" s="85" t="s">
        <v>81</v>
      </c>
      <c r="B10" s="19">
        <v>1.4999999999999999E-2</v>
      </c>
      <c r="D10" s="106" t="s">
        <v>83</v>
      </c>
      <c r="E10" s="97">
        <v>0</v>
      </c>
      <c r="F10" s="97">
        <v>0</v>
      </c>
      <c r="G10" s="97">
        <v>0</v>
      </c>
      <c r="H10" s="97">
        <v>0</v>
      </c>
      <c r="I10" s="97">
        <v>0</v>
      </c>
      <c r="J10" s="97">
        <v>0</v>
      </c>
      <c r="K10" s="97">
        <v>0</v>
      </c>
      <c r="L10" s="97">
        <v>0</v>
      </c>
      <c r="M10" s="97">
        <v>0</v>
      </c>
      <c r="N10" s="97">
        <v>0</v>
      </c>
      <c r="O10" s="97">
        <v>0</v>
      </c>
      <c r="P10" s="97">
        <v>0</v>
      </c>
      <c r="Q10" s="97">
        <v>0</v>
      </c>
      <c r="R10" s="97">
        <v>0</v>
      </c>
      <c r="S10" s="97">
        <v>0</v>
      </c>
      <c r="T10" s="97">
        <v>0</v>
      </c>
      <c r="U10" s="97">
        <v>0</v>
      </c>
      <c r="V10" s="97">
        <v>0</v>
      </c>
      <c r="W10" s="97">
        <v>0</v>
      </c>
      <c r="X10" s="97">
        <v>0</v>
      </c>
      <c r="Y10" s="97">
        <v>0</v>
      </c>
      <c r="Z10" s="97">
        <v>0</v>
      </c>
      <c r="AA10" s="97">
        <v>0</v>
      </c>
      <c r="AB10" s="97">
        <v>0</v>
      </c>
      <c r="AC10" s="97">
        <v>0</v>
      </c>
      <c r="AD10" s="97">
        <v>0</v>
      </c>
      <c r="AE10" s="97">
        <v>0</v>
      </c>
      <c r="AF10" s="97">
        <v>0</v>
      </c>
      <c r="AG10" s="97">
        <v>0</v>
      </c>
      <c r="AH10" s="97">
        <v>0</v>
      </c>
      <c r="AI10" s="97">
        <v>0</v>
      </c>
      <c r="AJ10" s="97">
        <v>0</v>
      </c>
      <c r="AK10" s="97">
        <v>0</v>
      </c>
      <c r="AL10" s="97">
        <v>0</v>
      </c>
      <c r="AM10" s="97">
        <v>0</v>
      </c>
      <c r="AN10" s="97">
        <v>0</v>
      </c>
      <c r="AO10" s="97">
        <v>0</v>
      </c>
      <c r="AP10" s="97">
        <v>0</v>
      </c>
      <c r="AQ10" s="97">
        <v>0</v>
      </c>
      <c r="AR10" s="97">
        <v>0</v>
      </c>
      <c r="AS10" s="97">
        <v>0</v>
      </c>
      <c r="AT10" s="97">
        <v>0</v>
      </c>
      <c r="AU10" s="97">
        <v>0</v>
      </c>
      <c r="AV10" s="97">
        <v>0</v>
      </c>
      <c r="AW10" s="97">
        <v>0</v>
      </c>
      <c r="AX10" s="97">
        <v>0</v>
      </c>
      <c r="AY10" s="97">
        <v>0</v>
      </c>
      <c r="AZ10" s="97">
        <v>0</v>
      </c>
      <c r="BA10" s="97">
        <v>0</v>
      </c>
      <c r="BB10" s="97">
        <v>0</v>
      </c>
      <c r="BC10" s="97">
        <v>0</v>
      </c>
      <c r="BD10" s="97">
        <v>0</v>
      </c>
      <c r="BE10" s="97">
        <v>0</v>
      </c>
      <c r="BF10" s="97">
        <v>0</v>
      </c>
      <c r="BG10" s="97">
        <v>0</v>
      </c>
      <c r="BH10" s="97">
        <v>0</v>
      </c>
      <c r="BI10" s="97">
        <v>0</v>
      </c>
      <c r="BJ10" s="97">
        <v>0</v>
      </c>
      <c r="BK10" s="97">
        <v>0</v>
      </c>
      <c r="BL10" s="97">
        <v>0</v>
      </c>
      <c r="BM10" s="97">
        <v>0</v>
      </c>
      <c r="BN10" s="97">
        <v>0</v>
      </c>
      <c r="BO10" s="97">
        <v>0</v>
      </c>
      <c r="BP10" s="97">
        <v>0</v>
      </c>
      <c r="BQ10" s="97">
        <v>0</v>
      </c>
      <c r="BR10" s="97">
        <v>0</v>
      </c>
      <c r="BS10" s="97">
        <v>0</v>
      </c>
      <c r="BT10" s="97">
        <v>0</v>
      </c>
      <c r="BU10" s="97">
        <v>0</v>
      </c>
      <c r="BV10" s="97">
        <v>0</v>
      </c>
      <c r="BW10" s="97">
        <v>0</v>
      </c>
      <c r="BX10" s="97">
        <v>0</v>
      </c>
      <c r="BY10" s="136">
        <v>0</v>
      </c>
    </row>
    <row r="11" spans="1:77" x14ac:dyDescent="0.35">
      <c r="A11" s="85" t="s">
        <v>83</v>
      </c>
      <c r="B11" s="14">
        <v>50000</v>
      </c>
      <c r="D11" s="106" t="s">
        <v>84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X11" s="97">
        <v>0</v>
      </c>
      <c r="Y11" s="97">
        <v>0</v>
      </c>
      <c r="Z11" s="97">
        <v>0</v>
      </c>
      <c r="AA11" s="97">
        <v>0</v>
      </c>
      <c r="AB11" s="97">
        <v>0</v>
      </c>
      <c r="AC11" s="97">
        <v>0</v>
      </c>
      <c r="AD11" s="97">
        <v>0</v>
      </c>
      <c r="AE11" s="97">
        <v>0</v>
      </c>
      <c r="AF11" s="97">
        <v>0</v>
      </c>
      <c r="AG11" s="97">
        <v>0</v>
      </c>
      <c r="AH11" s="97">
        <v>0</v>
      </c>
      <c r="AI11" s="97">
        <v>0</v>
      </c>
      <c r="AJ11" s="97">
        <v>0</v>
      </c>
      <c r="AK11" s="97">
        <v>0</v>
      </c>
      <c r="AL11" s="97">
        <v>0</v>
      </c>
      <c r="AM11" s="97">
        <v>0</v>
      </c>
      <c r="AN11" s="97">
        <v>0</v>
      </c>
      <c r="AO11" s="97">
        <v>0</v>
      </c>
      <c r="AP11" s="97">
        <v>0</v>
      </c>
      <c r="AQ11" s="97">
        <v>0</v>
      </c>
      <c r="AR11" s="97">
        <v>0</v>
      </c>
      <c r="AS11" s="97">
        <v>0</v>
      </c>
      <c r="AT11" s="97">
        <v>0</v>
      </c>
      <c r="AU11" s="97">
        <v>0</v>
      </c>
      <c r="AV11" s="97">
        <v>0</v>
      </c>
      <c r="AW11" s="97">
        <v>0</v>
      </c>
      <c r="AX11" s="97">
        <v>0</v>
      </c>
      <c r="AY11" s="97">
        <v>0</v>
      </c>
      <c r="AZ11" s="97">
        <v>0</v>
      </c>
      <c r="BA11" s="97">
        <v>0</v>
      </c>
      <c r="BB11" s="97">
        <v>0</v>
      </c>
      <c r="BC11" s="97">
        <v>0</v>
      </c>
      <c r="BD11" s="97">
        <v>0</v>
      </c>
      <c r="BE11" s="97">
        <v>0</v>
      </c>
      <c r="BF11" s="97">
        <v>0</v>
      </c>
      <c r="BG11" s="97">
        <v>0</v>
      </c>
      <c r="BH11" s="97">
        <v>0</v>
      </c>
      <c r="BI11" s="97">
        <v>0</v>
      </c>
      <c r="BJ11" s="97">
        <v>0</v>
      </c>
      <c r="BK11" s="97">
        <v>0</v>
      </c>
      <c r="BL11" s="97">
        <v>0</v>
      </c>
      <c r="BM11" s="97">
        <v>0</v>
      </c>
      <c r="BN11" s="97">
        <v>0</v>
      </c>
      <c r="BO11" s="97">
        <v>0</v>
      </c>
      <c r="BP11" s="97">
        <v>0</v>
      </c>
      <c r="BQ11" s="97">
        <v>0</v>
      </c>
      <c r="BR11" s="97">
        <v>0</v>
      </c>
      <c r="BS11" s="97">
        <v>0</v>
      </c>
      <c r="BT11" s="97">
        <v>0</v>
      </c>
      <c r="BU11" s="97">
        <v>0</v>
      </c>
      <c r="BV11" s="97">
        <v>0</v>
      </c>
      <c r="BW11" s="97">
        <v>0</v>
      </c>
      <c r="BX11" s="97">
        <v>0</v>
      </c>
      <c r="BY11" s="136">
        <v>0</v>
      </c>
    </row>
    <row r="12" spans="1:77" x14ac:dyDescent="0.35">
      <c r="A12" s="86" t="s">
        <v>85</v>
      </c>
      <c r="B12" s="93">
        <v>0</v>
      </c>
      <c r="D12" s="107" t="s">
        <v>88</v>
      </c>
      <c r="E12" s="102">
        <v>0</v>
      </c>
      <c r="F12" s="102">
        <f>SUM(F9:F11)</f>
      </c>
      <c r="G12" s="102">
        <f t="shared" ref="G12:BR12" si="25">SUM(G9:G11)</f>
      </c>
      <c r="H12" s="102">
        <f t="shared" si="25"/>
      </c>
      <c r="I12" s="102">
        <f t="shared" si="25"/>
      </c>
      <c r="J12" s="102">
        <f t="shared" si="25"/>
      </c>
      <c r="K12" s="102">
        <f t="shared" si="25"/>
      </c>
      <c r="L12" s="102">
        <f t="shared" si="25"/>
      </c>
      <c r="M12" s="102">
        <f t="shared" si="25"/>
      </c>
      <c r="N12" s="102">
        <f t="shared" si="25"/>
      </c>
      <c r="O12" s="102">
        <f t="shared" si="25"/>
      </c>
      <c r="P12" s="102">
        <f t="shared" si="25"/>
      </c>
      <c r="Q12" s="102">
        <f t="shared" si="25"/>
      </c>
      <c r="R12" s="102">
        <f t="shared" si="25"/>
      </c>
      <c r="S12" s="102">
        <f t="shared" si="25"/>
      </c>
      <c r="T12" s="102">
        <f t="shared" si="25"/>
      </c>
      <c r="U12" s="102">
        <f t="shared" si="25"/>
      </c>
      <c r="V12" s="102">
        <f t="shared" si="25"/>
      </c>
      <c r="W12" s="102">
        <f t="shared" si="25"/>
      </c>
      <c r="X12" s="102">
        <f t="shared" si="25"/>
      </c>
      <c r="Y12" s="102">
        <f t="shared" si="25"/>
      </c>
      <c r="Z12" s="102">
        <f t="shared" si="25"/>
      </c>
      <c r="AA12" s="102">
        <f t="shared" si="25"/>
      </c>
      <c r="AB12" s="102">
        <f t="shared" si="25"/>
      </c>
      <c r="AC12" s="102">
        <f t="shared" si="25"/>
      </c>
      <c r="AD12" s="102">
        <f t="shared" si="25"/>
      </c>
      <c r="AE12" s="102">
        <f t="shared" si="25"/>
      </c>
      <c r="AF12" s="102">
        <f t="shared" si="25"/>
      </c>
      <c r="AG12" s="102">
        <f t="shared" si="25"/>
      </c>
      <c r="AH12" s="102">
        <f t="shared" si="25"/>
      </c>
      <c r="AI12" s="102">
        <f t="shared" si="25"/>
      </c>
      <c r="AJ12" s="102">
        <f t="shared" si="25"/>
      </c>
      <c r="AK12" s="102">
        <f t="shared" si="25"/>
      </c>
      <c r="AL12" s="102">
        <f t="shared" si="25"/>
      </c>
      <c r="AM12" s="102">
        <f t="shared" si="25"/>
      </c>
      <c r="AN12" s="102">
        <f t="shared" si="25"/>
      </c>
      <c r="AO12" s="102">
        <f t="shared" si="25"/>
      </c>
      <c r="AP12" s="102">
        <f t="shared" si="25"/>
      </c>
      <c r="AQ12" s="102">
        <f t="shared" si="25"/>
      </c>
      <c r="AR12" s="102">
        <f t="shared" si="25"/>
      </c>
      <c r="AS12" s="102">
        <f t="shared" si="25"/>
      </c>
      <c r="AT12" s="102">
        <f t="shared" si="25"/>
      </c>
      <c r="AU12" s="102">
        <f t="shared" si="25"/>
      </c>
      <c r="AV12" s="102">
        <f t="shared" si="25"/>
      </c>
      <c r="AW12" s="102">
        <f t="shared" si="25"/>
      </c>
      <c r="AX12" s="102">
        <f t="shared" si="25"/>
      </c>
      <c r="AY12" s="102">
        <f t="shared" si="25"/>
      </c>
      <c r="AZ12" s="102">
        <f t="shared" si="25"/>
      </c>
      <c r="BA12" s="102">
        <f t="shared" si="25"/>
      </c>
      <c r="BB12" s="102">
        <f t="shared" si="25"/>
      </c>
      <c r="BC12" s="102">
        <f t="shared" si="25"/>
      </c>
      <c r="BD12" s="102">
        <f t="shared" si="25"/>
      </c>
      <c r="BE12" s="102">
        <f t="shared" si="25"/>
      </c>
      <c r="BF12" s="102">
        <f t="shared" si="25"/>
      </c>
      <c r="BG12" s="102">
        <f t="shared" si="25"/>
      </c>
      <c r="BH12" s="102">
        <f t="shared" si="25"/>
      </c>
      <c r="BI12" s="102">
        <f t="shared" si="25"/>
      </c>
      <c r="BJ12" s="102">
        <f t="shared" si="25"/>
      </c>
      <c r="BK12" s="102">
        <f t="shared" si="25"/>
      </c>
      <c r="BL12" s="102">
        <f t="shared" si="25"/>
      </c>
      <c r="BM12" s="102">
        <f t="shared" si="25"/>
      </c>
      <c r="BN12" s="102">
        <f t="shared" si="25"/>
      </c>
      <c r="BO12" s="102">
        <f t="shared" si="25"/>
      </c>
      <c r="BP12" s="102">
        <f t="shared" si="25"/>
      </c>
      <c r="BQ12" s="102">
        <f t="shared" si="25"/>
      </c>
      <c r="BR12" s="102">
        <f t="shared" si="25"/>
      </c>
      <c r="BS12" s="102">
        <f t="shared" ref="BS12:BY12" si="26">SUM(BS9:BS11)</f>
      </c>
      <c r="BT12" s="102">
        <f t="shared" si="26"/>
      </c>
      <c r="BU12" s="102">
        <f t="shared" si="26"/>
      </c>
      <c r="BV12" s="102">
        <f t="shared" si="26"/>
      </c>
      <c r="BW12" s="102">
        <f t="shared" si="26"/>
      </c>
      <c r="BX12" s="102">
        <f t="shared" si="26"/>
      </c>
      <c r="BY12" s="103">
        <f t="shared" si="26"/>
      </c>
    </row>
    <row r="13" spans="1:77" x14ac:dyDescent="0.35">
      <c r="A13" s="86" t="s">
        <v>86</v>
      </c>
      <c r="B13" s="93">
        <v>0</v>
      </c>
      <c r="D13" s="106" t="s">
        <v>89</v>
      </c>
      <c r="E13" s="97">
        <v>0</v>
      </c>
      <c r="F13" s="97">
        <f>PPMT($B$19/12,F3,$B$20*12,$B$17*$B$2,0,)</f>
      </c>
      <c r="G13" s="97">
        <f t="shared" ref="G13:BR13" si="27">PPMT($B$19/12,G3,$B$20*12,$B$17*$B$2,0,)</f>
      </c>
      <c r="H13" s="97">
        <f t="shared" si="27"/>
      </c>
      <c r="I13" s="97">
        <f t="shared" si="27"/>
      </c>
      <c r="J13" s="97">
        <f t="shared" si="27"/>
      </c>
      <c r="K13" s="97">
        <f t="shared" si="27"/>
      </c>
      <c r="L13" s="97">
        <f t="shared" si="27"/>
      </c>
      <c r="M13" s="97">
        <f t="shared" si="27"/>
      </c>
      <c r="N13" s="97">
        <f t="shared" si="27"/>
      </c>
      <c r="O13" s="97">
        <f t="shared" si="27"/>
      </c>
      <c r="P13" s="97">
        <f t="shared" si="27"/>
      </c>
      <c r="Q13" s="97">
        <f t="shared" si="27"/>
      </c>
      <c r="R13" s="97">
        <f t="shared" si="27"/>
      </c>
      <c r="S13" s="97">
        <f t="shared" si="27"/>
      </c>
      <c r="T13" s="97">
        <f t="shared" si="27"/>
      </c>
      <c r="U13" s="97">
        <f t="shared" si="27"/>
      </c>
      <c r="V13" s="97">
        <f t="shared" si="27"/>
      </c>
      <c r="W13" s="97">
        <f t="shared" si="27"/>
      </c>
      <c r="X13" s="97">
        <f t="shared" si="27"/>
      </c>
      <c r="Y13" s="97">
        <f t="shared" si="27"/>
      </c>
      <c r="Z13" s="97">
        <f t="shared" si="27"/>
      </c>
      <c r="AA13" s="97">
        <f t="shared" si="27"/>
      </c>
      <c r="AB13" s="97">
        <f t="shared" si="27"/>
      </c>
      <c r="AC13" s="97">
        <f t="shared" si="27"/>
      </c>
      <c r="AD13" s="97">
        <f t="shared" si="27"/>
      </c>
      <c r="AE13" s="97">
        <f t="shared" si="27"/>
      </c>
      <c r="AF13" s="97">
        <f t="shared" si="27"/>
      </c>
      <c r="AG13" s="97">
        <f t="shared" si="27"/>
      </c>
      <c r="AH13" s="97">
        <f t="shared" si="27"/>
      </c>
      <c r="AI13" s="97">
        <f t="shared" si="27"/>
      </c>
      <c r="AJ13" s="97">
        <f t="shared" si="27"/>
      </c>
      <c r="AK13" s="97">
        <f t="shared" si="27"/>
      </c>
      <c r="AL13" s="97">
        <f t="shared" si="27"/>
      </c>
      <c r="AM13" s="97">
        <f t="shared" si="27"/>
      </c>
      <c r="AN13" s="97">
        <f t="shared" si="27"/>
      </c>
      <c r="AO13" s="97">
        <f t="shared" si="27"/>
      </c>
      <c r="AP13" s="97">
        <f t="shared" si="27"/>
      </c>
      <c r="AQ13" s="97">
        <f t="shared" si="27"/>
      </c>
      <c r="AR13" s="97">
        <f t="shared" si="27"/>
      </c>
      <c r="AS13" s="97">
        <f t="shared" si="27"/>
      </c>
      <c r="AT13" s="97">
        <f t="shared" si="27"/>
      </c>
      <c r="AU13" s="97">
        <f t="shared" si="27"/>
      </c>
      <c r="AV13" s="97">
        <f t="shared" si="27"/>
      </c>
      <c r="AW13" s="97">
        <f t="shared" si="27"/>
      </c>
      <c r="AX13" s="97">
        <f t="shared" si="27"/>
      </c>
      <c r="AY13" s="97">
        <f t="shared" si="27"/>
      </c>
      <c r="AZ13" s="97">
        <f t="shared" si="27"/>
      </c>
      <c r="BA13" s="97">
        <f t="shared" si="27"/>
      </c>
      <c r="BB13" s="97">
        <f t="shared" si="27"/>
      </c>
      <c r="BC13" s="97">
        <f t="shared" si="27"/>
      </c>
      <c r="BD13" s="97">
        <f t="shared" si="27"/>
      </c>
      <c r="BE13" s="97">
        <f t="shared" si="27"/>
      </c>
      <c r="BF13" s="97">
        <f t="shared" si="27"/>
      </c>
      <c r="BG13" s="97">
        <f t="shared" si="27"/>
      </c>
      <c r="BH13" s="97">
        <f t="shared" si="27"/>
      </c>
      <c r="BI13" s="97">
        <f t="shared" si="27"/>
      </c>
      <c r="BJ13" s="97">
        <f t="shared" si="27"/>
      </c>
      <c r="BK13" s="97">
        <f t="shared" si="27"/>
      </c>
      <c r="BL13" s="97">
        <f t="shared" si="27"/>
      </c>
      <c r="BM13" s="97">
        <f t="shared" si="27"/>
      </c>
      <c r="BN13" s="97">
        <f t="shared" si="27"/>
      </c>
      <c r="BO13" s="97">
        <f t="shared" si="27"/>
      </c>
      <c r="BP13" s="97">
        <f t="shared" si="27"/>
      </c>
      <c r="BQ13" s="97">
        <f t="shared" si="27"/>
      </c>
      <c r="BR13" s="97">
        <f t="shared" si="27"/>
      </c>
      <c r="BS13" s="97">
        <f t="shared" ref="BS13:BY13" si="28">PPMT($B$19/12,BS3,$B$20*12,$B$17*$B$2,0,)</f>
      </c>
      <c r="BT13" s="97">
        <f t="shared" si="28"/>
      </c>
      <c r="BU13" s="97">
        <f t="shared" si="28"/>
      </c>
      <c r="BV13" s="97">
        <f t="shared" si="28"/>
      </c>
      <c r="BW13" s="97">
        <f t="shared" si="28"/>
      </c>
      <c r="BX13" s="97">
        <f t="shared" si="28"/>
      </c>
      <c r="BY13" s="136">
        <f t="shared" si="28"/>
      </c>
    </row>
    <row r="14" spans="1:77" x14ac:dyDescent="0.35">
      <c r="A14" s="88" t="s">
        <v>87</v>
      </c>
      <c r="B14" s="95">
        <v>0</v>
      </c>
      <c r="C14" s="91"/>
      <c r="D14" s="106" t="s">
        <v>94</v>
      </c>
      <c r="E14" s="97">
        <v>0</v>
      </c>
      <c r="F14" s="97">
        <f>IPMT($B$19/12,F3,$B$20*12,$B$17*$B$2,0,)</f>
      </c>
      <c r="G14" s="97">
        <f t="shared" ref="G14:BR14" si="29">IPMT($B$19/12,G3,$B$20*12,$B$17*$B$2,0,)</f>
      </c>
      <c r="H14" s="97">
        <f t="shared" si="29"/>
      </c>
      <c r="I14" s="97">
        <f t="shared" si="29"/>
      </c>
      <c r="J14" s="97">
        <f t="shared" si="29"/>
      </c>
      <c r="K14" s="97">
        <f t="shared" si="29"/>
      </c>
      <c r="L14" s="97">
        <f t="shared" si="29"/>
      </c>
      <c r="M14" s="97">
        <f t="shared" si="29"/>
      </c>
      <c r="N14" s="97">
        <f t="shared" si="29"/>
      </c>
      <c r="O14" s="97">
        <f t="shared" si="29"/>
      </c>
      <c r="P14" s="97">
        <f t="shared" si="29"/>
      </c>
      <c r="Q14" s="97">
        <f t="shared" si="29"/>
      </c>
      <c r="R14" s="97">
        <f t="shared" si="29"/>
      </c>
      <c r="S14" s="97">
        <f t="shared" si="29"/>
      </c>
      <c r="T14" s="97">
        <f t="shared" si="29"/>
      </c>
      <c r="U14" s="97">
        <f t="shared" si="29"/>
      </c>
      <c r="V14" s="97">
        <f t="shared" si="29"/>
      </c>
      <c r="W14" s="97">
        <f t="shared" si="29"/>
      </c>
      <c r="X14" s="97">
        <f t="shared" si="29"/>
      </c>
      <c r="Y14" s="97">
        <f t="shared" si="29"/>
      </c>
      <c r="Z14" s="97">
        <f t="shared" si="29"/>
      </c>
      <c r="AA14" s="97">
        <f t="shared" si="29"/>
      </c>
      <c r="AB14" s="97">
        <f t="shared" si="29"/>
      </c>
      <c r="AC14" s="97">
        <f t="shared" si="29"/>
      </c>
      <c r="AD14" s="97">
        <f t="shared" si="29"/>
      </c>
      <c r="AE14" s="97">
        <f t="shared" si="29"/>
      </c>
      <c r="AF14" s="97">
        <f t="shared" si="29"/>
      </c>
      <c r="AG14" s="97">
        <f t="shared" si="29"/>
      </c>
      <c r="AH14" s="97">
        <f t="shared" si="29"/>
      </c>
      <c r="AI14" s="97">
        <f t="shared" si="29"/>
      </c>
      <c r="AJ14" s="97">
        <f t="shared" si="29"/>
      </c>
      <c r="AK14" s="97">
        <f t="shared" si="29"/>
      </c>
      <c r="AL14" s="97">
        <f t="shared" si="29"/>
      </c>
      <c r="AM14" s="97">
        <f t="shared" si="29"/>
      </c>
      <c r="AN14" s="97">
        <f t="shared" si="29"/>
      </c>
      <c r="AO14" s="97">
        <f t="shared" si="29"/>
      </c>
      <c r="AP14" s="97">
        <f t="shared" si="29"/>
      </c>
      <c r="AQ14" s="97">
        <f t="shared" si="29"/>
      </c>
      <c r="AR14" s="97">
        <f t="shared" si="29"/>
      </c>
      <c r="AS14" s="97">
        <f t="shared" si="29"/>
      </c>
      <c r="AT14" s="97">
        <f t="shared" si="29"/>
      </c>
      <c r="AU14" s="97">
        <f t="shared" si="29"/>
      </c>
      <c r="AV14" s="97">
        <f t="shared" si="29"/>
      </c>
      <c r="AW14" s="97">
        <f t="shared" si="29"/>
      </c>
      <c r="AX14" s="97">
        <f t="shared" si="29"/>
      </c>
      <c r="AY14" s="97">
        <f t="shared" si="29"/>
      </c>
      <c r="AZ14" s="97">
        <f t="shared" si="29"/>
      </c>
      <c r="BA14" s="97">
        <f t="shared" si="29"/>
      </c>
      <c r="BB14" s="97">
        <f t="shared" si="29"/>
      </c>
      <c r="BC14" s="97">
        <f t="shared" si="29"/>
      </c>
      <c r="BD14" s="97">
        <f t="shared" si="29"/>
      </c>
      <c r="BE14" s="97">
        <f t="shared" si="29"/>
      </c>
      <c r="BF14" s="97">
        <f t="shared" si="29"/>
      </c>
      <c r="BG14" s="97">
        <f t="shared" si="29"/>
      </c>
      <c r="BH14" s="97">
        <f t="shared" si="29"/>
      </c>
      <c r="BI14" s="97">
        <f t="shared" si="29"/>
      </c>
      <c r="BJ14" s="97">
        <f t="shared" si="29"/>
      </c>
      <c r="BK14" s="97">
        <f t="shared" si="29"/>
      </c>
      <c r="BL14" s="97">
        <f t="shared" si="29"/>
      </c>
      <c r="BM14" s="97">
        <f t="shared" si="29"/>
      </c>
      <c r="BN14" s="97">
        <f t="shared" si="29"/>
      </c>
      <c r="BO14" s="97">
        <f t="shared" si="29"/>
      </c>
      <c r="BP14" s="97">
        <f t="shared" si="29"/>
      </c>
      <c r="BQ14" s="97">
        <f t="shared" si="29"/>
      </c>
      <c r="BR14" s="97">
        <f t="shared" si="29"/>
      </c>
      <c r="BS14" s="97">
        <f t="shared" ref="BS14:BY14" si="30">IPMT($B$19/12,BS3,$B$20*12,$B$17*$B$2,0,)</f>
      </c>
      <c r="BT14" s="97">
        <f t="shared" si="30"/>
      </c>
      <c r="BU14" s="97">
        <f t="shared" si="30"/>
      </c>
      <c r="BV14" s="97">
        <f t="shared" si="30"/>
      </c>
      <c r="BW14" s="97">
        <f t="shared" si="30"/>
      </c>
      <c r="BX14" s="97">
        <f t="shared" si="30"/>
      </c>
      <c r="BY14" s="136">
        <f t="shared" si="30"/>
      </c>
    </row>
    <row r="15" spans="1:77" x14ac:dyDescent="0.35">
      <c r="A15" s="90"/>
      <c r="B15" s="89"/>
      <c r="D15" s="107" t="s">
        <v>95</v>
      </c>
      <c r="E15" s="102">
        <v>0</v>
      </c>
      <c r="F15" s="102">
        <f>SUM(F12:F14)</f>
      </c>
      <c r="G15" s="102">
        <f t="shared" ref="G15:BR15" si="31">SUM(G12:G14)</f>
      </c>
      <c r="H15" s="102">
        <f t="shared" si="31"/>
      </c>
      <c r="I15" s="102">
        <f t="shared" si="31"/>
      </c>
      <c r="J15" s="102">
        <f t="shared" si="31"/>
      </c>
      <c r="K15" s="102">
        <f t="shared" si="31"/>
      </c>
      <c r="L15" s="102">
        <f t="shared" si="31"/>
      </c>
      <c r="M15" s="102">
        <f t="shared" si="31"/>
      </c>
      <c r="N15" s="102">
        <f t="shared" si="31"/>
      </c>
      <c r="O15" s="102">
        <f t="shared" si="31"/>
      </c>
      <c r="P15" s="102">
        <f t="shared" si="31"/>
      </c>
      <c r="Q15" s="102">
        <f t="shared" si="31"/>
      </c>
      <c r="R15" s="102">
        <f t="shared" si="31"/>
      </c>
      <c r="S15" s="102">
        <f t="shared" si="31"/>
      </c>
      <c r="T15" s="102">
        <f t="shared" si="31"/>
      </c>
      <c r="U15" s="102">
        <f t="shared" si="31"/>
      </c>
      <c r="V15" s="102">
        <f t="shared" si="31"/>
      </c>
      <c r="W15" s="102">
        <f t="shared" si="31"/>
      </c>
      <c r="X15" s="102">
        <f t="shared" si="31"/>
      </c>
      <c r="Y15" s="102">
        <f t="shared" si="31"/>
      </c>
      <c r="Z15" s="102">
        <f t="shared" si="31"/>
      </c>
      <c r="AA15" s="102">
        <f t="shared" si="31"/>
      </c>
      <c r="AB15" s="102">
        <f t="shared" si="31"/>
      </c>
      <c r="AC15" s="102">
        <f t="shared" si="31"/>
      </c>
      <c r="AD15" s="102">
        <f t="shared" si="31"/>
      </c>
      <c r="AE15" s="102">
        <f t="shared" si="31"/>
      </c>
      <c r="AF15" s="102">
        <f t="shared" si="31"/>
      </c>
      <c r="AG15" s="102">
        <f t="shared" si="31"/>
      </c>
      <c r="AH15" s="102">
        <f t="shared" si="31"/>
      </c>
      <c r="AI15" s="102">
        <f t="shared" si="31"/>
      </c>
      <c r="AJ15" s="102">
        <f t="shared" si="31"/>
      </c>
      <c r="AK15" s="102">
        <f t="shared" si="31"/>
      </c>
      <c r="AL15" s="102">
        <f t="shared" si="31"/>
      </c>
      <c r="AM15" s="102">
        <f t="shared" si="31"/>
      </c>
      <c r="AN15" s="102">
        <f t="shared" si="31"/>
      </c>
      <c r="AO15" s="102">
        <f t="shared" si="31"/>
      </c>
      <c r="AP15" s="102">
        <f t="shared" si="31"/>
      </c>
      <c r="AQ15" s="102">
        <f t="shared" si="31"/>
      </c>
      <c r="AR15" s="102">
        <f t="shared" si="31"/>
      </c>
      <c r="AS15" s="102">
        <f t="shared" si="31"/>
      </c>
      <c r="AT15" s="102">
        <f t="shared" si="31"/>
      </c>
      <c r="AU15" s="102">
        <f t="shared" si="31"/>
      </c>
      <c r="AV15" s="102">
        <f t="shared" si="31"/>
      </c>
      <c r="AW15" s="102">
        <f t="shared" si="31"/>
      </c>
      <c r="AX15" s="102">
        <f t="shared" si="31"/>
      </c>
      <c r="AY15" s="102">
        <f t="shared" si="31"/>
      </c>
      <c r="AZ15" s="102">
        <f t="shared" si="31"/>
      </c>
      <c r="BA15" s="102">
        <f t="shared" si="31"/>
      </c>
      <c r="BB15" s="102">
        <f t="shared" si="31"/>
      </c>
      <c r="BC15" s="102">
        <f t="shared" si="31"/>
      </c>
      <c r="BD15" s="102">
        <f t="shared" si="31"/>
      </c>
      <c r="BE15" s="102">
        <f t="shared" si="31"/>
      </c>
      <c r="BF15" s="102">
        <f t="shared" si="31"/>
      </c>
      <c r="BG15" s="102">
        <f t="shared" si="31"/>
      </c>
      <c r="BH15" s="102">
        <f t="shared" si="31"/>
      </c>
      <c r="BI15" s="102">
        <f t="shared" si="31"/>
      </c>
      <c r="BJ15" s="102">
        <f t="shared" si="31"/>
      </c>
      <c r="BK15" s="102">
        <f t="shared" si="31"/>
      </c>
      <c r="BL15" s="102">
        <f t="shared" si="31"/>
      </c>
      <c r="BM15" s="102">
        <f t="shared" si="31"/>
      </c>
      <c r="BN15" s="102">
        <f t="shared" si="31"/>
      </c>
      <c r="BO15" s="102">
        <f t="shared" si="31"/>
      </c>
      <c r="BP15" s="102">
        <f t="shared" si="31"/>
      </c>
      <c r="BQ15" s="102">
        <f t="shared" si="31"/>
      </c>
      <c r="BR15" s="102">
        <f t="shared" si="31"/>
      </c>
      <c r="BS15" s="102">
        <f t="shared" ref="BS15:BY15" si="32">SUM(BS12:BS14)</f>
      </c>
      <c r="BT15" s="102">
        <f t="shared" si="32"/>
      </c>
      <c r="BU15" s="102">
        <f t="shared" si="32"/>
      </c>
      <c r="BV15" s="102">
        <f t="shared" si="32"/>
      </c>
      <c r="BW15" s="102">
        <f t="shared" si="32"/>
      </c>
      <c r="BX15" s="102">
        <f t="shared" si="32"/>
      </c>
      <c r="BY15" s="103">
        <f t="shared" si="32"/>
      </c>
    </row>
    <row r="16" spans="1:77" x14ac:dyDescent="0.35">
      <c r="A16" s="83" t="s">
        <v>90</v>
      </c>
      <c r="B16" s="84"/>
      <c r="D16" s="106" t="s">
        <v>11</v>
      </c>
      <c r="E16" s="97">
        <f>-B2</f>
      </c>
      <c r="F16" s="97">
        <v>0</v>
      </c>
      <c r="G16" s="97">
        <v>0</v>
      </c>
      <c r="H16" s="97">
        <v>0</v>
      </c>
      <c r="I16" s="97">
        <v>0</v>
      </c>
      <c r="J16" s="97">
        <v>0</v>
      </c>
      <c r="K16" s="97">
        <v>0</v>
      </c>
      <c r="L16" s="97">
        <v>0</v>
      </c>
      <c r="M16" s="97">
        <v>0</v>
      </c>
      <c r="N16" s="97">
        <v>0</v>
      </c>
      <c r="O16" s="97">
        <v>0</v>
      </c>
      <c r="P16" s="97">
        <v>0</v>
      </c>
      <c r="Q16" s="97">
        <v>0</v>
      </c>
      <c r="R16" s="97">
        <v>0</v>
      </c>
      <c r="S16" s="97">
        <v>0</v>
      </c>
      <c r="T16" s="97">
        <v>0</v>
      </c>
      <c r="U16" s="97">
        <v>0</v>
      </c>
      <c r="V16" s="97">
        <v>0</v>
      </c>
      <c r="W16" s="97">
        <v>0</v>
      </c>
      <c r="X16" s="97">
        <v>0</v>
      </c>
      <c r="Y16" s="97">
        <v>0</v>
      </c>
      <c r="Z16" s="97">
        <v>0</v>
      </c>
      <c r="AA16" s="97">
        <v>0</v>
      </c>
      <c r="AB16" s="97">
        <v>0</v>
      </c>
      <c r="AC16" s="97">
        <v>0</v>
      </c>
      <c r="AD16" s="97">
        <v>0</v>
      </c>
      <c r="AE16" s="97">
        <v>0</v>
      </c>
      <c r="AF16" s="97">
        <v>0</v>
      </c>
      <c r="AG16" s="97">
        <v>0</v>
      </c>
      <c r="AH16" s="97">
        <v>0</v>
      </c>
      <c r="AI16" s="97">
        <v>0</v>
      </c>
      <c r="AJ16" s="97">
        <v>0</v>
      </c>
      <c r="AK16" s="97">
        <v>0</v>
      </c>
      <c r="AL16" s="97">
        <v>0</v>
      </c>
      <c r="AM16" s="97">
        <v>0</v>
      </c>
      <c r="AN16" s="97">
        <v>0</v>
      </c>
      <c r="AO16" s="97">
        <v>0</v>
      </c>
      <c r="AP16" s="97">
        <v>0</v>
      </c>
      <c r="AQ16" s="97">
        <v>0</v>
      </c>
      <c r="AR16" s="97">
        <v>0</v>
      </c>
      <c r="AS16" s="97">
        <v>0</v>
      </c>
      <c r="AT16" s="97">
        <v>0</v>
      </c>
      <c r="AU16" s="97">
        <v>0</v>
      </c>
      <c r="AV16" s="97">
        <v>0</v>
      </c>
      <c r="AW16" s="97">
        <v>0</v>
      </c>
      <c r="AX16" s="97">
        <v>0</v>
      </c>
      <c r="AY16" s="97">
        <v>0</v>
      </c>
      <c r="AZ16" s="97">
        <v>0</v>
      </c>
      <c r="BA16" s="97">
        <v>0</v>
      </c>
      <c r="BB16" s="97">
        <v>0</v>
      </c>
      <c r="BC16" s="97">
        <v>0</v>
      </c>
      <c r="BD16" s="97">
        <v>0</v>
      </c>
      <c r="BE16" s="97">
        <v>0</v>
      </c>
      <c r="BF16" s="97">
        <v>0</v>
      </c>
      <c r="BG16" s="97">
        <v>0</v>
      </c>
      <c r="BH16" s="97">
        <v>0</v>
      </c>
      <c r="BI16" s="97">
        <v>0</v>
      </c>
      <c r="BJ16" s="97">
        <v>0</v>
      </c>
      <c r="BK16" s="97">
        <v>0</v>
      </c>
      <c r="BL16" s="97">
        <v>0</v>
      </c>
      <c r="BM16" s="97">
        <v>0</v>
      </c>
      <c r="BN16" s="97">
        <v>0</v>
      </c>
      <c r="BO16" s="97">
        <v>0</v>
      </c>
      <c r="BP16" s="97">
        <v>0</v>
      </c>
      <c r="BQ16" s="97">
        <v>0</v>
      </c>
      <c r="BR16" s="97">
        <v>0</v>
      </c>
      <c r="BS16" s="97">
        <v>0</v>
      </c>
      <c r="BT16" s="97">
        <v>0</v>
      </c>
      <c r="BU16" s="97">
        <v>0</v>
      </c>
      <c r="BV16" s="97">
        <v>0</v>
      </c>
      <c r="BW16" s="97">
        <v>0</v>
      </c>
      <c r="BX16" s="97">
        <v>0</v>
      </c>
      <c r="BY16" s="136">
        <v>0</v>
      </c>
    </row>
    <row r="17" spans="1:77" x14ac:dyDescent="0.35">
      <c r="A17" s="85" t="s">
        <v>27</v>
      </c>
      <c r="B17" s="15">
        <v>0.75</v>
      </c>
      <c r="D17" s="106" t="s">
        <v>96</v>
      </c>
      <c r="E17" s="97">
        <f>-B4</f>
      </c>
      <c r="F17" s="97">
        <v>0</v>
      </c>
      <c r="G17" s="97">
        <v>0</v>
      </c>
      <c r="H17" s="97">
        <v>0</v>
      </c>
      <c r="I17" s="97">
        <v>0</v>
      </c>
      <c r="J17" s="97">
        <v>0</v>
      </c>
      <c r="K17" s="97">
        <v>0</v>
      </c>
      <c r="L17" s="97">
        <v>0</v>
      </c>
      <c r="M17" s="97">
        <v>0</v>
      </c>
      <c r="N17" s="97">
        <v>0</v>
      </c>
      <c r="O17" s="97">
        <v>0</v>
      </c>
      <c r="P17" s="97">
        <v>0</v>
      </c>
      <c r="Q17" s="97">
        <v>0</v>
      </c>
      <c r="R17" s="97">
        <v>0</v>
      </c>
      <c r="S17" s="97">
        <v>0</v>
      </c>
      <c r="T17" s="97">
        <v>0</v>
      </c>
      <c r="U17" s="97">
        <v>0</v>
      </c>
      <c r="V17" s="97">
        <v>0</v>
      </c>
      <c r="W17" s="97">
        <v>0</v>
      </c>
      <c r="X17" s="97">
        <v>0</v>
      </c>
      <c r="Y17" s="97">
        <v>0</v>
      </c>
      <c r="Z17" s="97">
        <v>0</v>
      </c>
      <c r="AA17" s="97">
        <v>0</v>
      </c>
      <c r="AB17" s="97">
        <v>0</v>
      </c>
      <c r="AC17" s="97">
        <v>0</v>
      </c>
      <c r="AD17" s="97">
        <v>0</v>
      </c>
      <c r="AE17" s="97">
        <v>0</v>
      </c>
      <c r="AF17" s="97">
        <v>0</v>
      </c>
      <c r="AG17" s="97">
        <v>0</v>
      </c>
      <c r="AH17" s="97">
        <v>0</v>
      </c>
      <c r="AI17" s="97">
        <v>0</v>
      </c>
      <c r="AJ17" s="97">
        <v>0</v>
      </c>
      <c r="AK17" s="97">
        <v>0</v>
      </c>
      <c r="AL17" s="97">
        <v>0</v>
      </c>
      <c r="AM17" s="97">
        <v>0</v>
      </c>
      <c r="AN17" s="97">
        <v>0</v>
      </c>
      <c r="AO17" s="97">
        <v>0</v>
      </c>
      <c r="AP17" s="97">
        <v>0</v>
      </c>
      <c r="AQ17" s="97">
        <v>0</v>
      </c>
      <c r="AR17" s="97">
        <v>0</v>
      </c>
      <c r="AS17" s="97">
        <v>0</v>
      </c>
      <c r="AT17" s="97">
        <v>0</v>
      </c>
      <c r="AU17" s="97">
        <v>0</v>
      </c>
      <c r="AV17" s="97">
        <v>0</v>
      </c>
      <c r="AW17" s="97">
        <v>0</v>
      </c>
      <c r="AX17" s="97">
        <v>0</v>
      </c>
      <c r="AY17" s="97">
        <v>0</v>
      </c>
      <c r="AZ17" s="97">
        <v>0</v>
      </c>
      <c r="BA17" s="97">
        <v>0</v>
      </c>
      <c r="BB17" s="97">
        <v>0</v>
      </c>
      <c r="BC17" s="97">
        <v>0</v>
      </c>
      <c r="BD17" s="97">
        <v>0</v>
      </c>
      <c r="BE17" s="97">
        <v>0</v>
      </c>
      <c r="BF17" s="97">
        <v>0</v>
      </c>
      <c r="BG17" s="97">
        <v>0</v>
      </c>
      <c r="BH17" s="97">
        <v>0</v>
      </c>
      <c r="BI17" s="97">
        <v>0</v>
      </c>
      <c r="BJ17" s="97">
        <v>0</v>
      </c>
      <c r="BK17" s="97">
        <v>0</v>
      </c>
      <c r="BL17" s="97">
        <v>0</v>
      </c>
      <c r="BM17" s="97">
        <v>0</v>
      </c>
      <c r="BN17" s="97">
        <v>0</v>
      </c>
      <c r="BO17" s="97">
        <v>0</v>
      </c>
      <c r="BP17" s="97">
        <v>0</v>
      </c>
      <c r="BQ17" s="97">
        <v>0</v>
      </c>
      <c r="BR17" s="97">
        <v>0</v>
      </c>
      <c r="BS17" s="97">
        <v>0</v>
      </c>
      <c r="BT17" s="97">
        <v>0</v>
      </c>
      <c r="BU17" s="97">
        <v>0</v>
      </c>
      <c r="BV17" s="97">
        <v>0</v>
      </c>
      <c r="BW17" s="97">
        <v>0</v>
      </c>
      <c r="BX17" s="97">
        <v>0</v>
      </c>
      <c r="BY17" s="136">
        <v>0</v>
      </c>
    </row>
    <row r="18" spans="1:77" x14ac:dyDescent="0.35">
      <c r="A18" s="85" t="s">
        <v>91</v>
      </c>
      <c r="B18" s="19">
        <v>0.01</v>
      </c>
      <c r="C18" s="91"/>
      <c r="D18" s="106" t="s">
        <v>97</v>
      </c>
      <c r="E18" s="97">
        <v>0</v>
      </c>
      <c r="F18" s="97">
        <v>0</v>
      </c>
      <c r="G18" s="97">
        <v>0</v>
      </c>
      <c r="H18" s="97">
        <v>0</v>
      </c>
      <c r="I18" s="97">
        <v>0</v>
      </c>
      <c r="J18" s="97">
        <v>0</v>
      </c>
      <c r="K18" s="97">
        <v>0</v>
      </c>
      <c r="L18" s="97">
        <v>0</v>
      </c>
      <c r="M18" s="97">
        <v>0</v>
      </c>
      <c r="N18" s="97">
        <v>0</v>
      </c>
      <c r="O18" s="97">
        <v>0</v>
      </c>
      <c r="P18" s="97">
        <v>0</v>
      </c>
      <c r="Q18" s="97">
        <f t="shared" ref="G18:BR18" si="33">IF(Q3=$B$24,SUM(R9:AA9)/$B$23,0)</f>
      </c>
      <c r="R18" s="97">
        <v>0</v>
      </c>
      <c r="S18" s="97">
        <v>0</v>
      </c>
      <c r="T18" s="97">
        <v>0</v>
      </c>
      <c r="U18" s="97">
        <v>0</v>
      </c>
      <c r="V18" s="97">
        <v>0</v>
      </c>
      <c r="W18" s="97">
        <v>0</v>
      </c>
      <c r="X18" s="97">
        <v>0</v>
      </c>
      <c r="Y18" s="97">
        <v>0</v>
      </c>
      <c r="Z18" s="97">
        <v>0</v>
      </c>
      <c r="AA18" s="97">
        <v>0</v>
      </c>
      <c r="AB18" s="97">
        <v>0</v>
      </c>
      <c r="AC18" s="97">
        <v>0</v>
      </c>
      <c r="AD18" s="97">
        <v>0</v>
      </c>
      <c r="AE18" s="97">
        <v>0</v>
      </c>
      <c r="AF18" s="97">
        <v>0</v>
      </c>
      <c r="AG18" s="97">
        <v>0</v>
      </c>
      <c r="AH18" s="97">
        <v>0</v>
      </c>
      <c r="AI18" s="97">
        <v>0</v>
      </c>
      <c r="AJ18" s="97">
        <v>0</v>
      </c>
      <c r="AK18" s="97">
        <v>0</v>
      </c>
      <c r="AL18" s="97">
        <v>0</v>
      </c>
      <c r="AM18" s="97">
        <v>0</v>
      </c>
      <c r="AN18" s="97">
        <v>0</v>
      </c>
      <c r="AO18" s="97">
        <v>0</v>
      </c>
      <c r="AP18" s="97">
        <v>0</v>
      </c>
      <c r="AQ18" s="97">
        <v>0</v>
      </c>
      <c r="AR18" s="97">
        <v>0</v>
      </c>
      <c r="AS18" s="97">
        <v>0</v>
      </c>
      <c r="AT18" s="97">
        <v>0</v>
      </c>
      <c r="AU18" s="97">
        <v>0</v>
      </c>
      <c r="AV18" s="97">
        <v>0</v>
      </c>
      <c r="AW18" s="97">
        <v>0</v>
      </c>
      <c r="AX18" s="97">
        <v>0</v>
      </c>
      <c r="AY18" s="97">
        <v>0</v>
      </c>
      <c r="AZ18" s="97">
        <v>0</v>
      </c>
      <c r="BA18" s="97">
        <v>0</v>
      </c>
      <c r="BB18" s="97">
        <v>0</v>
      </c>
      <c r="BC18" s="97">
        <v>0</v>
      </c>
      <c r="BD18" s="97">
        <v>0</v>
      </c>
      <c r="BE18" s="97">
        <v>0</v>
      </c>
      <c r="BF18" s="97">
        <v>0</v>
      </c>
      <c r="BG18" s="97">
        <v>0</v>
      </c>
      <c r="BH18" s="97">
        <v>0</v>
      </c>
      <c r="BI18" s="97">
        <v>0</v>
      </c>
      <c r="BJ18" s="97">
        <v>0</v>
      </c>
      <c r="BK18" s="97">
        <v>0</v>
      </c>
      <c r="BL18" s="97">
        <v>0</v>
      </c>
      <c r="BM18" s="97">
        <v>0</v>
      </c>
      <c r="BN18" s="97">
        <v>0</v>
      </c>
      <c r="BO18" s="97">
        <v>0</v>
      </c>
      <c r="BP18" s="97">
        <v>0</v>
      </c>
      <c r="BQ18" s="97">
        <v>0</v>
      </c>
      <c r="BR18" s="97">
        <v>0</v>
      </c>
      <c r="BS18" s="97">
        <v>0</v>
      </c>
      <c r="BT18" s="97">
        <v>0</v>
      </c>
      <c r="BU18" s="97">
        <v>0</v>
      </c>
      <c r="BV18" s="97">
        <v>0</v>
      </c>
      <c r="BW18" s="97">
        <v>0</v>
      </c>
      <c r="BX18" s="97">
        <v>0</v>
      </c>
      <c r="BY18" s="136">
        <v>0</v>
      </c>
    </row>
    <row r="19" spans="1:77" x14ac:dyDescent="0.35">
      <c r="A19" s="86" t="s">
        <v>33</v>
      </c>
      <c r="B19" s="58">
        <f>'Deal Summary'!E8</f>
      </c>
      <c r="D19" s="106" t="s">
        <v>98</v>
      </c>
      <c r="E19" s="97">
        <v>0</v>
      </c>
      <c r="F19" s="97">
        <v>0</v>
      </c>
      <c r="G19" s="97">
        <v>0</v>
      </c>
      <c r="H19" s="97">
        <v>0</v>
      </c>
      <c r="I19" s="97">
        <v>0</v>
      </c>
      <c r="J19" s="97">
        <v>0</v>
      </c>
      <c r="K19" s="97">
        <v>0</v>
      </c>
      <c r="L19" s="97">
        <v>0</v>
      </c>
      <c r="M19" s="97">
        <v>0</v>
      </c>
      <c r="N19" s="97">
        <v>0</v>
      </c>
      <c r="O19" s="97">
        <v>0</v>
      </c>
      <c r="P19" s="97">
        <v>0</v>
      </c>
      <c r="Q19" s="97">
        <f t="shared" ref="G19:BR19" si="34">IF(Q3=$B$24,-$B$25*Q18,0)</f>
      </c>
      <c r="R19" s="97">
        <v>0</v>
      </c>
      <c r="S19" s="97">
        <v>0</v>
      </c>
      <c r="T19" s="97">
        <v>0</v>
      </c>
      <c r="U19" s="97">
        <v>0</v>
      </c>
      <c r="V19" s="97">
        <v>0</v>
      </c>
      <c r="W19" s="97">
        <v>0</v>
      </c>
      <c r="X19" s="97">
        <v>0</v>
      </c>
      <c r="Y19" s="97">
        <v>0</v>
      </c>
      <c r="Z19" s="97">
        <v>0</v>
      </c>
      <c r="AA19" s="97">
        <v>0</v>
      </c>
      <c r="AB19" s="97">
        <v>0</v>
      </c>
      <c r="AC19" s="97">
        <v>0</v>
      </c>
      <c r="AD19" s="97">
        <v>0</v>
      </c>
      <c r="AE19" s="97">
        <v>0</v>
      </c>
      <c r="AF19" s="97">
        <v>0</v>
      </c>
      <c r="AG19" s="97">
        <v>0</v>
      </c>
      <c r="AH19" s="97">
        <v>0</v>
      </c>
      <c r="AI19" s="97">
        <v>0</v>
      </c>
      <c r="AJ19" s="97">
        <v>0</v>
      </c>
      <c r="AK19" s="97">
        <v>0</v>
      </c>
      <c r="AL19" s="97">
        <v>0</v>
      </c>
      <c r="AM19" s="97">
        <v>0</v>
      </c>
      <c r="AN19" s="97">
        <v>0</v>
      </c>
      <c r="AO19" s="97">
        <v>0</v>
      </c>
      <c r="AP19" s="97">
        <v>0</v>
      </c>
      <c r="AQ19" s="97">
        <v>0</v>
      </c>
      <c r="AR19" s="97">
        <v>0</v>
      </c>
      <c r="AS19" s="97">
        <v>0</v>
      </c>
      <c r="AT19" s="97">
        <v>0</v>
      </c>
      <c r="AU19" s="97">
        <v>0</v>
      </c>
      <c r="AV19" s="97">
        <v>0</v>
      </c>
      <c r="AW19" s="97">
        <v>0</v>
      </c>
      <c r="AX19" s="97">
        <v>0</v>
      </c>
      <c r="AY19" s="97">
        <v>0</v>
      </c>
      <c r="AZ19" s="97">
        <v>0</v>
      </c>
      <c r="BA19" s="97">
        <v>0</v>
      </c>
      <c r="BB19" s="97">
        <v>0</v>
      </c>
      <c r="BC19" s="97">
        <v>0</v>
      </c>
      <c r="BD19" s="97">
        <v>0</v>
      </c>
      <c r="BE19" s="97">
        <v>0</v>
      </c>
      <c r="BF19" s="97">
        <v>0</v>
      </c>
      <c r="BG19" s="97">
        <v>0</v>
      </c>
      <c r="BH19" s="97">
        <v>0</v>
      </c>
      <c r="BI19" s="97">
        <v>0</v>
      </c>
      <c r="BJ19" s="97">
        <v>0</v>
      </c>
      <c r="BK19" s="97">
        <v>0</v>
      </c>
      <c r="BL19" s="97">
        <v>0</v>
      </c>
      <c r="BM19" s="97">
        <v>0</v>
      </c>
      <c r="BN19" s="97">
        <v>0</v>
      </c>
      <c r="BO19" s="97">
        <v>0</v>
      </c>
      <c r="BP19" s="97">
        <v>0</v>
      </c>
      <c r="BQ19" s="97">
        <v>0</v>
      </c>
      <c r="BR19" s="97">
        <v>0</v>
      </c>
      <c r="BS19" s="97">
        <v>0</v>
      </c>
      <c r="BT19" s="97">
        <v>0</v>
      </c>
      <c r="BU19" s="97">
        <v>0</v>
      </c>
      <c r="BV19" s="97">
        <v>0</v>
      </c>
      <c r="BW19" s="97">
        <v>0</v>
      </c>
      <c r="BX19" s="97">
        <v>0</v>
      </c>
      <c r="BY19" s="136">
        <v>0</v>
      </c>
    </row>
    <row r="20" spans="1:77" x14ac:dyDescent="0.35">
      <c r="A20" s="88" t="s">
        <v>37</v>
      </c>
      <c r="B20" s="20">
        <v>25</v>
      </c>
      <c r="D20" s="107" t="s">
        <v>99</v>
      </c>
      <c r="E20" s="102">
        <f>SUM(E16:E19)</f>
      </c>
      <c r="F20" s="102">
        <f>IF(F3&gt;$B$24,0,SUM(F12,F16:F19))</f>
      </c>
      <c r="G20" s="102">
        <f t="shared" ref="G20:BR20" si="35">IF(G3&gt;$B$24,0,SUM(G12,G16:G19))</f>
      </c>
      <c r="H20" s="102">
        <f t="shared" si="35"/>
      </c>
      <c r="I20" s="102">
        <f t="shared" si="35"/>
      </c>
      <c r="J20" s="102">
        <f t="shared" si="35"/>
      </c>
      <c r="K20" s="102">
        <f t="shared" si="35"/>
      </c>
      <c r="L20" s="102">
        <f t="shared" si="35"/>
      </c>
      <c r="M20" s="102">
        <f t="shared" si="35"/>
      </c>
      <c r="N20" s="102">
        <f t="shared" si="35"/>
      </c>
      <c r="O20" s="102">
        <f t="shared" si="35"/>
      </c>
      <c r="P20" s="102">
        <f t="shared" si="35"/>
      </c>
      <c r="Q20" s="102">
        <f t="shared" si="35"/>
      </c>
      <c r="R20" s="102">
        <v>0</v>
      </c>
      <c r="S20" s="102">
        <v>0</v>
      </c>
      <c r="T20" s="102">
        <v>0</v>
      </c>
      <c r="U20" s="102">
        <v>0</v>
      </c>
      <c r="V20" s="102">
        <v>0</v>
      </c>
      <c r="W20" s="102">
        <v>0</v>
      </c>
      <c r="X20" s="102">
        <v>0</v>
      </c>
      <c r="Y20" s="102">
        <v>0</v>
      </c>
      <c r="Z20" s="102">
        <v>0</v>
      </c>
      <c r="AA20" s="102">
        <v>0</v>
      </c>
      <c r="AB20" s="102">
        <v>0</v>
      </c>
      <c r="AC20" s="102">
        <v>0</v>
      </c>
      <c r="AD20" s="102">
        <v>0</v>
      </c>
      <c r="AE20" s="102">
        <v>0</v>
      </c>
      <c r="AF20" s="102">
        <v>0</v>
      </c>
      <c r="AG20" s="102">
        <v>0</v>
      </c>
      <c r="AH20" s="102">
        <v>0</v>
      </c>
      <c r="AI20" s="102">
        <v>0</v>
      </c>
      <c r="AJ20" s="102">
        <v>0</v>
      </c>
      <c r="AK20" s="102">
        <v>0</v>
      </c>
      <c r="AL20" s="102">
        <v>0</v>
      </c>
      <c r="AM20" s="102">
        <v>0</v>
      </c>
      <c r="AN20" s="102">
        <v>0</v>
      </c>
      <c r="AO20" s="102">
        <v>0</v>
      </c>
      <c r="AP20" s="102">
        <v>0</v>
      </c>
      <c r="AQ20" s="102">
        <v>0</v>
      </c>
      <c r="AR20" s="102">
        <v>0</v>
      </c>
      <c r="AS20" s="102">
        <v>0</v>
      </c>
      <c r="AT20" s="102">
        <v>0</v>
      </c>
      <c r="AU20" s="102">
        <v>0</v>
      </c>
      <c r="AV20" s="102">
        <v>0</v>
      </c>
      <c r="AW20" s="102">
        <v>0</v>
      </c>
      <c r="AX20" s="102">
        <v>0</v>
      </c>
      <c r="AY20" s="102">
        <v>0</v>
      </c>
      <c r="AZ20" s="102">
        <v>0</v>
      </c>
      <c r="BA20" s="102">
        <v>0</v>
      </c>
      <c r="BB20" s="102">
        <v>0</v>
      </c>
      <c r="BC20" s="102">
        <v>0</v>
      </c>
      <c r="BD20" s="102">
        <v>0</v>
      </c>
      <c r="BE20" s="102">
        <v>0</v>
      </c>
      <c r="BF20" s="102">
        <v>0</v>
      </c>
      <c r="BG20" s="102">
        <v>0</v>
      </c>
      <c r="BH20" s="102">
        <v>0</v>
      </c>
      <c r="BI20" s="102">
        <v>0</v>
      </c>
      <c r="BJ20" s="102">
        <v>0</v>
      </c>
      <c r="BK20" s="102">
        <v>0</v>
      </c>
      <c r="BL20" s="102">
        <v>0</v>
      </c>
      <c r="BM20" s="102">
        <v>0</v>
      </c>
      <c r="BN20" s="102">
        <v>0</v>
      </c>
      <c r="BO20" s="102">
        <v>0</v>
      </c>
      <c r="BP20" s="102">
        <v>0</v>
      </c>
      <c r="BQ20" s="102">
        <v>0</v>
      </c>
      <c r="BR20" s="102">
        <v>0</v>
      </c>
      <c r="BS20" s="102">
        <v>0</v>
      </c>
      <c r="BT20" s="102">
        <v>0</v>
      </c>
      <c r="BU20" s="102">
        <v>0</v>
      </c>
      <c r="BV20" s="102">
        <v>0</v>
      </c>
      <c r="BW20" s="102">
        <v>0</v>
      </c>
      <c r="BX20" s="102">
        <v>0</v>
      </c>
      <c r="BY20" s="103">
        <v>0</v>
      </c>
    </row>
    <row r="21" spans="1:77" x14ac:dyDescent="0.35">
      <c r="B21" s="89"/>
      <c r="D21" s="106" t="s">
        <v>34</v>
      </c>
      <c r="E21" s="97">
        <f>$B$17*$B$2</f>
      </c>
      <c r="F21" s="97">
        <v>0</v>
      </c>
      <c r="G21" s="97">
        <v>0</v>
      </c>
      <c r="H21" s="97">
        <v>0</v>
      </c>
      <c r="I21" s="97">
        <v>0</v>
      </c>
      <c r="J21" s="97">
        <v>0</v>
      </c>
      <c r="K21" s="97">
        <v>0</v>
      </c>
      <c r="L21" s="97">
        <v>0</v>
      </c>
      <c r="M21" s="97">
        <v>0</v>
      </c>
      <c r="N21" s="97">
        <v>0</v>
      </c>
      <c r="O21" s="97">
        <v>0</v>
      </c>
      <c r="P21" s="97">
        <v>0</v>
      </c>
      <c r="Q21" s="97">
        <v>0</v>
      </c>
      <c r="R21" s="97">
        <v>0</v>
      </c>
      <c r="S21" s="97">
        <v>0</v>
      </c>
      <c r="T21" s="97">
        <v>0</v>
      </c>
      <c r="U21" s="97">
        <v>0</v>
      </c>
      <c r="V21" s="97">
        <v>0</v>
      </c>
      <c r="W21" s="97">
        <v>0</v>
      </c>
      <c r="X21" s="97">
        <v>0</v>
      </c>
      <c r="Y21" s="97">
        <v>0</v>
      </c>
      <c r="Z21" s="97">
        <v>0</v>
      </c>
      <c r="AA21" s="97">
        <v>0</v>
      </c>
      <c r="AB21" s="97">
        <v>0</v>
      </c>
      <c r="AC21" s="97">
        <v>0</v>
      </c>
      <c r="AD21" s="97">
        <v>0</v>
      </c>
      <c r="AE21" s="97">
        <v>0</v>
      </c>
      <c r="AF21" s="97">
        <v>0</v>
      </c>
      <c r="AG21" s="97">
        <v>0</v>
      </c>
      <c r="AH21" s="97">
        <v>0</v>
      </c>
      <c r="AI21" s="97">
        <v>0</v>
      </c>
      <c r="AJ21" s="97">
        <v>0</v>
      </c>
      <c r="AK21" s="97">
        <v>0</v>
      </c>
      <c r="AL21" s="97">
        <v>0</v>
      </c>
      <c r="AM21" s="97">
        <v>0</v>
      </c>
      <c r="AN21" s="97">
        <v>0</v>
      </c>
      <c r="AO21" s="97">
        <v>0</v>
      </c>
      <c r="AP21" s="97">
        <v>0</v>
      </c>
      <c r="AQ21" s="97">
        <v>0</v>
      </c>
      <c r="AR21" s="97">
        <v>0</v>
      </c>
      <c r="AS21" s="97">
        <v>0</v>
      </c>
      <c r="AT21" s="97">
        <v>0</v>
      </c>
      <c r="AU21" s="97">
        <v>0</v>
      </c>
      <c r="AV21" s="97">
        <v>0</v>
      </c>
      <c r="AW21" s="97">
        <v>0</v>
      </c>
      <c r="AX21" s="97">
        <v>0</v>
      </c>
      <c r="AY21" s="97">
        <v>0</v>
      </c>
      <c r="AZ21" s="97">
        <v>0</v>
      </c>
      <c r="BA21" s="97">
        <v>0</v>
      </c>
      <c r="BB21" s="97">
        <v>0</v>
      </c>
      <c r="BC21" s="97">
        <v>0</v>
      </c>
      <c r="BD21" s="97">
        <v>0</v>
      </c>
      <c r="BE21" s="97">
        <v>0</v>
      </c>
      <c r="BF21" s="97">
        <v>0</v>
      </c>
      <c r="BG21" s="97">
        <v>0</v>
      </c>
      <c r="BH21" s="97">
        <v>0</v>
      </c>
      <c r="BI21" s="97">
        <v>0</v>
      </c>
      <c r="BJ21" s="97">
        <v>0</v>
      </c>
      <c r="BK21" s="97">
        <v>0</v>
      </c>
      <c r="BL21" s="97">
        <v>0</v>
      </c>
      <c r="BM21" s="97">
        <v>0</v>
      </c>
      <c r="BN21" s="97">
        <v>0</v>
      </c>
      <c r="BO21" s="97">
        <v>0</v>
      </c>
      <c r="BP21" s="97">
        <v>0</v>
      </c>
      <c r="BQ21" s="97">
        <v>0</v>
      </c>
      <c r="BR21" s="97">
        <v>0</v>
      </c>
      <c r="BS21" s="97">
        <v>0</v>
      </c>
      <c r="BT21" s="97">
        <v>0</v>
      </c>
      <c r="BU21" s="97">
        <v>0</v>
      </c>
      <c r="BV21" s="97">
        <v>0</v>
      </c>
      <c r="BW21" s="97">
        <v>0</v>
      </c>
      <c r="BX21" s="97">
        <v>0</v>
      </c>
      <c r="BY21" s="136">
        <v>0</v>
      </c>
    </row>
    <row r="22" spans="1:77" x14ac:dyDescent="0.35">
      <c r="A22" s="83" t="s">
        <v>92</v>
      </c>
      <c r="B22" s="84"/>
      <c r="D22" s="106" t="s">
        <v>91</v>
      </c>
      <c r="E22" s="97">
        <f>-$B$18*E21</f>
      </c>
      <c r="F22" s="97">
        <v>0</v>
      </c>
      <c r="G22" s="97">
        <v>0</v>
      </c>
      <c r="H22" s="97">
        <v>0</v>
      </c>
      <c r="I22" s="97">
        <v>0</v>
      </c>
      <c r="J22" s="97">
        <v>0</v>
      </c>
      <c r="K22" s="97">
        <v>0</v>
      </c>
      <c r="L22" s="97">
        <v>0</v>
      </c>
      <c r="M22" s="97">
        <v>0</v>
      </c>
      <c r="N22" s="97">
        <v>0</v>
      </c>
      <c r="O22" s="97">
        <v>0</v>
      </c>
      <c r="P22" s="97">
        <v>0</v>
      </c>
      <c r="Q22" s="97">
        <v>0</v>
      </c>
      <c r="R22" s="97">
        <v>0</v>
      </c>
      <c r="S22" s="97">
        <v>0</v>
      </c>
      <c r="T22" s="97">
        <v>0</v>
      </c>
      <c r="U22" s="97">
        <v>0</v>
      </c>
      <c r="V22" s="97">
        <v>0</v>
      </c>
      <c r="W22" s="97">
        <v>0</v>
      </c>
      <c r="X22" s="97">
        <v>0</v>
      </c>
      <c r="Y22" s="97">
        <v>0</v>
      </c>
      <c r="Z22" s="97">
        <v>0</v>
      </c>
      <c r="AA22" s="97">
        <v>0</v>
      </c>
      <c r="AB22" s="97">
        <v>0</v>
      </c>
      <c r="AC22" s="97">
        <v>0</v>
      </c>
      <c r="AD22" s="97">
        <v>0</v>
      </c>
      <c r="AE22" s="97">
        <v>0</v>
      </c>
      <c r="AF22" s="97">
        <v>0</v>
      </c>
      <c r="AG22" s="97">
        <v>0</v>
      </c>
      <c r="AH22" s="97">
        <v>0</v>
      </c>
      <c r="AI22" s="97">
        <v>0</v>
      </c>
      <c r="AJ22" s="97">
        <v>0</v>
      </c>
      <c r="AK22" s="97">
        <v>0</v>
      </c>
      <c r="AL22" s="97">
        <v>0</v>
      </c>
      <c r="AM22" s="97">
        <v>0</v>
      </c>
      <c r="AN22" s="97">
        <v>0</v>
      </c>
      <c r="AO22" s="97">
        <v>0</v>
      </c>
      <c r="AP22" s="97">
        <v>0</v>
      </c>
      <c r="AQ22" s="97">
        <v>0</v>
      </c>
      <c r="AR22" s="97">
        <v>0</v>
      </c>
      <c r="AS22" s="97">
        <v>0</v>
      </c>
      <c r="AT22" s="97">
        <v>0</v>
      </c>
      <c r="AU22" s="97">
        <v>0</v>
      </c>
      <c r="AV22" s="97">
        <v>0</v>
      </c>
      <c r="AW22" s="97">
        <v>0</v>
      </c>
      <c r="AX22" s="97">
        <v>0</v>
      </c>
      <c r="AY22" s="97">
        <v>0</v>
      </c>
      <c r="AZ22" s="97">
        <v>0</v>
      </c>
      <c r="BA22" s="97">
        <v>0</v>
      </c>
      <c r="BB22" s="97">
        <v>0</v>
      </c>
      <c r="BC22" s="97">
        <v>0</v>
      </c>
      <c r="BD22" s="97">
        <v>0</v>
      </c>
      <c r="BE22" s="97">
        <v>0</v>
      </c>
      <c r="BF22" s="97">
        <v>0</v>
      </c>
      <c r="BG22" s="97">
        <v>0</v>
      </c>
      <c r="BH22" s="97">
        <v>0</v>
      </c>
      <c r="BI22" s="97">
        <v>0</v>
      </c>
      <c r="BJ22" s="97">
        <v>0</v>
      </c>
      <c r="BK22" s="97">
        <v>0</v>
      </c>
      <c r="BL22" s="97">
        <v>0</v>
      </c>
      <c r="BM22" s="97">
        <v>0</v>
      </c>
      <c r="BN22" s="97">
        <v>0</v>
      </c>
      <c r="BO22" s="97">
        <v>0</v>
      </c>
      <c r="BP22" s="97">
        <v>0</v>
      </c>
      <c r="BQ22" s="97">
        <v>0</v>
      </c>
      <c r="BR22" s="97">
        <v>0</v>
      </c>
      <c r="BS22" s="97">
        <v>0</v>
      </c>
      <c r="BT22" s="97">
        <v>0</v>
      </c>
      <c r="BU22" s="97">
        <v>0</v>
      </c>
      <c r="BV22" s="97">
        <v>0</v>
      </c>
      <c r="BW22" s="97">
        <v>0</v>
      </c>
      <c r="BX22" s="97">
        <v>0</v>
      </c>
      <c r="BY22" s="136">
        <v>0</v>
      </c>
    </row>
    <row r="23" spans="1:77" x14ac:dyDescent="0.35">
      <c r="A23" s="85" t="s">
        <v>21</v>
      </c>
      <c r="B23" s="19">
        <v>4.7500000000000001E-2</v>
      </c>
      <c r="D23" s="106" t="s">
        <v>100</v>
      </c>
      <c r="E23" s="97">
        <v>0</v>
      </c>
      <c r="F23" s="97">
        <v>0</v>
      </c>
      <c r="G23" s="97">
        <v>0</v>
      </c>
      <c r="H23" s="97">
        <v>0</v>
      </c>
      <c r="I23" s="97">
        <v>0</v>
      </c>
      <c r="J23" s="97">
        <v>0</v>
      </c>
      <c r="K23" s="97">
        <v>0</v>
      </c>
      <c r="L23" s="97">
        <v>0</v>
      </c>
      <c r="M23" s="97">
        <v>0</v>
      </c>
      <c r="N23" s="97">
        <v>0</v>
      </c>
      <c r="O23" s="97">
        <v>0</v>
      </c>
      <c r="P23" s="97">
        <v>0</v>
      </c>
      <c r="Q23" s="97">
        <f>IF(Q3=$B$24,-($E$21-SUM($F$13:Q13)),0)</f>
      </c>
      <c r="R23" s="97">
        <v>0</v>
      </c>
      <c r="S23" s="97">
        <v>0</v>
      </c>
      <c r="T23" s="97">
        <v>0</v>
      </c>
      <c r="U23" s="97">
        <v>0</v>
      </c>
      <c r="V23" s="97">
        <v>0</v>
      </c>
      <c r="W23" s="97">
        <v>0</v>
      </c>
      <c r="X23" s="97">
        <v>0</v>
      </c>
      <c r="Y23" s="97">
        <v>0</v>
      </c>
      <c r="Z23" s="97">
        <v>0</v>
      </c>
      <c r="AA23" s="97">
        <v>0</v>
      </c>
      <c r="AB23" s="97">
        <v>0</v>
      </c>
      <c r="AC23" s="97">
        <v>0</v>
      </c>
      <c r="AD23" s="97">
        <v>0</v>
      </c>
      <c r="AE23" s="97">
        <v>0</v>
      </c>
      <c r="AF23" s="97">
        <v>0</v>
      </c>
      <c r="AG23" s="97">
        <v>0</v>
      </c>
      <c r="AH23" s="97">
        <v>0</v>
      </c>
      <c r="AI23" s="97">
        <v>0</v>
      </c>
      <c r="AJ23" s="97">
        <v>0</v>
      </c>
      <c r="AK23" s="97">
        <v>0</v>
      </c>
      <c r="AL23" s="97">
        <v>0</v>
      </c>
      <c r="AM23" s="97">
        <v>0</v>
      </c>
      <c r="AN23" s="97">
        <v>0</v>
      </c>
      <c r="AO23" s="97">
        <v>0</v>
      </c>
      <c r="AP23" s="97">
        <v>0</v>
      </c>
      <c r="AQ23" s="97">
        <v>0</v>
      </c>
      <c r="AR23" s="97">
        <v>0</v>
      </c>
      <c r="AS23" s="97">
        <v>0</v>
      </c>
      <c r="AT23" s="97">
        <v>0</v>
      </c>
      <c r="AU23" s="97">
        <v>0</v>
      </c>
      <c r="AV23" s="97">
        <v>0</v>
      </c>
      <c r="AW23" s="97">
        <v>0</v>
      </c>
      <c r="AX23" s="97">
        <v>0</v>
      </c>
      <c r="AY23" s="97">
        <v>0</v>
      </c>
      <c r="AZ23" s="97">
        <v>0</v>
      </c>
      <c r="BA23" s="97">
        <v>0</v>
      </c>
      <c r="BB23" s="97">
        <v>0</v>
      </c>
      <c r="BC23" s="97">
        <v>0</v>
      </c>
      <c r="BD23" s="97">
        <v>0</v>
      </c>
      <c r="BE23" s="97">
        <v>0</v>
      </c>
      <c r="BF23" s="97">
        <v>0</v>
      </c>
      <c r="BG23" s="97">
        <v>0</v>
      </c>
      <c r="BH23" s="97">
        <v>0</v>
      </c>
      <c r="BI23" s="97">
        <v>0</v>
      </c>
      <c r="BJ23" s="97">
        <v>0</v>
      </c>
      <c r="BK23" s="97">
        <v>0</v>
      </c>
      <c r="BL23" s="97">
        <v>0</v>
      </c>
      <c r="BM23" s="97">
        <v>0</v>
      </c>
      <c r="BN23" s="97">
        <v>0</v>
      </c>
      <c r="BO23" s="97">
        <v>0</v>
      </c>
      <c r="BP23" s="97">
        <v>0</v>
      </c>
      <c r="BQ23" s="97">
        <v>0</v>
      </c>
      <c r="BR23" s="97">
        <v>0</v>
      </c>
      <c r="BS23" s="97">
        <v>0</v>
      </c>
      <c r="BT23" s="97">
        <v>0</v>
      </c>
      <c r="BU23" s="97">
        <v>0</v>
      </c>
      <c r="BV23" s="97">
        <v>0</v>
      </c>
      <c r="BW23" s="97">
        <v>0</v>
      </c>
      <c r="BX23" s="97">
        <v>0</v>
      </c>
      <c r="BY23" s="136">
        <v>0</v>
      </c>
    </row>
    <row r="24" spans="1:77" x14ac:dyDescent="0.35">
      <c r="A24" s="85" t="s">
        <v>23</v>
      </c>
      <c r="B24" s="99">
        <v>12</v>
      </c>
      <c r="D24" s="107" t="s">
        <v>101</v>
      </c>
      <c r="E24" s="102">
        <f>IF(E3&gt;$B$24,0,SUM(E15:E19,E21:E23))</f>
      </c>
      <c r="F24" s="102">
        <f t="shared" ref="F24:BQ24" si="36">IF(F3&gt;$B$24,0,SUM(F15:F19,F21:F23))</f>
      </c>
      <c r="G24" s="102">
        <f t="shared" si="36"/>
      </c>
      <c r="H24" s="102">
        <f t="shared" si="36"/>
      </c>
      <c r="I24" s="102">
        <f t="shared" si="36"/>
      </c>
      <c r="J24" s="102">
        <f t="shared" si="36"/>
      </c>
      <c r="K24" s="102">
        <f t="shared" si="36"/>
      </c>
      <c r="L24" s="102">
        <f t="shared" si="36"/>
      </c>
      <c r="M24" s="102">
        <f t="shared" si="36"/>
      </c>
      <c r="N24" s="102">
        <f t="shared" si="36"/>
      </c>
      <c r="O24" s="102">
        <f t="shared" si="36"/>
      </c>
      <c r="P24" s="102">
        <f t="shared" si="36"/>
      </c>
      <c r="Q24" s="102">
        <f t="shared" si="36"/>
      </c>
      <c r="R24" s="102">
        <v>0</v>
      </c>
      <c r="S24" s="102">
        <v>0</v>
      </c>
      <c r="T24" s="102">
        <v>0</v>
      </c>
      <c r="U24" s="102">
        <v>0</v>
      </c>
      <c r="V24" s="102">
        <v>0</v>
      </c>
      <c r="W24" s="102">
        <v>0</v>
      </c>
      <c r="X24" s="102">
        <v>0</v>
      </c>
      <c r="Y24" s="102">
        <v>0</v>
      </c>
      <c r="Z24" s="102">
        <v>0</v>
      </c>
      <c r="AA24" s="102">
        <v>0</v>
      </c>
      <c r="AB24" s="102">
        <v>0</v>
      </c>
      <c r="AC24" s="102">
        <v>0</v>
      </c>
      <c r="AD24" s="102">
        <v>0</v>
      </c>
      <c r="AE24" s="102">
        <v>0</v>
      </c>
      <c r="AF24" s="102">
        <v>0</v>
      </c>
      <c r="AG24" s="102">
        <v>0</v>
      </c>
      <c r="AH24" s="102">
        <v>0</v>
      </c>
      <c r="AI24" s="102">
        <v>0</v>
      </c>
      <c r="AJ24" s="102">
        <v>0</v>
      </c>
      <c r="AK24" s="102">
        <v>0</v>
      </c>
      <c r="AL24" s="102">
        <v>0</v>
      </c>
      <c r="AM24" s="102">
        <v>0</v>
      </c>
      <c r="AN24" s="102">
        <v>0</v>
      </c>
      <c r="AO24" s="102">
        <v>0</v>
      </c>
      <c r="AP24" s="102">
        <v>0</v>
      </c>
      <c r="AQ24" s="102">
        <v>0</v>
      </c>
      <c r="AR24" s="102">
        <v>0</v>
      </c>
      <c r="AS24" s="102">
        <v>0</v>
      </c>
      <c r="AT24" s="102">
        <v>0</v>
      </c>
      <c r="AU24" s="102">
        <v>0</v>
      </c>
      <c r="AV24" s="102">
        <v>0</v>
      </c>
      <c r="AW24" s="102">
        <v>0</v>
      </c>
      <c r="AX24" s="102">
        <v>0</v>
      </c>
      <c r="AY24" s="102">
        <v>0</v>
      </c>
      <c r="AZ24" s="102">
        <v>0</v>
      </c>
      <c r="BA24" s="102">
        <v>0</v>
      </c>
      <c r="BB24" s="102">
        <v>0</v>
      </c>
      <c r="BC24" s="102">
        <v>0</v>
      </c>
      <c r="BD24" s="102">
        <v>0</v>
      </c>
      <c r="BE24" s="102">
        <v>0</v>
      </c>
      <c r="BF24" s="102">
        <v>0</v>
      </c>
      <c r="BG24" s="102">
        <v>0</v>
      </c>
      <c r="BH24" s="102">
        <v>0</v>
      </c>
      <c r="BI24" s="102">
        <v>0</v>
      </c>
      <c r="BJ24" s="102">
        <v>0</v>
      </c>
      <c r="BK24" s="102">
        <v>0</v>
      </c>
      <c r="BL24" s="102">
        <v>0</v>
      </c>
      <c r="BM24" s="102">
        <v>0</v>
      </c>
      <c r="BN24" s="102">
        <v>0</v>
      </c>
      <c r="BO24" s="102">
        <v>0</v>
      </c>
      <c r="BP24" s="102">
        <v>0</v>
      </c>
      <c r="BQ24" s="102">
        <v>0</v>
      </c>
      <c r="BR24" s="102">
        <v>0</v>
      </c>
      <c r="BS24" s="102">
        <v>0</v>
      </c>
      <c r="BT24" s="102">
        <v>0</v>
      </c>
      <c r="BU24" s="102">
        <v>0</v>
      </c>
      <c r="BV24" s="102">
        <v>0</v>
      </c>
      <c r="BW24" s="102">
        <v>0</v>
      </c>
      <c r="BX24" s="102">
        <v>0</v>
      </c>
      <c r="BY24" s="103">
        <v>0</v>
      </c>
    </row>
    <row r="25" spans="1:77" x14ac:dyDescent="0.35">
      <c r="A25" s="100" t="s">
        <v>93</v>
      </c>
      <c r="B25" s="95">
        <v>0.03</v>
      </c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97"/>
      <c r="BF25" s="97"/>
      <c r="BG25" s="97"/>
      <c r="BH25" s="97"/>
      <c r="BI25" s="97"/>
      <c r="BJ25" s="97"/>
      <c r="BK25" s="97"/>
      <c r="BL25" s="97"/>
      <c r="BM25" s="97"/>
      <c r="BN25" s="97"/>
      <c r="BO25" s="97"/>
      <c r="BP25" s="97"/>
      <c r="BQ25" s="97"/>
      <c r="BR25" s="97"/>
      <c r="BS25" s="97"/>
      <c r="BT25" s="97"/>
      <c r="BU25" s="97"/>
      <c r="BV25" s="97"/>
      <c r="BW25" s="97"/>
      <c r="BX25" s="97"/>
      <c r="BY25" s="97"/>
    </row>
    <row r="26" spans="1:77" x14ac:dyDescent="0.35">
      <c r="D26" s="104" t="s">
        <v>109</v>
      </c>
      <c r="E26" s="112">
        <v>1</v>
      </c>
      <c r="F26" s="112">
        <f>E26+1</f>
      </c>
      <c r="G26" s="112">
        <f t="shared" ref="G26:I26" si="37">F26+1</f>
      </c>
      <c r="H26" s="112">
        <f t="shared" si="37"/>
      </c>
      <c r="I26" s="113">
        <f t="shared" si="37"/>
      </c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97"/>
      <c r="BF26" s="97"/>
      <c r="BG26" s="97"/>
      <c r="BH26" s="97"/>
      <c r="BI26" s="97"/>
      <c r="BJ26" s="97"/>
      <c r="BK26" s="97"/>
      <c r="BL26" s="97"/>
      <c r="BM26" s="97"/>
      <c r="BN26" s="97"/>
      <c r="BO26" s="97"/>
      <c r="BP26" s="97"/>
      <c r="BQ26" s="97"/>
      <c r="BR26" s="97"/>
      <c r="BS26" s="97"/>
      <c r="BT26" s="97"/>
      <c r="BU26" s="97"/>
      <c r="BV26" s="97"/>
      <c r="BW26" s="97"/>
      <c r="BX26" s="97"/>
      <c r="BY26" s="97"/>
    </row>
    <row r="27" spans="1:77" x14ac:dyDescent="0.35">
      <c r="A27" s="83" t="s">
        <v>102</v>
      </c>
      <c r="B27" s="84"/>
      <c r="D27" s="106" t="s">
        <v>110</v>
      </c>
      <c r="E27" s="114">
        <f>SUMIF($E$4:$BY$4,E26,E12:BY12)/ABS(SUMIFS($E$20:$BY$20,$E$20:$BY$20,"&lt;0",$E$4:$BY$4,"&lt;"&amp;E26))</f>
      </c>
      <c r="F27" s="114">
        <f t="shared" ref="F27:I27" si="38">SUMIF($E$4:$BY$4,F26,F12:BZ12)/ABS(SUMIFS($E$20:$BY$20,$E$20:$BY$20,"&lt;0",$E$4:$BY$4,"&lt;"&amp;F26))</f>
      </c>
      <c r="G27" s="114">
        <f t="shared" si="38"/>
      </c>
      <c r="H27" s="114">
        <f t="shared" si="38"/>
      </c>
      <c r="I27" s="58">
        <f t="shared" si="38"/>
      </c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97"/>
      <c r="BF27" s="97"/>
      <c r="BG27" s="97"/>
      <c r="BH27" s="97"/>
      <c r="BI27" s="97"/>
      <c r="BJ27" s="97"/>
      <c r="BK27" s="97"/>
      <c r="BL27" s="97"/>
      <c r="BM27" s="97"/>
      <c r="BN27" s="97"/>
      <c r="BO27" s="97"/>
      <c r="BP27" s="97"/>
      <c r="BQ27" s="97"/>
      <c r="BR27" s="97"/>
      <c r="BS27" s="97"/>
      <c r="BT27" s="97"/>
      <c r="BU27" s="97"/>
      <c r="BV27" s="97"/>
      <c r="BW27" s="97"/>
      <c r="BX27" s="97"/>
      <c r="BY27" s="97"/>
    </row>
    <row r="28" spans="1:77" x14ac:dyDescent="0.35">
      <c r="A28" s="86" t="s">
        <v>103</v>
      </c>
      <c r="B28" s="58">
        <f>SUM(F9:Q9)/B2</f>
      </c>
      <c r="D28" s="108" t="s">
        <v>111</v>
      </c>
      <c r="E28" s="115">
        <f>SUMIF($E$4:$BY$4,E26,E15:BY15)/ABS(SUMIFS($E$24:$BY$24,$E$24:$BY$24,"&lt;0",$E$4:$BY$4,"&lt;"&amp;E26))</f>
      </c>
      <c r="F28" s="115">
        <f t="shared" ref="F28:I28" si="39">SUMIF($E$4:$BY$4,F26,F15:BZ15)/ABS(SUMIFS($E$24:$BY$24,$E$24:$BY$24,"&lt;0",$E$4:$BY$4,"&lt;"&amp;F26))</f>
      </c>
      <c r="G28" s="115">
        <f t="shared" si="39"/>
      </c>
      <c r="H28" s="115">
        <f t="shared" si="39"/>
      </c>
      <c r="I28" s="110">
        <f t="shared" si="39"/>
      </c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97"/>
      <c r="BF28" s="97"/>
      <c r="BG28" s="97"/>
      <c r="BH28" s="97"/>
      <c r="BI28" s="97"/>
      <c r="BJ28" s="97"/>
      <c r="BK28" s="97"/>
      <c r="BL28" s="97"/>
      <c r="BM28" s="97"/>
      <c r="BN28" s="97"/>
      <c r="BO28" s="97"/>
      <c r="BP28" s="97"/>
      <c r="BQ28" s="97"/>
      <c r="BR28" s="97"/>
      <c r="BS28" s="97"/>
      <c r="BT28" s="97"/>
      <c r="BU28" s="97"/>
      <c r="BV28" s="97"/>
      <c r="BW28" s="97"/>
      <c r="BX28" s="97"/>
      <c r="BY28" s="97"/>
    </row>
    <row r="29" spans="1:77" x14ac:dyDescent="0.35">
      <c r="A29" s="85" t="s">
        <v>104</v>
      </c>
      <c r="B29" s="58" cm="1">
        <f t="array" ref="B29">-SUM(F13:Q14/E21)</f>
      </c>
    </row>
    <row r="30" spans="1:77" x14ac:dyDescent="0.35">
      <c r="A30" s="85" t="s">
        <v>105</v>
      </c>
      <c r="B30" s="58">
        <f>XIRR(E20:BY20,E2:BY2)</f>
      </c>
    </row>
    <row r="31" spans="1:77" x14ac:dyDescent="0.35">
      <c r="A31" s="85" t="s">
        <v>106</v>
      </c>
      <c r="B31" s="58">
        <f>XIRR(E24:BY24,E2:BY2)</f>
      </c>
    </row>
    <row r="32" spans="1:77" x14ac:dyDescent="0.35">
      <c r="A32" s="85" t="s">
        <v>107</v>
      </c>
      <c r="B32" s="111">
        <f>SUMIF(E20:BY20,"&gt;0",E20:BY20)/ABS(SUMIF(E20:BY20,"&lt;0",E20:BY20))</f>
      </c>
      <c r="D32" s="96"/>
    </row>
    <row r="33" spans="1:2" x14ac:dyDescent="0.35">
      <c r="A33" s="86" t="s">
        <v>108</v>
      </c>
      <c r="B33" s="111">
        <f>SUMIF(E24:BY24,"&gt;0",E24:BY24)/ABS(SUMIF(E24:BY24,"&lt;0",E24:BY24))</f>
      </c>
    </row>
    <row r="34" spans="1:2" x14ac:dyDescent="0.35">
      <c r="A34" s="86" t="s">
        <v>112</v>
      </c>
      <c r="B34" s="58">
        <f>AVERAGE(E27:I27)</f>
      </c>
    </row>
    <row r="35" spans="1:2" x14ac:dyDescent="0.35">
      <c r="A35" s="88" t="s">
        <v>113</v>
      </c>
      <c r="B35" s="110">
        <f>AVERAGE(E28:I28)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Deal Summary</vt:lpstr>
      <vt:lpstr>Rent Roll</vt:lpstr>
      <vt:lpstr>Expenses</vt:lpstr>
      <vt:lpstr>Pro Forma Cash Flow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