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560" yWindow="500" windowWidth="38620" windowHeight="2110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7" i="2"/>
  <c r="O187" i="2"/>
  <c r="N187" i="2"/>
  <c r="M187" i="2"/>
  <c r="L187" i="2"/>
  <c r="P186" i="2"/>
  <c r="P188" i="2" s="1"/>
  <c r="O186" i="2"/>
  <c r="O188" i="2" s="1"/>
  <c r="N186" i="2"/>
  <c r="N188" i="2" s="1"/>
  <c r="M186" i="2"/>
  <c r="M188" i="2" s="1"/>
  <c r="L186" i="2"/>
  <c r="L188" i="2" s="1"/>
  <c r="K183" i="2"/>
  <c r="J183" i="2"/>
  <c r="I183" i="2"/>
  <c r="H183" i="2"/>
  <c r="G183" i="2"/>
  <c r="P182" i="2"/>
  <c r="O182" i="2"/>
  <c r="N182" i="2"/>
  <c r="M182" i="2"/>
  <c r="L182" i="2"/>
  <c r="P181" i="2"/>
  <c r="P183" i="2" s="1"/>
  <c r="O181" i="2"/>
  <c r="O183" i="2" s="1"/>
  <c r="N181" i="2"/>
  <c r="N183" i="2" s="1"/>
  <c r="M181" i="2"/>
  <c r="M183" i="2" s="1"/>
  <c r="L181" i="2"/>
  <c r="L183" i="2" s="1"/>
  <c r="P173" i="2"/>
  <c r="O173" i="2"/>
  <c r="N173" i="2"/>
  <c r="M173" i="2"/>
  <c r="L173" i="2"/>
  <c r="P172" i="2"/>
  <c r="O172" i="2"/>
  <c r="N172" i="2"/>
  <c r="M172" i="2"/>
  <c r="L172" i="2"/>
  <c r="K172" i="2"/>
  <c r="K178" i="2" s="1"/>
  <c r="K190" i="2" s="1"/>
  <c r="J172" i="2"/>
  <c r="J178" i="2" s="1"/>
  <c r="J190" i="2" s="1"/>
  <c r="I172" i="2"/>
  <c r="I178" i="2" s="1"/>
  <c r="I190" i="2" s="1"/>
  <c r="H172" i="2"/>
  <c r="H178" i="2" s="1"/>
  <c r="H190" i="2" s="1"/>
  <c r="G172" i="2"/>
  <c r="G178" i="2" s="1"/>
  <c r="G190" i="2" s="1"/>
  <c r="G192" i="2" s="1"/>
  <c r="H191" i="2" s="1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L163" i="2"/>
  <c r="M163" i="2" s="1"/>
  <c r="N163" i="2" s="1"/>
  <c r="O163" i="2" s="1"/>
  <c r="P163" i="2" s="1"/>
  <c r="K159" i="2"/>
  <c r="J159" i="2"/>
  <c r="I159" i="2"/>
  <c r="H159" i="2"/>
  <c r="G159" i="2"/>
  <c r="L158" i="2"/>
  <c r="M158" i="2" s="1"/>
  <c r="N158" i="2" s="1"/>
  <c r="O158" i="2" s="1"/>
  <c r="P158" i="2" s="1"/>
  <c r="P157" i="2"/>
  <c r="O157" i="2"/>
  <c r="N157" i="2"/>
  <c r="M157" i="2"/>
  <c r="L157" i="2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P153" i="2"/>
  <c r="P176" i="2" s="1"/>
  <c r="O153" i="2"/>
  <c r="O176" i="2" s="1"/>
  <c r="N153" i="2"/>
  <c r="N176" i="2" s="1"/>
  <c r="M153" i="2"/>
  <c r="M176" i="2" s="1"/>
  <c r="L153" i="2"/>
  <c r="L176" i="2" s="1"/>
  <c r="P152" i="2"/>
  <c r="O152" i="2"/>
  <c r="N152" i="2"/>
  <c r="M152" i="2"/>
  <c r="L152" i="2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L145" i="2"/>
  <c r="M145" i="2" s="1"/>
  <c r="N145" i="2" s="1"/>
  <c r="O145" i="2" s="1"/>
  <c r="P145" i="2" s="1"/>
  <c r="L144" i="2"/>
  <c r="K141" i="2"/>
  <c r="J141" i="2"/>
  <c r="I141" i="2"/>
  <c r="H141" i="2"/>
  <c r="G141" i="2"/>
  <c r="P140" i="2"/>
  <c r="O140" i="2"/>
  <c r="P174" i="2" s="1"/>
  <c r="N140" i="2"/>
  <c r="O174" i="2" s="1"/>
  <c r="M140" i="2"/>
  <c r="N174" i="2" s="1"/>
  <c r="L140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P133" i="2"/>
  <c r="O133" i="2"/>
  <c r="N133" i="2"/>
  <c r="M133" i="2"/>
  <c r="L133" i="2"/>
  <c r="K133" i="2"/>
  <c r="J133" i="2"/>
  <c r="I133" i="2"/>
  <c r="H133" i="2"/>
  <c r="G133" i="2"/>
  <c r="P131" i="2"/>
  <c r="O131" i="2"/>
  <c r="N131" i="2"/>
  <c r="M131" i="2"/>
  <c r="L131" i="2"/>
  <c r="K131" i="2"/>
  <c r="J131" i="2"/>
  <c r="I131" i="2"/>
  <c r="H131" i="2"/>
  <c r="G131" i="2"/>
  <c r="P129" i="2"/>
  <c r="O129" i="2"/>
  <c r="N129" i="2"/>
  <c r="M129" i="2"/>
  <c r="L129" i="2"/>
  <c r="K129" i="2"/>
  <c r="J129" i="2"/>
  <c r="I129" i="2"/>
  <c r="H129" i="2"/>
  <c r="G129" i="2"/>
  <c r="P128" i="2"/>
  <c r="O128" i="2"/>
  <c r="N128" i="2"/>
  <c r="M128" i="2"/>
  <c r="L128" i="2"/>
  <c r="K128" i="2"/>
  <c r="J128" i="2"/>
  <c r="I128" i="2"/>
  <c r="H128" i="2"/>
  <c r="G128" i="2"/>
  <c r="N126" i="2"/>
  <c r="N130" i="2" s="1"/>
  <c r="L126" i="2"/>
  <c r="L130" i="2" s="1"/>
  <c r="P125" i="2"/>
  <c r="O125" i="2"/>
  <c r="N125" i="2"/>
  <c r="M125" i="2"/>
  <c r="L125" i="2"/>
  <c r="K125" i="2"/>
  <c r="J125" i="2"/>
  <c r="I125" i="2"/>
  <c r="H125" i="2"/>
  <c r="G125" i="2"/>
  <c r="P124" i="2"/>
  <c r="P126" i="2" s="1"/>
  <c r="P130" i="2" s="1"/>
  <c r="O124" i="2"/>
  <c r="O126" i="2" s="1"/>
  <c r="O130" i="2" s="1"/>
  <c r="N124" i="2"/>
  <c r="M124" i="2"/>
  <c r="M126" i="2" s="1"/>
  <c r="M130" i="2" s="1"/>
  <c r="L124" i="2"/>
  <c r="K124" i="2"/>
  <c r="K126" i="2" s="1"/>
  <c r="K130" i="2" s="1"/>
  <c r="J124" i="2"/>
  <c r="J126" i="2" s="1"/>
  <c r="J130" i="2" s="1"/>
  <c r="I124" i="2"/>
  <c r="I126" i="2" s="1"/>
  <c r="I130" i="2" s="1"/>
  <c r="H124" i="2"/>
  <c r="H126" i="2" s="1"/>
  <c r="H130" i="2" s="1"/>
  <c r="G124" i="2"/>
  <c r="G126" i="2" s="1"/>
  <c r="G130" i="2" s="1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B2" i="2"/>
  <c r="G9" i="2"/>
  <c r="H9" i="2"/>
  <c r="I9" i="2"/>
  <c r="J9" i="2"/>
  <c r="K9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8" i="2"/>
  <c r="H18" i="2"/>
  <c r="I18" i="2"/>
  <c r="J18" i="2"/>
  <c r="K18" i="2"/>
  <c r="M18" i="2"/>
  <c r="M87" i="2" s="1"/>
  <c r="N18" i="2"/>
  <c r="N87" i="2" s="1"/>
  <c r="O18" i="2"/>
  <c r="G19" i="2"/>
  <c r="H19" i="2"/>
  <c r="I19" i="2"/>
  <c r="J19" i="2"/>
  <c r="K19" i="2"/>
  <c r="M19" i="2"/>
  <c r="G20" i="2"/>
  <c r="H20" i="2"/>
  <c r="I20" i="2"/>
  <c r="J20" i="2"/>
  <c r="K20" i="2"/>
  <c r="M20" i="2"/>
  <c r="G22" i="2"/>
  <c r="H22" i="2"/>
  <c r="I22" i="2"/>
  <c r="J22" i="2"/>
  <c r="K22" i="2"/>
  <c r="G23" i="2"/>
  <c r="H23" i="2"/>
  <c r="I23" i="2"/>
  <c r="J23" i="2"/>
  <c r="K23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M31" i="2"/>
  <c r="N31" i="2"/>
  <c r="O31" i="2" s="1"/>
  <c r="P31" i="2" s="1"/>
  <c r="G40" i="2"/>
  <c r="H40" i="2"/>
  <c r="I40" i="2"/>
  <c r="J40" i="2"/>
  <c r="K40" i="2"/>
  <c r="L40" i="2"/>
  <c r="M40" i="2"/>
  <c r="N40" i="2"/>
  <c r="O40" i="2"/>
  <c r="P40" i="2"/>
  <c r="C43" i="2"/>
  <c r="G43" i="2"/>
  <c r="H43" i="2"/>
  <c r="I43" i="2"/>
  <c r="J43" i="2"/>
  <c r="K43" i="2"/>
  <c r="L43" i="2"/>
  <c r="C44" i="2"/>
  <c r="G44" i="2"/>
  <c r="H44" i="2"/>
  <c r="I44" i="2"/>
  <c r="J44" i="2"/>
  <c r="K44" i="2"/>
  <c r="L44" i="2"/>
  <c r="M44" i="2"/>
  <c r="N44" i="2"/>
  <c r="O44" i="2"/>
  <c r="P44" i="2"/>
  <c r="C45" i="2"/>
  <c r="G45" i="2"/>
  <c r="H45" i="2"/>
  <c r="I45" i="2"/>
  <c r="J45" i="2"/>
  <c r="K45" i="2"/>
  <c r="L45" i="2"/>
  <c r="M45" i="2"/>
  <c r="N45" i="2"/>
  <c r="O45" i="2"/>
  <c r="P45" i="2"/>
  <c r="C46" i="2"/>
  <c r="G46" i="2"/>
  <c r="H46" i="2"/>
  <c r="I46" i="2"/>
  <c r="J46" i="2"/>
  <c r="K46" i="2"/>
  <c r="L46" i="2"/>
  <c r="M46" i="2"/>
  <c r="N46" i="2"/>
  <c r="O46" i="2"/>
  <c r="P46" i="2"/>
  <c r="C47" i="2"/>
  <c r="G47" i="2"/>
  <c r="H47" i="2"/>
  <c r="I47" i="2"/>
  <c r="J47" i="2"/>
  <c r="K47" i="2"/>
  <c r="L47" i="2"/>
  <c r="M47" i="2"/>
  <c r="N47" i="2"/>
  <c r="O47" i="2"/>
  <c r="P47" i="2"/>
  <c r="C48" i="2"/>
  <c r="G48" i="2"/>
  <c r="H48" i="2"/>
  <c r="I48" i="2"/>
  <c r="J48" i="2"/>
  <c r="K48" i="2"/>
  <c r="L48" i="2"/>
  <c r="M48" i="2"/>
  <c r="N48" i="2"/>
  <c r="O48" i="2"/>
  <c r="P48" i="2"/>
  <c r="G52" i="2"/>
  <c r="L52" i="2"/>
  <c r="F53" i="2"/>
  <c r="G53" i="2"/>
  <c r="H53" i="2"/>
  <c r="I53" i="2"/>
  <c r="J53" i="2"/>
  <c r="K53" i="2"/>
  <c r="L53" i="2"/>
  <c r="M53" i="2"/>
  <c r="N53" i="2"/>
  <c r="O53" i="2"/>
  <c r="P53" i="2"/>
  <c r="G61" i="2"/>
  <c r="H61" i="2"/>
  <c r="I61" i="2"/>
  <c r="J61" i="2"/>
  <c r="K61" i="2"/>
  <c r="G63" i="2"/>
  <c r="H63" i="2"/>
  <c r="I63" i="2"/>
  <c r="J63" i="2"/>
  <c r="K63" i="2"/>
  <c r="G64" i="2"/>
  <c r="H64" i="2"/>
  <c r="I64" i="2"/>
  <c r="J64" i="2"/>
  <c r="K64" i="2"/>
  <c r="M64" i="2"/>
  <c r="N64" i="2"/>
  <c r="O64" i="2"/>
  <c r="P64" i="2"/>
  <c r="G66" i="2"/>
  <c r="H66" i="2"/>
  <c r="I66" i="2"/>
  <c r="J66" i="2"/>
  <c r="K66" i="2"/>
  <c r="G76" i="2"/>
  <c r="L76" i="2"/>
  <c r="F77" i="2"/>
  <c r="G77" i="2"/>
  <c r="H77" i="2"/>
  <c r="I77" i="2"/>
  <c r="J77" i="2"/>
  <c r="K77" i="2"/>
  <c r="L77" i="2"/>
  <c r="M77" i="2"/>
  <c r="N77" i="2"/>
  <c r="O77" i="2"/>
  <c r="P77" i="2"/>
  <c r="L79" i="2"/>
  <c r="M79" i="2"/>
  <c r="N79" i="2"/>
  <c r="O79" i="2"/>
  <c r="P79" i="2"/>
  <c r="L80" i="2"/>
  <c r="M80" i="2"/>
  <c r="N80" i="2"/>
  <c r="O80" i="2"/>
  <c r="P80" i="2"/>
  <c r="L81" i="2"/>
  <c r="M81" i="2"/>
  <c r="N81" i="2"/>
  <c r="O81" i="2"/>
  <c r="P81" i="2"/>
  <c r="L82" i="2"/>
  <c r="M82" i="2"/>
  <c r="N82" i="2"/>
  <c r="O82" i="2"/>
  <c r="P82" i="2"/>
  <c r="L83" i="2"/>
  <c r="M83" i="2"/>
  <c r="N83" i="2"/>
  <c r="O83" i="2"/>
  <c r="P83" i="2"/>
  <c r="G84" i="2"/>
  <c r="H84" i="2"/>
  <c r="I84" i="2"/>
  <c r="J84" i="2"/>
  <c r="K84" i="2"/>
  <c r="L84" i="2"/>
  <c r="M84" i="2"/>
  <c r="N84" i="2"/>
  <c r="O84" i="2"/>
  <c r="P84" i="2"/>
  <c r="L87" i="2"/>
  <c r="L88" i="2"/>
  <c r="L89" i="2"/>
  <c r="G90" i="2"/>
  <c r="H90" i="2"/>
  <c r="I90" i="2"/>
  <c r="J90" i="2"/>
  <c r="K90" i="2"/>
  <c r="L90" i="2"/>
  <c r="G92" i="2"/>
  <c r="G99" i="2" s="1"/>
  <c r="G115" i="2" s="1"/>
  <c r="H92" i="2"/>
  <c r="H99" i="2" s="1"/>
  <c r="H115" i="2" s="1"/>
  <c r="I92" i="2"/>
  <c r="I99" i="2" s="1"/>
  <c r="I115" i="2" s="1"/>
  <c r="J92" i="2"/>
  <c r="J99" i="2" s="1"/>
  <c r="J115" i="2" s="1"/>
  <c r="K92" i="2"/>
  <c r="K99" i="2" s="1"/>
  <c r="K115" i="2" s="1"/>
  <c r="L92" i="2"/>
  <c r="G97" i="2"/>
  <c r="H97" i="2"/>
  <c r="I97" i="2"/>
  <c r="J97" i="2"/>
  <c r="K97" i="2"/>
  <c r="L105" i="2"/>
  <c r="M105" i="2"/>
  <c r="N105" i="2"/>
  <c r="O105" i="2"/>
  <c r="P105" i="2"/>
  <c r="L106" i="2"/>
  <c r="M106" i="2"/>
  <c r="N106" i="2"/>
  <c r="O106" i="2"/>
  <c r="P106" i="2"/>
  <c r="L107" i="2"/>
  <c r="M107" i="2"/>
  <c r="N107" i="2"/>
  <c r="O107" i="2"/>
  <c r="P107" i="2"/>
  <c r="L111" i="2"/>
  <c r="M111" i="2"/>
  <c r="N111" i="2"/>
  <c r="O111" i="2"/>
  <c r="P111" i="2"/>
  <c r="L112" i="2"/>
  <c r="M112" i="2"/>
  <c r="N112" i="2"/>
  <c r="O112" i="2"/>
  <c r="P112" i="2"/>
  <c r="G113" i="2"/>
  <c r="H113" i="2"/>
  <c r="I113" i="2"/>
  <c r="J113" i="2"/>
  <c r="K113" i="2"/>
  <c r="L66" i="2"/>
  <c r="M66" i="2"/>
  <c r="N66" i="2"/>
  <c r="O66" i="2"/>
  <c r="P66" i="2"/>
  <c r="N27" i="7"/>
  <c r="M27" i="7"/>
  <c r="L27" i="7"/>
  <c r="K27" i="7"/>
  <c r="J27" i="7"/>
  <c r="C20" i="7" a="1"/>
  <c r="F20" i="7" s="1"/>
  <c r="B20" i="7"/>
  <c r="C19" i="7"/>
  <c r="C19" i="7" a="1"/>
  <c r="G19" i="7" s="1"/>
  <c r="B19" i="7"/>
  <c r="C18" i="7" a="1"/>
  <c r="G18" i="7" s="1"/>
  <c r="C17" i="7" a="1"/>
  <c r="G17" i="7" s="1"/>
  <c r="B17" i="7"/>
  <c r="G16" i="7"/>
  <c r="F16" i="7"/>
  <c r="E16" i="7"/>
  <c r="D16" i="7"/>
  <c r="C16" i="7"/>
  <c r="C16" i="7" a="1"/>
  <c r="B16" i="7"/>
  <c r="C15" i="7" a="1"/>
  <c r="C15" i="7" s="1"/>
  <c r="G14" i="7"/>
  <c r="F14" i="7"/>
  <c r="E14" i="7"/>
  <c r="D14" i="7"/>
  <c r="C14" i="7" a="1"/>
  <c r="C14" i="7" s="1"/>
  <c r="B14" i="7"/>
  <c r="C13" i="7" a="1"/>
  <c r="D13" i="7" s="1"/>
  <c r="B13" i="7"/>
  <c r="G12" i="7"/>
  <c r="F12" i="7"/>
  <c r="E12" i="7"/>
  <c r="D12" i="7"/>
  <c r="C12" i="7"/>
  <c r="C12" i="7" a="1"/>
  <c r="B3" i="7"/>
  <c r="I24" i="7"/>
  <c r="I23" i="7"/>
  <c r="I20" i="7"/>
  <c r="I19" i="7"/>
  <c r="I18" i="7"/>
  <c r="I17" i="7"/>
  <c r="I16" i="7"/>
  <c r="I15" i="7"/>
  <c r="I14" i="7"/>
  <c r="I13" i="7"/>
  <c r="I12" i="7"/>
  <c r="J5" i="7"/>
  <c r="C5" i="7"/>
  <c r="B5" i="7"/>
  <c r="B2" i="7"/>
  <c r="P177" i="2" l="1"/>
  <c r="P159" i="2"/>
  <c r="O177" i="2"/>
  <c r="O159" i="2"/>
  <c r="N159" i="2"/>
  <c r="N177" i="2"/>
  <c r="M159" i="2"/>
  <c r="M177" i="2"/>
  <c r="L159" i="2"/>
  <c r="L177" i="2"/>
  <c r="P175" i="2"/>
  <c r="P154" i="2"/>
  <c r="P161" i="2" s="1"/>
  <c r="P165" i="2" s="1"/>
  <c r="O175" i="2"/>
  <c r="O154" i="2"/>
  <c r="O161" i="2" s="1"/>
  <c r="O165" i="2" s="1"/>
  <c r="N175" i="2"/>
  <c r="N154" i="2"/>
  <c r="N161" i="2" s="1"/>
  <c r="N165" i="2" s="1"/>
  <c r="M154" i="2"/>
  <c r="M161" i="2" s="1"/>
  <c r="M165" i="2" s="1"/>
  <c r="M175" i="2"/>
  <c r="L175" i="2"/>
  <c r="L154" i="2"/>
  <c r="M144" i="2"/>
  <c r="L146" i="2"/>
  <c r="L174" i="2"/>
  <c r="M174" i="2"/>
  <c r="M178" i="2" s="1"/>
  <c r="M190" i="2" s="1"/>
  <c r="P178" i="2"/>
  <c r="P190" i="2" s="1"/>
  <c r="O178" i="2"/>
  <c r="O190" i="2" s="1"/>
  <c r="N178" i="2"/>
  <c r="N190" i="2" s="1"/>
  <c r="H192" i="2"/>
  <c r="I191" i="2" s="1"/>
  <c r="I192" i="2" s="1"/>
  <c r="J191" i="2" s="1"/>
  <c r="J192" i="2" s="1"/>
  <c r="K191" i="2" s="1"/>
  <c r="K192" i="2" s="1"/>
  <c r="L191" i="2" s="1"/>
  <c r="O87" i="2"/>
  <c r="P18" i="2"/>
  <c r="P87" i="2" s="1"/>
  <c r="N19" i="2"/>
  <c r="M88" i="2"/>
  <c r="N20" i="2"/>
  <c r="M89" i="2"/>
  <c r="L103" i="2"/>
  <c r="M43" i="2"/>
  <c r="G74" i="2"/>
  <c r="G73" i="2"/>
  <c r="G72" i="2"/>
  <c r="H74" i="2"/>
  <c r="H73" i="2"/>
  <c r="H72" i="2"/>
  <c r="I74" i="2"/>
  <c r="I73" i="2"/>
  <c r="I72" i="2"/>
  <c r="J74" i="2"/>
  <c r="J73" i="2"/>
  <c r="J72" i="2"/>
  <c r="K74" i="2"/>
  <c r="K73" i="2"/>
  <c r="K72" i="2"/>
  <c r="G60" i="2"/>
  <c r="G55" i="2"/>
  <c r="G58" i="2"/>
  <c r="H58" i="2"/>
  <c r="H55" i="2"/>
  <c r="H60" i="2"/>
  <c r="I60" i="2"/>
  <c r="I55" i="2"/>
  <c r="I58" i="2"/>
  <c r="J60" i="2"/>
  <c r="J55" i="2"/>
  <c r="J58" i="2"/>
  <c r="K60" i="2"/>
  <c r="K58" i="2"/>
  <c r="K55" i="2"/>
  <c r="L110" i="2"/>
  <c r="L109" i="2"/>
  <c r="L108" i="2"/>
  <c r="L104" i="2"/>
  <c r="L102" i="2"/>
  <c r="L96" i="2"/>
  <c r="L95" i="2"/>
  <c r="L97" i="2" s="1"/>
  <c r="L99" i="2" s="1"/>
  <c r="M95" i="2"/>
  <c r="M110" i="2"/>
  <c r="M109" i="2"/>
  <c r="M108" i="2"/>
  <c r="M104" i="2"/>
  <c r="M102" i="2"/>
  <c r="M96" i="2"/>
  <c r="N96" i="2"/>
  <c r="N104" i="2"/>
  <c r="N110" i="2"/>
  <c r="N95" i="2"/>
  <c r="N97" i="2" s="1"/>
  <c r="N102" i="2"/>
  <c r="N109" i="2"/>
  <c r="N108" i="2"/>
  <c r="O109" i="2"/>
  <c r="O95" i="2"/>
  <c r="O104" i="2"/>
  <c r="O110" i="2"/>
  <c r="O96" i="2"/>
  <c r="O108" i="2"/>
  <c r="O102" i="2"/>
  <c r="P104" i="2"/>
  <c r="P109" i="2"/>
  <c r="P102" i="2"/>
  <c r="P108" i="2"/>
  <c r="P96" i="2"/>
  <c r="P110" i="2"/>
  <c r="P95" i="2"/>
  <c r="P97" i="2" s="1"/>
  <c r="G31" i="2"/>
  <c r="G119" i="2"/>
  <c r="H31" i="2"/>
  <c r="H119" i="2"/>
  <c r="I31" i="2"/>
  <c r="I119" i="2"/>
  <c r="J31" i="2"/>
  <c r="J119" i="2"/>
  <c r="K31" i="2"/>
  <c r="K119" i="2"/>
  <c r="G56" i="2"/>
  <c r="G57" i="2"/>
  <c r="H57" i="2"/>
  <c r="H56" i="2"/>
  <c r="I57" i="2"/>
  <c r="I56" i="2"/>
  <c r="J57" i="2"/>
  <c r="J56" i="2"/>
  <c r="K56" i="2"/>
  <c r="K57" i="2"/>
  <c r="L74" i="2"/>
  <c r="L73" i="2"/>
  <c r="L72" i="2"/>
  <c r="M74" i="2"/>
  <c r="M73" i="2"/>
  <c r="M72" i="2"/>
  <c r="N74" i="2"/>
  <c r="N73" i="2"/>
  <c r="N72" i="2"/>
  <c r="O74" i="2"/>
  <c r="O73" i="2"/>
  <c r="O72" i="2"/>
  <c r="P74" i="2"/>
  <c r="P73" i="2"/>
  <c r="P72" i="2"/>
  <c r="C18" i="7"/>
  <c r="G20" i="7"/>
  <c r="F13" i="7"/>
  <c r="E15" i="7"/>
  <c r="C17" i="7"/>
  <c r="E13" i="7"/>
  <c r="D15" i="7"/>
  <c r="G13" i="7"/>
  <c r="F15" i="7"/>
  <c r="D17" i="7"/>
  <c r="G15" i="7"/>
  <c r="E17" i="7"/>
  <c r="D19" i="7"/>
  <c r="F18" i="7"/>
  <c r="F17" i="7"/>
  <c r="E19" i="7"/>
  <c r="D18" i="7"/>
  <c r="C13" i="7"/>
  <c r="F19" i="7"/>
  <c r="E18" i="7"/>
  <c r="C20" i="7"/>
  <c r="D20" i="7"/>
  <c r="E20" i="7"/>
  <c r="N144" i="2" l="1"/>
  <c r="M146" i="2"/>
  <c r="L161" i="2"/>
  <c r="L165" i="2" s="1"/>
  <c r="L178" i="2"/>
  <c r="L190" i="2" s="1"/>
  <c r="L192" i="2" s="1"/>
  <c r="N88" i="2"/>
  <c r="O19" i="2"/>
  <c r="O20" i="2"/>
  <c r="N89" i="2"/>
  <c r="N43" i="2"/>
  <c r="M103" i="2"/>
  <c r="M113" i="2" s="1"/>
  <c r="L113" i="2"/>
  <c r="M97" i="2"/>
  <c r="O97" i="2"/>
  <c r="M90" i="2"/>
  <c r="M92" i="2" s="1"/>
  <c r="M99" i="2" s="1"/>
  <c r="M115" i="2" s="1"/>
  <c r="O144" i="2" l="1"/>
  <c r="N146" i="2"/>
  <c r="L139" i="2"/>
  <c r="L141" i="2" s="1"/>
  <c r="L148" i="2" s="1"/>
  <c r="L167" i="2" s="1"/>
  <c r="M191" i="2"/>
  <c r="M192" i="2" s="1"/>
  <c r="O88" i="2"/>
  <c r="P19" i="2"/>
  <c r="P88" i="2" s="1"/>
  <c r="O89" i="2"/>
  <c r="P20" i="2"/>
  <c r="P89" i="2" s="1"/>
  <c r="N103" i="2"/>
  <c r="N113" i="2" s="1"/>
  <c r="O43" i="2"/>
  <c r="L115" i="2"/>
  <c r="M117" i="2"/>
  <c r="N90" i="2"/>
  <c r="N92" i="2" s="1"/>
  <c r="N99" i="2" s="1"/>
  <c r="N115" i="2" s="1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40" i="4"/>
  <c r="F40" i="4"/>
  <c r="E40" i="4"/>
  <c r="D40" i="4"/>
  <c r="C40" i="4"/>
  <c r="P144" i="2" l="1"/>
  <c r="P146" i="2" s="1"/>
  <c r="O146" i="2"/>
  <c r="M139" i="2"/>
  <c r="M141" i="2" s="1"/>
  <c r="M148" i="2" s="1"/>
  <c r="M167" i="2" s="1"/>
  <c r="N191" i="2"/>
  <c r="N192" i="2" s="1"/>
  <c r="O103" i="2"/>
  <c r="O113" i="2" s="1"/>
  <c r="P43" i="2"/>
  <c r="P103" i="2" s="1"/>
  <c r="P113" i="2" s="1"/>
  <c r="L117" i="2"/>
  <c r="L119" i="2"/>
  <c r="N117" i="2"/>
  <c r="O90" i="2"/>
  <c r="O92" i="2" s="1"/>
  <c r="O99" i="2" s="1"/>
  <c r="O115" i="2" s="1"/>
  <c r="P90" i="2"/>
  <c r="P92" i="2" s="1"/>
  <c r="P99" i="2" s="1"/>
  <c r="P115" i="2" s="1"/>
  <c r="M119" i="2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N139" i="2" l="1"/>
  <c r="N141" i="2" s="1"/>
  <c r="N148" i="2" s="1"/>
  <c r="N167" i="2" s="1"/>
  <c r="O191" i="2"/>
  <c r="O192" i="2" s="1"/>
  <c r="O117" i="2"/>
  <c r="P117" i="2"/>
  <c r="N119" i="2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C75" i="4"/>
  <c r="C89" i="4" s="1"/>
  <c r="C103" i="4" s="1"/>
  <c r="C117" i="4" s="1"/>
  <c r="F60" i="4"/>
  <c r="O139" i="2" l="1"/>
  <c r="O141" i="2" s="1"/>
  <c r="O148" i="2" s="1"/>
  <c r="O167" i="2" s="1"/>
  <c r="P191" i="2"/>
  <c r="P192" i="2" s="1"/>
  <c r="P139" i="2" s="1"/>
  <c r="P141" i="2" s="1"/>
  <c r="P148" i="2" s="1"/>
  <c r="P167" i="2" s="1"/>
  <c r="O119" i="2"/>
  <c r="P119" i="2"/>
  <c r="O65" i="3"/>
  <c r="E9" i="4"/>
  <c r="G60" i="4"/>
  <c r="F61" i="4"/>
  <c r="G103" i="3"/>
  <c r="P99" i="3"/>
  <c r="P100" i="3" s="1"/>
  <c r="O99" i="3"/>
  <c r="O100" i="3" s="1"/>
  <c r="N99" i="3"/>
  <c r="N100" i="3" s="1"/>
  <c r="M99" i="3"/>
  <c r="M100" i="3" s="1"/>
  <c r="L99" i="3"/>
  <c r="L100" i="3" s="1"/>
  <c r="K99" i="3"/>
  <c r="K100" i="3" s="1"/>
  <c r="J99" i="3"/>
  <c r="J100" i="3" s="1"/>
  <c r="I99" i="3"/>
  <c r="I100" i="3" s="1"/>
  <c r="H99" i="3"/>
  <c r="H100" i="3" s="1"/>
  <c r="G99" i="3"/>
  <c r="G100" i="3" s="1"/>
  <c r="P95" i="3"/>
  <c r="O95" i="3"/>
  <c r="N95" i="3"/>
  <c r="M95" i="3"/>
  <c r="L95" i="3"/>
  <c r="K95" i="3"/>
  <c r="J95" i="3"/>
  <c r="I95" i="3"/>
  <c r="H95" i="3"/>
  <c r="G95" i="3"/>
  <c r="O94" i="3"/>
  <c r="F54" i="4" s="1"/>
  <c r="N94" i="3"/>
  <c r="E54" i="4" s="1"/>
  <c r="M94" i="3"/>
  <c r="L94" i="3"/>
  <c r="K94" i="3"/>
  <c r="K96" i="3" s="1"/>
  <c r="J94" i="3"/>
  <c r="J96" i="3" s="1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L71" i="3" s="1"/>
  <c r="M71" i="3" s="1"/>
  <c r="J71" i="3"/>
  <c r="I71" i="3"/>
  <c r="H71" i="3"/>
  <c r="G71" i="3"/>
  <c r="O70" i="3"/>
  <c r="N70" i="3"/>
  <c r="M70" i="3"/>
  <c r="L70" i="3"/>
  <c r="K70" i="3"/>
  <c r="J70" i="3"/>
  <c r="I70" i="3"/>
  <c r="H70" i="3"/>
  <c r="G70" i="3"/>
  <c r="N66" i="3"/>
  <c r="M66" i="3"/>
  <c r="L66" i="3"/>
  <c r="K66" i="3"/>
  <c r="J66" i="3"/>
  <c r="I66" i="3"/>
  <c r="H66" i="3"/>
  <c r="G66" i="3"/>
  <c r="N65" i="3"/>
  <c r="M65" i="3"/>
  <c r="L65" i="3"/>
  <c r="K65" i="3"/>
  <c r="J65" i="3"/>
  <c r="J67" i="3" s="1"/>
  <c r="I65" i="3"/>
  <c r="H65" i="3"/>
  <c r="G65" i="3"/>
  <c r="K58" i="3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O53" i="3"/>
  <c r="N53" i="3"/>
  <c r="O87" i="3" s="1"/>
  <c r="M53" i="3"/>
  <c r="N87" i="3" s="1"/>
  <c r="L53" i="3"/>
  <c r="M87" i="3" s="1"/>
  <c r="K53" i="3"/>
  <c r="L87" i="3" s="1"/>
  <c r="J53" i="3"/>
  <c r="I53" i="3"/>
  <c r="H53" i="3"/>
  <c r="G53" i="3"/>
  <c r="K30" i="3"/>
  <c r="J30" i="3"/>
  <c r="I30" i="3"/>
  <c r="H30" i="3"/>
  <c r="G30" i="3"/>
  <c r="O23" i="3"/>
  <c r="N23" i="3"/>
  <c r="M23" i="3"/>
  <c r="M38" i="3" s="1"/>
  <c r="L23" i="3"/>
  <c r="L38" i="3" s="1"/>
  <c r="K23" i="3"/>
  <c r="K38" i="3" s="1"/>
  <c r="J23" i="3"/>
  <c r="J86" i="3" s="1"/>
  <c r="I23" i="3"/>
  <c r="I86" i="3" s="1"/>
  <c r="H23" i="3"/>
  <c r="H86" i="3" s="1"/>
  <c r="G23" i="3"/>
  <c r="G38" i="3" s="1"/>
  <c r="N22" i="3"/>
  <c r="M22" i="3"/>
  <c r="L22" i="3"/>
  <c r="K22" i="3"/>
  <c r="J22" i="3"/>
  <c r="I22" i="3"/>
  <c r="H22" i="3"/>
  <c r="G22" i="3"/>
  <c r="N21" i="3"/>
  <c r="M21" i="3"/>
  <c r="L21" i="3"/>
  <c r="K21" i="3"/>
  <c r="J21" i="3"/>
  <c r="I21" i="3"/>
  <c r="H21" i="3"/>
  <c r="G21" i="3"/>
  <c r="N20" i="3"/>
  <c r="N24" i="3" s="1"/>
  <c r="M20" i="3"/>
  <c r="M24" i="3" s="1"/>
  <c r="L20" i="3"/>
  <c r="L24" i="3" s="1"/>
  <c r="K20" i="3"/>
  <c r="K24" i="3" s="1"/>
  <c r="J20" i="3"/>
  <c r="I20" i="3"/>
  <c r="H20" i="3"/>
  <c r="H24" i="3" s="1"/>
  <c r="G20" i="3"/>
  <c r="G24" i="3" s="1"/>
  <c r="O16" i="3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H15" i="3"/>
  <c r="G15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N17" i="3"/>
  <c r="E42" i="4" s="1"/>
  <c r="K17" i="3"/>
  <c r="J17" i="3"/>
  <c r="B2" i="3"/>
  <c r="O88" i="3" l="1"/>
  <c r="N90" i="3"/>
  <c r="K72" i="3"/>
  <c r="J72" i="3"/>
  <c r="J74" i="3" s="1"/>
  <c r="L89" i="3"/>
  <c r="N88" i="3"/>
  <c r="L58" i="3"/>
  <c r="I17" i="3"/>
  <c r="J41" i="3" s="1"/>
  <c r="H17" i="3"/>
  <c r="G17" i="3"/>
  <c r="D54" i="4"/>
  <c r="M96" i="3"/>
  <c r="C54" i="4"/>
  <c r="L96" i="3"/>
  <c r="O20" i="3"/>
  <c r="O21" i="3"/>
  <c r="O22" i="3"/>
  <c r="H67" i="3"/>
  <c r="J24" i="3"/>
  <c r="O96" i="3"/>
  <c r="N96" i="3"/>
  <c r="I72" i="3"/>
  <c r="O90" i="3"/>
  <c r="M90" i="3"/>
  <c r="L72" i="3"/>
  <c r="N67" i="3"/>
  <c r="G67" i="3"/>
  <c r="H72" i="3"/>
  <c r="I67" i="3"/>
  <c r="I24" i="3"/>
  <c r="O17" i="3"/>
  <c r="F42" i="4" s="1"/>
  <c r="F43" i="4" s="1"/>
  <c r="O66" i="3"/>
  <c r="O67" i="3" s="1"/>
  <c r="O86" i="3"/>
  <c r="F52" i="4" s="1"/>
  <c r="O38" i="3"/>
  <c r="N86" i="3"/>
  <c r="E52" i="4" s="1"/>
  <c r="N38" i="3"/>
  <c r="H12" i="7"/>
  <c r="H23" i="7"/>
  <c r="G61" i="4"/>
  <c r="H60" i="4"/>
  <c r="L90" i="3"/>
  <c r="K86" i="3"/>
  <c r="L86" i="3"/>
  <c r="M86" i="3"/>
  <c r="D52" i="4" s="1"/>
  <c r="G26" i="3"/>
  <c r="G41" i="3"/>
  <c r="M72" i="3"/>
  <c r="N71" i="3"/>
  <c r="H26" i="3"/>
  <c r="H41" i="3"/>
  <c r="J26" i="3"/>
  <c r="K26" i="3"/>
  <c r="O41" i="3"/>
  <c r="M58" i="3"/>
  <c r="N26" i="3"/>
  <c r="E45" i="4" s="1"/>
  <c r="I26" i="3"/>
  <c r="I41" i="3"/>
  <c r="M89" i="3"/>
  <c r="L17" i="3"/>
  <c r="K67" i="3"/>
  <c r="K74" i="3" s="1"/>
  <c r="O89" i="3"/>
  <c r="F53" i="4" s="1"/>
  <c r="M17" i="3"/>
  <c r="L88" i="3"/>
  <c r="C53" i="4" s="1"/>
  <c r="G86" i="3"/>
  <c r="H38" i="3"/>
  <c r="M88" i="3"/>
  <c r="L67" i="3"/>
  <c r="I38" i="3"/>
  <c r="K41" i="3"/>
  <c r="M67" i="3"/>
  <c r="J38" i="3"/>
  <c r="G96" i="3"/>
  <c r="H96" i="3"/>
  <c r="G72" i="3"/>
  <c r="I96" i="3"/>
  <c r="N89" i="3"/>
  <c r="H74" i="3" l="1"/>
  <c r="G74" i="3"/>
  <c r="G78" i="3" s="1"/>
  <c r="I74" i="3"/>
  <c r="D53" i="4"/>
  <c r="L74" i="3"/>
  <c r="E53" i="4"/>
  <c r="L31" i="7"/>
  <c r="N31" i="7"/>
  <c r="K31" i="7"/>
  <c r="J31" i="7"/>
  <c r="M31" i="7"/>
  <c r="K48" i="7"/>
  <c r="L48" i="7"/>
  <c r="M48" i="7"/>
  <c r="N48" i="7"/>
  <c r="J48" i="7"/>
  <c r="O24" i="3"/>
  <c r="O26" i="3" s="1"/>
  <c r="F45" i="4" s="1"/>
  <c r="L57" i="3"/>
  <c r="C52" i="4"/>
  <c r="E46" i="4"/>
  <c r="E48" i="4"/>
  <c r="E50" i="4" s="1"/>
  <c r="H13" i="7"/>
  <c r="C42" i="4"/>
  <c r="C43" i="4" s="1"/>
  <c r="N41" i="3"/>
  <c r="H14" i="7"/>
  <c r="D42" i="4"/>
  <c r="I60" i="4"/>
  <c r="H61" i="4"/>
  <c r="J37" i="3"/>
  <c r="J28" i="3"/>
  <c r="I37" i="3"/>
  <c r="I28" i="3"/>
  <c r="H37" i="3"/>
  <c r="H28" i="3"/>
  <c r="N28" i="3"/>
  <c r="N37" i="3"/>
  <c r="O71" i="3"/>
  <c r="N72" i="3"/>
  <c r="N74" i="3" s="1"/>
  <c r="K37" i="3"/>
  <c r="K28" i="3"/>
  <c r="M74" i="3"/>
  <c r="M41" i="3"/>
  <c r="M26" i="3"/>
  <c r="D45" i="4" s="1"/>
  <c r="G28" i="3"/>
  <c r="G37" i="3"/>
  <c r="N58" i="3"/>
  <c r="L41" i="3"/>
  <c r="L26" i="3"/>
  <c r="C45" i="4" s="1"/>
  <c r="O28" i="3"/>
  <c r="O37" i="3"/>
  <c r="E56" i="4" l="1"/>
  <c r="M57" i="3"/>
  <c r="L59" i="3"/>
  <c r="F46" i="4"/>
  <c r="F48" i="4"/>
  <c r="F50" i="4" s="1"/>
  <c r="F56" i="4" s="1"/>
  <c r="E58" i="4"/>
  <c r="N32" i="7"/>
  <c r="J32" i="7"/>
  <c r="L32" i="7"/>
  <c r="K32" i="7"/>
  <c r="M32" i="7"/>
  <c r="J33" i="7"/>
  <c r="N33" i="7"/>
  <c r="M33" i="7"/>
  <c r="L33" i="7"/>
  <c r="K33" i="7"/>
  <c r="E43" i="4"/>
  <c r="D43" i="4"/>
  <c r="D46" i="4"/>
  <c r="D48" i="4"/>
  <c r="D50" i="4"/>
  <c r="D56" i="4" s="1"/>
  <c r="C46" i="4"/>
  <c r="C48" i="4"/>
  <c r="C50" i="4"/>
  <c r="C56" i="4" s="1"/>
  <c r="J60" i="4"/>
  <c r="I61" i="4"/>
  <c r="G32" i="3"/>
  <c r="G46" i="3"/>
  <c r="H39" i="3"/>
  <c r="H43" i="3" s="1"/>
  <c r="H42" i="3"/>
  <c r="M28" i="3"/>
  <c r="M37" i="3"/>
  <c r="I32" i="3"/>
  <c r="I46" i="3"/>
  <c r="I39" i="3"/>
  <c r="I43" i="3" s="1"/>
  <c r="I42" i="3"/>
  <c r="J32" i="3"/>
  <c r="J46" i="3"/>
  <c r="O42" i="3"/>
  <c r="O39" i="3"/>
  <c r="O43" i="3" s="1"/>
  <c r="K32" i="3"/>
  <c r="H18" i="7" s="1"/>
  <c r="K46" i="3"/>
  <c r="J42" i="3"/>
  <c r="J39" i="3"/>
  <c r="J43" i="3" s="1"/>
  <c r="O30" i="3"/>
  <c r="K42" i="3"/>
  <c r="K39" i="3"/>
  <c r="L37" i="3"/>
  <c r="L28" i="3"/>
  <c r="O58" i="3"/>
  <c r="P71" i="3"/>
  <c r="O72" i="3"/>
  <c r="O74" i="3" s="1"/>
  <c r="N42" i="3"/>
  <c r="N39" i="3"/>
  <c r="N43" i="3" s="1"/>
  <c r="N30" i="3"/>
  <c r="G42" i="3"/>
  <c r="G39" i="3"/>
  <c r="G43" i="3" s="1"/>
  <c r="H32" i="3"/>
  <c r="H46" i="3"/>
  <c r="E57" i="4" l="1"/>
  <c r="N57" i="3"/>
  <c r="M59" i="3"/>
  <c r="O46" i="3"/>
  <c r="O32" i="3"/>
  <c r="F58" i="4"/>
  <c r="F57" i="4"/>
  <c r="D58" i="4"/>
  <c r="D57" i="4"/>
  <c r="C58" i="4"/>
  <c r="C57" i="4"/>
  <c r="L44" i="7"/>
  <c r="L18" i="7" s="1"/>
  <c r="M44" i="7"/>
  <c r="M18" i="7" s="1"/>
  <c r="K44" i="7"/>
  <c r="K18" i="7" s="1"/>
  <c r="N44" i="7"/>
  <c r="N18" i="7" s="1"/>
  <c r="J44" i="7"/>
  <c r="J18" i="7" s="1"/>
  <c r="K43" i="3"/>
  <c r="H15" i="7"/>
  <c r="H24" i="7"/>
  <c r="N46" i="3"/>
  <c r="N32" i="3"/>
  <c r="K60" i="4"/>
  <c r="J61" i="4"/>
  <c r="O85" i="3"/>
  <c r="O91" i="3" s="1"/>
  <c r="O102" i="3" s="1"/>
  <c r="O44" i="3"/>
  <c r="M42" i="3"/>
  <c r="M39" i="3"/>
  <c r="H44" i="3"/>
  <c r="H85" i="3"/>
  <c r="L30" i="3"/>
  <c r="L46" i="3" s="1"/>
  <c r="L42" i="3"/>
  <c r="L39" i="3"/>
  <c r="J44" i="3"/>
  <c r="J85" i="3"/>
  <c r="J91" i="3" s="1"/>
  <c r="J102" i="3" s="1"/>
  <c r="I85" i="3"/>
  <c r="I91" i="3" s="1"/>
  <c r="I102" i="3" s="1"/>
  <c r="I44" i="3"/>
  <c r="M30" i="3"/>
  <c r="P58" i="3"/>
  <c r="K85" i="3"/>
  <c r="K91" i="3" s="1"/>
  <c r="K102" i="3" s="1"/>
  <c r="K44" i="3"/>
  <c r="G44" i="3"/>
  <c r="G85" i="3"/>
  <c r="G91" i="3" s="1"/>
  <c r="G102" i="3" s="1"/>
  <c r="G104" i="3" s="1"/>
  <c r="N59" i="3" l="1"/>
  <c r="O57" i="3"/>
  <c r="O59" i="3" s="1"/>
  <c r="N85" i="3"/>
  <c r="N91" i="3" s="1"/>
  <c r="N102" i="3" s="1"/>
  <c r="N44" i="3"/>
  <c r="M46" i="3"/>
  <c r="M32" i="3"/>
  <c r="J34" i="7"/>
  <c r="K34" i="7"/>
  <c r="M34" i="7"/>
  <c r="L34" i="7"/>
  <c r="N34" i="7"/>
  <c r="J49" i="7"/>
  <c r="K49" i="7"/>
  <c r="L49" i="7"/>
  <c r="M49" i="7"/>
  <c r="N49" i="7"/>
  <c r="M43" i="3"/>
  <c r="H17" i="7"/>
  <c r="L43" i="3"/>
  <c r="H16" i="7"/>
  <c r="K61" i="4"/>
  <c r="L60" i="4"/>
  <c r="H103" i="3"/>
  <c r="G52" i="3"/>
  <c r="G54" i="3" s="1"/>
  <c r="G61" i="3" s="1"/>
  <c r="G80" i="3" s="1"/>
  <c r="L32" i="3"/>
  <c r="H19" i="7" s="1"/>
  <c r="H91" i="3"/>
  <c r="H102" i="3" s="1"/>
  <c r="H76" i="3"/>
  <c r="P15" i="3"/>
  <c r="H20" i="7" l="1"/>
  <c r="M46" i="7" s="1"/>
  <c r="M20" i="7" s="1"/>
  <c r="M85" i="3"/>
  <c r="M91" i="3" s="1"/>
  <c r="M102" i="3" s="1"/>
  <c r="M44" i="3"/>
  <c r="K36" i="7"/>
  <c r="L36" i="7"/>
  <c r="M36" i="7"/>
  <c r="N36" i="7"/>
  <c r="J36" i="7"/>
  <c r="N35" i="7"/>
  <c r="K35" i="7"/>
  <c r="J35" i="7"/>
  <c r="L35" i="7"/>
  <c r="M35" i="7"/>
  <c r="K45" i="7"/>
  <c r="K19" i="7" s="1"/>
  <c r="L45" i="7"/>
  <c r="L19" i="7" s="1"/>
  <c r="M45" i="7"/>
  <c r="M19" i="7" s="1"/>
  <c r="J45" i="7"/>
  <c r="J19" i="7" s="1"/>
  <c r="N45" i="7"/>
  <c r="N19" i="7" s="1"/>
  <c r="L61" i="4"/>
  <c r="H104" i="3"/>
  <c r="I103" i="3" s="1"/>
  <c r="I104" i="3" s="1"/>
  <c r="I76" i="3"/>
  <c r="H78" i="3"/>
  <c r="L85" i="3"/>
  <c r="L91" i="3" s="1"/>
  <c r="L102" i="3" s="1"/>
  <c r="L44" i="3"/>
  <c r="P70" i="3"/>
  <c r="P23" i="3"/>
  <c r="P53" i="3"/>
  <c r="P87" i="3" s="1"/>
  <c r="P16" i="3"/>
  <c r="P17" i="3" s="1"/>
  <c r="K46" i="7" l="1"/>
  <c r="K20" i="7" s="1"/>
  <c r="J46" i="7"/>
  <c r="J20" i="7" s="1"/>
  <c r="N46" i="7"/>
  <c r="N20" i="7" s="1"/>
  <c r="L46" i="7"/>
  <c r="L20" i="7" s="1"/>
  <c r="P41" i="3"/>
  <c r="G42" i="4"/>
  <c r="P38" i="3"/>
  <c r="P86" i="3"/>
  <c r="G52" i="4" s="1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G43" i="4" l="1"/>
  <c r="H43" i="4" s="1"/>
  <c r="P96" i="3"/>
  <c r="G54" i="4"/>
  <c r="P57" i="3"/>
  <c r="P59" i="3" s="1"/>
  <c r="K76" i="3"/>
  <c r="J78" i="3"/>
  <c r="I80" i="3"/>
  <c r="K103" i="3"/>
  <c r="K104" i="3" s="1"/>
  <c r="J52" i="3"/>
  <c r="J54" i="3" s="1"/>
  <c r="J61" i="3" s="1"/>
  <c r="P22" i="3"/>
  <c r="P20" i="3"/>
  <c r="P21" i="3"/>
  <c r="P65" i="3"/>
  <c r="I43" i="4" l="1"/>
  <c r="J43" i="4" s="1"/>
  <c r="K43" i="4" s="1"/>
  <c r="L43" i="4" s="1"/>
  <c r="M43" i="4" s="1"/>
  <c r="H42" i="4"/>
  <c r="P24" i="3"/>
  <c r="P26" i="3" s="1"/>
  <c r="G45" i="4" s="1"/>
  <c r="P66" i="3"/>
  <c r="P89" i="3" s="1"/>
  <c r="P88" i="3"/>
  <c r="G53" i="4" s="1"/>
  <c r="P28" i="3"/>
  <c r="P37" i="3"/>
  <c r="J80" i="3"/>
  <c r="L103" i="3"/>
  <c r="L104" i="3" s="1"/>
  <c r="K52" i="3"/>
  <c r="L76" i="3"/>
  <c r="K78" i="3"/>
  <c r="N43" i="4" l="1"/>
  <c r="O43" i="4" s="1"/>
  <c r="P43" i="4" s="1"/>
  <c r="Q43" i="4" s="1"/>
  <c r="H54" i="4"/>
  <c r="H53" i="4"/>
  <c r="H52" i="4"/>
  <c r="I42" i="4"/>
  <c r="G48" i="4"/>
  <c r="G50" i="4" s="1"/>
  <c r="G56" i="4" s="1"/>
  <c r="G46" i="4"/>
  <c r="H46" i="4" s="1"/>
  <c r="K54" i="3"/>
  <c r="K61" i="3" s="1"/>
  <c r="K80" i="3" s="1"/>
  <c r="N51" i="7"/>
  <c r="N23" i="7" s="1"/>
  <c r="K38" i="7"/>
  <c r="K12" i="7" s="1"/>
  <c r="K51" i="7"/>
  <c r="K23" i="7" s="1"/>
  <c r="N38" i="7"/>
  <c r="N12" i="7" s="1"/>
  <c r="M38" i="7"/>
  <c r="M12" i="7" s="1"/>
  <c r="M51" i="7"/>
  <c r="M23" i="7" s="1"/>
  <c r="L38" i="7"/>
  <c r="L12" i="7" s="1"/>
  <c r="J38" i="7"/>
  <c r="J12" i="7" s="1"/>
  <c r="L51" i="7"/>
  <c r="L23" i="7" s="1"/>
  <c r="J51" i="7"/>
  <c r="J23" i="7" s="1"/>
  <c r="N39" i="7"/>
  <c r="N13" i="7" s="1"/>
  <c r="J39" i="7"/>
  <c r="J13" i="7" s="1"/>
  <c r="L39" i="7"/>
  <c r="L13" i="7" s="1"/>
  <c r="K39" i="7"/>
  <c r="K13" i="7" s="1"/>
  <c r="M39" i="7"/>
  <c r="M13" i="7" s="1"/>
  <c r="N40" i="7"/>
  <c r="N14" i="7" s="1"/>
  <c r="M40" i="7"/>
  <c r="M14" i="7" s="1"/>
  <c r="L40" i="7"/>
  <c r="L14" i="7" s="1"/>
  <c r="K40" i="7"/>
  <c r="K14" i="7" s="1"/>
  <c r="E32" i="4"/>
  <c r="J32" i="4" s="1"/>
  <c r="O32" i="4" s="1"/>
  <c r="T32" i="4" s="1"/>
  <c r="J41" i="7"/>
  <c r="J15" i="7" s="1"/>
  <c r="K41" i="7"/>
  <c r="K15" i="7" s="1"/>
  <c r="M41" i="7"/>
  <c r="M15" i="7" s="1"/>
  <c r="L41" i="7"/>
  <c r="L15" i="7" s="1"/>
  <c r="N41" i="7"/>
  <c r="N15" i="7" s="1"/>
  <c r="J52" i="7"/>
  <c r="J24" i="7" s="1"/>
  <c r="K52" i="7"/>
  <c r="K24" i="7" s="1"/>
  <c r="L52" i="7"/>
  <c r="L24" i="7" s="1"/>
  <c r="M52" i="7"/>
  <c r="M24" i="7" s="1"/>
  <c r="N52" i="7"/>
  <c r="N24" i="7" s="1"/>
  <c r="J42" i="7"/>
  <c r="J16" i="7" s="1"/>
  <c r="M42" i="7"/>
  <c r="M16" i="7" s="1"/>
  <c r="K43" i="7"/>
  <c r="K17" i="7" s="1"/>
  <c r="M43" i="7"/>
  <c r="M17" i="7" s="1"/>
  <c r="N42" i="7"/>
  <c r="N16" i="7" s="1"/>
  <c r="L42" i="7"/>
  <c r="L16" i="7" s="1"/>
  <c r="L43" i="7"/>
  <c r="L17" i="7" s="1"/>
  <c r="N43" i="7"/>
  <c r="N17" i="7" s="1"/>
  <c r="J43" i="7"/>
  <c r="J17" i="7" s="1"/>
  <c r="K42" i="7"/>
  <c r="K16" i="7" s="1"/>
  <c r="J40" i="7"/>
  <c r="J14" i="7" s="1"/>
  <c r="P67" i="3"/>
  <c r="P74" i="3" s="1"/>
  <c r="P42" i="3"/>
  <c r="P39" i="3"/>
  <c r="P43" i="3" s="1"/>
  <c r="P30" i="3"/>
  <c r="P46" i="3" s="1"/>
  <c r="M76" i="3"/>
  <c r="L78" i="3"/>
  <c r="M103" i="3"/>
  <c r="M104" i="3" s="1"/>
  <c r="L52" i="3"/>
  <c r="L54" i="3" s="1"/>
  <c r="L61" i="3" s="1"/>
  <c r="J42" i="4" l="1"/>
  <c r="I52" i="4"/>
  <c r="I54" i="4"/>
  <c r="I53" i="4"/>
  <c r="H45" i="4"/>
  <c r="H48" i="4" s="1"/>
  <c r="H50" i="4" s="1"/>
  <c r="H56" i="4" s="1"/>
  <c r="I46" i="4"/>
  <c r="G58" i="4"/>
  <c r="G57" i="4"/>
  <c r="L80" i="3"/>
  <c r="R60" i="4"/>
  <c r="P32" i="3"/>
  <c r="M52" i="3"/>
  <c r="M54" i="3" s="1"/>
  <c r="M61" i="3" s="1"/>
  <c r="N103" i="3"/>
  <c r="N104" i="3" s="1"/>
  <c r="N76" i="3"/>
  <c r="M78" i="3"/>
  <c r="J53" i="4" l="1"/>
  <c r="K42" i="4"/>
  <c r="J52" i="4"/>
  <c r="J54" i="4"/>
  <c r="H58" i="4"/>
  <c r="H57" i="4"/>
  <c r="J46" i="4"/>
  <c r="I45" i="4"/>
  <c r="I48" i="4" s="1"/>
  <c r="I50" i="4" s="1"/>
  <c r="I56" i="4" s="1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K52" i="4" l="1"/>
  <c r="L42" i="4"/>
  <c r="K54" i="4"/>
  <c r="K53" i="4"/>
  <c r="J45" i="4"/>
  <c r="J48" i="4" s="1"/>
  <c r="J50" i="4" s="1"/>
  <c r="J56" i="4" s="1"/>
  <c r="K46" i="4"/>
  <c r="I58" i="4"/>
  <c r="I57" i="4"/>
  <c r="S61" i="4"/>
  <c r="T60" i="4"/>
  <c r="N80" i="3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O21" i="4" s="1"/>
  <c r="M42" i="4" l="1"/>
  <c r="L54" i="4"/>
  <c r="L53" i="4"/>
  <c r="L52" i="4"/>
  <c r="J58" i="4"/>
  <c r="J57" i="4"/>
  <c r="L46" i="4"/>
  <c r="K45" i="4"/>
  <c r="K48" i="4" s="1"/>
  <c r="K50" i="4" s="1"/>
  <c r="K56" i="4" s="1"/>
  <c r="T61" i="4"/>
  <c r="U60" i="4"/>
  <c r="P80" i="3"/>
  <c r="N42" i="4" l="1"/>
  <c r="M52" i="4"/>
  <c r="M53" i="4"/>
  <c r="M54" i="4"/>
  <c r="L45" i="4"/>
  <c r="M46" i="4"/>
  <c r="K58" i="4"/>
  <c r="K57" i="4"/>
  <c r="V60" i="4"/>
  <c r="V61" i="4" s="1"/>
  <c r="U61" i="4"/>
  <c r="B40" i="8"/>
  <c r="B37" i="8"/>
  <c r="B34" i="8"/>
  <c r="B30" i="8"/>
  <c r="B29" i="8"/>
  <c r="B27" i="8"/>
  <c r="B32" i="8"/>
  <c r="B33" i="8"/>
  <c r="B35" i="8"/>
  <c r="B36" i="8"/>
  <c r="B38" i="8"/>
  <c r="B39" i="8"/>
  <c r="N53" i="4" l="1"/>
  <c r="N54" i="4"/>
  <c r="O42" i="4"/>
  <c r="N52" i="4"/>
  <c r="L48" i="4"/>
  <c r="L50" i="4" s="1"/>
  <c r="L56" i="4" s="1"/>
  <c r="E22" i="4"/>
  <c r="E23" i="4" s="1"/>
  <c r="M45" i="4"/>
  <c r="N46" i="4"/>
  <c r="O53" i="4" l="1"/>
  <c r="O52" i="4"/>
  <c r="P42" i="4"/>
  <c r="O54" i="4"/>
  <c r="O22" i="4"/>
  <c r="O23" i="4" s="1"/>
  <c r="O24" i="4" s="1"/>
  <c r="O26" i="4" s="1"/>
  <c r="L58" i="4"/>
  <c r="L57" i="4"/>
  <c r="J22" i="4"/>
  <c r="J23" i="4" s="1"/>
  <c r="E24" i="4"/>
  <c r="E26" i="4"/>
  <c r="M48" i="4"/>
  <c r="M50" i="4" s="1"/>
  <c r="M56" i="4" s="1"/>
  <c r="N45" i="4"/>
  <c r="O46" i="4"/>
  <c r="M57" i="4" l="1"/>
  <c r="M58" i="4"/>
  <c r="P53" i="4"/>
  <c r="P52" i="4"/>
  <c r="Q42" i="4"/>
  <c r="P54" i="4"/>
  <c r="O27" i="4"/>
  <c r="O28" i="4" s="1"/>
  <c r="T27" i="4"/>
  <c r="E27" i="4"/>
  <c r="E28" i="4" s="1"/>
  <c r="J27" i="4"/>
  <c r="J26" i="4"/>
  <c r="J24" i="4"/>
  <c r="N48" i="4"/>
  <c r="N50" i="4"/>
  <c r="N56" i="4" s="1"/>
  <c r="O45" i="4"/>
  <c r="O48" i="4" s="1"/>
  <c r="O50" i="4" s="1"/>
  <c r="O56" i="4" s="1"/>
  <c r="P46" i="4"/>
  <c r="Q53" i="4" l="1"/>
  <c r="Q52" i="4"/>
  <c r="Q54" i="4"/>
  <c r="O30" i="4"/>
  <c r="O37" i="4"/>
  <c r="C94" i="4" s="1"/>
  <c r="E30" i="4"/>
  <c r="E37" i="4"/>
  <c r="C80" i="4" s="1"/>
  <c r="J28" i="4"/>
  <c r="N58" i="4"/>
  <c r="N57" i="4"/>
  <c r="O57" i="4"/>
  <c r="O58" i="4"/>
  <c r="P45" i="4"/>
  <c r="P48" i="4" s="1"/>
  <c r="P50" i="4" s="1"/>
  <c r="P56" i="4" s="1"/>
  <c r="Q46" i="4"/>
  <c r="Q45" i="4" s="1"/>
  <c r="Q48" i="4" s="1"/>
  <c r="Q50" i="4" s="1"/>
  <c r="Q56" i="4" l="1"/>
  <c r="P57" i="4"/>
  <c r="P58" i="4"/>
  <c r="J37" i="4"/>
  <c r="C66" i="4" s="1"/>
  <c r="J30" i="4"/>
  <c r="R56" i="4" l="1"/>
  <c r="Q57" i="4"/>
  <c r="Q58" i="4"/>
  <c r="R58" i="4" l="1"/>
  <c r="R57" i="4"/>
  <c r="S56" i="4"/>
  <c r="S58" i="4" l="1"/>
  <c r="T56" i="4"/>
  <c r="S57" i="4"/>
  <c r="T57" i="4" l="1"/>
  <c r="U56" i="4"/>
  <c r="T58" i="4"/>
  <c r="U57" i="4" l="1"/>
  <c r="U58" i="4"/>
  <c r="V56" i="4"/>
  <c r="V58" i="4" l="1"/>
  <c r="T26" i="4" s="1"/>
  <c r="T28" i="4" s="1"/>
  <c r="V57" i="4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<sst xmlns="http://schemas.openxmlformats.org/spreadsheetml/2006/main" count="650" uniqueCount="325">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</sst>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50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  <font>
      <b/>
      <u/>
      <sz val="12"/>
      <color indexed="9"/>
      <name val="Calibri"/>
      <family val="2"/>
      <scheme val="minor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23">
    <xf numFmtId="0" fontId="0" fillId="0" borderId="1" xfId="0"/>
    <xf numFmtId="0" fontId="8" fillId="0" borderId="1" xfId="6" applyFont="1"/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4" borderId="1" xfId="2" applyFont="1" applyFill="1" applyAlignment="1">
      <alignment horizontal="center"/>
    </xf>
    <xf numFmtId="0" fontId="12" fillId="4" borderId="3" xfId="2" applyFont="1" applyFill="1" applyBorder="1"/>
    <xf numFmtId="0" fontId="12" fillId="4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4" borderId="4" xfId="6" applyFont="1" applyFill="1" applyBorder="1" applyAlignment="1">
      <alignment horizontal="left"/>
    </xf>
    <xf numFmtId="0" fontId="12" fillId="4" borderId="5" xfId="2" applyFont="1" applyFill="1" applyBorder="1"/>
    <xf numFmtId="0" fontId="13" fillId="4" borderId="5" xfId="2" applyFont="1" applyFill="1" applyBorder="1" applyAlignment="1">
      <alignment horizontal="centerContinuous"/>
    </xf>
    <xf numFmtId="0" fontId="14" fillId="4" borderId="5" xfId="2" applyFont="1" applyFill="1" applyBorder="1" applyAlignment="1">
      <alignment horizontal="centerContinuous"/>
    </xf>
    <xf numFmtId="0" fontId="13" fillId="4" borderId="5" xfId="2" applyFont="1" applyFill="1" applyBorder="1"/>
    <xf numFmtId="0" fontId="15" fillId="4" borderId="5" xfId="2" applyFont="1" applyFill="1" applyBorder="1" applyAlignment="1">
      <alignment horizontal="centerContinuous"/>
    </xf>
    <xf numFmtId="0" fontId="15" fillId="4" borderId="5" xfId="2" applyFont="1" applyFill="1" applyBorder="1"/>
    <xf numFmtId="0" fontId="15" fillId="4" borderId="6" xfId="2" applyFont="1" applyFill="1" applyBorder="1"/>
    <xf numFmtId="0" fontId="15" fillId="4" borderId="7" xfId="2" applyFont="1" applyFill="1" applyBorder="1"/>
    <xf numFmtId="0" fontId="15" fillId="4" borderId="1" xfId="2" applyFont="1" applyFill="1"/>
    <xf numFmtId="0" fontId="13" fillId="4" borderId="1" xfId="2" applyFont="1" applyFill="1" applyAlignment="1">
      <alignment horizontal="centerContinuous"/>
    </xf>
    <xf numFmtId="0" fontId="12" fillId="4" borderId="1" xfId="2" applyFont="1" applyFill="1" applyAlignment="1">
      <alignment horizontal="centerContinuous"/>
    </xf>
    <xf numFmtId="0" fontId="13" fillId="4" borderId="8" xfId="2" applyFont="1" applyFill="1" applyBorder="1"/>
    <xf numFmtId="0" fontId="12" fillId="4" borderId="9" xfId="2" applyFont="1" applyFill="1" applyBorder="1"/>
    <xf numFmtId="14" fontId="12" fillId="4" borderId="3" xfId="2" applyNumberFormat="1" applyFont="1" applyFill="1" applyBorder="1" applyAlignment="1">
      <alignment horizontal="center"/>
    </xf>
    <xf numFmtId="168" fontId="12" fillId="4" borderId="3" xfId="2" applyNumberFormat="1" applyFont="1" applyFill="1" applyBorder="1" applyAlignment="1">
      <alignment horizontal="center"/>
    </xf>
    <xf numFmtId="0" fontId="13" fillId="4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3" borderId="16" xfId="2" applyFont="1" applyFill="1" applyBorder="1"/>
    <xf numFmtId="0" fontId="11" fillId="3" borderId="17" xfId="2" applyFont="1" applyFill="1" applyBorder="1"/>
    <xf numFmtId="43" fontId="11" fillId="3" borderId="17" xfId="2" applyNumberFormat="1" applyFont="1" applyFill="1" applyBorder="1" applyAlignment="1">
      <alignment horizontal="right"/>
    </xf>
    <xf numFmtId="171" fontId="11" fillId="3" borderId="17" xfId="2" applyNumberFormat="1" applyFont="1" applyFill="1" applyBorder="1" applyAlignment="1">
      <alignment horizontal="right"/>
    </xf>
    <xf numFmtId="165" fontId="11" fillId="3" borderId="17" xfId="2" applyNumberFormat="1" applyFont="1" applyFill="1" applyBorder="1" applyAlignment="1">
      <alignment horizontal="right"/>
    </xf>
    <xf numFmtId="170" fontId="11" fillId="3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4" borderId="4" xfId="2" applyFont="1" applyFill="1" applyBorder="1"/>
    <xf numFmtId="0" fontId="14" fillId="4" borderId="5" xfId="2" applyFont="1" applyFill="1" applyBorder="1"/>
    <xf numFmtId="0" fontId="14" fillId="4" borderId="6" xfId="2" applyFont="1" applyFill="1" applyBorder="1"/>
    <xf numFmtId="0" fontId="14" fillId="4" borderId="1" xfId="2" applyFont="1" applyFill="1" applyAlignment="1">
      <alignment horizontal="centerContinuous"/>
    </xf>
    <xf numFmtId="0" fontId="15" fillId="4" borderId="1" xfId="2" applyFont="1" applyFill="1" applyAlignment="1">
      <alignment horizontal="centerContinuous"/>
    </xf>
    <xf numFmtId="0" fontId="15" fillId="4" borderId="8" xfId="2" applyFont="1" applyFill="1" applyBorder="1" applyAlignment="1">
      <alignment horizontal="centerContinuous"/>
    </xf>
    <xf numFmtId="168" fontId="12" fillId="4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3" borderId="17" xfId="2" applyNumberFormat="1" applyFont="1" applyFill="1" applyBorder="1" applyAlignment="1">
      <alignment horizontal="right"/>
    </xf>
    <xf numFmtId="174" fontId="11" fillId="3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44" fontId="16" fillId="0" borderId="1" xfId="6" applyNumberFormat="1" applyFont="1"/>
    <xf numFmtId="0" fontId="16" fillId="0" borderId="1" xfId="6" applyFont="1"/>
    <xf numFmtId="172" fontId="16" fillId="0" borderId="1" xfId="2" applyNumberFormat="1" applyFont="1"/>
    <xf numFmtId="43" fontId="16" fillId="0" borderId="1" xfId="6" applyNumberFormat="1" applyFont="1"/>
    <xf numFmtId="44" fontId="19" fillId="0" borderId="1" xfId="2" applyNumberFormat="1" applyFont="1"/>
    <xf numFmtId="169" fontId="19" fillId="0" borderId="1" xfId="2" applyNumberFormat="1" applyFont="1"/>
    <xf numFmtId="43" fontId="19" fillId="0" borderId="1" xfId="2" applyNumberFormat="1" applyFont="1"/>
    <xf numFmtId="171" fontId="19" fillId="0" borderId="1" xfId="2" applyNumberFormat="1" applyFont="1"/>
    <xf numFmtId="170" fontId="19" fillId="0" borderId="1" xfId="2" applyNumberFormat="1" applyFont="1" applyAlignment="1">
      <alignment horizontal="right"/>
    </xf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5" borderId="1" xfId="0" applyFont="1" applyFill="1" applyAlignment="1">
      <alignment horizontal="centerContinuous"/>
    </xf>
    <xf numFmtId="0" fontId="23" fillId="5" borderId="11" xfId="0" applyFont="1" applyFill="1" applyBorder="1" applyAlignment="1">
      <alignment horizontal="centerContinuous"/>
    </xf>
    <xf numFmtId="0" fontId="24" fillId="5" borderId="11" xfId="0" applyFont="1" applyFill="1" applyBorder="1" applyAlignment="1">
      <alignment horizontal="centerContinuous"/>
    </xf>
    <xf numFmtId="0" fontId="23" fillId="5" borderId="12" xfId="0" applyFont="1" applyFill="1" applyBorder="1" applyAlignment="1">
      <alignment horizontal="centerContinuous"/>
    </xf>
    <xf numFmtId="0" fontId="23" fillId="5" borderId="20" xfId="0" applyFont="1" applyFill="1" applyBorder="1"/>
    <xf numFmtId="164" fontId="23" fillId="5" borderId="20" xfId="0" applyNumberFormat="1" applyFont="1" applyFill="1" applyBorder="1" applyAlignment="1">
      <alignment horizontal="center"/>
    </xf>
    <xf numFmtId="164" fontId="25" fillId="5" borderId="20" xfId="0" applyNumberFormat="1" applyFont="1" applyFill="1" applyBorder="1" applyAlignment="1">
      <alignment horizontal="center"/>
    </xf>
    <xf numFmtId="0" fontId="23" fillId="5" borderId="20" xfId="0" applyFont="1" applyFill="1" applyBorder="1" applyAlignment="1">
      <alignment horizontal="center"/>
    </xf>
    <xf numFmtId="0" fontId="23" fillId="5" borderId="21" xfId="0" applyFont="1" applyFill="1" applyBorder="1" applyAlignment="1">
      <alignment horizontal="center"/>
    </xf>
    <xf numFmtId="4" fontId="20" fillId="0" borderId="1" xfId="0" applyNumberFormat="1" applyFont="1"/>
    <xf numFmtId="0" fontId="26" fillId="0" borderId="1" xfId="0" applyFont="1" applyAlignment="1">
      <alignment horizontal="right"/>
    </xf>
    <xf numFmtId="3" fontId="19" fillId="0" borderId="1" xfId="0" applyNumberFormat="1" applyFont="1"/>
    <xf numFmtId="3" fontId="27" fillId="6" borderId="2" xfId="4" applyNumberFormat="1" applyFont="1" applyFill="1" applyAlignment="1"/>
    <xf numFmtId="44" fontId="20" fillId="0" borderId="1" xfId="0" applyNumberFormat="1" applyFont="1"/>
    <xf numFmtId="44" fontId="27" fillId="6" borderId="2" xfId="4" applyNumberFormat="1" applyFont="1" applyFill="1" applyAlignment="1"/>
    <xf numFmtId="0" fontId="22" fillId="7" borderId="20" xfId="0" applyFont="1" applyFill="1" applyBorder="1"/>
    <xf numFmtId="0" fontId="20" fillId="7" borderId="20" xfId="0" applyFont="1" applyFill="1" applyBorder="1"/>
    <xf numFmtId="4" fontId="20" fillId="7" borderId="20" xfId="0" applyNumberFormat="1" applyFont="1" applyFill="1" applyBorder="1"/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6" borderId="13" xfId="4" applyNumberFormat="1" applyFont="1" applyFill="1" applyBorder="1" applyAlignment="1"/>
    <xf numFmtId="165" fontId="27" fillId="6" borderId="2" xfId="4" applyNumberFormat="1" applyFont="1" applyFill="1" applyAlignment="1"/>
    <xf numFmtId="165" fontId="28" fillId="6" borderId="13" xfId="4" applyNumberFormat="1" applyFont="1" applyFill="1" applyBorder="1" applyAlignment="1"/>
    <xf numFmtId="165" fontId="28" fillId="6" borderId="2" xfId="4" applyNumberFormat="1" applyFont="1" applyFill="1" applyAlignment="1"/>
    <xf numFmtId="4" fontId="19" fillId="0" borderId="1" xfId="0" applyNumberFormat="1" applyFont="1"/>
    <xf numFmtId="4" fontId="27" fillId="6" borderId="2" xfId="4" applyNumberFormat="1" applyFont="1" applyFill="1" applyAlignment="1"/>
    <xf numFmtId="4" fontId="27" fillId="6" borderId="14" xfId="4" applyNumberFormat="1" applyFont="1" applyFill="1" applyBorder="1" applyAlignment="1"/>
    <xf numFmtId="0" fontId="22" fillId="0" borderId="22" xfId="0" applyFont="1" applyBorder="1"/>
    <xf numFmtId="0" fontId="20" fillId="0" borderId="22" xfId="0" applyFont="1" applyBorder="1"/>
    <xf numFmtId="4" fontId="22" fillId="0" borderId="22" xfId="0" applyNumberFormat="1" applyFont="1" applyBorder="1"/>
    <xf numFmtId="0" fontId="22" fillId="7" borderId="20" xfId="0" applyFont="1" applyFill="1" applyBorder="1" applyAlignment="1">
      <alignment horizontal="left"/>
    </xf>
    <xf numFmtId="42" fontId="20" fillId="0" borderId="1" xfId="0" applyNumberFormat="1" applyFont="1"/>
    <xf numFmtId="42" fontId="28" fillId="6" borderId="2" xfId="4" applyNumberFormat="1" applyFont="1" applyFill="1" applyAlignment="1"/>
    <xf numFmtId="41" fontId="20" fillId="0" borderId="1" xfId="0" applyNumberFormat="1" applyFont="1"/>
    <xf numFmtId="41" fontId="28" fillId="6" borderId="2" xfId="4" applyNumberFormat="1" applyFont="1" applyFill="1" applyAlignment="1"/>
    <xf numFmtId="165" fontId="20" fillId="0" borderId="1" xfId="0" applyNumberFormat="1" applyFont="1"/>
    <xf numFmtId="0" fontId="20" fillId="0" borderId="1" xfId="0" applyFont="1" applyAlignment="1">
      <alignment horizontal="left"/>
    </xf>
    <xf numFmtId="41" fontId="19" fillId="6" borderId="15" xfId="0" applyNumberFormat="1" applyFont="1" applyFill="1" applyBorder="1"/>
    <xf numFmtId="41" fontId="19" fillId="6" borderId="2" xfId="0" applyNumberFormat="1" applyFont="1" applyFill="1" applyBorder="1"/>
    <xf numFmtId="41" fontId="29" fillId="0" borderId="1" xfId="0" applyNumberFormat="1" applyFont="1"/>
    <xf numFmtId="165" fontId="22" fillId="0" borderId="1" xfId="0" applyNumberFormat="1" applyFont="1" applyAlignment="1">
      <alignment horizontal="center"/>
    </xf>
    <xf numFmtId="164" fontId="23" fillId="5" borderId="20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2" fontId="19" fillId="0" borderId="1" xfId="0" applyNumberFormat="1" applyFont="1"/>
    <xf numFmtId="41" fontId="19" fillId="0" borderId="1" xfId="0" applyNumberFormat="1" applyFont="1"/>
    <xf numFmtId="0" fontId="26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left"/>
    </xf>
    <xf numFmtId="41" fontId="22" fillId="0" borderId="22" xfId="0" applyNumberFormat="1" applyFont="1" applyBorder="1"/>
    <xf numFmtId="9" fontId="20" fillId="0" borderId="1" xfId="0" applyNumberFormat="1" applyFont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8" borderId="1" xfId="0" applyFont="1" applyFill="1"/>
    <xf numFmtId="0" fontId="23" fillId="8" borderId="20" xfId="0" applyFont="1" applyFill="1" applyBorder="1"/>
    <xf numFmtId="0" fontId="25" fillId="8" borderId="20" xfId="0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0" fontId="20" fillId="0" borderId="20" xfId="0" applyFont="1" applyBorder="1"/>
    <xf numFmtId="41" fontId="20" fillId="0" borderId="20" xfId="0" applyNumberFormat="1" applyFont="1" applyBorder="1"/>
    <xf numFmtId="0" fontId="26" fillId="0" borderId="1" xfId="0" applyFont="1"/>
    <xf numFmtId="0" fontId="22" fillId="7" borderId="23" xfId="0" applyFont="1" applyFill="1" applyBorder="1"/>
    <xf numFmtId="0" fontId="22" fillId="7" borderId="23" xfId="0" applyFont="1" applyFill="1" applyBorder="1" applyAlignment="1">
      <alignment horizontal="centerContinuous"/>
    </xf>
    <xf numFmtId="0" fontId="20" fillId="7" borderId="23" xfId="0" applyFont="1" applyFill="1" applyBorder="1" applyAlignment="1">
      <alignment horizontal="centerContinuous"/>
    </xf>
    <xf numFmtId="0" fontId="20" fillId="7" borderId="23" xfId="0" applyFont="1" applyFill="1" applyBorder="1"/>
    <xf numFmtId="166" fontId="29" fillId="0" borderId="20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6" borderId="2" xfId="4" applyNumberFormat="1" applyFont="1" applyFill="1" applyAlignment="1">
      <alignment horizontal="center"/>
    </xf>
    <xf numFmtId="39" fontId="19" fillId="6" borderId="15" xfId="4" applyNumberFormat="1" applyFont="1" applyFill="1" applyBorder="1" applyAlignment="1">
      <alignment horizontal="right"/>
    </xf>
    <xf numFmtId="39" fontId="19" fillId="6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0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32" fillId="0" borderId="1" xfId="2" applyFont="1"/>
    <xf numFmtId="165" fontId="32" fillId="0" borderId="1" xfId="2" applyNumberFormat="1" applyFont="1"/>
    <xf numFmtId="0" fontId="20" fillId="0" borderId="1" xfId="6" applyFont="1"/>
    <xf numFmtId="0" fontId="40" fillId="0" borderId="1" xfId="3" applyFont="1"/>
    <xf numFmtId="0" fontId="41" fillId="0" borderId="1" xfId="3" applyFont="1"/>
    <xf numFmtId="0" fontId="42" fillId="8" borderId="20" xfId="3" applyFont="1" applyFill="1" applyBorder="1"/>
    <xf numFmtId="0" fontId="43" fillId="8" borderId="20" xfId="3" applyFont="1" applyFill="1" applyBorder="1"/>
    <xf numFmtId="0" fontId="43" fillId="0" borderId="1" xfId="3" applyFont="1"/>
    <xf numFmtId="177" fontId="27" fillId="6" borderId="27" xfId="3" applyNumberFormat="1" applyFont="1" applyFill="1" applyBorder="1"/>
    <xf numFmtId="177" fontId="27" fillId="0" borderId="1" xfId="3" applyNumberFormat="1" applyFont="1"/>
    <xf numFmtId="177" fontId="27" fillId="6" borderId="2" xfId="3" applyNumberFormat="1" applyFont="1" applyFill="1" applyBorder="1"/>
    <xf numFmtId="177" fontId="28" fillId="6" borderId="2" xfId="3" applyNumberFormat="1" applyFont="1" applyFill="1" applyBorder="1"/>
    <xf numFmtId="0" fontId="44" fillId="0" borderId="1" xfId="3" applyFont="1"/>
    <xf numFmtId="0" fontId="45" fillId="8" borderId="1" xfId="2" applyFont="1" applyFill="1"/>
    <xf numFmtId="0" fontId="45" fillId="8" borderId="1" xfId="2" applyFont="1" applyFill="1" applyAlignment="1">
      <alignment horizontal="center"/>
    </xf>
    <xf numFmtId="0" fontId="45" fillId="8" borderId="20" xfId="2" applyFont="1" applyFill="1" applyBorder="1"/>
    <xf numFmtId="0" fontId="45" fillId="8" borderId="20" xfId="2" applyFont="1" applyFill="1" applyBorder="1" applyAlignment="1">
      <alignment horizontal="center"/>
    </xf>
    <xf numFmtId="178" fontId="46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1" fillId="9" borderId="29" xfId="3" applyFont="1" applyFill="1" applyBorder="1"/>
    <xf numFmtId="0" fontId="37" fillId="9" borderId="20" xfId="3" applyFont="1" applyFill="1" applyBorder="1"/>
    <xf numFmtId="0" fontId="23" fillId="10" borderId="30" xfId="2" applyFont="1" applyFill="1" applyBorder="1"/>
    <xf numFmtId="0" fontId="23" fillId="10" borderId="23" xfId="2" applyFont="1" applyFill="1" applyBorder="1"/>
    <xf numFmtId="177" fontId="23" fillId="10" borderId="25" xfId="2" applyNumberFormat="1" applyFont="1" applyFill="1" applyBorder="1"/>
    <xf numFmtId="0" fontId="23" fillId="10" borderId="29" xfId="2" applyFont="1" applyFill="1" applyBorder="1"/>
    <xf numFmtId="0" fontId="23" fillId="10" borderId="20" xfId="2" applyFont="1" applyFill="1" applyBorder="1"/>
    <xf numFmtId="177" fontId="23" fillId="10" borderId="26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0" fontId="8" fillId="0" borderId="1" xfId="0" applyFont="1"/>
    <xf numFmtId="183" fontId="23" fillId="8" borderId="20" xfId="0" applyNumberFormat="1" applyFont="1" applyFill="1" applyBorder="1"/>
    <xf numFmtId="183" fontId="23" fillId="8" borderId="20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Continuous"/>
    </xf>
    <xf numFmtId="0" fontId="8" fillId="7" borderId="20" xfId="0" applyFont="1" applyFill="1" applyBorder="1" applyAlignment="1">
      <alignment horizontal="centerContinuous"/>
    </xf>
    <xf numFmtId="177" fontId="16" fillId="6" borderId="31" xfId="0" applyNumberFormat="1" applyFont="1" applyFill="1" applyBorder="1" applyAlignment="1">
      <alignment horizontal="center"/>
    </xf>
    <xf numFmtId="184" fontId="9" fillId="6" borderId="31" xfId="0" applyNumberFormat="1" applyFont="1" applyFill="1" applyBorder="1" applyAlignment="1">
      <alignment horizontal="center"/>
    </xf>
    <xf numFmtId="185" fontId="9" fillId="6" borderId="31" xfId="0" applyNumberFormat="1" applyFont="1" applyFill="1" applyBorder="1" applyAlignment="1">
      <alignment horizontal="center"/>
    </xf>
    <xf numFmtId="0" fontId="10" fillId="0" borderId="1" xfId="2" applyFont="1" applyAlignment="1">
      <alignment horizontal="left"/>
    </xf>
    <xf numFmtId="42" fontId="10" fillId="6" borderId="31" xfId="0" applyNumberFormat="1" applyFont="1" applyFill="1" applyBorder="1" applyAlignment="1">
      <alignment horizontal="center"/>
    </xf>
    <xf numFmtId="42" fontId="8" fillId="0" borderId="1" xfId="0" applyNumberFormat="1" applyFont="1"/>
    <xf numFmtId="41" fontId="8" fillId="0" borderId="1" xfId="0" applyNumberFormat="1" applyFont="1"/>
    <xf numFmtId="165" fontId="10" fillId="0" borderId="1" xfId="2" applyNumberFormat="1" applyFont="1"/>
    <xf numFmtId="186" fontId="8" fillId="0" borderId="1" xfId="0" applyNumberFormat="1" applyFont="1"/>
    <xf numFmtId="0" fontId="10" fillId="0" borderId="20" xfId="2" applyFont="1" applyBorder="1" applyAlignment="1">
      <alignment horizontal="left" indent="1"/>
    </xf>
    <xf numFmtId="0" fontId="10" fillId="0" borderId="20" xfId="2" applyFont="1" applyBorder="1"/>
    <xf numFmtId="41" fontId="8" fillId="0" borderId="20" xfId="0" applyNumberFormat="1" applyFont="1" applyBorder="1"/>
    <xf numFmtId="0" fontId="8" fillId="0" borderId="20" xfId="0" applyFont="1" applyBorder="1"/>
    <xf numFmtId="41" fontId="7" fillId="0" borderId="1" xfId="0" applyNumberFormat="1" applyFont="1"/>
    <xf numFmtId="41" fontId="16" fillId="0" borderId="1" xfId="0" applyNumberFormat="1" applyFont="1"/>
    <xf numFmtId="41" fontId="10" fillId="0" borderId="1" xfId="0" applyNumberFormat="1" applyFont="1"/>
    <xf numFmtId="0" fontId="8" fillId="0" borderId="1" xfId="0" applyFont="1" applyAlignment="1">
      <alignment horizontal="left" indent="1"/>
    </xf>
    <xf numFmtId="41" fontId="9" fillId="0" borderId="1" xfId="0" applyNumberFormat="1" applyFont="1"/>
    <xf numFmtId="41" fontId="9" fillId="0" borderId="20" xfId="0" applyNumberFormat="1" applyFont="1" applyBorder="1"/>
    <xf numFmtId="41" fontId="10" fillId="0" borderId="20" xfId="0" applyNumberFormat="1" applyFont="1" applyBorder="1"/>
    <xf numFmtId="0" fontId="11" fillId="0" borderId="22" xfId="2" applyFont="1" applyBorder="1" applyAlignment="1">
      <alignment horizontal="left"/>
    </xf>
    <xf numFmtId="0" fontId="10" fillId="0" borderId="22" xfId="2" applyFont="1" applyBorder="1"/>
    <xf numFmtId="42" fontId="7" fillId="0" borderId="1" xfId="0" applyNumberFormat="1" applyFont="1"/>
    <xf numFmtId="0" fontId="11" fillId="0" borderId="1" xfId="2" applyFont="1" applyAlignment="1">
      <alignment horizontal="left" indent="1"/>
    </xf>
    <xf numFmtId="171" fontId="11" fillId="0" borderId="1" xfId="2" applyNumberFormat="1" applyFont="1"/>
    <xf numFmtId="0" fontId="23" fillId="8" borderId="1" xfId="0" applyFont="1" applyFill="1"/>
    <xf numFmtId="0" fontId="23" fillId="8" borderId="11" xfId="0" applyFont="1" applyFill="1" applyBorder="1" applyAlignment="1">
      <alignment horizontal="centerContinuous"/>
    </xf>
    <xf numFmtId="187" fontId="8" fillId="0" borderId="1" xfId="0" applyNumberFormat="1" applyFont="1"/>
    <xf numFmtId="42" fontId="16" fillId="0" borderId="1" xfId="0" applyNumberFormat="1" applyFont="1"/>
    <xf numFmtId="42" fontId="38" fillId="0" borderId="1" xfId="0" applyNumberFormat="1" applyFont="1"/>
    <xf numFmtId="0" fontId="26" fillId="0" borderId="1" xfId="0" applyFont="1" applyAlignment="1">
      <alignment horizontal="left" indent="1"/>
    </xf>
    <xf numFmtId="165" fontId="32" fillId="0" borderId="1" xfId="0" applyNumberFormat="1" applyFont="1" applyAlignment="1">
      <alignment horizontal="right"/>
    </xf>
    <xf numFmtId="188" fontId="16" fillId="0" borderId="1" xfId="0" applyNumberFormat="1" applyFont="1"/>
    <xf numFmtId="188" fontId="8" fillId="0" borderId="1" xfId="0" applyNumberFormat="1" applyFont="1"/>
    <xf numFmtId="0" fontId="8" fillId="0" borderId="1" xfId="0" applyFont="1" applyAlignment="1">
      <alignment horizontal="left"/>
    </xf>
    <xf numFmtId="0" fontId="7" fillId="0" borderId="1" xfId="0" applyFont="1"/>
    <xf numFmtId="188" fontId="7" fillId="0" borderId="1" xfId="0" applyNumberFormat="1" applyFont="1"/>
    <xf numFmtId="0" fontId="7" fillId="9" borderId="1" xfId="0" applyFont="1" applyFill="1"/>
    <xf numFmtId="188" fontId="7" fillId="9" borderId="1" xfId="0" applyNumberFormat="1" applyFont="1" applyFill="1"/>
    <xf numFmtId="189" fontId="9" fillId="0" borderId="1" xfId="0" applyNumberFormat="1" applyFont="1"/>
    <xf numFmtId="189" fontId="8" fillId="0" borderId="1" xfId="0" applyNumberFormat="1" applyFont="1"/>
    <xf numFmtId="0" fontId="24" fillId="8" borderId="24" xfId="0" applyFont="1" applyFill="1" applyBorder="1"/>
    <xf numFmtId="0" fontId="24" fillId="8" borderId="23" xfId="0" applyFont="1" applyFill="1" applyBorder="1"/>
    <xf numFmtId="0" fontId="23" fillId="8" borderId="23" xfId="0" applyFont="1" applyFill="1" applyBorder="1" applyAlignment="1">
      <alignment horizontal="centerContinuous"/>
    </xf>
    <xf numFmtId="0" fontId="23" fillId="8" borderId="25" xfId="0" applyFont="1" applyFill="1" applyBorder="1" applyAlignment="1">
      <alignment horizontal="centerContinuous"/>
    </xf>
    <xf numFmtId="0" fontId="24" fillId="8" borderId="32" xfId="0" applyFont="1" applyFill="1" applyBorder="1"/>
    <xf numFmtId="165" fontId="39" fillId="11" borderId="32" xfId="0" applyNumberFormat="1" applyFont="1" applyFill="1" applyBorder="1"/>
    <xf numFmtId="190" fontId="23" fillId="11" borderId="1" xfId="0" applyNumberFormat="1" applyFont="1" applyFill="1" applyAlignment="1">
      <alignment horizontal="center"/>
    </xf>
    <xf numFmtId="190" fontId="23" fillId="11" borderId="26" xfId="0" applyNumberFormat="1" applyFont="1" applyFill="1" applyBorder="1" applyAlignment="1">
      <alignment horizontal="center"/>
    </xf>
    <xf numFmtId="42" fontId="8" fillId="0" borderId="24" xfId="0" applyNumberFormat="1" applyFont="1" applyBorder="1"/>
    <xf numFmtId="42" fontId="8" fillId="0" borderId="22" xfId="0" applyNumberFormat="1" applyFont="1" applyBorder="1"/>
    <xf numFmtId="42" fontId="8" fillId="12" borderId="22" xfId="0" applyNumberFormat="1" applyFont="1" applyFill="1" applyBorder="1"/>
    <xf numFmtId="41" fontId="8" fillId="0" borderId="32" xfId="0" applyNumberFormat="1" applyFont="1" applyBorder="1"/>
    <xf numFmtId="41" fontId="8" fillId="12" borderId="1" xfId="0" applyNumberFormat="1" applyFont="1" applyFill="1"/>
    <xf numFmtId="41" fontId="8" fillId="12" borderId="32" xfId="0" applyNumberFormat="1" applyFont="1" applyFill="1" applyBorder="1"/>
    <xf numFmtId="190" fontId="23" fillId="11" borderId="34" xfId="0" applyNumberFormat="1" applyFont="1" applyFill="1" applyBorder="1" applyAlignment="1">
      <alignment horizontal="center"/>
    </xf>
    <xf numFmtId="186" fontId="23" fillId="11" borderId="23" xfId="0" applyNumberFormat="1" applyFont="1" applyFill="1" applyBorder="1" applyAlignment="1">
      <alignment horizontal="center"/>
    </xf>
    <xf numFmtId="186" fontId="23" fillId="11" borderId="25" xfId="0" applyNumberFormat="1" applyFont="1" applyFill="1" applyBorder="1" applyAlignment="1">
      <alignment horizontal="center"/>
    </xf>
    <xf numFmtId="42" fontId="8" fillId="0" borderId="32" xfId="0" applyNumberFormat="1" applyFont="1" applyBorder="1"/>
    <xf numFmtId="42" fontId="8" fillId="12" borderId="1" xfId="0" applyNumberFormat="1" applyFont="1" applyFill="1"/>
    <xf numFmtId="184" fontId="23" fillId="11" borderId="23" xfId="0" applyNumberFormat="1" applyFont="1" applyFill="1" applyBorder="1" applyAlignment="1">
      <alignment horizontal="center"/>
    </xf>
    <xf numFmtId="184" fontId="23" fillId="11" borderId="25" xfId="0" applyNumberFormat="1" applyFont="1" applyFill="1" applyBorder="1" applyAlignment="1">
      <alignment horizontal="center"/>
    </xf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9" borderId="24" xfId="2" applyFont="1" applyFill="1" applyBorder="1" applyAlignment="1">
      <alignment horizontal="left"/>
    </xf>
    <xf numFmtId="0" fontId="11" fillId="9" borderId="22" xfId="2" applyFont="1" applyFill="1" applyBorder="1"/>
    <xf numFmtId="178" fontId="11" fillId="9" borderId="22" xfId="2" applyNumberFormat="1" applyFont="1" applyFill="1" applyBorder="1"/>
    <xf numFmtId="169" fontId="11" fillId="9" borderId="22" xfId="2" applyNumberFormat="1" applyFont="1" applyFill="1" applyBorder="1"/>
    <xf numFmtId="179" fontId="11" fillId="9" borderId="22" xfId="2" applyNumberFormat="1" applyFont="1" applyFill="1" applyBorder="1"/>
    <xf numFmtId="43" fontId="11" fillId="9" borderId="28" xfId="2" applyNumberFormat="1" applyFont="1" applyFill="1" applyBorder="1"/>
    <xf numFmtId="43" fontId="11" fillId="9" borderId="26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8" fillId="0" borderId="1" xfId="10" applyFont="1"/>
    <xf numFmtId="0" fontId="6" fillId="0" borderId="1" xfId="10" applyFont="1"/>
    <xf numFmtId="0" fontId="45" fillId="8" borderId="24" xfId="2" applyFont="1" applyFill="1" applyBorder="1"/>
    <xf numFmtId="0" fontId="47" fillId="8" borderId="22" xfId="2" applyFont="1" applyFill="1" applyBorder="1" applyAlignment="1">
      <alignment horizontal="centerContinuous"/>
    </xf>
    <xf numFmtId="0" fontId="48" fillId="8" borderId="22" xfId="2" applyFont="1" applyFill="1" applyBorder="1" applyAlignment="1">
      <alignment horizontal="centerContinuous"/>
    </xf>
    <xf numFmtId="0" fontId="48" fillId="8" borderId="28" xfId="2" applyFont="1" applyFill="1" applyBorder="1" applyAlignment="1">
      <alignment horizontal="centerContinuous"/>
    </xf>
    <xf numFmtId="0" fontId="49" fillId="8" borderId="32" xfId="2" applyFont="1" applyFill="1" applyBorder="1"/>
    <xf numFmtId="0" fontId="47" fillId="8" borderId="1" xfId="2" applyFont="1" applyFill="1" applyAlignment="1">
      <alignment horizontal="centerContinuous"/>
    </xf>
    <xf numFmtId="0" fontId="48" fillId="8" borderId="1" xfId="2" applyFont="1" applyFill="1" applyAlignment="1">
      <alignment horizontal="centerContinuous"/>
    </xf>
    <xf numFmtId="0" fontId="47" fillId="8" borderId="35" xfId="2" applyFont="1" applyFill="1" applyBorder="1" applyAlignment="1">
      <alignment horizontal="centerContinuous"/>
    </xf>
    <xf numFmtId="0" fontId="45" fillId="8" borderId="35" xfId="2" applyFont="1" applyFill="1" applyBorder="1" applyAlignment="1">
      <alignment horizontal="center"/>
    </xf>
    <xf numFmtId="0" fontId="45" fillId="8" borderId="29" xfId="2" applyFont="1" applyFill="1" applyBorder="1"/>
    <xf numFmtId="0" fontId="45" fillId="8" borderId="26" xfId="2" applyFont="1" applyFill="1" applyBorder="1" applyAlignment="1">
      <alignment horizontal="center"/>
    </xf>
    <xf numFmtId="0" fontId="7" fillId="7" borderId="20" xfId="10" applyFont="1" applyFill="1" applyBorder="1" applyAlignment="1">
      <alignment horizontal="centerContinuous"/>
    </xf>
    <xf numFmtId="0" fontId="8" fillId="7" borderId="20" xfId="10" applyFont="1" applyFill="1" applyBorder="1" applyAlignment="1">
      <alignment horizontal="centerContinuous"/>
    </xf>
    <xf numFmtId="0" fontId="23" fillId="8" borderId="33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" fillId="0" borderId="1" xfId="0" applyFont="1"/>
    <xf numFmtId="0" fontId="1" fillId="0" borderId="1" xfId="0" applyFont="1" applyAlignment="1">
      <alignment horizontal="left" indent="1"/>
    </xf>
    <xf numFmtId="0" fontId="7" fillId="0" borderId="22" xfId="0" applyFont="1" applyBorder="1"/>
    <xf numFmtId="0" fontId="1" fillId="0" borderId="22" xfId="0" applyFont="1" applyBorder="1"/>
    <xf numFmtId="42" fontId="1" fillId="0" borderId="1" xfId="0" applyNumberFormat="1" applyFont="1"/>
    <xf numFmtId="41" fontId="1" fillId="0" borderId="1" xfId="0" applyNumberFormat="1" applyFont="1"/>
    <xf numFmtId="42" fontId="9" fillId="0" borderId="1" xfId="0" applyNumberFormat="1" applyFont="1"/>
    <xf numFmtId="41" fontId="7" fillId="0" borderId="22" xfId="0" applyNumberFormat="1" applyFont="1" applyBorder="1"/>
    <xf numFmtId="0" fontId="1" fillId="0" borderId="20" xfId="0" applyFont="1" applyBorder="1" applyAlignment="1">
      <alignment horizontal="left" indent="1"/>
    </xf>
    <xf numFmtId="0" fontId="1" fillId="0" borderId="20" xfId="0" applyFont="1" applyBorder="1"/>
    <xf numFmtId="41" fontId="1" fillId="0" borderId="20" xfId="0" applyNumberFormat="1" applyFont="1" applyBorder="1"/>
    <xf numFmtId="0" fontId="7" fillId="7" borderId="23" xfId="0" applyFont="1" applyFill="1" applyBorder="1"/>
    <xf numFmtId="0" fontId="7" fillId="7" borderId="23" xfId="0" applyFont="1" applyFill="1" applyBorder="1" applyAlignment="1">
      <alignment horizontal="centerContinuous"/>
    </xf>
    <xf numFmtId="0" fontId="1" fillId="7" borderId="23" xfId="0" applyFont="1" applyFill="1" applyBorder="1" applyAlignment="1">
      <alignment horizontal="centerContinuous"/>
    </xf>
    <xf numFmtId="0" fontId="1" fillId="7" borderId="23" xfId="0" applyFont="1" applyFill="1" applyBorder="1"/>
    <xf numFmtId="166" fontId="10" fillId="0" borderId="20" xfId="0" applyNumberFormat="1" applyFont="1" applyBorder="1" applyAlignment="1">
      <alignment horizontal="left" indent="1"/>
    </xf>
    <xf numFmtId="166" fontId="11" fillId="0" borderId="1" xfId="0" applyNumberFormat="1" applyFont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7"/>
  <sheetViews>
    <sheetView showGridLines="0" tabSelected="1" topLeftCell="A163" zoomScaleNormal="100" workbookViewId="0">
      <selection activeCell="J195" sqref="J195"/>
    </sheetView>
  </sheetViews>
  <sheetFormatPr baseColWidth="10" defaultColWidth="9.1640625" defaultRowHeight="15.75" customHeight="1" outlineLevelRow="1" outlineLevelCol="1" x14ac:dyDescent="0.2"/>
  <cols>
    <col min="1" max="2" width="2.6640625" style="92" customWidth="1"/>
    <col min="3" max="6" width="13.6640625" style="92" customWidth="1"/>
    <col min="7" max="11" width="13.6640625" style="92" customWidth="1" outlineLevel="1"/>
    <col min="12" max="16" width="13.6640625" style="92" customWidth="1"/>
    <col min="17" max="17" width="2.6640625" style="92" customWidth="1"/>
    <col min="18" max="21" width="9.1640625" style="92"/>
  </cols>
  <sheetData>
    <row r="2" spans="2:16" ht="18.75" customHeight="1" x14ac:dyDescent="0.25">
      <c r="B2" s="93" t="str">
        <f>"Sample Private Company Financial Statements - "&amp;Company_Name</f>
        <v>Sample Private Company Financial Statements - Capital Capable Media LLC</v>
      </c>
    </row>
    <row r="3" spans="2:16" ht="15.75" customHeight="1" x14ac:dyDescent="0.2">
      <c r="B3" s="92" t="s">
        <v>0</v>
      </c>
      <c r="G3" s="94"/>
    </row>
    <row r="4" spans="2:16" ht="15.75" customHeight="1" x14ac:dyDescent="0.2">
      <c r="B4" s="95"/>
      <c r="G4" s="94"/>
    </row>
    <row r="5" spans="2:16" ht="15.75" customHeight="1" x14ac:dyDescent="0.2">
      <c r="B5" s="96"/>
      <c r="C5" s="96"/>
      <c r="D5" s="96"/>
      <c r="E5" s="96"/>
      <c r="F5" s="96"/>
      <c r="G5" s="97" t="s">
        <v>1</v>
      </c>
      <c r="H5" s="98"/>
      <c r="I5" s="98"/>
      <c r="J5" s="98"/>
      <c r="K5" s="99"/>
      <c r="L5" s="97" t="s">
        <v>2</v>
      </c>
      <c r="M5" s="97"/>
      <c r="N5" s="97"/>
      <c r="O5" s="97"/>
      <c r="P5" s="97"/>
    </row>
    <row r="6" spans="2:16" ht="15.75" customHeight="1" x14ac:dyDescent="0.2">
      <c r="B6" s="100" t="s">
        <v>3</v>
      </c>
      <c r="C6" s="101"/>
      <c r="D6" s="101"/>
      <c r="E6" s="101"/>
      <c r="F6" s="102" t="s">
        <v>4</v>
      </c>
      <c r="G6" s="103" t="s">
        <v>5</v>
      </c>
      <c r="H6" s="103" t="s">
        <v>6</v>
      </c>
      <c r="I6" s="103" t="s">
        <v>7</v>
      </c>
      <c r="J6" s="103" t="s">
        <v>8</v>
      </c>
      <c r="K6" s="104" t="s">
        <v>9</v>
      </c>
      <c r="L6" s="103" t="s">
        <v>10</v>
      </c>
      <c r="M6" s="103" t="s">
        <v>11</v>
      </c>
      <c r="N6" s="103" t="s">
        <v>12</v>
      </c>
      <c r="O6" s="103" t="s">
        <v>13</v>
      </c>
      <c r="P6" s="103" t="s">
        <v>14</v>
      </c>
    </row>
    <row r="7" spans="2:16" ht="15.75" customHeight="1" outlineLevel="1" x14ac:dyDescent="0.2">
      <c r="K7" s="105"/>
      <c r="P7" s="105"/>
    </row>
    <row r="8" spans="2:16" ht="15.75" customHeight="1" outlineLevel="1" x14ac:dyDescent="0.2">
      <c r="C8" s="92" t="s">
        <v>15</v>
      </c>
      <c r="F8" s="106" t="s">
        <v>16</v>
      </c>
      <c r="G8" s="107">
        <v>1011</v>
      </c>
      <c r="H8" s="107">
        <v>2051</v>
      </c>
      <c r="I8" s="107">
        <v>2978</v>
      </c>
      <c r="J8" s="107">
        <v>4000</v>
      </c>
      <c r="K8" s="107">
        <v>4500</v>
      </c>
      <c r="L8" s="108">
        <v>4800</v>
      </c>
      <c r="M8" s="108">
        <v>5200</v>
      </c>
      <c r="N8" s="108">
        <v>5600</v>
      </c>
      <c r="O8" s="108">
        <v>6000</v>
      </c>
      <c r="P8" s="108">
        <v>6500</v>
      </c>
    </row>
    <row r="9" spans="2:16" ht="15.75" customHeight="1" outlineLevel="1" x14ac:dyDescent="0.2">
      <c r="C9" s="92" t="s">
        <v>17</v>
      </c>
      <c r="F9" s="106" t="s">
        <v>18</v>
      </c>
      <c r="G9" s="109">
        <f>+G79/G8</f>
        <v>107.23973293768546</v>
      </c>
      <c r="H9" s="109">
        <f>+H79/H8</f>
        <v>128.30670404680643</v>
      </c>
      <c r="I9" s="109">
        <f>+I79/I8</f>
        <v>145.64083613163197</v>
      </c>
      <c r="J9" s="109">
        <f>+J79/J8</f>
        <v>145.75753499999999</v>
      </c>
      <c r="K9" s="109">
        <f>+K79/K8</f>
        <v>163.26104666666666</v>
      </c>
      <c r="L9" s="110">
        <v>175</v>
      </c>
      <c r="M9" s="110">
        <v>190</v>
      </c>
      <c r="N9" s="110">
        <v>210</v>
      </c>
      <c r="O9" s="110">
        <v>225</v>
      </c>
      <c r="P9" s="110">
        <v>240</v>
      </c>
    </row>
    <row r="10" spans="2:16" ht="15.75" customHeight="1" outlineLevel="1" x14ac:dyDescent="0.2">
      <c r="K10" s="105"/>
      <c r="P10" s="105"/>
    </row>
    <row r="11" spans="2:16" ht="15.75" customHeight="1" outlineLevel="1" x14ac:dyDescent="0.2">
      <c r="C11" s="111" t="s">
        <v>19</v>
      </c>
      <c r="D11" s="112"/>
      <c r="E11" s="112"/>
      <c r="F11" s="112"/>
      <c r="G11" s="112"/>
      <c r="H11" s="112"/>
      <c r="I11" s="112"/>
      <c r="J11" s="112"/>
      <c r="K11" s="113"/>
      <c r="L11" s="112"/>
      <c r="M11" s="112"/>
      <c r="N11" s="112"/>
      <c r="O11" s="112"/>
      <c r="P11" s="113"/>
    </row>
    <row r="12" spans="2:16" ht="15.75" customHeight="1" outlineLevel="1" x14ac:dyDescent="0.2">
      <c r="C12" s="114" t="s">
        <v>20</v>
      </c>
      <c r="F12" s="115" t="s">
        <v>21</v>
      </c>
      <c r="G12" s="116" t="str">
        <f t="shared" ref="G12:K15" si="0">IFERROR(+G80/F80-1,"N/A")</f>
        <v>N/A</v>
      </c>
      <c r="H12" s="116">
        <f t="shared" si="0"/>
        <v>0.30303085820220232</v>
      </c>
      <c r="I12" s="116">
        <f t="shared" si="0"/>
        <v>0.16065862571418865</v>
      </c>
      <c r="J12" s="116">
        <f t="shared" si="0"/>
        <v>-0.38024394675798989</v>
      </c>
      <c r="K12" s="116">
        <f t="shared" si="0"/>
        <v>0.26009730817689802</v>
      </c>
      <c r="L12" s="117">
        <v>0.25</v>
      </c>
      <c r="M12" s="117">
        <v>0.2</v>
      </c>
      <c r="N12" s="117">
        <v>0.15</v>
      </c>
      <c r="O12" s="117">
        <v>0.1</v>
      </c>
      <c r="P12" s="117">
        <v>0.08</v>
      </c>
    </row>
    <row r="13" spans="2:16" ht="15.75" customHeight="1" outlineLevel="1" x14ac:dyDescent="0.2">
      <c r="C13" s="114" t="s">
        <v>22</v>
      </c>
      <c r="F13" s="115" t="s">
        <v>21</v>
      </c>
      <c r="G13" s="116" t="str">
        <f t="shared" si="0"/>
        <v>N/A</v>
      </c>
      <c r="H13" s="116">
        <f t="shared" si="0"/>
        <v>0.2322780514219922</v>
      </c>
      <c r="I13" s="116">
        <f t="shared" si="0"/>
        <v>0.23451872007781871</v>
      </c>
      <c r="J13" s="116">
        <f t="shared" si="0"/>
        <v>0.10178853909690688</v>
      </c>
      <c r="K13" s="116">
        <f t="shared" si="0"/>
        <v>0.10258514465478585</v>
      </c>
      <c r="L13" s="118">
        <v>0.1</v>
      </c>
      <c r="M13" s="118">
        <v>0.1</v>
      </c>
      <c r="N13" s="118">
        <v>0.08</v>
      </c>
      <c r="O13" s="118">
        <v>0.08</v>
      </c>
      <c r="P13" s="118">
        <v>0.04</v>
      </c>
    </row>
    <row r="14" spans="2:16" ht="15.75" customHeight="1" outlineLevel="1" x14ac:dyDescent="0.2">
      <c r="C14" s="114" t="s">
        <v>23</v>
      </c>
      <c r="F14" s="115" t="s">
        <v>21</v>
      </c>
      <c r="G14" s="116" t="str">
        <f t="shared" si="0"/>
        <v>N/A</v>
      </c>
      <c r="H14" s="116">
        <f t="shared" si="0"/>
        <v>1.3805371447924855</v>
      </c>
      <c r="I14" s="116">
        <f t="shared" si="0"/>
        <v>0.50885621342844511</v>
      </c>
      <c r="J14" s="116">
        <f t="shared" si="0"/>
        <v>0.73531694907762857</v>
      </c>
      <c r="K14" s="116">
        <f t="shared" si="0"/>
        <v>0.44011120934502612</v>
      </c>
      <c r="L14" s="118">
        <v>0.4</v>
      </c>
      <c r="M14" s="118">
        <v>0.35</v>
      </c>
      <c r="N14" s="118">
        <v>0.3</v>
      </c>
      <c r="O14" s="118">
        <v>0.3</v>
      </c>
      <c r="P14" s="118">
        <v>0.23</v>
      </c>
    </row>
    <row r="15" spans="2:16" ht="15.75" customHeight="1" outlineLevel="1" x14ac:dyDescent="0.2">
      <c r="C15" s="114" t="s">
        <v>24</v>
      </c>
      <c r="F15" s="115" t="s">
        <v>21</v>
      </c>
      <c r="G15" s="116" t="str">
        <f t="shared" si="0"/>
        <v>N/A</v>
      </c>
      <c r="H15" s="116">
        <f t="shared" si="0"/>
        <v>0.26961981055599193</v>
      </c>
      <c r="I15" s="116">
        <f t="shared" si="0"/>
        <v>0.25738017785703771</v>
      </c>
      <c r="J15" s="116">
        <f t="shared" si="0"/>
        <v>-0.25629273610958792</v>
      </c>
      <c r="K15" s="116">
        <f t="shared" si="0"/>
        <v>0.26009730817689802</v>
      </c>
      <c r="L15" s="118">
        <v>0.15</v>
      </c>
      <c r="M15" s="118">
        <v>0.1</v>
      </c>
      <c r="N15" s="118">
        <v>0.1</v>
      </c>
      <c r="O15" s="118">
        <v>0.08</v>
      </c>
      <c r="P15" s="118">
        <v>0.06</v>
      </c>
    </row>
    <row r="16" spans="2:16" ht="15.75" customHeight="1" outlineLevel="1" x14ac:dyDescent="0.2">
      <c r="K16" s="105"/>
      <c r="P16" s="105"/>
    </row>
    <row r="17" spans="3:16" ht="15.75" customHeight="1" outlineLevel="1" x14ac:dyDescent="0.2">
      <c r="C17" s="111" t="s">
        <v>25</v>
      </c>
      <c r="D17" s="112"/>
      <c r="E17" s="112"/>
      <c r="F17" s="112"/>
      <c r="G17" s="112"/>
      <c r="H17" s="112"/>
      <c r="I17" s="112"/>
      <c r="J17" s="112"/>
      <c r="K17" s="113"/>
      <c r="L17" s="112"/>
      <c r="M17" s="112"/>
      <c r="N17" s="112"/>
      <c r="O17" s="112"/>
      <c r="P17" s="113"/>
    </row>
    <row r="18" spans="3:16" ht="15.75" customHeight="1" outlineLevel="1" x14ac:dyDescent="0.2">
      <c r="C18" s="114" t="s">
        <v>26</v>
      </c>
      <c r="F18" s="115" t="s">
        <v>21</v>
      </c>
      <c r="G18" s="116">
        <f>IFERROR(-G87/G80,"N/A")</f>
        <v>0.5</v>
      </c>
      <c r="H18" s="116">
        <f t="shared" ref="H18:K20" si="1">IFERROR(-H87/H80,"N/A")</f>
        <v>0.5</v>
      </c>
      <c r="I18" s="116">
        <f t="shared" si="1"/>
        <v>0.5</v>
      </c>
      <c r="J18" s="116">
        <f t="shared" si="1"/>
        <v>0.5</v>
      </c>
      <c r="K18" s="116">
        <f t="shared" si="1"/>
        <v>0.5</v>
      </c>
      <c r="L18" s="117">
        <v>0.5</v>
      </c>
      <c r="M18" s="119">
        <f>+L18</f>
        <v>0.5</v>
      </c>
      <c r="N18" s="119">
        <f t="shared" ref="N18:P18" si="2">+M18</f>
        <v>0.5</v>
      </c>
      <c r="O18" s="119">
        <f t="shared" si="2"/>
        <v>0.5</v>
      </c>
      <c r="P18" s="119">
        <f t="shared" si="2"/>
        <v>0.5</v>
      </c>
    </row>
    <row r="19" spans="3:16" ht="15.75" customHeight="1" outlineLevel="1" x14ac:dyDescent="0.2">
      <c r="C19" s="114" t="s">
        <v>27</v>
      </c>
      <c r="F19" s="115" t="s">
        <v>21</v>
      </c>
      <c r="G19" s="116">
        <f>IFERROR(-G88/G81,"N/A")</f>
        <v>0.5</v>
      </c>
      <c r="H19" s="116">
        <f t="shared" si="1"/>
        <v>0.5</v>
      </c>
      <c r="I19" s="116">
        <f t="shared" si="1"/>
        <v>0.5</v>
      </c>
      <c r="J19" s="116">
        <f t="shared" si="1"/>
        <v>0.5</v>
      </c>
      <c r="K19" s="116">
        <f t="shared" si="1"/>
        <v>0.5</v>
      </c>
      <c r="L19" s="118">
        <v>0.5</v>
      </c>
      <c r="M19" s="120">
        <f t="shared" ref="M19:P20" si="3">+L19</f>
        <v>0.5</v>
      </c>
      <c r="N19" s="120">
        <f t="shared" si="3"/>
        <v>0.5</v>
      </c>
      <c r="O19" s="120">
        <f t="shared" si="3"/>
        <v>0.5</v>
      </c>
      <c r="P19" s="120">
        <f t="shared" si="3"/>
        <v>0.5</v>
      </c>
    </row>
    <row r="20" spans="3:16" ht="15.75" customHeight="1" outlineLevel="1" x14ac:dyDescent="0.2">
      <c r="C20" s="114" t="s">
        <v>28</v>
      </c>
      <c r="F20" s="115" t="s">
        <v>21</v>
      </c>
      <c r="G20" s="116">
        <f>IFERROR(-G89/G82,"N/A")</f>
        <v>0</v>
      </c>
      <c r="H20" s="116">
        <f t="shared" si="1"/>
        <v>0.4</v>
      </c>
      <c r="I20" s="116">
        <f t="shared" si="1"/>
        <v>0.4</v>
      </c>
      <c r="J20" s="116">
        <f t="shared" si="1"/>
        <v>0.40000000000000008</v>
      </c>
      <c r="K20" s="116">
        <f t="shared" si="1"/>
        <v>0.4</v>
      </c>
      <c r="L20" s="118">
        <v>0.4</v>
      </c>
      <c r="M20" s="120">
        <f t="shared" si="3"/>
        <v>0.4</v>
      </c>
      <c r="N20" s="120">
        <f t="shared" si="3"/>
        <v>0.4</v>
      </c>
      <c r="O20" s="120">
        <f t="shared" si="3"/>
        <v>0.4</v>
      </c>
      <c r="P20" s="120">
        <f t="shared" si="3"/>
        <v>0.4</v>
      </c>
    </row>
    <row r="21" spans="3:16" ht="15.75" customHeight="1" outlineLevel="1" x14ac:dyDescent="0.2">
      <c r="K21" s="105"/>
      <c r="P21" s="105"/>
    </row>
    <row r="22" spans="3:16" ht="15.75" customHeight="1" outlineLevel="1" x14ac:dyDescent="0.2">
      <c r="C22" s="114" t="s">
        <v>29</v>
      </c>
      <c r="F22" s="115" t="s">
        <v>21</v>
      </c>
      <c r="G22" s="116">
        <f>IFERROR(-G95/G$84,"N/A")</f>
        <v>2.9000000000000001E-2</v>
      </c>
      <c r="H22" s="116">
        <f t="shared" ref="H22:K23" si="4">IFERROR(-H95/H$84,"N/A")</f>
        <v>2.8000000000000001E-2</v>
      </c>
      <c r="I22" s="116">
        <f t="shared" si="4"/>
        <v>2.8000000000000001E-2</v>
      </c>
      <c r="J22" s="116">
        <f t="shared" si="4"/>
        <v>2.8000000000000001E-2</v>
      </c>
      <c r="K22" s="116">
        <f t="shared" si="4"/>
        <v>2.8000000000000001E-2</v>
      </c>
      <c r="L22" s="118">
        <v>2.8000000000000001E-2</v>
      </c>
      <c r="M22" s="118">
        <v>2.8000000000000001E-2</v>
      </c>
      <c r="N22" s="118">
        <v>2.9000000000000001E-2</v>
      </c>
      <c r="O22" s="118">
        <v>2.9000000000000001E-2</v>
      </c>
      <c r="P22" s="118">
        <v>0.03</v>
      </c>
    </row>
    <row r="23" spans="3:16" ht="15.75" customHeight="1" outlineLevel="1" x14ac:dyDescent="0.2">
      <c r="C23" s="114" t="s">
        <v>30</v>
      </c>
      <c r="F23" s="115" t="s">
        <v>21</v>
      </c>
      <c r="G23" s="116">
        <f>IFERROR(-G96/G$84,"N/A")</f>
        <v>0.03</v>
      </c>
      <c r="H23" s="116">
        <f t="shared" si="4"/>
        <v>3.0999999999999996E-2</v>
      </c>
      <c r="I23" s="116">
        <f t="shared" si="4"/>
        <v>3.5000000000000003E-2</v>
      </c>
      <c r="J23" s="116">
        <f t="shared" si="4"/>
        <v>0.04</v>
      </c>
      <c r="K23" s="116">
        <f t="shared" si="4"/>
        <v>4.1000000000000002E-2</v>
      </c>
      <c r="L23" s="118">
        <v>4.4999999999999998E-2</v>
      </c>
      <c r="M23" s="118">
        <v>4.4999999999999998E-2</v>
      </c>
      <c r="N23" s="118">
        <v>0.05</v>
      </c>
      <c r="O23" s="118">
        <v>0.05</v>
      </c>
      <c r="P23" s="118">
        <v>0.06</v>
      </c>
    </row>
    <row r="24" spans="3:16" ht="15.75" customHeight="1" outlineLevel="1" x14ac:dyDescent="0.2">
      <c r="K24" s="105"/>
      <c r="P24" s="105"/>
    </row>
    <row r="25" spans="3:16" ht="15.75" customHeight="1" outlineLevel="1" x14ac:dyDescent="0.2">
      <c r="C25" s="114" t="s">
        <v>31</v>
      </c>
      <c r="F25" s="115" t="s">
        <v>21</v>
      </c>
      <c r="G25" s="116">
        <f>IFERROR(-G102/G$84,"N/A")</f>
        <v>5.8799456222628855E-3</v>
      </c>
      <c r="H25" s="116">
        <f t="shared" ref="H25:K25" si="5">IFERROR(-H102/H$84,"N/A")</f>
        <v>3.7050118930881774E-3</v>
      </c>
      <c r="I25" s="116">
        <f t="shared" si="5"/>
        <v>2.4555102468442596E-3</v>
      </c>
      <c r="J25" s="116">
        <f t="shared" si="5"/>
        <v>2.6413728799680922E-3</v>
      </c>
      <c r="K25" s="116">
        <f t="shared" si="5"/>
        <v>2.3581865231212329E-3</v>
      </c>
      <c r="L25" s="118">
        <v>2E-3</v>
      </c>
      <c r="M25" s="118">
        <v>2E-3</v>
      </c>
      <c r="N25" s="118">
        <v>3.0000000000000001E-3</v>
      </c>
      <c r="O25" s="118">
        <v>3.0000000000000001E-3</v>
      </c>
      <c r="P25" s="118">
        <v>3.0000000000000001E-3</v>
      </c>
    </row>
    <row r="26" spans="3:16" ht="15.75" customHeight="1" outlineLevel="1" x14ac:dyDescent="0.2">
      <c r="C26" s="114" t="s">
        <v>32</v>
      </c>
      <c r="F26" s="115" t="s">
        <v>21</v>
      </c>
      <c r="G26" s="116">
        <f>IFERROR(-G104/G$84,"N/A")</f>
        <v>0</v>
      </c>
      <c r="H26" s="116">
        <f t="shared" ref="H26:K26" si="6">IFERROR(-H104/H$84,"N/A")</f>
        <v>2.4700079287254515E-2</v>
      </c>
      <c r="I26" s="116">
        <f t="shared" si="6"/>
        <v>3.2740136624590126E-2</v>
      </c>
      <c r="J26" s="116">
        <f t="shared" si="6"/>
        <v>2.6413728799680923E-2</v>
      </c>
      <c r="K26" s="116">
        <f t="shared" si="6"/>
        <v>3.1442486974949772E-2</v>
      </c>
      <c r="L26" s="118">
        <v>3.1E-2</v>
      </c>
      <c r="M26" s="118">
        <v>3.3000000000000002E-2</v>
      </c>
      <c r="N26" s="118">
        <v>3.5000000000000003E-2</v>
      </c>
      <c r="O26" s="118">
        <v>3.5000000000000003E-2</v>
      </c>
      <c r="P26" s="118">
        <v>3.6999999999999998E-2</v>
      </c>
    </row>
    <row r="27" spans="3:16" ht="15.75" customHeight="1" outlineLevel="1" x14ac:dyDescent="0.2">
      <c r="C27" s="114" t="s">
        <v>33</v>
      </c>
      <c r="F27" s="115" t="s">
        <v>21</v>
      </c>
      <c r="G27" s="116">
        <f>IFERROR(-G108/G$84,"N/A")</f>
        <v>9.4079129956206164E-3</v>
      </c>
      <c r="H27" s="116">
        <f t="shared" ref="H27:K29" si="7">IFERROR(-H108/H$84,"N/A")</f>
        <v>1.2350039643627258E-2</v>
      </c>
      <c r="I27" s="116">
        <f t="shared" si="7"/>
        <v>1.6370068312295063E-2</v>
      </c>
      <c r="J27" s="116">
        <f t="shared" si="7"/>
        <v>1.9810296599760691E-2</v>
      </c>
      <c r="K27" s="116">
        <f t="shared" si="7"/>
        <v>2.0961657983299849E-2</v>
      </c>
      <c r="L27" s="118">
        <v>2.1999999999999999E-2</v>
      </c>
      <c r="M27" s="118">
        <v>2.4E-2</v>
      </c>
      <c r="N27" s="118">
        <v>2.4E-2</v>
      </c>
      <c r="O27" s="118">
        <v>2.5999999999999999E-2</v>
      </c>
      <c r="P27" s="118">
        <v>2.5999999999999999E-2</v>
      </c>
    </row>
    <row r="28" spans="3:16" ht="15.75" customHeight="1" outlineLevel="1" x14ac:dyDescent="0.2">
      <c r="C28" s="114" t="s">
        <v>34</v>
      </c>
      <c r="F28" s="115" t="s">
        <v>21</v>
      </c>
      <c r="G28" s="116">
        <f>IFERROR(-G109/G$84,"N/A")</f>
        <v>2.7132421079369858E-2</v>
      </c>
      <c r="H28" s="116">
        <f t="shared" si="7"/>
        <v>2.1731129756926523E-2</v>
      </c>
      <c r="I28" s="116">
        <f t="shared" si="7"/>
        <v>9.8416850693517927E-3</v>
      </c>
      <c r="J28" s="116">
        <f t="shared" si="7"/>
        <v>6.7658766320382686E-3</v>
      </c>
      <c r="K28" s="116">
        <f t="shared" si="7"/>
        <v>7.0881846470528444E-3</v>
      </c>
      <c r="L28" s="118">
        <v>7.0000000000000001E-3</v>
      </c>
      <c r="M28" s="118">
        <v>6.0000000000000001E-3</v>
      </c>
      <c r="N28" s="118">
        <v>5.0000000000000001E-3</v>
      </c>
      <c r="O28" s="118">
        <v>4.0000000000000001E-3</v>
      </c>
      <c r="P28" s="118">
        <v>4.0000000000000001E-3</v>
      </c>
    </row>
    <row r="29" spans="3:16" ht="15.75" customHeight="1" outlineLevel="1" x14ac:dyDescent="0.2">
      <c r="C29" s="114" t="s">
        <v>35</v>
      </c>
      <c r="F29" s="115" t="s">
        <v>21</v>
      </c>
      <c r="G29" s="116">
        <f>IFERROR(-G110/G$84,"N/A")</f>
        <v>2.6718472907562552E-3</v>
      </c>
      <c r="H29" s="116">
        <f t="shared" si="7"/>
        <v>1.9562462795505576E-3</v>
      </c>
      <c r="I29" s="116">
        <f t="shared" si="7"/>
        <v>1.655013906373031E-3</v>
      </c>
      <c r="J29" s="116">
        <f t="shared" si="7"/>
        <v>2.0114054480957024E-3</v>
      </c>
      <c r="K29" s="116">
        <f t="shared" si="7"/>
        <v>2.1213197879099447E-3</v>
      </c>
      <c r="L29" s="118">
        <v>2E-3</v>
      </c>
      <c r="M29" s="118">
        <v>2E-3</v>
      </c>
      <c r="N29" s="118">
        <v>3.0000000000000001E-3</v>
      </c>
      <c r="O29" s="118">
        <v>4.0000000000000001E-3</v>
      </c>
      <c r="P29" s="118">
        <v>4.0000000000000001E-3</v>
      </c>
    </row>
    <row r="30" spans="3:16" ht="15.75" customHeight="1" outlineLevel="1" x14ac:dyDescent="0.2">
      <c r="K30" s="105"/>
      <c r="P30" s="105"/>
    </row>
    <row r="31" spans="3:16" ht="15.75" customHeight="1" outlineLevel="1" x14ac:dyDescent="0.2">
      <c r="C31" s="114" t="s">
        <v>36</v>
      </c>
      <c r="F31" s="115" t="s">
        <v>21</v>
      </c>
      <c r="G31" s="116">
        <f>IFERROR(-G117/G115,"N/A")</f>
        <v>0.25</v>
      </c>
      <c r="H31" s="116">
        <f t="shared" ref="H31:K31" si="8">IFERROR(-H117/H115,"N/A")</f>
        <v>0.27</v>
      </c>
      <c r="I31" s="116">
        <f t="shared" si="8"/>
        <v>0.28000000000000003</v>
      </c>
      <c r="J31" s="116">
        <f t="shared" si="8"/>
        <v>0.28999999999999998</v>
      </c>
      <c r="K31" s="116">
        <f t="shared" si="8"/>
        <v>0.3</v>
      </c>
      <c r="L31" s="118">
        <v>0.3</v>
      </c>
      <c r="M31" s="120">
        <f>+L31</f>
        <v>0.3</v>
      </c>
      <c r="N31" s="120">
        <f t="shared" ref="N31:P31" si="9">+M31</f>
        <v>0.3</v>
      </c>
      <c r="O31" s="120">
        <f t="shared" si="9"/>
        <v>0.3</v>
      </c>
      <c r="P31" s="120">
        <f t="shared" si="9"/>
        <v>0.3</v>
      </c>
    </row>
    <row r="32" spans="3:16" ht="15.75" customHeight="1" outlineLevel="1" x14ac:dyDescent="0.2">
      <c r="K32" s="105"/>
      <c r="P32" s="105"/>
    </row>
    <row r="33" spans="3:16" ht="15.75" customHeight="1" outlineLevel="1" x14ac:dyDescent="0.2">
      <c r="C33" s="111" t="s">
        <v>37</v>
      </c>
      <c r="D33" s="112"/>
      <c r="E33" s="112"/>
      <c r="F33" s="112"/>
      <c r="G33" s="112"/>
      <c r="H33" s="112"/>
      <c r="I33" s="112"/>
      <c r="J33" s="112"/>
      <c r="K33" s="113"/>
      <c r="L33" s="112"/>
      <c r="M33" s="112"/>
      <c r="N33" s="112"/>
      <c r="O33" s="112"/>
      <c r="P33" s="113"/>
    </row>
    <row r="34" spans="3:16" ht="15.75" customHeight="1" outlineLevel="1" x14ac:dyDescent="0.2">
      <c r="C34" s="114" t="s">
        <v>38</v>
      </c>
      <c r="F34" s="115" t="s">
        <v>39</v>
      </c>
      <c r="G34" s="121">
        <v>0</v>
      </c>
      <c r="H34" s="121">
        <v>0</v>
      </c>
      <c r="I34" s="121">
        <v>0.5</v>
      </c>
      <c r="J34" s="121">
        <v>0.75</v>
      </c>
      <c r="K34" s="121">
        <v>1</v>
      </c>
      <c r="L34" s="122">
        <v>1</v>
      </c>
      <c r="M34" s="122">
        <v>1.5</v>
      </c>
      <c r="N34" s="122">
        <v>1.5</v>
      </c>
      <c r="O34" s="122">
        <v>2</v>
      </c>
      <c r="P34" s="122">
        <v>2</v>
      </c>
    </row>
    <row r="35" spans="3:16" ht="15.75" customHeight="1" outlineLevel="1" x14ac:dyDescent="0.2">
      <c r="C35" s="114" t="s">
        <v>40</v>
      </c>
      <c r="F35" s="115" t="s">
        <v>39</v>
      </c>
      <c r="G35" s="121">
        <v>0</v>
      </c>
      <c r="H35" s="121">
        <v>0.5</v>
      </c>
      <c r="I35" s="121">
        <v>1</v>
      </c>
      <c r="J35" s="121">
        <v>1</v>
      </c>
      <c r="K35" s="121">
        <v>1</v>
      </c>
      <c r="L35" s="122">
        <v>1.5</v>
      </c>
      <c r="M35" s="122">
        <v>1.5</v>
      </c>
      <c r="N35" s="122">
        <v>2</v>
      </c>
      <c r="O35" s="122">
        <v>2</v>
      </c>
      <c r="P35" s="122">
        <v>2</v>
      </c>
    </row>
    <row r="36" spans="3:16" ht="15.75" customHeight="1" outlineLevel="1" x14ac:dyDescent="0.2">
      <c r="C36" s="114" t="s">
        <v>41</v>
      </c>
      <c r="F36" s="115" t="s">
        <v>39</v>
      </c>
      <c r="G36" s="121">
        <v>0</v>
      </c>
      <c r="H36" s="121">
        <v>0.5</v>
      </c>
      <c r="I36" s="121">
        <v>0.5</v>
      </c>
      <c r="J36" s="121">
        <v>0.5</v>
      </c>
      <c r="K36" s="121">
        <v>0.5</v>
      </c>
      <c r="L36" s="122">
        <v>0.5</v>
      </c>
      <c r="M36" s="122">
        <v>1</v>
      </c>
      <c r="N36" s="122">
        <v>1</v>
      </c>
      <c r="O36" s="122">
        <v>1</v>
      </c>
      <c r="P36" s="122">
        <v>1</v>
      </c>
    </row>
    <row r="37" spans="3:16" ht="15.75" customHeight="1" outlineLevel="1" x14ac:dyDescent="0.2">
      <c r="C37" s="114" t="s">
        <v>42</v>
      </c>
      <c r="F37" s="115" t="s">
        <v>39</v>
      </c>
      <c r="G37" s="121">
        <v>0</v>
      </c>
      <c r="H37" s="121">
        <v>0</v>
      </c>
      <c r="I37" s="121">
        <v>0.5</v>
      </c>
      <c r="J37" s="121">
        <v>0.75</v>
      </c>
      <c r="K37" s="121">
        <v>1</v>
      </c>
      <c r="L37" s="122">
        <v>1</v>
      </c>
      <c r="M37" s="122">
        <v>1</v>
      </c>
      <c r="N37" s="122">
        <v>1</v>
      </c>
      <c r="O37" s="122">
        <v>1.25</v>
      </c>
      <c r="P37" s="122">
        <v>1.5</v>
      </c>
    </row>
    <row r="38" spans="3:16" ht="15.75" customHeight="1" outlineLevel="1" x14ac:dyDescent="0.2">
      <c r="C38" s="114" t="s">
        <v>43</v>
      </c>
      <c r="F38" s="115" t="s">
        <v>39</v>
      </c>
      <c r="G38" s="121">
        <v>0</v>
      </c>
      <c r="H38" s="121">
        <v>0</v>
      </c>
      <c r="I38" s="121">
        <v>0.5</v>
      </c>
      <c r="J38" s="121">
        <v>0.5</v>
      </c>
      <c r="K38" s="121">
        <v>1</v>
      </c>
      <c r="L38" s="122">
        <v>1</v>
      </c>
      <c r="M38" s="122">
        <v>1</v>
      </c>
      <c r="N38" s="122">
        <v>2</v>
      </c>
      <c r="O38" s="122">
        <v>2</v>
      </c>
      <c r="P38" s="122">
        <v>2</v>
      </c>
    </row>
    <row r="39" spans="3:16" ht="15.75" customHeight="1" outlineLevel="1" x14ac:dyDescent="0.2">
      <c r="C39" s="114" t="s">
        <v>44</v>
      </c>
      <c r="F39" s="115" t="s">
        <v>39</v>
      </c>
      <c r="G39" s="121">
        <v>0</v>
      </c>
      <c r="H39" s="121">
        <v>0</v>
      </c>
      <c r="I39" s="121">
        <v>0.5</v>
      </c>
      <c r="J39" s="121">
        <v>0.5</v>
      </c>
      <c r="K39" s="121">
        <v>0.5</v>
      </c>
      <c r="L39" s="123">
        <v>0.5</v>
      </c>
      <c r="M39" s="123">
        <v>0.75</v>
      </c>
      <c r="N39" s="123">
        <v>0.75</v>
      </c>
      <c r="O39" s="123">
        <v>1</v>
      </c>
      <c r="P39" s="123">
        <v>1</v>
      </c>
    </row>
    <row r="40" spans="3:16" ht="15.75" customHeight="1" outlineLevel="1" x14ac:dyDescent="0.2">
      <c r="C40" s="124" t="s">
        <v>45</v>
      </c>
      <c r="D40" s="125"/>
      <c r="E40" s="125"/>
      <c r="F40" s="125"/>
      <c r="G40" s="126">
        <f>SUM(G34:G39)</f>
        <v>0</v>
      </c>
      <c r="H40" s="126">
        <f t="shared" ref="H40:P40" si="10">SUM(H34:H39)</f>
        <v>1</v>
      </c>
      <c r="I40" s="126">
        <f t="shared" si="10"/>
        <v>3.5</v>
      </c>
      <c r="J40" s="126">
        <f t="shared" si="10"/>
        <v>4</v>
      </c>
      <c r="K40" s="126">
        <f t="shared" si="10"/>
        <v>5</v>
      </c>
      <c r="L40" s="126">
        <f t="shared" si="10"/>
        <v>5.5</v>
      </c>
      <c r="M40" s="126">
        <f t="shared" si="10"/>
        <v>6.75</v>
      </c>
      <c r="N40" s="126">
        <f t="shared" si="10"/>
        <v>8.25</v>
      </c>
      <c r="O40" s="126">
        <f t="shared" si="10"/>
        <v>9.25</v>
      </c>
      <c r="P40" s="126">
        <f t="shared" si="10"/>
        <v>9.5</v>
      </c>
    </row>
    <row r="41" spans="3:16" ht="15.75" customHeight="1" outlineLevel="1" x14ac:dyDescent="0.2">
      <c r="K41" s="105"/>
      <c r="P41" s="105"/>
    </row>
    <row r="42" spans="3:16" ht="15.75" customHeight="1" outlineLevel="1" x14ac:dyDescent="0.2">
      <c r="C42" s="127" t="s">
        <v>46</v>
      </c>
      <c r="D42" s="112"/>
      <c r="E42" s="112"/>
      <c r="F42" s="112"/>
      <c r="G42" s="112"/>
      <c r="H42" s="112"/>
      <c r="I42" s="112"/>
      <c r="J42" s="112"/>
      <c r="K42" s="113"/>
      <c r="L42" s="112"/>
      <c r="M42" s="112"/>
      <c r="N42" s="112"/>
      <c r="O42" s="112"/>
      <c r="P42" s="113"/>
    </row>
    <row r="43" spans="3:16" ht="15.75" customHeight="1" outlineLevel="1" x14ac:dyDescent="0.2">
      <c r="C43" s="114" t="str">
        <f t="shared" ref="C43:C48" si="11">+C34</f>
        <v>Customer Support:</v>
      </c>
      <c r="F43" s="115" t="s">
        <v>47</v>
      </c>
      <c r="G43" s="128" t="str">
        <f>IFERROR(-G103/G34,"N/A")</f>
        <v>N/A</v>
      </c>
      <c r="H43" s="128" t="str">
        <f t="shared" ref="H43:K43" si="12">IFERROR(-H103/H34,"N/A")</f>
        <v>N/A</v>
      </c>
      <c r="I43" s="128">
        <f t="shared" si="12"/>
        <v>60000</v>
      </c>
      <c r="J43" s="128">
        <f t="shared" si="12"/>
        <v>60000</v>
      </c>
      <c r="K43" s="128">
        <f t="shared" si="12"/>
        <v>60000</v>
      </c>
      <c r="L43" s="129">
        <f t="shared" ref="L43:P48" si="13">+K43*(1+L$50)</f>
        <v>62400</v>
      </c>
      <c r="M43" s="129">
        <f t="shared" si="13"/>
        <v>64896</v>
      </c>
      <c r="N43" s="129">
        <f t="shared" si="13"/>
        <v>67491.839999999997</v>
      </c>
      <c r="O43" s="129">
        <f t="shared" si="13"/>
        <v>70191.513600000006</v>
      </c>
      <c r="P43" s="129">
        <f t="shared" si="13"/>
        <v>72999.174144000004</v>
      </c>
    </row>
    <row r="44" spans="3:16" ht="15.75" customHeight="1" outlineLevel="1" x14ac:dyDescent="0.2">
      <c r="C44" s="114" t="str">
        <f t="shared" si="11"/>
        <v>Web Design &amp; Development:</v>
      </c>
      <c r="F44" s="115" t="s">
        <v>47</v>
      </c>
      <c r="G44" s="130" t="str">
        <f>IFERROR(-G105/G35,"N/A")</f>
        <v>N/A</v>
      </c>
      <c r="H44" s="130">
        <f t="shared" ref="H44:K46" si="14">IFERROR(-H105/H35,"N/A")</f>
        <v>60000</v>
      </c>
      <c r="I44" s="130">
        <f t="shared" si="14"/>
        <v>60000</v>
      </c>
      <c r="J44" s="130">
        <f t="shared" si="14"/>
        <v>60000</v>
      </c>
      <c r="K44" s="130">
        <f t="shared" si="14"/>
        <v>60000</v>
      </c>
      <c r="L44" s="131">
        <f t="shared" si="13"/>
        <v>62400</v>
      </c>
      <c r="M44" s="131">
        <f t="shared" si="13"/>
        <v>64896</v>
      </c>
      <c r="N44" s="131">
        <f t="shared" si="13"/>
        <v>67491.839999999997</v>
      </c>
      <c r="O44" s="131">
        <f t="shared" si="13"/>
        <v>70191.513600000006</v>
      </c>
      <c r="P44" s="131">
        <f t="shared" si="13"/>
        <v>72999.174144000004</v>
      </c>
    </row>
    <row r="45" spans="3:16" ht="15.75" customHeight="1" outlineLevel="1" x14ac:dyDescent="0.2">
      <c r="C45" s="114" t="str">
        <f t="shared" si="11"/>
        <v>Sales Reps:</v>
      </c>
      <c r="F45" s="115" t="s">
        <v>47</v>
      </c>
      <c r="G45" s="130" t="str">
        <f>IFERROR(-G106/G36,"N/A")</f>
        <v>N/A</v>
      </c>
      <c r="H45" s="130">
        <f t="shared" si="14"/>
        <v>20000</v>
      </c>
      <c r="I45" s="130">
        <f t="shared" si="14"/>
        <v>24000</v>
      </c>
      <c r="J45" s="130">
        <f t="shared" si="14"/>
        <v>24000</v>
      </c>
      <c r="K45" s="130">
        <f t="shared" si="14"/>
        <v>24000</v>
      </c>
      <c r="L45" s="131">
        <f t="shared" si="13"/>
        <v>24960</v>
      </c>
      <c r="M45" s="131">
        <f t="shared" si="13"/>
        <v>25958.400000000001</v>
      </c>
      <c r="N45" s="131">
        <f t="shared" si="13"/>
        <v>26996.736000000001</v>
      </c>
      <c r="O45" s="131">
        <f t="shared" si="13"/>
        <v>28076.605440000003</v>
      </c>
      <c r="P45" s="131">
        <f t="shared" si="13"/>
        <v>29199.669657600003</v>
      </c>
    </row>
    <row r="46" spans="3:16" ht="15.75" customHeight="1" outlineLevel="1" x14ac:dyDescent="0.2">
      <c r="C46" s="114" t="str">
        <f t="shared" si="11"/>
        <v>Marketing Staff:</v>
      </c>
      <c r="F46" s="115" t="s">
        <v>47</v>
      </c>
      <c r="G46" s="130" t="str">
        <f>IFERROR(-G107/G37,"N/A")</f>
        <v>N/A</v>
      </c>
      <c r="H46" s="130" t="str">
        <f t="shared" si="14"/>
        <v>N/A</v>
      </c>
      <c r="I46" s="130">
        <f t="shared" si="14"/>
        <v>80000</v>
      </c>
      <c r="J46" s="130">
        <f t="shared" si="14"/>
        <v>80000</v>
      </c>
      <c r="K46" s="130">
        <f t="shared" si="14"/>
        <v>80000</v>
      </c>
      <c r="L46" s="131">
        <f t="shared" si="13"/>
        <v>83200</v>
      </c>
      <c r="M46" s="131">
        <f t="shared" si="13"/>
        <v>86528</v>
      </c>
      <c r="N46" s="131">
        <f t="shared" si="13"/>
        <v>89989.12000000001</v>
      </c>
      <c r="O46" s="131">
        <f t="shared" si="13"/>
        <v>93588.684800000017</v>
      </c>
      <c r="P46" s="131">
        <f t="shared" si="13"/>
        <v>97332.232192000025</v>
      </c>
    </row>
    <row r="47" spans="3:16" ht="15.75" customHeight="1" outlineLevel="1" x14ac:dyDescent="0.2">
      <c r="C47" s="114" t="str">
        <f t="shared" si="11"/>
        <v>Product Creation:</v>
      </c>
      <c r="F47" s="115" t="s">
        <v>47</v>
      </c>
      <c r="G47" s="130" t="str">
        <f>IFERROR(-G111/G38,"N/A")</f>
        <v>N/A</v>
      </c>
      <c r="H47" s="130" t="str">
        <f t="shared" ref="H47:K48" si="15">IFERROR(-H111/H38,"N/A")</f>
        <v>N/A</v>
      </c>
      <c r="I47" s="130">
        <f t="shared" si="15"/>
        <v>80000</v>
      </c>
      <c r="J47" s="130">
        <f t="shared" si="15"/>
        <v>80000</v>
      </c>
      <c r="K47" s="130">
        <f t="shared" si="15"/>
        <v>80000</v>
      </c>
      <c r="L47" s="131">
        <f t="shared" si="13"/>
        <v>83200</v>
      </c>
      <c r="M47" s="131">
        <f t="shared" si="13"/>
        <v>86528</v>
      </c>
      <c r="N47" s="131">
        <f t="shared" si="13"/>
        <v>89989.12000000001</v>
      </c>
      <c r="O47" s="131">
        <f t="shared" si="13"/>
        <v>93588.684800000017</v>
      </c>
      <c r="P47" s="131">
        <f t="shared" si="13"/>
        <v>97332.232192000025</v>
      </c>
    </row>
    <row r="48" spans="3:16" ht="15.75" customHeight="1" outlineLevel="1" x14ac:dyDescent="0.2">
      <c r="C48" s="114" t="str">
        <f t="shared" si="11"/>
        <v>Content Creation:</v>
      </c>
      <c r="F48" s="115" t="s">
        <v>47</v>
      </c>
      <c r="G48" s="130" t="str">
        <f>IFERROR(-G112/G39,"N/A")</f>
        <v>N/A</v>
      </c>
      <c r="H48" s="130" t="str">
        <f t="shared" si="15"/>
        <v>N/A</v>
      </c>
      <c r="I48" s="130">
        <f t="shared" si="15"/>
        <v>60000</v>
      </c>
      <c r="J48" s="130">
        <f t="shared" si="15"/>
        <v>60000</v>
      </c>
      <c r="K48" s="130">
        <f t="shared" si="15"/>
        <v>60000</v>
      </c>
      <c r="L48" s="131">
        <f t="shared" si="13"/>
        <v>62400</v>
      </c>
      <c r="M48" s="131">
        <f t="shared" si="13"/>
        <v>64896</v>
      </c>
      <c r="N48" s="131">
        <f t="shared" si="13"/>
        <v>67491.839999999997</v>
      </c>
      <c r="O48" s="131">
        <f t="shared" si="13"/>
        <v>70191.513600000006</v>
      </c>
      <c r="P48" s="131">
        <f t="shared" si="13"/>
        <v>72999.174144000004</v>
      </c>
    </row>
    <row r="49" spans="2:16" ht="15.75" customHeight="1" outlineLevel="1" x14ac:dyDescent="0.2">
      <c r="K49" s="105"/>
      <c r="P49" s="105"/>
    </row>
    <row r="50" spans="2:16" ht="15.75" customHeight="1" outlineLevel="1" x14ac:dyDescent="0.2">
      <c r="C50" s="92" t="s">
        <v>48</v>
      </c>
      <c r="F50" s="115" t="s">
        <v>21</v>
      </c>
      <c r="K50" s="105"/>
      <c r="L50" s="118">
        <v>0.04</v>
      </c>
      <c r="M50" s="118">
        <v>0.04</v>
      </c>
      <c r="N50" s="118">
        <v>0.04</v>
      </c>
      <c r="O50" s="118">
        <v>0.04</v>
      </c>
      <c r="P50" s="118">
        <v>0.04</v>
      </c>
    </row>
    <row r="51" spans="2:16" ht="15.75" customHeight="1" x14ac:dyDescent="0.2">
      <c r="B51" s="95"/>
      <c r="G51" s="94"/>
    </row>
    <row r="52" spans="2:16" ht="15.75" customHeight="1" x14ac:dyDescent="0.2">
      <c r="B52" s="96"/>
      <c r="C52" s="96"/>
      <c r="D52" s="96"/>
      <c r="E52" s="96"/>
      <c r="F52" s="96"/>
      <c r="G52" s="97" t="str">
        <f>+$G$5</f>
        <v>Historical</v>
      </c>
      <c r="H52" s="98"/>
      <c r="I52" s="98"/>
      <c r="J52" s="98"/>
      <c r="K52" s="99"/>
      <c r="L52" s="97" t="str">
        <f>+$L$5</f>
        <v>Projected</v>
      </c>
      <c r="M52" s="97"/>
      <c r="N52" s="97"/>
      <c r="O52" s="97"/>
      <c r="P52" s="97"/>
    </row>
    <row r="53" spans="2:16" ht="15.75" customHeight="1" x14ac:dyDescent="0.2">
      <c r="B53" s="100" t="s">
        <v>49</v>
      </c>
      <c r="C53" s="101"/>
      <c r="D53" s="101"/>
      <c r="E53" s="101"/>
      <c r="F53" s="102" t="str">
        <f>+$F$6</f>
        <v>Units:</v>
      </c>
      <c r="G53" s="103" t="str">
        <f>+$G$6</f>
        <v>Year 1</v>
      </c>
      <c r="H53" s="103" t="str">
        <f>+$H$6</f>
        <v>Year 2</v>
      </c>
      <c r="I53" s="103" t="str">
        <f>+$I$6</f>
        <v>Year 3</v>
      </c>
      <c r="J53" s="103" t="str">
        <f>+$J$6</f>
        <v>Year 4</v>
      </c>
      <c r="K53" s="104" t="str">
        <f>+$K$6</f>
        <v>Year 5</v>
      </c>
      <c r="L53" s="103" t="str">
        <f>+$L$6</f>
        <v>Year 6</v>
      </c>
      <c r="M53" s="103" t="str">
        <f>+$M$6</f>
        <v>Year 7</v>
      </c>
      <c r="N53" s="103" t="str">
        <f>+$N$6</f>
        <v>Year 8</v>
      </c>
      <c r="O53" s="103" t="str">
        <f>+$O$6</f>
        <v>Year 9</v>
      </c>
      <c r="P53" s="103" t="str">
        <f>+$P$6</f>
        <v>Year 10</v>
      </c>
    </row>
    <row r="54" spans="2:16" ht="15.75" customHeight="1" outlineLevel="1" x14ac:dyDescent="0.2">
      <c r="K54" s="105"/>
      <c r="P54" s="105"/>
    </row>
    <row r="55" spans="2:16" ht="15.75" customHeight="1" outlineLevel="1" x14ac:dyDescent="0.2">
      <c r="C55" s="92" t="s">
        <v>50</v>
      </c>
      <c r="F55" s="115" t="s">
        <v>21</v>
      </c>
      <c r="G55" s="132">
        <f>IFERROR(+G140/G84,"N/A")</f>
        <v>0</v>
      </c>
      <c r="H55" s="132">
        <f t="shared" ref="H55:K55" si="16">IFERROR(+H140/H84,"N/A")</f>
        <v>5.0000000000000001E-3</v>
      </c>
      <c r="I55" s="132">
        <f t="shared" si="16"/>
        <v>0.01</v>
      </c>
      <c r="J55" s="132">
        <f t="shared" si="16"/>
        <v>0.01</v>
      </c>
      <c r="K55" s="132">
        <f t="shared" si="16"/>
        <v>1.2E-2</v>
      </c>
      <c r="L55" s="118">
        <v>1.2E-2</v>
      </c>
      <c r="M55" s="118">
        <v>1.2999999999999999E-2</v>
      </c>
      <c r="N55" s="118">
        <v>1.4E-2</v>
      </c>
      <c r="O55" s="118">
        <v>1.4999999999999999E-2</v>
      </c>
      <c r="P55" s="118">
        <v>1.6E-2</v>
      </c>
    </row>
    <row r="56" spans="2:16" ht="15.75" customHeight="1" outlineLevel="1" x14ac:dyDescent="0.2">
      <c r="C56" s="92" t="s">
        <v>51</v>
      </c>
      <c r="F56" s="115" t="s">
        <v>21</v>
      </c>
      <c r="G56" s="132">
        <f>IFERROR(-G152/G$113,"N/A")</f>
        <v>5.0000000000000001E-3</v>
      </c>
      <c r="H56" s="132">
        <f t="shared" ref="H56:K57" si="17">IFERROR(-H152/H$113,"N/A")</f>
        <v>9.0000000000000011E-3</v>
      </c>
      <c r="I56" s="132">
        <f t="shared" si="17"/>
        <v>1.3000000000000001E-2</v>
      </c>
      <c r="J56" s="132">
        <f t="shared" si="17"/>
        <v>1.8000000000000002E-2</v>
      </c>
      <c r="K56" s="132">
        <f t="shared" si="17"/>
        <v>2.1000000000000001E-2</v>
      </c>
      <c r="L56" s="118">
        <v>2.1999999999999999E-2</v>
      </c>
      <c r="M56" s="118">
        <v>2.4E-2</v>
      </c>
      <c r="N56" s="118">
        <v>2.4E-2</v>
      </c>
      <c r="O56" s="118">
        <v>2.5999999999999999E-2</v>
      </c>
      <c r="P56" s="118">
        <v>2.5999999999999999E-2</v>
      </c>
    </row>
    <row r="57" spans="2:16" ht="15.75" customHeight="1" outlineLevel="1" x14ac:dyDescent="0.2">
      <c r="C57" s="92" t="s">
        <v>52</v>
      </c>
      <c r="F57" s="115" t="s">
        <v>21</v>
      </c>
      <c r="G57" s="132">
        <f>IFERROR(-G153/G$113,"N/A")</f>
        <v>0.01</v>
      </c>
      <c r="H57" s="132">
        <f t="shared" si="17"/>
        <v>0.01</v>
      </c>
      <c r="I57" s="132">
        <f t="shared" si="17"/>
        <v>1.4999999999999999E-2</v>
      </c>
      <c r="J57" s="132">
        <f t="shared" si="17"/>
        <v>1.4999999999999999E-2</v>
      </c>
      <c r="K57" s="132">
        <f t="shared" si="17"/>
        <v>1.4999999999999998E-2</v>
      </c>
      <c r="L57" s="118">
        <v>1.7000000000000001E-2</v>
      </c>
      <c r="M57" s="118">
        <v>1.7000000000000001E-2</v>
      </c>
      <c r="N57" s="118">
        <v>1.9E-2</v>
      </c>
      <c r="O57" s="118">
        <v>1.9E-2</v>
      </c>
      <c r="P57" s="118">
        <v>0.02</v>
      </c>
    </row>
    <row r="58" spans="2:16" ht="15.75" customHeight="1" outlineLevel="1" x14ac:dyDescent="0.2">
      <c r="C58" s="92" t="s">
        <v>53</v>
      </c>
      <c r="F58" s="115" t="s">
        <v>21</v>
      </c>
      <c r="G58" s="132">
        <f>IFERROR(+G157/G84,"N/A")</f>
        <v>0</v>
      </c>
      <c r="H58" s="132">
        <f t="shared" ref="H58:K58" si="18">IFERROR(+H157/H84,"N/A")</f>
        <v>2E-3</v>
      </c>
      <c r="I58" s="132">
        <f t="shared" si="18"/>
        <v>5.0000000000000001E-3</v>
      </c>
      <c r="J58" s="132">
        <f t="shared" si="18"/>
        <v>7.4999999999999997E-3</v>
      </c>
      <c r="K58" s="132">
        <f t="shared" si="18"/>
        <v>0.01</v>
      </c>
      <c r="L58" s="118">
        <v>1.2E-2</v>
      </c>
      <c r="M58" s="118">
        <v>1.4E-2</v>
      </c>
      <c r="N58" s="118">
        <v>1.4999999999999999E-2</v>
      </c>
      <c r="O58" s="118">
        <v>1.7000000000000001E-2</v>
      </c>
      <c r="P58" s="118">
        <v>1.9E-2</v>
      </c>
    </row>
    <row r="59" spans="2:16" ht="15.75" customHeight="1" outlineLevel="1" x14ac:dyDescent="0.2">
      <c r="K59" s="105"/>
      <c r="P59" s="105"/>
    </row>
    <row r="60" spans="2:16" ht="15.75" customHeight="1" outlineLevel="1" x14ac:dyDescent="0.2">
      <c r="C60" s="92" t="s">
        <v>54</v>
      </c>
      <c r="F60" s="115" t="s">
        <v>21</v>
      </c>
      <c r="G60" s="132">
        <f>IFERROR(-G181/G84,"N/A")</f>
        <v>4.0000000000000001E-3</v>
      </c>
      <c r="H60" s="132">
        <f>IFERROR(-H181/H84,"N/A")</f>
        <v>5.0000000000000001E-3</v>
      </c>
      <c r="I60" s="132">
        <f>IFERROR(-I181/I84,"N/A")</f>
        <v>5.0000000000000001E-3</v>
      </c>
      <c r="J60" s="132">
        <f>IFERROR(-J181/J84,"N/A")</f>
        <v>5.0000000000000001E-3</v>
      </c>
      <c r="K60" s="132">
        <f>IFERROR(-K181/K84,"N/A")</f>
        <v>6.0000000000000001E-3</v>
      </c>
      <c r="L60" s="118">
        <v>6.0000000000000001E-3</v>
      </c>
      <c r="M60" s="118">
        <v>7.0000000000000001E-3</v>
      </c>
      <c r="N60" s="118">
        <v>7.0000000000000001E-3</v>
      </c>
      <c r="O60" s="118">
        <v>8.0000000000000002E-3</v>
      </c>
      <c r="P60" s="118">
        <v>8.0000000000000002E-3</v>
      </c>
    </row>
    <row r="61" spans="2:16" ht="15.75" customHeight="1" outlineLevel="1" x14ac:dyDescent="0.2">
      <c r="C61" s="133" t="s">
        <v>55</v>
      </c>
      <c r="F61" s="115" t="s">
        <v>56</v>
      </c>
      <c r="G61" s="130">
        <f>+G182</f>
        <v>-127</v>
      </c>
      <c r="H61" s="130">
        <f>+H182</f>
        <v>-254</v>
      </c>
      <c r="I61" s="130">
        <f>+I182</f>
        <v>-321</v>
      </c>
      <c r="J61" s="130">
        <f>+J182</f>
        <v>-423</v>
      </c>
      <c r="K61" s="130">
        <f>+K182</f>
        <v>-501</v>
      </c>
      <c r="L61" s="134">
        <v>-500</v>
      </c>
      <c r="M61" s="134">
        <v>-600</v>
      </c>
      <c r="N61" s="134">
        <v>-750</v>
      </c>
      <c r="O61" s="134">
        <v>-900</v>
      </c>
      <c r="P61" s="135">
        <v>-1100</v>
      </c>
    </row>
    <row r="62" spans="2:16" ht="15.75" customHeight="1" outlineLevel="1" x14ac:dyDescent="0.2">
      <c r="K62" s="105"/>
      <c r="P62" s="105"/>
    </row>
    <row r="63" spans="2:16" ht="15.75" customHeight="1" outlineLevel="1" x14ac:dyDescent="0.2">
      <c r="C63" s="133" t="s">
        <v>57</v>
      </c>
      <c r="F63" s="115" t="s">
        <v>56</v>
      </c>
      <c r="G63" s="130">
        <f>+G186</f>
        <v>53</v>
      </c>
      <c r="H63" s="130">
        <f>+H186</f>
        <v>102</v>
      </c>
      <c r="I63" s="130">
        <f>+I186</f>
        <v>1211</v>
      </c>
      <c r="J63" s="130">
        <f>+J186</f>
        <v>2310</v>
      </c>
      <c r="K63" s="130">
        <f>+K186</f>
        <v>3123</v>
      </c>
      <c r="L63" s="134">
        <v>3500</v>
      </c>
      <c r="M63" s="134">
        <v>3800</v>
      </c>
      <c r="N63" s="134">
        <v>4100</v>
      </c>
      <c r="O63" s="134">
        <v>4400</v>
      </c>
      <c r="P63" s="135">
        <v>4700</v>
      </c>
    </row>
    <row r="64" spans="2:16" ht="15.75" customHeight="1" outlineLevel="1" x14ac:dyDescent="0.2">
      <c r="C64" s="133" t="s">
        <v>58</v>
      </c>
      <c r="F64" s="115" t="s">
        <v>56</v>
      </c>
      <c r="G64" s="132">
        <f>-G187/G84</f>
        <v>0.37631651982482467</v>
      </c>
      <c r="H64" s="132">
        <f>-H187/H84</f>
        <v>0.24700079287254514</v>
      </c>
      <c r="I64" s="132">
        <f>-I187/I84</f>
        <v>0.19644081974754077</v>
      </c>
      <c r="J64" s="132">
        <f>-J187/J84</f>
        <v>0.19810296599760691</v>
      </c>
      <c r="K64" s="132">
        <f>-K187/K84</f>
        <v>0.2096165798329985</v>
      </c>
      <c r="L64" s="118">
        <v>0.2</v>
      </c>
      <c r="M64" s="120">
        <f>+L64</f>
        <v>0.2</v>
      </c>
      <c r="N64" s="120">
        <f t="shared" ref="N64:P64" si="19">+M64</f>
        <v>0.2</v>
      </c>
      <c r="O64" s="120">
        <f t="shared" si="19"/>
        <v>0.2</v>
      </c>
      <c r="P64" s="120">
        <f t="shared" si="19"/>
        <v>0.2</v>
      </c>
    </row>
    <row r="65" spans="2:16" ht="15.75" customHeight="1" outlineLevel="1" x14ac:dyDescent="0.2">
      <c r="B65" s="95"/>
      <c r="G65" s="94"/>
    </row>
    <row r="66" spans="2:16" ht="15.75" customHeight="1" outlineLevel="1" x14ac:dyDescent="0.2">
      <c r="B66" s="95"/>
      <c r="C66" s="133" t="s">
        <v>59</v>
      </c>
      <c r="F66" s="115" t="s">
        <v>56</v>
      </c>
      <c r="G66" s="136">
        <f>-G187</f>
        <v>80000</v>
      </c>
      <c r="H66" s="136">
        <f t="shared" ref="H66:P66" si="20">-H187</f>
        <v>100000</v>
      </c>
      <c r="I66" s="136">
        <f t="shared" si="20"/>
        <v>120000</v>
      </c>
      <c r="J66" s="136">
        <f t="shared" si="20"/>
        <v>150000</v>
      </c>
      <c r="K66" s="136">
        <f t="shared" si="20"/>
        <v>200000</v>
      </c>
      <c r="L66" s="136">
        <f t="shared" si="20"/>
        <v>222575.83560000002</v>
      </c>
      <c r="M66" s="136">
        <f t="shared" si="20"/>
        <v>264169.16171000001</v>
      </c>
      <c r="N66" s="136">
        <f t="shared" si="20"/>
        <v>314588.94916259998</v>
      </c>
      <c r="O66" s="136">
        <f t="shared" si="20"/>
        <v>364321.10387332807</v>
      </c>
      <c r="P66" s="136">
        <f t="shared" si="20"/>
        <v>420254.78779435635</v>
      </c>
    </row>
    <row r="67" spans="2:16" ht="15.75" customHeight="1" outlineLevel="1" x14ac:dyDescent="0.2">
      <c r="B67" s="95"/>
      <c r="G67" s="94"/>
    </row>
    <row r="68" spans="2:16" ht="15.75" customHeight="1" outlineLevel="1" x14ac:dyDescent="0.2">
      <c r="B68" s="95"/>
      <c r="C68" s="133" t="s">
        <v>60</v>
      </c>
      <c r="F68" s="115" t="s">
        <v>21</v>
      </c>
      <c r="G68" s="118">
        <v>0.25</v>
      </c>
      <c r="H68" s="118">
        <v>0.2</v>
      </c>
      <c r="I68" s="118">
        <v>0.15</v>
      </c>
      <c r="J68" s="118">
        <v>0.1</v>
      </c>
      <c r="K68" s="118">
        <v>0.1</v>
      </c>
      <c r="L68" s="118">
        <v>0.05</v>
      </c>
      <c r="M68" s="118">
        <v>0.05</v>
      </c>
      <c r="N68" s="118">
        <v>0.05</v>
      </c>
      <c r="O68" s="118">
        <v>0.05</v>
      </c>
      <c r="P68" s="118">
        <v>0.05</v>
      </c>
    </row>
    <row r="69" spans="2:16" ht="15.75" customHeight="1" outlineLevel="1" x14ac:dyDescent="0.2">
      <c r="B69" s="95"/>
      <c r="C69" s="133" t="s">
        <v>61</v>
      </c>
      <c r="F69" s="115" t="s">
        <v>21</v>
      </c>
      <c r="G69" s="118">
        <v>0.5</v>
      </c>
      <c r="H69" s="118">
        <v>0.5</v>
      </c>
      <c r="I69" s="118">
        <v>0.5</v>
      </c>
      <c r="J69" s="118">
        <v>0.55000000000000004</v>
      </c>
      <c r="K69" s="118">
        <v>0.55000000000000004</v>
      </c>
      <c r="L69" s="118">
        <v>0.6</v>
      </c>
      <c r="M69" s="118">
        <v>0.65</v>
      </c>
      <c r="N69" s="118">
        <v>0.65</v>
      </c>
      <c r="O69" s="118">
        <v>0.65</v>
      </c>
      <c r="P69" s="118">
        <v>0.65</v>
      </c>
    </row>
    <row r="70" spans="2:16" ht="15.75" customHeight="1" outlineLevel="1" x14ac:dyDescent="0.2">
      <c r="B70" s="95"/>
      <c r="C70" s="133" t="s">
        <v>62</v>
      </c>
      <c r="F70" s="115" t="s">
        <v>21</v>
      </c>
      <c r="G70" s="118">
        <v>0.25</v>
      </c>
      <c r="H70" s="118">
        <v>0.3</v>
      </c>
      <c r="I70" s="118">
        <v>0.35</v>
      </c>
      <c r="J70" s="118">
        <v>0.35</v>
      </c>
      <c r="K70" s="118">
        <v>0.35</v>
      </c>
      <c r="L70" s="118">
        <v>0.35</v>
      </c>
      <c r="M70" s="118">
        <v>0.3</v>
      </c>
      <c r="N70" s="118">
        <v>0.3</v>
      </c>
      <c r="O70" s="118">
        <v>0.3</v>
      </c>
      <c r="P70" s="118">
        <v>0.3</v>
      </c>
    </row>
    <row r="71" spans="2:16" ht="15.75" customHeight="1" outlineLevel="1" x14ac:dyDescent="0.2">
      <c r="B71" s="95"/>
      <c r="G71" s="137"/>
      <c r="H71" s="137"/>
      <c r="I71" s="137"/>
      <c r="J71" s="137"/>
      <c r="K71" s="137"/>
      <c r="L71" s="137"/>
      <c r="M71" s="137"/>
      <c r="N71" s="137"/>
      <c r="O71" s="137"/>
      <c r="P71" s="137"/>
    </row>
    <row r="72" spans="2:16" ht="15.75" customHeight="1" outlineLevel="1" x14ac:dyDescent="0.2">
      <c r="B72" s="95"/>
      <c r="C72" s="133" t="s">
        <v>60</v>
      </c>
      <c r="F72" s="115" t="s">
        <v>56</v>
      </c>
      <c r="G72" s="136">
        <f>+G$66*G68</f>
        <v>20000</v>
      </c>
      <c r="H72" s="136">
        <f t="shared" ref="H72:P72" si="21">+H$66*H68</f>
        <v>20000</v>
      </c>
      <c r="I72" s="136">
        <f t="shared" si="21"/>
        <v>18000</v>
      </c>
      <c r="J72" s="136">
        <f t="shared" si="21"/>
        <v>15000</v>
      </c>
      <c r="K72" s="136">
        <f t="shared" si="21"/>
        <v>20000</v>
      </c>
      <c r="L72" s="136">
        <f t="shared" si="21"/>
        <v>11128.791780000001</v>
      </c>
      <c r="M72" s="136">
        <f t="shared" si="21"/>
        <v>13208.458085500002</v>
      </c>
      <c r="N72" s="136">
        <f t="shared" si="21"/>
        <v>15729.44745813</v>
      </c>
      <c r="O72" s="136">
        <f t="shared" si="21"/>
        <v>18216.055193666405</v>
      </c>
      <c r="P72" s="136">
        <f t="shared" si="21"/>
        <v>21012.739389717819</v>
      </c>
    </row>
    <row r="73" spans="2:16" ht="15.75" customHeight="1" outlineLevel="1" x14ac:dyDescent="0.2">
      <c r="B73" s="95"/>
      <c r="C73" s="133" t="s">
        <v>61</v>
      </c>
      <c r="F73" s="115" t="s">
        <v>56</v>
      </c>
      <c r="G73" s="136">
        <f t="shared" ref="G73:P74" si="22">+G$66*G69</f>
        <v>40000</v>
      </c>
      <c r="H73" s="136">
        <f t="shared" si="22"/>
        <v>50000</v>
      </c>
      <c r="I73" s="136">
        <f t="shared" si="22"/>
        <v>60000</v>
      </c>
      <c r="J73" s="136">
        <f t="shared" si="22"/>
        <v>82500</v>
      </c>
      <c r="K73" s="136">
        <f t="shared" si="22"/>
        <v>110000.00000000001</v>
      </c>
      <c r="L73" s="136">
        <f t="shared" si="22"/>
        <v>133545.50135999999</v>
      </c>
      <c r="M73" s="136">
        <f t="shared" si="22"/>
        <v>171709.95511150002</v>
      </c>
      <c r="N73" s="136">
        <f t="shared" si="22"/>
        <v>204482.81695568998</v>
      </c>
      <c r="O73" s="136">
        <f t="shared" si="22"/>
        <v>236808.71751766326</v>
      </c>
      <c r="P73" s="136">
        <f t="shared" si="22"/>
        <v>273165.61206633161</v>
      </c>
    </row>
    <row r="74" spans="2:16" ht="15.75" customHeight="1" outlineLevel="1" x14ac:dyDescent="0.2">
      <c r="B74" s="95"/>
      <c r="C74" s="133" t="s">
        <v>62</v>
      </c>
      <c r="F74" s="115" t="s">
        <v>56</v>
      </c>
      <c r="G74" s="136">
        <f t="shared" si="22"/>
        <v>20000</v>
      </c>
      <c r="H74" s="136">
        <f t="shared" si="22"/>
        <v>30000</v>
      </c>
      <c r="I74" s="136">
        <f t="shared" si="22"/>
        <v>42000</v>
      </c>
      <c r="J74" s="136">
        <f t="shared" si="22"/>
        <v>52500</v>
      </c>
      <c r="K74" s="136">
        <f t="shared" si="22"/>
        <v>70000</v>
      </c>
      <c r="L74" s="136">
        <f t="shared" si="22"/>
        <v>77901.542459999997</v>
      </c>
      <c r="M74" s="136">
        <f t="shared" si="22"/>
        <v>79250.748512999999</v>
      </c>
      <c r="N74" s="136">
        <f t="shared" si="22"/>
        <v>94376.684748779997</v>
      </c>
      <c r="O74" s="136">
        <f t="shared" si="22"/>
        <v>109296.33116199842</v>
      </c>
      <c r="P74" s="136">
        <f t="shared" si="22"/>
        <v>126076.4363383069</v>
      </c>
    </row>
    <row r="75" spans="2:16" ht="15.75" customHeight="1" x14ac:dyDescent="0.2">
      <c r="B75" s="95"/>
      <c r="G75" s="94"/>
    </row>
    <row r="76" spans="2:16" ht="15.75" customHeight="1" x14ac:dyDescent="0.2">
      <c r="B76" s="96"/>
      <c r="C76" s="96"/>
      <c r="D76" s="96"/>
      <c r="E76" s="96"/>
      <c r="F76" s="96"/>
      <c r="G76" s="97" t="str">
        <f>+$G$5</f>
        <v>Historical</v>
      </c>
      <c r="H76" s="98"/>
      <c r="I76" s="98"/>
      <c r="J76" s="98"/>
      <c r="K76" s="99"/>
      <c r="L76" s="97" t="str">
        <f>+$L$5</f>
        <v>Projected</v>
      </c>
      <c r="M76" s="97"/>
      <c r="N76" s="97"/>
      <c r="O76" s="97"/>
      <c r="P76" s="97"/>
    </row>
    <row r="77" spans="2:16" ht="15.75" customHeight="1" x14ac:dyDescent="0.2">
      <c r="B77" s="138" t="s">
        <v>63</v>
      </c>
      <c r="C77" s="101"/>
      <c r="D77" s="101"/>
      <c r="E77" s="101"/>
      <c r="F77" s="102" t="str">
        <f>+$F$6</f>
        <v>Units:</v>
      </c>
      <c r="G77" s="103" t="str">
        <f>+$G$6</f>
        <v>Year 1</v>
      </c>
      <c r="H77" s="103" t="str">
        <f>+$H$6</f>
        <v>Year 2</v>
      </c>
      <c r="I77" s="103" t="str">
        <f>+$I$6</f>
        <v>Year 3</v>
      </c>
      <c r="J77" s="103" t="str">
        <f>+$J$6</f>
        <v>Year 4</v>
      </c>
      <c r="K77" s="104" t="str">
        <f>+$K$6</f>
        <v>Year 5</v>
      </c>
      <c r="L77" s="103" t="str">
        <f>+$L$6</f>
        <v>Year 6</v>
      </c>
      <c r="M77" s="103" t="str">
        <f>+$M$6</f>
        <v>Year 7</v>
      </c>
      <c r="N77" s="103" t="str">
        <f>+$N$6</f>
        <v>Year 8</v>
      </c>
      <c r="O77" s="103" t="str">
        <f>+$O$6</f>
        <v>Year 9</v>
      </c>
      <c r="P77" s="103" t="str">
        <f>+$P$6</f>
        <v>Year 10</v>
      </c>
    </row>
    <row r="78" spans="2:16" ht="15.75" customHeight="1" outlineLevel="1" x14ac:dyDescent="0.2">
      <c r="C78" s="139" t="s">
        <v>64</v>
      </c>
      <c r="G78" s="140"/>
    </row>
    <row r="79" spans="2:16" ht="15.75" customHeight="1" outlineLevel="1" x14ac:dyDescent="0.2">
      <c r="C79" s="114" t="s">
        <v>65</v>
      </c>
      <c r="F79" s="115" t="s">
        <v>56</v>
      </c>
      <c r="G79" s="141">
        <v>108419.37</v>
      </c>
      <c r="H79" s="141">
        <v>263157.05</v>
      </c>
      <c r="I79" s="141">
        <v>433718.41</v>
      </c>
      <c r="J79" s="141">
        <v>583030.14</v>
      </c>
      <c r="K79" s="141">
        <v>734674.71</v>
      </c>
      <c r="L79" s="128">
        <f>+L8*L9</f>
        <v>840000</v>
      </c>
      <c r="M79" s="128">
        <f>+M8*M9</f>
        <v>988000</v>
      </c>
      <c r="N79" s="128">
        <f>+N8*N9</f>
        <v>1176000</v>
      </c>
      <c r="O79" s="128">
        <f>+O8*O9</f>
        <v>1350000</v>
      </c>
      <c r="P79" s="128">
        <f>+P8*P9</f>
        <v>1560000</v>
      </c>
    </row>
    <row r="80" spans="2:16" ht="15.75" customHeight="1" outlineLevel="1" x14ac:dyDescent="0.2">
      <c r="C80" s="114" t="s">
        <v>66</v>
      </c>
      <c r="F80" s="115" t="s">
        <v>56</v>
      </c>
      <c r="G80" s="142">
        <v>40391.53</v>
      </c>
      <c r="H80" s="142">
        <v>52631.41</v>
      </c>
      <c r="I80" s="142">
        <v>61087.100000000006</v>
      </c>
      <c r="J80" s="142">
        <v>37859.1</v>
      </c>
      <c r="K80" s="142">
        <v>47706.15</v>
      </c>
      <c r="L80" s="130">
        <f t="shared" ref="L80:P83" si="23">+K80*(1+L12)</f>
        <v>59632.6875</v>
      </c>
      <c r="M80" s="130">
        <f t="shared" si="23"/>
        <v>71559.224999999991</v>
      </c>
      <c r="N80" s="130">
        <f t="shared" si="23"/>
        <v>82293.108749999985</v>
      </c>
      <c r="O80" s="130">
        <f t="shared" si="23"/>
        <v>90522.419624999995</v>
      </c>
      <c r="P80" s="130">
        <f t="shared" si="23"/>
        <v>97764.213195000004</v>
      </c>
    </row>
    <row r="81" spans="2:16" ht="15.75" customHeight="1" outlineLevel="1" x14ac:dyDescent="0.2">
      <c r="C81" s="114" t="s">
        <v>67</v>
      </c>
      <c r="F81" s="115" t="s">
        <v>56</v>
      </c>
      <c r="G81" s="142">
        <v>36139.79</v>
      </c>
      <c r="H81" s="142">
        <v>44534.27</v>
      </c>
      <c r="I81" s="142">
        <v>54978.39</v>
      </c>
      <c r="J81" s="142">
        <v>60574.559999999998</v>
      </c>
      <c r="K81" s="142">
        <v>66788.61</v>
      </c>
      <c r="L81" s="130">
        <f t="shared" si="23"/>
        <v>73467.471000000005</v>
      </c>
      <c r="M81" s="130">
        <f t="shared" si="23"/>
        <v>80814.218100000013</v>
      </c>
      <c r="N81" s="130">
        <f t="shared" si="23"/>
        <v>87279.355548000021</v>
      </c>
      <c r="O81" s="130">
        <f t="shared" si="23"/>
        <v>94261.703991840026</v>
      </c>
      <c r="P81" s="130">
        <f t="shared" si="23"/>
        <v>98032.172151513631</v>
      </c>
    </row>
    <row r="82" spans="2:16" ht="15.75" customHeight="1" outlineLevel="1" x14ac:dyDescent="0.2">
      <c r="C82" s="114" t="s">
        <v>68</v>
      </c>
      <c r="F82" s="115" t="s">
        <v>56</v>
      </c>
      <c r="G82" s="142">
        <v>8503.48</v>
      </c>
      <c r="H82" s="142">
        <v>20242.850000000002</v>
      </c>
      <c r="I82" s="142">
        <v>30543.550000000003</v>
      </c>
      <c r="J82" s="142">
        <v>53002.740000000005</v>
      </c>
      <c r="K82" s="142">
        <v>76329.84</v>
      </c>
      <c r="L82" s="130">
        <f t="shared" si="23"/>
        <v>106861.77599999998</v>
      </c>
      <c r="M82" s="130">
        <f t="shared" si="23"/>
        <v>144263.3976</v>
      </c>
      <c r="N82" s="130">
        <f t="shared" si="23"/>
        <v>187542.41688</v>
      </c>
      <c r="O82" s="130">
        <f t="shared" si="23"/>
        <v>243805.141944</v>
      </c>
      <c r="P82" s="130">
        <f t="shared" si="23"/>
        <v>299880.32459112001</v>
      </c>
    </row>
    <row r="83" spans="2:16" ht="15.75" customHeight="1" outlineLevel="1" x14ac:dyDescent="0.2">
      <c r="C83" s="114" t="s">
        <v>69</v>
      </c>
      <c r="F83" s="143" t="s">
        <v>56</v>
      </c>
      <c r="G83" s="142">
        <v>19132.829999999998</v>
      </c>
      <c r="H83" s="142">
        <v>24291.42</v>
      </c>
      <c r="I83" s="142">
        <v>30543.550000000003</v>
      </c>
      <c r="J83" s="142">
        <v>22715.46</v>
      </c>
      <c r="K83" s="142">
        <v>28623.69</v>
      </c>
      <c r="L83" s="130">
        <f t="shared" si="23"/>
        <v>32917.243499999997</v>
      </c>
      <c r="M83" s="130">
        <f t="shared" si="23"/>
        <v>36208.967850000001</v>
      </c>
      <c r="N83" s="130">
        <f t="shared" si="23"/>
        <v>39829.864635000005</v>
      </c>
      <c r="O83" s="130">
        <f t="shared" si="23"/>
        <v>43016.253805800006</v>
      </c>
      <c r="P83" s="130">
        <f t="shared" si="23"/>
        <v>45597.229034148011</v>
      </c>
    </row>
    <row r="84" spans="2:16" ht="15.75" customHeight="1" outlineLevel="1" x14ac:dyDescent="0.2">
      <c r="C84" s="144" t="s">
        <v>70</v>
      </c>
      <c r="D84" s="125"/>
      <c r="E84" s="125"/>
      <c r="F84" s="115" t="s">
        <v>56</v>
      </c>
      <c r="G84" s="145">
        <f>SUM(G79:G83)</f>
        <v>212587</v>
      </c>
      <c r="H84" s="145">
        <f>SUM(H79:H83)</f>
        <v>404856.99999999994</v>
      </c>
      <c r="I84" s="145">
        <f>SUM(I79:I83)</f>
        <v>610871.00000000012</v>
      </c>
      <c r="J84" s="145">
        <f>SUM(J79:J83)</f>
        <v>757182</v>
      </c>
      <c r="K84" s="145">
        <f>SUM(K79:K83)</f>
        <v>954122.99999999988</v>
      </c>
      <c r="L84" s="145">
        <f t="shared" ref="L84:P84" si="24">SUM(L79:L83)</f>
        <v>1112879.1780000001</v>
      </c>
      <c r="M84" s="145">
        <f t="shared" si="24"/>
        <v>1320845.80855</v>
      </c>
      <c r="N84" s="145">
        <f t="shared" si="24"/>
        <v>1572944.7458129998</v>
      </c>
      <c r="O84" s="145">
        <f t="shared" si="24"/>
        <v>1821605.5193666404</v>
      </c>
      <c r="P84" s="145">
        <f t="shared" si="24"/>
        <v>2101273.9389717816</v>
      </c>
    </row>
    <row r="85" spans="2:16" ht="15.75" customHeight="1" outlineLevel="1" x14ac:dyDescent="0.2">
      <c r="B85" s="139"/>
      <c r="H85" s="146"/>
      <c r="I85" s="146"/>
      <c r="J85" s="146"/>
      <c r="K85" s="146"/>
      <c r="L85" s="146"/>
      <c r="M85" s="146"/>
      <c r="N85" s="146"/>
      <c r="O85" s="146"/>
      <c r="P85" s="146"/>
    </row>
    <row r="86" spans="2:16" ht="15.75" customHeight="1" outlineLevel="1" x14ac:dyDescent="0.2">
      <c r="C86" s="139" t="s">
        <v>71</v>
      </c>
    </row>
    <row r="87" spans="2:16" ht="15.75" customHeight="1" outlineLevel="1" x14ac:dyDescent="0.2">
      <c r="C87" s="114" t="s">
        <v>72</v>
      </c>
      <c r="F87" s="115" t="s">
        <v>56</v>
      </c>
      <c r="G87" s="142">
        <v>-20195.764999999999</v>
      </c>
      <c r="H87" s="142">
        <v>-26315.705000000002</v>
      </c>
      <c r="I87" s="142">
        <v>-30543.550000000003</v>
      </c>
      <c r="J87" s="142">
        <v>-18929.55</v>
      </c>
      <c r="K87" s="142">
        <v>-23853.075000000001</v>
      </c>
      <c r="L87" s="130">
        <f>-L80*L18</f>
        <v>-29816.34375</v>
      </c>
      <c r="M87" s="130">
        <f t="shared" ref="M87:P89" si="25">-M80*M18</f>
        <v>-35779.612499999996</v>
      </c>
      <c r="N87" s="130">
        <f t="shared" si="25"/>
        <v>-41146.554374999992</v>
      </c>
      <c r="O87" s="130">
        <f t="shared" si="25"/>
        <v>-45261.209812499997</v>
      </c>
      <c r="P87" s="130">
        <f t="shared" si="25"/>
        <v>-48882.106597500002</v>
      </c>
    </row>
    <row r="88" spans="2:16" ht="15.75" customHeight="1" outlineLevel="1" x14ac:dyDescent="0.2">
      <c r="C88" s="114" t="s">
        <v>73</v>
      </c>
      <c r="F88" s="115" t="s">
        <v>56</v>
      </c>
      <c r="G88" s="142">
        <v>-18069.895</v>
      </c>
      <c r="H88" s="142">
        <v>-22267.134999999998</v>
      </c>
      <c r="I88" s="142">
        <v>-27489.195</v>
      </c>
      <c r="J88" s="142">
        <v>-30287.279999999999</v>
      </c>
      <c r="K88" s="142">
        <v>-33394.305</v>
      </c>
      <c r="L88" s="130">
        <f>-L81*L19</f>
        <v>-36733.735500000003</v>
      </c>
      <c r="M88" s="130">
        <f t="shared" si="25"/>
        <v>-40407.109050000006</v>
      </c>
      <c r="N88" s="130">
        <f t="shared" si="25"/>
        <v>-43639.677774000011</v>
      </c>
      <c r="O88" s="130">
        <f t="shared" si="25"/>
        <v>-47130.851995920013</v>
      </c>
      <c r="P88" s="130">
        <f t="shared" si="25"/>
        <v>-49016.086075756815</v>
      </c>
    </row>
    <row r="89" spans="2:16" ht="15.75" customHeight="1" outlineLevel="1" x14ac:dyDescent="0.2">
      <c r="C89" s="114" t="s">
        <v>74</v>
      </c>
      <c r="F89" s="143" t="s">
        <v>56</v>
      </c>
      <c r="G89" s="142">
        <v>0</v>
      </c>
      <c r="H89" s="142">
        <v>-8097.1400000000012</v>
      </c>
      <c r="I89" s="142">
        <v>-12217.420000000002</v>
      </c>
      <c r="J89" s="142">
        <v>-21201.096000000005</v>
      </c>
      <c r="K89" s="142">
        <v>-30531.936000000002</v>
      </c>
      <c r="L89" s="130">
        <f>-L82*L20</f>
        <v>-42744.710399999996</v>
      </c>
      <c r="M89" s="130">
        <f t="shared" si="25"/>
        <v>-57705.359040000003</v>
      </c>
      <c r="N89" s="130">
        <f t="shared" si="25"/>
        <v>-75016.966752000008</v>
      </c>
      <c r="O89" s="130">
        <f t="shared" si="25"/>
        <v>-97522.05677760001</v>
      </c>
      <c r="P89" s="130">
        <f t="shared" si="25"/>
        <v>-119952.129836448</v>
      </c>
    </row>
    <row r="90" spans="2:16" ht="15.75" customHeight="1" outlineLevel="1" x14ac:dyDescent="0.2">
      <c r="C90" s="144" t="s">
        <v>75</v>
      </c>
      <c r="D90" s="125"/>
      <c r="E90" s="125"/>
      <c r="F90" s="115" t="s">
        <v>56</v>
      </c>
      <c r="G90" s="145">
        <f>SUM(G87:G89)</f>
        <v>-38265.660000000003</v>
      </c>
      <c r="H90" s="145">
        <f>SUM(H87:H89)</f>
        <v>-56679.979999999996</v>
      </c>
      <c r="I90" s="145">
        <f>SUM(I87:I89)</f>
        <v>-70250.165000000008</v>
      </c>
      <c r="J90" s="145">
        <f>SUM(J87:J89)</f>
        <v>-70417.926000000007</v>
      </c>
      <c r="K90" s="145">
        <f>SUM(K87:K89)</f>
        <v>-87779.316000000006</v>
      </c>
      <c r="L90" s="145">
        <f t="shared" ref="L90:P90" si="26">SUM(L87:L89)</f>
        <v>-109294.78965000001</v>
      </c>
      <c r="M90" s="145">
        <f t="shared" si="26"/>
        <v>-133892.08059</v>
      </c>
      <c r="N90" s="145">
        <f t="shared" si="26"/>
        <v>-159803.19890100003</v>
      </c>
      <c r="O90" s="145">
        <f t="shared" si="26"/>
        <v>-189914.11858602002</v>
      </c>
      <c r="P90" s="145">
        <f t="shared" si="26"/>
        <v>-217850.32250970483</v>
      </c>
    </row>
    <row r="91" spans="2:16" ht="15.75" customHeight="1" outlineLevel="1" x14ac:dyDescent="0.2"/>
    <row r="92" spans="2:16" ht="15.75" customHeight="1" outlineLevel="1" x14ac:dyDescent="0.2">
      <c r="C92" s="95" t="s">
        <v>76</v>
      </c>
      <c r="F92" s="115" t="s">
        <v>56</v>
      </c>
      <c r="G92" s="147">
        <f>+G84+G90</f>
        <v>174321.34</v>
      </c>
      <c r="H92" s="147">
        <f t="shared" ref="H92:P92" si="27">+H84+H90</f>
        <v>348177.01999999996</v>
      </c>
      <c r="I92" s="147">
        <f t="shared" si="27"/>
        <v>540620.83500000008</v>
      </c>
      <c r="J92" s="147">
        <f t="shared" si="27"/>
        <v>686764.07400000002</v>
      </c>
      <c r="K92" s="147">
        <f t="shared" si="27"/>
        <v>866343.68399999989</v>
      </c>
      <c r="L92" s="147">
        <f t="shared" si="27"/>
        <v>1003584.38835</v>
      </c>
      <c r="M92" s="147">
        <f t="shared" si="27"/>
        <v>1186953.72796</v>
      </c>
      <c r="N92" s="147">
        <f t="shared" si="27"/>
        <v>1413141.5469119998</v>
      </c>
      <c r="O92" s="147">
        <f t="shared" si="27"/>
        <v>1631691.4007806203</v>
      </c>
      <c r="P92" s="147">
        <f t="shared" si="27"/>
        <v>1883423.6164620768</v>
      </c>
    </row>
    <row r="93" spans="2:16" ht="15.75" customHeight="1" outlineLevel="1" x14ac:dyDescent="0.2">
      <c r="C93" s="95"/>
      <c r="G93" s="148"/>
      <c r="H93" s="148"/>
      <c r="I93" s="148"/>
      <c r="J93" s="148"/>
      <c r="K93" s="148"/>
      <c r="L93" s="148"/>
      <c r="M93" s="148"/>
      <c r="N93" s="148"/>
      <c r="O93" s="148"/>
      <c r="P93" s="148"/>
    </row>
    <row r="94" spans="2:16" ht="15.75" customHeight="1" outlineLevel="1" x14ac:dyDescent="0.2">
      <c r="C94" s="95" t="s">
        <v>77</v>
      </c>
      <c r="G94" s="148"/>
      <c r="H94" s="148"/>
      <c r="I94" s="148"/>
      <c r="J94" s="148"/>
      <c r="K94" s="148"/>
      <c r="L94" s="148"/>
      <c r="M94" s="148"/>
      <c r="N94" s="148"/>
      <c r="O94" s="148"/>
      <c r="P94" s="148"/>
    </row>
    <row r="95" spans="2:16" ht="15.75" customHeight="1" outlineLevel="1" x14ac:dyDescent="0.2">
      <c r="C95" s="114" t="s">
        <v>78</v>
      </c>
      <c r="F95" s="115" t="s">
        <v>56</v>
      </c>
      <c r="G95" s="142">
        <v>-6165.0230000000001</v>
      </c>
      <c r="H95" s="142">
        <v>-11335.995999999999</v>
      </c>
      <c r="I95" s="142">
        <v>-17104.388000000003</v>
      </c>
      <c r="J95" s="142">
        <v>-21201.096000000001</v>
      </c>
      <c r="K95" s="142">
        <v>-26715.443999999996</v>
      </c>
      <c r="L95" s="130">
        <f>-L$84*L22</f>
        <v>-31160.616984000004</v>
      </c>
      <c r="M95" s="130">
        <f t="shared" ref="M95:P96" si="28">-M$84*M22</f>
        <v>-36983.682639400002</v>
      </c>
      <c r="N95" s="130">
        <f t="shared" si="28"/>
        <v>-45615.397628576997</v>
      </c>
      <c r="O95" s="130">
        <f t="shared" si="28"/>
        <v>-52826.560061632576</v>
      </c>
      <c r="P95" s="130">
        <f t="shared" si="28"/>
        <v>-63038.21816915345</v>
      </c>
    </row>
    <row r="96" spans="2:16" ht="15.75" customHeight="1" outlineLevel="1" x14ac:dyDescent="0.2">
      <c r="C96" s="114" t="s">
        <v>79</v>
      </c>
      <c r="F96" s="143" t="s">
        <v>56</v>
      </c>
      <c r="G96" s="142">
        <v>-6377.61</v>
      </c>
      <c r="H96" s="142">
        <v>-12550.566999999997</v>
      </c>
      <c r="I96" s="142">
        <v>-21380.485000000008</v>
      </c>
      <c r="J96" s="142">
        <v>-30287.279999999999</v>
      </c>
      <c r="K96" s="142">
        <v>-39119.042999999998</v>
      </c>
      <c r="L96" s="130">
        <f>-L$84*L23</f>
        <v>-50079.563009999998</v>
      </c>
      <c r="M96" s="130">
        <f t="shared" si="28"/>
        <v>-59438.061384749999</v>
      </c>
      <c r="N96" s="130">
        <f t="shared" si="28"/>
        <v>-78647.237290649995</v>
      </c>
      <c r="O96" s="130">
        <f t="shared" si="28"/>
        <v>-91080.275968332018</v>
      </c>
      <c r="P96" s="130">
        <f t="shared" si="28"/>
        <v>-126076.4363383069</v>
      </c>
    </row>
    <row r="97" spans="3:16" ht="15.75" customHeight="1" outlineLevel="1" x14ac:dyDescent="0.2">
      <c r="C97" s="144" t="s">
        <v>80</v>
      </c>
      <c r="D97" s="125"/>
      <c r="E97" s="125"/>
      <c r="F97" s="115" t="s">
        <v>56</v>
      </c>
      <c r="G97" s="145">
        <f>SUM(G95:G96)</f>
        <v>-12542.633</v>
      </c>
      <c r="H97" s="145">
        <f>SUM(H95:H96)</f>
        <v>-23886.562999999995</v>
      </c>
      <c r="I97" s="145">
        <f>SUM(I95:I96)</f>
        <v>-38484.873000000007</v>
      </c>
      <c r="J97" s="145">
        <f>SUM(J95:J96)</f>
        <v>-51488.376000000004</v>
      </c>
      <c r="K97" s="145">
        <f>SUM(K95:K96)</f>
        <v>-65834.486999999994</v>
      </c>
      <c r="L97" s="145">
        <f t="shared" ref="L97:P97" si="29">SUM(L95:L96)</f>
        <v>-81240.179994000006</v>
      </c>
      <c r="M97" s="145">
        <f t="shared" si="29"/>
        <v>-96421.744024150001</v>
      </c>
      <c r="N97" s="145">
        <f t="shared" si="29"/>
        <v>-124262.63491922698</v>
      </c>
      <c r="O97" s="145">
        <f t="shared" si="29"/>
        <v>-143906.83602996459</v>
      </c>
      <c r="P97" s="145">
        <f t="shared" si="29"/>
        <v>-189114.65450746036</v>
      </c>
    </row>
    <row r="98" spans="3:16" ht="15.75" customHeight="1" outlineLevel="1" x14ac:dyDescent="0.2">
      <c r="G98" s="146"/>
      <c r="H98" s="146"/>
      <c r="I98" s="146"/>
      <c r="J98" s="146"/>
      <c r="K98" s="146"/>
      <c r="L98" s="146"/>
      <c r="M98" s="146"/>
      <c r="N98" s="146"/>
      <c r="O98" s="146"/>
      <c r="P98" s="146"/>
    </row>
    <row r="99" spans="3:16" ht="15.75" customHeight="1" outlineLevel="1" x14ac:dyDescent="0.2">
      <c r="C99" s="95" t="s">
        <v>81</v>
      </c>
      <c r="F99" s="115" t="s">
        <v>56</v>
      </c>
      <c r="G99" s="147">
        <f t="shared" ref="G99:P99" si="30">+G92+G97</f>
        <v>161778.70699999999</v>
      </c>
      <c r="H99" s="147">
        <f t="shared" si="30"/>
        <v>324290.45699999994</v>
      </c>
      <c r="I99" s="147">
        <f t="shared" si="30"/>
        <v>502135.96200000006</v>
      </c>
      <c r="J99" s="147">
        <f t="shared" si="30"/>
        <v>635275.69799999997</v>
      </c>
      <c r="K99" s="147">
        <f t="shared" si="30"/>
        <v>800509.19699999993</v>
      </c>
      <c r="L99" s="147">
        <f t="shared" si="30"/>
        <v>922344.20835600002</v>
      </c>
      <c r="M99" s="147">
        <f t="shared" si="30"/>
        <v>1090531.98393585</v>
      </c>
      <c r="N99" s="147">
        <f t="shared" si="30"/>
        <v>1288878.9119927729</v>
      </c>
      <c r="O99" s="147">
        <f t="shared" si="30"/>
        <v>1487784.5647506558</v>
      </c>
      <c r="P99" s="147">
        <f t="shared" si="30"/>
        <v>1694308.9619546165</v>
      </c>
    </row>
    <row r="100" spans="3:16" ht="15.75" customHeight="1" outlineLevel="1" x14ac:dyDescent="0.2">
      <c r="G100" s="146"/>
      <c r="H100" s="146"/>
      <c r="I100" s="146"/>
      <c r="J100" s="146"/>
      <c r="K100" s="146"/>
    </row>
    <row r="101" spans="3:16" ht="15.75" customHeight="1" outlineLevel="1" x14ac:dyDescent="0.2">
      <c r="C101" s="95" t="s">
        <v>82</v>
      </c>
      <c r="G101" s="130"/>
      <c r="H101" s="130"/>
      <c r="I101" s="130"/>
      <c r="J101" s="130"/>
      <c r="K101" s="130"/>
    </row>
    <row r="102" spans="3:16" ht="15.75" customHeight="1" outlineLevel="1" x14ac:dyDescent="0.2">
      <c r="C102" s="114" t="s">
        <v>83</v>
      </c>
      <c r="F102" s="115" t="s">
        <v>56</v>
      </c>
      <c r="G102" s="142">
        <v>-1250</v>
      </c>
      <c r="H102" s="142">
        <v>-1500</v>
      </c>
      <c r="I102" s="142">
        <v>-1500</v>
      </c>
      <c r="J102" s="142">
        <v>-2000</v>
      </c>
      <c r="K102" s="142">
        <v>-2250</v>
      </c>
      <c r="L102" s="130">
        <f>-L$84*L25</f>
        <v>-2225.7583560000003</v>
      </c>
      <c r="M102" s="130">
        <f t="shared" ref="M102:P102" si="31">-M$84*M25</f>
        <v>-2641.6916170999998</v>
      </c>
      <c r="N102" s="130">
        <f t="shared" si="31"/>
        <v>-4718.8342374389995</v>
      </c>
      <c r="O102" s="130">
        <f t="shared" si="31"/>
        <v>-5464.8165580999212</v>
      </c>
      <c r="P102" s="130">
        <f t="shared" si="31"/>
        <v>-6303.8218169153452</v>
      </c>
    </row>
    <row r="103" spans="3:16" ht="15.75" customHeight="1" outlineLevel="1" x14ac:dyDescent="0.2">
      <c r="C103" s="114" t="s">
        <v>84</v>
      </c>
      <c r="F103" s="115" t="s">
        <v>56</v>
      </c>
      <c r="G103" s="142">
        <v>0</v>
      </c>
      <c r="H103" s="142">
        <v>-30000</v>
      </c>
      <c r="I103" s="142">
        <v>-30000</v>
      </c>
      <c r="J103" s="142">
        <v>-45000</v>
      </c>
      <c r="K103" s="142">
        <v>-60000</v>
      </c>
      <c r="L103" s="130">
        <f>-L34*L43</f>
        <v>-62400</v>
      </c>
      <c r="M103" s="130">
        <f t="shared" ref="M103:P103" si="32">-M34*M43</f>
        <v>-97344</v>
      </c>
      <c r="N103" s="130">
        <f t="shared" si="32"/>
        <v>-101237.75999999999</v>
      </c>
      <c r="O103" s="130">
        <f t="shared" si="32"/>
        <v>-140383.02720000001</v>
      </c>
      <c r="P103" s="130">
        <f t="shared" si="32"/>
        <v>-145998.34828800001</v>
      </c>
    </row>
    <row r="104" spans="3:16" ht="15.75" customHeight="1" outlineLevel="1" x14ac:dyDescent="0.2">
      <c r="C104" s="114" t="s">
        <v>85</v>
      </c>
      <c r="F104" s="115" t="s">
        <v>56</v>
      </c>
      <c r="G104" s="142">
        <v>0</v>
      </c>
      <c r="H104" s="142">
        <v>-10000</v>
      </c>
      <c r="I104" s="142">
        <v>-20000</v>
      </c>
      <c r="J104" s="142">
        <v>-20000</v>
      </c>
      <c r="K104" s="142">
        <v>-30000</v>
      </c>
      <c r="L104" s="130">
        <f>-L$84*L26</f>
        <v>-34499.254518000002</v>
      </c>
      <c r="M104" s="130">
        <f t="shared" ref="M104:P104" si="33">-M$84*M26</f>
        <v>-43587.911682149999</v>
      </c>
      <c r="N104" s="130">
        <f t="shared" si="33"/>
        <v>-55053.066103454999</v>
      </c>
      <c r="O104" s="130">
        <f t="shared" si="33"/>
        <v>-63756.193177832421</v>
      </c>
      <c r="P104" s="130">
        <f t="shared" si="33"/>
        <v>-77747.135741955921</v>
      </c>
    </row>
    <row r="105" spans="3:16" ht="15.75" customHeight="1" outlineLevel="1" x14ac:dyDescent="0.2">
      <c r="C105" s="114" t="s">
        <v>86</v>
      </c>
      <c r="F105" s="115" t="s">
        <v>56</v>
      </c>
      <c r="G105" s="142">
        <v>-10000</v>
      </c>
      <c r="H105" s="142">
        <v>-30000</v>
      </c>
      <c r="I105" s="142">
        <v>-60000</v>
      </c>
      <c r="J105" s="142">
        <v>-60000</v>
      </c>
      <c r="K105" s="142">
        <v>-60000</v>
      </c>
      <c r="L105" s="130">
        <f>-L35*L44</f>
        <v>-93600</v>
      </c>
      <c r="M105" s="130">
        <f t="shared" ref="M105:P107" si="34">-M35*M44</f>
        <v>-97344</v>
      </c>
      <c r="N105" s="130">
        <f t="shared" si="34"/>
        <v>-134983.67999999999</v>
      </c>
      <c r="O105" s="130">
        <f t="shared" si="34"/>
        <v>-140383.02720000001</v>
      </c>
      <c r="P105" s="130">
        <f t="shared" si="34"/>
        <v>-145998.34828800001</v>
      </c>
    </row>
    <row r="106" spans="3:16" ht="15.75" customHeight="1" outlineLevel="1" x14ac:dyDescent="0.2">
      <c r="C106" s="114" t="s">
        <v>87</v>
      </c>
      <c r="F106" s="115" t="s">
        <v>56</v>
      </c>
      <c r="G106" s="142">
        <v>0</v>
      </c>
      <c r="H106" s="142">
        <v>-10000</v>
      </c>
      <c r="I106" s="142">
        <v>-12000</v>
      </c>
      <c r="J106" s="142">
        <v>-12000</v>
      </c>
      <c r="K106" s="142">
        <v>-12000</v>
      </c>
      <c r="L106" s="130">
        <f>-L36*L45</f>
        <v>-12480</v>
      </c>
      <c r="M106" s="130">
        <f t="shared" si="34"/>
        <v>-25958.400000000001</v>
      </c>
      <c r="N106" s="130">
        <f t="shared" si="34"/>
        <v>-26996.736000000001</v>
      </c>
      <c r="O106" s="130">
        <f t="shared" si="34"/>
        <v>-28076.605440000003</v>
      </c>
      <c r="P106" s="130">
        <f t="shared" si="34"/>
        <v>-29199.669657600003</v>
      </c>
    </row>
    <row r="107" spans="3:16" ht="15.75" customHeight="1" outlineLevel="1" x14ac:dyDescent="0.2">
      <c r="C107" s="114" t="s">
        <v>88</v>
      </c>
      <c r="F107" s="115" t="s">
        <v>56</v>
      </c>
      <c r="G107" s="142">
        <v>0</v>
      </c>
      <c r="H107" s="142">
        <v>0</v>
      </c>
      <c r="I107" s="142">
        <v>-40000</v>
      </c>
      <c r="J107" s="142">
        <v>-60000</v>
      </c>
      <c r="K107" s="142">
        <v>-80000</v>
      </c>
      <c r="L107" s="130">
        <f>-L37*L46</f>
        <v>-83200</v>
      </c>
      <c r="M107" s="130">
        <f t="shared" si="34"/>
        <v>-86528</v>
      </c>
      <c r="N107" s="130">
        <f t="shared" si="34"/>
        <v>-89989.12000000001</v>
      </c>
      <c r="O107" s="130">
        <f t="shared" si="34"/>
        <v>-116985.85600000003</v>
      </c>
      <c r="P107" s="130">
        <f t="shared" si="34"/>
        <v>-145998.34828800004</v>
      </c>
    </row>
    <row r="108" spans="3:16" ht="15.75" customHeight="1" outlineLevel="1" x14ac:dyDescent="0.2">
      <c r="C108" s="114" t="s">
        <v>89</v>
      </c>
      <c r="F108" s="115" t="s">
        <v>56</v>
      </c>
      <c r="G108" s="142">
        <v>-2000</v>
      </c>
      <c r="H108" s="142">
        <v>-5000</v>
      </c>
      <c r="I108" s="142">
        <v>-10000</v>
      </c>
      <c r="J108" s="142">
        <v>-15000</v>
      </c>
      <c r="K108" s="142">
        <v>-20000</v>
      </c>
      <c r="L108" s="130">
        <f>-L$84*L27</f>
        <v>-24483.341916000001</v>
      </c>
      <c r="M108" s="130">
        <f t="shared" ref="M108:P110" si="35">-M$84*M27</f>
        <v>-31700.299405199999</v>
      </c>
      <c r="N108" s="130">
        <f t="shared" si="35"/>
        <v>-37750.673899511996</v>
      </c>
      <c r="O108" s="130">
        <f t="shared" si="35"/>
        <v>-47361.743503532649</v>
      </c>
      <c r="P108" s="130">
        <f t="shared" si="35"/>
        <v>-54633.122413266319</v>
      </c>
    </row>
    <row r="109" spans="3:16" ht="15.75" customHeight="1" outlineLevel="1" x14ac:dyDescent="0.2">
      <c r="C109" s="114" t="s">
        <v>90</v>
      </c>
      <c r="F109" s="115" t="s">
        <v>56</v>
      </c>
      <c r="G109" s="142">
        <v>-5768</v>
      </c>
      <c r="H109" s="142">
        <v>-8798</v>
      </c>
      <c r="I109" s="142">
        <v>-6012</v>
      </c>
      <c r="J109" s="142">
        <v>-5123</v>
      </c>
      <c r="K109" s="142">
        <v>-6763</v>
      </c>
      <c r="L109" s="130">
        <f>-L$84*L28</f>
        <v>-7790.154246000001</v>
      </c>
      <c r="M109" s="130">
        <f t="shared" si="35"/>
        <v>-7925.0748512999999</v>
      </c>
      <c r="N109" s="130">
        <f t="shared" si="35"/>
        <v>-7864.7237290649991</v>
      </c>
      <c r="O109" s="130">
        <f t="shared" si="35"/>
        <v>-7286.4220774665619</v>
      </c>
      <c r="P109" s="130">
        <f t="shared" si="35"/>
        <v>-8405.0957558871269</v>
      </c>
    </row>
    <row r="110" spans="3:16" ht="15.75" customHeight="1" outlineLevel="1" x14ac:dyDescent="0.2">
      <c r="C110" s="114" t="s">
        <v>91</v>
      </c>
      <c r="F110" s="115" t="s">
        <v>56</v>
      </c>
      <c r="G110" s="142">
        <v>-568</v>
      </c>
      <c r="H110" s="142">
        <v>-792</v>
      </c>
      <c r="I110" s="142">
        <v>-1011</v>
      </c>
      <c r="J110" s="142">
        <v>-1523</v>
      </c>
      <c r="K110" s="142">
        <v>-2024</v>
      </c>
      <c r="L110" s="130">
        <f>-L$84*L29</f>
        <v>-2225.7583560000003</v>
      </c>
      <c r="M110" s="130">
        <f t="shared" si="35"/>
        <v>-2641.6916170999998</v>
      </c>
      <c r="N110" s="130">
        <f t="shared" si="35"/>
        <v>-4718.8342374389995</v>
      </c>
      <c r="O110" s="130">
        <f t="shared" si="35"/>
        <v>-7286.4220774665619</v>
      </c>
      <c r="P110" s="130">
        <f t="shared" si="35"/>
        <v>-8405.0957558871269</v>
      </c>
    </row>
    <row r="111" spans="3:16" ht="15.75" customHeight="1" outlineLevel="1" x14ac:dyDescent="0.2">
      <c r="C111" s="114" t="s">
        <v>92</v>
      </c>
      <c r="F111" s="115" t="s">
        <v>56</v>
      </c>
      <c r="G111" s="142">
        <v>0</v>
      </c>
      <c r="H111" s="142">
        <v>0</v>
      </c>
      <c r="I111" s="142">
        <v>-40000</v>
      </c>
      <c r="J111" s="142">
        <v>-40000</v>
      </c>
      <c r="K111" s="142">
        <v>-80000</v>
      </c>
      <c r="L111" s="130">
        <f>-L38*L47</f>
        <v>-83200</v>
      </c>
      <c r="M111" s="130">
        <f t="shared" ref="M111:P112" si="36">-M38*M47</f>
        <v>-86528</v>
      </c>
      <c r="N111" s="130">
        <f t="shared" si="36"/>
        <v>-179978.24000000002</v>
      </c>
      <c r="O111" s="130">
        <f t="shared" si="36"/>
        <v>-187177.36960000003</v>
      </c>
      <c r="P111" s="130">
        <f t="shared" si="36"/>
        <v>-194664.46438400005</v>
      </c>
    </row>
    <row r="112" spans="3:16" ht="15.75" customHeight="1" outlineLevel="1" x14ac:dyDescent="0.2">
      <c r="C112" s="114" t="s">
        <v>93</v>
      </c>
      <c r="F112" s="143" t="s">
        <v>56</v>
      </c>
      <c r="G112" s="142">
        <v>0</v>
      </c>
      <c r="H112" s="142">
        <v>0</v>
      </c>
      <c r="I112" s="142">
        <v>-30000</v>
      </c>
      <c r="J112" s="142">
        <v>-30000</v>
      </c>
      <c r="K112" s="142">
        <v>-30000</v>
      </c>
      <c r="L112" s="130">
        <f>-L39*L48</f>
        <v>-31200</v>
      </c>
      <c r="M112" s="130">
        <f t="shared" si="36"/>
        <v>-48672</v>
      </c>
      <c r="N112" s="130">
        <f t="shared" si="36"/>
        <v>-50618.879999999997</v>
      </c>
      <c r="O112" s="130">
        <f t="shared" si="36"/>
        <v>-70191.513600000006</v>
      </c>
      <c r="P112" s="130">
        <f t="shared" si="36"/>
        <v>-72999.174144000004</v>
      </c>
    </row>
    <row r="113" spans="1:19" ht="15.75" customHeight="1" outlineLevel="1" x14ac:dyDescent="0.2">
      <c r="C113" s="144" t="s">
        <v>94</v>
      </c>
      <c r="D113" s="125"/>
      <c r="E113" s="125"/>
      <c r="F113" s="115" t="s">
        <v>56</v>
      </c>
      <c r="G113" s="145">
        <f>SUM(G102:G112)</f>
        <v>-19586</v>
      </c>
      <c r="H113" s="145">
        <f>SUM(H102:H112)</f>
        <v>-96090</v>
      </c>
      <c r="I113" s="145">
        <f>SUM(I102:I112)</f>
        <v>-250523</v>
      </c>
      <c r="J113" s="145">
        <f>SUM(J102:J112)</f>
        <v>-290646</v>
      </c>
      <c r="K113" s="145">
        <f>SUM(K102:K112)</f>
        <v>-383037</v>
      </c>
      <c r="L113" s="145">
        <f t="shared" ref="L113:P113" si="37">SUM(L102:L112)</f>
        <v>-437304.26739200001</v>
      </c>
      <c r="M113" s="145">
        <f t="shared" si="37"/>
        <v>-530871.06917285</v>
      </c>
      <c r="N113" s="145">
        <f t="shared" si="37"/>
        <v>-693910.54820690991</v>
      </c>
      <c r="O113" s="145">
        <f t="shared" si="37"/>
        <v>-814352.99643439823</v>
      </c>
      <c r="P113" s="145">
        <f t="shared" si="37"/>
        <v>-890352.62453351205</v>
      </c>
    </row>
    <row r="114" spans="1:19" ht="15.75" customHeight="1" outlineLevel="1" x14ac:dyDescent="0.2"/>
    <row r="115" spans="1:19" ht="15.75" customHeight="1" outlineLevel="1" x14ac:dyDescent="0.2">
      <c r="C115" s="95" t="s">
        <v>95</v>
      </c>
      <c r="F115" s="115" t="s">
        <v>56</v>
      </c>
      <c r="G115" s="147">
        <f t="shared" ref="G115:P115" si="38">+G99+G113</f>
        <v>142192.70699999999</v>
      </c>
      <c r="H115" s="147">
        <f t="shared" si="38"/>
        <v>228200.45699999994</v>
      </c>
      <c r="I115" s="147">
        <f t="shared" si="38"/>
        <v>251612.96200000006</v>
      </c>
      <c r="J115" s="147">
        <f t="shared" si="38"/>
        <v>344629.69799999997</v>
      </c>
      <c r="K115" s="147">
        <f t="shared" si="38"/>
        <v>417472.19699999993</v>
      </c>
      <c r="L115" s="147">
        <f t="shared" si="38"/>
        <v>485039.94096400001</v>
      </c>
      <c r="M115" s="147">
        <f t="shared" si="38"/>
        <v>559660.91476299998</v>
      </c>
      <c r="N115" s="147">
        <f t="shared" si="38"/>
        <v>594968.36378586304</v>
      </c>
      <c r="O115" s="147">
        <f t="shared" si="38"/>
        <v>673431.56831625756</v>
      </c>
      <c r="P115" s="147">
        <f t="shared" si="38"/>
        <v>803956.33742110443</v>
      </c>
    </row>
    <row r="116" spans="1:19" ht="15.75" customHeight="1" outlineLevel="1" x14ac:dyDescent="0.2">
      <c r="G116" s="140"/>
      <c r="I116" s="109"/>
      <c r="J116" s="109"/>
      <c r="K116" s="109"/>
    </row>
    <row r="117" spans="1:19" ht="15.75" customHeight="1" outlineLevel="1" x14ac:dyDescent="0.2">
      <c r="C117" s="95" t="s">
        <v>96</v>
      </c>
      <c r="F117" s="115" t="s">
        <v>56</v>
      </c>
      <c r="G117" s="149">
        <v>-35548.176749999999</v>
      </c>
      <c r="H117" s="149">
        <v>-61614.123389999986</v>
      </c>
      <c r="I117" s="149">
        <v>-70451.629360000021</v>
      </c>
      <c r="J117" s="149">
        <v>-99942.61241999999</v>
      </c>
      <c r="K117" s="149">
        <v>-125241.65909999998</v>
      </c>
      <c r="L117" s="147">
        <f>-L115*L31</f>
        <v>-145511.98228920001</v>
      </c>
      <c r="M117" s="147">
        <f>-M115*M31</f>
        <v>-167898.27442889998</v>
      </c>
      <c r="N117" s="147">
        <f>-N115*N31</f>
        <v>-178490.50913575891</v>
      </c>
      <c r="O117" s="147">
        <f>-O115*O31</f>
        <v>-202029.47049487726</v>
      </c>
      <c r="P117" s="147">
        <f>-P115*P31</f>
        <v>-241186.90122633131</v>
      </c>
    </row>
    <row r="118" spans="1:19" ht="15.75" customHeight="1" outlineLevel="1" x14ac:dyDescent="0.2"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</row>
    <row r="119" spans="1:19" ht="15.75" customHeight="1" outlineLevel="1" x14ac:dyDescent="0.2">
      <c r="C119" s="95" t="s">
        <v>97</v>
      </c>
      <c r="F119" s="115" t="s">
        <v>56</v>
      </c>
      <c r="G119" s="148">
        <f>+G115+G117</f>
        <v>106644.53025</v>
      </c>
      <c r="H119" s="148">
        <f t="shared" ref="H119:P119" si="39">+H115+H117</f>
        <v>166586.33360999994</v>
      </c>
      <c r="I119" s="148">
        <f t="shared" si="39"/>
        <v>181161.33264000004</v>
      </c>
      <c r="J119" s="148">
        <f t="shared" si="39"/>
        <v>244687.08557999998</v>
      </c>
      <c r="K119" s="148">
        <f t="shared" si="39"/>
        <v>292230.53789999994</v>
      </c>
      <c r="L119" s="148">
        <f t="shared" si="39"/>
        <v>339527.9586748</v>
      </c>
      <c r="M119" s="148">
        <f t="shared" si="39"/>
        <v>391762.6403341</v>
      </c>
      <c r="N119" s="148">
        <f t="shared" si="39"/>
        <v>416477.85465010413</v>
      </c>
      <c r="O119" s="148">
        <f t="shared" si="39"/>
        <v>471402.0978213803</v>
      </c>
      <c r="P119" s="148">
        <f t="shared" si="39"/>
        <v>562769.43619477306</v>
      </c>
    </row>
    <row r="121" spans="1:19" ht="15.75" customHeight="1" x14ac:dyDescent="0.2">
      <c r="A121" s="306"/>
      <c r="B121" s="150"/>
      <c r="C121" s="150"/>
      <c r="D121" s="150"/>
      <c r="E121" s="150"/>
      <c r="F121" s="96"/>
      <c r="G121" s="97" t="str">
        <f>+$G$5</f>
        <v>Historical</v>
      </c>
      <c r="H121" s="98"/>
      <c r="I121" s="98"/>
      <c r="J121" s="98"/>
      <c r="K121" s="99"/>
      <c r="L121" s="97" t="str">
        <f>+$L$5</f>
        <v>Projected</v>
      </c>
      <c r="M121" s="97"/>
      <c r="N121" s="97"/>
      <c r="O121" s="97"/>
      <c r="P121" s="97"/>
      <c r="Q121" s="306"/>
      <c r="R121" s="306"/>
      <c r="S121" s="306"/>
    </row>
    <row r="122" spans="1:19" ht="15.75" customHeight="1" x14ac:dyDescent="0.2">
      <c r="A122" s="306"/>
      <c r="B122" s="151" t="s">
        <v>98</v>
      </c>
      <c r="C122" s="151"/>
      <c r="D122" s="152"/>
      <c r="E122" s="152"/>
      <c r="F122" s="102" t="str">
        <f>+$F$6</f>
        <v>Units:</v>
      </c>
      <c r="G122" s="103" t="str">
        <f>+$G$6</f>
        <v>Year 1</v>
      </c>
      <c r="H122" s="103" t="str">
        <f>+$H$6</f>
        <v>Year 2</v>
      </c>
      <c r="I122" s="103" t="str">
        <f>+$I$6</f>
        <v>Year 3</v>
      </c>
      <c r="J122" s="103" t="str">
        <f>+$J$6</f>
        <v>Year 4</v>
      </c>
      <c r="K122" s="104" t="str">
        <f>+$K$6</f>
        <v>Year 5</v>
      </c>
      <c r="L122" s="103" t="str">
        <f>+$L$6</f>
        <v>Year 6</v>
      </c>
      <c r="M122" s="103" t="str">
        <f>+$M$6</f>
        <v>Year 7</v>
      </c>
      <c r="N122" s="103" t="str">
        <f>+$N$6</f>
        <v>Year 8</v>
      </c>
      <c r="O122" s="103" t="str">
        <f>+$O$6</f>
        <v>Year 9</v>
      </c>
      <c r="P122" s="103" t="str">
        <f>+$P$6</f>
        <v>Year 10</v>
      </c>
      <c r="Q122" s="306"/>
      <c r="R122" s="306"/>
      <c r="S122" s="306"/>
    </row>
    <row r="123" spans="1:19" ht="15.75" customHeight="1" outlineLevel="1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</row>
    <row r="124" spans="1:19" ht="15.75" customHeight="1" outlineLevel="1" x14ac:dyDescent="0.2">
      <c r="A124" s="306"/>
      <c r="B124" s="306"/>
      <c r="C124" s="307" t="s">
        <v>99</v>
      </c>
      <c r="D124" s="306"/>
      <c r="E124" s="306"/>
      <c r="F124" s="115" t="s">
        <v>56</v>
      </c>
      <c r="G124" s="310">
        <f t="shared" ref="G124:P124" si="40">+G115</f>
        <v>142192.70699999999</v>
      </c>
      <c r="H124" s="310">
        <f t="shared" si="40"/>
        <v>228200.45699999994</v>
      </c>
      <c r="I124" s="310">
        <f t="shared" si="40"/>
        <v>251612.96200000006</v>
      </c>
      <c r="J124" s="310">
        <f t="shared" si="40"/>
        <v>344629.69799999997</v>
      </c>
      <c r="K124" s="310">
        <f t="shared" si="40"/>
        <v>417472.19699999993</v>
      </c>
      <c r="L124" s="310">
        <f t="shared" si="40"/>
        <v>485039.94096400001</v>
      </c>
      <c r="M124" s="310">
        <f t="shared" si="40"/>
        <v>559660.91476299998</v>
      </c>
      <c r="N124" s="310">
        <f t="shared" si="40"/>
        <v>594968.36378586304</v>
      </c>
      <c r="O124" s="310">
        <f t="shared" si="40"/>
        <v>673431.56831625756</v>
      </c>
      <c r="P124" s="310">
        <f t="shared" si="40"/>
        <v>803956.33742110443</v>
      </c>
      <c r="Q124" s="306"/>
      <c r="R124" s="306"/>
      <c r="S124" s="306"/>
    </row>
    <row r="125" spans="1:19" ht="15.75" customHeight="1" outlineLevel="1" x14ac:dyDescent="0.2">
      <c r="A125" s="306"/>
      <c r="B125" s="306"/>
      <c r="C125" s="314" t="s">
        <v>100</v>
      </c>
      <c r="D125" s="315"/>
      <c r="E125" s="315"/>
      <c r="F125" s="143" t="s">
        <v>56</v>
      </c>
      <c r="G125" s="316">
        <f>-G110</f>
        <v>568</v>
      </c>
      <c r="H125" s="316">
        <f t="shared" ref="H125:P125" si="41">-H110</f>
        <v>792</v>
      </c>
      <c r="I125" s="316">
        <f t="shared" si="41"/>
        <v>1011</v>
      </c>
      <c r="J125" s="316">
        <f t="shared" si="41"/>
        <v>1523</v>
      </c>
      <c r="K125" s="316">
        <f t="shared" si="41"/>
        <v>2024</v>
      </c>
      <c r="L125" s="316">
        <f t="shared" si="41"/>
        <v>2225.7583560000003</v>
      </c>
      <c r="M125" s="316">
        <f t="shared" si="41"/>
        <v>2641.6916170999998</v>
      </c>
      <c r="N125" s="316">
        <f t="shared" si="41"/>
        <v>4718.8342374389995</v>
      </c>
      <c r="O125" s="316">
        <f t="shared" si="41"/>
        <v>7286.4220774665619</v>
      </c>
      <c r="P125" s="316">
        <f t="shared" si="41"/>
        <v>8405.0957558871269</v>
      </c>
      <c r="Q125" s="306"/>
      <c r="R125" s="306"/>
      <c r="S125" s="306"/>
    </row>
    <row r="126" spans="1:19" ht="15.75" customHeight="1" outlineLevel="1" x14ac:dyDescent="0.2">
      <c r="A126" s="306"/>
      <c r="B126" s="306"/>
      <c r="C126" s="248" t="s">
        <v>101</v>
      </c>
      <c r="D126" s="306"/>
      <c r="E126" s="306"/>
      <c r="F126" s="115" t="s">
        <v>56</v>
      </c>
      <c r="G126" s="226">
        <f>SUM(G124:G125)</f>
        <v>142760.70699999999</v>
      </c>
      <c r="H126" s="226">
        <f t="shared" ref="H126:P126" si="42">SUM(H124:H125)</f>
        <v>228992.45699999994</v>
      </c>
      <c r="I126" s="226">
        <f t="shared" si="42"/>
        <v>252623.96200000006</v>
      </c>
      <c r="J126" s="226">
        <f t="shared" si="42"/>
        <v>346152.69799999997</v>
      </c>
      <c r="K126" s="226">
        <f t="shared" si="42"/>
        <v>419496.19699999993</v>
      </c>
      <c r="L126" s="226">
        <f t="shared" si="42"/>
        <v>487265.69932000001</v>
      </c>
      <c r="M126" s="226">
        <f t="shared" si="42"/>
        <v>562302.60638010001</v>
      </c>
      <c r="N126" s="226">
        <f t="shared" si="42"/>
        <v>599687.19802330201</v>
      </c>
      <c r="O126" s="226">
        <f t="shared" si="42"/>
        <v>680717.99039372418</v>
      </c>
      <c r="P126" s="226">
        <f t="shared" si="42"/>
        <v>812361.43317699153</v>
      </c>
      <c r="Q126" s="306"/>
      <c r="R126" s="306"/>
      <c r="S126" s="306"/>
    </row>
    <row r="127" spans="1:19" ht="15.75" customHeight="1" outlineLevel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</row>
    <row r="128" spans="1:19" ht="15.75" customHeight="1" outlineLevel="1" x14ac:dyDescent="0.2">
      <c r="A128" s="306"/>
      <c r="B128" s="306"/>
      <c r="C128" s="156" t="s">
        <v>102</v>
      </c>
      <c r="D128" s="306"/>
      <c r="E128" s="306"/>
      <c r="F128" s="115" t="s">
        <v>21</v>
      </c>
      <c r="G128" s="116" t="str">
        <f t="shared" ref="G128:P128" si="43">IFERROR(+G84/F84-1,"N/A")</f>
        <v>N/A</v>
      </c>
      <c r="H128" s="116">
        <f t="shared" si="43"/>
        <v>0.90442971583398779</v>
      </c>
      <c r="I128" s="116">
        <f t="shared" si="43"/>
        <v>0.50885621342844556</v>
      </c>
      <c r="J128" s="116">
        <f t="shared" si="43"/>
        <v>0.23951210648402022</v>
      </c>
      <c r="K128" s="116">
        <f t="shared" si="43"/>
        <v>0.2600973081768978</v>
      </c>
      <c r="L128" s="116">
        <f t="shared" si="43"/>
        <v>0.16638963529859385</v>
      </c>
      <c r="M128" s="116">
        <f t="shared" si="43"/>
        <v>0.18687260455689825</v>
      </c>
      <c r="N128" s="116">
        <f t="shared" si="43"/>
        <v>0.19086174603510253</v>
      </c>
      <c r="O128" s="116">
        <f t="shared" si="43"/>
        <v>0.15808614651948028</v>
      </c>
      <c r="P128" s="116">
        <f t="shared" si="43"/>
        <v>0.15352853108524833</v>
      </c>
      <c r="Q128" s="306"/>
      <c r="R128" s="306"/>
      <c r="S128" s="306"/>
    </row>
    <row r="129" spans="1:19" ht="15.75" customHeight="1" outlineLevel="1" x14ac:dyDescent="0.2">
      <c r="A129" s="306"/>
      <c r="B129" s="306"/>
      <c r="C129" s="156" t="s">
        <v>103</v>
      </c>
      <c r="D129" s="306"/>
      <c r="E129" s="306"/>
      <c r="F129" s="115" t="s">
        <v>21</v>
      </c>
      <c r="G129" s="116">
        <f t="shared" ref="G129:P129" si="44">IFERROR(+G115/G84,"N/A")</f>
        <v>0.6688683080338873</v>
      </c>
      <c r="H129" s="116">
        <f t="shared" si="44"/>
        <v>0.56365693812877127</v>
      </c>
      <c r="I129" s="116">
        <f t="shared" si="44"/>
        <v>0.4118921376198903</v>
      </c>
      <c r="J129" s="116">
        <f t="shared" si="44"/>
        <v>0.4551477689643969</v>
      </c>
      <c r="K129" s="116">
        <f t="shared" si="44"/>
        <v>0.43754547055253878</v>
      </c>
      <c r="L129" s="116">
        <f t="shared" si="44"/>
        <v>0.43584240818997511</v>
      </c>
      <c r="M129" s="116">
        <f t="shared" si="44"/>
        <v>0.4237140407610373</v>
      </c>
      <c r="N129" s="116">
        <f t="shared" si="44"/>
        <v>0.37825128019887616</v>
      </c>
      <c r="O129" s="116">
        <f t="shared" si="44"/>
        <v>0.36969122082502531</v>
      </c>
      <c r="P129" s="116">
        <f t="shared" si="44"/>
        <v>0.38260424902738055</v>
      </c>
      <c r="Q129" s="306"/>
      <c r="R129" s="306"/>
      <c r="S129" s="306"/>
    </row>
    <row r="130" spans="1:19" ht="15.75" customHeight="1" outlineLevel="1" x14ac:dyDescent="0.2">
      <c r="A130" s="306"/>
      <c r="B130" s="306"/>
      <c r="C130" s="156" t="s">
        <v>104</v>
      </c>
      <c r="D130" s="306"/>
      <c r="E130" s="306"/>
      <c r="F130" s="115" t="s">
        <v>21</v>
      </c>
      <c r="G130" s="116">
        <f t="shared" ref="G130:P130" si="45">IFERROR(+G126/G84,"N/A")</f>
        <v>0.67154015532464351</v>
      </c>
      <c r="H130" s="116">
        <f t="shared" si="45"/>
        <v>0.56561318440832187</v>
      </c>
      <c r="I130" s="116">
        <f t="shared" si="45"/>
        <v>0.41354715152626331</v>
      </c>
      <c r="J130" s="116">
        <f t="shared" si="45"/>
        <v>0.4571591744124926</v>
      </c>
      <c r="K130" s="116">
        <f t="shared" si="45"/>
        <v>0.43966679034044875</v>
      </c>
      <c r="L130" s="116">
        <f t="shared" si="45"/>
        <v>0.43784240818997511</v>
      </c>
      <c r="M130" s="116">
        <f t="shared" si="45"/>
        <v>0.42571404076103736</v>
      </c>
      <c r="N130" s="116">
        <f t="shared" si="45"/>
        <v>0.38125128019887616</v>
      </c>
      <c r="O130" s="116">
        <f t="shared" si="45"/>
        <v>0.37369122082502532</v>
      </c>
      <c r="P130" s="116">
        <f t="shared" si="45"/>
        <v>0.38660424902738055</v>
      </c>
      <c r="Q130" s="306"/>
      <c r="R130" s="306"/>
      <c r="S130" s="306"/>
    </row>
    <row r="131" spans="1:19" ht="15.75" customHeight="1" outlineLevel="1" x14ac:dyDescent="0.2">
      <c r="A131" s="306"/>
      <c r="B131" s="306"/>
      <c r="C131" s="156" t="s">
        <v>105</v>
      </c>
      <c r="D131" s="306"/>
      <c r="E131" s="306"/>
      <c r="F131" s="115" t="s">
        <v>21</v>
      </c>
      <c r="G131" s="116">
        <f t="shared" ref="G131:P131" si="46">IFERROR(+G119/G84,"N/A")</f>
        <v>0.50165123102541542</v>
      </c>
      <c r="H131" s="116">
        <f t="shared" si="46"/>
        <v>0.41146956483400304</v>
      </c>
      <c r="I131" s="116">
        <f t="shared" si="46"/>
        <v>0.29656233908632101</v>
      </c>
      <c r="J131" s="116">
        <f t="shared" si="46"/>
        <v>0.32315491596472179</v>
      </c>
      <c r="K131" s="116">
        <f t="shared" si="46"/>
        <v>0.30628182938677717</v>
      </c>
      <c r="L131" s="116">
        <f t="shared" si="46"/>
        <v>0.30508968573298256</v>
      </c>
      <c r="M131" s="116">
        <f t="shared" si="46"/>
        <v>0.29659982853272615</v>
      </c>
      <c r="N131" s="116">
        <f t="shared" si="46"/>
        <v>0.26477589613921332</v>
      </c>
      <c r="O131" s="116">
        <f t="shared" si="46"/>
        <v>0.25878385457751774</v>
      </c>
      <c r="P131" s="116">
        <f t="shared" si="46"/>
        <v>0.26782297431916641</v>
      </c>
      <c r="Q131" s="306"/>
      <c r="R131" s="306"/>
      <c r="S131" s="306"/>
    </row>
    <row r="132" spans="1:19" ht="15.75" customHeight="1" outlineLevel="1" x14ac:dyDescent="0.2">
      <c r="A132" s="306"/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</row>
    <row r="133" spans="1:19" ht="15.75" customHeight="1" outlineLevel="1" x14ac:dyDescent="0.2">
      <c r="A133" s="306"/>
      <c r="B133" s="306"/>
      <c r="C133" s="156" t="s">
        <v>36</v>
      </c>
      <c r="D133" s="306"/>
      <c r="E133" s="306"/>
      <c r="F133" s="115" t="s">
        <v>21</v>
      </c>
      <c r="G133" s="116">
        <f>-G117/G115</f>
        <v>0.25</v>
      </c>
      <c r="H133" s="116">
        <f t="shared" ref="H133:P133" si="47">-H117/H115</f>
        <v>0.27</v>
      </c>
      <c r="I133" s="116">
        <f t="shared" si="47"/>
        <v>0.28000000000000003</v>
      </c>
      <c r="J133" s="116">
        <f t="shared" si="47"/>
        <v>0.28999999999999998</v>
      </c>
      <c r="K133" s="116">
        <f t="shared" si="47"/>
        <v>0.3</v>
      </c>
      <c r="L133" s="116">
        <f t="shared" si="47"/>
        <v>0.3</v>
      </c>
      <c r="M133" s="116">
        <f t="shared" si="47"/>
        <v>0.3</v>
      </c>
      <c r="N133" s="116">
        <f t="shared" si="47"/>
        <v>0.3</v>
      </c>
      <c r="O133" s="116">
        <f t="shared" si="47"/>
        <v>0.3</v>
      </c>
      <c r="P133" s="116">
        <f t="shared" si="47"/>
        <v>0.3</v>
      </c>
      <c r="Q133" s="306"/>
      <c r="R133" s="306"/>
      <c r="S133" s="306"/>
    </row>
    <row r="134" spans="1:19" ht="15.75" customHeight="1" x14ac:dyDescent="0.2">
      <c r="A134" s="306"/>
      <c r="B134" s="306"/>
      <c r="C134" s="306"/>
      <c r="D134" s="306"/>
      <c r="E134" s="306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</row>
    <row r="135" spans="1:19" ht="15.75" customHeight="1" x14ac:dyDescent="0.2">
      <c r="A135" s="306"/>
      <c r="B135" s="96"/>
      <c r="C135" s="96"/>
      <c r="D135" s="96"/>
      <c r="E135" s="96"/>
      <c r="F135" s="96"/>
      <c r="G135" s="97" t="str">
        <f>+$G$5</f>
        <v>Historical</v>
      </c>
      <c r="H135" s="98"/>
      <c r="I135" s="98"/>
      <c r="J135" s="98"/>
      <c r="K135" s="99"/>
      <c r="L135" s="97" t="str">
        <f>+$L$5</f>
        <v>Projected</v>
      </c>
      <c r="M135" s="97"/>
      <c r="N135" s="97"/>
      <c r="O135" s="97"/>
      <c r="P135" s="97"/>
      <c r="Q135" s="306"/>
      <c r="R135" s="306"/>
      <c r="S135" s="306"/>
    </row>
    <row r="136" spans="1:19" ht="15.75" customHeight="1" x14ac:dyDescent="0.2">
      <c r="A136" s="306"/>
      <c r="B136" s="138" t="s">
        <v>106</v>
      </c>
      <c r="C136" s="101"/>
      <c r="D136" s="101"/>
      <c r="E136" s="101"/>
      <c r="F136" s="102" t="str">
        <f>+$F$6</f>
        <v>Units:</v>
      </c>
      <c r="G136" s="103" t="str">
        <f>+$G$6</f>
        <v>Year 1</v>
      </c>
      <c r="H136" s="103" t="str">
        <f>+$H$6</f>
        <v>Year 2</v>
      </c>
      <c r="I136" s="103" t="str">
        <f>+$I$6</f>
        <v>Year 3</v>
      </c>
      <c r="J136" s="103" t="str">
        <f>+$J$6</f>
        <v>Year 4</v>
      </c>
      <c r="K136" s="104" t="str">
        <f>+$K$6</f>
        <v>Year 5</v>
      </c>
      <c r="L136" s="103" t="str">
        <f>+$L$6</f>
        <v>Year 6</v>
      </c>
      <c r="M136" s="103" t="str">
        <f>+$M$6</f>
        <v>Year 7</v>
      </c>
      <c r="N136" s="103" t="str">
        <f>+$N$6</f>
        <v>Year 8</v>
      </c>
      <c r="O136" s="103" t="str">
        <f>+$O$6</f>
        <v>Year 9</v>
      </c>
      <c r="P136" s="103" t="str">
        <f>+$P$6</f>
        <v>Year 10</v>
      </c>
      <c r="Q136" s="306"/>
      <c r="R136" s="306"/>
      <c r="S136" s="306"/>
    </row>
    <row r="137" spans="1:19" ht="15.75" customHeight="1" outlineLevel="1" x14ac:dyDescent="0.2">
      <c r="A137" s="306"/>
      <c r="B137" s="317" t="s">
        <v>107</v>
      </c>
      <c r="C137" s="318"/>
      <c r="D137" s="319"/>
      <c r="E137" s="319"/>
      <c r="F137" s="319"/>
      <c r="G137" s="320"/>
      <c r="H137" s="320"/>
      <c r="I137" s="320"/>
      <c r="J137" s="320"/>
      <c r="K137" s="320"/>
      <c r="L137" s="320"/>
      <c r="M137" s="320"/>
      <c r="N137" s="320"/>
      <c r="O137" s="320"/>
      <c r="P137" s="320"/>
      <c r="Q137" s="306"/>
      <c r="R137" s="306"/>
      <c r="S137" s="306"/>
    </row>
    <row r="138" spans="1:19" ht="15.75" customHeight="1" outlineLevel="1" x14ac:dyDescent="0.2">
      <c r="A138" s="306"/>
      <c r="B138" s="306"/>
      <c r="C138" s="248" t="s">
        <v>108</v>
      </c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</row>
    <row r="139" spans="1:19" ht="15.75" customHeight="1" outlineLevel="1" x14ac:dyDescent="0.2">
      <c r="A139" s="306"/>
      <c r="B139" s="306"/>
      <c r="C139" s="307" t="s">
        <v>109</v>
      </c>
      <c r="D139" s="306"/>
      <c r="E139" s="306"/>
      <c r="F139" s="115" t="s">
        <v>56</v>
      </c>
      <c r="G139" s="312">
        <v>52348</v>
      </c>
      <c r="H139" s="312">
        <v>117867.39760999996</v>
      </c>
      <c r="I139" s="312">
        <v>181224.52525000001</v>
      </c>
      <c r="J139" s="312">
        <v>279273.77483000001</v>
      </c>
      <c r="K139" s="312">
        <v>374608.29772999987</v>
      </c>
      <c r="L139" s="310">
        <f>+L192</f>
        <v>495282.68452108779</v>
      </c>
      <c r="M139" s="310">
        <f t="shared" ref="M139:P139" si="48">+M192</f>
        <v>625503.62731878657</v>
      </c>
      <c r="N139" s="310">
        <f t="shared" si="48"/>
        <v>732775.29249711195</v>
      </c>
      <c r="O139" s="310">
        <f t="shared" si="48"/>
        <v>844947.86192726868</v>
      </c>
      <c r="P139" s="310">
        <f t="shared" si="48"/>
        <v>989628.36123897415</v>
      </c>
      <c r="Q139" s="306"/>
      <c r="R139" s="306"/>
      <c r="S139" s="306"/>
    </row>
    <row r="140" spans="1:19" ht="15.75" customHeight="1" outlineLevel="1" x14ac:dyDescent="0.2">
      <c r="A140" s="306"/>
      <c r="B140" s="306"/>
      <c r="C140" s="307" t="s">
        <v>110</v>
      </c>
      <c r="D140" s="315"/>
      <c r="E140" s="315"/>
      <c r="F140" s="143" t="s">
        <v>56</v>
      </c>
      <c r="G140" s="231">
        <v>0</v>
      </c>
      <c r="H140" s="231">
        <v>2024.2849999999999</v>
      </c>
      <c r="I140" s="231">
        <v>6108.7100000000009</v>
      </c>
      <c r="J140" s="231">
        <v>7571.82</v>
      </c>
      <c r="K140" s="231">
        <v>11449.475999999999</v>
      </c>
      <c r="L140" s="316">
        <f>+L55*L$84</f>
        <v>13354.550136000002</v>
      </c>
      <c r="M140" s="316">
        <f>+M55*M$84</f>
        <v>17170.995511149998</v>
      </c>
      <c r="N140" s="316">
        <f>+N55*N$84</f>
        <v>22021.226441381998</v>
      </c>
      <c r="O140" s="316">
        <f>+O55*O$84</f>
        <v>27324.082790499604</v>
      </c>
      <c r="P140" s="316">
        <f>+P55*P$84</f>
        <v>33620.383023548507</v>
      </c>
      <c r="Q140" s="306"/>
      <c r="R140" s="306"/>
      <c r="S140" s="306"/>
    </row>
    <row r="141" spans="1:19" ht="15.75" customHeight="1" outlineLevel="1" x14ac:dyDescent="0.2">
      <c r="A141" s="306"/>
      <c r="B141" s="306"/>
      <c r="C141" s="308" t="s">
        <v>111</v>
      </c>
      <c r="D141" s="306"/>
      <c r="E141" s="306"/>
      <c r="F141" s="115" t="s">
        <v>56</v>
      </c>
      <c r="G141" s="226">
        <f>SUM(G139:G140)</f>
        <v>52348</v>
      </c>
      <c r="H141" s="226">
        <f t="shared" ref="H141:K141" si="49">SUM(H139:H140)</f>
        <v>119891.68260999996</v>
      </c>
      <c r="I141" s="226">
        <f t="shared" si="49"/>
        <v>187333.23525</v>
      </c>
      <c r="J141" s="226">
        <f t="shared" si="49"/>
        <v>286845.59483000002</v>
      </c>
      <c r="K141" s="226">
        <f t="shared" si="49"/>
        <v>386057.7737299999</v>
      </c>
      <c r="L141" s="235">
        <f>SUM(L139:L140)</f>
        <v>508637.23465708777</v>
      </c>
      <c r="M141" s="235">
        <f t="shared" ref="M141:P141" si="50">SUM(M139:M140)</f>
        <v>642674.62282993656</v>
      </c>
      <c r="N141" s="235">
        <f t="shared" si="50"/>
        <v>754796.51893849391</v>
      </c>
      <c r="O141" s="235">
        <f t="shared" si="50"/>
        <v>872271.94471776823</v>
      </c>
      <c r="P141" s="235">
        <f t="shared" si="50"/>
        <v>1023248.7442625227</v>
      </c>
      <c r="Q141" s="306"/>
      <c r="R141" s="306"/>
      <c r="S141" s="306"/>
    </row>
    <row r="142" spans="1:19" ht="15.75" customHeight="1" outlineLevel="1" x14ac:dyDescent="0.2">
      <c r="A142" s="306"/>
      <c r="B142" s="306"/>
      <c r="C142" s="306"/>
      <c r="D142" s="306"/>
      <c r="E142" s="30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</row>
    <row r="143" spans="1:19" ht="15.75" customHeight="1" outlineLevel="1" x14ac:dyDescent="0.2">
      <c r="A143" s="306"/>
      <c r="B143" s="306"/>
      <c r="C143" s="248" t="s">
        <v>112</v>
      </c>
      <c r="D143" s="306"/>
      <c r="E143" s="30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</row>
    <row r="144" spans="1:19" ht="15.75" customHeight="1" outlineLevel="1" x14ac:dyDescent="0.2">
      <c r="A144" s="306"/>
      <c r="B144" s="306"/>
      <c r="C144" s="307" t="s">
        <v>113</v>
      </c>
      <c r="D144" s="306"/>
      <c r="E144" s="306"/>
      <c r="F144" s="115" t="s">
        <v>56</v>
      </c>
      <c r="G144" s="230">
        <v>10038</v>
      </c>
      <c r="H144" s="230">
        <v>11270.285</v>
      </c>
      <c r="I144" s="230">
        <v>13313.64</v>
      </c>
      <c r="J144" s="230">
        <v>15576.55</v>
      </c>
      <c r="K144" s="230">
        <v>19277.288</v>
      </c>
      <c r="L144" s="311">
        <f>+K144-L173-L181</f>
        <v>23728.804712000005</v>
      </c>
      <c r="M144" s="311">
        <f>+L144-M173-M181</f>
        <v>30333.033754750002</v>
      </c>
      <c r="N144" s="311">
        <f>+M144-N173-N181</f>
        <v>36624.812738002001</v>
      </c>
      <c r="O144" s="311">
        <f>+N144-O173-O181</f>
        <v>43911.234815468561</v>
      </c>
      <c r="P144" s="311">
        <f>+O144-P173-P181</f>
        <v>52316.330571355684</v>
      </c>
      <c r="Q144" s="306"/>
      <c r="R144" s="306"/>
      <c r="S144" s="306"/>
    </row>
    <row r="145" spans="1:19" ht="15.75" customHeight="1" outlineLevel="1" x14ac:dyDescent="0.2">
      <c r="A145" s="306"/>
      <c r="B145" s="306"/>
      <c r="C145" s="321" t="s">
        <v>114</v>
      </c>
      <c r="D145" s="315"/>
      <c r="E145" s="315"/>
      <c r="F145" s="143" t="s">
        <v>56</v>
      </c>
      <c r="G145" s="231">
        <v>127</v>
      </c>
      <c r="H145" s="231">
        <v>381</v>
      </c>
      <c r="I145" s="231">
        <v>702</v>
      </c>
      <c r="J145" s="231">
        <v>1125</v>
      </c>
      <c r="K145" s="231">
        <v>1626</v>
      </c>
      <c r="L145" s="316">
        <f>+K145-L182</f>
        <v>2126</v>
      </c>
      <c r="M145" s="316">
        <f>+L145-M182</f>
        <v>2726</v>
      </c>
      <c r="N145" s="316">
        <f>+M145-N182</f>
        <v>3476</v>
      </c>
      <c r="O145" s="316">
        <f>+N145-O182</f>
        <v>4376</v>
      </c>
      <c r="P145" s="316">
        <f>+O145-P182</f>
        <v>5476</v>
      </c>
      <c r="Q145" s="306"/>
      <c r="R145" s="306"/>
      <c r="S145" s="306"/>
    </row>
    <row r="146" spans="1:19" ht="15.75" customHeight="1" outlineLevel="1" x14ac:dyDescent="0.2">
      <c r="A146" s="306"/>
      <c r="B146" s="306"/>
      <c r="C146" s="248" t="s">
        <v>115</v>
      </c>
      <c r="D146" s="306"/>
      <c r="E146" s="306"/>
      <c r="F146" s="115" t="s">
        <v>56</v>
      </c>
      <c r="G146" s="226">
        <f>SUM(G144:G145)</f>
        <v>10165</v>
      </c>
      <c r="H146" s="226">
        <f>SUM(H144:H145)</f>
        <v>11651.285</v>
      </c>
      <c r="I146" s="226">
        <f t="shared" ref="I146:K146" si="51">SUM(I144:I145)</f>
        <v>14015.64</v>
      </c>
      <c r="J146" s="226">
        <f t="shared" si="51"/>
        <v>16701.55</v>
      </c>
      <c r="K146" s="226">
        <f t="shared" si="51"/>
        <v>20903.288</v>
      </c>
      <c r="L146" s="226">
        <f>SUM(L144:L145)</f>
        <v>25854.804712000005</v>
      </c>
      <c r="M146" s="226">
        <f t="shared" ref="M146:P146" si="52">SUM(M144:M145)</f>
        <v>33059.033754750002</v>
      </c>
      <c r="N146" s="226">
        <f t="shared" si="52"/>
        <v>40100.812738002001</v>
      </c>
      <c r="O146" s="226">
        <f t="shared" si="52"/>
        <v>48287.234815468561</v>
      </c>
      <c r="P146" s="226">
        <f t="shared" si="52"/>
        <v>57792.330571355684</v>
      </c>
      <c r="Q146" s="306"/>
      <c r="R146" s="306"/>
      <c r="S146" s="306"/>
    </row>
    <row r="147" spans="1:19" ht="15.75" customHeight="1" outlineLevel="1" x14ac:dyDescent="0.2">
      <c r="A147" s="306"/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</row>
    <row r="148" spans="1:19" ht="15.75" customHeight="1" outlineLevel="1" x14ac:dyDescent="0.2">
      <c r="A148" s="306"/>
      <c r="B148" s="306"/>
      <c r="C148" s="322" t="s">
        <v>116</v>
      </c>
      <c r="D148" s="306"/>
      <c r="E148" s="306"/>
      <c r="F148" s="115" t="s">
        <v>56</v>
      </c>
      <c r="G148" s="235">
        <f>+G146+G141</f>
        <v>62513</v>
      </c>
      <c r="H148" s="235">
        <f t="shared" ref="H148:P148" si="53">+H146+H141</f>
        <v>131542.96760999996</v>
      </c>
      <c r="I148" s="235">
        <f t="shared" si="53"/>
        <v>201348.87524999998</v>
      </c>
      <c r="J148" s="235">
        <f t="shared" si="53"/>
        <v>303547.14483</v>
      </c>
      <c r="K148" s="235">
        <f t="shared" si="53"/>
        <v>406961.0617299999</v>
      </c>
      <c r="L148" s="235">
        <f t="shared" si="53"/>
        <v>534492.03936908778</v>
      </c>
      <c r="M148" s="235">
        <f t="shared" si="53"/>
        <v>675733.6565846866</v>
      </c>
      <c r="N148" s="235">
        <f t="shared" si="53"/>
        <v>794897.33167649596</v>
      </c>
      <c r="O148" s="235">
        <f t="shared" si="53"/>
        <v>920559.17953323678</v>
      </c>
      <c r="P148" s="235">
        <f t="shared" si="53"/>
        <v>1081041.0748338783</v>
      </c>
      <c r="Q148" s="306"/>
      <c r="R148" s="306"/>
      <c r="S148" s="306"/>
    </row>
    <row r="149" spans="1:19" ht="15.75" customHeight="1" outlineLevel="1" x14ac:dyDescent="0.2">
      <c r="A149" s="306"/>
      <c r="B149" s="306"/>
      <c r="C149" s="163"/>
      <c r="D149" s="306"/>
      <c r="E149" s="306"/>
      <c r="F149" s="306"/>
      <c r="G149" s="306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</row>
    <row r="150" spans="1:19" ht="15.75" customHeight="1" outlineLevel="1" x14ac:dyDescent="0.2">
      <c r="A150" s="306"/>
      <c r="B150" s="317" t="s">
        <v>117</v>
      </c>
      <c r="C150" s="318"/>
      <c r="D150" s="319"/>
      <c r="E150" s="319"/>
      <c r="F150" s="319"/>
      <c r="G150" s="320"/>
      <c r="H150" s="320"/>
      <c r="I150" s="320"/>
      <c r="J150" s="320"/>
      <c r="K150" s="320"/>
      <c r="L150" s="320"/>
      <c r="M150" s="320"/>
      <c r="N150" s="320"/>
      <c r="O150" s="320"/>
      <c r="P150" s="320"/>
      <c r="Q150" s="306"/>
      <c r="R150" s="306"/>
      <c r="S150" s="306"/>
    </row>
    <row r="151" spans="1:19" ht="15.75" customHeight="1" outlineLevel="1" x14ac:dyDescent="0.2">
      <c r="A151" s="306"/>
      <c r="B151" s="306"/>
      <c r="C151" s="248" t="s">
        <v>118</v>
      </c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</row>
    <row r="152" spans="1:19" ht="15.75" customHeight="1" outlineLevel="1" x14ac:dyDescent="0.2">
      <c r="A152" s="306"/>
      <c r="B152" s="306"/>
      <c r="C152" s="307" t="s">
        <v>119</v>
      </c>
      <c r="D152" s="306"/>
      <c r="E152" s="306"/>
      <c r="F152" s="115" t="s">
        <v>56</v>
      </c>
      <c r="G152" s="230">
        <v>97.93</v>
      </c>
      <c r="H152" s="230">
        <v>864.81000000000006</v>
      </c>
      <c r="I152" s="230">
        <v>3256.7990000000004</v>
      </c>
      <c r="J152" s="230">
        <v>5231.6280000000006</v>
      </c>
      <c r="K152" s="230">
        <v>8043.777000000001</v>
      </c>
      <c r="L152" s="311">
        <f>-L$113*L56</f>
        <v>9620.6938826240003</v>
      </c>
      <c r="M152" s="311">
        <f t="shared" ref="M152:P153" si="54">-M$113*M56</f>
        <v>12740.905660148401</v>
      </c>
      <c r="N152" s="311">
        <f t="shared" si="54"/>
        <v>16653.853156965837</v>
      </c>
      <c r="O152" s="311">
        <f t="shared" si="54"/>
        <v>21173.177907294354</v>
      </c>
      <c r="P152" s="311">
        <f t="shared" si="54"/>
        <v>23149.168237871312</v>
      </c>
      <c r="Q152" s="306"/>
      <c r="R152" s="306"/>
      <c r="S152" s="306"/>
    </row>
    <row r="153" spans="1:19" ht="15.75" customHeight="1" outlineLevel="1" x14ac:dyDescent="0.2">
      <c r="A153" s="306"/>
      <c r="B153" s="306"/>
      <c r="C153" s="314" t="s">
        <v>120</v>
      </c>
      <c r="D153" s="315"/>
      <c r="E153" s="315"/>
      <c r="F153" s="143" t="s">
        <v>56</v>
      </c>
      <c r="G153" s="231">
        <v>195.86</v>
      </c>
      <c r="H153" s="231">
        <v>960.9</v>
      </c>
      <c r="I153" s="231">
        <v>3757.8449999999998</v>
      </c>
      <c r="J153" s="231">
        <v>4359.6899999999996</v>
      </c>
      <c r="K153" s="231">
        <v>5745.5549999999994</v>
      </c>
      <c r="L153" s="316">
        <f>-L$113*L57</f>
        <v>7434.1725456640006</v>
      </c>
      <c r="M153" s="316">
        <f t="shared" si="54"/>
        <v>9024.8081759384513</v>
      </c>
      <c r="N153" s="316">
        <f t="shared" si="54"/>
        <v>13184.300415931288</v>
      </c>
      <c r="O153" s="316">
        <f t="shared" si="54"/>
        <v>15472.706932253566</v>
      </c>
      <c r="P153" s="316">
        <f t="shared" si="54"/>
        <v>17807.052490670241</v>
      </c>
      <c r="Q153" s="306"/>
      <c r="R153" s="306"/>
      <c r="S153" s="306"/>
    </row>
    <row r="154" spans="1:19" ht="15.75" customHeight="1" outlineLevel="1" x14ac:dyDescent="0.2">
      <c r="A154" s="306"/>
      <c r="B154" s="306"/>
      <c r="C154" s="248" t="s">
        <v>121</v>
      </c>
      <c r="D154" s="306"/>
      <c r="E154" s="306"/>
      <c r="F154" s="115" t="s">
        <v>56</v>
      </c>
      <c r="G154" s="226">
        <f>SUM(G152:G153)</f>
        <v>293.79000000000002</v>
      </c>
      <c r="H154" s="226">
        <f t="shared" ref="H154:K154" si="55">SUM(H152:H153)</f>
        <v>1825.71</v>
      </c>
      <c r="I154" s="226">
        <f t="shared" si="55"/>
        <v>7014.6440000000002</v>
      </c>
      <c r="J154" s="226">
        <f t="shared" si="55"/>
        <v>9591.3179999999993</v>
      </c>
      <c r="K154" s="226">
        <f t="shared" si="55"/>
        <v>13789.332</v>
      </c>
      <c r="L154" s="226">
        <f>SUM(L152:L153)</f>
        <v>17054.866428288002</v>
      </c>
      <c r="M154" s="226">
        <f t="shared" ref="M154:P154" si="56">SUM(M152:M153)</f>
        <v>21765.713836086852</v>
      </c>
      <c r="N154" s="226">
        <f t="shared" si="56"/>
        <v>29838.153572897125</v>
      </c>
      <c r="O154" s="226">
        <f t="shared" si="56"/>
        <v>36645.884839547922</v>
      </c>
      <c r="P154" s="226">
        <f t="shared" si="56"/>
        <v>40956.22072854155</v>
      </c>
      <c r="Q154" s="306"/>
      <c r="R154" s="306"/>
      <c r="S154" s="306"/>
    </row>
    <row r="155" spans="1:19" ht="15.75" customHeight="1" outlineLevel="1" x14ac:dyDescent="0.2">
      <c r="A155" s="306"/>
      <c r="B155" s="306"/>
      <c r="C155" s="306"/>
      <c r="D155" s="306"/>
      <c r="E155" s="306"/>
      <c r="F155" s="306"/>
      <c r="G155" s="306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</row>
    <row r="156" spans="1:19" ht="15.75" customHeight="1" outlineLevel="1" x14ac:dyDescent="0.2">
      <c r="A156" s="306"/>
      <c r="B156" s="306"/>
      <c r="C156" s="248" t="s">
        <v>122</v>
      </c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</row>
    <row r="157" spans="1:19" ht="15.75" customHeight="1" outlineLevel="1" x14ac:dyDescent="0.2">
      <c r="A157" s="306"/>
      <c r="B157" s="306"/>
      <c r="C157" s="307" t="s">
        <v>123</v>
      </c>
      <c r="D157" s="306"/>
      <c r="E157" s="306"/>
      <c r="F157" s="115" t="s">
        <v>56</v>
      </c>
      <c r="G157" s="230">
        <v>0</v>
      </c>
      <c r="H157" s="230">
        <v>809.71399999999994</v>
      </c>
      <c r="I157" s="230">
        <v>3054.3550000000005</v>
      </c>
      <c r="J157" s="230">
        <v>5678.8649999999998</v>
      </c>
      <c r="K157" s="230">
        <v>9541.23</v>
      </c>
      <c r="L157" s="311">
        <f>+L58*L$84</f>
        <v>13354.550136000002</v>
      </c>
      <c r="M157" s="311">
        <f>+M58*M$84</f>
        <v>18491.841319700001</v>
      </c>
      <c r="N157" s="311">
        <f>+N58*N$84</f>
        <v>23594.171187194996</v>
      </c>
      <c r="O157" s="311">
        <f>+O58*O$84</f>
        <v>30967.293829232887</v>
      </c>
      <c r="P157" s="311">
        <f>+P58*P$84</f>
        <v>39924.204840463848</v>
      </c>
      <c r="Q157" s="306"/>
      <c r="R157" s="306"/>
      <c r="S157" s="306"/>
    </row>
    <row r="158" spans="1:19" ht="15.75" customHeight="1" outlineLevel="1" x14ac:dyDescent="0.2">
      <c r="A158" s="306"/>
      <c r="B158" s="306"/>
      <c r="C158" s="314" t="s">
        <v>124</v>
      </c>
      <c r="D158" s="315"/>
      <c r="E158" s="315"/>
      <c r="F158" s="143" t="s">
        <v>56</v>
      </c>
      <c r="G158" s="231">
        <v>53</v>
      </c>
      <c r="H158" s="231">
        <v>155</v>
      </c>
      <c r="I158" s="231">
        <v>1366</v>
      </c>
      <c r="J158" s="231">
        <v>3676</v>
      </c>
      <c r="K158" s="231">
        <v>6799</v>
      </c>
      <c r="L158" s="316">
        <f>+K158+L186</f>
        <v>10299</v>
      </c>
      <c r="M158" s="316">
        <f>+L158+M186</f>
        <v>14099</v>
      </c>
      <c r="N158" s="316">
        <f>+M158+N186</f>
        <v>18199</v>
      </c>
      <c r="O158" s="316">
        <f>+N158+O186</f>
        <v>22599</v>
      </c>
      <c r="P158" s="316">
        <f>+O158+P186</f>
        <v>27299</v>
      </c>
      <c r="Q158" s="306"/>
      <c r="R158" s="306"/>
      <c r="S158" s="306"/>
    </row>
    <row r="159" spans="1:19" ht="15.75" customHeight="1" outlineLevel="1" x14ac:dyDescent="0.2">
      <c r="A159" s="306"/>
      <c r="B159" s="306"/>
      <c r="C159" s="248" t="s">
        <v>125</v>
      </c>
      <c r="D159" s="306"/>
      <c r="E159" s="306"/>
      <c r="F159" s="115" t="s">
        <v>56</v>
      </c>
      <c r="G159" s="226">
        <f>SUM(G157:G158)</f>
        <v>53</v>
      </c>
      <c r="H159" s="226">
        <f t="shared" ref="H159:K159" si="57">SUM(H157:H158)</f>
        <v>964.71399999999994</v>
      </c>
      <c r="I159" s="226">
        <f t="shared" si="57"/>
        <v>4420.3550000000005</v>
      </c>
      <c r="J159" s="226">
        <f t="shared" si="57"/>
        <v>9354.8649999999998</v>
      </c>
      <c r="K159" s="226">
        <f t="shared" si="57"/>
        <v>16340.23</v>
      </c>
      <c r="L159" s="226">
        <f>SUM(L157:L158)</f>
        <v>23653.550136000002</v>
      </c>
      <c r="M159" s="226">
        <f t="shared" ref="M159:P159" si="58">SUM(M157:M158)</f>
        <v>32590.841319700001</v>
      </c>
      <c r="N159" s="226">
        <f t="shared" si="58"/>
        <v>41793.171187194996</v>
      </c>
      <c r="O159" s="226">
        <f t="shared" si="58"/>
        <v>53566.293829232891</v>
      </c>
      <c r="P159" s="226">
        <f t="shared" si="58"/>
        <v>67223.204840463848</v>
      </c>
      <c r="Q159" s="306"/>
      <c r="R159" s="306"/>
      <c r="S159" s="306"/>
    </row>
    <row r="160" spans="1:19" ht="15.75" customHeight="1" outlineLevel="1" x14ac:dyDescent="0.2">
      <c r="A160" s="306"/>
      <c r="B160" s="306"/>
      <c r="C160" s="306"/>
      <c r="D160" s="306"/>
      <c r="E160" s="306"/>
      <c r="F160" s="306"/>
      <c r="G160" s="306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</row>
    <row r="161" spans="1:19" ht="15.75" customHeight="1" outlineLevel="1" x14ac:dyDescent="0.2">
      <c r="A161" s="306"/>
      <c r="B161" s="306"/>
      <c r="C161" s="248" t="s">
        <v>126</v>
      </c>
      <c r="D161" s="306"/>
      <c r="E161" s="306"/>
      <c r="F161" s="115" t="s">
        <v>56</v>
      </c>
      <c r="G161" s="235">
        <f>+G154+G159</f>
        <v>346.79</v>
      </c>
      <c r="H161" s="235">
        <f t="shared" ref="H161:P161" si="59">+H154+H159</f>
        <v>2790.424</v>
      </c>
      <c r="I161" s="235">
        <f t="shared" si="59"/>
        <v>11434.999</v>
      </c>
      <c r="J161" s="235">
        <f t="shared" si="59"/>
        <v>18946.182999999997</v>
      </c>
      <c r="K161" s="235">
        <f t="shared" si="59"/>
        <v>30129.561999999998</v>
      </c>
      <c r="L161" s="235">
        <f t="shared" si="59"/>
        <v>40708.416564288003</v>
      </c>
      <c r="M161" s="235">
        <f t="shared" si="59"/>
        <v>54356.555155786853</v>
      </c>
      <c r="N161" s="235">
        <f t="shared" si="59"/>
        <v>71631.324760092117</v>
      </c>
      <c r="O161" s="235">
        <f t="shared" si="59"/>
        <v>90212.178668780805</v>
      </c>
      <c r="P161" s="235">
        <f t="shared" si="59"/>
        <v>108179.4255690054</v>
      </c>
      <c r="Q161" s="306"/>
      <c r="R161" s="306"/>
      <c r="S161" s="306"/>
    </row>
    <row r="162" spans="1:19" ht="15.75" customHeight="1" outlineLevel="1" x14ac:dyDescent="0.2">
      <c r="A162" s="306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</row>
    <row r="163" spans="1:19" ht="15.75" customHeight="1" outlineLevel="1" x14ac:dyDescent="0.2">
      <c r="A163" s="306"/>
      <c r="B163" s="306"/>
      <c r="C163" s="248" t="s">
        <v>127</v>
      </c>
      <c r="D163" s="306"/>
      <c r="E163" s="306"/>
      <c r="F163" s="115" t="s">
        <v>56</v>
      </c>
      <c r="G163" s="164">
        <v>62166.21</v>
      </c>
      <c r="H163" s="164">
        <v>128752.54360999994</v>
      </c>
      <c r="I163" s="164">
        <v>189913.87624999997</v>
      </c>
      <c r="J163" s="164">
        <v>284600.96182999993</v>
      </c>
      <c r="K163" s="164">
        <v>376831.49972999981</v>
      </c>
      <c r="L163" s="235">
        <f>+K163+L172+L187</f>
        <v>493783.62280479982</v>
      </c>
      <c r="M163" s="235">
        <f>+L163+M172+M187</f>
        <v>621377.1014288998</v>
      </c>
      <c r="N163" s="235">
        <f>+M163+N172+N187</f>
        <v>723266.00691640389</v>
      </c>
      <c r="O163" s="235">
        <f>+N163+O172+O187</f>
        <v>830347.00086445617</v>
      </c>
      <c r="P163" s="235">
        <f>+O163+P172+P187</f>
        <v>972861.64926487289</v>
      </c>
      <c r="Q163" s="306"/>
      <c r="R163" s="306"/>
      <c r="S163" s="306"/>
    </row>
    <row r="164" spans="1:19" ht="15.75" customHeight="1" outlineLevel="1" x14ac:dyDescent="0.2">
      <c r="A164" s="306"/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</row>
    <row r="165" spans="1:19" ht="15.75" customHeight="1" outlineLevel="1" x14ac:dyDescent="0.2">
      <c r="A165" s="306"/>
      <c r="B165" s="306"/>
      <c r="C165" s="248" t="s">
        <v>128</v>
      </c>
      <c r="D165" s="306"/>
      <c r="E165" s="306"/>
      <c r="F165" s="115" t="s">
        <v>56</v>
      </c>
      <c r="G165" s="235">
        <f>+G161+G163</f>
        <v>62513</v>
      </c>
      <c r="H165" s="235">
        <f t="shared" ref="H165:P165" si="60">+H161+H163</f>
        <v>131542.96760999993</v>
      </c>
      <c r="I165" s="235">
        <f t="shared" si="60"/>
        <v>201348.87524999998</v>
      </c>
      <c r="J165" s="235">
        <f t="shared" si="60"/>
        <v>303547.14482999995</v>
      </c>
      <c r="K165" s="235">
        <f t="shared" si="60"/>
        <v>406961.06172999978</v>
      </c>
      <c r="L165" s="235">
        <f t="shared" si="60"/>
        <v>534492.03936908778</v>
      </c>
      <c r="M165" s="235">
        <f t="shared" si="60"/>
        <v>675733.6565846866</v>
      </c>
      <c r="N165" s="235">
        <f t="shared" si="60"/>
        <v>794897.33167649596</v>
      </c>
      <c r="O165" s="235">
        <f t="shared" si="60"/>
        <v>920559.17953323701</v>
      </c>
      <c r="P165" s="235">
        <f t="shared" si="60"/>
        <v>1081041.0748338783</v>
      </c>
      <c r="Q165" s="306"/>
      <c r="R165" s="306"/>
      <c r="S165" s="306"/>
    </row>
    <row r="166" spans="1:19" ht="15.75" customHeight="1" outlineLevel="1" x14ac:dyDescent="0.2">
      <c r="A166" s="306"/>
      <c r="B166" s="306"/>
      <c r="C166" s="306"/>
      <c r="D166" s="306"/>
      <c r="E166" s="306"/>
      <c r="F166" s="306"/>
      <c r="G166" s="306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</row>
    <row r="167" spans="1:19" ht="15.75" customHeight="1" outlineLevel="1" x14ac:dyDescent="0.2">
      <c r="A167" s="306"/>
      <c r="B167" s="306"/>
      <c r="C167" s="156" t="s">
        <v>129</v>
      </c>
      <c r="D167" s="165"/>
      <c r="E167" s="306"/>
      <c r="F167" s="306"/>
      <c r="G167" s="165">
        <f>+G148-G165</f>
        <v>0</v>
      </c>
      <c r="H167" s="165">
        <f t="shared" ref="H167:P167" si="61">+H148-H165</f>
        <v>0</v>
      </c>
      <c r="I167" s="165">
        <f t="shared" si="61"/>
        <v>0</v>
      </c>
      <c r="J167" s="165">
        <f t="shared" si="61"/>
        <v>0</v>
      </c>
      <c r="K167" s="165">
        <f t="shared" si="61"/>
        <v>0</v>
      </c>
      <c r="L167" s="165">
        <f t="shared" si="61"/>
        <v>0</v>
      </c>
      <c r="M167" s="165">
        <f t="shared" si="61"/>
        <v>0</v>
      </c>
      <c r="N167" s="165">
        <f t="shared" si="61"/>
        <v>0</v>
      </c>
      <c r="O167" s="165">
        <f t="shared" si="61"/>
        <v>0</v>
      </c>
      <c r="P167" s="165">
        <f t="shared" si="61"/>
        <v>0</v>
      </c>
      <c r="Q167" s="306"/>
      <c r="R167" s="306"/>
      <c r="S167" s="306"/>
    </row>
    <row r="168" spans="1:19" ht="15.75" customHeight="1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</row>
    <row r="169" spans="1:19" ht="15.75" customHeight="1" x14ac:dyDescent="0.2">
      <c r="A169" s="306"/>
      <c r="B169" s="96"/>
      <c r="C169" s="96"/>
      <c r="D169" s="96"/>
      <c r="E169" s="96"/>
      <c r="F169" s="96"/>
      <c r="G169" s="97" t="str">
        <f>+$G$5</f>
        <v>Historical</v>
      </c>
      <c r="H169" s="98"/>
      <c r="I169" s="98"/>
      <c r="J169" s="98"/>
      <c r="K169" s="99"/>
      <c r="L169" s="97" t="str">
        <f>+$L$5</f>
        <v>Projected</v>
      </c>
      <c r="M169" s="97"/>
      <c r="N169" s="97"/>
      <c r="O169" s="97"/>
      <c r="P169" s="97"/>
      <c r="Q169" s="306"/>
      <c r="R169" s="306"/>
      <c r="S169" s="306"/>
    </row>
    <row r="170" spans="1:19" ht="15.75" customHeight="1" x14ac:dyDescent="0.2">
      <c r="A170" s="306"/>
      <c r="B170" s="138" t="s">
        <v>130</v>
      </c>
      <c r="C170" s="101"/>
      <c r="D170" s="101"/>
      <c r="E170" s="101"/>
      <c r="F170" s="102" t="str">
        <f>+$F$6</f>
        <v>Units:</v>
      </c>
      <c r="G170" s="103" t="str">
        <f>+$G$6</f>
        <v>Year 1</v>
      </c>
      <c r="H170" s="103" t="str">
        <f>+$H$6</f>
        <v>Year 2</v>
      </c>
      <c r="I170" s="103" t="str">
        <f>+$I$6</f>
        <v>Year 3</v>
      </c>
      <c r="J170" s="103" t="str">
        <f>+$J$6</f>
        <v>Year 4</v>
      </c>
      <c r="K170" s="104" t="str">
        <f>+$K$6</f>
        <v>Year 5</v>
      </c>
      <c r="L170" s="103" t="str">
        <f>+$L$6</f>
        <v>Year 6</v>
      </c>
      <c r="M170" s="103" t="str">
        <f>+$M$6</f>
        <v>Year 7</v>
      </c>
      <c r="N170" s="103" t="str">
        <f>+$N$6</f>
        <v>Year 8</v>
      </c>
      <c r="O170" s="103" t="str">
        <f>+$O$6</f>
        <v>Year 9</v>
      </c>
      <c r="P170" s="103" t="str">
        <f>+$P$6</f>
        <v>Year 10</v>
      </c>
      <c r="Q170" s="306"/>
      <c r="R170" s="306"/>
      <c r="S170" s="306"/>
    </row>
    <row r="171" spans="1:19" ht="15.75" customHeight="1" outlineLevel="1" x14ac:dyDescent="0.2">
      <c r="A171" s="306"/>
      <c r="B171" s="320"/>
      <c r="C171" s="317" t="s">
        <v>131</v>
      </c>
      <c r="D171" s="320"/>
      <c r="E171" s="320"/>
      <c r="F171" s="320"/>
      <c r="G171" s="320"/>
      <c r="H171" s="320"/>
      <c r="I171" s="320"/>
      <c r="J171" s="320"/>
      <c r="K171" s="320"/>
      <c r="L171" s="320"/>
      <c r="M171" s="320"/>
      <c r="N171" s="320"/>
      <c r="O171" s="320"/>
      <c r="P171" s="320"/>
      <c r="Q171" s="306"/>
      <c r="R171" s="306"/>
      <c r="S171" s="306"/>
    </row>
    <row r="172" spans="1:19" ht="15.75" customHeight="1" outlineLevel="1" x14ac:dyDescent="0.2">
      <c r="A172" s="306"/>
      <c r="B172" s="306"/>
      <c r="C172" s="248" t="s">
        <v>97</v>
      </c>
      <c r="D172" s="306"/>
      <c r="E172" s="306"/>
      <c r="F172" s="115" t="s">
        <v>56</v>
      </c>
      <c r="G172" s="235">
        <f t="shared" ref="G172:P172" si="62">+G119</f>
        <v>106644.53025</v>
      </c>
      <c r="H172" s="235">
        <f t="shared" si="62"/>
        <v>166586.33360999994</v>
      </c>
      <c r="I172" s="235">
        <f t="shared" si="62"/>
        <v>181161.33264000004</v>
      </c>
      <c r="J172" s="235">
        <f t="shared" si="62"/>
        <v>244687.08557999998</v>
      </c>
      <c r="K172" s="235">
        <f t="shared" si="62"/>
        <v>292230.53789999994</v>
      </c>
      <c r="L172" s="235">
        <f t="shared" si="62"/>
        <v>339527.9586748</v>
      </c>
      <c r="M172" s="235">
        <f t="shared" si="62"/>
        <v>391762.6403341</v>
      </c>
      <c r="N172" s="235">
        <f t="shared" si="62"/>
        <v>416477.85465010413</v>
      </c>
      <c r="O172" s="235">
        <f t="shared" si="62"/>
        <v>471402.0978213803</v>
      </c>
      <c r="P172" s="235">
        <f t="shared" si="62"/>
        <v>562769.43619477306</v>
      </c>
      <c r="Q172" s="306"/>
      <c r="R172" s="306"/>
      <c r="S172" s="306"/>
    </row>
    <row r="173" spans="1:19" ht="15.75" customHeight="1" outlineLevel="1" x14ac:dyDescent="0.2">
      <c r="A173" s="306"/>
      <c r="B173" s="306"/>
      <c r="C173" s="307" t="s">
        <v>100</v>
      </c>
      <c r="D173" s="306"/>
      <c r="E173" s="306"/>
      <c r="F173" s="115" t="s">
        <v>56</v>
      </c>
      <c r="G173" s="230">
        <v>568</v>
      </c>
      <c r="H173" s="230">
        <v>792</v>
      </c>
      <c r="I173" s="230">
        <v>1011</v>
      </c>
      <c r="J173" s="230">
        <v>1523</v>
      </c>
      <c r="K173" s="230">
        <v>2024</v>
      </c>
      <c r="L173" s="311">
        <f>-L110</f>
        <v>2225.7583560000003</v>
      </c>
      <c r="M173" s="311">
        <f t="shared" ref="M173:P173" si="63">-M110</f>
        <v>2641.6916170999998</v>
      </c>
      <c r="N173" s="311">
        <f t="shared" si="63"/>
        <v>4718.8342374389995</v>
      </c>
      <c r="O173" s="311">
        <f t="shared" si="63"/>
        <v>7286.4220774665619</v>
      </c>
      <c r="P173" s="311">
        <f t="shared" si="63"/>
        <v>8405.0957558871269</v>
      </c>
      <c r="Q173" s="306"/>
      <c r="R173" s="306"/>
      <c r="S173" s="306"/>
    </row>
    <row r="174" spans="1:19" ht="15.75" customHeight="1" outlineLevel="1" x14ac:dyDescent="0.2">
      <c r="A174" s="306"/>
      <c r="B174" s="306"/>
      <c r="C174" s="307" t="s">
        <v>132</v>
      </c>
      <c r="D174" s="306"/>
      <c r="E174" s="306"/>
      <c r="F174" s="115" t="s">
        <v>56</v>
      </c>
      <c r="G174" s="230">
        <v>0</v>
      </c>
      <c r="H174" s="230">
        <v>-2024.2849999999999</v>
      </c>
      <c r="I174" s="230">
        <v>-4084.4250000000011</v>
      </c>
      <c r="J174" s="230">
        <v>-1463.1099999999988</v>
      </c>
      <c r="K174" s="230">
        <v>-3877.655999999999</v>
      </c>
      <c r="L174" s="311">
        <f>+K140-L140</f>
        <v>-1905.0741360000029</v>
      </c>
      <c r="M174" s="311">
        <f>+L140-M140</f>
        <v>-3816.4453751499968</v>
      </c>
      <c r="N174" s="311">
        <f>+M140-N140</f>
        <v>-4850.2309302319991</v>
      </c>
      <c r="O174" s="311">
        <f>+N140-O140</f>
        <v>-5302.8563491176064</v>
      </c>
      <c r="P174" s="311">
        <f>+O140-P140</f>
        <v>-6296.3002330489035</v>
      </c>
      <c r="Q174" s="306"/>
      <c r="R174" s="306"/>
      <c r="S174" s="306"/>
    </row>
    <row r="175" spans="1:19" ht="15.75" customHeight="1" outlineLevel="1" x14ac:dyDescent="0.2">
      <c r="A175" s="306"/>
      <c r="B175" s="306"/>
      <c r="C175" s="307" t="s">
        <v>133</v>
      </c>
      <c r="D175" s="306"/>
      <c r="E175" s="306"/>
      <c r="F175" s="115" t="s">
        <v>56</v>
      </c>
      <c r="G175" s="230">
        <v>97.93</v>
      </c>
      <c r="H175" s="230">
        <v>766.88000000000011</v>
      </c>
      <c r="I175" s="230">
        <v>2391.9890000000005</v>
      </c>
      <c r="J175" s="230">
        <v>1974.8290000000002</v>
      </c>
      <c r="K175" s="230">
        <v>2812.1490000000003</v>
      </c>
      <c r="L175" s="311">
        <f t="shared" ref="L175:P176" si="64">+L152-K152</f>
        <v>1576.9168826239993</v>
      </c>
      <c r="M175" s="311">
        <f t="shared" si="64"/>
        <v>3120.2117775244005</v>
      </c>
      <c r="N175" s="311">
        <f t="shared" si="64"/>
        <v>3912.9474968174363</v>
      </c>
      <c r="O175" s="311">
        <f t="shared" si="64"/>
        <v>4519.3247503285165</v>
      </c>
      <c r="P175" s="311">
        <f t="shared" si="64"/>
        <v>1975.9903305769585</v>
      </c>
      <c r="Q175" s="306"/>
      <c r="R175" s="306"/>
      <c r="S175" s="306"/>
    </row>
    <row r="176" spans="1:19" ht="15.75" customHeight="1" outlineLevel="1" x14ac:dyDescent="0.2">
      <c r="A176" s="306"/>
      <c r="B176" s="306"/>
      <c r="C176" s="307" t="s">
        <v>134</v>
      </c>
      <c r="D176" s="306"/>
      <c r="E176" s="306"/>
      <c r="F176" s="115" t="s">
        <v>56</v>
      </c>
      <c r="G176" s="230">
        <v>195.86</v>
      </c>
      <c r="H176" s="230">
        <v>765.04</v>
      </c>
      <c r="I176" s="230">
        <v>2796.9449999999997</v>
      </c>
      <c r="J176" s="230">
        <v>601.8449999999998</v>
      </c>
      <c r="K176" s="230">
        <v>1385.8649999999998</v>
      </c>
      <c r="L176" s="311">
        <f t="shared" si="64"/>
        <v>1688.6175456640012</v>
      </c>
      <c r="M176" s="311">
        <f t="shared" si="64"/>
        <v>1590.6356302744507</v>
      </c>
      <c r="N176" s="311">
        <f t="shared" si="64"/>
        <v>4159.4922399928364</v>
      </c>
      <c r="O176" s="311">
        <f t="shared" si="64"/>
        <v>2288.4065163222785</v>
      </c>
      <c r="P176" s="311">
        <f t="shared" si="64"/>
        <v>2334.345558416675</v>
      </c>
      <c r="Q176" s="306"/>
      <c r="R176" s="306"/>
      <c r="S176" s="306"/>
    </row>
    <row r="177" spans="1:19" ht="15.75" customHeight="1" outlineLevel="1" x14ac:dyDescent="0.2">
      <c r="A177" s="306"/>
      <c r="B177" s="306"/>
      <c r="C177" s="307" t="s">
        <v>135</v>
      </c>
      <c r="D177" s="306"/>
      <c r="E177" s="306"/>
      <c r="F177" s="143" t="s">
        <v>56</v>
      </c>
      <c r="G177" s="230">
        <v>0</v>
      </c>
      <c r="H177" s="230">
        <v>809.71399999999994</v>
      </c>
      <c r="I177" s="230">
        <v>2244.6410000000005</v>
      </c>
      <c r="J177" s="230">
        <v>2624.5099999999993</v>
      </c>
      <c r="K177" s="230">
        <v>3862.3649999999998</v>
      </c>
      <c r="L177" s="311">
        <f>+L157-K157</f>
        <v>3813.3201360000021</v>
      </c>
      <c r="M177" s="311">
        <f>+M157-L157</f>
        <v>5137.2911836999992</v>
      </c>
      <c r="N177" s="311">
        <f>+N157-M157</f>
        <v>5102.3298674949947</v>
      </c>
      <c r="O177" s="311">
        <f>+O157-N157</f>
        <v>7373.1226420378916</v>
      </c>
      <c r="P177" s="311">
        <f>+P157-O157</f>
        <v>8956.9110112309609</v>
      </c>
      <c r="Q177" s="306"/>
      <c r="R177" s="306"/>
      <c r="S177" s="306"/>
    </row>
    <row r="178" spans="1:19" ht="15.75" customHeight="1" outlineLevel="1" x14ac:dyDescent="0.2">
      <c r="A178" s="306"/>
      <c r="B178" s="306"/>
      <c r="C178" s="308" t="s">
        <v>136</v>
      </c>
      <c r="D178" s="309"/>
      <c r="E178" s="309"/>
      <c r="F178" s="115" t="s">
        <v>56</v>
      </c>
      <c r="G178" s="313">
        <f>SUM(G172:G177)</f>
        <v>107506.32024999999</v>
      </c>
      <c r="H178" s="313">
        <f t="shared" ref="H178:P178" si="65">SUM(H172:H177)</f>
        <v>167695.68260999996</v>
      </c>
      <c r="I178" s="313">
        <f t="shared" si="65"/>
        <v>185521.48264000006</v>
      </c>
      <c r="J178" s="313">
        <f t="shared" si="65"/>
        <v>249948.15958000001</v>
      </c>
      <c r="K178" s="313">
        <f t="shared" si="65"/>
        <v>298437.26089999988</v>
      </c>
      <c r="L178" s="313">
        <f t="shared" si="65"/>
        <v>346927.49745908799</v>
      </c>
      <c r="M178" s="313">
        <f t="shared" si="65"/>
        <v>400436.0251675488</v>
      </c>
      <c r="N178" s="313">
        <f t="shared" si="65"/>
        <v>429521.2275616164</v>
      </c>
      <c r="O178" s="313">
        <f t="shared" si="65"/>
        <v>487566.51745841792</v>
      </c>
      <c r="P178" s="313">
        <f t="shared" si="65"/>
        <v>578145.47861783602</v>
      </c>
      <c r="Q178" s="306"/>
      <c r="R178" s="306"/>
      <c r="S178" s="306"/>
    </row>
    <row r="179" spans="1:19" ht="15.75" customHeight="1" outlineLevel="1" x14ac:dyDescent="0.2">
      <c r="A179" s="306"/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</row>
    <row r="180" spans="1:19" ht="15.75" customHeight="1" outlineLevel="1" x14ac:dyDescent="0.2">
      <c r="A180" s="306"/>
      <c r="B180" s="320"/>
      <c r="C180" s="317" t="s">
        <v>137</v>
      </c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0"/>
      <c r="O180" s="320"/>
      <c r="P180" s="320"/>
      <c r="Q180" s="306"/>
      <c r="R180" s="306"/>
      <c r="S180" s="306"/>
    </row>
    <row r="181" spans="1:19" ht="15.75" customHeight="1" outlineLevel="1" x14ac:dyDescent="0.2">
      <c r="A181" s="306"/>
      <c r="B181" s="306"/>
      <c r="C181" s="307" t="s">
        <v>138</v>
      </c>
      <c r="D181" s="306"/>
      <c r="E181" s="306"/>
      <c r="F181" s="115" t="s">
        <v>56</v>
      </c>
      <c r="G181" s="230">
        <v>-850.34800000000007</v>
      </c>
      <c r="H181" s="230">
        <v>-2024.2849999999999</v>
      </c>
      <c r="I181" s="230">
        <v>-3054.3550000000005</v>
      </c>
      <c r="J181" s="230">
        <v>-3785.91</v>
      </c>
      <c r="K181" s="230">
        <v>-5724.7379999999994</v>
      </c>
      <c r="L181" s="311">
        <f>-L60*L84</f>
        <v>-6677.2750680000008</v>
      </c>
      <c r="M181" s="311">
        <f>-M60*M84</f>
        <v>-9245.9206598500004</v>
      </c>
      <c r="N181" s="311">
        <f>-N60*N84</f>
        <v>-11010.613220690999</v>
      </c>
      <c r="O181" s="311">
        <f>-O60*O84</f>
        <v>-14572.844154933124</v>
      </c>
      <c r="P181" s="311">
        <f>-P60*P84</f>
        <v>-16810.191511774254</v>
      </c>
      <c r="Q181" s="306"/>
      <c r="R181" s="306"/>
      <c r="S181" s="306"/>
    </row>
    <row r="182" spans="1:19" ht="15.75" customHeight="1" outlineLevel="1" x14ac:dyDescent="0.2">
      <c r="A182" s="306"/>
      <c r="B182" s="306"/>
      <c r="C182" s="314" t="s">
        <v>139</v>
      </c>
      <c r="D182" s="315"/>
      <c r="E182" s="315"/>
      <c r="F182" s="143" t="s">
        <v>56</v>
      </c>
      <c r="G182" s="231">
        <v>-127</v>
      </c>
      <c r="H182" s="231">
        <v>-254</v>
      </c>
      <c r="I182" s="231">
        <v>-321</v>
      </c>
      <c r="J182" s="231">
        <v>-423</v>
      </c>
      <c r="K182" s="231">
        <v>-501</v>
      </c>
      <c r="L182" s="316">
        <f>+L61</f>
        <v>-500</v>
      </c>
      <c r="M182" s="316">
        <f>+M61</f>
        <v>-600</v>
      </c>
      <c r="N182" s="316">
        <f>+N61</f>
        <v>-750</v>
      </c>
      <c r="O182" s="316">
        <f>+O61</f>
        <v>-900</v>
      </c>
      <c r="P182" s="316">
        <f>+P61</f>
        <v>-1100</v>
      </c>
      <c r="Q182" s="306"/>
      <c r="R182" s="306"/>
      <c r="S182" s="306"/>
    </row>
    <row r="183" spans="1:19" ht="15.75" customHeight="1" outlineLevel="1" x14ac:dyDescent="0.2">
      <c r="A183" s="306"/>
      <c r="B183" s="306"/>
      <c r="C183" s="248" t="s">
        <v>140</v>
      </c>
      <c r="D183" s="306"/>
      <c r="E183" s="306"/>
      <c r="F183" s="115" t="s">
        <v>56</v>
      </c>
      <c r="G183" s="226">
        <f>SUM(G181:G182)</f>
        <v>-977.34800000000007</v>
      </c>
      <c r="H183" s="226">
        <f t="shared" ref="H183:K183" si="66">SUM(H181:H182)</f>
        <v>-2278.2849999999999</v>
      </c>
      <c r="I183" s="226">
        <f t="shared" si="66"/>
        <v>-3375.3550000000005</v>
      </c>
      <c r="J183" s="226">
        <f t="shared" si="66"/>
        <v>-4208.91</v>
      </c>
      <c r="K183" s="226">
        <f t="shared" si="66"/>
        <v>-6225.7379999999994</v>
      </c>
      <c r="L183" s="226">
        <f>SUM(L181:L182)</f>
        <v>-7177.2750680000008</v>
      </c>
      <c r="M183" s="226">
        <f t="shared" ref="M183:P183" si="67">SUM(M181:M182)</f>
        <v>-9845.9206598500004</v>
      </c>
      <c r="N183" s="226">
        <f t="shared" si="67"/>
        <v>-11760.613220690999</v>
      </c>
      <c r="O183" s="226">
        <f t="shared" si="67"/>
        <v>-15472.844154933124</v>
      </c>
      <c r="P183" s="226">
        <f t="shared" si="67"/>
        <v>-17910.191511774254</v>
      </c>
      <c r="Q183" s="306"/>
      <c r="R183" s="306"/>
      <c r="S183" s="306"/>
    </row>
    <row r="184" spans="1:19" ht="15.75" customHeight="1" outlineLevel="1" x14ac:dyDescent="0.2">
      <c r="A184" s="306"/>
      <c r="B184" s="306"/>
      <c r="C184" s="306"/>
      <c r="D184" s="306"/>
      <c r="E184" s="306"/>
      <c r="F184" s="306"/>
      <c r="G184" s="311"/>
      <c r="H184" s="311"/>
      <c r="I184" s="311"/>
      <c r="J184" s="311"/>
      <c r="K184" s="311"/>
      <c r="L184" s="306"/>
      <c r="M184" s="306"/>
      <c r="N184" s="306"/>
      <c r="O184" s="306"/>
      <c r="P184" s="306"/>
      <c r="Q184" s="306"/>
      <c r="R184" s="306"/>
      <c r="S184" s="306"/>
    </row>
    <row r="185" spans="1:19" ht="15.75" customHeight="1" outlineLevel="1" x14ac:dyDescent="0.2">
      <c r="A185" s="306"/>
      <c r="B185" s="320"/>
      <c r="C185" s="317" t="s">
        <v>141</v>
      </c>
      <c r="D185" s="320"/>
      <c r="E185" s="320"/>
      <c r="F185" s="320"/>
      <c r="G185" s="320"/>
      <c r="H185" s="320"/>
      <c r="I185" s="320"/>
      <c r="J185" s="320"/>
      <c r="K185" s="320"/>
      <c r="L185" s="320"/>
      <c r="M185" s="320"/>
      <c r="N185" s="320"/>
      <c r="O185" s="320"/>
      <c r="P185" s="320"/>
      <c r="Q185" s="306"/>
      <c r="R185" s="306"/>
      <c r="S185" s="306"/>
    </row>
    <row r="186" spans="1:19" ht="15.75" customHeight="1" outlineLevel="1" x14ac:dyDescent="0.2">
      <c r="A186" s="306"/>
      <c r="B186" s="306"/>
      <c r="C186" s="307" t="s">
        <v>142</v>
      </c>
      <c r="D186" s="306"/>
      <c r="E186" s="306"/>
      <c r="F186" s="115" t="s">
        <v>56</v>
      </c>
      <c r="G186" s="230">
        <v>53</v>
      </c>
      <c r="H186" s="230">
        <v>102</v>
      </c>
      <c r="I186" s="230">
        <v>1211</v>
      </c>
      <c r="J186" s="230">
        <v>2310</v>
      </c>
      <c r="K186" s="230">
        <v>3123</v>
      </c>
      <c r="L186" s="311">
        <f>+L63</f>
        <v>3500</v>
      </c>
      <c r="M186" s="311">
        <f>+M63</f>
        <v>3800</v>
      </c>
      <c r="N186" s="311">
        <f>+N63</f>
        <v>4100</v>
      </c>
      <c r="O186" s="311">
        <f>+O63</f>
        <v>4400</v>
      </c>
      <c r="P186" s="311">
        <f>+P63</f>
        <v>4700</v>
      </c>
      <c r="Q186" s="306"/>
      <c r="R186" s="306"/>
      <c r="S186" s="306"/>
    </row>
    <row r="187" spans="1:19" ht="15.75" customHeight="1" outlineLevel="1" x14ac:dyDescent="0.2">
      <c r="A187" s="306"/>
      <c r="B187" s="306"/>
      <c r="C187" s="314" t="s">
        <v>143</v>
      </c>
      <c r="D187" s="315"/>
      <c r="E187" s="315"/>
      <c r="F187" s="143" t="s">
        <v>56</v>
      </c>
      <c r="G187" s="231">
        <v>-80000</v>
      </c>
      <c r="H187" s="231">
        <v>-100000</v>
      </c>
      <c r="I187" s="231">
        <v>-120000</v>
      </c>
      <c r="J187" s="231">
        <v>-150000</v>
      </c>
      <c r="K187" s="231">
        <v>-200000</v>
      </c>
      <c r="L187" s="316">
        <f>-L64*L84</f>
        <v>-222575.83560000002</v>
      </c>
      <c r="M187" s="316">
        <f>-M64*M84</f>
        <v>-264169.16171000001</v>
      </c>
      <c r="N187" s="316">
        <f>-N64*N84</f>
        <v>-314588.94916259998</v>
      </c>
      <c r="O187" s="316">
        <f>-O64*O84</f>
        <v>-364321.10387332807</v>
      </c>
      <c r="P187" s="316">
        <f>-P64*P84</f>
        <v>-420254.78779435635</v>
      </c>
      <c r="Q187" s="306"/>
      <c r="R187" s="306"/>
      <c r="S187" s="306"/>
    </row>
    <row r="188" spans="1:19" ht="15.75" customHeight="1" outlineLevel="1" x14ac:dyDescent="0.2">
      <c r="A188" s="306"/>
      <c r="B188" s="306"/>
      <c r="C188" s="248" t="s">
        <v>144</v>
      </c>
      <c r="D188" s="306"/>
      <c r="E188" s="306"/>
      <c r="F188" s="115" t="s">
        <v>56</v>
      </c>
      <c r="G188" s="226">
        <f>SUM(G186:G187)</f>
        <v>-79947</v>
      </c>
      <c r="H188" s="226">
        <f t="shared" ref="H188:K188" si="68">SUM(H186:H187)</f>
        <v>-99898</v>
      </c>
      <c r="I188" s="226">
        <f t="shared" si="68"/>
        <v>-118789</v>
      </c>
      <c r="J188" s="226">
        <f t="shared" si="68"/>
        <v>-147690</v>
      </c>
      <c r="K188" s="226">
        <f t="shared" si="68"/>
        <v>-196877</v>
      </c>
      <c r="L188" s="226">
        <f>SUM(L186:L187)</f>
        <v>-219075.83560000002</v>
      </c>
      <c r="M188" s="226">
        <f t="shared" ref="M188:P188" si="69">SUM(M186:M187)</f>
        <v>-260369.16171000001</v>
      </c>
      <c r="N188" s="226">
        <f t="shared" si="69"/>
        <v>-310488.94916259998</v>
      </c>
      <c r="O188" s="226">
        <f t="shared" si="69"/>
        <v>-359921.10387332807</v>
      </c>
      <c r="P188" s="226">
        <f t="shared" si="69"/>
        <v>-415554.78779435635</v>
      </c>
      <c r="Q188" s="306"/>
      <c r="R188" s="306"/>
      <c r="S188" s="306"/>
    </row>
    <row r="189" spans="1:19" ht="15.75" customHeight="1" outlineLevel="1" x14ac:dyDescent="0.2">
      <c r="A189" s="306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</row>
    <row r="190" spans="1:19" ht="15.75" customHeight="1" outlineLevel="1" x14ac:dyDescent="0.2">
      <c r="A190" s="306"/>
      <c r="B190" s="306"/>
      <c r="C190" s="248" t="s">
        <v>145</v>
      </c>
      <c r="D190" s="306"/>
      <c r="E190" s="306"/>
      <c r="F190" s="115" t="s">
        <v>56</v>
      </c>
      <c r="G190" s="226">
        <f>+G178+G183+G188</f>
        <v>26581.972249999992</v>
      </c>
      <c r="H190" s="226">
        <f t="shared" ref="H190:P190" si="70">+H178+H183+H188</f>
        <v>65519.397609999956</v>
      </c>
      <c r="I190" s="226">
        <f t="shared" si="70"/>
        <v>63357.12764000005</v>
      </c>
      <c r="J190" s="226">
        <f t="shared" si="70"/>
        <v>98049.249580000003</v>
      </c>
      <c r="K190" s="226">
        <f t="shared" si="70"/>
        <v>95334.522899999865</v>
      </c>
      <c r="L190" s="226">
        <f t="shared" si="70"/>
        <v>120674.38679108795</v>
      </c>
      <c r="M190" s="226">
        <f t="shared" si="70"/>
        <v>130220.94279769878</v>
      </c>
      <c r="N190" s="226">
        <f t="shared" si="70"/>
        <v>107271.66517832543</v>
      </c>
      <c r="O190" s="226">
        <f t="shared" si="70"/>
        <v>112172.56943015673</v>
      </c>
      <c r="P190" s="226">
        <f t="shared" si="70"/>
        <v>144680.49931170547</v>
      </c>
      <c r="Q190" s="306"/>
      <c r="R190" s="306"/>
      <c r="S190" s="306"/>
    </row>
    <row r="191" spans="1:19" ht="15.75" customHeight="1" outlineLevel="1" x14ac:dyDescent="0.2">
      <c r="A191" s="306"/>
      <c r="B191" s="306"/>
      <c r="C191" s="248" t="s">
        <v>146</v>
      </c>
      <c r="D191" s="306"/>
      <c r="E191" s="306"/>
      <c r="F191" s="115" t="s">
        <v>56</v>
      </c>
      <c r="G191" s="149">
        <v>25766.027750000008</v>
      </c>
      <c r="H191" s="226">
        <f>+G192</f>
        <v>52348</v>
      </c>
      <c r="I191" s="226">
        <f t="shared" ref="I191:P191" si="71">+H192</f>
        <v>117867.39760999996</v>
      </c>
      <c r="J191" s="226">
        <f t="shared" si="71"/>
        <v>181224.52525000001</v>
      </c>
      <c r="K191" s="226">
        <f t="shared" si="71"/>
        <v>279273.77483000001</v>
      </c>
      <c r="L191" s="226">
        <f t="shared" si="71"/>
        <v>374608.29772999987</v>
      </c>
      <c r="M191" s="226">
        <f t="shared" si="71"/>
        <v>495282.68452108779</v>
      </c>
      <c r="N191" s="226">
        <f t="shared" si="71"/>
        <v>625503.62731878657</v>
      </c>
      <c r="O191" s="226">
        <f t="shared" si="71"/>
        <v>732775.29249711195</v>
      </c>
      <c r="P191" s="226">
        <f t="shared" si="71"/>
        <v>844947.86192726868</v>
      </c>
      <c r="Q191" s="306"/>
      <c r="R191" s="306"/>
      <c r="S191" s="306"/>
    </row>
    <row r="192" spans="1:19" ht="15.75" customHeight="1" outlineLevel="1" x14ac:dyDescent="0.2">
      <c r="A192" s="306"/>
      <c r="B192" s="306"/>
      <c r="C192" s="248" t="s">
        <v>147</v>
      </c>
      <c r="D192" s="306"/>
      <c r="E192" s="306"/>
      <c r="F192" s="115" t="s">
        <v>56</v>
      </c>
      <c r="G192" s="235">
        <f>+G190+G191</f>
        <v>52348</v>
      </c>
      <c r="H192" s="235">
        <f t="shared" ref="H192:P192" si="72">+H190+H191</f>
        <v>117867.39760999996</v>
      </c>
      <c r="I192" s="235">
        <f t="shared" si="72"/>
        <v>181224.52525000001</v>
      </c>
      <c r="J192" s="235">
        <f t="shared" si="72"/>
        <v>279273.77483000001</v>
      </c>
      <c r="K192" s="235">
        <f t="shared" si="72"/>
        <v>374608.29772999987</v>
      </c>
      <c r="L192" s="235">
        <f t="shared" si="72"/>
        <v>495282.68452108779</v>
      </c>
      <c r="M192" s="235">
        <f t="shared" si="72"/>
        <v>625503.62731878657</v>
      </c>
      <c r="N192" s="235">
        <f t="shared" si="72"/>
        <v>732775.29249711195</v>
      </c>
      <c r="O192" s="235">
        <f t="shared" si="72"/>
        <v>844947.86192726868</v>
      </c>
      <c r="P192" s="235">
        <f t="shared" si="72"/>
        <v>989628.36123897415</v>
      </c>
      <c r="Q192" s="306"/>
      <c r="R192" s="306"/>
      <c r="S192" s="306"/>
    </row>
    <row r="193" spans="1:19" ht="15.75" customHeight="1" x14ac:dyDescent="0.2">
      <c r="A193" s="306"/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</row>
    <row r="194" spans="1:19" ht="15.75" customHeight="1" x14ac:dyDescent="0.2">
      <c r="A194" s="306"/>
      <c r="B194" s="306"/>
      <c r="C194" s="306"/>
      <c r="D194" s="306"/>
      <c r="E194" s="306"/>
      <c r="F194" s="306"/>
      <c r="G194" s="306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</row>
    <row r="195" spans="1:19" ht="15.75" customHeight="1" x14ac:dyDescent="0.2">
      <c r="A195" s="306"/>
      <c r="B195" s="306"/>
      <c r="C195" s="306"/>
      <c r="D195" s="306"/>
      <c r="E195" s="306"/>
      <c r="F195" s="306"/>
      <c r="G195" s="306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</row>
    <row r="196" spans="1:19" ht="15.75" customHeight="1" x14ac:dyDescent="0.2">
      <c r="A196" s="306"/>
      <c r="B196" s="306"/>
      <c r="C196" s="306"/>
      <c r="D196" s="306"/>
      <c r="E196" s="306"/>
      <c r="F196" s="306"/>
      <c r="G196" s="306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</row>
    <row r="197" spans="1:19" ht="15.75" customHeight="1" x14ac:dyDescent="0.2">
      <c r="A197" s="306"/>
      <c r="B197" s="306"/>
      <c r="C197" s="306"/>
      <c r="D197" s="306"/>
      <c r="E197" s="306"/>
      <c r="F197" s="306"/>
      <c r="G197" s="306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>
      <selection activeCell="F10" sqref="F10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2" customFormat="1" ht="16" x14ac:dyDescent="0.2"/>
    <row r="2" spans="2:16" s="92" customFormat="1" ht="19" x14ac:dyDescent="0.25">
      <c r="B2" s="93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s="92" customFormat="1" ht="16" x14ac:dyDescent="0.2">
      <c r="B3" s="92" t="s">
        <v>0</v>
      </c>
      <c r="G3" s="94"/>
    </row>
    <row r="4" spans="2:16" s="92" customFormat="1" ht="16" x14ac:dyDescent="0.2">
      <c r="B4" s="95"/>
      <c r="G4" s="94"/>
    </row>
    <row r="5" spans="2:16" s="92" customFormat="1" ht="16" x14ac:dyDescent="0.2">
      <c r="B5" s="138" t="s">
        <v>148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2:16" s="92" customFormat="1" ht="16" outlineLevel="1" x14ac:dyDescent="0.2">
      <c r="B6" s="95"/>
      <c r="G6" s="94"/>
    </row>
    <row r="7" spans="2:16" s="92" customFormat="1" ht="16" outlineLevel="1" x14ac:dyDescent="0.2">
      <c r="B7" s="95"/>
      <c r="C7" s="92" t="s">
        <v>149</v>
      </c>
      <c r="F7" s="166">
        <v>0.35</v>
      </c>
      <c r="G7" s="94"/>
    </row>
    <row r="8" spans="2:16" s="92" customFormat="1" ht="16" outlineLevel="1" x14ac:dyDescent="0.2">
      <c r="B8" s="95"/>
      <c r="C8" s="92" t="s">
        <v>150</v>
      </c>
      <c r="E8" s="167"/>
      <c r="F8" s="168" t="s">
        <v>151</v>
      </c>
      <c r="G8" s="94"/>
    </row>
    <row r="9" spans="2:16" s="92" customFormat="1" ht="16" outlineLevel="1" x14ac:dyDescent="0.2">
      <c r="B9" s="95"/>
      <c r="G9" s="94"/>
    </row>
    <row r="10" spans="2:16" s="92" customFormat="1" ht="16" outlineLevel="1" x14ac:dyDescent="0.2">
      <c r="B10" s="95"/>
      <c r="C10" s="92" t="s">
        <v>152</v>
      </c>
      <c r="F10" s="166">
        <v>0.3</v>
      </c>
      <c r="G10" s="94"/>
    </row>
    <row r="11" spans="2:16" s="92" customFormat="1" ht="16" x14ac:dyDescent="0.2">
      <c r="B11" s="95"/>
      <c r="G11" s="94"/>
    </row>
    <row r="12" spans="2:16" s="92" customFormat="1" ht="16" x14ac:dyDescent="0.2">
      <c r="B12" s="96"/>
      <c r="C12" s="96"/>
      <c r="D12" s="96"/>
      <c r="E12" s="96"/>
      <c r="F12" s="96"/>
      <c r="G12" s="97" t="s">
        <v>1</v>
      </c>
      <c r="H12" s="98"/>
      <c r="I12" s="98"/>
      <c r="J12" s="98"/>
      <c r="K12" s="99"/>
      <c r="L12" s="97" t="s">
        <v>2</v>
      </c>
      <c r="M12" s="97"/>
      <c r="N12" s="97"/>
      <c r="O12" s="97"/>
      <c r="P12" s="97"/>
    </row>
    <row r="13" spans="2:16" s="92" customFormat="1" ht="16" x14ac:dyDescent="0.2">
      <c r="B13" s="138" t="s">
        <v>63</v>
      </c>
      <c r="C13" s="101"/>
      <c r="D13" s="101"/>
      <c r="E13" s="101"/>
      <c r="F13" s="102" t="s">
        <v>4</v>
      </c>
      <c r="G13" s="103" t="s">
        <v>5</v>
      </c>
      <c r="H13" s="103" t="s">
        <v>6</v>
      </c>
      <c r="I13" s="103" t="s">
        <v>7</v>
      </c>
      <c r="J13" s="103" t="s">
        <v>8</v>
      </c>
      <c r="K13" s="104" t="s">
        <v>9</v>
      </c>
      <c r="L13" s="103" t="s">
        <v>10</v>
      </c>
      <c r="M13" s="103" t="s">
        <v>11</v>
      </c>
      <c r="N13" s="103" t="s">
        <v>12</v>
      </c>
      <c r="O13" s="103" t="s">
        <v>13</v>
      </c>
      <c r="P13" s="103" t="s">
        <v>14</v>
      </c>
    </row>
    <row r="14" spans="2:16" s="92" customFormat="1" ht="16" outlineLevel="1" x14ac:dyDescent="0.2">
      <c r="C14" s="133"/>
      <c r="G14" s="140"/>
    </row>
    <row r="15" spans="2:16" s="92" customFormat="1" ht="16" outlineLevel="1" x14ac:dyDescent="0.2">
      <c r="C15" s="139" t="s">
        <v>153</v>
      </c>
      <c r="F15" s="115" t="s">
        <v>56</v>
      </c>
      <c r="G15" s="169">
        <f>'Company0462-Internal'!G84</f>
        <v>212587</v>
      </c>
      <c r="H15" s="169">
        <f>'Company0462-Internal'!H84</f>
        <v>404856.99999999994</v>
      </c>
      <c r="I15" s="169">
        <f>'Company0462-Internal'!I84</f>
        <v>610871.00000000012</v>
      </c>
      <c r="J15" s="169">
        <f>'Company0462-Internal'!J84</f>
        <v>757182</v>
      </c>
      <c r="K15" s="169">
        <f>'Company0462-Internal'!K84</f>
        <v>954122.99999999988</v>
      </c>
      <c r="L15" s="169">
        <f>'Company0462-Internal'!L84</f>
        <v>1112879.1780000001</v>
      </c>
      <c r="M15" s="169">
        <f>'Company0462-Internal'!M84</f>
        <v>1320845.80855</v>
      </c>
      <c r="N15" s="169">
        <f>'Company0462-Internal'!N84</f>
        <v>1572944.7458129998</v>
      </c>
      <c r="O15" s="169">
        <f>'Company0462-Internal'!O84</f>
        <v>1821605.5193666404</v>
      </c>
      <c r="P15" s="169">
        <f>'Company0462-Internal'!P84</f>
        <v>2101273.9389717816</v>
      </c>
    </row>
    <row r="16" spans="2:16" s="92" customFormat="1" ht="16" outlineLevel="1" x14ac:dyDescent="0.2">
      <c r="C16" s="153" t="s">
        <v>154</v>
      </c>
      <c r="D16" s="154"/>
      <c r="E16" s="154"/>
      <c r="F16" s="143" t="s">
        <v>56</v>
      </c>
      <c r="G16" s="170">
        <f>'Company0462-Internal'!G96</f>
        <v>-6377.61</v>
      </c>
      <c r="H16" s="170">
        <f>'Company0462-Internal'!H96</f>
        <v>-12550.566999999997</v>
      </c>
      <c r="I16" s="170">
        <f>'Company0462-Internal'!I96</f>
        <v>-21380.485000000008</v>
      </c>
      <c r="J16" s="170">
        <f>'Company0462-Internal'!J96</f>
        <v>-30287.279999999999</v>
      </c>
      <c r="K16" s="170">
        <f>'Company0462-Internal'!K96</f>
        <v>-39119.042999999998</v>
      </c>
      <c r="L16" s="170">
        <f>'Company0462-Internal'!L96</f>
        <v>-50079.563009999998</v>
      </c>
      <c r="M16" s="170">
        <f>'Company0462-Internal'!M96</f>
        <v>-59438.061384749999</v>
      </c>
      <c r="N16" s="170">
        <f>'Company0462-Internal'!N96</f>
        <v>-78647.237290649995</v>
      </c>
      <c r="O16" s="170">
        <f>'Company0462-Internal'!O96</f>
        <v>-91080.275968332018</v>
      </c>
      <c r="P16" s="170">
        <f>'Company0462-Internal'!P96</f>
        <v>-126076.4363383069</v>
      </c>
    </row>
    <row r="17" spans="3:16" s="92" customFormat="1" ht="16" outlineLevel="1" x14ac:dyDescent="0.2">
      <c r="C17" s="139" t="s">
        <v>155</v>
      </c>
      <c r="F17" s="115" t="s">
        <v>56</v>
      </c>
      <c r="G17" s="147">
        <f>SUM(G15:G16)</f>
        <v>206209.39</v>
      </c>
      <c r="H17" s="147">
        <f t="shared" ref="H17:P17" si="0">SUM(H15:H16)</f>
        <v>392306.43299999996</v>
      </c>
      <c r="I17" s="147">
        <f t="shared" si="0"/>
        <v>589490.51500000013</v>
      </c>
      <c r="J17" s="147">
        <f t="shared" si="0"/>
        <v>726894.72</v>
      </c>
      <c r="K17" s="147">
        <f t="shared" si="0"/>
        <v>915003.95699999994</v>
      </c>
      <c r="L17" s="147">
        <f t="shared" si="0"/>
        <v>1062799.6149900001</v>
      </c>
      <c r="M17" s="147">
        <f t="shared" si="0"/>
        <v>1261407.7471652499</v>
      </c>
      <c r="N17" s="147">
        <f t="shared" si="0"/>
        <v>1494297.5085223499</v>
      </c>
      <c r="O17" s="147">
        <f t="shared" si="0"/>
        <v>1730525.2433983083</v>
      </c>
      <c r="P17" s="147">
        <f t="shared" si="0"/>
        <v>1975197.5026334748</v>
      </c>
    </row>
    <row r="18" spans="3:16" s="92" customFormat="1" ht="16" outlineLevel="1" x14ac:dyDescent="0.2">
      <c r="C18" s="139"/>
      <c r="G18" s="130"/>
      <c r="H18" s="130"/>
      <c r="I18" s="130"/>
      <c r="J18" s="130"/>
      <c r="K18" s="130"/>
      <c r="L18" s="130"/>
      <c r="M18" s="130"/>
      <c r="N18" s="130"/>
      <c r="O18" s="130"/>
      <c r="P18" s="130"/>
    </row>
    <row r="19" spans="3:16" s="92" customFormat="1" ht="16" outlineLevel="1" x14ac:dyDescent="0.2">
      <c r="C19" s="95" t="s">
        <v>82</v>
      </c>
      <c r="G19" s="130"/>
      <c r="H19" s="130"/>
      <c r="I19" s="130"/>
      <c r="J19" s="130"/>
      <c r="K19" s="130"/>
      <c r="L19" s="130"/>
      <c r="M19" s="130"/>
      <c r="N19" s="130"/>
      <c r="O19" s="130"/>
      <c r="P19" s="130"/>
    </row>
    <row r="20" spans="3:16" s="92" customFormat="1" ht="16" outlineLevel="1" x14ac:dyDescent="0.2">
      <c r="C20" s="114" t="s">
        <v>156</v>
      </c>
      <c r="F20" s="115" t="s">
        <v>56</v>
      </c>
      <c r="G20" s="172">
        <f>-'Company0462-Internal'!G95-'Company0462-Internal'!G102-'Company0462-Internal'!G103-'Company0462-Internal'!G105-'Company0462-Internal'!G108+'Company0462-Internal'!G72</f>
        <v>39415.023000000001</v>
      </c>
      <c r="H20" s="172">
        <f>-'Company0462-Internal'!H95-'Company0462-Internal'!H102-'Company0462-Internal'!H103-'Company0462-Internal'!H105-'Company0462-Internal'!H108+'Company0462-Internal'!H72</f>
        <v>97835.995999999999</v>
      </c>
      <c r="I20" s="172">
        <f>-'Company0462-Internal'!I95-'Company0462-Internal'!I102-'Company0462-Internal'!I103-'Company0462-Internal'!I105-'Company0462-Internal'!I108+'Company0462-Internal'!I72</f>
        <v>136604.38800000001</v>
      </c>
      <c r="J20" s="172">
        <f>-'Company0462-Internal'!J95-'Company0462-Internal'!J102-'Company0462-Internal'!J103-'Company0462-Internal'!J105-'Company0462-Internal'!J108+'Company0462-Internal'!J72</f>
        <v>158201.09600000002</v>
      </c>
      <c r="K20" s="172">
        <f>-'Company0462-Internal'!K95-'Company0462-Internal'!K102-'Company0462-Internal'!K103-'Company0462-Internal'!K105-'Company0462-Internal'!K108+'Company0462-Internal'!K72</f>
        <v>188965.44399999999</v>
      </c>
      <c r="L20" s="172">
        <f>-'Company0462-Internal'!L95-'Company0462-Internal'!L102-'Company0462-Internal'!L103-'Company0462-Internal'!L105-'Company0462-Internal'!L108+'Company0462-Internal'!L72</f>
        <v>224998.509036</v>
      </c>
      <c r="M20" s="172">
        <f>-'Company0462-Internal'!M95-'Company0462-Internal'!M102-'Company0462-Internal'!M103-'Company0462-Internal'!M105-'Company0462-Internal'!M108+'Company0462-Internal'!M72</f>
        <v>279222.13174719998</v>
      </c>
      <c r="N20" s="172">
        <f>-'Company0462-Internal'!N95-'Company0462-Internal'!N102-'Company0462-Internal'!N103-'Company0462-Internal'!N105-'Company0462-Internal'!N108+'Company0462-Internal'!N72</f>
        <v>340035.79322365799</v>
      </c>
      <c r="O20" s="172">
        <f>-'Company0462-Internal'!O95-'Company0462-Internal'!O102-'Company0462-Internal'!O103-'Company0462-Internal'!O105-'Company0462-Internal'!O108+'Company0462-Internal'!O72</f>
        <v>404635.22971693159</v>
      </c>
      <c r="P20" s="172">
        <f>-'Company0462-Internal'!P95-'Company0462-Internal'!P102-'Company0462-Internal'!P103-'Company0462-Internal'!P105-'Company0462-Internal'!P108+'Company0462-Internal'!P72</f>
        <v>436984.59836505295</v>
      </c>
    </row>
    <row r="21" spans="3:16" s="92" customFormat="1" ht="16" outlineLevel="1" x14ac:dyDescent="0.2">
      <c r="C21" s="114" t="s">
        <v>157</v>
      </c>
      <c r="F21" s="115" t="s">
        <v>56</v>
      </c>
      <c r="G21" s="172">
        <f>-'Company0462-Internal'!G90-'Company0462-Internal'!G104-'Company0462-Internal'!G106-'Company0462-Internal'!G107+'Company0462-Internal'!G73</f>
        <v>78265.66</v>
      </c>
      <c r="H21" s="172">
        <f>-'Company0462-Internal'!H90-'Company0462-Internal'!H104-'Company0462-Internal'!H106-'Company0462-Internal'!H107+'Company0462-Internal'!H73</f>
        <v>126679.98</v>
      </c>
      <c r="I21" s="172">
        <f>-'Company0462-Internal'!I90-'Company0462-Internal'!I104-'Company0462-Internal'!I106-'Company0462-Internal'!I107+'Company0462-Internal'!I73</f>
        <v>202250.16500000001</v>
      </c>
      <c r="J21" s="172">
        <f>-'Company0462-Internal'!J90-'Company0462-Internal'!J104-'Company0462-Internal'!J106-'Company0462-Internal'!J107+'Company0462-Internal'!J73</f>
        <v>244917.92600000001</v>
      </c>
      <c r="K21" s="172">
        <f>-'Company0462-Internal'!K90-'Company0462-Internal'!K104-'Company0462-Internal'!K106-'Company0462-Internal'!K107+'Company0462-Internal'!K73</f>
        <v>319779.31599999999</v>
      </c>
      <c r="L21" s="172">
        <f>-'Company0462-Internal'!L90-'Company0462-Internal'!L104-'Company0462-Internal'!L106-'Company0462-Internal'!L107+'Company0462-Internal'!L73</f>
        <v>373019.54552799999</v>
      </c>
      <c r="M21" s="172">
        <f>-'Company0462-Internal'!M90-'Company0462-Internal'!M104-'Company0462-Internal'!M106-'Company0462-Internal'!M107+'Company0462-Internal'!M73</f>
        <v>461676.34738365002</v>
      </c>
      <c r="N21" s="172">
        <f>-'Company0462-Internal'!N90-'Company0462-Internal'!N104-'Company0462-Internal'!N106-'Company0462-Internal'!N107+'Company0462-Internal'!N73</f>
        <v>536324.93796014506</v>
      </c>
      <c r="O21" s="172">
        <f>-'Company0462-Internal'!O90-'Company0462-Internal'!O104-'Company0462-Internal'!O106-'Company0462-Internal'!O107+'Company0462-Internal'!O73</f>
        <v>635541.49072151573</v>
      </c>
      <c r="P21" s="172">
        <f>-'Company0462-Internal'!P90-'Company0462-Internal'!P104-'Company0462-Internal'!P106-'Company0462-Internal'!P107+'Company0462-Internal'!P73</f>
        <v>743961.08826359245</v>
      </c>
    </row>
    <row r="22" spans="3:16" s="92" customFormat="1" ht="16" outlineLevel="1" x14ac:dyDescent="0.2">
      <c r="C22" s="114" t="s">
        <v>158</v>
      </c>
      <c r="F22" s="115" t="s">
        <v>56</v>
      </c>
      <c r="G22" s="172">
        <f>-'Company0462-Internal'!G111-'Company0462-Internal'!G112+'Company0462-Internal'!G74</f>
        <v>20000</v>
      </c>
      <c r="H22" s="172">
        <f>-'Company0462-Internal'!H111-'Company0462-Internal'!H112+'Company0462-Internal'!H74</f>
        <v>30000</v>
      </c>
      <c r="I22" s="172">
        <f>-'Company0462-Internal'!I111-'Company0462-Internal'!I112+'Company0462-Internal'!I74</f>
        <v>112000</v>
      </c>
      <c r="J22" s="172">
        <f>-'Company0462-Internal'!J111-'Company0462-Internal'!J112+'Company0462-Internal'!J74</f>
        <v>122500</v>
      </c>
      <c r="K22" s="172">
        <f>-'Company0462-Internal'!K111-'Company0462-Internal'!K112+'Company0462-Internal'!K74</f>
        <v>180000</v>
      </c>
      <c r="L22" s="172">
        <f>-'Company0462-Internal'!L111-'Company0462-Internal'!L112+'Company0462-Internal'!L74</f>
        <v>192301.54246</v>
      </c>
      <c r="M22" s="172">
        <f>-'Company0462-Internal'!M111-'Company0462-Internal'!M112+'Company0462-Internal'!M74</f>
        <v>214450.748513</v>
      </c>
      <c r="N22" s="172">
        <f>-'Company0462-Internal'!N111-'Company0462-Internal'!N112+'Company0462-Internal'!N74</f>
        <v>324973.80474878004</v>
      </c>
      <c r="O22" s="172">
        <f>-'Company0462-Internal'!O111-'Company0462-Internal'!O112+'Company0462-Internal'!O74</f>
        <v>366665.21436199849</v>
      </c>
      <c r="P22" s="172">
        <f>-'Company0462-Internal'!P111-'Company0462-Internal'!P112+'Company0462-Internal'!P74</f>
        <v>393740.07486630697</v>
      </c>
    </row>
    <row r="23" spans="3:16" s="92" customFormat="1" ht="16" outlineLevel="1" x14ac:dyDescent="0.2">
      <c r="C23" s="114" t="s">
        <v>100</v>
      </c>
      <c r="F23" s="143" t="s">
        <v>56</v>
      </c>
      <c r="G23" s="172">
        <f>-'Company0462-Internal'!G110</f>
        <v>568</v>
      </c>
      <c r="H23" s="172">
        <f>-'Company0462-Internal'!H110</f>
        <v>792</v>
      </c>
      <c r="I23" s="172">
        <f>-'Company0462-Internal'!I110</f>
        <v>1011</v>
      </c>
      <c r="J23" s="172">
        <f>-'Company0462-Internal'!J110</f>
        <v>1523</v>
      </c>
      <c r="K23" s="172">
        <f>-'Company0462-Internal'!K110</f>
        <v>2024</v>
      </c>
      <c r="L23" s="172">
        <f>-'Company0462-Internal'!L110</f>
        <v>2225.7583560000003</v>
      </c>
      <c r="M23" s="172">
        <f>-'Company0462-Internal'!M110</f>
        <v>2641.6916170999998</v>
      </c>
      <c r="N23" s="172">
        <f>-'Company0462-Internal'!N110</f>
        <v>4718.8342374389995</v>
      </c>
      <c r="O23" s="172">
        <f>-'Company0462-Internal'!O110</f>
        <v>7286.4220774665619</v>
      </c>
      <c r="P23" s="172">
        <f>-'Company0462-Internal'!P110</f>
        <v>8405.0957558871269</v>
      </c>
    </row>
    <row r="24" spans="3:16" s="92" customFormat="1" ht="16" outlineLevel="1" x14ac:dyDescent="0.2">
      <c r="C24" s="144" t="s">
        <v>94</v>
      </c>
      <c r="D24" s="125"/>
      <c r="E24" s="125"/>
      <c r="F24" s="115" t="s">
        <v>56</v>
      </c>
      <c r="G24" s="145">
        <f>SUM(G20:G23)</f>
        <v>138248.68300000002</v>
      </c>
      <c r="H24" s="145">
        <f t="shared" ref="H24:P24" si="1">SUM(H20:H23)</f>
        <v>255307.976</v>
      </c>
      <c r="I24" s="145">
        <f t="shared" si="1"/>
        <v>451865.55300000001</v>
      </c>
      <c r="J24" s="145">
        <f t="shared" si="1"/>
        <v>527142.022</v>
      </c>
      <c r="K24" s="145">
        <f t="shared" si="1"/>
        <v>690768.76</v>
      </c>
      <c r="L24" s="145">
        <f t="shared" si="1"/>
        <v>792545.35537999996</v>
      </c>
      <c r="M24" s="145">
        <f t="shared" si="1"/>
        <v>957990.91926094994</v>
      </c>
      <c r="N24" s="145">
        <f t="shared" si="1"/>
        <v>1206053.3701700221</v>
      </c>
      <c r="O24" s="145">
        <f t="shared" si="1"/>
        <v>1414128.3568779123</v>
      </c>
      <c r="P24" s="145">
        <f t="shared" si="1"/>
        <v>1583090.8572508395</v>
      </c>
    </row>
    <row r="25" spans="3:16" s="92" customFormat="1" ht="16" outlineLevel="1" x14ac:dyDescent="0.2"/>
    <row r="26" spans="3:16" s="92" customFormat="1" ht="16" outlineLevel="1" x14ac:dyDescent="0.2">
      <c r="C26" s="95" t="s">
        <v>95</v>
      </c>
      <c r="F26" s="115" t="s">
        <v>56</v>
      </c>
      <c r="G26" s="147">
        <f>+G17-G24</f>
        <v>67960.706999999995</v>
      </c>
      <c r="H26" s="147">
        <f t="shared" ref="H26:P26" si="2">+H17-H24</f>
        <v>136998.45699999997</v>
      </c>
      <c r="I26" s="147">
        <f t="shared" si="2"/>
        <v>137624.96200000012</v>
      </c>
      <c r="J26" s="147">
        <f t="shared" si="2"/>
        <v>199752.69799999997</v>
      </c>
      <c r="K26" s="147">
        <f t="shared" si="2"/>
        <v>224235.19699999993</v>
      </c>
      <c r="L26" s="147">
        <f t="shared" si="2"/>
        <v>270254.25961000018</v>
      </c>
      <c r="M26" s="147">
        <f t="shared" si="2"/>
        <v>303416.82790429995</v>
      </c>
      <c r="N26" s="147">
        <f t="shared" si="2"/>
        <v>288244.13835232775</v>
      </c>
      <c r="O26" s="147">
        <f t="shared" si="2"/>
        <v>316396.88652039599</v>
      </c>
      <c r="P26" s="147">
        <f t="shared" si="2"/>
        <v>392106.6453826353</v>
      </c>
    </row>
    <row r="27" spans="3:16" s="92" customFormat="1" ht="16" outlineLevel="1" x14ac:dyDescent="0.2">
      <c r="C27" s="114" t="s">
        <v>159</v>
      </c>
      <c r="F27" s="143" t="s">
        <v>56</v>
      </c>
      <c r="G27" s="142">
        <v>0</v>
      </c>
      <c r="H27" s="142">
        <v>0</v>
      </c>
      <c r="I27" s="142">
        <v>0</v>
      </c>
      <c r="J27" s="142">
        <v>0</v>
      </c>
      <c r="K27" s="142">
        <v>0</v>
      </c>
      <c r="L27" s="142">
        <v>0</v>
      </c>
      <c r="M27" s="142">
        <v>0</v>
      </c>
      <c r="N27" s="142">
        <v>0</v>
      </c>
      <c r="O27" s="142">
        <v>0</v>
      </c>
      <c r="P27" s="142">
        <v>0</v>
      </c>
    </row>
    <row r="28" spans="3:16" s="92" customFormat="1" ht="16" outlineLevel="1" x14ac:dyDescent="0.2">
      <c r="C28" s="124" t="s">
        <v>160</v>
      </c>
      <c r="D28" s="125"/>
      <c r="E28" s="125"/>
      <c r="F28" s="115" t="s">
        <v>56</v>
      </c>
      <c r="G28" s="145">
        <f>SUM(G26:G27)</f>
        <v>67960.706999999995</v>
      </c>
      <c r="H28" s="145">
        <f t="shared" ref="H28:P28" si="3">SUM(H26:H27)</f>
        <v>136998.45699999997</v>
      </c>
      <c r="I28" s="145">
        <f t="shared" si="3"/>
        <v>137624.96200000012</v>
      </c>
      <c r="J28" s="145">
        <f t="shared" si="3"/>
        <v>199752.69799999997</v>
      </c>
      <c r="K28" s="145">
        <f t="shared" si="3"/>
        <v>224235.19699999993</v>
      </c>
      <c r="L28" s="145">
        <f t="shared" si="3"/>
        <v>270254.25961000018</v>
      </c>
      <c r="M28" s="145">
        <f t="shared" si="3"/>
        <v>303416.82790429995</v>
      </c>
      <c r="N28" s="145">
        <f t="shared" si="3"/>
        <v>288244.13835232775</v>
      </c>
      <c r="O28" s="145">
        <f t="shared" si="3"/>
        <v>316396.88652039599</v>
      </c>
      <c r="P28" s="145">
        <f t="shared" si="3"/>
        <v>392106.6453826353</v>
      </c>
    </row>
    <row r="29" spans="3:16" s="92" customFormat="1" ht="16" outlineLevel="1" x14ac:dyDescent="0.2">
      <c r="G29" s="130"/>
      <c r="H29" s="130"/>
      <c r="I29" s="130"/>
      <c r="J29" s="130"/>
      <c r="K29" s="130"/>
      <c r="L29" s="130"/>
      <c r="M29" s="130"/>
      <c r="N29" s="130"/>
      <c r="O29" s="130"/>
      <c r="P29" s="130"/>
    </row>
    <row r="30" spans="3:16" s="92" customFormat="1" ht="16" outlineLevel="1" x14ac:dyDescent="0.2">
      <c r="C30" s="95" t="s">
        <v>161</v>
      </c>
      <c r="F30" s="115" t="s">
        <v>56</v>
      </c>
      <c r="G30" s="174">
        <f>-'Company0462-Internal'!G117</f>
        <v>35548.176749999999</v>
      </c>
      <c r="H30" s="174">
        <f>-'Company0462-Internal'!H117</f>
        <v>61614.123389999986</v>
      </c>
      <c r="I30" s="174">
        <f>-'Company0462-Internal'!I117</f>
        <v>70451.629360000021</v>
      </c>
      <c r="J30" s="174">
        <f>-'Company0462-Internal'!J117</f>
        <v>99942.61241999999</v>
      </c>
      <c r="K30" s="174">
        <f>-'Company0462-Internal'!K117</f>
        <v>125241.65909999998</v>
      </c>
      <c r="L30" s="174">
        <f>+L28*Tax_Rate</f>
        <v>94588.990863500061</v>
      </c>
      <c r="M30" s="174">
        <f>+M28*Tax_Rate</f>
        <v>106195.88976650497</v>
      </c>
      <c r="N30" s="174">
        <f>+N28*Tax_Rate</f>
        <v>100885.44842331471</v>
      </c>
      <c r="O30" s="174">
        <f>+O28*Tax_Rate</f>
        <v>110738.91028213859</v>
      </c>
      <c r="P30" s="174">
        <f>+P28*Tax_Rate</f>
        <v>137237.32588392234</v>
      </c>
    </row>
    <row r="31" spans="3:16" s="92" customFormat="1" ht="16" outlineLevel="1" x14ac:dyDescent="0.2">
      <c r="G31" s="140"/>
      <c r="H31" s="140"/>
      <c r="I31" s="140"/>
      <c r="J31" s="140"/>
      <c r="K31" s="140"/>
      <c r="L31" s="140"/>
    </row>
    <row r="32" spans="3:16" s="92" customFormat="1" ht="16" outlineLevel="1" x14ac:dyDescent="0.2">
      <c r="C32" s="95" t="s">
        <v>97</v>
      </c>
      <c r="F32" s="115" t="s">
        <v>56</v>
      </c>
      <c r="G32" s="148">
        <f>+G28-G30</f>
        <v>32412.530249999996</v>
      </c>
      <c r="H32" s="148">
        <f t="shared" ref="H32:P32" si="4">+H28-H30</f>
        <v>75384.333609999972</v>
      </c>
      <c r="I32" s="148">
        <f t="shared" si="4"/>
        <v>67173.332640000095</v>
      </c>
      <c r="J32" s="148">
        <f t="shared" si="4"/>
        <v>99810.085579999984</v>
      </c>
      <c r="K32" s="148">
        <f t="shared" si="4"/>
        <v>98993.537899999952</v>
      </c>
      <c r="L32" s="148">
        <f t="shared" si="4"/>
        <v>175665.26874650014</v>
      </c>
      <c r="M32" s="148">
        <f t="shared" si="4"/>
        <v>197220.93813779496</v>
      </c>
      <c r="N32" s="148">
        <f t="shared" si="4"/>
        <v>187358.68992901302</v>
      </c>
      <c r="O32" s="148">
        <f t="shared" si="4"/>
        <v>205657.9762382574</v>
      </c>
      <c r="P32" s="148">
        <f t="shared" si="4"/>
        <v>254869.31949871295</v>
      </c>
    </row>
    <row r="33" spans="2:16" s="92" customFormat="1" ht="16" x14ac:dyDescent="0.2"/>
    <row r="34" spans="2:16" s="92" customFormat="1" ht="16" x14ac:dyDescent="0.2">
      <c r="B34" s="150"/>
      <c r="C34" s="150"/>
      <c r="D34" s="150"/>
      <c r="E34" s="150"/>
      <c r="F34" s="96"/>
      <c r="G34" s="97" t="str">
        <f>+$G$12</f>
        <v>Historical</v>
      </c>
      <c r="H34" s="98"/>
      <c r="I34" s="98"/>
      <c r="J34" s="98"/>
      <c r="K34" s="99"/>
      <c r="L34" s="97" t="str">
        <f>+$L$12</f>
        <v>Projected</v>
      </c>
      <c r="M34" s="97"/>
      <c r="N34" s="97"/>
      <c r="O34" s="97"/>
      <c r="P34" s="97"/>
    </row>
    <row r="35" spans="2:16" s="92" customFormat="1" ht="16" x14ac:dyDescent="0.2">
      <c r="B35" s="151" t="s">
        <v>98</v>
      </c>
      <c r="C35" s="151"/>
      <c r="D35" s="152"/>
      <c r="E35" s="152"/>
      <c r="F35" s="102" t="str">
        <f>+$F$13</f>
        <v>Units:</v>
      </c>
      <c r="G35" s="103" t="str">
        <f>+$G$13</f>
        <v>Year 1</v>
      </c>
      <c r="H35" s="103" t="str">
        <f>+$H$13</f>
        <v>Year 2</v>
      </c>
      <c r="I35" s="103" t="str">
        <f>+$I$13</f>
        <v>Year 3</v>
      </c>
      <c r="J35" s="103" t="str">
        <f>+$J$13</f>
        <v>Year 4</v>
      </c>
      <c r="K35" s="104" t="str">
        <f>+$K$13</f>
        <v>Year 5</v>
      </c>
      <c r="L35" s="103" t="str">
        <f>+$L$13</f>
        <v>Year 6</v>
      </c>
      <c r="M35" s="103" t="str">
        <f>+$M$13</f>
        <v>Year 7</v>
      </c>
      <c r="N35" s="103" t="str">
        <f>+$N$13</f>
        <v>Year 8</v>
      </c>
      <c r="O35" s="103" t="str">
        <f>+$O$13</f>
        <v>Year 9</v>
      </c>
      <c r="P35" s="103" t="str">
        <f>+$P$13</f>
        <v>Year 10</v>
      </c>
    </row>
    <row r="36" spans="2:16" s="92" customFormat="1" ht="16" outlineLevel="1" x14ac:dyDescent="0.2"/>
    <row r="37" spans="2:16" s="92" customFormat="1" ht="16" outlineLevel="1" x14ac:dyDescent="0.2">
      <c r="C37" s="114" t="s">
        <v>99</v>
      </c>
      <c r="F37" s="115" t="s">
        <v>56</v>
      </c>
      <c r="G37" s="128">
        <f t="shared" ref="G37:P37" si="5">+G26</f>
        <v>67960.706999999995</v>
      </c>
      <c r="H37" s="128">
        <f t="shared" si="5"/>
        <v>136998.45699999997</v>
      </c>
      <c r="I37" s="128">
        <f t="shared" si="5"/>
        <v>137624.96200000012</v>
      </c>
      <c r="J37" s="128">
        <f t="shared" si="5"/>
        <v>199752.69799999997</v>
      </c>
      <c r="K37" s="128">
        <f t="shared" si="5"/>
        <v>224235.19699999993</v>
      </c>
      <c r="L37" s="128">
        <f t="shared" si="5"/>
        <v>270254.25961000018</v>
      </c>
      <c r="M37" s="128">
        <f t="shared" si="5"/>
        <v>303416.82790429995</v>
      </c>
      <c r="N37" s="128">
        <f t="shared" si="5"/>
        <v>288244.13835232775</v>
      </c>
      <c r="O37" s="128">
        <f t="shared" si="5"/>
        <v>316396.88652039599</v>
      </c>
      <c r="P37" s="128">
        <f t="shared" si="5"/>
        <v>392106.6453826353</v>
      </c>
    </row>
    <row r="38" spans="2:16" s="92" customFormat="1" ht="16" outlineLevel="1" x14ac:dyDescent="0.2">
      <c r="C38" s="153" t="s">
        <v>100</v>
      </c>
      <c r="D38" s="154"/>
      <c r="E38" s="154"/>
      <c r="F38" s="143" t="s">
        <v>56</v>
      </c>
      <c r="G38" s="155">
        <f t="shared" ref="G38:P38" si="6">+G23</f>
        <v>568</v>
      </c>
      <c r="H38" s="155">
        <f t="shared" si="6"/>
        <v>792</v>
      </c>
      <c r="I38" s="155">
        <f t="shared" si="6"/>
        <v>1011</v>
      </c>
      <c r="J38" s="155">
        <f t="shared" si="6"/>
        <v>1523</v>
      </c>
      <c r="K38" s="155">
        <f t="shared" si="6"/>
        <v>2024</v>
      </c>
      <c r="L38" s="155">
        <f t="shared" si="6"/>
        <v>2225.7583560000003</v>
      </c>
      <c r="M38" s="155">
        <f t="shared" si="6"/>
        <v>2641.6916170999998</v>
      </c>
      <c r="N38" s="155">
        <f t="shared" si="6"/>
        <v>4718.8342374389995</v>
      </c>
      <c r="O38" s="155">
        <f t="shared" si="6"/>
        <v>7286.4220774665619</v>
      </c>
      <c r="P38" s="155">
        <f t="shared" si="6"/>
        <v>8405.0957558871269</v>
      </c>
    </row>
    <row r="39" spans="2:16" s="92" customFormat="1" ht="16" outlineLevel="1" x14ac:dyDescent="0.2">
      <c r="C39" s="95" t="s">
        <v>101</v>
      </c>
      <c r="F39" s="115" t="s">
        <v>56</v>
      </c>
      <c r="G39" s="147">
        <f>SUM(G37:G38)</f>
        <v>68528.706999999995</v>
      </c>
      <c r="H39" s="147">
        <f t="shared" ref="H39:P39" si="7">SUM(H37:H38)</f>
        <v>137790.45699999997</v>
      </c>
      <c r="I39" s="147">
        <f t="shared" si="7"/>
        <v>138635.96200000012</v>
      </c>
      <c r="J39" s="147">
        <f t="shared" si="7"/>
        <v>201275.69799999997</v>
      </c>
      <c r="K39" s="147">
        <f t="shared" si="7"/>
        <v>226259.19699999993</v>
      </c>
      <c r="L39" s="147">
        <f t="shared" si="7"/>
        <v>272480.01796600019</v>
      </c>
      <c r="M39" s="147">
        <f t="shared" si="7"/>
        <v>306058.51952139992</v>
      </c>
      <c r="N39" s="147">
        <f t="shared" si="7"/>
        <v>292962.97258976672</v>
      </c>
      <c r="O39" s="147">
        <f t="shared" si="7"/>
        <v>323683.30859786255</v>
      </c>
      <c r="P39" s="147">
        <f t="shared" si="7"/>
        <v>400511.7411385224</v>
      </c>
    </row>
    <row r="40" spans="2:16" s="92" customFormat="1" ht="16" outlineLevel="1" x14ac:dyDescent="0.2"/>
    <row r="41" spans="2:16" s="92" customFormat="1" ht="16" outlineLevel="1" x14ac:dyDescent="0.2">
      <c r="C41" s="156" t="s">
        <v>102</v>
      </c>
      <c r="F41" s="115" t="s">
        <v>21</v>
      </c>
      <c r="G41" s="116" t="str">
        <f t="shared" ref="G41:P41" si="8">IFERROR(+G17/F17-1,"N/A")</f>
        <v>N/A</v>
      </c>
      <c r="H41" s="116">
        <f t="shared" si="8"/>
        <v>0.90246638623003506</v>
      </c>
      <c r="I41" s="116">
        <f t="shared" si="8"/>
        <v>0.50262770480748187</v>
      </c>
      <c r="J41" s="116">
        <f t="shared" si="8"/>
        <v>0.23308976396337755</v>
      </c>
      <c r="K41" s="116">
        <f t="shared" si="8"/>
        <v>0.25878470681421373</v>
      </c>
      <c r="L41" s="116">
        <f t="shared" si="8"/>
        <v>0.16152461075094582</v>
      </c>
      <c r="M41" s="116">
        <f t="shared" si="8"/>
        <v>0.18687260455689803</v>
      </c>
      <c r="N41" s="116">
        <f t="shared" si="8"/>
        <v>0.18462686778361004</v>
      </c>
      <c r="O41" s="116">
        <f t="shared" si="8"/>
        <v>0.15808614651948028</v>
      </c>
      <c r="P41" s="116">
        <f t="shared" si="8"/>
        <v>0.14138612549487739</v>
      </c>
    </row>
    <row r="42" spans="2:16" s="92" customFormat="1" ht="16" outlineLevel="1" x14ac:dyDescent="0.2">
      <c r="C42" s="156" t="s">
        <v>103</v>
      </c>
      <c r="F42" s="115" t="s">
        <v>21</v>
      </c>
      <c r="G42" s="116">
        <f t="shared" ref="G42:P42" si="9">IFERROR(+G37/G17,"N/A")</f>
        <v>0.32957134978188912</v>
      </c>
      <c r="H42" s="116">
        <f t="shared" si="9"/>
        <v>0.34921287411058072</v>
      </c>
      <c r="I42" s="116">
        <f t="shared" si="9"/>
        <v>0.23346425175305846</v>
      </c>
      <c r="J42" s="116">
        <f t="shared" si="9"/>
        <v>0.27480279124877943</v>
      </c>
      <c r="K42" s="116">
        <f t="shared" si="9"/>
        <v>0.24506472926652048</v>
      </c>
      <c r="L42" s="116">
        <f t="shared" si="9"/>
        <v>0.25428524417798459</v>
      </c>
      <c r="M42" s="116">
        <f t="shared" si="9"/>
        <v>0.24053826257700242</v>
      </c>
      <c r="N42" s="116">
        <f t="shared" si="9"/>
        <v>0.19289608441986941</v>
      </c>
      <c r="O42" s="116">
        <f t="shared" si="9"/>
        <v>0.18283286402634241</v>
      </c>
      <c r="P42" s="116">
        <f t="shared" si="9"/>
        <v>0.19851515853976659</v>
      </c>
    </row>
    <row r="43" spans="2:16" s="92" customFormat="1" ht="16" outlineLevel="1" x14ac:dyDescent="0.2">
      <c r="C43" s="156" t="s">
        <v>104</v>
      </c>
      <c r="F43" s="115" t="s">
        <v>21</v>
      </c>
      <c r="G43" s="116">
        <f t="shared" ref="G43:P43" si="10">IFERROR(+G39/G17,"N/A")</f>
        <v>0.33232583152493683</v>
      </c>
      <c r="H43" s="116">
        <f t="shared" si="10"/>
        <v>0.35123170412043686</v>
      </c>
      <c r="I43" s="116">
        <f t="shared" si="10"/>
        <v>0.23517929207054347</v>
      </c>
      <c r="J43" s="116">
        <f t="shared" si="10"/>
        <v>0.27689800525721248</v>
      </c>
      <c r="K43" s="116">
        <f t="shared" si="10"/>
        <v>0.24727674155839738</v>
      </c>
      <c r="L43" s="116">
        <f t="shared" si="10"/>
        <v>0.25637948501568092</v>
      </c>
      <c r="M43" s="116">
        <f t="shared" si="10"/>
        <v>0.24263250341469872</v>
      </c>
      <c r="N43" s="116">
        <f t="shared" si="10"/>
        <v>0.19605397915671152</v>
      </c>
      <c r="O43" s="116">
        <f t="shared" si="10"/>
        <v>0.18704339034213188</v>
      </c>
      <c r="P43" s="116">
        <f t="shared" si="10"/>
        <v>0.20277047768870277</v>
      </c>
    </row>
    <row r="44" spans="2:16" s="92" customFormat="1" ht="16" outlineLevel="1" x14ac:dyDescent="0.2">
      <c r="C44" s="156" t="s">
        <v>105</v>
      </c>
      <c r="F44" s="115" t="s">
        <v>21</v>
      </c>
      <c r="G44" s="116">
        <f t="shared" ref="G44:P44" si="11">IFERROR(+G32/G17,"N/A")</f>
        <v>0.15718261059789757</v>
      </c>
      <c r="H44" s="116">
        <f t="shared" si="11"/>
        <v>0.19215676131928222</v>
      </c>
      <c r="I44" s="116">
        <f t="shared" si="11"/>
        <v>0.11395150715868614</v>
      </c>
      <c r="J44" s="116">
        <f t="shared" si="11"/>
        <v>0.13731023604078454</v>
      </c>
      <c r="K44" s="116">
        <f t="shared" si="11"/>
        <v>0.1081891910331924</v>
      </c>
      <c r="L44" s="116">
        <f t="shared" si="11"/>
        <v>0.16528540871569</v>
      </c>
      <c r="M44" s="116">
        <f t="shared" si="11"/>
        <v>0.15634987067505157</v>
      </c>
      <c r="N44" s="116">
        <f t="shared" si="11"/>
        <v>0.12538245487291511</v>
      </c>
      <c r="O44" s="116">
        <f t="shared" si="11"/>
        <v>0.11884136161712257</v>
      </c>
      <c r="P44" s="116">
        <f t="shared" si="11"/>
        <v>0.1290348530508483</v>
      </c>
    </row>
    <row r="45" spans="2:16" s="92" customFormat="1" ht="16" outlineLevel="1" x14ac:dyDescent="0.2"/>
    <row r="46" spans="2:16" s="92" customFormat="1" ht="16" outlineLevel="1" x14ac:dyDescent="0.2">
      <c r="C46" s="156" t="s">
        <v>36</v>
      </c>
      <c r="F46" s="115" t="s">
        <v>21</v>
      </c>
      <c r="G46" s="116">
        <f t="shared" ref="G46:P46" si="12">IFERROR(+G30/G28,"N/A")</f>
        <v>0.52306955473550332</v>
      </c>
      <c r="H46" s="116">
        <f t="shared" si="12"/>
        <v>0.44974319229011461</v>
      </c>
      <c r="I46" s="116">
        <f t="shared" si="12"/>
        <v>0.51191025476904373</v>
      </c>
      <c r="J46" s="116">
        <f t="shared" si="12"/>
        <v>0.50033172728410413</v>
      </c>
      <c r="K46" s="116">
        <f t="shared" si="12"/>
        <v>0.5585281025262061</v>
      </c>
      <c r="L46" s="116">
        <f t="shared" si="12"/>
        <v>0.35</v>
      </c>
      <c r="M46" s="116">
        <f t="shared" si="12"/>
        <v>0.35</v>
      </c>
      <c r="N46" s="116">
        <f t="shared" si="12"/>
        <v>0.35</v>
      </c>
      <c r="O46" s="116">
        <f t="shared" si="12"/>
        <v>0.35</v>
      </c>
      <c r="P46" s="116">
        <f t="shared" si="12"/>
        <v>0.35</v>
      </c>
    </row>
    <row r="47" spans="2:16" s="92" customFormat="1" ht="16" x14ac:dyDescent="0.2"/>
    <row r="48" spans="2:16" s="92" customFormat="1" ht="16" x14ac:dyDescent="0.2">
      <c r="B48" s="96"/>
      <c r="C48" s="96"/>
      <c r="D48" s="96"/>
      <c r="E48" s="96"/>
      <c r="F48" s="96"/>
      <c r="G48" s="97" t="str">
        <f>+$G$12</f>
        <v>Historical</v>
      </c>
      <c r="H48" s="98"/>
      <c r="I48" s="98"/>
      <c r="J48" s="98"/>
      <c r="K48" s="99"/>
      <c r="L48" s="97" t="str">
        <f>+$L$12</f>
        <v>Projected</v>
      </c>
      <c r="M48" s="97"/>
      <c r="N48" s="97"/>
      <c r="O48" s="97"/>
      <c r="P48" s="97"/>
    </row>
    <row r="49" spans="2:16" s="92" customFormat="1" ht="16" x14ac:dyDescent="0.2">
      <c r="B49" s="138" t="s">
        <v>106</v>
      </c>
      <c r="C49" s="101"/>
      <c r="D49" s="101"/>
      <c r="E49" s="101"/>
      <c r="F49" s="102" t="str">
        <f>+$F$13</f>
        <v>Units:</v>
      </c>
      <c r="G49" s="103" t="str">
        <f>+$G$13</f>
        <v>Year 1</v>
      </c>
      <c r="H49" s="103" t="str">
        <f>+$H$13</f>
        <v>Year 2</v>
      </c>
      <c r="I49" s="103" t="str">
        <f>+$I$13</f>
        <v>Year 3</v>
      </c>
      <c r="J49" s="103" t="str">
        <f>+$J$13</f>
        <v>Year 4</v>
      </c>
      <c r="K49" s="104" t="str">
        <f>+$K$13</f>
        <v>Year 5</v>
      </c>
      <c r="L49" s="103" t="str">
        <f>+$L$13</f>
        <v>Year 6</v>
      </c>
      <c r="M49" s="103" t="str">
        <f>+$M$13</f>
        <v>Year 7</v>
      </c>
      <c r="N49" s="103" t="str">
        <f>+$N$13</f>
        <v>Year 8</v>
      </c>
      <c r="O49" s="103" t="str">
        <f>+$O$13</f>
        <v>Year 9</v>
      </c>
      <c r="P49" s="103" t="str">
        <f>+$P$13</f>
        <v>Year 10</v>
      </c>
    </row>
    <row r="50" spans="2:16" s="92" customFormat="1" ht="16" outlineLevel="1" x14ac:dyDescent="0.2">
      <c r="B50" s="157" t="s">
        <v>107</v>
      </c>
      <c r="C50" s="158"/>
      <c r="D50" s="159"/>
      <c r="E50" s="159"/>
      <c r="F50" s="159"/>
      <c r="G50" s="160"/>
      <c r="H50" s="160"/>
      <c r="I50" s="160"/>
      <c r="J50" s="160"/>
      <c r="K50" s="160"/>
      <c r="L50" s="160"/>
      <c r="M50" s="160"/>
      <c r="N50" s="160"/>
      <c r="O50" s="160"/>
      <c r="P50" s="160"/>
    </row>
    <row r="51" spans="2:16" s="92" customFormat="1" ht="16" outlineLevel="1" x14ac:dyDescent="0.2">
      <c r="C51" s="95" t="s">
        <v>108</v>
      </c>
    </row>
    <row r="52" spans="2:16" s="92" customFormat="1" ht="16" outlineLevel="1" x14ac:dyDescent="0.2">
      <c r="C52" s="114" t="s">
        <v>109</v>
      </c>
      <c r="F52" s="115" t="s">
        <v>56</v>
      </c>
      <c r="G52" s="171">
        <f>+G104</f>
        <v>58116</v>
      </c>
      <c r="H52" s="171">
        <f t="shared" ref="H52:P52" si="13">+H104</f>
        <v>132433.39760999996</v>
      </c>
      <c r="I52" s="171">
        <f t="shared" si="13"/>
        <v>201802.52525000006</v>
      </c>
      <c r="J52" s="171">
        <f t="shared" si="13"/>
        <v>304974.77483000001</v>
      </c>
      <c r="K52" s="171">
        <f t="shared" si="13"/>
        <v>407072.29772999999</v>
      </c>
      <c r="L52" s="171">
        <f t="shared" si="13"/>
        <v>586459.83019278815</v>
      </c>
      <c r="M52" s="171">
        <f t="shared" si="13"/>
        <v>786308.23250418203</v>
      </c>
      <c r="N52" s="171">
        <f t="shared" si="13"/>
        <v>979049.68212401634</v>
      </c>
      <c r="O52" s="171">
        <f t="shared" si="13"/>
        <v>1189799.2338443783</v>
      </c>
      <c r="P52" s="171">
        <f t="shared" si="13"/>
        <v>1446834.4042543797</v>
      </c>
    </row>
    <row r="53" spans="2:16" s="92" customFormat="1" ht="16" outlineLevel="1" x14ac:dyDescent="0.2">
      <c r="C53" s="114" t="s">
        <v>110</v>
      </c>
      <c r="D53" s="154"/>
      <c r="E53" s="154"/>
      <c r="F53" s="143" t="s">
        <v>56</v>
      </c>
      <c r="G53" s="170">
        <f>+'Company0462-Internal'!G140</f>
        <v>0</v>
      </c>
      <c r="H53" s="170">
        <f>+'Company0462-Internal'!H140</f>
        <v>2024.2849999999999</v>
      </c>
      <c r="I53" s="170">
        <f>+'Company0462-Internal'!I140</f>
        <v>6108.7100000000009</v>
      </c>
      <c r="J53" s="170">
        <f>+'Company0462-Internal'!J140</f>
        <v>7571.82</v>
      </c>
      <c r="K53" s="170">
        <f>+'Company0462-Internal'!K140</f>
        <v>11449.475999999999</v>
      </c>
      <c r="L53" s="170">
        <f>+'Company0462-Internal'!L140</f>
        <v>13354.550136000002</v>
      </c>
      <c r="M53" s="170">
        <f>+'Company0462-Internal'!M140</f>
        <v>17170.995511149998</v>
      </c>
      <c r="N53" s="170">
        <f>+'Company0462-Internal'!N140</f>
        <v>22021.226441381998</v>
      </c>
      <c r="O53" s="170">
        <f>+'Company0462-Internal'!O140</f>
        <v>27324.082790499604</v>
      </c>
      <c r="P53" s="170">
        <f>+'Company0462-Internal'!P140</f>
        <v>33620.383023548507</v>
      </c>
    </row>
    <row r="54" spans="2:16" s="92" customFormat="1" ht="16" outlineLevel="1" x14ac:dyDescent="0.2">
      <c r="C54" s="124" t="s">
        <v>111</v>
      </c>
      <c r="F54" s="115" t="s">
        <v>56</v>
      </c>
      <c r="G54" s="147">
        <f>SUM(G52:G53)</f>
        <v>58116</v>
      </c>
      <c r="H54" s="147">
        <f t="shared" ref="H54:P54" si="14">SUM(H52:H53)</f>
        <v>134457.68260999996</v>
      </c>
      <c r="I54" s="147">
        <f t="shared" si="14"/>
        <v>207911.23525000006</v>
      </c>
      <c r="J54" s="147">
        <f t="shared" si="14"/>
        <v>312546.59483000002</v>
      </c>
      <c r="K54" s="147">
        <f t="shared" si="14"/>
        <v>418521.77373000002</v>
      </c>
      <c r="L54" s="147">
        <f t="shared" si="14"/>
        <v>599814.38032878819</v>
      </c>
      <c r="M54" s="147">
        <f t="shared" si="14"/>
        <v>803479.22801533202</v>
      </c>
      <c r="N54" s="147">
        <f t="shared" si="14"/>
        <v>1001070.9085653983</v>
      </c>
      <c r="O54" s="147">
        <f t="shared" si="14"/>
        <v>1217123.3166348778</v>
      </c>
      <c r="P54" s="147">
        <f t="shared" si="14"/>
        <v>1480454.7872779281</v>
      </c>
    </row>
    <row r="55" spans="2:16" s="92" customFormat="1" ht="16" outlineLevel="1" x14ac:dyDescent="0.2"/>
    <row r="56" spans="2:16" s="92" customFormat="1" ht="16" outlineLevel="1" x14ac:dyDescent="0.2">
      <c r="C56" s="95" t="s">
        <v>112</v>
      </c>
    </row>
    <row r="57" spans="2:16" s="92" customFormat="1" ht="16" outlineLevel="1" x14ac:dyDescent="0.2">
      <c r="C57" s="114" t="s">
        <v>113</v>
      </c>
      <c r="F57" s="115" t="s">
        <v>56</v>
      </c>
      <c r="G57" s="172">
        <f>+'Company0462-Internal'!G144</f>
        <v>10038</v>
      </c>
      <c r="H57" s="172">
        <f>+'Company0462-Internal'!H144</f>
        <v>11270.285</v>
      </c>
      <c r="I57" s="172">
        <f>+'Company0462-Internal'!I144</f>
        <v>13313.64</v>
      </c>
      <c r="J57" s="172">
        <f>+'Company0462-Internal'!J144</f>
        <v>15576.55</v>
      </c>
      <c r="K57" s="172">
        <f>+'Company0462-Internal'!K144</f>
        <v>19277.288</v>
      </c>
      <c r="L57" s="130">
        <f>+K57-L86-L94</f>
        <v>23728.804712000005</v>
      </c>
      <c r="M57" s="130">
        <f>+L57-M86-M94</f>
        <v>30333.033754750002</v>
      </c>
      <c r="N57" s="130">
        <f>+M57-N86-N94</f>
        <v>36624.812738002001</v>
      </c>
      <c r="O57" s="130">
        <f>+N57-O86-O94</f>
        <v>43911.234815468561</v>
      </c>
      <c r="P57" s="130">
        <f>+O57-P86-P94</f>
        <v>52316.330571355684</v>
      </c>
    </row>
    <row r="58" spans="2:16" s="92" customFormat="1" ht="16" outlineLevel="1" x14ac:dyDescent="0.2">
      <c r="C58" s="161" t="s">
        <v>114</v>
      </c>
      <c r="D58" s="154"/>
      <c r="E58" s="154"/>
      <c r="F58" s="143" t="s">
        <v>56</v>
      </c>
      <c r="G58" s="170">
        <f>+'Company0462-Internal'!G145</f>
        <v>127</v>
      </c>
      <c r="H58" s="170">
        <f>+'Company0462-Internal'!H145</f>
        <v>381</v>
      </c>
      <c r="I58" s="170">
        <f>+'Company0462-Internal'!I145</f>
        <v>702</v>
      </c>
      <c r="J58" s="170">
        <f>+'Company0462-Internal'!J145</f>
        <v>1125</v>
      </c>
      <c r="K58" s="170">
        <f>+'Company0462-Internal'!K145</f>
        <v>1626</v>
      </c>
      <c r="L58" s="155">
        <f>+K58-L95</f>
        <v>2126</v>
      </c>
      <c r="M58" s="155">
        <f>+L58-M95</f>
        <v>2726</v>
      </c>
      <c r="N58" s="155">
        <f>+M58-N95</f>
        <v>3476</v>
      </c>
      <c r="O58" s="155">
        <f>+N58-O95</f>
        <v>4376</v>
      </c>
      <c r="P58" s="155">
        <f>+O58-P95</f>
        <v>5476</v>
      </c>
    </row>
    <row r="59" spans="2:16" s="92" customFormat="1" ht="16" outlineLevel="1" x14ac:dyDescent="0.2">
      <c r="C59" s="95" t="s">
        <v>115</v>
      </c>
      <c r="F59" s="115" t="s">
        <v>56</v>
      </c>
      <c r="G59" s="147">
        <f>SUM(G57:G58)</f>
        <v>10165</v>
      </c>
      <c r="H59" s="147">
        <f t="shared" ref="H59:P59" si="15">SUM(H57:H58)</f>
        <v>11651.285</v>
      </c>
      <c r="I59" s="147">
        <f t="shared" si="15"/>
        <v>14015.64</v>
      </c>
      <c r="J59" s="147">
        <f t="shared" si="15"/>
        <v>16701.55</v>
      </c>
      <c r="K59" s="147">
        <f t="shared" si="15"/>
        <v>20903.288</v>
      </c>
      <c r="L59" s="147">
        <f t="shared" si="15"/>
        <v>25854.804712000005</v>
      </c>
      <c r="M59" s="147">
        <f t="shared" si="15"/>
        <v>33059.033754750002</v>
      </c>
      <c r="N59" s="147">
        <f t="shared" si="15"/>
        <v>40100.812738002001</v>
      </c>
      <c r="O59" s="147">
        <f t="shared" si="15"/>
        <v>48287.234815468561</v>
      </c>
      <c r="P59" s="147">
        <f t="shared" si="15"/>
        <v>57792.330571355684</v>
      </c>
    </row>
    <row r="60" spans="2:16" s="92" customFormat="1" ht="16" outlineLevel="1" x14ac:dyDescent="0.2"/>
    <row r="61" spans="2:16" s="92" customFormat="1" ht="16" outlineLevel="1" x14ac:dyDescent="0.2">
      <c r="C61" s="162" t="s">
        <v>116</v>
      </c>
      <c r="F61" s="115" t="s">
        <v>56</v>
      </c>
      <c r="G61" s="148">
        <f>+G54+G59</f>
        <v>68281</v>
      </c>
      <c r="H61" s="148">
        <f t="shared" ref="H61:P61" si="16">+H54+H59</f>
        <v>146108.96760999996</v>
      </c>
      <c r="I61" s="148">
        <f t="shared" si="16"/>
        <v>221926.87525000004</v>
      </c>
      <c r="J61" s="148">
        <f t="shared" si="16"/>
        <v>329248.14483</v>
      </c>
      <c r="K61" s="148">
        <f t="shared" si="16"/>
        <v>439425.06173000002</v>
      </c>
      <c r="L61" s="148">
        <f t="shared" si="16"/>
        <v>625669.18504078814</v>
      </c>
      <c r="M61" s="148">
        <f t="shared" si="16"/>
        <v>836538.26177008206</v>
      </c>
      <c r="N61" s="148">
        <f t="shared" si="16"/>
        <v>1041171.7213034004</v>
      </c>
      <c r="O61" s="148">
        <f t="shared" si="16"/>
        <v>1265410.5514503464</v>
      </c>
      <c r="P61" s="148">
        <f t="shared" si="16"/>
        <v>1538247.1178492839</v>
      </c>
    </row>
    <row r="62" spans="2:16" s="92" customFormat="1" ht="16" outlineLevel="1" x14ac:dyDescent="0.2">
      <c r="C62" s="163"/>
    </row>
    <row r="63" spans="2:16" s="92" customFormat="1" ht="16" outlineLevel="1" x14ac:dyDescent="0.2">
      <c r="B63" s="157" t="s">
        <v>117</v>
      </c>
      <c r="C63" s="158"/>
      <c r="D63" s="159"/>
      <c r="E63" s="159"/>
      <c r="F63" s="159"/>
      <c r="G63" s="160"/>
      <c r="H63" s="160"/>
      <c r="I63" s="160"/>
      <c r="J63" s="160"/>
      <c r="K63" s="160"/>
      <c r="L63" s="160"/>
      <c r="M63" s="160"/>
      <c r="N63" s="160"/>
      <c r="O63" s="160"/>
      <c r="P63" s="160"/>
    </row>
    <row r="64" spans="2:16" s="92" customFormat="1" ht="16" outlineLevel="1" x14ac:dyDescent="0.2">
      <c r="C64" s="95" t="s">
        <v>118</v>
      </c>
    </row>
    <row r="65" spans="3:16" s="92" customFormat="1" ht="16" outlineLevel="1" x14ac:dyDescent="0.2">
      <c r="C65" s="114" t="s">
        <v>119</v>
      </c>
      <c r="F65" s="115" t="s">
        <v>56</v>
      </c>
      <c r="G65" s="172">
        <f>+'Company0462-Internal'!G152</f>
        <v>97.93</v>
      </c>
      <c r="H65" s="172">
        <f>+'Company0462-Internal'!H152</f>
        <v>864.81000000000006</v>
      </c>
      <c r="I65" s="172">
        <f>+'Company0462-Internal'!I152</f>
        <v>3256.7990000000004</v>
      </c>
      <c r="J65" s="172">
        <f>+'Company0462-Internal'!J152</f>
        <v>5231.6280000000006</v>
      </c>
      <c r="K65" s="172">
        <f>+'Company0462-Internal'!K152</f>
        <v>8043.777000000001</v>
      </c>
      <c r="L65" s="172">
        <f>+'Company0462-Internal'!L152</f>
        <v>9620.6938826240003</v>
      </c>
      <c r="M65" s="172">
        <f>+'Company0462-Internal'!M152</f>
        <v>12740.905660148401</v>
      </c>
      <c r="N65" s="172">
        <f>+'Company0462-Internal'!N152</f>
        <v>16653.853156965837</v>
      </c>
      <c r="O65" s="172">
        <f>+'Company0462-Internal'!O152</f>
        <v>21173.177907294354</v>
      </c>
      <c r="P65" s="172">
        <f>+'Company0462-Internal'!P152</f>
        <v>23149.168237871312</v>
      </c>
    </row>
    <row r="66" spans="3:16" s="92" customFormat="1" ht="16" outlineLevel="1" x14ac:dyDescent="0.2">
      <c r="C66" s="153" t="s">
        <v>120</v>
      </c>
      <c r="D66" s="154"/>
      <c r="E66" s="154"/>
      <c r="F66" s="143" t="s">
        <v>56</v>
      </c>
      <c r="G66" s="170">
        <f>+'Company0462-Internal'!G153</f>
        <v>195.86</v>
      </c>
      <c r="H66" s="170">
        <f>+'Company0462-Internal'!H153</f>
        <v>960.9</v>
      </c>
      <c r="I66" s="170">
        <f>+'Company0462-Internal'!I153</f>
        <v>3757.8449999999998</v>
      </c>
      <c r="J66" s="170">
        <f>+'Company0462-Internal'!J153</f>
        <v>4359.6899999999996</v>
      </c>
      <c r="K66" s="170">
        <f>+'Company0462-Internal'!K153</f>
        <v>5745.5549999999994</v>
      </c>
      <c r="L66" s="170">
        <f>+'Company0462-Internal'!L153</f>
        <v>7434.1725456640006</v>
      </c>
      <c r="M66" s="170">
        <f>+'Company0462-Internal'!M153</f>
        <v>9024.8081759384513</v>
      </c>
      <c r="N66" s="170">
        <f>+'Company0462-Internal'!N153</f>
        <v>13184.300415931288</v>
      </c>
      <c r="O66" s="170">
        <f>+'Company0462-Internal'!O153</f>
        <v>15472.706932253566</v>
      </c>
      <c r="P66" s="170">
        <f>+'Company0462-Internal'!P153</f>
        <v>17807.052490670241</v>
      </c>
    </row>
    <row r="67" spans="3:16" s="92" customFormat="1" ht="16" outlineLevel="1" x14ac:dyDescent="0.2">
      <c r="C67" s="95" t="s">
        <v>121</v>
      </c>
      <c r="F67" s="115" t="s">
        <v>56</v>
      </c>
      <c r="G67" s="147">
        <f>SUM(G65:G66)</f>
        <v>293.79000000000002</v>
      </c>
      <c r="H67" s="147">
        <f t="shared" ref="H67:P67" si="17">SUM(H65:H66)</f>
        <v>1825.71</v>
      </c>
      <c r="I67" s="147">
        <f t="shared" si="17"/>
        <v>7014.6440000000002</v>
      </c>
      <c r="J67" s="147">
        <f t="shared" si="17"/>
        <v>9591.3179999999993</v>
      </c>
      <c r="K67" s="147">
        <f t="shared" si="17"/>
        <v>13789.332</v>
      </c>
      <c r="L67" s="147">
        <f t="shared" si="17"/>
        <v>17054.866428288002</v>
      </c>
      <c r="M67" s="147">
        <f t="shared" si="17"/>
        <v>21765.713836086852</v>
      </c>
      <c r="N67" s="147">
        <f t="shared" si="17"/>
        <v>29838.153572897125</v>
      </c>
      <c r="O67" s="147">
        <f t="shared" si="17"/>
        <v>36645.884839547922</v>
      </c>
      <c r="P67" s="147">
        <f t="shared" si="17"/>
        <v>40956.22072854155</v>
      </c>
    </row>
    <row r="68" spans="3:16" s="92" customFormat="1" ht="16" outlineLevel="1" x14ac:dyDescent="0.2"/>
    <row r="69" spans="3:16" s="92" customFormat="1" ht="16" outlineLevel="1" x14ac:dyDescent="0.2">
      <c r="C69" s="95" t="s">
        <v>122</v>
      </c>
    </row>
    <row r="70" spans="3:16" s="92" customFormat="1" ht="16" outlineLevel="1" x14ac:dyDescent="0.2">
      <c r="C70" s="114" t="s">
        <v>123</v>
      </c>
      <c r="F70" s="115" t="s">
        <v>56</v>
      </c>
      <c r="G70" s="172">
        <f>+'Company0462-Internal'!G157</f>
        <v>0</v>
      </c>
      <c r="H70" s="172">
        <f>+'Company0462-Internal'!H157</f>
        <v>809.71399999999994</v>
      </c>
      <c r="I70" s="172">
        <f>+'Company0462-Internal'!I157</f>
        <v>3054.3550000000005</v>
      </c>
      <c r="J70" s="172">
        <f>+'Company0462-Internal'!J157</f>
        <v>5678.8649999999998</v>
      </c>
      <c r="K70" s="172">
        <f>+'Company0462-Internal'!K157</f>
        <v>9541.23</v>
      </c>
      <c r="L70" s="172">
        <f>+'Company0462-Internal'!L157</f>
        <v>13354.550136000002</v>
      </c>
      <c r="M70" s="172">
        <f>+'Company0462-Internal'!M157</f>
        <v>18491.841319700001</v>
      </c>
      <c r="N70" s="172">
        <f>+'Company0462-Internal'!N157</f>
        <v>23594.171187194996</v>
      </c>
      <c r="O70" s="172">
        <f>+'Company0462-Internal'!O157</f>
        <v>30967.293829232887</v>
      </c>
      <c r="P70" s="172">
        <f>+'Company0462-Internal'!P157</f>
        <v>39924.204840463848</v>
      </c>
    </row>
    <row r="71" spans="3:16" s="92" customFormat="1" ht="16" outlineLevel="1" x14ac:dyDescent="0.2">
      <c r="C71" s="153" t="s">
        <v>124</v>
      </c>
      <c r="D71" s="154"/>
      <c r="E71" s="154"/>
      <c r="F71" s="143" t="s">
        <v>56</v>
      </c>
      <c r="G71" s="170">
        <f>+'Company0462-Internal'!G158</f>
        <v>53</v>
      </c>
      <c r="H71" s="170">
        <f>+'Company0462-Internal'!H158</f>
        <v>155</v>
      </c>
      <c r="I71" s="170">
        <f>+'Company0462-Internal'!I158</f>
        <v>1366</v>
      </c>
      <c r="J71" s="170">
        <f>+'Company0462-Internal'!J158</f>
        <v>3676</v>
      </c>
      <c r="K71" s="170">
        <f>+'Company0462-Internal'!K158</f>
        <v>6799</v>
      </c>
      <c r="L71" s="155">
        <f>+K71+L99</f>
        <v>10299</v>
      </c>
      <c r="M71" s="155">
        <f>+L71+M99</f>
        <v>14099</v>
      </c>
      <c r="N71" s="155">
        <f>+M71+N99</f>
        <v>18199</v>
      </c>
      <c r="O71" s="155">
        <f>+N71+O99</f>
        <v>22599</v>
      </c>
      <c r="P71" s="155">
        <f>+O71+P99</f>
        <v>27299</v>
      </c>
    </row>
    <row r="72" spans="3:16" s="92" customFormat="1" ht="16" outlineLevel="1" x14ac:dyDescent="0.2">
      <c r="C72" s="95" t="s">
        <v>125</v>
      </c>
      <c r="F72" s="115" t="s">
        <v>56</v>
      </c>
      <c r="G72" s="147">
        <f>SUM(G70:G71)</f>
        <v>53</v>
      </c>
      <c r="H72" s="147">
        <f t="shared" ref="H72:P72" si="18">SUM(H70:H71)</f>
        <v>964.71399999999994</v>
      </c>
      <c r="I72" s="147">
        <f t="shared" si="18"/>
        <v>4420.3550000000005</v>
      </c>
      <c r="J72" s="147">
        <f t="shared" si="18"/>
        <v>9354.8649999999998</v>
      </c>
      <c r="K72" s="147">
        <f t="shared" si="18"/>
        <v>16340.23</v>
      </c>
      <c r="L72" s="147">
        <f t="shared" si="18"/>
        <v>23653.550136000002</v>
      </c>
      <c r="M72" s="147">
        <f t="shared" si="18"/>
        <v>32590.841319700001</v>
      </c>
      <c r="N72" s="147">
        <f t="shared" si="18"/>
        <v>41793.171187194996</v>
      </c>
      <c r="O72" s="147">
        <f t="shared" si="18"/>
        <v>53566.293829232891</v>
      </c>
      <c r="P72" s="147">
        <f t="shared" si="18"/>
        <v>67223.204840463848</v>
      </c>
    </row>
    <row r="73" spans="3:16" s="92" customFormat="1" ht="16" outlineLevel="1" x14ac:dyDescent="0.2"/>
    <row r="74" spans="3:16" s="92" customFormat="1" ht="16" outlineLevel="1" x14ac:dyDescent="0.2">
      <c r="C74" s="95" t="s">
        <v>126</v>
      </c>
      <c r="F74" s="115" t="s">
        <v>56</v>
      </c>
      <c r="G74" s="148">
        <f>+G67+G72</f>
        <v>346.79</v>
      </c>
      <c r="H74" s="148">
        <f t="shared" ref="H74:P74" si="19">+H67+H72</f>
        <v>2790.424</v>
      </c>
      <c r="I74" s="148">
        <f t="shared" si="19"/>
        <v>11434.999</v>
      </c>
      <c r="J74" s="148">
        <f t="shared" si="19"/>
        <v>18946.182999999997</v>
      </c>
      <c r="K74" s="148">
        <f t="shared" si="19"/>
        <v>30129.561999999998</v>
      </c>
      <c r="L74" s="148">
        <f t="shared" si="19"/>
        <v>40708.416564288003</v>
      </c>
      <c r="M74" s="148">
        <f t="shared" si="19"/>
        <v>54356.555155786853</v>
      </c>
      <c r="N74" s="148">
        <f t="shared" si="19"/>
        <v>71631.324760092117</v>
      </c>
      <c r="O74" s="148">
        <f t="shared" si="19"/>
        <v>90212.178668780805</v>
      </c>
      <c r="P74" s="148">
        <f t="shared" si="19"/>
        <v>108179.4255690054</v>
      </c>
    </row>
    <row r="75" spans="3:16" s="92" customFormat="1" ht="16" outlineLevel="1" x14ac:dyDescent="0.2">
      <c r="H75" s="128"/>
      <c r="I75" s="128"/>
      <c r="J75" s="128"/>
      <c r="K75" s="128"/>
    </row>
    <row r="76" spans="3:16" s="92" customFormat="1" ht="16" outlineLevel="1" x14ac:dyDescent="0.2">
      <c r="C76" s="95" t="s">
        <v>127</v>
      </c>
      <c r="F76" s="115" t="s">
        <v>56</v>
      </c>
      <c r="G76" s="173">
        <f>+'Company0462-Internal'!G163-'Company0462-Internal'!G109</f>
        <v>67934.209999999992</v>
      </c>
      <c r="H76" s="173">
        <f t="shared" ref="H76:P76" si="20">+G76+H85</f>
        <v>143318.54360999996</v>
      </c>
      <c r="I76" s="173">
        <f t="shared" si="20"/>
        <v>210491.87625000006</v>
      </c>
      <c r="J76" s="173">
        <f t="shared" si="20"/>
        <v>310301.96183000004</v>
      </c>
      <c r="K76" s="173">
        <f t="shared" si="20"/>
        <v>409295.49972999998</v>
      </c>
      <c r="L76" s="173">
        <f t="shared" si="20"/>
        <v>584960.76847650018</v>
      </c>
      <c r="M76" s="173">
        <f t="shared" si="20"/>
        <v>782181.70661429514</v>
      </c>
      <c r="N76" s="173">
        <f t="shared" si="20"/>
        <v>969540.39654330816</v>
      </c>
      <c r="O76" s="173">
        <f t="shared" si="20"/>
        <v>1175198.3727815656</v>
      </c>
      <c r="P76" s="173">
        <f t="shared" si="20"/>
        <v>1430067.6922802785</v>
      </c>
    </row>
    <row r="77" spans="3:16" s="92" customFormat="1" ht="16" outlineLevel="1" x14ac:dyDescent="0.2"/>
    <row r="78" spans="3:16" s="92" customFormat="1" ht="16" outlineLevel="1" x14ac:dyDescent="0.2">
      <c r="C78" s="95" t="s">
        <v>128</v>
      </c>
      <c r="F78" s="115" t="s">
        <v>56</v>
      </c>
      <c r="G78" s="148">
        <f>+G74+G76</f>
        <v>68280.999999999985</v>
      </c>
      <c r="H78" s="148">
        <f t="shared" ref="H78:P78" si="21">+H74+H76</f>
        <v>146108.96760999996</v>
      </c>
      <c r="I78" s="148">
        <f t="shared" si="21"/>
        <v>221926.87525000007</v>
      </c>
      <c r="J78" s="148">
        <f t="shared" si="21"/>
        <v>329248.14483000006</v>
      </c>
      <c r="K78" s="148">
        <f t="shared" si="21"/>
        <v>439425.06172999996</v>
      </c>
      <c r="L78" s="148">
        <f t="shared" si="21"/>
        <v>625669.18504078814</v>
      </c>
      <c r="M78" s="148">
        <f t="shared" si="21"/>
        <v>836538.26177008194</v>
      </c>
      <c r="N78" s="148">
        <f t="shared" si="21"/>
        <v>1041171.7213034002</v>
      </c>
      <c r="O78" s="148">
        <f t="shared" si="21"/>
        <v>1265410.5514503464</v>
      </c>
      <c r="P78" s="148">
        <f t="shared" si="21"/>
        <v>1538247.1178492839</v>
      </c>
    </row>
    <row r="79" spans="3:16" s="92" customFormat="1" ht="16" outlineLevel="1" x14ac:dyDescent="0.2"/>
    <row r="80" spans="3:16" s="92" customFormat="1" ht="16" outlineLevel="1" x14ac:dyDescent="0.2">
      <c r="C80" s="156" t="s">
        <v>129</v>
      </c>
      <c r="D80" s="165"/>
      <c r="G80" s="165">
        <f>+G61-G78</f>
        <v>0</v>
      </c>
      <c r="H80" s="165">
        <f t="shared" ref="H80:P80" si="22">+H61-H78</f>
        <v>0</v>
      </c>
      <c r="I80" s="165">
        <f t="shared" si="22"/>
        <v>0</v>
      </c>
      <c r="J80" s="165">
        <f t="shared" si="22"/>
        <v>0</v>
      </c>
      <c r="K80" s="165">
        <f t="shared" si="22"/>
        <v>0</v>
      </c>
      <c r="L80" s="165">
        <f t="shared" si="22"/>
        <v>0</v>
      </c>
      <c r="M80" s="165">
        <f t="shared" si="22"/>
        <v>0</v>
      </c>
      <c r="N80" s="165">
        <f t="shared" si="22"/>
        <v>0</v>
      </c>
      <c r="O80" s="165">
        <f t="shared" si="22"/>
        <v>0</v>
      </c>
      <c r="P80" s="165">
        <f t="shared" si="22"/>
        <v>0</v>
      </c>
    </row>
    <row r="81" spans="2:16" s="92" customFormat="1" ht="16" x14ac:dyDescent="0.2"/>
    <row r="82" spans="2:16" s="92" customFormat="1" ht="16" x14ac:dyDescent="0.2">
      <c r="B82" s="96"/>
      <c r="C82" s="96"/>
      <c r="D82" s="96"/>
      <c r="E82" s="96"/>
      <c r="F82" s="96"/>
      <c r="G82" s="97" t="str">
        <f>+$G$12</f>
        <v>Historical</v>
      </c>
      <c r="H82" s="98"/>
      <c r="I82" s="98"/>
      <c r="J82" s="98"/>
      <c r="K82" s="99"/>
      <c r="L82" s="97" t="str">
        <f>+$L$12</f>
        <v>Projected</v>
      </c>
      <c r="M82" s="97"/>
      <c r="N82" s="97"/>
      <c r="O82" s="97"/>
      <c r="P82" s="97"/>
    </row>
    <row r="83" spans="2:16" s="92" customFormat="1" ht="16" x14ac:dyDescent="0.2">
      <c r="B83" s="138" t="s">
        <v>130</v>
      </c>
      <c r="C83" s="101"/>
      <c r="D83" s="101"/>
      <c r="E83" s="101"/>
      <c r="F83" s="102" t="str">
        <f>+$F$13</f>
        <v>Units:</v>
      </c>
      <c r="G83" s="103" t="str">
        <f>+$G$13</f>
        <v>Year 1</v>
      </c>
      <c r="H83" s="103" t="str">
        <f>+$H$13</f>
        <v>Year 2</v>
      </c>
      <c r="I83" s="103" t="str">
        <f>+$I$13</f>
        <v>Year 3</v>
      </c>
      <c r="J83" s="103" t="str">
        <f>+$J$13</f>
        <v>Year 4</v>
      </c>
      <c r="K83" s="104" t="str">
        <f>+$K$13</f>
        <v>Year 5</v>
      </c>
      <c r="L83" s="103" t="str">
        <f>+$L$13</f>
        <v>Year 6</v>
      </c>
      <c r="M83" s="103" t="str">
        <f>+$M$13</f>
        <v>Year 7</v>
      </c>
      <c r="N83" s="103" t="str">
        <f>+$N$13</f>
        <v>Year 8</v>
      </c>
      <c r="O83" s="103" t="str">
        <f>+$O$13</f>
        <v>Year 9</v>
      </c>
      <c r="P83" s="103" t="str">
        <f>+$P$13</f>
        <v>Year 10</v>
      </c>
    </row>
    <row r="84" spans="2:16" s="92" customFormat="1" ht="16" outlineLevel="1" x14ac:dyDescent="0.2">
      <c r="B84" s="160"/>
      <c r="C84" s="157" t="s">
        <v>131</v>
      </c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</row>
    <row r="85" spans="2:16" s="92" customFormat="1" ht="16" outlineLevel="1" x14ac:dyDescent="0.2">
      <c r="C85" s="95" t="s">
        <v>97</v>
      </c>
      <c r="F85" s="115" t="s">
        <v>56</v>
      </c>
      <c r="G85" s="148">
        <f t="shared" ref="G85:P85" si="23">+G32</f>
        <v>32412.530249999996</v>
      </c>
      <c r="H85" s="148">
        <f t="shared" si="23"/>
        <v>75384.333609999972</v>
      </c>
      <c r="I85" s="148">
        <f t="shared" si="23"/>
        <v>67173.332640000095</v>
      </c>
      <c r="J85" s="148">
        <f t="shared" si="23"/>
        <v>99810.085579999984</v>
      </c>
      <c r="K85" s="148">
        <f t="shared" si="23"/>
        <v>98993.537899999952</v>
      </c>
      <c r="L85" s="148">
        <f t="shared" si="23"/>
        <v>175665.26874650014</v>
      </c>
      <c r="M85" s="148">
        <f t="shared" si="23"/>
        <v>197220.93813779496</v>
      </c>
      <c r="N85" s="148">
        <f t="shared" si="23"/>
        <v>187358.68992901302</v>
      </c>
      <c r="O85" s="148">
        <f t="shared" si="23"/>
        <v>205657.9762382574</v>
      </c>
      <c r="P85" s="148">
        <f t="shared" si="23"/>
        <v>254869.31949871295</v>
      </c>
    </row>
    <row r="86" spans="2:16" s="92" customFormat="1" ht="16" outlineLevel="1" x14ac:dyDescent="0.2">
      <c r="C86" s="114" t="s">
        <v>100</v>
      </c>
      <c r="F86" s="115" t="s">
        <v>56</v>
      </c>
      <c r="G86" s="136">
        <f t="shared" ref="G86:P86" si="24">+G23</f>
        <v>568</v>
      </c>
      <c r="H86" s="136">
        <f t="shared" si="24"/>
        <v>792</v>
      </c>
      <c r="I86" s="136">
        <f t="shared" si="24"/>
        <v>1011</v>
      </c>
      <c r="J86" s="136">
        <f t="shared" si="24"/>
        <v>1523</v>
      </c>
      <c r="K86" s="136">
        <f t="shared" si="24"/>
        <v>2024</v>
      </c>
      <c r="L86" s="136">
        <f t="shared" si="24"/>
        <v>2225.7583560000003</v>
      </c>
      <c r="M86" s="136">
        <f t="shared" si="24"/>
        <v>2641.6916170999998</v>
      </c>
      <c r="N86" s="136">
        <f t="shared" si="24"/>
        <v>4718.8342374389995</v>
      </c>
      <c r="O86" s="136">
        <f t="shared" si="24"/>
        <v>7286.4220774665619</v>
      </c>
      <c r="P86" s="136">
        <f t="shared" si="24"/>
        <v>8405.0957558871269</v>
      </c>
    </row>
    <row r="87" spans="2:16" s="92" customFormat="1" ht="16" outlineLevel="1" x14ac:dyDescent="0.2">
      <c r="C87" s="114" t="s">
        <v>132</v>
      </c>
      <c r="F87" s="115" t="s">
        <v>56</v>
      </c>
      <c r="G87" s="172">
        <f>+'Company0462-Internal'!G174</f>
        <v>0</v>
      </c>
      <c r="H87" s="172">
        <f>+'Company0462-Internal'!H174</f>
        <v>-2024.2849999999999</v>
      </c>
      <c r="I87" s="172">
        <f>+'Company0462-Internal'!I174</f>
        <v>-4084.4250000000011</v>
      </c>
      <c r="J87" s="172">
        <f>+'Company0462-Internal'!J174</f>
        <v>-1463.1099999999988</v>
      </c>
      <c r="K87" s="172">
        <f>+'Company0462-Internal'!K174</f>
        <v>-3877.655999999999</v>
      </c>
      <c r="L87" s="130">
        <f>+K53-L53</f>
        <v>-1905.0741360000029</v>
      </c>
      <c r="M87" s="130">
        <f>+L53-M53</f>
        <v>-3816.4453751499968</v>
      </c>
      <c r="N87" s="130">
        <f>+M53-N53</f>
        <v>-4850.2309302319991</v>
      </c>
      <c r="O87" s="130">
        <f>+N53-O53</f>
        <v>-5302.8563491176064</v>
      </c>
      <c r="P87" s="130">
        <f>+O53-P53</f>
        <v>-6296.3002330489035</v>
      </c>
    </row>
    <row r="88" spans="2:16" s="92" customFormat="1" ht="16" outlineLevel="1" x14ac:dyDescent="0.2">
      <c r="C88" s="114" t="s">
        <v>133</v>
      </c>
      <c r="F88" s="115" t="s">
        <v>56</v>
      </c>
      <c r="G88" s="172">
        <f>+'Company0462-Internal'!G175</f>
        <v>97.93</v>
      </c>
      <c r="H88" s="172">
        <f>+'Company0462-Internal'!H175</f>
        <v>766.88000000000011</v>
      </c>
      <c r="I88" s="172">
        <f>+'Company0462-Internal'!I175</f>
        <v>2391.9890000000005</v>
      </c>
      <c r="J88" s="172">
        <f>+'Company0462-Internal'!J175</f>
        <v>1974.8290000000002</v>
      </c>
      <c r="K88" s="172">
        <f>+'Company0462-Internal'!K175</f>
        <v>2812.1490000000003</v>
      </c>
      <c r="L88" s="130">
        <f t="shared" ref="L88:P89" si="25">+L65-K65</f>
        <v>1576.9168826239993</v>
      </c>
      <c r="M88" s="130">
        <f t="shared" si="25"/>
        <v>3120.2117775244005</v>
      </c>
      <c r="N88" s="130">
        <f t="shared" si="25"/>
        <v>3912.9474968174363</v>
      </c>
      <c r="O88" s="130">
        <f t="shared" si="25"/>
        <v>4519.3247503285165</v>
      </c>
      <c r="P88" s="130">
        <f t="shared" si="25"/>
        <v>1975.9903305769585</v>
      </c>
    </row>
    <row r="89" spans="2:16" s="92" customFormat="1" ht="16" outlineLevel="1" x14ac:dyDescent="0.2">
      <c r="C89" s="114" t="s">
        <v>134</v>
      </c>
      <c r="F89" s="115" t="s">
        <v>56</v>
      </c>
      <c r="G89" s="172">
        <f>+'Company0462-Internal'!G176</f>
        <v>195.86</v>
      </c>
      <c r="H89" s="172">
        <f>+'Company0462-Internal'!H176</f>
        <v>765.04</v>
      </c>
      <c r="I89" s="172">
        <f>+'Company0462-Internal'!I176</f>
        <v>2796.9449999999997</v>
      </c>
      <c r="J89" s="172">
        <f>+'Company0462-Internal'!J176</f>
        <v>601.8449999999998</v>
      </c>
      <c r="K89" s="172">
        <f>+'Company0462-Internal'!K176</f>
        <v>1385.8649999999998</v>
      </c>
      <c r="L89" s="130">
        <f t="shared" si="25"/>
        <v>1688.6175456640012</v>
      </c>
      <c r="M89" s="130">
        <f t="shared" si="25"/>
        <v>1590.6356302744507</v>
      </c>
      <c r="N89" s="130">
        <f t="shared" si="25"/>
        <v>4159.4922399928364</v>
      </c>
      <c r="O89" s="130">
        <f t="shared" si="25"/>
        <v>2288.4065163222785</v>
      </c>
      <c r="P89" s="130">
        <f t="shared" si="25"/>
        <v>2334.345558416675</v>
      </c>
    </row>
    <row r="90" spans="2:16" s="92" customFormat="1" ht="16" outlineLevel="1" x14ac:dyDescent="0.2">
      <c r="C90" s="114" t="s">
        <v>135</v>
      </c>
      <c r="F90" s="143" t="s">
        <v>56</v>
      </c>
      <c r="G90" s="172">
        <f>+'Company0462-Internal'!G177</f>
        <v>0</v>
      </c>
      <c r="H90" s="172">
        <f>+'Company0462-Internal'!H177</f>
        <v>809.71399999999994</v>
      </c>
      <c r="I90" s="172">
        <f>+'Company0462-Internal'!I177</f>
        <v>2244.6410000000005</v>
      </c>
      <c r="J90" s="172">
        <f>+'Company0462-Internal'!J177</f>
        <v>2624.5099999999993</v>
      </c>
      <c r="K90" s="172">
        <f>+'Company0462-Internal'!K177</f>
        <v>3862.3649999999998</v>
      </c>
      <c r="L90" s="130">
        <f>+L70-K70</f>
        <v>3813.3201360000021</v>
      </c>
      <c r="M90" s="130">
        <f>+M70-L70</f>
        <v>5137.2911836999992</v>
      </c>
      <c r="N90" s="130">
        <f>+N70-M70</f>
        <v>5102.3298674949947</v>
      </c>
      <c r="O90" s="130">
        <f>+O70-N70</f>
        <v>7373.1226420378916</v>
      </c>
      <c r="P90" s="130">
        <f>+P70-O70</f>
        <v>8956.9110112309609</v>
      </c>
    </row>
    <row r="91" spans="2:16" s="92" customFormat="1" ht="16" outlineLevel="1" x14ac:dyDescent="0.2">
      <c r="C91" s="124" t="s">
        <v>136</v>
      </c>
      <c r="D91" s="125"/>
      <c r="E91" s="125"/>
      <c r="F91" s="115" t="s">
        <v>56</v>
      </c>
      <c r="G91" s="145">
        <f>SUM(G85:G90)</f>
        <v>33274.320249999997</v>
      </c>
      <c r="H91" s="145">
        <f t="shared" ref="H91:K91" si="26">SUM(H85:H90)</f>
        <v>76493.68260999996</v>
      </c>
      <c r="I91" s="145">
        <f t="shared" si="26"/>
        <v>71533.482640000089</v>
      </c>
      <c r="J91" s="145">
        <f t="shared" si="26"/>
        <v>105071.15957999998</v>
      </c>
      <c r="K91" s="145">
        <f t="shared" si="26"/>
        <v>105200.26089999996</v>
      </c>
      <c r="L91" s="145">
        <f>SUM(L85:L90)</f>
        <v>183064.80753078812</v>
      </c>
      <c r="M91" s="145">
        <f t="shared" ref="M91:P91" si="27">SUM(M85:M90)</f>
        <v>205894.32297124385</v>
      </c>
      <c r="N91" s="145">
        <f t="shared" si="27"/>
        <v>200402.06284052529</v>
      </c>
      <c r="O91" s="145">
        <f t="shared" si="27"/>
        <v>221822.39587529504</v>
      </c>
      <c r="P91" s="145">
        <f t="shared" si="27"/>
        <v>270245.36192177574</v>
      </c>
    </row>
    <row r="92" spans="2:16" s="92" customFormat="1" ht="16" outlineLevel="1" x14ac:dyDescent="0.2"/>
    <row r="93" spans="2:16" s="92" customFormat="1" ht="16" outlineLevel="1" x14ac:dyDescent="0.2">
      <c r="B93" s="160"/>
      <c r="C93" s="157" t="s">
        <v>137</v>
      </c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</row>
    <row r="94" spans="2:16" s="92" customFormat="1" ht="16" outlineLevel="1" x14ac:dyDescent="0.2">
      <c r="C94" s="114" t="s">
        <v>138</v>
      </c>
      <c r="F94" s="115" t="s">
        <v>56</v>
      </c>
      <c r="G94" s="172">
        <f>+'Company0462-Internal'!G181</f>
        <v>-850.34800000000007</v>
      </c>
      <c r="H94" s="172">
        <f>+'Company0462-Internal'!H181</f>
        <v>-2024.2849999999999</v>
      </c>
      <c r="I94" s="172">
        <f>+'Company0462-Internal'!I181</f>
        <v>-3054.3550000000005</v>
      </c>
      <c r="J94" s="172">
        <f>+'Company0462-Internal'!J181</f>
        <v>-3785.91</v>
      </c>
      <c r="K94" s="172">
        <f>+'Company0462-Internal'!K181</f>
        <v>-5724.7379999999994</v>
      </c>
      <c r="L94" s="172">
        <f>+'Company0462-Internal'!L181</f>
        <v>-6677.2750680000008</v>
      </c>
      <c r="M94" s="172">
        <f>+'Company0462-Internal'!M181</f>
        <v>-9245.9206598500004</v>
      </c>
      <c r="N94" s="172">
        <f>+'Company0462-Internal'!N181</f>
        <v>-11010.613220690999</v>
      </c>
      <c r="O94" s="172">
        <f>+'Company0462-Internal'!O181</f>
        <v>-14572.844154933124</v>
      </c>
      <c r="P94" s="172">
        <f>+'Company0462-Internal'!P181</f>
        <v>-16810.191511774254</v>
      </c>
    </row>
    <row r="95" spans="2:16" s="92" customFormat="1" ht="16" outlineLevel="1" x14ac:dyDescent="0.2">
      <c r="C95" s="153" t="s">
        <v>139</v>
      </c>
      <c r="D95" s="154"/>
      <c r="E95" s="154"/>
      <c r="F95" s="143" t="s">
        <v>56</v>
      </c>
      <c r="G95" s="170">
        <f>+'Company0462-Internal'!G182</f>
        <v>-127</v>
      </c>
      <c r="H95" s="170">
        <f>+'Company0462-Internal'!H182</f>
        <v>-254</v>
      </c>
      <c r="I95" s="170">
        <f>+'Company0462-Internal'!I182</f>
        <v>-321</v>
      </c>
      <c r="J95" s="170">
        <f>+'Company0462-Internal'!J182</f>
        <v>-423</v>
      </c>
      <c r="K95" s="170">
        <f>+'Company0462-Internal'!K182</f>
        <v>-501</v>
      </c>
      <c r="L95" s="170">
        <f>+'Company0462-Internal'!L182</f>
        <v>-500</v>
      </c>
      <c r="M95" s="170">
        <f>+'Company0462-Internal'!M182</f>
        <v>-600</v>
      </c>
      <c r="N95" s="170">
        <f>+'Company0462-Internal'!N182</f>
        <v>-750</v>
      </c>
      <c r="O95" s="170">
        <f>+'Company0462-Internal'!O182</f>
        <v>-900</v>
      </c>
      <c r="P95" s="170">
        <f>+'Company0462-Internal'!P182</f>
        <v>-1100</v>
      </c>
    </row>
    <row r="96" spans="2:16" s="92" customFormat="1" ht="16" outlineLevel="1" x14ac:dyDescent="0.2">
      <c r="C96" s="95" t="s">
        <v>140</v>
      </c>
      <c r="F96" s="115" t="s">
        <v>56</v>
      </c>
      <c r="G96" s="147">
        <f>SUM(G94:G95)</f>
        <v>-977.34800000000007</v>
      </c>
      <c r="H96" s="147">
        <f t="shared" ref="H96:P96" si="28">SUM(H94:H95)</f>
        <v>-2278.2849999999999</v>
      </c>
      <c r="I96" s="147">
        <f t="shared" si="28"/>
        <v>-3375.3550000000005</v>
      </c>
      <c r="J96" s="147">
        <f t="shared" si="28"/>
        <v>-4208.91</v>
      </c>
      <c r="K96" s="147">
        <f t="shared" si="28"/>
        <v>-6225.7379999999994</v>
      </c>
      <c r="L96" s="147">
        <f t="shared" si="28"/>
        <v>-7177.2750680000008</v>
      </c>
      <c r="M96" s="147">
        <f t="shared" si="28"/>
        <v>-9845.9206598500004</v>
      </c>
      <c r="N96" s="147">
        <f t="shared" si="28"/>
        <v>-11760.613220690999</v>
      </c>
      <c r="O96" s="147">
        <f t="shared" si="28"/>
        <v>-15472.844154933124</v>
      </c>
      <c r="P96" s="147">
        <f t="shared" si="28"/>
        <v>-17910.191511774254</v>
      </c>
    </row>
    <row r="97" spans="2:16" s="92" customFormat="1" ht="16" outlineLevel="1" x14ac:dyDescent="0.2">
      <c r="G97" s="130"/>
      <c r="H97" s="130"/>
      <c r="I97" s="130"/>
      <c r="J97" s="130"/>
      <c r="K97" s="130"/>
    </row>
    <row r="98" spans="2:16" s="92" customFormat="1" ht="16" outlineLevel="1" x14ac:dyDescent="0.2">
      <c r="B98" s="160"/>
      <c r="C98" s="157" t="s">
        <v>141</v>
      </c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</row>
    <row r="99" spans="2:16" s="92" customFormat="1" ht="16" outlineLevel="1" x14ac:dyDescent="0.2">
      <c r="C99" s="153" t="s">
        <v>142</v>
      </c>
      <c r="D99" s="154"/>
      <c r="E99" s="154"/>
      <c r="F99" s="143" t="s">
        <v>56</v>
      </c>
      <c r="G99" s="170">
        <f>+'Company0462-Internal'!G186</f>
        <v>53</v>
      </c>
      <c r="H99" s="170">
        <f>+'Company0462-Internal'!H186</f>
        <v>102</v>
      </c>
      <c r="I99" s="170">
        <f>+'Company0462-Internal'!I186</f>
        <v>1211</v>
      </c>
      <c r="J99" s="170">
        <f>+'Company0462-Internal'!J186</f>
        <v>2310</v>
      </c>
      <c r="K99" s="170">
        <f>+'Company0462-Internal'!K186</f>
        <v>3123</v>
      </c>
      <c r="L99" s="170">
        <f>+'Company0462-Internal'!L186</f>
        <v>3500</v>
      </c>
      <c r="M99" s="170">
        <f>+'Company0462-Internal'!M186</f>
        <v>3800</v>
      </c>
      <c r="N99" s="170">
        <f>+'Company0462-Internal'!N186</f>
        <v>4100</v>
      </c>
      <c r="O99" s="170">
        <f>+'Company0462-Internal'!O186</f>
        <v>4400</v>
      </c>
      <c r="P99" s="170">
        <f>+'Company0462-Internal'!P186</f>
        <v>4700</v>
      </c>
    </row>
    <row r="100" spans="2:16" s="92" customFormat="1" ht="16" outlineLevel="1" x14ac:dyDescent="0.2">
      <c r="C100" s="95" t="s">
        <v>144</v>
      </c>
      <c r="F100" s="115" t="s">
        <v>56</v>
      </c>
      <c r="G100" s="147">
        <f>SUM(G99)</f>
        <v>53</v>
      </c>
      <c r="H100" s="147">
        <f t="shared" ref="H100:P100" si="29">SUM(H99)</f>
        <v>102</v>
      </c>
      <c r="I100" s="147">
        <f t="shared" si="29"/>
        <v>1211</v>
      </c>
      <c r="J100" s="147">
        <f t="shared" si="29"/>
        <v>2310</v>
      </c>
      <c r="K100" s="147">
        <f t="shared" si="29"/>
        <v>3123</v>
      </c>
      <c r="L100" s="147">
        <f t="shared" si="29"/>
        <v>3500</v>
      </c>
      <c r="M100" s="147">
        <f t="shared" si="29"/>
        <v>3800</v>
      </c>
      <c r="N100" s="147">
        <f t="shared" si="29"/>
        <v>4100</v>
      </c>
      <c r="O100" s="147">
        <f t="shared" si="29"/>
        <v>4400</v>
      </c>
      <c r="P100" s="147">
        <f t="shared" si="29"/>
        <v>4700</v>
      </c>
    </row>
    <row r="101" spans="2:16" s="92" customFormat="1" ht="16" outlineLevel="1" x14ac:dyDescent="0.2"/>
    <row r="102" spans="2:16" s="92" customFormat="1" ht="16" outlineLevel="1" x14ac:dyDescent="0.2">
      <c r="C102" s="95" t="s">
        <v>145</v>
      </c>
      <c r="F102" s="115" t="s">
        <v>56</v>
      </c>
      <c r="G102" s="147">
        <f>+G91+G96+G100</f>
        <v>32349.972249999995</v>
      </c>
      <c r="H102" s="147">
        <f t="shared" ref="H102:P102" si="30">+H91+H96+H100</f>
        <v>74317.397609999956</v>
      </c>
      <c r="I102" s="147">
        <f t="shared" si="30"/>
        <v>69369.127640000093</v>
      </c>
      <c r="J102" s="147">
        <f t="shared" si="30"/>
        <v>103172.24957999997</v>
      </c>
      <c r="K102" s="147">
        <f t="shared" si="30"/>
        <v>102097.52289999997</v>
      </c>
      <c r="L102" s="147">
        <f t="shared" si="30"/>
        <v>179387.53246278813</v>
      </c>
      <c r="M102" s="147">
        <f t="shared" si="30"/>
        <v>199848.40231139385</v>
      </c>
      <c r="N102" s="147">
        <f t="shared" si="30"/>
        <v>192741.44961983428</v>
      </c>
      <c r="O102" s="147">
        <f t="shared" si="30"/>
        <v>210749.55172036192</v>
      </c>
      <c r="P102" s="147">
        <f t="shared" si="30"/>
        <v>257035.17041000148</v>
      </c>
    </row>
    <row r="103" spans="2:16" s="92" customFormat="1" ht="16" outlineLevel="1" x14ac:dyDescent="0.2">
      <c r="C103" s="95" t="s">
        <v>146</v>
      </c>
      <c r="F103" s="115" t="s">
        <v>56</v>
      </c>
      <c r="G103" s="174">
        <f>+'Company0462-Internal'!G191</f>
        <v>25766.027750000008</v>
      </c>
      <c r="H103" s="147">
        <f>+G104</f>
        <v>58116</v>
      </c>
      <c r="I103" s="147">
        <f t="shared" ref="I103:P103" si="31">+H104</f>
        <v>132433.39760999996</v>
      </c>
      <c r="J103" s="147">
        <f t="shared" si="31"/>
        <v>201802.52525000006</v>
      </c>
      <c r="K103" s="147">
        <f t="shared" si="31"/>
        <v>304974.77483000001</v>
      </c>
      <c r="L103" s="147">
        <f t="shared" si="31"/>
        <v>407072.29772999999</v>
      </c>
      <c r="M103" s="147">
        <f t="shared" si="31"/>
        <v>586459.83019278815</v>
      </c>
      <c r="N103" s="147">
        <f t="shared" si="31"/>
        <v>786308.23250418203</v>
      </c>
      <c r="O103" s="147">
        <f t="shared" si="31"/>
        <v>979049.68212401634</v>
      </c>
      <c r="P103" s="147">
        <f t="shared" si="31"/>
        <v>1189799.2338443783</v>
      </c>
    </row>
    <row r="104" spans="2:16" s="92" customFormat="1" ht="16" outlineLevel="1" x14ac:dyDescent="0.2">
      <c r="C104" s="95" t="s">
        <v>147</v>
      </c>
      <c r="F104" s="115" t="s">
        <v>56</v>
      </c>
      <c r="G104" s="148">
        <f>+G102+G103</f>
        <v>58116</v>
      </c>
      <c r="H104" s="148">
        <f>+H102+H103</f>
        <v>132433.39760999996</v>
      </c>
      <c r="I104" s="148">
        <f t="shared" ref="I104:P104" si="32">+I102+I103</f>
        <v>201802.52525000006</v>
      </c>
      <c r="J104" s="148">
        <f t="shared" si="32"/>
        <v>304974.77483000001</v>
      </c>
      <c r="K104" s="148">
        <f t="shared" si="32"/>
        <v>407072.29772999999</v>
      </c>
      <c r="L104" s="148">
        <f t="shared" si="32"/>
        <v>586459.83019278815</v>
      </c>
      <c r="M104" s="148">
        <f t="shared" si="32"/>
        <v>786308.23250418203</v>
      </c>
      <c r="N104" s="148">
        <f t="shared" si="32"/>
        <v>979049.68212401634</v>
      </c>
      <c r="O104" s="148">
        <f t="shared" si="32"/>
        <v>1189799.2338443783</v>
      </c>
      <c r="P104" s="148">
        <f t="shared" si="32"/>
        <v>1446834.4042543797</v>
      </c>
    </row>
    <row r="105" spans="2:16" s="92" customFormat="1" ht="16" x14ac:dyDescent="0.2"/>
    <row r="106" spans="2:16" s="92" customFormat="1" ht="16" x14ac:dyDescent="0.2"/>
    <row r="107" spans="2:16" s="92" customFormat="1" ht="16" x14ac:dyDescent="0.2"/>
    <row r="108" spans="2:16" s="92" customFormat="1" ht="16" x14ac:dyDescent="0.2"/>
    <row r="109" spans="2:16" s="92" customFormat="1" ht="16" x14ac:dyDescent="0.2"/>
    <row r="110" spans="2:16" s="92" customFormat="1" ht="16" x14ac:dyDescent="0.2"/>
    <row r="111" spans="2:16" s="92" customFormat="1" ht="16" x14ac:dyDescent="0.2"/>
    <row r="112" spans="2:16" s="92" customFormat="1" ht="16" x14ac:dyDescent="0.2"/>
    <row r="113" s="92" customFormat="1" ht="15.75" customHeight="1" x14ac:dyDescent="0.2"/>
    <row r="114" s="92" customFormat="1" ht="15.75" customHeight="1" x14ac:dyDescent="0.2"/>
    <row r="115" s="92" customFormat="1" ht="15.75" customHeight="1" x14ac:dyDescent="0.2"/>
    <row r="116" s="92" customFormat="1" ht="15.75" customHeight="1" x14ac:dyDescent="0.2"/>
    <row r="117" s="92" customFormat="1" ht="15.75" customHeight="1" x14ac:dyDescent="0.2"/>
    <row r="118" s="92" customFormat="1" ht="15.75" customHeight="1" x14ac:dyDescent="0.2"/>
    <row r="119" s="92" customFormat="1" ht="15.75" customHeight="1" x14ac:dyDescent="0.2"/>
    <row r="120" s="92" customFormat="1" ht="15.75" customHeight="1" x14ac:dyDescent="0.2"/>
    <row r="121" s="92" customFormat="1" ht="15.75" customHeight="1" x14ac:dyDescent="0.2"/>
    <row r="122" s="92" customFormat="1" ht="15.75" customHeight="1" x14ac:dyDescent="0.2"/>
    <row r="123" s="92" customFormat="1" ht="15.75" customHeight="1" x14ac:dyDescent="0.2"/>
    <row r="124" s="92" customFormat="1" ht="15.75" customHeight="1" x14ac:dyDescent="0.2"/>
    <row r="125" s="92" customFormat="1" ht="15.75" customHeight="1" x14ac:dyDescent="0.2"/>
    <row r="126" s="92" customFormat="1" ht="15.75" customHeight="1" x14ac:dyDescent="0.2"/>
    <row r="127" s="92" customFormat="1" ht="15.75" customHeight="1" x14ac:dyDescent="0.2"/>
    <row r="128" s="92" customFormat="1" ht="15.75" customHeight="1" x14ac:dyDescent="0.2"/>
    <row r="129" s="92" customFormat="1" ht="15.75" customHeight="1" x14ac:dyDescent="0.2"/>
    <row r="130" s="92" customFormat="1" ht="15.75" customHeight="1" x14ac:dyDescent="0.2"/>
    <row r="131" s="92" customFormat="1" ht="15.75" customHeight="1" x14ac:dyDescent="0.2"/>
    <row r="132" s="92" customFormat="1" ht="15.75" customHeight="1" x14ac:dyDescent="0.2"/>
    <row r="133" s="92" customFormat="1" ht="15.75" customHeight="1" x14ac:dyDescent="0.2"/>
    <row r="134" s="92" customFormat="1" ht="15.75" customHeight="1" x14ac:dyDescent="0.2"/>
    <row r="135" s="92" customFormat="1" ht="15.75" customHeight="1" x14ac:dyDescent="0.2"/>
    <row r="136" s="92" customFormat="1" ht="15.75" customHeight="1" x14ac:dyDescent="0.2"/>
    <row r="137" s="92" customFormat="1" ht="15.75" customHeight="1" x14ac:dyDescent="0.2"/>
    <row r="138" s="92" customFormat="1" ht="15.75" customHeight="1" x14ac:dyDescent="0.2"/>
    <row r="139" s="92" customFormat="1" ht="15.75" customHeight="1" x14ac:dyDescent="0.2"/>
    <row r="140" s="92" customFormat="1" ht="15.75" customHeight="1" x14ac:dyDescent="0.2"/>
    <row r="141" s="92" customFormat="1" ht="15.75" customHeight="1" x14ac:dyDescent="0.2"/>
    <row r="142" s="92" customFormat="1" ht="15.75" customHeight="1" x14ac:dyDescent="0.2"/>
    <row r="143" s="92" customFormat="1" ht="15.75" customHeight="1" x14ac:dyDescent="0.2"/>
    <row r="144" s="92" customFormat="1" ht="15.75" customHeight="1" x14ac:dyDescent="0.2"/>
    <row r="145" s="92" customFormat="1" ht="15.75" customHeight="1" x14ac:dyDescent="0.2"/>
    <row r="146" s="92" customFormat="1" ht="15.75" customHeight="1" x14ac:dyDescent="0.2"/>
    <row r="147" s="92" customFormat="1" ht="15.75" customHeight="1" x14ac:dyDescent="0.2"/>
    <row r="148" s="92" customFormat="1" ht="15.75" customHeight="1" x14ac:dyDescent="0.2"/>
    <row r="149" s="92" customFormat="1" ht="15.75" customHeight="1" x14ac:dyDescent="0.2"/>
    <row r="150" s="92" customFormat="1" ht="15.75" customHeight="1" x14ac:dyDescent="0.2"/>
    <row r="151" s="92" customFormat="1" ht="15.75" customHeight="1" x14ac:dyDescent="0.2"/>
    <row r="152" s="92" customFormat="1" ht="15.75" customHeight="1" x14ac:dyDescent="0.2"/>
    <row r="153" s="92" customFormat="1" ht="15.75" customHeight="1" x14ac:dyDescent="0.2"/>
    <row r="154" s="92" customFormat="1" ht="15.75" customHeight="1" x14ac:dyDescent="0.2"/>
    <row r="155" s="92" customFormat="1" ht="15.75" customHeight="1" x14ac:dyDescent="0.2"/>
    <row r="156" s="92" customFormat="1" ht="15.75" customHeight="1" x14ac:dyDescent="0.2"/>
    <row r="157" s="92" customFormat="1" ht="15.75" customHeight="1" x14ac:dyDescent="0.2"/>
    <row r="158" s="92" customFormat="1" ht="15.75" customHeight="1" x14ac:dyDescent="0.2"/>
    <row r="159" s="92" customFormat="1" ht="15.75" customHeight="1" x14ac:dyDescent="0.2"/>
    <row r="160" s="92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>
      <selection activeCell="N15" sqref="N15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208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179"/>
    </row>
    <row r="2" spans="1:28" ht="18.75" customHeight="1" x14ac:dyDescent="0.25">
      <c r="A2" s="208"/>
      <c r="B2" s="93" t="str">
        <f>"Private Company DCF Analysis - "&amp;Company_Name</f>
        <v>Private Company DCF Analysis - Capital Capable Media LLC</v>
      </c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179"/>
    </row>
    <row r="3" spans="1:28" ht="15.75" customHeight="1" x14ac:dyDescent="0.2">
      <c r="A3" s="208"/>
      <c r="B3" s="208" t="s">
        <v>0</v>
      </c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179"/>
    </row>
    <row r="4" spans="1:28" ht="15.75" customHeight="1" x14ac:dyDescent="0.2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179"/>
    </row>
    <row r="5" spans="1:28" ht="15.75" customHeight="1" x14ac:dyDescent="0.2">
      <c r="A5" s="208"/>
      <c r="B5" s="209" t="str">
        <f>"DCF Assumptions - "&amp;Company_Name&amp;":"</f>
        <v>DCF Assumptions - Capital Capable Media LLC:</v>
      </c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175"/>
    </row>
    <row r="6" spans="1:28" ht="15.75" customHeight="1" outlineLevel="1" x14ac:dyDescent="0.2">
      <c r="A6" s="208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175"/>
    </row>
    <row r="7" spans="1:28" ht="15.75" customHeight="1" outlineLevel="1" x14ac:dyDescent="0.2">
      <c r="A7" s="208"/>
      <c r="B7" s="211" t="s">
        <v>162</v>
      </c>
      <c r="C7" s="212"/>
      <c r="D7" s="212"/>
      <c r="E7" s="212"/>
      <c r="F7" s="208"/>
      <c r="G7" s="211" t="s">
        <v>163</v>
      </c>
      <c r="H7" s="212"/>
      <c r="I7" s="212"/>
      <c r="J7" s="212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175"/>
    </row>
    <row r="8" spans="1:28" ht="15.75" customHeight="1" outlineLevel="1" x14ac:dyDescent="0.2">
      <c r="A8" s="208"/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175"/>
    </row>
    <row r="9" spans="1:28" ht="15.75" customHeight="1" outlineLevel="1" x14ac:dyDescent="0.2">
      <c r="A9" s="208"/>
      <c r="B9" s="2" t="s">
        <v>164</v>
      </c>
      <c r="C9" s="208"/>
      <c r="D9" s="208"/>
      <c r="E9" s="213">
        <f>+WACC</f>
        <v>0.15288175427693421</v>
      </c>
      <c r="F9" s="208"/>
      <c r="G9" s="208" t="s">
        <v>165</v>
      </c>
      <c r="H9" s="208"/>
      <c r="I9" s="208"/>
      <c r="J9" s="214">
        <v>-0.01</v>
      </c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175"/>
    </row>
    <row r="10" spans="1:28" ht="15.75" customHeight="1" outlineLevel="1" x14ac:dyDescent="0.2">
      <c r="A10" s="208"/>
      <c r="B10" s="208"/>
      <c r="C10" s="208"/>
      <c r="D10" s="208"/>
      <c r="E10" s="208"/>
      <c r="F10" s="208"/>
      <c r="G10" s="208" t="s">
        <v>166</v>
      </c>
      <c r="H10" s="208"/>
      <c r="I10" s="208"/>
      <c r="J10" s="214">
        <v>4.4999999999999998E-2</v>
      </c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175"/>
    </row>
    <row r="11" spans="1:28" ht="15.75" customHeight="1" outlineLevel="1" x14ac:dyDescent="0.2">
      <c r="A11" s="208"/>
      <c r="B11" s="208" t="s">
        <v>167</v>
      </c>
      <c r="C11" s="208"/>
      <c r="D11" s="208"/>
      <c r="E11" s="214">
        <v>0.185</v>
      </c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175"/>
    </row>
    <row r="12" spans="1:28" ht="15.75" customHeight="1" outlineLevel="1" x14ac:dyDescent="0.2">
      <c r="A12" s="208"/>
      <c r="B12" s="208"/>
      <c r="C12" s="208"/>
      <c r="D12" s="208"/>
      <c r="E12" s="208"/>
      <c r="F12" s="208"/>
      <c r="G12" s="208" t="s">
        <v>168</v>
      </c>
      <c r="H12" s="208"/>
      <c r="I12" s="208"/>
      <c r="J12" s="214">
        <v>-2.5000000000000001E-3</v>
      </c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175"/>
    </row>
    <row r="13" spans="1:28" ht="15.75" customHeight="1" outlineLevel="1" x14ac:dyDescent="0.2">
      <c r="A13" s="208"/>
      <c r="B13" s="208" t="s">
        <v>169</v>
      </c>
      <c r="C13" s="208"/>
      <c r="D13" s="208"/>
      <c r="E13" s="214">
        <v>0.25</v>
      </c>
      <c r="F13" s="208"/>
      <c r="G13" s="208" t="s">
        <v>170</v>
      </c>
      <c r="H13" s="208"/>
      <c r="I13" s="208"/>
      <c r="J13" s="214">
        <v>0.17799999999999999</v>
      </c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175"/>
    </row>
    <row r="14" spans="1:28" ht="15.75" customHeight="1" outlineLevel="1" x14ac:dyDescent="0.2">
      <c r="A14" s="208"/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175"/>
    </row>
    <row r="15" spans="1:28" ht="15.75" customHeight="1" outlineLevel="1" x14ac:dyDescent="0.2">
      <c r="A15" s="208"/>
      <c r="B15" s="208"/>
      <c r="C15" s="208"/>
      <c r="D15" s="208"/>
      <c r="E15" s="208"/>
      <c r="F15" s="208"/>
      <c r="G15" s="208" t="s">
        <v>171</v>
      </c>
      <c r="H15" s="208"/>
      <c r="I15" s="208"/>
      <c r="J15" s="214">
        <v>0.01</v>
      </c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175"/>
    </row>
    <row r="16" spans="1:28" ht="15.75" customHeight="1" outlineLevel="1" x14ac:dyDescent="0.2">
      <c r="A16" s="208"/>
      <c r="B16" s="208"/>
      <c r="C16" s="208"/>
      <c r="D16" s="208"/>
      <c r="E16" s="208"/>
      <c r="F16" s="208"/>
      <c r="G16" s="208" t="s">
        <v>54</v>
      </c>
      <c r="H16" s="208"/>
      <c r="I16" s="208"/>
      <c r="J16" s="214">
        <v>0.02</v>
      </c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175"/>
    </row>
    <row r="17" spans="1:28" ht="15.75" customHeight="1" outlineLevel="1" x14ac:dyDescent="0.2">
      <c r="A17" s="208"/>
      <c r="B17" s="208"/>
      <c r="C17" s="208"/>
      <c r="D17" s="208"/>
      <c r="E17" s="208"/>
      <c r="F17" s="208"/>
      <c r="G17" s="208" t="s">
        <v>172</v>
      </c>
      <c r="H17" s="208"/>
      <c r="I17" s="208"/>
      <c r="J17" s="214">
        <v>0.02</v>
      </c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175"/>
    </row>
    <row r="18" spans="1:28" ht="15.75" customHeight="1" outlineLevel="1" x14ac:dyDescent="0.2">
      <c r="A18" s="208"/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175"/>
    </row>
    <row r="19" spans="1:28" ht="15.75" customHeight="1" outlineLevel="1" x14ac:dyDescent="0.2">
      <c r="A19" s="208"/>
      <c r="B19" s="211" t="s">
        <v>173</v>
      </c>
      <c r="C19" s="212"/>
      <c r="D19" s="212"/>
      <c r="E19" s="212"/>
      <c r="F19" s="208"/>
      <c r="G19" s="211" t="s">
        <v>174</v>
      </c>
      <c r="H19" s="212"/>
      <c r="I19" s="212"/>
      <c r="J19" s="212"/>
      <c r="K19" s="208"/>
      <c r="L19" s="211" t="s">
        <v>175</v>
      </c>
      <c r="M19" s="212"/>
      <c r="N19" s="212"/>
      <c r="O19" s="212"/>
      <c r="P19" s="208"/>
      <c r="Q19" s="211" t="s">
        <v>176</v>
      </c>
      <c r="R19" s="212"/>
      <c r="S19" s="212"/>
      <c r="T19" s="212"/>
      <c r="U19" s="208"/>
      <c r="V19" s="208"/>
      <c r="W19" s="208"/>
      <c r="X19" s="208"/>
      <c r="Y19" s="208"/>
      <c r="Z19" s="208"/>
      <c r="AA19" s="208"/>
      <c r="AB19" s="179"/>
    </row>
    <row r="20" spans="1:28" ht="15.75" customHeight="1" outlineLevel="1" x14ac:dyDescent="0.2">
      <c r="A20" s="208"/>
      <c r="B20" s="156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179"/>
    </row>
    <row r="21" spans="1:28" ht="15.75" customHeight="1" outlineLevel="1" x14ac:dyDescent="0.2">
      <c r="A21" s="208"/>
      <c r="B21" s="2" t="s">
        <v>177</v>
      </c>
      <c r="C21" s="2"/>
      <c r="D21" s="2"/>
      <c r="E21" s="215">
        <v>5.6970457537651606</v>
      </c>
      <c r="F21" s="208"/>
      <c r="G21" s="2" t="s">
        <v>178</v>
      </c>
      <c r="H21" s="208"/>
      <c r="I21" s="208"/>
      <c r="J21" s="214">
        <v>0.03</v>
      </c>
      <c r="K21" s="208"/>
      <c r="L21" s="216" t="s">
        <v>179</v>
      </c>
      <c r="M21" s="208"/>
      <c r="N21" s="208"/>
      <c r="O21" s="217">
        <f>+'Company0462-GAAP'!P61-'Company0462-GAAP'!P74</f>
        <v>1430067.6922802785</v>
      </c>
      <c r="P21" s="208"/>
      <c r="Q21" s="216" t="s">
        <v>180</v>
      </c>
      <c r="R21" s="208"/>
      <c r="S21" s="208"/>
      <c r="T21" s="214">
        <v>-0.1</v>
      </c>
      <c r="U21" s="208"/>
      <c r="V21" s="208"/>
      <c r="W21" s="208"/>
      <c r="X21" s="208"/>
      <c r="Y21" s="208"/>
      <c r="Z21" s="208"/>
      <c r="AA21" s="208"/>
      <c r="AB21" s="179"/>
    </row>
    <row r="22" spans="1:28" ht="15.75" customHeight="1" outlineLevel="1" x14ac:dyDescent="0.2">
      <c r="A22" s="208"/>
      <c r="B22" s="2" t="s">
        <v>181</v>
      </c>
      <c r="C22" s="2"/>
      <c r="D22" s="2"/>
      <c r="E22" s="218">
        <f>+Terminal_Multiple*(L45+L52)</f>
        <v>3738513.2201652345</v>
      </c>
      <c r="F22" s="208"/>
      <c r="G22" s="2" t="s">
        <v>181</v>
      </c>
      <c r="H22" s="208"/>
      <c r="I22" s="208"/>
      <c r="J22" s="218">
        <f>+L56*(1+Terminal_Growth_Rate)/(E9-Terminal_Growth_Rate)*(1+E9)^0.5</f>
        <v>3392192.5111287711</v>
      </c>
      <c r="K22" s="208"/>
      <c r="L22" s="2" t="s">
        <v>182</v>
      </c>
      <c r="M22" s="208"/>
      <c r="N22" s="208"/>
      <c r="O22" s="219">
        <f>SUM(H56:L56)</f>
        <v>1614432.0965685286</v>
      </c>
      <c r="P22" s="175"/>
      <c r="Q22" s="2"/>
      <c r="R22" s="208"/>
      <c r="S22" s="208"/>
      <c r="T22" s="219"/>
      <c r="U22" s="175"/>
      <c r="V22" s="175"/>
      <c r="W22" s="175"/>
      <c r="X22" s="208"/>
      <c r="Y22" s="208"/>
      <c r="Z22" s="208"/>
      <c r="AA22" s="208"/>
      <c r="AB22" s="179"/>
    </row>
    <row r="23" spans="1:28" ht="15.75" customHeight="1" outlineLevel="1" x14ac:dyDescent="0.2">
      <c r="A23" s="208"/>
      <c r="B23" s="2" t="s">
        <v>183</v>
      </c>
      <c r="C23" s="2"/>
      <c r="D23" s="2"/>
      <c r="E23" s="219">
        <f>+E22*(1-TV_Discount)</f>
        <v>3046888.2744346661</v>
      </c>
      <c r="F23" s="208"/>
      <c r="G23" s="2" t="s">
        <v>183</v>
      </c>
      <c r="H23" s="208"/>
      <c r="I23" s="208"/>
      <c r="J23" s="219">
        <f>+J22*(1-TV_Discount)</f>
        <v>2764636.8965699482</v>
      </c>
      <c r="K23" s="208"/>
      <c r="L23" s="2" t="s">
        <v>184</v>
      </c>
      <c r="M23" s="208"/>
      <c r="N23" s="208"/>
      <c r="O23" s="219">
        <f>+O21+O22</f>
        <v>3044499.7888488071</v>
      </c>
      <c r="P23" s="175"/>
      <c r="Q23" s="2"/>
      <c r="R23" s="208"/>
      <c r="S23" s="208"/>
      <c r="T23" s="219"/>
      <c r="U23" s="175"/>
      <c r="V23" s="175"/>
      <c r="W23" s="175"/>
      <c r="X23" s="208"/>
      <c r="Y23" s="208"/>
      <c r="Z23" s="208"/>
      <c r="AA23" s="208"/>
      <c r="AB23" s="179"/>
    </row>
    <row r="24" spans="1:28" ht="15.75" customHeight="1" outlineLevel="1" x14ac:dyDescent="0.2">
      <c r="A24" s="208"/>
      <c r="B24" s="2" t="s">
        <v>185</v>
      </c>
      <c r="C24" s="208"/>
      <c r="D24" s="208"/>
      <c r="E24" s="220">
        <f>(E23*E9-L56*(1+E9)^0.5)/(L56*(1+E9)^0.5+E23)</f>
        <v>1.770663936897518E-2</v>
      </c>
      <c r="F24" s="208"/>
      <c r="G24" s="2" t="s">
        <v>186</v>
      </c>
      <c r="H24" s="208"/>
      <c r="I24" s="208"/>
      <c r="J24" s="221">
        <f>+J23/(+L45+L52)</f>
        <v>4.2129750424181154</v>
      </c>
      <c r="K24" s="208"/>
      <c r="L24" s="2" t="s">
        <v>187</v>
      </c>
      <c r="M24" s="208"/>
      <c r="N24" s="208"/>
      <c r="O24" s="219">
        <f>+O23*(1-TV_Liquidation_Discount)</f>
        <v>2283374.8416366056</v>
      </c>
      <c r="P24" s="175"/>
      <c r="Q24" s="2"/>
      <c r="R24" s="208"/>
      <c r="S24" s="208"/>
      <c r="T24" s="221"/>
      <c r="U24" s="175"/>
      <c r="V24" s="175"/>
      <c r="W24" s="175"/>
      <c r="X24" s="208"/>
      <c r="Y24" s="208"/>
      <c r="Z24" s="208"/>
      <c r="AA24" s="208"/>
      <c r="AB24" s="179"/>
    </row>
    <row r="25" spans="1:28" ht="15.75" customHeight="1" outlineLevel="1" x14ac:dyDescent="0.2">
      <c r="A25" s="208"/>
      <c r="B25" s="156"/>
      <c r="C25" s="208"/>
      <c r="D25" s="208"/>
      <c r="E25" s="208"/>
      <c r="F25" s="208"/>
      <c r="G25" s="156"/>
      <c r="H25" s="208"/>
      <c r="I25" s="208"/>
      <c r="J25" s="208"/>
      <c r="K25" s="208"/>
      <c r="L25" s="156"/>
      <c r="M25" s="208"/>
      <c r="N25" s="208"/>
      <c r="O25" s="208"/>
      <c r="P25" s="175"/>
      <c r="Q25" s="156"/>
      <c r="R25" s="208"/>
      <c r="S25" s="208"/>
      <c r="T25" s="208"/>
      <c r="U25" s="175"/>
      <c r="V25" s="175"/>
      <c r="W25" s="175"/>
      <c r="X25" s="208"/>
      <c r="Y25" s="208"/>
      <c r="Z25" s="208"/>
      <c r="AA25" s="208"/>
      <c r="AB25" s="179"/>
    </row>
    <row r="26" spans="1:28" ht="15.75" customHeight="1" outlineLevel="1" x14ac:dyDescent="0.2">
      <c r="A26" s="208"/>
      <c r="B26" s="3" t="s">
        <v>188</v>
      </c>
      <c r="C26" s="2"/>
      <c r="D26" s="2"/>
      <c r="E26" s="219">
        <f>+E23/((1+E9)^L60)</f>
        <v>734528.86888341291</v>
      </c>
      <c r="F26" s="208"/>
      <c r="G26" s="3" t="str">
        <f>+$B$26</f>
        <v>(+) PV of Terminal Value:</v>
      </c>
      <c r="H26" s="208"/>
      <c r="I26" s="208"/>
      <c r="J26" s="219">
        <f>+J23/((1+E9)^L60)</f>
        <v>666485.09220038913</v>
      </c>
      <c r="K26" s="208"/>
      <c r="L26" s="3" t="str">
        <f>+$B$26</f>
        <v>(+) PV of Terminal Value:</v>
      </c>
      <c r="M26" s="208"/>
      <c r="N26" s="208"/>
      <c r="O26" s="219">
        <f>+O24/((1+E9)^L60)</f>
        <v>550464.79837708338</v>
      </c>
      <c r="P26" s="175"/>
      <c r="Q26" s="3" t="str">
        <f>+$B$26</f>
        <v>(+) PV of Terminal Value:</v>
      </c>
      <c r="R26" s="208"/>
      <c r="S26" s="208"/>
      <c r="T26" s="219">
        <f>SUM(M58:V58)</f>
        <v>530645.27240088384</v>
      </c>
      <c r="U26" s="175"/>
      <c r="V26" s="175"/>
      <c r="W26" s="175"/>
      <c r="X26" s="208"/>
      <c r="Y26" s="208"/>
      <c r="Z26" s="208"/>
      <c r="AA26" s="208"/>
      <c r="AB26" s="179"/>
    </row>
    <row r="27" spans="1:28" ht="15.75" customHeight="1" outlineLevel="1" x14ac:dyDescent="0.2">
      <c r="A27" s="208"/>
      <c r="B27" s="222" t="s">
        <v>189</v>
      </c>
      <c r="C27" s="223"/>
      <c r="D27" s="223"/>
      <c r="E27" s="224">
        <f>SUM(C58:L58)</f>
        <v>1268581.039204577</v>
      </c>
      <c r="F27" s="208"/>
      <c r="G27" s="222" t="str">
        <f>+$B$27</f>
        <v>(+) Sum of PV of Free Cash Flows:</v>
      </c>
      <c r="H27" s="225"/>
      <c r="I27" s="225"/>
      <c r="J27" s="224">
        <f>SUM(C58:L58)</f>
        <v>1268581.039204577</v>
      </c>
      <c r="K27" s="208"/>
      <c r="L27" s="222" t="str">
        <f>+$B$27</f>
        <v>(+) Sum of PV of Free Cash Flows:</v>
      </c>
      <c r="M27" s="225"/>
      <c r="N27" s="225"/>
      <c r="O27" s="224">
        <f>SUM(C58:L58)</f>
        <v>1268581.039204577</v>
      </c>
      <c r="P27" s="175"/>
      <c r="Q27" s="222" t="str">
        <f>+$B$27</f>
        <v>(+) Sum of PV of Free Cash Flows:</v>
      </c>
      <c r="R27" s="225"/>
      <c r="S27" s="225"/>
      <c r="T27" s="224">
        <f>SUM(C58:L58)</f>
        <v>1268581.039204577</v>
      </c>
      <c r="U27" s="175"/>
      <c r="V27" s="175"/>
      <c r="W27" s="175"/>
      <c r="X27" s="208"/>
      <c r="Y27" s="208"/>
      <c r="Z27" s="208"/>
      <c r="AA27" s="208"/>
      <c r="AB27" s="179"/>
    </row>
    <row r="28" spans="1:28" ht="15.75" customHeight="1" outlineLevel="1" x14ac:dyDescent="0.2">
      <c r="A28" s="208"/>
      <c r="B28" s="4" t="s">
        <v>190</v>
      </c>
      <c r="C28" s="2"/>
      <c r="D28" s="2"/>
      <c r="E28" s="226">
        <f>SUM(E26:E27)</f>
        <v>2003109.9080879898</v>
      </c>
      <c r="F28" s="208"/>
      <c r="G28" s="4" t="str">
        <f>+$B$28</f>
        <v>Implied Enterprise Value:</v>
      </c>
      <c r="H28" s="208"/>
      <c r="I28" s="208"/>
      <c r="J28" s="226">
        <f>SUM(J26:J27)</f>
        <v>1935066.1314049661</v>
      </c>
      <c r="K28" s="208"/>
      <c r="L28" s="4" t="str">
        <f>+$B$28</f>
        <v>Implied Enterprise Value:</v>
      </c>
      <c r="M28" s="208"/>
      <c r="N28" s="208"/>
      <c r="O28" s="226">
        <f>SUM(O26:O27)</f>
        <v>1819045.8375816604</v>
      </c>
      <c r="P28" s="175"/>
      <c r="Q28" s="4" t="str">
        <f>+$B$28</f>
        <v>Implied Enterprise Value:</v>
      </c>
      <c r="R28" s="208"/>
      <c r="S28" s="208"/>
      <c r="T28" s="226">
        <f>SUM(T26:T27)</f>
        <v>1799226.3116054609</v>
      </c>
      <c r="U28" s="175"/>
      <c r="V28" s="175"/>
      <c r="W28" s="175"/>
      <c r="X28" s="208"/>
      <c r="Y28" s="208"/>
      <c r="Z28" s="208"/>
      <c r="AA28" s="208"/>
      <c r="AB28" s="179"/>
    </row>
    <row r="29" spans="1:28" ht="15.75" customHeight="1" outlineLevel="1" x14ac:dyDescent="0.2">
      <c r="A29" s="208"/>
      <c r="B29" s="2"/>
      <c r="C29" s="2"/>
      <c r="D29" s="2"/>
      <c r="E29" s="2"/>
      <c r="F29" s="208"/>
      <c r="G29" s="2"/>
      <c r="H29" s="208"/>
      <c r="I29" s="208"/>
      <c r="J29" s="2"/>
      <c r="K29" s="208"/>
      <c r="L29" s="2"/>
      <c r="M29" s="208"/>
      <c r="N29" s="208"/>
      <c r="O29" s="2"/>
      <c r="P29" s="175"/>
      <c r="Q29" s="2"/>
      <c r="R29" s="208"/>
      <c r="S29" s="208"/>
      <c r="T29" s="2"/>
      <c r="U29" s="175"/>
      <c r="V29" s="175"/>
      <c r="W29" s="175"/>
      <c r="X29" s="208"/>
      <c r="Y29" s="208"/>
      <c r="Z29" s="208"/>
      <c r="AA29" s="208"/>
      <c r="AB29" s="179"/>
    </row>
    <row r="30" spans="1:28" ht="15.75" customHeight="1" outlineLevel="1" x14ac:dyDescent="0.2">
      <c r="A30" s="208"/>
      <c r="B30" s="177" t="s">
        <v>191</v>
      </c>
      <c r="C30" s="2"/>
      <c r="D30" s="2"/>
      <c r="E30" s="178">
        <f>+E26/E28</f>
        <v>0.36669424174759141</v>
      </c>
      <c r="F30" s="208"/>
      <c r="G30" s="177" t="str">
        <f>+$B$30</f>
        <v>% of Implied EV from Terminal Value:</v>
      </c>
      <c r="H30" s="208"/>
      <c r="I30" s="208"/>
      <c r="J30" s="178">
        <f>+J26/J28</f>
        <v>0.34442496893709967</v>
      </c>
      <c r="K30" s="208"/>
      <c r="L30" s="177" t="str">
        <f>+$B$30</f>
        <v>% of Implied EV from Terminal Value:</v>
      </c>
      <c r="M30" s="208"/>
      <c r="N30" s="208"/>
      <c r="O30" s="178">
        <f>+O26/O28</f>
        <v>0.30261183473468795</v>
      </c>
      <c r="P30" s="175"/>
      <c r="Q30" s="177" t="str">
        <f>+$B$30</f>
        <v>% of Implied EV from Terminal Value:</v>
      </c>
      <c r="R30" s="208"/>
      <c r="S30" s="208"/>
      <c r="T30" s="178">
        <f>+T26/T28</f>
        <v>0.29492969782516448</v>
      </c>
      <c r="U30" s="175"/>
      <c r="V30" s="175"/>
      <c r="W30" s="175"/>
      <c r="X30" s="208"/>
      <c r="Y30" s="208"/>
      <c r="Z30" s="208"/>
      <c r="AA30" s="208"/>
      <c r="AB30" s="179"/>
    </row>
    <row r="31" spans="1:28" ht="15.75" customHeight="1" outlineLevel="1" x14ac:dyDescent="0.2">
      <c r="A31" s="208"/>
      <c r="B31" s="2"/>
      <c r="C31" s="2"/>
      <c r="D31" s="2"/>
      <c r="E31" s="2"/>
      <c r="F31" s="208"/>
      <c r="G31" s="2"/>
      <c r="H31" s="208"/>
      <c r="I31" s="208"/>
      <c r="J31" s="2"/>
      <c r="K31" s="208"/>
      <c r="L31" s="2"/>
      <c r="M31" s="208"/>
      <c r="N31" s="208"/>
      <c r="O31" s="2"/>
      <c r="P31" s="175"/>
      <c r="Q31" s="2"/>
      <c r="R31" s="208"/>
      <c r="S31" s="208"/>
      <c r="T31" s="2"/>
      <c r="U31" s="175"/>
      <c r="V31" s="175"/>
      <c r="W31" s="175"/>
      <c r="X31" s="208"/>
      <c r="Y31" s="208"/>
      <c r="Z31" s="208"/>
      <c r="AA31" s="208"/>
      <c r="AB31" s="179"/>
    </row>
    <row r="32" spans="1:28" ht="15.75" customHeight="1" outlineLevel="1" x14ac:dyDescent="0.2">
      <c r="A32" s="208"/>
      <c r="B32" s="3" t="s">
        <v>192</v>
      </c>
      <c r="C32" s="2"/>
      <c r="D32" s="2"/>
      <c r="E32" s="227">
        <f>'Company0462-GAAP'!K52</f>
        <v>407072.29772999999</v>
      </c>
      <c r="F32" s="208"/>
      <c r="G32" s="3" t="str">
        <f>+$B$32</f>
        <v>(+) Cash &amp; Cash-Equivalents:</v>
      </c>
      <c r="H32" s="208"/>
      <c r="I32" s="208"/>
      <c r="J32" s="228">
        <f>+E32</f>
        <v>407072.29772999999</v>
      </c>
      <c r="K32" s="208"/>
      <c r="L32" s="3" t="str">
        <f>+$B$32</f>
        <v>(+) Cash &amp; Cash-Equivalents:</v>
      </c>
      <c r="M32" s="208"/>
      <c r="N32" s="208"/>
      <c r="O32" s="228">
        <f>+J32</f>
        <v>407072.29772999999</v>
      </c>
      <c r="P32" s="175"/>
      <c r="Q32" s="3" t="str">
        <f>+$B$32</f>
        <v>(+) Cash &amp; Cash-Equivalents:</v>
      </c>
      <c r="R32" s="208"/>
      <c r="S32" s="208"/>
      <c r="T32" s="228">
        <f>+O32</f>
        <v>407072.29772999999</v>
      </c>
      <c r="U32" s="175"/>
      <c r="V32" s="175"/>
      <c r="W32" s="175"/>
      <c r="X32" s="208"/>
      <c r="Y32" s="208"/>
      <c r="Z32" s="208"/>
      <c r="AA32" s="208"/>
      <c r="AB32" s="179"/>
    </row>
    <row r="33" spans="1:28" ht="15.75" customHeight="1" outlineLevel="1" x14ac:dyDescent="0.2">
      <c r="A33" s="208"/>
      <c r="B33" s="229" t="s">
        <v>193</v>
      </c>
      <c r="C33" s="208"/>
      <c r="D33" s="208"/>
      <c r="E33" s="230">
        <v>0</v>
      </c>
      <c r="F33" s="208"/>
      <c r="G33" s="229" t="str">
        <f>+$B$33</f>
        <v>(+) Equity Investments:</v>
      </c>
      <c r="H33" s="208"/>
      <c r="I33" s="208"/>
      <c r="J33" s="228">
        <f t="shared" ref="J33:J36" si="0">+E33</f>
        <v>0</v>
      </c>
      <c r="K33" s="208"/>
      <c r="L33" s="229" t="str">
        <f>+$B$33</f>
        <v>(+) Equity Investments:</v>
      </c>
      <c r="M33" s="208"/>
      <c r="N33" s="208"/>
      <c r="O33" s="228">
        <f t="shared" ref="O33:O36" si="1">+J33</f>
        <v>0</v>
      </c>
      <c r="P33" s="175"/>
      <c r="Q33" s="229" t="str">
        <f>+$B$33</f>
        <v>(+) Equity Investments:</v>
      </c>
      <c r="R33" s="208"/>
      <c r="S33" s="208"/>
      <c r="T33" s="228">
        <f t="shared" ref="T33:T36" si="2">+O33</f>
        <v>0</v>
      </c>
      <c r="U33" s="175"/>
      <c r="V33" s="175"/>
      <c r="W33" s="175"/>
      <c r="X33" s="208"/>
      <c r="Y33" s="208"/>
      <c r="Z33" s="208"/>
      <c r="AA33" s="208"/>
      <c r="AB33" s="179"/>
    </row>
    <row r="34" spans="1:28" ht="15.75" customHeight="1" outlineLevel="1" x14ac:dyDescent="0.2">
      <c r="A34" s="208"/>
      <c r="B34" s="229" t="s">
        <v>194</v>
      </c>
      <c r="C34" s="208"/>
      <c r="D34" s="208"/>
      <c r="E34" s="230">
        <v>0</v>
      </c>
      <c r="F34" s="208"/>
      <c r="G34" s="229" t="str">
        <f>+$B$34</f>
        <v>(+) Other Non-Core Assets, Net:</v>
      </c>
      <c r="H34" s="208"/>
      <c r="I34" s="208"/>
      <c r="J34" s="228">
        <f t="shared" si="0"/>
        <v>0</v>
      </c>
      <c r="K34" s="208"/>
      <c r="L34" s="229" t="str">
        <f>+$B$34</f>
        <v>(+) Other Non-Core Assets, Net:</v>
      </c>
      <c r="M34" s="208"/>
      <c r="N34" s="208"/>
      <c r="O34" s="228">
        <f t="shared" si="1"/>
        <v>0</v>
      </c>
      <c r="P34" s="175"/>
      <c r="Q34" s="229" t="str">
        <f>+$B$34</f>
        <v>(+) Other Non-Core Assets, Net:</v>
      </c>
      <c r="R34" s="208"/>
      <c r="S34" s="208"/>
      <c r="T34" s="228">
        <f t="shared" si="2"/>
        <v>0</v>
      </c>
      <c r="U34" s="175"/>
      <c r="V34" s="175"/>
      <c r="W34" s="175"/>
      <c r="X34" s="208"/>
      <c r="Y34" s="208"/>
      <c r="Z34" s="208"/>
      <c r="AA34" s="208"/>
      <c r="AB34" s="179"/>
    </row>
    <row r="35" spans="1:28" ht="15.75" customHeight="1" outlineLevel="1" x14ac:dyDescent="0.2">
      <c r="A35" s="208"/>
      <c r="B35" s="229" t="s">
        <v>195</v>
      </c>
      <c r="C35" s="208"/>
      <c r="D35" s="208"/>
      <c r="E35" s="230">
        <v>0</v>
      </c>
      <c r="F35" s="208"/>
      <c r="G35" s="229" t="str">
        <f>+$B$35</f>
        <v>(-) Total Debt:</v>
      </c>
      <c r="H35" s="208"/>
      <c r="I35" s="208"/>
      <c r="J35" s="228">
        <f t="shared" si="0"/>
        <v>0</v>
      </c>
      <c r="K35" s="208"/>
      <c r="L35" s="229" t="str">
        <f>+$B$35</f>
        <v>(-) Total Debt:</v>
      </c>
      <c r="M35" s="208"/>
      <c r="N35" s="208"/>
      <c r="O35" s="228">
        <f t="shared" si="1"/>
        <v>0</v>
      </c>
      <c r="P35" s="175"/>
      <c r="Q35" s="229" t="str">
        <f>+$B$35</f>
        <v>(-) Total Debt:</v>
      </c>
      <c r="R35" s="208"/>
      <c r="S35" s="208"/>
      <c r="T35" s="228">
        <f t="shared" si="2"/>
        <v>0</v>
      </c>
      <c r="U35" s="175"/>
      <c r="V35" s="175"/>
      <c r="W35" s="175"/>
      <c r="X35" s="208"/>
      <c r="Y35" s="208"/>
      <c r="Z35" s="208"/>
      <c r="AA35" s="208"/>
      <c r="AB35" s="179"/>
    </row>
    <row r="36" spans="1:28" ht="15.75" customHeight="1" outlineLevel="1" x14ac:dyDescent="0.2">
      <c r="A36" s="208"/>
      <c r="B36" s="229" t="s">
        <v>196</v>
      </c>
      <c r="C36" s="208"/>
      <c r="D36" s="208"/>
      <c r="E36" s="231">
        <v>0</v>
      </c>
      <c r="F36" s="208"/>
      <c r="G36" s="229" t="str">
        <f>+$B$36</f>
        <v>(-) Noncontrolling Interests:</v>
      </c>
      <c r="H36" s="225"/>
      <c r="I36" s="225"/>
      <c r="J36" s="232">
        <f t="shared" si="0"/>
        <v>0</v>
      </c>
      <c r="K36" s="208"/>
      <c r="L36" s="229" t="str">
        <f>+$B$36</f>
        <v>(-) Noncontrolling Interests:</v>
      </c>
      <c r="M36" s="225"/>
      <c r="N36" s="225"/>
      <c r="O36" s="232">
        <f t="shared" si="1"/>
        <v>0</v>
      </c>
      <c r="P36" s="208"/>
      <c r="Q36" s="229" t="str">
        <f>+$B$36</f>
        <v>(-) Noncontrolling Interests:</v>
      </c>
      <c r="R36" s="225"/>
      <c r="S36" s="225"/>
      <c r="T36" s="232">
        <f t="shared" si="2"/>
        <v>0</v>
      </c>
      <c r="U36" s="208"/>
      <c r="V36" s="208"/>
      <c r="W36" s="208"/>
      <c r="X36" s="208"/>
      <c r="Y36" s="208"/>
      <c r="Z36" s="208"/>
      <c r="AA36" s="208"/>
      <c r="AB36" s="179"/>
    </row>
    <row r="37" spans="1:28" ht="15.75" customHeight="1" outlineLevel="1" x14ac:dyDescent="0.2">
      <c r="A37" s="208"/>
      <c r="B37" s="233" t="s">
        <v>197</v>
      </c>
      <c r="C37" s="234"/>
      <c r="D37" s="234"/>
      <c r="E37" s="235">
        <f>+E28+SUM(E32:E36)</f>
        <v>2410182.20581799</v>
      </c>
      <c r="F37" s="208"/>
      <c r="G37" s="233" t="str">
        <f>+$B$37</f>
        <v>Implied Equity Value:</v>
      </c>
      <c r="H37" s="208"/>
      <c r="I37" s="208"/>
      <c r="J37" s="235">
        <f>+J28+SUM(J32:J36)</f>
        <v>2342138.4291349659</v>
      </c>
      <c r="K37" s="208"/>
      <c r="L37" s="233" t="str">
        <f>+$B$37</f>
        <v>Implied Equity Value:</v>
      </c>
      <c r="M37" s="208"/>
      <c r="N37" s="208"/>
      <c r="O37" s="235">
        <f>+O28+SUM(O32:O36)</f>
        <v>2226118.1353116604</v>
      </c>
      <c r="P37" s="208"/>
      <c r="Q37" s="233" t="str">
        <f>+$B$37</f>
        <v>Implied Equity Value:</v>
      </c>
      <c r="R37" s="208"/>
      <c r="S37" s="208"/>
      <c r="T37" s="235">
        <f>+T28+SUM(T32:T36)</f>
        <v>2206298.6093354607</v>
      </c>
      <c r="U37" s="208"/>
      <c r="V37" s="208"/>
      <c r="W37" s="208"/>
      <c r="X37" s="208"/>
      <c r="Y37" s="208"/>
      <c r="Z37" s="208"/>
      <c r="AA37" s="208"/>
      <c r="AB37" s="179"/>
    </row>
    <row r="38" spans="1:28" ht="15.75" customHeight="1" x14ac:dyDescent="0.2">
      <c r="A38" s="208"/>
      <c r="B38" s="208"/>
      <c r="C38" s="236"/>
      <c r="D38" s="2"/>
      <c r="E38" s="2"/>
      <c r="F38" s="237"/>
      <c r="G38" s="208"/>
      <c r="H38" s="236"/>
      <c r="I38" s="208"/>
      <c r="J38" s="208"/>
      <c r="K38" s="237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  <c r="AB38" s="179"/>
    </row>
    <row r="39" spans="1:28" ht="15.75" customHeight="1" x14ac:dyDescent="0.2">
      <c r="A39" s="208"/>
      <c r="B39" s="238"/>
      <c r="C39" s="239" t="s">
        <v>198</v>
      </c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08"/>
      <c r="X39" s="208"/>
      <c r="Y39" s="208"/>
      <c r="Z39" s="208"/>
      <c r="AA39" s="208"/>
      <c r="AB39" s="179"/>
    </row>
    <row r="40" spans="1:28" ht="15.75" customHeight="1" x14ac:dyDescent="0.2">
      <c r="A40" s="208"/>
      <c r="B40" s="209" t="s">
        <v>199</v>
      </c>
      <c r="C40" s="103" t="str">
        <f>+'Company0462-GAAP'!L13</f>
        <v>Year 6</v>
      </c>
      <c r="D40" s="103" t="str">
        <f>+'Company0462-GAAP'!M13</f>
        <v>Year 7</v>
      </c>
      <c r="E40" s="103" t="str">
        <f>+'Company0462-GAAP'!N13</f>
        <v>Year 8</v>
      </c>
      <c r="F40" s="103" t="str">
        <f>+'Company0462-GAAP'!O13</f>
        <v>Year 9</v>
      </c>
      <c r="G40" s="103" t="str">
        <f>+'Company0462-GAAP'!P13</f>
        <v>Year 10</v>
      </c>
      <c r="H40" s="210" t="s">
        <v>200</v>
      </c>
      <c r="I40" s="210" t="s">
        <v>201</v>
      </c>
      <c r="J40" s="210" t="s">
        <v>202</v>
      </c>
      <c r="K40" s="210" t="s">
        <v>203</v>
      </c>
      <c r="L40" s="210" t="s">
        <v>204</v>
      </c>
      <c r="M40" s="210" t="s">
        <v>205</v>
      </c>
      <c r="N40" s="210" t="s">
        <v>206</v>
      </c>
      <c r="O40" s="210" t="s">
        <v>207</v>
      </c>
      <c r="P40" s="210" t="s">
        <v>208</v>
      </c>
      <c r="Q40" s="210" t="s">
        <v>209</v>
      </c>
      <c r="R40" s="210" t="s">
        <v>210</v>
      </c>
      <c r="S40" s="210" t="s">
        <v>211</v>
      </c>
      <c r="T40" s="210" t="s">
        <v>212</v>
      </c>
      <c r="U40" s="210" t="s">
        <v>213</v>
      </c>
      <c r="V40" s="210" t="s">
        <v>214</v>
      </c>
      <c r="W40" s="208"/>
      <c r="X40" s="208"/>
      <c r="Y40" s="208"/>
      <c r="Z40" s="208"/>
      <c r="AA40" s="208"/>
      <c r="AB40" s="179"/>
    </row>
    <row r="41" spans="1:28" ht="15.75" customHeight="1" outlineLevel="1" x14ac:dyDescent="0.2">
      <c r="A41" s="208"/>
      <c r="B41" s="208"/>
      <c r="C41" s="208"/>
      <c r="D41" s="208"/>
      <c r="E41" s="208"/>
      <c r="F41" s="208"/>
      <c r="G41" s="208"/>
      <c r="H41" s="240"/>
      <c r="I41" s="240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179"/>
    </row>
    <row r="42" spans="1:28" ht="15.75" customHeight="1" outlineLevel="1" x14ac:dyDescent="0.2">
      <c r="A42" s="208"/>
      <c r="B42" s="208" t="s">
        <v>215</v>
      </c>
      <c r="C42" s="241">
        <f>+'Company0462-GAAP'!L17</f>
        <v>1062799.6149900001</v>
      </c>
      <c r="D42" s="241">
        <f>+'Company0462-GAAP'!M17</f>
        <v>1261407.7471652499</v>
      </c>
      <c r="E42" s="241">
        <f>+'Company0462-GAAP'!N17</f>
        <v>1494297.5085223499</v>
      </c>
      <c r="F42" s="241">
        <f>+'Company0462-GAAP'!O17</f>
        <v>1730525.2433983083</v>
      </c>
      <c r="G42" s="241">
        <f>+'Company0462-GAAP'!P17</f>
        <v>1975197.5026334748</v>
      </c>
      <c r="H42" s="242">
        <f>+G42*(1+H43)</f>
        <v>2234711.0495916447</v>
      </c>
      <c r="I42" s="242">
        <f t="shared" ref="I42:L42" si="3">+H42*(1+I43)</f>
        <v>2505973.9655021653</v>
      </c>
      <c r="J42" s="242">
        <f t="shared" si="3"/>
        <v>2785104.6961104851</v>
      </c>
      <c r="K42" s="242">
        <f t="shared" si="3"/>
        <v>3067475.670346715</v>
      </c>
      <c r="L42" s="242">
        <f t="shared" si="3"/>
        <v>3347800.386909503</v>
      </c>
      <c r="M42" s="242">
        <f t="shared" ref="M42" si="4">+L42*(1+M43)</f>
        <v>3620264.8893303187</v>
      </c>
      <c r="N42" s="242">
        <f t="shared" ref="N42" si="5">+M42*(1+N43)</f>
        <v>3878701.5730447508</v>
      </c>
      <c r="O42" s="242">
        <f t="shared" ref="O42" si="6">+N42*(1+O43)</f>
        <v>4116800.0345648541</v>
      </c>
      <c r="P42" s="242">
        <f t="shared" ref="P42" si="7">+O42*(1+P43)</f>
        <v>4328346.4377783192</v>
      </c>
      <c r="Q42" s="242">
        <f t="shared" ref="Q42" si="8">+P42*(1+Q43)</f>
        <v>4523122.0274783429</v>
      </c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179"/>
    </row>
    <row r="43" spans="1:28" ht="15.75" customHeight="1" outlineLevel="1" x14ac:dyDescent="0.2">
      <c r="A43" s="208"/>
      <c r="B43" s="243" t="s">
        <v>216</v>
      </c>
      <c r="C43" s="244">
        <f>IFERROR(+C42/'Company0462-GAAP'!K17-1,"N/A")</f>
        <v>0.16152461075094582</v>
      </c>
      <c r="D43" s="244">
        <f t="shared" ref="D43:G43" si="9">IFERROR(+D42/C42-1,"N/A")</f>
        <v>0.18687260455689803</v>
      </c>
      <c r="E43" s="244">
        <f t="shared" si="9"/>
        <v>0.18462686778361004</v>
      </c>
      <c r="F43" s="244">
        <f t="shared" si="9"/>
        <v>0.15808614651948028</v>
      </c>
      <c r="G43" s="244">
        <f t="shared" si="9"/>
        <v>0.14138612549487739</v>
      </c>
      <c r="H43" s="120">
        <f t="shared" ref="H43:Q43" si="10">MAX(+G43+Rev_Growth_Decline,Min_Rev_Growth)</f>
        <v>0.13138612549487738</v>
      </c>
      <c r="I43" s="120">
        <f t="shared" si="10"/>
        <v>0.12138612549487739</v>
      </c>
      <c r="J43" s="120">
        <f t="shared" si="10"/>
        <v>0.11138612549487739</v>
      </c>
      <c r="K43" s="120">
        <f t="shared" si="10"/>
        <v>0.1013861254948774</v>
      </c>
      <c r="L43" s="120">
        <f t="shared" si="10"/>
        <v>9.1386125494877402E-2</v>
      </c>
      <c r="M43" s="120">
        <f t="shared" si="10"/>
        <v>8.1386125494877407E-2</v>
      </c>
      <c r="N43" s="120">
        <f t="shared" si="10"/>
        <v>7.1386125494877412E-2</v>
      </c>
      <c r="O43" s="120">
        <f t="shared" si="10"/>
        <v>6.138612549487741E-2</v>
      </c>
      <c r="P43" s="120">
        <f t="shared" si="10"/>
        <v>5.1386125494877408E-2</v>
      </c>
      <c r="Q43" s="120">
        <f t="shared" si="10"/>
        <v>4.4999999999999998E-2</v>
      </c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179"/>
    </row>
    <row r="44" spans="1:28" ht="15.75" customHeight="1" outlineLevel="1" x14ac:dyDescent="0.2">
      <c r="A44" s="208"/>
      <c r="B44" s="243"/>
      <c r="C44" s="208"/>
      <c r="D44" s="208"/>
      <c r="E44" s="244"/>
      <c r="F44" s="244"/>
      <c r="G44" s="244"/>
      <c r="H44" s="244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179"/>
    </row>
    <row r="45" spans="1:28" ht="15.75" customHeight="1" outlineLevel="1" x14ac:dyDescent="0.2">
      <c r="A45" s="208"/>
      <c r="B45" s="208" t="s">
        <v>218</v>
      </c>
      <c r="C45" s="245">
        <f>'Company0462-GAAP'!L26</f>
        <v>270254.25961000018</v>
      </c>
      <c r="D45" s="245">
        <f>'Company0462-GAAP'!M26</f>
        <v>303416.82790429995</v>
      </c>
      <c r="E45" s="245">
        <f>'Company0462-GAAP'!N26</f>
        <v>288244.13835232775</v>
      </c>
      <c r="F45" s="245">
        <f>'Company0462-GAAP'!O26</f>
        <v>316396.88652039599</v>
      </c>
      <c r="G45" s="245">
        <f>'Company0462-GAAP'!P26</f>
        <v>392106.6453826353</v>
      </c>
      <c r="H45" s="246">
        <f>+H46*H42</f>
        <v>438037.24067627441</v>
      </c>
      <c r="I45" s="246">
        <f t="shared" ref="I45:L45" si="11">+I46*I42</f>
        <v>484943.94923067908</v>
      </c>
      <c r="J45" s="246">
        <f t="shared" si="11"/>
        <v>531997.21507739276</v>
      </c>
      <c r="K45" s="246">
        <f t="shared" si="11"/>
        <v>578265.66231228772</v>
      </c>
      <c r="L45" s="246">
        <f t="shared" si="11"/>
        <v>622741.61973046314</v>
      </c>
      <c r="M45" s="246">
        <f t="shared" ref="M45:Q45" si="12">+M46*M42</f>
        <v>664373.48512140394</v>
      </c>
      <c r="N45" s="246">
        <f t="shared" si="12"/>
        <v>702103.78017313755</v>
      </c>
      <c r="O45" s="246">
        <f t="shared" si="12"/>
        <v>734911.21084686148</v>
      </c>
      <c r="P45" s="246">
        <f t="shared" si="12"/>
        <v>770445.66592454084</v>
      </c>
      <c r="Q45" s="246">
        <f t="shared" si="12"/>
        <v>805115.72089114494</v>
      </c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179"/>
    </row>
    <row r="46" spans="1:28" ht="15.75" customHeight="1" outlineLevel="1" x14ac:dyDescent="0.2">
      <c r="A46" s="208"/>
      <c r="B46" s="243" t="s">
        <v>103</v>
      </c>
      <c r="C46" s="244">
        <f>IFERROR(+C45/C42,"N/A")</f>
        <v>0.25428524417798459</v>
      </c>
      <c r="D46" s="244">
        <f t="shared" ref="D46:G46" si="13">IFERROR(+D45/D42,"N/A")</f>
        <v>0.24053826257700242</v>
      </c>
      <c r="E46" s="244">
        <f t="shared" si="13"/>
        <v>0.19289608441986941</v>
      </c>
      <c r="F46" s="244">
        <f t="shared" si="13"/>
        <v>0.18283286402634241</v>
      </c>
      <c r="G46" s="244">
        <f t="shared" si="13"/>
        <v>0.19851515853976659</v>
      </c>
      <c r="H46" s="120">
        <f t="shared" ref="H46:Q46" si="14">MAX(+G46+Op_Margin_Change,Min_Op_Margin)</f>
        <v>0.19601515853976659</v>
      </c>
      <c r="I46" s="120">
        <f t="shared" si="14"/>
        <v>0.19351515853976659</v>
      </c>
      <c r="J46" s="120">
        <f t="shared" si="14"/>
        <v>0.19101515853976658</v>
      </c>
      <c r="K46" s="120">
        <f t="shared" si="14"/>
        <v>0.18851515853976658</v>
      </c>
      <c r="L46" s="120">
        <f t="shared" si="14"/>
        <v>0.18601515853976658</v>
      </c>
      <c r="M46" s="120">
        <f t="shared" si="14"/>
        <v>0.18351515853976658</v>
      </c>
      <c r="N46" s="120">
        <f t="shared" si="14"/>
        <v>0.18101515853976657</v>
      </c>
      <c r="O46" s="120">
        <f t="shared" si="14"/>
        <v>0.17851515853976657</v>
      </c>
      <c r="P46" s="120">
        <f t="shared" si="14"/>
        <v>0.17799999999999999</v>
      </c>
      <c r="Q46" s="120">
        <f t="shared" si="14"/>
        <v>0.17799999999999999</v>
      </c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179"/>
    </row>
    <row r="47" spans="1:28" ht="15.75" customHeight="1" outlineLevel="1" x14ac:dyDescent="0.2">
      <c r="A47" s="208"/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179"/>
    </row>
    <row r="48" spans="1:28" ht="15.75" customHeight="1" outlineLevel="1" x14ac:dyDescent="0.2">
      <c r="A48" s="208"/>
      <c r="B48" s="247" t="s">
        <v>219</v>
      </c>
      <c r="C48" s="246">
        <f t="shared" ref="C48:L48" si="15">-C45*Tax_Rate</f>
        <v>-94588.990863500061</v>
      </c>
      <c r="D48" s="246">
        <f t="shared" si="15"/>
        <v>-106195.88976650497</v>
      </c>
      <c r="E48" s="246">
        <f t="shared" si="15"/>
        <v>-100885.44842331471</v>
      </c>
      <c r="F48" s="246">
        <f t="shared" si="15"/>
        <v>-110738.91028213859</v>
      </c>
      <c r="G48" s="246">
        <f t="shared" si="15"/>
        <v>-137237.32588392234</v>
      </c>
      <c r="H48" s="246">
        <f t="shared" si="15"/>
        <v>-153313.03423669602</v>
      </c>
      <c r="I48" s="246">
        <f t="shared" si="15"/>
        <v>-169730.38223073765</v>
      </c>
      <c r="J48" s="246">
        <f t="shared" si="15"/>
        <v>-186199.02527708746</v>
      </c>
      <c r="K48" s="246">
        <f t="shared" si="15"/>
        <v>-202392.98180930069</v>
      </c>
      <c r="L48" s="246">
        <f t="shared" si="15"/>
        <v>-217959.5669056621</v>
      </c>
      <c r="M48" s="246">
        <f t="shared" ref="M48:Q48" si="16">-M45*Tax_Rate</f>
        <v>-232530.71979249135</v>
      </c>
      <c r="N48" s="246">
        <f t="shared" si="16"/>
        <v>-245736.32306059814</v>
      </c>
      <c r="O48" s="246">
        <f t="shared" si="16"/>
        <v>-257218.9237964015</v>
      </c>
      <c r="P48" s="246">
        <f t="shared" si="16"/>
        <v>-269655.98307358928</v>
      </c>
      <c r="Q48" s="246">
        <f t="shared" si="16"/>
        <v>-281790.50231190072</v>
      </c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179"/>
    </row>
    <row r="49" spans="1:28" ht="15.75" customHeight="1" outlineLevel="1" x14ac:dyDescent="0.2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179"/>
    </row>
    <row r="50" spans="1:28" ht="15.75" customHeight="1" outlineLevel="1" x14ac:dyDescent="0.2">
      <c r="A50" s="208"/>
      <c r="B50" s="248" t="s">
        <v>220</v>
      </c>
      <c r="C50" s="249">
        <f>+C45+C48</f>
        <v>175665.26874650014</v>
      </c>
      <c r="D50" s="249">
        <f t="shared" ref="D50:L50" si="17">+D45+D48</f>
        <v>197220.93813779496</v>
      </c>
      <c r="E50" s="249">
        <f t="shared" si="17"/>
        <v>187358.68992901302</v>
      </c>
      <c r="F50" s="249">
        <f t="shared" si="17"/>
        <v>205657.9762382574</v>
      </c>
      <c r="G50" s="249">
        <f t="shared" si="17"/>
        <v>254869.31949871295</v>
      </c>
      <c r="H50" s="249">
        <f t="shared" si="17"/>
        <v>284724.20643957838</v>
      </c>
      <c r="I50" s="249">
        <f t="shared" si="17"/>
        <v>315213.56699994142</v>
      </c>
      <c r="J50" s="249">
        <f t="shared" si="17"/>
        <v>345798.18980030529</v>
      </c>
      <c r="K50" s="249">
        <f t="shared" si="17"/>
        <v>375872.680502987</v>
      </c>
      <c r="L50" s="249">
        <f t="shared" si="17"/>
        <v>404782.05282480107</v>
      </c>
      <c r="M50" s="249">
        <f t="shared" ref="M50:Q50" si="18">+M45+M48</f>
        <v>431842.76532891259</v>
      </c>
      <c r="N50" s="249">
        <f t="shared" si="18"/>
        <v>456367.45711253944</v>
      </c>
      <c r="O50" s="249">
        <f t="shared" si="18"/>
        <v>477692.28705046</v>
      </c>
      <c r="P50" s="249">
        <f t="shared" si="18"/>
        <v>500789.68285095156</v>
      </c>
      <c r="Q50" s="249">
        <f t="shared" si="18"/>
        <v>523325.21857924422</v>
      </c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179"/>
    </row>
    <row r="51" spans="1:28" ht="15.75" customHeight="1" outlineLevel="1" x14ac:dyDescent="0.2">
      <c r="A51" s="208"/>
      <c r="B51" s="208"/>
      <c r="C51" s="208"/>
      <c r="D51" s="244"/>
      <c r="E51" s="244"/>
      <c r="F51" s="244"/>
      <c r="G51" s="244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179"/>
    </row>
    <row r="52" spans="1:28" ht="15.75" customHeight="1" outlineLevel="1" x14ac:dyDescent="0.2">
      <c r="A52" s="208"/>
      <c r="B52" s="208" t="s">
        <v>100</v>
      </c>
      <c r="C52" s="245">
        <f>'Company0462-GAAP'!L86</f>
        <v>2225.7583560000003</v>
      </c>
      <c r="D52" s="245">
        <f>'Company0462-GAAP'!M86</f>
        <v>2641.6916170999998</v>
      </c>
      <c r="E52" s="245">
        <f>'Company0462-GAAP'!N86</f>
        <v>4718.8342374389995</v>
      </c>
      <c r="F52" s="245">
        <f>'Company0462-GAAP'!O86</f>
        <v>7286.4220774665619</v>
      </c>
      <c r="G52" s="245">
        <f>'Company0462-GAAP'!P86</f>
        <v>8405.0957558871269</v>
      </c>
      <c r="H52" s="246">
        <f t="shared" ref="H52:Q52" si="19">+H42*DA_Pct_Revenue</f>
        <v>22347.110495916448</v>
      </c>
      <c r="I52" s="246">
        <f t="shared" si="19"/>
        <v>25059.739655021654</v>
      </c>
      <c r="J52" s="246">
        <f t="shared" si="19"/>
        <v>27851.04696110485</v>
      </c>
      <c r="K52" s="246">
        <f t="shared" si="19"/>
        <v>30674.756703467152</v>
      </c>
      <c r="L52" s="246">
        <f t="shared" si="19"/>
        <v>33478.003869095031</v>
      </c>
      <c r="M52" s="246">
        <f t="shared" si="19"/>
        <v>36202.648893303187</v>
      </c>
      <c r="N52" s="246">
        <f t="shared" si="19"/>
        <v>38787.015730447507</v>
      </c>
      <c r="O52" s="246">
        <f t="shared" si="19"/>
        <v>41168.000345648543</v>
      </c>
      <c r="P52" s="246">
        <f t="shared" si="19"/>
        <v>43283.464377783195</v>
      </c>
      <c r="Q52" s="246">
        <f t="shared" si="19"/>
        <v>45231.220274783431</v>
      </c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179"/>
    </row>
    <row r="53" spans="1:28" ht="15.75" customHeight="1" outlineLevel="1" x14ac:dyDescent="0.2">
      <c r="A53" s="208"/>
      <c r="B53" s="208" t="s">
        <v>221</v>
      </c>
      <c r="C53" s="246">
        <f>SUM('Company0462-GAAP'!L87:L90)</f>
        <v>5173.7804282879997</v>
      </c>
      <c r="D53" s="246">
        <f>SUM('Company0462-GAAP'!M87:M90)</f>
        <v>6031.6932163488536</v>
      </c>
      <c r="E53" s="246">
        <f>SUM('Company0462-GAAP'!N87:N90)</f>
        <v>8324.5386740732683</v>
      </c>
      <c r="F53" s="246">
        <f>SUM('Company0462-GAAP'!O87:O90)</f>
        <v>8877.9975595710803</v>
      </c>
      <c r="G53" s="246">
        <f>SUM('Company0462-GAAP'!P87:P90)</f>
        <v>6970.9466671756909</v>
      </c>
      <c r="H53" s="246">
        <f t="shared" ref="H53:Q53" si="20">(+H42-G42)*WC_Pct_Change_in_Rev</f>
        <v>5190.270939163398</v>
      </c>
      <c r="I53" s="246">
        <f t="shared" si="20"/>
        <v>5425.2583182104117</v>
      </c>
      <c r="J53" s="246">
        <f t="shared" si="20"/>
        <v>5582.6146121663978</v>
      </c>
      <c r="K53" s="246">
        <f t="shared" si="20"/>
        <v>5647.4194847245981</v>
      </c>
      <c r="L53" s="246">
        <f t="shared" si="20"/>
        <v>5606.4943312557598</v>
      </c>
      <c r="M53" s="246">
        <f t="shared" si="20"/>
        <v>5449.2900484163129</v>
      </c>
      <c r="N53" s="246">
        <f t="shared" si="20"/>
        <v>5168.7336742886437</v>
      </c>
      <c r="O53" s="246">
        <f t="shared" si="20"/>
        <v>4761.9692304020655</v>
      </c>
      <c r="P53" s="246">
        <f t="shared" si="20"/>
        <v>4230.9280642693029</v>
      </c>
      <c r="Q53" s="246">
        <f t="shared" si="20"/>
        <v>3895.5117940004729</v>
      </c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179"/>
    </row>
    <row r="54" spans="1:28" ht="15.75" customHeight="1" outlineLevel="1" x14ac:dyDescent="0.2">
      <c r="A54" s="208"/>
      <c r="B54" s="208" t="s">
        <v>222</v>
      </c>
      <c r="C54" s="245">
        <f>'Company0462-GAAP'!L94</f>
        <v>-6677.2750680000008</v>
      </c>
      <c r="D54" s="245">
        <f>'Company0462-GAAP'!M94</f>
        <v>-9245.9206598500004</v>
      </c>
      <c r="E54" s="245">
        <f>'Company0462-GAAP'!N94</f>
        <v>-11010.613220690999</v>
      </c>
      <c r="F54" s="245">
        <f>'Company0462-GAAP'!O94</f>
        <v>-14572.844154933124</v>
      </c>
      <c r="G54" s="245">
        <f>'Company0462-GAAP'!P94</f>
        <v>-16810.191511774254</v>
      </c>
      <c r="H54" s="246">
        <f t="shared" ref="H54:Q54" si="21">-H42*CapEx_Pct_Revenue</f>
        <v>-44694.220991832895</v>
      </c>
      <c r="I54" s="246">
        <f t="shared" si="21"/>
        <v>-50119.479310043309</v>
      </c>
      <c r="J54" s="246">
        <f t="shared" si="21"/>
        <v>-55702.0939222097</v>
      </c>
      <c r="K54" s="246">
        <f t="shared" si="21"/>
        <v>-61349.513406934304</v>
      </c>
      <c r="L54" s="246">
        <f t="shared" si="21"/>
        <v>-66956.007738190063</v>
      </c>
      <c r="M54" s="246">
        <f t="shared" si="21"/>
        <v>-72405.297786606374</v>
      </c>
      <c r="N54" s="246">
        <f t="shared" si="21"/>
        <v>-77574.031460895014</v>
      </c>
      <c r="O54" s="246">
        <f t="shared" si="21"/>
        <v>-82336.000691297086</v>
      </c>
      <c r="P54" s="246">
        <f t="shared" si="21"/>
        <v>-86566.92875556639</v>
      </c>
      <c r="Q54" s="246">
        <f t="shared" si="21"/>
        <v>-90462.440549566862</v>
      </c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179"/>
    </row>
    <row r="55" spans="1:28" ht="15.75" customHeight="1" outlineLevel="1" x14ac:dyDescent="0.2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179"/>
    </row>
    <row r="56" spans="1:28" ht="15.75" customHeight="1" outlineLevel="1" x14ac:dyDescent="0.2">
      <c r="A56" s="208"/>
      <c r="B56" s="250" t="s">
        <v>223</v>
      </c>
      <c r="C56" s="251">
        <f>+C50+SUM(C52:C54)</f>
        <v>176387.53246278813</v>
      </c>
      <c r="D56" s="251">
        <f t="shared" ref="D56:G56" si="22">+D50+SUM(D52:D54)</f>
        <v>196648.40231139382</v>
      </c>
      <c r="E56" s="251">
        <f t="shared" si="22"/>
        <v>189391.44961983428</v>
      </c>
      <c r="F56" s="251">
        <f t="shared" si="22"/>
        <v>207249.55172036192</v>
      </c>
      <c r="G56" s="251">
        <f t="shared" si="22"/>
        <v>253435.1704100015</v>
      </c>
      <c r="H56" s="251">
        <f t="shared" ref="H56:L56" si="23">+H50+SUM(H52:H54)</f>
        <v>267567.36688282533</v>
      </c>
      <c r="I56" s="251">
        <f t="shared" si="23"/>
        <v>295579.08566313016</v>
      </c>
      <c r="J56" s="251">
        <f t="shared" si="23"/>
        <v>323529.75745136687</v>
      </c>
      <c r="K56" s="251">
        <f t="shared" si="23"/>
        <v>350845.34328424442</v>
      </c>
      <c r="L56" s="251">
        <f t="shared" si="23"/>
        <v>376910.54328696179</v>
      </c>
      <c r="M56" s="251">
        <f t="shared" ref="M56:Q56" si="24">+M50+SUM(M52:M54)</f>
        <v>401089.40648402571</v>
      </c>
      <c r="N56" s="251">
        <f t="shared" si="24"/>
        <v>422749.17505638057</v>
      </c>
      <c r="O56" s="251">
        <f t="shared" si="24"/>
        <v>441286.25593521353</v>
      </c>
      <c r="P56" s="251">
        <f t="shared" si="24"/>
        <v>461737.14653743769</v>
      </c>
      <c r="Q56" s="251">
        <f t="shared" si="24"/>
        <v>481989.51009846124</v>
      </c>
      <c r="R56" s="251">
        <f t="shared" ref="R56:V56" si="25">MAX(+Q56*(1+FCF_Decline_Rate),0)</f>
        <v>433790.55908861512</v>
      </c>
      <c r="S56" s="251">
        <f t="shared" si="25"/>
        <v>390411.50317975361</v>
      </c>
      <c r="T56" s="251">
        <f t="shared" si="25"/>
        <v>351370.35286177823</v>
      </c>
      <c r="U56" s="251">
        <f t="shared" si="25"/>
        <v>316233.31757560041</v>
      </c>
      <c r="V56" s="251">
        <f t="shared" si="25"/>
        <v>284609.98581804038</v>
      </c>
      <c r="W56" s="208"/>
      <c r="X56" s="208"/>
      <c r="Y56" s="208"/>
      <c r="Z56" s="208"/>
      <c r="AA56" s="208"/>
      <c r="AB56" s="179"/>
    </row>
    <row r="57" spans="1:28" ht="15.75" customHeight="1" outlineLevel="1" x14ac:dyDescent="0.2">
      <c r="A57" s="208"/>
      <c r="B57" s="243" t="s">
        <v>216</v>
      </c>
      <c r="C57" s="244" t="str">
        <f>IFERROR(+C56/B56-1,"N/A")</f>
        <v>N/A</v>
      </c>
      <c r="D57" s="244">
        <f t="shared" ref="D57:V57" si="26">IFERROR(+D56/C56-1,"N/A")</f>
        <v>0.11486565725885445</v>
      </c>
      <c r="E57" s="244">
        <f t="shared" si="26"/>
        <v>-3.6903186632902818E-2</v>
      </c>
      <c r="F57" s="244">
        <f t="shared" si="26"/>
        <v>9.4292018654349219E-2</v>
      </c>
      <c r="G57" s="244">
        <f t="shared" si="26"/>
        <v>0.22285027063391194</v>
      </c>
      <c r="H57" s="244">
        <f t="shared" si="26"/>
        <v>5.5762570167199321E-2</v>
      </c>
      <c r="I57" s="244">
        <f t="shared" si="26"/>
        <v>0.10469034062951299</v>
      </c>
      <c r="J57" s="244">
        <f t="shared" si="26"/>
        <v>9.4562413729406769E-2</v>
      </c>
      <c r="K57" s="244">
        <f t="shared" si="26"/>
        <v>8.4429902362176401E-2</v>
      </c>
      <c r="L57" s="244">
        <f t="shared" si="26"/>
        <v>7.4292563665581124E-2</v>
      </c>
      <c r="M57" s="244">
        <f t="shared" ref="M57" si="27">IFERROR(+M56/L56-1,"N/A")</f>
        <v>6.4150137553077968E-2</v>
      </c>
      <c r="N57" s="244">
        <f t="shared" ref="N57" si="28">IFERROR(+N56/M56-1,"N/A")</f>
        <v>5.4002345168439492E-2</v>
      </c>
      <c r="O57" s="244">
        <f t="shared" ref="O57" si="29">IFERROR(+O56/N56-1,"N/A")</f>
        <v>4.3848887171360484E-2</v>
      </c>
      <c r="P57" s="244">
        <f t="shared" ref="P57" si="30">IFERROR(+P56/O56-1,"N/A")</f>
        <v>4.6343819521146967E-2</v>
      </c>
      <c r="Q57" s="244">
        <f t="shared" ref="Q57" si="31">IFERROR(+Q56/P56-1,"N/A")</f>
        <v>4.3861239479855207E-2</v>
      </c>
      <c r="R57" s="244">
        <f t="shared" si="26"/>
        <v>-9.9999999999999978E-2</v>
      </c>
      <c r="S57" s="244">
        <f t="shared" si="26"/>
        <v>-9.9999999999999978E-2</v>
      </c>
      <c r="T57" s="244">
        <f t="shared" si="26"/>
        <v>-0.10000000000000009</v>
      </c>
      <c r="U57" s="244">
        <f t="shared" si="26"/>
        <v>-9.9999999999999978E-2</v>
      </c>
      <c r="V57" s="244">
        <f t="shared" si="26"/>
        <v>-9.9999999999999978E-2</v>
      </c>
      <c r="W57" s="208"/>
      <c r="X57" s="208"/>
      <c r="Y57" s="208"/>
      <c r="Z57" s="208"/>
      <c r="AA57" s="208"/>
      <c r="AB57" s="179"/>
    </row>
    <row r="58" spans="1:28" ht="15.75" customHeight="1" outlineLevel="1" x14ac:dyDescent="0.2">
      <c r="A58" s="208"/>
      <c r="B58" s="248" t="s">
        <v>224</v>
      </c>
      <c r="C58" s="249">
        <f>+C56/((1+$E$9)^C61)</f>
        <v>164276.52284374071</v>
      </c>
      <c r="D58" s="249">
        <f t="shared" ref="D58:V58" si="32">+D56/((1+$E$9)^D61)</f>
        <v>158859.52998471388</v>
      </c>
      <c r="E58" s="249">
        <f t="shared" si="32"/>
        <v>132708.41223194625</v>
      </c>
      <c r="F58" s="249">
        <f t="shared" si="32"/>
        <v>125964.1379308586</v>
      </c>
      <c r="G58" s="249">
        <f t="shared" si="32"/>
        <v>133608.91486701157</v>
      </c>
      <c r="H58" s="249">
        <f t="shared" si="32"/>
        <v>122353.65060982891</v>
      </c>
      <c r="I58" s="249">
        <f t="shared" si="32"/>
        <v>117239.16652164205</v>
      </c>
      <c r="J58" s="249">
        <f t="shared" si="32"/>
        <v>111308.540199802</v>
      </c>
      <c r="K58" s="249">
        <f t="shared" si="32"/>
        <v>104699.64411628009</v>
      </c>
      <c r="L58" s="249">
        <f t="shared" si="32"/>
        <v>97562.519898752842</v>
      </c>
      <c r="M58" s="249">
        <f t="shared" ref="M58:Q58" si="33">+M56/((1+$E$9)^M61)</f>
        <v>90053.614418937024</v>
      </c>
      <c r="N58" s="249">
        <f t="shared" si="33"/>
        <v>82329.970472977075</v>
      </c>
      <c r="O58" s="249">
        <f t="shared" si="33"/>
        <v>74543.679557985612</v>
      </c>
      <c r="P58" s="249">
        <f t="shared" si="33"/>
        <v>67655.089605249377</v>
      </c>
      <c r="Q58" s="249">
        <f t="shared" si="33"/>
        <v>61257.388652793277</v>
      </c>
      <c r="R58" s="249">
        <f t="shared" si="32"/>
        <v>47820.732337022266</v>
      </c>
      <c r="S58" s="249">
        <f t="shared" si="32"/>
        <v>37331.373268469397</v>
      </c>
      <c r="T58" s="249">
        <f t="shared" si="32"/>
        <v>29142.829103661756</v>
      </c>
      <c r="U58" s="249">
        <f t="shared" si="32"/>
        <v>22750.421798240375</v>
      </c>
      <c r="V58" s="249">
        <f t="shared" si="32"/>
        <v>17760.17318554765</v>
      </c>
      <c r="W58" s="208"/>
      <c r="X58" s="208"/>
      <c r="Y58" s="208"/>
      <c r="Z58" s="208"/>
      <c r="AA58" s="208"/>
      <c r="AB58" s="179"/>
    </row>
    <row r="59" spans="1:28" ht="15.75" customHeight="1" outlineLevel="1" x14ac:dyDescent="0.2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179"/>
    </row>
    <row r="60" spans="1:28" ht="15.75" customHeight="1" outlineLevel="1" x14ac:dyDescent="0.2">
      <c r="A60" s="208"/>
      <c r="B60" s="208" t="s">
        <v>225</v>
      </c>
      <c r="C60" s="252">
        <v>1</v>
      </c>
      <c r="D60" s="253">
        <f>+C60+1</f>
        <v>2</v>
      </c>
      <c r="E60" s="253">
        <f t="shared" ref="E60:V60" si="34">+D60+1</f>
        <v>3</v>
      </c>
      <c r="F60" s="253">
        <f t="shared" si="34"/>
        <v>4</v>
      </c>
      <c r="G60" s="253">
        <f t="shared" si="34"/>
        <v>5</v>
      </c>
      <c r="H60" s="253">
        <f t="shared" si="34"/>
        <v>6</v>
      </c>
      <c r="I60" s="253">
        <f t="shared" si="34"/>
        <v>7</v>
      </c>
      <c r="J60" s="253">
        <f t="shared" si="34"/>
        <v>8</v>
      </c>
      <c r="K60" s="253">
        <f t="shared" si="34"/>
        <v>9</v>
      </c>
      <c r="L60" s="253">
        <f t="shared" si="34"/>
        <v>10</v>
      </c>
      <c r="M60" s="253">
        <f t="shared" ref="M60" si="35">+L60+1</f>
        <v>11</v>
      </c>
      <c r="N60" s="253">
        <f t="shared" ref="N60" si="36">+M60+1</f>
        <v>12</v>
      </c>
      <c r="O60" s="253">
        <f t="shared" ref="O60" si="37">+N60+1</f>
        <v>13</v>
      </c>
      <c r="P60" s="253">
        <f t="shared" ref="P60" si="38">+O60+1</f>
        <v>14</v>
      </c>
      <c r="Q60" s="253">
        <f t="shared" ref="Q60" si="39">+P60+1</f>
        <v>15</v>
      </c>
      <c r="R60" s="253">
        <f t="shared" si="34"/>
        <v>16</v>
      </c>
      <c r="S60" s="253">
        <f t="shared" si="34"/>
        <v>17</v>
      </c>
      <c r="T60" s="253">
        <f t="shared" si="34"/>
        <v>18</v>
      </c>
      <c r="U60" s="253">
        <f t="shared" si="34"/>
        <v>19</v>
      </c>
      <c r="V60" s="253">
        <f t="shared" si="34"/>
        <v>20</v>
      </c>
      <c r="W60" s="208"/>
      <c r="X60" s="208"/>
      <c r="Y60" s="208"/>
      <c r="Z60" s="208"/>
      <c r="AA60" s="208"/>
      <c r="AB60" s="179"/>
    </row>
    <row r="61" spans="1:28" ht="15.75" customHeight="1" outlineLevel="1" x14ac:dyDescent="0.2">
      <c r="A61" s="208"/>
      <c r="B61" s="208" t="s">
        <v>226</v>
      </c>
      <c r="C61" s="253">
        <f>+C60/2</f>
        <v>0.5</v>
      </c>
      <c r="D61" s="253">
        <f>+D60-0.5</f>
        <v>1.5</v>
      </c>
      <c r="E61" s="253">
        <f t="shared" ref="E61:V61" si="40">+E60-0.5</f>
        <v>2.5</v>
      </c>
      <c r="F61" s="253">
        <f t="shared" si="40"/>
        <v>3.5</v>
      </c>
      <c r="G61" s="253">
        <f t="shared" si="40"/>
        <v>4.5</v>
      </c>
      <c r="H61" s="253">
        <f t="shared" si="40"/>
        <v>5.5</v>
      </c>
      <c r="I61" s="253">
        <f t="shared" si="40"/>
        <v>6.5</v>
      </c>
      <c r="J61" s="253">
        <f t="shared" si="40"/>
        <v>7.5</v>
      </c>
      <c r="K61" s="253">
        <f t="shared" si="40"/>
        <v>8.5</v>
      </c>
      <c r="L61" s="253">
        <f t="shared" si="40"/>
        <v>9.5</v>
      </c>
      <c r="M61" s="253">
        <f t="shared" ref="M61:Q61" si="41">+M60-0.5</f>
        <v>10.5</v>
      </c>
      <c r="N61" s="253">
        <f t="shared" si="41"/>
        <v>11.5</v>
      </c>
      <c r="O61" s="253">
        <f t="shared" si="41"/>
        <v>12.5</v>
      </c>
      <c r="P61" s="253">
        <f t="shared" si="41"/>
        <v>13.5</v>
      </c>
      <c r="Q61" s="253">
        <f t="shared" si="41"/>
        <v>14.5</v>
      </c>
      <c r="R61" s="253">
        <f t="shared" si="40"/>
        <v>15.5</v>
      </c>
      <c r="S61" s="253">
        <f t="shared" si="40"/>
        <v>16.5</v>
      </c>
      <c r="T61" s="253">
        <f t="shared" si="40"/>
        <v>17.5</v>
      </c>
      <c r="U61" s="253">
        <f t="shared" si="40"/>
        <v>18.5</v>
      </c>
      <c r="V61" s="253">
        <f t="shared" si="40"/>
        <v>19.5</v>
      </c>
      <c r="W61" s="208"/>
      <c r="X61" s="208"/>
      <c r="Y61" s="208"/>
      <c r="Z61" s="208"/>
      <c r="AA61" s="208"/>
      <c r="AB61" s="179"/>
    </row>
    <row r="62" spans="1:28" ht="15.75" customHeight="1" x14ac:dyDescent="0.2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179"/>
    </row>
    <row r="63" spans="1:28" ht="15.75" customHeight="1" x14ac:dyDescent="0.2">
      <c r="A63" s="208"/>
      <c r="B63" s="248" t="s">
        <v>227</v>
      </c>
      <c r="C63" s="156"/>
      <c r="D63" s="156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179"/>
    </row>
    <row r="64" spans="1:28" ht="15.75" customHeight="1" outlineLevel="1" x14ac:dyDescent="0.2">
      <c r="A64" s="208"/>
      <c r="B64" s="156"/>
      <c r="C64" s="156"/>
      <c r="D64" s="156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179"/>
    </row>
    <row r="65" spans="1:28" ht="15.75" customHeight="1" outlineLevel="1" x14ac:dyDescent="0.2">
      <c r="A65" s="208"/>
      <c r="B65" s="254"/>
      <c r="C65" s="255"/>
      <c r="D65" s="256" t="s">
        <v>228</v>
      </c>
      <c r="E65" s="256"/>
      <c r="F65" s="256"/>
      <c r="G65" s="256"/>
      <c r="H65" s="256"/>
      <c r="I65" s="256"/>
      <c r="J65" s="256"/>
      <c r="K65" s="256"/>
      <c r="L65" s="257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179"/>
    </row>
    <row r="66" spans="1:28" ht="15.75" customHeight="1" outlineLevel="1" x14ac:dyDescent="0.2">
      <c r="A66" s="208"/>
      <c r="B66" s="258"/>
      <c r="C66" s="259">
        <f>+$J$37</f>
        <v>2342138.4291349659</v>
      </c>
      <c r="D66" s="260">
        <v>0</v>
      </c>
      <c r="E66" s="260">
        <f>+D66+0.5%</f>
        <v>5.0000000000000001E-3</v>
      </c>
      <c r="F66" s="260">
        <f t="shared" ref="F66:L66" si="42">+E66+0.5%</f>
        <v>0.01</v>
      </c>
      <c r="G66" s="260">
        <f t="shared" si="42"/>
        <v>1.4999999999999999E-2</v>
      </c>
      <c r="H66" s="260">
        <f t="shared" si="42"/>
        <v>0.02</v>
      </c>
      <c r="I66" s="260">
        <f t="shared" si="42"/>
        <v>2.5000000000000001E-2</v>
      </c>
      <c r="J66" s="260">
        <f t="shared" si="42"/>
        <v>3.0000000000000002E-2</v>
      </c>
      <c r="K66" s="260">
        <f t="shared" si="42"/>
        <v>3.5000000000000003E-2</v>
      </c>
      <c r="L66" s="261">
        <f t="shared" si="42"/>
        <v>0.04</v>
      </c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179"/>
    </row>
    <row r="67" spans="1:28" ht="15.75" customHeight="1" outlineLevel="1" x14ac:dyDescent="0.2">
      <c r="A67" s="208"/>
      <c r="B67" s="303" t="s">
        <v>229</v>
      </c>
      <c r="C67" s="260">
        <v>0.13</v>
      </c>
      <c r="D67" s="262">
        <f t="dataTable" ref="D67:L75" dt2D="1" dtr="1" r1="J21" r2="E11"/>
        <v>2230849.689261632</v>
      </c>
      <c r="E67" s="263">
        <v>2252491.1604413795</v>
      </c>
      <c r="F67" s="263">
        <v>2275647.2736612726</v>
      </c>
      <c r="G67" s="263">
        <v>2300482.8051146599</v>
      </c>
      <c r="H67" s="263">
        <v>2327187.3314190358</v>
      </c>
      <c r="I67" s="263">
        <v>2355980.0779277217</v>
      </c>
      <c r="J67" s="264">
        <v>2387115.9506945014</v>
      </c>
      <c r="K67" s="263">
        <v>2420893.1035268661</v>
      </c>
      <c r="L67" s="218">
        <v>2457662.5160958655</v>
      </c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179"/>
    </row>
    <row r="68" spans="1:28" ht="15.75" customHeight="1" outlineLevel="1" x14ac:dyDescent="0.2">
      <c r="A68" s="208"/>
      <c r="B68" s="304"/>
      <c r="C68" s="260">
        <f>+C67+0.5%</f>
        <v>0.13500000000000001</v>
      </c>
      <c r="D68" s="265">
        <v>2227658.9056275683</v>
      </c>
      <c r="E68" s="219">
        <v>2249176.000536168</v>
      </c>
      <c r="F68" s="219">
        <v>2272199.0326456018</v>
      </c>
      <c r="G68" s="219">
        <v>2296891.8311596019</v>
      </c>
      <c r="H68" s="219">
        <v>2323442.883174872</v>
      </c>
      <c r="I68" s="219">
        <v>2352070.154128911</v>
      </c>
      <c r="J68" s="266">
        <v>2383027.08509818</v>
      </c>
      <c r="K68" s="219">
        <v>2416610.1163625419</v>
      </c>
      <c r="L68" s="219">
        <v>2453168.2104685018</v>
      </c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179"/>
    </row>
    <row r="69" spans="1:28" ht="15.75" customHeight="1" outlineLevel="1" x14ac:dyDescent="0.2">
      <c r="A69" s="208"/>
      <c r="B69" s="304"/>
      <c r="C69" s="260">
        <f t="shared" ref="C69:C75" si="43">+C68+0.5%</f>
        <v>0.14000000000000001</v>
      </c>
      <c r="D69" s="265">
        <v>2224468.1219935045</v>
      </c>
      <c r="E69" s="219">
        <v>2245860.8406309569</v>
      </c>
      <c r="F69" s="219">
        <v>2268750.791629931</v>
      </c>
      <c r="G69" s="219">
        <v>2293300.8572045444</v>
      </c>
      <c r="H69" s="219">
        <v>2319698.4349307087</v>
      </c>
      <c r="I69" s="219">
        <v>2348160.2303300994</v>
      </c>
      <c r="J69" s="266">
        <v>2378938.2195018586</v>
      </c>
      <c r="K69" s="219">
        <v>2412327.1291982187</v>
      </c>
      <c r="L69" s="219">
        <v>2448673.904841138</v>
      </c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179"/>
    </row>
    <row r="70" spans="1:28" ht="15.75" customHeight="1" outlineLevel="1" x14ac:dyDescent="0.2">
      <c r="A70" s="208"/>
      <c r="B70" s="304"/>
      <c r="C70" s="260">
        <f t="shared" si="43"/>
        <v>0.14500000000000002</v>
      </c>
      <c r="D70" s="265">
        <v>2221277.3383594411</v>
      </c>
      <c r="E70" s="219">
        <v>2242545.6807257449</v>
      </c>
      <c r="F70" s="219">
        <v>2265302.5506142606</v>
      </c>
      <c r="G70" s="219">
        <v>2289709.8832494859</v>
      </c>
      <c r="H70" s="219">
        <v>2315953.9866865454</v>
      </c>
      <c r="I70" s="219">
        <v>2344250.3065312887</v>
      </c>
      <c r="J70" s="266">
        <v>2374849.3539055372</v>
      </c>
      <c r="K70" s="219">
        <v>2408044.1420338955</v>
      </c>
      <c r="L70" s="219">
        <v>2444179.5992137743</v>
      </c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179"/>
    </row>
    <row r="71" spans="1:28" ht="15.75" customHeight="1" outlineLevel="1" x14ac:dyDescent="0.2">
      <c r="A71" s="208"/>
      <c r="B71" s="304"/>
      <c r="C71" s="260">
        <v>0.14844063269614838</v>
      </c>
      <c r="D71" s="267">
        <v>2219081.6754599023</v>
      </c>
      <c r="E71" s="266">
        <v>2240264.4312131787</v>
      </c>
      <c r="F71" s="266">
        <v>2262929.7244577175</v>
      </c>
      <c r="G71" s="266">
        <v>2287238.8387693278</v>
      </c>
      <c r="H71" s="266">
        <v>2313377.3324749647</v>
      </c>
      <c r="I71" s="266">
        <v>2341559.7841989608</v>
      </c>
      <c r="J71" s="266">
        <v>2372035.6969733657</v>
      </c>
      <c r="K71" s="266">
        <v>2405096.9048989443</v>
      </c>
      <c r="L71" s="266">
        <v>2441086.9482361758</v>
      </c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179"/>
    </row>
    <row r="72" spans="1:28" ht="15.75" customHeight="1" outlineLevel="1" x14ac:dyDescent="0.2">
      <c r="A72" s="208"/>
      <c r="B72" s="304"/>
      <c r="C72" s="260">
        <v>0.15</v>
      </c>
      <c r="D72" s="265">
        <v>2218086.5547253778</v>
      </c>
      <c r="E72" s="219">
        <v>2239230.5208205339</v>
      </c>
      <c r="F72" s="219">
        <v>2261854.3095985902</v>
      </c>
      <c r="G72" s="219">
        <v>2286118.9092944283</v>
      </c>
      <c r="H72" s="219">
        <v>2312209.5384423817</v>
      </c>
      <c r="I72" s="219">
        <v>2340340.382732477</v>
      </c>
      <c r="J72" s="266">
        <v>2370760.4883092158</v>
      </c>
      <c r="K72" s="219">
        <v>2403761.1548695713</v>
      </c>
      <c r="L72" s="219">
        <v>2439685.2935864106</v>
      </c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179"/>
    </row>
    <row r="73" spans="1:28" ht="15.75" customHeight="1" outlineLevel="1" x14ac:dyDescent="0.2">
      <c r="A73" s="208"/>
      <c r="B73" s="304"/>
      <c r="C73" s="260">
        <f t="shared" si="43"/>
        <v>0.155</v>
      </c>
      <c r="D73" s="265">
        <v>2214895.771091314</v>
      </c>
      <c r="E73" s="219">
        <v>2235915.3609153219</v>
      </c>
      <c r="F73" s="219">
        <v>2258406.0685829194</v>
      </c>
      <c r="G73" s="219">
        <v>2282527.9353393698</v>
      </c>
      <c r="H73" s="219">
        <v>2308465.0901982179</v>
      </c>
      <c r="I73" s="219">
        <v>2336430.4589336663</v>
      </c>
      <c r="J73" s="266">
        <v>2366671.6227128943</v>
      </c>
      <c r="K73" s="219">
        <v>2399478.1677052481</v>
      </c>
      <c r="L73" s="219">
        <v>2435190.9879590468</v>
      </c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179"/>
    </row>
    <row r="74" spans="1:28" ht="15.75" customHeight="1" outlineLevel="1" x14ac:dyDescent="0.2">
      <c r="A74" s="208"/>
      <c r="B74" s="304"/>
      <c r="C74" s="260">
        <f t="shared" si="43"/>
        <v>0.16</v>
      </c>
      <c r="D74" s="265">
        <v>2211704.9874572502</v>
      </c>
      <c r="E74" s="219">
        <v>2232600.2010101108</v>
      </c>
      <c r="F74" s="219">
        <v>2254957.8275672486</v>
      </c>
      <c r="G74" s="219">
        <v>2278936.9613843122</v>
      </c>
      <c r="H74" s="219">
        <v>2304720.6419540541</v>
      </c>
      <c r="I74" s="219">
        <v>2332520.5351348547</v>
      </c>
      <c r="J74" s="266">
        <v>2362582.7571165729</v>
      </c>
      <c r="K74" s="219">
        <v>2395195.1805409249</v>
      </c>
      <c r="L74" s="219">
        <v>2430696.6823316831</v>
      </c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179"/>
    </row>
    <row r="75" spans="1:28" ht="15.75" customHeight="1" outlineLevel="1" x14ac:dyDescent="0.2">
      <c r="A75" s="208"/>
      <c r="B75" s="305"/>
      <c r="C75" s="268">
        <f t="shared" si="43"/>
        <v>0.16500000000000001</v>
      </c>
      <c r="D75" s="265">
        <v>2208514.2038231869</v>
      </c>
      <c r="E75" s="219">
        <v>2229285.0411048988</v>
      </c>
      <c r="F75" s="219">
        <v>2251509.5865515778</v>
      </c>
      <c r="G75" s="219">
        <v>2275345.9874292542</v>
      </c>
      <c r="H75" s="219">
        <v>2300976.1937098913</v>
      </c>
      <c r="I75" s="219">
        <v>2328610.611336044</v>
      </c>
      <c r="J75" s="266">
        <v>2358493.8915202515</v>
      </c>
      <c r="K75" s="219">
        <v>2390912.1933766012</v>
      </c>
      <c r="L75" s="219">
        <v>2426202.3767043194</v>
      </c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179"/>
    </row>
    <row r="76" spans="1:28" ht="15.75" customHeight="1" outlineLevel="1" x14ac:dyDescent="0.2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179"/>
    </row>
    <row r="77" spans="1:28" ht="15.75" customHeight="1" outlineLevel="1" x14ac:dyDescent="0.2">
      <c r="A77" s="208"/>
      <c r="B77" s="248" t="s">
        <v>230</v>
      </c>
      <c r="C77" s="156"/>
      <c r="D77" s="156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179"/>
    </row>
    <row r="78" spans="1:28" ht="15.75" customHeight="1" outlineLevel="1" x14ac:dyDescent="0.2">
      <c r="A78" s="208"/>
      <c r="B78" s="156"/>
      <c r="C78" s="156"/>
      <c r="D78" s="156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179"/>
    </row>
    <row r="79" spans="1:28" ht="15.75" customHeight="1" outlineLevel="1" x14ac:dyDescent="0.2">
      <c r="A79" s="208"/>
      <c r="B79" s="254"/>
      <c r="C79" s="255"/>
      <c r="D79" s="256" t="s">
        <v>231</v>
      </c>
      <c r="E79" s="256"/>
      <c r="F79" s="256"/>
      <c r="G79" s="256"/>
      <c r="H79" s="256"/>
      <c r="I79" s="256"/>
      <c r="J79" s="256"/>
      <c r="K79" s="256"/>
      <c r="L79" s="257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179"/>
    </row>
    <row r="80" spans="1:28" ht="15.75" customHeight="1" outlineLevel="1" x14ac:dyDescent="0.2">
      <c r="A80" s="208"/>
      <c r="B80" s="258"/>
      <c r="C80" s="259">
        <f>+$E$37</f>
        <v>2410182.20581799</v>
      </c>
      <c r="D80" s="269">
        <v>4</v>
      </c>
      <c r="E80" s="269">
        <f>+D80+0.5</f>
        <v>4.5</v>
      </c>
      <c r="F80" s="269">
        <f t="shared" ref="F80:L80" si="44">+E80+0.5</f>
        <v>5</v>
      </c>
      <c r="G80" s="269">
        <f t="shared" si="44"/>
        <v>5.5</v>
      </c>
      <c r="H80" s="269">
        <v>5.6970457537651606</v>
      </c>
      <c r="I80" s="269">
        <v>6</v>
      </c>
      <c r="J80" s="269">
        <f t="shared" si="44"/>
        <v>6.5</v>
      </c>
      <c r="K80" s="269">
        <f t="shared" si="44"/>
        <v>7</v>
      </c>
      <c r="L80" s="270">
        <f t="shared" si="44"/>
        <v>7.5</v>
      </c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179"/>
    </row>
    <row r="81" spans="1:28" ht="15.75" customHeight="1" outlineLevel="1" x14ac:dyDescent="0.2">
      <c r="A81" s="208"/>
      <c r="B81" s="303" t="s">
        <v>229</v>
      </c>
      <c r="C81" s="260">
        <f>+C67</f>
        <v>0.13</v>
      </c>
      <c r="D81" s="271">
        <f t="dataTable" ref="D81:L89" dt2D="1" dtr="1" r1="E21" r2="E9" ca="1"/>
        <v>2429510.4230731959</v>
      </c>
      <c r="E81" s="218">
        <v>2508286.1449547829</v>
      </c>
      <c r="F81" s="218">
        <v>2587061.8668363709</v>
      </c>
      <c r="G81" s="218">
        <v>2665837.5887179589</v>
      </c>
      <c r="H81" s="272">
        <v>2696882.4317110628</v>
      </c>
      <c r="I81" s="218">
        <v>2744613.3105995469</v>
      </c>
      <c r="J81" s="218">
        <v>2823389.0324811339</v>
      </c>
      <c r="K81" s="218">
        <v>2902164.7543627219</v>
      </c>
      <c r="L81" s="218">
        <v>2980940.4762443099</v>
      </c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179"/>
    </row>
    <row r="82" spans="1:28" ht="15.75" customHeight="1" outlineLevel="1" x14ac:dyDescent="0.2">
      <c r="A82" s="208"/>
      <c r="B82" s="304"/>
      <c r="C82" s="260">
        <f t="shared" ref="C82:C89" si="45">+C68</f>
        <v>0.13500000000000001</v>
      </c>
      <c r="D82" s="265">
        <v>2373675.4810029576</v>
      </c>
      <c r="E82" s="219">
        <v>2449048.8992227186</v>
      </c>
      <c r="F82" s="219">
        <v>2524422.3174424795</v>
      </c>
      <c r="G82" s="219">
        <v>2599795.7356622405</v>
      </c>
      <c r="H82" s="266">
        <v>2629499.7596761798</v>
      </c>
      <c r="I82" s="219">
        <v>2675169.1538820025</v>
      </c>
      <c r="J82" s="219">
        <v>2750542.5721017634</v>
      </c>
      <c r="K82" s="219">
        <v>2825915.9903215244</v>
      </c>
      <c r="L82" s="219">
        <v>2901289.4085412854</v>
      </c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179"/>
    </row>
    <row r="83" spans="1:28" ht="15.75" customHeight="1" outlineLevel="1" x14ac:dyDescent="0.2">
      <c r="A83" s="208"/>
      <c r="B83" s="304"/>
      <c r="C83" s="260">
        <f t="shared" si="45"/>
        <v>0.14000000000000001</v>
      </c>
      <c r="D83" s="265">
        <v>2320052.0252816612</v>
      </c>
      <c r="E83" s="219">
        <v>2392184.081600613</v>
      </c>
      <c r="F83" s="219">
        <v>2464316.1379195647</v>
      </c>
      <c r="G83" s="219">
        <v>2536448.1942385165</v>
      </c>
      <c r="H83" s="266">
        <v>2564874.8250545152</v>
      </c>
      <c r="I83" s="219">
        <v>2608580.2505574692</v>
      </c>
      <c r="J83" s="219">
        <v>2680712.306876421</v>
      </c>
      <c r="K83" s="219">
        <v>2752844.3631953727</v>
      </c>
      <c r="L83" s="219">
        <v>2824976.4195143245</v>
      </c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179"/>
    </row>
    <row r="84" spans="1:28" ht="15.75" customHeight="1" outlineLevel="1" x14ac:dyDescent="0.2">
      <c r="A84" s="208"/>
      <c r="B84" s="304"/>
      <c r="C84" s="260">
        <f t="shared" si="45"/>
        <v>0.14500000000000002</v>
      </c>
      <c r="D84" s="265">
        <v>2268537.2275891798</v>
      </c>
      <c r="E84" s="219">
        <v>2337580.5941892327</v>
      </c>
      <c r="F84" s="219">
        <v>2406623.9607892851</v>
      </c>
      <c r="G84" s="219">
        <v>2475667.3273893376</v>
      </c>
      <c r="H84" s="266">
        <v>2502876.7318177214</v>
      </c>
      <c r="I84" s="219">
        <v>2544710.6939893905</v>
      </c>
      <c r="J84" s="219">
        <v>2613754.060589443</v>
      </c>
      <c r="K84" s="219">
        <v>2682797.4271894954</v>
      </c>
      <c r="L84" s="219">
        <v>2751840.7937895479</v>
      </c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179"/>
    </row>
    <row r="85" spans="1:28" ht="15.75" customHeight="1" outlineLevel="1" x14ac:dyDescent="0.2">
      <c r="A85" s="208"/>
      <c r="B85" s="304"/>
      <c r="C85" s="260">
        <f t="shared" si="45"/>
        <v>0.14844063269614838</v>
      </c>
      <c r="D85" s="267">
        <v>2234262.3406691235</v>
      </c>
      <c r="E85" s="266">
        <v>2301264.8902580207</v>
      </c>
      <c r="F85" s="266">
        <v>2368267.4398469189</v>
      </c>
      <c r="G85" s="266">
        <v>2435269.9894358162</v>
      </c>
      <c r="H85" s="266">
        <v>2461675.1252116803</v>
      </c>
      <c r="I85" s="266">
        <v>2502272.5390247144</v>
      </c>
      <c r="J85" s="266">
        <v>2569275.0886136116</v>
      </c>
      <c r="K85" s="266">
        <v>2636277.6382025098</v>
      </c>
      <c r="L85" s="266">
        <v>2703280.1877914071</v>
      </c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179"/>
    </row>
    <row r="86" spans="1:28" ht="15.75" customHeight="1" outlineLevel="1" x14ac:dyDescent="0.2">
      <c r="A86" s="208"/>
      <c r="B86" s="304"/>
      <c r="C86" s="260">
        <f t="shared" si="45"/>
        <v>0.15</v>
      </c>
      <c r="D86" s="265">
        <v>2219033.6022738246</v>
      </c>
      <c r="E86" s="219">
        <v>2285133.1401092494</v>
      </c>
      <c r="F86" s="219">
        <v>2351232.6779446742</v>
      </c>
      <c r="G86" s="219">
        <v>2417332.2157800989</v>
      </c>
      <c r="H86" s="266">
        <v>2443381.4822927192</v>
      </c>
      <c r="I86" s="219">
        <v>2483431.7536155237</v>
      </c>
      <c r="J86" s="219">
        <v>2549531.2914509485</v>
      </c>
      <c r="K86" s="219">
        <v>2615630.8292863732</v>
      </c>
      <c r="L86" s="219">
        <v>2681730.367121798</v>
      </c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179"/>
    </row>
    <row r="87" spans="1:28" ht="15.75" customHeight="1" outlineLevel="1" x14ac:dyDescent="0.2">
      <c r="A87" s="208"/>
      <c r="B87" s="304"/>
      <c r="C87" s="260">
        <f t="shared" si="45"/>
        <v>0.155</v>
      </c>
      <c r="D87" s="265">
        <v>2171448.7029106161</v>
      </c>
      <c r="E87" s="219">
        <v>2234741.8928171415</v>
      </c>
      <c r="F87" s="219">
        <v>2298035.0827236678</v>
      </c>
      <c r="G87" s="219">
        <v>2361328.2726301933</v>
      </c>
      <c r="H87" s="266">
        <v>2386271.581256859</v>
      </c>
      <c r="I87" s="219">
        <v>2424621.4625367192</v>
      </c>
      <c r="J87" s="219">
        <v>2487914.6524432451</v>
      </c>
      <c r="K87" s="219">
        <v>2551207.8423497705</v>
      </c>
      <c r="L87" s="219">
        <v>2614501.0322562959</v>
      </c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179"/>
    </row>
    <row r="88" spans="1:28" ht="15.75" customHeight="1" outlineLevel="1" x14ac:dyDescent="0.2">
      <c r="A88" s="208"/>
      <c r="B88" s="304"/>
      <c r="C88" s="260">
        <f t="shared" si="45"/>
        <v>0.16</v>
      </c>
      <c r="D88" s="265">
        <v>2125694.8374620755</v>
      </c>
      <c r="E88" s="219">
        <v>2186312.1857510721</v>
      </c>
      <c r="F88" s="219">
        <v>2246929.5340400692</v>
      </c>
      <c r="G88" s="219">
        <v>2307546.8823290663</v>
      </c>
      <c r="H88" s="266">
        <v>2331435.6644987673</v>
      </c>
      <c r="I88" s="219">
        <v>2368164.2306180624</v>
      </c>
      <c r="J88" s="219">
        <v>2428781.5789070595</v>
      </c>
      <c r="K88" s="219">
        <v>2489398.9271960566</v>
      </c>
      <c r="L88" s="219">
        <v>2550016.2754850527</v>
      </c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179"/>
    </row>
    <row r="89" spans="1:28" ht="15.75" customHeight="1" outlineLevel="1" x14ac:dyDescent="0.2">
      <c r="A89" s="208"/>
      <c r="B89" s="305"/>
      <c r="C89" s="268">
        <f t="shared" si="45"/>
        <v>0.16500000000000001</v>
      </c>
      <c r="D89" s="265">
        <v>2081688.8008209353</v>
      </c>
      <c r="E89" s="219">
        <v>2139754.2209698004</v>
      </c>
      <c r="F89" s="219">
        <v>2197819.6411186652</v>
      </c>
      <c r="G89" s="219">
        <v>2255885.0612675305</v>
      </c>
      <c r="H89" s="266">
        <v>2278768.1502293786</v>
      </c>
      <c r="I89" s="219">
        <v>2313950.4814163959</v>
      </c>
      <c r="J89" s="219">
        <v>2372015.9015652612</v>
      </c>
      <c r="K89" s="219">
        <v>2430081.3217141265</v>
      </c>
      <c r="L89" s="219">
        <v>2488146.7418629914</v>
      </c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179"/>
    </row>
    <row r="90" spans="1:28" ht="15.75" customHeight="1" outlineLevel="1" x14ac:dyDescent="0.2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179"/>
    </row>
    <row r="91" spans="1:28" ht="15.75" customHeight="1" outlineLevel="1" x14ac:dyDescent="0.2">
      <c r="A91" s="208"/>
      <c r="B91" s="248" t="s">
        <v>232</v>
      </c>
      <c r="C91" s="156"/>
      <c r="D91" s="156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179"/>
    </row>
    <row r="92" spans="1:28" ht="15.75" customHeight="1" outlineLevel="1" x14ac:dyDescent="0.2">
      <c r="A92" s="208"/>
      <c r="B92" s="156"/>
      <c r="C92" s="156"/>
      <c r="D92" s="156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179"/>
    </row>
    <row r="93" spans="1:28" ht="15.75" customHeight="1" outlineLevel="1" x14ac:dyDescent="0.2">
      <c r="A93" s="208"/>
      <c r="B93" s="254"/>
      <c r="C93" s="255"/>
      <c r="D93" s="256" t="s">
        <v>169</v>
      </c>
      <c r="E93" s="256"/>
      <c r="F93" s="256"/>
      <c r="G93" s="256"/>
      <c r="H93" s="256"/>
      <c r="I93" s="256"/>
      <c r="J93" s="256"/>
      <c r="K93" s="256"/>
      <c r="L93" s="257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179"/>
    </row>
    <row r="94" spans="1:28" ht="15.75" customHeight="1" outlineLevel="1" x14ac:dyDescent="0.2">
      <c r="A94" s="208"/>
      <c r="B94" s="258"/>
      <c r="C94" s="259">
        <f>+$O$37</f>
        <v>2226118.1353116604</v>
      </c>
      <c r="D94" s="273">
        <v>0</v>
      </c>
      <c r="E94" s="273">
        <f>+D94+5%</f>
        <v>0.05</v>
      </c>
      <c r="F94" s="273">
        <f t="shared" ref="F94:L94" si="46">+E94+5%</f>
        <v>0.1</v>
      </c>
      <c r="G94" s="273">
        <f t="shared" si="46"/>
        <v>0.15000000000000002</v>
      </c>
      <c r="H94" s="273">
        <f t="shared" si="46"/>
        <v>0.2</v>
      </c>
      <c r="I94" s="273">
        <f t="shared" si="46"/>
        <v>0.25</v>
      </c>
      <c r="J94" s="273">
        <f t="shared" si="46"/>
        <v>0.3</v>
      </c>
      <c r="K94" s="273">
        <f t="shared" si="46"/>
        <v>0.35</v>
      </c>
      <c r="L94" s="274">
        <f t="shared" si="46"/>
        <v>0.39999999999999997</v>
      </c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179"/>
    </row>
    <row r="95" spans="1:28" ht="15.75" customHeight="1" outlineLevel="1" x14ac:dyDescent="0.2">
      <c r="A95" s="208"/>
      <c r="B95" s="303" t="s">
        <v>229</v>
      </c>
      <c r="C95" s="260">
        <f>+C81</f>
        <v>0.13</v>
      </c>
      <c r="D95" s="271">
        <f t="dataTable" ref="D95:L103" dt2D="1" dtr="1" r1="E13" r2="E9" ca="1"/>
        <v>2696178.811687802</v>
      </c>
      <c r="E95" s="218">
        <v>2651335.1035044361</v>
      </c>
      <c r="F95" s="218">
        <v>2606491.3953210711</v>
      </c>
      <c r="G95" s="218">
        <v>2561647.6871377053</v>
      </c>
      <c r="H95" s="272">
        <v>2516803.9789543403</v>
      </c>
      <c r="I95" s="218">
        <v>2471960.2707709749</v>
      </c>
      <c r="J95" s="218">
        <v>2427116.5625876095</v>
      </c>
      <c r="K95" s="218">
        <v>2382272.8544042436</v>
      </c>
      <c r="L95" s="218">
        <v>2337429.1462208787</v>
      </c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179"/>
    </row>
    <row r="96" spans="1:28" ht="15.75" customHeight="1" outlineLevel="1" x14ac:dyDescent="0.2">
      <c r="A96" s="208"/>
      <c r="B96" s="304"/>
      <c r="C96" s="260">
        <f t="shared" ref="C96:C103" si="47">+C82</f>
        <v>0.13500000000000001</v>
      </c>
      <c r="D96" s="265">
        <v>2628826.5288251722</v>
      </c>
      <c r="E96" s="219">
        <v>2585919.6091461573</v>
      </c>
      <c r="F96" s="219">
        <v>2543012.6894671423</v>
      </c>
      <c r="G96" s="219">
        <v>2500105.7697881269</v>
      </c>
      <c r="H96" s="266">
        <v>2457198.8501091115</v>
      </c>
      <c r="I96" s="219">
        <v>2414291.9304300966</v>
      </c>
      <c r="J96" s="219">
        <v>2371385.0107510812</v>
      </c>
      <c r="K96" s="219">
        <v>2328478.0910720658</v>
      </c>
      <c r="L96" s="219">
        <v>2285571.1713930508</v>
      </c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179"/>
    </row>
    <row r="97" spans="1:28" ht="15.75" customHeight="1" outlineLevel="1" x14ac:dyDescent="0.2">
      <c r="A97" s="208"/>
      <c r="B97" s="304"/>
      <c r="C97" s="260">
        <f t="shared" si="47"/>
        <v>0.14000000000000001</v>
      </c>
      <c r="D97" s="265">
        <v>2564230.5458536046</v>
      </c>
      <c r="E97" s="219">
        <v>2523168.7972974265</v>
      </c>
      <c r="F97" s="219">
        <v>2482107.0487412484</v>
      </c>
      <c r="G97" s="219">
        <v>2441045.3001850704</v>
      </c>
      <c r="H97" s="266">
        <v>2399983.5516288923</v>
      </c>
      <c r="I97" s="219">
        <v>2358921.8030727142</v>
      </c>
      <c r="J97" s="219">
        <v>2317860.0545165362</v>
      </c>
      <c r="K97" s="219">
        <v>2276798.3059603586</v>
      </c>
      <c r="L97" s="219">
        <v>2235736.557404181</v>
      </c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179"/>
    </row>
    <row r="98" spans="1:28" ht="15.75" customHeight="1" outlineLevel="1" x14ac:dyDescent="0.2">
      <c r="A98" s="208"/>
      <c r="B98" s="304"/>
      <c r="C98" s="260">
        <f t="shared" si="47"/>
        <v>0.14500000000000002</v>
      </c>
      <c r="D98" s="265">
        <v>2502260.0406081351</v>
      </c>
      <c r="E98" s="219">
        <v>2462956.5533171659</v>
      </c>
      <c r="F98" s="219">
        <v>2423653.0660261977</v>
      </c>
      <c r="G98" s="219">
        <v>2384349.5787352286</v>
      </c>
      <c r="H98" s="266">
        <v>2345046.0914442604</v>
      </c>
      <c r="I98" s="219">
        <v>2305742.6041532913</v>
      </c>
      <c r="J98" s="219">
        <v>2266439.1168623222</v>
      </c>
      <c r="K98" s="219">
        <v>2227135.629571354</v>
      </c>
      <c r="L98" s="219">
        <v>2187832.1422803849</v>
      </c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179"/>
    </row>
    <row r="99" spans="1:28" ht="15.75" customHeight="1" outlineLevel="1" x14ac:dyDescent="0.2">
      <c r="A99" s="208"/>
      <c r="B99" s="304"/>
      <c r="C99" s="260">
        <f t="shared" si="47"/>
        <v>0.14844063269614838</v>
      </c>
      <c r="D99" s="267">
        <v>2461076.6624572398</v>
      </c>
      <c r="E99" s="266">
        <v>2422934.9265322746</v>
      </c>
      <c r="F99" s="266">
        <v>2384793.1906073098</v>
      </c>
      <c r="G99" s="266">
        <v>2346651.4546823446</v>
      </c>
      <c r="H99" s="266">
        <v>2308509.7187573798</v>
      </c>
      <c r="I99" s="266">
        <v>2270367.982832415</v>
      </c>
      <c r="J99" s="266">
        <v>2232226.2469074503</v>
      </c>
      <c r="K99" s="266">
        <v>2194084.5109824855</v>
      </c>
      <c r="L99" s="266">
        <v>2155942.7750575207</v>
      </c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179"/>
    </row>
    <row r="100" spans="1:28" ht="15.75" customHeight="1" outlineLevel="1" x14ac:dyDescent="0.2">
      <c r="A100" s="208"/>
      <c r="B100" s="304"/>
      <c r="C100" s="260">
        <f t="shared" si="47"/>
        <v>0.15</v>
      </c>
      <c r="D100" s="265">
        <v>2442791.0851851022</v>
      </c>
      <c r="E100" s="219">
        <v>2405163.395905368</v>
      </c>
      <c r="F100" s="219">
        <v>2367535.7066256348</v>
      </c>
      <c r="G100" s="219">
        <v>2329908.0173459006</v>
      </c>
      <c r="H100" s="266">
        <v>2292280.3280661674</v>
      </c>
      <c r="I100" s="219">
        <v>2254652.6387864333</v>
      </c>
      <c r="J100" s="219">
        <v>2217024.9495067</v>
      </c>
      <c r="K100" s="219">
        <v>2179397.2602269659</v>
      </c>
      <c r="L100" s="219">
        <v>2141769.5709472322</v>
      </c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179"/>
    </row>
    <row r="101" spans="1:28" ht="15.75" customHeight="1" outlineLevel="1" x14ac:dyDescent="0.2">
      <c r="A101" s="208"/>
      <c r="B101" s="304"/>
      <c r="C101" s="260">
        <f t="shared" si="47"/>
        <v>0.155</v>
      </c>
      <c r="D101" s="265">
        <v>2385706.2502806317</v>
      </c>
      <c r="E101" s="219">
        <v>2349676.0969495205</v>
      </c>
      <c r="F101" s="219">
        <v>2313645.9436184103</v>
      </c>
      <c r="G101" s="219">
        <v>2277615.7902872991</v>
      </c>
      <c r="H101" s="266">
        <v>2241585.6369561879</v>
      </c>
      <c r="I101" s="219">
        <v>2205555.4836250767</v>
      </c>
      <c r="J101" s="219">
        <v>2169525.3302939655</v>
      </c>
      <c r="K101" s="219">
        <v>2133495.1769628543</v>
      </c>
      <c r="L101" s="219">
        <v>2097465.0236317432</v>
      </c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179"/>
    </row>
    <row r="102" spans="1:28" ht="15.75" customHeight="1" outlineLevel="1" x14ac:dyDescent="0.2">
      <c r="A102" s="208"/>
      <c r="B102" s="304"/>
      <c r="C102" s="260">
        <f t="shared" si="47"/>
        <v>0.16</v>
      </c>
      <c r="D102" s="265">
        <v>2330894.2339793844</v>
      </c>
      <c r="E102" s="219">
        <v>2296387.3248379198</v>
      </c>
      <c r="F102" s="219">
        <v>2261880.4156964561</v>
      </c>
      <c r="G102" s="219">
        <v>2227373.5065549919</v>
      </c>
      <c r="H102" s="266">
        <v>2192866.5974135278</v>
      </c>
      <c r="I102" s="219">
        <v>2158359.6882720636</v>
      </c>
      <c r="J102" s="219">
        <v>2123852.7791305995</v>
      </c>
      <c r="K102" s="219">
        <v>2089345.8699891351</v>
      </c>
      <c r="L102" s="219">
        <v>2054838.9608476709</v>
      </c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179"/>
    </row>
    <row r="103" spans="1:28" ht="15.75" customHeight="1" outlineLevel="1" x14ac:dyDescent="0.2">
      <c r="A103" s="208"/>
      <c r="B103" s="305"/>
      <c r="C103" s="268">
        <f t="shared" si="47"/>
        <v>0.16500000000000001</v>
      </c>
      <c r="D103" s="265">
        <v>2278249.5133790905</v>
      </c>
      <c r="E103" s="219">
        <v>2245195.3096916368</v>
      </c>
      <c r="F103" s="219">
        <v>2212141.1060041832</v>
      </c>
      <c r="G103" s="219">
        <v>2179086.9023167291</v>
      </c>
      <c r="H103" s="266">
        <v>2146032.698629275</v>
      </c>
      <c r="I103" s="219">
        <v>2112978.4949418213</v>
      </c>
      <c r="J103" s="219">
        <v>2079924.2912543674</v>
      </c>
      <c r="K103" s="219">
        <v>2046870.0875669138</v>
      </c>
      <c r="L103" s="219">
        <v>2013815.8838794599</v>
      </c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179"/>
    </row>
    <row r="104" spans="1:28" ht="15.75" customHeight="1" outlineLevel="1" x14ac:dyDescent="0.2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179"/>
    </row>
    <row r="105" spans="1:28" ht="15.75" customHeight="1" outlineLevel="1" x14ac:dyDescent="0.2">
      <c r="A105" s="208"/>
      <c r="B105" s="248" t="s">
        <v>233</v>
      </c>
      <c r="C105" s="156"/>
      <c r="D105" s="156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179"/>
    </row>
    <row r="106" spans="1:28" ht="15.75" customHeight="1" outlineLevel="1" x14ac:dyDescent="0.2">
      <c r="A106" s="208"/>
      <c r="B106" s="156"/>
      <c r="C106" s="156"/>
      <c r="D106" s="156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179"/>
    </row>
    <row r="107" spans="1:28" ht="15.75" customHeight="1" outlineLevel="1" x14ac:dyDescent="0.2">
      <c r="A107" s="208"/>
      <c r="B107" s="254"/>
      <c r="C107" s="255"/>
      <c r="D107" s="256" t="s">
        <v>234</v>
      </c>
      <c r="E107" s="256"/>
      <c r="F107" s="256"/>
      <c r="G107" s="256"/>
      <c r="H107" s="256"/>
      <c r="I107" s="256"/>
      <c r="J107" s="256"/>
      <c r="K107" s="256"/>
      <c r="L107" s="257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  <c r="AB107" s="179"/>
    </row>
    <row r="108" spans="1:28" ht="15.75" customHeight="1" outlineLevel="1" x14ac:dyDescent="0.2">
      <c r="A108" s="208"/>
      <c r="B108" s="258"/>
      <c r="C108" s="259">
        <f>+$T$37</f>
        <v>2206298.6093354607</v>
      </c>
      <c r="D108" s="273">
        <v>-0.4</v>
      </c>
      <c r="E108" s="273">
        <f>+D108+5%</f>
        <v>-0.35000000000000003</v>
      </c>
      <c r="F108" s="273">
        <f t="shared" ref="F108:L108" si="48">+E108+5%</f>
        <v>-0.30000000000000004</v>
      </c>
      <c r="G108" s="273">
        <f t="shared" si="48"/>
        <v>-0.25000000000000006</v>
      </c>
      <c r="H108" s="273">
        <f t="shared" si="48"/>
        <v>-0.20000000000000007</v>
      </c>
      <c r="I108" s="273">
        <f t="shared" si="48"/>
        <v>-0.15000000000000008</v>
      </c>
      <c r="J108" s="273">
        <f t="shared" si="48"/>
        <v>-0.10000000000000007</v>
      </c>
      <c r="K108" s="273">
        <f t="shared" si="48"/>
        <v>-5.0000000000000072E-2</v>
      </c>
      <c r="L108" s="274">
        <f t="shared" si="48"/>
        <v>-6.9388939039072284E-17</v>
      </c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  <c r="AB108" s="179"/>
    </row>
    <row r="109" spans="1:28" ht="15.75" customHeight="1" outlineLevel="1" x14ac:dyDescent="0.2">
      <c r="A109" s="208"/>
      <c r="B109" s="303" t="s">
        <v>229</v>
      </c>
      <c r="C109" s="260">
        <f>+C95</f>
        <v>0.13</v>
      </c>
      <c r="D109" s="271">
        <f t="dataTable" ref="D109:L117" dt2D="1" dtr="1" r1="T21" r2="E9"/>
        <v>2369337.2132513234</v>
      </c>
      <c r="E109" s="218">
        <v>2384459.2270229943</v>
      </c>
      <c r="F109" s="218">
        <v>2401705.4170211693</v>
      </c>
      <c r="G109" s="218">
        <v>2421372.2599016652</v>
      </c>
      <c r="H109" s="218">
        <v>2443787.1125262822</v>
      </c>
      <c r="I109" s="218">
        <v>2469309.879360538</v>
      </c>
      <c r="J109" s="272">
        <v>2498334.6798713976</v>
      </c>
      <c r="K109" s="218">
        <v>2531291.5159250032</v>
      </c>
      <c r="L109" s="218">
        <v>2568647.9391844086</v>
      </c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  <c r="AB109" s="179"/>
    </row>
    <row r="110" spans="1:28" ht="15.75" customHeight="1" outlineLevel="1" x14ac:dyDescent="0.2">
      <c r="A110" s="208"/>
      <c r="B110" s="304"/>
      <c r="C110" s="260">
        <f t="shared" ref="C110:C117" si="49">+C96</f>
        <v>0.13500000000000001</v>
      </c>
      <c r="D110" s="265">
        <v>2308991.7645700015</v>
      </c>
      <c r="E110" s="219">
        <v>2323011.7198495846</v>
      </c>
      <c r="F110" s="219">
        <v>2338991.6429034695</v>
      </c>
      <c r="G110" s="219">
        <v>2357204.3133128695</v>
      </c>
      <c r="H110" s="219">
        <v>2377950.874123943</v>
      </c>
      <c r="I110" s="219">
        <v>2401562.3617002754</v>
      </c>
      <c r="J110" s="266">
        <v>2428401.2355753551</v>
      </c>
      <c r="K110" s="219">
        <v>2458862.9083050527</v>
      </c>
      <c r="L110" s="219">
        <v>2493377.2753200987</v>
      </c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179"/>
    </row>
    <row r="111" spans="1:28" ht="15.75" customHeight="1" outlineLevel="1" x14ac:dyDescent="0.2">
      <c r="A111" s="208"/>
      <c r="B111" s="304"/>
      <c r="C111" s="260">
        <f t="shared" si="49"/>
        <v>0.14000000000000001</v>
      </c>
      <c r="D111" s="265">
        <v>2251503.9033946781</v>
      </c>
      <c r="E111" s="219">
        <v>2264506.869349882</v>
      </c>
      <c r="F111" s="219">
        <v>2279318.9661592776</v>
      </c>
      <c r="G111" s="219">
        <v>2296191.2648651218</v>
      </c>
      <c r="H111" s="219">
        <v>2315400.898178691</v>
      </c>
      <c r="I111" s="219">
        <v>2337252.4646650366</v>
      </c>
      <c r="J111" s="266">
        <v>2362079.432927737</v>
      </c>
      <c r="K111" s="219">
        <v>2390245.5457936516</v>
      </c>
      <c r="L111" s="219">
        <v>2422146.2244976731</v>
      </c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179"/>
    </row>
    <row r="112" spans="1:28" ht="15.75" customHeight="1" outlineLevel="1" x14ac:dyDescent="0.2">
      <c r="A112" s="208"/>
      <c r="B112" s="304"/>
      <c r="C112" s="260">
        <f t="shared" si="49"/>
        <v>0.14500000000000002</v>
      </c>
      <c r="D112" s="265">
        <v>2196709.0600453019</v>
      </c>
      <c r="E112" s="219">
        <v>2208773.1770244045</v>
      </c>
      <c r="F112" s="219">
        <v>2222507.8161568963</v>
      </c>
      <c r="G112" s="219">
        <v>2238144.1537726549</v>
      </c>
      <c r="H112" s="219">
        <v>2255937.3218302885</v>
      </c>
      <c r="I112" s="219">
        <v>2276167.6972405324</v>
      </c>
      <c r="J112" s="266">
        <v>2299142.1911896477</v>
      </c>
      <c r="K112" s="219">
        <v>2325195.5384628205</v>
      </c>
      <c r="L112" s="219">
        <v>2354691.5867675557</v>
      </c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179"/>
    </row>
    <row r="113" spans="1:28" ht="15.75" customHeight="1" outlineLevel="1" x14ac:dyDescent="0.2">
      <c r="A113" s="208"/>
      <c r="B113" s="304"/>
      <c r="C113" s="260">
        <f t="shared" si="49"/>
        <v>0.14844063269614838</v>
      </c>
      <c r="D113" s="267">
        <v>2160486.991462904</v>
      </c>
      <c r="E113" s="266">
        <v>2171947.1275753616</v>
      </c>
      <c r="F113" s="266">
        <v>2184988.9623213722</v>
      </c>
      <c r="G113" s="266">
        <v>2199830.9522762024</v>
      </c>
      <c r="H113" s="266">
        <v>2216714.1649965784</v>
      </c>
      <c r="I113" s="266">
        <v>2235903.4950726526</v>
      </c>
      <c r="J113" s="266">
        <v>2257688.8801799691</v>
      </c>
      <c r="K113" s="266">
        <v>2282386.5171314273</v>
      </c>
      <c r="L113" s="266">
        <v>2310340.0779292453</v>
      </c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179"/>
    </row>
    <row r="114" spans="1:28" ht="15.75" customHeight="1" outlineLevel="1" x14ac:dyDescent="0.2">
      <c r="A114" s="208"/>
      <c r="B114" s="304"/>
      <c r="C114" s="260">
        <f t="shared" si="49"/>
        <v>0.15</v>
      </c>
      <c r="D114" s="265">
        <v>2144453.454401243</v>
      </c>
      <c r="E114" s="219">
        <v>2155650.527404746</v>
      </c>
      <c r="F114" s="219">
        <v>2168390.7011241568</v>
      </c>
      <c r="G114" s="219">
        <v>2182886.9123258712</v>
      </c>
      <c r="H114" s="219">
        <v>2199374.1257176343</v>
      </c>
      <c r="I114" s="219">
        <v>2218110.5182464658</v>
      </c>
      <c r="J114" s="266">
        <v>2239378.6633965806</v>
      </c>
      <c r="K114" s="219">
        <v>2263486.7154873107</v>
      </c>
      <c r="L114" s="219">
        <v>2290769.593971028</v>
      </c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179"/>
    </row>
    <row r="115" spans="1:28" ht="15.75" customHeight="1" outlineLevel="1" x14ac:dyDescent="0.2">
      <c r="A115" s="208"/>
      <c r="B115" s="304"/>
      <c r="C115" s="260">
        <f t="shared" si="49"/>
        <v>0.155</v>
      </c>
      <c r="D115" s="265">
        <v>2094593.3152188871</v>
      </c>
      <c r="E115" s="219">
        <v>2104989.3540761136</v>
      </c>
      <c r="F115" s="219">
        <v>2116811.311305413</v>
      </c>
      <c r="G115" s="219">
        <v>2130255.3950793268</v>
      </c>
      <c r="H115" s="219">
        <v>2145538.0763881514</v>
      </c>
      <c r="I115" s="219">
        <v>2162897.1772686052</v>
      </c>
      <c r="J115" s="266">
        <v>2182592.9590324936</v>
      </c>
      <c r="K115" s="219">
        <v>2204909.2104953742</v>
      </c>
      <c r="L115" s="219">
        <v>2230154.3362052226</v>
      </c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179"/>
    </row>
    <row r="116" spans="1:28" ht="15.75" customHeight="1" outlineLevel="1" x14ac:dyDescent="0.2">
      <c r="A116" s="208"/>
      <c r="B116" s="304"/>
      <c r="C116" s="260">
        <f t="shared" si="49"/>
        <v>0.16</v>
      </c>
      <c r="D116" s="265">
        <v>2046994.1606833998</v>
      </c>
      <c r="E116" s="219">
        <v>2056649.8719383862</v>
      </c>
      <c r="F116" s="219">
        <v>2067623.6942938473</v>
      </c>
      <c r="G116" s="219">
        <v>2080096.4872367301</v>
      </c>
      <c r="H116" s="219">
        <v>2094267.7561806666</v>
      </c>
      <c r="I116" s="219">
        <v>2110356.6527839308</v>
      </c>
      <c r="J116" s="266">
        <v>2128602.9752673926</v>
      </c>
      <c r="K116" s="219">
        <v>2149268.1687324746</v>
      </c>
      <c r="L116" s="219">
        <v>2172636.3254791056</v>
      </c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179"/>
    </row>
    <row r="117" spans="1:28" ht="15.75" customHeight="1" outlineLevel="1" x14ac:dyDescent="0.2">
      <c r="A117" s="208"/>
      <c r="B117" s="305"/>
      <c r="C117" s="268">
        <f t="shared" si="49"/>
        <v>0.16500000000000001</v>
      </c>
      <c r="D117" s="265">
        <v>2001530.135048155</v>
      </c>
      <c r="E117" s="219">
        <v>2010501.3700690386</v>
      </c>
      <c r="F117" s="219">
        <v>2020691.4963178369</v>
      </c>
      <c r="G117" s="219">
        <v>2032267.2853168736</v>
      </c>
      <c r="H117" s="219">
        <v>2045412.6728431189</v>
      </c>
      <c r="I117" s="219">
        <v>2060329.6787703461</v>
      </c>
      <c r="J117" s="266">
        <v>2077239.326911289</v>
      </c>
      <c r="K117" s="219">
        <v>2096382.5648597986</v>
      </c>
      <c r="L117" s="219">
        <v>2118021.1838329993</v>
      </c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179"/>
    </row>
    <row r="118" spans="1:28" ht="15.75" customHeight="1" x14ac:dyDescent="0.2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  <c r="AB118" s="179"/>
    </row>
    <row r="119" spans="1:28" ht="15.75" customHeight="1" x14ac:dyDescent="0.2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  <c r="AB119" s="179"/>
    </row>
    <row r="120" spans="1:28" ht="15.75" customHeight="1" x14ac:dyDescent="0.2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179"/>
    </row>
    <row r="121" spans="1:28" ht="15.75" customHeight="1" x14ac:dyDescent="0.2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179"/>
    </row>
    <row r="122" spans="1:28" ht="15.75" customHeight="1" x14ac:dyDescent="0.2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  <c r="AB122" s="179"/>
    </row>
    <row r="123" spans="1:28" ht="15.75" customHeight="1" x14ac:dyDescent="0.2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179"/>
    </row>
    <row r="124" spans="1:28" ht="15.75" customHeight="1" x14ac:dyDescent="0.2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179"/>
    </row>
    <row r="125" spans="1:28" ht="15.75" customHeight="1" x14ac:dyDescent="0.2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179"/>
    </row>
    <row r="126" spans="1:28" ht="15.75" customHeight="1" x14ac:dyDescent="0.2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179"/>
    </row>
    <row r="127" spans="1:28" ht="15.75" customHeight="1" x14ac:dyDescent="0.2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179"/>
    </row>
    <row r="128" spans="1:28" ht="15.75" customHeight="1" x14ac:dyDescent="0.2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179"/>
    </row>
    <row r="129" spans="1:28" ht="15.75" customHeight="1" x14ac:dyDescent="0.2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179"/>
    </row>
    <row r="130" spans="1:28" ht="15.75" customHeight="1" x14ac:dyDescent="0.2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179"/>
    </row>
    <row r="131" spans="1:28" ht="15.75" customHeight="1" x14ac:dyDescent="0.2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179"/>
    </row>
    <row r="132" spans="1:28" ht="15.75" customHeight="1" x14ac:dyDescent="0.2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  <c r="AB132" s="179"/>
    </row>
    <row r="133" spans="1:28" ht="15.75" customHeight="1" x14ac:dyDescent="0.2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179"/>
    </row>
    <row r="134" spans="1:28" ht="15.75" customHeight="1" x14ac:dyDescent="0.2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  <c r="AB134" s="179"/>
    </row>
    <row r="135" spans="1:28" ht="15.75" customHeight="1" x14ac:dyDescent="0.2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179"/>
    </row>
    <row r="136" spans="1:28" ht="15.75" customHeight="1" x14ac:dyDescent="0.2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179"/>
    </row>
    <row r="137" spans="1:28" ht="15.75" customHeight="1" x14ac:dyDescent="0.2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179"/>
    </row>
    <row r="138" spans="1:28" ht="15.75" customHeight="1" x14ac:dyDescent="0.2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179"/>
    </row>
    <row r="139" spans="1:28" ht="15.75" customHeight="1" x14ac:dyDescent="0.2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179"/>
    </row>
    <row r="140" spans="1:28" ht="15.75" customHeight="1" x14ac:dyDescent="0.2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179"/>
    </row>
    <row r="141" spans="1:28" ht="15.75" customHeight="1" x14ac:dyDescent="0.2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179"/>
    </row>
    <row r="142" spans="1:28" ht="15.75" customHeight="1" x14ac:dyDescent="0.2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179"/>
    </row>
    <row r="143" spans="1:28" ht="15.75" customHeight="1" x14ac:dyDescent="0.2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179"/>
    </row>
    <row r="144" spans="1:28" ht="15.75" customHeight="1" x14ac:dyDescent="0.2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179"/>
    </row>
    <row r="145" spans="1:28" ht="15.75" customHeight="1" x14ac:dyDescent="0.2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179"/>
    </row>
    <row r="146" spans="1:28" ht="15.75" customHeight="1" x14ac:dyDescent="0.2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179"/>
    </row>
    <row r="147" spans="1:28" ht="15.75" customHeight="1" x14ac:dyDescent="0.2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179"/>
    </row>
    <row r="148" spans="1:28" ht="15.75" customHeight="1" x14ac:dyDescent="0.2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179"/>
    </row>
    <row r="149" spans="1:28" ht="15.75" customHeight="1" x14ac:dyDescent="0.2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179"/>
    </row>
    <row r="150" spans="1:28" ht="15.75" customHeight="1" x14ac:dyDescent="0.2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179"/>
    </row>
    <row r="151" spans="1:28" ht="15.75" customHeight="1" x14ac:dyDescent="0.2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179"/>
    </row>
    <row r="152" spans="1:28" ht="15.75" customHeight="1" x14ac:dyDescent="0.2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179"/>
    </row>
    <row r="153" spans="1:28" ht="15.75" customHeight="1" x14ac:dyDescent="0.2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179"/>
    </row>
    <row r="154" spans="1:28" ht="15.75" customHeight="1" x14ac:dyDescent="0.2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179"/>
    </row>
    <row r="155" spans="1:28" ht="15.75" customHeight="1" x14ac:dyDescent="0.2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179"/>
    </row>
    <row r="156" spans="1:28" ht="15.75" customHeight="1" x14ac:dyDescent="0.2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179"/>
    </row>
    <row r="157" spans="1:28" ht="15.75" customHeight="1" x14ac:dyDescent="0.2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179"/>
    </row>
    <row r="158" spans="1:28" ht="15.75" customHeight="1" x14ac:dyDescent="0.2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179"/>
    </row>
    <row r="159" spans="1:28" ht="15.75" customHeight="1" x14ac:dyDescent="0.2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179"/>
    </row>
    <row r="160" spans="1:28" ht="15.75" customHeight="1" x14ac:dyDescent="0.2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179"/>
    </row>
    <row r="161" spans="1:28" ht="15.75" customHeight="1" x14ac:dyDescent="0.2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179"/>
    </row>
    <row r="162" spans="1:28" ht="15.75" customHeight="1" x14ac:dyDescent="0.2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179"/>
    </row>
    <row r="163" spans="1:28" ht="15.75" customHeight="1" x14ac:dyDescent="0.2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spans="1:28" ht="15.75" customHeight="1" x14ac:dyDescent="0.2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spans="1:28" ht="15.75" customHeight="1" x14ac:dyDescent="0.2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spans="1:28" ht="15.75" customHeight="1" x14ac:dyDescent="0.2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spans="1:28" ht="15.75" customHeight="1" x14ac:dyDescent="0.2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spans="1:28" ht="15.75" customHeight="1" x14ac:dyDescent="0.2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spans="1:28" ht="15.75" customHeight="1" x14ac:dyDescent="0.2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spans="1:28" ht="15.75" customHeight="1" x14ac:dyDescent="0.2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75" customWidth="1"/>
    <col min="2" max="2" width="35.5" style="175" bestFit="1" customWidth="1"/>
    <col min="3" max="3" width="13.6640625" style="175" hidden="1" customWidth="1" outlineLevel="1"/>
    <col min="4" max="4" width="12.6640625" style="175" customWidth="1" collapsed="1"/>
    <col min="5" max="12" width="12.6640625" style="175" customWidth="1"/>
    <col min="13" max="14" width="2.6640625" style="175" customWidth="1"/>
    <col min="15" max="23" width="13.6640625" style="175" customWidth="1"/>
    <col min="24" max="257" width="9.1640625" style="175"/>
    <col min="258" max="258" width="2.6640625" style="175" customWidth="1"/>
    <col min="259" max="259" width="27.5" style="175" bestFit="1" customWidth="1"/>
    <col min="260" max="260" width="9.6640625" style="175" bestFit="1" customWidth="1"/>
    <col min="261" max="261" width="9.33203125" style="175" bestFit="1" customWidth="1"/>
    <col min="262" max="262" width="10" style="175" customWidth="1"/>
    <col min="263" max="263" width="9.1640625" style="175"/>
    <col min="264" max="264" width="9.6640625" style="175" bestFit="1" customWidth="1"/>
    <col min="265" max="513" width="9.1640625" style="175"/>
    <col min="514" max="514" width="2.6640625" style="175" customWidth="1"/>
    <col min="515" max="515" width="27.5" style="175" bestFit="1" customWidth="1"/>
    <col min="516" max="516" width="9.6640625" style="175" bestFit="1" customWidth="1"/>
    <col min="517" max="517" width="9.33203125" style="175" bestFit="1" customWidth="1"/>
    <col min="518" max="518" width="10" style="175" customWidth="1"/>
    <col min="519" max="519" width="9.1640625" style="175"/>
    <col min="520" max="520" width="9.6640625" style="175" bestFit="1" customWidth="1"/>
    <col min="521" max="769" width="9.1640625" style="175"/>
    <col min="770" max="770" width="2.6640625" style="175" customWidth="1"/>
    <col min="771" max="771" width="27.5" style="175" bestFit="1" customWidth="1"/>
    <col min="772" max="772" width="9.6640625" style="175" bestFit="1" customWidth="1"/>
    <col min="773" max="773" width="9.33203125" style="175" bestFit="1" customWidth="1"/>
    <col min="774" max="774" width="10" style="175" customWidth="1"/>
    <col min="775" max="775" width="9.1640625" style="175"/>
    <col min="776" max="776" width="9.6640625" style="175" bestFit="1" customWidth="1"/>
    <col min="777" max="1025" width="9.1640625" style="175"/>
    <col min="1026" max="1026" width="2.6640625" style="175" customWidth="1"/>
    <col min="1027" max="1027" width="27.5" style="175" bestFit="1" customWidth="1"/>
    <col min="1028" max="1028" width="9.6640625" style="175" bestFit="1" customWidth="1"/>
    <col min="1029" max="1029" width="9.33203125" style="175" bestFit="1" customWidth="1"/>
    <col min="1030" max="1030" width="10" style="175" customWidth="1"/>
    <col min="1031" max="1031" width="9.1640625" style="175"/>
    <col min="1032" max="1032" width="9.6640625" style="175" bestFit="1" customWidth="1"/>
    <col min="1033" max="1281" width="9.1640625" style="175"/>
    <col min="1282" max="1282" width="2.6640625" style="175" customWidth="1"/>
    <col min="1283" max="1283" width="27.5" style="175" bestFit="1" customWidth="1"/>
    <col min="1284" max="1284" width="9.6640625" style="175" bestFit="1" customWidth="1"/>
    <col min="1285" max="1285" width="9.33203125" style="175" bestFit="1" customWidth="1"/>
    <col min="1286" max="1286" width="10" style="175" customWidth="1"/>
    <col min="1287" max="1287" width="9.1640625" style="175"/>
    <col min="1288" max="1288" width="9.6640625" style="175" bestFit="1" customWidth="1"/>
    <col min="1289" max="1537" width="9.1640625" style="175"/>
    <col min="1538" max="1538" width="2.6640625" style="175" customWidth="1"/>
    <col min="1539" max="1539" width="27.5" style="175" bestFit="1" customWidth="1"/>
    <col min="1540" max="1540" width="9.6640625" style="175" bestFit="1" customWidth="1"/>
    <col min="1541" max="1541" width="9.33203125" style="175" bestFit="1" customWidth="1"/>
    <col min="1542" max="1542" width="10" style="175" customWidth="1"/>
    <col min="1543" max="1543" width="9.1640625" style="175"/>
    <col min="1544" max="1544" width="9.6640625" style="175" bestFit="1" customWidth="1"/>
    <col min="1545" max="1793" width="9.1640625" style="175"/>
    <col min="1794" max="1794" width="2.6640625" style="175" customWidth="1"/>
    <col min="1795" max="1795" width="27.5" style="175" bestFit="1" customWidth="1"/>
    <col min="1796" max="1796" width="9.6640625" style="175" bestFit="1" customWidth="1"/>
    <col min="1797" max="1797" width="9.33203125" style="175" bestFit="1" customWidth="1"/>
    <col min="1798" max="1798" width="10" style="175" customWidth="1"/>
    <col min="1799" max="1799" width="9.1640625" style="175"/>
    <col min="1800" max="1800" width="9.6640625" style="175" bestFit="1" customWidth="1"/>
    <col min="1801" max="2049" width="9.1640625" style="175"/>
    <col min="2050" max="2050" width="2.6640625" style="175" customWidth="1"/>
    <col min="2051" max="2051" width="27.5" style="175" bestFit="1" customWidth="1"/>
    <col min="2052" max="2052" width="9.6640625" style="175" bestFit="1" customWidth="1"/>
    <col min="2053" max="2053" width="9.33203125" style="175" bestFit="1" customWidth="1"/>
    <col min="2054" max="2054" width="10" style="175" customWidth="1"/>
    <col min="2055" max="2055" width="9.1640625" style="175"/>
    <col min="2056" max="2056" width="9.6640625" style="175" bestFit="1" customWidth="1"/>
    <col min="2057" max="2305" width="9.1640625" style="175"/>
    <col min="2306" max="2306" width="2.6640625" style="175" customWidth="1"/>
    <col min="2307" max="2307" width="27.5" style="175" bestFit="1" customWidth="1"/>
    <col min="2308" max="2308" width="9.6640625" style="175" bestFit="1" customWidth="1"/>
    <col min="2309" max="2309" width="9.33203125" style="175" bestFit="1" customWidth="1"/>
    <col min="2310" max="2310" width="10" style="175" customWidth="1"/>
    <col min="2311" max="2311" width="9.1640625" style="175"/>
    <col min="2312" max="2312" width="9.6640625" style="175" bestFit="1" customWidth="1"/>
    <col min="2313" max="2561" width="9.1640625" style="175"/>
    <col min="2562" max="2562" width="2.6640625" style="175" customWidth="1"/>
    <col min="2563" max="2563" width="27.5" style="175" bestFit="1" customWidth="1"/>
    <col min="2564" max="2564" width="9.6640625" style="175" bestFit="1" customWidth="1"/>
    <col min="2565" max="2565" width="9.33203125" style="175" bestFit="1" customWidth="1"/>
    <col min="2566" max="2566" width="10" style="175" customWidth="1"/>
    <col min="2567" max="2567" width="9.1640625" style="175"/>
    <col min="2568" max="2568" width="9.6640625" style="175" bestFit="1" customWidth="1"/>
    <col min="2569" max="2817" width="9.1640625" style="175"/>
    <col min="2818" max="2818" width="2.6640625" style="175" customWidth="1"/>
    <col min="2819" max="2819" width="27.5" style="175" bestFit="1" customWidth="1"/>
    <col min="2820" max="2820" width="9.6640625" style="175" bestFit="1" customWidth="1"/>
    <col min="2821" max="2821" width="9.33203125" style="175" bestFit="1" customWidth="1"/>
    <col min="2822" max="2822" width="10" style="175" customWidth="1"/>
    <col min="2823" max="2823" width="9.1640625" style="175"/>
    <col min="2824" max="2824" width="9.6640625" style="175" bestFit="1" customWidth="1"/>
    <col min="2825" max="3073" width="9.1640625" style="175"/>
    <col min="3074" max="3074" width="2.6640625" style="175" customWidth="1"/>
    <col min="3075" max="3075" width="27.5" style="175" bestFit="1" customWidth="1"/>
    <col min="3076" max="3076" width="9.6640625" style="175" bestFit="1" customWidth="1"/>
    <col min="3077" max="3077" width="9.33203125" style="175" bestFit="1" customWidth="1"/>
    <col min="3078" max="3078" width="10" style="175" customWidth="1"/>
    <col min="3079" max="3079" width="9.1640625" style="175"/>
    <col min="3080" max="3080" width="9.6640625" style="175" bestFit="1" customWidth="1"/>
    <col min="3081" max="3329" width="9.1640625" style="175"/>
    <col min="3330" max="3330" width="2.6640625" style="175" customWidth="1"/>
    <col min="3331" max="3331" width="27.5" style="175" bestFit="1" customWidth="1"/>
    <col min="3332" max="3332" width="9.6640625" style="175" bestFit="1" customWidth="1"/>
    <col min="3333" max="3333" width="9.33203125" style="175" bestFit="1" customWidth="1"/>
    <col min="3334" max="3334" width="10" style="175" customWidth="1"/>
    <col min="3335" max="3335" width="9.1640625" style="175"/>
    <col min="3336" max="3336" width="9.6640625" style="175" bestFit="1" customWidth="1"/>
    <col min="3337" max="3585" width="9.1640625" style="175"/>
    <col min="3586" max="3586" width="2.6640625" style="175" customWidth="1"/>
    <col min="3587" max="3587" width="27.5" style="175" bestFit="1" customWidth="1"/>
    <col min="3588" max="3588" width="9.6640625" style="175" bestFit="1" customWidth="1"/>
    <col min="3589" max="3589" width="9.33203125" style="175" bestFit="1" customWidth="1"/>
    <col min="3590" max="3590" width="10" style="175" customWidth="1"/>
    <col min="3591" max="3591" width="9.1640625" style="175"/>
    <col min="3592" max="3592" width="9.6640625" style="175" bestFit="1" customWidth="1"/>
    <col min="3593" max="3841" width="9.1640625" style="175"/>
    <col min="3842" max="3842" width="2.6640625" style="175" customWidth="1"/>
    <col min="3843" max="3843" width="27.5" style="175" bestFit="1" customWidth="1"/>
    <col min="3844" max="3844" width="9.6640625" style="175" bestFit="1" customWidth="1"/>
    <col min="3845" max="3845" width="9.33203125" style="175" bestFit="1" customWidth="1"/>
    <col min="3846" max="3846" width="10" style="175" customWidth="1"/>
    <col min="3847" max="3847" width="9.1640625" style="175"/>
    <col min="3848" max="3848" width="9.6640625" style="175" bestFit="1" customWidth="1"/>
    <col min="3849" max="4097" width="9.1640625" style="175"/>
    <col min="4098" max="4098" width="2.6640625" style="175" customWidth="1"/>
    <col min="4099" max="4099" width="27.5" style="175" bestFit="1" customWidth="1"/>
    <col min="4100" max="4100" width="9.6640625" style="175" bestFit="1" customWidth="1"/>
    <col min="4101" max="4101" width="9.33203125" style="175" bestFit="1" customWidth="1"/>
    <col min="4102" max="4102" width="10" style="175" customWidth="1"/>
    <col min="4103" max="4103" width="9.1640625" style="175"/>
    <col min="4104" max="4104" width="9.6640625" style="175" bestFit="1" customWidth="1"/>
    <col min="4105" max="4353" width="9.1640625" style="175"/>
    <col min="4354" max="4354" width="2.6640625" style="175" customWidth="1"/>
    <col min="4355" max="4355" width="27.5" style="175" bestFit="1" customWidth="1"/>
    <col min="4356" max="4356" width="9.6640625" style="175" bestFit="1" customWidth="1"/>
    <col min="4357" max="4357" width="9.33203125" style="175" bestFit="1" customWidth="1"/>
    <col min="4358" max="4358" width="10" style="175" customWidth="1"/>
    <col min="4359" max="4359" width="9.1640625" style="175"/>
    <col min="4360" max="4360" width="9.6640625" style="175" bestFit="1" customWidth="1"/>
    <col min="4361" max="4609" width="9.1640625" style="175"/>
    <col min="4610" max="4610" width="2.6640625" style="175" customWidth="1"/>
    <col min="4611" max="4611" width="27.5" style="175" bestFit="1" customWidth="1"/>
    <col min="4612" max="4612" width="9.6640625" style="175" bestFit="1" customWidth="1"/>
    <col min="4613" max="4613" width="9.33203125" style="175" bestFit="1" customWidth="1"/>
    <col min="4614" max="4614" width="10" style="175" customWidth="1"/>
    <col min="4615" max="4615" width="9.1640625" style="175"/>
    <col min="4616" max="4616" width="9.6640625" style="175" bestFit="1" customWidth="1"/>
    <col min="4617" max="4865" width="9.1640625" style="175"/>
    <col min="4866" max="4866" width="2.6640625" style="175" customWidth="1"/>
    <col min="4867" max="4867" width="27.5" style="175" bestFit="1" customWidth="1"/>
    <col min="4868" max="4868" width="9.6640625" style="175" bestFit="1" customWidth="1"/>
    <col min="4869" max="4869" width="9.33203125" style="175" bestFit="1" customWidth="1"/>
    <col min="4870" max="4870" width="10" style="175" customWidth="1"/>
    <col min="4871" max="4871" width="9.1640625" style="175"/>
    <col min="4872" max="4872" width="9.6640625" style="175" bestFit="1" customWidth="1"/>
    <col min="4873" max="5121" width="9.1640625" style="175"/>
    <col min="5122" max="5122" width="2.6640625" style="175" customWidth="1"/>
    <col min="5123" max="5123" width="27.5" style="175" bestFit="1" customWidth="1"/>
    <col min="5124" max="5124" width="9.6640625" style="175" bestFit="1" customWidth="1"/>
    <col min="5125" max="5125" width="9.33203125" style="175" bestFit="1" customWidth="1"/>
    <col min="5126" max="5126" width="10" style="175" customWidth="1"/>
    <col min="5127" max="5127" width="9.1640625" style="175"/>
    <col min="5128" max="5128" width="9.6640625" style="175" bestFit="1" customWidth="1"/>
    <col min="5129" max="5377" width="9.1640625" style="175"/>
    <col min="5378" max="5378" width="2.6640625" style="175" customWidth="1"/>
    <col min="5379" max="5379" width="27.5" style="175" bestFit="1" customWidth="1"/>
    <col min="5380" max="5380" width="9.6640625" style="175" bestFit="1" customWidth="1"/>
    <col min="5381" max="5381" width="9.33203125" style="175" bestFit="1" customWidth="1"/>
    <col min="5382" max="5382" width="10" style="175" customWidth="1"/>
    <col min="5383" max="5383" width="9.1640625" style="175"/>
    <col min="5384" max="5384" width="9.6640625" style="175" bestFit="1" customWidth="1"/>
    <col min="5385" max="5633" width="9.1640625" style="175"/>
    <col min="5634" max="5634" width="2.6640625" style="175" customWidth="1"/>
    <col min="5635" max="5635" width="27.5" style="175" bestFit="1" customWidth="1"/>
    <col min="5636" max="5636" width="9.6640625" style="175" bestFit="1" customWidth="1"/>
    <col min="5637" max="5637" width="9.33203125" style="175" bestFit="1" customWidth="1"/>
    <col min="5638" max="5638" width="10" style="175" customWidth="1"/>
    <col min="5639" max="5639" width="9.1640625" style="175"/>
    <col min="5640" max="5640" width="9.6640625" style="175" bestFit="1" customWidth="1"/>
    <col min="5641" max="5889" width="9.1640625" style="175"/>
    <col min="5890" max="5890" width="2.6640625" style="175" customWidth="1"/>
    <col min="5891" max="5891" width="27.5" style="175" bestFit="1" customWidth="1"/>
    <col min="5892" max="5892" width="9.6640625" style="175" bestFit="1" customWidth="1"/>
    <col min="5893" max="5893" width="9.33203125" style="175" bestFit="1" customWidth="1"/>
    <col min="5894" max="5894" width="10" style="175" customWidth="1"/>
    <col min="5895" max="5895" width="9.1640625" style="175"/>
    <col min="5896" max="5896" width="9.6640625" style="175" bestFit="1" customWidth="1"/>
    <col min="5897" max="6145" width="9.1640625" style="175"/>
    <col min="6146" max="6146" width="2.6640625" style="175" customWidth="1"/>
    <col min="6147" max="6147" width="27.5" style="175" bestFit="1" customWidth="1"/>
    <col min="6148" max="6148" width="9.6640625" style="175" bestFit="1" customWidth="1"/>
    <col min="6149" max="6149" width="9.33203125" style="175" bestFit="1" customWidth="1"/>
    <col min="6150" max="6150" width="10" style="175" customWidth="1"/>
    <col min="6151" max="6151" width="9.1640625" style="175"/>
    <col min="6152" max="6152" width="9.6640625" style="175" bestFit="1" customWidth="1"/>
    <col min="6153" max="6401" width="9.1640625" style="175"/>
    <col min="6402" max="6402" width="2.6640625" style="175" customWidth="1"/>
    <col min="6403" max="6403" width="27.5" style="175" bestFit="1" customWidth="1"/>
    <col min="6404" max="6404" width="9.6640625" style="175" bestFit="1" customWidth="1"/>
    <col min="6405" max="6405" width="9.33203125" style="175" bestFit="1" customWidth="1"/>
    <col min="6406" max="6406" width="10" style="175" customWidth="1"/>
    <col min="6407" max="6407" width="9.1640625" style="175"/>
    <col min="6408" max="6408" width="9.6640625" style="175" bestFit="1" customWidth="1"/>
    <col min="6409" max="6657" width="9.1640625" style="175"/>
    <col min="6658" max="6658" width="2.6640625" style="175" customWidth="1"/>
    <col min="6659" max="6659" width="27.5" style="175" bestFit="1" customWidth="1"/>
    <col min="6660" max="6660" width="9.6640625" style="175" bestFit="1" customWidth="1"/>
    <col min="6661" max="6661" width="9.33203125" style="175" bestFit="1" customWidth="1"/>
    <col min="6662" max="6662" width="10" style="175" customWidth="1"/>
    <col min="6663" max="6663" width="9.1640625" style="175"/>
    <col min="6664" max="6664" width="9.6640625" style="175" bestFit="1" customWidth="1"/>
    <col min="6665" max="6913" width="9.1640625" style="175"/>
    <col min="6914" max="6914" width="2.6640625" style="175" customWidth="1"/>
    <col min="6915" max="6915" width="27.5" style="175" bestFit="1" customWidth="1"/>
    <col min="6916" max="6916" width="9.6640625" style="175" bestFit="1" customWidth="1"/>
    <col min="6917" max="6917" width="9.33203125" style="175" bestFit="1" customWidth="1"/>
    <col min="6918" max="6918" width="10" style="175" customWidth="1"/>
    <col min="6919" max="6919" width="9.1640625" style="175"/>
    <col min="6920" max="6920" width="9.6640625" style="175" bestFit="1" customWidth="1"/>
    <col min="6921" max="7169" width="9.1640625" style="175"/>
    <col min="7170" max="7170" width="2.6640625" style="175" customWidth="1"/>
    <col min="7171" max="7171" width="27.5" style="175" bestFit="1" customWidth="1"/>
    <col min="7172" max="7172" width="9.6640625" style="175" bestFit="1" customWidth="1"/>
    <col min="7173" max="7173" width="9.33203125" style="175" bestFit="1" customWidth="1"/>
    <col min="7174" max="7174" width="10" style="175" customWidth="1"/>
    <col min="7175" max="7175" width="9.1640625" style="175"/>
    <col min="7176" max="7176" width="9.6640625" style="175" bestFit="1" customWidth="1"/>
    <col min="7177" max="7425" width="9.1640625" style="175"/>
    <col min="7426" max="7426" width="2.6640625" style="175" customWidth="1"/>
    <col min="7427" max="7427" width="27.5" style="175" bestFit="1" customWidth="1"/>
    <col min="7428" max="7428" width="9.6640625" style="175" bestFit="1" customWidth="1"/>
    <col min="7429" max="7429" width="9.33203125" style="175" bestFit="1" customWidth="1"/>
    <col min="7430" max="7430" width="10" style="175" customWidth="1"/>
    <col min="7431" max="7431" width="9.1640625" style="175"/>
    <col min="7432" max="7432" width="9.6640625" style="175" bestFit="1" customWidth="1"/>
    <col min="7433" max="7681" width="9.1640625" style="175"/>
    <col min="7682" max="7682" width="2.6640625" style="175" customWidth="1"/>
    <col min="7683" max="7683" width="27.5" style="175" bestFit="1" customWidth="1"/>
    <col min="7684" max="7684" width="9.6640625" style="175" bestFit="1" customWidth="1"/>
    <col min="7685" max="7685" width="9.33203125" style="175" bestFit="1" customWidth="1"/>
    <col min="7686" max="7686" width="10" style="175" customWidth="1"/>
    <col min="7687" max="7687" width="9.1640625" style="175"/>
    <col min="7688" max="7688" width="9.6640625" style="175" bestFit="1" customWidth="1"/>
    <col min="7689" max="7937" width="9.1640625" style="175"/>
    <col min="7938" max="7938" width="2.6640625" style="175" customWidth="1"/>
    <col min="7939" max="7939" width="27.5" style="175" bestFit="1" customWidth="1"/>
    <col min="7940" max="7940" width="9.6640625" style="175" bestFit="1" customWidth="1"/>
    <col min="7941" max="7941" width="9.33203125" style="175" bestFit="1" customWidth="1"/>
    <col min="7942" max="7942" width="10" style="175" customWidth="1"/>
    <col min="7943" max="7943" width="9.1640625" style="175"/>
    <col min="7944" max="7944" width="9.6640625" style="175" bestFit="1" customWidth="1"/>
    <col min="7945" max="8193" width="9.1640625" style="175"/>
    <col min="8194" max="8194" width="2.6640625" style="175" customWidth="1"/>
    <col min="8195" max="8195" width="27.5" style="175" bestFit="1" customWidth="1"/>
    <col min="8196" max="8196" width="9.6640625" style="175" bestFit="1" customWidth="1"/>
    <col min="8197" max="8197" width="9.33203125" style="175" bestFit="1" customWidth="1"/>
    <col min="8198" max="8198" width="10" style="175" customWidth="1"/>
    <col min="8199" max="8199" width="9.1640625" style="175"/>
    <col min="8200" max="8200" width="9.6640625" style="175" bestFit="1" customWidth="1"/>
    <col min="8201" max="8449" width="9.1640625" style="175"/>
    <col min="8450" max="8450" width="2.6640625" style="175" customWidth="1"/>
    <col min="8451" max="8451" width="27.5" style="175" bestFit="1" customWidth="1"/>
    <col min="8452" max="8452" width="9.6640625" style="175" bestFit="1" customWidth="1"/>
    <col min="8453" max="8453" width="9.33203125" style="175" bestFit="1" customWidth="1"/>
    <col min="8454" max="8454" width="10" style="175" customWidth="1"/>
    <col min="8455" max="8455" width="9.1640625" style="175"/>
    <col min="8456" max="8456" width="9.6640625" style="175" bestFit="1" customWidth="1"/>
    <col min="8457" max="8705" width="9.1640625" style="175"/>
    <col min="8706" max="8706" width="2.6640625" style="175" customWidth="1"/>
    <col min="8707" max="8707" width="27.5" style="175" bestFit="1" customWidth="1"/>
    <col min="8708" max="8708" width="9.6640625" style="175" bestFit="1" customWidth="1"/>
    <col min="8709" max="8709" width="9.33203125" style="175" bestFit="1" customWidth="1"/>
    <col min="8710" max="8710" width="10" style="175" customWidth="1"/>
    <col min="8711" max="8711" width="9.1640625" style="175"/>
    <col min="8712" max="8712" width="9.6640625" style="175" bestFit="1" customWidth="1"/>
    <col min="8713" max="8961" width="9.1640625" style="175"/>
    <col min="8962" max="8962" width="2.6640625" style="175" customWidth="1"/>
    <col min="8963" max="8963" width="27.5" style="175" bestFit="1" customWidth="1"/>
    <col min="8964" max="8964" width="9.6640625" style="175" bestFit="1" customWidth="1"/>
    <col min="8965" max="8965" width="9.33203125" style="175" bestFit="1" customWidth="1"/>
    <col min="8966" max="8966" width="10" style="175" customWidth="1"/>
    <col min="8967" max="8967" width="9.1640625" style="175"/>
    <col min="8968" max="8968" width="9.6640625" style="175" bestFit="1" customWidth="1"/>
    <col min="8969" max="9217" width="9.1640625" style="175"/>
    <col min="9218" max="9218" width="2.6640625" style="175" customWidth="1"/>
    <col min="9219" max="9219" width="27.5" style="175" bestFit="1" customWidth="1"/>
    <col min="9220" max="9220" width="9.6640625" style="175" bestFit="1" customWidth="1"/>
    <col min="9221" max="9221" width="9.33203125" style="175" bestFit="1" customWidth="1"/>
    <col min="9222" max="9222" width="10" style="175" customWidth="1"/>
    <col min="9223" max="9223" width="9.1640625" style="175"/>
    <col min="9224" max="9224" width="9.6640625" style="175" bestFit="1" customWidth="1"/>
    <col min="9225" max="9473" width="9.1640625" style="175"/>
    <col min="9474" max="9474" width="2.6640625" style="175" customWidth="1"/>
    <col min="9475" max="9475" width="27.5" style="175" bestFit="1" customWidth="1"/>
    <col min="9476" max="9476" width="9.6640625" style="175" bestFit="1" customWidth="1"/>
    <col min="9477" max="9477" width="9.33203125" style="175" bestFit="1" customWidth="1"/>
    <col min="9478" max="9478" width="10" style="175" customWidth="1"/>
    <col min="9479" max="9479" width="9.1640625" style="175"/>
    <col min="9480" max="9480" width="9.6640625" style="175" bestFit="1" customWidth="1"/>
    <col min="9481" max="9729" width="9.1640625" style="175"/>
    <col min="9730" max="9730" width="2.6640625" style="175" customWidth="1"/>
    <col min="9731" max="9731" width="27.5" style="175" bestFit="1" customWidth="1"/>
    <col min="9732" max="9732" width="9.6640625" style="175" bestFit="1" customWidth="1"/>
    <col min="9733" max="9733" width="9.33203125" style="175" bestFit="1" customWidth="1"/>
    <col min="9734" max="9734" width="10" style="175" customWidth="1"/>
    <col min="9735" max="9735" width="9.1640625" style="175"/>
    <col min="9736" max="9736" width="9.6640625" style="175" bestFit="1" customWidth="1"/>
    <col min="9737" max="9985" width="9.1640625" style="175"/>
    <col min="9986" max="9986" width="2.6640625" style="175" customWidth="1"/>
    <col min="9987" max="9987" width="27.5" style="175" bestFit="1" customWidth="1"/>
    <col min="9988" max="9988" width="9.6640625" style="175" bestFit="1" customWidth="1"/>
    <col min="9989" max="9989" width="9.33203125" style="175" bestFit="1" customWidth="1"/>
    <col min="9990" max="9990" width="10" style="175" customWidth="1"/>
    <col min="9991" max="9991" width="9.1640625" style="175"/>
    <col min="9992" max="9992" width="9.6640625" style="175" bestFit="1" customWidth="1"/>
    <col min="9993" max="10241" width="9.1640625" style="175"/>
    <col min="10242" max="10242" width="2.6640625" style="175" customWidth="1"/>
    <col min="10243" max="10243" width="27.5" style="175" bestFit="1" customWidth="1"/>
    <col min="10244" max="10244" width="9.6640625" style="175" bestFit="1" customWidth="1"/>
    <col min="10245" max="10245" width="9.33203125" style="175" bestFit="1" customWidth="1"/>
    <col min="10246" max="10246" width="10" style="175" customWidth="1"/>
    <col min="10247" max="10247" width="9.1640625" style="175"/>
    <col min="10248" max="10248" width="9.6640625" style="175" bestFit="1" customWidth="1"/>
    <col min="10249" max="10497" width="9.1640625" style="175"/>
    <col min="10498" max="10498" width="2.6640625" style="175" customWidth="1"/>
    <col min="10499" max="10499" width="27.5" style="175" bestFit="1" customWidth="1"/>
    <col min="10500" max="10500" width="9.6640625" style="175" bestFit="1" customWidth="1"/>
    <col min="10501" max="10501" width="9.33203125" style="175" bestFit="1" customWidth="1"/>
    <col min="10502" max="10502" width="10" style="175" customWidth="1"/>
    <col min="10503" max="10503" width="9.1640625" style="175"/>
    <col min="10504" max="10504" width="9.6640625" style="175" bestFit="1" customWidth="1"/>
    <col min="10505" max="10753" width="9.1640625" style="175"/>
    <col min="10754" max="10754" width="2.6640625" style="175" customWidth="1"/>
    <col min="10755" max="10755" width="27.5" style="175" bestFit="1" customWidth="1"/>
    <col min="10756" max="10756" width="9.6640625" style="175" bestFit="1" customWidth="1"/>
    <col min="10757" max="10757" width="9.33203125" style="175" bestFit="1" customWidth="1"/>
    <col min="10758" max="10758" width="10" style="175" customWidth="1"/>
    <col min="10759" max="10759" width="9.1640625" style="175"/>
    <col min="10760" max="10760" width="9.6640625" style="175" bestFit="1" customWidth="1"/>
    <col min="10761" max="11009" width="9.1640625" style="175"/>
    <col min="11010" max="11010" width="2.6640625" style="175" customWidth="1"/>
    <col min="11011" max="11011" width="27.5" style="175" bestFit="1" customWidth="1"/>
    <col min="11012" max="11012" width="9.6640625" style="175" bestFit="1" customWidth="1"/>
    <col min="11013" max="11013" width="9.33203125" style="175" bestFit="1" customWidth="1"/>
    <col min="11014" max="11014" width="10" style="175" customWidth="1"/>
    <col min="11015" max="11015" width="9.1640625" style="175"/>
    <col min="11016" max="11016" width="9.6640625" style="175" bestFit="1" customWidth="1"/>
    <col min="11017" max="11265" width="9.1640625" style="175"/>
    <col min="11266" max="11266" width="2.6640625" style="175" customWidth="1"/>
    <col min="11267" max="11267" width="27.5" style="175" bestFit="1" customWidth="1"/>
    <col min="11268" max="11268" width="9.6640625" style="175" bestFit="1" customWidth="1"/>
    <col min="11269" max="11269" width="9.33203125" style="175" bestFit="1" customWidth="1"/>
    <col min="11270" max="11270" width="10" style="175" customWidth="1"/>
    <col min="11271" max="11271" width="9.1640625" style="175"/>
    <col min="11272" max="11272" width="9.6640625" style="175" bestFit="1" customWidth="1"/>
    <col min="11273" max="11521" width="9.1640625" style="175"/>
    <col min="11522" max="11522" width="2.6640625" style="175" customWidth="1"/>
    <col min="11523" max="11523" width="27.5" style="175" bestFit="1" customWidth="1"/>
    <col min="11524" max="11524" width="9.6640625" style="175" bestFit="1" customWidth="1"/>
    <col min="11525" max="11525" width="9.33203125" style="175" bestFit="1" customWidth="1"/>
    <col min="11526" max="11526" width="10" style="175" customWidth="1"/>
    <col min="11527" max="11527" width="9.1640625" style="175"/>
    <col min="11528" max="11528" width="9.6640625" style="175" bestFit="1" customWidth="1"/>
    <col min="11529" max="11777" width="9.1640625" style="175"/>
    <col min="11778" max="11778" width="2.6640625" style="175" customWidth="1"/>
    <col min="11779" max="11779" width="27.5" style="175" bestFit="1" customWidth="1"/>
    <col min="11780" max="11780" width="9.6640625" style="175" bestFit="1" customWidth="1"/>
    <col min="11781" max="11781" width="9.33203125" style="175" bestFit="1" customWidth="1"/>
    <col min="11782" max="11782" width="10" style="175" customWidth="1"/>
    <col min="11783" max="11783" width="9.1640625" style="175"/>
    <col min="11784" max="11784" width="9.6640625" style="175" bestFit="1" customWidth="1"/>
    <col min="11785" max="12033" width="9.1640625" style="175"/>
    <col min="12034" max="12034" width="2.6640625" style="175" customWidth="1"/>
    <col min="12035" max="12035" width="27.5" style="175" bestFit="1" customWidth="1"/>
    <col min="12036" max="12036" width="9.6640625" style="175" bestFit="1" customWidth="1"/>
    <col min="12037" max="12037" width="9.33203125" style="175" bestFit="1" customWidth="1"/>
    <col min="12038" max="12038" width="10" style="175" customWidth="1"/>
    <col min="12039" max="12039" width="9.1640625" style="175"/>
    <col min="12040" max="12040" width="9.6640625" style="175" bestFit="1" customWidth="1"/>
    <col min="12041" max="12289" width="9.1640625" style="175"/>
    <col min="12290" max="12290" width="2.6640625" style="175" customWidth="1"/>
    <col min="12291" max="12291" width="27.5" style="175" bestFit="1" customWidth="1"/>
    <col min="12292" max="12292" width="9.6640625" style="175" bestFit="1" customWidth="1"/>
    <col min="12293" max="12293" width="9.33203125" style="175" bestFit="1" customWidth="1"/>
    <col min="12294" max="12294" width="10" style="175" customWidth="1"/>
    <col min="12295" max="12295" width="9.1640625" style="175"/>
    <col min="12296" max="12296" width="9.6640625" style="175" bestFit="1" customWidth="1"/>
    <col min="12297" max="12545" width="9.1640625" style="175"/>
    <col min="12546" max="12546" width="2.6640625" style="175" customWidth="1"/>
    <col min="12547" max="12547" width="27.5" style="175" bestFit="1" customWidth="1"/>
    <col min="12548" max="12548" width="9.6640625" style="175" bestFit="1" customWidth="1"/>
    <col min="12549" max="12549" width="9.33203125" style="175" bestFit="1" customWidth="1"/>
    <col min="12550" max="12550" width="10" style="175" customWidth="1"/>
    <col min="12551" max="12551" width="9.1640625" style="175"/>
    <col min="12552" max="12552" width="9.6640625" style="175" bestFit="1" customWidth="1"/>
    <col min="12553" max="12801" width="9.1640625" style="175"/>
    <col min="12802" max="12802" width="2.6640625" style="175" customWidth="1"/>
    <col min="12803" max="12803" width="27.5" style="175" bestFit="1" customWidth="1"/>
    <col min="12804" max="12804" width="9.6640625" style="175" bestFit="1" customWidth="1"/>
    <col min="12805" max="12805" width="9.33203125" style="175" bestFit="1" customWidth="1"/>
    <col min="12806" max="12806" width="10" style="175" customWidth="1"/>
    <col min="12807" max="12807" width="9.1640625" style="175"/>
    <col min="12808" max="12808" width="9.6640625" style="175" bestFit="1" customWidth="1"/>
    <col min="12809" max="13057" width="9.1640625" style="175"/>
    <col min="13058" max="13058" width="2.6640625" style="175" customWidth="1"/>
    <col min="13059" max="13059" width="27.5" style="175" bestFit="1" customWidth="1"/>
    <col min="13060" max="13060" width="9.6640625" style="175" bestFit="1" customWidth="1"/>
    <col min="13061" max="13061" width="9.33203125" style="175" bestFit="1" customWidth="1"/>
    <col min="13062" max="13062" width="10" style="175" customWidth="1"/>
    <col min="13063" max="13063" width="9.1640625" style="175"/>
    <col min="13064" max="13064" width="9.6640625" style="175" bestFit="1" customWidth="1"/>
    <col min="13065" max="13313" width="9.1640625" style="175"/>
    <col min="13314" max="13314" width="2.6640625" style="175" customWidth="1"/>
    <col min="13315" max="13315" width="27.5" style="175" bestFit="1" customWidth="1"/>
    <col min="13316" max="13316" width="9.6640625" style="175" bestFit="1" customWidth="1"/>
    <col min="13317" max="13317" width="9.33203125" style="175" bestFit="1" customWidth="1"/>
    <col min="13318" max="13318" width="10" style="175" customWidth="1"/>
    <col min="13319" max="13319" width="9.1640625" style="175"/>
    <col min="13320" max="13320" width="9.6640625" style="175" bestFit="1" customWidth="1"/>
    <col min="13321" max="13569" width="9.1640625" style="175"/>
    <col min="13570" max="13570" width="2.6640625" style="175" customWidth="1"/>
    <col min="13571" max="13571" width="27.5" style="175" bestFit="1" customWidth="1"/>
    <col min="13572" max="13572" width="9.6640625" style="175" bestFit="1" customWidth="1"/>
    <col min="13573" max="13573" width="9.33203125" style="175" bestFit="1" customWidth="1"/>
    <col min="13574" max="13574" width="10" style="175" customWidth="1"/>
    <col min="13575" max="13575" width="9.1640625" style="175"/>
    <col min="13576" max="13576" width="9.6640625" style="175" bestFit="1" customWidth="1"/>
    <col min="13577" max="13825" width="9.1640625" style="175"/>
    <col min="13826" max="13826" width="2.6640625" style="175" customWidth="1"/>
    <col min="13827" max="13827" width="27.5" style="175" bestFit="1" customWidth="1"/>
    <col min="13828" max="13828" width="9.6640625" style="175" bestFit="1" customWidth="1"/>
    <col min="13829" max="13829" width="9.33203125" style="175" bestFit="1" customWidth="1"/>
    <col min="13830" max="13830" width="10" style="175" customWidth="1"/>
    <col min="13831" max="13831" width="9.1640625" style="175"/>
    <col min="13832" max="13832" width="9.6640625" style="175" bestFit="1" customWidth="1"/>
    <col min="13833" max="14081" width="9.1640625" style="175"/>
    <col min="14082" max="14082" width="2.6640625" style="175" customWidth="1"/>
    <col min="14083" max="14083" width="27.5" style="175" bestFit="1" customWidth="1"/>
    <col min="14084" max="14084" width="9.6640625" style="175" bestFit="1" customWidth="1"/>
    <col min="14085" max="14085" width="9.33203125" style="175" bestFit="1" customWidth="1"/>
    <col min="14086" max="14086" width="10" style="175" customWidth="1"/>
    <col min="14087" max="14087" width="9.1640625" style="175"/>
    <col min="14088" max="14088" width="9.6640625" style="175" bestFit="1" customWidth="1"/>
    <col min="14089" max="14337" width="9.1640625" style="175"/>
    <col min="14338" max="14338" width="2.6640625" style="175" customWidth="1"/>
    <col min="14339" max="14339" width="27.5" style="175" bestFit="1" customWidth="1"/>
    <col min="14340" max="14340" width="9.6640625" style="175" bestFit="1" customWidth="1"/>
    <col min="14341" max="14341" width="9.33203125" style="175" bestFit="1" customWidth="1"/>
    <col min="14342" max="14342" width="10" style="175" customWidth="1"/>
    <col min="14343" max="14343" width="9.1640625" style="175"/>
    <col min="14344" max="14344" width="9.6640625" style="175" bestFit="1" customWidth="1"/>
    <col min="14345" max="14593" width="9.1640625" style="175"/>
    <col min="14594" max="14594" width="2.6640625" style="175" customWidth="1"/>
    <col min="14595" max="14595" width="27.5" style="175" bestFit="1" customWidth="1"/>
    <col min="14596" max="14596" width="9.6640625" style="175" bestFit="1" customWidth="1"/>
    <col min="14597" max="14597" width="9.33203125" style="175" bestFit="1" customWidth="1"/>
    <col min="14598" max="14598" width="10" style="175" customWidth="1"/>
    <col min="14599" max="14599" width="9.1640625" style="175"/>
    <col min="14600" max="14600" width="9.6640625" style="175" bestFit="1" customWidth="1"/>
    <col min="14601" max="14849" width="9.1640625" style="175"/>
    <col min="14850" max="14850" width="2.6640625" style="175" customWidth="1"/>
    <col min="14851" max="14851" width="27.5" style="175" bestFit="1" customWidth="1"/>
    <col min="14852" max="14852" width="9.6640625" style="175" bestFit="1" customWidth="1"/>
    <col min="14853" max="14853" width="9.33203125" style="175" bestFit="1" customWidth="1"/>
    <col min="14854" max="14854" width="10" style="175" customWidth="1"/>
    <col min="14855" max="14855" width="9.1640625" style="175"/>
    <col min="14856" max="14856" width="9.6640625" style="175" bestFit="1" customWidth="1"/>
    <col min="14857" max="15105" width="9.1640625" style="175"/>
    <col min="15106" max="15106" width="2.6640625" style="175" customWidth="1"/>
    <col min="15107" max="15107" width="27.5" style="175" bestFit="1" customWidth="1"/>
    <col min="15108" max="15108" width="9.6640625" style="175" bestFit="1" customWidth="1"/>
    <col min="15109" max="15109" width="9.33203125" style="175" bestFit="1" customWidth="1"/>
    <col min="15110" max="15110" width="10" style="175" customWidth="1"/>
    <col min="15111" max="15111" width="9.1640625" style="175"/>
    <col min="15112" max="15112" width="9.6640625" style="175" bestFit="1" customWidth="1"/>
    <col min="15113" max="15361" width="9.1640625" style="175"/>
    <col min="15362" max="15362" width="2.6640625" style="175" customWidth="1"/>
    <col min="15363" max="15363" width="27.5" style="175" bestFit="1" customWidth="1"/>
    <col min="15364" max="15364" width="9.6640625" style="175" bestFit="1" customWidth="1"/>
    <col min="15365" max="15365" width="9.33203125" style="175" bestFit="1" customWidth="1"/>
    <col min="15366" max="15366" width="10" style="175" customWidth="1"/>
    <col min="15367" max="15367" width="9.1640625" style="175"/>
    <col min="15368" max="15368" width="9.6640625" style="175" bestFit="1" customWidth="1"/>
    <col min="15369" max="15617" width="9.1640625" style="175"/>
    <col min="15618" max="15618" width="2.6640625" style="175" customWidth="1"/>
    <col min="15619" max="15619" width="27.5" style="175" bestFit="1" customWidth="1"/>
    <col min="15620" max="15620" width="9.6640625" style="175" bestFit="1" customWidth="1"/>
    <col min="15621" max="15621" width="9.33203125" style="175" bestFit="1" customWidth="1"/>
    <col min="15622" max="15622" width="10" style="175" customWidth="1"/>
    <col min="15623" max="15623" width="9.1640625" style="175"/>
    <col min="15624" max="15624" width="9.6640625" style="175" bestFit="1" customWidth="1"/>
    <col min="15625" max="15873" width="9.1640625" style="175"/>
    <col min="15874" max="15874" width="2.6640625" style="175" customWidth="1"/>
    <col min="15875" max="15875" width="27.5" style="175" bestFit="1" customWidth="1"/>
    <col min="15876" max="15876" width="9.6640625" style="175" bestFit="1" customWidth="1"/>
    <col min="15877" max="15877" width="9.33203125" style="175" bestFit="1" customWidth="1"/>
    <col min="15878" max="15878" width="10" style="175" customWidth="1"/>
    <col min="15879" max="15879" width="9.1640625" style="175"/>
    <col min="15880" max="15880" width="9.6640625" style="175" bestFit="1" customWidth="1"/>
    <col min="15881" max="16129" width="9.1640625" style="175"/>
    <col min="16130" max="16130" width="2.6640625" style="175" customWidth="1"/>
    <col min="16131" max="16131" width="27.5" style="175" bestFit="1" customWidth="1"/>
    <col min="16132" max="16132" width="9.6640625" style="175" bestFit="1" customWidth="1"/>
    <col min="16133" max="16133" width="9.33203125" style="175" bestFit="1" customWidth="1"/>
    <col min="16134" max="16134" width="10" style="175" customWidth="1"/>
    <col min="16135" max="16135" width="9.1640625" style="175"/>
    <col min="16136" max="16136" width="9.6640625" style="175" bestFit="1" customWidth="1"/>
    <col min="16137" max="16384" width="9.1640625" style="175"/>
  </cols>
  <sheetData>
    <row r="2" spans="2:12" ht="18.75" customHeight="1" x14ac:dyDescent="0.25">
      <c r="B2" s="180" t="str">
        <f>"Private Company WACC Analysis - "&amp;Company_Name</f>
        <v>Private Company WACC Analysis - Capital Capable Media LLC</v>
      </c>
      <c r="C2" s="181"/>
    </row>
    <row r="3" spans="2:12" ht="15.75" customHeight="1" x14ac:dyDescent="0.2">
      <c r="B3" s="2" t="str">
        <f>+'Company0462-GAAP'!$B$3</f>
        <v>($ USD as Stated)</v>
      </c>
    </row>
    <row r="5" spans="2:12" ht="15.75" customHeight="1" x14ac:dyDescent="0.2">
      <c r="B5" s="182" t="s">
        <v>235</v>
      </c>
      <c r="C5" s="182"/>
      <c r="D5" s="183"/>
      <c r="E5" s="183"/>
      <c r="F5" s="183"/>
      <c r="G5" s="184"/>
      <c r="H5" s="184"/>
    </row>
    <row r="6" spans="2:12" ht="15.75" customHeight="1" x14ac:dyDescent="0.2">
      <c r="B6" s="176" t="s">
        <v>236</v>
      </c>
      <c r="C6" s="176"/>
      <c r="F6" s="185">
        <v>0.03</v>
      </c>
      <c r="G6" s="186"/>
      <c r="H6" s="186"/>
    </row>
    <row r="7" spans="2:12" ht="15.75" customHeight="1" x14ac:dyDescent="0.2">
      <c r="B7" s="176" t="s">
        <v>237</v>
      </c>
      <c r="C7" s="176"/>
      <c r="F7" s="187">
        <v>7.4999999999999997E-2</v>
      </c>
      <c r="G7" s="186"/>
      <c r="H7" s="186"/>
    </row>
    <row r="8" spans="2:12" ht="15.75" customHeight="1" x14ac:dyDescent="0.2">
      <c r="B8" s="176" t="s">
        <v>238</v>
      </c>
      <c r="C8" s="176"/>
      <c r="F8" s="188">
        <f>+Risk_Free_Rate+0.4%</f>
        <v>3.4000000000000002E-2</v>
      </c>
      <c r="G8" s="186"/>
      <c r="H8" s="186"/>
      <c r="I8" s="189"/>
      <c r="J8" s="189"/>
    </row>
    <row r="9" spans="2:12" ht="15.75" customHeight="1" x14ac:dyDescent="0.2">
      <c r="B9" s="176" t="s">
        <v>239</v>
      </c>
      <c r="C9" s="176"/>
      <c r="F9" s="187">
        <v>0</v>
      </c>
      <c r="G9" s="186"/>
      <c r="H9" s="186"/>
      <c r="I9" s="189"/>
      <c r="J9" s="189"/>
    </row>
    <row r="10" spans="2:12" ht="15.75" customHeight="1" x14ac:dyDescent="0.2">
      <c r="B10" s="175" t="s">
        <v>240</v>
      </c>
      <c r="F10" s="187">
        <v>0.1988</v>
      </c>
    </row>
    <row r="11" spans="2:12" ht="15.75" customHeight="1" x14ac:dyDescent="0.2">
      <c r="B11" s="175" t="s">
        <v>241</v>
      </c>
      <c r="F11" s="187">
        <v>0.32500000000000001</v>
      </c>
    </row>
    <row r="13" spans="2:12" ht="15.75" customHeight="1" x14ac:dyDescent="0.2">
      <c r="B13" s="190" t="s">
        <v>242</v>
      </c>
      <c r="C13" s="190"/>
      <c r="D13" s="190"/>
      <c r="E13" s="190"/>
      <c r="F13" s="190"/>
      <c r="G13" s="190"/>
      <c r="H13" s="190"/>
      <c r="I13" s="190"/>
      <c r="J13" s="190"/>
      <c r="K13" s="190"/>
      <c r="L13" s="190"/>
    </row>
    <row r="14" spans="2:12" ht="15.75" customHeight="1" x14ac:dyDescent="0.2">
      <c r="B14" s="190"/>
      <c r="C14" s="190"/>
      <c r="D14" s="191" t="s">
        <v>243</v>
      </c>
      <c r="E14" s="191"/>
      <c r="F14" s="191"/>
      <c r="G14" s="191" t="s">
        <v>244</v>
      </c>
      <c r="H14" s="191"/>
      <c r="I14" s="191" t="s">
        <v>245</v>
      </c>
      <c r="J14" s="191"/>
      <c r="K14" s="191"/>
      <c r="L14" s="191" t="s">
        <v>246</v>
      </c>
    </row>
    <row r="15" spans="2:12" ht="15.75" customHeight="1" x14ac:dyDescent="0.2">
      <c r="B15" s="192" t="s">
        <v>247</v>
      </c>
      <c r="C15" s="192" t="s">
        <v>248</v>
      </c>
      <c r="D15" s="193" t="s">
        <v>249</v>
      </c>
      <c r="E15" s="193" t="s">
        <v>250</v>
      </c>
      <c r="F15" s="193" t="s">
        <v>251</v>
      </c>
      <c r="G15" s="193" t="s">
        <v>252</v>
      </c>
      <c r="H15" s="193" t="s">
        <v>253</v>
      </c>
      <c r="I15" s="193" t="s">
        <v>254</v>
      </c>
      <c r="J15" s="193" t="s">
        <v>255</v>
      </c>
      <c r="K15" s="193" t="s">
        <v>256</v>
      </c>
      <c r="L15" s="193" t="s">
        <v>249</v>
      </c>
    </row>
    <row r="16" spans="2:12" ht="15.75" customHeight="1" x14ac:dyDescent="0.2">
      <c r="B16" s="175" t="str">
        <f>+'Public Comps'!B8</f>
        <v>Nord Anglia Education Inc</v>
      </c>
      <c r="C16" s="175" t="str">
        <f>+'Public Comps'!C8</f>
        <v>NYSE:Company1891</v>
      </c>
      <c r="D16" s="194">
        <f>+'Public Comps'!U8</f>
        <v>0.32</v>
      </c>
      <c r="E16" s="275">
        <f>+'Public Comps'!F8</f>
        <v>522.4</v>
      </c>
      <c r="F16" s="195">
        <f>+E16/($E16+$G16+$I16)</f>
        <v>0.21347739515895869</v>
      </c>
      <c r="G16" s="275">
        <f>+'Public Comps'!G8</f>
        <v>0</v>
      </c>
      <c r="H16" s="195">
        <f>+G16/($E16+$G16+$I16)</f>
        <v>0</v>
      </c>
      <c r="I16" s="275">
        <f>+'Public Comps'!E8</f>
        <v>1924.6975000000002</v>
      </c>
      <c r="J16" s="195">
        <f>+I16/($E16+$G16+$I16)</f>
        <v>0.78652260484104131</v>
      </c>
      <c r="K16" s="196">
        <v>0.4</v>
      </c>
      <c r="L16" s="276">
        <f>IFERROR(D16/(1+(E16/I16)*(1-K16)+G16/I16),"N/A")</f>
        <v>0.27518559516562319</v>
      </c>
    </row>
    <row r="17" spans="2:25" ht="15.75" customHeight="1" x14ac:dyDescent="0.2">
      <c r="B17" s="175" t="str">
        <f>+'Public Comps'!B9</f>
        <v>Company2600 Education Inc</v>
      </c>
      <c r="C17" s="175" t="str">
        <f>+'Public Comps'!C9</f>
        <v>NASDAQ:Company2494</v>
      </c>
      <c r="D17" s="194">
        <f>+'Public Comps'!U9</f>
        <v>1.55</v>
      </c>
      <c r="E17" s="277">
        <f>+'Public Comps'!F9</f>
        <v>118.75</v>
      </c>
      <c r="F17" s="195">
        <f t="shared" ref="F17:F21" si="0">+E17/($E17+$G17+$I17)</f>
        <v>0.15034271809505964</v>
      </c>
      <c r="G17" s="277">
        <f>+'Public Comps'!G9</f>
        <v>0</v>
      </c>
      <c r="H17" s="195">
        <f t="shared" ref="H17:H21" si="1">+G17/($E17+$G17+$I17)</f>
        <v>0</v>
      </c>
      <c r="I17" s="277">
        <f>+'Public Comps'!E9</f>
        <v>671.11200000000008</v>
      </c>
      <c r="J17" s="195">
        <f t="shared" ref="J17:J21" si="2">+I17/($E17+$G17+$I17)</f>
        <v>0.84965728190494039</v>
      </c>
      <c r="K17" s="196">
        <v>0.4</v>
      </c>
      <c r="L17" s="276">
        <f t="shared" ref="L17:L21" si="3">IFERROR(D17/(1+(E17/I17)*(1-K17)+G17/I17),"N/A")</f>
        <v>1.4012349770058272</v>
      </c>
    </row>
    <row r="18" spans="2:25" ht="15.75" customHeight="1" x14ac:dyDescent="0.2">
      <c r="B18" s="175" t="str">
        <f>+'Public Comps'!B10</f>
        <v>Capella Education Company</v>
      </c>
      <c r="C18" s="175" t="str">
        <f>+'Public Comps'!C10</f>
        <v>NASDAQ:Company0593</v>
      </c>
      <c r="D18" s="194">
        <f>+'Public Comps'!U10</f>
        <v>1.1100000000000001</v>
      </c>
      <c r="E18" s="277">
        <f>+'Public Comps'!F10</f>
        <v>0</v>
      </c>
      <c r="F18" s="195">
        <f t="shared" si="0"/>
        <v>0</v>
      </c>
      <c r="G18" s="277">
        <f>+'Public Comps'!G10</f>
        <v>0</v>
      </c>
      <c r="H18" s="195">
        <f t="shared" si="1"/>
        <v>0</v>
      </c>
      <c r="I18" s="277">
        <f>+'Public Comps'!E10</f>
        <v>800.49600000000009</v>
      </c>
      <c r="J18" s="195">
        <f t="shared" si="2"/>
        <v>1</v>
      </c>
      <c r="K18" s="196">
        <v>0.4</v>
      </c>
      <c r="L18" s="276">
        <f t="shared" si="3"/>
        <v>1.1100000000000001</v>
      </c>
    </row>
    <row r="19" spans="2:25" ht="15.75" customHeight="1" x14ac:dyDescent="0.2">
      <c r="B19" s="175" t="str">
        <f>+'Public Comps'!B11</f>
        <v>American Public Education, Inc.</v>
      </c>
      <c r="C19" s="175" t="str">
        <f>+'Public Comps'!C11</f>
        <v>NASDAQ:Company0117</v>
      </c>
      <c r="D19" s="194">
        <f>+'Public Comps'!U11</f>
        <v>1.1499999999999999</v>
      </c>
      <c r="E19" s="277">
        <f>+'Public Comps'!F11</f>
        <v>0</v>
      </c>
      <c r="F19" s="195">
        <f t="shared" si="0"/>
        <v>0</v>
      </c>
      <c r="G19" s="277">
        <f>+'Public Comps'!G11</f>
        <v>0</v>
      </c>
      <c r="H19" s="195">
        <f t="shared" si="1"/>
        <v>0</v>
      </c>
      <c r="I19" s="277">
        <f>+'Public Comps'!E11</f>
        <v>595.12480000000005</v>
      </c>
      <c r="J19" s="195">
        <f t="shared" si="2"/>
        <v>1</v>
      </c>
      <c r="K19" s="196">
        <v>0.4</v>
      </c>
      <c r="L19" s="276">
        <f t="shared" si="3"/>
        <v>1.1499999999999999</v>
      </c>
    </row>
    <row r="20" spans="2:25" ht="15.75" customHeight="1" x14ac:dyDescent="0.2">
      <c r="B20" s="175" t="str">
        <f>+'Public Comps'!B12</f>
        <v>Lincoln Educational Services Corp</v>
      </c>
      <c r="C20" s="175" t="str">
        <f>+'Public Comps'!C12</f>
        <v>NASDAQ:Company1557</v>
      </c>
      <c r="D20" s="194">
        <f>+'Public Comps'!U12</f>
        <v>2.11</v>
      </c>
      <c r="E20" s="277">
        <f>+'Public Comps'!F12</f>
        <v>43.903999999999989</v>
      </c>
      <c r="F20" s="195">
        <f t="shared" si="0"/>
        <v>0.45348813188175258</v>
      </c>
      <c r="G20" s="277">
        <f>+'Public Comps'!G12</f>
        <v>0</v>
      </c>
      <c r="H20" s="195">
        <f t="shared" si="1"/>
        <v>0</v>
      </c>
      <c r="I20" s="277">
        <f>+'Public Comps'!E12</f>
        <v>52.910000000000004</v>
      </c>
      <c r="J20" s="195">
        <f t="shared" si="2"/>
        <v>0.54651186811824748</v>
      </c>
      <c r="K20" s="196">
        <v>0.4</v>
      </c>
      <c r="L20" s="276">
        <f t="shared" si="3"/>
        <v>1.4086652265420354</v>
      </c>
    </row>
    <row r="21" spans="2:25" ht="15.75" customHeight="1" x14ac:dyDescent="0.2">
      <c r="B21" s="175" t="str">
        <f>+'Public Comps'!B13</f>
        <v>National American University Holdings Inc</v>
      </c>
      <c r="C21" s="175" t="str">
        <f>+'Public Comps'!C13</f>
        <v>NASDAQ:Company1849</v>
      </c>
      <c r="D21" s="194">
        <f>+'Public Comps'!U13</f>
        <v>1.25</v>
      </c>
      <c r="E21" s="277">
        <f>+'Public Comps'!F13</f>
        <v>12.302999999999999</v>
      </c>
      <c r="F21" s="195">
        <f t="shared" si="0"/>
        <v>0.13034247344522396</v>
      </c>
      <c r="G21" s="277">
        <f>+'Public Comps'!G13</f>
        <v>0</v>
      </c>
      <c r="H21" s="195">
        <f t="shared" si="1"/>
        <v>0</v>
      </c>
      <c r="I21" s="277">
        <f>+'Public Comps'!E13</f>
        <v>82.086799999999997</v>
      </c>
      <c r="J21" s="195">
        <f t="shared" si="2"/>
        <v>0.86965752655477602</v>
      </c>
      <c r="K21" s="196">
        <v>0.4</v>
      </c>
      <c r="L21" s="276">
        <f t="shared" si="3"/>
        <v>1.1468660513297402</v>
      </c>
    </row>
    <row r="22" spans="2:25" ht="15.75" customHeight="1" x14ac:dyDescent="0.2">
      <c r="Y22" s="197"/>
    </row>
    <row r="23" spans="2:25" ht="15.75" customHeight="1" x14ac:dyDescent="0.2">
      <c r="B23" s="278" t="s">
        <v>269</v>
      </c>
      <c r="C23" s="279"/>
      <c r="D23" s="280">
        <f t="shared" ref="D23:L23" si="4">MEDIAN(D16:D21)</f>
        <v>1.2</v>
      </c>
      <c r="E23" s="281">
        <f t="shared" si="4"/>
        <v>28.103499999999997</v>
      </c>
      <c r="F23" s="282">
        <f t="shared" si="4"/>
        <v>0.1403425957701418</v>
      </c>
      <c r="G23" s="281">
        <f t="shared" si="4"/>
        <v>0</v>
      </c>
      <c r="H23" s="282">
        <f t="shared" si="4"/>
        <v>0</v>
      </c>
      <c r="I23" s="281">
        <f t="shared" si="4"/>
        <v>633.11840000000007</v>
      </c>
      <c r="J23" s="282">
        <f t="shared" si="4"/>
        <v>0.85965740422985815</v>
      </c>
      <c r="K23" s="282">
        <f t="shared" si="4"/>
        <v>0.4</v>
      </c>
      <c r="L23" s="283">
        <f t="shared" si="4"/>
        <v>1.14843302566487</v>
      </c>
      <c r="Y23" s="197"/>
    </row>
    <row r="24" spans="2:25" ht="15.75" customHeight="1" x14ac:dyDescent="0.2">
      <c r="B24" s="198" t="s">
        <v>270</v>
      </c>
      <c r="C24" s="199"/>
      <c r="D24" s="199"/>
      <c r="E24" s="199"/>
      <c r="F24" s="199"/>
      <c r="G24" s="199"/>
      <c r="H24" s="199"/>
      <c r="I24" s="199"/>
      <c r="J24" s="199"/>
      <c r="K24" s="199"/>
      <c r="L24" s="284">
        <f>+L23/SQRT(Market_Correlation)*(1-Buyer_Diversification)</f>
        <v>1.7386063275405461</v>
      </c>
      <c r="Y24" s="197"/>
    </row>
    <row r="25" spans="2:25" ht="15.75" customHeight="1" x14ac:dyDescent="0.2">
      <c r="Y25" s="197"/>
    </row>
    <row r="26" spans="2:25" ht="15.75" customHeight="1" x14ac:dyDescent="0.2">
      <c r="B26" s="190" t="str">
        <f>TEXT(Company_Name,"")&amp; " - Levered Beta &amp; WACC Calculation"</f>
        <v>Capital Capable Media LLC - Levered Beta &amp; WACC Calculation</v>
      </c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Y26" s="197"/>
    </row>
    <row r="27" spans="2:25" ht="15.75" customHeight="1" x14ac:dyDescent="0.2">
      <c r="B27" s="190"/>
      <c r="C27" s="190"/>
      <c r="D27" s="191" t="s">
        <v>246</v>
      </c>
      <c r="E27" s="191"/>
      <c r="F27" s="191"/>
      <c r="G27" s="191" t="s">
        <v>244</v>
      </c>
      <c r="H27" s="191"/>
      <c r="I27" s="191" t="s">
        <v>245</v>
      </c>
      <c r="J27" s="191"/>
      <c r="K27" s="191"/>
      <c r="L27" s="191" t="s">
        <v>243</v>
      </c>
      <c r="Y27" s="197"/>
    </row>
    <row r="28" spans="2:25" ht="15.75" customHeight="1" x14ac:dyDescent="0.2">
      <c r="B28" s="192"/>
      <c r="C28" s="192" t="s">
        <v>248</v>
      </c>
      <c r="D28" s="193" t="s">
        <v>249</v>
      </c>
      <c r="E28" s="193" t="s">
        <v>250</v>
      </c>
      <c r="F28" s="193" t="s">
        <v>251</v>
      </c>
      <c r="G28" s="193" t="s">
        <v>252</v>
      </c>
      <c r="H28" s="193" t="s">
        <v>253</v>
      </c>
      <c r="I28" s="193" t="s">
        <v>254</v>
      </c>
      <c r="J28" s="193" t="s">
        <v>255</v>
      </c>
      <c r="K28" s="193" t="s">
        <v>256</v>
      </c>
      <c r="L28" s="193" t="s">
        <v>249</v>
      </c>
      <c r="Y28" s="197"/>
    </row>
    <row r="29" spans="2:25" ht="15.75" customHeight="1" x14ac:dyDescent="0.2">
      <c r="B29" s="2" t="s">
        <v>271</v>
      </c>
      <c r="C29" s="2" t="s">
        <v>217</v>
      </c>
      <c r="D29" s="285">
        <f>+L24</f>
        <v>1.7386063275405461</v>
      </c>
      <c r="E29" s="9"/>
      <c r="F29" s="286">
        <f>+F23</f>
        <v>0.1403425957701418</v>
      </c>
      <c r="G29" s="9"/>
      <c r="H29" s="286">
        <f>+H23</f>
        <v>0</v>
      </c>
      <c r="I29" s="9"/>
      <c r="J29" s="286">
        <f>+J23</f>
        <v>0.85965740422985815</v>
      </c>
      <c r="K29" s="287">
        <f>Tax_Rate</f>
        <v>0.35</v>
      </c>
      <c r="L29" s="10">
        <f>D29*(1+(F29/J29)*(1-Tax_Rate)+(H29/J29))</f>
        <v>1.9230988247711347</v>
      </c>
    </row>
    <row r="31" spans="2:25" ht="15.75" customHeight="1" x14ac:dyDescent="0.2">
      <c r="B31" s="200" t="s">
        <v>272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2">
        <f>+Risk_Free_Rate+Equity_Risk_Premium*L29</f>
        <v>0.17423241185783508</v>
      </c>
    </row>
    <row r="32" spans="2:25" ht="15.75" customHeight="1" x14ac:dyDescent="0.2"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</row>
    <row r="33" spans="2:15" ht="15.75" customHeight="1" x14ac:dyDescent="0.2">
      <c r="B33" s="2" t="s">
        <v>273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5" ht="15.75" customHeight="1" x14ac:dyDescent="0.2">
      <c r="B34" s="223"/>
      <c r="C34" s="223"/>
      <c r="D34" s="223"/>
      <c r="E34" s="223"/>
      <c r="F34" s="223"/>
      <c r="G34" s="223"/>
      <c r="H34" s="223"/>
      <c r="I34" s="223"/>
      <c r="J34" s="223"/>
      <c r="K34" s="223"/>
      <c r="L34" s="223"/>
    </row>
    <row r="35" spans="2:15" ht="15.75" customHeight="1" x14ac:dyDescent="0.2">
      <c r="B35" s="203" t="s">
        <v>274</v>
      </c>
      <c r="C35" s="204"/>
      <c r="D35" s="204"/>
      <c r="E35" s="204"/>
      <c r="F35" s="204"/>
      <c r="G35" s="204"/>
      <c r="H35" s="204"/>
      <c r="I35" s="204"/>
      <c r="J35" s="204"/>
      <c r="K35" s="204"/>
      <c r="L35" s="205">
        <f>+L31*J29+Cost_of_Debt*F29*(1-Tax_Rate)+Cost_of_Preferred*H29</f>
        <v>0.15288175427693421</v>
      </c>
    </row>
    <row r="42" spans="2:15" ht="15.75" customHeight="1" x14ac:dyDescent="0.2">
      <c r="O42" s="206"/>
    </row>
    <row r="43" spans="2:15" ht="15.75" customHeight="1" x14ac:dyDescent="0.2">
      <c r="O43" s="206"/>
    </row>
    <row r="44" spans="2:15" ht="15.75" customHeight="1" x14ac:dyDescent="0.2">
      <c r="O44" s="206"/>
    </row>
    <row r="45" spans="2:15" ht="15.75" customHeight="1" x14ac:dyDescent="0.2">
      <c r="O45" s="206"/>
    </row>
    <row r="46" spans="2:15" ht="15.75" customHeight="1" x14ac:dyDescent="0.2">
      <c r="O46" s="206"/>
    </row>
    <row r="52" spans="15:15" ht="15.75" customHeight="1" x14ac:dyDescent="0.2">
      <c r="O52" s="207"/>
    </row>
    <row r="53" spans="15:15" ht="15.75" customHeight="1" x14ac:dyDescent="0.2">
      <c r="O53" s="206"/>
    </row>
    <row r="54" spans="15:15" ht="15.75" customHeight="1" x14ac:dyDescent="0.2">
      <c r="O54" s="206"/>
    </row>
    <row r="55" spans="15:15" ht="15.75" customHeight="1" x14ac:dyDescent="0.2">
      <c r="O55" s="206"/>
    </row>
    <row r="56" spans="15:15" ht="15.75" customHeight="1" x14ac:dyDescent="0.2">
      <c r="O56" s="206"/>
    </row>
    <row r="57" spans="15:15" ht="15.75" customHeight="1" x14ac:dyDescent="0.2">
      <c r="O57" s="206"/>
    </row>
    <row r="58" spans="15:15" ht="15.75" customHeight="1" x14ac:dyDescent="0.2">
      <c r="O58" s="206"/>
    </row>
    <row r="59" spans="15:15" ht="15.75" customHeight="1" x14ac:dyDescent="0.2">
      <c r="O59" s="206"/>
    </row>
    <row r="60" spans="15:15" ht="15.75" customHeight="1" x14ac:dyDescent="0.2">
      <c r="O60" s="206"/>
    </row>
    <row r="61" spans="15:15" ht="15.75" customHeight="1" x14ac:dyDescent="0.2">
      <c r="O61" s="206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/>
  </sheetViews>
  <sheetFormatPr baseColWidth="10" defaultColWidth="9.1640625" defaultRowHeight="15.75" customHeight="1" outlineLevelCol="1" x14ac:dyDescent="0.2"/>
  <cols>
    <col min="1" max="1" width="1.6640625" style="2" customWidth="1"/>
    <col min="2" max="2" width="41" style="2" customWidth="1"/>
    <col min="3" max="3" width="14.5" style="2" customWidth="1" outlineLevel="1"/>
    <col min="4" max="4" width="14.6640625" style="2" customWidth="1" outlineLevel="1"/>
    <col min="5" max="5" width="14.6640625" style="2" customWidth="1"/>
    <col min="6" max="7" width="14.6640625" style="2" customWidth="1" outlineLevel="1"/>
    <col min="8" max="9" width="14.6640625" style="2" customWidth="1"/>
    <col min="10" max="11" width="16.6640625" style="2" customWidth="1"/>
    <col min="12" max="12" width="14.6640625" style="2" customWidth="1"/>
    <col min="13" max="14" width="16.6640625" style="2" customWidth="1"/>
    <col min="15" max="15" width="14.6640625" style="2" customWidth="1"/>
    <col min="16" max="17" width="16.6640625" style="2" customWidth="1"/>
    <col min="18" max="18" width="14.6640625" style="2" customWidth="1"/>
    <col min="19" max="20" width="16.6640625" style="2" customWidth="1"/>
    <col min="21" max="21" width="9.1640625" style="2" customWidth="1"/>
    <col min="22" max="23" width="2.6640625" customWidth="1"/>
  </cols>
  <sheetData>
    <row r="2" spans="2:21" ht="18.75" customHeight="1" x14ac:dyDescent="0.25">
      <c r="B2" s="11" t="s">
        <v>275</v>
      </c>
      <c r="C2" s="4"/>
      <c r="D2" s="4"/>
    </row>
    <row r="3" spans="2:21" ht="15.75" customHeight="1" x14ac:dyDescent="0.2">
      <c r="B3" s="2" t="s">
        <v>276</v>
      </c>
      <c r="D3" s="4"/>
    </row>
    <row r="4" spans="2:21" ht="15.75" customHeight="1" x14ac:dyDescent="0.2">
      <c r="D4" s="4"/>
    </row>
    <row r="5" spans="2:21" ht="15.75" customHeight="1" x14ac:dyDescent="0.2">
      <c r="B5" s="12" t="s">
        <v>277</v>
      </c>
      <c r="C5" s="13"/>
      <c r="D5" s="13"/>
      <c r="E5" s="14" t="s">
        <v>278</v>
      </c>
      <c r="F5" s="14"/>
      <c r="G5" s="14"/>
      <c r="H5" s="15"/>
      <c r="I5" s="16"/>
      <c r="J5" s="17"/>
      <c r="K5" s="17"/>
      <c r="L5" s="18"/>
      <c r="M5" s="18"/>
      <c r="N5" s="18"/>
      <c r="O5" s="14"/>
      <c r="P5" s="17"/>
      <c r="Q5" s="17"/>
      <c r="R5" s="18"/>
      <c r="S5" s="18"/>
      <c r="T5" s="18"/>
      <c r="U5" s="19"/>
    </row>
    <row r="6" spans="2:21" ht="15.75" customHeight="1" x14ac:dyDescent="0.2">
      <c r="B6" s="20"/>
      <c r="C6" s="21"/>
      <c r="D6" s="6" t="s">
        <v>279</v>
      </c>
      <c r="E6" s="6" t="s">
        <v>245</v>
      </c>
      <c r="F6" s="6"/>
      <c r="G6" s="6" t="s">
        <v>244</v>
      </c>
      <c r="H6" s="6" t="s">
        <v>280</v>
      </c>
      <c r="I6" s="22" t="s">
        <v>281</v>
      </c>
      <c r="J6" s="23"/>
      <c r="K6" s="23"/>
      <c r="L6" s="22" t="s">
        <v>282</v>
      </c>
      <c r="M6" s="22"/>
      <c r="N6" s="22"/>
      <c r="O6" s="22" t="s">
        <v>283</v>
      </c>
      <c r="P6" s="22"/>
      <c r="Q6" s="22"/>
      <c r="R6" s="22" t="s">
        <v>284</v>
      </c>
      <c r="S6" s="22"/>
      <c r="T6" s="22"/>
      <c r="U6" s="24"/>
    </row>
    <row r="7" spans="2:21" ht="15.75" customHeight="1" x14ac:dyDescent="0.2">
      <c r="B7" s="25" t="s">
        <v>285</v>
      </c>
      <c r="C7" s="7" t="s">
        <v>248</v>
      </c>
      <c r="D7" s="8" t="s">
        <v>286</v>
      </c>
      <c r="E7" s="8" t="s">
        <v>254</v>
      </c>
      <c r="F7" s="8" t="s">
        <v>250</v>
      </c>
      <c r="G7" s="8" t="s">
        <v>252</v>
      </c>
      <c r="H7" s="8" t="s">
        <v>254</v>
      </c>
      <c r="I7" s="26" t="s">
        <v>287</v>
      </c>
      <c r="J7" s="27" t="s">
        <v>288</v>
      </c>
      <c r="K7" s="27" t="s">
        <v>289</v>
      </c>
      <c r="L7" s="26" t="str">
        <f>+$I$7</f>
        <v>LTM</v>
      </c>
      <c r="M7" s="27" t="str">
        <f>+$J$7</f>
        <v>Forward Year 1</v>
      </c>
      <c r="N7" s="27" t="str">
        <f>+$K$7</f>
        <v>Forward Year 2</v>
      </c>
      <c r="O7" s="26" t="str">
        <f>+$I$7</f>
        <v>LTM</v>
      </c>
      <c r="P7" s="27" t="str">
        <f>+$J$7</f>
        <v>Forward Year 1</v>
      </c>
      <c r="Q7" s="27" t="str">
        <f>+$K$7</f>
        <v>Forward Year 2</v>
      </c>
      <c r="R7" s="26" t="str">
        <f>+$I$7</f>
        <v>LTM</v>
      </c>
      <c r="S7" s="27" t="str">
        <f>+$J$7</f>
        <v>Forward Year 1</v>
      </c>
      <c r="T7" s="27" t="str">
        <f>+$K$7</f>
        <v>Forward Year 2</v>
      </c>
      <c r="U7" s="28" t="s">
        <v>249</v>
      </c>
    </row>
    <row r="8" spans="2:21" ht="15.75" customHeight="1" x14ac:dyDescent="0.2">
      <c r="B8" s="2" t="s">
        <v>257</v>
      </c>
      <c r="C8" s="2" t="s">
        <v>258</v>
      </c>
      <c r="D8" s="87">
        <v>19.690000000000001</v>
      </c>
      <c r="E8" s="88">
        <v>1924.6975000000002</v>
      </c>
      <c r="F8" s="88">
        <v>522.4</v>
      </c>
      <c r="G8" s="88">
        <v>0</v>
      </c>
      <c r="H8" s="88">
        <v>2280.3975</v>
      </c>
      <c r="I8" s="88">
        <v>474.6</v>
      </c>
      <c r="J8" s="88">
        <v>542.5</v>
      </c>
      <c r="K8" s="88">
        <v>616.1</v>
      </c>
      <c r="L8" s="88">
        <v>127.4</v>
      </c>
      <c r="M8" s="88">
        <v>143.6</v>
      </c>
      <c r="N8" s="88">
        <v>169.6</v>
      </c>
      <c r="O8" s="30">
        <f t="shared" ref="O8:Q13" si="0">IFERROR(+L8/I8,"N/A")</f>
        <v>0.26843657817109146</v>
      </c>
      <c r="P8" s="30">
        <f t="shared" si="0"/>
        <v>0.26470046082949306</v>
      </c>
      <c r="Q8" s="30">
        <f t="shared" si="0"/>
        <v>0.27527998701509493</v>
      </c>
      <c r="R8" s="88">
        <v>26.392500000000002</v>
      </c>
      <c r="S8" s="88">
        <v>61.582500000000003</v>
      </c>
      <c r="T8" s="88">
        <v>78.2</v>
      </c>
      <c r="U8" s="91">
        <v>0.32</v>
      </c>
    </row>
    <row r="9" spans="2:21" ht="15.75" customHeight="1" x14ac:dyDescent="0.2">
      <c r="B9" s="2" t="s">
        <v>259</v>
      </c>
      <c r="C9" s="2" t="s">
        <v>260</v>
      </c>
      <c r="D9" s="89">
        <v>62.14</v>
      </c>
      <c r="E9" s="90">
        <v>671.11200000000008</v>
      </c>
      <c r="F9" s="90">
        <v>118.75</v>
      </c>
      <c r="G9" s="90">
        <v>0</v>
      </c>
      <c r="H9" s="90">
        <v>627.58200000000011</v>
      </c>
      <c r="I9" s="90">
        <v>446.041</v>
      </c>
      <c r="J9" s="90">
        <v>431.62</v>
      </c>
      <c r="K9" s="90">
        <v>443.6</v>
      </c>
      <c r="L9" s="90">
        <v>102.377</v>
      </c>
      <c r="M9" s="90">
        <v>95.6</v>
      </c>
      <c r="N9" s="90">
        <v>104.3</v>
      </c>
      <c r="O9" s="30">
        <f t="shared" si="0"/>
        <v>0.22952374333301198</v>
      </c>
      <c r="P9" s="30">
        <f t="shared" si="0"/>
        <v>0.2214911264538251</v>
      </c>
      <c r="Q9" s="30">
        <f t="shared" si="0"/>
        <v>0.23512173128944994</v>
      </c>
      <c r="R9" s="90">
        <v>46.36</v>
      </c>
      <c r="S9" s="90">
        <v>36.828000000000003</v>
      </c>
      <c r="T9" s="90">
        <v>41.472000000000001</v>
      </c>
      <c r="U9" s="91">
        <v>1.55</v>
      </c>
    </row>
    <row r="10" spans="2:21" ht="15.75" customHeight="1" x14ac:dyDescent="0.2">
      <c r="B10" s="2" t="s">
        <v>261</v>
      </c>
      <c r="C10" s="2" t="s">
        <v>262</v>
      </c>
      <c r="D10" s="89">
        <v>65.400000000000006</v>
      </c>
      <c r="E10" s="90">
        <v>800.49600000000009</v>
      </c>
      <c r="F10" s="90">
        <v>0</v>
      </c>
      <c r="G10" s="90">
        <v>0</v>
      </c>
      <c r="H10" s="90">
        <v>633.44400000000007</v>
      </c>
      <c r="I10" s="90">
        <v>421.96699999999998</v>
      </c>
      <c r="J10" s="90">
        <v>440.8</v>
      </c>
      <c r="K10" s="90">
        <v>463.93</v>
      </c>
      <c r="L10" s="90">
        <v>90.582999999999998</v>
      </c>
      <c r="M10" s="90">
        <v>95</v>
      </c>
      <c r="N10" s="90">
        <v>99.1</v>
      </c>
      <c r="O10" s="30">
        <f t="shared" si="0"/>
        <v>0.21466844563674412</v>
      </c>
      <c r="P10" s="30">
        <f t="shared" si="0"/>
        <v>0.21551724137931033</v>
      </c>
      <c r="Q10" s="30">
        <f t="shared" si="0"/>
        <v>0.21360981182505981</v>
      </c>
      <c r="R10" s="90">
        <v>37.942999999999998</v>
      </c>
      <c r="S10" s="90">
        <v>42.228000000000002</v>
      </c>
      <c r="T10" s="90">
        <v>46.512</v>
      </c>
      <c r="U10" s="91">
        <v>1.1100000000000001</v>
      </c>
    </row>
    <row r="11" spans="2:21" ht="15.75" customHeight="1" x14ac:dyDescent="0.2">
      <c r="B11" s="2" t="s">
        <v>263</v>
      </c>
      <c r="C11" s="2" t="s">
        <v>264</v>
      </c>
      <c r="D11" s="89">
        <v>34.479999999999997</v>
      </c>
      <c r="E11" s="90">
        <v>595.12480000000005</v>
      </c>
      <c r="F11" s="90">
        <v>0</v>
      </c>
      <c r="G11" s="90">
        <v>0</v>
      </c>
      <c r="H11" s="90">
        <v>474.29580000000004</v>
      </c>
      <c r="I11" s="90">
        <v>348.72</v>
      </c>
      <c r="J11" s="90">
        <v>368.86</v>
      </c>
      <c r="K11" s="90">
        <v>385.2</v>
      </c>
      <c r="L11" s="90">
        <v>74.099999999999994</v>
      </c>
      <c r="M11" s="90">
        <v>75.3</v>
      </c>
      <c r="N11" s="90">
        <v>80.099999999999994</v>
      </c>
      <c r="O11" s="30">
        <f t="shared" si="0"/>
        <v>0.21249139710942874</v>
      </c>
      <c r="P11" s="30">
        <f t="shared" si="0"/>
        <v>0.20414249308680799</v>
      </c>
      <c r="Q11" s="30">
        <f t="shared" si="0"/>
        <v>0.20794392523364486</v>
      </c>
      <c r="R11" s="90">
        <v>37.799400000000006</v>
      </c>
      <c r="S11" s="90">
        <v>40.906200000000005</v>
      </c>
      <c r="T11" s="90">
        <v>43.495200000000004</v>
      </c>
      <c r="U11" s="91">
        <v>1.1499999999999999</v>
      </c>
    </row>
    <row r="12" spans="2:21" ht="15.75" customHeight="1" x14ac:dyDescent="0.2">
      <c r="B12" s="2" t="s">
        <v>265</v>
      </c>
      <c r="C12" s="2" t="s">
        <v>266</v>
      </c>
      <c r="D12" s="89">
        <v>2.2000000000000002</v>
      </c>
      <c r="E12" s="90">
        <v>52.910000000000004</v>
      </c>
      <c r="F12" s="90">
        <v>43.903999999999989</v>
      </c>
      <c r="G12" s="90">
        <v>0</v>
      </c>
      <c r="H12" s="90">
        <v>77.801999999999992</v>
      </c>
      <c r="I12" s="90">
        <v>330.24900000000002</v>
      </c>
      <c r="J12" s="90">
        <v>320</v>
      </c>
      <c r="K12" s="90">
        <v>339.06</v>
      </c>
      <c r="L12" s="90">
        <v>-34.301000000000002</v>
      </c>
      <c r="M12" s="90">
        <v>-45</v>
      </c>
      <c r="N12" s="90">
        <v>-15.6</v>
      </c>
      <c r="O12" s="30">
        <f t="shared" si="0"/>
        <v>-0.10386405409251807</v>
      </c>
      <c r="P12" s="30">
        <f t="shared" si="0"/>
        <v>-0.140625</v>
      </c>
      <c r="Q12" s="30">
        <f t="shared" si="0"/>
        <v>-4.6009555830826401E-2</v>
      </c>
      <c r="R12" s="90">
        <v>-75.390000000000015</v>
      </c>
      <c r="S12" s="90">
        <v>-18.759</v>
      </c>
      <c r="T12" s="90">
        <v>-3.3670000000000004</v>
      </c>
      <c r="U12" s="91">
        <v>2.11</v>
      </c>
    </row>
    <row r="13" spans="2:21" ht="15.75" customHeight="1" x14ac:dyDescent="0.2">
      <c r="B13" s="2" t="s">
        <v>267</v>
      </c>
      <c r="C13" s="2" t="s">
        <v>268</v>
      </c>
      <c r="D13" s="89">
        <v>3.26</v>
      </c>
      <c r="E13" s="90">
        <v>82.086799999999997</v>
      </c>
      <c r="F13" s="90">
        <v>12.302999999999999</v>
      </c>
      <c r="G13" s="90">
        <v>0</v>
      </c>
      <c r="H13" s="90">
        <v>74.654799999999994</v>
      </c>
      <c r="I13" s="90">
        <v>127.753</v>
      </c>
      <c r="J13" s="90">
        <v>119.63</v>
      </c>
      <c r="K13" s="90">
        <v>124.21</v>
      </c>
      <c r="L13" s="90">
        <v>12.722999999999999</v>
      </c>
      <c r="M13" s="90">
        <v>11.1</v>
      </c>
      <c r="N13" s="90">
        <v>15.2</v>
      </c>
      <c r="O13" s="30">
        <f t="shared" si="0"/>
        <v>9.9590616267328347E-2</v>
      </c>
      <c r="P13" s="30">
        <f t="shared" si="0"/>
        <v>9.2786090445540412E-2</v>
      </c>
      <c r="Q13" s="30">
        <f t="shared" si="0"/>
        <v>0.12237339988728765</v>
      </c>
      <c r="R13" s="90">
        <v>3.468</v>
      </c>
      <c r="S13" s="90">
        <v>6.0431999999999997</v>
      </c>
      <c r="T13" s="90">
        <v>6.7986000000000004</v>
      </c>
      <c r="U13" s="91">
        <v>1.25</v>
      </c>
    </row>
    <row r="14" spans="2:21" ht="15.75" customHeight="1" x14ac:dyDescent="0.2">
      <c r="D14" s="33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5"/>
      <c r="Q14" s="35"/>
      <c r="R14" s="34"/>
      <c r="S14" s="34"/>
      <c r="T14" s="34"/>
      <c r="U14" s="31"/>
    </row>
    <row r="15" spans="2:21" ht="15.75" customHeight="1" x14ac:dyDescent="0.2">
      <c r="B15" s="36" t="s">
        <v>290</v>
      </c>
      <c r="C15" s="5"/>
      <c r="D15" s="37">
        <f t="shared" ref="D15:K15" si="1">MAX(D8:D13)</f>
        <v>65.400000000000006</v>
      </c>
      <c r="E15" s="38">
        <f t="shared" si="1"/>
        <v>1924.6975000000002</v>
      </c>
      <c r="F15" s="38">
        <f t="shared" si="1"/>
        <v>522.4</v>
      </c>
      <c r="G15" s="38">
        <f t="shared" si="1"/>
        <v>0</v>
      </c>
      <c r="H15" s="38">
        <f t="shared" si="1"/>
        <v>2280.3975</v>
      </c>
      <c r="I15" s="38">
        <f t="shared" si="1"/>
        <v>474.6</v>
      </c>
      <c r="J15" s="38">
        <f t="shared" si="1"/>
        <v>542.5</v>
      </c>
      <c r="K15" s="38">
        <f t="shared" si="1"/>
        <v>616.1</v>
      </c>
      <c r="L15" s="38">
        <f>MAX(L8:L13)</f>
        <v>127.4</v>
      </c>
      <c r="M15" s="38">
        <f>MAX(M8:M13)</f>
        <v>143.6</v>
      </c>
      <c r="N15" s="38">
        <f t="shared" ref="N15" si="2">MAX(N8:N13)</f>
        <v>169.6</v>
      </c>
      <c r="O15" s="39">
        <f>MAX(O8:O13)</f>
        <v>0.26843657817109146</v>
      </c>
      <c r="P15" s="39">
        <f>MAX(P8:P13)</f>
        <v>0.26470046082949306</v>
      </c>
      <c r="Q15" s="39">
        <f t="shared" ref="Q15" si="3">MAX(Q8:Q13)</f>
        <v>0.27527998701509493</v>
      </c>
      <c r="R15" s="38">
        <f>MAX(R8:R13)</f>
        <v>46.36</v>
      </c>
      <c r="S15" s="38">
        <f>MAX(S8:S13)</f>
        <v>61.582500000000003</v>
      </c>
      <c r="T15" s="38">
        <f t="shared" ref="T15" si="4">MAX(T8:T13)</f>
        <v>78.2</v>
      </c>
      <c r="U15" s="40">
        <f>MAX(U8:U13)</f>
        <v>2.11</v>
      </c>
    </row>
    <row r="16" spans="2:21" ht="15.75" customHeight="1" x14ac:dyDescent="0.2">
      <c r="B16" s="41" t="s">
        <v>291</v>
      </c>
      <c r="D16" s="42">
        <f t="shared" ref="D16:K16" si="5">QUARTILE(D8:D13,3)</f>
        <v>55.225000000000001</v>
      </c>
      <c r="E16" s="43">
        <f t="shared" si="5"/>
        <v>768.15000000000009</v>
      </c>
      <c r="F16" s="43">
        <f t="shared" si="5"/>
        <v>100.0385</v>
      </c>
      <c r="G16" s="43">
        <f t="shared" si="5"/>
        <v>0</v>
      </c>
      <c r="H16" s="43">
        <f t="shared" si="5"/>
        <v>631.97850000000005</v>
      </c>
      <c r="I16" s="43">
        <f t="shared" si="5"/>
        <v>440.02249999999998</v>
      </c>
      <c r="J16" s="43">
        <f t="shared" si="5"/>
        <v>438.505</v>
      </c>
      <c r="K16" s="43">
        <f t="shared" si="5"/>
        <v>458.84750000000003</v>
      </c>
      <c r="L16" s="43">
        <f>QUARTILE(L8:L13,3)</f>
        <v>99.4285</v>
      </c>
      <c r="M16" s="43">
        <f>QUARTILE(M8:M13,3)</f>
        <v>95.449999999999989</v>
      </c>
      <c r="N16" s="43">
        <f t="shared" ref="N16" si="6">QUARTILE(N8:N13,3)</f>
        <v>103</v>
      </c>
      <c r="O16" s="30">
        <f>QUARTILE(O8:O13,3)</f>
        <v>0.22580991890894503</v>
      </c>
      <c r="P16" s="30">
        <f>QUARTILE(P8:P13,3)</f>
        <v>0.2199976551851964</v>
      </c>
      <c r="Q16" s="30">
        <f t="shared" ref="Q16" si="7">QUARTILE(Q8:Q13,3)</f>
        <v>0.2297437514233524</v>
      </c>
      <c r="R16" s="43">
        <f>QUARTILE(R8:R13,3)</f>
        <v>37.9071</v>
      </c>
      <c r="S16" s="43">
        <f>QUARTILE(S8:S13,3)</f>
        <v>41.897550000000003</v>
      </c>
      <c r="T16" s="43">
        <f t="shared" ref="T16" si="8">QUARTILE(T8:T13,3)</f>
        <v>45.757800000000003</v>
      </c>
      <c r="U16" s="44">
        <f>QUARTILE(U8:U13,3)</f>
        <v>1.4750000000000001</v>
      </c>
    </row>
    <row r="17" spans="2:21" ht="15.75" customHeight="1" x14ac:dyDescent="0.2">
      <c r="B17" s="45" t="s">
        <v>292</v>
      </c>
      <c r="C17" s="46"/>
      <c r="D17" s="47">
        <f t="shared" ref="D17:K17" si="9">MEDIAN(D8:D13)</f>
        <v>27.085000000000001</v>
      </c>
      <c r="E17" s="48">
        <f t="shared" si="9"/>
        <v>633.11840000000007</v>
      </c>
      <c r="F17" s="48">
        <f t="shared" si="9"/>
        <v>28.103499999999997</v>
      </c>
      <c r="G17" s="48">
        <f t="shared" si="9"/>
        <v>0</v>
      </c>
      <c r="H17" s="48">
        <f t="shared" si="9"/>
        <v>550.9389000000001</v>
      </c>
      <c r="I17" s="48">
        <f t="shared" si="9"/>
        <v>385.34350000000001</v>
      </c>
      <c r="J17" s="48">
        <f t="shared" si="9"/>
        <v>400.24</v>
      </c>
      <c r="K17" s="48">
        <f t="shared" si="9"/>
        <v>414.4</v>
      </c>
      <c r="L17" s="48">
        <f>MEDIAN(L8:L13)</f>
        <v>82.341499999999996</v>
      </c>
      <c r="M17" s="48">
        <f>MEDIAN(M8:M13)</f>
        <v>85.15</v>
      </c>
      <c r="N17" s="48">
        <f t="shared" ref="N17" si="10">MEDIAN(N8:N13)</f>
        <v>89.6</v>
      </c>
      <c r="O17" s="49">
        <f>MEDIAN(O8:O13)</f>
        <v>0.21357992137308643</v>
      </c>
      <c r="P17" s="49">
        <f>MEDIAN(P8:P13)</f>
        <v>0.20982986723305916</v>
      </c>
      <c r="Q17" s="49">
        <f t="shared" ref="Q17" si="11">MEDIAN(Q8:Q13)</f>
        <v>0.21077686852935235</v>
      </c>
      <c r="R17" s="48">
        <f>MEDIAN(R8:R13)</f>
        <v>32.095950000000002</v>
      </c>
      <c r="S17" s="48">
        <f>MEDIAN(S8:S13)</f>
        <v>38.867100000000008</v>
      </c>
      <c r="T17" s="48">
        <f t="shared" ref="T17" si="12">MEDIAN(T8:T13)</f>
        <v>42.483600000000003</v>
      </c>
      <c r="U17" s="50">
        <f>MEDIAN(U8:U13)</f>
        <v>1.2</v>
      </c>
    </row>
    <row r="18" spans="2:21" ht="15.75" customHeight="1" x14ac:dyDescent="0.2">
      <c r="B18" s="41" t="s">
        <v>293</v>
      </c>
      <c r="C18" s="4"/>
      <c r="D18" s="42">
        <f t="shared" ref="D18:K18" si="13">QUARTILE(D8:D13,1)</f>
        <v>7.3674999999999997</v>
      </c>
      <c r="E18" s="43">
        <f t="shared" si="13"/>
        <v>210.34629999999999</v>
      </c>
      <c r="F18" s="43">
        <f t="shared" si="13"/>
        <v>3.0757499999999998</v>
      </c>
      <c r="G18" s="43">
        <f t="shared" si="13"/>
        <v>0</v>
      </c>
      <c r="H18" s="43">
        <f t="shared" si="13"/>
        <v>176.92545000000001</v>
      </c>
      <c r="I18" s="43">
        <f t="shared" si="13"/>
        <v>334.86675000000002</v>
      </c>
      <c r="J18" s="43">
        <f t="shared" si="13"/>
        <v>332.21500000000003</v>
      </c>
      <c r="K18" s="43">
        <f t="shared" si="13"/>
        <v>350.59500000000003</v>
      </c>
      <c r="L18" s="43">
        <f>QUARTILE(L8:L13,1)</f>
        <v>28.067249999999998</v>
      </c>
      <c r="M18" s="43">
        <f>QUARTILE(M8:M13,1)</f>
        <v>27.15</v>
      </c>
      <c r="N18" s="43">
        <f t="shared" ref="N18" si="14">QUARTILE(N8:N13,1)</f>
        <v>31.424999999999997</v>
      </c>
      <c r="O18" s="30">
        <f>QUARTILE(O8:O13,1)</f>
        <v>0.12781581147785345</v>
      </c>
      <c r="P18" s="30">
        <f>QUARTILE(P8:P13,1)</f>
        <v>0.1206251911058573</v>
      </c>
      <c r="Q18" s="30">
        <f t="shared" ref="Q18" si="15">QUARTILE(Q8:Q13,1)</f>
        <v>0.14376603122387696</v>
      </c>
      <c r="R18" s="43">
        <f>QUARTILE(R8:R13,1)</f>
        <v>9.1991250000000004</v>
      </c>
      <c r="S18" s="43">
        <f>QUARTILE(S8:S13,1)</f>
        <v>13.7394</v>
      </c>
      <c r="T18" s="43">
        <f t="shared" ref="T18" si="16">QUARTILE(T8:T13,1)</f>
        <v>15.466950000000001</v>
      </c>
      <c r="U18" s="44">
        <f>QUARTILE(U8:U13,1)</f>
        <v>1.1200000000000001</v>
      </c>
    </row>
    <row r="19" spans="2:21" ht="15.75" customHeight="1" x14ac:dyDescent="0.2">
      <c r="B19" s="51" t="s">
        <v>294</v>
      </c>
      <c r="C19" s="52"/>
      <c r="D19" s="53">
        <f t="shared" ref="D19:K19" si="17">MIN(D8:D13)</f>
        <v>2.2000000000000002</v>
      </c>
      <c r="E19" s="54">
        <f t="shared" si="17"/>
        <v>52.910000000000004</v>
      </c>
      <c r="F19" s="54">
        <f t="shared" si="17"/>
        <v>0</v>
      </c>
      <c r="G19" s="54">
        <f t="shared" si="17"/>
        <v>0</v>
      </c>
      <c r="H19" s="54">
        <f t="shared" si="17"/>
        <v>74.654799999999994</v>
      </c>
      <c r="I19" s="54">
        <f t="shared" si="17"/>
        <v>127.753</v>
      </c>
      <c r="J19" s="54">
        <f t="shared" si="17"/>
        <v>119.63</v>
      </c>
      <c r="K19" s="54">
        <f t="shared" si="17"/>
        <v>124.21</v>
      </c>
      <c r="L19" s="54">
        <f>MIN(L8:L13)</f>
        <v>-34.301000000000002</v>
      </c>
      <c r="M19" s="54">
        <f>MIN(M8:M13)</f>
        <v>-45</v>
      </c>
      <c r="N19" s="54">
        <f t="shared" ref="N19" si="18">MIN(N8:N13)</f>
        <v>-15.6</v>
      </c>
      <c r="O19" s="55">
        <f>MIN(O8:O13)</f>
        <v>-0.10386405409251807</v>
      </c>
      <c r="P19" s="55">
        <f>MIN(P8:P13)</f>
        <v>-0.140625</v>
      </c>
      <c r="Q19" s="55">
        <f t="shared" ref="Q19" si="19">MIN(Q8:Q13)</f>
        <v>-4.6009555830826401E-2</v>
      </c>
      <c r="R19" s="54">
        <f>MIN(R8:R13)</f>
        <v>-75.390000000000015</v>
      </c>
      <c r="S19" s="54">
        <f>MIN(S8:S13)</f>
        <v>-18.759</v>
      </c>
      <c r="T19" s="54">
        <f t="shared" ref="T19" si="20">MIN(T8:T13)</f>
        <v>-3.3670000000000004</v>
      </c>
      <c r="U19" s="56">
        <f>MIN(U8:U13)</f>
        <v>0.32</v>
      </c>
    </row>
    <row r="20" spans="2:21" ht="15.75" customHeight="1" x14ac:dyDescent="0.2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2:21" ht="15.75" customHeight="1" x14ac:dyDescent="0.2">
      <c r="B21" s="57" t="s">
        <v>295</v>
      </c>
      <c r="C21" s="13"/>
      <c r="D21" s="13"/>
      <c r="E21" s="14" t="s">
        <v>278</v>
      </c>
      <c r="F21" s="14"/>
      <c r="G21" s="14"/>
      <c r="H21" s="15"/>
      <c r="I21" s="14" t="s">
        <v>296</v>
      </c>
      <c r="J21" s="15"/>
      <c r="K21" s="15"/>
      <c r="L21" s="14" t="s">
        <v>296</v>
      </c>
      <c r="M21" s="15"/>
      <c r="N21" s="15"/>
      <c r="O21" s="16"/>
      <c r="P21" s="58"/>
      <c r="Q21" s="59"/>
    </row>
    <row r="22" spans="2:21" ht="15.75" customHeight="1" x14ac:dyDescent="0.2">
      <c r="B22" s="20"/>
      <c r="C22" s="21"/>
      <c r="D22" s="6" t="str">
        <f>+$D$6</f>
        <v>Share</v>
      </c>
      <c r="E22" s="6" t="str">
        <f>+$E$6</f>
        <v>Equity</v>
      </c>
      <c r="F22" s="6"/>
      <c r="G22" s="6" t="str">
        <f>+$G$6</f>
        <v>Preferred</v>
      </c>
      <c r="H22" s="6" t="str">
        <f>+$H$6</f>
        <v>Enterprise</v>
      </c>
      <c r="I22" s="22" t="s">
        <v>281</v>
      </c>
      <c r="J22" s="60"/>
      <c r="K22" s="60"/>
      <c r="L22" s="22" t="s">
        <v>282</v>
      </c>
      <c r="M22" s="61"/>
      <c r="N22" s="61"/>
      <c r="O22" s="22" t="s">
        <v>297</v>
      </c>
      <c r="P22" s="61"/>
      <c r="Q22" s="62"/>
    </row>
    <row r="23" spans="2:21" ht="15.75" customHeight="1" x14ac:dyDescent="0.2">
      <c r="B23" s="25" t="str">
        <f>+$B$7</f>
        <v>Company Name</v>
      </c>
      <c r="C23" s="7" t="str">
        <f>+$C$7</f>
        <v>Ticker</v>
      </c>
      <c r="D23" s="8" t="str">
        <f>+$D$7</f>
        <v>Price</v>
      </c>
      <c r="E23" s="8" t="str">
        <f>+$E$7</f>
        <v>Value</v>
      </c>
      <c r="F23" s="8" t="str">
        <f>+$F$7</f>
        <v>Debt</v>
      </c>
      <c r="G23" s="8" t="str">
        <f>+$G$7</f>
        <v>Stock</v>
      </c>
      <c r="H23" s="8" t="str">
        <f>+$H$7</f>
        <v>Value</v>
      </c>
      <c r="I23" s="26" t="str">
        <f>+$I$7</f>
        <v>LTM</v>
      </c>
      <c r="J23" s="27" t="str">
        <f>+$J$7</f>
        <v>Forward Year 1</v>
      </c>
      <c r="K23" s="27" t="str">
        <f>+$K$7</f>
        <v>Forward Year 2</v>
      </c>
      <c r="L23" s="26" t="str">
        <f>+$I$7</f>
        <v>LTM</v>
      </c>
      <c r="M23" s="27" t="str">
        <f>+$J$7</f>
        <v>Forward Year 1</v>
      </c>
      <c r="N23" s="27" t="str">
        <f>+$K$7</f>
        <v>Forward Year 2</v>
      </c>
      <c r="O23" s="26" t="str">
        <f>+$I$7</f>
        <v>LTM</v>
      </c>
      <c r="P23" s="27" t="str">
        <f>+$J$7</f>
        <v>Forward Year 1</v>
      </c>
      <c r="Q23" s="63" t="str">
        <f>+$K$7</f>
        <v>Forward Year 2</v>
      </c>
    </row>
    <row r="24" spans="2:21" ht="15.75" customHeight="1" x14ac:dyDescent="0.2">
      <c r="B24" s="2" t="str">
        <f t="shared" ref="B24:H29" si="21">+B8</f>
        <v>Nord Anglia Education Inc</v>
      </c>
      <c r="C24" s="2" t="str">
        <f t="shared" si="21"/>
        <v>NYSE:Company1891</v>
      </c>
      <c r="D24" s="29">
        <f t="shared" si="21"/>
        <v>19.690000000000001</v>
      </c>
      <c r="E24" s="9">
        <f t="shared" si="21"/>
        <v>1924.6975000000002</v>
      </c>
      <c r="F24" s="9">
        <f t="shared" si="21"/>
        <v>522.4</v>
      </c>
      <c r="G24" s="9">
        <f t="shared" si="21"/>
        <v>0</v>
      </c>
      <c r="H24" s="9">
        <f t="shared" si="21"/>
        <v>2280.3975</v>
      </c>
      <c r="I24" s="64">
        <f t="shared" ref="I24:N29" si="22">IFERROR(IF(OR(+$H24/I8&lt;0,+$H24/I8&gt;=100),"NM",+$H24/I8),"N/A")</f>
        <v>4.8048830594184571</v>
      </c>
      <c r="J24" s="64">
        <f t="shared" si="22"/>
        <v>4.2034976958525343</v>
      </c>
      <c r="K24" s="64">
        <f t="shared" si="22"/>
        <v>3.7013431261158902</v>
      </c>
      <c r="L24" s="64">
        <f t="shared" si="22"/>
        <v>17.899509419152277</v>
      </c>
      <c r="M24" s="64">
        <f t="shared" si="22"/>
        <v>15.880205431754876</v>
      </c>
      <c r="N24" s="64">
        <f t="shared" si="22"/>
        <v>13.445739976415094</v>
      </c>
      <c r="O24" s="64">
        <f t="shared" ref="O24:Q29" si="23">IFERROR(IF(OR(+$E24/R8&lt;0,+$E24/R8&gt;=100),"NM",+$E24/R8),"N/A")</f>
        <v>72.925925925925924</v>
      </c>
      <c r="P24" s="64">
        <f t="shared" si="23"/>
        <v>31.253968253968257</v>
      </c>
      <c r="Q24" s="64">
        <f t="shared" si="23"/>
        <v>24.612500000000001</v>
      </c>
    </row>
    <row r="25" spans="2:21" ht="15.75" customHeight="1" x14ac:dyDescent="0.2">
      <c r="B25" s="2" t="str">
        <f t="shared" si="21"/>
        <v>Company2600 Education Inc</v>
      </c>
      <c r="C25" s="2" t="str">
        <f t="shared" si="21"/>
        <v>NASDAQ:Company2494</v>
      </c>
      <c r="D25" s="10">
        <f t="shared" si="21"/>
        <v>62.14</v>
      </c>
      <c r="E25" s="32">
        <f t="shared" si="21"/>
        <v>671.11200000000008</v>
      </c>
      <c r="F25" s="32">
        <f t="shared" si="21"/>
        <v>118.75</v>
      </c>
      <c r="G25" s="32">
        <f t="shared" si="21"/>
        <v>0</v>
      </c>
      <c r="H25" s="32">
        <f t="shared" si="21"/>
        <v>627.58200000000011</v>
      </c>
      <c r="I25" s="64">
        <f t="shared" si="22"/>
        <v>1.4070051856219499</v>
      </c>
      <c r="J25" s="64">
        <f t="shared" si="22"/>
        <v>1.4540151058801727</v>
      </c>
      <c r="K25" s="64">
        <f t="shared" si="22"/>
        <v>1.4147475202885484</v>
      </c>
      <c r="L25" s="64">
        <f t="shared" si="22"/>
        <v>6.1301073483301929</v>
      </c>
      <c r="M25" s="64">
        <f t="shared" si="22"/>
        <v>6.564665271966529</v>
      </c>
      <c r="N25" s="64">
        <f t="shared" si="22"/>
        <v>6.0170853307766068</v>
      </c>
      <c r="O25" s="64">
        <f t="shared" si="23"/>
        <v>14.47610008628128</v>
      </c>
      <c r="P25" s="64">
        <f t="shared" si="23"/>
        <v>18.222873900293255</v>
      </c>
      <c r="Q25" s="64">
        <f t="shared" si="23"/>
        <v>16.182291666666668</v>
      </c>
    </row>
    <row r="26" spans="2:21" ht="15.75" customHeight="1" x14ac:dyDescent="0.2">
      <c r="B26" s="2" t="str">
        <f t="shared" si="21"/>
        <v>Capella Education Company</v>
      </c>
      <c r="C26" s="2" t="str">
        <f t="shared" si="21"/>
        <v>NASDAQ:Company0593</v>
      </c>
      <c r="D26" s="10">
        <f t="shared" si="21"/>
        <v>65.400000000000006</v>
      </c>
      <c r="E26" s="32">
        <f t="shared" si="21"/>
        <v>800.49600000000009</v>
      </c>
      <c r="F26" s="32">
        <f t="shared" si="21"/>
        <v>0</v>
      </c>
      <c r="G26" s="32">
        <f t="shared" si="21"/>
        <v>0</v>
      </c>
      <c r="H26" s="32">
        <f t="shared" si="21"/>
        <v>633.44400000000007</v>
      </c>
      <c r="I26" s="64">
        <f t="shared" si="22"/>
        <v>1.5011695227351904</v>
      </c>
      <c r="J26" s="64">
        <f t="shared" si="22"/>
        <v>1.4370326678765881</v>
      </c>
      <c r="K26" s="64">
        <f t="shared" si="22"/>
        <v>1.3653870195934732</v>
      </c>
      <c r="L26" s="64">
        <f t="shared" si="22"/>
        <v>6.9929677754103983</v>
      </c>
      <c r="M26" s="64">
        <f t="shared" si="22"/>
        <v>6.6678315789473688</v>
      </c>
      <c r="N26" s="64">
        <f t="shared" si="22"/>
        <v>6.3919677093844616</v>
      </c>
      <c r="O26" s="64">
        <f t="shared" si="23"/>
        <v>21.097330205835071</v>
      </c>
      <c r="P26" s="64">
        <f t="shared" si="23"/>
        <v>18.956521739130437</v>
      </c>
      <c r="Q26" s="64">
        <f t="shared" si="23"/>
        <v>17.210526315789476</v>
      </c>
    </row>
    <row r="27" spans="2:21" ht="15.75" customHeight="1" x14ac:dyDescent="0.2">
      <c r="B27" s="2" t="str">
        <f t="shared" si="21"/>
        <v>American Public Education, Inc.</v>
      </c>
      <c r="C27" s="2" t="str">
        <f t="shared" si="21"/>
        <v>NASDAQ:Company0117</v>
      </c>
      <c r="D27" s="10">
        <f t="shared" si="21"/>
        <v>34.479999999999997</v>
      </c>
      <c r="E27" s="32">
        <f t="shared" si="21"/>
        <v>595.12480000000005</v>
      </c>
      <c r="F27" s="32">
        <f t="shared" si="21"/>
        <v>0</v>
      </c>
      <c r="G27" s="32">
        <f t="shared" si="21"/>
        <v>0</v>
      </c>
      <c r="H27" s="32">
        <f t="shared" si="21"/>
        <v>474.29580000000004</v>
      </c>
      <c r="I27" s="64">
        <f t="shared" si="22"/>
        <v>1.3601049552649691</v>
      </c>
      <c r="J27" s="64">
        <f t="shared" si="22"/>
        <v>1.2858423250013555</v>
      </c>
      <c r="K27" s="64">
        <f t="shared" si="22"/>
        <v>1.231297507788162</v>
      </c>
      <c r="L27" s="64">
        <f t="shared" si="22"/>
        <v>6.4007530364372478</v>
      </c>
      <c r="M27" s="64">
        <f t="shared" si="22"/>
        <v>6.2987490039840646</v>
      </c>
      <c r="N27" s="64">
        <f t="shared" si="22"/>
        <v>5.9212958801498141</v>
      </c>
      <c r="O27" s="64">
        <f t="shared" si="23"/>
        <v>15.744292237442922</v>
      </c>
      <c r="P27" s="64">
        <f t="shared" si="23"/>
        <v>14.548523206751055</v>
      </c>
      <c r="Q27" s="64">
        <f t="shared" si="23"/>
        <v>13.682539682539682</v>
      </c>
    </row>
    <row r="28" spans="2:21" ht="15.75" customHeight="1" x14ac:dyDescent="0.2">
      <c r="B28" s="2" t="str">
        <f t="shared" si="21"/>
        <v>Lincoln Educational Services Corp</v>
      </c>
      <c r="C28" s="2" t="str">
        <f t="shared" si="21"/>
        <v>NASDAQ:Company1557</v>
      </c>
      <c r="D28" s="10">
        <f t="shared" si="21"/>
        <v>2.2000000000000002</v>
      </c>
      <c r="E28" s="32">
        <f t="shared" si="21"/>
        <v>52.910000000000004</v>
      </c>
      <c r="F28" s="32">
        <f t="shared" si="21"/>
        <v>43.903999999999989</v>
      </c>
      <c r="G28" s="32">
        <f t="shared" si="21"/>
        <v>0</v>
      </c>
      <c r="H28" s="32">
        <f t="shared" si="21"/>
        <v>77.801999999999992</v>
      </c>
      <c r="I28" s="64">
        <f t="shared" si="22"/>
        <v>0.23558587611166115</v>
      </c>
      <c r="J28" s="64">
        <f t="shared" si="22"/>
        <v>0.24313124999999997</v>
      </c>
      <c r="K28" s="64">
        <f t="shared" si="22"/>
        <v>0.22946381171474073</v>
      </c>
      <c r="L28" s="64" t="str">
        <f t="shared" si="22"/>
        <v>NM</v>
      </c>
      <c r="M28" s="64" t="str">
        <f t="shared" si="22"/>
        <v>NM</v>
      </c>
      <c r="N28" s="64" t="str">
        <f t="shared" si="22"/>
        <v>NM</v>
      </c>
      <c r="O28" s="64" t="str">
        <f t="shared" si="23"/>
        <v>NM</v>
      </c>
      <c r="P28" s="64" t="str">
        <f t="shared" si="23"/>
        <v>NM</v>
      </c>
      <c r="Q28" s="64" t="str">
        <f t="shared" si="23"/>
        <v>NM</v>
      </c>
    </row>
    <row r="29" spans="2:21" ht="15.75" customHeight="1" x14ac:dyDescent="0.2">
      <c r="B29" s="2" t="str">
        <f t="shared" si="21"/>
        <v>National American University Holdings Inc</v>
      </c>
      <c r="C29" s="2" t="str">
        <f t="shared" si="21"/>
        <v>NASDAQ:Company1849</v>
      </c>
      <c r="D29" s="10">
        <f t="shared" si="21"/>
        <v>3.26</v>
      </c>
      <c r="E29" s="32">
        <f t="shared" si="21"/>
        <v>82.086799999999997</v>
      </c>
      <c r="F29" s="32">
        <f t="shared" si="21"/>
        <v>12.302999999999999</v>
      </c>
      <c r="G29" s="32">
        <f t="shared" si="21"/>
        <v>0</v>
      </c>
      <c r="H29" s="32">
        <f t="shared" si="21"/>
        <v>74.654799999999994</v>
      </c>
      <c r="I29" s="64">
        <f t="shared" si="22"/>
        <v>0.58436827315209816</v>
      </c>
      <c r="J29" s="64">
        <f t="shared" si="22"/>
        <v>0.62404747972916486</v>
      </c>
      <c r="K29" s="64">
        <f t="shared" si="22"/>
        <v>0.60103695354641329</v>
      </c>
      <c r="L29" s="64">
        <f t="shared" si="22"/>
        <v>5.8677041578244129</v>
      </c>
      <c r="M29" s="64">
        <f t="shared" si="22"/>
        <v>6.7256576576576572</v>
      </c>
      <c r="N29" s="64">
        <f t="shared" si="22"/>
        <v>4.9115000000000002</v>
      </c>
      <c r="O29" s="64">
        <f t="shared" si="23"/>
        <v>23.669780853517878</v>
      </c>
      <c r="P29" s="64">
        <f t="shared" si="23"/>
        <v>13.583333333333334</v>
      </c>
      <c r="Q29" s="64">
        <f t="shared" si="23"/>
        <v>12.074074074074073</v>
      </c>
    </row>
    <row r="30" spans="2:21" ht="15.75" customHeight="1" x14ac:dyDescent="0.2">
      <c r="D30" s="33"/>
      <c r="E30" s="34"/>
      <c r="F30" s="34"/>
      <c r="G30" s="34"/>
      <c r="H30" s="34"/>
      <c r="I30" s="64"/>
      <c r="J30" s="64"/>
      <c r="K30" s="64"/>
      <c r="L30" s="64"/>
      <c r="M30" s="64"/>
      <c r="N30" s="64"/>
      <c r="O30" s="64"/>
      <c r="P30" s="64"/>
      <c r="Q30" s="64"/>
    </row>
    <row r="31" spans="2:21" ht="15.75" customHeight="1" x14ac:dyDescent="0.2">
      <c r="B31" s="36" t="s">
        <v>290</v>
      </c>
      <c r="C31" s="5"/>
      <c r="D31" s="37">
        <f t="shared" ref="D31:K31" si="24">MAX(D24:D29)</f>
        <v>65.400000000000006</v>
      </c>
      <c r="E31" s="38">
        <f t="shared" si="24"/>
        <v>1924.6975000000002</v>
      </c>
      <c r="F31" s="38">
        <f t="shared" si="24"/>
        <v>522.4</v>
      </c>
      <c r="G31" s="38">
        <f t="shared" si="24"/>
        <v>0</v>
      </c>
      <c r="H31" s="38">
        <f t="shared" si="24"/>
        <v>2280.3975</v>
      </c>
      <c r="I31" s="65">
        <f t="shared" si="24"/>
        <v>4.8048830594184571</v>
      </c>
      <c r="J31" s="65">
        <f t="shared" si="24"/>
        <v>4.2034976958525343</v>
      </c>
      <c r="K31" s="65">
        <f t="shared" si="24"/>
        <v>3.7013431261158902</v>
      </c>
      <c r="L31" s="65">
        <f>MAX(L24:L29)</f>
        <v>17.899509419152277</v>
      </c>
      <c r="M31" s="65">
        <f>MAX(M24:M29)</f>
        <v>15.880205431754876</v>
      </c>
      <c r="N31" s="65">
        <f t="shared" ref="N31" si="25">MAX(N24:N29)</f>
        <v>13.445739976415094</v>
      </c>
      <c r="O31" s="65">
        <f>MAX(O24:O29)</f>
        <v>72.925925925925924</v>
      </c>
      <c r="P31" s="65">
        <f>MAX(P24:P29)</f>
        <v>31.253968253968257</v>
      </c>
      <c r="Q31" s="66">
        <f t="shared" ref="Q31" si="26">MAX(Q24:Q29)</f>
        <v>24.612500000000001</v>
      </c>
    </row>
    <row r="32" spans="2:21" ht="15.75" customHeight="1" x14ac:dyDescent="0.2">
      <c r="B32" s="41" t="s">
        <v>291</v>
      </c>
      <c r="D32" s="42">
        <f t="shared" ref="D32:K32" si="27">QUARTILE(D24:D29,3)</f>
        <v>55.225000000000001</v>
      </c>
      <c r="E32" s="43">
        <f t="shared" si="27"/>
        <v>768.15000000000009</v>
      </c>
      <c r="F32" s="43">
        <f t="shared" si="27"/>
        <v>100.0385</v>
      </c>
      <c r="G32" s="43">
        <f t="shared" si="27"/>
        <v>0</v>
      </c>
      <c r="H32" s="43">
        <f t="shared" si="27"/>
        <v>631.97850000000005</v>
      </c>
      <c r="I32" s="64">
        <f t="shared" si="27"/>
        <v>1.4776284384568803</v>
      </c>
      <c r="J32" s="64">
        <f t="shared" si="27"/>
        <v>1.4497694963792767</v>
      </c>
      <c r="K32" s="64">
        <f t="shared" si="27"/>
        <v>1.4024073951147797</v>
      </c>
      <c r="L32" s="64">
        <f>QUARTILE(L24:L29,3)</f>
        <v>6.9929677754103983</v>
      </c>
      <c r="M32" s="64">
        <f>QUARTILE(M24:M29,3)</f>
        <v>6.7256576576576572</v>
      </c>
      <c r="N32" s="64">
        <f t="shared" ref="N32" si="28">QUARTILE(N24:N29,3)</f>
        <v>6.3919677093844616</v>
      </c>
      <c r="O32" s="64">
        <f>QUARTILE(O24:O29,3)</f>
        <v>23.669780853517878</v>
      </c>
      <c r="P32" s="64">
        <f>QUARTILE(P24:P29,3)</f>
        <v>18.956521739130437</v>
      </c>
      <c r="Q32" s="67">
        <f t="shared" ref="Q32" si="29">QUARTILE(Q24:Q29,3)</f>
        <v>17.210526315789476</v>
      </c>
    </row>
    <row r="33" spans="2:17" ht="15.75" customHeight="1" x14ac:dyDescent="0.2">
      <c r="B33" s="45" t="s">
        <v>292</v>
      </c>
      <c r="C33" s="46"/>
      <c r="D33" s="47">
        <f t="shared" ref="D33:K33" si="30">MEDIAN(D24:D29)</f>
        <v>27.085000000000001</v>
      </c>
      <c r="E33" s="48">
        <f t="shared" si="30"/>
        <v>633.11840000000007</v>
      </c>
      <c r="F33" s="48">
        <f t="shared" si="30"/>
        <v>28.103499999999997</v>
      </c>
      <c r="G33" s="48">
        <f t="shared" si="30"/>
        <v>0</v>
      </c>
      <c r="H33" s="48">
        <f t="shared" si="30"/>
        <v>550.9389000000001</v>
      </c>
      <c r="I33" s="68">
        <f t="shared" si="30"/>
        <v>1.3835550704434594</v>
      </c>
      <c r="J33" s="68">
        <f t="shared" si="30"/>
        <v>1.3614374964389717</v>
      </c>
      <c r="K33" s="68">
        <f t="shared" si="30"/>
        <v>1.2983422636908175</v>
      </c>
      <c r="L33" s="68">
        <f>MEDIAN(L24:L29)</f>
        <v>6.4007530364372478</v>
      </c>
      <c r="M33" s="68">
        <f>MEDIAN(M24:M29)</f>
        <v>6.6678315789473688</v>
      </c>
      <c r="N33" s="68">
        <f t="shared" ref="N33" si="31">MEDIAN(N24:N29)</f>
        <v>6.0170853307766068</v>
      </c>
      <c r="O33" s="68">
        <f>MEDIAN(O24:O29)</f>
        <v>21.097330205835071</v>
      </c>
      <c r="P33" s="68">
        <f>MEDIAN(P24:P29)</f>
        <v>18.222873900293255</v>
      </c>
      <c r="Q33" s="69">
        <f t="shared" ref="Q33" si="32">MEDIAN(Q24:Q29)</f>
        <v>16.182291666666668</v>
      </c>
    </row>
    <row r="34" spans="2:17" ht="15.75" customHeight="1" x14ac:dyDescent="0.2">
      <c r="B34" s="41" t="s">
        <v>293</v>
      </c>
      <c r="C34" s="4"/>
      <c r="D34" s="42">
        <f t="shared" ref="D34:K34" si="33">QUARTILE(D24:D29,1)</f>
        <v>7.3674999999999997</v>
      </c>
      <c r="E34" s="43">
        <f t="shared" si="33"/>
        <v>210.34629999999999</v>
      </c>
      <c r="F34" s="43">
        <f t="shared" si="33"/>
        <v>3.0757499999999998</v>
      </c>
      <c r="G34" s="43">
        <f t="shared" si="33"/>
        <v>0</v>
      </c>
      <c r="H34" s="43">
        <f t="shared" si="33"/>
        <v>176.92545000000001</v>
      </c>
      <c r="I34" s="64">
        <f t="shared" si="33"/>
        <v>0.77830244368031587</v>
      </c>
      <c r="J34" s="64">
        <f t="shared" si="33"/>
        <v>0.78949619104721247</v>
      </c>
      <c r="K34" s="64">
        <f t="shared" si="33"/>
        <v>0.75860209210685048</v>
      </c>
      <c r="L34" s="64">
        <f>QUARTILE(L24:L29,1)</f>
        <v>6.1301073483301929</v>
      </c>
      <c r="M34" s="64">
        <f>QUARTILE(M24:M29,1)</f>
        <v>6.564665271966529</v>
      </c>
      <c r="N34" s="64">
        <f t="shared" ref="N34" si="34">QUARTILE(N24:N29,1)</f>
        <v>5.9212958801498141</v>
      </c>
      <c r="O34" s="64">
        <f>QUARTILE(O24:O29,1)</f>
        <v>15.744292237442922</v>
      </c>
      <c r="P34" s="64">
        <f>QUARTILE(P24:P29,1)</f>
        <v>14.548523206751055</v>
      </c>
      <c r="Q34" s="67">
        <f t="shared" ref="Q34" si="35">QUARTILE(Q24:Q29,1)</f>
        <v>13.682539682539682</v>
      </c>
    </row>
    <row r="35" spans="2:17" ht="15.75" customHeight="1" x14ac:dyDescent="0.2">
      <c r="B35" s="51" t="s">
        <v>294</v>
      </c>
      <c r="C35" s="52"/>
      <c r="D35" s="53">
        <f t="shared" ref="D35:K35" si="36">MIN(D24:D29)</f>
        <v>2.2000000000000002</v>
      </c>
      <c r="E35" s="54">
        <f t="shared" si="36"/>
        <v>52.910000000000004</v>
      </c>
      <c r="F35" s="54">
        <f t="shared" si="36"/>
        <v>0</v>
      </c>
      <c r="G35" s="54">
        <f t="shared" si="36"/>
        <v>0</v>
      </c>
      <c r="H35" s="54">
        <f t="shared" si="36"/>
        <v>74.654799999999994</v>
      </c>
      <c r="I35" s="70">
        <f t="shared" si="36"/>
        <v>0.23558587611166115</v>
      </c>
      <c r="J35" s="70">
        <f t="shared" si="36"/>
        <v>0.24313124999999997</v>
      </c>
      <c r="K35" s="70">
        <f t="shared" si="36"/>
        <v>0.22946381171474073</v>
      </c>
      <c r="L35" s="70">
        <f>MIN(L24:L29)</f>
        <v>5.8677041578244129</v>
      </c>
      <c r="M35" s="70">
        <f>MIN(M24:M29)</f>
        <v>6.2987490039840646</v>
      </c>
      <c r="N35" s="70">
        <f t="shared" ref="N35" si="37">MIN(N24:N29)</f>
        <v>4.9115000000000002</v>
      </c>
      <c r="O35" s="70">
        <f>MIN(O24:O29)</f>
        <v>14.47610008628128</v>
      </c>
      <c r="P35" s="70">
        <f>MIN(P24:P29)</f>
        <v>13.583333333333334</v>
      </c>
      <c r="Q35" s="71">
        <f t="shared" ref="Q35" si="38">MIN(Q24:Q29)</f>
        <v>12.074074074074073</v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1:O53"/>
  <sheetViews>
    <sheetView showGridLines="0" workbookViewId="0">
      <selection activeCell="D47" sqref="D47"/>
    </sheetView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1" spans="1:14" ht="15.75" customHeight="1" x14ac:dyDescent="0.2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</row>
    <row r="2" spans="1:14" ht="18.75" customHeight="1" x14ac:dyDescent="0.25">
      <c r="A2" s="288"/>
      <c r="B2" s="289" t="str">
        <f>"Valuation Summary - "&amp;Company_Name</f>
        <v>Valuation Summary - Capital Capable Media LLC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</row>
    <row r="3" spans="1:14" ht="15.75" customHeight="1" x14ac:dyDescent="0.2">
      <c r="A3" s="288"/>
      <c r="B3" s="2" t="str">
        <f>+'Company0462-GAAP'!$B$3</f>
        <v>($ USD as Stated)</v>
      </c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</row>
    <row r="4" spans="1:14" ht="15.75" customHeight="1" x14ac:dyDescent="0.2">
      <c r="A4" s="288"/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</row>
    <row r="5" spans="1:14" ht="15.75" customHeight="1" x14ac:dyDescent="0.2">
      <c r="A5" s="288"/>
      <c r="B5" s="290" t="str">
        <f>"Valuation Statistics - "&amp;TEXT(Company_Name,"")</f>
        <v>Valuation Statistics - Capital Capable Media LLC</v>
      </c>
      <c r="C5" s="291" t="str">
        <f>TEXT(Company_Name,"")&amp;" - Range of Valuation Multiples"</f>
        <v>Capital Capable Media LLC - Range of Valuation Multiples</v>
      </c>
      <c r="D5" s="291"/>
      <c r="E5" s="291"/>
      <c r="F5" s="292"/>
      <c r="G5" s="292"/>
      <c r="H5" s="292"/>
      <c r="I5" s="292"/>
      <c r="J5" s="291" t="str">
        <f>TEXT(Company_Name,"")&amp;" - Range of Implied Equity Values"</f>
        <v>Capital Capable Media LLC - Range of Implied Equity Values</v>
      </c>
      <c r="K5" s="292"/>
      <c r="L5" s="292"/>
      <c r="M5" s="292"/>
      <c r="N5" s="293"/>
    </row>
    <row r="6" spans="1:14" ht="15.75" customHeight="1" x14ac:dyDescent="0.2">
      <c r="A6" s="288"/>
      <c r="B6" s="294"/>
      <c r="C6" s="191"/>
      <c r="D6" s="295"/>
      <c r="E6" s="295"/>
      <c r="F6" s="296"/>
      <c r="G6" s="295"/>
      <c r="H6" s="295"/>
      <c r="I6" s="295"/>
      <c r="J6" s="295"/>
      <c r="K6" s="295"/>
      <c r="L6" s="295"/>
      <c r="M6" s="295"/>
      <c r="N6" s="297"/>
    </row>
    <row r="7" spans="1:14" ht="15.75" customHeight="1" x14ac:dyDescent="0.2">
      <c r="A7" s="288"/>
      <c r="B7" s="294"/>
      <c r="C7" s="191"/>
      <c r="D7" s="191" t="s">
        <v>298</v>
      </c>
      <c r="E7" s="191"/>
      <c r="F7" s="191" t="s">
        <v>299</v>
      </c>
      <c r="G7" s="295"/>
      <c r="H7" s="191" t="s">
        <v>300</v>
      </c>
      <c r="I7" s="191" t="s">
        <v>301</v>
      </c>
      <c r="J7" s="191"/>
      <c r="K7" s="191" t="s">
        <v>299</v>
      </c>
      <c r="L7" s="191"/>
      <c r="M7" s="191" t="s">
        <v>298</v>
      </c>
      <c r="N7" s="298"/>
    </row>
    <row r="8" spans="1:14" ht="15.75" customHeight="1" x14ac:dyDescent="0.2">
      <c r="A8" s="288"/>
      <c r="B8" s="294"/>
      <c r="C8" s="191" t="s">
        <v>290</v>
      </c>
      <c r="D8" s="191" t="s">
        <v>302</v>
      </c>
      <c r="E8" s="191" t="s">
        <v>292</v>
      </c>
      <c r="F8" s="191" t="s">
        <v>302</v>
      </c>
      <c r="G8" s="191" t="s">
        <v>294</v>
      </c>
      <c r="H8" s="191" t="s">
        <v>303</v>
      </c>
      <c r="I8" s="191" t="s">
        <v>303</v>
      </c>
      <c r="J8" s="191" t="s">
        <v>294</v>
      </c>
      <c r="K8" s="191" t="s">
        <v>302</v>
      </c>
      <c r="L8" s="191" t="s">
        <v>292</v>
      </c>
      <c r="M8" s="191" t="s">
        <v>302</v>
      </c>
      <c r="N8" s="298" t="s">
        <v>290</v>
      </c>
    </row>
    <row r="9" spans="1:14" ht="15.75" customHeight="1" x14ac:dyDescent="0.2">
      <c r="A9" s="288"/>
      <c r="B9" s="299" t="s">
        <v>304</v>
      </c>
      <c r="C9" s="193" t="s">
        <v>305</v>
      </c>
      <c r="D9" s="193" t="s">
        <v>305</v>
      </c>
      <c r="E9" s="193" t="s">
        <v>305</v>
      </c>
      <c r="F9" s="193" t="s">
        <v>305</v>
      </c>
      <c r="G9" s="193" t="s">
        <v>305</v>
      </c>
      <c r="H9" s="193" t="s">
        <v>306</v>
      </c>
      <c r="I9" s="193" t="s">
        <v>307</v>
      </c>
      <c r="J9" s="193" t="s">
        <v>305</v>
      </c>
      <c r="K9" s="193" t="s">
        <v>305</v>
      </c>
      <c r="L9" s="193" t="s">
        <v>305</v>
      </c>
      <c r="M9" s="193" t="s">
        <v>305</v>
      </c>
      <c r="N9" s="300" t="s">
        <v>305</v>
      </c>
    </row>
    <row r="10" spans="1:14" ht="15.75" customHeight="1" x14ac:dyDescent="0.2">
      <c r="A10" s="28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75" customHeight="1" x14ac:dyDescent="0.2">
      <c r="A11" s="288"/>
      <c r="B11" s="4" t="s">
        <v>308</v>
      </c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75" customHeight="1" x14ac:dyDescent="0.2">
      <c r="A12" s="288"/>
      <c r="B12" s="3" t="s">
        <v>309</v>
      </c>
      <c r="C12" s="72">
        <f t="array" ref="C12:G12">TRANSPOSE('Public Comps'!I31:I35)</f>
        <v>4.8048830594184571</v>
      </c>
      <c r="D12" s="72">
        <v>1.4776284384568803</v>
      </c>
      <c r="E12" s="72">
        <v>1.3835550704434594</v>
      </c>
      <c r="F12" s="72">
        <v>0.77830244368031587</v>
      </c>
      <c r="G12" s="72">
        <v>0.23558587611166115</v>
      </c>
      <c r="H12" s="73">
        <f>+'Company0462-GAAP'!K17</f>
        <v>915003.95699999994</v>
      </c>
      <c r="I12" s="74">
        <f t="shared" ref="I12" si="0">PrivCo_Discount</f>
        <v>0.3</v>
      </c>
      <c r="J12" s="75">
        <f>+J38</f>
        <v>557965.7039288372</v>
      </c>
      <c r="K12" s="75">
        <f>+K38</f>
        <v>905577.16872718104</v>
      </c>
      <c r="L12" s="75">
        <f>+L38</f>
        <v>1293243.1526582253</v>
      </c>
      <c r="M12" s="75">
        <f>+M38</f>
        <v>1353497.4054446435</v>
      </c>
      <c r="N12" s="75">
        <f>+N38</f>
        <v>3484613.2063331073</v>
      </c>
    </row>
    <row r="13" spans="1:14" ht="15.75" customHeight="1" x14ac:dyDescent="0.2">
      <c r="A13" s="288"/>
      <c r="B13" s="3" t="str">
        <f>TEXT('Public Comps'!$J$7,"yyyy-mm-dd")&amp;" EV / Revenue:"</f>
        <v>Forward Year 1 EV / Revenue:</v>
      </c>
      <c r="C13" s="72">
        <f t="array" ref="C13:G13">TRANSPOSE('Public Comps'!J31:J35)</f>
        <v>4.2034976958525343</v>
      </c>
      <c r="D13" s="72">
        <v>1.4497694963792767</v>
      </c>
      <c r="E13" s="72">
        <v>1.3614374964389717</v>
      </c>
      <c r="F13" s="72">
        <v>0.78949619104721247</v>
      </c>
      <c r="G13" s="72">
        <v>0.24313124999999997</v>
      </c>
      <c r="H13" s="76">
        <f>+'Company0462-GAAP'!L17</f>
        <v>1062799.6149900001</v>
      </c>
      <c r="I13" s="74">
        <f t="shared" ref="I13" si="1">PrivCo_Discount</f>
        <v>0.3</v>
      </c>
      <c r="J13" s="77">
        <f t="shared" ref="J13:N20" si="2">+J39</f>
        <v>587952.1569544262</v>
      </c>
      <c r="K13" s="77">
        <f t="shared" si="2"/>
        <v>994425.67124673433</v>
      </c>
      <c r="L13" s="77">
        <f t="shared" si="2"/>
        <v>1419926.9706638022</v>
      </c>
      <c r="M13" s="77">
        <f t="shared" si="2"/>
        <v>1485642.4215332991</v>
      </c>
      <c r="N13" s="77">
        <f t="shared" si="2"/>
        <v>3534305.3106643986</v>
      </c>
    </row>
    <row r="14" spans="1:14" ht="15.75" customHeight="1" x14ac:dyDescent="0.2">
      <c r="A14" s="288"/>
      <c r="B14" s="3" t="str">
        <f>TEXT('Public Comps'!$K$7,"yyyy-mm-dd")&amp;" EV / Revenue:"</f>
        <v>Forward Year 2 EV / Revenue:</v>
      </c>
      <c r="C14" s="72">
        <f t="array" ref="C14:G14">TRANSPOSE('Public Comps'!K31:K35)</f>
        <v>3.7013431261158902</v>
      </c>
      <c r="D14" s="72">
        <v>1.4024073951147797</v>
      </c>
      <c r="E14" s="72">
        <v>1.2983422636908175</v>
      </c>
      <c r="F14" s="72">
        <v>0.75860209210685048</v>
      </c>
      <c r="G14" s="72">
        <v>0.22946381171474073</v>
      </c>
      <c r="H14" s="76">
        <f>+'Company0462-GAAP'!M17</f>
        <v>1261407.7471652499</v>
      </c>
      <c r="I14" s="74">
        <f t="shared" ref="I14" si="3">PrivCo_Discount</f>
        <v>0.3</v>
      </c>
      <c r="J14" s="77">
        <f t="shared" si="2"/>
        <v>609685.4985837295</v>
      </c>
      <c r="K14" s="77">
        <f t="shared" si="2"/>
        <v>1076906.8869295432</v>
      </c>
      <c r="L14" s="77">
        <f t="shared" si="2"/>
        <v>1553489.5906541655</v>
      </c>
      <c r="M14" s="77">
        <f t="shared" si="2"/>
        <v>1645377.5847457345</v>
      </c>
      <c r="N14" s="77">
        <f t="shared" si="2"/>
        <v>3675304.3236695994</v>
      </c>
    </row>
    <row r="15" spans="1:14" ht="15.75" customHeight="1" x14ac:dyDescent="0.2">
      <c r="A15" s="288"/>
      <c r="B15" s="3" t="s">
        <v>310</v>
      </c>
      <c r="C15" s="72">
        <f t="array" ref="C15:G15">TRANSPOSE('Public Comps'!L31:L35)</f>
        <v>17.899509419152277</v>
      </c>
      <c r="D15" s="72">
        <v>6.9929677754103983</v>
      </c>
      <c r="E15" s="72">
        <v>6.4007530364372478</v>
      </c>
      <c r="F15" s="72">
        <v>6.1301073483301929</v>
      </c>
      <c r="G15" s="72">
        <v>5.8677041578244129</v>
      </c>
      <c r="H15" s="76">
        <f>+'Company0462-GAAP'!K39</f>
        <v>226259.19699999993</v>
      </c>
      <c r="I15" s="74">
        <f t="shared" ref="I15" si="4">PrivCo_Discount</f>
        <v>0.3</v>
      </c>
      <c r="J15" s="77">
        <f t="shared" si="2"/>
        <v>1336407.7194180386</v>
      </c>
      <c r="K15" s="77">
        <f t="shared" si="2"/>
        <v>1377967.5140398918</v>
      </c>
      <c r="L15" s="77">
        <f t="shared" si="2"/>
        <v>1420832.7672837218</v>
      </c>
      <c r="M15" s="77">
        <f t="shared" si="2"/>
        <v>1514628.5891878628</v>
      </c>
      <c r="N15" s="77">
        <f t="shared" si="2"/>
        <v>3242022.3372399304</v>
      </c>
    </row>
    <row r="16" spans="1:14" ht="15.75" customHeight="1" x14ac:dyDescent="0.2">
      <c r="A16" s="288"/>
      <c r="B16" s="3" t="str">
        <f>TEXT('Public Comps'!$J$7,"yyyy-mm-dd")&amp;" EV / EBITDA:"</f>
        <v>Forward Year 1 EV / EBITDA:</v>
      </c>
      <c r="C16" s="72">
        <f t="array" ref="C16:G16">TRANSPOSE('Public Comps'!M31:M35)</f>
        <v>15.880205431754876</v>
      </c>
      <c r="D16" s="72">
        <v>6.7256576576576572</v>
      </c>
      <c r="E16" s="72">
        <v>6.6678315789473688</v>
      </c>
      <c r="F16" s="72">
        <v>6.564665271966529</v>
      </c>
      <c r="G16" s="72">
        <v>6.2987490039840646</v>
      </c>
      <c r="H16" s="76">
        <f>+'Company0462-GAAP'!L39</f>
        <v>272480.01796600019</v>
      </c>
      <c r="I16" s="74">
        <f t="shared" ref="I16" si="5">PrivCo_Discount</f>
        <v>0.3</v>
      </c>
      <c r="J16" s="77">
        <f t="shared" si="2"/>
        <v>1608470.5669682326</v>
      </c>
      <c r="K16" s="77">
        <f t="shared" si="2"/>
        <v>1659190.375602352</v>
      </c>
      <c r="L16" s="77">
        <f t="shared" si="2"/>
        <v>1678867.9056280896</v>
      </c>
      <c r="M16" s="77">
        <f t="shared" si="2"/>
        <v>1689897.4213042075</v>
      </c>
      <c r="N16" s="77">
        <f t="shared" si="2"/>
        <v>3435999.3606738392</v>
      </c>
    </row>
    <row r="17" spans="1:15" ht="15.75" customHeight="1" x14ac:dyDescent="0.2">
      <c r="A17" s="288"/>
      <c r="B17" s="3" t="str">
        <f>TEXT('Public Comps'!$K$7,"yyyy-mm-dd")&amp;" EV / EBITDA:"</f>
        <v>Forward Year 2 EV / EBITDA:</v>
      </c>
      <c r="C17" s="72">
        <f t="array" ref="C17:G17">TRANSPOSE('Public Comps'!N31:N35)</f>
        <v>13.445739976415094</v>
      </c>
      <c r="D17" s="72">
        <v>6.3919677093844616</v>
      </c>
      <c r="E17" s="72">
        <v>6.0170853307766068</v>
      </c>
      <c r="F17" s="72">
        <v>5.9212958801498141</v>
      </c>
      <c r="G17" s="72">
        <v>4.9115000000000002</v>
      </c>
      <c r="H17" s="76">
        <f>+'Company0462-GAAP'!M39</f>
        <v>306058.51952139992</v>
      </c>
      <c r="I17" s="74">
        <f t="shared" ref="I17" si="6">PrivCo_Discount</f>
        <v>0.3</v>
      </c>
      <c r="J17" s="77">
        <f t="shared" si="2"/>
        <v>1459316.7907705489</v>
      </c>
      <c r="K17" s="77">
        <f t="shared" si="2"/>
        <v>1675656.4332387717</v>
      </c>
      <c r="L17" s="77">
        <f t="shared" si="2"/>
        <v>1696178.4574499947</v>
      </c>
      <c r="M17" s="77">
        <f t="shared" si="2"/>
        <v>1776493.6195039614</v>
      </c>
      <c r="N17" s="77">
        <f t="shared" si="2"/>
        <v>3287700.587465914</v>
      </c>
    </row>
    <row r="18" spans="1:15" ht="15.75" customHeight="1" x14ac:dyDescent="0.2">
      <c r="A18" s="288"/>
      <c r="B18" s="3" t="s">
        <v>311</v>
      </c>
      <c r="C18" s="72">
        <f t="array" ref="C18:G18">TRANSPOSE('Public Comps'!O31:O35)</f>
        <v>72.925925925925924</v>
      </c>
      <c r="D18" s="72">
        <v>23.669780853517878</v>
      </c>
      <c r="E18" s="72">
        <v>21.097330205835071</v>
      </c>
      <c r="F18" s="72">
        <v>15.744292237442922</v>
      </c>
      <c r="G18" s="72">
        <v>14.47610008628128</v>
      </c>
      <c r="H18" s="76">
        <f>+'Company0462-GAAP'!K32</f>
        <v>98993.537899999952</v>
      </c>
      <c r="I18" s="74">
        <f t="shared" ref="I18" si="7">PrivCo_Discount</f>
        <v>0.3</v>
      </c>
      <c r="J18" s="77">
        <f t="shared" si="2"/>
        <v>1003128.2537748349</v>
      </c>
      <c r="K18" s="77">
        <f t="shared" si="2"/>
        <v>1091008.2332211866</v>
      </c>
      <c r="L18" s="77">
        <f t="shared" si="2"/>
        <v>1461949.5501241034</v>
      </c>
      <c r="M18" s="77">
        <f t="shared" si="2"/>
        <v>1640208.7436051907</v>
      </c>
      <c r="N18" s="77">
        <f t="shared" si="2"/>
        <v>5053436.7884285161</v>
      </c>
    </row>
    <row r="19" spans="1:15" ht="15.75" customHeight="1" x14ac:dyDescent="0.2">
      <c r="A19" s="288"/>
      <c r="B19" s="3" t="str">
        <f>TEXT('Public Comps'!$J$7,"yyyy-mm-dd")&amp;" Price / Earnings:"</f>
        <v>Forward Year 1 Price / Earnings:</v>
      </c>
      <c r="C19" s="72">
        <f t="array" ref="C19:G19">TRANSPOSE('Public Comps'!P31:P35)</f>
        <v>31.253968253968257</v>
      </c>
      <c r="D19" s="72">
        <v>18.956521739130437</v>
      </c>
      <c r="E19" s="72">
        <v>18.222873900293255</v>
      </c>
      <c r="F19" s="72">
        <v>14.548523206751055</v>
      </c>
      <c r="G19" s="72">
        <v>13.583333333333334</v>
      </c>
      <c r="H19" s="76">
        <f>+'Company0462-GAAP'!L32</f>
        <v>175665.26874650014</v>
      </c>
      <c r="I19" s="74">
        <f t="shared" ref="I19" si="8">PrivCo_Discount</f>
        <v>0.3</v>
      </c>
      <c r="J19" s="77">
        <f t="shared" si="2"/>
        <v>1670283.9303313056</v>
      </c>
      <c r="K19" s="77">
        <f t="shared" si="2"/>
        <v>1788969.1672850323</v>
      </c>
      <c r="L19" s="77">
        <f t="shared" si="2"/>
        <v>2240788.2287200182</v>
      </c>
      <c r="M19" s="77">
        <f t="shared" si="2"/>
        <v>2331001.740062254</v>
      </c>
      <c r="N19" s="77">
        <f t="shared" si="2"/>
        <v>3843165.712909542</v>
      </c>
    </row>
    <row r="20" spans="1:15" ht="15.75" customHeight="1" x14ac:dyDescent="0.2">
      <c r="A20" s="288"/>
      <c r="B20" s="3" t="str">
        <f>TEXT('Public Comps'!$K$7,"yyyy-mm-dd")&amp;" Price / Earnings:"</f>
        <v>Forward Year 2 Price / Earnings:</v>
      </c>
      <c r="C20" s="72">
        <f t="array" ref="C20:G20">TRANSPOSE('Public Comps'!Q31:Q35)</f>
        <v>24.612500000000001</v>
      </c>
      <c r="D20" s="72">
        <v>17.210526315789476</v>
      </c>
      <c r="E20" s="72">
        <v>16.182291666666668</v>
      </c>
      <c r="F20" s="72">
        <v>13.682539682539682</v>
      </c>
      <c r="G20" s="72">
        <v>12.074074074074073</v>
      </c>
      <c r="H20" s="76">
        <f>+'Company0462-GAAP'!M32</f>
        <v>197220.93813779496</v>
      </c>
      <c r="I20" s="74">
        <f t="shared" ref="I20" si="9">PrivCo_Discount</f>
        <v>0.3</v>
      </c>
      <c r="J20" s="77">
        <f t="shared" si="2"/>
        <v>1666882.1512238816</v>
      </c>
      <c r="K20" s="77">
        <f t="shared" si="2"/>
        <v>1888938.3186086582</v>
      </c>
      <c r="L20" s="77">
        <f t="shared" si="2"/>
        <v>2234040.720603595</v>
      </c>
      <c r="M20" s="77">
        <f t="shared" si="2"/>
        <v>2375993.3020916455</v>
      </c>
      <c r="N20" s="77">
        <f t="shared" si="2"/>
        <v>3397870.2379415352</v>
      </c>
    </row>
    <row r="21" spans="1:15" ht="15.75" customHeight="1" x14ac:dyDescent="0.2">
      <c r="A21" s="288"/>
      <c r="B21" s="2"/>
      <c r="C21" s="32"/>
      <c r="D21" s="2"/>
      <c r="E21" s="32"/>
      <c r="F21" s="2"/>
      <c r="G21" s="2"/>
      <c r="H21" s="2"/>
      <c r="I21" s="2"/>
      <c r="J21" s="2"/>
      <c r="K21" s="2"/>
      <c r="L21" s="2"/>
      <c r="M21" s="2"/>
      <c r="N21" s="2"/>
    </row>
    <row r="22" spans="1:15" ht="15.75" customHeight="1" x14ac:dyDescent="0.2">
      <c r="A22" s="288"/>
      <c r="B22" s="4" t="s">
        <v>312</v>
      </c>
      <c r="C22" s="32"/>
      <c r="D22" s="2"/>
      <c r="E22" s="32"/>
      <c r="F22" s="2"/>
      <c r="G22" s="2"/>
      <c r="H22" s="2"/>
      <c r="I22" s="2"/>
      <c r="J22" s="2"/>
      <c r="K22" s="2"/>
      <c r="L22" s="2"/>
      <c r="M22" s="2"/>
      <c r="N22" s="2"/>
    </row>
    <row r="23" spans="1:15" ht="15.75" customHeight="1" x14ac:dyDescent="0.2">
      <c r="A23" s="288"/>
      <c r="B23" s="3" t="s">
        <v>309</v>
      </c>
      <c r="C23" s="78">
        <v>2.5</v>
      </c>
      <c r="D23" s="79">
        <v>1.7</v>
      </c>
      <c r="E23" s="78">
        <v>1.5</v>
      </c>
      <c r="F23" s="78">
        <v>1.4</v>
      </c>
      <c r="G23" s="78">
        <v>0.9</v>
      </c>
      <c r="H23" s="73">
        <f>+'Company0462-GAAP'!K17</f>
        <v>915003.95699999994</v>
      </c>
      <c r="I23" s="74">
        <f t="shared" ref="I23:I24" si="10">PrivCo_Discount</f>
        <v>0.3</v>
      </c>
      <c r="J23" s="77">
        <f>+J51</f>
        <v>983524.7906399999</v>
      </c>
      <c r="K23" s="77">
        <f t="shared" ref="K23:N23" si="11">+K51</f>
        <v>1303776.1755899999</v>
      </c>
      <c r="L23" s="77">
        <f t="shared" si="11"/>
        <v>1367826.4525799998</v>
      </c>
      <c r="M23" s="77">
        <f t="shared" si="11"/>
        <v>1495927.0065599999</v>
      </c>
      <c r="N23" s="77">
        <f t="shared" si="11"/>
        <v>2008329.22248</v>
      </c>
      <c r="O23" s="80"/>
    </row>
    <row r="24" spans="1:15" ht="15.75" customHeight="1" x14ac:dyDescent="0.2">
      <c r="A24" s="288"/>
      <c r="B24" s="3" t="s">
        <v>310</v>
      </c>
      <c r="C24" s="78">
        <v>13.5</v>
      </c>
      <c r="D24" s="79">
        <v>12.1</v>
      </c>
      <c r="E24" s="78">
        <v>11.1</v>
      </c>
      <c r="F24" s="78">
        <v>10.1</v>
      </c>
      <c r="G24" s="78">
        <v>8</v>
      </c>
      <c r="H24" s="76">
        <f>+'Company0462-GAAP'!K39</f>
        <v>226259.19699999993</v>
      </c>
      <c r="I24" s="74">
        <f t="shared" si="10"/>
        <v>0.3</v>
      </c>
      <c r="J24" s="77">
        <f t="shared" ref="J24:N24" si="12">+J52</f>
        <v>1674123.8009299994</v>
      </c>
      <c r="K24" s="77">
        <f t="shared" si="12"/>
        <v>2006724.8205199994</v>
      </c>
      <c r="L24" s="77">
        <f t="shared" si="12"/>
        <v>2165106.2584199989</v>
      </c>
      <c r="M24" s="77">
        <f t="shared" si="12"/>
        <v>2323487.6963199992</v>
      </c>
      <c r="N24" s="77">
        <f t="shared" si="12"/>
        <v>2545221.709379999</v>
      </c>
      <c r="O24" s="80"/>
    </row>
    <row r="25" spans="1:15" ht="15.75" customHeight="1" x14ac:dyDescent="0.2">
      <c r="A25" s="288"/>
      <c r="B25" s="2"/>
      <c r="C25" s="32"/>
      <c r="D25" s="2"/>
      <c r="E25" s="32"/>
      <c r="F25" s="2"/>
      <c r="G25" s="2"/>
      <c r="H25" s="2"/>
      <c r="I25" s="2"/>
      <c r="J25" s="2"/>
      <c r="K25" s="2"/>
      <c r="L25" s="2"/>
      <c r="M25" s="2"/>
      <c r="N25" s="2"/>
    </row>
    <row r="26" spans="1:15" ht="15.75" customHeight="1" x14ac:dyDescent="0.2">
      <c r="A26" s="288"/>
      <c r="B26" s="4" t="s">
        <v>313</v>
      </c>
      <c r="C26" s="32"/>
      <c r="D26" s="2"/>
      <c r="E26" s="32"/>
      <c r="F26" s="2"/>
      <c r="G26" s="2"/>
      <c r="H26" s="2"/>
      <c r="I26" s="2"/>
      <c r="J26" s="2"/>
      <c r="K26" s="2"/>
      <c r="L26" s="2"/>
      <c r="M26" s="2"/>
      <c r="N26" s="2"/>
    </row>
    <row r="27" spans="1:15" ht="15.75" customHeight="1" x14ac:dyDescent="0.2">
      <c r="A27" s="288"/>
      <c r="B27" s="3" t="s">
        <v>314</v>
      </c>
      <c r="C27" s="81"/>
      <c r="D27" s="81"/>
      <c r="E27" s="81"/>
      <c r="F27" s="81"/>
      <c r="G27" s="81"/>
      <c r="H27" s="29"/>
      <c r="I27" s="29"/>
      <c r="J27" s="76">
        <f>+DCF!H68</f>
        <v>2323442.883174872</v>
      </c>
      <c r="K27" s="76">
        <f>+DCF!I69</f>
        <v>2348160.2303300994</v>
      </c>
      <c r="L27" s="76">
        <f>+DCF!J71</f>
        <v>2372035.6969733657</v>
      </c>
      <c r="M27" s="76">
        <f>+DCF!K72</f>
        <v>2403761.1548695713</v>
      </c>
      <c r="N27" s="76">
        <f>+DCF!L73</f>
        <v>2435190.9879590468</v>
      </c>
    </row>
    <row r="28" spans="1:15" ht="15.75" customHeight="1" x14ac:dyDescent="0.2">
      <c r="A28" s="288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</row>
    <row r="29" spans="1:15" ht="15.75" customHeight="1" x14ac:dyDescent="0.2">
      <c r="A29" s="288"/>
      <c r="B29" s="288"/>
      <c r="C29" s="288"/>
      <c r="D29" s="288"/>
      <c r="E29" s="288"/>
      <c r="F29" s="288"/>
      <c r="G29" s="301"/>
      <c r="H29" s="301" t="s">
        <v>315</v>
      </c>
      <c r="I29" s="301"/>
      <c r="J29" s="301"/>
      <c r="K29" s="302"/>
      <c r="L29" s="302"/>
      <c r="M29" s="302"/>
      <c r="N29" s="302"/>
    </row>
    <row r="30" spans="1:15" ht="15.75" customHeight="1" x14ac:dyDescent="0.2">
      <c r="A30" s="28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</row>
    <row r="31" spans="1:15" ht="15.75" customHeight="1" x14ac:dyDescent="0.2">
      <c r="A31" s="288"/>
      <c r="B31" s="288"/>
      <c r="C31" s="288"/>
      <c r="D31" s="288"/>
      <c r="E31" s="288"/>
      <c r="F31" s="288"/>
      <c r="G31" s="288" t="s">
        <v>316</v>
      </c>
      <c r="H31" s="288"/>
      <c r="I31" s="288"/>
      <c r="J31" s="75">
        <f t="shared" ref="J31:J36" si="13">+G12*$H12*(1-$I12)</f>
        <v>150893.40619883718</v>
      </c>
      <c r="K31" s="75">
        <f t="shared" ref="K31:K36" si="14">+F12*$H12*(1-$I12)</f>
        <v>498504.87099718105</v>
      </c>
      <c r="L31" s="75">
        <f t="shared" ref="L31:L36" si="15">+E12*$H12*(1-$I12)</f>
        <v>886170.85492822528</v>
      </c>
      <c r="M31" s="75">
        <f t="shared" ref="M31:M36" si="16">+D12*$H12*(1-$I12)</f>
        <v>946425.10771464335</v>
      </c>
      <c r="N31" s="75">
        <f t="shared" ref="N31:N36" si="17">+C12*$H12*(1-$I12)</f>
        <v>3077540.9086031076</v>
      </c>
    </row>
    <row r="32" spans="1:15" ht="15.75" customHeight="1" x14ac:dyDescent="0.2">
      <c r="A32" s="288"/>
      <c r="B32" s="288"/>
      <c r="C32" s="288"/>
      <c r="D32" s="288"/>
      <c r="E32" s="288"/>
      <c r="F32" s="288"/>
      <c r="G32" s="288" t="s">
        <v>316</v>
      </c>
      <c r="H32" s="288"/>
      <c r="I32" s="288"/>
      <c r="J32" s="82">
        <f t="shared" si="13"/>
        <v>180879.85922442621</v>
      </c>
      <c r="K32" s="82">
        <f t="shared" si="14"/>
        <v>587353.37351673434</v>
      </c>
      <c r="L32" s="82">
        <f t="shared" si="15"/>
        <v>1012854.6729338021</v>
      </c>
      <c r="M32" s="82">
        <f t="shared" si="16"/>
        <v>1078570.1238032992</v>
      </c>
      <c r="N32" s="82">
        <f t="shared" si="17"/>
        <v>3127233.0129343984</v>
      </c>
    </row>
    <row r="33" spans="1:14" ht="15.75" customHeight="1" x14ac:dyDescent="0.2">
      <c r="A33" s="288"/>
      <c r="B33" s="288"/>
      <c r="C33" s="288"/>
      <c r="D33" s="288"/>
      <c r="E33" s="288"/>
      <c r="F33" s="288"/>
      <c r="G33" s="288" t="s">
        <v>316</v>
      </c>
      <c r="H33" s="288"/>
      <c r="I33" s="288"/>
      <c r="J33" s="82">
        <f t="shared" si="13"/>
        <v>202613.2008537295</v>
      </c>
      <c r="K33" s="82">
        <f t="shared" si="14"/>
        <v>669834.58919954335</v>
      </c>
      <c r="L33" s="82">
        <f t="shared" si="15"/>
        <v>1146417.2929241655</v>
      </c>
      <c r="M33" s="82">
        <f t="shared" si="16"/>
        <v>1238305.2870157345</v>
      </c>
      <c r="N33" s="82">
        <f t="shared" si="17"/>
        <v>3268232.0259395996</v>
      </c>
    </row>
    <row r="34" spans="1:14" ht="15.75" customHeight="1" x14ac:dyDescent="0.2">
      <c r="A34" s="288"/>
      <c r="B34" s="288"/>
      <c r="C34" s="288"/>
      <c r="D34" s="288"/>
      <c r="E34" s="288"/>
      <c r="F34" s="288"/>
      <c r="G34" s="288" t="s">
        <v>316</v>
      </c>
      <c r="H34" s="288"/>
      <c r="I34" s="288"/>
      <c r="J34" s="82">
        <f t="shared" si="13"/>
        <v>929335.42168803874</v>
      </c>
      <c r="K34" s="82">
        <f t="shared" si="14"/>
        <v>970895.21630989178</v>
      </c>
      <c r="L34" s="82">
        <f t="shared" si="15"/>
        <v>1013760.469553722</v>
      </c>
      <c r="M34" s="82">
        <f t="shared" si="16"/>
        <v>1107556.2914578628</v>
      </c>
      <c r="N34" s="82">
        <f t="shared" si="17"/>
        <v>2834950.0395099306</v>
      </c>
    </row>
    <row r="35" spans="1:14" ht="15.75" customHeight="1" x14ac:dyDescent="0.2">
      <c r="A35" s="288"/>
      <c r="B35" s="288"/>
      <c r="C35" s="288"/>
      <c r="D35" s="288"/>
      <c r="E35" s="288"/>
      <c r="F35" s="288"/>
      <c r="G35" s="288" t="s">
        <v>316</v>
      </c>
      <c r="H35" s="288"/>
      <c r="I35" s="288"/>
      <c r="J35" s="82">
        <f t="shared" si="13"/>
        <v>1201398.2692382326</v>
      </c>
      <c r="K35" s="82">
        <f t="shared" si="14"/>
        <v>1252118.077872352</v>
      </c>
      <c r="L35" s="82">
        <f t="shared" si="15"/>
        <v>1271795.6078980896</v>
      </c>
      <c r="M35" s="82">
        <f t="shared" si="16"/>
        <v>1282825.1235742075</v>
      </c>
      <c r="N35" s="82">
        <f t="shared" si="17"/>
        <v>3028927.062943839</v>
      </c>
    </row>
    <row r="36" spans="1:14" ht="15.75" customHeight="1" x14ac:dyDescent="0.2">
      <c r="A36" s="288"/>
      <c r="B36" s="288"/>
      <c r="C36" s="288"/>
      <c r="D36" s="288"/>
      <c r="E36" s="288"/>
      <c r="F36" s="288"/>
      <c r="G36" s="288" t="s">
        <v>316</v>
      </c>
      <c r="H36" s="288"/>
      <c r="I36" s="288"/>
      <c r="J36" s="82">
        <f t="shared" si="13"/>
        <v>1052244.4930405489</v>
      </c>
      <c r="K36" s="82">
        <f t="shared" si="14"/>
        <v>1268584.1355087718</v>
      </c>
      <c r="L36" s="82">
        <f t="shared" si="15"/>
        <v>1289106.1597199948</v>
      </c>
      <c r="M36" s="82">
        <f t="shared" si="16"/>
        <v>1369421.3217739614</v>
      </c>
      <c r="N36" s="82">
        <f t="shared" si="17"/>
        <v>2880628.2897359142</v>
      </c>
    </row>
    <row r="37" spans="1:14" ht="15.75" customHeight="1" x14ac:dyDescent="0.2">
      <c r="A37" s="288"/>
      <c r="B37" s="288"/>
      <c r="C37" s="288"/>
      <c r="D37" s="288"/>
      <c r="E37" s="288"/>
      <c r="F37" s="288"/>
      <c r="G37" s="288"/>
      <c r="H37" s="288"/>
      <c r="I37" s="288"/>
      <c r="J37" s="82"/>
      <c r="K37" s="82"/>
      <c r="L37" s="82"/>
      <c r="M37" s="82"/>
      <c r="N37" s="82"/>
    </row>
    <row r="38" spans="1:14" ht="15.75" customHeight="1" x14ac:dyDescent="0.2">
      <c r="A38" s="288"/>
      <c r="B38" s="288"/>
      <c r="C38" s="288"/>
      <c r="D38" s="288"/>
      <c r="E38" s="288"/>
      <c r="F38" s="288"/>
      <c r="G38" s="288" t="s">
        <v>317</v>
      </c>
      <c r="H38" s="288"/>
      <c r="I38" s="288"/>
      <c r="J38" s="82">
        <f>+J31+'Company0462-GAAP'!$K$52</f>
        <v>557965.7039288372</v>
      </c>
      <c r="K38" s="82">
        <f>+K31+'Company0462-GAAP'!$K$52</f>
        <v>905577.16872718104</v>
      </c>
      <c r="L38" s="82">
        <f>+L31+'Company0462-GAAP'!$K$52</f>
        <v>1293243.1526582253</v>
      </c>
      <c r="M38" s="82">
        <f>+M31+'Company0462-GAAP'!$K$52</f>
        <v>1353497.4054446435</v>
      </c>
      <c r="N38" s="82">
        <f>+N31+'Company0462-GAAP'!$K$52</f>
        <v>3484613.2063331073</v>
      </c>
    </row>
    <row r="39" spans="1:14" ht="15.75" customHeight="1" x14ac:dyDescent="0.2">
      <c r="A39" s="288"/>
      <c r="B39" s="288"/>
      <c r="C39" s="288"/>
      <c r="D39" s="288"/>
      <c r="E39" s="288"/>
      <c r="F39" s="288"/>
      <c r="G39" s="288" t="s">
        <v>317</v>
      </c>
      <c r="H39" s="288"/>
      <c r="I39" s="288"/>
      <c r="J39" s="82">
        <f>+J32+'Company0462-GAAP'!$K$52</f>
        <v>587952.1569544262</v>
      </c>
      <c r="K39" s="82">
        <f>+K32+'Company0462-GAAP'!$K$52</f>
        <v>994425.67124673433</v>
      </c>
      <c r="L39" s="82">
        <f>+L32+'Company0462-GAAP'!$K$52</f>
        <v>1419926.9706638022</v>
      </c>
      <c r="M39" s="82">
        <f>+M32+'Company0462-GAAP'!$K$52</f>
        <v>1485642.4215332991</v>
      </c>
      <c r="N39" s="82">
        <f>+N32+'Company0462-GAAP'!$K$52</f>
        <v>3534305.3106643986</v>
      </c>
    </row>
    <row r="40" spans="1:14" ht="15.75" customHeight="1" x14ac:dyDescent="0.2">
      <c r="A40" s="288"/>
      <c r="B40" s="288"/>
      <c r="C40" s="288"/>
      <c r="D40" s="288"/>
      <c r="E40" s="288"/>
      <c r="F40" s="288"/>
      <c r="G40" s="288" t="s">
        <v>317</v>
      </c>
      <c r="H40" s="288"/>
      <c r="I40" s="288"/>
      <c r="J40" s="82">
        <f>+J33+'Company0462-GAAP'!$K$52</f>
        <v>609685.4985837295</v>
      </c>
      <c r="K40" s="82">
        <f>+K33+'Company0462-GAAP'!$K$52</f>
        <v>1076906.8869295432</v>
      </c>
      <c r="L40" s="82">
        <f>+L33+'Company0462-GAAP'!$K$52</f>
        <v>1553489.5906541655</v>
      </c>
      <c r="M40" s="82">
        <f>+M33+'Company0462-GAAP'!$K$52</f>
        <v>1645377.5847457345</v>
      </c>
      <c r="N40" s="82">
        <f>+N33+'Company0462-GAAP'!$K$52</f>
        <v>3675304.3236695994</v>
      </c>
    </row>
    <row r="41" spans="1:14" ht="15.75" customHeight="1" x14ac:dyDescent="0.2">
      <c r="A41" s="288"/>
      <c r="B41" s="288"/>
      <c r="C41" s="288"/>
      <c r="D41" s="288"/>
      <c r="E41" s="288"/>
      <c r="F41" s="288"/>
      <c r="G41" s="288" t="s">
        <v>317</v>
      </c>
      <c r="H41" s="288"/>
      <c r="I41" s="288"/>
      <c r="J41" s="82">
        <f>+J34+'Company0462-GAAP'!$K$52</f>
        <v>1336407.7194180386</v>
      </c>
      <c r="K41" s="82">
        <f>+K34+'Company0462-GAAP'!$K$52</f>
        <v>1377967.5140398918</v>
      </c>
      <c r="L41" s="82">
        <f>+L34+'Company0462-GAAP'!$K$52</f>
        <v>1420832.7672837218</v>
      </c>
      <c r="M41" s="82">
        <f>+M34+'Company0462-GAAP'!$K$52</f>
        <v>1514628.5891878628</v>
      </c>
      <c r="N41" s="82">
        <f>+N34+'Company0462-GAAP'!$K$52</f>
        <v>3242022.3372399304</v>
      </c>
    </row>
    <row r="42" spans="1:14" ht="15.75" customHeight="1" x14ac:dyDescent="0.2">
      <c r="A42" s="288"/>
      <c r="B42" s="288"/>
      <c r="C42" s="288"/>
      <c r="D42" s="288"/>
      <c r="E42" s="288"/>
      <c r="F42" s="288"/>
      <c r="G42" s="288" t="s">
        <v>317</v>
      </c>
      <c r="H42" s="288"/>
      <c r="I42" s="288"/>
      <c r="J42" s="82">
        <f>+J35+'Company0462-GAAP'!$K$52</f>
        <v>1608470.5669682326</v>
      </c>
      <c r="K42" s="82">
        <f>+K35+'Company0462-GAAP'!$K$52</f>
        <v>1659190.375602352</v>
      </c>
      <c r="L42" s="82">
        <f>+L35+'Company0462-GAAP'!$K$52</f>
        <v>1678867.9056280896</v>
      </c>
      <c r="M42" s="82">
        <f>+M35+'Company0462-GAAP'!$K$52</f>
        <v>1689897.4213042075</v>
      </c>
      <c r="N42" s="82">
        <f>+N35+'Company0462-GAAP'!$K$52</f>
        <v>3435999.3606738392</v>
      </c>
    </row>
    <row r="43" spans="1:14" ht="15.75" customHeight="1" x14ac:dyDescent="0.2">
      <c r="A43" s="288"/>
      <c r="B43" s="288"/>
      <c r="C43" s="288"/>
      <c r="D43" s="288"/>
      <c r="E43" s="288"/>
      <c r="F43" s="288"/>
      <c r="G43" s="288" t="s">
        <v>317</v>
      </c>
      <c r="H43" s="288"/>
      <c r="I43" s="288"/>
      <c r="J43" s="82">
        <f>+J36+'Company0462-GAAP'!$K$52</f>
        <v>1459316.7907705489</v>
      </c>
      <c r="K43" s="82">
        <f>+K36+'Company0462-GAAP'!$K$52</f>
        <v>1675656.4332387717</v>
      </c>
      <c r="L43" s="82">
        <f>+L36+'Company0462-GAAP'!$K$52</f>
        <v>1696178.4574499947</v>
      </c>
      <c r="M43" s="82">
        <f>+M36+'Company0462-GAAP'!$K$52</f>
        <v>1776493.6195039614</v>
      </c>
      <c r="N43" s="82">
        <f>+N36+'Company0462-GAAP'!$K$52</f>
        <v>3287700.587465914</v>
      </c>
    </row>
    <row r="44" spans="1:14" ht="15.75" customHeight="1" x14ac:dyDescent="0.2">
      <c r="A44" s="288"/>
      <c r="B44" s="288"/>
      <c r="C44" s="288"/>
      <c r="D44" s="288"/>
      <c r="E44" s="288"/>
      <c r="F44" s="288"/>
      <c r="G44" s="288" t="s">
        <v>317</v>
      </c>
      <c r="H44" s="288"/>
      <c r="I44" s="288"/>
      <c r="J44" s="82">
        <f>+G18*$H18*(1-$I18)</f>
        <v>1003128.2537748349</v>
      </c>
      <c r="K44" s="82">
        <f>+F18*$H18*(1-$I18)</f>
        <v>1091008.2332211866</v>
      </c>
      <c r="L44" s="82">
        <f>+E18*$H18*(1-$I18)</f>
        <v>1461949.5501241034</v>
      </c>
      <c r="M44" s="82">
        <f>+D18*$H18*(1-$I18)</f>
        <v>1640208.7436051907</v>
      </c>
      <c r="N44" s="82">
        <f>+C18*$H18*(1-$I18)</f>
        <v>5053436.7884285161</v>
      </c>
    </row>
    <row r="45" spans="1:14" ht="15.75" customHeight="1" x14ac:dyDescent="0.2">
      <c r="A45" s="288"/>
      <c r="B45" s="288"/>
      <c r="C45" s="288"/>
      <c r="D45" s="288"/>
      <c r="E45" s="288"/>
      <c r="F45" s="288"/>
      <c r="G45" s="288" t="s">
        <v>317</v>
      </c>
      <c r="H45" s="288"/>
      <c r="I45" s="288"/>
      <c r="J45" s="82">
        <f t="shared" ref="J45:J46" si="18">+G19*$H19*(1-$I19)</f>
        <v>1670283.9303313056</v>
      </c>
      <c r="K45" s="82">
        <f t="shared" ref="K45:K46" si="19">+F19*$H19*(1-$I19)</f>
        <v>1788969.1672850323</v>
      </c>
      <c r="L45" s="82">
        <f t="shared" ref="L45:L46" si="20">+E19*$H19*(1-$I19)</f>
        <v>2240788.2287200182</v>
      </c>
      <c r="M45" s="82">
        <f t="shared" ref="M45:M46" si="21">+D19*$H19*(1-$I19)</f>
        <v>2331001.740062254</v>
      </c>
      <c r="N45" s="82">
        <f t="shared" ref="N45:N46" si="22">+C19*$H19*(1-$I19)</f>
        <v>3843165.712909542</v>
      </c>
    </row>
    <row r="46" spans="1:14" ht="15.75" customHeight="1" x14ac:dyDescent="0.2">
      <c r="A46" s="288"/>
      <c r="B46" s="288"/>
      <c r="C46" s="288"/>
      <c r="D46" s="288"/>
      <c r="E46" s="288"/>
      <c r="F46" s="288"/>
      <c r="G46" s="288" t="s">
        <v>317</v>
      </c>
      <c r="H46" s="288"/>
      <c r="I46" s="288"/>
      <c r="J46" s="82">
        <f t="shared" si="18"/>
        <v>1666882.1512238816</v>
      </c>
      <c r="K46" s="82">
        <f t="shared" si="19"/>
        <v>1888938.3186086582</v>
      </c>
      <c r="L46" s="82">
        <f t="shared" si="20"/>
        <v>2234040.720603595</v>
      </c>
      <c r="M46" s="82">
        <f t="shared" si="21"/>
        <v>2375993.3020916455</v>
      </c>
      <c r="N46" s="82">
        <f t="shared" si="22"/>
        <v>3397870.2379415352</v>
      </c>
    </row>
    <row r="47" spans="1:14" ht="15.75" customHeight="1" x14ac:dyDescent="0.2">
      <c r="A47" s="28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</row>
    <row r="48" spans="1:14" ht="15.75" customHeight="1" x14ac:dyDescent="0.2">
      <c r="A48" s="288"/>
      <c r="B48" s="288"/>
      <c r="C48" s="288"/>
      <c r="D48" s="288"/>
      <c r="E48" s="288"/>
      <c r="F48" s="288"/>
      <c r="G48" s="288" t="s">
        <v>316</v>
      </c>
      <c r="H48" s="288"/>
      <c r="I48" s="288"/>
      <c r="J48" s="82">
        <f>+G23*$H23*(1-$I23)</f>
        <v>576452.49290999991</v>
      </c>
      <c r="K48" s="82">
        <f>+F23*$H23*(1-$I23)</f>
        <v>896703.87785999989</v>
      </c>
      <c r="L48" s="82">
        <f>+E23*$H23*(1-$I23)</f>
        <v>960754.15484999982</v>
      </c>
      <c r="M48" s="82">
        <f>+D23*$H23*(1-$I23)</f>
        <v>1088854.7088299999</v>
      </c>
      <c r="N48" s="82">
        <f>+C23*$H23*(1-$I23)</f>
        <v>1601256.92475</v>
      </c>
    </row>
    <row r="49" spans="1:14" ht="15.75" customHeight="1" x14ac:dyDescent="0.2">
      <c r="A49" s="288"/>
      <c r="B49" s="288"/>
      <c r="C49" s="288"/>
      <c r="D49" s="288"/>
      <c r="E49" s="288"/>
      <c r="F49" s="288"/>
      <c r="G49" s="288" t="s">
        <v>316</v>
      </c>
      <c r="H49" s="288"/>
      <c r="I49" s="288"/>
      <c r="J49" s="82">
        <f>+G24*$H24*(1-$I24)</f>
        <v>1267051.5031999995</v>
      </c>
      <c r="K49" s="82">
        <f>+F24*$H24*(1-$I24)</f>
        <v>1599652.5227899994</v>
      </c>
      <c r="L49" s="82">
        <f>+E24*$H24*(1-$I24)</f>
        <v>1758033.9606899992</v>
      </c>
      <c r="M49" s="82">
        <f>+D24*$H24*(1-$I24)</f>
        <v>1916415.3985899992</v>
      </c>
      <c r="N49" s="82">
        <f>+C24*$H24*(1-$I24)</f>
        <v>2138149.4116499992</v>
      </c>
    </row>
    <row r="50" spans="1:14" ht="15.75" customHeight="1" x14ac:dyDescent="0.2">
      <c r="A50" s="288"/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</row>
    <row r="51" spans="1:14" ht="15.75" customHeight="1" x14ac:dyDescent="0.2">
      <c r="A51" s="288"/>
      <c r="B51" s="288"/>
      <c r="C51" s="288"/>
      <c r="D51" s="288"/>
      <c r="E51" s="288"/>
      <c r="F51" s="288"/>
      <c r="G51" s="288" t="s">
        <v>317</v>
      </c>
      <c r="H51" s="288"/>
      <c r="I51" s="288"/>
      <c r="J51" s="82">
        <f>+J48+'Company0462-GAAP'!$K$52</f>
        <v>983524.7906399999</v>
      </c>
      <c r="K51" s="82">
        <f>+K48+'Company0462-GAAP'!$K$52</f>
        <v>1303776.1755899999</v>
      </c>
      <c r="L51" s="82">
        <f>+L48+'Company0462-GAAP'!$K$52</f>
        <v>1367826.4525799998</v>
      </c>
      <c r="M51" s="82">
        <f>+M48+'Company0462-GAAP'!$K$52</f>
        <v>1495927.0065599999</v>
      </c>
      <c r="N51" s="82">
        <f>+N48+'Company0462-GAAP'!$K$52</f>
        <v>2008329.22248</v>
      </c>
    </row>
    <row r="52" spans="1:14" ht="15.75" customHeight="1" x14ac:dyDescent="0.2">
      <c r="A52" s="288"/>
      <c r="B52" s="288"/>
      <c r="C52" s="288"/>
      <c r="D52" s="288"/>
      <c r="E52" s="288"/>
      <c r="F52" s="288"/>
      <c r="G52" s="288" t="s">
        <v>317</v>
      </c>
      <c r="H52" s="288"/>
      <c r="I52" s="288"/>
      <c r="J52" s="82">
        <f>+J49+'Company0462-GAAP'!$K$52</f>
        <v>1674123.8009299994</v>
      </c>
      <c r="K52" s="82">
        <f>+K49+'Company0462-GAAP'!$K$52</f>
        <v>2006724.8205199994</v>
      </c>
      <c r="L52" s="82">
        <f>+L49+'Company0462-GAAP'!$K$52</f>
        <v>2165106.2584199989</v>
      </c>
      <c r="M52" s="82">
        <f>+M49+'Company0462-GAAP'!$K$52</f>
        <v>2323487.6963199992</v>
      </c>
      <c r="N52" s="82">
        <f>+N49+'Company0462-GAAP'!$K$52</f>
        <v>2545221.709379999</v>
      </c>
    </row>
    <row r="53" spans="1:14" ht="15.75" customHeight="1" x14ac:dyDescent="0.2">
      <c r="A53" s="28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83"/>
      <c r="J26" s="83"/>
      <c r="K26" s="83"/>
      <c r="L26" s="83"/>
      <c r="M26" s="83"/>
      <c r="N26" s="83"/>
      <c r="O26" s="83"/>
      <c r="P26" s="83"/>
      <c r="Q26" s="83"/>
      <c r="R26" s="83"/>
    </row>
    <row r="27" spans="2:18" ht="15.75" customHeight="1" x14ac:dyDescent="0.2">
      <c r="B27" s="84" t="str">
        <f>+ValSum!B27</f>
        <v>13.5% - 15.5% Discount Rate, 2.0% - 4.0% Terminal FCF Growth Rate:</v>
      </c>
      <c r="I27" s="73"/>
      <c r="J27" s="73"/>
      <c r="K27" s="73"/>
      <c r="L27" s="73"/>
      <c r="M27" s="73"/>
      <c r="N27" s="75"/>
      <c r="O27" s="75"/>
      <c r="P27" s="75"/>
      <c r="Q27" s="75"/>
      <c r="R27" s="75"/>
    </row>
    <row r="29" spans="2:18" ht="15.75" customHeight="1" x14ac:dyDescent="0.2">
      <c r="B29" s="84" t="str">
        <f>+ValSum!B24</f>
        <v>LTM EV / EBITDA:</v>
      </c>
      <c r="I29" s="85"/>
      <c r="J29" s="85"/>
      <c r="K29" s="85"/>
      <c r="L29" s="85"/>
      <c r="M29" s="85"/>
      <c r="N29" s="82"/>
      <c r="O29" s="82"/>
      <c r="P29" s="82"/>
      <c r="Q29" s="82"/>
      <c r="R29" s="82"/>
    </row>
    <row r="30" spans="2:18" ht="15.75" customHeight="1" x14ac:dyDescent="0.2">
      <c r="B30" s="84" t="str">
        <f>+ValSum!B23</f>
        <v>LTM EV / Revenue:</v>
      </c>
      <c r="I30" s="85"/>
      <c r="J30" s="85"/>
      <c r="K30" s="85"/>
      <c r="L30" s="85"/>
      <c r="M30" s="85"/>
      <c r="N30" s="82"/>
      <c r="O30" s="82"/>
      <c r="P30" s="82"/>
      <c r="Q30" s="82"/>
      <c r="R30" s="82"/>
    </row>
    <row r="31" spans="2:18" ht="15.75" customHeight="1" x14ac:dyDescent="0.2">
      <c r="I31" s="86"/>
      <c r="J31" s="86"/>
      <c r="K31" s="86"/>
      <c r="L31" s="86"/>
      <c r="M31" s="86"/>
      <c r="N31" s="86"/>
      <c r="O31" s="86"/>
      <c r="P31" s="86"/>
      <c r="Q31" s="86"/>
      <c r="R31" s="86"/>
    </row>
    <row r="32" spans="2:18" ht="15.75" customHeight="1" x14ac:dyDescent="0.2">
      <c r="B32" s="84" t="str">
        <f>+ValSum!B20</f>
        <v>Forward Year 2 Price / Earnings:</v>
      </c>
      <c r="I32" s="85"/>
      <c r="J32" s="85"/>
      <c r="K32" s="85"/>
      <c r="L32" s="85"/>
      <c r="M32" s="85"/>
      <c r="N32" s="82"/>
      <c r="O32" s="82"/>
      <c r="P32" s="82"/>
      <c r="Q32" s="82"/>
      <c r="R32" s="82"/>
    </row>
    <row r="33" spans="2:18" ht="15.75" customHeight="1" x14ac:dyDescent="0.2">
      <c r="B33" s="84" t="str">
        <f>+ValSum!B19</f>
        <v>Forward Year 1 Price / Earnings:</v>
      </c>
      <c r="I33" s="85"/>
      <c r="J33" s="85"/>
      <c r="K33" s="85"/>
      <c r="L33" s="85"/>
      <c r="M33" s="85"/>
      <c r="N33" s="82"/>
      <c r="O33" s="82"/>
      <c r="P33" s="82"/>
      <c r="Q33" s="82"/>
      <c r="R33" s="82"/>
    </row>
    <row r="34" spans="2:18" ht="15.75" customHeight="1" x14ac:dyDescent="0.2">
      <c r="B34" s="84" t="str">
        <f>+ValSum!B18</f>
        <v>LTM Price / Earnings:</v>
      </c>
      <c r="I34" s="85"/>
      <c r="J34" s="85"/>
      <c r="K34" s="85"/>
      <c r="L34" s="85"/>
      <c r="M34" s="85"/>
      <c r="N34" s="82"/>
      <c r="O34" s="82"/>
      <c r="P34" s="82"/>
      <c r="Q34" s="82"/>
      <c r="R34" s="82"/>
    </row>
    <row r="35" spans="2:18" ht="15.75" customHeight="1" x14ac:dyDescent="0.2">
      <c r="B35" s="84" t="str">
        <f>+ValSum!B17</f>
        <v>Forward Year 2 EV / EBITDA:</v>
      </c>
      <c r="I35" s="85"/>
      <c r="J35" s="85"/>
      <c r="K35" s="85"/>
      <c r="L35" s="85"/>
      <c r="M35" s="85"/>
      <c r="N35" s="82"/>
      <c r="O35" s="82"/>
      <c r="P35" s="82"/>
      <c r="Q35" s="82"/>
      <c r="R35" s="82"/>
    </row>
    <row r="36" spans="2:18" ht="15.75" customHeight="1" x14ac:dyDescent="0.2">
      <c r="B36" s="84" t="str">
        <f>+ValSum!B16</f>
        <v>Forward Year 1 EV / EBITDA:</v>
      </c>
      <c r="I36" s="85"/>
      <c r="J36" s="85"/>
      <c r="K36" s="85"/>
      <c r="L36" s="85"/>
      <c r="M36" s="85"/>
      <c r="N36" s="82"/>
      <c r="O36" s="82"/>
      <c r="P36" s="82"/>
      <c r="Q36" s="82"/>
      <c r="R36" s="82"/>
    </row>
    <row r="37" spans="2:18" ht="15.75" customHeight="1" x14ac:dyDescent="0.2">
      <c r="B37" s="84" t="str">
        <f>+ValSum!B15</f>
        <v>LTM EV / EBITDA:</v>
      </c>
      <c r="I37" s="85"/>
      <c r="J37" s="85"/>
      <c r="K37" s="85"/>
      <c r="L37" s="85"/>
      <c r="M37" s="85"/>
      <c r="N37" s="82"/>
      <c r="O37" s="82"/>
      <c r="P37" s="82"/>
      <c r="Q37" s="82"/>
      <c r="R37" s="82"/>
    </row>
    <row r="38" spans="2:18" ht="15.75" customHeight="1" x14ac:dyDescent="0.2">
      <c r="B38" s="84" t="str">
        <f>+ValSum!B14</f>
        <v>Forward Year 2 EV / Revenue:</v>
      </c>
      <c r="I38" s="85"/>
      <c r="J38" s="85"/>
      <c r="K38" s="85"/>
      <c r="L38" s="85"/>
      <c r="M38" s="85"/>
      <c r="N38" s="82"/>
      <c r="O38" s="82"/>
      <c r="P38" s="82"/>
      <c r="Q38" s="82"/>
      <c r="R38" s="82"/>
    </row>
    <row r="39" spans="2:18" ht="15.75" customHeight="1" x14ac:dyDescent="0.2">
      <c r="B39" s="84" t="str">
        <f>+ValSum!B13</f>
        <v>Forward Year 1 EV / Revenue:</v>
      </c>
      <c r="I39" s="85"/>
      <c r="J39" s="85"/>
      <c r="K39" s="85"/>
      <c r="L39" s="85"/>
      <c r="M39" s="85"/>
      <c r="N39" s="82"/>
      <c r="O39" s="82"/>
      <c r="P39" s="82"/>
      <c r="Q39" s="82"/>
      <c r="R39" s="82"/>
    </row>
    <row r="40" spans="2:18" ht="15.75" customHeight="1" x14ac:dyDescent="0.2">
      <c r="B40" s="84" t="str">
        <f>+ValSum!B12</f>
        <v>LTM EV / Revenue:</v>
      </c>
      <c r="I40" s="85"/>
      <c r="J40" s="85"/>
      <c r="K40" s="85"/>
      <c r="L40" s="85"/>
      <c r="M40" s="85"/>
      <c r="N40" s="82"/>
      <c r="O40" s="82"/>
      <c r="P40" s="82"/>
      <c r="Q40" s="82"/>
      <c r="R40" s="82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